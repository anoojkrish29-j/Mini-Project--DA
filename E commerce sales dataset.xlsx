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ATA ANALYTIC CLASS\Mini Project\"/>
    </mc:Choice>
  </mc:AlternateContent>
  <xr:revisionPtr revIDLastSave="0" documentId="13_ncr:1_{90F2B5CC-6DB3-4253-8875-0157D3B07830}" xr6:coauthVersionLast="47" xr6:coauthVersionMax="47" xr10:uidLastSave="{00000000-0000-0000-0000-000000000000}"/>
  <bookViews>
    <workbookView xWindow="-108" yWindow="-108" windowWidth="23256" windowHeight="12456" xr2:uid="{691DD997-8E63-4D6A-9256-4B6F39553E9B}"/>
  </bookViews>
  <sheets>
    <sheet name="customer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</calcChain>
</file>

<file path=xl/sharedStrings.xml><?xml version="1.0" encoding="utf-8"?>
<sst xmlns="http://schemas.openxmlformats.org/spreadsheetml/2006/main" count="32017" uniqueCount="8582">
  <si>
    <t>Customer_Name</t>
  </si>
  <si>
    <t>Gender</t>
  </si>
  <si>
    <t>Age</t>
  </si>
  <si>
    <t>Age_Group</t>
  </si>
  <si>
    <t>Date_of_Birth</t>
  </si>
  <si>
    <t>Email</t>
  </si>
  <si>
    <t>Phone</t>
  </si>
  <si>
    <t>City</t>
  </si>
  <si>
    <t>State</t>
  </si>
  <si>
    <t>Pincode</t>
  </si>
  <si>
    <t>Registration_Date</t>
  </si>
  <si>
    <t>Customer_Tier</t>
  </si>
  <si>
    <t>Total_Orders</t>
  </si>
  <si>
    <t>Total_Spent</t>
  </si>
  <si>
    <t>CUST00000001</t>
  </si>
  <si>
    <t>Akash Agarwal</t>
  </si>
  <si>
    <t>male</t>
  </si>
  <si>
    <t>46-55</t>
  </si>
  <si>
    <t>akashagarwal@gmail.com</t>
  </si>
  <si>
    <t>Patiala</t>
  </si>
  <si>
    <t>Punjab</t>
  </si>
  <si>
    <t>Gold</t>
  </si>
  <si>
    <t>CUST00000002</t>
  </si>
  <si>
    <t>Farhan Rahman</t>
  </si>
  <si>
    <t>65+</t>
  </si>
  <si>
    <t>farhanrahman@gmail.com</t>
  </si>
  <si>
    <t>Durgapur</t>
  </si>
  <si>
    <t>West Bengal</t>
  </si>
  <si>
    <t>Platinum</t>
  </si>
  <si>
    <t>CUST00000003</t>
  </si>
  <si>
    <t>Suresh Kumar</t>
  </si>
  <si>
    <t>26-35</t>
  </si>
  <si>
    <t>sureshkumar755@gmail.com</t>
  </si>
  <si>
    <t>Gurugram</t>
  </si>
  <si>
    <t>Haryana</t>
  </si>
  <si>
    <t>Silver</t>
  </si>
  <si>
    <t>CUST00000004</t>
  </si>
  <si>
    <t>Aditya Pandey</t>
  </si>
  <si>
    <t>36-45</t>
  </si>
  <si>
    <t>adityapandey@outlook.com</t>
  </si>
  <si>
    <t>Kolkata</t>
  </si>
  <si>
    <t>CUST00000005</t>
  </si>
  <si>
    <t>Hina Khan</t>
  </si>
  <si>
    <t>female</t>
  </si>
  <si>
    <t>hinakhan433@gmail.com</t>
  </si>
  <si>
    <t>Noida</t>
  </si>
  <si>
    <t>UP</t>
  </si>
  <si>
    <t>CUST00000006</t>
  </si>
  <si>
    <t>Swati Pandey</t>
  </si>
  <si>
    <t>18-25</t>
  </si>
  <si>
    <t>swatipandey224@gmail.com</t>
  </si>
  <si>
    <t>Jodhpur</t>
  </si>
  <si>
    <t>Rajasthan</t>
  </si>
  <si>
    <t>CUST00000007</t>
  </si>
  <si>
    <t>Nikhil Iyer</t>
  </si>
  <si>
    <t>nikhiliyer28@outlook.com</t>
  </si>
  <si>
    <t>CUST00000008</t>
  </si>
  <si>
    <t>Preeti Pandey</t>
  </si>
  <si>
    <t>56-65</t>
  </si>
  <si>
    <t>preetipandey666@outlook.com</t>
  </si>
  <si>
    <t>Faridabad</t>
  </si>
  <si>
    <t>CUST00000009</t>
  </si>
  <si>
    <t>Shreya Patel</t>
  </si>
  <si>
    <t>shreyapatel226@yahoo.com</t>
  </si>
  <si>
    <t>Jalandhar</t>
  </si>
  <si>
    <t>CUST00000010</t>
  </si>
  <si>
    <t>Omar Mirza</t>
  </si>
  <si>
    <t>omarmirza829@gmail.com</t>
  </si>
  <si>
    <t>Alwar</t>
  </si>
  <si>
    <t>CUST00000011</t>
  </si>
  <si>
    <t>Shreya Tiwari</t>
  </si>
  <si>
    <t>shreyatiwari@gmail.com</t>
  </si>
  <si>
    <t>Palwal</t>
  </si>
  <si>
    <t>CUST00000012</t>
  </si>
  <si>
    <t>Saif Ansari</t>
  </si>
  <si>
    <t>saifansari@yahoo.com</t>
  </si>
  <si>
    <t>Kanpur</t>
  </si>
  <si>
    <t>CUST00000013</t>
  </si>
  <si>
    <t>Preeti Joshi</t>
  </si>
  <si>
    <t>preetijoshi221@yahoo.com</t>
  </si>
  <si>
    <t>Amritsar</t>
  </si>
  <si>
    <t>CUST00000014</t>
  </si>
  <si>
    <t>Preeti Patel</t>
  </si>
  <si>
    <t>preetipatel390@gmail.com</t>
  </si>
  <si>
    <t>Mangalore</t>
  </si>
  <si>
    <t>Karnataka</t>
  </si>
  <si>
    <t>CUST00000015</t>
  </si>
  <si>
    <t>Ayesha Pathan</t>
  </si>
  <si>
    <t>ayeshapathan353@outlook.com</t>
  </si>
  <si>
    <t>Pune</t>
  </si>
  <si>
    <t>Maharashtra</t>
  </si>
  <si>
    <t>CUST00000016</t>
  </si>
  <si>
    <t>Nida Siddiqui</t>
  </si>
  <si>
    <t>nidasiddiqui45@outlook.com</t>
  </si>
  <si>
    <t>Ludhiana</t>
  </si>
  <si>
    <t>CUST00000017</t>
  </si>
  <si>
    <t>Swati Kulkarni</t>
  </si>
  <si>
    <t>swatikulkarni128@yahoo.com</t>
  </si>
  <si>
    <t>CUST00000018</t>
  </si>
  <si>
    <t>Amina Sheikh</t>
  </si>
  <si>
    <t>aminasheikh301@outlook.com</t>
  </si>
  <si>
    <t>Dwarka</t>
  </si>
  <si>
    <t>Delhi</t>
  </si>
  <si>
    <t>CUST00000019</t>
  </si>
  <si>
    <t>Preeti Reddy</t>
  </si>
  <si>
    <t>preetireddy@yahoo.com</t>
  </si>
  <si>
    <t>CUST00000020</t>
  </si>
  <si>
    <t>Shreya Reddy</t>
  </si>
  <si>
    <t>shreyareddy722@gmail.com</t>
  </si>
  <si>
    <t>Varanasi</t>
  </si>
  <si>
    <t>CUST00000021</t>
  </si>
  <si>
    <t>Ahmed Ansari</t>
  </si>
  <si>
    <t>ahmedansari234@yahoo.com</t>
  </si>
  <si>
    <t>Panipat</t>
  </si>
  <si>
    <t>CUST00000022</t>
  </si>
  <si>
    <t>Yash Shah</t>
  </si>
  <si>
    <t>yashshah@gmail.com</t>
  </si>
  <si>
    <t>Jaipur</t>
  </si>
  <si>
    <t>CUST00000023</t>
  </si>
  <si>
    <t>Aarav Joshi</t>
  </si>
  <si>
    <t>aaravjoshi@yahoo.com</t>
  </si>
  <si>
    <t>Bangalore</t>
  </si>
  <si>
    <t>CUST00000024</t>
  </si>
  <si>
    <t>Rajesh Reddy</t>
  </si>
  <si>
    <t>rajeshreddy651@yahoo.com</t>
  </si>
  <si>
    <t>Kota</t>
  </si>
  <si>
    <t>CUST00000025</t>
  </si>
  <si>
    <t>Gaurav Reddy</t>
  </si>
  <si>
    <t>gauravreddy364@gmail.com</t>
  </si>
  <si>
    <t>CUST00000026</t>
  </si>
  <si>
    <t>Rahul Mehta</t>
  </si>
  <si>
    <t>rahulmehta@outlook.com</t>
  </si>
  <si>
    <t>CUST00000027</t>
  </si>
  <si>
    <t>Vikas Shah</t>
  </si>
  <si>
    <t>vikasshah@outlook.com</t>
  </si>
  <si>
    <t>CUST00000028</t>
  </si>
  <si>
    <t>Aadhya Iyer</t>
  </si>
  <si>
    <t>aadhyaiyer651@gmail.com</t>
  </si>
  <si>
    <t>Thane</t>
  </si>
  <si>
    <t>CUST00000029</t>
  </si>
  <si>
    <t>Divya Singh</t>
  </si>
  <si>
    <t>divyasingh251@gmail.com</t>
  </si>
  <si>
    <t>Chennai</t>
  </si>
  <si>
    <t>Tamil Nadu</t>
  </si>
  <si>
    <t>CUST00000030</t>
  </si>
  <si>
    <t>Riya Patel</t>
  </si>
  <si>
    <t>riyapatel277@outlook.com</t>
  </si>
  <si>
    <t>Madurai</t>
  </si>
  <si>
    <t>CUST00000031</t>
  </si>
  <si>
    <t>Akash Tiwari</t>
  </si>
  <si>
    <t>akashtiwari@gmail.com</t>
  </si>
  <si>
    <t>CUST00000032</t>
  </si>
  <si>
    <t>Saif Malik</t>
  </si>
  <si>
    <t>saifmalik@gmail.com</t>
  </si>
  <si>
    <t>Agra</t>
  </si>
  <si>
    <t>CUST00000033</t>
  </si>
  <si>
    <t>Aamir Mirza</t>
  </si>
  <si>
    <t>aamirmirza33@yahoo.com</t>
  </si>
  <si>
    <t>CUST00000034</t>
  </si>
  <si>
    <t>Anjali Mishra</t>
  </si>
  <si>
    <t>anjalimishra68@gmail.com</t>
  </si>
  <si>
    <t>Delhi NCR</t>
  </si>
  <si>
    <t>CUST00000035</t>
  </si>
  <si>
    <t>Simran Nair</t>
  </si>
  <si>
    <t>simrannair@outlook.com</t>
  </si>
  <si>
    <t>Udaipur</t>
  </si>
  <si>
    <t>CUST00000036</t>
  </si>
  <si>
    <t>Neha Singh</t>
  </si>
  <si>
    <t>nehasingh@yahoo.com</t>
  </si>
  <si>
    <t>CUST00000037</t>
  </si>
  <si>
    <t>akashagarwal512@yahoo.com</t>
  </si>
  <si>
    <t>CUST00000038</t>
  </si>
  <si>
    <t>Vikas Verma</t>
  </si>
  <si>
    <t>vikasverma@outlook.com</t>
  </si>
  <si>
    <t>Nagpur</t>
  </si>
  <si>
    <t>CUST00000039</t>
  </si>
  <si>
    <t>Shreya Gupta</t>
  </si>
  <si>
    <t>shreyagupta272@gmail.com</t>
  </si>
  <si>
    <t>Howrah</t>
  </si>
  <si>
    <t>CUST00000040</t>
  </si>
  <si>
    <t>Nisha Agarwal</t>
  </si>
  <si>
    <t>nishaagarwal575@outlook.com</t>
  </si>
  <si>
    <t>CUST00000041</t>
  </si>
  <si>
    <t>Vikas Sharma</t>
  </si>
  <si>
    <t>vikassharma599@yahoo.com</t>
  </si>
  <si>
    <t>CUST00000042</t>
  </si>
  <si>
    <t>yashshah@yahoo.com</t>
  </si>
  <si>
    <t>CUST00000043</t>
  </si>
  <si>
    <t>Divya Shah</t>
  </si>
  <si>
    <t>divyashah142@outlook.com</t>
  </si>
  <si>
    <t>Ahmedabad</t>
  </si>
  <si>
    <t>Gujarat</t>
  </si>
  <si>
    <t>CUST00000044</t>
  </si>
  <si>
    <t>Nikhil Pandey</t>
  </si>
  <si>
    <t>nikhilpandey774@gmail.com</t>
  </si>
  <si>
    <t>New Delhi</t>
  </si>
  <si>
    <t>CUST00000045</t>
  </si>
  <si>
    <t>Karan Nair</t>
  </si>
  <si>
    <t>karannair@gmail.com</t>
  </si>
  <si>
    <t>CUST00000046</t>
  </si>
  <si>
    <t>Neha Pandey</t>
  </si>
  <si>
    <t>nehapandey@outlook.com</t>
  </si>
  <si>
    <t>Rajkot</t>
  </si>
  <si>
    <t>CUST00000047</t>
  </si>
  <si>
    <t>Priya Nair</t>
  </si>
  <si>
    <t>priyanair66@yahoo.com</t>
  </si>
  <si>
    <t>CUST00000048</t>
  </si>
  <si>
    <t>Aadhya Nair</t>
  </si>
  <si>
    <t>aadhyanair480@outlook.com</t>
  </si>
  <si>
    <t>CUST00000049</t>
  </si>
  <si>
    <t>Gurleen Singh</t>
  </si>
  <si>
    <t>gurleensingh567@gmail.com</t>
  </si>
  <si>
    <t>CUST00000050</t>
  </si>
  <si>
    <t>Ananya Pandey</t>
  </si>
  <si>
    <t>ananyapandey@gmail.com</t>
  </si>
  <si>
    <t>CUST00000051</t>
  </si>
  <si>
    <t>Simran Kumar</t>
  </si>
  <si>
    <t>simrankumar@outlook.com</t>
  </si>
  <si>
    <t>CUST00000052</t>
  </si>
  <si>
    <t>Kavya Nair</t>
  </si>
  <si>
    <t>kavyanair@outlook.com</t>
  </si>
  <si>
    <t>CUST00000053</t>
  </si>
  <si>
    <t>Pooja Verma</t>
  </si>
  <si>
    <t>poojaverma301@yahoo.com</t>
  </si>
  <si>
    <t>CUST00000054</t>
  </si>
  <si>
    <t>Vishal Iyer</t>
  </si>
  <si>
    <t>vishaliyer4@outlook.com</t>
  </si>
  <si>
    <t>CUST00000055</t>
  </si>
  <si>
    <t>Nida Ali</t>
  </si>
  <si>
    <t>nidaali@yahoo.com</t>
  </si>
  <si>
    <t>CUST00000056</t>
  </si>
  <si>
    <t>Rohan Patel</t>
  </si>
  <si>
    <t>rohanpatel@gmail.com</t>
  </si>
  <si>
    <t>CUST00000057</t>
  </si>
  <si>
    <t>Aliya Sheikh</t>
  </si>
  <si>
    <t>aliyasheikh109@outlook.com</t>
  </si>
  <si>
    <t>CUST00000058</t>
  </si>
  <si>
    <t>Aliya Ahmed</t>
  </si>
  <si>
    <t>aliyaahmed655@outlook.com</t>
  </si>
  <si>
    <t>Surat</t>
  </si>
  <si>
    <t>CUST00000059</t>
  </si>
  <si>
    <t>Arif Mirza</t>
  </si>
  <si>
    <t>arifmirza@gmail.com</t>
  </si>
  <si>
    <t>CUST00000060</t>
  </si>
  <si>
    <t>Nikhil Patel</t>
  </si>
  <si>
    <t>nikhilpatel166@outlook.com</t>
  </si>
  <si>
    <t>CUST00000061</t>
  </si>
  <si>
    <t>Anjali Iyer</t>
  </si>
  <si>
    <t>anjaliiyer@outlook.com</t>
  </si>
  <si>
    <t>Sohna</t>
  </si>
  <si>
    <t>CUST00000062</t>
  </si>
  <si>
    <t>Aadhya Verma</t>
  </si>
  <si>
    <t>aadhyaverma@outlook.com</t>
  </si>
  <si>
    <t>CUST00000063</t>
  </si>
  <si>
    <t>Jasleen Dhillon</t>
  </si>
  <si>
    <t>jasleendhillon20@gmail.com</t>
  </si>
  <si>
    <t>CUST00000064</t>
  </si>
  <si>
    <t>Farhan Mirza</t>
  </si>
  <si>
    <t>farhanmirza@yahoo.com</t>
  </si>
  <si>
    <t>CUST00000065</t>
  </si>
  <si>
    <t>vishaliyer247@outlook.com</t>
  </si>
  <si>
    <t>CUST00000066</t>
  </si>
  <si>
    <t>Nida Pathan</t>
  </si>
  <si>
    <t>nidapathan@gmail.com</t>
  </si>
  <si>
    <t>CUST00000067</t>
  </si>
  <si>
    <t>Fatima Pathan</t>
  </si>
  <si>
    <t>fatimapathan@gmail.com</t>
  </si>
  <si>
    <t>CUST00000068</t>
  </si>
  <si>
    <t>Sana Ali</t>
  </si>
  <si>
    <t>sanaali@outlook.com</t>
  </si>
  <si>
    <t>CUST00000069</t>
  </si>
  <si>
    <t>Arjun Kulkarni</t>
  </si>
  <si>
    <t>arjunkulkarni@gmail.com</t>
  </si>
  <si>
    <t>Lucknow</t>
  </si>
  <si>
    <t>CUST00000070</t>
  </si>
  <si>
    <t>Ananya Patel</t>
  </si>
  <si>
    <t>ananyapatel@outlook.com</t>
  </si>
  <si>
    <t>CUST00000071</t>
  </si>
  <si>
    <t>Rohan Sharma</t>
  </si>
  <si>
    <t>rohansharma541@outlook.com</t>
  </si>
  <si>
    <t>CUST00000072</t>
  </si>
  <si>
    <t>Pooja Iyer</t>
  </si>
  <si>
    <t>poojaiyer217@outlook.com</t>
  </si>
  <si>
    <t>CUST00000073</t>
  </si>
  <si>
    <t>Divya Joshi</t>
  </si>
  <si>
    <t>divyajoshi@outlook.com</t>
  </si>
  <si>
    <t>CUST00000074</t>
  </si>
  <si>
    <t>aadhyaiyer320@yahoo.com</t>
  </si>
  <si>
    <t>CUST00000075</t>
  </si>
  <si>
    <t>Harsh Gupta</t>
  </si>
  <si>
    <t>harshgupta@outlook.com</t>
  </si>
  <si>
    <t>CUST00000076</t>
  </si>
  <si>
    <t>Sandeep Gill</t>
  </si>
  <si>
    <t>sandeepgill922@outlook.com</t>
  </si>
  <si>
    <t>CUST00000077</t>
  </si>
  <si>
    <t>Aarav Yadav</t>
  </si>
  <si>
    <t>aaravyadav254@gmail.com</t>
  </si>
  <si>
    <t>CUST00000078</t>
  </si>
  <si>
    <t>Vishal Kumar</t>
  </si>
  <si>
    <t>vishalkumar22@outlook.com</t>
  </si>
  <si>
    <t>CUST00000079</t>
  </si>
  <si>
    <t>Gaurav Pandey</t>
  </si>
  <si>
    <t>gauravpandey603@gmail.com</t>
  </si>
  <si>
    <t>CUST00000080</t>
  </si>
  <si>
    <t>Tariq Ansari</t>
  </si>
  <si>
    <t>tariqansari725@outlook.com</t>
  </si>
  <si>
    <t>CUST00000081</t>
  </si>
  <si>
    <t>Zara Ansari</t>
  </si>
  <si>
    <t>zaraansari70@gmail.com</t>
  </si>
  <si>
    <t>CUST00000082</t>
  </si>
  <si>
    <t>tariqansari@gmail.com</t>
  </si>
  <si>
    <t>CUST00000083</t>
  </si>
  <si>
    <t>Aadhya Sharma</t>
  </si>
  <si>
    <t>aadhyasharma286@outlook.com</t>
  </si>
  <si>
    <t>CUST00000084</t>
  </si>
  <si>
    <t>Ananya Mehta</t>
  </si>
  <si>
    <t>ananyamehta553@gmail.com</t>
  </si>
  <si>
    <t>CUST00000085</t>
  </si>
  <si>
    <t>Aisha Pathan</t>
  </si>
  <si>
    <t>aishapathan@outlook.com</t>
  </si>
  <si>
    <t>CUST00000086</t>
  </si>
  <si>
    <t>Preeti Verma</t>
  </si>
  <si>
    <t>preetiverma249@yahoo.com</t>
  </si>
  <si>
    <t>CUST00000087</t>
  </si>
  <si>
    <t>Ananya Nair</t>
  </si>
  <si>
    <t>ananyanair@gmail.com</t>
  </si>
  <si>
    <t>CUST00000088</t>
  </si>
  <si>
    <t>Aamir Siddiqui</t>
  </si>
  <si>
    <t>aamirsiddiqui675@yahoo.com</t>
  </si>
  <si>
    <t>CUST00000089</t>
  </si>
  <si>
    <t>nikhilpatel421@yahoo.com</t>
  </si>
  <si>
    <t>Coimbatore</t>
  </si>
  <si>
    <t>CUST00000090</t>
  </si>
  <si>
    <t>Swati Joshi</t>
  </si>
  <si>
    <t>swatijoshi@gmail.com</t>
  </si>
  <si>
    <t>CUST00000091</t>
  </si>
  <si>
    <t>Aarav Reddy</t>
  </si>
  <si>
    <t>aaravreddy@outlook.com</t>
  </si>
  <si>
    <t>CUST00000092</t>
  </si>
  <si>
    <t>Megha Pandey</t>
  </si>
  <si>
    <t>meghapandey413@outlook.com</t>
  </si>
  <si>
    <t>CUST00000093</t>
  </si>
  <si>
    <t>Arif Ahmed</t>
  </si>
  <si>
    <t>arifahmed883@gmail.com</t>
  </si>
  <si>
    <t>CUST00000094</t>
  </si>
  <si>
    <t>Gaurav Mehta</t>
  </si>
  <si>
    <t>gauravmehta195@outlook.com</t>
  </si>
  <si>
    <t>CUST00000095</t>
  </si>
  <si>
    <t>CUST00000096</t>
  </si>
  <si>
    <t>Hina Malik</t>
  </si>
  <si>
    <t>hinamalik256@gmail.com</t>
  </si>
  <si>
    <t>CUST00000097</t>
  </si>
  <si>
    <t>Akash Patel</t>
  </si>
  <si>
    <t>akashpatel883@outlook.com</t>
  </si>
  <si>
    <t>CUST00000098</t>
  </si>
  <si>
    <t>swatikulkarni668@outlook.com</t>
  </si>
  <si>
    <t>CUST00000099</t>
  </si>
  <si>
    <t>priyanair@gmail.com</t>
  </si>
  <si>
    <t>CUST00000100</t>
  </si>
  <si>
    <t>Rahul Shah</t>
  </si>
  <si>
    <t>rahulshah@gmail.com</t>
  </si>
  <si>
    <t>CUST00000101</t>
  </si>
  <si>
    <t>aaravyadav498@yahoo.com</t>
  </si>
  <si>
    <t>CUST00000102</t>
  </si>
  <si>
    <t>Riya Iyer</t>
  </si>
  <si>
    <t>riyaiyer411@gmail.com</t>
  </si>
  <si>
    <t>CUST00000103</t>
  </si>
  <si>
    <t>Aarav Iyer</t>
  </si>
  <si>
    <t>aaraviyer3@yahoo.com</t>
  </si>
  <si>
    <t>Vadodara</t>
  </si>
  <si>
    <t>CUST00000104</t>
  </si>
  <si>
    <t>Preeti Singh</t>
  </si>
  <si>
    <t>preetisingh803@yahoo.com</t>
  </si>
  <si>
    <t>CUST00000105</t>
  </si>
  <si>
    <t>Arjun Pandey</t>
  </si>
  <si>
    <t>arjunpandey714@outlook.com</t>
  </si>
  <si>
    <t>CUST00000106</t>
  </si>
  <si>
    <t>Rahul Tiwari</t>
  </si>
  <si>
    <t>rahultiwari@outlook.com</t>
  </si>
  <si>
    <t>CUST00000107</t>
  </si>
  <si>
    <t>Gaurav Tiwari</t>
  </si>
  <si>
    <t>gauravtiwari@yahoo.com</t>
  </si>
  <si>
    <t>CUST00000108</t>
  </si>
  <si>
    <t>Manpreet Kaur</t>
  </si>
  <si>
    <t>manpreetkaur304@gmail.com</t>
  </si>
  <si>
    <t>CUST00000109</t>
  </si>
  <si>
    <t>Farhan Sheikh</t>
  </si>
  <si>
    <t>farhansheikh@outlook.com</t>
  </si>
  <si>
    <t>CUST00000110</t>
  </si>
  <si>
    <t>Pooja Mehta</t>
  </si>
  <si>
    <t>poojamehta@gmail.com</t>
  </si>
  <si>
    <t>CUST00000111</t>
  </si>
  <si>
    <t>Ayesha Sheikh</t>
  </si>
  <si>
    <t>ayeshasheikh@gmail.com</t>
  </si>
  <si>
    <t>CUST00000112</t>
  </si>
  <si>
    <t>Priya Sharma</t>
  </si>
  <si>
    <t>priyasharma489@outlook.com</t>
  </si>
  <si>
    <t>CUST00000113</t>
  </si>
  <si>
    <t>Rohan Iyer</t>
  </si>
  <si>
    <t>rohaniyer@outlook.com</t>
  </si>
  <si>
    <t>CUST00000114</t>
  </si>
  <si>
    <t>Aditya Nair</t>
  </si>
  <si>
    <t>adityanair984@outlook.com</t>
  </si>
  <si>
    <t>CUST00000115</t>
  </si>
  <si>
    <t>Sana Pathan</t>
  </si>
  <si>
    <t>sanapathan191@gmail.com</t>
  </si>
  <si>
    <t>CUST00000116</t>
  </si>
  <si>
    <t>Aarav Sharma</t>
  </si>
  <si>
    <t>aaravsharma692@gmail.com</t>
  </si>
  <si>
    <t>CUST00000117</t>
  </si>
  <si>
    <t>Omar Ali</t>
  </si>
  <si>
    <t>omarali965@outlook.com</t>
  </si>
  <si>
    <t>CUST00000118</t>
  </si>
  <si>
    <t>Amina Ahmed</t>
  </si>
  <si>
    <t>aminaahmed609@gmail.com</t>
  </si>
  <si>
    <t>Mumbai</t>
  </si>
  <si>
    <t>CUST00000119</t>
  </si>
  <si>
    <t>priyanair@yahoo.com</t>
  </si>
  <si>
    <t>CUST00000120</t>
  </si>
  <si>
    <t>Nikhil Verma</t>
  </si>
  <si>
    <t>nikhilverma@outlook.com</t>
  </si>
  <si>
    <t>CUST00000121</t>
  </si>
  <si>
    <t>Rohan Kulkarni</t>
  </si>
  <si>
    <t>rohankulkarni958@yahoo.com</t>
  </si>
  <si>
    <t>CUST00000122</t>
  </si>
  <si>
    <t>Rohan Kumar</t>
  </si>
  <si>
    <t>rohankumar734@yahoo.com</t>
  </si>
  <si>
    <t>CUST00000123</t>
  </si>
  <si>
    <t>Arjun Nair</t>
  </si>
  <si>
    <t>arjunnair406@gmail.com</t>
  </si>
  <si>
    <t>CUST00000124</t>
  </si>
  <si>
    <t>ananyanair@yahoo.com</t>
  </si>
  <si>
    <t>CUST00000125</t>
  </si>
  <si>
    <t>Aliya Ansari</t>
  </si>
  <si>
    <t>aliyaansari952@gmail.com</t>
  </si>
  <si>
    <t>CUST00000126</t>
  </si>
  <si>
    <t>Yash Patel</t>
  </si>
  <si>
    <t>yashpatel637@outlook.com</t>
  </si>
  <si>
    <t>CUST00000127</t>
  </si>
  <si>
    <t>Gaurav Iyer</t>
  </si>
  <si>
    <t>gauraviyer@gmail.com</t>
  </si>
  <si>
    <t>CUST00000128</t>
  </si>
  <si>
    <t>Gaurav Kumar</t>
  </si>
  <si>
    <t>gauravkumar519@yahoo.com</t>
  </si>
  <si>
    <t>CUST00000129</t>
  </si>
  <si>
    <t>Rajesh Shah</t>
  </si>
  <si>
    <t>rajeshshah358@gmail.com</t>
  </si>
  <si>
    <t>CUST00000130</t>
  </si>
  <si>
    <t>Preeti Yadav</t>
  </si>
  <si>
    <t>preetiyadav@yahoo.com</t>
  </si>
  <si>
    <t>CUST00000131</t>
  </si>
  <si>
    <t>arjunpandey449@outlook.com</t>
  </si>
  <si>
    <t>CUST00000132</t>
  </si>
  <si>
    <t>CUST00000133</t>
  </si>
  <si>
    <t>Omar Rahman</t>
  </si>
  <si>
    <t>omarrahman@outlook.com</t>
  </si>
  <si>
    <t>CUST00000134</t>
  </si>
  <si>
    <t>Simran Dhillon</t>
  </si>
  <si>
    <t>simrandhillon684@outlook.com</t>
  </si>
  <si>
    <t>CUST00000135</t>
  </si>
  <si>
    <t>Suresh Agarwal</t>
  </si>
  <si>
    <t>sureshagarwal680@gmail.com</t>
  </si>
  <si>
    <t>CUST00000136</t>
  </si>
  <si>
    <t>Shreya Mehta</t>
  </si>
  <si>
    <t>shreyamehta@gmail.com</t>
  </si>
  <si>
    <t>CUST00000137</t>
  </si>
  <si>
    <t>Rashid Siddiqui</t>
  </si>
  <si>
    <t>rashidsiddiqui912@gmail.com</t>
  </si>
  <si>
    <t>CUST00000138</t>
  </si>
  <si>
    <t>Raj Mehta</t>
  </si>
  <si>
    <t>rajmehta@gmail.com</t>
  </si>
  <si>
    <t>CUST00000139</t>
  </si>
  <si>
    <t>Aditya Singh</t>
  </si>
  <si>
    <t>adityasingh620@gmail.com</t>
  </si>
  <si>
    <t>CUST00000140</t>
  </si>
  <si>
    <t>Priya Reddy</t>
  </si>
  <si>
    <t>priyareddy@gmail.com</t>
  </si>
  <si>
    <t>CUST00000141</t>
  </si>
  <si>
    <t>Gaurav Joshi</t>
  </si>
  <si>
    <t>gauravjoshi@yahoo.com</t>
  </si>
  <si>
    <t>CUST00000142</t>
  </si>
  <si>
    <t>Jasleen Grewal</t>
  </si>
  <si>
    <t>jasleengrewal258@gmail.com</t>
  </si>
  <si>
    <t>CUST00000143</t>
  </si>
  <si>
    <t>Rajesh Joshi</t>
  </si>
  <si>
    <t>rajeshjoshi434@yahoo.com</t>
  </si>
  <si>
    <t>CUST00000144</t>
  </si>
  <si>
    <t>Priya Joshi</t>
  </si>
  <si>
    <t>priyajoshi342@gmail.com</t>
  </si>
  <si>
    <t>CUST00000145</t>
  </si>
  <si>
    <t>Yash Kulkarni</t>
  </si>
  <si>
    <t>yashkulkarni@yahoo.com</t>
  </si>
  <si>
    <t>CUST00000146</t>
  </si>
  <si>
    <t>Neha Reddy</t>
  </si>
  <si>
    <t>nehareddy453@outlook.com</t>
  </si>
  <si>
    <t>CUST00000147</t>
  </si>
  <si>
    <t>vikassharma@outlook.com</t>
  </si>
  <si>
    <t>CUST00000148</t>
  </si>
  <si>
    <t>Megha Nair</t>
  </si>
  <si>
    <t>meghanair78@outlook.com</t>
  </si>
  <si>
    <t>CUST00000149</t>
  </si>
  <si>
    <t>Amit Gupta</t>
  </si>
  <si>
    <t>amitgupta@outlook.com</t>
  </si>
  <si>
    <t>CUST00000150</t>
  </si>
  <si>
    <t>Rashid Ansari</t>
  </si>
  <si>
    <t>rashidansari379@outlook.com</t>
  </si>
  <si>
    <t>CUST00000151</t>
  </si>
  <si>
    <t>Suresh Singh</t>
  </si>
  <si>
    <t>sureshsingh441@gmail.com</t>
  </si>
  <si>
    <t>CUST00000152</t>
  </si>
  <si>
    <t>Abhishek Yadav</t>
  </si>
  <si>
    <t>abhishekyadav374@gmail.com</t>
  </si>
  <si>
    <t>CUST00000153</t>
  </si>
  <si>
    <t>Preeti Sharma</t>
  </si>
  <si>
    <t>preetisharma@gmail.com</t>
  </si>
  <si>
    <t>CUST00000154</t>
  </si>
  <si>
    <t>Priya Iyer</t>
  </si>
  <si>
    <t>priyaiyer@outlook.com</t>
  </si>
  <si>
    <t>CUST00000155</t>
  </si>
  <si>
    <t>Rajesh Mehta</t>
  </si>
  <si>
    <t>rajeshmehta799@outlook.com</t>
  </si>
  <si>
    <t>CUST00000156</t>
  </si>
  <si>
    <t>Jasleen Sandhu</t>
  </si>
  <si>
    <t>jasleensandhu@yahoo.com</t>
  </si>
  <si>
    <t>CUST00000157</t>
  </si>
  <si>
    <t>Nisha Kumar</t>
  </si>
  <si>
    <t>nishakumar@outlook.com</t>
  </si>
  <si>
    <t>CUST00000158</t>
  </si>
  <si>
    <t>Nisha Kulkarni</t>
  </si>
  <si>
    <t>nishakulkarni953@gmail.com</t>
  </si>
  <si>
    <t>CUST00000159</t>
  </si>
  <si>
    <t>Karan Kumar</t>
  </si>
  <si>
    <t>karankumar@gmail.com</t>
  </si>
  <si>
    <t>CUST00000160</t>
  </si>
  <si>
    <t>Harleen Singh</t>
  </si>
  <si>
    <t>harleensingh@gmail.com</t>
  </si>
  <si>
    <t>CUST00000161</t>
  </si>
  <si>
    <t>Swati Iyer</t>
  </si>
  <si>
    <t>swatiiyer947@yahoo.com</t>
  </si>
  <si>
    <t>CUST00000162</t>
  </si>
  <si>
    <t>Priya Gupta</t>
  </si>
  <si>
    <t>priyagupta@yahoo.com</t>
  </si>
  <si>
    <t>CUST00000163</t>
  </si>
  <si>
    <t>Hina Mirza</t>
  </si>
  <si>
    <t>hinamirza@outlook.com</t>
  </si>
  <si>
    <t>CUST00000164</t>
  </si>
  <si>
    <t>Megha Kulkarni</t>
  </si>
  <si>
    <t>meghakulkarni@yahoo.com</t>
  </si>
  <si>
    <t>CUST00000165</t>
  </si>
  <si>
    <t>aaravsharma719@gmail.com</t>
  </si>
  <si>
    <t>CUST00000166</t>
  </si>
  <si>
    <t>Gaurav Agarwal</t>
  </si>
  <si>
    <t>gauravagarwal40@yahoo.com</t>
  </si>
  <si>
    <t>CUST00000167</t>
  </si>
  <si>
    <t>Gaurav Mishra</t>
  </si>
  <si>
    <t>gauravmishra837@yahoo.com</t>
  </si>
  <si>
    <t>CUST00000168</t>
  </si>
  <si>
    <t>Arjun Sharma</t>
  </si>
  <si>
    <t>arjunsharma841@gmail.com</t>
  </si>
  <si>
    <t>CUST00000169</t>
  </si>
  <si>
    <t>Amit Nair</t>
  </si>
  <si>
    <t>amitnair676@gmail.com</t>
  </si>
  <si>
    <t>CUST00000170</t>
  </si>
  <si>
    <t>Amit Patel</t>
  </si>
  <si>
    <t>amitpatel286@gmail.com</t>
  </si>
  <si>
    <t>CUST00000171</t>
  </si>
  <si>
    <t>rahulmehta@yahoo.com</t>
  </si>
  <si>
    <t>CUST00000172</t>
  </si>
  <si>
    <t>omarmirza522@yahoo.com</t>
  </si>
  <si>
    <t>CUST00000173</t>
  </si>
  <si>
    <t>Yash Mishra</t>
  </si>
  <si>
    <t>yashmishra@outlook.com</t>
  </si>
  <si>
    <t>CUST00000174</t>
  </si>
  <si>
    <t>gauravreddy29@gmail.com</t>
  </si>
  <si>
    <t>CUST00000175</t>
  </si>
  <si>
    <t>CUST00000176</t>
  </si>
  <si>
    <t>ananyapatel986@yahoo.com</t>
  </si>
  <si>
    <t>CUST00000177</t>
  </si>
  <si>
    <t>Aadhya Pandey</t>
  </si>
  <si>
    <t>aadhyapandey611@yahoo.com</t>
  </si>
  <si>
    <t>Mysore</t>
  </si>
  <si>
    <t>CUST00000178</t>
  </si>
  <si>
    <t>kavyanair806@yahoo.com</t>
  </si>
  <si>
    <t>CUST00000179</t>
  </si>
  <si>
    <t>Akash Singh</t>
  </si>
  <si>
    <t>akashsingh524@gmail.com</t>
  </si>
  <si>
    <t>CUST00000180</t>
  </si>
  <si>
    <t>Kavya Joshi</t>
  </si>
  <si>
    <t>kavyajoshi591@gmail.com</t>
  </si>
  <si>
    <t>CUST00000181</t>
  </si>
  <si>
    <t>Ananya Gupta</t>
  </si>
  <si>
    <t>ananyagupta726@yahoo.com</t>
  </si>
  <si>
    <t>CUST00000182</t>
  </si>
  <si>
    <t>Megha Yadav</t>
  </si>
  <si>
    <t>meghayadav948@outlook.com</t>
  </si>
  <si>
    <t>CUST00000183</t>
  </si>
  <si>
    <t>Aditya Gupta</t>
  </si>
  <si>
    <t>adityagupta@outlook.com</t>
  </si>
  <si>
    <t>CUST00000184</t>
  </si>
  <si>
    <t>Nikhil Nair</t>
  </si>
  <si>
    <t>nikhilnair@gmail.com</t>
  </si>
  <si>
    <t>CUST00000185</t>
  </si>
  <si>
    <t>Amina Pathan</t>
  </si>
  <si>
    <t>aminapathan72@outlook.com</t>
  </si>
  <si>
    <t>CUST00000186</t>
  </si>
  <si>
    <t>Arif Sheikh</t>
  </si>
  <si>
    <t>arifsheikh@outlook.com</t>
  </si>
  <si>
    <t>CUST00000187</t>
  </si>
  <si>
    <t>Riya Verma</t>
  </si>
  <si>
    <t>riyaverma869@gmail.com</t>
  </si>
  <si>
    <t>CUST00000188</t>
  </si>
  <si>
    <t>Suresh Iyer</t>
  </si>
  <si>
    <t>sureshiyer@yahoo.com</t>
  </si>
  <si>
    <t>CUST00000189</t>
  </si>
  <si>
    <t>Vishal Agarwal</t>
  </si>
  <si>
    <t>vishalagarwal683@yahoo.com</t>
  </si>
  <si>
    <t>CUST00000190</t>
  </si>
  <si>
    <t>nehareddy714@yahoo.com</t>
  </si>
  <si>
    <t>CUST00000191</t>
  </si>
  <si>
    <t>Arjun Patel</t>
  </si>
  <si>
    <t>arjunpatel197@yahoo.com</t>
  </si>
  <si>
    <t>CUST00000192</t>
  </si>
  <si>
    <t>Ananya Singh</t>
  </si>
  <si>
    <t>ananyasingh@yahoo.com</t>
  </si>
  <si>
    <t>CUST00000193</t>
  </si>
  <si>
    <t>Swati Gupta</t>
  </si>
  <si>
    <t>swatigupta@gmail.com</t>
  </si>
  <si>
    <t>CUST00000194</t>
  </si>
  <si>
    <t>Rajesh Tiwari</t>
  </si>
  <si>
    <t>rajeshtiwari@yahoo.com</t>
  </si>
  <si>
    <t>CUST00000195</t>
  </si>
  <si>
    <t>anjalimishra854@gmail.com</t>
  </si>
  <si>
    <t>CUST00000196</t>
  </si>
  <si>
    <t>Shreya Yadav</t>
  </si>
  <si>
    <t>shreyayadav216@yahoo.com</t>
  </si>
  <si>
    <t>CUST00000197</t>
  </si>
  <si>
    <t>sureshiyer@outlook.com</t>
  </si>
  <si>
    <t>CUST00000198</t>
  </si>
  <si>
    <t>Neha Sharma</t>
  </si>
  <si>
    <t>nehasharma@yahoo.com</t>
  </si>
  <si>
    <t>CUST00000199</t>
  </si>
  <si>
    <t>Akash Yadav</t>
  </si>
  <si>
    <t>akashyadav692@gmail.com</t>
  </si>
  <si>
    <t>CUST00000200</t>
  </si>
  <si>
    <t>Megha Tiwari</t>
  </si>
  <si>
    <t>meghatiwari813@outlook.com</t>
  </si>
  <si>
    <t>CUST00000201</t>
  </si>
  <si>
    <t>Harsh Joshi</t>
  </si>
  <si>
    <t>harshjoshi87@yahoo.com</t>
  </si>
  <si>
    <t>CUST00000202</t>
  </si>
  <si>
    <t>Harsh Agarwal</t>
  </si>
  <si>
    <t>harshagarwal649@outlook.com</t>
  </si>
  <si>
    <t>CUST00000203</t>
  </si>
  <si>
    <t>Abhishek Gupta</t>
  </si>
  <si>
    <t>abhishekgupta839@gmail.com</t>
  </si>
  <si>
    <t>CUST00000204</t>
  </si>
  <si>
    <t>rahulmehta@gmail.com</t>
  </si>
  <si>
    <t>CUST00000205</t>
  </si>
  <si>
    <t>Vikas Pandey</t>
  </si>
  <si>
    <t>vikaspandey@gmail.com</t>
  </si>
  <si>
    <t>CUST00000206</t>
  </si>
  <si>
    <t>Rohan Mehta</t>
  </si>
  <si>
    <t>rohanmehta251@yahoo.com</t>
  </si>
  <si>
    <t>CUST00000207</t>
  </si>
  <si>
    <t>Ahmed Sheikh</t>
  </si>
  <si>
    <t>ahmedsheikh@gmail.com</t>
  </si>
  <si>
    <t>CUST00000208</t>
  </si>
  <si>
    <t>preetireddy908@outlook.com</t>
  </si>
  <si>
    <t>CUST00000209</t>
  </si>
  <si>
    <t>Priya Mehta</t>
  </si>
  <si>
    <t>priyamehta736@outlook.com</t>
  </si>
  <si>
    <t>CUST00000210</t>
  </si>
  <si>
    <t>Neha Verma</t>
  </si>
  <si>
    <t>nehaverma410@gmail.com</t>
  </si>
  <si>
    <t>CUST00000211</t>
  </si>
  <si>
    <t>Yash Gupta</t>
  </si>
  <si>
    <t>yashgupta705@gmail.com</t>
  </si>
  <si>
    <t>CUST00000212</t>
  </si>
  <si>
    <t>amitgupta@gmail.com</t>
  </si>
  <si>
    <t>CUST00000213</t>
  </si>
  <si>
    <t>Megha Agarwal</t>
  </si>
  <si>
    <t>meghaagarwal@gmail.com</t>
  </si>
  <si>
    <t>CUST00000214</t>
  </si>
  <si>
    <t>Preeti Shah</t>
  </si>
  <si>
    <t>preetishah981@outlook.com</t>
  </si>
  <si>
    <t>CUST00000215</t>
  </si>
  <si>
    <t>Raj Singh</t>
  </si>
  <si>
    <t>rajsingh52@outlook.com</t>
  </si>
  <si>
    <t>CUST00000216</t>
  </si>
  <si>
    <t>Sandeep Kaur</t>
  </si>
  <si>
    <t>sandeepkaur869@gmail.com</t>
  </si>
  <si>
    <t>CUST00000217</t>
  </si>
  <si>
    <t>Rohan Yadav</t>
  </si>
  <si>
    <t>rohanyadav821@yahoo.com</t>
  </si>
  <si>
    <t>CUST00000218</t>
  </si>
  <si>
    <t>Tariq Pathan</t>
  </si>
  <si>
    <t>tariqpathan@outlook.com</t>
  </si>
  <si>
    <t>CUST00000219</t>
  </si>
  <si>
    <t>Shreya Verma</t>
  </si>
  <si>
    <t>shreyaverma973@yahoo.com</t>
  </si>
  <si>
    <t>CUST00000220</t>
  </si>
  <si>
    <t>anjalimishra@outlook.com</t>
  </si>
  <si>
    <t>CUST00000221</t>
  </si>
  <si>
    <t>Amina Siddiqui</t>
  </si>
  <si>
    <t>aminasiddiqui@yahoo.com</t>
  </si>
  <si>
    <t>CUST00000222</t>
  </si>
  <si>
    <t>aadhyanair@outlook.com</t>
  </si>
  <si>
    <t>CUST00000223</t>
  </si>
  <si>
    <t>harshgupta163@outlook.com</t>
  </si>
  <si>
    <t>CUST00000224</t>
  </si>
  <si>
    <t>Rohan Mishra</t>
  </si>
  <si>
    <t>rohanmishra@yahoo.com</t>
  </si>
  <si>
    <t>CUST00000225</t>
  </si>
  <si>
    <t>Amit Kulkarni</t>
  </si>
  <si>
    <t>amitkulkarni254@outlook.com</t>
  </si>
  <si>
    <t>CUST00000226</t>
  </si>
  <si>
    <t>nikhilpandey797@outlook.com</t>
  </si>
  <si>
    <t>CUST00000227</t>
  </si>
  <si>
    <t>Ananya Sharma</t>
  </si>
  <si>
    <t>ananyasharma245@yahoo.com</t>
  </si>
  <si>
    <t>CUST00000228</t>
  </si>
  <si>
    <t>Gaurav Shah</t>
  </si>
  <si>
    <t>gauravshah731@yahoo.com</t>
  </si>
  <si>
    <t>CUST00000229</t>
  </si>
  <si>
    <t>riyapatel344@yahoo.com</t>
  </si>
  <si>
    <t>CUST00000230</t>
  </si>
  <si>
    <t>Rahul Pandey</t>
  </si>
  <si>
    <t>rahulpandey@gmail.com</t>
  </si>
  <si>
    <t>CUST00000231</t>
  </si>
  <si>
    <t>Suresh Shah</t>
  </si>
  <si>
    <t>sureshshah237@yahoo.com</t>
  </si>
  <si>
    <t>CUST00000232</t>
  </si>
  <si>
    <t>arjunsharma@outlook.com</t>
  </si>
  <si>
    <t>CUST00000233</t>
  </si>
  <si>
    <t>Nisha Reddy</t>
  </si>
  <si>
    <t>nishareddy425@yahoo.com</t>
  </si>
  <si>
    <t>CUST00000234</t>
  </si>
  <si>
    <t>Tariq Ali</t>
  </si>
  <si>
    <t>tariqali478@yahoo.com</t>
  </si>
  <si>
    <t>CUST00000235</t>
  </si>
  <si>
    <t>Harsh Kumar</t>
  </si>
  <si>
    <t>harshkumar853@yahoo.com</t>
  </si>
  <si>
    <t>CUST00000236</t>
  </si>
  <si>
    <t>Shreya Kulkarni</t>
  </si>
  <si>
    <t>shreyakulkarni789@outlook.com</t>
  </si>
  <si>
    <t>CUST00000237</t>
  </si>
  <si>
    <t>Imran Ali</t>
  </si>
  <si>
    <t>imranali@gmail.com</t>
  </si>
  <si>
    <t>CUST00000238</t>
  </si>
  <si>
    <t>Akash Sharma</t>
  </si>
  <si>
    <t>akashsharma@outlook.com</t>
  </si>
  <si>
    <t>CUST00000239</t>
  </si>
  <si>
    <t>Akash Verma</t>
  </si>
  <si>
    <t>akashverma7@yahoo.com</t>
  </si>
  <si>
    <t>CUST00000240</t>
  </si>
  <si>
    <t>divyajoshi400@yahoo.com</t>
  </si>
  <si>
    <t>CUST00000241</t>
  </si>
  <si>
    <t>priyajoshi753@outlook.com</t>
  </si>
  <si>
    <t>CUST00000242</t>
  </si>
  <si>
    <t>Neha Yadav</t>
  </si>
  <si>
    <t>nehayadav@gmail.com</t>
  </si>
  <si>
    <t>CUST00000243</t>
  </si>
  <si>
    <t>Hassan Malik</t>
  </si>
  <si>
    <t>hassanmalik280@yahoo.com</t>
  </si>
  <si>
    <t>CUST00000244</t>
  </si>
  <si>
    <t>Amit Sharma</t>
  </si>
  <si>
    <t>amitsharma399@yahoo.com</t>
  </si>
  <si>
    <t>CUST00000245</t>
  </si>
  <si>
    <t>Aarav Kumar</t>
  </si>
  <si>
    <t>aaravkumar@yahoo.com</t>
  </si>
  <si>
    <t>CUST00000246</t>
  </si>
  <si>
    <t>poojamehta@yahoo.com</t>
  </si>
  <si>
    <t>CUST00000247</t>
  </si>
  <si>
    <t>Swati Yadav</t>
  </si>
  <si>
    <t>swatiyadav@outlook.com</t>
  </si>
  <si>
    <t>CUST00000248</t>
  </si>
  <si>
    <t>sanapathan929@yahoo.com</t>
  </si>
  <si>
    <t>CUST00000249</t>
  </si>
  <si>
    <t>Pooja Yadav</t>
  </si>
  <si>
    <t>poojayadav679@gmail.com</t>
  </si>
  <si>
    <t>CUST00000250</t>
  </si>
  <si>
    <t>Aditya Kumar</t>
  </si>
  <si>
    <t>adityakumar439@gmail.com</t>
  </si>
  <si>
    <t>CUST00000251</t>
  </si>
  <si>
    <t>Rahul Agarwal</t>
  </si>
  <si>
    <t>rahulagarwal@gmail.com</t>
  </si>
  <si>
    <t>CUST00000252</t>
  </si>
  <si>
    <t>Simran Grewal</t>
  </si>
  <si>
    <t>simrangrewal389@yahoo.com</t>
  </si>
  <si>
    <t>CUST00000253</t>
  </si>
  <si>
    <t>Swati Reddy</t>
  </si>
  <si>
    <t>swatireddy335@yahoo.com</t>
  </si>
  <si>
    <t>CUST00000254</t>
  </si>
  <si>
    <t>aaravyadav@yahoo.com</t>
  </si>
  <si>
    <t>CUST00000255</t>
  </si>
  <si>
    <t>Rajesh Pandey</t>
  </si>
  <si>
    <t>rajeshpandey975@yahoo.com</t>
  </si>
  <si>
    <t>CUST00000256</t>
  </si>
  <si>
    <t>Pooja Singh</t>
  </si>
  <si>
    <t>poojasingh84@yahoo.com</t>
  </si>
  <si>
    <t>CUST00000257</t>
  </si>
  <si>
    <t>Aadhya Shah</t>
  </si>
  <si>
    <t>aadhyashah553@gmail.com</t>
  </si>
  <si>
    <t>CUST00000258</t>
  </si>
  <si>
    <t>Harsh Reddy</t>
  </si>
  <si>
    <t>harshreddy@yahoo.com</t>
  </si>
  <si>
    <t>CUST00000259</t>
  </si>
  <si>
    <t>Farhan Khan</t>
  </si>
  <si>
    <t>farhankhan71@outlook.com</t>
  </si>
  <si>
    <t>CUST00000260</t>
  </si>
  <si>
    <t>harshkumar32@gmail.com</t>
  </si>
  <si>
    <t>CUST00000261</t>
  </si>
  <si>
    <t>aaravreddy21@outlook.com</t>
  </si>
  <si>
    <t>CUST00000262</t>
  </si>
  <si>
    <t>Karan Shah</t>
  </si>
  <si>
    <t>karanshah130@yahoo.com</t>
  </si>
  <si>
    <t>CUST00000263</t>
  </si>
  <si>
    <t>Karan Patel</t>
  </si>
  <si>
    <t>karanpatel@outlook.com</t>
  </si>
  <si>
    <t>CUST00000264</t>
  </si>
  <si>
    <t>Suresh Gupta</t>
  </si>
  <si>
    <t>sureshgupta@yahoo.com</t>
  </si>
  <si>
    <t>CUST00000265</t>
  </si>
  <si>
    <t>Kavya Verma</t>
  </si>
  <si>
    <t>kavyaverma@yahoo.com</t>
  </si>
  <si>
    <t>CUST00000266</t>
  </si>
  <si>
    <t>Aisha Siddiqui</t>
  </si>
  <si>
    <t>aishasiddiqui622@outlook.com</t>
  </si>
  <si>
    <t>CUST00000267</t>
  </si>
  <si>
    <t>amitsharma@gmail.com</t>
  </si>
  <si>
    <t>CUST00000268</t>
  </si>
  <si>
    <t>Suresh Kulkarni</t>
  </si>
  <si>
    <t>sureshkulkarni@gmail.com</t>
  </si>
  <si>
    <t>CUST00000269</t>
  </si>
  <si>
    <t>gauravshah952@yahoo.com</t>
  </si>
  <si>
    <t>CUST00000270</t>
  </si>
  <si>
    <t>Riya Reddy</t>
  </si>
  <si>
    <t>riyareddy930@yahoo.com</t>
  </si>
  <si>
    <t>CUST00000271</t>
  </si>
  <si>
    <t>Yash Nair</t>
  </si>
  <si>
    <t>yashnair733@gmail.com</t>
  </si>
  <si>
    <t>CUST00000272</t>
  </si>
  <si>
    <t>Divya Kulkarni</t>
  </si>
  <si>
    <t>divyakulkarni708@outlook.com</t>
  </si>
  <si>
    <t>CUST00000273</t>
  </si>
  <si>
    <t>Akash Kulkarni</t>
  </si>
  <si>
    <t>akashkulkarni714@yahoo.com</t>
  </si>
  <si>
    <t>CUST00000274</t>
  </si>
  <si>
    <t>Aadhya Kulkarni</t>
  </si>
  <si>
    <t>aadhyakulkarni@outlook.com</t>
  </si>
  <si>
    <t>CUST00000275</t>
  </si>
  <si>
    <t>rohansharma@outlook.com</t>
  </si>
  <si>
    <t>CUST00000276</t>
  </si>
  <si>
    <t>Vikas Patel</t>
  </si>
  <si>
    <t>vikaspatel@yahoo.com</t>
  </si>
  <si>
    <t>CUST00000277</t>
  </si>
  <si>
    <t>Priya Tiwari</t>
  </si>
  <si>
    <t>priyatiwari678@yahoo.com</t>
  </si>
  <si>
    <t>CUST00000278</t>
  </si>
  <si>
    <t>Abhishek Joshi</t>
  </si>
  <si>
    <t>abhishekjoshi664@yahoo.com</t>
  </si>
  <si>
    <t>CUST00000279</t>
  </si>
  <si>
    <t>Arjun Reddy</t>
  </si>
  <si>
    <t>arjunreddy431@yahoo.com</t>
  </si>
  <si>
    <t>CUST00000280</t>
  </si>
  <si>
    <t>Rahul Patel</t>
  </si>
  <si>
    <t>rahulpatel984@yahoo.com</t>
  </si>
  <si>
    <t>CUST00000281</t>
  </si>
  <si>
    <t>Farah Ahmed</t>
  </si>
  <si>
    <t>farahahmed@yahoo.com</t>
  </si>
  <si>
    <t>CUST00000282</t>
  </si>
  <si>
    <t>Farah Sheikh</t>
  </si>
  <si>
    <t>farahsheikh@yahoo.com</t>
  </si>
  <si>
    <t>CUST00000283</t>
  </si>
  <si>
    <t>hinamalik535@outlook.com</t>
  </si>
  <si>
    <t>CUST00000284</t>
  </si>
  <si>
    <t>saifmalik828@outlook.com</t>
  </si>
  <si>
    <t>CUST00000285</t>
  </si>
  <si>
    <t>vishalkumar@yahoo.com</t>
  </si>
  <si>
    <t>CUST00000286</t>
  </si>
  <si>
    <t>ananyasharma749@outlook.com</t>
  </si>
  <si>
    <t>CUST00000287</t>
  </si>
  <si>
    <t>aminaahmed873@gmail.com</t>
  </si>
  <si>
    <t>CUST00000288</t>
  </si>
  <si>
    <t>Rajesh Singh</t>
  </si>
  <si>
    <t>rajeshsingh@gmail.com</t>
  </si>
  <si>
    <t>CUST00000289</t>
  </si>
  <si>
    <t>Megha Shah</t>
  </si>
  <si>
    <t>meghashah462@gmail.com</t>
  </si>
  <si>
    <t>CUST00000290</t>
  </si>
  <si>
    <t>Priya Pandey</t>
  </si>
  <si>
    <t>priyapandey@outlook.com</t>
  </si>
  <si>
    <t>CUST00000291</t>
  </si>
  <si>
    <t>meghatiwari@yahoo.com</t>
  </si>
  <si>
    <t>CUST00000292</t>
  </si>
  <si>
    <t>aadhyakulkarni507@yahoo.com</t>
  </si>
  <si>
    <t>CUST00000293</t>
  </si>
  <si>
    <t>shreyareddy218@yahoo.com</t>
  </si>
  <si>
    <t>CUST00000294</t>
  </si>
  <si>
    <t>vikasshah@yahoo.com</t>
  </si>
  <si>
    <t>CUST00000295</t>
  </si>
  <si>
    <t>harshkumar611@outlook.com</t>
  </si>
  <si>
    <t>CUST00000296</t>
  </si>
  <si>
    <t>Yash Verma</t>
  </si>
  <si>
    <t>yashverma@outlook.com</t>
  </si>
  <si>
    <t>CUST00000297</t>
  </si>
  <si>
    <t>amitkulkarni971@gmail.com</t>
  </si>
  <si>
    <t>CUST00000298</t>
  </si>
  <si>
    <t>Neha Shah</t>
  </si>
  <si>
    <t>nehashah738@yahoo.com</t>
  </si>
  <si>
    <t>CUST00000299</t>
  </si>
  <si>
    <t>Rahul Gupta</t>
  </si>
  <si>
    <t>rahulgupta777@gmail.com</t>
  </si>
  <si>
    <t>CUST00000300</t>
  </si>
  <si>
    <t>CUST00000301</t>
  </si>
  <si>
    <t>Amit Reddy</t>
  </si>
  <si>
    <t>amitreddy@yahoo.com</t>
  </si>
  <si>
    <t>CUST00000302</t>
  </si>
  <si>
    <t>Vikas Mehta</t>
  </si>
  <si>
    <t>vikasmehta@gmail.com</t>
  </si>
  <si>
    <t>CUST00000303</t>
  </si>
  <si>
    <t>Hina Rahman</t>
  </si>
  <si>
    <t>hinarahman415@outlook.com</t>
  </si>
  <si>
    <t>CUST00000304</t>
  </si>
  <si>
    <t>nishaagarwal680@outlook.com</t>
  </si>
  <si>
    <t>CUST00000305</t>
  </si>
  <si>
    <t>Rohan Agarwal</t>
  </si>
  <si>
    <t>rohanagarwal567@outlook.com</t>
  </si>
  <si>
    <t>CUST00000306</t>
  </si>
  <si>
    <t>Neha Nair</t>
  </si>
  <si>
    <t>nehanair764@outlook.com</t>
  </si>
  <si>
    <t>CUST00000307</t>
  </si>
  <si>
    <t>Priya Verma</t>
  </si>
  <si>
    <t>priyaverma720@yahoo.com</t>
  </si>
  <si>
    <t>CUST00000308</t>
  </si>
  <si>
    <t>Riya Singh</t>
  </si>
  <si>
    <t>riyasingh258@gmail.com</t>
  </si>
  <si>
    <t>CUST00000309</t>
  </si>
  <si>
    <t>nehayadav198@yahoo.com</t>
  </si>
  <si>
    <t>CUST00000310</t>
  </si>
  <si>
    <t>Suresh Nair</t>
  </si>
  <si>
    <t>sureshnair549@outlook.com</t>
  </si>
  <si>
    <t>CUST00000311</t>
  </si>
  <si>
    <t>Suresh Verma</t>
  </si>
  <si>
    <t>sureshverma222@outlook.com</t>
  </si>
  <si>
    <t>CUST00000312</t>
  </si>
  <si>
    <t>Pooja Shah</t>
  </si>
  <si>
    <t>poojashah742@outlook.com</t>
  </si>
  <si>
    <t>CUST00000313</t>
  </si>
  <si>
    <t>Aarav Agarwal</t>
  </si>
  <si>
    <t>aaravagarwal@outlook.com</t>
  </si>
  <si>
    <t>CUST00000314</t>
  </si>
  <si>
    <t>vikaspatel103@gmail.com</t>
  </si>
  <si>
    <t>CUST00000315</t>
  </si>
  <si>
    <t>Arif Ali</t>
  </si>
  <si>
    <t>arifali370@gmail.com</t>
  </si>
  <si>
    <t>CUST00000316</t>
  </si>
  <si>
    <t>Nisha Singh</t>
  </si>
  <si>
    <t>nishasingh726@outlook.com</t>
  </si>
  <si>
    <t>CUST00000317</t>
  </si>
  <si>
    <t>Gaurav Nair</t>
  </si>
  <si>
    <t>gauravnair47@gmail.com</t>
  </si>
  <si>
    <t>CUST00000318</t>
  </si>
  <si>
    <t>Harpreet Brar</t>
  </si>
  <si>
    <t>harpreetbrar715@gmail.com</t>
  </si>
  <si>
    <t>CUST00000319</t>
  </si>
  <si>
    <t>Divya Reddy</t>
  </si>
  <si>
    <t>divyareddy@yahoo.com</t>
  </si>
  <si>
    <t>CUST00000320</t>
  </si>
  <si>
    <t>Rahul Iyer</t>
  </si>
  <si>
    <t>rahuliyer13@outlook.com</t>
  </si>
  <si>
    <t>CUST00000321</t>
  </si>
  <si>
    <t>Ahmed Mirza</t>
  </si>
  <si>
    <t>ahmedmirza491@yahoo.com</t>
  </si>
  <si>
    <t>CUST00000322</t>
  </si>
  <si>
    <t>Karan Mishra</t>
  </si>
  <si>
    <t>karanmishra989@gmail.com</t>
  </si>
  <si>
    <t>CUST00000323</t>
  </si>
  <si>
    <t>anjaliiyer883@yahoo.com</t>
  </si>
  <si>
    <t>CUST00000324</t>
  </si>
  <si>
    <t>saifansari67@yahoo.com</t>
  </si>
  <si>
    <t>CUST00000325</t>
  </si>
  <si>
    <t>Harsh Yadav</t>
  </si>
  <si>
    <t>harshyadav591@outlook.com</t>
  </si>
  <si>
    <t>CUST00000326</t>
  </si>
  <si>
    <t>Vishal Reddy</t>
  </si>
  <si>
    <t>vishalreddy@gmail.com</t>
  </si>
  <si>
    <t>CUST00000327</t>
  </si>
  <si>
    <t>Kuldeep Kaur</t>
  </si>
  <si>
    <t>kuldeepkaur577@yahoo.com</t>
  </si>
  <si>
    <t>CUST00000328</t>
  </si>
  <si>
    <t>Simran Patel</t>
  </si>
  <si>
    <t>simranpatel255@gmail.com</t>
  </si>
  <si>
    <t>CUST00000329</t>
  </si>
  <si>
    <t>simrannair427@outlook.com</t>
  </si>
  <si>
    <t>CUST00000330</t>
  </si>
  <si>
    <t>priyapandey634@gmail.com</t>
  </si>
  <si>
    <t>CUST00000331</t>
  </si>
  <si>
    <t>Priya Singh</t>
  </si>
  <si>
    <t>priyasingh@yahoo.com</t>
  </si>
  <si>
    <t>CUST00000332</t>
  </si>
  <si>
    <t>Simran Pandey</t>
  </si>
  <si>
    <t>simranpandey454@yahoo.com</t>
  </si>
  <si>
    <t>CUST00000333</t>
  </si>
  <si>
    <t>Aadhya Kumar</t>
  </si>
  <si>
    <t>aadhyakumar@yahoo.com</t>
  </si>
  <si>
    <t>CUST00000334</t>
  </si>
  <si>
    <t>Rashid Ahmed</t>
  </si>
  <si>
    <t>rashidahmed636@gmail.com</t>
  </si>
  <si>
    <t>CUST00000335</t>
  </si>
  <si>
    <t>nikhilpandey@outlook.com</t>
  </si>
  <si>
    <t>CUST00000336</t>
  </si>
  <si>
    <t>Arjun Mehta</t>
  </si>
  <si>
    <t>arjunmehta782@gmail.com</t>
  </si>
  <si>
    <t>CUST00000337</t>
  </si>
  <si>
    <t>Amandeep Dhillon</t>
  </si>
  <si>
    <t>amandeepdhillon@yahoo.com</t>
  </si>
  <si>
    <t>CUST00000338</t>
  </si>
  <si>
    <t>priyajoshi@gmail.com</t>
  </si>
  <si>
    <t>CUST00000339</t>
  </si>
  <si>
    <t>gauravpandey566@gmail.com</t>
  </si>
  <si>
    <t>CUST00000340</t>
  </si>
  <si>
    <t>Nisha Yadav</t>
  </si>
  <si>
    <t>nishayadav419@yahoo.com</t>
  </si>
  <si>
    <t>CUST00000341</t>
  </si>
  <si>
    <t>Shreya Joshi</t>
  </si>
  <si>
    <t>shreyajoshi@yahoo.com</t>
  </si>
  <si>
    <t>CUST00000342</t>
  </si>
  <si>
    <t>Gaurav Patel</t>
  </si>
  <si>
    <t>gauravpatel238@yahoo.com</t>
  </si>
  <si>
    <t>CUST00000343</t>
  </si>
  <si>
    <t>meghakulkarni@outlook.com</t>
  </si>
  <si>
    <t>CUST00000344</t>
  </si>
  <si>
    <t>poojaiyer@gmail.com</t>
  </si>
  <si>
    <t>CUST00000345</t>
  </si>
  <si>
    <t>preetishah@yahoo.com</t>
  </si>
  <si>
    <t>CUST00000346</t>
  </si>
  <si>
    <t>Rohan Pandey</t>
  </si>
  <si>
    <t>rohanpandey@outlook.com</t>
  </si>
  <si>
    <t>CUST00000347</t>
  </si>
  <si>
    <t>Kuldeep Dhillon</t>
  </si>
  <si>
    <t>kuldeepdhillon824@gmail.com</t>
  </si>
  <si>
    <t>CUST00000348</t>
  </si>
  <si>
    <t>Simran Tiwari</t>
  </si>
  <si>
    <t>simrantiwari558@gmail.com</t>
  </si>
  <si>
    <t>CUST00000349</t>
  </si>
  <si>
    <t>Swati Verma</t>
  </si>
  <si>
    <t>swativerma@yahoo.com</t>
  </si>
  <si>
    <t>CUST00000350</t>
  </si>
  <si>
    <t>nehareddy@gmail.com</t>
  </si>
  <si>
    <t>CUST00000351</t>
  </si>
  <si>
    <t>Salman Ansari</t>
  </si>
  <si>
    <t>salmanansari812@yahoo.com</t>
  </si>
  <si>
    <t>CUST00000352</t>
  </si>
  <si>
    <t>aminaahmed845@outlook.com</t>
  </si>
  <si>
    <t>CUST00000353</t>
  </si>
  <si>
    <t>gauravpatel@yahoo.com</t>
  </si>
  <si>
    <t>CUST00000354</t>
  </si>
  <si>
    <t>Omar Siddiqui</t>
  </si>
  <si>
    <t>omarsiddiqui706@yahoo.com</t>
  </si>
  <si>
    <t>CUST00000355</t>
  </si>
  <si>
    <t>Harpreet Gill</t>
  </si>
  <si>
    <t>harpreetgill@yahoo.com</t>
  </si>
  <si>
    <t>CUST00000356</t>
  </si>
  <si>
    <t>nikhilpatel506@yahoo.com</t>
  </si>
  <si>
    <t>CUST00000357</t>
  </si>
  <si>
    <t>fatimapathan41@yahoo.com</t>
  </si>
  <si>
    <t>CUST00000358</t>
  </si>
  <si>
    <t>Salman Pathan</t>
  </si>
  <si>
    <t>salmanpathan@outlook.com</t>
  </si>
  <si>
    <t>CUST00000359</t>
  </si>
  <si>
    <t>karankumar94@gmail.com</t>
  </si>
  <si>
    <t>CUST00000360</t>
  </si>
  <si>
    <t>Kavya Shah</t>
  </si>
  <si>
    <t>kavyashah@outlook.com</t>
  </si>
  <si>
    <t>CUST00000361</t>
  </si>
  <si>
    <t>karanpatel22@outlook.com</t>
  </si>
  <si>
    <t>CUST00000362</t>
  </si>
  <si>
    <t>Simran Singh</t>
  </si>
  <si>
    <t>simransingh@outlook.com</t>
  </si>
  <si>
    <t>CUST00000363</t>
  </si>
  <si>
    <t>rahulagarwal775@gmail.com</t>
  </si>
  <si>
    <t>CUST00000364</t>
  </si>
  <si>
    <t>nishayadav668@yahoo.com</t>
  </si>
  <si>
    <t>CUST00000365</t>
  </si>
  <si>
    <t>rahuliyer@gmail.com</t>
  </si>
  <si>
    <t>CUST00000366</t>
  </si>
  <si>
    <t>poojaiyer@yahoo.com</t>
  </si>
  <si>
    <t>CUST00000367</t>
  </si>
  <si>
    <t>yashnair@yahoo.com</t>
  </si>
  <si>
    <t>CUST00000368</t>
  </si>
  <si>
    <t>arjunreddy@yahoo.com</t>
  </si>
  <si>
    <t>CUST00000369</t>
  </si>
  <si>
    <t>yashmishra342@yahoo.com</t>
  </si>
  <si>
    <t>CUST00000370</t>
  </si>
  <si>
    <t>priyaiyer@gmail.com</t>
  </si>
  <si>
    <t>CUST00000371</t>
  </si>
  <si>
    <t>Vishal Shah</t>
  </si>
  <si>
    <t>vishalshah711@yahoo.com</t>
  </si>
  <si>
    <t>CUST00000372</t>
  </si>
  <si>
    <t>Nikhil Kumar</t>
  </si>
  <si>
    <t>nikhilkumar968@yahoo.com</t>
  </si>
  <si>
    <t>CUST00000373</t>
  </si>
  <si>
    <t>Nisha Joshi</t>
  </si>
  <si>
    <t>nishajoshi@outlook.com</t>
  </si>
  <si>
    <t>CUST00000374</t>
  </si>
  <si>
    <t>Saif Mirza</t>
  </si>
  <si>
    <t>saifmirza91@yahoo.com</t>
  </si>
  <si>
    <t>CUST00000375</t>
  </si>
  <si>
    <t>Nikhil Mehta</t>
  </si>
  <si>
    <t>nikhilmehta119@yahoo.com</t>
  </si>
  <si>
    <t>CUST00000376</t>
  </si>
  <si>
    <t>Tariq Malik</t>
  </si>
  <si>
    <t>tariqmalik@gmail.com</t>
  </si>
  <si>
    <t>CUST00000377</t>
  </si>
  <si>
    <t>Ananya Tiwari</t>
  </si>
  <si>
    <t>ananyatiwari@outlook.com</t>
  </si>
  <si>
    <t>CUST00000378</t>
  </si>
  <si>
    <t>aliyaahmed56@gmail.com</t>
  </si>
  <si>
    <t>CUST00000379</t>
  </si>
  <si>
    <t>kavyanair638@yahoo.com</t>
  </si>
  <si>
    <t>CUST00000380</t>
  </si>
  <si>
    <t>preetiverma@gmail.com</t>
  </si>
  <si>
    <t>CUST00000381</t>
  </si>
  <si>
    <t>Swati Patel</t>
  </si>
  <si>
    <t>swatipatel563@gmail.com</t>
  </si>
  <si>
    <t>CUST00000382</t>
  </si>
  <si>
    <t>vikasmehta@yahoo.com</t>
  </si>
  <si>
    <t>CUST00000383</t>
  </si>
  <si>
    <t>CUST00000384</t>
  </si>
  <si>
    <t>Salman Sheikh</t>
  </si>
  <si>
    <t>salmansheikh997@outlook.com</t>
  </si>
  <si>
    <t>CUST00000385</t>
  </si>
  <si>
    <t>Ananya Kumar</t>
  </si>
  <si>
    <t>ananyakumar@gmail.com</t>
  </si>
  <si>
    <t>CUST00000386</t>
  </si>
  <si>
    <t>Rajesh Nair</t>
  </si>
  <si>
    <t>rajeshnair@yahoo.com</t>
  </si>
  <si>
    <t>CUST00000387</t>
  </si>
  <si>
    <t>Abhishek Kulkarni</t>
  </si>
  <si>
    <t>abhishekkulkarni566@yahoo.com</t>
  </si>
  <si>
    <t>CUST00000388</t>
  </si>
  <si>
    <t>Kuldeep Sandhu</t>
  </si>
  <si>
    <t>kuldeepsandhu862@gmail.com</t>
  </si>
  <si>
    <t>CUST00000389</t>
  </si>
  <si>
    <t>rajeshjoshi121@outlook.com</t>
  </si>
  <si>
    <t>CUST00000390</t>
  </si>
  <si>
    <t>Amit Yadav</t>
  </si>
  <si>
    <t>amityadav@yahoo.com</t>
  </si>
  <si>
    <t>CUST00000391</t>
  </si>
  <si>
    <t>sureshverma@yahoo.com</t>
  </si>
  <si>
    <t>CUST00000392</t>
  </si>
  <si>
    <t>Rohan Nair</t>
  </si>
  <si>
    <t>rohannair280@yahoo.com</t>
  </si>
  <si>
    <t>CUST00000393</t>
  </si>
  <si>
    <t>Vikas Yadav</t>
  </si>
  <si>
    <t>vikasyadav@yahoo.com</t>
  </si>
  <si>
    <t>CUST00000394</t>
  </si>
  <si>
    <t>Aamir Sheikh</t>
  </si>
  <si>
    <t>aamirsheikh565@gmail.com</t>
  </si>
  <si>
    <t>CUST00000395</t>
  </si>
  <si>
    <t>Tariq Sheikh</t>
  </si>
  <si>
    <t>tariqsheikh944@outlook.com</t>
  </si>
  <si>
    <t>CUST00000396</t>
  </si>
  <si>
    <t>arjunnair901@gmail.com</t>
  </si>
  <si>
    <t>CUST00000397</t>
  </si>
  <si>
    <t>jasleendhillon@yahoo.com</t>
  </si>
  <si>
    <t>CUST00000398</t>
  </si>
  <si>
    <t>Hina Sheikh</t>
  </si>
  <si>
    <t>hinasheikh@yahoo.com</t>
  </si>
  <si>
    <t>CUST00000399</t>
  </si>
  <si>
    <t>rahulpatel807@outlook.com</t>
  </si>
  <si>
    <t>CUST00000400</t>
  </si>
  <si>
    <t>Nisha Gupta</t>
  </si>
  <si>
    <t>nishagupta3@yahoo.com</t>
  </si>
  <si>
    <t>CUST00000401</t>
  </si>
  <si>
    <t>arjunnair@outlook.com</t>
  </si>
  <si>
    <t>CUST00000402</t>
  </si>
  <si>
    <t>Ananya Yadav</t>
  </si>
  <si>
    <t>ananyayadav676@yahoo.com</t>
  </si>
  <si>
    <t>CUST00000403</t>
  </si>
  <si>
    <t>Raj Tiwari</t>
  </si>
  <si>
    <t>rajtiwari@yahoo.com</t>
  </si>
  <si>
    <t>CUST00000404</t>
  </si>
  <si>
    <t>Raj Yadav</t>
  </si>
  <si>
    <t>rajyadav354@yahoo.com</t>
  </si>
  <si>
    <t>CUST00000405</t>
  </si>
  <si>
    <t>Neha Joshi</t>
  </si>
  <si>
    <t>nehajoshi557@yahoo.com</t>
  </si>
  <si>
    <t>CUST00000406</t>
  </si>
  <si>
    <t>Nisha Patel</t>
  </si>
  <si>
    <t>nishapatel330@gmail.com</t>
  </si>
  <si>
    <t>CUST00000407</t>
  </si>
  <si>
    <t>harshjoshi@gmail.com</t>
  </si>
  <si>
    <t>CUST00000408</t>
  </si>
  <si>
    <t>Neha Kumar</t>
  </si>
  <si>
    <t>nehakumar240@yahoo.com</t>
  </si>
  <si>
    <t>CUST00000409</t>
  </si>
  <si>
    <t>shreyaverma763@yahoo.com</t>
  </si>
  <si>
    <t>CUST00000410</t>
  </si>
  <si>
    <t>Rashid Khan</t>
  </si>
  <si>
    <t>rashidkhan@yahoo.com</t>
  </si>
  <si>
    <t>CUST00000411</t>
  </si>
  <si>
    <t>meghakulkarni680@outlook.com</t>
  </si>
  <si>
    <t>CUST00000412</t>
  </si>
  <si>
    <t>Amit Agarwal</t>
  </si>
  <si>
    <t>amitagarwal@yahoo.com</t>
  </si>
  <si>
    <t>CUST00000413</t>
  </si>
  <si>
    <t>Amit Shah</t>
  </si>
  <si>
    <t>amitshah@gmail.com</t>
  </si>
  <si>
    <t>CUST00000414</t>
  </si>
  <si>
    <t>Priya Shah</t>
  </si>
  <si>
    <t>priyashah605@yahoo.com</t>
  </si>
  <si>
    <t>CUST00000415</t>
  </si>
  <si>
    <t>harshyadav@yahoo.com</t>
  </si>
  <si>
    <t>CUST00000416</t>
  </si>
  <si>
    <t>Nisha Sharma</t>
  </si>
  <si>
    <t>nishasharma933@yahoo.com</t>
  </si>
  <si>
    <t>CUST00000417</t>
  </si>
  <si>
    <t>ananyasharma148@yahoo.com</t>
  </si>
  <si>
    <t>CUST00000418</t>
  </si>
  <si>
    <t>karanmishra@gmail.com</t>
  </si>
  <si>
    <t>CUST00000419</t>
  </si>
  <si>
    <t>vikasverma801@yahoo.com</t>
  </si>
  <si>
    <t>CUST00000420</t>
  </si>
  <si>
    <t>Simran Kaur</t>
  </si>
  <si>
    <t>simrankaur710@yahoo.com</t>
  </si>
  <si>
    <t>CUST00000421</t>
  </si>
  <si>
    <t>Aliya Khan</t>
  </si>
  <si>
    <t>aliyakhan@yahoo.com</t>
  </si>
  <si>
    <t>CUST00000422</t>
  </si>
  <si>
    <t>Jaspreet Gill</t>
  </si>
  <si>
    <t>jaspreetgill@outlook.com</t>
  </si>
  <si>
    <t>CUST00000423</t>
  </si>
  <si>
    <t>shreyajoshi325@outlook.com</t>
  </si>
  <si>
    <t>CUST00000424</t>
  </si>
  <si>
    <t>Abhishek Pandey</t>
  </si>
  <si>
    <t>abhishekpandey@yahoo.com</t>
  </si>
  <si>
    <t>CUST00000425</t>
  </si>
  <si>
    <t>Sana Malik</t>
  </si>
  <si>
    <t>sanamalik@gmail.com</t>
  </si>
  <si>
    <t>CUST00000426</t>
  </si>
  <si>
    <t>Neha Gupta</t>
  </si>
  <si>
    <t>nehagupta@gmail.com</t>
  </si>
  <si>
    <t>CUST00000427</t>
  </si>
  <si>
    <t>Aisha Mirza</t>
  </si>
  <si>
    <t>aishamirza@yahoo.com</t>
  </si>
  <si>
    <t>CUST00000428</t>
  </si>
  <si>
    <t>Kavya Kulkarni</t>
  </si>
  <si>
    <t>kavyakulkarni@outlook.com</t>
  </si>
  <si>
    <t>CUST00000429</t>
  </si>
  <si>
    <t>Rajesh Mishra</t>
  </si>
  <si>
    <t>rajeshmishra101@outlook.com</t>
  </si>
  <si>
    <t>CUST00000430</t>
  </si>
  <si>
    <t>harshkumar@gmail.com</t>
  </si>
  <si>
    <t>CUST00000431</t>
  </si>
  <si>
    <t>Rajesh Kulkarni</t>
  </si>
  <si>
    <t>rajeshkulkarni711@yahoo.com</t>
  </si>
  <si>
    <t>CUST00000432</t>
  </si>
  <si>
    <t>CUST00000433</t>
  </si>
  <si>
    <t>Anjali Patel</t>
  </si>
  <si>
    <t>anjalipatel58@yahoo.com</t>
  </si>
  <si>
    <t>CUST00000434</t>
  </si>
  <si>
    <t>preetiyadav442@gmail.com</t>
  </si>
  <si>
    <t>CUST00000435</t>
  </si>
  <si>
    <t>Aadhya Singh</t>
  </si>
  <si>
    <t>aadhyasingh422@outlook.com</t>
  </si>
  <si>
    <t>CUST00000436</t>
  </si>
  <si>
    <t>meghakulkarni@gmail.com</t>
  </si>
  <si>
    <t>CUST00000437</t>
  </si>
  <si>
    <t>Zara Sheikh</t>
  </si>
  <si>
    <t>zarasheikh81@outlook.com</t>
  </si>
  <si>
    <t>CUST00000438</t>
  </si>
  <si>
    <t>nehaverma@outlook.com</t>
  </si>
  <si>
    <t>CUST00000439</t>
  </si>
  <si>
    <t>Riya Joshi</t>
  </si>
  <si>
    <t>riyajoshi@yahoo.com</t>
  </si>
  <si>
    <t>CUST00000440</t>
  </si>
  <si>
    <t>Rajesh Patel</t>
  </si>
  <si>
    <t>rajeshpatel@gmail.com</t>
  </si>
  <si>
    <t>CUST00000441</t>
  </si>
  <si>
    <t>poojayadav654@yahoo.com</t>
  </si>
  <si>
    <t>CUST00000442</t>
  </si>
  <si>
    <t>Divya Kumar</t>
  </si>
  <si>
    <t>divyakumar683@gmail.com</t>
  </si>
  <si>
    <t>CUST00000443</t>
  </si>
  <si>
    <t>Saif Ahmed</t>
  </si>
  <si>
    <t>saifahmed@yahoo.com</t>
  </si>
  <si>
    <t>CUST00000444</t>
  </si>
  <si>
    <t>Amit Mishra</t>
  </si>
  <si>
    <t>amitmishra@outlook.com</t>
  </si>
  <si>
    <t>CUST00000445</t>
  </si>
  <si>
    <t>nishayadav76@yahoo.com</t>
  </si>
  <si>
    <t>CUST00000446</t>
  </si>
  <si>
    <t>Aditya Joshi</t>
  </si>
  <si>
    <t>adityajoshi@outlook.com</t>
  </si>
  <si>
    <t>CUST00000447</t>
  </si>
  <si>
    <t>Aditya Patel</t>
  </si>
  <si>
    <t>adityapatel986@yahoo.com</t>
  </si>
  <si>
    <t>CUST00000448</t>
  </si>
  <si>
    <t>aaravreddy@yahoo.com</t>
  </si>
  <si>
    <t>CUST00000449</t>
  </si>
  <si>
    <t>swatiyadav@gmail.com</t>
  </si>
  <si>
    <t>CUST00000450</t>
  </si>
  <si>
    <t>priyatiwari@yahoo.com</t>
  </si>
  <si>
    <t>CUST00000451</t>
  </si>
  <si>
    <t>nikhilpandey391@outlook.com</t>
  </si>
  <si>
    <t>CUST00000452</t>
  </si>
  <si>
    <t>Omar Sheikh</t>
  </si>
  <si>
    <t>omarsheikh303@outlook.com</t>
  </si>
  <si>
    <t>CUST00000453</t>
  </si>
  <si>
    <t>Aadhya Agarwal</t>
  </si>
  <si>
    <t>aadhyaagarwal850@outlook.com</t>
  </si>
  <si>
    <t>CUST00000454</t>
  </si>
  <si>
    <t>rajeshsingh9@outlook.com</t>
  </si>
  <si>
    <t>CUST00000455</t>
  </si>
  <si>
    <t>Farah Siddiqui</t>
  </si>
  <si>
    <t>farahsiddiqui@outlook.com</t>
  </si>
  <si>
    <t>CUST00000456</t>
  </si>
  <si>
    <t>Abhishek Tiwari</t>
  </si>
  <si>
    <t>abhishektiwari@outlook.com</t>
  </si>
  <si>
    <t>CUST00000457</t>
  </si>
  <si>
    <t>Rahul Sharma</t>
  </si>
  <si>
    <t>rahulsharma@yahoo.com</t>
  </si>
  <si>
    <t>CUST00000458</t>
  </si>
  <si>
    <t>poojasingh@gmail.com</t>
  </si>
  <si>
    <t>CUST00000459</t>
  </si>
  <si>
    <t>Harsh Pandey</t>
  </si>
  <si>
    <t>harshpandey@yahoo.com</t>
  </si>
  <si>
    <t>CUST00000460</t>
  </si>
  <si>
    <t>Abhishek Agarwal</t>
  </si>
  <si>
    <t>abhishekagarwal195@outlook.com</t>
  </si>
  <si>
    <t>CUST00000461</t>
  </si>
  <si>
    <t>abhishekjoshi774@outlook.com</t>
  </si>
  <si>
    <t>CUST00000462</t>
  </si>
  <si>
    <t>sureshkulkarni@outlook.com</t>
  </si>
  <si>
    <t>CUST00000463</t>
  </si>
  <si>
    <t>Neha Mishra</t>
  </si>
  <si>
    <t>nehamishra@outlook.com</t>
  </si>
  <si>
    <t>CUST00000464</t>
  </si>
  <si>
    <t>Anjali Reddy</t>
  </si>
  <si>
    <t>anjalireddy643@outlook.com</t>
  </si>
  <si>
    <t>CUST00000465</t>
  </si>
  <si>
    <t>amandeepdhillon808@yahoo.com</t>
  </si>
  <si>
    <t>CUST00000466</t>
  </si>
  <si>
    <t>akashyadav374@outlook.com</t>
  </si>
  <si>
    <t>CUST00000467</t>
  </si>
  <si>
    <t>Suresh Mehta</t>
  </si>
  <si>
    <t>sureshmehta932@yahoo.com</t>
  </si>
  <si>
    <t>CUST00000468</t>
  </si>
  <si>
    <t>Aadhya Reddy</t>
  </si>
  <si>
    <t>aadhyareddy426@gmail.com</t>
  </si>
  <si>
    <t>CUST00000469</t>
  </si>
  <si>
    <t>Arif Pathan</t>
  </si>
  <si>
    <t>arifpathan806@outlook.com</t>
  </si>
  <si>
    <t>CUST00000470</t>
  </si>
  <si>
    <t>Fatima Khan</t>
  </si>
  <si>
    <t>fatimakhan@yahoo.com</t>
  </si>
  <si>
    <t>CUST00000471</t>
  </si>
  <si>
    <t>Megha Iyer</t>
  </si>
  <si>
    <t>meghaiyer936@yahoo.com</t>
  </si>
  <si>
    <t>CUST00000472</t>
  </si>
  <si>
    <t>Megha Verma</t>
  </si>
  <si>
    <t>meghaverma@yahoo.com</t>
  </si>
  <si>
    <t>CUST00000473</t>
  </si>
  <si>
    <t>harleensingh@yahoo.com</t>
  </si>
  <si>
    <t>CUST00000474</t>
  </si>
  <si>
    <t>Swati Shah</t>
  </si>
  <si>
    <t>swatishah@yahoo.com</t>
  </si>
  <si>
    <t>CUST00000475</t>
  </si>
  <si>
    <t>Karan Agarwal</t>
  </si>
  <si>
    <t>karanagarwal@yahoo.com</t>
  </si>
  <si>
    <t>CUST00000476</t>
  </si>
  <si>
    <t>salmansheikh@yahoo.com</t>
  </si>
  <si>
    <t>CUST00000477</t>
  </si>
  <si>
    <t>Ananya Kulkarni</t>
  </si>
  <si>
    <t>ananyakulkarni@gmail.com</t>
  </si>
  <si>
    <t>CUST00000478</t>
  </si>
  <si>
    <t>Ali Khan</t>
  </si>
  <si>
    <t>alikhan@gmail.com</t>
  </si>
  <si>
    <t>CUST00000479</t>
  </si>
  <si>
    <t>Simran Yadav</t>
  </si>
  <si>
    <t>simranyadav@outlook.com</t>
  </si>
  <si>
    <t>CUST00000480</t>
  </si>
  <si>
    <t>simranyadav@yahoo.com</t>
  </si>
  <si>
    <t>CUST00000481</t>
  </si>
  <si>
    <t>Swati Sharma</t>
  </si>
  <si>
    <t>swatisharma@outlook.com</t>
  </si>
  <si>
    <t>CUST00000482</t>
  </si>
  <si>
    <t>arjunpandey810@yahoo.com</t>
  </si>
  <si>
    <t>CUST00000483</t>
  </si>
  <si>
    <t>arjunreddy550@gmail.com</t>
  </si>
  <si>
    <t>CUST00000484</t>
  </si>
  <si>
    <t>ananyatiwari689@outlook.com</t>
  </si>
  <si>
    <t>CUST00000485</t>
  </si>
  <si>
    <t>Raj Iyer</t>
  </si>
  <si>
    <t>rajiyer@outlook.com</t>
  </si>
  <si>
    <t>CUST00000486</t>
  </si>
  <si>
    <t>hinarahman654@yahoo.com</t>
  </si>
  <si>
    <t>CUST00000487</t>
  </si>
  <si>
    <t>Aditya Iyer</t>
  </si>
  <si>
    <t>adityaiyer240@yahoo.com</t>
  </si>
  <si>
    <t>CUST00000488</t>
  </si>
  <si>
    <t>nehayadav906@outlook.com</t>
  </si>
  <si>
    <t>CUST00000489</t>
  </si>
  <si>
    <t>Amit Tiwari</t>
  </si>
  <si>
    <t>amittiwari625@gmail.com</t>
  </si>
  <si>
    <t>CUST00000490</t>
  </si>
  <si>
    <t>Suresh Mishra</t>
  </si>
  <si>
    <t>sureshmishra@outlook.com</t>
  </si>
  <si>
    <t>CUST00000491</t>
  </si>
  <si>
    <t>Farhan Ansari</t>
  </si>
  <si>
    <t>farhanansari@outlook.com</t>
  </si>
  <si>
    <t>CUST00000492</t>
  </si>
  <si>
    <t>Hassan Ali</t>
  </si>
  <si>
    <t>hassanali419@gmail.com</t>
  </si>
  <si>
    <t>CUST00000493</t>
  </si>
  <si>
    <t>yashverma969@gmail.com</t>
  </si>
  <si>
    <t>CUST00000494</t>
  </si>
  <si>
    <t>Pooja Tiwari</t>
  </si>
  <si>
    <t>poojatiwari505@gmail.com</t>
  </si>
  <si>
    <t>CUST00000495</t>
  </si>
  <si>
    <t>arjunreddy909@outlook.com</t>
  </si>
  <si>
    <t>CUST00000496</t>
  </si>
  <si>
    <t>meghakulkarni465@yahoo.com</t>
  </si>
  <si>
    <t>CUST00000497</t>
  </si>
  <si>
    <t>rohanagarwal@outlook.com</t>
  </si>
  <si>
    <t>CUST00000498</t>
  </si>
  <si>
    <t>Anjali Joshi</t>
  </si>
  <si>
    <t>anjalijoshi@outlook.com</t>
  </si>
  <si>
    <t>CUST00000499</t>
  </si>
  <si>
    <t>gauravmehta761@outlook.com</t>
  </si>
  <si>
    <t>CUST00000500</t>
  </si>
  <si>
    <t>nehakumar425@outlook.com</t>
  </si>
  <si>
    <t>CUST00000501</t>
  </si>
  <si>
    <t>aadhyapandey502@outlook.com</t>
  </si>
  <si>
    <t>CUST00000502</t>
  </si>
  <si>
    <t>Preeti Mishra</t>
  </si>
  <si>
    <t>preetimishra975@yahoo.com</t>
  </si>
  <si>
    <t>CUST00000503</t>
  </si>
  <si>
    <t>poojashah380@gmail.com</t>
  </si>
  <si>
    <t>CUST00000504</t>
  </si>
  <si>
    <t>Saif Pathan</t>
  </si>
  <si>
    <t>saifpathan974@gmail.com</t>
  </si>
  <si>
    <t>CUST00000505</t>
  </si>
  <si>
    <t>Nikhil Reddy</t>
  </si>
  <si>
    <t>nikhilreddy@gmail.com</t>
  </si>
  <si>
    <t>CUST00000506</t>
  </si>
  <si>
    <t>CUST00000507</t>
  </si>
  <si>
    <t>Priya Kumar</t>
  </si>
  <si>
    <t>priyakumar661@yahoo.com</t>
  </si>
  <si>
    <t>CUST00000508</t>
  </si>
  <si>
    <t>shreyakulkarni283@gmail.com</t>
  </si>
  <si>
    <t>CUST00000509</t>
  </si>
  <si>
    <t>Fatima Malik</t>
  </si>
  <si>
    <t>fatimamalik@yahoo.com</t>
  </si>
  <si>
    <t>CUST00000510</t>
  </si>
  <si>
    <t>gauravpatel218@outlook.com</t>
  </si>
  <si>
    <t>CUST00000511</t>
  </si>
  <si>
    <t>farhanansari@gmail.com</t>
  </si>
  <si>
    <t>CUST00000512</t>
  </si>
  <si>
    <t>poojayadav342@gmail.com</t>
  </si>
  <si>
    <t>CUST00000513</t>
  </si>
  <si>
    <t>sureshmehta@outlook.com</t>
  </si>
  <si>
    <t>CUST00000514</t>
  </si>
  <si>
    <t>adityapatel850@outlook.com</t>
  </si>
  <si>
    <t>CUST00000515</t>
  </si>
  <si>
    <t>priyamehta222@gmail.com</t>
  </si>
  <si>
    <t>CUST00000516</t>
  </si>
  <si>
    <t>karannair152@outlook.com</t>
  </si>
  <si>
    <t>CUST00000517</t>
  </si>
  <si>
    <t>Nisha Tiwari</t>
  </si>
  <si>
    <t>nishatiwari880@gmail.com</t>
  </si>
  <si>
    <t>CUST00000518</t>
  </si>
  <si>
    <t>Riya Mehta</t>
  </si>
  <si>
    <t>riyamehta@outlook.com</t>
  </si>
  <si>
    <t>CUST00000519</t>
  </si>
  <si>
    <t>tariqsheikh179@gmail.com</t>
  </si>
  <si>
    <t>CUST00000520</t>
  </si>
  <si>
    <t>CUST00000521</t>
  </si>
  <si>
    <t>amitshah367@gmail.com</t>
  </si>
  <si>
    <t>CUST00000522</t>
  </si>
  <si>
    <t>Gaurav Verma</t>
  </si>
  <si>
    <t>gauravverma17@gmail.com</t>
  </si>
  <si>
    <t>CUST00000523</t>
  </si>
  <si>
    <t>Kavya Reddy</t>
  </si>
  <si>
    <t>kavyareddy130@outlook.com</t>
  </si>
  <si>
    <t>CUST00000524</t>
  </si>
  <si>
    <t>aishasiddiqui117@outlook.com</t>
  </si>
  <si>
    <t>CUST00000525</t>
  </si>
  <si>
    <t>priyagupta460@yahoo.com</t>
  </si>
  <si>
    <t>CUST00000526</t>
  </si>
  <si>
    <t>ananyagupta112@yahoo.com</t>
  </si>
  <si>
    <t>CUST00000527</t>
  </si>
  <si>
    <t>Simran Reddy</t>
  </si>
  <si>
    <t>simranreddy969@outlook.com</t>
  </si>
  <si>
    <t>CUST00000528</t>
  </si>
  <si>
    <t>nehasingh803@outlook.com</t>
  </si>
  <si>
    <t>CUST00000529</t>
  </si>
  <si>
    <t>Akash Iyer</t>
  </si>
  <si>
    <t>akashiyer470@outlook.com</t>
  </si>
  <si>
    <t>CUST00000530</t>
  </si>
  <si>
    <t>Shreya Iyer</t>
  </si>
  <si>
    <t>shreyaiyer@gmail.com</t>
  </si>
  <si>
    <t>CUST00000531</t>
  </si>
  <si>
    <t>nishareddy@yahoo.com</t>
  </si>
  <si>
    <t>CUST00000532</t>
  </si>
  <si>
    <t>Aliya Ali</t>
  </si>
  <si>
    <t>aliyaali111@yahoo.com</t>
  </si>
  <si>
    <t>CUST00000533</t>
  </si>
  <si>
    <t>Raj Pandey</t>
  </si>
  <si>
    <t>rajpandey@yahoo.com</t>
  </si>
  <si>
    <t>CUST00000534</t>
  </si>
  <si>
    <t>Pooja Gupta</t>
  </si>
  <si>
    <t>poojagupta83@yahoo.com</t>
  </si>
  <si>
    <t>CUST00000535</t>
  </si>
  <si>
    <t>Simran Sharma</t>
  </si>
  <si>
    <t>simransharma@gmail.com</t>
  </si>
  <si>
    <t>CUST00000536</t>
  </si>
  <si>
    <t>riyaverma640@outlook.com</t>
  </si>
  <si>
    <t>CUST00000537</t>
  </si>
  <si>
    <t>aadhyakulkarni730@yahoo.com</t>
  </si>
  <si>
    <t>CUST00000538</t>
  </si>
  <si>
    <t>Aditya Shah</t>
  </si>
  <si>
    <t>adityashah612@outlook.com</t>
  </si>
  <si>
    <t>CUST00000539</t>
  </si>
  <si>
    <t>rohankulkarni518@outlook.com</t>
  </si>
  <si>
    <t>CUST00000540</t>
  </si>
  <si>
    <t>Suresh Yadav</t>
  </si>
  <si>
    <t>sureshyadav813@outlook.com</t>
  </si>
  <si>
    <t>CUST00000541</t>
  </si>
  <si>
    <t>manpreetkaur671@outlook.com</t>
  </si>
  <si>
    <t>CUST00000542</t>
  </si>
  <si>
    <t>Nikhil Gupta</t>
  </si>
  <si>
    <t>nikhilgupta@outlook.com</t>
  </si>
  <si>
    <t>CUST00000543</t>
  </si>
  <si>
    <t>tariqpathan@gmail.com</t>
  </si>
  <si>
    <t>CUST00000544</t>
  </si>
  <si>
    <t>riyapatel910@gmail.com</t>
  </si>
  <si>
    <t>CUST00000545</t>
  </si>
  <si>
    <t>zaraansari848@yahoo.com</t>
  </si>
  <si>
    <t>CUST00000546</t>
  </si>
  <si>
    <t>adityapatel748@gmail.com</t>
  </si>
  <si>
    <t>CUST00000547</t>
  </si>
  <si>
    <t>ananyamehta321@outlook.com</t>
  </si>
  <si>
    <t>CUST00000548</t>
  </si>
  <si>
    <t>rashidsiddiqui977@gmail.com</t>
  </si>
  <si>
    <t>CUST00000549</t>
  </si>
  <si>
    <t>Harsh Sharma</t>
  </si>
  <si>
    <t>harshsharma@yahoo.com</t>
  </si>
  <si>
    <t>CUST00000550</t>
  </si>
  <si>
    <t>Megha Patel</t>
  </si>
  <si>
    <t>meghapatel852@gmail.com</t>
  </si>
  <si>
    <t>CUST00000551</t>
  </si>
  <si>
    <t>Harleen Dhillon</t>
  </si>
  <si>
    <t>harleendhillon99@outlook.com</t>
  </si>
  <si>
    <t>CUST00000552</t>
  </si>
  <si>
    <t>poojaverma@gmail.com</t>
  </si>
  <si>
    <t>CUST00000553</t>
  </si>
  <si>
    <t>rohanmishra601@outlook.com</t>
  </si>
  <si>
    <t>CUST00000554</t>
  </si>
  <si>
    <t>Nisha Mishra</t>
  </si>
  <si>
    <t>nishamishra687@gmail.com</t>
  </si>
  <si>
    <t>CUST00000555</t>
  </si>
  <si>
    <t>Ayesha Siddiqui</t>
  </si>
  <si>
    <t>ayeshasiddiqui895@outlook.com</t>
  </si>
  <si>
    <t>CUST00000556</t>
  </si>
  <si>
    <t>adityasingh@yahoo.com</t>
  </si>
  <si>
    <t>CUST00000557</t>
  </si>
  <si>
    <t>Zara Ahmed</t>
  </si>
  <si>
    <t>zaraahmed@outlook.com</t>
  </si>
  <si>
    <t>CUST00000558</t>
  </si>
  <si>
    <t>swatiyadav295@outlook.com</t>
  </si>
  <si>
    <t>CUST00000559</t>
  </si>
  <si>
    <t>harpreetgill107@outlook.com</t>
  </si>
  <si>
    <t>CUST00000560</t>
  </si>
  <si>
    <t>meghatiwari159@outlook.com</t>
  </si>
  <si>
    <t>CUST00000561</t>
  </si>
  <si>
    <t>nishasharma868@gmail.com</t>
  </si>
  <si>
    <t>CUST00000562</t>
  </si>
  <si>
    <t>Raj Nair</t>
  </si>
  <si>
    <t>rajnair570@yahoo.com</t>
  </si>
  <si>
    <t>CUST00000563</t>
  </si>
  <si>
    <t>nehakumar286@outlook.com</t>
  </si>
  <si>
    <t>CUST00000564</t>
  </si>
  <si>
    <t>Abhishek Singh</t>
  </si>
  <si>
    <t>abhisheksingh440@outlook.com</t>
  </si>
  <si>
    <t>CUST00000565</t>
  </si>
  <si>
    <t>Aisha Malik</t>
  </si>
  <si>
    <t>aishamalik@outlook.com</t>
  </si>
  <si>
    <t>CUST00000566</t>
  </si>
  <si>
    <t>Megha Joshi</t>
  </si>
  <si>
    <t>meghajoshi@outlook.com</t>
  </si>
  <si>
    <t>CUST00000567</t>
  </si>
  <si>
    <t>poojaverma624@outlook.com</t>
  </si>
  <si>
    <t>CUST00000568</t>
  </si>
  <si>
    <t>CUST00000569</t>
  </si>
  <si>
    <t>Vikas Singh</t>
  </si>
  <si>
    <t>vikassingh280@outlook.com</t>
  </si>
  <si>
    <t>CUST00000570</t>
  </si>
  <si>
    <t>Abhishek Mishra</t>
  </si>
  <si>
    <t>abhishekmishra@yahoo.com</t>
  </si>
  <si>
    <t>CUST00000571</t>
  </si>
  <si>
    <t>Gurleen Dhillon</t>
  </si>
  <si>
    <t>gurleendhillon186@gmail.com</t>
  </si>
  <si>
    <t>CUST00000572</t>
  </si>
  <si>
    <t>arjunnair411@gmail.com</t>
  </si>
  <si>
    <t>CUST00000573</t>
  </si>
  <si>
    <t>Rohan Verma</t>
  </si>
  <si>
    <t>rohanverma649@gmail.com</t>
  </si>
  <si>
    <t>CUST00000574</t>
  </si>
  <si>
    <t>Ananya Reddy</t>
  </si>
  <si>
    <t>ananyareddy544@gmail.com</t>
  </si>
  <si>
    <t>CUST00000575</t>
  </si>
  <si>
    <t>Hassan Siddiqui</t>
  </si>
  <si>
    <t>hassansiddiqui465@yahoo.com</t>
  </si>
  <si>
    <t>CUST00000576</t>
  </si>
  <si>
    <t>Swati Nair</t>
  </si>
  <si>
    <t>swatinair320@outlook.com</t>
  </si>
  <si>
    <t>CUST00000577</t>
  </si>
  <si>
    <t>Harpreet Singh</t>
  </si>
  <si>
    <t>harpreetsingh965@outlook.com</t>
  </si>
  <si>
    <t>CUST00000578</t>
  </si>
  <si>
    <t>swatisharma905@gmail.com</t>
  </si>
  <si>
    <t>CUST00000579</t>
  </si>
  <si>
    <t>Farah Ansari</t>
  </si>
  <si>
    <t>farahansari773@outlook.com</t>
  </si>
  <si>
    <t>CUST00000580</t>
  </si>
  <si>
    <t>Ahmed Pathan</t>
  </si>
  <si>
    <t>ahmedpathan84@yahoo.com</t>
  </si>
  <si>
    <t>CUST00000581</t>
  </si>
  <si>
    <t>fatimakhan435@yahoo.com</t>
  </si>
  <si>
    <t>CUST00000582</t>
  </si>
  <si>
    <t>Swati Singh</t>
  </si>
  <si>
    <t>swatisingh@yahoo.com</t>
  </si>
  <si>
    <t>CUST00000583</t>
  </si>
  <si>
    <t>Rahul Reddy</t>
  </si>
  <si>
    <t>rahulreddy774@outlook.com</t>
  </si>
  <si>
    <t>CUST00000584</t>
  </si>
  <si>
    <t>Suresh Sharma</t>
  </si>
  <si>
    <t>sureshsharma441@gmail.com</t>
  </si>
  <si>
    <t>CUST00000585</t>
  </si>
  <si>
    <t>priyanair695@outlook.com</t>
  </si>
  <si>
    <t>CUST00000586</t>
  </si>
  <si>
    <t>Gurpreet Brar</t>
  </si>
  <si>
    <t>gurpreetbrar684@yahoo.com</t>
  </si>
  <si>
    <t>CUST00000587</t>
  </si>
  <si>
    <t>Akash Joshi</t>
  </si>
  <si>
    <t>akashjoshi405@outlook.com</t>
  </si>
  <si>
    <t>CUST00000588</t>
  </si>
  <si>
    <t>Aamir Rahman</t>
  </si>
  <si>
    <t>aamirrahman210@yahoo.com</t>
  </si>
  <si>
    <t>CUST00000589</t>
  </si>
  <si>
    <t>riyareddy@gmail.com</t>
  </si>
  <si>
    <t>CUST00000590</t>
  </si>
  <si>
    <t>Preeti Iyer</t>
  </si>
  <si>
    <t>preetiiyer@yahoo.com</t>
  </si>
  <si>
    <t>CUST00000591</t>
  </si>
  <si>
    <t>harpreetsingh8@yahoo.com</t>
  </si>
  <si>
    <t>CUST00000592</t>
  </si>
  <si>
    <t>CUST00000593</t>
  </si>
  <si>
    <t>meghashah546@outlook.com</t>
  </si>
  <si>
    <t>CUST00000594</t>
  </si>
  <si>
    <t>Simran Kulkarni</t>
  </si>
  <si>
    <t>simrankulkarni573@outlook.com</t>
  </si>
  <si>
    <t>CUST00000595</t>
  </si>
  <si>
    <t>nishareddy@gmail.com</t>
  </si>
  <si>
    <t>CUST00000596</t>
  </si>
  <si>
    <t>Vishal Verma</t>
  </si>
  <si>
    <t>vishalverma760@gmail.com</t>
  </si>
  <si>
    <t>CUST00000597</t>
  </si>
  <si>
    <t>gauravreddy471@gmail.com</t>
  </si>
  <si>
    <t>CUST00000598</t>
  </si>
  <si>
    <t>rajtiwari@outlook.com</t>
  </si>
  <si>
    <t>CUST00000599</t>
  </si>
  <si>
    <t>abhishekpandey415@outlook.com</t>
  </si>
  <si>
    <t>CUST00000600</t>
  </si>
  <si>
    <t>Aadhya Patel</t>
  </si>
  <si>
    <t>aadhyapatel@yahoo.com</t>
  </si>
  <si>
    <t>CUST00000601</t>
  </si>
  <si>
    <t>Simran Joshi</t>
  </si>
  <si>
    <t>simranjoshi22@yahoo.com</t>
  </si>
  <si>
    <t>CUST00000602</t>
  </si>
  <si>
    <t>Zain Ahmed</t>
  </si>
  <si>
    <t>zainahmed971@outlook.com</t>
  </si>
  <si>
    <t>CUST00000603</t>
  </si>
  <si>
    <t>Pooja Reddy</t>
  </si>
  <si>
    <t>poojareddy707@yahoo.com</t>
  </si>
  <si>
    <t>CUST00000604</t>
  </si>
  <si>
    <t>simranpandey865@gmail.com</t>
  </si>
  <si>
    <t>CUST00000605</t>
  </si>
  <si>
    <t>Riya Agarwal</t>
  </si>
  <si>
    <t>riyaagarwal604@yahoo.com</t>
  </si>
  <si>
    <t>CUST00000606</t>
  </si>
  <si>
    <t>Swati Mishra</t>
  </si>
  <si>
    <t>swatimishra406@yahoo.com</t>
  </si>
  <si>
    <t>CUST00000607</t>
  </si>
  <si>
    <t>akashkulkarni@gmail.com</t>
  </si>
  <si>
    <t>CUST00000608</t>
  </si>
  <si>
    <t>rajeshmishra173@gmail.com</t>
  </si>
  <si>
    <t>CUST00000609</t>
  </si>
  <si>
    <t>Aarav Patel</t>
  </si>
  <si>
    <t>aaravpatel117@outlook.com</t>
  </si>
  <si>
    <t>CUST00000610</t>
  </si>
  <si>
    <t>vikaspandey928@yahoo.com</t>
  </si>
  <si>
    <t>CUST00000611</t>
  </si>
  <si>
    <t>poojayadav982@outlook.com</t>
  </si>
  <si>
    <t>CUST00000612</t>
  </si>
  <si>
    <t>Divya Sharma</t>
  </si>
  <si>
    <t>divyasharma@gmail.com</t>
  </si>
  <si>
    <t>CUST00000613</t>
  </si>
  <si>
    <t>aaravkumar263@gmail.com</t>
  </si>
  <si>
    <t>CUST00000614</t>
  </si>
  <si>
    <t>Anjali Verma</t>
  </si>
  <si>
    <t>anjaliverma157@outlook.com</t>
  </si>
  <si>
    <t>CUST00000615</t>
  </si>
  <si>
    <t>poojatiwari975@outlook.com</t>
  </si>
  <si>
    <t>CUST00000616</t>
  </si>
  <si>
    <t>adityashah773@outlook.com</t>
  </si>
  <si>
    <t>CUST00000617</t>
  </si>
  <si>
    <t>rohanmehta@yahoo.com</t>
  </si>
  <si>
    <t>CUST00000618</t>
  </si>
  <si>
    <t>Fatima Mirza</t>
  </si>
  <si>
    <t>fatimamirza@outlook.com</t>
  </si>
  <si>
    <t>CUST00000619</t>
  </si>
  <si>
    <t>Manpreet Gill</t>
  </si>
  <si>
    <t>manpreetgill@outlook.com</t>
  </si>
  <si>
    <t>CUST00000620</t>
  </si>
  <si>
    <t>Farhan Siddiqui</t>
  </si>
  <si>
    <t>farhansiddiqui995@outlook.com</t>
  </si>
  <si>
    <t>CUST00000621</t>
  </si>
  <si>
    <t>Saif Sheikh</t>
  </si>
  <si>
    <t>saifsheikh451@gmail.com</t>
  </si>
  <si>
    <t>CUST00000622</t>
  </si>
  <si>
    <t>Neha Mehta</t>
  </si>
  <si>
    <t>nehamehta647@yahoo.com</t>
  </si>
  <si>
    <t>CUST00000623</t>
  </si>
  <si>
    <t>saifansari@outlook.com</t>
  </si>
  <si>
    <t>CUST00000624</t>
  </si>
  <si>
    <t>divyajoshi520@gmail.com</t>
  </si>
  <si>
    <t>CUST00000625</t>
  </si>
  <si>
    <t>Megha Kumar</t>
  </si>
  <si>
    <t>meghakumar463@gmail.com</t>
  </si>
  <si>
    <t>CUST00000626</t>
  </si>
  <si>
    <t>gauravjoshi852@yahoo.com</t>
  </si>
  <si>
    <t>CUST00000627</t>
  </si>
  <si>
    <t>priyasingh885@gmail.com</t>
  </si>
  <si>
    <t>CUST00000628</t>
  </si>
  <si>
    <t>rohanverma@outlook.com</t>
  </si>
  <si>
    <t>CUST00000629</t>
  </si>
  <si>
    <t>gauravtiwari595@outlook.com</t>
  </si>
  <si>
    <t>CUST00000630</t>
  </si>
  <si>
    <t>swatipandey@outlook.com</t>
  </si>
  <si>
    <t>CUST00000631</t>
  </si>
  <si>
    <t>CUST00000632</t>
  </si>
  <si>
    <t>Swati Kumar</t>
  </si>
  <si>
    <t>swatikumar@outlook.com</t>
  </si>
  <si>
    <t>CUST00000633</t>
  </si>
  <si>
    <t>Aarav Kulkarni</t>
  </si>
  <si>
    <t>aaravkulkarni@yahoo.com</t>
  </si>
  <si>
    <t>CUST00000634</t>
  </si>
  <si>
    <t>akashagarwal@outlook.com</t>
  </si>
  <si>
    <t>CUST00000635</t>
  </si>
  <si>
    <t>swatisharma64@yahoo.com</t>
  </si>
  <si>
    <t>CUST00000636</t>
  </si>
  <si>
    <t>Neha Iyer</t>
  </si>
  <si>
    <t>nehaiyer921@yahoo.com</t>
  </si>
  <si>
    <t>CUST00000637</t>
  </si>
  <si>
    <t>amityadav@gmail.com</t>
  </si>
  <si>
    <t>CUST00000638</t>
  </si>
  <si>
    <t>farhanmirza177@gmail.com</t>
  </si>
  <si>
    <t>CUST00000639</t>
  </si>
  <si>
    <t>Harpreet Sandhu</t>
  </si>
  <si>
    <t>harpreetsandhu449@yahoo.com</t>
  </si>
  <si>
    <t>CUST00000640</t>
  </si>
  <si>
    <t>Priya Mishra</t>
  </si>
  <si>
    <t>priyamishra625@gmail.com</t>
  </si>
  <si>
    <t>CUST00000641</t>
  </si>
  <si>
    <t>Megha Mishra</t>
  </si>
  <si>
    <t>meghamishra940@yahoo.com</t>
  </si>
  <si>
    <t>CUST00000642</t>
  </si>
  <si>
    <t>Yash Mehta</t>
  </si>
  <si>
    <t>yashmehta794@yahoo.com</t>
  </si>
  <si>
    <t>CUST00000643</t>
  </si>
  <si>
    <t>Aisha Ansari</t>
  </si>
  <si>
    <t>aishaansari@gmail.com</t>
  </si>
  <si>
    <t>CUST00000644</t>
  </si>
  <si>
    <t>Hassan Khan</t>
  </si>
  <si>
    <t>hassankhan@outlook.com</t>
  </si>
  <si>
    <t>CUST00000645</t>
  </si>
  <si>
    <t>Pooja Kumar</t>
  </si>
  <si>
    <t>poojakumar338@gmail.com</t>
  </si>
  <si>
    <t>CUST00000646</t>
  </si>
  <si>
    <t>meghajoshi396@yahoo.com</t>
  </si>
  <si>
    <t>CUST00000647</t>
  </si>
  <si>
    <t>Mohammad Pathan</t>
  </si>
  <si>
    <t>mohammadpathan873@outlook.com</t>
  </si>
  <si>
    <t>CUST00000648</t>
  </si>
  <si>
    <t>shreyatiwari@outlook.com</t>
  </si>
  <si>
    <t>CUST00000649</t>
  </si>
  <si>
    <t>Shreya Kumar</t>
  </si>
  <si>
    <t>shreyakumar@yahoo.com</t>
  </si>
  <si>
    <t>CUST00000650</t>
  </si>
  <si>
    <t>Nisha Mehta</t>
  </si>
  <si>
    <t>nishamehta680@gmail.com</t>
  </si>
  <si>
    <t>CUST00000651</t>
  </si>
  <si>
    <t>simranpatel@yahoo.com</t>
  </si>
  <si>
    <t>CUST00000652</t>
  </si>
  <si>
    <t>Divya Mehta</t>
  </si>
  <si>
    <t>divyamehta@outlook.com</t>
  </si>
  <si>
    <t>CUST00000653</t>
  </si>
  <si>
    <t>Preeti Mehta</t>
  </si>
  <si>
    <t>preetimehta@gmail.com</t>
  </si>
  <si>
    <t>CUST00000654</t>
  </si>
  <si>
    <t>zarasheikh961@gmail.com</t>
  </si>
  <si>
    <t>CUST00000655</t>
  </si>
  <si>
    <t>Ananya Agarwal</t>
  </si>
  <si>
    <t>ananyaagarwal386@outlook.com</t>
  </si>
  <si>
    <t>CUST00000656</t>
  </si>
  <si>
    <t>ananyasharma@gmail.com</t>
  </si>
  <si>
    <t>CUST00000657</t>
  </si>
  <si>
    <t>ayeshapathan@outlook.com</t>
  </si>
  <si>
    <t>CUST00000658</t>
  </si>
  <si>
    <t>preetiiyer@outlook.com</t>
  </si>
  <si>
    <t>CUST00000659</t>
  </si>
  <si>
    <t>aminapathan687@yahoo.com</t>
  </si>
  <si>
    <t>CUST00000660</t>
  </si>
  <si>
    <t>Rahul Kulkarni</t>
  </si>
  <si>
    <t>rahulkulkarni19@yahoo.com</t>
  </si>
  <si>
    <t>CUST00000661</t>
  </si>
  <si>
    <t>Rahul Nair</t>
  </si>
  <si>
    <t>rahulnair974@gmail.com</t>
  </si>
  <si>
    <t>CUST00000662</t>
  </si>
  <si>
    <t>rajeshshah785@yahoo.com</t>
  </si>
  <si>
    <t>CUST00000663</t>
  </si>
  <si>
    <t>rohanmehta141@gmail.com</t>
  </si>
  <si>
    <t>CUST00000664</t>
  </si>
  <si>
    <t>simransharma865@gmail.com</t>
  </si>
  <si>
    <t>CUST00000665</t>
  </si>
  <si>
    <t>Aditya Agarwal</t>
  </si>
  <si>
    <t>adityaagarwal553@outlook.com</t>
  </si>
  <si>
    <t>CUST00000666</t>
  </si>
  <si>
    <t>aadhyanair@gmail.com</t>
  </si>
  <si>
    <t>CUST00000667</t>
  </si>
  <si>
    <t>riyaverma@outlook.com</t>
  </si>
  <si>
    <t>CUST00000668</t>
  </si>
  <si>
    <t>Rahul Verma</t>
  </si>
  <si>
    <t>rahulverma386@gmail.com</t>
  </si>
  <si>
    <t>CUST00000669</t>
  </si>
  <si>
    <t>Aditya Mehta</t>
  </si>
  <si>
    <t>adityamehta852@outlook.com</t>
  </si>
  <si>
    <t>CUST00000670</t>
  </si>
  <si>
    <t>CUST00000671</t>
  </si>
  <si>
    <t>preetireddy@gmail.com</t>
  </si>
  <si>
    <t>CUST00000672</t>
  </si>
  <si>
    <t>nikhilpatel693@outlook.com</t>
  </si>
  <si>
    <t>CUST00000673</t>
  </si>
  <si>
    <t>gauravjoshi455@outlook.com</t>
  </si>
  <si>
    <t>CUST00000674</t>
  </si>
  <si>
    <t>Sana Sheikh</t>
  </si>
  <si>
    <t>sanasheikh767@yahoo.com</t>
  </si>
  <si>
    <t>CUST00000675</t>
  </si>
  <si>
    <t>Divya Yadav</t>
  </si>
  <si>
    <t>divyayadav245@yahoo.com</t>
  </si>
  <si>
    <t>CUST00000676</t>
  </si>
  <si>
    <t>Zara Pathan</t>
  </si>
  <si>
    <t>zarapathan@yahoo.com</t>
  </si>
  <si>
    <t>CUST00000677</t>
  </si>
  <si>
    <t>Harleen Brar</t>
  </si>
  <si>
    <t>harleenbrar@gmail.com</t>
  </si>
  <si>
    <t>CUST00000678</t>
  </si>
  <si>
    <t>meghapatel970@outlook.com</t>
  </si>
  <si>
    <t>CUST00000679</t>
  </si>
  <si>
    <t>saifsheikh@yahoo.com</t>
  </si>
  <si>
    <t>CUST00000680</t>
  </si>
  <si>
    <t>hassanmalik@yahoo.com</t>
  </si>
  <si>
    <t>CUST00000681</t>
  </si>
  <si>
    <t>aishaansari429@gmail.com</t>
  </si>
  <si>
    <t>CUST00000682</t>
  </si>
  <si>
    <t>Jasleen Kaur</t>
  </si>
  <si>
    <t>jasleenkaur@outlook.com</t>
  </si>
  <si>
    <t>CUST00000683</t>
  </si>
  <si>
    <t>Nisha Shah</t>
  </si>
  <si>
    <t>nishashah257@gmail.com</t>
  </si>
  <si>
    <t>CUST00000684</t>
  </si>
  <si>
    <t>Raj Shah</t>
  </si>
  <si>
    <t>rajshah@yahoo.com</t>
  </si>
  <si>
    <t>CUST00000685</t>
  </si>
  <si>
    <t>Megha Reddy</t>
  </si>
  <si>
    <t>meghareddy106@outlook.com</t>
  </si>
  <si>
    <t>CUST00000686</t>
  </si>
  <si>
    <t>CUST00000687</t>
  </si>
  <si>
    <t>Ali Ali</t>
  </si>
  <si>
    <t>aliali782@gmail.com</t>
  </si>
  <si>
    <t>CUST00000688</t>
  </si>
  <si>
    <t>Imran Siddiqui</t>
  </si>
  <si>
    <t>imransiddiqui928@outlook.com</t>
  </si>
  <si>
    <t>CUST00000689</t>
  </si>
  <si>
    <t>rajsingh448@gmail.com</t>
  </si>
  <si>
    <t>CUST00000690</t>
  </si>
  <si>
    <t>Kavya Singh</t>
  </si>
  <si>
    <t>kavyasingh@gmail.com</t>
  </si>
  <si>
    <t>CUST00000691</t>
  </si>
  <si>
    <t>meghashah@yahoo.com</t>
  </si>
  <si>
    <t>CUST00000692</t>
  </si>
  <si>
    <t>CUST00000693</t>
  </si>
  <si>
    <t>yashverma515@yahoo.com</t>
  </si>
  <si>
    <t>CUST00000694</t>
  </si>
  <si>
    <t>Anjali Singh</t>
  </si>
  <si>
    <t>anjalisingh84@yahoo.com</t>
  </si>
  <si>
    <t>CUST00000695</t>
  </si>
  <si>
    <t>rohanverma327@gmail.com</t>
  </si>
  <si>
    <t>CUST00000696</t>
  </si>
  <si>
    <t>Pooja Patel</t>
  </si>
  <si>
    <t>poojapatel@outlook.com</t>
  </si>
  <si>
    <t>CUST00000697</t>
  </si>
  <si>
    <t>Karan Gupta</t>
  </si>
  <si>
    <t>karangupta150@gmail.com</t>
  </si>
  <si>
    <t>CUST00000698</t>
  </si>
  <si>
    <t>Rajesh Agarwal</t>
  </si>
  <si>
    <t>rajeshagarwal940@yahoo.com</t>
  </si>
  <si>
    <t>CUST00000699</t>
  </si>
  <si>
    <t>zaraansari@gmail.com</t>
  </si>
  <si>
    <t>CUST00000700</t>
  </si>
  <si>
    <t>priyapandey@yahoo.com</t>
  </si>
  <si>
    <t>CUST00000701</t>
  </si>
  <si>
    <t>Pooja Sharma</t>
  </si>
  <si>
    <t>poojasharma6@gmail.com</t>
  </si>
  <si>
    <t>CUST00000702</t>
  </si>
  <si>
    <t>Ananya Shah</t>
  </si>
  <si>
    <t>ananyashah221@gmail.com</t>
  </si>
  <si>
    <t>CUST00000703</t>
  </si>
  <si>
    <t>Anjali Agarwal</t>
  </si>
  <si>
    <t>anjaliagarwal745@outlook.com</t>
  </si>
  <si>
    <t>CUST00000704</t>
  </si>
  <si>
    <t>Riya Nair</t>
  </si>
  <si>
    <t>riyanair114@yahoo.com</t>
  </si>
  <si>
    <t>CUST00000705</t>
  </si>
  <si>
    <t>tariqali125@gmail.com</t>
  </si>
  <si>
    <t>CUST00000706</t>
  </si>
  <si>
    <t>vishalverma655@outlook.com</t>
  </si>
  <si>
    <t>CUST00000707</t>
  </si>
  <si>
    <t>divyayadav114@yahoo.com</t>
  </si>
  <si>
    <t>CUST00000708</t>
  </si>
  <si>
    <t>aaravreddy17@outlook.com</t>
  </si>
  <si>
    <t>CUST00000709</t>
  </si>
  <si>
    <t>preetipatel248@outlook.com</t>
  </si>
  <si>
    <t>CUST00000710</t>
  </si>
  <si>
    <t>Akash Gupta</t>
  </si>
  <si>
    <t>akashgupta440@gmail.com</t>
  </si>
  <si>
    <t>CUST00000711</t>
  </si>
  <si>
    <t>Arjun Tiwari</t>
  </si>
  <si>
    <t>arjuntiwari@gmail.com</t>
  </si>
  <si>
    <t>CUST00000712</t>
  </si>
  <si>
    <t>fatimamalik192@outlook.com</t>
  </si>
  <si>
    <t>CUST00000713</t>
  </si>
  <si>
    <t>Ayesha Ali</t>
  </si>
  <si>
    <t>ayeshaali@outlook.com</t>
  </si>
  <si>
    <t>CUST00000714</t>
  </si>
  <si>
    <t>Aamir Malik</t>
  </si>
  <si>
    <t>aamirmalik@gmail.com</t>
  </si>
  <si>
    <t>CUST00000715</t>
  </si>
  <si>
    <t>Divya Tiwari</t>
  </si>
  <si>
    <t>divyatiwari@outlook.com</t>
  </si>
  <si>
    <t>CUST00000716</t>
  </si>
  <si>
    <t>poojareddy520@outlook.com</t>
  </si>
  <si>
    <t>CUST00000717</t>
  </si>
  <si>
    <t>Harsh Nair</t>
  </si>
  <si>
    <t>harshnair895@yahoo.com</t>
  </si>
  <si>
    <t>CUST00000718</t>
  </si>
  <si>
    <t>Megha Gupta</t>
  </si>
  <si>
    <t>meghagupta397@yahoo.com</t>
  </si>
  <si>
    <t>CUST00000719</t>
  </si>
  <si>
    <t>shreyatiwari17@yahoo.com</t>
  </si>
  <si>
    <t>CUST00000720</t>
  </si>
  <si>
    <t>CUST00000721</t>
  </si>
  <si>
    <t>farhanmirza673@outlook.com</t>
  </si>
  <si>
    <t>CUST00000722</t>
  </si>
  <si>
    <t>akashtiwari596@outlook.com</t>
  </si>
  <si>
    <t>CUST00000723</t>
  </si>
  <si>
    <t>Rohan Reddy</t>
  </si>
  <si>
    <t>rohanreddy@gmail.com</t>
  </si>
  <si>
    <t>CUST00000724</t>
  </si>
  <si>
    <t>Aarav Tiwari</t>
  </si>
  <si>
    <t>aaravtiwari560@yahoo.com</t>
  </si>
  <si>
    <t>CUST00000725</t>
  </si>
  <si>
    <t>Karan Tiwari</t>
  </si>
  <si>
    <t>karantiwari@gmail.com</t>
  </si>
  <si>
    <t>CUST00000726</t>
  </si>
  <si>
    <t>Kavya Kumar</t>
  </si>
  <si>
    <t>kavyakumar@outlook.com</t>
  </si>
  <si>
    <t>CUST00000727</t>
  </si>
  <si>
    <t>Zara Siddiqui</t>
  </si>
  <si>
    <t>zarasiddiqui713@yahoo.com</t>
  </si>
  <si>
    <t>CUST00000728</t>
  </si>
  <si>
    <t>Zain Malik</t>
  </si>
  <si>
    <t>zainmalik@gmail.com</t>
  </si>
  <si>
    <t>CUST00000729</t>
  </si>
  <si>
    <t>aadhyaiyer795@yahoo.com</t>
  </si>
  <si>
    <t>CUST00000730</t>
  </si>
  <si>
    <t>Suresh Tiwari</t>
  </si>
  <si>
    <t>sureshtiwari207@gmail.com</t>
  </si>
  <si>
    <t>CUST00000731</t>
  </si>
  <si>
    <t>Omar Ansari</t>
  </si>
  <si>
    <t>omaransari@gmail.com</t>
  </si>
  <si>
    <t>CUST00000732</t>
  </si>
  <si>
    <t>arjunpandey318@outlook.com</t>
  </si>
  <si>
    <t>CUST00000733</t>
  </si>
  <si>
    <t>karanshah835@outlook.com</t>
  </si>
  <si>
    <t>CUST00000734</t>
  </si>
  <si>
    <t>Aditya Sharma</t>
  </si>
  <si>
    <t>adityasharma38@outlook.com</t>
  </si>
  <si>
    <t>CUST00000735</t>
  </si>
  <si>
    <t>Akash Reddy</t>
  </si>
  <si>
    <t>akashreddy366@gmail.com</t>
  </si>
  <si>
    <t>CUST00000736</t>
  </si>
  <si>
    <t>meghayadav@yahoo.com</t>
  </si>
  <si>
    <t>CUST00000737</t>
  </si>
  <si>
    <t>Raj Gupta</t>
  </si>
  <si>
    <t>rajgupta819@yahoo.com</t>
  </si>
  <si>
    <t>CUST00000738</t>
  </si>
  <si>
    <t>Rohan Joshi</t>
  </si>
  <si>
    <t>rohanjoshi410@outlook.com</t>
  </si>
  <si>
    <t>CUST00000739</t>
  </si>
  <si>
    <t>Riya Pandey</t>
  </si>
  <si>
    <t>riyapandey980@yahoo.com</t>
  </si>
  <si>
    <t>CUST00000740</t>
  </si>
  <si>
    <t>Nisha Verma</t>
  </si>
  <si>
    <t>nishaverma192@yahoo.com</t>
  </si>
  <si>
    <t>CUST00000741</t>
  </si>
  <si>
    <t>Karan Sharma</t>
  </si>
  <si>
    <t>karansharma@yahoo.com</t>
  </si>
  <si>
    <t>CUST00000742</t>
  </si>
  <si>
    <t>Riya Kulkarni</t>
  </si>
  <si>
    <t>riyakulkarni@outlook.com</t>
  </si>
  <si>
    <t>CUST00000743</t>
  </si>
  <si>
    <t>riyareddy85@outlook.com</t>
  </si>
  <si>
    <t>CUST00000744</t>
  </si>
  <si>
    <t>Aadhya Mishra</t>
  </si>
  <si>
    <t>aadhyamishra441@outlook.com</t>
  </si>
  <si>
    <t>CUST00000745</t>
  </si>
  <si>
    <t>meghapatel@gmail.com</t>
  </si>
  <si>
    <t>CUST00000746</t>
  </si>
  <si>
    <t>Divya Nair</t>
  </si>
  <si>
    <t>divyanair329@gmail.com</t>
  </si>
  <si>
    <t>CUST00000747</t>
  </si>
  <si>
    <t>Aadhya Tiwari</t>
  </si>
  <si>
    <t>aadhyatiwari677@yahoo.com</t>
  </si>
  <si>
    <t>CUST00000748</t>
  </si>
  <si>
    <t>Kavya Sharma</t>
  </si>
  <si>
    <t>kavyasharma618@outlook.com</t>
  </si>
  <si>
    <t>CUST00000749</t>
  </si>
  <si>
    <t>gauravmehta707@yahoo.com</t>
  </si>
  <si>
    <t>CUST00000750</t>
  </si>
  <si>
    <t>Shreya Shah</t>
  </si>
  <si>
    <t>shreyashah44@outlook.com</t>
  </si>
  <si>
    <t>CUST00000751</t>
  </si>
  <si>
    <t>Khalid Khan</t>
  </si>
  <si>
    <t>khalidkhan@yahoo.com</t>
  </si>
  <si>
    <t>CUST00000752</t>
  </si>
  <si>
    <t>CUST00000753</t>
  </si>
  <si>
    <t>Kavya Tiwari</t>
  </si>
  <si>
    <t>kavyatiwari811@gmail.com</t>
  </si>
  <si>
    <t>CUST00000754</t>
  </si>
  <si>
    <t>Amandeep Grewal</t>
  </si>
  <si>
    <t>amandeepgrewal653@yahoo.com</t>
  </si>
  <si>
    <t>CUST00000755</t>
  </si>
  <si>
    <t>Nisha Pandey</t>
  </si>
  <si>
    <t>nishapandey821@outlook.com</t>
  </si>
  <si>
    <t>CUST00000756</t>
  </si>
  <si>
    <t>Omar Khan</t>
  </si>
  <si>
    <t>omarkhan@gmail.com</t>
  </si>
  <si>
    <t>CUST00000757</t>
  </si>
  <si>
    <t>Arif Rahman</t>
  </si>
  <si>
    <t>arifrahman623@outlook.com</t>
  </si>
  <si>
    <t>CUST00000758</t>
  </si>
  <si>
    <t>Harsh Mishra</t>
  </si>
  <si>
    <t>harshmishra@gmail.com</t>
  </si>
  <si>
    <t>CUST00000759</t>
  </si>
  <si>
    <t>Zain Sheikh</t>
  </si>
  <si>
    <t>zainsheikh242@outlook.com</t>
  </si>
  <si>
    <t>CUST00000760</t>
  </si>
  <si>
    <t>nehasharma393@outlook.com</t>
  </si>
  <si>
    <t>CUST00000761</t>
  </si>
  <si>
    <t>poojayadav158@outlook.com</t>
  </si>
  <si>
    <t>CUST00000762</t>
  </si>
  <si>
    <t>aadhyasharma380@yahoo.com</t>
  </si>
  <si>
    <t>CUST00000763</t>
  </si>
  <si>
    <t>Akash Shah</t>
  </si>
  <si>
    <t>akashshah79@outlook.com</t>
  </si>
  <si>
    <t>CUST00000764</t>
  </si>
  <si>
    <t>Rashid Mirza</t>
  </si>
  <si>
    <t>rashidmirza376@yahoo.com</t>
  </si>
  <si>
    <t>CUST00000765</t>
  </si>
  <si>
    <t>sureshmishra286@gmail.com</t>
  </si>
  <si>
    <t>CUST00000766</t>
  </si>
  <si>
    <t>priyashah@gmail.com</t>
  </si>
  <si>
    <t>CUST00000767</t>
  </si>
  <si>
    <t>CUST00000768</t>
  </si>
  <si>
    <t>swatigupta936@outlook.com</t>
  </si>
  <si>
    <t>CUST00000769</t>
  </si>
  <si>
    <t>farahahmed794@yahoo.com</t>
  </si>
  <si>
    <t>CUST00000770</t>
  </si>
  <si>
    <t>nishapatel@gmail.com</t>
  </si>
  <si>
    <t>CUST00000771</t>
  </si>
  <si>
    <t>Yash Yadav</t>
  </si>
  <si>
    <t>yashyadav@yahoo.com</t>
  </si>
  <si>
    <t>CUST00000772</t>
  </si>
  <si>
    <t>Gaurav Gupta</t>
  </si>
  <si>
    <t>gauravgupta@yahoo.com</t>
  </si>
  <si>
    <t>CUST00000773</t>
  </si>
  <si>
    <t>ayeshasheikh139@gmail.com</t>
  </si>
  <si>
    <t>CUST00000774</t>
  </si>
  <si>
    <t>karangupta921@outlook.com</t>
  </si>
  <si>
    <t>CUST00000775</t>
  </si>
  <si>
    <t>ayeshaali90@outlook.com</t>
  </si>
  <si>
    <t>CUST00000776</t>
  </si>
  <si>
    <t>CUST00000777</t>
  </si>
  <si>
    <t>Kavya Iyer</t>
  </si>
  <si>
    <t>kavyaiyer@outlook.com</t>
  </si>
  <si>
    <t>CUST00000778</t>
  </si>
  <si>
    <t>rohansharma556@yahoo.com</t>
  </si>
  <si>
    <t>CUST00000779</t>
  </si>
  <si>
    <t>divyasingh@gmail.com</t>
  </si>
  <si>
    <t>CUST00000780</t>
  </si>
  <si>
    <t>aaravsharma@outlook.com</t>
  </si>
  <si>
    <t>CUST00000781</t>
  </si>
  <si>
    <t>Rashid Rahman</t>
  </si>
  <si>
    <t>rashidrahman@yahoo.com</t>
  </si>
  <si>
    <t>CUST00000782</t>
  </si>
  <si>
    <t>Priya Agarwal</t>
  </si>
  <si>
    <t>priyaagarwal125@gmail.com</t>
  </si>
  <si>
    <t>CUST00000783</t>
  </si>
  <si>
    <t>sureshnair@gmail.com</t>
  </si>
  <si>
    <t>CUST00000784</t>
  </si>
  <si>
    <t>poojareddy@gmail.com</t>
  </si>
  <si>
    <t>CUST00000785</t>
  </si>
  <si>
    <t>Divya Pandey</t>
  </si>
  <si>
    <t>divyapandey587@yahoo.com</t>
  </si>
  <si>
    <t>CUST00000786</t>
  </si>
  <si>
    <t>rohannair565@gmail.com</t>
  </si>
  <si>
    <t>CUST00000787</t>
  </si>
  <si>
    <t>Arjun Agarwal</t>
  </si>
  <si>
    <t>arjunagarwal@gmail.com</t>
  </si>
  <si>
    <t>CUST00000788</t>
  </si>
  <si>
    <t>kavyatiwari408@outlook.com</t>
  </si>
  <si>
    <t>CUST00000789</t>
  </si>
  <si>
    <t>Kavya Mehta</t>
  </si>
  <si>
    <t>kavyamehta@outlook.com</t>
  </si>
  <si>
    <t>CUST00000790</t>
  </si>
  <si>
    <t>Kavya Yadav</t>
  </si>
  <si>
    <t>kavyayadav420@outlook.com</t>
  </si>
  <si>
    <t>CUST00000791</t>
  </si>
  <si>
    <t>poojasingh996@yahoo.com</t>
  </si>
  <si>
    <t>CUST00000792</t>
  </si>
  <si>
    <t>Jaspreet Brar</t>
  </si>
  <si>
    <t>jaspreetbrar@yahoo.com</t>
  </si>
  <si>
    <t>CUST00000793</t>
  </si>
  <si>
    <t>nishashah530@yahoo.com</t>
  </si>
  <si>
    <t>CUST00000794</t>
  </si>
  <si>
    <t>jaspreetbrar849@outlook.com</t>
  </si>
  <si>
    <t>CUST00000795</t>
  </si>
  <si>
    <t>Yash Iyer</t>
  </si>
  <si>
    <t>yashiyer@gmail.com</t>
  </si>
  <si>
    <t>CUST00000796</t>
  </si>
  <si>
    <t>omarmirza@gmail.com</t>
  </si>
  <si>
    <t>CUST00000797</t>
  </si>
  <si>
    <t>swatipatel933@gmail.com</t>
  </si>
  <si>
    <t>CUST00000798</t>
  </si>
  <si>
    <t>swatinair@outlook.com</t>
  </si>
  <si>
    <t>CUST00000799</t>
  </si>
  <si>
    <t>rajeshpandey169@gmail.com</t>
  </si>
  <si>
    <t>CUST00000800</t>
  </si>
  <si>
    <t>Aisha Khan</t>
  </si>
  <si>
    <t>aishakhan727@gmail.com</t>
  </si>
  <si>
    <t>CUST00000801</t>
  </si>
  <si>
    <t>swatipatel964@outlook.com</t>
  </si>
  <si>
    <t>CUST00000802</t>
  </si>
  <si>
    <t>kavyakumar@gmail.com</t>
  </si>
  <si>
    <t>CUST00000803</t>
  </si>
  <si>
    <t>arjunkulkarni651@outlook.com</t>
  </si>
  <si>
    <t>CUST00000804</t>
  </si>
  <si>
    <t>Rahul Joshi</t>
  </si>
  <si>
    <t>rahuljoshi641@yahoo.com</t>
  </si>
  <si>
    <t>CUST00000805</t>
  </si>
  <si>
    <t>Pooja Nair</t>
  </si>
  <si>
    <t>poojanair@gmail.com</t>
  </si>
  <si>
    <t>CUST00000806</t>
  </si>
  <si>
    <t>priyaverma173@outlook.com</t>
  </si>
  <si>
    <t>CUST00000807</t>
  </si>
  <si>
    <t>Akash Pandey</t>
  </si>
  <si>
    <t>akashpandey@gmail.com</t>
  </si>
  <si>
    <t>CUST00000808</t>
  </si>
  <si>
    <t>kavyajoshi640@outlook.com</t>
  </si>
  <si>
    <t>CUST00000809</t>
  </si>
  <si>
    <t>karantiwari@yahoo.com</t>
  </si>
  <si>
    <t>CUST00000810</t>
  </si>
  <si>
    <t>aadhyaiyer@outlook.com</t>
  </si>
  <si>
    <t>CUST00000811</t>
  </si>
  <si>
    <t>Riya Kumar</t>
  </si>
  <si>
    <t>riyakumar885@gmail.com</t>
  </si>
  <si>
    <t>CUST00000812</t>
  </si>
  <si>
    <t>akashagarwal972@outlook.com</t>
  </si>
  <si>
    <t>CUST00000813</t>
  </si>
  <si>
    <t>Ahmed Khan</t>
  </si>
  <si>
    <t>ahmedkhan@yahoo.com</t>
  </si>
  <si>
    <t>CUST00000814</t>
  </si>
  <si>
    <t>CUST00000815</t>
  </si>
  <si>
    <t>rohanjoshi655@gmail.com</t>
  </si>
  <si>
    <t>CUST00000816</t>
  </si>
  <si>
    <t>Harleen Sandhu</t>
  </si>
  <si>
    <t>harleensandhu643@outlook.com</t>
  </si>
  <si>
    <t>CUST00000817</t>
  </si>
  <si>
    <t>Gaurav Sharma</t>
  </si>
  <si>
    <t>gauravsharma980@yahoo.com</t>
  </si>
  <si>
    <t>CUST00000818</t>
  </si>
  <si>
    <t>Zain Siddiqui</t>
  </si>
  <si>
    <t>zainsiddiqui825@outlook.com</t>
  </si>
  <si>
    <t>CUST00000819</t>
  </si>
  <si>
    <t>yashyadav465@gmail.com</t>
  </si>
  <si>
    <t>CUST00000820</t>
  </si>
  <si>
    <t>Vishal Kulkarni</t>
  </si>
  <si>
    <t>vishalkulkarni@gmail.com</t>
  </si>
  <si>
    <t>CUST00000821</t>
  </si>
  <si>
    <t>Suresh Patel</t>
  </si>
  <si>
    <t>sureshpatel496@yahoo.com</t>
  </si>
  <si>
    <t>CUST00000822</t>
  </si>
  <si>
    <t>meghaiyer622@gmail.com</t>
  </si>
  <si>
    <t>CUST00000823</t>
  </si>
  <si>
    <t>imranali736@yahoo.com</t>
  </si>
  <si>
    <t>CUST00000824</t>
  </si>
  <si>
    <t>akashpatel@yahoo.com</t>
  </si>
  <si>
    <t>CUST00000825</t>
  </si>
  <si>
    <t>simransingh@gmail.com</t>
  </si>
  <si>
    <t>CUST00000826</t>
  </si>
  <si>
    <t>simranpatel@outlook.com</t>
  </si>
  <si>
    <t>CUST00000827</t>
  </si>
  <si>
    <t>rahulsharma327@gmail.com</t>
  </si>
  <si>
    <t>CUST00000828</t>
  </si>
  <si>
    <t>Raj Reddy</t>
  </si>
  <si>
    <t>rajreddy274@yahoo.com</t>
  </si>
  <si>
    <t>CUST00000829</t>
  </si>
  <si>
    <t>Zara Khan</t>
  </si>
  <si>
    <t>zarakhan100@gmail.com</t>
  </si>
  <si>
    <t>CUST00000830</t>
  </si>
  <si>
    <t>Farah Malik</t>
  </si>
  <si>
    <t>farahmalik394@outlook.com</t>
  </si>
  <si>
    <t>CUST00000831</t>
  </si>
  <si>
    <t>meghakumar986@gmail.com</t>
  </si>
  <si>
    <t>CUST00000832</t>
  </si>
  <si>
    <t>Kavya Patel</t>
  </si>
  <si>
    <t>kavyapatel@outlook.com</t>
  </si>
  <si>
    <t>CUST00000833</t>
  </si>
  <si>
    <t>nishamishra@gmail.com</t>
  </si>
  <si>
    <t>CUST00000834</t>
  </si>
  <si>
    <t>aishasiddiqui@yahoo.com</t>
  </si>
  <si>
    <t>CUST00000835</t>
  </si>
  <si>
    <t>aadhyaverma@yahoo.com</t>
  </si>
  <si>
    <t>CUST00000836</t>
  </si>
  <si>
    <t>Nida Ahmed</t>
  </si>
  <si>
    <t>nidaahmed316@yahoo.com</t>
  </si>
  <si>
    <t>CUST00000837</t>
  </si>
  <si>
    <t>akashverma968@yahoo.com</t>
  </si>
  <si>
    <t>CUST00000838</t>
  </si>
  <si>
    <t>simrantiwari990@gmail.com</t>
  </si>
  <si>
    <t>CUST00000839</t>
  </si>
  <si>
    <t>Vikas Joshi</t>
  </si>
  <si>
    <t>vikasjoshi362@gmail.com</t>
  </si>
  <si>
    <t>CUST00000840</t>
  </si>
  <si>
    <t>yashnair507@outlook.com</t>
  </si>
  <si>
    <t>CUST00000841</t>
  </si>
  <si>
    <t>Megha Mehta</t>
  </si>
  <si>
    <t>meghamehta@outlook.com</t>
  </si>
  <si>
    <t>CUST00000842</t>
  </si>
  <si>
    <t>riyakulkarni@yahoo.com</t>
  </si>
  <si>
    <t>CUST00000843</t>
  </si>
  <si>
    <t>meghayadav868@gmail.com</t>
  </si>
  <si>
    <t>CUST00000844</t>
  </si>
  <si>
    <t>rohanmishra904@yahoo.com</t>
  </si>
  <si>
    <t>CUST00000845</t>
  </si>
  <si>
    <t>Ayesha Malik</t>
  </si>
  <si>
    <t>ayeshamalik@yahoo.com</t>
  </si>
  <si>
    <t>CUST00000846</t>
  </si>
  <si>
    <t>Ananya Verma</t>
  </si>
  <si>
    <t>ananyaverma411@gmail.com</t>
  </si>
  <si>
    <t>CUST00000847</t>
  </si>
  <si>
    <t>rajeshnair200@yahoo.com</t>
  </si>
  <si>
    <t>CUST00000848</t>
  </si>
  <si>
    <t>Gaurav Kulkarni</t>
  </si>
  <si>
    <t>gauravkulkarni76@yahoo.com</t>
  </si>
  <si>
    <t>CUST00000849</t>
  </si>
  <si>
    <t>aadhyakulkarni783@outlook.com</t>
  </si>
  <si>
    <t>CUST00000850</t>
  </si>
  <si>
    <t>Pooja Pandey</t>
  </si>
  <si>
    <t>poojapandey639@outlook.com</t>
  </si>
  <si>
    <t>CUST00000851</t>
  </si>
  <si>
    <t>sureshsharma@gmail.com</t>
  </si>
  <si>
    <t>CUST00000852</t>
  </si>
  <si>
    <t>adityapandey@yahoo.com</t>
  </si>
  <si>
    <t>CUST00000853</t>
  </si>
  <si>
    <t>preetimishra348@outlook.com</t>
  </si>
  <si>
    <t>CUST00000854</t>
  </si>
  <si>
    <t>divyapandey@gmail.com</t>
  </si>
  <si>
    <t>CUST00000855</t>
  </si>
  <si>
    <t>Aarav Mehta</t>
  </si>
  <si>
    <t>aaravmehta522@yahoo.com</t>
  </si>
  <si>
    <t>CUST00000856</t>
  </si>
  <si>
    <t>sureshmishra47@gmail.com</t>
  </si>
  <si>
    <t>CUST00000857</t>
  </si>
  <si>
    <t>nishaagarwal342@yahoo.com</t>
  </si>
  <si>
    <t>CUST00000858</t>
  </si>
  <si>
    <t>Harpreet Grewal</t>
  </si>
  <si>
    <t>harpreetgrewal153@outlook.com</t>
  </si>
  <si>
    <t>CUST00000859</t>
  </si>
  <si>
    <t>priyapandey@gmail.com</t>
  </si>
  <si>
    <t>CUST00000860</t>
  </si>
  <si>
    <t>Kuldeep Grewal</t>
  </si>
  <si>
    <t>kuldeepgrewal628@yahoo.com</t>
  </si>
  <si>
    <t>CUST00000861</t>
  </si>
  <si>
    <t>Harleen Gill</t>
  </si>
  <si>
    <t>harleengill632@outlook.com</t>
  </si>
  <si>
    <t>CUST00000862</t>
  </si>
  <si>
    <t>meghapatel@outlook.com</t>
  </si>
  <si>
    <t>CUST00000863</t>
  </si>
  <si>
    <t>Simran Shah</t>
  </si>
  <si>
    <t>simranshah849@outlook.com</t>
  </si>
  <si>
    <t>CUST00000864</t>
  </si>
  <si>
    <t>Yash Kumar</t>
  </si>
  <si>
    <t>yashkumar726@outlook.com</t>
  </si>
  <si>
    <t>CUST00000865</t>
  </si>
  <si>
    <t>Zara Mirza</t>
  </si>
  <si>
    <t>zaramirza836@gmail.com</t>
  </si>
  <si>
    <t>CUST00000866</t>
  </si>
  <si>
    <t>farahsiddiqui690@gmail.com</t>
  </si>
  <si>
    <t>CUST00000867</t>
  </si>
  <si>
    <t>CUST00000868</t>
  </si>
  <si>
    <t>divyajoshi921@outlook.com</t>
  </si>
  <si>
    <t>CUST00000869</t>
  </si>
  <si>
    <t>Amit Pandey</t>
  </si>
  <si>
    <t>amitpandey@outlook.com</t>
  </si>
  <si>
    <t>CUST00000870</t>
  </si>
  <si>
    <t>divyasharma486@yahoo.com</t>
  </si>
  <si>
    <t>CUST00000871</t>
  </si>
  <si>
    <t>aishamirza@outlook.com</t>
  </si>
  <si>
    <t>CUST00000872</t>
  </si>
  <si>
    <t>Amina Ansari</t>
  </si>
  <si>
    <t>aminaansari739@gmail.com</t>
  </si>
  <si>
    <t>CUST00000873</t>
  </si>
  <si>
    <t>Nikhil Tiwari</t>
  </si>
  <si>
    <t>nikhiltiwari175@outlook.com</t>
  </si>
  <si>
    <t>CUST00000874</t>
  </si>
  <si>
    <t>Divya Verma</t>
  </si>
  <si>
    <t>divyaverma@outlook.com</t>
  </si>
  <si>
    <t>CUST00000875</t>
  </si>
  <si>
    <t>meghamehta@yahoo.com</t>
  </si>
  <si>
    <t>CUST00000876</t>
  </si>
  <si>
    <t>akashgupta698@gmail.com</t>
  </si>
  <si>
    <t>CUST00000877</t>
  </si>
  <si>
    <t>Neha Agarwal</t>
  </si>
  <si>
    <t>nehaagarwal971@outlook.com</t>
  </si>
  <si>
    <t>CUST00000878</t>
  </si>
  <si>
    <t>aminasiddiqui20@yahoo.com</t>
  </si>
  <si>
    <t>CUST00000879</t>
  </si>
  <si>
    <t>Arif Khan</t>
  </si>
  <si>
    <t>arifkhan156@yahoo.com</t>
  </si>
  <si>
    <t>CUST00000880</t>
  </si>
  <si>
    <t>nishamehta@yahoo.com</t>
  </si>
  <si>
    <t>CUST00000881</t>
  </si>
  <si>
    <t>zaraahmed627@yahoo.com</t>
  </si>
  <si>
    <t>CUST00000882</t>
  </si>
  <si>
    <t>aaravjoshi@outlook.com</t>
  </si>
  <si>
    <t>CUST00000883</t>
  </si>
  <si>
    <t>Nisha Iyer</t>
  </si>
  <si>
    <t>nishaiyer@outlook.com</t>
  </si>
  <si>
    <t>CUST00000884</t>
  </si>
  <si>
    <t>rohanmishra213@outlook.com</t>
  </si>
  <si>
    <t>CUST00000885</t>
  </si>
  <si>
    <t>Jaspreet Singh</t>
  </si>
  <si>
    <t>jaspreetsingh679@yahoo.com</t>
  </si>
  <si>
    <t>CUST00000886</t>
  </si>
  <si>
    <t>aadhyareddy322@gmail.com</t>
  </si>
  <si>
    <t>CUST00000887</t>
  </si>
  <si>
    <t>rohanreddy546@yahoo.com</t>
  </si>
  <si>
    <t>CUST00000888</t>
  </si>
  <si>
    <t>Aditya Verma</t>
  </si>
  <si>
    <t>adityaverma693@outlook.com</t>
  </si>
  <si>
    <t>CUST00000889</t>
  </si>
  <si>
    <t>Rajesh Kumar</t>
  </si>
  <si>
    <t>rajeshkumar@outlook.com</t>
  </si>
  <si>
    <t>CUST00000890</t>
  </si>
  <si>
    <t>amandeepdhillon496@gmail.com</t>
  </si>
  <si>
    <t>CUST00000891</t>
  </si>
  <si>
    <t>ananyaagarwal@yahoo.com</t>
  </si>
  <si>
    <t>CUST00000892</t>
  </si>
  <si>
    <t>harleensingh231@yahoo.com</t>
  </si>
  <si>
    <t>CUST00000893</t>
  </si>
  <si>
    <t>Simran Mehta</t>
  </si>
  <si>
    <t>simranmehta@outlook.com</t>
  </si>
  <si>
    <t>CUST00000894</t>
  </si>
  <si>
    <t>Saif Ali</t>
  </si>
  <si>
    <t>saifali722@yahoo.com</t>
  </si>
  <si>
    <t>CUST00000895</t>
  </si>
  <si>
    <t>rajreddy358@outlook.com</t>
  </si>
  <si>
    <t>CUST00000896</t>
  </si>
  <si>
    <t>arifkhan@outlook.com</t>
  </si>
  <si>
    <t>CUST00000897</t>
  </si>
  <si>
    <t>Riya Yadav</t>
  </si>
  <si>
    <t>riyayadav125@outlook.com</t>
  </si>
  <si>
    <t>CUST00000898</t>
  </si>
  <si>
    <t>CUST00000899</t>
  </si>
  <si>
    <t>Sana Mirza</t>
  </si>
  <si>
    <t>sanamirza@yahoo.com</t>
  </si>
  <si>
    <t>CUST00000900</t>
  </si>
  <si>
    <t>aadhyakulkarni@gmail.com</t>
  </si>
  <si>
    <t>CUST00000901</t>
  </si>
  <si>
    <t>Preeti Tiwari</t>
  </si>
  <si>
    <t>preetitiwari295@outlook.com</t>
  </si>
  <si>
    <t>CUST00000902</t>
  </si>
  <si>
    <t>meghakulkarni947@yahoo.com</t>
  </si>
  <si>
    <t>CUST00000903</t>
  </si>
  <si>
    <t>swatipatel@outlook.com</t>
  </si>
  <si>
    <t>CUST00000904</t>
  </si>
  <si>
    <t>rajpandey207@outlook.com</t>
  </si>
  <si>
    <t>CUST00000905</t>
  </si>
  <si>
    <t>fatimakhan576@outlook.com</t>
  </si>
  <si>
    <t>CUST00000906</t>
  </si>
  <si>
    <t>Gurpreet Gill</t>
  </si>
  <si>
    <t>gurpreetgill112@outlook.com</t>
  </si>
  <si>
    <t>CUST00000907</t>
  </si>
  <si>
    <t>Riya Shah</t>
  </si>
  <si>
    <t>riyashah@gmail.com</t>
  </si>
  <si>
    <t>CUST00000908</t>
  </si>
  <si>
    <t>Vishal Pandey</t>
  </si>
  <si>
    <t>vishalpandey686@outlook.com</t>
  </si>
  <si>
    <t>CUST00000909</t>
  </si>
  <si>
    <t>abhishekgupta239@gmail.com</t>
  </si>
  <si>
    <t>CUST00000910</t>
  </si>
  <si>
    <t>riyakumar339@outlook.com</t>
  </si>
  <si>
    <t>CUST00000911</t>
  </si>
  <si>
    <t>Aamir Ahmed</t>
  </si>
  <si>
    <t>aamirahmed698@gmail.com</t>
  </si>
  <si>
    <t>CUST00000912</t>
  </si>
  <si>
    <t>vishalverma564@gmail.com</t>
  </si>
  <si>
    <t>CUST00000913</t>
  </si>
  <si>
    <t>Gurleen Kaur</t>
  </si>
  <si>
    <t>gurleenkaur958@yahoo.com</t>
  </si>
  <si>
    <t>CUST00000914</t>
  </si>
  <si>
    <t>nehayadav205@yahoo.com</t>
  </si>
  <si>
    <t>CUST00000915</t>
  </si>
  <si>
    <t>Vikas Nair</t>
  </si>
  <si>
    <t>vikasnair662@gmail.com</t>
  </si>
  <si>
    <t>CUST00000916</t>
  </si>
  <si>
    <t>CUST00000917</t>
  </si>
  <si>
    <t>nehasingh@gmail.com</t>
  </si>
  <si>
    <t>CUST00000918</t>
  </si>
  <si>
    <t>anjaliagarwal741@gmail.com</t>
  </si>
  <si>
    <t>CUST00000919</t>
  </si>
  <si>
    <t>CUST00000920</t>
  </si>
  <si>
    <t>Nida Ansari</t>
  </si>
  <si>
    <t>nidaansari858@gmail.com</t>
  </si>
  <si>
    <t>CUST00000921</t>
  </si>
  <si>
    <t>arjunpandey@gmail.com</t>
  </si>
  <si>
    <t>CUST00000922</t>
  </si>
  <si>
    <t>nehashah@yahoo.com</t>
  </si>
  <si>
    <t>CUST00000923</t>
  </si>
  <si>
    <t>adityasharma@gmail.com</t>
  </si>
  <si>
    <t>CUST00000924</t>
  </si>
  <si>
    <t>vikasnair@yahoo.com</t>
  </si>
  <si>
    <t>CUST00000925</t>
  </si>
  <si>
    <t>poojapatel@gmail.com</t>
  </si>
  <si>
    <t>CUST00000926</t>
  </si>
  <si>
    <t>harshnair618@gmail.com</t>
  </si>
  <si>
    <t>CUST00000927</t>
  </si>
  <si>
    <t>Sana Ansari</t>
  </si>
  <si>
    <t>sanaansari@yahoo.com</t>
  </si>
  <si>
    <t>CUST00000928</t>
  </si>
  <si>
    <t>aadhyakulkarni657@outlook.com</t>
  </si>
  <si>
    <t>CUST00000929</t>
  </si>
  <si>
    <t>sanasheikh911@gmail.com</t>
  </si>
  <si>
    <t>CUST00000930</t>
  </si>
  <si>
    <t>sureshshah@yahoo.com</t>
  </si>
  <si>
    <t>CUST00000931</t>
  </si>
  <si>
    <t>aadhyanair829@gmail.com</t>
  </si>
  <si>
    <t>CUST00000932</t>
  </si>
  <si>
    <t>swatishah749@yahoo.com</t>
  </si>
  <si>
    <t>CUST00000933</t>
  </si>
  <si>
    <t>CUST00000934</t>
  </si>
  <si>
    <t>anjalimishra755@yahoo.com</t>
  </si>
  <si>
    <t>CUST00000935</t>
  </si>
  <si>
    <t>Vikas Reddy</t>
  </si>
  <si>
    <t>vikasreddy@outlook.com</t>
  </si>
  <si>
    <t>CUST00000936</t>
  </si>
  <si>
    <t>nehamehta@gmail.com</t>
  </si>
  <si>
    <t>CUST00000937</t>
  </si>
  <si>
    <t>sanapathan877@outlook.com</t>
  </si>
  <si>
    <t>CUST00000938</t>
  </si>
  <si>
    <t>Vishal Joshi</t>
  </si>
  <si>
    <t>vishaljoshi@yahoo.com</t>
  </si>
  <si>
    <t>CUST00000939</t>
  </si>
  <si>
    <t>shreyakumar89@yahoo.com</t>
  </si>
  <si>
    <t>CUST00000940</t>
  </si>
  <si>
    <t>rahulsharma@gmail.com</t>
  </si>
  <si>
    <t>CUST00000941</t>
  </si>
  <si>
    <t>kavyareddy@yahoo.com</t>
  </si>
  <si>
    <t>CUST00000942</t>
  </si>
  <si>
    <t>ananyamehta255@gmail.com</t>
  </si>
  <si>
    <t>CUST00000943</t>
  </si>
  <si>
    <t>zarakhan242@yahoo.com</t>
  </si>
  <si>
    <t>CUST00000944</t>
  </si>
  <si>
    <t>nehamishra@yahoo.com</t>
  </si>
  <si>
    <t>CUST00000945</t>
  </si>
  <si>
    <t>poojashah741@outlook.com</t>
  </si>
  <si>
    <t>CUST00000946</t>
  </si>
  <si>
    <t>Amit Singh</t>
  </si>
  <si>
    <t>amitsingh670@yahoo.com</t>
  </si>
  <si>
    <t>CUST00000947</t>
  </si>
  <si>
    <t>simranjoshi@gmail.com</t>
  </si>
  <si>
    <t>CUST00000948</t>
  </si>
  <si>
    <t>Arjun Yadav</t>
  </si>
  <si>
    <t>arjunyadav@yahoo.com</t>
  </si>
  <si>
    <t>CUST00000949</t>
  </si>
  <si>
    <t>riyakumar416@outlook.com</t>
  </si>
  <si>
    <t>CUST00000950</t>
  </si>
  <si>
    <t>yashkulkarni917@outlook.com</t>
  </si>
  <si>
    <t>CUST00000951</t>
  </si>
  <si>
    <t>Khalid Ali</t>
  </si>
  <si>
    <t>khalidali@outlook.com</t>
  </si>
  <si>
    <t>CUST00000952</t>
  </si>
  <si>
    <t>kavyayadav939@yahoo.com</t>
  </si>
  <si>
    <t>CUST00000953</t>
  </si>
  <si>
    <t>imransiddiqui227@gmail.com</t>
  </si>
  <si>
    <t>CUST00000954</t>
  </si>
  <si>
    <t>rajnair@yahoo.com</t>
  </si>
  <si>
    <t>CUST00000955</t>
  </si>
  <si>
    <t>nikhilmehta766@outlook.com</t>
  </si>
  <si>
    <t>CUST00000956</t>
  </si>
  <si>
    <t>preetishah719@outlook.com</t>
  </si>
  <si>
    <t>CUST00000957</t>
  </si>
  <si>
    <t>Anjali Nair</t>
  </si>
  <si>
    <t>anjalinair@outlook.com</t>
  </si>
  <si>
    <t>CUST00000958</t>
  </si>
  <si>
    <t>preetisingh@gmail.com</t>
  </si>
  <si>
    <t>CUST00000959</t>
  </si>
  <si>
    <t>rohannair@outlook.com</t>
  </si>
  <si>
    <t>CUST00000960</t>
  </si>
  <si>
    <t>ayeshapathan@gmail.com</t>
  </si>
  <si>
    <t>CUST00000961</t>
  </si>
  <si>
    <t>amitsharma541@outlook.com</t>
  </si>
  <si>
    <t>CUST00000962</t>
  </si>
  <si>
    <t>simrannair940@outlook.com</t>
  </si>
  <si>
    <t>CUST00000963</t>
  </si>
  <si>
    <t>karanmishra849@outlook.com</t>
  </si>
  <si>
    <t>CUST00000964</t>
  </si>
  <si>
    <t>Neha Patel</t>
  </si>
  <si>
    <t>nehapatel@gmail.com</t>
  </si>
  <si>
    <t>CUST00000965</t>
  </si>
  <si>
    <t>Rajesh Iyer</t>
  </si>
  <si>
    <t>rajeshiyer154@gmail.com</t>
  </si>
  <si>
    <t>CUST00000966</t>
  </si>
  <si>
    <t>Aarav Nair</t>
  </si>
  <si>
    <t>aaravnair533@yahoo.com</t>
  </si>
  <si>
    <t>CUST00000967</t>
  </si>
  <si>
    <t>rohankumar211@outlook.com</t>
  </si>
  <si>
    <t>CUST00000968</t>
  </si>
  <si>
    <t>sureshpatel94@outlook.com</t>
  </si>
  <si>
    <t>CUST00000969</t>
  </si>
  <si>
    <t>aadhyatiwari57@yahoo.com</t>
  </si>
  <si>
    <t>CUST00000970</t>
  </si>
  <si>
    <t>Hassan Pathan</t>
  </si>
  <si>
    <t>hassanpathan426@yahoo.com</t>
  </si>
  <si>
    <t>CUST00000971</t>
  </si>
  <si>
    <t>amitsharma573@yahoo.com</t>
  </si>
  <si>
    <t>CUST00000972</t>
  </si>
  <si>
    <t>Kuldeep Singh</t>
  </si>
  <si>
    <t>kuldeepsingh@yahoo.com</t>
  </si>
  <si>
    <t>CUST00000973</t>
  </si>
  <si>
    <t>riyareddy@yahoo.com</t>
  </si>
  <si>
    <t>CUST00000974</t>
  </si>
  <si>
    <t>meghapatel4@outlook.com</t>
  </si>
  <si>
    <t>CUST00000975</t>
  </si>
  <si>
    <t>Navjot Gill</t>
  </si>
  <si>
    <t>navjotgill75@gmail.com</t>
  </si>
  <si>
    <t>CUST00000976</t>
  </si>
  <si>
    <t>sanamalik718@gmail.com</t>
  </si>
  <si>
    <t>CUST00000977</t>
  </si>
  <si>
    <t>priyasingh62@gmail.com</t>
  </si>
  <si>
    <t>CUST00000978</t>
  </si>
  <si>
    <t>Divya Patel</t>
  </si>
  <si>
    <t>divyapatel@yahoo.com</t>
  </si>
  <si>
    <t>CUST00000979</t>
  </si>
  <si>
    <t>aliali419@gmail.com</t>
  </si>
  <si>
    <t>CUST00000980</t>
  </si>
  <si>
    <t>divyasharma@outlook.com</t>
  </si>
  <si>
    <t>CUST00000981</t>
  </si>
  <si>
    <t>Pooja Agarwal</t>
  </si>
  <si>
    <t>poojaagarwal@outlook.com</t>
  </si>
  <si>
    <t>CUST00000982</t>
  </si>
  <si>
    <t>Aadhya Gupta</t>
  </si>
  <si>
    <t>aadhyagupta@yahoo.com</t>
  </si>
  <si>
    <t>CUST00000983</t>
  </si>
  <si>
    <t>Harsh Singh</t>
  </si>
  <si>
    <t>harshsingh@yahoo.com</t>
  </si>
  <si>
    <t>CUST00000984</t>
  </si>
  <si>
    <t>aaravkulkarni940@yahoo.com</t>
  </si>
  <si>
    <t>CUST00000985</t>
  </si>
  <si>
    <t>rahulverma700@outlook.com</t>
  </si>
  <si>
    <t>CUST00000986</t>
  </si>
  <si>
    <t>rohansharma@gmail.com</t>
  </si>
  <si>
    <t>CUST00000987</t>
  </si>
  <si>
    <t>CUST00000988</t>
  </si>
  <si>
    <t>Abhishek Mehta</t>
  </si>
  <si>
    <t>abhishekmehta551@yahoo.com</t>
  </si>
  <si>
    <t>CUST00000989</t>
  </si>
  <si>
    <t>Amina Rahman</t>
  </si>
  <si>
    <t>aminarahman746@gmail.com</t>
  </si>
  <si>
    <t>CUST00000990</t>
  </si>
  <si>
    <t>anjalisingh@gmail.com</t>
  </si>
  <si>
    <t>CUST00000991</t>
  </si>
  <si>
    <t>kuldeepkaur@yahoo.com</t>
  </si>
  <si>
    <t>CUST00000992</t>
  </si>
  <si>
    <t>gauravnair@outlook.com</t>
  </si>
  <si>
    <t>CUST00000993</t>
  </si>
  <si>
    <t>arjunmehta389@gmail.com</t>
  </si>
  <si>
    <t>CUST00000994</t>
  </si>
  <si>
    <t>vishalverma355@gmail.com</t>
  </si>
  <si>
    <t>CUST00000995</t>
  </si>
  <si>
    <t>riyaagarwal960@outlook.com</t>
  </si>
  <si>
    <t>CUST00000996</t>
  </si>
  <si>
    <t>akashgupta@gmail.com</t>
  </si>
  <si>
    <t>CUST00000997</t>
  </si>
  <si>
    <t>rajeshpatel@yahoo.com</t>
  </si>
  <si>
    <t>CUST00000998</t>
  </si>
  <si>
    <t>CUST00000999</t>
  </si>
  <si>
    <t>preetimehta69@gmail.com</t>
  </si>
  <si>
    <t>CUST00001000</t>
  </si>
  <si>
    <t>riyashah458@outlook.com</t>
  </si>
  <si>
    <t>CUST00001001</t>
  </si>
  <si>
    <t>adityakumar@gmail.com</t>
  </si>
  <si>
    <t>CUST00001002</t>
  </si>
  <si>
    <t>Zara Rahman</t>
  </si>
  <si>
    <t>zararahman46@yahoo.com</t>
  </si>
  <si>
    <t>CUST00001003</t>
  </si>
  <si>
    <t>vishalkumar553@gmail.com</t>
  </si>
  <si>
    <t>CUST00001004</t>
  </si>
  <si>
    <t>Yash Sharma</t>
  </si>
  <si>
    <t>yashsharma@gmail.com</t>
  </si>
  <si>
    <t>CUST00001005</t>
  </si>
  <si>
    <t>simrannair297@gmail.com</t>
  </si>
  <si>
    <t>CUST00001006</t>
  </si>
  <si>
    <t>aaravmehta@outlook.com</t>
  </si>
  <si>
    <t>CUST00001007</t>
  </si>
  <si>
    <t>Harsh Mehta</t>
  </si>
  <si>
    <t>harshmehta592@outlook.com</t>
  </si>
  <si>
    <t>CUST00001008</t>
  </si>
  <si>
    <t>riyanair@yahoo.com</t>
  </si>
  <si>
    <t>CUST00001009</t>
  </si>
  <si>
    <t>Abhishek Patel</t>
  </si>
  <si>
    <t>abhishekpatel898@gmail.com</t>
  </si>
  <si>
    <t>CUST00001010</t>
  </si>
  <si>
    <t>Zain Mirza</t>
  </si>
  <si>
    <t>zainmirza@outlook.com</t>
  </si>
  <si>
    <t>CUST00001011</t>
  </si>
  <si>
    <t>Rohan Shah</t>
  </si>
  <si>
    <t>rohanshah308@yahoo.com</t>
  </si>
  <si>
    <t>CUST00001012</t>
  </si>
  <si>
    <t>gauravagarwal972@outlook.com</t>
  </si>
  <si>
    <t>CUST00001013</t>
  </si>
  <si>
    <t>Ananya Mishra</t>
  </si>
  <si>
    <t>ananyamishra@gmail.com</t>
  </si>
  <si>
    <t>CUST00001014</t>
  </si>
  <si>
    <t>akashyadav@yahoo.com</t>
  </si>
  <si>
    <t>CUST00001015</t>
  </si>
  <si>
    <t>harshsingh49@yahoo.com</t>
  </si>
  <si>
    <t>CUST00001016</t>
  </si>
  <si>
    <t>Divya Agarwal</t>
  </si>
  <si>
    <t>divyaagarwal@outlook.com</t>
  </si>
  <si>
    <t>CUST00001017</t>
  </si>
  <si>
    <t>aaravagarwal538@yahoo.com</t>
  </si>
  <si>
    <t>CUST00001018</t>
  </si>
  <si>
    <t>simranmehta@yahoo.com</t>
  </si>
  <si>
    <t>CUST00001019</t>
  </si>
  <si>
    <t>Ali Sheikh</t>
  </si>
  <si>
    <t>alisheikh386@gmail.com</t>
  </si>
  <si>
    <t>CUST00001020</t>
  </si>
  <si>
    <t>imranali@yahoo.com</t>
  </si>
  <si>
    <t>CUST00001021</t>
  </si>
  <si>
    <t>harshreddy231@yahoo.com</t>
  </si>
  <si>
    <t>CUST00001022</t>
  </si>
  <si>
    <t>aadhyashah@gmail.com</t>
  </si>
  <si>
    <t>CUST00001023</t>
  </si>
  <si>
    <t>vikasnair@gmail.com</t>
  </si>
  <si>
    <t>CUST00001024</t>
  </si>
  <si>
    <t>salmanansari992@yahoo.com</t>
  </si>
  <si>
    <t>CUST00001025</t>
  </si>
  <si>
    <t>kavyaverma138@yahoo.com</t>
  </si>
  <si>
    <t>CUST00001026</t>
  </si>
  <si>
    <t>amitreddy209@yahoo.com</t>
  </si>
  <si>
    <t>CUST00001027</t>
  </si>
  <si>
    <t>kavyasingh@yahoo.com</t>
  </si>
  <si>
    <t>CUST00001028</t>
  </si>
  <si>
    <t>ayeshasiddiqui@gmail.com</t>
  </si>
  <si>
    <t>CUST00001029</t>
  </si>
  <si>
    <t>zarasheikh850@gmail.com</t>
  </si>
  <si>
    <t>CUST00001030</t>
  </si>
  <si>
    <t>sureshkumar387@outlook.com</t>
  </si>
  <si>
    <t>CUST00001031</t>
  </si>
  <si>
    <t>CUST00001032</t>
  </si>
  <si>
    <t>Aarav Gupta</t>
  </si>
  <si>
    <t>aaravgupta@gmail.com</t>
  </si>
  <si>
    <t>CUST00001033</t>
  </si>
  <si>
    <t>swatisingh@outlook.com</t>
  </si>
  <si>
    <t>CUST00001034</t>
  </si>
  <si>
    <t>Hina Ahmed</t>
  </si>
  <si>
    <t>hinaahmed@outlook.com</t>
  </si>
  <si>
    <t>CUST00001035</t>
  </si>
  <si>
    <t>zainsheikh214@yahoo.com</t>
  </si>
  <si>
    <t>CUST00001036</t>
  </si>
  <si>
    <t>poojasharma931@gmail.com</t>
  </si>
  <si>
    <t>CUST00001037</t>
  </si>
  <si>
    <t>kavyamehta195@outlook.com</t>
  </si>
  <si>
    <t>CUST00001038</t>
  </si>
  <si>
    <t>Yash Tiwari</t>
  </si>
  <si>
    <t>yashtiwari773@yahoo.com</t>
  </si>
  <si>
    <t>CUST00001039</t>
  </si>
  <si>
    <t>hinasheikh@outlook.com</t>
  </si>
  <si>
    <t>CUST00001040</t>
  </si>
  <si>
    <t>Nikhil Joshi</t>
  </si>
  <si>
    <t>nikhiljoshi@gmail.com</t>
  </si>
  <si>
    <t>CUST00001041</t>
  </si>
  <si>
    <t>karangupta246@outlook.com</t>
  </si>
  <si>
    <t>CUST00001042</t>
  </si>
  <si>
    <t>vikasshah290@yahoo.com</t>
  </si>
  <si>
    <t>CUST00001043</t>
  </si>
  <si>
    <t>aliyakhan665@yahoo.com</t>
  </si>
  <si>
    <t>CUST00001044</t>
  </si>
  <si>
    <t>priyashah369@outlook.com</t>
  </si>
  <si>
    <t>CUST00001045</t>
  </si>
  <si>
    <t>yashtiwari@yahoo.com</t>
  </si>
  <si>
    <t>CUST00001046</t>
  </si>
  <si>
    <t>Simran Mishra</t>
  </si>
  <si>
    <t>simranmishra740@yahoo.com</t>
  </si>
  <si>
    <t>CUST00001047</t>
  </si>
  <si>
    <t>poojaverma@yahoo.com</t>
  </si>
  <si>
    <t>CUST00001048</t>
  </si>
  <si>
    <t>ananyasharma@yahoo.com</t>
  </si>
  <si>
    <t>CUST00001049</t>
  </si>
  <si>
    <t>kavyamehta47@outlook.com</t>
  </si>
  <si>
    <t>CUST00001050</t>
  </si>
  <si>
    <t>Amina Ali</t>
  </si>
  <si>
    <t>aminaali@outlook.com</t>
  </si>
  <si>
    <t>CUST00001051</t>
  </si>
  <si>
    <t>Nikhil Agarwal</t>
  </si>
  <si>
    <t>nikhilagarwal268@outlook.com</t>
  </si>
  <si>
    <t>CUST00001052</t>
  </si>
  <si>
    <t>akashyadav@outlook.com</t>
  </si>
  <si>
    <t>CUST00001053</t>
  </si>
  <si>
    <t>divyaagarwal@yahoo.com</t>
  </si>
  <si>
    <t>CUST00001054</t>
  </si>
  <si>
    <t>aaravsharma338@gmail.com</t>
  </si>
  <si>
    <t>CUST00001055</t>
  </si>
  <si>
    <t>divyayadav854@gmail.com</t>
  </si>
  <si>
    <t>CUST00001056</t>
  </si>
  <si>
    <t>Ahmed Ahmed</t>
  </si>
  <si>
    <t>ahmedahmed671@outlook.com</t>
  </si>
  <si>
    <t>CUST00001057</t>
  </si>
  <si>
    <t>aadhyaverma782@yahoo.com</t>
  </si>
  <si>
    <t>CUST00001058</t>
  </si>
  <si>
    <t>yashiyer@outlook.com</t>
  </si>
  <si>
    <t>CUST00001059</t>
  </si>
  <si>
    <t>swatijoshi@yahoo.com</t>
  </si>
  <si>
    <t>CUST00001060</t>
  </si>
  <si>
    <t>Aadhya Joshi</t>
  </si>
  <si>
    <t>aadhyajoshi815@yahoo.com</t>
  </si>
  <si>
    <t>CUST00001061</t>
  </si>
  <si>
    <t>aadhyapatel738@outlook.com</t>
  </si>
  <si>
    <t>CUST00001062</t>
  </si>
  <si>
    <t>vikassharma939@outlook.com</t>
  </si>
  <si>
    <t>CUST00001063</t>
  </si>
  <si>
    <t>sureshpatel@gmail.com</t>
  </si>
  <si>
    <t>CUST00001064</t>
  </si>
  <si>
    <t>sureshiyer860@gmail.com</t>
  </si>
  <si>
    <t>CUST00001065</t>
  </si>
  <si>
    <t>Shreya Sharma</t>
  </si>
  <si>
    <t>shreyasharma@outlook.com</t>
  </si>
  <si>
    <t>CUST00001066</t>
  </si>
  <si>
    <t>Shreya Pandey</t>
  </si>
  <si>
    <t>shreyapandey7@yahoo.com</t>
  </si>
  <si>
    <t>CUST00001067</t>
  </si>
  <si>
    <t>Vikas Tiwari</t>
  </si>
  <si>
    <t>vikastiwari646@gmail.com</t>
  </si>
  <si>
    <t>CUST00001068</t>
  </si>
  <si>
    <t>adityashah155@gmail.com</t>
  </si>
  <si>
    <t>CUST00001069</t>
  </si>
  <si>
    <t>Aamir Ansari</t>
  </si>
  <si>
    <t>aamiransari467@yahoo.com</t>
  </si>
  <si>
    <t>CUST00001070</t>
  </si>
  <si>
    <t>Raj Kulkarni</t>
  </si>
  <si>
    <t>rajkulkarni654@outlook.com</t>
  </si>
  <si>
    <t>CUST00001071</t>
  </si>
  <si>
    <t>ayeshapathan@yahoo.com</t>
  </si>
  <si>
    <t>CUST00001072</t>
  </si>
  <si>
    <t>zarapathan@gmail.com</t>
  </si>
  <si>
    <t>CUST00001073</t>
  </si>
  <si>
    <t>Jasleen Singh</t>
  </si>
  <si>
    <t>jasleensingh565@yahoo.com</t>
  </si>
  <si>
    <t>CUST00001074</t>
  </si>
  <si>
    <t>simrandhillon543@outlook.com</t>
  </si>
  <si>
    <t>CUST00001075</t>
  </si>
  <si>
    <t>Hassan Rahman</t>
  </si>
  <si>
    <t>hassanrahman294@gmail.com</t>
  </si>
  <si>
    <t>CUST00001076</t>
  </si>
  <si>
    <t>arjuntiwari715@outlook.com</t>
  </si>
  <si>
    <t>CUST00001077</t>
  </si>
  <si>
    <t>rohanagarwal963@gmail.com</t>
  </si>
  <si>
    <t>CUST00001078</t>
  </si>
  <si>
    <t>sureshverma99@outlook.com</t>
  </si>
  <si>
    <t>CUST00001079</t>
  </si>
  <si>
    <t>Karan Verma</t>
  </si>
  <si>
    <t>karanverma197@outlook.com</t>
  </si>
  <si>
    <t>CUST00001080</t>
  </si>
  <si>
    <t>Khalid Sheikh</t>
  </si>
  <si>
    <t>khalidsheikh835@yahoo.com</t>
  </si>
  <si>
    <t>CUST00001081</t>
  </si>
  <si>
    <t>aminaansari407@gmail.com</t>
  </si>
  <si>
    <t>CUST00001082</t>
  </si>
  <si>
    <t>simrannair416@yahoo.com</t>
  </si>
  <si>
    <t>CUST00001083</t>
  </si>
  <si>
    <t>rajeshjoshi714@gmail.com</t>
  </si>
  <si>
    <t>CUST00001084</t>
  </si>
  <si>
    <t>amitnair848@gmail.com</t>
  </si>
  <si>
    <t>CUST00001085</t>
  </si>
  <si>
    <t>Arjun Kumar</t>
  </si>
  <si>
    <t>arjunkumar@outlook.com</t>
  </si>
  <si>
    <t>CUST00001086</t>
  </si>
  <si>
    <t>Salman Rahman</t>
  </si>
  <si>
    <t>salmanrahman@gmail.com</t>
  </si>
  <si>
    <t>CUST00001087</t>
  </si>
  <si>
    <t>Yash Agarwal</t>
  </si>
  <si>
    <t>yashagarwal387@outlook.com</t>
  </si>
  <si>
    <t>CUST00001088</t>
  </si>
  <si>
    <t>divyareddy653@gmail.com</t>
  </si>
  <si>
    <t>CUST00001089</t>
  </si>
  <si>
    <t>meghapandey@gmail.com</t>
  </si>
  <si>
    <t>CUST00001090</t>
  </si>
  <si>
    <t>akashiyer445@outlook.com</t>
  </si>
  <si>
    <t>CUST00001091</t>
  </si>
  <si>
    <t>ananyapandey@outlook.com</t>
  </si>
  <si>
    <t>CUST00001092</t>
  </si>
  <si>
    <t>Abhishek Nair</t>
  </si>
  <si>
    <t>abhisheknair@gmail.com</t>
  </si>
  <si>
    <t>CUST00001093</t>
  </si>
  <si>
    <t>shreyayadav@gmail.com</t>
  </si>
  <si>
    <t>CUST00001094</t>
  </si>
  <si>
    <t>Aarav Mishra</t>
  </si>
  <si>
    <t>aaravmishra923@outlook.com</t>
  </si>
  <si>
    <t>CUST00001095</t>
  </si>
  <si>
    <t>CUST00001096</t>
  </si>
  <si>
    <t>aliyaansari947@gmail.com</t>
  </si>
  <si>
    <t>CUST00001097</t>
  </si>
  <si>
    <t>Aliya Malik</t>
  </si>
  <si>
    <t>aliyamalik@yahoo.com</t>
  </si>
  <si>
    <t>CUST00001098</t>
  </si>
  <si>
    <t>anjalisingh@outlook.com</t>
  </si>
  <si>
    <t>CUST00001099</t>
  </si>
  <si>
    <t>Raj Sharma</t>
  </si>
  <si>
    <t>rajsharma@gmail.com</t>
  </si>
  <si>
    <t>CUST00001100</t>
  </si>
  <si>
    <t>riyapatel@yahoo.com</t>
  </si>
  <si>
    <t>CUST00001101</t>
  </si>
  <si>
    <t>farahahmed213@outlook.com</t>
  </si>
  <si>
    <t>CUST00001102</t>
  </si>
  <si>
    <t>Imran Pathan</t>
  </si>
  <si>
    <t>imranpathan841@outlook.com</t>
  </si>
  <si>
    <t>CUST00001103</t>
  </si>
  <si>
    <t>vikasreddy@gmail.com</t>
  </si>
  <si>
    <t>CUST00001104</t>
  </si>
  <si>
    <t>ananyareddy578@gmail.com</t>
  </si>
  <si>
    <t>CUST00001105</t>
  </si>
  <si>
    <t>swatigupta870@yahoo.com</t>
  </si>
  <si>
    <t>CUST00001106</t>
  </si>
  <si>
    <t>nishaagarwal@outlook.com</t>
  </si>
  <si>
    <t>CUST00001107</t>
  </si>
  <si>
    <t>rashidrahman774@outlook.com</t>
  </si>
  <si>
    <t>CUST00001108</t>
  </si>
  <si>
    <t>arjunyadav706@outlook.com</t>
  </si>
  <si>
    <t>CUST00001109</t>
  </si>
  <si>
    <t>gauravpatel764@yahoo.com</t>
  </si>
  <si>
    <t>CUST00001110</t>
  </si>
  <si>
    <t>sureshiyer448@gmail.com</t>
  </si>
  <si>
    <t>CUST00001111</t>
  </si>
  <si>
    <t>Riya Tiwari</t>
  </si>
  <si>
    <t>riyatiwari@yahoo.com</t>
  </si>
  <si>
    <t>CUST00001112</t>
  </si>
  <si>
    <t>hassanmalik@outlook.com</t>
  </si>
  <si>
    <t>CUST00001113</t>
  </si>
  <si>
    <t>saifali@yahoo.com</t>
  </si>
  <si>
    <t>CUST00001114</t>
  </si>
  <si>
    <t>omarrahman@yahoo.com</t>
  </si>
  <si>
    <t>CUST00001115</t>
  </si>
  <si>
    <t>Swati Agarwal</t>
  </si>
  <si>
    <t>swatiagarwal280@yahoo.com</t>
  </si>
  <si>
    <t>CUST00001116</t>
  </si>
  <si>
    <t>sureshiyer365@outlook.com</t>
  </si>
  <si>
    <t>CUST00001117</t>
  </si>
  <si>
    <t>kavyatiwari@yahoo.com</t>
  </si>
  <si>
    <t>CUST00001118</t>
  </si>
  <si>
    <t>poojasingh600@outlook.com</t>
  </si>
  <si>
    <t>CUST00001119</t>
  </si>
  <si>
    <t>Simran Sandhu</t>
  </si>
  <si>
    <t>simransandhu791@outlook.com</t>
  </si>
  <si>
    <t>CUST00001120</t>
  </si>
  <si>
    <t>Sana Siddiqui</t>
  </si>
  <si>
    <t>sanasiddiqui253@outlook.com</t>
  </si>
  <si>
    <t>CUST00001121</t>
  </si>
  <si>
    <t>sureshkulkarni275@gmail.com</t>
  </si>
  <si>
    <t>CUST00001122</t>
  </si>
  <si>
    <t>ananyaagarwal803@outlook.com</t>
  </si>
  <si>
    <t>CUST00001123</t>
  </si>
  <si>
    <t>karanshah399@yahoo.com</t>
  </si>
  <si>
    <t>CUST00001124</t>
  </si>
  <si>
    <t>priyasharma94@gmail.com</t>
  </si>
  <si>
    <t>CUST00001125</t>
  </si>
  <si>
    <t>Aadhya Yadav</t>
  </si>
  <si>
    <t>aadhyayadav@yahoo.com</t>
  </si>
  <si>
    <t>CUST00001126</t>
  </si>
  <si>
    <t>riyakulkarni277@gmail.com</t>
  </si>
  <si>
    <t>CUST00001127</t>
  </si>
  <si>
    <t>Harsh Tiwari</t>
  </si>
  <si>
    <t>harshtiwari192@yahoo.com</t>
  </si>
  <si>
    <t>CUST00001128</t>
  </si>
  <si>
    <t>aadhyaagarwal569@outlook.com</t>
  </si>
  <si>
    <t>CUST00001129</t>
  </si>
  <si>
    <t>Riya Gupta</t>
  </si>
  <si>
    <t>riyagupta27@gmail.com</t>
  </si>
  <si>
    <t>CUST00001130</t>
  </si>
  <si>
    <t>anjalimishra96@outlook.com</t>
  </si>
  <si>
    <t>CUST00001131</t>
  </si>
  <si>
    <t>gauravgupta333@yahoo.com</t>
  </si>
  <si>
    <t>CUST00001132</t>
  </si>
  <si>
    <t>anjaliagarwal424@yahoo.com</t>
  </si>
  <si>
    <t>CUST00001133</t>
  </si>
  <si>
    <t>kavyareddy@outlook.com</t>
  </si>
  <si>
    <t>CUST00001134</t>
  </si>
  <si>
    <t>meghanair@gmail.com</t>
  </si>
  <si>
    <t>CUST00001135</t>
  </si>
  <si>
    <t>Simran Iyer</t>
  </si>
  <si>
    <t>simraniyer174@outlook.com</t>
  </si>
  <si>
    <t>CUST00001136</t>
  </si>
  <si>
    <t>Vikas Iyer</t>
  </si>
  <si>
    <t>vikasiyer143@yahoo.com</t>
  </si>
  <si>
    <t>CUST00001137</t>
  </si>
  <si>
    <t>Imran Ansari</t>
  </si>
  <si>
    <t>imranansari505@gmail.com</t>
  </si>
  <si>
    <t>CUST00001138</t>
  </si>
  <si>
    <t>Zara Ali</t>
  </si>
  <si>
    <t>zaraali446@yahoo.com</t>
  </si>
  <si>
    <t>CUST00001139</t>
  </si>
  <si>
    <t>nikhilnair496@gmail.com</t>
  </si>
  <si>
    <t>CUST00001140</t>
  </si>
  <si>
    <t>rajyadav967@gmail.com</t>
  </si>
  <si>
    <t>CUST00001141</t>
  </si>
  <si>
    <t>sanamalik@yahoo.com</t>
  </si>
  <si>
    <t>CUST00001142</t>
  </si>
  <si>
    <t>aadhyanair201@yahoo.com</t>
  </si>
  <si>
    <t>CUST00001143</t>
  </si>
  <si>
    <t>Aisha Ahmed</t>
  </si>
  <si>
    <t>aishaahmed312@gmail.com</t>
  </si>
  <si>
    <t>CUST00001144</t>
  </si>
  <si>
    <t>anjaliverma@yahoo.com</t>
  </si>
  <si>
    <t>CUST00001145</t>
  </si>
  <si>
    <t>riyamehta@yahoo.com</t>
  </si>
  <si>
    <t>CUST00001146</t>
  </si>
  <si>
    <t>rahulpatel@yahoo.com</t>
  </si>
  <si>
    <t>CUST00001147</t>
  </si>
  <si>
    <t>Manpreet Brar</t>
  </si>
  <si>
    <t>manpreetbrar441@outlook.com</t>
  </si>
  <si>
    <t>CUST00001148</t>
  </si>
  <si>
    <t>Farah Pathan</t>
  </si>
  <si>
    <t>farahpathan@gmail.com</t>
  </si>
  <si>
    <t>CUST00001149</t>
  </si>
  <si>
    <t>gauravkumar618@outlook.com</t>
  </si>
  <si>
    <t>CUST00001150</t>
  </si>
  <si>
    <t>nehasingh322@gmail.com</t>
  </si>
  <si>
    <t>CUST00001151</t>
  </si>
  <si>
    <t>Preeti Kulkarni</t>
  </si>
  <si>
    <t>preetikulkarni@yahoo.com</t>
  </si>
  <si>
    <t>CUST00001152</t>
  </si>
  <si>
    <t>adityaagarwal712@outlook.com</t>
  </si>
  <si>
    <t>CUST00001153</t>
  </si>
  <si>
    <t>Megha Singh</t>
  </si>
  <si>
    <t>meghasingh590@gmail.com</t>
  </si>
  <si>
    <t>CUST00001154</t>
  </si>
  <si>
    <t>divyatiwari288@yahoo.com</t>
  </si>
  <si>
    <t>CUST00001155</t>
  </si>
  <si>
    <t>Nisha Nair</t>
  </si>
  <si>
    <t>nishanair955@outlook.com</t>
  </si>
  <si>
    <t>CUST00001156</t>
  </si>
  <si>
    <t>nikhilmehta559@gmail.com</t>
  </si>
  <si>
    <t>CUST00001157</t>
  </si>
  <si>
    <t>Shreya Mishra</t>
  </si>
  <si>
    <t>shreyamishra@outlook.com</t>
  </si>
  <si>
    <t>CUST00001158</t>
  </si>
  <si>
    <t>priyapandey745@yahoo.com</t>
  </si>
  <si>
    <t>CUST00001159</t>
  </si>
  <si>
    <t>CUST00001160</t>
  </si>
  <si>
    <t>Khalid Pathan</t>
  </si>
  <si>
    <t>khalidpathan299@outlook.com</t>
  </si>
  <si>
    <t>CUST00001161</t>
  </si>
  <si>
    <t>abhishekmishra869@yahoo.com</t>
  </si>
  <si>
    <t>CUST00001162</t>
  </si>
  <si>
    <t>rajeshpandey@gmail.com</t>
  </si>
  <si>
    <t>CUST00001163</t>
  </si>
  <si>
    <t>simranpatel@gmail.com</t>
  </si>
  <si>
    <t>CUST00001164</t>
  </si>
  <si>
    <t>aliyamalik158@outlook.com</t>
  </si>
  <si>
    <t>CUST00001165</t>
  </si>
  <si>
    <t>Raj Mishra</t>
  </si>
  <si>
    <t>rajmishra387@gmail.com</t>
  </si>
  <si>
    <t>CUST00001166</t>
  </si>
  <si>
    <t>omarsiddiqui613@yahoo.com</t>
  </si>
  <si>
    <t>CUST00001167</t>
  </si>
  <si>
    <t>harshkumar548@outlook.com</t>
  </si>
  <si>
    <t>CUST00001168</t>
  </si>
  <si>
    <t>harleendhillon@outlook.com</t>
  </si>
  <si>
    <t>CUST00001169</t>
  </si>
  <si>
    <t>Preeti Gupta</t>
  </si>
  <si>
    <t>preetigupta38@yahoo.com</t>
  </si>
  <si>
    <t>CUST00001170</t>
  </si>
  <si>
    <t>tariqali@outlook.com</t>
  </si>
  <si>
    <t>CUST00001171</t>
  </si>
  <si>
    <t>adityaiyer937@gmail.com</t>
  </si>
  <si>
    <t>CUST00001172</t>
  </si>
  <si>
    <t>amitreddy255@outlook.com</t>
  </si>
  <si>
    <t>CUST00001173</t>
  </si>
  <si>
    <t>shreyagupta@gmail.com</t>
  </si>
  <si>
    <t>CUST00001174</t>
  </si>
  <si>
    <t>nikhilpatel@gmail.com</t>
  </si>
  <si>
    <t>CUST00001175</t>
  </si>
  <si>
    <t>Fatima Ansari</t>
  </si>
  <si>
    <t>fatimaansari661@outlook.com</t>
  </si>
  <si>
    <t>CUST00001176</t>
  </si>
  <si>
    <t>Karan Joshi</t>
  </si>
  <si>
    <t>karanjoshi@yahoo.com</t>
  </si>
  <si>
    <t>CUST00001177</t>
  </si>
  <si>
    <t>swatimishra@yahoo.com</t>
  </si>
  <si>
    <t>CUST00001178</t>
  </si>
  <si>
    <t>Fatima Sheikh</t>
  </si>
  <si>
    <t>fatimasheikh101@yahoo.com</t>
  </si>
  <si>
    <t>CUST00001179</t>
  </si>
  <si>
    <t>rohansharma765@outlook.com</t>
  </si>
  <si>
    <t>CUST00001180</t>
  </si>
  <si>
    <t>gauravreddy705@outlook.com</t>
  </si>
  <si>
    <t>CUST00001181</t>
  </si>
  <si>
    <t>Farhan Pathan</t>
  </si>
  <si>
    <t>farhanpathan384@yahoo.com</t>
  </si>
  <si>
    <t>CUST00001182</t>
  </si>
  <si>
    <t>preetimishra696@outlook.com</t>
  </si>
  <si>
    <t>CUST00001183</t>
  </si>
  <si>
    <t>vishalverma@gmail.com</t>
  </si>
  <si>
    <t>CUST00001184</t>
  </si>
  <si>
    <t>Mohammad Malik</t>
  </si>
  <si>
    <t>mohammadmalik26@yahoo.com</t>
  </si>
  <si>
    <t>CUST00001185</t>
  </si>
  <si>
    <t>Ayesha Ansari</t>
  </si>
  <si>
    <t>ayeshaansari426@gmail.com</t>
  </si>
  <si>
    <t>CUST00001186</t>
  </si>
  <si>
    <t>aliyakhan964@outlook.com</t>
  </si>
  <si>
    <t>CUST00001187</t>
  </si>
  <si>
    <t>preetishah320@yahoo.com</t>
  </si>
  <si>
    <t>CUST00001188</t>
  </si>
  <si>
    <t>preetisharma212@outlook.com</t>
  </si>
  <si>
    <t>CUST00001189</t>
  </si>
  <si>
    <t>Salman Khan</t>
  </si>
  <si>
    <t>salmankhan488@gmail.com</t>
  </si>
  <si>
    <t>CUST00001190</t>
  </si>
  <si>
    <t>ahmedmirza714@yahoo.com</t>
  </si>
  <si>
    <t>CUST00001191</t>
  </si>
  <si>
    <t>aadhyamishra308@gmail.com</t>
  </si>
  <si>
    <t>CUST00001192</t>
  </si>
  <si>
    <t>rajreddy@gmail.com</t>
  </si>
  <si>
    <t>CUST00001193</t>
  </si>
  <si>
    <t>fatimapathan352@outlook.com</t>
  </si>
  <si>
    <t>CUST00001194</t>
  </si>
  <si>
    <t>Suresh Joshi</t>
  </si>
  <si>
    <t>sureshjoshi820@gmail.com</t>
  </si>
  <si>
    <t>CUST00001195</t>
  </si>
  <si>
    <t>CUST00001196</t>
  </si>
  <si>
    <t>nidaahmed179@outlook.com</t>
  </si>
  <si>
    <t>CUST00001197</t>
  </si>
  <si>
    <t>rajshah574@yahoo.com</t>
  </si>
  <si>
    <t>CUST00001198</t>
  </si>
  <si>
    <t>CUST00001199</t>
  </si>
  <si>
    <t>preetireddy@outlook.com</t>
  </si>
  <si>
    <t>CUST00001200</t>
  </si>
  <si>
    <t>Fatima Siddiqui</t>
  </si>
  <si>
    <t>fatimasiddiqui656@outlook.com</t>
  </si>
  <si>
    <t>CUST00001201</t>
  </si>
  <si>
    <t>nishaverma30@outlook.com</t>
  </si>
  <si>
    <t>CUST00001202</t>
  </si>
  <si>
    <t>rohannair@gmail.com</t>
  </si>
  <si>
    <t>CUST00001203</t>
  </si>
  <si>
    <t>swatinair440@yahoo.com</t>
  </si>
  <si>
    <t>CUST00001204</t>
  </si>
  <si>
    <t>Harsh Patel</t>
  </si>
  <si>
    <t>harshpatel220@gmail.com</t>
  </si>
  <si>
    <t>CUST00001205</t>
  </si>
  <si>
    <t>kavyasharma721@gmail.com</t>
  </si>
  <si>
    <t>CUST00001206</t>
  </si>
  <si>
    <t>divyasharma819@outlook.com</t>
  </si>
  <si>
    <t>CUST00001207</t>
  </si>
  <si>
    <t>farahahmed334@gmail.com</t>
  </si>
  <si>
    <t>CUST00001208</t>
  </si>
  <si>
    <t>zarapathan269@outlook.com</t>
  </si>
  <si>
    <t>CUST00001209</t>
  </si>
  <si>
    <t>simrantiwari@outlook.com</t>
  </si>
  <si>
    <t>CUST00001210</t>
  </si>
  <si>
    <t>adityapatel@yahoo.com</t>
  </si>
  <si>
    <t>CUST00001211</t>
  </si>
  <si>
    <t>riyamehta626@yahoo.com</t>
  </si>
  <si>
    <t>CUST00001212</t>
  </si>
  <si>
    <t>Farah Rahman</t>
  </si>
  <si>
    <t>farahrahman357@yahoo.com</t>
  </si>
  <si>
    <t>CUST00001213</t>
  </si>
  <si>
    <t>CUST00001214</t>
  </si>
  <si>
    <t>Fatima Ali</t>
  </si>
  <si>
    <t>fatimaali690@outlook.com</t>
  </si>
  <si>
    <t>CUST00001215</t>
  </si>
  <si>
    <t>Rajesh Yadav</t>
  </si>
  <si>
    <t>rajeshyadav@outlook.com</t>
  </si>
  <si>
    <t>CUST00001216</t>
  </si>
  <si>
    <t>abhishekpandey689@gmail.com</t>
  </si>
  <si>
    <t>CUST00001217</t>
  </si>
  <si>
    <t>farhankhan245@yahoo.com</t>
  </si>
  <si>
    <t>CUST00001218</t>
  </si>
  <si>
    <t>meghapatel383@outlook.com</t>
  </si>
  <si>
    <t>CUST00001219</t>
  </si>
  <si>
    <t>gauravsharma398@yahoo.com</t>
  </si>
  <si>
    <t>CUST00001220</t>
  </si>
  <si>
    <t>akashtiwari589@yahoo.com</t>
  </si>
  <si>
    <t>CUST00001221</t>
  </si>
  <si>
    <t>Shreya Singh</t>
  </si>
  <si>
    <t>shreyasingh499@outlook.com</t>
  </si>
  <si>
    <t>CUST00001222</t>
  </si>
  <si>
    <t>vishalpandey942@outlook.com</t>
  </si>
  <si>
    <t>CUST00001223</t>
  </si>
  <si>
    <t>kavyakulkarni@gmail.com</t>
  </si>
  <si>
    <t>CUST00001224</t>
  </si>
  <si>
    <t>Raj Patel</t>
  </si>
  <si>
    <t>rajpatel502@yahoo.com</t>
  </si>
  <si>
    <t>CUST00001225</t>
  </si>
  <si>
    <t>Shreya Nair</t>
  </si>
  <si>
    <t>shreyanair323@yahoo.com</t>
  </si>
  <si>
    <t>CUST00001226</t>
  </si>
  <si>
    <t>Rahul Mishra</t>
  </si>
  <si>
    <t>rahulmishra@yahoo.com</t>
  </si>
  <si>
    <t>CUST00001227</t>
  </si>
  <si>
    <t>yashgupta@yahoo.com</t>
  </si>
  <si>
    <t>CUST00001228</t>
  </si>
  <si>
    <t>vishalverma835@yahoo.com</t>
  </si>
  <si>
    <t>CUST00001229</t>
  </si>
  <si>
    <t>priyaagarwal@outlook.com</t>
  </si>
  <si>
    <t>CUST00001230</t>
  </si>
  <si>
    <t>simranmishra@yahoo.com</t>
  </si>
  <si>
    <t>CUST00001231</t>
  </si>
  <si>
    <t>CUST00001232</t>
  </si>
  <si>
    <t>Amandeep Kaur</t>
  </si>
  <si>
    <t>amandeepkaur@yahoo.com</t>
  </si>
  <si>
    <t>CUST00001233</t>
  </si>
  <si>
    <t>shreyapandey85@outlook.com</t>
  </si>
  <si>
    <t>CUST00001234</t>
  </si>
  <si>
    <t>divyasingh780@gmail.com</t>
  </si>
  <si>
    <t>CUST00001235</t>
  </si>
  <si>
    <t>nikhilmehta282@gmail.com</t>
  </si>
  <si>
    <t>CUST00001236</t>
  </si>
  <si>
    <t>Salman Siddiqui</t>
  </si>
  <si>
    <t>salmansiddiqui173@yahoo.com</t>
  </si>
  <si>
    <t>CUST00001237</t>
  </si>
  <si>
    <t>Farah Khan</t>
  </si>
  <si>
    <t>farahkhan792@yahoo.com</t>
  </si>
  <si>
    <t>CUST00001238</t>
  </si>
  <si>
    <t>swatinair116@outlook.com</t>
  </si>
  <si>
    <t>CUST00001239</t>
  </si>
  <si>
    <t>nidaali794@outlook.com</t>
  </si>
  <si>
    <t>CUST00001240</t>
  </si>
  <si>
    <t>rajyadav@yahoo.com</t>
  </si>
  <si>
    <t>CUST00001241</t>
  </si>
  <si>
    <t>rashidkhan775@gmail.com</t>
  </si>
  <si>
    <t>CUST00001242</t>
  </si>
  <si>
    <t>CUST00001243</t>
  </si>
  <si>
    <t>aadhyaverma436@gmail.com</t>
  </si>
  <si>
    <t>CUST00001244</t>
  </si>
  <si>
    <t>CUST00001245</t>
  </si>
  <si>
    <t>ananyakumar@yahoo.com</t>
  </si>
  <si>
    <t>CUST00001246</t>
  </si>
  <si>
    <t>meghamishra@gmail.com</t>
  </si>
  <si>
    <t>CUST00001247</t>
  </si>
  <si>
    <t>simranyadav357@gmail.com</t>
  </si>
  <si>
    <t>CUST00001248</t>
  </si>
  <si>
    <t>akashpandey121@gmail.com</t>
  </si>
  <si>
    <t>CUST00001249</t>
  </si>
  <si>
    <t>rohanpatel756@outlook.com</t>
  </si>
  <si>
    <t>CUST00001250</t>
  </si>
  <si>
    <t>nishareddy@outlook.com</t>
  </si>
  <si>
    <t>CUST00001251</t>
  </si>
  <si>
    <t>CUST00001252</t>
  </si>
  <si>
    <t>arjunkumar143@gmail.com</t>
  </si>
  <si>
    <t>CUST00001253</t>
  </si>
  <si>
    <t>meghasingh@gmail.com</t>
  </si>
  <si>
    <t>CUST00001254</t>
  </si>
  <si>
    <t>CUST00001255</t>
  </si>
  <si>
    <t>meghakumar173@yahoo.com</t>
  </si>
  <si>
    <t>CUST00001256</t>
  </si>
  <si>
    <t>CUST00001257</t>
  </si>
  <si>
    <t>divyayadav274@outlook.com</t>
  </si>
  <si>
    <t>CUST00001258</t>
  </si>
  <si>
    <t>Vikas Mishra</t>
  </si>
  <si>
    <t>vikasmishra@outlook.com</t>
  </si>
  <si>
    <t>CUST00001259</t>
  </si>
  <si>
    <t>CUST00001260</t>
  </si>
  <si>
    <t>Vishal Patel</t>
  </si>
  <si>
    <t>vishalpatel@yahoo.com</t>
  </si>
  <si>
    <t>CUST00001261</t>
  </si>
  <si>
    <t>ananyakulkarni@yahoo.com</t>
  </si>
  <si>
    <t>CUST00001262</t>
  </si>
  <si>
    <t>vikasverma@gmail.com</t>
  </si>
  <si>
    <t>CUST00001263</t>
  </si>
  <si>
    <t>CUST00001264</t>
  </si>
  <si>
    <t>Anjali Tiwari</t>
  </si>
  <si>
    <t>anjalitiwari729@yahoo.com</t>
  </si>
  <si>
    <t>CUST00001265</t>
  </si>
  <si>
    <t>Amit Mehta</t>
  </si>
  <si>
    <t>amitmehta@outlook.com</t>
  </si>
  <si>
    <t>CUST00001266</t>
  </si>
  <si>
    <t>Amina Mirza</t>
  </si>
  <si>
    <t>aminamirza146@outlook.com</t>
  </si>
  <si>
    <t>CUST00001267</t>
  </si>
  <si>
    <t>riyaiyer@outlook.com</t>
  </si>
  <si>
    <t>CUST00001268</t>
  </si>
  <si>
    <t>Ali Rahman</t>
  </si>
  <si>
    <t>alirahman463@gmail.com</t>
  </si>
  <si>
    <t>CUST00001269</t>
  </si>
  <si>
    <t>rohankumar@gmail.com</t>
  </si>
  <si>
    <t>CUST00001270</t>
  </si>
  <si>
    <t>rahulgupta768@yahoo.com</t>
  </si>
  <si>
    <t>CUST00001271</t>
  </si>
  <si>
    <t>vishalagarwal@yahoo.com</t>
  </si>
  <si>
    <t>CUST00001272</t>
  </si>
  <si>
    <t>priyashah500@yahoo.com</t>
  </si>
  <si>
    <t>CUST00001273</t>
  </si>
  <si>
    <t>harshsharma890@outlook.com</t>
  </si>
  <si>
    <t>CUST00001274</t>
  </si>
  <si>
    <t>karanshah996@yahoo.com</t>
  </si>
  <si>
    <t>CUST00001275</t>
  </si>
  <si>
    <t>akashsingh@outlook.com</t>
  </si>
  <si>
    <t>CUST00001276</t>
  </si>
  <si>
    <t>Simran Verma</t>
  </si>
  <si>
    <t>simranverma65@outlook.com</t>
  </si>
  <si>
    <t>CUST00001277</t>
  </si>
  <si>
    <t>preetimehta992@yahoo.com</t>
  </si>
  <si>
    <t>CUST00001278</t>
  </si>
  <si>
    <t>Tariq Rahman</t>
  </si>
  <si>
    <t>tariqrahman@yahoo.com</t>
  </si>
  <si>
    <t>CUST00001279</t>
  </si>
  <si>
    <t>karantiwari849@yahoo.com</t>
  </si>
  <si>
    <t>CUST00001280</t>
  </si>
  <si>
    <t>ananyamehta592@gmail.com</t>
  </si>
  <si>
    <t>CUST00001281</t>
  </si>
  <si>
    <t>Yash Joshi</t>
  </si>
  <si>
    <t>yashjoshi497@yahoo.com</t>
  </si>
  <si>
    <t>CUST00001282</t>
  </si>
  <si>
    <t>meghaverma@gmail.com</t>
  </si>
  <si>
    <t>CUST00001283</t>
  </si>
  <si>
    <t>ayeshasiddiqui642@yahoo.com</t>
  </si>
  <si>
    <t>CUST00001284</t>
  </si>
  <si>
    <t>aadhyakulkarni952@gmail.com</t>
  </si>
  <si>
    <t>CUST00001285</t>
  </si>
  <si>
    <t>Saif Siddiqui</t>
  </si>
  <si>
    <t>saifsiddiqui1@yahoo.com</t>
  </si>
  <si>
    <t>CUST00001286</t>
  </si>
  <si>
    <t>Zain Rahman</t>
  </si>
  <si>
    <t>zainrahman706@gmail.com</t>
  </si>
  <si>
    <t>CUST00001287</t>
  </si>
  <si>
    <t>rohanjoshi@yahoo.com</t>
  </si>
  <si>
    <t>CUST00001288</t>
  </si>
  <si>
    <t>kavyayadav956@yahoo.com</t>
  </si>
  <si>
    <t>CUST00001289</t>
  </si>
  <si>
    <t>akashtiwari370@yahoo.com</t>
  </si>
  <si>
    <t>CUST00001290</t>
  </si>
  <si>
    <t>nishamishra681@outlook.com</t>
  </si>
  <si>
    <t>CUST00001291</t>
  </si>
  <si>
    <t>Zain Khan</t>
  </si>
  <si>
    <t>zainkhan406@outlook.com</t>
  </si>
  <si>
    <t>CUST00001292</t>
  </si>
  <si>
    <t>rajsingh717@gmail.com</t>
  </si>
  <si>
    <t>CUST00001293</t>
  </si>
  <si>
    <t>nishayadav94@outlook.com</t>
  </si>
  <si>
    <t>CUST00001294</t>
  </si>
  <si>
    <t>Aliya Rahman</t>
  </si>
  <si>
    <t>aliyarahman219@yahoo.com</t>
  </si>
  <si>
    <t>CUST00001295</t>
  </si>
  <si>
    <t>nishasingh608@gmail.com</t>
  </si>
  <si>
    <t>CUST00001296</t>
  </si>
  <si>
    <t>rohanyadav456@gmail.com</t>
  </si>
  <si>
    <t>CUST00001297</t>
  </si>
  <si>
    <t>yashmehta352@gmail.com</t>
  </si>
  <si>
    <t>CUST00001298</t>
  </si>
  <si>
    <t>Amit Kumar</t>
  </si>
  <si>
    <t>amitkumar@yahoo.com</t>
  </si>
  <si>
    <t>CUST00001299</t>
  </si>
  <si>
    <t>CUST00001300</t>
  </si>
  <si>
    <t>aishamalik393@gmail.com</t>
  </si>
  <si>
    <t>CUST00001301</t>
  </si>
  <si>
    <t>Tariq Siddiqui</t>
  </si>
  <si>
    <t>tariqsiddiqui@gmail.com</t>
  </si>
  <si>
    <t>CUST00001302</t>
  </si>
  <si>
    <t>nehayadav377@yahoo.com</t>
  </si>
  <si>
    <t>CUST00001303</t>
  </si>
  <si>
    <t>amitgupta793@gmail.com</t>
  </si>
  <si>
    <t>CUST00001304</t>
  </si>
  <si>
    <t>khalidsheikh@outlook.com</t>
  </si>
  <si>
    <t>CUST00001305</t>
  </si>
  <si>
    <t>ananyakulkarni544@outlook.com</t>
  </si>
  <si>
    <t>CUST00001306</t>
  </si>
  <si>
    <t>sureshsingh666@gmail.com</t>
  </si>
  <si>
    <t>CUST00001307</t>
  </si>
  <si>
    <t>swatipandey740@gmail.com</t>
  </si>
  <si>
    <t>CUST00001308</t>
  </si>
  <si>
    <t>CUST00001309</t>
  </si>
  <si>
    <t>priyamehta@outlook.com</t>
  </si>
  <si>
    <t>CUST00001310</t>
  </si>
  <si>
    <t>aishamirza@gmail.com</t>
  </si>
  <si>
    <t>CUST00001311</t>
  </si>
  <si>
    <t>adityamehta103@gmail.com</t>
  </si>
  <si>
    <t>CUST00001312</t>
  </si>
  <si>
    <t>divyanair@outlook.com</t>
  </si>
  <si>
    <t>CUST00001313</t>
  </si>
  <si>
    <t>meghajoshi@yahoo.com</t>
  </si>
  <si>
    <t>CUST00001314</t>
  </si>
  <si>
    <t>Imran Khan</t>
  </si>
  <si>
    <t>imrankhan@yahoo.com</t>
  </si>
  <si>
    <t>CUST00001315</t>
  </si>
  <si>
    <t>rohanjoshi@gmail.com</t>
  </si>
  <si>
    <t>CUST00001316</t>
  </si>
  <si>
    <t>nishanair87@gmail.com</t>
  </si>
  <si>
    <t>CUST00001317</t>
  </si>
  <si>
    <t>fatimaansari615@outlook.com</t>
  </si>
  <si>
    <t>CUST00001318</t>
  </si>
  <si>
    <t>aminapathan@outlook.com</t>
  </si>
  <si>
    <t>CUST00001319</t>
  </si>
  <si>
    <t>Suresh Reddy</t>
  </si>
  <si>
    <t>sureshreddy868@outlook.com</t>
  </si>
  <si>
    <t>CUST00001320</t>
  </si>
  <si>
    <t>yashpatel@gmail.com</t>
  </si>
  <si>
    <t>CUST00001321</t>
  </si>
  <si>
    <t>kavyanair522@gmail.com</t>
  </si>
  <si>
    <t>CUST00001322</t>
  </si>
  <si>
    <t>Ahmed Siddiqui</t>
  </si>
  <si>
    <t>ahmedsiddiqui@yahoo.com</t>
  </si>
  <si>
    <t>CUST00001323</t>
  </si>
  <si>
    <t>nishamehta@gmail.com</t>
  </si>
  <si>
    <t>CUST00001324</t>
  </si>
  <si>
    <t>aadhyamishra116@gmail.com</t>
  </si>
  <si>
    <t>CUST00001325</t>
  </si>
  <si>
    <t>Anjali Yadav</t>
  </si>
  <si>
    <t>anjaliyadav609@gmail.com</t>
  </si>
  <si>
    <t>CUST00001326</t>
  </si>
  <si>
    <t>swatikulkarni13@yahoo.com</t>
  </si>
  <si>
    <t>CUST00001327</t>
  </si>
  <si>
    <t>CUST00001328</t>
  </si>
  <si>
    <t>adityapandey860@outlook.com</t>
  </si>
  <si>
    <t>CUST00001329</t>
  </si>
  <si>
    <t>Anjali Shah</t>
  </si>
  <si>
    <t>anjalishah560@outlook.com</t>
  </si>
  <si>
    <t>CUST00001330</t>
  </si>
  <si>
    <t>adityaiyer483@gmail.com</t>
  </si>
  <si>
    <t>CUST00001331</t>
  </si>
  <si>
    <t>ananyasharma70@gmail.com</t>
  </si>
  <si>
    <t>CUST00001332</t>
  </si>
  <si>
    <t>divyaverma41@gmail.com</t>
  </si>
  <si>
    <t>CUST00001333</t>
  </si>
  <si>
    <t>ananyayadav@yahoo.com</t>
  </si>
  <si>
    <t>CUST00001334</t>
  </si>
  <si>
    <t>sanamalik644@outlook.com</t>
  </si>
  <si>
    <t>CUST00001335</t>
  </si>
  <si>
    <t>meghatiwari426@yahoo.com</t>
  </si>
  <si>
    <t>CUST00001336</t>
  </si>
  <si>
    <t>Ayesha Rahman</t>
  </si>
  <si>
    <t>ayesharahman@gmail.com</t>
  </si>
  <si>
    <t>CUST00001337</t>
  </si>
  <si>
    <t>riyakumar@outlook.com</t>
  </si>
  <si>
    <t>CUST00001338</t>
  </si>
  <si>
    <t>Gurleen Sandhu</t>
  </si>
  <si>
    <t>gurleensandhu@yahoo.com</t>
  </si>
  <si>
    <t>CUST00001339</t>
  </si>
  <si>
    <t>aadhyamishra81@outlook.com</t>
  </si>
  <si>
    <t>CUST00001340</t>
  </si>
  <si>
    <t>riyapatel@gmail.com</t>
  </si>
  <si>
    <t>CUST00001341</t>
  </si>
  <si>
    <t>Vishal Singh</t>
  </si>
  <si>
    <t>vishalsingh401@outlook.com</t>
  </si>
  <si>
    <t>CUST00001342</t>
  </si>
  <si>
    <t>priyatiwari@outlook.com</t>
  </si>
  <si>
    <t>CUST00001343</t>
  </si>
  <si>
    <t>riyapandey@gmail.com</t>
  </si>
  <si>
    <t>CUST00001344</t>
  </si>
  <si>
    <t>harshjoshi448@outlook.com</t>
  </si>
  <si>
    <t>CUST00001345</t>
  </si>
  <si>
    <t>rajeshnair@gmail.com</t>
  </si>
  <si>
    <t>CUST00001346</t>
  </si>
  <si>
    <t>arifahmed89@yahoo.com</t>
  </si>
  <si>
    <t>CUST00001347</t>
  </si>
  <si>
    <t>rajtiwari627@outlook.com</t>
  </si>
  <si>
    <t>CUST00001348</t>
  </si>
  <si>
    <t>arjunnair683@outlook.com</t>
  </si>
  <si>
    <t>CUST00001349</t>
  </si>
  <si>
    <t>CUST00001350</t>
  </si>
  <si>
    <t>aishaansari725@gmail.com</t>
  </si>
  <si>
    <t>CUST00001351</t>
  </si>
  <si>
    <t>CUST00001352</t>
  </si>
  <si>
    <t>kavyareddy356@outlook.com</t>
  </si>
  <si>
    <t>CUST00001353</t>
  </si>
  <si>
    <t>nishaagarwal843@outlook.com</t>
  </si>
  <si>
    <t>CUST00001354</t>
  </si>
  <si>
    <t>farahsiddiqui381@gmail.com</t>
  </si>
  <si>
    <t>CUST00001355</t>
  </si>
  <si>
    <t>hassanali@yahoo.com</t>
  </si>
  <si>
    <t>CUST00001356</t>
  </si>
  <si>
    <t>hinakhan@gmail.com</t>
  </si>
  <si>
    <t>CUST00001357</t>
  </si>
  <si>
    <t>amitreddy@gmail.com</t>
  </si>
  <si>
    <t>CUST00001358</t>
  </si>
  <si>
    <t>aaravpatel440@yahoo.com</t>
  </si>
  <si>
    <t>CUST00001359</t>
  </si>
  <si>
    <t>rajeshpandey270@outlook.com</t>
  </si>
  <si>
    <t>CUST00001360</t>
  </si>
  <si>
    <t>shreyajoshi@outlook.com</t>
  </si>
  <si>
    <t>CUST00001361</t>
  </si>
  <si>
    <t>aishasiddiqui467@outlook.com</t>
  </si>
  <si>
    <t>CUST00001362</t>
  </si>
  <si>
    <t>yashmishra512@outlook.com</t>
  </si>
  <si>
    <t>CUST00001363</t>
  </si>
  <si>
    <t>nishayadav162@yahoo.com</t>
  </si>
  <si>
    <t>CUST00001364</t>
  </si>
  <si>
    <t>CUST00001365</t>
  </si>
  <si>
    <t>anjaliiyer@gmail.com</t>
  </si>
  <si>
    <t>CUST00001366</t>
  </si>
  <si>
    <t>sureshmishra522@gmail.com</t>
  </si>
  <si>
    <t>CUST00001367</t>
  </si>
  <si>
    <t>Divya Iyer</t>
  </si>
  <si>
    <t>divyaiyer884@gmail.com</t>
  </si>
  <si>
    <t>CUST00001368</t>
  </si>
  <si>
    <t>preetitiwari484@yahoo.com</t>
  </si>
  <si>
    <t>CUST00001369</t>
  </si>
  <si>
    <t>Kavya Agarwal</t>
  </si>
  <si>
    <t>kavyaagarwal154@gmail.com</t>
  </si>
  <si>
    <t>CUST00001370</t>
  </si>
  <si>
    <t>amittiwari@gmail.com</t>
  </si>
  <si>
    <t>CUST00001371</t>
  </si>
  <si>
    <t>Nikhil Sharma</t>
  </si>
  <si>
    <t>nikhilsharma936@outlook.com</t>
  </si>
  <si>
    <t>CUST00001372</t>
  </si>
  <si>
    <t>Navjot Sandhu</t>
  </si>
  <si>
    <t>navjotsandhu@yahoo.com</t>
  </si>
  <si>
    <t>CUST00001373</t>
  </si>
  <si>
    <t>Simran Agarwal</t>
  </si>
  <si>
    <t>simranagarwal255@yahoo.com</t>
  </si>
  <si>
    <t>CUST00001374</t>
  </si>
  <si>
    <t>zararahman@yahoo.com</t>
  </si>
  <si>
    <t>CUST00001375</t>
  </si>
  <si>
    <t>aishaansari80@outlook.com</t>
  </si>
  <si>
    <t>CUST00001376</t>
  </si>
  <si>
    <t>Vishal Mishra</t>
  </si>
  <si>
    <t>vishalmishra515@outlook.com</t>
  </si>
  <si>
    <t>CUST00001377</t>
  </si>
  <si>
    <t>Nida Mirza</t>
  </si>
  <si>
    <t>nidamirza@gmail.com</t>
  </si>
  <si>
    <t>CUST00001378</t>
  </si>
  <si>
    <t>Navjot Singh</t>
  </si>
  <si>
    <t>navjotsingh529@gmail.com</t>
  </si>
  <si>
    <t>CUST00001379</t>
  </si>
  <si>
    <t>kavyashah@gmail.com</t>
  </si>
  <si>
    <t>CUST00001380</t>
  </si>
  <si>
    <t>abhishekagarwal@yahoo.com</t>
  </si>
  <si>
    <t>CUST00001381</t>
  </si>
  <si>
    <t>Harleen Grewal</t>
  </si>
  <si>
    <t>harleengrewal@yahoo.com</t>
  </si>
  <si>
    <t>CUST00001382</t>
  </si>
  <si>
    <t>Rohan Tiwari</t>
  </si>
  <si>
    <t>rohantiwari567@yahoo.com</t>
  </si>
  <si>
    <t>CUST00001383</t>
  </si>
  <si>
    <t>nishanair206@yahoo.com</t>
  </si>
  <si>
    <t>CUST00001384</t>
  </si>
  <si>
    <t>meghamishra312@outlook.com</t>
  </si>
  <si>
    <t>CUST00001385</t>
  </si>
  <si>
    <t>shreyagupta@yahoo.com</t>
  </si>
  <si>
    <t>CUST00001386</t>
  </si>
  <si>
    <t>amitmehta996@yahoo.com</t>
  </si>
  <si>
    <t>CUST00001387</t>
  </si>
  <si>
    <t>CUST00001388</t>
  </si>
  <si>
    <t>CUST00001389</t>
  </si>
  <si>
    <t>Riya Sharma</t>
  </si>
  <si>
    <t>riyasharma@gmail.com</t>
  </si>
  <si>
    <t>CUST00001390</t>
  </si>
  <si>
    <t>adityakumar955@yahoo.com</t>
  </si>
  <si>
    <t>CUST00001391</t>
  </si>
  <si>
    <t>rohansharma555@yahoo.com</t>
  </si>
  <si>
    <t>CUST00001392</t>
  </si>
  <si>
    <t>shreyapatel@outlook.com</t>
  </si>
  <si>
    <t>CUST00001393</t>
  </si>
  <si>
    <t>priyakumar@yahoo.com</t>
  </si>
  <si>
    <t>CUST00001394</t>
  </si>
  <si>
    <t>sureshtiwari674@yahoo.com</t>
  </si>
  <si>
    <t>CUST00001395</t>
  </si>
  <si>
    <t>CUST00001396</t>
  </si>
  <si>
    <t>Rohan Singh</t>
  </si>
  <si>
    <t>rohansingh211@outlook.com</t>
  </si>
  <si>
    <t>CUST00001397</t>
  </si>
  <si>
    <t>meghaiyer@yahoo.com</t>
  </si>
  <si>
    <t>CUST00001398</t>
  </si>
  <si>
    <t>meghaagarwal62@gmail.com</t>
  </si>
  <si>
    <t>CUST00001399</t>
  </si>
  <si>
    <t>Sana Ahmed</t>
  </si>
  <si>
    <t>sanaahmed@gmail.com</t>
  </si>
  <si>
    <t>CUST00001400</t>
  </si>
  <si>
    <t>vikassharma238@outlook.com</t>
  </si>
  <si>
    <t>CUST00001401</t>
  </si>
  <si>
    <t>simranmishra918@yahoo.com</t>
  </si>
  <si>
    <t>CUST00001402</t>
  </si>
  <si>
    <t>divyasingh766@gmail.com</t>
  </si>
  <si>
    <t>CUST00001403</t>
  </si>
  <si>
    <t>poojamehta518@gmail.com</t>
  </si>
  <si>
    <t>CUST00001404</t>
  </si>
  <si>
    <t>rajeshjoshi@yahoo.com</t>
  </si>
  <si>
    <t>CUST00001405</t>
  </si>
  <si>
    <t>manpreetbrar582@gmail.com</t>
  </si>
  <si>
    <t>CUST00001406</t>
  </si>
  <si>
    <t>akashverma988@gmail.com</t>
  </si>
  <si>
    <t>CUST00001407</t>
  </si>
  <si>
    <t>rajeshkulkarni268@yahoo.com</t>
  </si>
  <si>
    <t>CUST00001408</t>
  </si>
  <si>
    <t>CUST00001409</t>
  </si>
  <si>
    <t>Fatima Rahman</t>
  </si>
  <si>
    <t>fatimarahman@outlook.com</t>
  </si>
  <si>
    <t>CUST00001410</t>
  </si>
  <si>
    <t>Abhishek Kumar</t>
  </si>
  <si>
    <t>abhishekkumar464@yahoo.com</t>
  </si>
  <si>
    <t>CUST00001411</t>
  </si>
  <si>
    <t>adityapandey967@gmail.com</t>
  </si>
  <si>
    <t>CUST00001412</t>
  </si>
  <si>
    <t>Zara Malik</t>
  </si>
  <si>
    <t>zaramalik789@outlook.com</t>
  </si>
  <si>
    <t>CUST00001413</t>
  </si>
  <si>
    <t>Vishal Tiwari</t>
  </si>
  <si>
    <t>vishaltiwari109@gmail.com</t>
  </si>
  <si>
    <t>CUST00001414</t>
  </si>
  <si>
    <t>nishanair322@yahoo.com</t>
  </si>
  <si>
    <t>CUST00001415</t>
  </si>
  <si>
    <t>Rahul Singh</t>
  </si>
  <si>
    <t>rahulsingh367@gmail.com</t>
  </si>
  <si>
    <t>CUST00001416</t>
  </si>
  <si>
    <t>Amina Malik</t>
  </si>
  <si>
    <t>aminamalik475@yahoo.com</t>
  </si>
  <si>
    <t>CUST00001417</t>
  </si>
  <si>
    <t>akashpatel@gmail.com</t>
  </si>
  <si>
    <t>CUST00001418</t>
  </si>
  <si>
    <t>swatiyadav703@yahoo.com</t>
  </si>
  <si>
    <t>CUST00001419</t>
  </si>
  <si>
    <t>preetigupta@outlook.com</t>
  </si>
  <si>
    <t>CUST00001420</t>
  </si>
  <si>
    <t>arjunreddy@gmail.com</t>
  </si>
  <si>
    <t>CUST00001421</t>
  </si>
  <si>
    <t>nehayadav@yahoo.com</t>
  </si>
  <si>
    <t>CUST00001422</t>
  </si>
  <si>
    <t>Arjun Mishra</t>
  </si>
  <si>
    <t>arjunmishra729@gmail.com</t>
  </si>
  <si>
    <t>CUST00001423</t>
  </si>
  <si>
    <t>swatipatel@yahoo.com</t>
  </si>
  <si>
    <t>CUST00001424</t>
  </si>
  <si>
    <t>hinamirza694@yahoo.com</t>
  </si>
  <si>
    <t>CUST00001425</t>
  </si>
  <si>
    <t>Salman Ahmed</t>
  </si>
  <si>
    <t>salmanahmed179@gmail.com</t>
  </si>
  <si>
    <t>CUST00001426</t>
  </si>
  <si>
    <t>aadhyasingh@yahoo.com</t>
  </si>
  <si>
    <t>CUST00001427</t>
  </si>
  <si>
    <t>kavyaiyer564@gmail.com</t>
  </si>
  <si>
    <t>CUST00001428</t>
  </si>
  <si>
    <t>fatimamirza105@gmail.com</t>
  </si>
  <si>
    <t>CUST00001429</t>
  </si>
  <si>
    <t>Mohammad Rahman</t>
  </si>
  <si>
    <t>mohammadrahman64@gmail.com</t>
  </si>
  <si>
    <t>CUST00001430</t>
  </si>
  <si>
    <t>zarasheikh844@yahoo.com</t>
  </si>
  <si>
    <t>CUST00001431</t>
  </si>
  <si>
    <t>amityadav646@outlook.com</t>
  </si>
  <si>
    <t>CUST00001432</t>
  </si>
  <si>
    <t>abhishekmishra601@yahoo.com</t>
  </si>
  <si>
    <t>CUST00001433</t>
  </si>
  <si>
    <t>ananyayadav@gmail.com</t>
  </si>
  <si>
    <t>CUST00001434</t>
  </si>
  <si>
    <t>nehasharma67@gmail.com</t>
  </si>
  <si>
    <t>CUST00001435</t>
  </si>
  <si>
    <t>adityaiyer@yahoo.com</t>
  </si>
  <si>
    <t>CUST00001436</t>
  </si>
  <si>
    <t>gurleendhillon@gmail.com</t>
  </si>
  <si>
    <t>CUST00001437</t>
  </si>
  <si>
    <t>CUST00001438</t>
  </si>
  <si>
    <t>aminamalik965@yahoo.com</t>
  </si>
  <si>
    <t>CUST00001439</t>
  </si>
  <si>
    <t>rajeshyadav947@outlook.com</t>
  </si>
  <si>
    <t>CUST00001440</t>
  </si>
  <si>
    <t>sureshpatel742@yahoo.com</t>
  </si>
  <si>
    <t>CUST00001441</t>
  </si>
  <si>
    <t>meghatiwari392@outlook.com</t>
  </si>
  <si>
    <t>CUST00001442</t>
  </si>
  <si>
    <t>Farah Mirza</t>
  </si>
  <si>
    <t>farahmirza363@gmail.com</t>
  </si>
  <si>
    <t>CUST00001443</t>
  </si>
  <si>
    <t>CUST00001444</t>
  </si>
  <si>
    <t>nishasharma905@gmail.com</t>
  </si>
  <si>
    <t>CUST00001445</t>
  </si>
  <si>
    <t>hassankhan635@outlook.com</t>
  </si>
  <si>
    <t>CUST00001446</t>
  </si>
  <si>
    <t>gurpreetbrar303@yahoo.com</t>
  </si>
  <si>
    <t>CUST00001447</t>
  </si>
  <si>
    <t>Riya Mishra</t>
  </si>
  <si>
    <t>riyamishra564@yahoo.com</t>
  </si>
  <si>
    <t>CUST00001448</t>
  </si>
  <si>
    <t>riyaiyer287@yahoo.com</t>
  </si>
  <si>
    <t>CUST00001449</t>
  </si>
  <si>
    <t>yashtiwari205@outlook.com</t>
  </si>
  <si>
    <t>CUST00001450</t>
  </si>
  <si>
    <t>rajshah@outlook.com</t>
  </si>
  <si>
    <t>CUST00001451</t>
  </si>
  <si>
    <t>sureshagarwal822@outlook.com</t>
  </si>
  <si>
    <t>CUST00001452</t>
  </si>
  <si>
    <t>swatiagarwal@yahoo.com</t>
  </si>
  <si>
    <t>CUST00001453</t>
  </si>
  <si>
    <t>CUST00001454</t>
  </si>
  <si>
    <t>rajeshkulkarni801@yahoo.com</t>
  </si>
  <si>
    <t>CUST00001455</t>
  </si>
  <si>
    <t>rajmehta580@outlook.com</t>
  </si>
  <si>
    <t>CUST00001456</t>
  </si>
  <si>
    <t>nehagupta277@gmail.com</t>
  </si>
  <si>
    <t>CUST00001457</t>
  </si>
  <si>
    <t>Yash Reddy</t>
  </si>
  <si>
    <t>yashreddy612@gmail.com</t>
  </si>
  <si>
    <t>CUST00001458</t>
  </si>
  <si>
    <t>Gaurav Singh</t>
  </si>
  <si>
    <t>gauravsingh831@yahoo.com</t>
  </si>
  <si>
    <t>CUST00001459</t>
  </si>
  <si>
    <t>fatimamirza484@outlook.com</t>
  </si>
  <si>
    <t>CUST00001460</t>
  </si>
  <si>
    <t>ananyashah599@gmail.com</t>
  </si>
  <si>
    <t>CUST00001461</t>
  </si>
  <si>
    <t>CUST00001462</t>
  </si>
  <si>
    <t>ananyareddy247@yahoo.com</t>
  </si>
  <si>
    <t>CUST00001463</t>
  </si>
  <si>
    <t>arjunsharma811@outlook.com</t>
  </si>
  <si>
    <t>CUST00001464</t>
  </si>
  <si>
    <t>aadhyamishra971@gmail.com</t>
  </si>
  <si>
    <t>CUST00001465</t>
  </si>
  <si>
    <t>rohanmishra817@yahoo.com</t>
  </si>
  <si>
    <t>CUST00001466</t>
  </si>
  <si>
    <t>kavyaverma860@gmail.com</t>
  </si>
  <si>
    <t>CUST00001467</t>
  </si>
  <si>
    <t>aishamalik607@yahoo.com</t>
  </si>
  <si>
    <t>CUST00001468</t>
  </si>
  <si>
    <t>riyashah@outlook.com</t>
  </si>
  <si>
    <t>CUST00001469</t>
  </si>
  <si>
    <t>Aarav Verma</t>
  </si>
  <si>
    <t>aaravverma606@gmail.com</t>
  </si>
  <si>
    <t>CUST00001470</t>
  </si>
  <si>
    <t>simrankulkarni@yahoo.com</t>
  </si>
  <si>
    <t>CUST00001471</t>
  </si>
  <si>
    <t>yashgupta@outlook.com</t>
  </si>
  <si>
    <t>CUST00001472</t>
  </si>
  <si>
    <t>shreyaiyer972@gmail.com</t>
  </si>
  <si>
    <t>CUST00001473</t>
  </si>
  <si>
    <t>nikhilmehta@yahoo.com</t>
  </si>
  <si>
    <t>CUST00001474</t>
  </si>
  <si>
    <t>ananyashah180@yahoo.com</t>
  </si>
  <si>
    <t>CUST00001475</t>
  </si>
  <si>
    <t>preetireddy58@gmail.com</t>
  </si>
  <si>
    <t>CUST00001476</t>
  </si>
  <si>
    <t>CUST00001477</t>
  </si>
  <si>
    <t>rahulsingh1@yahoo.com</t>
  </si>
  <si>
    <t>CUST00001478</t>
  </si>
  <si>
    <t>CUST00001479</t>
  </si>
  <si>
    <t>aminarahman@yahoo.com</t>
  </si>
  <si>
    <t>CUST00001480</t>
  </si>
  <si>
    <t>rajpatel@yahoo.com</t>
  </si>
  <si>
    <t>CUST00001481</t>
  </si>
  <si>
    <t>Shreya Agarwal</t>
  </si>
  <si>
    <t>shreyaagarwal152@outlook.com</t>
  </si>
  <si>
    <t>CUST00001482</t>
  </si>
  <si>
    <t>Nikhil Mishra</t>
  </si>
  <si>
    <t>nikhilmishra@gmail.com</t>
  </si>
  <si>
    <t>CUST00001483</t>
  </si>
  <si>
    <t>rajeshsingh@outlook.com</t>
  </si>
  <si>
    <t>CUST00001484</t>
  </si>
  <si>
    <t>shreyajoshi@gmail.com</t>
  </si>
  <si>
    <t>CUST00001485</t>
  </si>
  <si>
    <t>nishajoshi965@outlook.com</t>
  </si>
  <si>
    <t>CUST00001486</t>
  </si>
  <si>
    <t>Kuldeep Brar</t>
  </si>
  <si>
    <t>kuldeepbrar104@yahoo.com</t>
  </si>
  <si>
    <t>CUST00001487</t>
  </si>
  <si>
    <t>priyasingh140@gmail.com</t>
  </si>
  <si>
    <t>CUST00001488</t>
  </si>
  <si>
    <t>zainahmed@yahoo.com</t>
  </si>
  <si>
    <t>CUST00001489</t>
  </si>
  <si>
    <t>gauravmishra@yahoo.com</t>
  </si>
  <si>
    <t>CUST00001490</t>
  </si>
  <si>
    <t>CUST00001491</t>
  </si>
  <si>
    <t>arjunkulkarni@outlook.com</t>
  </si>
  <si>
    <t>CUST00001492</t>
  </si>
  <si>
    <t>poojayadav@outlook.com</t>
  </si>
  <si>
    <t>CUST00001493</t>
  </si>
  <si>
    <t>farahmirza@gmail.com</t>
  </si>
  <si>
    <t>CUST00001494</t>
  </si>
  <si>
    <t>CUST00001495</t>
  </si>
  <si>
    <t>Ali Siddiqui</t>
  </si>
  <si>
    <t>alisiddiqui752@outlook.com</t>
  </si>
  <si>
    <t>CUST00001496</t>
  </si>
  <si>
    <t>priyanair182@outlook.com</t>
  </si>
  <si>
    <t>CUST00001497</t>
  </si>
  <si>
    <t>rajreddy719@outlook.com</t>
  </si>
  <si>
    <t>CUST00001498</t>
  </si>
  <si>
    <t>nehamehta790@outlook.com</t>
  </si>
  <si>
    <t>CUST00001499</t>
  </si>
  <si>
    <t>yashjoshi617@yahoo.com</t>
  </si>
  <si>
    <t>CUST00001500</t>
  </si>
  <si>
    <t>sanamirza@outlook.com</t>
  </si>
  <si>
    <t>CUST00001501</t>
  </si>
  <si>
    <t>Aliya Siddiqui</t>
  </si>
  <si>
    <t>aliyasiddiqui580@gmail.com</t>
  </si>
  <si>
    <t>CUST00001502</t>
  </si>
  <si>
    <t>gauravtiwari@gmail.com</t>
  </si>
  <si>
    <t>CUST00001503</t>
  </si>
  <si>
    <t>preetiverma80@gmail.com</t>
  </si>
  <si>
    <t>CUST00001504</t>
  </si>
  <si>
    <t>amittiwari328@gmail.com</t>
  </si>
  <si>
    <t>CUST00001505</t>
  </si>
  <si>
    <t>Pooja Joshi</t>
  </si>
  <si>
    <t>poojajoshi@gmail.com</t>
  </si>
  <si>
    <t>CUST00001506</t>
  </si>
  <si>
    <t>Aisha Sheikh</t>
  </si>
  <si>
    <t>aishasheikh@outlook.com</t>
  </si>
  <si>
    <t>CUST00001507</t>
  </si>
  <si>
    <t>kavyajoshi@yahoo.com</t>
  </si>
  <si>
    <t>CUST00001508</t>
  </si>
  <si>
    <t>Raj Kumar</t>
  </si>
  <si>
    <t>rajkumar272@gmail.com</t>
  </si>
  <si>
    <t>CUST00001509</t>
  </si>
  <si>
    <t>yashreddy70@yahoo.com</t>
  </si>
  <si>
    <t>CUST00001510</t>
  </si>
  <si>
    <t>aamirsiddiqui111@outlook.com</t>
  </si>
  <si>
    <t>CUST00001511</t>
  </si>
  <si>
    <t>karanagarwal396@yahoo.com</t>
  </si>
  <si>
    <t>CUST00001512</t>
  </si>
  <si>
    <t>abhishekkumar@gmail.com</t>
  </si>
  <si>
    <t>CUST00001513</t>
  </si>
  <si>
    <t>CUST00001514</t>
  </si>
  <si>
    <t>aishasheikh@yahoo.com</t>
  </si>
  <si>
    <t>CUST00001515</t>
  </si>
  <si>
    <t>hassankhan104@yahoo.com</t>
  </si>
  <si>
    <t>CUST00001516</t>
  </si>
  <si>
    <t>simrankulkarni@outlook.com</t>
  </si>
  <si>
    <t>CUST00001517</t>
  </si>
  <si>
    <t>ananyayadav@outlook.com</t>
  </si>
  <si>
    <t>CUST00001518</t>
  </si>
  <si>
    <t>akashkulkarni463@gmail.com</t>
  </si>
  <si>
    <t>CUST00001519</t>
  </si>
  <si>
    <t>preetipatel@gmail.com</t>
  </si>
  <si>
    <t>CUST00001520</t>
  </si>
  <si>
    <t>karanverma327@yahoo.com</t>
  </si>
  <si>
    <t>CUST00001521</t>
  </si>
  <si>
    <t>Sana Khan</t>
  </si>
  <si>
    <t>sanakhan@gmail.com</t>
  </si>
  <si>
    <t>CUST00001522</t>
  </si>
  <si>
    <t>meghayadav910@yahoo.com</t>
  </si>
  <si>
    <t>CUST00001523</t>
  </si>
  <si>
    <t>Aditya Kulkarni</t>
  </si>
  <si>
    <t>adityakulkarni77@outlook.com</t>
  </si>
  <si>
    <t>CUST00001524</t>
  </si>
  <si>
    <t>CUST00001525</t>
  </si>
  <si>
    <t>simransingh629@yahoo.com</t>
  </si>
  <si>
    <t>CUST00001526</t>
  </si>
  <si>
    <t>Arjun Singh</t>
  </si>
  <si>
    <t>arjunsingh@yahoo.com</t>
  </si>
  <si>
    <t>CUST00001527</t>
  </si>
  <si>
    <t>fatimakhan@gmail.com</t>
  </si>
  <si>
    <t>CUST00001528</t>
  </si>
  <si>
    <t>adityakumar@yahoo.com</t>
  </si>
  <si>
    <t>CUST00001529</t>
  </si>
  <si>
    <t>meghagupta104@yahoo.com</t>
  </si>
  <si>
    <t>CUST00001530</t>
  </si>
  <si>
    <t>rahulsingh195@yahoo.com</t>
  </si>
  <si>
    <t>CUST00001531</t>
  </si>
  <si>
    <t>CUST00001532</t>
  </si>
  <si>
    <t>CUST00001533</t>
  </si>
  <si>
    <t>sureshkumar289@yahoo.com</t>
  </si>
  <si>
    <t>CUST00001534</t>
  </si>
  <si>
    <t>riyaverma51@yahoo.com</t>
  </si>
  <si>
    <t>CUST00001535</t>
  </si>
  <si>
    <t>kavyatiwari861@yahoo.com</t>
  </si>
  <si>
    <t>CUST00001536</t>
  </si>
  <si>
    <t>Mohammad Khan</t>
  </si>
  <si>
    <t>mohammadkhan370@gmail.com</t>
  </si>
  <si>
    <t>CUST00001537</t>
  </si>
  <si>
    <t>Neha Kulkarni</t>
  </si>
  <si>
    <t>nehakulkarni302@outlook.com</t>
  </si>
  <si>
    <t>CUST00001538</t>
  </si>
  <si>
    <t>aaravmehta@yahoo.com</t>
  </si>
  <si>
    <t>CUST00001539</t>
  </si>
  <si>
    <t>nishagupta27@gmail.com</t>
  </si>
  <si>
    <t>CUST00001540</t>
  </si>
  <si>
    <t>simrankulkarni299@gmail.com</t>
  </si>
  <si>
    <t>CUST00001541</t>
  </si>
  <si>
    <t>aadhyamishra119@yahoo.com</t>
  </si>
  <si>
    <t>CUST00001542</t>
  </si>
  <si>
    <t>swatinair@yahoo.com</t>
  </si>
  <si>
    <t>CUST00001543</t>
  </si>
  <si>
    <t>nikhilnair677@yahoo.com</t>
  </si>
  <si>
    <t>CUST00001544</t>
  </si>
  <si>
    <t>Salman Ali</t>
  </si>
  <si>
    <t>salmanali558@yahoo.com</t>
  </si>
  <si>
    <t>CUST00001545</t>
  </si>
  <si>
    <t>Anjali Kumar</t>
  </si>
  <si>
    <t>anjalikumar907@yahoo.com</t>
  </si>
  <si>
    <t>CUST00001546</t>
  </si>
  <si>
    <t>simrankaur457@gmail.com</t>
  </si>
  <si>
    <t>CUST00001547</t>
  </si>
  <si>
    <t>riyasharma477@yahoo.com</t>
  </si>
  <si>
    <t>CUST00001548</t>
  </si>
  <si>
    <t>Hassan Ahmed</t>
  </si>
  <si>
    <t>hassanahmed276@outlook.com</t>
  </si>
  <si>
    <t>CUST00001549</t>
  </si>
  <si>
    <t>Harsh Shah</t>
  </si>
  <si>
    <t>harshshah771@outlook.com</t>
  </si>
  <si>
    <t>CUST00001550</t>
  </si>
  <si>
    <t>Anjali Gupta</t>
  </si>
  <si>
    <t>anjaligupta@gmail.com</t>
  </si>
  <si>
    <t>CUST00001551</t>
  </si>
  <si>
    <t>Kavya Gupta</t>
  </si>
  <si>
    <t>kavyagupta@outlook.com</t>
  </si>
  <si>
    <t>CUST00001552</t>
  </si>
  <si>
    <t>harleensingh775@outlook.com</t>
  </si>
  <si>
    <t>CUST00001553</t>
  </si>
  <si>
    <t>vikaspatel63@yahoo.com</t>
  </si>
  <si>
    <t>CUST00001554</t>
  </si>
  <si>
    <t>CUST00001555</t>
  </si>
  <si>
    <t>vishalkulkarni@outlook.com</t>
  </si>
  <si>
    <t>CUST00001556</t>
  </si>
  <si>
    <t>amittiwari@yahoo.com</t>
  </si>
  <si>
    <t>CUST00001557</t>
  </si>
  <si>
    <t>harshpatel242@yahoo.com</t>
  </si>
  <si>
    <t>CUST00001558</t>
  </si>
  <si>
    <t>Rajesh Verma</t>
  </si>
  <si>
    <t>rajeshverma405@outlook.com</t>
  </si>
  <si>
    <t>CUST00001559</t>
  </si>
  <si>
    <t>Mohammad Sheikh</t>
  </si>
  <si>
    <t>mohammadsheikh585@outlook.com</t>
  </si>
  <si>
    <t>CUST00001560</t>
  </si>
  <si>
    <t>hinakhan@outlook.com</t>
  </si>
  <si>
    <t>CUST00001561</t>
  </si>
  <si>
    <t>kuldeepdhillon@gmail.com</t>
  </si>
  <si>
    <t>CUST00001562</t>
  </si>
  <si>
    <t>rajiyer776@yahoo.com</t>
  </si>
  <si>
    <t>CUST00001563</t>
  </si>
  <si>
    <t>anjaliagarwal172@gmail.com</t>
  </si>
  <si>
    <t>CUST00001564</t>
  </si>
  <si>
    <t>CUST00001565</t>
  </si>
  <si>
    <t>preetiverma81@outlook.com</t>
  </si>
  <si>
    <t>CUST00001566</t>
  </si>
  <si>
    <t>meghatiwari843@outlook.com</t>
  </si>
  <si>
    <t>CUST00001567</t>
  </si>
  <si>
    <t>priyaverma610@yahoo.com</t>
  </si>
  <si>
    <t>CUST00001568</t>
  </si>
  <si>
    <t>gauravsingh745@gmail.com</t>
  </si>
  <si>
    <t>CUST00001569</t>
  </si>
  <si>
    <t>zarasheikh570@yahoo.com</t>
  </si>
  <si>
    <t>CUST00001570</t>
  </si>
  <si>
    <t>amitkulkarni878@yahoo.com</t>
  </si>
  <si>
    <t>CUST00001571</t>
  </si>
  <si>
    <t>yashjoshi940@gmail.com</t>
  </si>
  <si>
    <t>CUST00001572</t>
  </si>
  <si>
    <t>aaravyadav@outlook.com</t>
  </si>
  <si>
    <t>CUST00001573</t>
  </si>
  <si>
    <t>rahulverma801@yahoo.com</t>
  </si>
  <si>
    <t>CUST00001574</t>
  </si>
  <si>
    <t>farhansiddiqui154@gmail.com</t>
  </si>
  <si>
    <t>CUST00001575</t>
  </si>
  <si>
    <t>swatipatel597@gmail.com</t>
  </si>
  <si>
    <t>CUST00001576</t>
  </si>
  <si>
    <t>adityasharma@outlook.com</t>
  </si>
  <si>
    <t>CUST00001577</t>
  </si>
  <si>
    <t>Farhan Ali</t>
  </si>
  <si>
    <t>farhanali@yahoo.com</t>
  </si>
  <si>
    <t>CUST00001578</t>
  </si>
  <si>
    <t>Ahmed Malik</t>
  </si>
  <si>
    <t>ahmedmalik@yahoo.com</t>
  </si>
  <si>
    <t>CUST00001579</t>
  </si>
  <si>
    <t>tariqsheikh@yahoo.com</t>
  </si>
  <si>
    <t>CUST00001580</t>
  </si>
  <si>
    <t>nikhiljoshi498@outlook.com</t>
  </si>
  <si>
    <t>CUST00001581</t>
  </si>
  <si>
    <t>sanaansari@gmail.com</t>
  </si>
  <si>
    <t>CUST00001582</t>
  </si>
  <si>
    <t>aaravmehta413@gmail.com</t>
  </si>
  <si>
    <t>CUST00001583</t>
  </si>
  <si>
    <t>gurpreetgill@outlook.com</t>
  </si>
  <si>
    <t>CUST00001584</t>
  </si>
  <si>
    <t>CUST00001585</t>
  </si>
  <si>
    <t>Fatima Ahmed</t>
  </si>
  <si>
    <t>fatimaahmed901@yahoo.com</t>
  </si>
  <si>
    <t>CUST00001586</t>
  </si>
  <si>
    <t>rohankulkarni@gmail.com</t>
  </si>
  <si>
    <t>CUST00001587</t>
  </si>
  <si>
    <t>Khalid Malik</t>
  </si>
  <si>
    <t>khalidmalik@yahoo.com</t>
  </si>
  <si>
    <t>CUST00001588</t>
  </si>
  <si>
    <t>CUST00001589</t>
  </si>
  <si>
    <t>omaransari813@yahoo.com</t>
  </si>
  <si>
    <t>CUST00001590</t>
  </si>
  <si>
    <t>rajtiwari864@yahoo.com</t>
  </si>
  <si>
    <t>CUST00001591</t>
  </si>
  <si>
    <t>rahulverma@outlook.com</t>
  </si>
  <si>
    <t>CUST00001592</t>
  </si>
  <si>
    <t>meghashah890@gmail.com</t>
  </si>
  <si>
    <t>CUST00001593</t>
  </si>
  <si>
    <t>Abhishek Iyer</t>
  </si>
  <si>
    <t>abhishekiyer998@outlook.com</t>
  </si>
  <si>
    <t>CUST00001594</t>
  </si>
  <si>
    <t>kavyakulkarni846@yahoo.com</t>
  </si>
  <si>
    <t>CUST00001595</t>
  </si>
  <si>
    <t>Amina Khan</t>
  </si>
  <si>
    <t>aminakhan427@outlook.com</t>
  </si>
  <si>
    <t>CUST00001596</t>
  </si>
  <si>
    <t>CUST00001597</t>
  </si>
  <si>
    <t>karantiwari936@yahoo.com</t>
  </si>
  <si>
    <t>CUST00001598</t>
  </si>
  <si>
    <t>hassanahmed@outlook.com</t>
  </si>
  <si>
    <t>CUST00001599</t>
  </si>
  <si>
    <t>divyayadav@gmail.com</t>
  </si>
  <si>
    <t>CUST00001600</t>
  </si>
  <si>
    <t>rashidansari163@gmail.com</t>
  </si>
  <si>
    <t>CUST00001601</t>
  </si>
  <si>
    <t>Sana Rahman</t>
  </si>
  <si>
    <t>sanarahman519@yahoo.com</t>
  </si>
  <si>
    <t>CUST00001602</t>
  </si>
  <si>
    <t>meghanair872@outlook.com</t>
  </si>
  <si>
    <t>CUST00001603</t>
  </si>
  <si>
    <t>Arjun Verma</t>
  </si>
  <si>
    <t>arjunverma@gmail.com</t>
  </si>
  <si>
    <t>CUST00001604</t>
  </si>
  <si>
    <t>mohammadkhan897@gmail.com</t>
  </si>
  <si>
    <t>CUST00001605</t>
  </si>
  <si>
    <t>CUST00001606</t>
  </si>
  <si>
    <t>arjunreddy52@yahoo.com</t>
  </si>
  <si>
    <t>CUST00001607</t>
  </si>
  <si>
    <t>Salman Malik</t>
  </si>
  <si>
    <t>salmanmalik@yahoo.com</t>
  </si>
  <si>
    <t>CUST00001608</t>
  </si>
  <si>
    <t>divyasharma476@outlook.com</t>
  </si>
  <si>
    <t>CUST00001609</t>
  </si>
  <si>
    <t>riyaiyer946@gmail.com</t>
  </si>
  <si>
    <t>CUST00001610</t>
  </si>
  <si>
    <t>CUST00001611</t>
  </si>
  <si>
    <t>nehaiyer609@yahoo.com</t>
  </si>
  <si>
    <t>CUST00001612</t>
  </si>
  <si>
    <t>kavyatiwari892@yahoo.com</t>
  </si>
  <si>
    <t>CUST00001613</t>
  </si>
  <si>
    <t>shreyamishra359@yahoo.com</t>
  </si>
  <si>
    <t>CUST00001614</t>
  </si>
  <si>
    <t>rohanagarwal916@yahoo.com</t>
  </si>
  <si>
    <t>CUST00001615</t>
  </si>
  <si>
    <t>meghanair@outlook.com</t>
  </si>
  <si>
    <t>CUST00001616</t>
  </si>
  <si>
    <t>fatimapathan29@yahoo.com</t>
  </si>
  <si>
    <t>CUST00001617</t>
  </si>
  <si>
    <t>anjaliiyer875@outlook.com</t>
  </si>
  <si>
    <t>CUST00001618</t>
  </si>
  <si>
    <t>anjalishah@gmail.com</t>
  </si>
  <si>
    <t>CUST00001619</t>
  </si>
  <si>
    <t>gauraviyer@outlook.com</t>
  </si>
  <si>
    <t>CUST00001620</t>
  </si>
  <si>
    <t>Neha Tiwari</t>
  </si>
  <si>
    <t>nehatiwari212@yahoo.com</t>
  </si>
  <si>
    <t>CUST00001621</t>
  </si>
  <si>
    <t>CUST00001622</t>
  </si>
  <si>
    <t>aishaahmed800@outlook.com</t>
  </si>
  <si>
    <t>CUST00001623</t>
  </si>
  <si>
    <t>Nida Sheikh</t>
  </si>
  <si>
    <t>nidasheikh934@gmail.com</t>
  </si>
  <si>
    <t>CUST00001624</t>
  </si>
  <si>
    <t>nehareddy@outlook.com</t>
  </si>
  <si>
    <t>CUST00001625</t>
  </si>
  <si>
    <t>priyagupta@gmail.com</t>
  </si>
  <si>
    <t>CUST00001626</t>
  </si>
  <si>
    <t>sureshsingh825@yahoo.com</t>
  </si>
  <si>
    <t>CUST00001627</t>
  </si>
  <si>
    <t>omarali@outlook.com</t>
  </si>
  <si>
    <t>CUST00001628</t>
  </si>
  <si>
    <t>rahulshah@yahoo.com</t>
  </si>
  <si>
    <t>CUST00001629</t>
  </si>
  <si>
    <t>amitnair@yahoo.com</t>
  </si>
  <si>
    <t>CUST00001630</t>
  </si>
  <si>
    <t>poojaagarwal224@yahoo.com</t>
  </si>
  <si>
    <t>CUST00001631</t>
  </si>
  <si>
    <t>divyapatel534@outlook.com</t>
  </si>
  <si>
    <t>CUST00001632</t>
  </si>
  <si>
    <t>harshmehta105@gmail.com</t>
  </si>
  <si>
    <t>CUST00001633</t>
  </si>
  <si>
    <t>aliyaahmed679@yahoo.com</t>
  </si>
  <si>
    <t>CUST00001634</t>
  </si>
  <si>
    <t>aadhyanair609@outlook.com</t>
  </si>
  <si>
    <t>CUST00001635</t>
  </si>
  <si>
    <t>alikhan701@gmail.com</t>
  </si>
  <si>
    <t>CUST00001636</t>
  </si>
  <si>
    <t>anjalimishra345@yahoo.com</t>
  </si>
  <si>
    <t>CUST00001637</t>
  </si>
  <si>
    <t>rohankulkarni@yahoo.com</t>
  </si>
  <si>
    <t>CUST00001638</t>
  </si>
  <si>
    <t>nishanair729@outlook.com</t>
  </si>
  <si>
    <t>CUST00001639</t>
  </si>
  <si>
    <t>divyaagarwal154@outlook.com</t>
  </si>
  <si>
    <t>CUST00001640</t>
  </si>
  <si>
    <t>rajeshshah@gmail.com</t>
  </si>
  <si>
    <t>CUST00001641</t>
  </si>
  <si>
    <t>CUST00001642</t>
  </si>
  <si>
    <t>divyakumar328@outlook.com</t>
  </si>
  <si>
    <t>CUST00001643</t>
  </si>
  <si>
    <t>Swati Tiwari</t>
  </si>
  <si>
    <t>swatitiwari27@outlook.com</t>
  </si>
  <si>
    <t>CUST00001644</t>
  </si>
  <si>
    <t>Hina Siddiqui</t>
  </si>
  <si>
    <t>hinasiddiqui303@yahoo.com</t>
  </si>
  <si>
    <t>CUST00001645</t>
  </si>
  <si>
    <t>CUST00001646</t>
  </si>
  <si>
    <t>farhanmirza37@outlook.com</t>
  </si>
  <si>
    <t>CUST00001647</t>
  </si>
  <si>
    <t>riyapandey@outlook.com</t>
  </si>
  <si>
    <t>CUST00001648</t>
  </si>
  <si>
    <t>Simran Gupta</t>
  </si>
  <si>
    <t>simrangupta@yahoo.com</t>
  </si>
  <si>
    <t>CUST00001649</t>
  </si>
  <si>
    <t>riyamehta@gmail.com</t>
  </si>
  <si>
    <t>CUST00001650</t>
  </si>
  <si>
    <t>Amit Joshi</t>
  </si>
  <si>
    <t>amitjoshi@outlook.com</t>
  </si>
  <si>
    <t>CUST00001651</t>
  </si>
  <si>
    <t>abhishekpandey@outlook.com</t>
  </si>
  <si>
    <t>CUST00001652</t>
  </si>
  <si>
    <t>nikhiltiwari308@gmail.com</t>
  </si>
  <si>
    <t>CUST00001653</t>
  </si>
  <si>
    <t>aminarahman@outlook.com</t>
  </si>
  <si>
    <t>CUST00001654</t>
  </si>
  <si>
    <t>Aditya Reddy</t>
  </si>
  <si>
    <t>adityareddy100@yahoo.com</t>
  </si>
  <si>
    <t>CUST00001655</t>
  </si>
  <si>
    <t>zainmalik265@outlook.com</t>
  </si>
  <si>
    <t>CUST00001656</t>
  </si>
  <si>
    <t>adityakulkarni@gmail.com</t>
  </si>
  <si>
    <t>CUST00001657</t>
  </si>
  <si>
    <t>CUST00001658</t>
  </si>
  <si>
    <t>salmanahmed@gmail.com</t>
  </si>
  <si>
    <t>CUST00001659</t>
  </si>
  <si>
    <t>divyapandey763@yahoo.com</t>
  </si>
  <si>
    <t>CUST00001660</t>
  </si>
  <si>
    <t>gauravagarwal909@yahoo.com</t>
  </si>
  <si>
    <t>CUST00001661</t>
  </si>
  <si>
    <t>sanakhan600@yahoo.com</t>
  </si>
  <si>
    <t>CUST00001662</t>
  </si>
  <si>
    <t>shreyakumar121@yahoo.com</t>
  </si>
  <si>
    <t>CUST00001663</t>
  </si>
  <si>
    <t>Hina Ali</t>
  </si>
  <si>
    <t>hinaali650@outlook.com</t>
  </si>
  <si>
    <t>CUST00001664</t>
  </si>
  <si>
    <t>Vishal Sharma</t>
  </si>
  <si>
    <t>vishalsharma636@gmail.com</t>
  </si>
  <si>
    <t>CUST00001665</t>
  </si>
  <si>
    <t>poojareddy200@outlook.com</t>
  </si>
  <si>
    <t>CUST00001666</t>
  </si>
  <si>
    <t>Pooja Mishra</t>
  </si>
  <si>
    <t>poojamishra698@yahoo.com</t>
  </si>
  <si>
    <t>CUST00001667</t>
  </si>
  <si>
    <t>rajpandey424@gmail.com</t>
  </si>
  <si>
    <t>CUST00001668</t>
  </si>
  <si>
    <t>ayeshaansari@gmail.com</t>
  </si>
  <si>
    <t>CUST00001669</t>
  </si>
  <si>
    <t>preetisingh206@yahoo.com</t>
  </si>
  <si>
    <t>CUST00001670</t>
  </si>
  <si>
    <t>divyapandey584@yahoo.com</t>
  </si>
  <si>
    <t>CUST00001671</t>
  </si>
  <si>
    <t>meghashah884@outlook.com</t>
  </si>
  <si>
    <t>CUST00001672</t>
  </si>
  <si>
    <t>Yash Singh</t>
  </si>
  <si>
    <t>yashsingh83@yahoo.com</t>
  </si>
  <si>
    <t>CUST00001673</t>
  </si>
  <si>
    <t>swatishah182@yahoo.com</t>
  </si>
  <si>
    <t>CUST00001674</t>
  </si>
  <si>
    <t>CUST00001675</t>
  </si>
  <si>
    <t>rajpatel215@gmail.com</t>
  </si>
  <si>
    <t>CUST00001676</t>
  </si>
  <si>
    <t>nehagupta163@yahoo.com</t>
  </si>
  <si>
    <t>CUST00001677</t>
  </si>
  <si>
    <t>CUST00001678</t>
  </si>
  <si>
    <t>kuldeepdhillon445@outlook.com</t>
  </si>
  <si>
    <t>CUST00001679</t>
  </si>
  <si>
    <t>rajmishra440@yahoo.com</t>
  </si>
  <si>
    <t>CUST00001680</t>
  </si>
  <si>
    <t>meghakumar39@outlook.com</t>
  </si>
  <si>
    <t>CUST00001681</t>
  </si>
  <si>
    <t>omarrahman383@gmail.com</t>
  </si>
  <si>
    <t>CUST00001682</t>
  </si>
  <si>
    <t>CUST00001683</t>
  </si>
  <si>
    <t>Karan Pandey</t>
  </si>
  <si>
    <t>karanpandey693@gmail.com</t>
  </si>
  <si>
    <t>CUST00001684</t>
  </si>
  <si>
    <t>CUST00001685</t>
  </si>
  <si>
    <t>ananyamishra899@yahoo.com</t>
  </si>
  <si>
    <t>CUST00001686</t>
  </si>
  <si>
    <t>vishaltiwari106@yahoo.com</t>
  </si>
  <si>
    <t>CUST00001687</t>
  </si>
  <si>
    <t>nehasharma314@gmail.com</t>
  </si>
  <si>
    <t>CUST00001688</t>
  </si>
  <si>
    <t>rajsingh47@yahoo.com</t>
  </si>
  <si>
    <t>CUST00001689</t>
  </si>
  <si>
    <t>zarasiddiqui@yahoo.com</t>
  </si>
  <si>
    <t>CUST00001690</t>
  </si>
  <si>
    <t>CUST00001691</t>
  </si>
  <si>
    <t>Gurpreet Sandhu</t>
  </si>
  <si>
    <t>gurpreetsandhu445@outlook.com</t>
  </si>
  <si>
    <t>CUST00001692</t>
  </si>
  <si>
    <t>simransandhu@yahoo.com</t>
  </si>
  <si>
    <t>CUST00001693</t>
  </si>
  <si>
    <t>CUST00001694</t>
  </si>
  <si>
    <t>khalidmalik193@gmail.com</t>
  </si>
  <si>
    <t>CUST00001695</t>
  </si>
  <si>
    <t>CUST00001696</t>
  </si>
  <si>
    <t>preetimehta230@outlook.com</t>
  </si>
  <si>
    <t>CUST00001697</t>
  </si>
  <si>
    <t>hinaahmed@gmail.com</t>
  </si>
  <si>
    <t>CUST00001698</t>
  </si>
  <si>
    <t>CUST00001699</t>
  </si>
  <si>
    <t>Navjot Grewal</t>
  </si>
  <si>
    <t>navjotgrewal127@yahoo.com</t>
  </si>
  <si>
    <t>CUST00001700</t>
  </si>
  <si>
    <t>Saif Khan</t>
  </si>
  <si>
    <t>saifkhan@gmail.com</t>
  </si>
  <si>
    <t>CUST00001701</t>
  </si>
  <si>
    <t>rohannair656@yahoo.com</t>
  </si>
  <si>
    <t>CUST00001702</t>
  </si>
  <si>
    <t>simranverma@outlook.com</t>
  </si>
  <si>
    <t>CUST00001703</t>
  </si>
  <si>
    <t>Aliya Pathan</t>
  </si>
  <si>
    <t>aliyapathan50@outlook.com</t>
  </si>
  <si>
    <t>CUST00001704</t>
  </si>
  <si>
    <t>adityanair857@gmail.com</t>
  </si>
  <si>
    <t>CUST00001705</t>
  </si>
  <si>
    <t>shreyayadav119@yahoo.com</t>
  </si>
  <si>
    <t>CUST00001706</t>
  </si>
  <si>
    <t>rohaniyer127@outlook.com</t>
  </si>
  <si>
    <t>CUST00001707</t>
  </si>
  <si>
    <t>meghakumar719@gmail.com</t>
  </si>
  <si>
    <t>CUST00001708</t>
  </si>
  <si>
    <t>salmanahmed703@outlook.com</t>
  </si>
  <si>
    <t>CUST00001709</t>
  </si>
  <si>
    <t>arifkhan431@outlook.com</t>
  </si>
  <si>
    <t>CUST00001710</t>
  </si>
  <si>
    <t>rohanpandey533@yahoo.com</t>
  </si>
  <si>
    <t>CUST00001711</t>
  </si>
  <si>
    <t>akashiyer@outlook.com</t>
  </si>
  <si>
    <t>CUST00001712</t>
  </si>
  <si>
    <t>gauravkulkarni851@gmail.com</t>
  </si>
  <si>
    <t>CUST00001713</t>
  </si>
  <si>
    <t>Tariq Ahmed</t>
  </si>
  <si>
    <t>tariqahmed633@gmail.com</t>
  </si>
  <si>
    <t>CUST00001714</t>
  </si>
  <si>
    <t>nehamishra804@gmail.com</t>
  </si>
  <si>
    <t>CUST00001715</t>
  </si>
  <si>
    <t>rajeshkumar624@gmail.com</t>
  </si>
  <si>
    <t>CUST00001716</t>
  </si>
  <si>
    <t>poojamehta@outlook.com</t>
  </si>
  <si>
    <t>CUST00001717</t>
  </si>
  <si>
    <t>yashjoshi@yahoo.com</t>
  </si>
  <si>
    <t>CUST00001718</t>
  </si>
  <si>
    <t>CUST00001719</t>
  </si>
  <si>
    <t>priyareddy562@yahoo.com</t>
  </si>
  <si>
    <t>CUST00001720</t>
  </si>
  <si>
    <t>vikastiwari@outlook.com</t>
  </si>
  <si>
    <t>CUST00001721</t>
  </si>
  <si>
    <t>gauravshah@yahoo.com</t>
  </si>
  <si>
    <t>CUST00001722</t>
  </si>
  <si>
    <t>shreyareddy14@outlook.com</t>
  </si>
  <si>
    <t>CUST00001723</t>
  </si>
  <si>
    <t>rohankulkarni114@outlook.com</t>
  </si>
  <si>
    <t>CUST00001724</t>
  </si>
  <si>
    <t>CUST00001725</t>
  </si>
  <si>
    <t>gauravkumar@outlook.com</t>
  </si>
  <si>
    <t>CUST00001726</t>
  </si>
  <si>
    <t>preetigupta741@gmail.com</t>
  </si>
  <si>
    <t>CUST00001727</t>
  </si>
  <si>
    <t>CUST00001728</t>
  </si>
  <si>
    <t>farahmalik304@yahoo.com</t>
  </si>
  <si>
    <t>CUST00001729</t>
  </si>
  <si>
    <t>riyasingh103@gmail.com</t>
  </si>
  <si>
    <t>CUST00001730</t>
  </si>
  <si>
    <t>preetigupta@yahoo.com</t>
  </si>
  <si>
    <t>CUST00001731</t>
  </si>
  <si>
    <t>harpreetsingh694@yahoo.com</t>
  </si>
  <si>
    <t>CUST00001732</t>
  </si>
  <si>
    <t>poojapatel119@gmail.com</t>
  </si>
  <si>
    <t>CUST00001733</t>
  </si>
  <si>
    <t>yashgupta@gmail.com</t>
  </si>
  <si>
    <t>CUST00001734</t>
  </si>
  <si>
    <t>nehapandey142@outlook.com</t>
  </si>
  <si>
    <t>CUST00001735</t>
  </si>
  <si>
    <t>Vishal Gupta</t>
  </si>
  <si>
    <t>vishalgupta@yahoo.com</t>
  </si>
  <si>
    <t>CUST00001736</t>
  </si>
  <si>
    <t>gauravshah449@outlook.com</t>
  </si>
  <si>
    <t>CUST00001737</t>
  </si>
  <si>
    <t>priyajoshi751@gmail.com</t>
  </si>
  <si>
    <t>CUST00001738</t>
  </si>
  <si>
    <t>anjalishah351@gmail.com</t>
  </si>
  <si>
    <t>CUST00001739</t>
  </si>
  <si>
    <t>adityakumar410@yahoo.com</t>
  </si>
  <si>
    <t>CUST00001740</t>
  </si>
  <si>
    <t>Vikas Kulkarni</t>
  </si>
  <si>
    <t>vikaskulkarni395@outlook.com</t>
  </si>
  <si>
    <t>CUST00001741</t>
  </si>
  <si>
    <t>CUST00001742</t>
  </si>
  <si>
    <t>sanasiddiqui@gmail.com</t>
  </si>
  <si>
    <t>CUST00001743</t>
  </si>
  <si>
    <t>nishakumar713@outlook.com</t>
  </si>
  <si>
    <t>CUST00001744</t>
  </si>
  <si>
    <t>rohantiwari966@gmail.com</t>
  </si>
  <si>
    <t>CUST00001745</t>
  </si>
  <si>
    <t>shreyapandey934@outlook.com</t>
  </si>
  <si>
    <t>CUST00001746</t>
  </si>
  <si>
    <t>divyaagarwal583@outlook.com</t>
  </si>
  <si>
    <t>CUST00001747</t>
  </si>
  <si>
    <t>aaravyadav626@yahoo.com</t>
  </si>
  <si>
    <t>CUST00001748</t>
  </si>
  <si>
    <t>akashpatel@outlook.com</t>
  </si>
  <si>
    <t>CUST00001749</t>
  </si>
  <si>
    <t>Yash Pandey</t>
  </si>
  <si>
    <t>yashpandey701@outlook.com</t>
  </si>
  <si>
    <t>CUST00001750</t>
  </si>
  <si>
    <t>gauravmishra@gmail.com</t>
  </si>
  <si>
    <t>CUST00001751</t>
  </si>
  <si>
    <t>vikaskulkarni500@gmail.com</t>
  </si>
  <si>
    <t>CUST00001752</t>
  </si>
  <si>
    <t>CUST00001753</t>
  </si>
  <si>
    <t>farahsiddiqui268@outlook.com</t>
  </si>
  <si>
    <t>CUST00001754</t>
  </si>
  <si>
    <t>aliyasheikh722@outlook.com</t>
  </si>
  <si>
    <t>CUST00001755</t>
  </si>
  <si>
    <t>kavyashah762@outlook.com</t>
  </si>
  <si>
    <t>CUST00001756</t>
  </si>
  <si>
    <t>Farah Ali</t>
  </si>
  <si>
    <t>farahali@gmail.com</t>
  </si>
  <si>
    <t>CUST00001757</t>
  </si>
  <si>
    <t>Sandeep Sandhu</t>
  </si>
  <si>
    <t>sandeepsandhu@outlook.com</t>
  </si>
  <si>
    <t>CUST00001758</t>
  </si>
  <si>
    <t>rajeshverma@outlook.com</t>
  </si>
  <si>
    <t>CUST00001759</t>
  </si>
  <si>
    <t>preetiiyer718@outlook.com</t>
  </si>
  <si>
    <t>CUST00001760</t>
  </si>
  <si>
    <t>simrankumar678@outlook.com</t>
  </si>
  <si>
    <t>CUST00001761</t>
  </si>
  <si>
    <t>mohammadmalik355@outlook.com</t>
  </si>
  <si>
    <t>CUST00001762</t>
  </si>
  <si>
    <t>anjalisingh@yahoo.com</t>
  </si>
  <si>
    <t>CUST00001763</t>
  </si>
  <si>
    <t>riyapandey847@outlook.com</t>
  </si>
  <si>
    <t>CUST00001764</t>
  </si>
  <si>
    <t>anjaliyadav@outlook.com</t>
  </si>
  <si>
    <t>CUST00001765</t>
  </si>
  <si>
    <t>aadhyakumar659@gmail.com</t>
  </si>
  <si>
    <t>CUST00001766</t>
  </si>
  <si>
    <t>vikasverma481@yahoo.com</t>
  </si>
  <si>
    <t>CUST00001767</t>
  </si>
  <si>
    <t>swativerma@gmail.com</t>
  </si>
  <si>
    <t>CUST00001768</t>
  </si>
  <si>
    <t>nidaahmed@yahoo.com</t>
  </si>
  <si>
    <t>CUST00001769</t>
  </si>
  <si>
    <t>Priya Patel</t>
  </si>
  <si>
    <t>priyapatel994@yahoo.com</t>
  </si>
  <si>
    <t>CUST00001770</t>
  </si>
  <si>
    <t>priyapatel229@outlook.com</t>
  </si>
  <si>
    <t>CUST00001771</t>
  </si>
  <si>
    <t>Vishal Nair</t>
  </si>
  <si>
    <t>vishalnair@yahoo.com</t>
  </si>
  <si>
    <t>CUST00001772</t>
  </si>
  <si>
    <t>CUST00001773</t>
  </si>
  <si>
    <t>aadhyagupta821@outlook.com</t>
  </si>
  <si>
    <t>CUST00001774</t>
  </si>
  <si>
    <t>aminamirza878@yahoo.com</t>
  </si>
  <si>
    <t>CUST00001775</t>
  </si>
  <si>
    <t>amitkumar122@yahoo.com</t>
  </si>
  <si>
    <t>CUST00001776</t>
  </si>
  <si>
    <t>alisheikh@gmail.com</t>
  </si>
  <si>
    <t>CUST00001777</t>
  </si>
  <si>
    <t>riyapatel423@gmail.com</t>
  </si>
  <si>
    <t>CUST00001778</t>
  </si>
  <si>
    <t>shreyareddy1@gmail.com</t>
  </si>
  <si>
    <t>CUST00001779</t>
  </si>
  <si>
    <t>meghamishra@outlook.com</t>
  </si>
  <si>
    <t>CUST00001780</t>
  </si>
  <si>
    <t>rohanreddy@outlook.com</t>
  </si>
  <si>
    <t>CUST00001781</t>
  </si>
  <si>
    <t>karanverma671@outlook.com</t>
  </si>
  <si>
    <t>CUST00001782</t>
  </si>
  <si>
    <t>ananyaagarwal350@yahoo.com</t>
  </si>
  <si>
    <t>CUST00001783</t>
  </si>
  <si>
    <t>aliyaali@gmail.com</t>
  </si>
  <si>
    <t>CUST00001784</t>
  </si>
  <si>
    <t>nishasingh@yahoo.com</t>
  </si>
  <si>
    <t>CUST00001785</t>
  </si>
  <si>
    <t>yashshah635@outlook.com</t>
  </si>
  <si>
    <t>CUST00001786</t>
  </si>
  <si>
    <t>rajeshmishra673@yahoo.com</t>
  </si>
  <si>
    <t>CUST00001787</t>
  </si>
  <si>
    <t>khalidpathan@gmail.com</t>
  </si>
  <si>
    <t>CUST00001788</t>
  </si>
  <si>
    <t>swatipatel675@gmail.com</t>
  </si>
  <si>
    <t>CUST00001789</t>
  </si>
  <si>
    <t>sureshjoshi364@outlook.com</t>
  </si>
  <si>
    <t>CUST00001790</t>
  </si>
  <si>
    <t>CUST00001791</t>
  </si>
  <si>
    <t>sureshmishra383@outlook.com</t>
  </si>
  <si>
    <t>CUST00001792</t>
  </si>
  <si>
    <t>riyashah919@gmail.com</t>
  </si>
  <si>
    <t>CUST00001793</t>
  </si>
  <si>
    <t>shreyaverma842@outlook.com</t>
  </si>
  <si>
    <t>CUST00001794</t>
  </si>
  <si>
    <t>CUST00001795</t>
  </si>
  <si>
    <t>sureshgupta626@gmail.com</t>
  </si>
  <si>
    <t>CUST00001796</t>
  </si>
  <si>
    <t>harshgupta953@yahoo.com</t>
  </si>
  <si>
    <t>CUST00001797</t>
  </si>
  <si>
    <t>riyayadav845@gmail.com</t>
  </si>
  <si>
    <t>CUST00001798</t>
  </si>
  <si>
    <t>rajsingh@gmail.com</t>
  </si>
  <si>
    <t>CUST00001799</t>
  </si>
  <si>
    <t>CUST00001800</t>
  </si>
  <si>
    <t>abhishekgupta@outlook.com</t>
  </si>
  <si>
    <t>CUST00001801</t>
  </si>
  <si>
    <t>Nikhil Yadav</t>
  </si>
  <si>
    <t>nikhilyadav791@yahoo.com</t>
  </si>
  <si>
    <t>CUST00001802</t>
  </si>
  <si>
    <t>nishakulkarni604@outlook.com</t>
  </si>
  <si>
    <t>CUST00001803</t>
  </si>
  <si>
    <t>riyagupta511@gmail.com</t>
  </si>
  <si>
    <t>CUST00001804</t>
  </si>
  <si>
    <t>ananyamishra50@outlook.com</t>
  </si>
  <si>
    <t>CUST00001805</t>
  </si>
  <si>
    <t>rahuljoshi@outlook.com</t>
  </si>
  <si>
    <t>CUST00001806</t>
  </si>
  <si>
    <t>aminarahman521@gmail.com</t>
  </si>
  <si>
    <t>CUST00001807</t>
  </si>
  <si>
    <t>preetigupta@gmail.com</t>
  </si>
  <si>
    <t>CUST00001808</t>
  </si>
  <si>
    <t>CUST00001809</t>
  </si>
  <si>
    <t>preetishah674@outlook.com</t>
  </si>
  <si>
    <t>CUST00001810</t>
  </si>
  <si>
    <t>aminaali@yahoo.com</t>
  </si>
  <si>
    <t>CUST00001811</t>
  </si>
  <si>
    <t>priyaagarwal394@yahoo.com</t>
  </si>
  <si>
    <t>CUST00001812</t>
  </si>
  <si>
    <t>kavyasharma@outlook.com</t>
  </si>
  <si>
    <t>CUST00001813</t>
  </si>
  <si>
    <t>salmanahmed@yahoo.com</t>
  </si>
  <si>
    <t>CUST00001814</t>
  </si>
  <si>
    <t>akashkulkarni352@yahoo.com</t>
  </si>
  <si>
    <t>CUST00001815</t>
  </si>
  <si>
    <t>aliali137@gmail.com</t>
  </si>
  <si>
    <t>CUST00001816</t>
  </si>
  <si>
    <t>aaravagarwal717@outlook.com</t>
  </si>
  <si>
    <t>CUST00001817</t>
  </si>
  <si>
    <t>adityakulkarni864@outlook.com</t>
  </si>
  <si>
    <t>CUST00001818</t>
  </si>
  <si>
    <t>Nikhil Singh</t>
  </si>
  <si>
    <t>nikhilsingh322@outlook.com</t>
  </si>
  <si>
    <t>CUST00001819</t>
  </si>
  <si>
    <t>Nida Rahman</t>
  </si>
  <si>
    <t>nidarahman@outlook.com</t>
  </si>
  <si>
    <t>CUST00001820</t>
  </si>
  <si>
    <t>riyanair@gmail.com</t>
  </si>
  <si>
    <t>CUST00001821</t>
  </si>
  <si>
    <t>aadhyapatel732@yahoo.com</t>
  </si>
  <si>
    <t>CUST00001822</t>
  </si>
  <si>
    <t>CUST00001823</t>
  </si>
  <si>
    <t>rajeshreddy728@outlook.com</t>
  </si>
  <si>
    <t>CUST00001824</t>
  </si>
  <si>
    <t>vishalsharma@gmail.com</t>
  </si>
  <si>
    <t>CUST00001825</t>
  </si>
  <si>
    <t>Akash Mishra</t>
  </si>
  <si>
    <t>akashmishra711@outlook.com</t>
  </si>
  <si>
    <t>CUST00001826</t>
  </si>
  <si>
    <t>sureshverma119@yahoo.com</t>
  </si>
  <si>
    <t>CUST00001827</t>
  </si>
  <si>
    <t>anjaligupta597@outlook.com</t>
  </si>
  <si>
    <t>CUST00001828</t>
  </si>
  <si>
    <t>imranpathan@outlook.com</t>
  </si>
  <si>
    <t>CUST00001829</t>
  </si>
  <si>
    <t>amitreddy766@outlook.com</t>
  </si>
  <si>
    <t>CUST00001830</t>
  </si>
  <si>
    <t>Omar Pathan</t>
  </si>
  <si>
    <t>omarpathan868@yahoo.com</t>
  </si>
  <si>
    <t>CUST00001831</t>
  </si>
  <si>
    <t>CUST00001832</t>
  </si>
  <si>
    <t>shreyayadav391@gmail.com</t>
  </si>
  <si>
    <t>CUST00001833</t>
  </si>
  <si>
    <t>swatiiyer58@gmail.com</t>
  </si>
  <si>
    <t>CUST00001834</t>
  </si>
  <si>
    <t>salmanansari805@gmail.com</t>
  </si>
  <si>
    <t>CUST00001835</t>
  </si>
  <si>
    <t>Karan Reddy</t>
  </si>
  <si>
    <t>karanreddy@outlook.com</t>
  </si>
  <si>
    <t>CUST00001836</t>
  </si>
  <si>
    <t>nishaiyer860@gmail.com</t>
  </si>
  <si>
    <t>CUST00001837</t>
  </si>
  <si>
    <t>poojasharma@yahoo.com</t>
  </si>
  <si>
    <t>CUST00001838</t>
  </si>
  <si>
    <t>yashnair555@gmail.com</t>
  </si>
  <si>
    <t>CUST00001839</t>
  </si>
  <si>
    <t>divyasingh464@gmail.com</t>
  </si>
  <si>
    <t>CUST00001840</t>
  </si>
  <si>
    <t>CUST00001841</t>
  </si>
  <si>
    <t>ananyashah@gmail.com</t>
  </si>
  <si>
    <t>CUST00001842</t>
  </si>
  <si>
    <t>farhanrahman@outlook.com</t>
  </si>
  <si>
    <t>CUST00001843</t>
  </si>
  <si>
    <t>Arjun Gupta</t>
  </si>
  <si>
    <t>arjungupta524@outlook.com</t>
  </si>
  <si>
    <t>CUST00001844</t>
  </si>
  <si>
    <t>poojaverma681@gmail.com</t>
  </si>
  <si>
    <t>CUST00001845</t>
  </si>
  <si>
    <t>simranverma@yahoo.com</t>
  </si>
  <si>
    <t>CUST00001846</t>
  </si>
  <si>
    <t>vikasiyer808@outlook.com</t>
  </si>
  <si>
    <t>CUST00001847</t>
  </si>
  <si>
    <t>gauravsharma566@gmail.com</t>
  </si>
  <si>
    <t>CUST00001848</t>
  </si>
  <si>
    <t>Karan Yadav</t>
  </si>
  <si>
    <t>karanyadav258@gmail.com</t>
  </si>
  <si>
    <t>CUST00001849</t>
  </si>
  <si>
    <t>Aamir Pathan</t>
  </si>
  <si>
    <t>aamirpathan@yahoo.com</t>
  </si>
  <si>
    <t>CUST00001850</t>
  </si>
  <si>
    <t>swatimishra@outlook.com</t>
  </si>
  <si>
    <t>CUST00001851</t>
  </si>
  <si>
    <t>nikhilpatel@outlook.com</t>
  </si>
  <si>
    <t>CUST00001852</t>
  </si>
  <si>
    <t>navjotsingh603@outlook.com</t>
  </si>
  <si>
    <t>CUST00001853</t>
  </si>
  <si>
    <t>Vishal Yadav</t>
  </si>
  <si>
    <t>vishalyadav@gmail.com</t>
  </si>
  <si>
    <t>CUST00001854</t>
  </si>
  <si>
    <t>aaravyadav@gmail.com</t>
  </si>
  <si>
    <t>CUST00001855</t>
  </si>
  <si>
    <t>kavyasingh182@outlook.com</t>
  </si>
  <si>
    <t>CUST00001856</t>
  </si>
  <si>
    <t>kavyakulkarni986@gmail.com</t>
  </si>
  <si>
    <t>CUST00001857</t>
  </si>
  <si>
    <t>Gurpreet Kaur</t>
  </si>
  <si>
    <t>gurpreetkaur@gmail.com</t>
  </si>
  <si>
    <t>CUST00001858</t>
  </si>
  <si>
    <t>vikaspatel439@yahoo.com</t>
  </si>
  <si>
    <t>CUST00001859</t>
  </si>
  <si>
    <t>Aarav Singh</t>
  </si>
  <si>
    <t>aaravsingh134@gmail.com</t>
  </si>
  <si>
    <t>CUST00001860</t>
  </si>
  <si>
    <t>zaramalik262@gmail.com</t>
  </si>
  <si>
    <t>CUST00001861</t>
  </si>
  <si>
    <t>ananyakumar727@gmail.com</t>
  </si>
  <si>
    <t>CUST00001862</t>
  </si>
  <si>
    <t>aaravpatel951@yahoo.com</t>
  </si>
  <si>
    <t>CUST00001863</t>
  </si>
  <si>
    <t>nehaiyer793@outlook.com</t>
  </si>
  <si>
    <t>CUST00001864</t>
  </si>
  <si>
    <t>rahulagarwal@outlook.com</t>
  </si>
  <si>
    <t>CUST00001865</t>
  </si>
  <si>
    <t>rohankumar809@outlook.com</t>
  </si>
  <si>
    <t>CUST00001866</t>
  </si>
  <si>
    <t>Pooja Kulkarni</t>
  </si>
  <si>
    <t>poojakulkarni75@outlook.com</t>
  </si>
  <si>
    <t>CUST00001867</t>
  </si>
  <si>
    <t>Abhishek Verma</t>
  </si>
  <si>
    <t>abhishekverma226@gmail.com</t>
  </si>
  <si>
    <t>CUST00001868</t>
  </si>
  <si>
    <t>nishajoshi806@outlook.com</t>
  </si>
  <si>
    <t>CUST00001869</t>
  </si>
  <si>
    <t>gauraviyer557@outlook.com</t>
  </si>
  <si>
    <t>CUST00001870</t>
  </si>
  <si>
    <t>karantiwari358@gmail.com</t>
  </si>
  <si>
    <t>CUST00001871</t>
  </si>
  <si>
    <t>nehaiyer@outlook.com</t>
  </si>
  <si>
    <t>CUST00001872</t>
  </si>
  <si>
    <t>aaravpatel370@yahoo.com</t>
  </si>
  <si>
    <t>CUST00001873</t>
  </si>
  <si>
    <t>preetiverma771@outlook.com</t>
  </si>
  <si>
    <t>CUST00001874</t>
  </si>
  <si>
    <t>rahulkulkarni575@outlook.com</t>
  </si>
  <si>
    <t>CUST00001875</t>
  </si>
  <si>
    <t>swatijoshi685@yahoo.com</t>
  </si>
  <si>
    <t>CUST00001876</t>
  </si>
  <si>
    <t>priyasingh927@outlook.com</t>
  </si>
  <si>
    <t>CUST00001877</t>
  </si>
  <si>
    <t>aminakhan@outlook.com</t>
  </si>
  <si>
    <t>CUST00001878</t>
  </si>
  <si>
    <t>harleensingh41@outlook.com</t>
  </si>
  <si>
    <t>CUST00001879</t>
  </si>
  <si>
    <t>ananyashah@yahoo.com</t>
  </si>
  <si>
    <t>CUST00001880</t>
  </si>
  <si>
    <t>abhishektiwari@gmail.com</t>
  </si>
  <si>
    <t>CUST00001881</t>
  </si>
  <si>
    <t>divyamehta554@outlook.com</t>
  </si>
  <si>
    <t>CUST00001882</t>
  </si>
  <si>
    <t>rohankulkarni934@outlook.com</t>
  </si>
  <si>
    <t>CUST00001883</t>
  </si>
  <si>
    <t>CUST00001884</t>
  </si>
  <si>
    <t>Priya Kulkarni</t>
  </si>
  <si>
    <t>priyakulkarni521@yahoo.com</t>
  </si>
  <si>
    <t>CUST00001885</t>
  </si>
  <si>
    <t>riyamishra304@outlook.com</t>
  </si>
  <si>
    <t>CUST00001886</t>
  </si>
  <si>
    <t>preetiiyer527@gmail.com</t>
  </si>
  <si>
    <t>CUST00001887</t>
  </si>
  <si>
    <t>gurleensandhu@gmail.com</t>
  </si>
  <si>
    <t>CUST00001888</t>
  </si>
  <si>
    <t>rahulreddy@outlook.com</t>
  </si>
  <si>
    <t>CUST00001889</t>
  </si>
  <si>
    <t>poojasingh642@gmail.com</t>
  </si>
  <si>
    <t>CUST00001890</t>
  </si>
  <si>
    <t>Gurpreet Singh</t>
  </si>
  <si>
    <t>gurpreetsingh645@gmail.com</t>
  </si>
  <si>
    <t>CUST00001891</t>
  </si>
  <si>
    <t>ananyapandey@yahoo.com</t>
  </si>
  <si>
    <t>CUST00001892</t>
  </si>
  <si>
    <t>zaramirza@gmail.com</t>
  </si>
  <si>
    <t>CUST00001893</t>
  </si>
  <si>
    <t>priyatiwari720@outlook.com</t>
  </si>
  <si>
    <t>CUST00001894</t>
  </si>
  <si>
    <t>yashjoshi@outlook.com</t>
  </si>
  <si>
    <t>CUST00001895</t>
  </si>
  <si>
    <t>Amandeep Singh</t>
  </si>
  <si>
    <t>amandeepsingh@gmail.com</t>
  </si>
  <si>
    <t>CUST00001896</t>
  </si>
  <si>
    <t>shreyapandey@gmail.com</t>
  </si>
  <si>
    <t>CUST00001897</t>
  </si>
  <si>
    <t>preetiverma735@yahoo.com</t>
  </si>
  <si>
    <t>CUST00001898</t>
  </si>
  <si>
    <t>harshsingh76@gmail.com</t>
  </si>
  <si>
    <t>CUST00001899</t>
  </si>
  <si>
    <t>anjaliagarwal258@outlook.com</t>
  </si>
  <si>
    <t>CUST00001900</t>
  </si>
  <si>
    <t>poojajoshi842@gmail.com</t>
  </si>
  <si>
    <t>CUST00001901</t>
  </si>
  <si>
    <t>CUST00001902</t>
  </si>
  <si>
    <t>harleengrewal646@yahoo.com</t>
  </si>
  <si>
    <t>CUST00001903</t>
  </si>
  <si>
    <t>aminakhan18@yahoo.com</t>
  </si>
  <si>
    <t>CUST00001904</t>
  </si>
  <si>
    <t>CUST00001905</t>
  </si>
  <si>
    <t>Anjali Kulkarni</t>
  </si>
  <si>
    <t>anjalikulkarni738@outlook.com</t>
  </si>
  <si>
    <t>CUST00001906</t>
  </si>
  <si>
    <t>nehatiwari764@outlook.com</t>
  </si>
  <si>
    <t>CUST00001907</t>
  </si>
  <si>
    <t>abhishekagarwal869@gmail.com</t>
  </si>
  <si>
    <t>CUST00001908</t>
  </si>
  <si>
    <t>meghareddy515@gmail.com</t>
  </si>
  <si>
    <t>CUST00001909</t>
  </si>
  <si>
    <t>khalidali703@yahoo.com</t>
  </si>
  <si>
    <t>CUST00001910</t>
  </si>
  <si>
    <t>Ali Ansari</t>
  </si>
  <si>
    <t>aliansari@yahoo.com</t>
  </si>
  <si>
    <t>CUST00001911</t>
  </si>
  <si>
    <t>CUST00001912</t>
  </si>
  <si>
    <t>abhishekmehta842@outlook.com</t>
  </si>
  <si>
    <t>CUST00001913</t>
  </si>
  <si>
    <t>zarakhan161@outlook.com</t>
  </si>
  <si>
    <t>CUST00001914</t>
  </si>
  <si>
    <t>aaravyadav765@yahoo.com</t>
  </si>
  <si>
    <t>CUST00001915</t>
  </si>
  <si>
    <t>gurpreetsandhu@outlook.com</t>
  </si>
  <si>
    <t>CUST00001916</t>
  </si>
  <si>
    <t>nishasingh650@gmail.com</t>
  </si>
  <si>
    <t>CUST00001917</t>
  </si>
  <si>
    <t>akashmishra909@outlook.com</t>
  </si>
  <si>
    <t>CUST00001918</t>
  </si>
  <si>
    <t>aaravagarwal@gmail.com</t>
  </si>
  <si>
    <t>CUST00001919</t>
  </si>
  <si>
    <t>vishalmishra569@gmail.com</t>
  </si>
  <si>
    <t>CUST00001920</t>
  </si>
  <si>
    <t>harleensingh6@outlook.com</t>
  </si>
  <si>
    <t>CUST00001921</t>
  </si>
  <si>
    <t>amittiwari551@outlook.com</t>
  </si>
  <si>
    <t>CUST00001922</t>
  </si>
  <si>
    <t>CUST00001923</t>
  </si>
  <si>
    <t>nishamehta760@outlook.com</t>
  </si>
  <si>
    <t>CUST00001924</t>
  </si>
  <si>
    <t>swatigupta423@outlook.com</t>
  </si>
  <si>
    <t>CUST00001925</t>
  </si>
  <si>
    <t>nidarahman@gmail.com</t>
  </si>
  <si>
    <t>CUST00001926</t>
  </si>
  <si>
    <t>Harsh Iyer</t>
  </si>
  <si>
    <t>harshiyer227@outlook.com</t>
  </si>
  <si>
    <t>CUST00001927</t>
  </si>
  <si>
    <t>shreyamishra@gmail.com</t>
  </si>
  <si>
    <t>CUST00001928</t>
  </si>
  <si>
    <t>poojashah688@outlook.com</t>
  </si>
  <si>
    <t>CUST00001929</t>
  </si>
  <si>
    <t>CUST00001930</t>
  </si>
  <si>
    <t>ayeshaali563@gmail.com</t>
  </si>
  <si>
    <t>CUST00001931</t>
  </si>
  <si>
    <t>nikhilgupta69@yahoo.com</t>
  </si>
  <si>
    <t>CUST00001932</t>
  </si>
  <si>
    <t>aadhyapatel744@outlook.com</t>
  </si>
  <si>
    <t>CUST00001933</t>
  </si>
  <si>
    <t>rajeshsingh339@yahoo.com</t>
  </si>
  <si>
    <t>CUST00001934</t>
  </si>
  <si>
    <t>sandeepsandhu672@gmail.com</t>
  </si>
  <si>
    <t>CUST00001935</t>
  </si>
  <si>
    <t>arifahmed635@gmail.com</t>
  </si>
  <si>
    <t>CUST00001936</t>
  </si>
  <si>
    <t>CUST00001937</t>
  </si>
  <si>
    <t>divyapatel337@outlook.com</t>
  </si>
  <si>
    <t>CUST00001938</t>
  </si>
  <si>
    <t>harshpatel@outlook.com</t>
  </si>
  <si>
    <t>CUST00001939</t>
  </si>
  <si>
    <t>Nikhil Shah</t>
  </si>
  <si>
    <t>nikhilshah580@outlook.com</t>
  </si>
  <si>
    <t>CUST00001940</t>
  </si>
  <si>
    <t>aadhyaverma324@yahoo.com</t>
  </si>
  <si>
    <t>CUST00001941</t>
  </si>
  <si>
    <t>riyareddy321@gmail.com</t>
  </si>
  <si>
    <t>CUST00001942</t>
  </si>
  <si>
    <t>harshiyer@outlook.com</t>
  </si>
  <si>
    <t>CUST00001943</t>
  </si>
  <si>
    <t>Abhishek Shah</t>
  </si>
  <si>
    <t>abhishekshah@yahoo.com</t>
  </si>
  <si>
    <t>CUST00001944</t>
  </si>
  <si>
    <t>aaravmehta369@gmail.com</t>
  </si>
  <si>
    <t>CUST00001945</t>
  </si>
  <si>
    <t>rajeshkumar@yahoo.com</t>
  </si>
  <si>
    <t>CUST00001946</t>
  </si>
  <si>
    <t>CUST00001947</t>
  </si>
  <si>
    <t>ayeshapathan794@yahoo.com</t>
  </si>
  <si>
    <t>CUST00001948</t>
  </si>
  <si>
    <t>rahulshah112@gmail.com</t>
  </si>
  <si>
    <t>CUST00001949</t>
  </si>
  <si>
    <t>CUST00001950</t>
  </si>
  <si>
    <t>aaravjoshi@gmail.com</t>
  </si>
  <si>
    <t>CUST00001951</t>
  </si>
  <si>
    <t>sureshverma@gmail.com</t>
  </si>
  <si>
    <t>CUST00001952</t>
  </si>
  <si>
    <t>arjunverma908@outlook.com</t>
  </si>
  <si>
    <t>CUST00001953</t>
  </si>
  <si>
    <t>rahulmishra78@gmail.com</t>
  </si>
  <si>
    <t>CUST00001954</t>
  </si>
  <si>
    <t>nidasheikh@outlook.com</t>
  </si>
  <si>
    <t>CUST00001955</t>
  </si>
  <si>
    <t>shreyagupta596@outlook.com</t>
  </si>
  <si>
    <t>CUST00001956</t>
  </si>
  <si>
    <t>aaravsharma605@gmail.com</t>
  </si>
  <si>
    <t>CUST00001957</t>
  </si>
  <si>
    <t>rajeshiyer@outlook.com</t>
  </si>
  <si>
    <t>CUST00001958</t>
  </si>
  <si>
    <t>arjunpandey916@outlook.com</t>
  </si>
  <si>
    <t>CUST00001959</t>
  </si>
  <si>
    <t>Nida Malik</t>
  </si>
  <si>
    <t>nidamalik794@gmail.com</t>
  </si>
  <si>
    <t>CUST00001960</t>
  </si>
  <si>
    <t>arjunsingh229@outlook.com</t>
  </si>
  <si>
    <t>CUST00001961</t>
  </si>
  <si>
    <t>aadhyareddy@yahoo.com</t>
  </si>
  <si>
    <t>CUST00001962</t>
  </si>
  <si>
    <t>nishaiyer514@outlook.com</t>
  </si>
  <si>
    <t>CUST00001963</t>
  </si>
  <si>
    <t>swatimishra373@outlook.com</t>
  </si>
  <si>
    <t>CUST00001964</t>
  </si>
  <si>
    <t>harshiyer245@outlook.com</t>
  </si>
  <si>
    <t>CUST00001965</t>
  </si>
  <si>
    <t>Imran Ahmed</t>
  </si>
  <si>
    <t>imranahmed@outlook.com</t>
  </si>
  <si>
    <t>CUST00001966</t>
  </si>
  <si>
    <t>swatikulkarni164@gmail.com</t>
  </si>
  <si>
    <t>CUST00001967</t>
  </si>
  <si>
    <t>rahuliyer580@outlook.com</t>
  </si>
  <si>
    <t>CUST00001968</t>
  </si>
  <si>
    <t>CUST00001969</t>
  </si>
  <si>
    <t>CUST00001970</t>
  </si>
  <si>
    <t>priyakulkarni@gmail.com</t>
  </si>
  <si>
    <t>CUST00001971</t>
  </si>
  <si>
    <t>harshyadav500@gmail.com</t>
  </si>
  <si>
    <t>CUST00001972</t>
  </si>
  <si>
    <t>gauravagarwal379@gmail.com</t>
  </si>
  <si>
    <t>CUST00001973</t>
  </si>
  <si>
    <t>gurleensandhu212@outlook.com</t>
  </si>
  <si>
    <t>CUST00001974</t>
  </si>
  <si>
    <t>vikasmishra@yahoo.com</t>
  </si>
  <si>
    <t>CUST00001975</t>
  </si>
  <si>
    <t>fatimamalik940@yahoo.com</t>
  </si>
  <si>
    <t>CUST00001976</t>
  </si>
  <si>
    <t>aaravnair@gmail.com</t>
  </si>
  <si>
    <t>CUST00001977</t>
  </si>
  <si>
    <t>aishapathan@yahoo.com</t>
  </si>
  <si>
    <t>CUST00001978</t>
  </si>
  <si>
    <t>shreyakumar992@outlook.com</t>
  </si>
  <si>
    <t>CUST00001979</t>
  </si>
  <si>
    <t>Gurleen Gill</t>
  </si>
  <si>
    <t>gurleengill@yahoo.com</t>
  </si>
  <si>
    <t>CUST00001980</t>
  </si>
  <si>
    <t>CUST00001981</t>
  </si>
  <si>
    <t>priyaiyer584@gmail.com</t>
  </si>
  <si>
    <t>CUST00001982</t>
  </si>
  <si>
    <t>priyanair388@yahoo.com</t>
  </si>
  <si>
    <t>CUST00001983</t>
  </si>
  <si>
    <t>rohaniyer920@gmail.com</t>
  </si>
  <si>
    <t>CUST00001984</t>
  </si>
  <si>
    <t>Amit Verma</t>
  </si>
  <si>
    <t>amitverma386@gmail.com</t>
  </si>
  <si>
    <t>CUST00001985</t>
  </si>
  <si>
    <t>amitpatel362@yahoo.com</t>
  </si>
  <si>
    <t>CUST00001986</t>
  </si>
  <si>
    <t>aaravsharma494@outlook.com</t>
  </si>
  <si>
    <t>CUST00001987</t>
  </si>
  <si>
    <t>Ahmed Rahman</t>
  </si>
  <si>
    <t>ahmedrahman904@gmail.com</t>
  </si>
  <si>
    <t>CUST00001988</t>
  </si>
  <si>
    <t>nidamalik236@gmail.com</t>
  </si>
  <si>
    <t>CUST00001989</t>
  </si>
  <si>
    <t>preetimehta288@gmail.com</t>
  </si>
  <si>
    <t>CUST00001990</t>
  </si>
  <si>
    <t>divyakumar162@yahoo.com</t>
  </si>
  <si>
    <t>CUST00001991</t>
  </si>
  <si>
    <t>Divya Mishra</t>
  </si>
  <si>
    <t>divyamishra@gmail.com</t>
  </si>
  <si>
    <t>CUST00001992</t>
  </si>
  <si>
    <t>abhishektiwari@yahoo.com</t>
  </si>
  <si>
    <t>CUST00001993</t>
  </si>
  <si>
    <t>CUST00001994</t>
  </si>
  <si>
    <t>simrangrewal692@yahoo.com</t>
  </si>
  <si>
    <t>CUST00001995</t>
  </si>
  <si>
    <t>arjunagarwal605@gmail.com</t>
  </si>
  <si>
    <t>CUST00001996</t>
  </si>
  <si>
    <t>harpreetbrar@yahoo.com</t>
  </si>
  <si>
    <t>CUST00001997</t>
  </si>
  <si>
    <t>rajeshyadav45@gmail.com</t>
  </si>
  <si>
    <t>CUST00001998</t>
  </si>
  <si>
    <t>Rahul Yadav</t>
  </si>
  <si>
    <t>rahulyadav165@gmail.com</t>
  </si>
  <si>
    <t>CUST00001999</t>
  </si>
  <si>
    <t>saifahmed@gmail.com</t>
  </si>
  <si>
    <t>CUST00002000</t>
  </si>
  <si>
    <t>nehakulkarni@gmail.com</t>
  </si>
  <si>
    <t>CUST00002001</t>
  </si>
  <si>
    <t>sureshverma265@gmail.com</t>
  </si>
  <si>
    <t>CUST00002002</t>
  </si>
  <si>
    <t>sureshsingh416@outlook.com</t>
  </si>
  <si>
    <t>CUST00002003</t>
  </si>
  <si>
    <t>ayeshasiddiqui@outlook.com</t>
  </si>
  <si>
    <t>CUST00002004</t>
  </si>
  <si>
    <t>arjunagarwal737@outlook.com</t>
  </si>
  <si>
    <t>CUST00002005</t>
  </si>
  <si>
    <t>priyajoshi@yahoo.com</t>
  </si>
  <si>
    <t>CUST00002006</t>
  </si>
  <si>
    <t>kavyajoshi@gmail.com</t>
  </si>
  <si>
    <t>CUST00002007</t>
  </si>
  <si>
    <t>kavyayadav483@yahoo.com</t>
  </si>
  <si>
    <t>CUST00002008</t>
  </si>
  <si>
    <t>poojapandey851@yahoo.com</t>
  </si>
  <si>
    <t>CUST00002009</t>
  </si>
  <si>
    <t>yashsingh@outlook.com</t>
  </si>
  <si>
    <t>CUST00002010</t>
  </si>
  <si>
    <t>divyashah@gmail.com</t>
  </si>
  <si>
    <t>CUST00002011</t>
  </si>
  <si>
    <t>rahulkulkarni@outlook.com</t>
  </si>
  <si>
    <t>CUST00002012</t>
  </si>
  <si>
    <t>gauravnair742@outlook.com</t>
  </si>
  <si>
    <t>CUST00002013</t>
  </si>
  <si>
    <t>nidasiddiqui465@outlook.com</t>
  </si>
  <si>
    <t>CUST00002014</t>
  </si>
  <si>
    <t>nehapandey236@yahoo.com</t>
  </si>
  <si>
    <t>CUST00002015</t>
  </si>
  <si>
    <t>Preeti Nair</t>
  </si>
  <si>
    <t>preetinair112@gmail.com</t>
  </si>
  <si>
    <t>CUST00002016</t>
  </si>
  <si>
    <t>nishatiwari881@outlook.com</t>
  </si>
  <si>
    <t>CUST00002017</t>
  </si>
  <si>
    <t>harshgupta@gmail.com</t>
  </si>
  <si>
    <t>CUST00002018</t>
  </si>
  <si>
    <t>CUST00002019</t>
  </si>
  <si>
    <t>Divya Gupta</t>
  </si>
  <si>
    <t>divyagupta630@outlook.com</t>
  </si>
  <si>
    <t>CUST00002020</t>
  </si>
  <si>
    <t>zainsiddiqui803@outlook.com</t>
  </si>
  <si>
    <t>CUST00002021</t>
  </si>
  <si>
    <t>abhishekpandey121@gmail.com</t>
  </si>
  <si>
    <t>CUST00002022</t>
  </si>
  <si>
    <t>Raj Joshi</t>
  </si>
  <si>
    <t>rajjoshi134@outlook.com</t>
  </si>
  <si>
    <t>CUST00002023</t>
  </si>
  <si>
    <t>kavyamehta2@outlook.com</t>
  </si>
  <si>
    <t>CUST00002024</t>
  </si>
  <si>
    <t>Nikhil Kulkarni</t>
  </si>
  <si>
    <t>nikhilkulkarni@outlook.com</t>
  </si>
  <si>
    <t>CUST00002025</t>
  </si>
  <si>
    <t>divyareddy896@gmail.com</t>
  </si>
  <si>
    <t>CUST00002026</t>
  </si>
  <si>
    <t>rajkumar@yahoo.com</t>
  </si>
  <si>
    <t>CUST00002027</t>
  </si>
  <si>
    <t>aaravnair822@yahoo.com</t>
  </si>
  <si>
    <t>CUST00002028</t>
  </si>
  <si>
    <t>CUST00002029</t>
  </si>
  <si>
    <t>adityajoshi824@outlook.com</t>
  </si>
  <si>
    <t>CUST00002030</t>
  </si>
  <si>
    <t>simranjoshi@outlook.com</t>
  </si>
  <si>
    <t>CUST00002031</t>
  </si>
  <si>
    <t>poojakulkarni436@gmail.com</t>
  </si>
  <si>
    <t>CUST00002032</t>
  </si>
  <si>
    <t>simransandhu785@gmail.com</t>
  </si>
  <si>
    <t>CUST00002033</t>
  </si>
  <si>
    <t>amitsingh@gmail.com</t>
  </si>
  <si>
    <t>CUST00002034</t>
  </si>
  <si>
    <t>Akash Mehta</t>
  </si>
  <si>
    <t>akashmehta898@outlook.com</t>
  </si>
  <si>
    <t>CUST00002035</t>
  </si>
  <si>
    <t>manpreetgill194@gmail.com</t>
  </si>
  <si>
    <t>CUST00002036</t>
  </si>
  <si>
    <t>vikasjoshi@gmail.com</t>
  </si>
  <si>
    <t>CUST00002037</t>
  </si>
  <si>
    <t>priyashah121@outlook.com</t>
  </si>
  <si>
    <t>CUST00002038</t>
  </si>
  <si>
    <t>zararahman671@gmail.com</t>
  </si>
  <si>
    <t>CUST00002039</t>
  </si>
  <si>
    <t>nishajoshi@yahoo.com</t>
  </si>
  <si>
    <t>CUST00002040</t>
  </si>
  <si>
    <t>kavyareddy110@gmail.com</t>
  </si>
  <si>
    <t>CUST00002041</t>
  </si>
  <si>
    <t>Priya Yadav</t>
  </si>
  <si>
    <t>priyayadav600@yahoo.com</t>
  </si>
  <si>
    <t>CUST00002042</t>
  </si>
  <si>
    <t>Simran Gill</t>
  </si>
  <si>
    <t>simrangill549@yahoo.com</t>
  </si>
  <si>
    <t>CUST00002043</t>
  </si>
  <si>
    <t>omarmirza627@yahoo.com</t>
  </si>
  <si>
    <t>CUST00002044</t>
  </si>
  <si>
    <t>CUST00002045</t>
  </si>
  <si>
    <t>Jaspreet Sandhu</t>
  </si>
  <si>
    <t>jaspreetsandhu@yahoo.com</t>
  </si>
  <si>
    <t>CUST00002046</t>
  </si>
  <si>
    <t>ananyashah571@yahoo.com</t>
  </si>
  <si>
    <t>CUST00002047</t>
  </si>
  <si>
    <t>aaravmehta573@outlook.com</t>
  </si>
  <si>
    <t>CUST00002048</t>
  </si>
  <si>
    <t>rajsingh315@outlook.com</t>
  </si>
  <si>
    <t>CUST00002049</t>
  </si>
  <si>
    <t>akashgupta723@yahoo.com</t>
  </si>
  <si>
    <t>CUST00002050</t>
  </si>
  <si>
    <t>CUST00002051</t>
  </si>
  <si>
    <t>rajsingh236@yahoo.com</t>
  </si>
  <si>
    <t>CUST00002052</t>
  </si>
  <si>
    <t>CUST00002053</t>
  </si>
  <si>
    <t>simranpatel521@yahoo.com</t>
  </si>
  <si>
    <t>CUST00002054</t>
  </si>
  <si>
    <t>kuldeepgrewal@outlook.com</t>
  </si>
  <si>
    <t>CUST00002055</t>
  </si>
  <si>
    <t>Ali Malik</t>
  </si>
  <si>
    <t>alimalik@outlook.com</t>
  </si>
  <si>
    <t>CUST00002056</t>
  </si>
  <si>
    <t>CUST00002057</t>
  </si>
  <si>
    <t>sureshpatel652@gmail.com</t>
  </si>
  <si>
    <t>CUST00002058</t>
  </si>
  <si>
    <t>farahsiddiqui@gmail.com</t>
  </si>
  <si>
    <t>CUST00002059</t>
  </si>
  <si>
    <t>divyaverma615@yahoo.com</t>
  </si>
  <si>
    <t>CUST00002060</t>
  </si>
  <si>
    <t>preetinair270@gmail.com</t>
  </si>
  <si>
    <t>CUST00002061</t>
  </si>
  <si>
    <t>sanasiddiqui624@gmail.com</t>
  </si>
  <si>
    <t>CUST00002062</t>
  </si>
  <si>
    <t>aaravnair@yahoo.com</t>
  </si>
  <si>
    <t>CUST00002063</t>
  </si>
  <si>
    <t>CUST00002064</t>
  </si>
  <si>
    <t>yashsharma987@outlook.com</t>
  </si>
  <si>
    <t>CUST00002065</t>
  </si>
  <si>
    <t>harshreddy793@gmail.com</t>
  </si>
  <si>
    <t>CUST00002066</t>
  </si>
  <si>
    <t>karanpatel@yahoo.com</t>
  </si>
  <si>
    <t>CUST00002067</t>
  </si>
  <si>
    <t>shreyanair871@outlook.com</t>
  </si>
  <si>
    <t>CUST00002068</t>
  </si>
  <si>
    <t>rohanjoshi@outlook.com</t>
  </si>
  <si>
    <t>CUST00002069</t>
  </si>
  <si>
    <t>simranreddy35@outlook.com</t>
  </si>
  <si>
    <t>CUST00002070</t>
  </si>
  <si>
    <t>nehapandey716@gmail.com</t>
  </si>
  <si>
    <t>CUST00002071</t>
  </si>
  <si>
    <t>amitagarwal@outlook.com</t>
  </si>
  <si>
    <t>CUST00002072</t>
  </si>
  <si>
    <t>aliyasiddiqui245@outlook.com</t>
  </si>
  <si>
    <t>CUST00002073</t>
  </si>
  <si>
    <t>aadhyajoshi162@gmail.com</t>
  </si>
  <si>
    <t>CUST00002074</t>
  </si>
  <si>
    <t>CUST00002075</t>
  </si>
  <si>
    <t>aminapathan405@yahoo.com</t>
  </si>
  <si>
    <t>CUST00002076</t>
  </si>
  <si>
    <t>gurleendhillon531@gmail.com</t>
  </si>
  <si>
    <t>CUST00002077</t>
  </si>
  <si>
    <t>CUST00002078</t>
  </si>
  <si>
    <t>abhishekyadav@outlook.com</t>
  </si>
  <si>
    <t>CUST00002079</t>
  </si>
  <si>
    <t>aaravmehta850@outlook.com</t>
  </si>
  <si>
    <t>CUST00002080</t>
  </si>
  <si>
    <t>rajiyer@yahoo.com</t>
  </si>
  <si>
    <t>CUST00002081</t>
  </si>
  <si>
    <t>yashmishra836@yahoo.com</t>
  </si>
  <si>
    <t>CUST00002082</t>
  </si>
  <si>
    <t>aminasiddiqui987@gmail.com</t>
  </si>
  <si>
    <t>CUST00002083</t>
  </si>
  <si>
    <t>kavyapatel414@outlook.com</t>
  </si>
  <si>
    <t>CUST00002084</t>
  </si>
  <si>
    <t>salmanali180@yahoo.com</t>
  </si>
  <si>
    <t>CUST00002085</t>
  </si>
  <si>
    <t>kuldeepbrar573@gmail.com</t>
  </si>
  <si>
    <t>CUST00002086</t>
  </si>
  <si>
    <t>divyanair349@gmail.com</t>
  </si>
  <si>
    <t>CUST00002087</t>
  </si>
  <si>
    <t>harshnair@yahoo.com</t>
  </si>
  <si>
    <t>CUST00002088</t>
  </si>
  <si>
    <t>Navjot Brar</t>
  </si>
  <si>
    <t>navjotbrar@outlook.com</t>
  </si>
  <si>
    <t>CUST00002089</t>
  </si>
  <si>
    <t>Mohammad Ahmed</t>
  </si>
  <si>
    <t>mohammadahmed454@yahoo.com</t>
  </si>
  <si>
    <t>CUST00002090</t>
  </si>
  <si>
    <t>Ali Pathan</t>
  </si>
  <si>
    <t>alipathan789@gmail.com</t>
  </si>
  <si>
    <t>CUST00002091</t>
  </si>
  <si>
    <t>riyashah@yahoo.com</t>
  </si>
  <si>
    <t>CUST00002092</t>
  </si>
  <si>
    <t>rajeshpandey@outlook.com</t>
  </si>
  <si>
    <t>CUST00002093</t>
  </si>
  <si>
    <t>CUST00002094</t>
  </si>
  <si>
    <t>shreyajoshi70@yahoo.com</t>
  </si>
  <si>
    <t>CUST00002095</t>
  </si>
  <si>
    <t>CUST00002096</t>
  </si>
  <si>
    <t>aishaahmed@gmail.com</t>
  </si>
  <si>
    <t>CUST00002097</t>
  </si>
  <si>
    <t>shreyasingh@yahoo.com</t>
  </si>
  <si>
    <t>CUST00002098</t>
  </si>
  <si>
    <t>zararahman@outlook.com</t>
  </si>
  <si>
    <t>CUST00002099</t>
  </si>
  <si>
    <t>sureshmehta718@yahoo.com</t>
  </si>
  <si>
    <t>CUST00002100</t>
  </si>
  <si>
    <t>hinasiddiqui96@yahoo.com</t>
  </si>
  <si>
    <t>CUST00002101</t>
  </si>
  <si>
    <t>Karan Iyer</t>
  </si>
  <si>
    <t>karaniyer@yahoo.com</t>
  </si>
  <si>
    <t>CUST00002102</t>
  </si>
  <si>
    <t>divyatiwari954@gmail.com</t>
  </si>
  <si>
    <t>CUST00002103</t>
  </si>
  <si>
    <t>ananyaagarwal363@gmail.com</t>
  </si>
  <si>
    <t>CUST00002104</t>
  </si>
  <si>
    <t>rajeshverma@yahoo.com</t>
  </si>
  <si>
    <t>CUST00002105</t>
  </si>
  <si>
    <t>aadhyatiwari765@outlook.com</t>
  </si>
  <si>
    <t>CUST00002106</t>
  </si>
  <si>
    <t>shreyapatel@gmail.com</t>
  </si>
  <si>
    <t>CUST00002107</t>
  </si>
  <si>
    <t>ananyanair205@gmail.com</t>
  </si>
  <si>
    <t>CUST00002108</t>
  </si>
  <si>
    <t>meghanair@yahoo.com</t>
  </si>
  <si>
    <t>CUST00002109</t>
  </si>
  <si>
    <t>hassanahmed208@gmail.com</t>
  </si>
  <si>
    <t>CUST00002110</t>
  </si>
  <si>
    <t>Aamir Khan</t>
  </si>
  <si>
    <t>aamirkhan@yahoo.com</t>
  </si>
  <si>
    <t>CUST00002111</t>
  </si>
  <si>
    <t>saifsiddiqui110@gmail.com</t>
  </si>
  <si>
    <t>CUST00002112</t>
  </si>
  <si>
    <t>tariqahmed@outlook.com</t>
  </si>
  <si>
    <t>CUST00002113</t>
  </si>
  <si>
    <t>imranpathan@yahoo.com</t>
  </si>
  <si>
    <t>CUST00002114</t>
  </si>
  <si>
    <t>rajpatel@outlook.com</t>
  </si>
  <si>
    <t>CUST00002115</t>
  </si>
  <si>
    <t>akashgupta@yahoo.com</t>
  </si>
  <si>
    <t>CUST00002116</t>
  </si>
  <si>
    <t>Ananya Iyer</t>
  </si>
  <si>
    <t>ananyaiyer323@yahoo.com</t>
  </si>
  <si>
    <t>CUST00002117</t>
  </si>
  <si>
    <t>fatimakhan@outlook.com</t>
  </si>
  <si>
    <t>CUST00002118</t>
  </si>
  <si>
    <t>simrantiwari@yahoo.com</t>
  </si>
  <si>
    <t>CUST00002119</t>
  </si>
  <si>
    <t>rohansingh783@outlook.com</t>
  </si>
  <si>
    <t>CUST00002120</t>
  </si>
  <si>
    <t>khalidmalik228@outlook.com</t>
  </si>
  <si>
    <t>CUST00002121</t>
  </si>
  <si>
    <t>vikassharma539@yahoo.com</t>
  </si>
  <si>
    <t>CUST00002122</t>
  </si>
  <si>
    <t>navjotsingh554@gmail.com</t>
  </si>
  <si>
    <t>CUST00002123</t>
  </si>
  <si>
    <t>rohankumar404@outlook.com</t>
  </si>
  <si>
    <t>CUST00002124</t>
  </si>
  <si>
    <t>nikhilsingh@yahoo.com</t>
  </si>
  <si>
    <t>CUST00002125</t>
  </si>
  <si>
    <t>aadhyapandey@outlook.com</t>
  </si>
  <si>
    <t>CUST00002126</t>
  </si>
  <si>
    <t>yashverma324@outlook.com</t>
  </si>
  <si>
    <t>CUST00002127</t>
  </si>
  <si>
    <t>sureshverma691@gmail.com</t>
  </si>
  <si>
    <t>CUST00002128</t>
  </si>
  <si>
    <t>adityaiyer104@yahoo.com</t>
  </si>
  <si>
    <t>CUST00002129</t>
  </si>
  <si>
    <t>gauravpandey883@yahoo.com</t>
  </si>
  <si>
    <t>CUST00002130</t>
  </si>
  <si>
    <t>amitreddy270@gmail.com</t>
  </si>
  <si>
    <t>CUST00002131</t>
  </si>
  <si>
    <t>zarapathan982@outlook.com</t>
  </si>
  <si>
    <t>CUST00002132</t>
  </si>
  <si>
    <t>simranjoshi189@yahoo.com</t>
  </si>
  <si>
    <t>CUST00002133</t>
  </si>
  <si>
    <t>Rashid Malik</t>
  </si>
  <si>
    <t>rashidmalik430@outlook.com</t>
  </si>
  <si>
    <t>CUST00002134</t>
  </si>
  <si>
    <t>anjaligupta@yahoo.com</t>
  </si>
  <si>
    <t>CUST00002135</t>
  </si>
  <si>
    <t>rashidmalik@yahoo.com</t>
  </si>
  <si>
    <t>CUST00002136</t>
  </si>
  <si>
    <t>amandeepsingh586@gmail.com</t>
  </si>
  <si>
    <t>CUST00002137</t>
  </si>
  <si>
    <t>anjaliagarwal@outlook.com</t>
  </si>
  <si>
    <t>CUST00002138</t>
  </si>
  <si>
    <t>rahulsharma103@outlook.com</t>
  </si>
  <si>
    <t>CUST00002139</t>
  </si>
  <si>
    <t>shreyatiwari242@outlook.com</t>
  </si>
  <si>
    <t>CUST00002140</t>
  </si>
  <si>
    <t>harshkumar391@gmail.com</t>
  </si>
  <si>
    <t>CUST00002141</t>
  </si>
  <si>
    <t>harpreetgrewal983@outlook.com</t>
  </si>
  <si>
    <t>CUST00002142</t>
  </si>
  <si>
    <t>simransingh826@gmail.com</t>
  </si>
  <si>
    <t>CUST00002143</t>
  </si>
  <si>
    <t>nehamishra512@gmail.com</t>
  </si>
  <si>
    <t>CUST00002144</t>
  </si>
  <si>
    <t>CUST00002145</t>
  </si>
  <si>
    <t>aadhyatiwari738@yahoo.com</t>
  </si>
  <si>
    <t>CUST00002146</t>
  </si>
  <si>
    <t>CUST00002147</t>
  </si>
  <si>
    <t>aaravverma880@outlook.com</t>
  </si>
  <si>
    <t>CUST00002148</t>
  </si>
  <si>
    <t>anjalikulkarni102@outlook.com</t>
  </si>
  <si>
    <t>CUST00002149</t>
  </si>
  <si>
    <t>yashsharma221@yahoo.com</t>
  </si>
  <si>
    <t>CUST00002150</t>
  </si>
  <si>
    <t>harshpatel645@gmail.com</t>
  </si>
  <si>
    <t>CUST00002151</t>
  </si>
  <si>
    <t>gauravpatel343@yahoo.com</t>
  </si>
  <si>
    <t>CUST00002152</t>
  </si>
  <si>
    <t>nishapandey574@outlook.com</t>
  </si>
  <si>
    <t>CUST00002153</t>
  </si>
  <si>
    <t>CUST00002154</t>
  </si>
  <si>
    <t>sureshverma422@gmail.com</t>
  </si>
  <si>
    <t>CUST00002155</t>
  </si>
  <si>
    <t>amitkumar696@outlook.com</t>
  </si>
  <si>
    <t>CUST00002156</t>
  </si>
  <si>
    <t>Farhan Malik</t>
  </si>
  <si>
    <t>farhanmalik590@outlook.com</t>
  </si>
  <si>
    <t>CUST00002157</t>
  </si>
  <si>
    <t>yashsingh@gmail.com</t>
  </si>
  <si>
    <t>CUST00002158</t>
  </si>
  <si>
    <t>CUST00002159</t>
  </si>
  <si>
    <t>akashreddy690@outlook.com</t>
  </si>
  <si>
    <t>CUST00002160</t>
  </si>
  <si>
    <t>riyagupta755@yahoo.com</t>
  </si>
  <si>
    <t>CUST00002161</t>
  </si>
  <si>
    <t>aadhyatiwari@yahoo.com</t>
  </si>
  <si>
    <t>CUST00002162</t>
  </si>
  <si>
    <t>riyaagarwal@yahoo.com</t>
  </si>
  <si>
    <t>CUST00002163</t>
  </si>
  <si>
    <t>CUST00002164</t>
  </si>
  <si>
    <t>preetisharma@outlook.com</t>
  </si>
  <si>
    <t>CUST00002165</t>
  </si>
  <si>
    <t>saifpathan@yahoo.com</t>
  </si>
  <si>
    <t>CUST00002166</t>
  </si>
  <si>
    <t>preetishah628@outlook.com</t>
  </si>
  <si>
    <t>CUST00002167</t>
  </si>
  <si>
    <t>riyayadav929@gmail.com</t>
  </si>
  <si>
    <t>CUST00002168</t>
  </si>
  <si>
    <t>salmanali352@gmail.com</t>
  </si>
  <si>
    <t>CUST00002169</t>
  </si>
  <si>
    <t>akashmishra669@yahoo.com</t>
  </si>
  <si>
    <t>CUST00002170</t>
  </si>
  <si>
    <t>nidamirza@outlook.com</t>
  </si>
  <si>
    <t>CUST00002171</t>
  </si>
  <si>
    <t>CUST00002172</t>
  </si>
  <si>
    <t>adityareddy@yahoo.com</t>
  </si>
  <si>
    <t>CUST00002173</t>
  </si>
  <si>
    <t>Vikas Gupta</t>
  </si>
  <si>
    <t>vikasgupta@outlook.com</t>
  </si>
  <si>
    <t>CUST00002174</t>
  </si>
  <si>
    <t>sureshsharma@yahoo.com</t>
  </si>
  <si>
    <t>CUST00002175</t>
  </si>
  <si>
    <t>adityakumar875@gmail.com</t>
  </si>
  <si>
    <t>CUST00002176</t>
  </si>
  <si>
    <t>nehakulkarni241@outlook.com</t>
  </si>
  <si>
    <t>CUST00002177</t>
  </si>
  <si>
    <t>fatimapathan762@outlook.com</t>
  </si>
  <si>
    <t>CUST00002178</t>
  </si>
  <si>
    <t>aamirpathan@gmail.com</t>
  </si>
  <si>
    <t>CUST00002179</t>
  </si>
  <si>
    <t>Rashid Pathan</t>
  </si>
  <si>
    <t>rashidpathan106@gmail.com</t>
  </si>
  <si>
    <t>CUST00002180</t>
  </si>
  <si>
    <t>anjaliverma900@yahoo.com</t>
  </si>
  <si>
    <t>CUST00002181</t>
  </si>
  <si>
    <t>aadhyanair27@yahoo.com</t>
  </si>
  <si>
    <t>CUST00002182</t>
  </si>
  <si>
    <t>aamiransari86@gmail.com</t>
  </si>
  <si>
    <t>CUST00002183</t>
  </si>
  <si>
    <t>simranmehta160@gmail.com</t>
  </si>
  <si>
    <t>CUST00002184</t>
  </si>
  <si>
    <t>arjunmehta@yahoo.com</t>
  </si>
  <si>
    <t>CUST00002185</t>
  </si>
  <si>
    <t>aminarahman254@outlook.com</t>
  </si>
  <si>
    <t>CUST00002186</t>
  </si>
  <si>
    <t>aaravmehta642@gmail.com</t>
  </si>
  <si>
    <t>CUST00002187</t>
  </si>
  <si>
    <t>divyajoshi859@gmail.com</t>
  </si>
  <si>
    <t>CUST00002188</t>
  </si>
  <si>
    <t>karanverma680@yahoo.com</t>
  </si>
  <si>
    <t>CUST00002189</t>
  </si>
  <si>
    <t>khalidsheikh@yahoo.com</t>
  </si>
  <si>
    <t>CUST00002190</t>
  </si>
  <si>
    <t>CUST00002191</t>
  </si>
  <si>
    <t>Karan Kulkarni</t>
  </si>
  <si>
    <t>karankulkarni@outlook.com</t>
  </si>
  <si>
    <t>CUST00002192</t>
  </si>
  <si>
    <t>farhanmirza@outlook.com</t>
  </si>
  <si>
    <t>CUST00002193</t>
  </si>
  <si>
    <t>meghayadav993@outlook.com</t>
  </si>
  <si>
    <t>CUST00002194</t>
  </si>
  <si>
    <t>vishalsharma606@outlook.com</t>
  </si>
  <si>
    <t>CUST00002195</t>
  </si>
  <si>
    <t>alisiddiqui767@outlook.com</t>
  </si>
  <si>
    <t>CUST00002196</t>
  </si>
  <si>
    <t>rajsharma@yahoo.com</t>
  </si>
  <si>
    <t>CUST00002197</t>
  </si>
  <si>
    <t>hassanahmed655@outlook.com</t>
  </si>
  <si>
    <t>CUST00002198</t>
  </si>
  <si>
    <t>divyakumar356@yahoo.com</t>
  </si>
  <si>
    <t>CUST00002199</t>
  </si>
  <si>
    <t>yashkulkarni825@gmail.com</t>
  </si>
  <si>
    <t>CUST00002200</t>
  </si>
  <si>
    <t>Ayesha Khan</t>
  </si>
  <si>
    <t>ayeshakhan375@yahoo.com</t>
  </si>
  <si>
    <t>CUST00002201</t>
  </si>
  <si>
    <t>arifali311@gmail.com</t>
  </si>
  <si>
    <t>CUST00002202</t>
  </si>
  <si>
    <t>saifkhan835@gmail.com</t>
  </si>
  <si>
    <t>CUST00002203</t>
  </si>
  <si>
    <t>arifali481@outlook.com</t>
  </si>
  <si>
    <t>CUST00002204</t>
  </si>
  <si>
    <t>karanjoshi945@yahoo.com</t>
  </si>
  <si>
    <t>CUST00002205</t>
  </si>
  <si>
    <t>shreyashah@yahoo.com</t>
  </si>
  <si>
    <t>CUST00002206</t>
  </si>
  <si>
    <t>preetishah785@yahoo.com</t>
  </si>
  <si>
    <t>CUST00002207</t>
  </si>
  <si>
    <t>aaravgupta@outlook.com</t>
  </si>
  <si>
    <t>CUST00002208</t>
  </si>
  <si>
    <t>shreyatiwari8@outlook.com</t>
  </si>
  <si>
    <t>CUST00002209</t>
  </si>
  <si>
    <t>akashreddy422@outlook.com</t>
  </si>
  <si>
    <t>CUST00002210</t>
  </si>
  <si>
    <t>poojakumar256@gmail.com</t>
  </si>
  <si>
    <t>CUST00002211</t>
  </si>
  <si>
    <t>CUST00002212</t>
  </si>
  <si>
    <t>aminaansari388@gmail.com</t>
  </si>
  <si>
    <t>CUST00002213</t>
  </si>
  <si>
    <t>Anjali Mehta</t>
  </si>
  <si>
    <t>anjalimehta433@outlook.com</t>
  </si>
  <si>
    <t>CUST00002214</t>
  </si>
  <si>
    <t>vikassharma783@outlook.com</t>
  </si>
  <si>
    <t>CUST00002215</t>
  </si>
  <si>
    <t>Swati Mehta</t>
  </si>
  <si>
    <t>swatimehta@outlook.com</t>
  </si>
  <si>
    <t>CUST00002216</t>
  </si>
  <si>
    <t>fatimaahmed665@outlook.com</t>
  </si>
  <si>
    <t>CUST00002217</t>
  </si>
  <si>
    <t>riyasharma276@yahoo.com</t>
  </si>
  <si>
    <t>CUST00002218</t>
  </si>
  <si>
    <t>vishalyadav71@gmail.com</t>
  </si>
  <si>
    <t>CUST00002219</t>
  </si>
  <si>
    <t>vishalmishra114@outlook.com</t>
  </si>
  <si>
    <t>CUST00002220</t>
  </si>
  <si>
    <t>Aditya Mishra</t>
  </si>
  <si>
    <t>adityamishra464@yahoo.com</t>
  </si>
  <si>
    <t>CUST00002221</t>
  </si>
  <si>
    <t>anjalipatel@yahoo.com</t>
  </si>
  <si>
    <t>CUST00002222</t>
  </si>
  <si>
    <t>preetinair20@gmail.com</t>
  </si>
  <si>
    <t>CUST00002223</t>
  </si>
  <si>
    <t>divyamishra548@gmail.com</t>
  </si>
  <si>
    <t>CUST00002224</t>
  </si>
  <si>
    <t>amitnair105@yahoo.com</t>
  </si>
  <si>
    <t>CUST00002225</t>
  </si>
  <si>
    <t>shreyaverma733@yahoo.com</t>
  </si>
  <si>
    <t>CUST00002226</t>
  </si>
  <si>
    <t>CUST00002227</t>
  </si>
  <si>
    <t>rajeshmehta16@yahoo.com</t>
  </si>
  <si>
    <t>CUST00002228</t>
  </si>
  <si>
    <t>nidasiddiqui431@yahoo.com</t>
  </si>
  <si>
    <t>CUST00002229</t>
  </si>
  <si>
    <t>ananyamehta@yahoo.com</t>
  </si>
  <si>
    <t>CUST00002230</t>
  </si>
  <si>
    <t>CUST00002231</t>
  </si>
  <si>
    <t>omarpathan@gmail.com</t>
  </si>
  <si>
    <t>CUST00002232</t>
  </si>
  <si>
    <t>Ahmed Ali</t>
  </si>
  <si>
    <t>ahmedali864@gmail.com</t>
  </si>
  <si>
    <t>CUST00002233</t>
  </si>
  <si>
    <t>sureshagarwal795@yahoo.com</t>
  </si>
  <si>
    <t>CUST00002234</t>
  </si>
  <si>
    <t>gurpreetsingh482@gmail.com</t>
  </si>
  <si>
    <t>CUST00002235</t>
  </si>
  <si>
    <t>anjalishah862@yahoo.com</t>
  </si>
  <si>
    <t>CUST00002236</t>
  </si>
  <si>
    <t>nikhilkumar@gmail.com</t>
  </si>
  <si>
    <t>CUST00002237</t>
  </si>
  <si>
    <t>meghakumar787@outlook.com</t>
  </si>
  <si>
    <t>CUST00002238</t>
  </si>
  <si>
    <t>simrannair790@yahoo.com</t>
  </si>
  <si>
    <t>CUST00002239</t>
  </si>
  <si>
    <t>gauravgupta35@gmail.com</t>
  </si>
  <si>
    <t>CUST00002240</t>
  </si>
  <si>
    <t>vishalreddy790@gmail.com</t>
  </si>
  <si>
    <t>CUST00002241</t>
  </si>
  <si>
    <t>nikhilshah214@yahoo.com</t>
  </si>
  <si>
    <t>CUST00002242</t>
  </si>
  <si>
    <t>yashverma985@yahoo.com</t>
  </si>
  <si>
    <t>CUST00002243</t>
  </si>
  <si>
    <t>CUST00002244</t>
  </si>
  <si>
    <t>adityareddy@gmail.com</t>
  </si>
  <si>
    <t>CUST00002245</t>
  </si>
  <si>
    <t>ananyagupta@outlook.com</t>
  </si>
  <si>
    <t>CUST00002246</t>
  </si>
  <si>
    <t>anjalisingh260@yahoo.com</t>
  </si>
  <si>
    <t>CUST00002247</t>
  </si>
  <si>
    <t>CUST00002248</t>
  </si>
  <si>
    <t>anjaliyadav54@outlook.com</t>
  </si>
  <si>
    <t>CUST00002249</t>
  </si>
  <si>
    <t>fatimaali116@gmail.com</t>
  </si>
  <si>
    <t>CUST00002250</t>
  </si>
  <si>
    <t>CUST00002251</t>
  </si>
  <si>
    <t>preetitiwari814@yahoo.com</t>
  </si>
  <si>
    <t>CUST00002252</t>
  </si>
  <si>
    <t>preetireddy406@gmail.com</t>
  </si>
  <si>
    <t>CUST00002253</t>
  </si>
  <si>
    <t>ananyareddy44@outlook.com</t>
  </si>
  <si>
    <t>CUST00002254</t>
  </si>
  <si>
    <t>arjunpatel@yahoo.com</t>
  </si>
  <si>
    <t>CUST00002255</t>
  </si>
  <si>
    <t>fatimasheikh@gmail.com</t>
  </si>
  <si>
    <t>CUST00002256</t>
  </si>
  <si>
    <t>Khalid Ansari</t>
  </si>
  <si>
    <t>khalidansari92@gmail.com</t>
  </si>
  <si>
    <t>CUST00002257</t>
  </si>
  <si>
    <t>kavyapatel94@outlook.com</t>
  </si>
  <si>
    <t>CUST00002258</t>
  </si>
  <si>
    <t>CUST00002259</t>
  </si>
  <si>
    <t>divyagupta365@outlook.com</t>
  </si>
  <si>
    <t>CUST00002260</t>
  </si>
  <si>
    <t>kavyakumar550@gmail.com</t>
  </si>
  <si>
    <t>CUST00002261</t>
  </si>
  <si>
    <t>karankumar239@yahoo.com</t>
  </si>
  <si>
    <t>CUST00002262</t>
  </si>
  <si>
    <t>vishalgupta@outlook.com</t>
  </si>
  <si>
    <t>CUST00002263</t>
  </si>
  <si>
    <t>CUST00002264</t>
  </si>
  <si>
    <t>CUST00002265</t>
  </si>
  <si>
    <t>CUST00002266</t>
  </si>
  <si>
    <t>hassankhan@yahoo.com</t>
  </si>
  <si>
    <t>CUST00002267</t>
  </si>
  <si>
    <t>ayeshakhan@yahoo.com</t>
  </si>
  <si>
    <t>CUST00002268</t>
  </si>
  <si>
    <t>nehapatel@outlook.com</t>
  </si>
  <si>
    <t>CUST00002269</t>
  </si>
  <si>
    <t>meghaiyer714@yahoo.com</t>
  </si>
  <si>
    <t>CUST00002270</t>
  </si>
  <si>
    <t>sureshnair192@outlook.com</t>
  </si>
  <si>
    <t>CUST00002271</t>
  </si>
  <si>
    <t>rajeshyadav750@yahoo.com</t>
  </si>
  <si>
    <t>CUST00002272</t>
  </si>
  <si>
    <t>aliyakhan852@outlook.com</t>
  </si>
  <si>
    <t>CUST00002273</t>
  </si>
  <si>
    <t>CUST00002274</t>
  </si>
  <si>
    <t>riyatiwari544@gmail.com</t>
  </si>
  <si>
    <t>CUST00002275</t>
  </si>
  <si>
    <t>nishaagarwal840@yahoo.com</t>
  </si>
  <si>
    <t>CUST00002276</t>
  </si>
  <si>
    <t>shreyaverma465@gmail.com</t>
  </si>
  <si>
    <t>CUST00002277</t>
  </si>
  <si>
    <t>CUST00002278</t>
  </si>
  <si>
    <t>rahulreddy190@gmail.com</t>
  </si>
  <si>
    <t>CUST00002279</t>
  </si>
  <si>
    <t>swatiyadav@yahoo.com</t>
  </si>
  <si>
    <t>CUST00002280</t>
  </si>
  <si>
    <t>CUST00002281</t>
  </si>
  <si>
    <t>Khalid Ahmed</t>
  </si>
  <si>
    <t>khalidahmed65@outlook.com</t>
  </si>
  <si>
    <t>CUST00002282</t>
  </si>
  <si>
    <t>farhankhan@yahoo.com</t>
  </si>
  <si>
    <t>CUST00002283</t>
  </si>
  <si>
    <t>sureshnair700@yahoo.com</t>
  </si>
  <si>
    <t>CUST00002284</t>
  </si>
  <si>
    <t>CUST00002285</t>
  </si>
  <si>
    <t>arifsheikh@yahoo.com</t>
  </si>
  <si>
    <t>CUST00002286</t>
  </si>
  <si>
    <t>karanjoshi330@gmail.com</t>
  </si>
  <si>
    <t>CUST00002287</t>
  </si>
  <si>
    <t>vishalshah675@gmail.com</t>
  </si>
  <si>
    <t>CUST00002288</t>
  </si>
  <si>
    <t>alisheikh961@gmail.com</t>
  </si>
  <si>
    <t>CUST00002289</t>
  </si>
  <si>
    <t>aadhyakulkarni33@gmail.com</t>
  </si>
  <si>
    <t>CUST00002290</t>
  </si>
  <si>
    <t>kuldeepbrar197@gmail.com</t>
  </si>
  <si>
    <t>CUST00002291</t>
  </si>
  <si>
    <t>rajeshtiwari658@yahoo.com</t>
  </si>
  <si>
    <t>CUST00002292</t>
  </si>
  <si>
    <t>nehashah@outlook.com</t>
  </si>
  <si>
    <t>CUST00002293</t>
  </si>
  <si>
    <t>meghashah@outlook.com</t>
  </si>
  <si>
    <t>CUST00002294</t>
  </si>
  <si>
    <t>rajeshkulkarni376@gmail.com</t>
  </si>
  <si>
    <t>CUST00002295</t>
  </si>
  <si>
    <t>Gurleen Brar</t>
  </si>
  <si>
    <t>gurleenbrar@gmail.com</t>
  </si>
  <si>
    <t>CUST00002296</t>
  </si>
  <si>
    <t>poojaagarwal944@gmail.com</t>
  </si>
  <si>
    <t>CUST00002297</t>
  </si>
  <si>
    <t>ananyapatel@gmail.com</t>
  </si>
  <si>
    <t>CUST00002298</t>
  </si>
  <si>
    <t>harshsharma655@gmail.com</t>
  </si>
  <si>
    <t>CUST00002299</t>
  </si>
  <si>
    <t>rajsingh762@yahoo.com</t>
  </si>
  <si>
    <t>CUST00002300</t>
  </si>
  <si>
    <t>CUST00002301</t>
  </si>
  <si>
    <t>fatimarahman632@yahoo.com</t>
  </si>
  <si>
    <t>CUST00002302</t>
  </si>
  <si>
    <t>aminapathan752@gmail.com</t>
  </si>
  <si>
    <t>CUST00002303</t>
  </si>
  <si>
    <t>Raj Verma</t>
  </si>
  <si>
    <t>rajverma@gmail.com</t>
  </si>
  <si>
    <t>CUST00002304</t>
  </si>
  <si>
    <t>priyanair@outlook.com</t>
  </si>
  <si>
    <t>CUST00002305</t>
  </si>
  <si>
    <t>rohantiwari743@gmail.com</t>
  </si>
  <si>
    <t>CUST00002306</t>
  </si>
  <si>
    <t>swatisharma195@gmail.com</t>
  </si>
  <si>
    <t>CUST00002307</t>
  </si>
  <si>
    <t>aaravnair255@outlook.com</t>
  </si>
  <si>
    <t>CUST00002308</t>
  </si>
  <si>
    <t>akashmishra@gmail.com</t>
  </si>
  <si>
    <t>CUST00002309</t>
  </si>
  <si>
    <t>priyamishra572@yahoo.com</t>
  </si>
  <si>
    <t>CUST00002310</t>
  </si>
  <si>
    <t>akashmehta@outlook.com</t>
  </si>
  <si>
    <t>CUST00002311</t>
  </si>
  <si>
    <t>shreyasharma691@yahoo.com</t>
  </si>
  <si>
    <t>CUST00002312</t>
  </si>
  <si>
    <t>CUST00002313</t>
  </si>
  <si>
    <t>nidamalik@gmail.com</t>
  </si>
  <si>
    <t>CUST00002314</t>
  </si>
  <si>
    <t>hinamalik@outlook.com</t>
  </si>
  <si>
    <t>CUST00002315</t>
  </si>
  <si>
    <t>preetijoshi346@outlook.com</t>
  </si>
  <si>
    <t>CUST00002316</t>
  </si>
  <si>
    <t>anjaliiyer615@yahoo.com</t>
  </si>
  <si>
    <t>CUST00002317</t>
  </si>
  <si>
    <t>gurleenbrar@yahoo.com</t>
  </si>
  <si>
    <t>CUST00002318</t>
  </si>
  <si>
    <t>akashsingh333@yahoo.com</t>
  </si>
  <si>
    <t>CUST00002319</t>
  </si>
  <si>
    <t>zaramalik649@yahoo.com</t>
  </si>
  <si>
    <t>CUST00002320</t>
  </si>
  <si>
    <t>CUST00002321</t>
  </si>
  <si>
    <t>riyasharma@outlook.com</t>
  </si>
  <si>
    <t>CUST00002322</t>
  </si>
  <si>
    <t>abhishekagarwal385@outlook.com</t>
  </si>
  <si>
    <t>CUST00002323</t>
  </si>
  <si>
    <t>aminapathan@yahoo.com</t>
  </si>
  <si>
    <t>CUST00002324</t>
  </si>
  <si>
    <t>nikhilagarwal464@yahoo.com</t>
  </si>
  <si>
    <t>CUST00002325</t>
  </si>
  <si>
    <t>CUST00002326</t>
  </si>
  <si>
    <t>priyapatel@yahoo.com</t>
  </si>
  <si>
    <t>CUST00002327</t>
  </si>
  <si>
    <t>preetiverma531@gmail.com</t>
  </si>
  <si>
    <t>CUST00002328</t>
  </si>
  <si>
    <t>Zain Pathan</t>
  </si>
  <si>
    <t>zainpathan@yahoo.com</t>
  </si>
  <si>
    <t>CUST00002329</t>
  </si>
  <si>
    <t>hinakhan228@gmail.com</t>
  </si>
  <si>
    <t>CUST00002330</t>
  </si>
  <si>
    <t>aaravverma@gmail.com</t>
  </si>
  <si>
    <t>CUST00002331</t>
  </si>
  <si>
    <t>CUST00002332</t>
  </si>
  <si>
    <t>CUST00002333</t>
  </si>
  <si>
    <t>riyakulkarni585@outlook.com</t>
  </si>
  <si>
    <t>CUST00002334</t>
  </si>
  <si>
    <t>karangupta39@yahoo.com</t>
  </si>
  <si>
    <t>CUST00002335</t>
  </si>
  <si>
    <t>farahali142@yahoo.com</t>
  </si>
  <si>
    <t>CUST00002336</t>
  </si>
  <si>
    <t>yashtiwari597@gmail.com</t>
  </si>
  <si>
    <t>CUST00002337</t>
  </si>
  <si>
    <t>sanarahman831@yahoo.com</t>
  </si>
  <si>
    <t>CUST00002338</t>
  </si>
  <si>
    <t>nishamishra410@outlook.com</t>
  </si>
  <si>
    <t>CUST00002339</t>
  </si>
  <si>
    <t>hassanrahman@outlook.com</t>
  </si>
  <si>
    <t>CUST00002340</t>
  </si>
  <si>
    <t>akashverma333@yahoo.com</t>
  </si>
  <si>
    <t>CUST00002341</t>
  </si>
  <si>
    <t>amitreddy846@outlook.com</t>
  </si>
  <si>
    <t>CUST00002342</t>
  </si>
  <si>
    <t>Abhishek Sharma</t>
  </si>
  <si>
    <t>abhisheksharma@gmail.com</t>
  </si>
  <si>
    <t>CUST00002343</t>
  </si>
  <si>
    <t>arjunkumar308@gmail.com</t>
  </si>
  <si>
    <t>CUST00002344</t>
  </si>
  <si>
    <t>akashreddy@outlook.com</t>
  </si>
  <si>
    <t>CUST00002345</t>
  </si>
  <si>
    <t>akashjoshi799@gmail.com</t>
  </si>
  <si>
    <t>CUST00002346</t>
  </si>
  <si>
    <t>aadhyashah@yahoo.com</t>
  </si>
  <si>
    <t>CUST00002347</t>
  </si>
  <si>
    <t>vikasjoshi837@yahoo.com</t>
  </si>
  <si>
    <t>CUST00002348</t>
  </si>
  <si>
    <t>vishalmishra889@gmail.com</t>
  </si>
  <si>
    <t>CUST00002349</t>
  </si>
  <si>
    <t>shreyakumar@gmail.com</t>
  </si>
  <si>
    <t>CUST00002350</t>
  </si>
  <si>
    <t>gauravjoshi@outlook.com</t>
  </si>
  <si>
    <t>CUST00002351</t>
  </si>
  <si>
    <t>zainrahman@outlook.com</t>
  </si>
  <si>
    <t>CUST00002352</t>
  </si>
  <si>
    <t>CUST00002353</t>
  </si>
  <si>
    <t>divyakulkarni537@gmail.com</t>
  </si>
  <si>
    <t>CUST00002354</t>
  </si>
  <si>
    <t>vikasmehta579@gmail.com</t>
  </si>
  <si>
    <t>CUST00002355</t>
  </si>
  <si>
    <t>arjuntiwari715@gmail.com</t>
  </si>
  <si>
    <t>CUST00002356</t>
  </si>
  <si>
    <t>Aditya Tiwari</t>
  </si>
  <si>
    <t>adityatiwari690@outlook.com</t>
  </si>
  <si>
    <t>CUST00002357</t>
  </si>
  <si>
    <t>hassanahmed@yahoo.com</t>
  </si>
  <si>
    <t>CUST00002358</t>
  </si>
  <si>
    <t>CUST00002359</t>
  </si>
  <si>
    <t>fatimapathan228@yahoo.com</t>
  </si>
  <si>
    <t>CUST00002360</t>
  </si>
  <si>
    <t>aaravagarwal404@gmail.com</t>
  </si>
  <si>
    <t>CUST00002361</t>
  </si>
  <si>
    <t>kavyamehta85@yahoo.com</t>
  </si>
  <si>
    <t>CUST00002362</t>
  </si>
  <si>
    <t>rohanyadav51@outlook.com</t>
  </si>
  <si>
    <t>CUST00002363</t>
  </si>
  <si>
    <t>kuldeepsingh88@yahoo.com</t>
  </si>
  <si>
    <t>CUST00002364</t>
  </si>
  <si>
    <t>aadhyagupta793@outlook.com</t>
  </si>
  <si>
    <t>CUST00002365</t>
  </si>
  <si>
    <t>preetisingh139@yahoo.com</t>
  </si>
  <si>
    <t>CUST00002366</t>
  </si>
  <si>
    <t>nehatiwari500@yahoo.com</t>
  </si>
  <si>
    <t>CUST00002367</t>
  </si>
  <si>
    <t>poojakumar@gmail.com</t>
  </si>
  <si>
    <t>CUST00002368</t>
  </si>
  <si>
    <t>simranmehta754@outlook.com</t>
  </si>
  <si>
    <t>CUST00002369</t>
  </si>
  <si>
    <t>aadhyamishra74@yahoo.com</t>
  </si>
  <si>
    <t>CUST00002370</t>
  </si>
  <si>
    <t>Mohammad Siddiqui</t>
  </si>
  <si>
    <t>mohammadsiddiqui@yahoo.com</t>
  </si>
  <si>
    <t>CUST00002371</t>
  </si>
  <si>
    <t>aaravsingh@outlook.com</t>
  </si>
  <si>
    <t>CUST00002372</t>
  </si>
  <si>
    <t>shreyanair688@yahoo.com</t>
  </si>
  <si>
    <t>CUST00002373</t>
  </si>
  <si>
    <t>zainpathan357@gmail.com</t>
  </si>
  <si>
    <t>CUST00002374</t>
  </si>
  <si>
    <t>imransiddiqui609@outlook.com</t>
  </si>
  <si>
    <t>CUST00002375</t>
  </si>
  <si>
    <t>aaravmehta313@gmail.com</t>
  </si>
  <si>
    <t>CUST00002376</t>
  </si>
  <si>
    <t>jaspreetsandhu@outlook.com</t>
  </si>
  <si>
    <t>CUST00002377</t>
  </si>
  <si>
    <t>CUST00002378</t>
  </si>
  <si>
    <t>meghakumar@yahoo.com</t>
  </si>
  <si>
    <t>CUST00002379</t>
  </si>
  <si>
    <t>rajeshkulkarni838@gmail.com</t>
  </si>
  <si>
    <t>CUST00002380</t>
  </si>
  <si>
    <t>ahmedsheikh383@gmail.com</t>
  </si>
  <si>
    <t>CUST00002381</t>
  </si>
  <si>
    <t>harshmehta@gmail.com</t>
  </si>
  <si>
    <t>CUST00002382</t>
  </si>
  <si>
    <t>kavyagupta56@gmail.com</t>
  </si>
  <si>
    <t>CUST00002383</t>
  </si>
  <si>
    <t>riyaiyer@gmail.com</t>
  </si>
  <si>
    <t>CUST00002384</t>
  </si>
  <si>
    <t>karanpandey@yahoo.com</t>
  </si>
  <si>
    <t>CUST00002385</t>
  </si>
  <si>
    <t>akashmehta711@gmail.com</t>
  </si>
  <si>
    <t>CUST00002386</t>
  </si>
  <si>
    <t>rajeshtiwari483@gmail.com</t>
  </si>
  <si>
    <t>CUST00002387</t>
  </si>
  <si>
    <t>shreyamishra758@outlook.com</t>
  </si>
  <si>
    <t>CUST00002388</t>
  </si>
  <si>
    <t>harshmehta560@outlook.com</t>
  </si>
  <si>
    <t>CUST00002389</t>
  </si>
  <si>
    <t>sanamalik@outlook.com</t>
  </si>
  <si>
    <t>CUST00002390</t>
  </si>
  <si>
    <t>Manpreet Sandhu</t>
  </si>
  <si>
    <t>manpreetsandhu748@gmail.com</t>
  </si>
  <si>
    <t>CUST00002391</t>
  </si>
  <si>
    <t>zainkhan@outlook.com</t>
  </si>
  <si>
    <t>CUST00002392</t>
  </si>
  <si>
    <t>priyashah597@outlook.com</t>
  </si>
  <si>
    <t>CUST00002393</t>
  </si>
  <si>
    <t>sureshiyer262@gmail.com</t>
  </si>
  <si>
    <t>CUST00002394</t>
  </si>
  <si>
    <t>Tariq Khan</t>
  </si>
  <si>
    <t>tariqkhan206@outlook.com</t>
  </si>
  <si>
    <t>CUST00002395</t>
  </si>
  <si>
    <t>CUST00002396</t>
  </si>
  <si>
    <t>yashsharma968@gmail.com</t>
  </si>
  <si>
    <t>CUST00002397</t>
  </si>
  <si>
    <t>rahulverma677@yahoo.com</t>
  </si>
  <si>
    <t>CUST00002398</t>
  </si>
  <si>
    <t>poojashah@outlook.com</t>
  </si>
  <si>
    <t>CUST00002399</t>
  </si>
  <si>
    <t>vishaliyer111@gmail.com</t>
  </si>
  <si>
    <t>CUST00002400</t>
  </si>
  <si>
    <t>nishareddy905@outlook.com</t>
  </si>
  <si>
    <t>CUST00002401</t>
  </si>
  <si>
    <t>swatinair390@outlook.com</t>
  </si>
  <si>
    <t>CUST00002402</t>
  </si>
  <si>
    <t>yashjoshi@gmail.com</t>
  </si>
  <si>
    <t>CUST00002403</t>
  </si>
  <si>
    <t>rajkulkarni@yahoo.com</t>
  </si>
  <si>
    <t>CUST00002404</t>
  </si>
  <si>
    <t>Ayesha Ahmed</t>
  </si>
  <si>
    <t>ayeshaahmed@outlook.com</t>
  </si>
  <si>
    <t>CUST00002405</t>
  </si>
  <si>
    <t>harshiyer204@outlook.com</t>
  </si>
  <si>
    <t>CUST00002406</t>
  </si>
  <si>
    <t>simraniyer@outlook.com</t>
  </si>
  <si>
    <t>CUST00002407</t>
  </si>
  <si>
    <t>CUST00002408</t>
  </si>
  <si>
    <t>gauravgupta945@outlook.com</t>
  </si>
  <si>
    <t>CUST00002409</t>
  </si>
  <si>
    <t>abhisheknair502@yahoo.com</t>
  </si>
  <si>
    <t>CUST00002410</t>
  </si>
  <si>
    <t>CUST00002411</t>
  </si>
  <si>
    <t>priyanair361@yahoo.com</t>
  </si>
  <si>
    <t>CUST00002412</t>
  </si>
  <si>
    <t>simranmishra@gmail.com</t>
  </si>
  <si>
    <t>CUST00002413</t>
  </si>
  <si>
    <t>abhishekagarwal@outlook.com</t>
  </si>
  <si>
    <t>CUST00002414</t>
  </si>
  <si>
    <t>gauravpandey64@outlook.com</t>
  </si>
  <si>
    <t>CUST00002415</t>
  </si>
  <si>
    <t>divyayadav397@gmail.com</t>
  </si>
  <si>
    <t>CUST00002416</t>
  </si>
  <si>
    <t>nishakumar@yahoo.com</t>
  </si>
  <si>
    <t>CUST00002417</t>
  </si>
  <si>
    <t>priyamehta350@yahoo.com</t>
  </si>
  <si>
    <t>CUST00002418</t>
  </si>
  <si>
    <t>simrankulkarni@gmail.com</t>
  </si>
  <si>
    <t>CUST00002419</t>
  </si>
  <si>
    <t>poojapandey@outlook.com</t>
  </si>
  <si>
    <t>CUST00002420</t>
  </si>
  <si>
    <t>CUST00002421</t>
  </si>
  <si>
    <t>rohankumar@outlook.com</t>
  </si>
  <si>
    <t>CUST00002422</t>
  </si>
  <si>
    <t>kavyasharma247@outlook.com</t>
  </si>
  <si>
    <t>CUST00002423</t>
  </si>
  <si>
    <t>karankumar994@yahoo.com</t>
  </si>
  <si>
    <t>CUST00002424</t>
  </si>
  <si>
    <t>CUST00002425</t>
  </si>
  <si>
    <t>karanyadav135@gmail.com</t>
  </si>
  <si>
    <t>CUST00002426</t>
  </si>
  <si>
    <t>aaravtiwari@outlook.com</t>
  </si>
  <si>
    <t>CUST00002427</t>
  </si>
  <si>
    <t>aadhyatiwari820@gmail.com</t>
  </si>
  <si>
    <t>CUST00002428</t>
  </si>
  <si>
    <t>rashidsiddiqui@yahoo.com</t>
  </si>
  <si>
    <t>CUST00002429</t>
  </si>
  <si>
    <t>alisiddiqui@outlook.com</t>
  </si>
  <si>
    <t>CUST00002430</t>
  </si>
  <si>
    <t>rahulgupta@yahoo.com</t>
  </si>
  <si>
    <t>CUST00002431</t>
  </si>
  <si>
    <t>vishaltiwari@gmail.com</t>
  </si>
  <si>
    <t>CUST00002432</t>
  </si>
  <si>
    <t>anjalimehta@outlook.com</t>
  </si>
  <si>
    <t>CUST00002433</t>
  </si>
  <si>
    <t>arjunkulkarni@yahoo.com</t>
  </si>
  <si>
    <t>CUST00002434</t>
  </si>
  <si>
    <t>yashmishra546@outlook.com</t>
  </si>
  <si>
    <t>CUST00002435</t>
  </si>
  <si>
    <t>rahulpatel326@gmail.com</t>
  </si>
  <si>
    <t>CUST00002436</t>
  </si>
  <si>
    <t>imransiddiqui@yahoo.com</t>
  </si>
  <si>
    <t>CUST00002437</t>
  </si>
  <si>
    <t>abhishekjoshi@yahoo.com</t>
  </si>
  <si>
    <t>CUST00002438</t>
  </si>
  <si>
    <t>CUST00002439</t>
  </si>
  <si>
    <t>poojasharma957@outlook.com</t>
  </si>
  <si>
    <t>CUST00002440</t>
  </si>
  <si>
    <t>CUST00002441</t>
  </si>
  <si>
    <t>Anjali Sharma</t>
  </si>
  <si>
    <t>anjalisharma193@gmail.com</t>
  </si>
  <si>
    <t>CUST00002442</t>
  </si>
  <si>
    <t>hinamalik27@outlook.com</t>
  </si>
  <si>
    <t>CUST00002443</t>
  </si>
  <si>
    <t>simrangrewal@outlook.com</t>
  </si>
  <si>
    <t>CUST00002444</t>
  </si>
  <si>
    <t>nishasharma237@outlook.com</t>
  </si>
  <si>
    <t>CUST00002445</t>
  </si>
  <si>
    <t>arifali704@gmail.com</t>
  </si>
  <si>
    <t>CUST00002446</t>
  </si>
  <si>
    <t>priyaiyer705@yahoo.com</t>
  </si>
  <si>
    <t>CUST00002447</t>
  </si>
  <si>
    <t>swatipatel867@outlook.com</t>
  </si>
  <si>
    <t>CUST00002448</t>
  </si>
  <si>
    <t>divyashah666@yahoo.com</t>
  </si>
  <si>
    <t>CUST00002449</t>
  </si>
  <si>
    <t>vishalyadav397@yahoo.com</t>
  </si>
  <si>
    <t>CUST00002450</t>
  </si>
  <si>
    <t>vikasreddy168@gmail.com</t>
  </si>
  <si>
    <t>CUST00002451</t>
  </si>
  <si>
    <t>aaravverma419@gmail.com</t>
  </si>
  <si>
    <t>CUST00002452</t>
  </si>
  <si>
    <t>aminamirza@yahoo.com</t>
  </si>
  <si>
    <t>CUST00002453</t>
  </si>
  <si>
    <t>aadhyagupta688@gmail.com</t>
  </si>
  <si>
    <t>CUST00002454</t>
  </si>
  <si>
    <t>aishamalik@gmail.com</t>
  </si>
  <si>
    <t>CUST00002455</t>
  </si>
  <si>
    <t>farahsheikh978@yahoo.com</t>
  </si>
  <si>
    <t>CUST00002456</t>
  </si>
  <si>
    <t>Zain Ansari</t>
  </si>
  <si>
    <t>zainansari@yahoo.com</t>
  </si>
  <si>
    <t>CUST00002457</t>
  </si>
  <si>
    <t>yashkumar@yahoo.com</t>
  </si>
  <si>
    <t>CUST00002458</t>
  </si>
  <si>
    <t>divyatiwari@yahoo.com</t>
  </si>
  <si>
    <t>CUST00002459</t>
  </si>
  <si>
    <t>simransharma43@outlook.com</t>
  </si>
  <si>
    <t>CUST00002460</t>
  </si>
  <si>
    <t>rajeshagarwal@yahoo.com</t>
  </si>
  <si>
    <t>CUST00002461</t>
  </si>
  <si>
    <t>CUST00002462</t>
  </si>
  <si>
    <t>CUST00002463</t>
  </si>
  <si>
    <t>meghakumar550@outlook.com</t>
  </si>
  <si>
    <t>CUST00002464</t>
  </si>
  <si>
    <t>CUST00002465</t>
  </si>
  <si>
    <t>vishalshah@outlook.com</t>
  </si>
  <si>
    <t>CUST00002466</t>
  </si>
  <si>
    <t>gauravpandey468@gmail.com</t>
  </si>
  <si>
    <t>CUST00002467</t>
  </si>
  <si>
    <t>CUST00002468</t>
  </si>
  <si>
    <t>shreyasingh406@outlook.com</t>
  </si>
  <si>
    <t>CUST00002469</t>
  </si>
  <si>
    <t>aadhyakulkarni397@outlook.com</t>
  </si>
  <si>
    <t>CUST00002470</t>
  </si>
  <si>
    <t>CUST00002471</t>
  </si>
  <si>
    <t>poojareddy451@yahoo.com</t>
  </si>
  <si>
    <t>CUST00002472</t>
  </si>
  <si>
    <t>CUST00002473</t>
  </si>
  <si>
    <t>khalidmalik433@yahoo.com</t>
  </si>
  <si>
    <t>CUST00002474</t>
  </si>
  <si>
    <t>CUST00002475</t>
  </si>
  <si>
    <t>hinamirza@gmail.com</t>
  </si>
  <si>
    <t>CUST00002476</t>
  </si>
  <si>
    <t>sanakhan662@yahoo.com</t>
  </si>
  <si>
    <t>CUST00002477</t>
  </si>
  <si>
    <t>khalidpathan513@gmail.com</t>
  </si>
  <si>
    <t>CUST00002478</t>
  </si>
  <si>
    <t>shreyapatel600@outlook.com</t>
  </si>
  <si>
    <t>CUST00002479</t>
  </si>
  <si>
    <t>abhishekpandey403@yahoo.com</t>
  </si>
  <si>
    <t>CUST00002480</t>
  </si>
  <si>
    <t>Ananya Joshi</t>
  </si>
  <si>
    <t>ananyajoshi26@gmail.com</t>
  </si>
  <si>
    <t>CUST00002481</t>
  </si>
  <si>
    <t>gauravverma919@outlook.com</t>
  </si>
  <si>
    <t>CUST00002482</t>
  </si>
  <si>
    <t>tariqali@yahoo.com</t>
  </si>
  <si>
    <t>CUST00002483</t>
  </si>
  <si>
    <t>ananyamishra332@outlook.com</t>
  </si>
  <si>
    <t>CUST00002484</t>
  </si>
  <si>
    <t>nikhilmishra@outlook.com</t>
  </si>
  <si>
    <t>CUST00002485</t>
  </si>
  <si>
    <t>CUST00002486</t>
  </si>
  <si>
    <t>aadhyakumar@gmail.com</t>
  </si>
  <si>
    <t>CUST00002487</t>
  </si>
  <si>
    <t>ananyakulkarni461@outlook.com</t>
  </si>
  <si>
    <t>CUST00002488</t>
  </si>
  <si>
    <t>Kavya Mishra</t>
  </si>
  <si>
    <t>kavyamishra537@outlook.com</t>
  </si>
  <si>
    <t>CUST00002489</t>
  </si>
  <si>
    <t>mohammadsheikh811@outlook.com</t>
  </si>
  <si>
    <t>CUST00002490</t>
  </si>
  <si>
    <t>karanjoshi@gmail.com</t>
  </si>
  <si>
    <t>CUST00002491</t>
  </si>
  <si>
    <t>rahulsingh390@gmail.com</t>
  </si>
  <si>
    <t>CUST00002492</t>
  </si>
  <si>
    <t>Amit Iyer</t>
  </si>
  <si>
    <t>amitiyer@yahoo.com</t>
  </si>
  <si>
    <t>CUST00002493</t>
  </si>
  <si>
    <t>poojayadav676@gmail.com</t>
  </si>
  <si>
    <t>CUST00002494</t>
  </si>
  <si>
    <t>farahahmed149@gmail.com</t>
  </si>
  <si>
    <t>CUST00002495</t>
  </si>
  <si>
    <t>anjalisharma@gmail.com</t>
  </si>
  <si>
    <t>CUST00002496</t>
  </si>
  <si>
    <t>harpreetbrar317@outlook.com</t>
  </si>
  <si>
    <t>CUST00002497</t>
  </si>
  <si>
    <t>farhansheikh@yahoo.com</t>
  </si>
  <si>
    <t>CUST00002498</t>
  </si>
  <si>
    <t>priyajoshi186@gmail.com</t>
  </si>
  <si>
    <t>CUST00002499</t>
  </si>
  <si>
    <t>gauravgupta@gmail.com</t>
  </si>
  <si>
    <t>CUST00002500</t>
  </si>
  <si>
    <t>nikhilpatel784@yahoo.com</t>
  </si>
  <si>
    <t>CUST00002501</t>
  </si>
  <si>
    <t>Aarav Shah</t>
  </si>
  <si>
    <t>aaravshah510@yahoo.com</t>
  </si>
  <si>
    <t>CUST00002502</t>
  </si>
  <si>
    <t>vishalkumar6@outlook.com</t>
  </si>
  <si>
    <t>CUST00002503</t>
  </si>
  <si>
    <t>aaravsingh@gmail.com</t>
  </si>
  <si>
    <t>CUST00002504</t>
  </si>
  <si>
    <t>farhanpathan676@yahoo.com</t>
  </si>
  <si>
    <t>CUST00002505</t>
  </si>
  <si>
    <t>priyayadav453@gmail.com</t>
  </si>
  <si>
    <t>CUST00002506</t>
  </si>
  <si>
    <t>CUST00002507</t>
  </si>
  <si>
    <t>simrantiwari561@yahoo.com</t>
  </si>
  <si>
    <t>CUST00002508</t>
  </si>
  <si>
    <t>preetisingh@outlook.com</t>
  </si>
  <si>
    <t>CUST00002509</t>
  </si>
  <si>
    <t>anjaliverma@gmail.com</t>
  </si>
  <si>
    <t>CUST00002510</t>
  </si>
  <si>
    <t>abhisheksharma152@gmail.com</t>
  </si>
  <si>
    <t>CUST00002511</t>
  </si>
  <si>
    <t>CUST00002512</t>
  </si>
  <si>
    <t>simranagarwal34@outlook.com</t>
  </si>
  <si>
    <t>CUST00002513</t>
  </si>
  <si>
    <t>sureshreddy618@yahoo.com</t>
  </si>
  <si>
    <t>CUST00002514</t>
  </si>
  <si>
    <t>rajshah90@gmail.com</t>
  </si>
  <si>
    <t>CUST00002515</t>
  </si>
  <si>
    <t>nidaansari183@gmail.com</t>
  </si>
  <si>
    <t>CUST00002516</t>
  </si>
  <si>
    <t>alipathan@outlook.com</t>
  </si>
  <si>
    <t>CUST00002517</t>
  </si>
  <si>
    <t>nishasingh@outlook.com</t>
  </si>
  <si>
    <t>CUST00002518</t>
  </si>
  <si>
    <t>abhishekshah807@outlook.com</t>
  </si>
  <si>
    <t>CUST00002519</t>
  </si>
  <si>
    <t>nishaverma467@outlook.com</t>
  </si>
  <si>
    <t>CUST00002520</t>
  </si>
  <si>
    <t>zaramirza954@gmail.com</t>
  </si>
  <si>
    <t>CUST00002521</t>
  </si>
  <si>
    <t>Arif Siddiqui</t>
  </si>
  <si>
    <t>arifsiddiqui307@yahoo.com</t>
  </si>
  <si>
    <t>CUST00002522</t>
  </si>
  <si>
    <t>Harsh Kulkarni</t>
  </si>
  <si>
    <t>harshkulkarni389@gmail.com</t>
  </si>
  <si>
    <t>CUST00002523</t>
  </si>
  <si>
    <t>farahmalik@outlook.com</t>
  </si>
  <si>
    <t>CUST00002524</t>
  </si>
  <si>
    <t>khalidmalik483@gmail.com</t>
  </si>
  <si>
    <t>CUST00002525</t>
  </si>
  <si>
    <t>riyamishra881@yahoo.com</t>
  </si>
  <si>
    <t>CUST00002526</t>
  </si>
  <si>
    <t>riyasharma424@outlook.com</t>
  </si>
  <si>
    <t>CUST00002527</t>
  </si>
  <si>
    <t>arjunmehta215@outlook.com</t>
  </si>
  <si>
    <t>CUST00002528</t>
  </si>
  <si>
    <t>harshpatel586@outlook.com</t>
  </si>
  <si>
    <t>CUST00002529</t>
  </si>
  <si>
    <t>CUST00002530</t>
  </si>
  <si>
    <t>rajeshyadav@yahoo.com</t>
  </si>
  <si>
    <t>CUST00002531</t>
  </si>
  <si>
    <t>aliyaali@outlook.com</t>
  </si>
  <si>
    <t>CUST00002532</t>
  </si>
  <si>
    <t>rashidansari@outlook.com</t>
  </si>
  <si>
    <t>CUST00002533</t>
  </si>
  <si>
    <t>aaravkumar624@yahoo.com</t>
  </si>
  <si>
    <t>CUST00002534</t>
  </si>
  <si>
    <t>karanpatel589@outlook.com</t>
  </si>
  <si>
    <t>CUST00002535</t>
  </si>
  <si>
    <t>simranpandey133@outlook.com</t>
  </si>
  <si>
    <t>CUST00002536</t>
  </si>
  <si>
    <t>vishalsingh533@outlook.com</t>
  </si>
  <si>
    <t>CUST00002537</t>
  </si>
  <si>
    <t>Amandeep Sandhu</t>
  </si>
  <si>
    <t>amandeepsandhu@yahoo.com</t>
  </si>
  <si>
    <t>CUST00002538</t>
  </si>
  <si>
    <t>CUST00002539</t>
  </si>
  <si>
    <t>zaramalik298@gmail.com</t>
  </si>
  <si>
    <t>CUST00002540</t>
  </si>
  <si>
    <t>ananyasharma25@yahoo.com</t>
  </si>
  <si>
    <t>CUST00002541</t>
  </si>
  <si>
    <t>rahulverma@gmail.com</t>
  </si>
  <si>
    <t>CUST00002542</t>
  </si>
  <si>
    <t>aamirahmed@gmail.com</t>
  </si>
  <si>
    <t>CUST00002543</t>
  </si>
  <si>
    <t>CUST00002544</t>
  </si>
  <si>
    <t>rajeshpatel342@yahoo.com</t>
  </si>
  <si>
    <t>CUST00002545</t>
  </si>
  <si>
    <t>shreyakumar653@gmail.com</t>
  </si>
  <si>
    <t>CUST00002546</t>
  </si>
  <si>
    <t>nehakulkarni207@outlook.com</t>
  </si>
  <si>
    <t>CUST00002547</t>
  </si>
  <si>
    <t>nidaansari810@gmail.com</t>
  </si>
  <si>
    <t>CUST00002548</t>
  </si>
  <si>
    <t>arjunsingh519@outlook.com</t>
  </si>
  <si>
    <t>CUST00002549</t>
  </si>
  <si>
    <t>fatimamirza7@gmail.com</t>
  </si>
  <si>
    <t>CUST00002550</t>
  </si>
  <si>
    <t>CUST00002551</t>
  </si>
  <si>
    <t>preetimishra583@outlook.com</t>
  </si>
  <si>
    <t>CUST00002552</t>
  </si>
  <si>
    <t>CUST00002553</t>
  </si>
  <si>
    <t>shreyamehta854@yahoo.com</t>
  </si>
  <si>
    <t>CUST00002554</t>
  </si>
  <si>
    <t>Raj Agarwal</t>
  </si>
  <si>
    <t>rajagarwal@yahoo.com</t>
  </si>
  <si>
    <t>CUST00002555</t>
  </si>
  <si>
    <t>CUST00002556</t>
  </si>
  <si>
    <t>CUST00002557</t>
  </si>
  <si>
    <t>nishagupta472@outlook.com</t>
  </si>
  <si>
    <t>CUST00002558</t>
  </si>
  <si>
    <t>anjalikulkarni@yahoo.com</t>
  </si>
  <si>
    <t>CUST00002559</t>
  </si>
  <si>
    <t>CUST00002560</t>
  </si>
  <si>
    <t>CUST00002561</t>
  </si>
  <si>
    <t>mohammadahmed@yahoo.com</t>
  </si>
  <si>
    <t>CUST00002562</t>
  </si>
  <si>
    <t>ahmedsheikh695@yahoo.com</t>
  </si>
  <si>
    <t>CUST00002563</t>
  </si>
  <si>
    <t>amitgupta20@gmail.com</t>
  </si>
  <si>
    <t>CUST00002564</t>
  </si>
  <si>
    <t>aadhyapatel340@yahoo.com</t>
  </si>
  <si>
    <t>CUST00002565</t>
  </si>
  <si>
    <t>priyaiyer153@yahoo.com</t>
  </si>
  <si>
    <t>CUST00002566</t>
  </si>
  <si>
    <t>preetisingh@yahoo.com</t>
  </si>
  <si>
    <t>CUST00002567</t>
  </si>
  <si>
    <t>aadhyashah@outlook.com</t>
  </si>
  <si>
    <t>CUST00002568</t>
  </si>
  <si>
    <t>yashpatel170@outlook.com</t>
  </si>
  <si>
    <t>CUST00002569</t>
  </si>
  <si>
    <t>Salman Mirza</t>
  </si>
  <si>
    <t>salmanmirza@gmail.com</t>
  </si>
  <si>
    <t>CUST00002570</t>
  </si>
  <si>
    <t>arjunmehta886@yahoo.com</t>
  </si>
  <si>
    <t>CUST00002571</t>
  </si>
  <si>
    <t>yashpandey@yahoo.com</t>
  </si>
  <si>
    <t>CUST00002572</t>
  </si>
  <si>
    <t>vishalyadav@yahoo.com</t>
  </si>
  <si>
    <t>CUST00002573</t>
  </si>
  <si>
    <t>nidaali509@gmail.com</t>
  </si>
  <si>
    <t>CUST00002574</t>
  </si>
  <si>
    <t>aaravnair850@yahoo.com</t>
  </si>
  <si>
    <t>CUST00002575</t>
  </si>
  <si>
    <t>yashagarwal310@gmail.com</t>
  </si>
  <si>
    <t>CUST00002576</t>
  </si>
  <si>
    <t>aadhyajoshi804@gmail.com</t>
  </si>
  <si>
    <t>CUST00002577</t>
  </si>
  <si>
    <t>CUST00002578</t>
  </si>
  <si>
    <t>abhishekyadav26@yahoo.com</t>
  </si>
  <si>
    <t>CUST00002579</t>
  </si>
  <si>
    <t>meghakumar@gmail.com</t>
  </si>
  <si>
    <t>CUST00002580</t>
  </si>
  <si>
    <t>arifpathan946@yahoo.com</t>
  </si>
  <si>
    <t>CUST00002581</t>
  </si>
  <si>
    <t>CUST00002582</t>
  </si>
  <si>
    <t>aliyarahman336@gmail.com</t>
  </si>
  <si>
    <t>CUST00002583</t>
  </si>
  <si>
    <t>gauravnair@gmail.com</t>
  </si>
  <si>
    <t>CUST00002584</t>
  </si>
  <si>
    <t>CUST00002585</t>
  </si>
  <si>
    <t>CUST00002586</t>
  </si>
  <si>
    <t>preetiyadav38@yahoo.com</t>
  </si>
  <si>
    <t>CUST00002587</t>
  </si>
  <si>
    <t>amitiyer886@outlook.com</t>
  </si>
  <si>
    <t>CUST00002588</t>
  </si>
  <si>
    <t>simranagarwal319@gmail.com</t>
  </si>
  <si>
    <t>CUST00002589</t>
  </si>
  <si>
    <t>CUST00002590</t>
  </si>
  <si>
    <t>rajeshsingh@yahoo.com</t>
  </si>
  <si>
    <t>CUST00002591</t>
  </si>
  <si>
    <t>meghasingh48@gmail.com</t>
  </si>
  <si>
    <t>CUST00002592</t>
  </si>
  <si>
    <t>kuldeepgrewal675@outlook.com</t>
  </si>
  <si>
    <t>CUST00002593</t>
  </si>
  <si>
    <t>kavyajoshi592@yahoo.com</t>
  </si>
  <si>
    <t>CUST00002594</t>
  </si>
  <si>
    <t>karanshah@gmail.com</t>
  </si>
  <si>
    <t>CUST00002595</t>
  </si>
  <si>
    <t>rahulpatel198@yahoo.com</t>
  </si>
  <si>
    <t>CUST00002596</t>
  </si>
  <si>
    <t>nehamehta327@yahoo.com</t>
  </si>
  <si>
    <t>CUST00002597</t>
  </si>
  <si>
    <t>CUST00002598</t>
  </si>
  <si>
    <t>tariqsiddiqui281@gmail.com</t>
  </si>
  <si>
    <t>CUST00002599</t>
  </si>
  <si>
    <t>ahmedahmed638@outlook.com</t>
  </si>
  <si>
    <t>CUST00002600</t>
  </si>
  <si>
    <t>priyaiyer212@outlook.com</t>
  </si>
  <si>
    <t>CUST00002601</t>
  </si>
  <si>
    <t>abhishekkulkarni327@yahoo.com</t>
  </si>
  <si>
    <t>CUST00002602</t>
  </si>
  <si>
    <t>gauraviyer722@yahoo.com</t>
  </si>
  <si>
    <t>CUST00002603</t>
  </si>
  <si>
    <t>farahahmed176@gmail.com</t>
  </si>
  <si>
    <t>CUST00002604</t>
  </si>
  <si>
    <t>fatimasheikh914@yahoo.com</t>
  </si>
  <si>
    <t>CUST00002605</t>
  </si>
  <si>
    <t>simranreddy52@gmail.com</t>
  </si>
  <si>
    <t>CUST00002606</t>
  </si>
  <si>
    <t>nikhilpandey925@outlook.com</t>
  </si>
  <si>
    <t>CUST00002607</t>
  </si>
  <si>
    <t>aliyaali393@gmail.com</t>
  </si>
  <si>
    <t>CUST00002608</t>
  </si>
  <si>
    <t>swatishah402@gmail.com</t>
  </si>
  <si>
    <t>CUST00002609</t>
  </si>
  <si>
    <t>ananyasingh@outlook.com</t>
  </si>
  <si>
    <t>CUST00002610</t>
  </si>
  <si>
    <t>rajjoshi@outlook.com</t>
  </si>
  <si>
    <t>CUST00002611</t>
  </si>
  <si>
    <t>CUST00002612</t>
  </si>
  <si>
    <t>harshpatel341@gmail.com</t>
  </si>
  <si>
    <t>CUST00002613</t>
  </si>
  <si>
    <t>CUST00002614</t>
  </si>
  <si>
    <t>gauravsharma@gmail.com</t>
  </si>
  <si>
    <t>CUST00002615</t>
  </si>
  <si>
    <t>anjaliyadav@yahoo.com</t>
  </si>
  <si>
    <t>CUST00002616</t>
  </si>
  <si>
    <t>rahulyadav96@outlook.com</t>
  </si>
  <si>
    <t>CUST00002617</t>
  </si>
  <si>
    <t>rajpandey467@yahoo.com</t>
  </si>
  <si>
    <t>CUST00002618</t>
  </si>
  <si>
    <t>rajeshmishra@outlook.com</t>
  </si>
  <si>
    <t>CUST00002619</t>
  </si>
  <si>
    <t>salmanpathan@yahoo.com</t>
  </si>
  <si>
    <t>CUST00002620</t>
  </si>
  <si>
    <t>Vikas Kumar</t>
  </si>
  <si>
    <t>vikaskumar230@gmail.com</t>
  </si>
  <si>
    <t>CUST00002621</t>
  </si>
  <si>
    <t>CUST00002622</t>
  </si>
  <si>
    <t>kavyajoshi373@yahoo.com</t>
  </si>
  <si>
    <t>CUST00002623</t>
  </si>
  <si>
    <t>adityaagarwal940@outlook.com</t>
  </si>
  <si>
    <t>CUST00002624</t>
  </si>
  <si>
    <t>ananyashah882@yahoo.com</t>
  </si>
  <si>
    <t>CUST00002625</t>
  </si>
  <si>
    <t>nishayadav31@gmail.com</t>
  </si>
  <si>
    <t>CUST00002626</t>
  </si>
  <si>
    <t>swatinair360@yahoo.com</t>
  </si>
  <si>
    <t>CUST00002627</t>
  </si>
  <si>
    <t>sanamirza175@yahoo.com</t>
  </si>
  <si>
    <t>CUST00002628</t>
  </si>
  <si>
    <t>priyasharma@outlook.com</t>
  </si>
  <si>
    <t>CUST00002629</t>
  </si>
  <si>
    <t>anjaliiyer521@gmail.com</t>
  </si>
  <si>
    <t>CUST00002630</t>
  </si>
  <si>
    <t>sanasiddiqui732@gmail.com</t>
  </si>
  <si>
    <t>CUST00002631</t>
  </si>
  <si>
    <t>swatipatel666@gmail.com</t>
  </si>
  <si>
    <t>CUST00002632</t>
  </si>
  <si>
    <t>CUST00002633</t>
  </si>
  <si>
    <t>zarapathan605@yahoo.com</t>
  </si>
  <si>
    <t>CUST00002634</t>
  </si>
  <si>
    <t>simrangill250@outlook.com</t>
  </si>
  <si>
    <t>CUST00002635</t>
  </si>
  <si>
    <t>ananyakulkarni494@yahoo.com</t>
  </si>
  <si>
    <t>CUST00002636</t>
  </si>
  <si>
    <t>riyaagarwal214@outlook.com</t>
  </si>
  <si>
    <t>CUST00002637</t>
  </si>
  <si>
    <t>riyakumar804@yahoo.com</t>
  </si>
  <si>
    <t>CUST00002638</t>
  </si>
  <si>
    <t>karaniyer351@outlook.com</t>
  </si>
  <si>
    <t>CUST00002639</t>
  </si>
  <si>
    <t>ananyaagarwal@gmail.com</t>
  </si>
  <si>
    <t>CUST00002640</t>
  </si>
  <si>
    <t>CUST00002641</t>
  </si>
  <si>
    <t>CUST00002642</t>
  </si>
  <si>
    <t>nidaansari499@gmail.com</t>
  </si>
  <si>
    <t>CUST00002643</t>
  </si>
  <si>
    <t>riyasingh475@yahoo.com</t>
  </si>
  <si>
    <t>CUST00002644</t>
  </si>
  <si>
    <t>Karan Mehta</t>
  </si>
  <si>
    <t>karanmehta842@yahoo.com</t>
  </si>
  <si>
    <t>CUST00002645</t>
  </si>
  <si>
    <t>saifali979@yahoo.com</t>
  </si>
  <si>
    <t>CUST00002646</t>
  </si>
  <si>
    <t>aadhyasingh112@outlook.com</t>
  </si>
  <si>
    <t>CUST00002647</t>
  </si>
  <si>
    <t>akashkulkarni@yahoo.com</t>
  </si>
  <si>
    <t>CUST00002648</t>
  </si>
  <si>
    <t>farahali661@outlook.com</t>
  </si>
  <si>
    <t>CUST00002649</t>
  </si>
  <si>
    <t>ananyakumar223@gmail.com</t>
  </si>
  <si>
    <t>CUST00002650</t>
  </si>
  <si>
    <t>kavyaverma@outlook.com</t>
  </si>
  <si>
    <t>CUST00002651</t>
  </si>
  <si>
    <t>CUST00002652</t>
  </si>
  <si>
    <t>arjunsharma@yahoo.com</t>
  </si>
  <si>
    <t>CUST00002653</t>
  </si>
  <si>
    <t>aminapathan400@outlook.com</t>
  </si>
  <si>
    <t>CUST00002654</t>
  </si>
  <si>
    <t>amitsharma201@gmail.com</t>
  </si>
  <si>
    <t>CUST00002655</t>
  </si>
  <si>
    <t>sureshyadav@yahoo.com</t>
  </si>
  <si>
    <t>CUST00002656</t>
  </si>
  <si>
    <t>sureshmehta814@outlook.com</t>
  </si>
  <si>
    <t>CUST00002657</t>
  </si>
  <si>
    <t>vikasnair966@yahoo.com</t>
  </si>
  <si>
    <t>CUST00002658</t>
  </si>
  <si>
    <t>CUST00002659</t>
  </si>
  <si>
    <t>abhisheknair@outlook.com</t>
  </si>
  <si>
    <t>CUST00002660</t>
  </si>
  <si>
    <t>divyamishra523@yahoo.com</t>
  </si>
  <si>
    <t>CUST00002661</t>
  </si>
  <si>
    <t>kavyagupta@yahoo.com</t>
  </si>
  <si>
    <t>CUST00002662</t>
  </si>
  <si>
    <t>abhisheksingh923@outlook.com</t>
  </si>
  <si>
    <t>CUST00002663</t>
  </si>
  <si>
    <t>harshnair@gmail.com</t>
  </si>
  <si>
    <t>CUST00002664</t>
  </si>
  <si>
    <t>adityajoshi@yahoo.com</t>
  </si>
  <si>
    <t>CUST00002665</t>
  </si>
  <si>
    <t>simraniyer289@gmail.com</t>
  </si>
  <si>
    <t>CUST00002666</t>
  </si>
  <si>
    <t>nishanair720@outlook.com</t>
  </si>
  <si>
    <t>CUST00002667</t>
  </si>
  <si>
    <t>priyayadav326@outlook.com</t>
  </si>
  <si>
    <t>CUST00002668</t>
  </si>
  <si>
    <t>swativerma391@yahoo.com</t>
  </si>
  <si>
    <t>CUST00002669</t>
  </si>
  <si>
    <t>akashsharma679@gmail.com</t>
  </si>
  <si>
    <t>CUST00002670</t>
  </si>
  <si>
    <t>nikhilyadav193@outlook.com</t>
  </si>
  <si>
    <t>CUST00002671</t>
  </si>
  <si>
    <t>nehayadav947@yahoo.com</t>
  </si>
  <si>
    <t>CUST00002672</t>
  </si>
  <si>
    <t>Rahul Kumar</t>
  </si>
  <si>
    <t>rahulkumar@gmail.com</t>
  </si>
  <si>
    <t>CUST00002673</t>
  </si>
  <si>
    <t>gauravkulkarni894@outlook.com</t>
  </si>
  <si>
    <t>CUST00002674</t>
  </si>
  <si>
    <t>ananyamishra12@gmail.com</t>
  </si>
  <si>
    <t>CUST00002675</t>
  </si>
  <si>
    <t>rahulpatel@gmail.com</t>
  </si>
  <si>
    <t>CUST00002676</t>
  </si>
  <si>
    <t>CUST00002677</t>
  </si>
  <si>
    <t>CUST00002678</t>
  </si>
  <si>
    <t>vishalreddy658@yahoo.com</t>
  </si>
  <si>
    <t>CUST00002679</t>
  </si>
  <si>
    <t>rajpandey@outlook.com</t>
  </si>
  <si>
    <t>CUST00002680</t>
  </si>
  <si>
    <t>priyamehta@yahoo.com</t>
  </si>
  <si>
    <t>CUST00002681</t>
  </si>
  <si>
    <t>CUST00002682</t>
  </si>
  <si>
    <t>nidarahman566@yahoo.com</t>
  </si>
  <si>
    <t>CUST00002683</t>
  </si>
  <si>
    <t>nikhilshah232@gmail.com</t>
  </si>
  <si>
    <t>CUST00002684</t>
  </si>
  <si>
    <t>priyanair8@outlook.com</t>
  </si>
  <si>
    <t>CUST00002685</t>
  </si>
  <si>
    <t>adityamishra749@gmail.com</t>
  </si>
  <si>
    <t>CUST00002686</t>
  </si>
  <si>
    <t>CUST00002687</t>
  </si>
  <si>
    <t>aamirrahman560@outlook.com</t>
  </si>
  <si>
    <t>CUST00002688</t>
  </si>
  <si>
    <t>preetimehta39@outlook.com</t>
  </si>
  <si>
    <t>CUST00002689</t>
  </si>
  <si>
    <t>nishasingh378@gmail.com</t>
  </si>
  <si>
    <t>CUST00002690</t>
  </si>
  <si>
    <t>nishapatel985@outlook.com</t>
  </si>
  <si>
    <t>CUST00002691</t>
  </si>
  <si>
    <t>simrankaur748@outlook.com</t>
  </si>
  <si>
    <t>CUST00002692</t>
  </si>
  <si>
    <t>saifmirza880@yahoo.com</t>
  </si>
  <si>
    <t>CUST00002693</t>
  </si>
  <si>
    <t>preetisingh81@outlook.com</t>
  </si>
  <si>
    <t>CUST00002694</t>
  </si>
  <si>
    <t>riyagupta@gmail.com</t>
  </si>
  <si>
    <t>CUST00002695</t>
  </si>
  <si>
    <t>navjotgill646@outlook.com</t>
  </si>
  <si>
    <t>CUST00002696</t>
  </si>
  <si>
    <t>abhishekmishra@outlook.com</t>
  </si>
  <si>
    <t>CUST00002697</t>
  </si>
  <si>
    <t>saifmalik649@outlook.com</t>
  </si>
  <si>
    <t>CUST00002698</t>
  </si>
  <si>
    <t>CUST00002699</t>
  </si>
  <si>
    <t>divyashah@yahoo.com</t>
  </si>
  <si>
    <t>CUST00002700</t>
  </si>
  <si>
    <t>poojaiyer12@yahoo.com</t>
  </si>
  <si>
    <t>CUST00002701</t>
  </si>
  <si>
    <t>rohanreddy928@yahoo.com</t>
  </si>
  <si>
    <t>CUST00002702</t>
  </si>
  <si>
    <t>meghagupta340@yahoo.com</t>
  </si>
  <si>
    <t>CUST00002703</t>
  </si>
  <si>
    <t>yashmehta818@yahoo.com</t>
  </si>
  <si>
    <t>CUST00002704</t>
  </si>
  <si>
    <t>hassanpathan37@outlook.com</t>
  </si>
  <si>
    <t>CUST00002705</t>
  </si>
  <si>
    <t>CUST00002706</t>
  </si>
  <si>
    <t>vishalsharma804@outlook.com</t>
  </si>
  <si>
    <t>CUST00002707</t>
  </si>
  <si>
    <t>salmanpathan645@yahoo.com</t>
  </si>
  <si>
    <t>CUST00002708</t>
  </si>
  <si>
    <t>poojatiwari587@gmail.com</t>
  </si>
  <si>
    <t>CUST00002709</t>
  </si>
  <si>
    <t>Harleen Kaur</t>
  </si>
  <si>
    <t>harleenkaur@yahoo.com</t>
  </si>
  <si>
    <t>CUST00002710</t>
  </si>
  <si>
    <t>riyaagarwal@outlook.com</t>
  </si>
  <si>
    <t>CUST00002711</t>
  </si>
  <si>
    <t>salmanmirza497@gmail.com</t>
  </si>
  <si>
    <t>CUST00002712</t>
  </si>
  <si>
    <t>harleensandhu79@yahoo.com</t>
  </si>
  <si>
    <t>CUST00002713</t>
  </si>
  <si>
    <t>rohanverma631@yahoo.com</t>
  </si>
  <si>
    <t>CUST00002714</t>
  </si>
  <si>
    <t>gauravtiwari264@gmail.com</t>
  </si>
  <si>
    <t>CUST00002715</t>
  </si>
  <si>
    <t>CUST00002716</t>
  </si>
  <si>
    <t>meghaverma606@outlook.com</t>
  </si>
  <si>
    <t>CUST00002717</t>
  </si>
  <si>
    <t>Arjun Joshi</t>
  </si>
  <si>
    <t>arjunjoshi458@yahoo.com</t>
  </si>
  <si>
    <t>CUST00002718</t>
  </si>
  <si>
    <t>CUST00002719</t>
  </si>
  <si>
    <t>CUST00002720</t>
  </si>
  <si>
    <t>riyapandey819@outlook.com</t>
  </si>
  <si>
    <t>CUST00002721</t>
  </si>
  <si>
    <t>CUST00002722</t>
  </si>
  <si>
    <t>divyakumar@gmail.com</t>
  </si>
  <si>
    <t>CUST00002723</t>
  </si>
  <si>
    <t>kavyakumar842@gmail.com</t>
  </si>
  <si>
    <t>CUST00002724</t>
  </si>
  <si>
    <t>vishalsingh@yahoo.com</t>
  </si>
  <si>
    <t>CUST00002725</t>
  </si>
  <si>
    <t>CUST00002726</t>
  </si>
  <si>
    <t>aliyasheikh@outlook.com</t>
  </si>
  <si>
    <t>CUST00002727</t>
  </si>
  <si>
    <t>Omar Ahmed</t>
  </si>
  <si>
    <t>omarahmed@gmail.com</t>
  </si>
  <si>
    <t>CUST00002728</t>
  </si>
  <si>
    <t>kavyasharma863@yahoo.com</t>
  </si>
  <si>
    <t>CUST00002729</t>
  </si>
  <si>
    <t>preetipatel271@gmail.com</t>
  </si>
  <si>
    <t>CUST00002730</t>
  </si>
  <si>
    <t>anjalireddy476@yahoo.com</t>
  </si>
  <si>
    <t>CUST00002731</t>
  </si>
  <si>
    <t>shreyapatel488@outlook.com</t>
  </si>
  <si>
    <t>CUST00002732</t>
  </si>
  <si>
    <t>meghayadav@outlook.com</t>
  </si>
  <si>
    <t>CUST00002733</t>
  </si>
  <si>
    <t>nehareddy700@outlook.com</t>
  </si>
  <si>
    <t>CUST00002734</t>
  </si>
  <si>
    <t>yashiyer269@gmail.com</t>
  </si>
  <si>
    <t>CUST00002735</t>
  </si>
  <si>
    <t>sureshreddy446@gmail.com</t>
  </si>
  <si>
    <t>CUST00002736</t>
  </si>
  <si>
    <t>divyatiwari817@yahoo.com</t>
  </si>
  <si>
    <t>CUST00002737</t>
  </si>
  <si>
    <t>preetiyadav324@outlook.com</t>
  </si>
  <si>
    <t>CUST00002738</t>
  </si>
  <si>
    <t>CUST00002739</t>
  </si>
  <si>
    <t>swatipandey545@outlook.com</t>
  </si>
  <si>
    <t>CUST00002740</t>
  </si>
  <si>
    <t>meghareddy865@yahoo.com</t>
  </si>
  <si>
    <t>CUST00002741</t>
  </si>
  <si>
    <t>CUST00002742</t>
  </si>
  <si>
    <t>aadhyamishra@yahoo.com</t>
  </si>
  <si>
    <t>CUST00002743</t>
  </si>
  <si>
    <t>zararahman822@gmail.com</t>
  </si>
  <si>
    <t>CUST00002744</t>
  </si>
  <si>
    <t>vishalreddy599@yahoo.com</t>
  </si>
  <si>
    <t>CUST00002745</t>
  </si>
  <si>
    <t>rajnair692@outlook.com</t>
  </si>
  <si>
    <t>CUST00002746</t>
  </si>
  <si>
    <t>kavyajoshi689@outlook.com</t>
  </si>
  <si>
    <t>CUST00002747</t>
  </si>
  <si>
    <t>CUST00002748</t>
  </si>
  <si>
    <t>ananyaiyer707@gmail.com</t>
  </si>
  <si>
    <t>CUST00002749</t>
  </si>
  <si>
    <t>rajsharma11@outlook.com</t>
  </si>
  <si>
    <t>CUST00002750</t>
  </si>
  <si>
    <t>zainsiddiqui70@gmail.com</t>
  </si>
  <si>
    <t>CUST00002751</t>
  </si>
  <si>
    <t>shreyayadav538@gmail.com</t>
  </si>
  <si>
    <t>CUST00002752</t>
  </si>
  <si>
    <t>CUST00002753</t>
  </si>
  <si>
    <t>karantiwari291@yahoo.com</t>
  </si>
  <si>
    <t>CUST00002754</t>
  </si>
  <si>
    <t>sanapathan25@outlook.com</t>
  </si>
  <si>
    <t>CUST00002755</t>
  </si>
  <si>
    <t>rashidkhan962@outlook.com</t>
  </si>
  <si>
    <t>CUST00002756</t>
  </si>
  <si>
    <t>gurleensingh@gmail.com</t>
  </si>
  <si>
    <t>CUST00002757</t>
  </si>
  <si>
    <t>arjunpandey@outlook.com</t>
  </si>
  <si>
    <t>CUST00002758</t>
  </si>
  <si>
    <t>Vishal Mehta</t>
  </si>
  <si>
    <t>vishalmehta981@gmail.com</t>
  </si>
  <si>
    <t>CUST00002759</t>
  </si>
  <si>
    <t>amitnair620@gmail.com</t>
  </si>
  <si>
    <t>CUST00002760</t>
  </si>
  <si>
    <t>divyanair783@outlook.com</t>
  </si>
  <si>
    <t>CUST00002761</t>
  </si>
  <si>
    <t>kavyajoshi991@gmail.com</t>
  </si>
  <si>
    <t>CUST00002762</t>
  </si>
  <si>
    <t>CUST00002763</t>
  </si>
  <si>
    <t>abhishekpatel302@yahoo.com</t>
  </si>
  <si>
    <t>CUST00002764</t>
  </si>
  <si>
    <t>yashpandey@gmail.com</t>
  </si>
  <si>
    <t>CUST00002765</t>
  </si>
  <si>
    <t>CUST00002766</t>
  </si>
  <si>
    <t>divyashah@outlook.com</t>
  </si>
  <si>
    <t>CUST00002767</t>
  </si>
  <si>
    <t>rajjoshi@yahoo.com</t>
  </si>
  <si>
    <t>CUST00002768</t>
  </si>
  <si>
    <t>gauravagarwal800@gmail.com</t>
  </si>
  <si>
    <t>CUST00002769</t>
  </si>
  <si>
    <t>saifsheikh64@yahoo.com</t>
  </si>
  <si>
    <t>CUST00002770</t>
  </si>
  <si>
    <t>jasleensingh62@yahoo.com</t>
  </si>
  <si>
    <t>CUST00002771</t>
  </si>
  <si>
    <t>CUST00002772</t>
  </si>
  <si>
    <t>riyaiyer72@yahoo.com</t>
  </si>
  <si>
    <t>CUST00002773</t>
  </si>
  <si>
    <t>aliyakhan@gmail.com</t>
  </si>
  <si>
    <t>CUST00002774</t>
  </si>
  <si>
    <t>Anjali Pandey</t>
  </si>
  <si>
    <t>anjalipandey@gmail.com</t>
  </si>
  <si>
    <t>CUST00002775</t>
  </si>
  <si>
    <t>Preeti Kumar</t>
  </si>
  <si>
    <t>preetikumar@gmail.com</t>
  </si>
  <si>
    <t>CUST00002776</t>
  </si>
  <si>
    <t>khalidansari788@yahoo.com</t>
  </si>
  <si>
    <t>CUST00002777</t>
  </si>
  <si>
    <t>sureshagarwal659@gmail.com</t>
  </si>
  <si>
    <t>CUST00002778</t>
  </si>
  <si>
    <t>nehasingh@outlook.com</t>
  </si>
  <si>
    <t>CUST00002779</t>
  </si>
  <si>
    <t>karaniyer36@gmail.com</t>
  </si>
  <si>
    <t>CUST00002780</t>
  </si>
  <si>
    <t>nehaverma746@yahoo.com</t>
  </si>
  <si>
    <t>CUST00002781</t>
  </si>
  <si>
    <t>poojagupta@gmail.com</t>
  </si>
  <si>
    <t>CUST00002782</t>
  </si>
  <si>
    <t>nishasingh@gmail.com</t>
  </si>
  <si>
    <t>CUST00002783</t>
  </si>
  <si>
    <t>anjalikulkarni@gmail.com</t>
  </si>
  <si>
    <t>CUST00002784</t>
  </si>
  <si>
    <t>CUST00002785</t>
  </si>
  <si>
    <t>Farhan Ahmed</t>
  </si>
  <si>
    <t>farhanahmed156@outlook.com</t>
  </si>
  <si>
    <t>CUST00002786</t>
  </si>
  <si>
    <t>Zain Ali</t>
  </si>
  <si>
    <t>zainali401@outlook.com</t>
  </si>
  <si>
    <t>CUST00002787</t>
  </si>
  <si>
    <t>salmansheikh725@yahoo.com</t>
  </si>
  <si>
    <t>CUST00002788</t>
  </si>
  <si>
    <t>yashagarwal414@outlook.com</t>
  </si>
  <si>
    <t>CUST00002789</t>
  </si>
  <si>
    <t>CUST00002790</t>
  </si>
  <si>
    <t>poojamehta4@yahoo.com</t>
  </si>
  <si>
    <t>CUST00002791</t>
  </si>
  <si>
    <t>salmanmirza@yahoo.com</t>
  </si>
  <si>
    <t>CUST00002792</t>
  </si>
  <si>
    <t>nehashah549@yahoo.com</t>
  </si>
  <si>
    <t>CUST00002793</t>
  </si>
  <si>
    <t>aaravverma311@yahoo.com</t>
  </si>
  <si>
    <t>CUST00002794</t>
  </si>
  <si>
    <t>meghareddy982@outlook.com</t>
  </si>
  <si>
    <t>CUST00002795</t>
  </si>
  <si>
    <t>Navjot Dhillon</t>
  </si>
  <si>
    <t>navjotdhillon548@yahoo.com</t>
  </si>
  <si>
    <t>CUST00002796</t>
  </si>
  <si>
    <t>aaravagarwal471@yahoo.com</t>
  </si>
  <si>
    <t>CUST00002797</t>
  </si>
  <si>
    <t>abhishekverma@gmail.com</t>
  </si>
  <si>
    <t>CUST00002798</t>
  </si>
  <si>
    <t>arifrahman991@yahoo.com</t>
  </si>
  <si>
    <t>CUST00002799</t>
  </si>
  <si>
    <t>akashmehta@yahoo.com</t>
  </si>
  <si>
    <t>CUST00002800</t>
  </si>
  <si>
    <t>amitmishra@gmail.com</t>
  </si>
  <si>
    <t>CUST00002801</t>
  </si>
  <si>
    <t>CUST00002802</t>
  </si>
  <si>
    <t>akashmishra907@outlook.com</t>
  </si>
  <si>
    <t>CUST00002803</t>
  </si>
  <si>
    <t>swatishah195@gmail.com</t>
  </si>
  <si>
    <t>CUST00002804</t>
  </si>
  <si>
    <t>divyasingh26@outlook.com</t>
  </si>
  <si>
    <t>CUST00002805</t>
  </si>
  <si>
    <t>arifrahman@gmail.com</t>
  </si>
  <si>
    <t>CUST00002806</t>
  </si>
  <si>
    <t>rajeshpandey65@outlook.com</t>
  </si>
  <si>
    <t>CUST00002807</t>
  </si>
  <si>
    <t>CUST00002808</t>
  </si>
  <si>
    <t>vishalmehta855@yahoo.com</t>
  </si>
  <si>
    <t>CUST00002809</t>
  </si>
  <si>
    <t>alisiddiqui@gmail.com</t>
  </si>
  <si>
    <t>CUST00002810</t>
  </si>
  <si>
    <t>rajtiwari58@yahoo.com</t>
  </si>
  <si>
    <t>CUST00002811</t>
  </si>
  <si>
    <t>CUST00002812</t>
  </si>
  <si>
    <t>meghamehta217@outlook.com</t>
  </si>
  <si>
    <t>CUST00002813</t>
  </si>
  <si>
    <t>CUST00002814</t>
  </si>
  <si>
    <t>preetimehta@outlook.com</t>
  </si>
  <si>
    <t>CUST00002815</t>
  </si>
  <si>
    <t>rahulmishra594@gmail.com</t>
  </si>
  <si>
    <t>CUST00002816</t>
  </si>
  <si>
    <t>zainkhan@gmail.com</t>
  </si>
  <si>
    <t>CUST00002817</t>
  </si>
  <si>
    <t>CUST00002818</t>
  </si>
  <si>
    <t>rahuljoshi@yahoo.com</t>
  </si>
  <si>
    <t>CUST00002819</t>
  </si>
  <si>
    <t>anjalireddy@outlook.com</t>
  </si>
  <si>
    <t>CUST00002820</t>
  </si>
  <si>
    <t>aminasiddiqui719@outlook.com</t>
  </si>
  <si>
    <t>CUST00002821</t>
  </si>
  <si>
    <t>vikaspandey177@outlook.com</t>
  </si>
  <si>
    <t>CUST00002822</t>
  </si>
  <si>
    <t>aishakhan315@gmail.com</t>
  </si>
  <si>
    <t>CUST00002823</t>
  </si>
  <si>
    <t>nidasiddiqui175@outlook.com</t>
  </si>
  <si>
    <t>CUST00002824</t>
  </si>
  <si>
    <t>nishasingh838@gmail.com</t>
  </si>
  <si>
    <t>CUST00002825</t>
  </si>
  <si>
    <t>nidapathan610@outlook.com</t>
  </si>
  <si>
    <t>CUST00002826</t>
  </si>
  <si>
    <t>nishaverma824@gmail.com</t>
  </si>
  <si>
    <t>CUST00002827</t>
  </si>
  <si>
    <t>arjunmehta831@outlook.com</t>
  </si>
  <si>
    <t>CUST00002828</t>
  </si>
  <si>
    <t>Mohammad Ansari</t>
  </si>
  <si>
    <t>mohammadansari@yahoo.com</t>
  </si>
  <si>
    <t>CUST00002829</t>
  </si>
  <si>
    <t>fatimapathan701@outlook.com</t>
  </si>
  <si>
    <t>CUST00002830</t>
  </si>
  <si>
    <t>arifkhan330@gmail.com</t>
  </si>
  <si>
    <t>CUST00002831</t>
  </si>
  <si>
    <t>CUST00002832</t>
  </si>
  <si>
    <t>divyaagarwal65@gmail.com</t>
  </si>
  <si>
    <t>CUST00002833</t>
  </si>
  <si>
    <t>anjalireddy776@yahoo.com</t>
  </si>
  <si>
    <t>CUST00002834</t>
  </si>
  <si>
    <t>shreyajoshi379@outlook.com</t>
  </si>
  <si>
    <t>CUST00002835</t>
  </si>
  <si>
    <t>shreyaagarwal250@outlook.com</t>
  </si>
  <si>
    <t>CUST00002836</t>
  </si>
  <si>
    <t>akashpatel103@outlook.com</t>
  </si>
  <si>
    <t>CUST00002837</t>
  </si>
  <si>
    <t>CUST00002838</t>
  </si>
  <si>
    <t>shreyakumar499@gmail.com</t>
  </si>
  <si>
    <t>CUST00002839</t>
  </si>
  <si>
    <t>akashverma184@gmail.com</t>
  </si>
  <si>
    <t>CUST00002840</t>
  </si>
  <si>
    <t>riyanair@outlook.com</t>
  </si>
  <si>
    <t>CUST00002841</t>
  </si>
  <si>
    <t>nikhilpatel@yahoo.com</t>
  </si>
  <si>
    <t>CUST00002842</t>
  </si>
  <si>
    <t>CUST00002843</t>
  </si>
  <si>
    <t>poojaagarwal@gmail.com</t>
  </si>
  <si>
    <t>CUST00002844</t>
  </si>
  <si>
    <t>omaransari278@outlook.com</t>
  </si>
  <si>
    <t>CUST00002845</t>
  </si>
  <si>
    <t>akashjoshi245@gmail.com</t>
  </si>
  <si>
    <t>CUST00002846</t>
  </si>
  <si>
    <t>nishagupta@gmail.com</t>
  </si>
  <si>
    <t>CUST00002847</t>
  </si>
  <si>
    <t>poojashah735@yahoo.com</t>
  </si>
  <si>
    <t>CUST00002848</t>
  </si>
  <si>
    <t>CUST00002849</t>
  </si>
  <si>
    <t>aminaansari@yahoo.com</t>
  </si>
  <si>
    <t>CUST00002850</t>
  </si>
  <si>
    <t>akashreddy5@outlook.com</t>
  </si>
  <si>
    <t>CUST00002851</t>
  </si>
  <si>
    <t>priyapatel121@outlook.com</t>
  </si>
  <si>
    <t>CUST00002852</t>
  </si>
  <si>
    <t>vishalnair@outlook.com</t>
  </si>
  <si>
    <t>CUST00002853</t>
  </si>
  <si>
    <t>nehaiyer780@outlook.com</t>
  </si>
  <si>
    <t>CUST00002854</t>
  </si>
  <si>
    <t>preetikulkarni476@outlook.com</t>
  </si>
  <si>
    <t>CUST00002855</t>
  </si>
  <si>
    <t>rajeshreddy@yahoo.com</t>
  </si>
  <si>
    <t>CUST00002856</t>
  </si>
  <si>
    <t>abhishektiwari116@gmail.com</t>
  </si>
  <si>
    <t>CUST00002857</t>
  </si>
  <si>
    <t>nidaansari@yahoo.com</t>
  </si>
  <si>
    <t>CUST00002858</t>
  </si>
  <si>
    <t>nishaiyer164@outlook.com</t>
  </si>
  <si>
    <t>CUST00002859</t>
  </si>
  <si>
    <t>simrantiwari@gmail.com</t>
  </si>
  <si>
    <t>CUST00002860</t>
  </si>
  <si>
    <t>Aarav Pandey</t>
  </si>
  <si>
    <t>aaravpandey@yahoo.com</t>
  </si>
  <si>
    <t>CUST00002861</t>
  </si>
  <si>
    <t>rohanjoshi258@yahoo.com</t>
  </si>
  <si>
    <t>CUST00002862</t>
  </si>
  <si>
    <t>vikasgupta@yahoo.com</t>
  </si>
  <si>
    <t>CUST00002863</t>
  </si>
  <si>
    <t>simrangupta759@gmail.com</t>
  </si>
  <si>
    <t>CUST00002864</t>
  </si>
  <si>
    <t>CUST00002865</t>
  </si>
  <si>
    <t>alipathan30@yahoo.com</t>
  </si>
  <si>
    <t>CUST00002866</t>
  </si>
  <si>
    <t>ananyamishra73@gmail.com</t>
  </si>
  <si>
    <t>CUST00002867</t>
  </si>
  <si>
    <t>yashreddy@outlook.com</t>
  </si>
  <si>
    <t>CUST00002868</t>
  </si>
  <si>
    <t>khalidsheikh430@gmail.com</t>
  </si>
  <si>
    <t>CUST00002869</t>
  </si>
  <si>
    <t>CUST00002870</t>
  </si>
  <si>
    <t>poojamehta113@yahoo.com</t>
  </si>
  <si>
    <t>CUST00002871</t>
  </si>
  <si>
    <t>nikhilsingh243@outlook.com</t>
  </si>
  <si>
    <t>CUST00002872</t>
  </si>
  <si>
    <t>gauravshah205@yahoo.com</t>
  </si>
  <si>
    <t>CUST00002873</t>
  </si>
  <si>
    <t>farahmalik@gmail.com</t>
  </si>
  <si>
    <t>CUST00002874</t>
  </si>
  <si>
    <t>harshshah497@gmail.com</t>
  </si>
  <si>
    <t>CUST00002875</t>
  </si>
  <si>
    <t>rajtiwari@gmail.com</t>
  </si>
  <si>
    <t>CUST00002876</t>
  </si>
  <si>
    <t>kavyatiwari625@yahoo.com</t>
  </si>
  <si>
    <t>CUST00002877</t>
  </si>
  <si>
    <t>aishamalik383@gmail.com</t>
  </si>
  <si>
    <t>CUST00002878</t>
  </si>
  <si>
    <t>yashpandey199@outlook.com</t>
  </si>
  <si>
    <t>CUST00002879</t>
  </si>
  <si>
    <t>Vikas Agarwal</t>
  </si>
  <si>
    <t>vikasagarwal277@gmail.com</t>
  </si>
  <si>
    <t>CUST00002880</t>
  </si>
  <si>
    <t>akashmehta33@outlook.com</t>
  </si>
  <si>
    <t>CUST00002881</t>
  </si>
  <si>
    <t>rashidkhan288@gmail.com</t>
  </si>
  <si>
    <t>CUST00002882</t>
  </si>
  <si>
    <t>mohammadkhan477@yahoo.com</t>
  </si>
  <si>
    <t>CUST00002883</t>
  </si>
  <si>
    <t>nishagupta779@yahoo.com</t>
  </si>
  <si>
    <t>CUST00002884</t>
  </si>
  <si>
    <t>Akash Kumar</t>
  </si>
  <si>
    <t>akashkumar303@outlook.com</t>
  </si>
  <si>
    <t>CUST00002885</t>
  </si>
  <si>
    <t>meghaverma814@outlook.com</t>
  </si>
  <si>
    <t>CUST00002886</t>
  </si>
  <si>
    <t>nishajoshi@gmail.com</t>
  </si>
  <si>
    <t>CUST00002887</t>
  </si>
  <si>
    <t>karanreddy567@gmail.com</t>
  </si>
  <si>
    <t>CUST00002888</t>
  </si>
  <si>
    <t>rajeshverma878@outlook.com</t>
  </si>
  <si>
    <t>CUST00002889</t>
  </si>
  <si>
    <t>Hassan Sheikh</t>
  </si>
  <si>
    <t>hassansheikh222@outlook.com</t>
  </si>
  <si>
    <t>CUST00002890</t>
  </si>
  <si>
    <t>kavyatiwari474@yahoo.com</t>
  </si>
  <si>
    <t>CUST00002891</t>
  </si>
  <si>
    <t>nishashah439@outlook.com</t>
  </si>
  <si>
    <t>CUST00002892</t>
  </si>
  <si>
    <t>ananyareddy@gmail.com</t>
  </si>
  <si>
    <t>CUST00002893</t>
  </si>
  <si>
    <t>anjalireddy594@gmail.com</t>
  </si>
  <si>
    <t>CUST00002894</t>
  </si>
  <si>
    <t>khalidkhan@outlook.com</t>
  </si>
  <si>
    <t>CUST00002895</t>
  </si>
  <si>
    <t>shreyasingh@outlook.com</t>
  </si>
  <si>
    <t>CUST00002896</t>
  </si>
  <si>
    <t>CUST00002897</t>
  </si>
  <si>
    <t>CUST00002898</t>
  </si>
  <si>
    <t>CUST00002899</t>
  </si>
  <si>
    <t>amitkulkarni@gmail.com</t>
  </si>
  <si>
    <t>CUST00002900</t>
  </si>
  <si>
    <t>divyareddy404@yahoo.com</t>
  </si>
  <si>
    <t>CUST00002901</t>
  </si>
  <si>
    <t>nishayadav@outlook.com</t>
  </si>
  <si>
    <t>CUST00002902</t>
  </si>
  <si>
    <t>Jaspreet Grewal</t>
  </si>
  <si>
    <t>jaspreetgrewal@yahoo.com</t>
  </si>
  <si>
    <t>CUST00002903</t>
  </si>
  <si>
    <t>aliyaali86@outlook.com</t>
  </si>
  <si>
    <t>CUST00002904</t>
  </si>
  <si>
    <t>rashidrahman@outlook.com</t>
  </si>
  <si>
    <t>CUST00002905</t>
  </si>
  <si>
    <t>CUST00002906</t>
  </si>
  <si>
    <t>rohanverma303@gmail.com</t>
  </si>
  <si>
    <t>CUST00002907</t>
  </si>
  <si>
    <t>abhishekmehta@gmail.com</t>
  </si>
  <si>
    <t>CUST00002908</t>
  </si>
  <si>
    <t>zararahman686@yahoo.com</t>
  </si>
  <si>
    <t>CUST00002909</t>
  </si>
  <si>
    <t>kuldeepsingh471@outlook.com</t>
  </si>
  <si>
    <t>CUST00002910</t>
  </si>
  <si>
    <t>vishalgupta@gmail.com</t>
  </si>
  <si>
    <t>CUST00002911</t>
  </si>
  <si>
    <t>gauravkumar@yahoo.com</t>
  </si>
  <si>
    <t>CUST00002912</t>
  </si>
  <si>
    <t>aaravshah@outlook.com</t>
  </si>
  <si>
    <t>CUST00002913</t>
  </si>
  <si>
    <t>riyamishra809@yahoo.com</t>
  </si>
  <si>
    <t>CUST00002914</t>
  </si>
  <si>
    <t>swatiagarwal@outlook.com</t>
  </si>
  <si>
    <t>CUST00002915</t>
  </si>
  <si>
    <t>CUST00002916</t>
  </si>
  <si>
    <t>hinakhan915@outlook.com</t>
  </si>
  <si>
    <t>CUST00002917</t>
  </si>
  <si>
    <t>rohaniyer34@yahoo.com</t>
  </si>
  <si>
    <t>CUST00002918</t>
  </si>
  <si>
    <t>yashnair277@outlook.com</t>
  </si>
  <si>
    <t>CUST00002919</t>
  </si>
  <si>
    <t>CUST00002920</t>
  </si>
  <si>
    <t>swatinair213@outlook.com</t>
  </si>
  <si>
    <t>CUST00002921</t>
  </si>
  <si>
    <t>riyanair902@yahoo.com</t>
  </si>
  <si>
    <t>CUST00002922</t>
  </si>
  <si>
    <t>Karan Singh</t>
  </si>
  <si>
    <t>karansingh@gmail.com</t>
  </si>
  <si>
    <t>CUST00002923</t>
  </si>
  <si>
    <t>divyatiwari932@outlook.com</t>
  </si>
  <si>
    <t>CUST00002924</t>
  </si>
  <si>
    <t>aaravsharma53@gmail.com</t>
  </si>
  <si>
    <t>CUST00002925</t>
  </si>
  <si>
    <t>amitgupta477@outlook.com</t>
  </si>
  <si>
    <t>CUST00002926</t>
  </si>
  <si>
    <t>aishamalik376@gmail.com</t>
  </si>
  <si>
    <t>CUST00002927</t>
  </si>
  <si>
    <t>rohanmehta@outlook.com</t>
  </si>
  <si>
    <t>CUST00002928</t>
  </si>
  <si>
    <t>sanapathan727@gmail.com</t>
  </si>
  <si>
    <t>CUST00002929</t>
  </si>
  <si>
    <t>vishaljoshi343@gmail.com</t>
  </si>
  <si>
    <t>CUST00002930</t>
  </si>
  <si>
    <t>anjalishah665@yahoo.com</t>
  </si>
  <si>
    <t>CUST00002931</t>
  </si>
  <si>
    <t>swatikulkarni@outlook.com</t>
  </si>
  <si>
    <t>CUST00002932</t>
  </si>
  <si>
    <t>yashpandey@outlook.com</t>
  </si>
  <si>
    <t>CUST00002933</t>
  </si>
  <si>
    <t>meghareddy763@gmail.com</t>
  </si>
  <si>
    <t>CUST00002934</t>
  </si>
  <si>
    <t>ananyaiyer920@yahoo.com</t>
  </si>
  <si>
    <t>CUST00002935</t>
  </si>
  <si>
    <t>rohanverma434@yahoo.com</t>
  </si>
  <si>
    <t>CUST00002936</t>
  </si>
  <si>
    <t>aliyaahmed382@yahoo.com</t>
  </si>
  <si>
    <t>CUST00002937</t>
  </si>
  <si>
    <t>aliyakhan514@outlook.com</t>
  </si>
  <si>
    <t>CUST00002938</t>
  </si>
  <si>
    <t>CUST00002939</t>
  </si>
  <si>
    <t>CUST00002940</t>
  </si>
  <si>
    <t>amitverma@yahoo.com</t>
  </si>
  <si>
    <t>CUST00002941</t>
  </si>
  <si>
    <t>preetishah377@outlook.com</t>
  </si>
  <si>
    <t>CUST00002942</t>
  </si>
  <si>
    <t>aamiransari@gmail.com</t>
  </si>
  <si>
    <t>CUST00002943</t>
  </si>
  <si>
    <t>vikasverma906@yahoo.com</t>
  </si>
  <si>
    <t>CUST00002944</t>
  </si>
  <si>
    <t>zainkhan401@gmail.com</t>
  </si>
  <si>
    <t>CUST00002945</t>
  </si>
  <si>
    <t>amitmishra980@gmail.com</t>
  </si>
  <si>
    <t>CUST00002946</t>
  </si>
  <si>
    <t>akashmishra283@gmail.com</t>
  </si>
  <si>
    <t>CUST00002947</t>
  </si>
  <si>
    <t>rahulkulkarni@yahoo.com</t>
  </si>
  <si>
    <t>CUST00002948</t>
  </si>
  <si>
    <t>divyareddy210@outlook.com</t>
  </si>
  <si>
    <t>CUST00002949</t>
  </si>
  <si>
    <t>rohanverma@gmail.com</t>
  </si>
  <si>
    <t>CUST00002950</t>
  </si>
  <si>
    <t>preetipatel993@outlook.com</t>
  </si>
  <si>
    <t>CUST00002951</t>
  </si>
  <si>
    <t>amitiyer136@yahoo.com</t>
  </si>
  <si>
    <t>CUST00002952</t>
  </si>
  <si>
    <t>yashsharma455@outlook.com</t>
  </si>
  <si>
    <t>CUST00002953</t>
  </si>
  <si>
    <t>CUST00002954</t>
  </si>
  <si>
    <t>akashpatel23@gmail.com</t>
  </si>
  <si>
    <t>CUST00002955</t>
  </si>
  <si>
    <t>vishalpandey@outlook.com</t>
  </si>
  <si>
    <t>CUST00002956</t>
  </si>
  <si>
    <t>Jasleen Brar</t>
  </si>
  <si>
    <t>jasleenbrar@yahoo.com</t>
  </si>
  <si>
    <t>CUST00002957</t>
  </si>
  <si>
    <t>fatimamalik672@outlook.com</t>
  </si>
  <si>
    <t>CUST00002958</t>
  </si>
  <si>
    <t>salmanrahman@yahoo.com</t>
  </si>
  <si>
    <t>CUST00002959</t>
  </si>
  <si>
    <t>divyanair714@outlook.com</t>
  </si>
  <si>
    <t>CUST00002960</t>
  </si>
  <si>
    <t>harshmehta@yahoo.com</t>
  </si>
  <si>
    <t>CUST00002961</t>
  </si>
  <si>
    <t>aamirrahman581@gmail.com</t>
  </si>
  <si>
    <t>CUST00002962</t>
  </si>
  <si>
    <t>swatikulkarni@yahoo.com</t>
  </si>
  <si>
    <t>CUST00002963</t>
  </si>
  <si>
    <t>aminarahman267@gmail.com</t>
  </si>
  <si>
    <t>CUST00002964</t>
  </si>
  <si>
    <t>Gurleen Grewal</t>
  </si>
  <si>
    <t>gurleengrewal995@yahoo.com</t>
  </si>
  <si>
    <t>CUST00002965</t>
  </si>
  <si>
    <t>CUST00002966</t>
  </si>
  <si>
    <t>simrannair292@yahoo.com</t>
  </si>
  <si>
    <t>CUST00002967</t>
  </si>
  <si>
    <t>anjalisharma@outlook.com</t>
  </si>
  <si>
    <t>CUST00002968</t>
  </si>
  <si>
    <t>CUST00002969</t>
  </si>
  <si>
    <t>gauravsingh187@gmail.com</t>
  </si>
  <si>
    <t>CUST00002970</t>
  </si>
  <si>
    <t>CUST00002971</t>
  </si>
  <si>
    <t>fatimaali@gmail.com</t>
  </si>
  <si>
    <t>CUST00002972</t>
  </si>
  <si>
    <t>aamirpathan120@gmail.com</t>
  </si>
  <si>
    <t>CUST00002973</t>
  </si>
  <si>
    <t>CUST00002974</t>
  </si>
  <si>
    <t>nishaagarwal267@yahoo.com</t>
  </si>
  <si>
    <t>CUST00002975</t>
  </si>
  <si>
    <t>priyasingh576@outlook.com</t>
  </si>
  <si>
    <t>CUST00002976</t>
  </si>
  <si>
    <t>vishalreddy325@yahoo.com</t>
  </si>
  <si>
    <t>CUST00002977</t>
  </si>
  <si>
    <t>aaravshah460@outlook.com</t>
  </si>
  <si>
    <t>CUST00002978</t>
  </si>
  <si>
    <t>CUST00002979</t>
  </si>
  <si>
    <t>yashsingh943@gmail.com</t>
  </si>
  <si>
    <t>CUST00002980</t>
  </si>
  <si>
    <t>akashkumar512@gmail.com</t>
  </si>
  <si>
    <t>CUST00002981</t>
  </si>
  <si>
    <t>CUST00002982</t>
  </si>
  <si>
    <t>meghaiyer994@outlook.com</t>
  </si>
  <si>
    <t>CUST00002983</t>
  </si>
  <si>
    <t>nikhilyadav520@yahoo.com</t>
  </si>
  <si>
    <t>CUST00002984</t>
  </si>
  <si>
    <t>divyaiyer@yahoo.com</t>
  </si>
  <si>
    <t>CUST00002985</t>
  </si>
  <si>
    <t>harshkulkarni297@outlook.com</t>
  </si>
  <si>
    <t>CUST00002986</t>
  </si>
  <si>
    <t>priyapatel@outlook.com</t>
  </si>
  <si>
    <t>CUST00002987</t>
  </si>
  <si>
    <t>nikhilshah@yahoo.com</t>
  </si>
  <si>
    <t>CUST00002988</t>
  </si>
  <si>
    <t>Aisha Ali</t>
  </si>
  <si>
    <t>aishaali116@outlook.com</t>
  </si>
  <si>
    <t>CUST00002989</t>
  </si>
  <si>
    <t>riyapatel42@gmail.com</t>
  </si>
  <si>
    <t>CUST00002990</t>
  </si>
  <si>
    <t>CUST00002991</t>
  </si>
  <si>
    <t>yashkumar412@outlook.com</t>
  </si>
  <si>
    <t>CUST00002992</t>
  </si>
  <si>
    <t>aamirsiddiqui@yahoo.com</t>
  </si>
  <si>
    <t>CUST00002993</t>
  </si>
  <si>
    <t>karanmehta335@gmail.com</t>
  </si>
  <si>
    <t>CUST00002994</t>
  </si>
  <si>
    <t>nishaiyer@gmail.com</t>
  </si>
  <si>
    <t>CUST00002995</t>
  </si>
  <si>
    <t>kavyareddy228@yahoo.com</t>
  </si>
  <si>
    <t>CUST00002996</t>
  </si>
  <si>
    <t>rajeshiyer86@outlook.com</t>
  </si>
  <si>
    <t>CUST00002997</t>
  </si>
  <si>
    <t>priyayadav@outlook.com</t>
  </si>
  <si>
    <t>CUST00002998</t>
  </si>
  <si>
    <t>harshkulkarni@gmail.com</t>
  </si>
  <si>
    <t>CUST00002999</t>
  </si>
  <si>
    <t>CUST00003000</t>
  </si>
  <si>
    <t>rajyadav326@outlook.com</t>
  </si>
  <si>
    <t>CUST00003001</t>
  </si>
  <si>
    <t>CUST00003002</t>
  </si>
  <si>
    <t>CUST00003003</t>
  </si>
  <si>
    <t>aadhyaagarwal734@yahoo.com</t>
  </si>
  <si>
    <t>CUST00003004</t>
  </si>
  <si>
    <t>harshkulkarni382@gmail.com</t>
  </si>
  <si>
    <t>CUST00003005</t>
  </si>
  <si>
    <t>vikasiyer360@yahoo.com</t>
  </si>
  <si>
    <t>CUST00003006</t>
  </si>
  <si>
    <t>karankumar@outlook.com</t>
  </si>
  <si>
    <t>CUST00003007</t>
  </si>
  <si>
    <t>aadhyayadav746@yahoo.com</t>
  </si>
  <si>
    <t>CUST00003008</t>
  </si>
  <si>
    <t>CUST00003009</t>
  </si>
  <si>
    <t>CUST00003010</t>
  </si>
  <si>
    <t>tariqsheikh746@yahoo.com</t>
  </si>
  <si>
    <t>CUST00003011</t>
  </si>
  <si>
    <t>sanaahmed@yahoo.com</t>
  </si>
  <si>
    <t>CUST00003012</t>
  </si>
  <si>
    <t>preetikulkarni602@outlook.com</t>
  </si>
  <si>
    <t>CUST00003013</t>
  </si>
  <si>
    <t>preetisingh213@yahoo.com</t>
  </si>
  <si>
    <t>CUST00003014</t>
  </si>
  <si>
    <t>aishasheikh889@outlook.com</t>
  </si>
  <si>
    <t>CUST00003015</t>
  </si>
  <si>
    <t>CUST00003016</t>
  </si>
  <si>
    <t>anjaliverma@outlook.com</t>
  </si>
  <si>
    <t>CUST00003017</t>
  </si>
  <si>
    <t>vikasagarwal@gmail.com</t>
  </si>
  <si>
    <t>CUST00003018</t>
  </si>
  <si>
    <t>amitagarwal655@yahoo.com</t>
  </si>
  <si>
    <t>CUST00003019</t>
  </si>
  <si>
    <t>nehaagarwal570@yahoo.com</t>
  </si>
  <si>
    <t>CUST00003020</t>
  </si>
  <si>
    <t>Imran Sheikh</t>
  </si>
  <si>
    <t>imransheikh@gmail.com</t>
  </si>
  <si>
    <t>CUST00003021</t>
  </si>
  <si>
    <t>ananyasingh853@yahoo.com</t>
  </si>
  <si>
    <t>CUST00003022</t>
  </si>
  <si>
    <t>gauraviyer503@gmail.com</t>
  </si>
  <si>
    <t>CUST00003023</t>
  </si>
  <si>
    <t>CUST00003024</t>
  </si>
  <si>
    <t>zainkhan@yahoo.com</t>
  </si>
  <si>
    <t>CUST00003025</t>
  </si>
  <si>
    <t>rahulsingh758@yahoo.com</t>
  </si>
  <si>
    <t>CUST00003026</t>
  </si>
  <si>
    <t>poojagupta811@gmail.com</t>
  </si>
  <si>
    <t>CUST00003027</t>
  </si>
  <si>
    <t>kavyakumar308@outlook.com</t>
  </si>
  <si>
    <t>CUST00003028</t>
  </si>
  <si>
    <t>CUST00003029</t>
  </si>
  <si>
    <t>rohansharma682@yahoo.com</t>
  </si>
  <si>
    <t>CUST00003030</t>
  </si>
  <si>
    <t>priyaiyer504@outlook.com</t>
  </si>
  <si>
    <t>CUST00003031</t>
  </si>
  <si>
    <t>CUST00003032</t>
  </si>
  <si>
    <t>karanpandey284@yahoo.com</t>
  </si>
  <si>
    <t>CUST00003033</t>
  </si>
  <si>
    <t>Aadhya Mehta</t>
  </si>
  <si>
    <t>aadhyamehta@gmail.com</t>
  </si>
  <si>
    <t>CUST00003034</t>
  </si>
  <si>
    <t>amitkulkarni371@outlook.com</t>
  </si>
  <si>
    <t>CUST00003035</t>
  </si>
  <si>
    <t>poojamehta447@yahoo.com</t>
  </si>
  <si>
    <t>CUST00003036</t>
  </si>
  <si>
    <t>simranreddy@yahoo.com</t>
  </si>
  <si>
    <t>CUST00003037</t>
  </si>
  <si>
    <t>farahrahman@gmail.com</t>
  </si>
  <si>
    <t>CUST00003038</t>
  </si>
  <si>
    <t>harshkulkarni751@outlook.com</t>
  </si>
  <si>
    <t>CUST00003039</t>
  </si>
  <si>
    <t>gauravshah266@gmail.com</t>
  </si>
  <si>
    <t>CUST00003040</t>
  </si>
  <si>
    <t>vikasjoshi150@yahoo.com</t>
  </si>
  <si>
    <t>CUST00003041</t>
  </si>
  <si>
    <t>Aisha Rahman</t>
  </si>
  <si>
    <t>aisharahman710@gmail.com</t>
  </si>
  <si>
    <t>CUST00003042</t>
  </si>
  <si>
    <t>rahuljoshi55@yahoo.com</t>
  </si>
  <si>
    <t>CUST00003043</t>
  </si>
  <si>
    <t>gauravkumar652@yahoo.com</t>
  </si>
  <si>
    <t>CUST00003044</t>
  </si>
  <si>
    <t>priyamehta299@outlook.com</t>
  </si>
  <si>
    <t>CUST00003045</t>
  </si>
  <si>
    <t>gauravmehta@gmail.com</t>
  </si>
  <si>
    <t>CUST00003046</t>
  </si>
  <si>
    <t>meghanair785@outlook.com</t>
  </si>
  <si>
    <t>CUST00003047</t>
  </si>
  <si>
    <t>amitpandey97@outlook.com</t>
  </si>
  <si>
    <t>CUST00003048</t>
  </si>
  <si>
    <t>CUST00003049</t>
  </si>
  <si>
    <t>vishalmishra324@outlook.com</t>
  </si>
  <si>
    <t>CUST00003050</t>
  </si>
  <si>
    <t>meghagupta@yahoo.com</t>
  </si>
  <si>
    <t>CUST00003051</t>
  </si>
  <si>
    <t>omarpathan@outlook.com</t>
  </si>
  <si>
    <t>CUST00003052</t>
  </si>
  <si>
    <t>gauravmishra548@outlook.com</t>
  </si>
  <si>
    <t>CUST00003053</t>
  </si>
  <si>
    <t>Arif Ansari</t>
  </si>
  <si>
    <t>arifansari148@gmail.com</t>
  </si>
  <si>
    <t>CUST00003054</t>
  </si>
  <si>
    <t>sanaahmed289@yahoo.com</t>
  </si>
  <si>
    <t>CUST00003055</t>
  </si>
  <si>
    <t>simranagarwal@yahoo.com</t>
  </si>
  <si>
    <t>CUST00003056</t>
  </si>
  <si>
    <t>gauraviyer933@gmail.com</t>
  </si>
  <si>
    <t>CUST00003057</t>
  </si>
  <si>
    <t>vishaliyer159@outlook.com</t>
  </si>
  <si>
    <t>CUST00003058</t>
  </si>
  <si>
    <t>ananyatiwari193@outlook.com</t>
  </si>
  <si>
    <t>CUST00003059</t>
  </si>
  <si>
    <t>CUST00003060</t>
  </si>
  <si>
    <t>CUST00003061</t>
  </si>
  <si>
    <t>divyareddy775@gmail.com</t>
  </si>
  <si>
    <t>CUST00003062</t>
  </si>
  <si>
    <t>kavyamehta939@gmail.com</t>
  </si>
  <si>
    <t>CUST00003063</t>
  </si>
  <si>
    <t>gauravsharma135@gmail.com</t>
  </si>
  <si>
    <t>CUST00003064</t>
  </si>
  <si>
    <t>anjalikumar320@outlook.com</t>
  </si>
  <si>
    <t>CUST00003065</t>
  </si>
  <si>
    <t>anjalikumar837@yahoo.com</t>
  </si>
  <si>
    <t>CUST00003066</t>
  </si>
  <si>
    <t>priyamishra@outlook.com</t>
  </si>
  <si>
    <t>CUST00003067</t>
  </si>
  <si>
    <t>rashidmalik994@yahoo.com</t>
  </si>
  <si>
    <t>CUST00003068</t>
  </si>
  <si>
    <t>rajiyer312@gmail.com</t>
  </si>
  <si>
    <t>CUST00003069</t>
  </si>
  <si>
    <t>arifsiddiqui@gmail.com</t>
  </si>
  <si>
    <t>CUST00003070</t>
  </si>
  <si>
    <t>vishaljoshi878@outlook.com</t>
  </si>
  <si>
    <t>CUST00003071</t>
  </si>
  <si>
    <t>ahmedrahman233@yahoo.com</t>
  </si>
  <si>
    <t>CUST00003072</t>
  </si>
  <si>
    <t>nishamehta134@gmail.com</t>
  </si>
  <si>
    <t>CUST00003073</t>
  </si>
  <si>
    <t>priyayadav782@gmail.com</t>
  </si>
  <si>
    <t>CUST00003074</t>
  </si>
  <si>
    <t>vishalreddy794@yahoo.com</t>
  </si>
  <si>
    <t>CUST00003075</t>
  </si>
  <si>
    <t>CUST00003076</t>
  </si>
  <si>
    <t>nishasingh34@outlook.com</t>
  </si>
  <si>
    <t>CUST00003077</t>
  </si>
  <si>
    <t>ananyaagarwal61@yahoo.com</t>
  </si>
  <si>
    <t>CUST00003078</t>
  </si>
  <si>
    <t>Kuldeep Gill</t>
  </si>
  <si>
    <t>kuldeepgill260@gmail.com</t>
  </si>
  <si>
    <t>CUST00003079</t>
  </si>
  <si>
    <t>meghapandey684@gmail.com</t>
  </si>
  <si>
    <t>CUST00003080</t>
  </si>
  <si>
    <t>riyayadav@gmail.com</t>
  </si>
  <si>
    <t>CUST00003081</t>
  </si>
  <si>
    <t>aadhyagupta@gmail.com</t>
  </si>
  <si>
    <t>CUST00003082</t>
  </si>
  <si>
    <t>Preeti Agarwal</t>
  </si>
  <si>
    <t>preetiagarwal205@gmail.com</t>
  </si>
  <si>
    <t>CUST00003083</t>
  </si>
  <si>
    <t>CUST00003084</t>
  </si>
  <si>
    <t>nikhiliyer867@outlook.com</t>
  </si>
  <si>
    <t>CUST00003085</t>
  </si>
  <si>
    <t>CUST00003086</t>
  </si>
  <si>
    <t>vikasmishra165@outlook.com</t>
  </si>
  <si>
    <t>CUST00003087</t>
  </si>
  <si>
    <t>ayeshaansari@outlook.com</t>
  </si>
  <si>
    <t>CUST00003088</t>
  </si>
  <si>
    <t>simranmishra584@gmail.com</t>
  </si>
  <si>
    <t>CUST00003089</t>
  </si>
  <si>
    <t>vishalsharma593@gmail.com</t>
  </si>
  <si>
    <t>CUST00003090</t>
  </si>
  <si>
    <t>harshshah733@gmail.com</t>
  </si>
  <si>
    <t>CUST00003091</t>
  </si>
  <si>
    <t>CUST00003092</t>
  </si>
  <si>
    <t>CUST00003093</t>
  </si>
  <si>
    <t>nikhilpandey743@gmail.com</t>
  </si>
  <si>
    <t>CUST00003094</t>
  </si>
  <si>
    <t>harpreetgill@outlook.com</t>
  </si>
  <si>
    <t>CUST00003095</t>
  </si>
  <si>
    <t>CUST00003096</t>
  </si>
  <si>
    <t>nikhilmehta604@gmail.com</t>
  </si>
  <si>
    <t>CUST00003097</t>
  </si>
  <si>
    <t>akashreddy981@gmail.com</t>
  </si>
  <si>
    <t>CUST00003098</t>
  </si>
  <si>
    <t>poojapandey364@yahoo.com</t>
  </si>
  <si>
    <t>CUST00003099</t>
  </si>
  <si>
    <t>anjalikumar527@gmail.com</t>
  </si>
  <si>
    <t>CUST00003100</t>
  </si>
  <si>
    <t>akashkulkarni780@yahoo.com</t>
  </si>
  <si>
    <t>CUST00003101</t>
  </si>
  <si>
    <t>ahmedkhan113@outlook.com</t>
  </si>
  <si>
    <t>CUST00003102</t>
  </si>
  <si>
    <t>riyamehta781@yahoo.com</t>
  </si>
  <si>
    <t>CUST00003103</t>
  </si>
  <si>
    <t>CUST00003104</t>
  </si>
  <si>
    <t>CUST00003105</t>
  </si>
  <si>
    <t>yashkulkarni119@yahoo.com</t>
  </si>
  <si>
    <t>CUST00003106</t>
  </si>
  <si>
    <t>divyakumar615@outlook.com</t>
  </si>
  <si>
    <t>CUST00003107</t>
  </si>
  <si>
    <t>swatimehta862@yahoo.com</t>
  </si>
  <si>
    <t>CUST00003108</t>
  </si>
  <si>
    <t>ananyanair418@yahoo.com</t>
  </si>
  <si>
    <t>CUST00003109</t>
  </si>
  <si>
    <t>CUST00003110</t>
  </si>
  <si>
    <t>rajeshshah72@yahoo.com</t>
  </si>
  <si>
    <t>CUST00003111</t>
  </si>
  <si>
    <t>CUST00003112</t>
  </si>
  <si>
    <t>rahulyadav691@yahoo.com</t>
  </si>
  <si>
    <t>CUST00003113</t>
  </si>
  <si>
    <t>hassanrahman@yahoo.com</t>
  </si>
  <si>
    <t>CUST00003114</t>
  </si>
  <si>
    <t>aadhyamishra675@outlook.com</t>
  </si>
  <si>
    <t>CUST00003115</t>
  </si>
  <si>
    <t>simranagarwal147@yahoo.com</t>
  </si>
  <si>
    <t>CUST00003116</t>
  </si>
  <si>
    <t>harleendhillon605@gmail.com</t>
  </si>
  <si>
    <t>CUST00003117</t>
  </si>
  <si>
    <t>anjalijoshi@gmail.com</t>
  </si>
  <si>
    <t>CUST00003118</t>
  </si>
  <si>
    <t>preetiiyer999@gmail.com</t>
  </si>
  <si>
    <t>CUST00003119</t>
  </si>
  <si>
    <t>aliali610@yahoo.com</t>
  </si>
  <si>
    <t>CUST00003120</t>
  </si>
  <si>
    <t>Nida Khan</t>
  </si>
  <si>
    <t>nidakhan859@yahoo.com</t>
  </si>
  <si>
    <t>CUST00003121</t>
  </si>
  <si>
    <t>rajsingh@yahoo.com</t>
  </si>
  <si>
    <t>CUST00003122</t>
  </si>
  <si>
    <t>kavyamishra@outlook.com</t>
  </si>
  <si>
    <t>CUST00003123</t>
  </si>
  <si>
    <t>rahulpatel775@outlook.com</t>
  </si>
  <si>
    <t>CUST00003124</t>
  </si>
  <si>
    <t>CUST00003125</t>
  </si>
  <si>
    <t>divyanair618@yahoo.com</t>
  </si>
  <si>
    <t>CUST00003126</t>
  </si>
  <si>
    <t>nishagupta@outlook.com</t>
  </si>
  <si>
    <t>CUST00003127</t>
  </si>
  <si>
    <t>arjunnair787@yahoo.com</t>
  </si>
  <si>
    <t>CUST00003128</t>
  </si>
  <si>
    <t>kuldeepdhillon257@yahoo.com</t>
  </si>
  <si>
    <t>CUST00003129</t>
  </si>
  <si>
    <t>nishatiwari644@gmail.com</t>
  </si>
  <si>
    <t>CUST00003130</t>
  </si>
  <si>
    <t>akashmehta756@gmail.com</t>
  </si>
  <si>
    <t>CUST00003131</t>
  </si>
  <si>
    <t>CUST00003132</t>
  </si>
  <si>
    <t>Khalid Rahman</t>
  </si>
  <si>
    <t>khalidrahman@gmail.com</t>
  </si>
  <si>
    <t>CUST00003133</t>
  </si>
  <si>
    <t>khalidpathan696@yahoo.com</t>
  </si>
  <si>
    <t>CUST00003134</t>
  </si>
  <si>
    <t>anjalimishra637@outlook.com</t>
  </si>
  <si>
    <t>CUST00003135</t>
  </si>
  <si>
    <t>amitmishra79@outlook.com</t>
  </si>
  <si>
    <t>CUST00003136</t>
  </si>
  <si>
    <t>rohanverma@yahoo.com</t>
  </si>
  <si>
    <t>CUST00003137</t>
  </si>
  <si>
    <t>aliyasheikh@gmail.com</t>
  </si>
  <si>
    <t>CUST00003138</t>
  </si>
  <si>
    <t>yashnair510@yahoo.com</t>
  </si>
  <si>
    <t>CUST00003139</t>
  </si>
  <si>
    <t>nehamishra556@yahoo.com</t>
  </si>
  <si>
    <t>CUST00003140</t>
  </si>
  <si>
    <t>CUST00003141</t>
  </si>
  <si>
    <t>gauravpatel976@gmail.com</t>
  </si>
  <si>
    <t>CUST00003142</t>
  </si>
  <si>
    <t>CUST00003143</t>
  </si>
  <si>
    <t>aishaali323@yahoo.com</t>
  </si>
  <si>
    <t>CUST00003144</t>
  </si>
  <si>
    <t>priyaagarwal37@gmail.com</t>
  </si>
  <si>
    <t>CUST00003145</t>
  </si>
  <si>
    <t>aaravjoshi676@yahoo.com</t>
  </si>
  <si>
    <t>CUST00003146</t>
  </si>
  <si>
    <t>divyaagarwal@gmail.com</t>
  </si>
  <si>
    <t>CUST00003147</t>
  </si>
  <si>
    <t>nidakhan138@yahoo.com</t>
  </si>
  <si>
    <t>CUST00003148</t>
  </si>
  <si>
    <t>ayeshasiddiqui@yahoo.com</t>
  </si>
  <si>
    <t>CUST00003149</t>
  </si>
  <si>
    <t>farahrahman@outlook.com</t>
  </si>
  <si>
    <t>CUST00003150</t>
  </si>
  <si>
    <t>amitkumar@outlook.com</t>
  </si>
  <si>
    <t>CUST00003151</t>
  </si>
  <si>
    <t>Suresh Pandey</t>
  </si>
  <si>
    <t>sureshpandey553@outlook.com</t>
  </si>
  <si>
    <t>CUST00003152</t>
  </si>
  <si>
    <t>saifahmed576@gmail.com</t>
  </si>
  <si>
    <t>CUST00003153</t>
  </si>
  <si>
    <t>hinarahman401@yahoo.com</t>
  </si>
  <si>
    <t>CUST00003154</t>
  </si>
  <si>
    <t>shreyagupta995@yahoo.com</t>
  </si>
  <si>
    <t>CUST00003155</t>
  </si>
  <si>
    <t>nishaagarwal@yahoo.com</t>
  </si>
  <si>
    <t>CUST00003156</t>
  </si>
  <si>
    <t>meghasingh@yahoo.com</t>
  </si>
  <si>
    <t>CUST00003157</t>
  </si>
  <si>
    <t>simranagarwal29@outlook.com</t>
  </si>
  <si>
    <t>CUST00003158</t>
  </si>
  <si>
    <t>arjunreddy858@yahoo.com</t>
  </si>
  <si>
    <t>CUST00003159</t>
  </si>
  <si>
    <t>nishaiyer760@outlook.com</t>
  </si>
  <si>
    <t>CUST00003160</t>
  </si>
  <si>
    <t>riyatiwari913@outlook.com</t>
  </si>
  <si>
    <t>CUST00003161</t>
  </si>
  <si>
    <t>karanjoshi100@yahoo.com</t>
  </si>
  <si>
    <t>CUST00003162</t>
  </si>
  <si>
    <t>sanaahmed366@yahoo.com</t>
  </si>
  <si>
    <t>CUST00003163</t>
  </si>
  <si>
    <t>priyakumar678@gmail.com</t>
  </si>
  <si>
    <t>CUST00003164</t>
  </si>
  <si>
    <t>Gurpreet Grewal</t>
  </si>
  <si>
    <t>gurpreetgrewal664@yahoo.com</t>
  </si>
  <si>
    <t>CUST00003165</t>
  </si>
  <si>
    <t>harleensingh933@outlook.com</t>
  </si>
  <si>
    <t>CUST00003166</t>
  </si>
  <si>
    <t>farhanmirza313@gmail.com</t>
  </si>
  <si>
    <t>CUST00003167</t>
  </si>
  <si>
    <t>amandeepkaur21@outlook.com</t>
  </si>
  <si>
    <t>CUST00003168</t>
  </si>
  <si>
    <t>simrangupta472@outlook.com</t>
  </si>
  <si>
    <t>CUST00003169</t>
  </si>
  <si>
    <t>CUST00003170</t>
  </si>
  <si>
    <t>ahmedmirza432@yahoo.com</t>
  </si>
  <si>
    <t>CUST00003171</t>
  </si>
  <si>
    <t>priyajoshi481@outlook.com</t>
  </si>
  <si>
    <t>CUST00003172</t>
  </si>
  <si>
    <t>meghajoshi325@yahoo.com</t>
  </si>
  <si>
    <t>CUST00003173</t>
  </si>
  <si>
    <t>kavyakumar331@outlook.com</t>
  </si>
  <si>
    <t>CUST00003174</t>
  </si>
  <si>
    <t>shreyamishra501@gmail.com</t>
  </si>
  <si>
    <t>CUST00003175</t>
  </si>
  <si>
    <t>nehashah@gmail.com</t>
  </si>
  <si>
    <t>CUST00003176</t>
  </si>
  <si>
    <t>rajsharma515@outlook.com</t>
  </si>
  <si>
    <t>CUST00003177</t>
  </si>
  <si>
    <t>yashverma630@yahoo.com</t>
  </si>
  <si>
    <t>CUST00003178</t>
  </si>
  <si>
    <t>amitsharma447@gmail.com</t>
  </si>
  <si>
    <t>CUST00003179</t>
  </si>
  <si>
    <t>zainali868@gmail.com</t>
  </si>
  <si>
    <t>CUST00003180</t>
  </si>
  <si>
    <t>zarapathan@outlook.com</t>
  </si>
  <si>
    <t>CUST00003181</t>
  </si>
  <si>
    <t>shreyakumar272@gmail.com</t>
  </si>
  <si>
    <t>CUST00003182</t>
  </si>
  <si>
    <t>vikasmehta588@yahoo.com</t>
  </si>
  <si>
    <t>CUST00003183</t>
  </si>
  <si>
    <t>CUST00003184</t>
  </si>
  <si>
    <t>divyamehta@gmail.com</t>
  </si>
  <si>
    <t>CUST00003185</t>
  </si>
  <si>
    <t>arifmirza@outlook.com</t>
  </si>
  <si>
    <t>CUST00003186</t>
  </si>
  <si>
    <t>anjalikumar345@yahoo.com</t>
  </si>
  <si>
    <t>CUST00003187</t>
  </si>
  <si>
    <t>nikhiliyer821@outlook.com</t>
  </si>
  <si>
    <t>CUST00003188</t>
  </si>
  <si>
    <t>manpreetgill215@yahoo.com</t>
  </si>
  <si>
    <t>CUST00003189</t>
  </si>
  <si>
    <t>shreyaiyer@outlook.com</t>
  </si>
  <si>
    <t>CUST00003190</t>
  </si>
  <si>
    <t>divyayadav@outlook.com</t>
  </si>
  <si>
    <t>CUST00003191</t>
  </si>
  <si>
    <t>CUST00003192</t>
  </si>
  <si>
    <t>CUST00003193</t>
  </si>
  <si>
    <t>priyayadav412@yahoo.com</t>
  </si>
  <si>
    <t>CUST00003194</t>
  </si>
  <si>
    <t>simrandhillon@yahoo.com</t>
  </si>
  <si>
    <t>CUST00003195</t>
  </si>
  <si>
    <t>CUST00003196</t>
  </si>
  <si>
    <t>abhishekjoshi20@outlook.com</t>
  </si>
  <si>
    <t>CUST00003197</t>
  </si>
  <si>
    <t>hinamalik@gmail.com</t>
  </si>
  <si>
    <t>CUST00003198</t>
  </si>
  <si>
    <t>salmanansari219@outlook.com</t>
  </si>
  <si>
    <t>CUST00003199</t>
  </si>
  <si>
    <t>preetimishra@outlook.com</t>
  </si>
  <si>
    <t>CUST00003200</t>
  </si>
  <si>
    <t>CUST00003201</t>
  </si>
  <si>
    <t>nehajoshi@outlook.com</t>
  </si>
  <si>
    <t>CUST00003202</t>
  </si>
  <si>
    <t>poojareddy@yahoo.com</t>
  </si>
  <si>
    <t>CUST00003203</t>
  </si>
  <si>
    <t>rajagarwal@outlook.com</t>
  </si>
  <si>
    <t>CUST00003204</t>
  </si>
  <si>
    <t>shreyagupta@outlook.com</t>
  </si>
  <si>
    <t>CUST00003205</t>
  </si>
  <si>
    <t>nishamishra474@gmail.com</t>
  </si>
  <si>
    <t>CUST00003206</t>
  </si>
  <si>
    <t>anjaliagarwal765@outlook.com</t>
  </si>
  <si>
    <t>CUST00003207</t>
  </si>
  <si>
    <t>CUST00003208</t>
  </si>
  <si>
    <t>nidaansari881@gmail.com</t>
  </si>
  <si>
    <t>CUST00003209</t>
  </si>
  <si>
    <t>vishalmishra@yahoo.com</t>
  </si>
  <si>
    <t>CUST00003210</t>
  </si>
  <si>
    <t>aliyamalik294@outlook.com</t>
  </si>
  <si>
    <t>CUST00003211</t>
  </si>
  <si>
    <t>meghakulkarni704@outlook.com</t>
  </si>
  <si>
    <t>CUST00003212</t>
  </si>
  <si>
    <t>sanarahman245@gmail.com</t>
  </si>
  <si>
    <t>CUST00003213</t>
  </si>
  <si>
    <t>nishashah29@gmail.com</t>
  </si>
  <si>
    <t>CUST00003214</t>
  </si>
  <si>
    <t>shreyayadav@yahoo.com</t>
  </si>
  <si>
    <t>CUST00003215</t>
  </si>
  <si>
    <t>poojagupta574@yahoo.com</t>
  </si>
  <si>
    <t>CUST00003216</t>
  </si>
  <si>
    <t>sandeepsandhu928@gmail.com</t>
  </si>
  <si>
    <t>CUST00003217</t>
  </si>
  <si>
    <t>divyanair280@gmail.com</t>
  </si>
  <si>
    <t>CUST00003218</t>
  </si>
  <si>
    <t>priyaverma809@yahoo.com</t>
  </si>
  <si>
    <t>CUST00003219</t>
  </si>
  <si>
    <t>aadhyayadav@gmail.com</t>
  </si>
  <si>
    <t>CUST00003220</t>
  </si>
  <si>
    <t>swatinair@gmail.com</t>
  </si>
  <si>
    <t>CUST00003221</t>
  </si>
  <si>
    <t>Arjun Iyer</t>
  </si>
  <si>
    <t>arjuniyer@yahoo.com</t>
  </si>
  <si>
    <t>CUST00003222</t>
  </si>
  <si>
    <t>aaravshah@gmail.com</t>
  </si>
  <si>
    <t>CUST00003223</t>
  </si>
  <si>
    <t>CUST00003224</t>
  </si>
  <si>
    <t>jasleenbrar306@gmail.com</t>
  </si>
  <si>
    <t>CUST00003225</t>
  </si>
  <si>
    <t>meghamishra@yahoo.com</t>
  </si>
  <si>
    <t>CUST00003226</t>
  </si>
  <si>
    <t>swatitiwari@outlook.com</t>
  </si>
  <si>
    <t>CUST00003227</t>
  </si>
  <si>
    <t>imranpathan@gmail.com</t>
  </si>
  <si>
    <t>CUST00003228</t>
  </si>
  <si>
    <t>nehayadav860@outlook.com</t>
  </si>
  <si>
    <t>CUST00003229</t>
  </si>
  <si>
    <t>riyaverma@gmail.com</t>
  </si>
  <si>
    <t>CUST00003230</t>
  </si>
  <si>
    <t>shreyayadav753@outlook.com</t>
  </si>
  <si>
    <t>CUST00003231</t>
  </si>
  <si>
    <t>CUST00003232</t>
  </si>
  <si>
    <t>CUST00003233</t>
  </si>
  <si>
    <t>rahulshah@outlook.com</t>
  </si>
  <si>
    <t>CUST00003234</t>
  </si>
  <si>
    <t>abhisheknair906@gmail.com</t>
  </si>
  <si>
    <t>CUST00003235</t>
  </si>
  <si>
    <t>ayeshapathan126@yahoo.com</t>
  </si>
  <si>
    <t>CUST00003236</t>
  </si>
  <si>
    <t>poojamishra599@outlook.com</t>
  </si>
  <si>
    <t>CUST00003237</t>
  </si>
  <si>
    <t>swatitiwari767@outlook.com</t>
  </si>
  <si>
    <t>CUST00003238</t>
  </si>
  <si>
    <t>nikhilagarwal434@gmail.com</t>
  </si>
  <si>
    <t>CUST00003239</t>
  </si>
  <si>
    <t>farhanmirza180@gmail.com</t>
  </si>
  <si>
    <t>CUST00003240</t>
  </si>
  <si>
    <t>ananyapatel@yahoo.com</t>
  </si>
  <si>
    <t>CUST00003241</t>
  </si>
  <si>
    <t>preetikumar884@outlook.com</t>
  </si>
  <si>
    <t>CUST00003242</t>
  </si>
  <si>
    <t>vikasnair547@yahoo.com</t>
  </si>
  <si>
    <t>CUST00003243</t>
  </si>
  <si>
    <t>CUST00003244</t>
  </si>
  <si>
    <t>aadhyamehta434@yahoo.com</t>
  </si>
  <si>
    <t>CUST00003245</t>
  </si>
  <si>
    <t>nishanair@yahoo.com</t>
  </si>
  <si>
    <t>CUST00003246</t>
  </si>
  <si>
    <t>zaraahmed@gmail.com</t>
  </si>
  <si>
    <t>CUST00003247</t>
  </si>
  <si>
    <t>rajjoshi733@yahoo.com</t>
  </si>
  <si>
    <t>CUST00003248</t>
  </si>
  <si>
    <t>ananyasingh@gmail.com</t>
  </si>
  <si>
    <t>CUST00003249</t>
  </si>
  <si>
    <t>Aamir Ali</t>
  </si>
  <si>
    <t>aamirali@outlook.com</t>
  </si>
  <si>
    <t>CUST00003250</t>
  </si>
  <si>
    <t>salmankhan758@outlook.com</t>
  </si>
  <si>
    <t>CUST00003251</t>
  </si>
  <si>
    <t>shreyaagarwal@gmail.com</t>
  </si>
  <si>
    <t>CUST00003252</t>
  </si>
  <si>
    <t>CUST00003253</t>
  </si>
  <si>
    <t>sureshgupta566@yahoo.com</t>
  </si>
  <si>
    <t>CUST00003254</t>
  </si>
  <si>
    <t>meghamehta982@outlook.com</t>
  </si>
  <si>
    <t>CUST00003255</t>
  </si>
  <si>
    <t>simranreddy832@outlook.com</t>
  </si>
  <si>
    <t>CUST00003256</t>
  </si>
  <si>
    <t>adityaiyer888@gmail.com</t>
  </si>
  <si>
    <t>CUST00003257</t>
  </si>
  <si>
    <t>arifsiddiqui@yahoo.com</t>
  </si>
  <si>
    <t>CUST00003258</t>
  </si>
  <si>
    <t>gauravverma984@yahoo.com</t>
  </si>
  <si>
    <t>CUST00003259</t>
  </si>
  <si>
    <t>CUST00003260</t>
  </si>
  <si>
    <t>hassanpathan959@gmail.com</t>
  </si>
  <si>
    <t>CUST00003261</t>
  </si>
  <si>
    <t>Rajesh Sharma</t>
  </si>
  <si>
    <t>rajeshsharma881@gmail.com</t>
  </si>
  <si>
    <t>CUST00003262</t>
  </si>
  <si>
    <t>CUST00003263</t>
  </si>
  <si>
    <t>divyapatel832@outlook.com</t>
  </si>
  <si>
    <t>CUST00003264</t>
  </si>
  <si>
    <t>rohaniyer35@yahoo.com</t>
  </si>
  <si>
    <t>CUST00003265</t>
  </si>
  <si>
    <t>Omar Malik</t>
  </si>
  <si>
    <t>omarmalik@yahoo.com</t>
  </si>
  <si>
    <t>CUST00003266</t>
  </si>
  <si>
    <t>nehaverma423@yahoo.com</t>
  </si>
  <si>
    <t>CUST00003267</t>
  </si>
  <si>
    <t>CUST00003268</t>
  </si>
  <si>
    <t>khalidahmed@outlook.com</t>
  </si>
  <si>
    <t>CUST00003269</t>
  </si>
  <si>
    <t>Abhishek Reddy</t>
  </si>
  <si>
    <t>abhishekreddy68@yahoo.com</t>
  </si>
  <si>
    <t>CUST00003270</t>
  </si>
  <si>
    <t>yashiyer747@outlook.com</t>
  </si>
  <si>
    <t>CUST00003271</t>
  </si>
  <si>
    <t>CUST00003272</t>
  </si>
  <si>
    <t>rashidansari@gmail.com</t>
  </si>
  <si>
    <t>CUST00003273</t>
  </si>
  <si>
    <t>CUST00003274</t>
  </si>
  <si>
    <t>amandeepsandhu@outlook.com</t>
  </si>
  <si>
    <t>CUST00003275</t>
  </si>
  <si>
    <t>arjunyadav411@gmail.com</t>
  </si>
  <si>
    <t>CUST00003276</t>
  </si>
  <si>
    <t>harleensandhu@yahoo.com</t>
  </si>
  <si>
    <t>CUST00003277</t>
  </si>
  <si>
    <t>harshtiwari114@gmail.com</t>
  </si>
  <si>
    <t>CUST00003278</t>
  </si>
  <si>
    <t>abhisheknair731@outlook.com</t>
  </si>
  <si>
    <t>CUST00003279</t>
  </si>
  <si>
    <t>rajeshshah@outlook.com</t>
  </si>
  <si>
    <t>CUST00003280</t>
  </si>
  <si>
    <t>harleenbrar@yahoo.com</t>
  </si>
  <si>
    <t>CUST00003281</t>
  </si>
  <si>
    <t>gauravnair895@outlook.com</t>
  </si>
  <si>
    <t>CUST00003282</t>
  </si>
  <si>
    <t>nehaverma178@outlook.com</t>
  </si>
  <si>
    <t>CUST00003283</t>
  </si>
  <si>
    <t>akashshah336@yahoo.com</t>
  </si>
  <si>
    <t>CUST00003284</t>
  </si>
  <si>
    <t>aadhyatiwari425@yahoo.com</t>
  </si>
  <si>
    <t>CUST00003285</t>
  </si>
  <si>
    <t>akashtiwari898@yahoo.com</t>
  </si>
  <si>
    <t>CUST00003286</t>
  </si>
  <si>
    <t>CUST00003287</t>
  </si>
  <si>
    <t>imranahmed971@gmail.com</t>
  </si>
  <si>
    <t>CUST00003288</t>
  </si>
  <si>
    <t>sureshyadav@outlook.com</t>
  </si>
  <si>
    <t>CUST00003289</t>
  </si>
  <si>
    <t>CUST00003290</t>
  </si>
  <si>
    <t>CUST00003291</t>
  </si>
  <si>
    <t>rohanshah719@gmail.com</t>
  </si>
  <si>
    <t>CUST00003292</t>
  </si>
  <si>
    <t>shreyatiwari633@yahoo.com</t>
  </si>
  <si>
    <t>CUST00003293</t>
  </si>
  <si>
    <t>CUST00003294</t>
  </si>
  <si>
    <t>rahulpandey377@gmail.com</t>
  </si>
  <si>
    <t>CUST00003295</t>
  </si>
  <si>
    <t>CUST00003296</t>
  </si>
  <si>
    <t>rohankulkarni539@yahoo.com</t>
  </si>
  <si>
    <t>CUST00003297</t>
  </si>
  <si>
    <t>CUST00003298</t>
  </si>
  <si>
    <t>nishaiyer@yahoo.com</t>
  </si>
  <si>
    <t>CUST00003299</t>
  </si>
  <si>
    <t>priyanair731@gmail.com</t>
  </si>
  <si>
    <t>CUST00003300</t>
  </si>
  <si>
    <t>vikaskulkarni883@yahoo.com</t>
  </si>
  <si>
    <t>CUST00003301</t>
  </si>
  <si>
    <t>riyanair507@yahoo.com</t>
  </si>
  <si>
    <t>CUST00003302</t>
  </si>
  <si>
    <t>adityareddy877@gmail.com</t>
  </si>
  <si>
    <t>CUST00003303</t>
  </si>
  <si>
    <t>priyashah@yahoo.com</t>
  </si>
  <si>
    <t>CUST00003304</t>
  </si>
  <si>
    <t>meghayadav@gmail.com</t>
  </si>
  <si>
    <t>CUST00003305</t>
  </si>
  <si>
    <t>ahmedmalik419@gmail.com</t>
  </si>
  <si>
    <t>CUST00003306</t>
  </si>
  <si>
    <t>riyareddy269@gmail.com</t>
  </si>
  <si>
    <t>CUST00003307</t>
  </si>
  <si>
    <t>simranmehta@gmail.com</t>
  </si>
  <si>
    <t>CUST00003308</t>
  </si>
  <si>
    <t>rajjoshi701@outlook.com</t>
  </si>
  <si>
    <t>CUST00003309</t>
  </si>
  <si>
    <t>akashkumar11@yahoo.com</t>
  </si>
  <si>
    <t>CUST00003310</t>
  </si>
  <si>
    <t>karanmishra332@outlook.com</t>
  </si>
  <si>
    <t>CUST00003311</t>
  </si>
  <si>
    <t>aadhyakumar218@outlook.com</t>
  </si>
  <si>
    <t>CUST00003312</t>
  </si>
  <si>
    <t>poojaagarwal434@outlook.com</t>
  </si>
  <si>
    <t>CUST00003313</t>
  </si>
  <si>
    <t>abhishekagarwal75@gmail.com</t>
  </si>
  <si>
    <t>CUST00003314</t>
  </si>
  <si>
    <t>priyamehta54@yahoo.com</t>
  </si>
  <si>
    <t>CUST00003315</t>
  </si>
  <si>
    <t>shreyareddy@yahoo.com</t>
  </si>
  <si>
    <t>CUST00003316</t>
  </si>
  <si>
    <t>zainpathan@outlook.com</t>
  </si>
  <si>
    <t>CUST00003317</t>
  </si>
  <si>
    <t>CUST00003318</t>
  </si>
  <si>
    <t>simranverma@gmail.com</t>
  </si>
  <si>
    <t>CUST00003319</t>
  </si>
  <si>
    <t>aliyasiddiqui517@outlook.com</t>
  </si>
  <si>
    <t>CUST00003320</t>
  </si>
  <si>
    <t>aadhyakulkarni405@outlook.com</t>
  </si>
  <si>
    <t>CUST00003321</t>
  </si>
  <si>
    <t>priyasingh992@outlook.com</t>
  </si>
  <si>
    <t>CUST00003322</t>
  </si>
  <si>
    <t>Sandeep Dhillon</t>
  </si>
  <si>
    <t>sandeepdhillon184@yahoo.com</t>
  </si>
  <si>
    <t>CUST00003323</t>
  </si>
  <si>
    <t>gauravkulkarni505@yahoo.com</t>
  </si>
  <si>
    <t>CUST00003324</t>
  </si>
  <si>
    <t>CUST00003325</t>
  </si>
  <si>
    <t>arjungupta728@outlook.com</t>
  </si>
  <si>
    <t>CUST00003326</t>
  </si>
  <si>
    <t>navjotdhillon267@gmail.com</t>
  </si>
  <si>
    <t>CUST00003327</t>
  </si>
  <si>
    <t>vikaspandey131@yahoo.com</t>
  </si>
  <si>
    <t>CUST00003328</t>
  </si>
  <si>
    <t>CUST00003329</t>
  </si>
  <si>
    <t>CUST00003330</t>
  </si>
  <si>
    <t>yashshah898@yahoo.com</t>
  </si>
  <si>
    <t>CUST00003331</t>
  </si>
  <si>
    <t>CUST00003332</t>
  </si>
  <si>
    <t>aminaahmed447@gmail.com</t>
  </si>
  <si>
    <t>CUST00003333</t>
  </si>
  <si>
    <t>aliyapathan504@gmail.com</t>
  </si>
  <si>
    <t>CUST00003334</t>
  </si>
  <si>
    <t>aliyakhan946@outlook.com</t>
  </si>
  <si>
    <t>CUST00003335</t>
  </si>
  <si>
    <t>vishalsharma@yahoo.com</t>
  </si>
  <si>
    <t>CUST00003336</t>
  </si>
  <si>
    <t>amitpatel153@gmail.com</t>
  </si>
  <si>
    <t>CUST00003337</t>
  </si>
  <si>
    <t>Harpreet Kaur</t>
  </si>
  <si>
    <t>harpreetkaur37@yahoo.com</t>
  </si>
  <si>
    <t>CUST00003338</t>
  </si>
  <si>
    <t>meghamehta723@yahoo.com</t>
  </si>
  <si>
    <t>CUST00003339</t>
  </si>
  <si>
    <t>hinamirza917@yahoo.com</t>
  </si>
  <si>
    <t>CUST00003340</t>
  </si>
  <si>
    <t>sanakhan366@outlook.com</t>
  </si>
  <si>
    <t>CUST00003341</t>
  </si>
  <si>
    <t>salmanrahman469@yahoo.com</t>
  </si>
  <si>
    <t>CUST00003342</t>
  </si>
  <si>
    <t>harpreetkaur738@gmail.com</t>
  </si>
  <si>
    <t>CUST00003343</t>
  </si>
  <si>
    <t>Mohammad Mirza</t>
  </si>
  <si>
    <t>mohammadmirza96@gmail.com</t>
  </si>
  <si>
    <t>CUST00003344</t>
  </si>
  <si>
    <t>CUST00003345</t>
  </si>
  <si>
    <t>CUST00003346</t>
  </si>
  <si>
    <t>riyaverma280@outlook.com</t>
  </si>
  <si>
    <t>CUST00003347</t>
  </si>
  <si>
    <t>CUST00003348</t>
  </si>
  <si>
    <t>riyajoshi995@gmail.com</t>
  </si>
  <si>
    <t>CUST00003349</t>
  </si>
  <si>
    <t>arjungupta585@gmail.com</t>
  </si>
  <si>
    <t>CUST00003350</t>
  </si>
  <si>
    <t>harshshah79@gmail.com</t>
  </si>
  <si>
    <t>CUST00003351</t>
  </si>
  <si>
    <t>aminaahmed@outlook.com</t>
  </si>
  <si>
    <t>CUST00003352</t>
  </si>
  <si>
    <t>vishalnair337@gmail.com</t>
  </si>
  <si>
    <t>CUST00003353</t>
  </si>
  <si>
    <t>kavyaverma697@gmail.com</t>
  </si>
  <si>
    <t>CUST00003354</t>
  </si>
  <si>
    <t>aaravmishra605@gmail.com</t>
  </si>
  <si>
    <t>CUST00003355</t>
  </si>
  <si>
    <t>harshtiwari@gmail.com</t>
  </si>
  <si>
    <t>CUST00003356</t>
  </si>
  <si>
    <t>anjalijoshi472@outlook.com</t>
  </si>
  <si>
    <t>CUST00003357</t>
  </si>
  <si>
    <t>CUST00003358</t>
  </si>
  <si>
    <t>CUST00003359</t>
  </si>
  <si>
    <t>preetikulkarni6@yahoo.com</t>
  </si>
  <si>
    <t>CUST00003360</t>
  </si>
  <si>
    <t>jasleenbrar@outlook.com</t>
  </si>
  <si>
    <t>CUST00003361</t>
  </si>
  <si>
    <t>CUST00003362</t>
  </si>
  <si>
    <t>nehanair750@outlook.com</t>
  </si>
  <si>
    <t>CUST00003363</t>
  </si>
  <si>
    <t>meghareddy@outlook.com</t>
  </si>
  <si>
    <t>CUST00003364</t>
  </si>
  <si>
    <t>nehasharma884@gmail.com</t>
  </si>
  <si>
    <t>CUST00003365</t>
  </si>
  <si>
    <t>CUST00003366</t>
  </si>
  <si>
    <t>arjunsingh57@outlook.com</t>
  </si>
  <si>
    <t>CUST00003367</t>
  </si>
  <si>
    <t>farahsiddiqui975@outlook.com</t>
  </si>
  <si>
    <t>CUST00003368</t>
  </si>
  <si>
    <t>vikaspatel409@yahoo.com</t>
  </si>
  <si>
    <t>CUST00003369</t>
  </si>
  <si>
    <t>tariqsiddiqui989@yahoo.com</t>
  </si>
  <si>
    <t>CUST00003370</t>
  </si>
  <si>
    <t>meghakumar873@gmail.com</t>
  </si>
  <si>
    <t>CUST00003371</t>
  </si>
  <si>
    <t>poojasharma799@yahoo.com</t>
  </si>
  <si>
    <t>CUST00003372</t>
  </si>
  <si>
    <t>akashpandey771@outlook.com</t>
  </si>
  <si>
    <t>CUST00003373</t>
  </si>
  <si>
    <t>jaspreetgrewal306@yahoo.com</t>
  </si>
  <si>
    <t>CUST00003374</t>
  </si>
  <si>
    <t>anjalipandey@outlook.com</t>
  </si>
  <si>
    <t>CUST00003375</t>
  </si>
  <si>
    <t>nikhiliyer@yahoo.com</t>
  </si>
  <si>
    <t>CUST00003376</t>
  </si>
  <si>
    <t>CUST00003377</t>
  </si>
  <si>
    <t>omaransari682@gmail.com</t>
  </si>
  <si>
    <t>CUST00003378</t>
  </si>
  <si>
    <t>aliyaansari@outlook.com</t>
  </si>
  <si>
    <t>CUST00003379</t>
  </si>
  <si>
    <t>abhishekreddy457@yahoo.com</t>
  </si>
  <si>
    <t>CUST00003380</t>
  </si>
  <si>
    <t>aminaali577@outlook.com</t>
  </si>
  <si>
    <t>CUST00003381</t>
  </si>
  <si>
    <t>divyasharma775@yahoo.com</t>
  </si>
  <si>
    <t>CUST00003382</t>
  </si>
  <si>
    <t>CUST00003383</t>
  </si>
  <si>
    <t>abhishekagarwal646@yahoo.com</t>
  </si>
  <si>
    <t>CUST00003384</t>
  </si>
  <si>
    <t>karanyadav526@yahoo.com</t>
  </si>
  <si>
    <t>CUST00003385</t>
  </si>
  <si>
    <t>yashsharma@outlook.com</t>
  </si>
  <si>
    <t>CUST00003386</t>
  </si>
  <si>
    <t>nehakumar703@outlook.com</t>
  </si>
  <si>
    <t>CUST00003387</t>
  </si>
  <si>
    <t>anjaliyadav508@outlook.com</t>
  </si>
  <si>
    <t>CUST00003388</t>
  </si>
  <si>
    <t>priyajoshi@outlook.com</t>
  </si>
  <si>
    <t>CUST00003389</t>
  </si>
  <si>
    <t>anjalishah480@yahoo.com</t>
  </si>
  <si>
    <t>CUST00003390</t>
  </si>
  <si>
    <t>sureshjoshi821@yahoo.com</t>
  </si>
  <si>
    <t>CUST00003391</t>
  </si>
  <si>
    <t>rohankumar131@outlook.com</t>
  </si>
  <si>
    <t>CUST00003392</t>
  </si>
  <si>
    <t>CUST00003393</t>
  </si>
  <si>
    <t>divyajoshi303@outlook.com</t>
  </si>
  <si>
    <t>CUST00003394</t>
  </si>
  <si>
    <t>simraniyer79@gmail.com</t>
  </si>
  <si>
    <t>CUST00003395</t>
  </si>
  <si>
    <t>salmanahmed523@yahoo.com</t>
  </si>
  <si>
    <t>CUST00003396</t>
  </si>
  <si>
    <t>kavyajoshi476@outlook.com</t>
  </si>
  <si>
    <t>CUST00003397</t>
  </si>
  <si>
    <t>CUST00003398</t>
  </si>
  <si>
    <t>ananyapandey600@gmail.com</t>
  </si>
  <si>
    <t>CUST00003399</t>
  </si>
  <si>
    <t>CUST00003400</t>
  </si>
  <si>
    <t>ananyatiwari678@yahoo.com</t>
  </si>
  <si>
    <t>CUST00003401</t>
  </si>
  <si>
    <t>amitshah187@yahoo.com</t>
  </si>
  <si>
    <t>CUST00003402</t>
  </si>
  <si>
    <t>yashsingh427@outlook.com</t>
  </si>
  <si>
    <t>CUST00003403</t>
  </si>
  <si>
    <t>rajjoshi602@outlook.com</t>
  </si>
  <si>
    <t>CUST00003404</t>
  </si>
  <si>
    <t>akashreddy687@yahoo.com</t>
  </si>
  <si>
    <t>CUST00003405</t>
  </si>
  <si>
    <t>adityatiwari@yahoo.com</t>
  </si>
  <si>
    <t>CUST00003406</t>
  </si>
  <si>
    <t>harshnair941@gmail.com</t>
  </si>
  <si>
    <t>CUST00003407</t>
  </si>
  <si>
    <t>vishalsharma81@outlook.com</t>
  </si>
  <si>
    <t>CUST00003408</t>
  </si>
  <si>
    <t>sureshsingh@yahoo.com</t>
  </si>
  <si>
    <t>CUST00003409</t>
  </si>
  <si>
    <t>CUST00003410</t>
  </si>
  <si>
    <t>saifahmed19@gmail.com</t>
  </si>
  <si>
    <t>CUST00003411</t>
  </si>
  <si>
    <t>aadhyaiyer14@gmail.com</t>
  </si>
  <si>
    <t>CUST00003412</t>
  </si>
  <si>
    <t>kavyayadav@yahoo.com</t>
  </si>
  <si>
    <t>CUST00003413</t>
  </si>
  <si>
    <t>swatireddy@outlook.com</t>
  </si>
  <si>
    <t>CUST00003414</t>
  </si>
  <si>
    <t>aadhyakumar@outlook.com</t>
  </si>
  <si>
    <t>CUST00003415</t>
  </si>
  <si>
    <t>karanyadav@yahoo.com</t>
  </si>
  <si>
    <t>CUST00003416</t>
  </si>
  <si>
    <t>CUST00003417</t>
  </si>
  <si>
    <t>zainpathan690@outlook.com</t>
  </si>
  <si>
    <t>CUST00003418</t>
  </si>
  <si>
    <t>CUST00003419</t>
  </si>
  <si>
    <t>aaravsharma139@gmail.com</t>
  </si>
  <si>
    <t>CUST00003420</t>
  </si>
  <si>
    <t>Rajesh Gupta</t>
  </si>
  <si>
    <t>rajeshgupta836@gmail.com</t>
  </si>
  <si>
    <t>CUST00003421</t>
  </si>
  <si>
    <t>CUST00003422</t>
  </si>
  <si>
    <t>amitkumar@gmail.com</t>
  </si>
  <si>
    <t>CUST00003423</t>
  </si>
  <si>
    <t>meghakulkarni149@outlook.com</t>
  </si>
  <si>
    <t>CUST00003424</t>
  </si>
  <si>
    <t>Hina Ansari</t>
  </si>
  <si>
    <t>hinaansari863@outlook.com</t>
  </si>
  <si>
    <t>CUST00003425</t>
  </si>
  <si>
    <t>riyareddy@outlook.com</t>
  </si>
  <si>
    <t>CUST00003426</t>
  </si>
  <si>
    <t>gurleengrewal309@yahoo.com</t>
  </si>
  <si>
    <t>CUST00003427</t>
  </si>
  <si>
    <t>karankulkarni433@gmail.com</t>
  </si>
  <si>
    <t>CUST00003428</t>
  </si>
  <si>
    <t>amitpandey925@gmail.com</t>
  </si>
  <si>
    <t>CUST00003429</t>
  </si>
  <si>
    <t>CUST00003430</t>
  </si>
  <si>
    <t>CUST00003431</t>
  </si>
  <si>
    <t>aishamalik461@outlook.com</t>
  </si>
  <si>
    <t>CUST00003432</t>
  </si>
  <si>
    <t>priyajoshi302@outlook.com</t>
  </si>
  <si>
    <t>CUST00003433</t>
  </si>
  <si>
    <t>Harsh Verma</t>
  </si>
  <si>
    <t>harshverma@yahoo.com</t>
  </si>
  <si>
    <t>CUST00003434</t>
  </si>
  <si>
    <t>abhishekreddy9@gmail.com</t>
  </si>
  <si>
    <t>CUST00003435</t>
  </si>
  <si>
    <t>gurleensingh@outlook.com</t>
  </si>
  <si>
    <t>CUST00003436</t>
  </si>
  <si>
    <t>akashmishra426@yahoo.com</t>
  </si>
  <si>
    <t>CUST00003437</t>
  </si>
  <si>
    <t>ayesharahman@outlook.com</t>
  </si>
  <si>
    <t>CUST00003438</t>
  </si>
  <si>
    <t>CUST00003439</t>
  </si>
  <si>
    <t>meghaagarwal410@yahoo.com</t>
  </si>
  <si>
    <t>CUST00003440</t>
  </si>
  <si>
    <t>jasleengrewal743@outlook.com</t>
  </si>
  <si>
    <t>CUST00003441</t>
  </si>
  <si>
    <t>Arif Malik</t>
  </si>
  <si>
    <t>arifmalik@yahoo.com</t>
  </si>
  <si>
    <t>CUST00003442</t>
  </si>
  <si>
    <t>fatimasheikh63@outlook.com</t>
  </si>
  <si>
    <t>CUST00003443</t>
  </si>
  <si>
    <t>nishanair591@yahoo.com</t>
  </si>
  <si>
    <t>CUST00003444</t>
  </si>
  <si>
    <t>akashjoshi275@outlook.com</t>
  </si>
  <si>
    <t>CUST00003445</t>
  </si>
  <si>
    <t>priyasingh485@gmail.com</t>
  </si>
  <si>
    <t>CUST00003446</t>
  </si>
  <si>
    <t>karangupta962@outlook.com</t>
  </si>
  <si>
    <t>CUST00003447</t>
  </si>
  <si>
    <t>nishakumar715@yahoo.com</t>
  </si>
  <si>
    <t>CUST00003448</t>
  </si>
  <si>
    <t>divyamishra295@outlook.com</t>
  </si>
  <si>
    <t>CUST00003449</t>
  </si>
  <si>
    <t>aaravmishra353@yahoo.com</t>
  </si>
  <si>
    <t>CUST00003450</t>
  </si>
  <si>
    <t>ananyaagarwal225@outlook.com</t>
  </si>
  <si>
    <t>CUST00003451</t>
  </si>
  <si>
    <t>riyayadav@yahoo.com</t>
  </si>
  <si>
    <t>CUST00003452</t>
  </si>
  <si>
    <t>akashshah@outlook.com</t>
  </si>
  <si>
    <t>CUST00003453</t>
  </si>
  <si>
    <t>CUST00003454</t>
  </si>
  <si>
    <t>CUST00003455</t>
  </si>
  <si>
    <t>CUST00003456</t>
  </si>
  <si>
    <t>rajeshkulkarni@outlook.com</t>
  </si>
  <si>
    <t>CUST00003457</t>
  </si>
  <si>
    <t>akashsingh@yahoo.com</t>
  </si>
  <si>
    <t>CUST00003458</t>
  </si>
  <si>
    <t>CUST00003459</t>
  </si>
  <si>
    <t>CUST00003460</t>
  </si>
  <si>
    <t>CUST00003461</t>
  </si>
  <si>
    <t>CUST00003462</t>
  </si>
  <si>
    <t>priyakulkarni161@outlook.com</t>
  </si>
  <si>
    <t>CUST00003463</t>
  </si>
  <si>
    <t>gurpreetbrar813@yahoo.com</t>
  </si>
  <si>
    <t>CUST00003464</t>
  </si>
  <si>
    <t>CUST00003465</t>
  </si>
  <si>
    <t>akashmehta215@outlook.com</t>
  </si>
  <si>
    <t>CUST00003466</t>
  </si>
  <si>
    <t>harshmehta19@yahoo.com</t>
  </si>
  <si>
    <t>CUST00003467</t>
  </si>
  <si>
    <t>ananyaiyer@yahoo.com</t>
  </si>
  <si>
    <t>CUST00003468</t>
  </si>
  <si>
    <t>vikasiyer@gmail.com</t>
  </si>
  <si>
    <t>CUST00003469</t>
  </si>
  <si>
    <t>CUST00003470</t>
  </si>
  <si>
    <t>imrankhan66@yahoo.com</t>
  </si>
  <si>
    <t>CUST00003471</t>
  </si>
  <si>
    <t>rajjoshi633@gmail.com</t>
  </si>
  <si>
    <t>CUST00003472</t>
  </si>
  <si>
    <t>rajeshjoshi230@yahoo.com</t>
  </si>
  <si>
    <t>CUST00003473</t>
  </si>
  <si>
    <t>harleensingh349@yahoo.com</t>
  </si>
  <si>
    <t>CUST00003474</t>
  </si>
  <si>
    <t>Sandeep Singh</t>
  </si>
  <si>
    <t>sandeepsingh@outlook.com</t>
  </si>
  <si>
    <t>CUST00003475</t>
  </si>
  <si>
    <t>ananyareddy155@outlook.com</t>
  </si>
  <si>
    <t>CUST00003476</t>
  </si>
  <si>
    <t>CUST00003477</t>
  </si>
  <si>
    <t>CUST00003478</t>
  </si>
  <si>
    <t>Imran Malik</t>
  </si>
  <si>
    <t>imranmalik969@yahoo.com</t>
  </si>
  <si>
    <t>CUST00003479</t>
  </si>
  <si>
    <t>CUST00003480</t>
  </si>
  <si>
    <t>CUST00003481</t>
  </si>
  <si>
    <t>CUST00003482</t>
  </si>
  <si>
    <t>CUST00003483</t>
  </si>
  <si>
    <t>vikasshah172@outlook.com</t>
  </si>
  <si>
    <t>CUST00003484</t>
  </si>
  <si>
    <t>zararahman211@yahoo.com</t>
  </si>
  <si>
    <t>CUST00003485</t>
  </si>
  <si>
    <t>meghakumar300@outlook.com</t>
  </si>
  <si>
    <t>CUST00003486</t>
  </si>
  <si>
    <t>abhishektiwari519@yahoo.com</t>
  </si>
  <si>
    <t>CUST00003487</t>
  </si>
  <si>
    <t>swatimehta@gmail.com</t>
  </si>
  <si>
    <t>CUST00003488</t>
  </si>
  <si>
    <t>ananyareddy373@yahoo.com</t>
  </si>
  <si>
    <t>CUST00003489</t>
  </si>
  <si>
    <t>CUST00003490</t>
  </si>
  <si>
    <t>adityaagarwal@yahoo.com</t>
  </si>
  <si>
    <t>CUST00003491</t>
  </si>
  <si>
    <t>alipathan@gmail.com</t>
  </si>
  <si>
    <t>CUST00003492</t>
  </si>
  <si>
    <t>gauravsingh829@yahoo.com</t>
  </si>
  <si>
    <t>CUST00003493</t>
  </si>
  <si>
    <t>aaravmehta518@gmail.com</t>
  </si>
  <si>
    <t>CUST00003494</t>
  </si>
  <si>
    <t>farahali382@outlook.com</t>
  </si>
  <si>
    <t>CUST00003495</t>
  </si>
  <si>
    <t>simraniyer@yahoo.com</t>
  </si>
  <si>
    <t>CUST00003496</t>
  </si>
  <si>
    <t>nikhilmehta@gmail.com</t>
  </si>
  <si>
    <t>CUST00003497</t>
  </si>
  <si>
    <t>vishalsharma772@outlook.com</t>
  </si>
  <si>
    <t>CUST00003498</t>
  </si>
  <si>
    <t>hinaali234@gmail.com</t>
  </si>
  <si>
    <t>CUST00003499</t>
  </si>
  <si>
    <t>CUST00003500</t>
  </si>
  <si>
    <t>CUST00003501</t>
  </si>
  <si>
    <t>mohammadkhan@outlook.com</t>
  </si>
  <si>
    <t>CUST00003502</t>
  </si>
  <si>
    <t>CUST00003503</t>
  </si>
  <si>
    <t>CUST00003504</t>
  </si>
  <si>
    <t>priyaiyer11@outlook.com</t>
  </si>
  <si>
    <t>CUST00003505</t>
  </si>
  <si>
    <t>vishalmishra@gmail.com</t>
  </si>
  <si>
    <t>CUST00003506</t>
  </si>
  <si>
    <t>preetiverma323@yahoo.com</t>
  </si>
  <si>
    <t>CUST00003507</t>
  </si>
  <si>
    <t>karanagarwal@gmail.com</t>
  </si>
  <si>
    <t>CUST00003508</t>
  </si>
  <si>
    <t>anjalitiwari403@gmail.com</t>
  </si>
  <si>
    <t>CUST00003509</t>
  </si>
  <si>
    <t>nikhilshah@outlook.com</t>
  </si>
  <si>
    <t>CUST00003510</t>
  </si>
  <si>
    <t>rajagarwal589@gmail.com</t>
  </si>
  <si>
    <t>CUST00003511</t>
  </si>
  <si>
    <t>aadhyajoshi@outlook.com</t>
  </si>
  <si>
    <t>CUST00003512</t>
  </si>
  <si>
    <t>gauravgupta@outlook.com</t>
  </si>
  <si>
    <t>CUST00003513</t>
  </si>
  <si>
    <t>nikhilyadav@yahoo.com</t>
  </si>
  <si>
    <t>CUST00003514</t>
  </si>
  <si>
    <t>Jasleen Gill</t>
  </si>
  <si>
    <t>jasleengill698@outlook.com</t>
  </si>
  <si>
    <t>CUST00003515</t>
  </si>
  <si>
    <t>priyaverma312@outlook.com</t>
  </si>
  <si>
    <t>CUST00003516</t>
  </si>
  <si>
    <t>saifmirza@yahoo.com</t>
  </si>
  <si>
    <t>CUST00003517</t>
  </si>
  <si>
    <t>poojaagarwal287@outlook.com</t>
  </si>
  <si>
    <t>CUST00003518</t>
  </si>
  <si>
    <t>yashreddy@gmail.com</t>
  </si>
  <si>
    <t>CUST00003519</t>
  </si>
  <si>
    <t>CUST00003520</t>
  </si>
  <si>
    <t>CUST00003521</t>
  </si>
  <si>
    <t>shreyakumar@outlook.com</t>
  </si>
  <si>
    <t>CUST00003522</t>
  </si>
  <si>
    <t>karangupta@outlook.com</t>
  </si>
  <si>
    <t>CUST00003523</t>
  </si>
  <si>
    <t>preetiyadav832@outlook.com</t>
  </si>
  <si>
    <t>CUST00003524</t>
  </si>
  <si>
    <t>abhishektiwari203@yahoo.com</t>
  </si>
  <si>
    <t>CUST00003525</t>
  </si>
  <si>
    <t>zainmalik551@yahoo.com</t>
  </si>
  <si>
    <t>CUST00003526</t>
  </si>
  <si>
    <t>zainsheikh737@outlook.com</t>
  </si>
  <si>
    <t>CUST00003527</t>
  </si>
  <si>
    <t>CUST00003528</t>
  </si>
  <si>
    <t>riyaiyer@yahoo.com</t>
  </si>
  <si>
    <t>CUST00003529</t>
  </si>
  <si>
    <t>ananyaverma524@outlook.com</t>
  </si>
  <si>
    <t>CUST00003530</t>
  </si>
  <si>
    <t>Gurpreet Dhillon</t>
  </si>
  <si>
    <t>gurpreetdhillon349@outlook.com</t>
  </si>
  <si>
    <t>CUST00003531</t>
  </si>
  <si>
    <t>sureshreddy29@outlook.com</t>
  </si>
  <si>
    <t>CUST00003532</t>
  </si>
  <si>
    <t>sureshsingh248@yahoo.com</t>
  </si>
  <si>
    <t>CUST00003533</t>
  </si>
  <si>
    <t>nehayadav@outlook.com</t>
  </si>
  <si>
    <t>CUST00003534</t>
  </si>
  <si>
    <t>ananyanair62@yahoo.com</t>
  </si>
  <si>
    <t>CUST00003535</t>
  </si>
  <si>
    <t>aadhyamehta520@yahoo.com</t>
  </si>
  <si>
    <t>CUST00003536</t>
  </si>
  <si>
    <t>abhishekkulkarni775@outlook.com</t>
  </si>
  <si>
    <t>CUST00003537</t>
  </si>
  <si>
    <t>CUST00003538</t>
  </si>
  <si>
    <t>preetinair755@gmail.com</t>
  </si>
  <si>
    <t>CUST00003539</t>
  </si>
  <si>
    <t>simrandhillon242@outlook.com</t>
  </si>
  <si>
    <t>CUST00003540</t>
  </si>
  <si>
    <t>CUST00003541</t>
  </si>
  <si>
    <t>CUST00003542</t>
  </si>
  <si>
    <t>arjungupta@outlook.com</t>
  </si>
  <si>
    <t>CUST00003543</t>
  </si>
  <si>
    <t>priyapandey307@yahoo.com</t>
  </si>
  <si>
    <t>CUST00003544</t>
  </si>
  <si>
    <t>sanakhan@outlook.com</t>
  </si>
  <si>
    <t>CUST00003545</t>
  </si>
  <si>
    <t>aminaahmed144@outlook.com</t>
  </si>
  <si>
    <t>CUST00003546</t>
  </si>
  <si>
    <t>farahkhan756@gmail.com</t>
  </si>
  <si>
    <t>CUST00003547</t>
  </si>
  <si>
    <t>ananyajoshi529@outlook.com</t>
  </si>
  <si>
    <t>CUST00003548</t>
  </si>
  <si>
    <t>preetishah798@yahoo.com</t>
  </si>
  <si>
    <t>CUST00003549</t>
  </si>
  <si>
    <t>nehakumar151@outlook.com</t>
  </si>
  <si>
    <t>CUST00003550</t>
  </si>
  <si>
    <t>karanpandey422@gmail.com</t>
  </si>
  <si>
    <t>CUST00003551</t>
  </si>
  <si>
    <t>rahulagarwal436@gmail.com</t>
  </si>
  <si>
    <t>CUST00003552</t>
  </si>
  <si>
    <t>harshreddy457@gmail.com</t>
  </si>
  <si>
    <t>CUST00003553</t>
  </si>
  <si>
    <t>ananyapandey539@yahoo.com</t>
  </si>
  <si>
    <t>CUST00003554</t>
  </si>
  <si>
    <t>simrankulkarni532@yahoo.com</t>
  </si>
  <si>
    <t>CUST00003555</t>
  </si>
  <si>
    <t>vishalverma@outlook.com</t>
  </si>
  <si>
    <t>CUST00003556</t>
  </si>
  <si>
    <t>preetipandey434@yahoo.com</t>
  </si>
  <si>
    <t>CUST00003557</t>
  </si>
  <si>
    <t>aadhyakulkarni@yahoo.com</t>
  </si>
  <si>
    <t>CUST00003558</t>
  </si>
  <si>
    <t>fatimasiddiqui@yahoo.com</t>
  </si>
  <si>
    <t>CUST00003559</t>
  </si>
  <si>
    <t>swatipatel@gmail.com</t>
  </si>
  <si>
    <t>CUST00003560</t>
  </si>
  <si>
    <t>vikasverma497@outlook.com</t>
  </si>
  <si>
    <t>CUST00003561</t>
  </si>
  <si>
    <t>aminasheikh992@outlook.com</t>
  </si>
  <si>
    <t>CUST00003562</t>
  </si>
  <si>
    <t>poojatiwari542@gmail.com</t>
  </si>
  <si>
    <t>CUST00003563</t>
  </si>
  <si>
    <t>CUST00003564</t>
  </si>
  <si>
    <t>sureshkulkarni765@gmail.com</t>
  </si>
  <si>
    <t>CUST00003565</t>
  </si>
  <si>
    <t>preetiagarwal@yahoo.com</t>
  </si>
  <si>
    <t>CUST00003566</t>
  </si>
  <si>
    <t>jasleensingh@gmail.com</t>
  </si>
  <si>
    <t>CUST00003567</t>
  </si>
  <si>
    <t>CUST00003568</t>
  </si>
  <si>
    <t>anjalitiwari379@outlook.com</t>
  </si>
  <si>
    <t>CUST00003569</t>
  </si>
  <si>
    <t>ayeshaali536@gmail.com</t>
  </si>
  <si>
    <t>CUST00003570</t>
  </si>
  <si>
    <t>preetiagarwal313@yahoo.com</t>
  </si>
  <si>
    <t>CUST00003571</t>
  </si>
  <si>
    <t>aminaahmed498@gmail.com</t>
  </si>
  <si>
    <t>CUST00003572</t>
  </si>
  <si>
    <t>CUST00003573</t>
  </si>
  <si>
    <t>mohammadpathan@yahoo.com</t>
  </si>
  <si>
    <t>CUST00003574</t>
  </si>
  <si>
    <t>farahrahman916@yahoo.com</t>
  </si>
  <si>
    <t>CUST00003575</t>
  </si>
  <si>
    <t>sanarahman@gmail.com</t>
  </si>
  <si>
    <t>CUST00003576</t>
  </si>
  <si>
    <t>shreyapandey758@yahoo.com</t>
  </si>
  <si>
    <t>CUST00003577</t>
  </si>
  <si>
    <t>preetireddy561@yahoo.com</t>
  </si>
  <si>
    <t>CUST00003578</t>
  </si>
  <si>
    <t>aamirrahman46@yahoo.com</t>
  </si>
  <si>
    <t>CUST00003579</t>
  </si>
  <si>
    <t>salmanansari318@outlook.com</t>
  </si>
  <si>
    <t>CUST00003580</t>
  </si>
  <si>
    <t>shreyayadav346@yahoo.com</t>
  </si>
  <si>
    <t>CUST00003581</t>
  </si>
  <si>
    <t>vikasreddy738@outlook.com</t>
  </si>
  <si>
    <t>CUST00003582</t>
  </si>
  <si>
    <t>omarali142@outlook.com</t>
  </si>
  <si>
    <t>CUST00003583</t>
  </si>
  <si>
    <t>Ali Mirza</t>
  </si>
  <si>
    <t>alimirza@yahoo.com</t>
  </si>
  <si>
    <t>CUST00003584</t>
  </si>
  <si>
    <t>priyaagarwal@gmail.com</t>
  </si>
  <si>
    <t>CUST00003585</t>
  </si>
  <si>
    <t>CUST00003586</t>
  </si>
  <si>
    <t>shreyaagarwal640@outlook.com</t>
  </si>
  <si>
    <t>CUST00003587</t>
  </si>
  <si>
    <t>abhishekyadav@yahoo.com</t>
  </si>
  <si>
    <t>CUST00003588</t>
  </si>
  <si>
    <t>nikhilmishra405@yahoo.com</t>
  </si>
  <si>
    <t>CUST00003589</t>
  </si>
  <si>
    <t>jasleensandhu982@outlook.com</t>
  </si>
  <si>
    <t>CUST00003590</t>
  </si>
  <si>
    <t>adityakumar@outlook.com</t>
  </si>
  <si>
    <t>CUST00003591</t>
  </si>
  <si>
    <t>aaravgupta91@gmail.com</t>
  </si>
  <si>
    <t>CUST00003592</t>
  </si>
  <si>
    <t>CUST00003593</t>
  </si>
  <si>
    <t>CUST00003594</t>
  </si>
  <si>
    <t>nidasheikh661@gmail.com</t>
  </si>
  <si>
    <t>CUST00003595</t>
  </si>
  <si>
    <t>kavyamehta@gmail.com</t>
  </si>
  <si>
    <t>CUST00003596</t>
  </si>
  <si>
    <t>karanverma634@outlook.com</t>
  </si>
  <si>
    <t>CUST00003597</t>
  </si>
  <si>
    <t>rajeshsingh55@outlook.com</t>
  </si>
  <si>
    <t>CUST00003598</t>
  </si>
  <si>
    <t>rajsharma769@yahoo.com</t>
  </si>
  <si>
    <t>CUST00003599</t>
  </si>
  <si>
    <t>aaravsingh20@gmail.com</t>
  </si>
  <si>
    <t>CUST00003600</t>
  </si>
  <si>
    <t>Saif Rahman</t>
  </si>
  <si>
    <t>saifrahman@outlook.com</t>
  </si>
  <si>
    <t>CUST00003601</t>
  </si>
  <si>
    <t>rajsingh20@yahoo.com</t>
  </si>
  <si>
    <t>CUST00003602</t>
  </si>
  <si>
    <t>CUST00003603</t>
  </si>
  <si>
    <t>CUST00003604</t>
  </si>
  <si>
    <t>shreyagupta827@outlook.com</t>
  </si>
  <si>
    <t>CUST00003605</t>
  </si>
  <si>
    <t>rohanpandey@yahoo.com</t>
  </si>
  <si>
    <t>CUST00003606</t>
  </si>
  <si>
    <t>ananyatiwari504@gmail.com</t>
  </si>
  <si>
    <t>CUST00003607</t>
  </si>
  <si>
    <t>sanaali185@yahoo.com</t>
  </si>
  <si>
    <t>CUST00003608</t>
  </si>
  <si>
    <t>swatipandey541@yahoo.com</t>
  </si>
  <si>
    <t>CUST00003609</t>
  </si>
  <si>
    <t>harshshah94@gmail.com</t>
  </si>
  <si>
    <t>CUST00003610</t>
  </si>
  <si>
    <t>CUST00003611</t>
  </si>
  <si>
    <t>arifmalik148@gmail.com</t>
  </si>
  <si>
    <t>CUST00003612</t>
  </si>
  <si>
    <t>vikasshah92@gmail.com</t>
  </si>
  <si>
    <t>CUST00003613</t>
  </si>
  <si>
    <t>meghayadav418@outlook.com</t>
  </si>
  <si>
    <t>CUST00003614</t>
  </si>
  <si>
    <t>harshreddy630@yahoo.com</t>
  </si>
  <si>
    <t>CUST00003615</t>
  </si>
  <si>
    <t>rohantiwari731@gmail.com</t>
  </si>
  <si>
    <t>CUST00003616</t>
  </si>
  <si>
    <t>riyagupta102@yahoo.com</t>
  </si>
  <si>
    <t>CUST00003617</t>
  </si>
  <si>
    <t>arjunagarwal915@yahoo.com</t>
  </si>
  <si>
    <t>CUST00003618</t>
  </si>
  <si>
    <t>ananyasharma965@gmail.com</t>
  </si>
  <si>
    <t>CUST00003619</t>
  </si>
  <si>
    <t>nikhilsharma246@outlook.com</t>
  </si>
  <si>
    <t>CUST00003620</t>
  </si>
  <si>
    <t>rajeshpandey505@outlook.com</t>
  </si>
  <si>
    <t>CUST00003621</t>
  </si>
  <si>
    <t>zaraansari@yahoo.com</t>
  </si>
  <si>
    <t>CUST00003622</t>
  </si>
  <si>
    <t>akashpandey@yahoo.com</t>
  </si>
  <si>
    <t>CUST00003623</t>
  </si>
  <si>
    <t>priyaagarwal476@outlook.com</t>
  </si>
  <si>
    <t>CUST00003624</t>
  </si>
  <si>
    <t>shreyasharma496@gmail.com</t>
  </si>
  <si>
    <t>CUST00003625</t>
  </si>
  <si>
    <t>nidakhan240@gmail.com</t>
  </si>
  <si>
    <t>CUST00003626</t>
  </si>
  <si>
    <t>aisharahman987@outlook.com</t>
  </si>
  <si>
    <t>CUST00003627</t>
  </si>
  <si>
    <t>CUST00003628</t>
  </si>
  <si>
    <t>CUST00003629</t>
  </si>
  <si>
    <t>CUST00003630</t>
  </si>
  <si>
    <t>poojanair457@gmail.com</t>
  </si>
  <si>
    <t>CUST00003631</t>
  </si>
  <si>
    <t>CUST00003632</t>
  </si>
  <si>
    <t>sanaahmed992@gmail.com</t>
  </si>
  <si>
    <t>CUST00003633</t>
  </si>
  <si>
    <t>preetisingh173@gmail.com</t>
  </si>
  <si>
    <t>CUST00003634</t>
  </si>
  <si>
    <t>ahmedsheikh434@outlook.com</t>
  </si>
  <si>
    <t>CUST00003635</t>
  </si>
  <si>
    <t>simranyadav2@yahoo.com</t>
  </si>
  <si>
    <t>CUST00003636</t>
  </si>
  <si>
    <t>saifpathan@outlook.com</t>
  </si>
  <si>
    <t>CUST00003637</t>
  </si>
  <si>
    <t>preetinair996@gmail.com</t>
  </si>
  <si>
    <t>CUST00003638</t>
  </si>
  <si>
    <t>preetiyadav956@yahoo.com</t>
  </si>
  <si>
    <t>CUST00003639</t>
  </si>
  <si>
    <t>rajeshmehta257@outlook.com</t>
  </si>
  <si>
    <t>CUST00003640</t>
  </si>
  <si>
    <t>nehaagarwal360@outlook.com</t>
  </si>
  <si>
    <t>CUST00003641</t>
  </si>
  <si>
    <t>harpreetbrar861@outlook.com</t>
  </si>
  <si>
    <t>CUST00003642</t>
  </si>
  <si>
    <t>karankumar166@outlook.com</t>
  </si>
  <si>
    <t>CUST00003643</t>
  </si>
  <si>
    <t>aminapathan72@yahoo.com</t>
  </si>
  <si>
    <t>CUST00003644</t>
  </si>
  <si>
    <t>akashiyer716@gmail.com</t>
  </si>
  <si>
    <t>CUST00003645</t>
  </si>
  <si>
    <t>simranshah@outlook.com</t>
  </si>
  <si>
    <t>CUST00003646</t>
  </si>
  <si>
    <t>nishaiyer287@yahoo.com</t>
  </si>
  <si>
    <t>CUST00003647</t>
  </si>
  <si>
    <t>aadhyagupta517@yahoo.com</t>
  </si>
  <si>
    <t>CUST00003648</t>
  </si>
  <si>
    <t>CUST00003649</t>
  </si>
  <si>
    <t>CUST00003650</t>
  </si>
  <si>
    <t>salmanahmed252@outlook.com</t>
  </si>
  <si>
    <t>CUST00003651</t>
  </si>
  <si>
    <t>CUST00003652</t>
  </si>
  <si>
    <t>vishalpandey983@outlook.com</t>
  </si>
  <si>
    <t>CUST00003653</t>
  </si>
  <si>
    <t>simranmishra936@outlook.com</t>
  </si>
  <si>
    <t>CUST00003654</t>
  </si>
  <si>
    <t>vishalkulkarni945@gmail.com</t>
  </si>
  <si>
    <t>CUST00003655</t>
  </si>
  <si>
    <t>arjunnair@gmail.com</t>
  </si>
  <si>
    <t>CUST00003656</t>
  </si>
  <si>
    <t>anjaligupta@outlook.com</t>
  </si>
  <si>
    <t>CUST00003657</t>
  </si>
  <si>
    <t>yashreddy570@outlook.com</t>
  </si>
  <si>
    <t>CUST00003658</t>
  </si>
  <si>
    <t>farhanrahman@yahoo.com</t>
  </si>
  <si>
    <t>CUST00003659</t>
  </si>
  <si>
    <t>vikasmishra807@outlook.com</t>
  </si>
  <si>
    <t>CUST00003660</t>
  </si>
  <si>
    <t>CUST00003661</t>
  </si>
  <si>
    <t>priyagupta853@outlook.com</t>
  </si>
  <si>
    <t>CUST00003662</t>
  </si>
  <si>
    <t>karanmishra127@yahoo.com</t>
  </si>
  <si>
    <t>CUST00003663</t>
  </si>
  <si>
    <t>omaransari@yahoo.com</t>
  </si>
  <si>
    <t>CUST00003664</t>
  </si>
  <si>
    <t>riyagupta@yahoo.com</t>
  </si>
  <si>
    <t>CUST00003665</t>
  </si>
  <si>
    <t>karannair860@outlook.com</t>
  </si>
  <si>
    <t>CUST00003666</t>
  </si>
  <si>
    <t>zainansari@gmail.com</t>
  </si>
  <si>
    <t>CUST00003667</t>
  </si>
  <si>
    <t>kavyareddy959@gmail.com</t>
  </si>
  <si>
    <t>CUST00003668</t>
  </si>
  <si>
    <t>rajnair227@outlook.com</t>
  </si>
  <si>
    <t>CUST00003669</t>
  </si>
  <si>
    <t>akashkumar288@outlook.com</t>
  </si>
  <si>
    <t>CUST00003670</t>
  </si>
  <si>
    <t>rashidansari@yahoo.com</t>
  </si>
  <si>
    <t>CUST00003671</t>
  </si>
  <si>
    <t>aliyarahman836@outlook.com</t>
  </si>
  <si>
    <t>CUST00003672</t>
  </si>
  <si>
    <t>farhanmalik@outlook.com</t>
  </si>
  <si>
    <t>CUST00003673</t>
  </si>
  <si>
    <t>farhanali506@yahoo.com</t>
  </si>
  <si>
    <t>CUST00003674</t>
  </si>
  <si>
    <t>vikaskulkarni505@outlook.com</t>
  </si>
  <si>
    <t>CUST00003675</t>
  </si>
  <si>
    <t>CUST00003676</t>
  </si>
  <si>
    <t>anjalijoshi841@outlook.com</t>
  </si>
  <si>
    <t>CUST00003677</t>
  </si>
  <si>
    <t>preetiverma891@yahoo.com</t>
  </si>
  <si>
    <t>CUST00003678</t>
  </si>
  <si>
    <t>abhishekmishra506@gmail.com</t>
  </si>
  <si>
    <t>CUST00003679</t>
  </si>
  <si>
    <t>karannair676@outlook.com</t>
  </si>
  <si>
    <t>CUST00003680</t>
  </si>
  <si>
    <t>aadhyaverma699@outlook.com</t>
  </si>
  <si>
    <t>CUST00003681</t>
  </si>
  <si>
    <t>nehaverma67@outlook.com</t>
  </si>
  <si>
    <t>CUST00003682</t>
  </si>
  <si>
    <t>harshmehta67@gmail.com</t>
  </si>
  <si>
    <t>CUST00003683</t>
  </si>
  <si>
    <t>hinamalik584@gmail.com</t>
  </si>
  <si>
    <t>CUST00003684</t>
  </si>
  <si>
    <t>rahuliyer@outlook.com</t>
  </si>
  <si>
    <t>CUST00003685</t>
  </si>
  <si>
    <t>rajshah@gmail.com</t>
  </si>
  <si>
    <t>CUST00003686</t>
  </si>
  <si>
    <t>Hassan Ansari</t>
  </si>
  <si>
    <t>hassanansari@gmail.com</t>
  </si>
  <si>
    <t>CUST00003687</t>
  </si>
  <si>
    <t>ananyanair@outlook.com</t>
  </si>
  <si>
    <t>CUST00003688</t>
  </si>
  <si>
    <t>CUST00003689</t>
  </si>
  <si>
    <t>aishamalik574@yahoo.com</t>
  </si>
  <si>
    <t>CUST00003690</t>
  </si>
  <si>
    <t>harshtiwari438@outlook.com</t>
  </si>
  <si>
    <t>CUST00003691</t>
  </si>
  <si>
    <t>aaraviyer@outlook.com</t>
  </si>
  <si>
    <t>CUST00003692</t>
  </si>
  <si>
    <t>mohammadkhan962@yahoo.com</t>
  </si>
  <si>
    <t>CUST00003693</t>
  </si>
  <si>
    <t>divyaverma417@yahoo.com</t>
  </si>
  <si>
    <t>CUST00003694</t>
  </si>
  <si>
    <t>vishalmehta531@yahoo.com</t>
  </si>
  <si>
    <t>CUST00003695</t>
  </si>
  <si>
    <t>nishaagarwal530@gmail.com</t>
  </si>
  <si>
    <t>CUST00003696</t>
  </si>
  <si>
    <t>CUST00003697</t>
  </si>
  <si>
    <t>rahulsharma941@yahoo.com</t>
  </si>
  <si>
    <t>CUST00003698</t>
  </si>
  <si>
    <t>preetireddy324@gmail.com</t>
  </si>
  <si>
    <t>CUST00003699</t>
  </si>
  <si>
    <t>akashjoshi343@gmail.com</t>
  </si>
  <si>
    <t>CUST00003700</t>
  </si>
  <si>
    <t>aminamalik@gmail.com</t>
  </si>
  <si>
    <t>CUST00003701</t>
  </si>
  <si>
    <t>preetiagarwal@gmail.com</t>
  </si>
  <si>
    <t>CUST00003702</t>
  </si>
  <si>
    <t>CUST00003703</t>
  </si>
  <si>
    <t>CUST00003704</t>
  </si>
  <si>
    <t>nidarahman338@yahoo.com</t>
  </si>
  <si>
    <t>CUST00003705</t>
  </si>
  <si>
    <t>sanakhan641@gmail.com</t>
  </si>
  <si>
    <t>CUST00003706</t>
  </si>
  <si>
    <t>rajeshkulkarni443@gmail.com</t>
  </si>
  <si>
    <t>CUST00003707</t>
  </si>
  <si>
    <t>kavyanair642@yahoo.com</t>
  </si>
  <si>
    <t>CUST00003708</t>
  </si>
  <si>
    <t>priyasharma@gmail.com</t>
  </si>
  <si>
    <t>CUST00003709</t>
  </si>
  <si>
    <t>shreyakumar245@yahoo.com</t>
  </si>
  <si>
    <t>CUST00003710</t>
  </si>
  <si>
    <t>CUST00003711</t>
  </si>
  <si>
    <t>akashpatel243@gmail.com</t>
  </si>
  <si>
    <t>CUST00003712</t>
  </si>
  <si>
    <t>CUST00003713</t>
  </si>
  <si>
    <t>divyakulkarni98@outlook.com</t>
  </si>
  <si>
    <t>CUST00003714</t>
  </si>
  <si>
    <t>hassanansari128@gmail.com</t>
  </si>
  <si>
    <t>CUST00003715</t>
  </si>
  <si>
    <t>CUST00003716</t>
  </si>
  <si>
    <t>aminasheikh912@outlook.com</t>
  </si>
  <si>
    <t>CUST00003717</t>
  </si>
  <si>
    <t>shreyasharma131@gmail.com</t>
  </si>
  <si>
    <t>CUST00003718</t>
  </si>
  <si>
    <t>CUST00003719</t>
  </si>
  <si>
    <t>rajeshpatel626@outlook.com</t>
  </si>
  <si>
    <t>CUST00003720</t>
  </si>
  <si>
    <t>aadhyatiwari105@outlook.com</t>
  </si>
  <si>
    <t>CUST00003721</t>
  </si>
  <si>
    <t>ananyareddy54@yahoo.com</t>
  </si>
  <si>
    <t>CUST00003722</t>
  </si>
  <si>
    <t>kavyakumar@yahoo.com</t>
  </si>
  <si>
    <t>CUST00003723</t>
  </si>
  <si>
    <t>nishashah771@yahoo.com</t>
  </si>
  <si>
    <t>CUST00003724</t>
  </si>
  <si>
    <t>harleensingh614@outlook.com</t>
  </si>
  <si>
    <t>CUST00003725</t>
  </si>
  <si>
    <t>preetiverma@yahoo.com</t>
  </si>
  <si>
    <t>CUST00003726</t>
  </si>
  <si>
    <t>poojasingh815@yahoo.com</t>
  </si>
  <si>
    <t>CUST00003727</t>
  </si>
  <si>
    <t>gauravpatel@outlook.com</t>
  </si>
  <si>
    <t>CUST00003728</t>
  </si>
  <si>
    <t>imranali667@outlook.com</t>
  </si>
  <si>
    <t>CUST00003729</t>
  </si>
  <si>
    <t>swatimehta@yahoo.com</t>
  </si>
  <si>
    <t>CUST00003730</t>
  </si>
  <si>
    <t>karansingh602@gmail.com</t>
  </si>
  <si>
    <t>CUST00003731</t>
  </si>
  <si>
    <t>nehatiwari13@outlook.com</t>
  </si>
  <si>
    <t>CUST00003732</t>
  </si>
  <si>
    <t>CUST00003733</t>
  </si>
  <si>
    <t>CUST00003734</t>
  </si>
  <si>
    <t>nikhiliyer@gmail.com</t>
  </si>
  <si>
    <t>CUST00003735</t>
  </si>
  <si>
    <t>CUST00003736</t>
  </si>
  <si>
    <t>karanyadav493@outlook.com</t>
  </si>
  <si>
    <t>CUST00003737</t>
  </si>
  <si>
    <t>nehamishra@gmail.com</t>
  </si>
  <si>
    <t>CUST00003738</t>
  </si>
  <si>
    <t>gurleensandhu817@gmail.com</t>
  </si>
  <si>
    <t>CUST00003739</t>
  </si>
  <si>
    <t>nishayadav320@outlook.com</t>
  </si>
  <si>
    <t>CUST00003740</t>
  </si>
  <si>
    <t>rohanpatel983@outlook.com</t>
  </si>
  <si>
    <t>CUST00003741</t>
  </si>
  <si>
    <t>nikhilmishra@yahoo.com</t>
  </si>
  <si>
    <t>CUST00003742</t>
  </si>
  <si>
    <t>hinamalik555@gmail.com</t>
  </si>
  <si>
    <t>CUST00003743</t>
  </si>
  <si>
    <t>Jaspreet Kaur</t>
  </si>
  <si>
    <t>jaspreetkaur317@outlook.com</t>
  </si>
  <si>
    <t>CUST00003744</t>
  </si>
  <si>
    <t>swatisharma378@gmail.com</t>
  </si>
  <si>
    <t>CUST00003745</t>
  </si>
  <si>
    <t>poojasharma674@outlook.com</t>
  </si>
  <si>
    <t>CUST00003746</t>
  </si>
  <si>
    <t>jasleenbrar244@outlook.com</t>
  </si>
  <si>
    <t>CUST00003747</t>
  </si>
  <si>
    <t>riyatiwari@outlook.com</t>
  </si>
  <si>
    <t>CUST00003748</t>
  </si>
  <si>
    <t>zaramalik@yahoo.com</t>
  </si>
  <si>
    <t>CUST00003749</t>
  </si>
  <si>
    <t>adityaverma206@outlook.com</t>
  </si>
  <si>
    <t>CUST00003750</t>
  </si>
  <si>
    <t>Rashid Sheikh</t>
  </si>
  <si>
    <t>rashidsheikh@gmail.com</t>
  </si>
  <si>
    <t>CUST00003751</t>
  </si>
  <si>
    <t>vikasjoshi684@yahoo.com</t>
  </si>
  <si>
    <t>CUST00003752</t>
  </si>
  <si>
    <t>rahulnair@yahoo.com</t>
  </si>
  <si>
    <t>CUST00003753</t>
  </si>
  <si>
    <t>yashiyer340@outlook.com</t>
  </si>
  <si>
    <t>CUST00003754</t>
  </si>
  <si>
    <t>ananyasharma344@outlook.com</t>
  </si>
  <si>
    <t>CUST00003755</t>
  </si>
  <si>
    <t>divyaagarwal337@gmail.com</t>
  </si>
  <si>
    <t>CUST00003756</t>
  </si>
  <si>
    <t>mohammadkhan898@gmail.com</t>
  </si>
  <si>
    <t>CUST00003757</t>
  </si>
  <si>
    <t>gurleenkaur943@gmail.com</t>
  </si>
  <si>
    <t>CUST00003758</t>
  </si>
  <si>
    <t>nikhilkumar@outlook.com</t>
  </si>
  <si>
    <t>CUST00003759</t>
  </si>
  <si>
    <t>rohanjoshi639@gmail.com</t>
  </si>
  <si>
    <t>CUST00003760</t>
  </si>
  <si>
    <t>arifkhan753@yahoo.com</t>
  </si>
  <si>
    <t>CUST00003761</t>
  </si>
  <si>
    <t>CUST00003762</t>
  </si>
  <si>
    <t>aminakhan189@gmail.com</t>
  </si>
  <si>
    <t>CUST00003763</t>
  </si>
  <si>
    <t>vikasshah76@yahoo.com</t>
  </si>
  <si>
    <t>CUST00003764</t>
  </si>
  <si>
    <t>Aliya Mirza</t>
  </si>
  <si>
    <t>aliyamirza118@gmail.com</t>
  </si>
  <si>
    <t>CUST00003765</t>
  </si>
  <si>
    <t>preetireddy200@outlook.com</t>
  </si>
  <si>
    <t>CUST00003766</t>
  </si>
  <si>
    <t>karangupta784@yahoo.com</t>
  </si>
  <si>
    <t>CUST00003767</t>
  </si>
  <si>
    <t>saifali31@gmail.com</t>
  </si>
  <si>
    <t>CUST00003768</t>
  </si>
  <si>
    <t>akashyadav179@gmail.com</t>
  </si>
  <si>
    <t>CUST00003769</t>
  </si>
  <si>
    <t>aliyakhan@outlook.com</t>
  </si>
  <si>
    <t>CUST00003770</t>
  </si>
  <si>
    <t>arjunpatel868@outlook.com</t>
  </si>
  <si>
    <t>CUST00003771</t>
  </si>
  <si>
    <t>abhishektiwari201@gmail.com</t>
  </si>
  <si>
    <t>CUST00003772</t>
  </si>
  <si>
    <t>meghajoshi269@gmail.com</t>
  </si>
  <si>
    <t>CUST00003773</t>
  </si>
  <si>
    <t>arjunkulkarni694@gmail.com</t>
  </si>
  <si>
    <t>CUST00003774</t>
  </si>
  <si>
    <t>meghakumar807@gmail.com</t>
  </si>
  <si>
    <t>CUST00003775</t>
  </si>
  <si>
    <t>swatimishra216@yahoo.com</t>
  </si>
  <si>
    <t>CUST00003776</t>
  </si>
  <si>
    <t>gauravsingh379@yahoo.com</t>
  </si>
  <si>
    <t>CUST00003777</t>
  </si>
  <si>
    <t>CUST00003778</t>
  </si>
  <si>
    <t>amitiyer@outlook.com</t>
  </si>
  <si>
    <t>CUST00003779</t>
  </si>
  <si>
    <t>sureshverma@outlook.com</t>
  </si>
  <si>
    <t>CUST00003780</t>
  </si>
  <si>
    <t>kavyashah148@gmail.com</t>
  </si>
  <si>
    <t>CUST00003781</t>
  </si>
  <si>
    <t>CUST00003782</t>
  </si>
  <si>
    <t>amitmehta712@yahoo.com</t>
  </si>
  <si>
    <t>CUST00003783</t>
  </si>
  <si>
    <t>arjunjoshi440@outlook.com</t>
  </si>
  <si>
    <t>CUST00003784</t>
  </si>
  <si>
    <t>preetikulkarni48@outlook.com</t>
  </si>
  <si>
    <t>CUST00003785</t>
  </si>
  <si>
    <t>rajsharma875@outlook.com</t>
  </si>
  <si>
    <t>CUST00003786</t>
  </si>
  <si>
    <t>divyajoshi153@yahoo.com</t>
  </si>
  <si>
    <t>CUST00003787</t>
  </si>
  <si>
    <t>simrankulkarni645@yahoo.com</t>
  </si>
  <si>
    <t>CUST00003788</t>
  </si>
  <si>
    <t>CUST00003789</t>
  </si>
  <si>
    <t>anjaliiyer@yahoo.com</t>
  </si>
  <si>
    <t>CUST00003790</t>
  </si>
  <si>
    <t>amitsharma84@yahoo.com</t>
  </si>
  <si>
    <t>CUST00003791</t>
  </si>
  <si>
    <t>rajeshgupta@outlook.com</t>
  </si>
  <si>
    <t>CUST00003792</t>
  </si>
  <si>
    <t>fatimakhan521@yahoo.com</t>
  </si>
  <si>
    <t>CUST00003793</t>
  </si>
  <si>
    <t>navjotgrewal@outlook.com</t>
  </si>
  <si>
    <t>CUST00003794</t>
  </si>
  <si>
    <t>vikasjoshi@yahoo.com</t>
  </si>
  <si>
    <t>CUST00003795</t>
  </si>
  <si>
    <t>abhishekmehta476@gmail.com</t>
  </si>
  <si>
    <t>CUST00003796</t>
  </si>
  <si>
    <t>akashiyer383@outlook.com</t>
  </si>
  <si>
    <t>CUST00003797</t>
  </si>
  <si>
    <t>poojakulkarni@outlook.com</t>
  </si>
  <si>
    <t>CUST00003798</t>
  </si>
  <si>
    <t>CUST00003799</t>
  </si>
  <si>
    <t>preetishah411@outlook.com</t>
  </si>
  <si>
    <t>CUST00003800</t>
  </si>
  <si>
    <t>CUST00003801</t>
  </si>
  <si>
    <t>aadhyapatel@gmail.com</t>
  </si>
  <si>
    <t>CUST00003802</t>
  </si>
  <si>
    <t>yashshah208@yahoo.com</t>
  </si>
  <si>
    <t>CUST00003803</t>
  </si>
  <si>
    <t>gauraviyer@yahoo.com</t>
  </si>
  <si>
    <t>CUST00003804</t>
  </si>
  <si>
    <t>riyanair436@yahoo.com</t>
  </si>
  <si>
    <t>CUST00003805</t>
  </si>
  <si>
    <t>shreyaverma958@yahoo.com</t>
  </si>
  <si>
    <t>CUST00003806</t>
  </si>
  <si>
    <t>khalidsheikh87@gmail.com</t>
  </si>
  <si>
    <t>CUST00003807</t>
  </si>
  <si>
    <t>amitpandey@yahoo.com</t>
  </si>
  <si>
    <t>CUST00003808</t>
  </si>
  <si>
    <t>rajeshsingh361@gmail.com</t>
  </si>
  <si>
    <t>CUST00003809</t>
  </si>
  <si>
    <t>divyashah477@outlook.com</t>
  </si>
  <si>
    <t>CUST00003810</t>
  </si>
  <si>
    <t>sureshpandey@yahoo.com</t>
  </si>
  <si>
    <t>CUST00003811</t>
  </si>
  <si>
    <t>nikhilyadav443@yahoo.com</t>
  </si>
  <si>
    <t>CUST00003812</t>
  </si>
  <si>
    <t>rohankulkarni510@yahoo.com</t>
  </si>
  <si>
    <t>CUST00003813</t>
  </si>
  <si>
    <t>adityaverma26@gmail.com</t>
  </si>
  <si>
    <t>CUST00003814</t>
  </si>
  <si>
    <t>arifahmed272@outlook.com</t>
  </si>
  <si>
    <t>CUST00003815</t>
  </si>
  <si>
    <t>yashsharma924@gmail.com</t>
  </si>
  <si>
    <t>CUST00003816</t>
  </si>
  <si>
    <t>ananyasingh514@outlook.com</t>
  </si>
  <si>
    <t>CUST00003817</t>
  </si>
  <si>
    <t>anjalipatel81@yahoo.com</t>
  </si>
  <si>
    <t>CUST00003818</t>
  </si>
  <si>
    <t>ananyamehta@gmail.com</t>
  </si>
  <si>
    <t>CUST00003819</t>
  </si>
  <si>
    <t>adityajoshi369@gmail.com</t>
  </si>
  <si>
    <t>CUST00003820</t>
  </si>
  <si>
    <t>abhishekkumar342@gmail.com</t>
  </si>
  <si>
    <t>CUST00003821</t>
  </si>
  <si>
    <t>CUST00003822</t>
  </si>
  <si>
    <t>gauravsharma836@outlook.com</t>
  </si>
  <si>
    <t>CUST00003823</t>
  </si>
  <si>
    <t>aadhyareddy@gmail.com</t>
  </si>
  <si>
    <t>CUST00003824</t>
  </si>
  <si>
    <t>preetikulkarni@gmail.com</t>
  </si>
  <si>
    <t>CUST00003825</t>
  </si>
  <si>
    <t>CUST00003826</t>
  </si>
  <si>
    <t>CUST00003827</t>
  </si>
  <si>
    <t>aaraviyer307@yahoo.com</t>
  </si>
  <si>
    <t>CUST00003828</t>
  </si>
  <si>
    <t>zainsiddiqui@yahoo.com</t>
  </si>
  <si>
    <t>CUST00003829</t>
  </si>
  <si>
    <t>aliyasiddiqui@outlook.com</t>
  </si>
  <si>
    <t>CUST00003830</t>
  </si>
  <si>
    <t>CUST00003831</t>
  </si>
  <si>
    <t>priyanair525@gmail.com</t>
  </si>
  <si>
    <t>CUST00003832</t>
  </si>
  <si>
    <t>Akash Nair</t>
  </si>
  <si>
    <t>akashnair@gmail.com</t>
  </si>
  <si>
    <t>CUST00003833</t>
  </si>
  <si>
    <t>preetimehta768@gmail.com</t>
  </si>
  <si>
    <t>CUST00003834</t>
  </si>
  <si>
    <t>priyareddy529@outlook.com</t>
  </si>
  <si>
    <t>CUST00003835</t>
  </si>
  <si>
    <t>CUST00003836</t>
  </si>
  <si>
    <t>riyapandey@yahoo.com</t>
  </si>
  <si>
    <t>CUST00003837</t>
  </si>
  <si>
    <t>karannair88@yahoo.com</t>
  </si>
  <si>
    <t>CUST00003838</t>
  </si>
  <si>
    <t>CUST00003839</t>
  </si>
  <si>
    <t>Hassan Mirza</t>
  </si>
  <si>
    <t>hassanmirza@outlook.com</t>
  </si>
  <si>
    <t>CUST00003840</t>
  </si>
  <si>
    <t>hassanali450@yahoo.com</t>
  </si>
  <si>
    <t>CUST00003841</t>
  </si>
  <si>
    <t>aaravpandey@gmail.com</t>
  </si>
  <si>
    <t>CUST00003842</t>
  </si>
  <si>
    <t>saifahmed592@gmail.com</t>
  </si>
  <si>
    <t>CUST00003843</t>
  </si>
  <si>
    <t>aadhyanair756@gmail.com</t>
  </si>
  <si>
    <t>CUST00003844</t>
  </si>
  <si>
    <t>simrantiwari675@yahoo.com</t>
  </si>
  <si>
    <t>CUST00003845</t>
  </si>
  <si>
    <t>gurleengill430@yahoo.com</t>
  </si>
  <si>
    <t>CUST00003846</t>
  </si>
  <si>
    <t>nehapatel@yahoo.com</t>
  </si>
  <si>
    <t>CUST00003847</t>
  </si>
  <si>
    <t>CUST00003848</t>
  </si>
  <si>
    <t>nehareddy334@outlook.com</t>
  </si>
  <si>
    <t>CUST00003849</t>
  </si>
  <si>
    <t>Imran Mirza</t>
  </si>
  <si>
    <t>imranmirza805@gmail.com</t>
  </si>
  <si>
    <t>CUST00003850</t>
  </si>
  <si>
    <t>nehaiyer@gmail.com</t>
  </si>
  <si>
    <t>CUST00003851</t>
  </si>
  <si>
    <t>rohaniyer@yahoo.com</t>
  </si>
  <si>
    <t>CUST00003852</t>
  </si>
  <si>
    <t>rashidansari819@outlook.com</t>
  </si>
  <si>
    <t>CUST00003853</t>
  </si>
  <si>
    <t>CUST00003854</t>
  </si>
  <si>
    <t>abhishekmehta@yahoo.com</t>
  </si>
  <si>
    <t>CUST00003855</t>
  </si>
  <si>
    <t>Simran Brar</t>
  </si>
  <si>
    <t>simranbrar401@gmail.com</t>
  </si>
  <si>
    <t>CUST00003856</t>
  </si>
  <si>
    <t>harshkulkarni193@yahoo.com</t>
  </si>
  <si>
    <t>CUST00003857</t>
  </si>
  <si>
    <t>divyamehta584@yahoo.com</t>
  </si>
  <si>
    <t>CUST00003858</t>
  </si>
  <si>
    <t>CUST00003859</t>
  </si>
  <si>
    <t>rajyadav107@outlook.com</t>
  </si>
  <si>
    <t>CUST00003860</t>
  </si>
  <si>
    <t>zarapathan33@outlook.com</t>
  </si>
  <si>
    <t>CUST00003861</t>
  </si>
  <si>
    <t>preetimishra@gmail.com</t>
  </si>
  <si>
    <t>CUST00003862</t>
  </si>
  <si>
    <t>ahmedpathan72@yahoo.com</t>
  </si>
  <si>
    <t>CUST00003863</t>
  </si>
  <si>
    <t>kavyagupta239@yahoo.com</t>
  </si>
  <si>
    <t>CUST00003864</t>
  </si>
  <si>
    <t>CUST00003865</t>
  </si>
  <si>
    <t>mohammadpathan378@outlook.com</t>
  </si>
  <si>
    <t>CUST00003866</t>
  </si>
  <si>
    <t>divyaverma335@yahoo.com</t>
  </si>
  <si>
    <t>CUST00003867</t>
  </si>
  <si>
    <t>nehaiyer114@gmail.com</t>
  </si>
  <si>
    <t>CUST00003868</t>
  </si>
  <si>
    <t>rajpandey490@outlook.com</t>
  </si>
  <si>
    <t>CUST00003869</t>
  </si>
  <si>
    <t>fatimakhan979@gmail.com</t>
  </si>
  <si>
    <t>CUST00003870</t>
  </si>
  <si>
    <t>adityanair211@yahoo.com</t>
  </si>
  <si>
    <t>CUST00003871</t>
  </si>
  <si>
    <t>rajeshkumar727@outlook.com</t>
  </si>
  <si>
    <t>CUST00003872</t>
  </si>
  <si>
    <t>harshshah619@outlook.com</t>
  </si>
  <si>
    <t>CUST00003873</t>
  </si>
  <si>
    <t>CUST00003874</t>
  </si>
  <si>
    <t>kavyayadav734@outlook.com</t>
  </si>
  <si>
    <t>CUST00003875</t>
  </si>
  <si>
    <t>karannair207@gmail.com</t>
  </si>
  <si>
    <t>CUST00003876</t>
  </si>
  <si>
    <t>arjunkumar@yahoo.com</t>
  </si>
  <si>
    <t>CUST00003877</t>
  </si>
  <si>
    <t>aliyarahman409@outlook.com</t>
  </si>
  <si>
    <t>CUST00003878</t>
  </si>
  <si>
    <t>nikhilsingh@outlook.com</t>
  </si>
  <si>
    <t>CUST00003879</t>
  </si>
  <si>
    <t>anjalijoshi583@yahoo.com</t>
  </si>
  <si>
    <t>CUST00003880</t>
  </si>
  <si>
    <t>manpreetsandhu590@gmail.com</t>
  </si>
  <si>
    <t>CUST00003881</t>
  </si>
  <si>
    <t>CUST00003882</t>
  </si>
  <si>
    <t>arifansari@yahoo.com</t>
  </si>
  <si>
    <t>CUST00003883</t>
  </si>
  <si>
    <t>ayeshaansari863@outlook.com</t>
  </si>
  <si>
    <t>CUST00003884</t>
  </si>
  <si>
    <t>simrangrewal@yahoo.com</t>
  </si>
  <si>
    <t>CUST00003885</t>
  </si>
  <si>
    <t>CUST00003886</t>
  </si>
  <si>
    <t>meghamishra184@outlook.com</t>
  </si>
  <si>
    <t>CUST00003887</t>
  </si>
  <si>
    <t>tariqpathan@yahoo.com</t>
  </si>
  <si>
    <t>CUST00003888</t>
  </si>
  <si>
    <t>imranahmed675@gmail.com</t>
  </si>
  <si>
    <t>CUST00003889</t>
  </si>
  <si>
    <t>vikasmishra@gmail.com</t>
  </si>
  <si>
    <t>CUST00003890</t>
  </si>
  <si>
    <t>poojakumar969@gmail.com</t>
  </si>
  <si>
    <t>CUST00003891</t>
  </si>
  <si>
    <t>nikhiltiwari892@gmail.com</t>
  </si>
  <si>
    <t>CUST00003892</t>
  </si>
  <si>
    <t>fatimaansari644@outlook.com</t>
  </si>
  <si>
    <t>CUST00003893</t>
  </si>
  <si>
    <t>aliyamirza939@gmail.com</t>
  </si>
  <si>
    <t>CUST00003894</t>
  </si>
  <si>
    <t>harshpandey@outlook.com</t>
  </si>
  <si>
    <t>CUST00003895</t>
  </si>
  <si>
    <t>CUST00003896</t>
  </si>
  <si>
    <t>meghapatel781@outlook.com</t>
  </si>
  <si>
    <t>CUST00003897</t>
  </si>
  <si>
    <t>hassansiddiqui378@gmail.com</t>
  </si>
  <si>
    <t>CUST00003898</t>
  </si>
  <si>
    <t>swativerma@outlook.com</t>
  </si>
  <si>
    <t>CUST00003899</t>
  </si>
  <si>
    <t>CUST00003900</t>
  </si>
  <si>
    <t>poojapandey169@yahoo.com</t>
  </si>
  <si>
    <t>CUST00003901</t>
  </si>
  <si>
    <t>farahkhan46@yahoo.com</t>
  </si>
  <si>
    <t>CUST00003902</t>
  </si>
  <si>
    <t>gauravkulkarni655@outlook.com</t>
  </si>
  <si>
    <t>CUST00003903</t>
  </si>
  <si>
    <t>rohanagarwal@yahoo.com</t>
  </si>
  <si>
    <t>CUST00003904</t>
  </si>
  <si>
    <t>riyashah764@yahoo.com</t>
  </si>
  <si>
    <t>CUST00003905</t>
  </si>
  <si>
    <t>omarmirza@yahoo.com</t>
  </si>
  <si>
    <t>CUST00003906</t>
  </si>
  <si>
    <t>rajreddy257@gmail.com</t>
  </si>
  <si>
    <t>CUST00003907</t>
  </si>
  <si>
    <t>amitpatel@gmail.com</t>
  </si>
  <si>
    <t>CUST00003908</t>
  </si>
  <si>
    <t>rohanjoshi767@yahoo.com</t>
  </si>
  <si>
    <t>CUST00003909</t>
  </si>
  <si>
    <t>akashverma70@gmail.com</t>
  </si>
  <si>
    <t>CUST00003910</t>
  </si>
  <si>
    <t>simranreddy249@outlook.com</t>
  </si>
  <si>
    <t>CUST00003911</t>
  </si>
  <si>
    <t>simrangrewal@gmail.com</t>
  </si>
  <si>
    <t>CUST00003912</t>
  </si>
  <si>
    <t>riyajoshi286@gmail.com</t>
  </si>
  <si>
    <t>CUST00003913</t>
  </si>
  <si>
    <t>akashpatel19@outlook.com</t>
  </si>
  <si>
    <t>CUST00003914</t>
  </si>
  <si>
    <t>akashmehta302@gmail.com</t>
  </si>
  <si>
    <t>CUST00003915</t>
  </si>
  <si>
    <t>zainali401@gmail.com</t>
  </si>
  <si>
    <t>CUST00003916</t>
  </si>
  <si>
    <t>akashkulkarni782@gmail.com</t>
  </si>
  <si>
    <t>CUST00003917</t>
  </si>
  <si>
    <t>aamirmirza@gmail.com</t>
  </si>
  <si>
    <t>CUST00003918</t>
  </si>
  <si>
    <t>yashverma183@gmail.com</t>
  </si>
  <si>
    <t>CUST00003919</t>
  </si>
  <si>
    <t>preetikulkarni@outlook.com</t>
  </si>
  <si>
    <t>CUST00003920</t>
  </si>
  <si>
    <t>rajeshagarwal453@outlook.com</t>
  </si>
  <si>
    <t>CUST00003921</t>
  </si>
  <si>
    <t>nishaverma651@outlook.com</t>
  </si>
  <si>
    <t>CUST00003922</t>
  </si>
  <si>
    <t>CUST00003923</t>
  </si>
  <si>
    <t>CUST00003924</t>
  </si>
  <si>
    <t>jaspreetgrewal316@yahoo.com</t>
  </si>
  <si>
    <t>CUST00003925</t>
  </si>
  <si>
    <t>nishapatel5@gmail.com</t>
  </si>
  <si>
    <t>CUST00003926</t>
  </si>
  <si>
    <t>ahmedmalik@gmail.com</t>
  </si>
  <si>
    <t>CUST00003927</t>
  </si>
  <si>
    <t>vikasagarwal@yahoo.com</t>
  </si>
  <si>
    <t>CUST00003928</t>
  </si>
  <si>
    <t>harshagarwal@gmail.com</t>
  </si>
  <si>
    <t>CUST00003929</t>
  </si>
  <si>
    <t>priyamehta432@gmail.com</t>
  </si>
  <si>
    <t>CUST00003930</t>
  </si>
  <si>
    <t>CUST00003931</t>
  </si>
  <si>
    <t>anjalishah@outlook.com</t>
  </si>
  <si>
    <t>CUST00003932</t>
  </si>
  <si>
    <t>kavyasharma@gmail.com</t>
  </si>
  <si>
    <t>CUST00003933</t>
  </si>
  <si>
    <t>CUST00003934</t>
  </si>
  <si>
    <t>karannair@outlook.com</t>
  </si>
  <si>
    <t>CUST00003935</t>
  </si>
  <si>
    <t>priyakulkarni172@gmail.com</t>
  </si>
  <si>
    <t>CUST00003936</t>
  </si>
  <si>
    <t>aaravgupta111@yahoo.com</t>
  </si>
  <si>
    <t>CUST00003937</t>
  </si>
  <si>
    <t>vikasshah642@gmail.com</t>
  </si>
  <si>
    <t>CUST00003938</t>
  </si>
  <si>
    <t>nehakulkarni@outlook.com</t>
  </si>
  <si>
    <t>CUST00003939</t>
  </si>
  <si>
    <t>rajmehta439@gmail.com</t>
  </si>
  <si>
    <t>CUST00003940</t>
  </si>
  <si>
    <t>abhishekverma109@yahoo.com</t>
  </si>
  <si>
    <t>CUST00003941</t>
  </si>
  <si>
    <t>aishakhan16@yahoo.com</t>
  </si>
  <si>
    <t>CUST00003942</t>
  </si>
  <si>
    <t>poojatiwari@gmail.com</t>
  </si>
  <si>
    <t>CUST00003943</t>
  </si>
  <si>
    <t>riyamehta470@gmail.com</t>
  </si>
  <si>
    <t>CUST00003944</t>
  </si>
  <si>
    <t>hinaali835@yahoo.com</t>
  </si>
  <si>
    <t>CUST00003945</t>
  </si>
  <si>
    <t>nikhilnair@yahoo.com</t>
  </si>
  <si>
    <t>CUST00003946</t>
  </si>
  <si>
    <t>abhishekkulkarni907@gmail.com</t>
  </si>
  <si>
    <t>CUST00003947</t>
  </si>
  <si>
    <t>simrangill786@outlook.com</t>
  </si>
  <si>
    <t>CUST00003948</t>
  </si>
  <si>
    <t>nehasharma105@outlook.com</t>
  </si>
  <si>
    <t>CUST00003949</t>
  </si>
  <si>
    <t>aadhyayadav945@outlook.com</t>
  </si>
  <si>
    <t>CUST00003950</t>
  </si>
  <si>
    <t>aliyasiddiqui983@gmail.com</t>
  </si>
  <si>
    <t>CUST00003951</t>
  </si>
  <si>
    <t>gurpreetgill647@outlook.com</t>
  </si>
  <si>
    <t>CUST00003952</t>
  </si>
  <si>
    <t>kavyaagarwal947@outlook.com</t>
  </si>
  <si>
    <t>CUST00003953</t>
  </si>
  <si>
    <t>aadhyajoshi180@outlook.com</t>
  </si>
  <si>
    <t>CUST00003954</t>
  </si>
  <si>
    <t>sureshsingh@outlook.com</t>
  </si>
  <si>
    <t>CUST00003955</t>
  </si>
  <si>
    <t>divyaverma872@outlook.com</t>
  </si>
  <si>
    <t>CUST00003956</t>
  </si>
  <si>
    <t>nikhilverma344@gmail.com</t>
  </si>
  <si>
    <t>CUST00003957</t>
  </si>
  <si>
    <t>CUST00003958</t>
  </si>
  <si>
    <t>anjalimishra524@outlook.com</t>
  </si>
  <si>
    <t>CUST00003959</t>
  </si>
  <si>
    <t>karansingh@outlook.com</t>
  </si>
  <si>
    <t>CUST00003960</t>
  </si>
  <si>
    <t>ananyasharma14@gmail.com</t>
  </si>
  <si>
    <t>CUST00003961</t>
  </si>
  <si>
    <t>gauravreddy778@gmail.com</t>
  </si>
  <si>
    <t>CUST00003962</t>
  </si>
  <si>
    <t>riyanair756@yahoo.com</t>
  </si>
  <si>
    <t>CUST00003963</t>
  </si>
  <si>
    <t>vikasyadav@outlook.com</t>
  </si>
  <si>
    <t>CUST00003964</t>
  </si>
  <si>
    <t>rajshah141@yahoo.com</t>
  </si>
  <si>
    <t>CUST00003965</t>
  </si>
  <si>
    <t>simranyadav207@gmail.com</t>
  </si>
  <si>
    <t>CUST00003966</t>
  </si>
  <si>
    <t>anjalikulkarni658@gmail.com</t>
  </si>
  <si>
    <t>CUST00003967</t>
  </si>
  <si>
    <t>harshpandey743@outlook.com</t>
  </si>
  <si>
    <t>CUST00003968</t>
  </si>
  <si>
    <t>CUST00003969</t>
  </si>
  <si>
    <t>CUST00003970</t>
  </si>
  <si>
    <t>preetiiyer326@outlook.com</t>
  </si>
  <si>
    <t>CUST00003971</t>
  </si>
  <si>
    <t>Rashid Ali</t>
  </si>
  <si>
    <t>rashidali@gmail.com</t>
  </si>
  <si>
    <t>CUST00003972</t>
  </si>
  <si>
    <t>aaravreddy425@outlook.com</t>
  </si>
  <si>
    <t>CUST00003973</t>
  </si>
  <si>
    <t>rahulnair@gmail.com</t>
  </si>
  <si>
    <t>CUST00003974</t>
  </si>
  <si>
    <t>rashidmalik751@yahoo.com</t>
  </si>
  <si>
    <t>CUST00003975</t>
  </si>
  <si>
    <t>shreyasingh211@outlook.com</t>
  </si>
  <si>
    <t>CUST00003976</t>
  </si>
  <si>
    <t>riyanair940@outlook.com</t>
  </si>
  <si>
    <t>CUST00003977</t>
  </si>
  <si>
    <t>CUST00003978</t>
  </si>
  <si>
    <t>CUST00003979</t>
  </si>
  <si>
    <t>CUST00003980</t>
  </si>
  <si>
    <t>rahulreddy188@yahoo.com</t>
  </si>
  <si>
    <t>CUST00003981</t>
  </si>
  <si>
    <t>rashidmirza@gmail.com</t>
  </si>
  <si>
    <t>CUST00003982</t>
  </si>
  <si>
    <t>CUST00003983</t>
  </si>
  <si>
    <t>anjalipatel@gmail.com</t>
  </si>
  <si>
    <t>CUST00003984</t>
  </si>
  <si>
    <t>CUST00003985</t>
  </si>
  <si>
    <t>anjaliyadav@gmail.com</t>
  </si>
  <si>
    <t>CUST00003986</t>
  </si>
  <si>
    <t>shreyagupta607@outlook.com</t>
  </si>
  <si>
    <t>CUST00003987</t>
  </si>
  <si>
    <t>CUST00003988</t>
  </si>
  <si>
    <t>priyanair81@yahoo.com</t>
  </si>
  <si>
    <t>CUST00003989</t>
  </si>
  <si>
    <t>CUST00003990</t>
  </si>
  <si>
    <t>karanpandey203@gmail.com</t>
  </si>
  <si>
    <t>CUST00003991</t>
  </si>
  <si>
    <t>rohanagarwal621@gmail.com</t>
  </si>
  <si>
    <t>CUST00003992</t>
  </si>
  <si>
    <t>gurleensingh591@yahoo.com</t>
  </si>
  <si>
    <t>CUST00003993</t>
  </si>
  <si>
    <t>CUST00003994</t>
  </si>
  <si>
    <t>shreyashah801@yahoo.com</t>
  </si>
  <si>
    <t>CUST00003995</t>
  </si>
  <si>
    <t>amitsharma996@yahoo.com</t>
  </si>
  <si>
    <t>CUST00003996</t>
  </si>
  <si>
    <t>rajpatel172@yahoo.com</t>
  </si>
  <si>
    <t>CUST00003997</t>
  </si>
  <si>
    <t>omarkhan518@outlook.com</t>
  </si>
  <si>
    <t>CUST00003998</t>
  </si>
  <si>
    <t>riyatiwari@gmail.com</t>
  </si>
  <si>
    <t>CUST00003999</t>
  </si>
  <si>
    <t>Manpreet Singh</t>
  </si>
  <si>
    <t>manpreetsingh@yahoo.com</t>
  </si>
  <si>
    <t>CUST00004000</t>
  </si>
  <si>
    <t>amandeepkaur391@yahoo.com</t>
  </si>
  <si>
    <t>Column1</t>
  </si>
  <si>
    <t>Gender  clean</t>
  </si>
  <si>
    <t>Phone- clean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</si>
</sst>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0" fillId="33" borderId="0" xfId="0" applyFill="1"/>
    <xf numFmtId="0" fontId="0" fillId="34" borderId="0" xfId="0" applyFill="1"/>
    <xf numFmtId="0" fontId="0" fillId="35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numFmt numFmtId="0" formatCode="General"/>
      <fill>
        <patternFill patternType="solid">
          <fgColor indexed="64"/>
          <bgColor theme="5" tint="0.79998168889431442"/>
        </patternFill>
      </fill>
    </dxf>
    <dxf>
      <numFmt numFmtId="19" formatCode="dd/mm/yyyy"/>
    </dxf>
    <dxf>
      <numFmt numFmtId="0" formatCode="General"/>
    </dxf>
    <dxf>
      <numFmt numFmtId="19" formatCode="dd/mm/yyyy"/>
    </dxf>
    <dxf>
      <numFmt numFmtId="0" formatCode="General"/>
      <fill>
        <patternFill patternType="solid">
          <fgColor indexed="64"/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9D528A-73B9-40DC-8846-A2F302F5D02B}" name="Table1" displayName="Table1" ref="A1:Q4001" totalsRowShown="0">
  <autoFilter ref="A1:Q4001" xr:uid="{969D528A-73B9-40DC-8846-A2F302F5D02B}"/>
  <tableColumns count="17">
    <tableColumn id="1" xr3:uid="{DA66C6EA-5307-4AC0-9F81-F4789F92B311}" name="Column1"/>
    <tableColumn id="2" xr3:uid="{B54C274A-42FF-42B7-B10B-0E9177D49CA7}" name="Customer_Name"/>
    <tableColumn id="16" xr3:uid="{9848C24B-1823-4B4A-B8F3-D9F5C50AE6FC}" name="Gender  clean" dataDxfId="4">
      <calculatedColumnFormula>PROPER(TRIM(Table1[[#This Row],[Gender]]))</calculatedColumnFormula>
    </tableColumn>
    <tableColumn id="3" xr3:uid="{6CC13D95-1885-4B56-AA47-AF5ABC31AA36}" name="Gender"/>
    <tableColumn id="4" xr3:uid="{FA40B0FD-61F5-4761-AF03-7626C418C856}" name="Age"/>
    <tableColumn id="5" xr3:uid="{96BC13FE-13A2-4F68-B42E-6070251F614A}" name="Age_Group"/>
    <tableColumn id="6" xr3:uid="{23FA23FB-D546-4CD5-95D6-C43F3F882957}" name="Date_of_Birth" dataDxfId="3"/>
    <tableColumn id="7" xr3:uid="{A2190545-55F4-4D48-8192-A56448558974}" name="Email"/>
    <tableColumn id="17" xr3:uid="{D3360689-6983-4EBC-A237-34441C8D5781}" name="Phone- clean" dataDxfId="0">
      <calculatedColumnFormula>"+91"&amp;TEXT(J2,"0000000000")</calculatedColumnFormula>
    </tableColumn>
    <tableColumn id="8" xr3:uid="{673EAA11-700D-485B-9082-E7848A825010}" name="Phone" dataDxfId="2"/>
    <tableColumn id="9" xr3:uid="{B3F7895B-72F9-4DAC-B01A-9C1BB75EF029}" name="City"/>
    <tableColumn id="10" xr3:uid="{C1962C35-6CC3-4A6C-A60C-92C013CD110E}" name="State"/>
    <tableColumn id="11" xr3:uid="{DF357413-0F2D-44DF-8613-A11B046F7293}" name="Pincode"/>
    <tableColumn id="12" xr3:uid="{927FA23C-605D-46D3-8C1D-1560383CECC8}" name="Registration_Date" dataDxfId="1"/>
    <tableColumn id="13" xr3:uid="{EC08AA92-B2B0-4E52-ACDC-FD637546116D}" name="Customer_Tier"/>
    <tableColumn id="14" xr3:uid="{C01B55D6-1932-42A1-8F49-BDEEAF7C9635}" name="Total_Orders"/>
    <tableColumn id="15" xr3:uid="{791BBFBD-7EF1-49CA-A8CC-3176D1A131A9}" name="Total_Sp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50777-CCCA-4A5B-94FE-087F82FC4C86}">
  <dimension ref="A1:Q40001"/>
  <sheetViews>
    <sheetView tabSelected="1" workbookViewId="0">
      <selection activeCell="I3" sqref="I3"/>
    </sheetView>
  </sheetViews>
  <sheetFormatPr defaultRowHeight="14.4" x14ac:dyDescent="0.3"/>
  <cols>
    <col min="1" max="2" width="14" customWidth="1"/>
    <col min="3" max="3" width="14" style="2" customWidth="1"/>
    <col min="4" max="8" width="14" customWidth="1"/>
    <col min="9" max="9" width="16.21875" style="2" customWidth="1"/>
    <col min="10" max="10" width="16.21875" customWidth="1"/>
    <col min="11" max="17" width="14" customWidth="1"/>
  </cols>
  <sheetData>
    <row r="1" spans="1:17" x14ac:dyDescent="0.3">
      <c r="A1" t="s">
        <v>8579</v>
      </c>
      <c r="B1" t="s">
        <v>0</v>
      </c>
      <c r="C1" s="3" t="s">
        <v>8580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s="4" t="s">
        <v>8581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</row>
    <row r="2" spans="1:17" x14ac:dyDescent="0.3">
      <c r="A2" t="s">
        <v>14</v>
      </c>
      <c r="B2" t="s">
        <v>15</v>
      </c>
      <c r="C2" s="2" t="str">
        <f>PROPER(TRIM(Table1[[#This Row],[Gender]]))</f>
        <v>Male</v>
      </c>
      <c r="D2" t="s">
        <v>16</v>
      </c>
      <c r="E2">
        <v>48</v>
      </c>
      <c r="F2" t="s">
        <v>17</v>
      </c>
      <c r="G2" s="1">
        <v>28138</v>
      </c>
      <c r="H2" t="s">
        <v>18</v>
      </c>
      <c r="I2" s="2" t="str">
        <f t="shared" ref="I2:I65" si="0">"+91"&amp;TEXT(J2,"0000000000")</f>
        <v>+91-9625151920</v>
      </c>
      <c r="J2">
        <f>91-9625152011</f>
        <v>-9625151920</v>
      </c>
      <c r="K2" t="s">
        <v>19</v>
      </c>
      <c r="L2" t="s">
        <v>20</v>
      </c>
      <c r="M2">
        <v>122521</v>
      </c>
      <c r="N2" s="1">
        <v>45319</v>
      </c>
      <c r="O2" t="s">
        <v>21</v>
      </c>
      <c r="P2">
        <v>5</v>
      </c>
      <c r="Q2">
        <v>40098.480000000003</v>
      </c>
    </row>
    <row r="3" spans="1:17" x14ac:dyDescent="0.3">
      <c r="A3" t="s">
        <v>22</v>
      </c>
      <c r="B3" t="s">
        <v>23</v>
      </c>
      <c r="C3" s="2" t="str">
        <f>PROPER(TRIM(Table1[[#This Row],[Gender]]))</f>
        <v>Male</v>
      </c>
      <c r="D3" t="s">
        <v>16</v>
      </c>
      <c r="E3">
        <v>73</v>
      </c>
      <c r="F3" t="s">
        <v>24</v>
      </c>
      <c r="G3" s="1">
        <v>19013</v>
      </c>
      <c r="H3" t="s">
        <v>25</v>
      </c>
      <c r="I3" s="2" t="str">
        <f t="shared" si="0"/>
        <v>+91-8593009374</v>
      </c>
      <c r="J3">
        <f>91-8593009465</f>
        <v>-8593009374</v>
      </c>
      <c r="K3" t="s">
        <v>26</v>
      </c>
      <c r="L3" t="s">
        <v>27</v>
      </c>
      <c r="M3">
        <v>226518</v>
      </c>
      <c r="N3" s="1">
        <v>45163</v>
      </c>
      <c r="O3" t="s">
        <v>28</v>
      </c>
      <c r="P3">
        <v>8</v>
      </c>
      <c r="Q3">
        <v>63676.24</v>
      </c>
    </row>
    <row r="4" spans="1:17" x14ac:dyDescent="0.3">
      <c r="A4" t="s">
        <v>29</v>
      </c>
      <c r="B4" t="s">
        <v>30</v>
      </c>
      <c r="C4" s="2" t="str">
        <f>PROPER(TRIM(Table1[[#This Row],[Gender]]))</f>
        <v>Male</v>
      </c>
      <c r="D4" t="s">
        <v>16</v>
      </c>
      <c r="E4">
        <v>31</v>
      </c>
      <c r="F4" t="s">
        <v>31</v>
      </c>
      <c r="G4" s="1">
        <v>34343</v>
      </c>
      <c r="H4" t="s">
        <v>32</v>
      </c>
      <c r="I4" s="2" t="str">
        <f t="shared" si="0"/>
        <v>+91-7935884683</v>
      </c>
      <c r="J4">
        <f>91-7935884774</f>
        <v>-7935884683</v>
      </c>
      <c r="K4" t="s">
        <v>33</v>
      </c>
      <c r="L4" t="s">
        <v>34</v>
      </c>
      <c r="M4">
        <v>520400</v>
      </c>
      <c r="N4" s="1">
        <v>45168</v>
      </c>
      <c r="O4" t="s">
        <v>35</v>
      </c>
      <c r="P4">
        <v>0</v>
      </c>
      <c r="Q4">
        <v>0</v>
      </c>
    </row>
    <row r="5" spans="1:17" x14ac:dyDescent="0.3">
      <c r="A5" t="s">
        <v>36</v>
      </c>
      <c r="B5" t="s">
        <v>37</v>
      </c>
      <c r="C5" s="2" t="str">
        <f>PROPER(TRIM(Table1[[#This Row],[Gender]]))</f>
        <v>Male</v>
      </c>
      <c r="D5" t="s">
        <v>16</v>
      </c>
      <c r="E5">
        <v>41</v>
      </c>
      <c r="F5" t="s">
        <v>38</v>
      </c>
      <c r="G5" s="1">
        <v>30693</v>
      </c>
      <c r="H5" t="s">
        <v>39</v>
      </c>
      <c r="I5" s="2" t="str">
        <f t="shared" si="0"/>
        <v>+91-9015045981</v>
      </c>
      <c r="J5">
        <f>91-9015046072</f>
        <v>-9015045981</v>
      </c>
      <c r="K5" t="s">
        <v>40</v>
      </c>
      <c r="L5" t="s">
        <v>27</v>
      </c>
      <c r="M5">
        <v>735356</v>
      </c>
      <c r="N5" s="1">
        <v>45362</v>
      </c>
      <c r="O5" t="s">
        <v>28</v>
      </c>
      <c r="P5">
        <v>5</v>
      </c>
      <c r="Q5">
        <v>288324.84000000003</v>
      </c>
    </row>
    <row r="6" spans="1:17" x14ac:dyDescent="0.3">
      <c r="A6" t="s">
        <v>41</v>
      </c>
      <c r="B6" t="s">
        <v>42</v>
      </c>
      <c r="C6" s="2" t="str">
        <f>PROPER(TRIM(Table1[[#This Row],[Gender]]))</f>
        <v>Female</v>
      </c>
      <c r="D6" t="s">
        <v>43</v>
      </c>
      <c r="E6">
        <v>53</v>
      </c>
      <c r="F6" t="s">
        <v>17</v>
      </c>
      <c r="G6" s="1">
        <v>26313</v>
      </c>
      <c r="H6" t="s">
        <v>44</v>
      </c>
      <c r="I6" s="2" t="str">
        <f t="shared" si="0"/>
        <v>+91-8813094180</v>
      </c>
      <c r="J6">
        <f>91-8813094271</f>
        <v>-8813094180</v>
      </c>
      <c r="K6" t="s">
        <v>45</v>
      </c>
      <c r="L6" t="s">
        <v>46</v>
      </c>
      <c r="M6">
        <v>985141</v>
      </c>
      <c r="N6" s="1">
        <v>45401</v>
      </c>
      <c r="O6" t="s">
        <v>28</v>
      </c>
      <c r="P6">
        <v>4</v>
      </c>
      <c r="Q6">
        <v>69265.75</v>
      </c>
    </row>
    <row r="7" spans="1:17" x14ac:dyDescent="0.3">
      <c r="A7" t="s">
        <v>47</v>
      </c>
      <c r="B7" t="s">
        <v>48</v>
      </c>
      <c r="C7" s="2" t="str">
        <f>PROPER(TRIM(Table1[[#This Row],[Gender]]))</f>
        <v>Female</v>
      </c>
      <c r="D7" t="s">
        <v>43</v>
      </c>
      <c r="E7">
        <v>19</v>
      </c>
      <c r="F7" t="s">
        <v>49</v>
      </c>
      <c r="G7" s="1">
        <v>38723</v>
      </c>
      <c r="H7" t="s">
        <v>50</v>
      </c>
      <c r="I7" s="2" t="str">
        <f t="shared" si="0"/>
        <v>+91-9199445881</v>
      </c>
      <c r="J7">
        <f>91-9199445972</f>
        <v>-9199445881</v>
      </c>
      <c r="K7" t="s">
        <v>51</v>
      </c>
      <c r="L7" t="s">
        <v>52</v>
      </c>
      <c r="M7">
        <v>226445</v>
      </c>
      <c r="N7" s="1">
        <v>45408</v>
      </c>
      <c r="O7" t="s">
        <v>28</v>
      </c>
      <c r="P7">
        <v>6</v>
      </c>
      <c r="Q7">
        <v>195157.41</v>
      </c>
    </row>
    <row r="8" spans="1:17" x14ac:dyDescent="0.3">
      <c r="A8" t="s">
        <v>53</v>
      </c>
      <c r="B8" t="s">
        <v>54</v>
      </c>
      <c r="C8" s="2" t="str">
        <f>PROPER(TRIM(Table1[[#This Row],[Gender]]))</f>
        <v>Male</v>
      </c>
      <c r="D8" t="s">
        <v>16</v>
      </c>
      <c r="E8">
        <v>34</v>
      </c>
      <c r="F8" t="s">
        <v>31</v>
      </c>
      <c r="G8" s="1">
        <v>33248</v>
      </c>
      <c r="H8" t="s">
        <v>55</v>
      </c>
      <c r="I8" s="2" t="str">
        <f t="shared" si="0"/>
        <v>+91-9319135120</v>
      </c>
      <c r="J8">
        <f>91-9319135211</f>
        <v>-9319135120</v>
      </c>
      <c r="K8" t="s">
        <v>51</v>
      </c>
      <c r="L8" t="s">
        <v>52</v>
      </c>
      <c r="M8">
        <v>495420</v>
      </c>
      <c r="N8" s="1">
        <v>45422</v>
      </c>
      <c r="O8" t="s">
        <v>28</v>
      </c>
      <c r="P8">
        <v>7</v>
      </c>
      <c r="Q8">
        <v>216730.17</v>
      </c>
    </row>
    <row r="9" spans="1:17" x14ac:dyDescent="0.3">
      <c r="A9" t="s">
        <v>56</v>
      </c>
      <c r="B9" t="s">
        <v>57</v>
      </c>
      <c r="C9" s="2" t="str">
        <f>PROPER(TRIM(Table1[[#This Row],[Gender]]))</f>
        <v>Female</v>
      </c>
      <c r="D9" t="s">
        <v>43</v>
      </c>
      <c r="E9">
        <v>60</v>
      </c>
      <c r="F9" t="s">
        <v>58</v>
      </c>
      <c r="G9" s="1">
        <v>23758</v>
      </c>
      <c r="H9" t="s">
        <v>59</v>
      </c>
      <c r="I9" s="2" t="str">
        <f t="shared" si="0"/>
        <v>+91-9941630519</v>
      </c>
      <c r="J9">
        <f>91-9941630610</f>
        <v>-9941630519</v>
      </c>
      <c r="K9" t="s">
        <v>60</v>
      </c>
      <c r="L9" t="s">
        <v>34</v>
      </c>
      <c r="M9">
        <v>304884</v>
      </c>
      <c r="N9" s="1">
        <v>45384</v>
      </c>
      <c r="O9" t="s">
        <v>28</v>
      </c>
      <c r="P9">
        <v>7</v>
      </c>
      <c r="Q9">
        <v>149633.69</v>
      </c>
    </row>
    <row r="10" spans="1:17" x14ac:dyDescent="0.3">
      <c r="A10" t="s">
        <v>61</v>
      </c>
      <c r="B10" t="s">
        <v>62</v>
      </c>
      <c r="C10" s="2" t="str">
        <f>PROPER(TRIM(Table1[[#This Row],[Gender]]))</f>
        <v>Female</v>
      </c>
      <c r="D10" t="s">
        <v>43</v>
      </c>
      <c r="E10">
        <v>35</v>
      </c>
      <c r="F10" t="s">
        <v>31</v>
      </c>
      <c r="G10" s="1">
        <v>32883</v>
      </c>
      <c r="H10" t="s">
        <v>63</v>
      </c>
      <c r="I10" s="2" t="str">
        <f t="shared" si="0"/>
        <v>+91-7662143996</v>
      </c>
      <c r="J10">
        <f>91-7662144087</f>
        <v>-7662143996</v>
      </c>
      <c r="K10" t="s">
        <v>64</v>
      </c>
      <c r="L10" t="s">
        <v>20</v>
      </c>
      <c r="M10">
        <v>190336</v>
      </c>
      <c r="N10" s="1">
        <v>45202</v>
      </c>
      <c r="O10" t="s">
        <v>28</v>
      </c>
      <c r="P10">
        <v>7</v>
      </c>
      <c r="Q10">
        <v>339103.94</v>
      </c>
    </row>
    <row r="11" spans="1:17" x14ac:dyDescent="0.3">
      <c r="A11" t="s">
        <v>65</v>
      </c>
      <c r="B11" t="s">
        <v>66</v>
      </c>
      <c r="C11" s="2" t="str">
        <f>PROPER(TRIM(Table1[[#This Row],[Gender]]))</f>
        <v>Male</v>
      </c>
      <c r="D11" t="s">
        <v>16</v>
      </c>
      <c r="E11">
        <v>42</v>
      </c>
      <c r="F11" t="s">
        <v>38</v>
      </c>
      <c r="G11" s="1">
        <v>30328</v>
      </c>
      <c r="H11" t="s">
        <v>67</v>
      </c>
      <c r="I11" s="2" t="str">
        <f t="shared" si="0"/>
        <v>+91-8249924337</v>
      </c>
      <c r="J11">
        <f>91-8249924428</f>
        <v>-8249924337</v>
      </c>
      <c r="K11" t="s">
        <v>68</v>
      </c>
      <c r="L11" t="s">
        <v>52</v>
      </c>
      <c r="M11">
        <v>824048</v>
      </c>
      <c r="N11" s="1">
        <v>45252</v>
      </c>
      <c r="O11" t="s">
        <v>28</v>
      </c>
      <c r="P11">
        <v>6</v>
      </c>
      <c r="Q11">
        <v>192737.1</v>
      </c>
    </row>
    <row r="12" spans="1:17" x14ac:dyDescent="0.3">
      <c r="A12" t="s">
        <v>69</v>
      </c>
      <c r="B12" t="s">
        <v>70</v>
      </c>
      <c r="C12" s="2" t="str">
        <f>PROPER(TRIM(Table1[[#This Row],[Gender]]))</f>
        <v>Female</v>
      </c>
      <c r="D12" t="s">
        <v>43</v>
      </c>
      <c r="E12">
        <v>28</v>
      </c>
      <c r="F12" t="s">
        <v>31</v>
      </c>
      <c r="G12" s="1">
        <v>35438</v>
      </c>
      <c r="H12" t="s">
        <v>71</v>
      </c>
      <c r="I12" s="2" t="str">
        <f t="shared" si="0"/>
        <v>+91-7233469979</v>
      </c>
      <c r="J12">
        <f>91-7233470070</f>
        <v>-7233469979</v>
      </c>
      <c r="K12" t="s">
        <v>72</v>
      </c>
      <c r="L12" t="s">
        <v>34</v>
      </c>
      <c r="M12">
        <v>701815</v>
      </c>
      <c r="N12" s="1">
        <v>45167</v>
      </c>
      <c r="O12" t="s">
        <v>28</v>
      </c>
      <c r="P12">
        <v>8</v>
      </c>
      <c r="Q12">
        <v>134681.04</v>
      </c>
    </row>
    <row r="13" spans="1:17" x14ac:dyDescent="0.3">
      <c r="A13" t="s">
        <v>73</v>
      </c>
      <c r="B13" t="s">
        <v>74</v>
      </c>
      <c r="C13" s="2" t="str">
        <f>PROPER(TRIM(Table1[[#This Row],[Gender]]))</f>
        <v>Male</v>
      </c>
      <c r="D13" t="s">
        <v>16</v>
      </c>
      <c r="E13">
        <v>26</v>
      </c>
      <c r="F13" t="s">
        <v>31</v>
      </c>
      <c r="G13" s="1">
        <v>36168</v>
      </c>
      <c r="H13" t="s">
        <v>75</v>
      </c>
      <c r="I13" s="2" t="str">
        <f t="shared" si="0"/>
        <v>+91-9622271584</v>
      </c>
      <c r="J13">
        <f>91-9622271675</f>
        <v>-9622271584</v>
      </c>
      <c r="K13" t="s">
        <v>76</v>
      </c>
      <c r="L13" t="s">
        <v>46</v>
      </c>
      <c r="M13">
        <v>614498</v>
      </c>
      <c r="N13" s="1">
        <v>45158</v>
      </c>
      <c r="O13" t="s">
        <v>28</v>
      </c>
      <c r="P13">
        <v>4</v>
      </c>
      <c r="Q13">
        <v>415607.48</v>
      </c>
    </row>
    <row r="14" spans="1:17" x14ac:dyDescent="0.3">
      <c r="A14" t="s">
        <v>77</v>
      </c>
      <c r="B14" t="s">
        <v>78</v>
      </c>
      <c r="C14" s="2" t="str">
        <f>PROPER(TRIM(Table1[[#This Row],[Gender]]))</f>
        <v>Female</v>
      </c>
      <c r="D14" t="s">
        <v>43</v>
      </c>
      <c r="E14">
        <v>58</v>
      </c>
      <c r="F14" t="s">
        <v>58</v>
      </c>
      <c r="G14" s="1">
        <v>24488</v>
      </c>
      <c r="H14" t="s">
        <v>79</v>
      </c>
      <c r="I14" s="2" t="str">
        <f t="shared" si="0"/>
        <v>+91-9938221706</v>
      </c>
      <c r="J14">
        <f>91-9938221797</f>
        <v>-9938221706</v>
      </c>
      <c r="K14" t="s">
        <v>80</v>
      </c>
      <c r="L14" t="s">
        <v>20</v>
      </c>
      <c r="M14">
        <v>272941</v>
      </c>
      <c r="N14" s="1">
        <v>45240</v>
      </c>
      <c r="O14" t="s">
        <v>28</v>
      </c>
      <c r="P14">
        <v>6</v>
      </c>
      <c r="Q14">
        <v>77308.679999999993</v>
      </c>
    </row>
    <row r="15" spans="1:17" x14ac:dyDescent="0.3">
      <c r="A15" t="s">
        <v>81</v>
      </c>
      <c r="B15" t="s">
        <v>82</v>
      </c>
      <c r="C15" s="2" t="str">
        <f>PROPER(TRIM(Table1[[#This Row],[Gender]]))</f>
        <v>Female</v>
      </c>
      <c r="D15" t="s">
        <v>43</v>
      </c>
      <c r="E15">
        <v>20</v>
      </c>
      <c r="F15" t="s">
        <v>49</v>
      </c>
      <c r="G15" s="1">
        <v>38358</v>
      </c>
      <c r="H15" t="s">
        <v>83</v>
      </c>
      <c r="I15" s="2" t="str">
        <f t="shared" si="0"/>
        <v>+91-7381307879</v>
      </c>
      <c r="J15">
        <f>91-7381307970</f>
        <v>-7381307879</v>
      </c>
      <c r="K15" t="s">
        <v>84</v>
      </c>
      <c r="L15" t="s">
        <v>85</v>
      </c>
      <c r="M15">
        <v>765203</v>
      </c>
      <c r="N15" s="1">
        <v>45379</v>
      </c>
      <c r="O15" t="s">
        <v>28</v>
      </c>
      <c r="P15">
        <v>5</v>
      </c>
      <c r="Q15">
        <v>131378.22</v>
      </c>
    </row>
    <row r="16" spans="1:17" x14ac:dyDescent="0.3">
      <c r="A16" t="s">
        <v>86</v>
      </c>
      <c r="B16" t="s">
        <v>87</v>
      </c>
      <c r="C16" s="2" t="str">
        <f>PROPER(TRIM(Table1[[#This Row],[Gender]]))</f>
        <v>Female</v>
      </c>
      <c r="D16" t="s">
        <v>43</v>
      </c>
      <c r="E16">
        <v>23</v>
      </c>
      <c r="F16" t="s">
        <v>49</v>
      </c>
      <c r="G16" s="1">
        <v>37263</v>
      </c>
      <c r="H16" t="s">
        <v>88</v>
      </c>
      <c r="I16" s="2" t="str">
        <f t="shared" si="0"/>
        <v>+91-9591128752</v>
      </c>
      <c r="J16">
        <f>91-9591128843</f>
        <v>-9591128752</v>
      </c>
      <c r="K16" t="s">
        <v>89</v>
      </c>
      <c r="L16" t="s">
        <v>90</v>
      </c>
      <c r="M16">
        <v>162012</v>
      </c>
      <c r="N16" s="1">
        <v>45418</v>
      </c>
      <c r="O16" t="s">
        <v>28</v>
      </c>
      <c r="P16">
        <v>4</v>
      </c>
      <c r="Q16">
        <v>81482.83</v>
      </c>
    </row>
    <row r="17" spans="1:17" x14ac:dyDescent="0.3">
      <c r="A17" t="s">
        <v>91</v>
      </c>
      <c r="B17" t="s">
        <v>92</v>
      </c>
      <c r="C17" s="2" t="str">
        <f>PROPER(TRIM(Table1[[#This Row],[Gender]]))</f>
        <v>Female</v>
      </c>
      <c r="D17" t="s">
        <v>43</v>
      </c>
      <c r="E17">
        <v>35</v>
      </c>
      <c r="F17" t="s">
        <v>31</v>
      </c>
      <c r="G17" s="1">
        <v>32883</v>
      </c>
      <c r="H17" t="s">
        <v>93</v>
      </c>
      <c r="I17" s="2" t="str">
        <f t="shared" si="0"/>
        <v>+91-8141076274</v>
      </c>
      <c r="J17">
        <f>91-8141076365</f>
        <v>-8141076274</v>
      </c>
      <c r="K17" t="s">
        <v>94</v>
      </c>
      <c r="L17" t="s">
        <v>20</v>
      </c>
      <c r="M17">
        <v>989324</v>
      </c>
      <c r="N17" s="1">
        <v>45134</v>
      </c>
      <c r="O17" t="s">
        <v>28</v>
      </c>
      <c r="P17">
        <v>8</v>
      </c>
      <c r="Q17">
        <v>86078.26</v>
      </c>
    </row>
    <row r="18" spans="1:17" x14ac:dyDescent="0.3">
      <c r="A18" t="s">
        <v>95</v>
      </c>
      <c r="B18" t="s">
        <v>96</v>
      </c>
      <c r="C18" s="2" t="str">
        <f>PROPER(TRIM(Table1[[#This Row],[Gender]]))</f>
        <v>Female</v>
      </c>
      <c r="D18" t="s">
        <v>43</v>
      </c>
      <c r="E18">
        <v>21</v>
      </c>
      <c r="F18" t="s">
        <v>49</v>
      </c>
      <c r="G18" s="1">
        <v>37993</v>
      </c>
      <c r="H18" t="s">
        <v>97</v>
      </c>
      <c r="I18" s="2" t="str">
        <f t="shared" si="0"/>
        <v>+91-9693193789</v>
      </c>
      <c r="J18">
        <f>91-9693193880</f>
        <v>-9693193789</v>
      </c>
      <c r="K18" t="s">
        <v>64</v>
      </c>
      <c r="L18" t="s">
        <v>20</v>
      </c>
      <c r="M18">
        <v>503640</v>
      </c>
      <c r="N18" s="1">
        <v>45080</v>
      </c>
      <c r="O18" t="s">
        <v>28</v>
      </c>
      <c r="P18">
        <v>5</v>
      </c>
      <c r="Q18">
        <v>208838.19</v>
      </c>
    </row>
    <row r="19" spans="1:17" x14ac:dyDescent="0.3">
      <c r="A19" t="s">
        <v>98</v>
      </c>
      <c r="B19" t="s">
        <v>99</v>
      </c>
      <c r="C19" s="2" t="str">
        <f>PROPER(TRIM(Table1[[#This Row],[Gender]]))</f>
        <v>Female</v>
      </c>
      <c r="D19" t="s">
        <v>43</v>
      </c>
      <c r="E19">
        <v>30</v>
      </c>
      <c r="F19" t="s">
        <v>31</v>
      </c>
      <c r="G19" s="1">
        <v>34708</v>
      </c>
      <c r="H19" t="s">
        <v>100</v>
      </c>
      <c r="I19" s="2" t="str">
        <f t="shared" si="0"/>
        <v>+91-7502096227</v>
      </c>
      <c r="J19">
        <f>91-7502096318</f>
        <v>-7502096227</v>
      </c>
      <c r="K19" t="s">
        <v>101</v>
      </c>
      <c r="L19" t="s">
        <v>102</v>
      </c>
      <c r="M19">
        <v>237197</v>
      </c>
      <c r="N19" s="1">
        <v>45098</v>
      </c>
      <c r="O19" t="s">
        <v>28</v>
      </c>
      <c r="P19">
        <v>3</v>
      </c>
      <c r="Q19">
        <v>107100.8</v>
      </c>
    </row>
    <row r="20" spans="1:17" x14ac:dyDescent="0.3">
      <c r="A20" t="s">
        <v>103</v>
      </c>
      <c r="B20" t="s">
        <v>104</v>
      </c>
      <c r="C20" s="2" t="str">
        <f>PROPER(TRIM(Table1[[#This Row],[Gender]]))</f>
        <v>Female</v>
      </c>
      <c r="D20" t="s">
        <v>43</v>
      </c>
      <c r="E20">
        <v>24</v>
      </c>
      <c r="F20" t="s">
        <v>49</v>
      </c>
      <c r="G20" s="1">
        <v>36898</v>
      </c>
      <c r="H20" t="s">
        <v>105</v>
      </c>
      <c r="I20" s="2" t="str">
        <f t="shared" si="0"/>
        <v>+91-7729664899</v>
      </c>
      <c r="J20">
        <f>91-7729664990</f>
        <v>-7729664899</v>
      </c>
      <c r="K20" t="s">
        <v>80</v>
      </c>
      <c r="L20" t="s">
        <v>20</v>
      </c>
      <c r="M20">
        <v>246062</v>
      </c>
      <c r="N20" s="1">
        <v>45282</v>
      </c>
      <c r="O20" t="s">
        <v>28</v>
      </c>
      <c r="P20">
        <v>8</v>
      </c>
      <c r="Q20">
        <v>97966.36</v>
      </c>
    </row>
    <row r="21" spans="1:17" x14ac:dyDescent="0.3">
      <c r="A21" t="s">
        <v>106</v>
      </c>
      <c r="B21" t="s">
        <v>107</v>
      </c>
      <c r="C21" s="2" t="str">
        <f>PROPER(TRIM(Table1[[#This Row],[Gender]]))</f>
        <v>Female</v>
      </c>
      <c r="D21" t="s">
        <v>43</v>
      </c>
      <c r="E21">
        <v>45</v>
      </c>
      <c r="F21" t="s">
        <v>38</v>
      </c>
      <c r="G21" s="1">
        <v>29233</v>
      </c>
      <c r="H21" t="s">
        <v>108</v>
      </c>
      <c r="I21" s="2" t="str">
        <f t="shared" si="0"/>
        <v>+91-7699889307</v>
      </c>
      <c r="J21">
        <f>91-7699889398</f>
        <v>-7699889307</v>
      </c>
      <c r="K21" t="s">
        <v>109</v>
      </c>
      <c r="L21" t="s">
        <v>46</v>
      </c>
      <c r="M21">
        <v>574204</v>
      </c>
      <c r="N21" s="1">
        <v>45316</v>
      </c>
      <c r="O21" t="s">
        <v>28</v>
      </c>
      <c r="P21">
        <v>9</v>
      </c>
      <c r="Q21">
        <v>225738.85</v>
      </c>
    </row>
    <row r="22" spans="1:17" x14ac:dyDescent="0.3">
      <c r="A22" t="s">
        <v>110</v>
      </c>
      <c r="B22" t="s">
        <v>111</v>
      </c>
      <c r="C22" s="2" t="str">
        <f>PROPER(TRIM(Table1[[#This Row],[Gender]]))</f>
        <v>Male</v>
      </c>
      <c r="D22" t="s">
        <v>16</v>
      </c>
      <c r="E22">
        <v>32</v>
      </c>
      <c r="F22" t="s">
        <v>31</v>
      </c>
      <c r="G22" s="1">
        <v>33978</v>
      </c>
      <c r="H22" t="s">
        <v>112</v>
      </c>
      <c r="I22" s="2" t="str">
        <f t="shared" si="0"/>
        <v>+91-9500531739</v>
      </c>
      <c r="J22">
        <f>91-9500531830</f>
        <v>-9500531739</v>
      </c>
      <c r="K22" t="s">
        <v>113</v>
      </c>
      <c r="L22" t="s">
        <v>34</v>
      </c>
      <c r="M22">
        <v>491295</v>
      </c>
      <c r="N22" s="1">
        <v>45369</v>
      </c>
      <c r="O22" t="s">
        <v>21</v>
      </c>
      <c r="P22">
        <v>2</v>
      </c>
      <c r="Q22">
        <v>27456.26</v>
      </c>
    </row>
    <row r="23" spans="1:17" x14ac:dyDescent="0.3">
      <c r="A23" t="s">
        <v>114</v>
      </c>
      <c r="B23" t="s">
        <v>115</v>
      </c>
      <c r="C23" s="2" t="str">
        <f>PROPER(TRIM(Table1[[#This Row],[Gender]]))</f>
        <v>Male</v>
      </c>
      <c r="D23" t="s">
        <v>16</v>
      </c>
      <c r="E23">
        <v>30</v>
      </c>
      <c r="F23" t="s">
        <v>31</v>
      </c>
      <c r="G23" s="1">
        <v>34708</v>
      </c>
      <c r="H23" t="s">
        <v>116</v>
      </c>
      <c r="I23" s="2" t="str">
        <f t="shared" si="0"/>
        <v>+91-8384568751</v>
      </c>
      <c r="J23">
        <f>91-8384568842</f>
        <v>-8384568751</v>
      </c>
      <c r="K23" t="s">
        <v>117</v>
      </c>
      <c r="L23" t="s">
        <v>52</v>
      </c>
      <c r="M23">
        <v>620036</v>
      </c>
      <c r="N23" s="1">
        <v>45229</v>
      </c>
      <c r="O23" t="s">
        <v>28</v>
      </c>
      <c r="P23">
        <v>10</v>
      </c>
      <c r="Q23">
        <v>234104.79</v>
      </c>
    </row>
    <row r="24" spans="1:17" x14ac:dyDescent="0.3">
      <c r="A24" t="s">
        <v>118</v>
      </c>
      <c r="B24" t="s">
        <v>119</v>
      </c>
      <c r="C24" s="2" t="str">
        <f>PROPER(TRIM(Table1[[#This Row],[Gender]]))</f>
        <v>Male</v>
      </c>
      <c r="D24" t="s">
        <v>16</v>
      </c>
      <c r="E24">
        <v>44</v>
      </c>
      <c r="F24" t="s">
        <v>38</v>
      </c>
      <c r="G24" s="1">
        <v>29598</v>
      </c>
      <c r="H24" t="s">
        <v>120</v>
      </c>
      <c r="I24" s="2" t="str">
        <f t="shared" si="0"/>
        <v>+91-8231822063</v>
      </c>
      <c r="J24">
        <f>91-8231822154</f>
        <v>-8231822063</v>
      </c>
      <c r="K24" t="s">
        <v>121</v>
      </c>
      <c r="L24" t="s">
        <v>85</v>
      </c>
      <c r="M24">
        <v>903821</v>
      </c>
      <c r="N24" s="1">
        <v>45340</v>
      </c>
      <c r="O24" t="s">
        <v>28</v>
      </c>
      <c r="P24">
        <v>3</v>
      </c>
      <c r="Q24">
        <v>67612.09</v>
      </c>
    </row>
    <row r="25" spans="1:17" x14ac:dyDescent="0.3">
      <c r="A25" t="s">
        <v>122</v>
      </c>
      <c r="B25" t="s">
        <v>123</v>
      </c>
      <c r="C25" s="2" t="str">
        <f>PROPER(TRIM(Table1[[#This Row],[Gender]]))</f>
        <v>Male</v>
      </c>
      <c r="D25" t="s">
        <v>16</v>
      </c>
      <c r="E25">
        <v>54</v>
      </c>
      <c r="F25" t="s">
        <v>17</v>
      </c>
      <c r="G25" s="1">
        <v>25948</v>
      </c>
      <c r="H25" t="s">
        <v>124</v>
      </c>
      <c r="I25" s="2" t="str">
        <f t="shared" si="0"/>
        <v>+91-8947995597</v>
      </c>
      <c r="J25">
        <f>91-8947995688</f>
        <v>-8947995597</v>
      </c>
      <c r="K25" t="s">
        <v>125</v>
      </c>
      <c r="L25" t="s">
        <v>52</v>
      </c>
      <c r="M25">
        <v>755932</v>
      </c>
      <c r="N25" s="1">
        <v>45382</v>
      </c>
      <c r="O25" t="s">
        <v>28</v>
      </c>
      <c r="P25">
        <v>3</v>
      </c>
      <c r="Q25">
        <v>137750.19</v>
      </c>
    </row>
    <row r="26" spans="1:17" x14ac:dyDescent="0.3">
      <c r="A26" t="s">
        <v>126</v>
      </c>
      <c r="B26" t="s">
        <v>127</v>
      </c>
      <c r="C26" s="2" t="str">
        <f>PROPER(TRIM(Table1[[#This Row],[Gender]]))</f>
        <v>Male</v>
      </c>
      <c r="D26" t="s">
        <v>16</v>
      </c>
      <c r="E26">
        <v>61</v>
      </c>
      <c r="F26" t="s">
        <v>58</v>
      </c>
      <c r="G26" s="1">
        <v>23393</v>
      </c>
      <c r="H26" t="s">
        <v>128</v>
      </c>
      <c r="I26" s="2" t="str">
        <f t="shared" si="0"/>
        <v>+91-7088142365</v>
      </c>
      <c r="J26">
        <f>91-7088142456</f>
        <v>-7088142365</v>
      </c>
      <c r="K26" t="s">
        <v>121</v>
      </c>
      <c r="L26" t="s">
        <v>85</v>
      </c>
      <c r="M26">
        <v>873657</v>
      </c>
      <c r="N26" s="1">
        <v>45191</v>
      </c>
      <c r="O26" t="s">
        <v>28</v>
      </c>
      <c r="P26">
        <v>8</v>
      </c>
      <c r="Q26">
        <v>50069.87</v>
      </c>
    </row>
    <row r="27" spans="1:17" x14ac:dyDescent="0.3">
      <c r="A27" t="s">
        <v>129</v>
      </c>
      <c r="B27" t="s">
        <v>130</v>
      </c>
      <c r="C27" s="2" t="str">
        <f>PROPER(TRIM(Table1[[#This Row],[Gender]]))</f>
        <v>Male</v>
      </c>
      <c r="D27" t="s">
        <v>16</v>
      </c>
      <c r="E27">
        <v>47</v>
      </c>
      <c r="F27" t="s">
        <v>17</v>
      </c>
      <c r="G27" s="1">
        <v>28503</v>
      </c>
      <c r="H27" t="s">
        <v>131</v>
      </c>
      <c r="I27" s="2" t="str">
        <f t="shared" si="0"/>
        <v>+91-8043244099</v>
      </c>
      <c r="J27">
        <f>91-8043244190</f>
        <v>-8043244099</v>
      </c>
      <c r="K27" t="s">
        <v>19</v>
      </c>
      <c r="L27" t="s">
        <v>20</v>
      </c>
      <c r="M27">
        <v>321991</v>
      </c>
      <c r="N27" s="1">
        <v>45235</v>
      </c>
      <c r="O27" t="s">
        <v>28</v>
      </c>
      <c r="P27">
        <v>6</v>
      </c>
      <c r="Q27">
        <v>68598.09</v>
      </c>
    </row>
    <row r="28" spans="1:17" x14ac:dyDescent="0.3">
      <c r="A28" t="s">
        <v>132</v>
      </c>
      <c r="B28" t="s">
        <v>133</v>
      </c>
      <c r="C28" s="2" t="str">
        <f>PROPER(TRIM(Table1[[#This Row],[Gender]]))</f>
        <v>Male</v>
      </c>
      <c r="D28" t="s">
        <v>16</v>
      </c>
      <c r="E28">
        <v>59</v>
      </c>
      <c r="F28" t="s">
        <v>58</v>
      </c>
      <c r="G28" s="1">
        <v>24123</v>
      </c>
      <c r="H28" t="s">
        <v>134</v>
      </c>
      <c r="I28" s="2" t="str">
        <f t="shared" si="0"/>
        <v>+91-8103077924</v>
      </c>
      <c r="J28">
        <f>91-8103078015</f>
        <v>-8103077924</v>
      </c>
      <c r="K28" t="s">
        <v>109</v>
      </c>
      <c r="L28" t="s">
        <v>46</v>
      </c>
      <c r="M28">
        <v>581648</v>
      </c>
      <c r="N28" s="1">
        <v>45087</v>
      </c>
      <c r="O28" t="s">
        <v>28</v>
      </c>
      <c r="P28">
        <v>4</v>
      </c>
      <c r="Q28">
        <v>103770.58</v>
      </c>
    </row>
    <row r="29" spans="1:17" x14ac:dyDescent="0.3">
      <c r="A29" t="s">
        <v>135</v>
      </c>
      <c r="B29" t="s">
        <v>136</v>
      </c>
      <c r="C29" s="2" t="str">
        <f>PROPER(TRIM(Table1[[#This Row],[Gender]]))</f>
        <v>Female</v>
      </c>
      <c r="D29" t="s">
        <v>43</v>
      </c>
      <c r="E29">
        <v>45</v>
      </c>
      <c r="F29" t="s">
        <v>38</v>
      </c>
      <c r="G29" s="1">
        <v>29233</v>
      </c>
      <c r="H29" t="s">
        <v>137</v>
      </c>
      <c r="I29" s="2" t="str">
        <f t="shared" si="0"/>
        <v>+91-9702159019</v>
      </c>
      <c r="J29">
        <f>91-9702159110</f>
        <v>-9702159019</v>
      </c>
      <c r="K29" t="s">
        <v>138</v>
      </c>
      <c r="L29" t="s">
        <v>90</v>
      </c>
      <c r="M29">
        <v>774976</v>
      </c>
      <c r="N29" s="1">
        <v>45429</v>
      </c>
      <c r="O29" t="s">
        <v>28</v>
      </c>
      <c r="P29">
        <v>3</v>
      </c>
      <c r="Q29">
        <v>219002.63</v>
      </c>
    </row>
    <row r="30" spans="1:17" x14ac:dyDescent="0.3">
      <c r="A30" t="s">
        <v>139</v>
      </c>
      <c r="B30" t="s">
        <v>140</v>
      </c>
      <c r="C30" s="2" t="str">
        <f>PROPER(TRIM(Table1[[#This Row],[Gender]]))</f>
        <v>Female</v>
      </c>
      <c r="D30" t="s">
        <v>43</v>
      </c>
      <c r="E30">
        <v>21</v>
      </c>
      <c r="F30" t="s">
        <v>49</v>
      </c>
      <c r="G30" s="1">
        <v>37993</v>
      </c>
      <c r="H30" t="s">
        <v>141</v>
      </c>
      <c r="I30" s="2" t="str">
        <f t="shared" si="0"/>
        <v>+91-9366157186</v>
      </c>
      <c r="J30">
        <f>91-9366157277</f>
        <v>-9366157186</v>
      </c>
      <c r="K30" t="s">
        <v>142</v>
      </c>
      <c r="L30" t="s">
        <v>143</v>
      </c>
      <c r="M30">
        <v>620809</v>
      </c>
      <c r="N30" s="1">
        <v>45190</v>
      </c>
      <c r="O30" t="s">
        <v>28</v>
      </c>
      <c r="P30">
        <v>5</v>
      </c>
      <c r="Q30">
        <v>309524.06</v>
      </c>
    </row>
    <row r="31" spans="1:17" x14ac:dyDescent="0.3">
      <c r="A31" t="s">
        <v>144</v>
      </c>
      <c r="B31" t="s">
        <v>145</v>
      </c>
      <c r="C31" s="2" t="str">
        <f>PROPER(TRIM(Table1[[#This Row],[Gender]]))</f>
        <v>Female</v>
      </c>
      <c r="D31" t="s">
        <v>43</v>
      </c>
      <c r="E31">
        <v>18</v>
      </c>
      <c r="F31" t="s">
        <v>49</v>
      </c>
      <c r="G31" s="1">
        <v>39088</v>
      </c>
      <c r="H31" t="s">
        <v>146</v>
      </c>
      <c r="I31" s="2" t="str">
        <f t="shared" si="0"/>
        <v>+91-9599211100</v>
      </c>
      <c r="J31">
        <f>91-9599211191</f>
        <v>-9599211100</v>
      </c>
      <c r="K31" t="s">
        <v>147</v>
      </c>
      <c r="L31" t="s">
        <v>143</v>
      </c>
      <c r="M31">
        <v>628893</v>
      </c>
      <c r="N31" s="1">
        <v>45173</v>
      </c>
      <c r="O31" t="s">
        <v>28</v>
      </c>
      <c r="P31">
        <v>8</v>
      </c>
      <c r="Q31">
        <v>156102.68</v>
      </c>
    </row>
    <row r="32" spans="1:17" x14ac:dyDescent="0.3">
      <c r="A32" t="s">
        <v>148</v>
      </c>
      <c r="B32" t="s">
        <v>149</v>
      </c>
      <c r="C32" s="2" t="str">
        <f>PROPER(TRIM(Table1[[#This Row],[Gender]]))</f>
        <v>Male</v>
      </c>
      <c r="D32" t="s">
        <v>16</v>
      </c>
      <c r="E32">
        <v>28</v>
      </c>
      <c r="F32" t="s">
        <v>31</v>
      </c>
      <c r="G32" s="1">
        <v>35438</v>
      </c>
      <c r="H32" t="s">
        <v>150</v>
      </c>
      <c r="I32" s="2" t="str">
        <f t="shared" si="0"/>
        <v>+91-9611130673</v>
      </c>
      <c r="J32">
        <f>91-9611130764</f>
        <v>-9611130673</v>
      </c>
      <c r="K32" t="s">
        <v>109</v>
      </c>
      <c r="L32" t="s">
        <v>46</v>
      </c>
      <c r="M32">
        <v>152910</v>
      </c>
      <c r="N32" s="1">
        <v>45279</v>
      </c>
      <c r="O32" t="s">
        <v>35</v>
      </c>
      <c r="P32">
        <v>1</v>
      </c>
      <c r="Q32">
        <v>19654.16</v>
      </c>
    </row>
    <row r="33" spans="1:17" x14ac:dyDescent="0.3">
      <c r="A33" t="s">
        <v>151</v>
      </c>
      <c r="B33" t="s">
        <v>152</v>
      </c>
      <c r="C33" s="2" t="str">
        <f>PROPER(TRIM(Table1[[#This Row],[Gender]]))</f>
        <v>Male</v>
      </c>
      <c r="D33" t="s">
        <v>16</v>
      </c>
      <c r="E33">
        <v>43</v>
      </c>
      <c r="F33" t="s">
        <v>38</v>
      </c>
      <c r="G33" s="1">
        <v>29963</v>
      </c>
      <c r="H33" t="s">
        <v>153</v>
      </c>
      <c r="I33" s="2" t="str">
        <f t="shared" si="0"/>
        <v>+91-7825256069</v>
      </c>
      <c r="J33">
        <f>91-7825256160</f>
        <v>-7825256069</v>
      </c>
      <c r="K33" t="s">
        <v>154</v>
      </c>
      <c r="L33" t="s">
        <v>46</v>
      </c>
      <c r="M33">
        <v>931256</v>
      </c>
      <c r="N33" s="1">
        <v>45301</v>
      </c>
      <c r="O33" t="s">
        <v>28</v>
      </c>
      <c r="P33">
        <v>9</v>
      </c>
      <c r="Q33">
        <v>290079.46000000002</v>
      </c>
    </row>
    <row r="34" spans="1:17" x14ac:dyDescent="0.3">
      <c r="A34" t="s">
        <v>155</v>
      </c>
      <c r="B34" t="s">
        <v>156</v>
      </c>
      <c r="C34" s="2" t="str">
        <f>PROPER(TRIM(Table1[[#This Row],[Gender]]))</f>
        <v>Male</v>
      </c>
      <c r="D34" t="s">
        <v>16</v>
      </c>
      <c r="E34">
        <v>28</v>
      </c>
      <c r="F34" t="s">
        <v>31</v>
      </c>
      <c r="G34" s="1">
        <v>35438</v>
      </c>
      <c r="H34" t="s">
        <v>157</v>
      </c>
      <c r="I34" s="2" t="str">
        <f t="shared" si="0"/>
        <v>+91-7375523727</v>
      </c>
      <c r="J34">
        <f>91-7375523818</f>
        <v>-7375523727</v>
      </c>
      <c r="K34" t="s">
        <v>33</v>
      </c>
      <c r="L34" t="s">
        <v>34</v>
      </c>
      <c r="M34">
        <v>278944</v>
      </c>
      <c r="N34" s="1">
        <v>45345</v>
      </c>
      <c r="O34" t="s">
        <v>21</v>
      </c>
      <c r="P34">
        <v>1</v>
      </c>
      <c r="Q34">
        <v>23832.76</v>
      </c>
    </row>
    <row r="35" spans="1:17" x14ac:dyDescent="0.3">
      <c r="A35" t="s">
        <v>158</v>
      </c>
      <c r="B35" t="s">
        <v>159</v>
      </c>
      <c r="C35" s="2" t="str">
        <f>PROPER(TRIM(Table1[[#This Row],[Gender]]))</f>
        <v>Female</v>
      </c>
      <c r="D35" t="s">
        <v>43</v>
      </c>
      <c r="E35">
        <v>44</v>
      </c>
      <c r="F35" t="s">
        <v>38</v>
      </c>
      <c r="G35" s="1">
        <v>29598</v>
      </c>
      <c r="H35" t="s">
        <v>160</v>
      </c>
      <c r="I35" s="2" t="str">
        <f t="shared" si="0"/>
        <v>+91-9521940704</v>
      </c>
      <c r="J35">
        <f>91-9521940795</f>
        <v>-9521940704</v>
      </c>
      <c r="K35" t="s">
        <v>161</v>
      </c>
      <c r="L35" t="s">
        <v>102</v>
      </c>
      <c r="M35">
        <v>759994</v>
      </c>
      <c r="N35" s="1">
        <v>45154</v>
      </c>
      <c r="O35" t="s">
        <v>28</v>
      </c>
      <c r="P35">
        <v>4</v>
      </c>
      <c r="Q35">
        <v>88475.29</v>
      </c>
    </row>
    <row r="36" spans="1:17" x14ac:dyDescent="0.3">
      <c r="A36" t="s">
        <v>162</v>
      </c>
      <c r="B36" t="s">
        <v>163</v>
      </c>
      <c r="C36" s="2" t="str">
        <f>PROPER(TRIM(Table1[[#This Row],[Gender]]))</f>
        <v>Female</v>
      </c>
      <c r="D36" t="s">
        <v>43</v>
      </c>
      <c r="E36">
        <v>24</v>
      </c>
      <c r="F36" t="s">
        <v>49</v>
      </c>
      <c r="G36" s="1">
        <v>36898</v>
      </c>
      <c r="H36" t="s">
        <v>164</v>
      </c>
      <c r="I36" s="2" t="str">
        <f t="shared" si="0"/>
        <v>+91-7795538042</v>
      </c>
      <c r="J36">
        <f>91-7795538133</f>
        <v>-7795538042</v>
      </c>
      <c r="K36" t="s">
        <v>165</v>
      </c>
      <c r="L36" t="s">
        <v>52</v>
      </c>
      <c r="M36">
        <v>701036</v>
      </c>
      <c r="N36" s="1">
        <v>45089</v>
      </c>
      <c r="O36" t="s">
        <v>28</v>
      </c>
      <c r="P36">
        <v>3</v>
      </c>
      <c r="Q36">
        <v>135953.79999999999</v>
      </c>
    </row>
    <row r="37" spans="1:17" x14ac:dyDescent="0.3">
      <c r="A37" t="s">
        <v>166</v>
      </c>
      <c r="B37" t="s">
        <v>167</v>
      </c>
      <c r="C37" s="2" t="str">
        <f>PROPER(TRIM(Table1[[#This Row],[Gender]]))</f>
        <v>Female</v>
      </c>
      <c r="D37" t="s">
        <v>43</v>
      </c>
      <c r="E37">
        <v>26</v>
      </c>
      <c r="F37" t="s">
        <v>31</v>
      </c>
      <c r="G37" s="1">
        <v>36168</v>
      </c>
      <c r="H37" t="s">
        <v>168</v>
      </c>
      <c r="I37" s="2" t="str">
        <f t="shared" si="0"/>
        <v>+91-8718701081</v>
      </c>
      <c r="J37">
        <f>91-8718701172</f>
        <v>-8718701081</v>
      </c>
      <c r="K37" t="s">
        <v>94</v>
      </c>
      <c r="L37" t="s">
        <v>20</v>
      </c>
      <c r="M37">
        <v>602090</v>
      </c>
      <c r="N37" s="1">
        <v>45218</v>
      </c>
      <c r="O37" t="s">
        <v>28</v>
      </c>
      <c r="P37">
        <v>3</v>
      </c>
      <c r="Q37">
        <v>116977.79</v>
      </c>
    </row>
    <row r="38" spans="1:17" x14ac:dyDescent="0.3">
      <c r="A38" t="s">
        <v>169</v>
      </c>
      <c r="B38" t="s">
        <v>15</v>
      </c>
      <c r="C38" s="2" t="str">
        <f>PROPER(TRIM(Table1[[#This Row],[Gender]]))</f>
        <v>Male</v>
      </c>
      <c r="D38" t="s">
        <v>16</v>
      </c>
      <c r="E38">
        <v>28</v>
      </c>
      <c r="F38" t="s">
        <v>31</v>
      </c>
      <c r="G38" s="1">
        <v>35438</v>
      </c>
      <c r="H38" t="s">
        <v>170</v>
      </c>
      <c r="I38" s="2" t="str">
        <f t="shared" si="0"/>
        <v>+91-9980026169</v>
      </c>
      <c r="J38">
        <f>91-9980026260</f>
        <v>-9980026169</v>
      </c>
      <c r="K38" t="s">
        <v>109</v>
      </c>
      <c r="L38" t="s">
        <v>46</v>
      </c>
      <c r="M38">
        <v>699070</v>
      </c>
      <c r="N38" s="1">
        <v>45092</v>
      </c>
      <c r="O38" t="s">
        <v>28</v>
      </c>
      <c r="P38">
        <v>1</v>
      </c>
      <c r="Q38">
        <v>57496.87</v>
      </c>
    </row>
    <row r="39" spans="1:17" x14ac:dyDescent="0.3">
      <c r="A39" t="s">
        <v>171</v>
      </c>
      <c r="B39" t="s">
        <v>172</v>
      </c>
      <c r="C39" s="2" t="str">
        <f>PROPER(TRIM(Table1[[#This Row],[Gender]]))</f>
        <v>Male</v>
      </c>
      <c r="D39" t="s">
        <v>16</v>
      </c>
      <c r="E39">
        <v>43</v>
      </c>
      <c r="F39" t="s">
        <v>38</v>
      </c>
      <c r="G39" s="1">
        <v>29963</v>
      </c>
      <c r="H39" t="s">
        <v>173</v>
      </c>
      <c r="I39" s="2" t="str">
        <f t="shared" si="0"/>
        <v>+91-8325615054</v>
      </c>
      <c r="J39">
        <f>91-8325615145</f>
        <v>-8325615054</v>
      </c>
      <c r="K39" t="s">
        <v>174</v>
      </c>
      <c r="L39" t="s">
        <v>90</v>
      </c>
      <c r="M39">
        <v>419903</v>
      </c>
      <c r="N39" s="1">
        <v>45253</v>
      </c>
      <c r="O39" t="s">
        <v>28</v>
      </c>
      <c r="P39">
        <v>2</v>
      </c>
      <c r="Q39">
        <v>105011.31</v>
      </c>
    </row>
    <row r="40" spans="1:17" x14ac:dyDescent="0.3">
      <c r="A40" t="s">
        <v>175</v>
      </c>
      <c r="B40" t="s">
        <v>176</v>
      </c>
      <c r="C40" s="2" t="str">
        <f>PROPER(TRIM(Table1[[#This Row],[Gender]]))</f>
        <v>Female</v>
      </c>
      <c r="D40" t="s">
        <v>43</v>
      </c>
      <c r="E40">
        <v>43</v>
      </c>
      <c r="F40" t="s">
        <v>38</v>
      </c>
      <c r="G40" s="1">
        <v>29963</v>
      </c>
      <c r="H40" t="s">
        <v>177</v>
      </c>
      <c r="I40" s="2" t="str">
        <f t="shared" si="0"/>
        <v>+91-9648384124</v>
      </c>
      <c r="J40">
        <f>91-9648384215</f>
        <v>-9648384124</v>
      </c>
      <c r="K40" t="s">
        <v>178</v>
      </c>
      <c r="L40" t="s">
        <v>27</v>
      </c>
      <c r="M40">
        <v>667560</v>
      </c>
      <c r="N40" s="1">
        <v>45172</v>
      </c>
      <c r="O40" t="s">
        <v>35</v>
      </c>
      <c r="P40">
        <v>3</v>
      </c>
      <c r="Q40">
        <v>10318.49</v>
      </c>
    </row>
    <row r="41" spans="1:17" x14ac:dyDescent="0.3">
      <c r="A41" t="s">
        <v>179</v>
      </c>
      <c r="B41" t="s">
        <v>180</v>
      </c>
      <c r="C41" s="2" t="str">
        <f>PROPER(TRIM(Table1[[#This Row],[Gender]]))</f>
        <v>Female</v>
      </c>
      <c r="D41" t="s">
        <v>43</v>
      </c>
      <c r="E41">
        <v>29</v>
      </c>
      <c r="F41" t="s">
        <v>31</v>
      </c>
      <c r="G41" s="1">
        <v>35073</v>
      </c>
      <c r="H41" t="s">
        <v>181</v>
      </c>
      <c r="I41" s="2" t="str">
        <f t="shared" si="0"/>
        <v>+91-9585457222</v>
      </c>
      <c r="J41">
        <f>91-9585457313</f>
        <v>-9585457222</v>
      </c>
      <c r="K41" t="s">
        <v>89</v>
      </c>
      <c r="L41" t="s">
        <v>90</v>
      </c>
      <c r="M41">
        <v>267583</v>
      </c>
      <c r="N41" s="1">
        <v>45406</v>
      </c>
      <c r="O41" t="s">
        <v>28</v>
      </c>
      <c r="P41">
        <v>6</v>
      </c>
      <c r="Q41">
        <v>181800.28</v>
      </c>
    </row>
    <row r="42" spans="1:17" x14ac:dyDescent="0.3">
      <c r="A42" t="s">
        <v>182</v>
      </c>
      <c r="B42" t="s">
        <v>183</v>
      </c>
      <c r="C42" s="2" t="str">
        <f>PROPER(TRIM(Table1[[#This Row],[Gender]]))</f>
        <v>Male</v>
      </c>
      <c r="D42" t="s">
        <v>16</v>
      </c>
      <c r="E42">
        <v>18</v>
      </c>
      <c r="F42" t="s">
        <v>49</v>
      </c>
      <c r="G42" s="1">
        <v>39088</v>
      </c>
      <c r="H42" t="s">
        <v>184</v>
      </c>
      <c r="I42" s="2" t="str">
        <f t="shared" si="0"/>
        <v>+91-7708938244</v>
      </c>
      <c r="J42">
        <f>91-7708938335</f>
        <v>-7708938244</v>
      </c>
      <c r="K42" t="s">
        <v>45</v>
      </c>
      <c r="L42" t="s">
        <v>46</v>
      </c>
      <c r="M42">
        <v>846339</v>
      </c>
      <c r="N42" s="1">
        <v>45380</v>
      </c>
      <c r="O42" t="s">
        <v>28</v>
      </c>
      <c r="P42">
        <v>6</v>
      </c>
      <c r="Q42">
        <v>191921.24</v>
      </c>
    </row>
    <row r="43" spans="1:17" x14ac:dyDescent="0.3">
      <c r="A43" t="s">
        <v>185</v>
      </c>
      <c r="B43" t="s">
        <v>115</v>
      </c>
      <c r="C43" s="2" t="str">
        <f>PROPER(TRIM(Table1[[#This Row],[Gender]]))</f>
        <v>Male</v>
      </c>
      <c r="D43" t="s">
        <v>16</v>
      </c>
      <c r="E43">
        <v>41</v>
      </c>
      <c r="F43" t="s">
        <v>38</v>
      </c>
      <c r="G43" s="1">
        <v>30693</v>
      </c>
      <c r="H43" t="s">
        <v>186</v>
      </c>
      <c r="I43" s="2" t="str">
        <f t="shared" si="0"/>
        <v>+91-9375842145</v>
      </c>
      <c r="J43">
        <f>91-9375842236</f>
        <v>-9375842145</v>
      </c>
      <c r="K43" t="s">
        <v>165</v>
      </c>
      <c r="L43" t="s">
        <v>52</v>
      </c>
      <c r="M43">
        <v>995764</v>
      </c>
      <c r="N43" s="1">
        <v>45342</v>
      </c>
      <c r="O43" t="s">
        <v>28</v>
      </c>
      <c r="P43">
        <v>5</v>
      </c>
      <c r="Q43">
        <v>125102.36</v>
      </c>
    </row>
    <row r="44" spans="1:17" x14ac:dyDescent="0.3">
      <c r="A44" t="s">
        <v>187</v>
      </c>
      <c r="B44" t="s">
        <v>188</v>
      </c>
      <c r="C44" s="2" t="str">
        <f>PROPER(TRIM(Table1[[#This Row],[Gender]]))</f>
        <v>Female</v>
      </c>
      <c r="D44" t="s">
        <v>43</v>
      </c>
      <c r="E44">
        <v>40</v>
      </c>
      <c r="F44" t="s">
        <v>38</v>
      </c>
      <c r="G44" s="1">
        <v>31058</v>
      </c>
      <c r="H44" t="s">
        <v>189</v>
      </c>
      <c r="I44" s="2" t="str">
        <f t="shared" si="0"/>
        <v>+91-9460660739</v>
      </c>
      <c r="J44">
        <f>91-9460660830</f>
        <v>-9460660739</v>
      </c>
      <c r="K44" t="s">
        <v>190</v>
      </c>
      <c r="L44" t="s">
        <v>191</v>
      </c>
      <c r="M44">
        <v>577531</v>
      </c>
      <c r="N44" s="1">
        <v>45169</v>
      </c>
      <c r="O44" t="s">
        <v>28</v>
      </c>
      <c r="P44">
        <v>2</v>
      </c>
      <c r="Q44">
        <v>73861.570000000007</v>
      </c>
    </row>
    <row r="45" spans="1:17" x14ac:dyDescent="0.3">
      <c r="A45" t="s">
        <v>192</v>
      </c>
      <c r="B45" t="s">
        <v>193</v>
      </c>
      <c r="C45" s="2" t="str">
        <f>PROPER(TRIM(Table1[[#This Row],[Gender]]))</f>
        <v>Male</v>
      </c>
      <c r="D45" t="s">
        <v>16</v>
      </c>
      <c r="E45">
        <v>24</v>
      </c>
      <c r="F45" t="s">
        <v>49</v>
      </c>
      <c r="G45" s="1">
        <v>36898</v>
      </c>
      <c r="H45" t="s">
        <v>194</v>
      </c>
      <c r="I45" s="2" t="str">
        <f t="shared" si="0"/>
        <v>+91-9166005953</v>
      </c>
      <c r="J45">
        <f>91-9166006044</f>
        <v>-9166005953</v>
      </c>
      <c r="K45" t="s">
        <v>195</v>
      </c>
      <c r="L45" t="s">
        <v>102</v>
      </c>
      <c r="M45">
        <v>830678</v>
      </c>
      <c r="N45" s="1">
        <v>45299</v>
      </c>
      <c r="O45" t="s">
        <v>28</v>
      </c>
      <c r="P45">
        <v>3</v>
      </c>
      <c r="Q45">
        <v>194783.7</v>
      </c>
    </row>
    <row r="46" spans="1:17" x14ac:dyDescent="0.3">
      <c r="A46" t="s">
        <v>196</v>
      </c>
      <c r="B46" t="s">
        <v>197</v>
      </c>
      <c r="C46" s="2" t="str">
        <f>PROPER(TRIM(Table1[[#This Row],[Gender]]))</f>
        <v>Male</v>
      </c>
      <c r="D46" t="s">
        <v>16</v>
      </c>
      <c r="E46">
        <v>29</v>
      </c>
      <c r="F46" t="s">
        <v>31</v>
      </c>
      <c r="G46" s="1">
        <v>35073</v>
      </c>
      <c r="H46" t="s">
        <v>198</v>
      </c>
      <c r="I46" s="2" t="str">
        <f t="shared" si="0"/>
        <v>+91-7691340766</v>
      </c>
      <c r="J46">
        <f>91-7691340857</f>
        <v>-7691340766</v>
      </c>
      <c r="K46" t="s">
        <v>94</v>
      </c>
      <c r="L46" t="s">
        <v>20</v>
      </c>
      <c r="M46">
        <v>331124</v>
      </c>
      <c r="N46" s="1">
        <v>45130</v>
      </c>
      <c r="O46" t="s">
        <v>28</v>
      </c>
      <c r="P46">
        <v>6</v>
      </c>
      <c r="Q46">
        <v>105687.92</v>
      </c>
    </row>
    <row r="47" spans="1:17" x14ac:dyDescent="0.3">
      <c r="A47" t="s">
        <v>199</v>
      </c>
      <c r="B47" t="s">
        <v>200</v>
      </c>
      <c r="C47" s="2" t="str">
        <f>PROPER(TRIM(Table1[[#This Row],[Gender]]))</f>
        <v>Female</v>
      </c>
      <c r="D47" t="s">
        <v>43</v>
      </c>
      <c r="E47">
        <v>35</v>
      </c>
      <c r="F47" t="s">
        <v>31</v>
      </c>
      <c r="G47" s="1">
        <v>32883</v>
      </c>
      <c r="H47" t="s">
        <v>201</v>
      </c>
      <c r="I47" s="2" t="str">
        <f t="shared" si="0"/>
        <v>+91-7381822184</v>
      </c>
      <c r="J47">
        <f>91-7381822275</f>
        <v>-7381822184</v>
      </c>
      <c r="K47" t="s">
        <v>202</v>
      </c>
      <c r="L47" t="s">
        <v>191</v>
      </c>
      <c r="M47">
        <v>836567</v>
      </c>
      <c r="N47" s="1">
        <v>45295</v>
      </c>
      <c r="O47" t="s">
        <v>28</v>
      </c>
      <c r="P47">
        <v>3</v>
      </c>
      <c r="Q47">
        <v>76112.05</v>
      </c>
    </row>
    <row r="48" spans="1:17" x14ac:dyDescent="0.3">
      <c r="A48" t="s">
        <v>203</v>
      </c>
      <c r="B48" t="s">
        <v>204</v>
      </c>
      <c r="C48" s="2" t="str">
        <f>PROPER(TRIM(Table1[[#This Row],[Gender]]))</f>
        <v>Female</v>
      </c>
      <c r="D48" t="s">
        <v>43</v>
      </c>
      <c r="E48">
        <v>55</v>
      </c>
      <c r="F48" t="s">
        <v>17</v>
      </c>
      <c r="G48" s="1">
        <v>25583</v>
      </c>
      <c r="H48" t="s">
        <v>205</v>
      </c>
      <c r="I48" s="2" t="str">
        <f t="shared" si="0"/>
        <v>+91-8952927893</v>
      </c>
      <c r="J48">
        <f>91-8952927984</f>
        <v>-8952927893</v>
      </c>
      <c r="K48" t="s">
        <v>121</v>
      </c>
      <c r="L48" t="s">
        <v>85</v>
      </c>
      <c r="M48">
        <v>344748</v>
      </c>
      <c r="N48" s="1">
        <v>45310</v>
      </c>
      <c r="O48" t="s">
        <v>21</v>
      </c>
      <c r="P48">
        <v>4</v>
      </c>
      <c r="Q48">
        <v>23683.71</v>
      </c>
    </row>
    <row r="49" spans="1:17" x14ac:dyDescent="0.3">
      <c r="A49" t="s">
        <v>206</v>
      </c>
      <c r="B49" t="s">
        <v>207</v>
      </c>
      <c r="C49" s="2" t="str">
        <f>PROPER(TRIM(Table1[[#This Row],[Gender]]))</f>
        <v>Female</v>
      </c>
      <c r="D49" t="s">
        <v>43</v>
      </c>
      <c r="E49">
        <v>45</v>
      </c>
      <c r="F49" t="s">
        <v>38</v>
      </c>
      <c r="G49" s="1">
        <v>29233</v>
      </c>
      <c r="H49" t="s">
        <v>208</v>
      </c>
      <c r="I49" s="2" t="str">
        <f t="shared" si="0"/>
        <v>+91-8078737578</v>
      </c>
      <c r="J49">
        <f>91-8078737669</f>
        <v>-8078737578</v>
      </c>
      <c r="K49" t="s">
        <v>60</v>
      </c>
      <c r="L49" t="s">
        <v>34</v>
      </c>
      <c r="M49">
        <v>179055</v>
      </c>
      <c r="N49" s="1">
        <v>45265</v>
      </c>
      <c r="O49" t="s">
        <v>28</v>
      </c>
      <c r="P49">
        <v>4</v>
      </c>
      <c r="Q49">
        <v>108963.82</v>
      </c>
    </row>
    <row r="50" spans="1:17" x14ac:dyDescent="0.3">
      <c r="A50" t="s">
        <v>209</v>
      </c>
      <c r="B50" t="s">
        <v>210</v>
      </c>
      <c r="C50" s="2" t="str">
        <f>PROPER(TRIM(Table1[[#This Row],[Gender]]))</f>
        <v>Female</v>
      </c>
      <c r="D50" t="s">
        <v>43</v>
      </c>
      <c r="E50">
        <v>19</v>
      </c>
      <c r="F50" t="s">
        <v>49</v>
      </c>
      <c r="G50" s="1">
        <v>38723</v>
      </c>
      <c r="H50" t="s">
        <v>211</v>
      </c>
      <c r="I50" s="2" t="str">
        <f t="shared" si="0"/>
        <v>+91-8226615630</v>
      </c>
      <c r="J50">
        <f>91-8226615721</f>
        <v>-8226615630</v>
      </c>
      <c r="K50" t="s">
        <v>84</v>
      </c>
      <c r="L50" t="s">
        <v>85</v>
      </c>
      <c r="M50">
        <v>111349</v>
      </c>
      <c r="N50" s="1">
        <v>45392</v>
      </c>
      <c r="O50" t="s">
        <v>28</v>
      </c>
      <c r="P50">
        <v>5</v>
      </c>
      <c r="Q50">
        <v>177244.55</v>
      </c>
    </row>
    <row r="51" spans="1:17" x14ac:dyDescent="0.3">
      <c r="A51" t="s">
        <v>212</v>
      </c>
      <c r="B51" t="s">
        <v>213</v>
      </c>
      <c r="C51" s="2" t="str">
        <f>PROPER(TRIM(Table1[[#This Row],[Gender]]))</f>
        <v>Female</v>
      </c>
      <c r="D51" t="s">
        <v>43</v>
      </c>
      <c r="E51">
        <v>52</v>
      </c>
      <c r="F51" t="s">
        <v>17</v>
      </c>
      <c r="G51" s="1">
        <v>26678</v>
      </c>
      <c r="H51" t="s">
        <v>214</v>
      </c>
      <c r="I51" s="2" t="str">
        <f t="shared" si="0"/>
        <v>+91-9659655665</v>
      </c>
      <c r="J51">
        <f>91-9659655756</f>
        <v>-9659655665</v>
      </c>
      <c r="K51" t="s">
        <v>19</v>
      </c>
      <c r="L51" t="s">
        <v>20</v>
      </c>
      <c r="M51">
        <v>190075</v>
      </c>
      <c r="N51" s="1">
        <v>45079</v>
      </c>
      <c r="O51" t="s">
        <v>21</v>
      </c>
      <c r="P51">
        <v>6</v>
      </c>
      <c r="Q51">
        <v>49251.13</v>
      </c>
    </row>
    <row r="52" spans="1:17" x14ac:dyDescent="0.3">
      <c r="A52" t="s">
        <v>215</v>
      </c>
      <c r="B52" t="s">
        <v>216</v>
      </c>
      <c r="C52" s="2" t="str">
        <f>PROPER(TRIM(Table1[[#This Row],[Gender]]))</f>
        <v>Female</v>
      </c>
      <c r="D52" t="s">
        <v>43</v>
      </c>
      <c r="E52">
        <v>27</v>
      </c>
      <c r="F52" t="s">
        <v>31</v>
      </c>
      <c r="G52" s="1">
        <v>35803</v>
      </c>
      <c r="H52" t="s">
        <v>217</v>
      </c>
      <c r="I52" s="2" t="str">
        <f t="shared" si="0"/>
        <v>+91-8137514429</v>
      </c>
      <c r="J52">
        <f>91-8137514520</f>
        <v>-8137514429</v>
      </c>
      <c r="K52" t="s">
        <v>174</v>
      </c>
      <c r="L52" t="s">
        <v>90</v>
      </c>
      <c r="M52">
        <v>985367</v>
      </c>
      <c r="N52" s="1">
        <v>45203</v>
      </c>
      <c r="O52" t="s">
        <v>28</v>
      </c>
      <c r="P52">
        <v>4</v>
      </c>
      <c r="Q52">
        <v>261308.14</v>
      </c>
    </row>
    <row r="53" spans="1:17" x14ac:dyDescent="0.3">
      <c r="A53" t="s">
        <v>218</v>
      </c>
      <c r="B53" t="s">
        <v>219</v>
      </c>
      <c r="C53" s="2" t="str">
        <f>PROPER(TRIM(Table1[[#This Row],[Gender]]))</f>
        <v>Female</v>
      </c>
      <c r="D53" t="s">
        <v>43</v>
      </c>
      <c r="E53">
        <v>55</v>
      </c>
      <c r="F53" t="s">
        <v>17</v>
      </c>
      <c r="G53" s="1">
        <v>25583</v>
      </c>
      <c r="H53" t="s">
        <v>220</v>
      </c>
      <c r="I53" s="2" t="str">
        <f t="shared" si="0"/>
        <v>+91-8537816186</v>
      </c>
      <c r="J53">
        <f>91-8537816277</f>
        <v>-8537816186</v>
      </c>
      <c r="K53" t="s">
        <v>45</v>
      </c>
      <c r="L53" t="s">
        <v>46</v>
      </c>
      <c r="M53">
        <v>881453</v>
      </c>
      <c r="N53" s="1">
        <v>45155</v>
      </c>
      <c r="O53" t="s">
        <v>21</v>
      </c>
      <c r="P53">
        <v>5</v>
      </c>
      <c r="Q53">
        <v>41170.35</v>
      </c>
    </row>
    <row r="54" spans="1:17" x14ac:dyDescent="0.3">
      <c r="A54" t="s">
        <v>221</v>
      </c>
      <c r="B54" t="s">
        <v>222</v>
      </c>
      <c r="C54" s="2" t="str">
        <f>PROPER(TRIM(Table1[[#This Row],[Gender]]))</f>
        <v>Female</v>
      </c>
      <c r="D54" t="s">
        <v>43</v>
      </c>
      <c r="E54">
        <v>26</v>
      </c>
      <c r="F54" t="s">
        <v>31</v>
      </c>
      <c r="G54" s="1">
        <v>36168</v>
      </c>
      <c r="H54" t="s">
        <v>223</v>
      </c>
      <c r="I54" s="2" t="str">
        <f t="shared" si="0"/>
        <v>+91-9625097860</v>
      </c>
      <c r="J54">
        <f>91-9625097951</f>
        <v>-9625097860</v>
      </c>
      <c r="K54" t="s">
        <v>45</v>
      </c>
      <c r="L54" t="s">
        <v>46</v>
      </c>
      <c r="M54">
        <v>492229</v>
      </c>
      <c r="N54" s="1">
        <v>45431</v>
      </c>
      <c r="O54" t="s">
        <v>21</v>
      </c>
      <c r="P54">
        <v>4</v>
      </c>
      <c r="Q54">
        <v>34480.910000000003</v>
      </c>
    </row>
    <row r="55" spans="1:17" x14ac:dyDescent="0.3">
      <c r="A55" t="s">
        <v>224</v>
      </c>
      <c r="B55" t="s">
        <v>225</v>
      </c>
      <c r="C55" s="2" t="str">
        <f>PROPER(TRIM(Table1[[#This Row],[Gender]]))</f>
        <v>Male</v>
      </c>
      <c r="D55" t="s">
        <v>16</v>
      </c>
      <c r="E55">
        <v>51</v>
      </c>
      <c r="F55" t="s">
        <v>17</v>
      </c>
      <c r="G55" s="1">
        <v>27043</v>
      </c>
      <c r="H55" t="s">
        <v>226</v>
      </c>
      <c r="I55" s="2" t="str">
        <f t="shared" si="0"/>
        <v>+91-9763963232</v>
      </c>
      <c r="J55">
        <f>91-9763963323</f>
        <v>-9763963232</v>
      </c>
      <c r="K55" t="s">
        <v>101</v>
      </c>
      <c r="L55" t="s">
        <v>102</v>
      </c>
      <c r="M55">
        <v>787243</v>
      </c>
      <c r="N55" s="1">
        <v>45361</v>
      </c>
      <c r="O55" t="s">
        <v>28</v>
      </c>
      <c r="P55">
        <v>7</v>
      </c>
      <c r="Q55">
        <v>105840.62</v>
      </c>
    </row>
    <row r="56" spans="1:17" x14ac:dyDescent="0.3">
      <c r="A56" t="s">
        <v>227</v>
      </c>
      <c r="B56" t="s">
        <v>228</v>
      </c>
      <c r="C56" s="2" t="str">
        <f>PROPER(TRIM(Table1[[#This Row],[Gender]]))</f>
        <v>Female</v>
      </c>
      <c r="D56" t="s">
        <v>43</v>
      </c>
      <c r="E56">
        <v>19</v>
      </c>
      <c r="F56" t="s">
        <v>49</v>
      </c>
      <c r="G56" s="1">
        <v>38723</v>
      </c>
      <c r="H56" t="s">
        <v>229</v>
      </c>
      <c r="I56" s="2" t="str">
        <f t="shared" si="0"/>
        <v>+91-9183087037</v>
      </c>
      <c r="J56">
        <f>91-9183087128</f>
        <v>-9183087037</v>
      </c>
      <c r="K56" t="s">
        <v>40</v>
      </c>
      <c r="L56" t="s">
        <v>27</v>
      </c>
      <c r="M56">
        <v>777841</v>
      </c>
      <c r="N56" s="1">
        <v>45343</v>
      </c>
      <c r="O56" t="s">
        <v>35</v>
      </c>
      <c r="P56">
        <v>3</v>
      </c>
      <c r="Q56">
        <v>12704.79</v>
      </c>
    </row>
    <row r="57" spans="1:17" x14ac:dyDescent="0.3">
      <c r="A57" t="s">
        <v>230</v>
      </c>
      <c r="B57" t="s">
        <v>231</v>
      </c>
      <c r="C57" s="2" t="str">
        <f>PROPER(TRIM(Table1[[#This Row],[Gender]]))</f>
        <v>Male</v>
      </c>
      <c r="D57" t="s">
        <v>16</v>
      </c>
      <c r="E57">
        <v>27</v>
      </c>
      <c r="F57" t="s">
        <v>31</v>
      </c>
      <c r="G57" s="1">
        <v>35803</v>
      </c>
      <c r="H57" t="s">
        <v>232</v>
      </c>
      <c r="I57" s="2" t="str">
        <f t="shared" si="0"/>
        <v>+91-8701226729</v>
      </c>
      <c r="J57">
        <f>91-8701226820</f>
        <v>-8701226729</v>
      </c>
      <c r="K57" t="s">
        <v>101</v>
      </c>
      <c r="L57" t="s">
        <v>102</v>
      </c>
      <c r="M57">
        <v>645259</v>
      </c>
      <c r="N57" s="1">
        <v>45424</v>
      </c>
      <c r="O57" t="s">
        <v>28</v>
      </c>
      <c r="P57">
        <v>3</v>
      </c>
      <c r="Q57">
        <v>107091.86</v>
      </c>
    </row>
    <row r="58" spans="1:17" x14ac:dyDescent="0.3">
      <c r="A58" t="s">
        <v>233</v>
      </c>
      <c r="B58" t="s">
        <v>234</v>
      </c>
      <c r="C58" s="2" t="str">
        <f>PROPER(TRIM(Table1[[#This Row],[Gender]]))</f>
        <v>Female</v>
      </c>
      <c r="D58" t="s">
        <v>43</v>
      </c>
      <c r="E58">
        <v>29</v>
      </c>
      <c r="F58" t="s">
        <v>31</v>
      </c>
      <c r="G58" s="1">
        <v>35073</v>
      </c>
      <c r="H58" t="s">
        <v>235</v>
      </c>
      <c r="I58" s="2" t="str">
        <f t="shared" si="0"/>
        <v>+91-9073791846</v>
      </c>
      <c r="J58">
        <f>91-9073791937</f>
        <v>-9073791846</v>
      </c>
      <c r="K58" t="s">
        <v>76</v>
      </c>
      <c r="L58" t="s">
        <v>46</v>
      </c>
      <c r="M58">
        <v>958627</v>
      </c>
      <c r="N58" s="1">
        <v>45271</v>
      </c>
      <c r="O58" t="s">
        <v>21</v>
      </c>
      <c r="P58">
        <v>4</v>
      </c>
      <c r="Q58">
        <v>43660.66</v>
      </c>
    </row>
    <row r="59" spans="1:17" x14ac:dyDescent="0.3">
      <c r="A59" t="s">
        <v>236</v>
      </c>
      <c r="B59" t="s">
        <v>237</v>
      </c>
      <c r="C59" s="2" t="str">
        <f>PROPER(TRIM(Table1[[#This Row],[Gender]]))</f>
        <v>Female</v>
      </c>
      <c r="D59" t="s">
        <v>43</v>
      </c>
      <c r="E59">
        <v>29</v>
      </c>
      <c r="F59" t="s">
        <v>31</v>
      </c>
      <c r="G59" s="1">
        <v>35073</v>
      </c>
      <c r="H59" t="s">
        <v>238</v>
      </c>
      <c r="I59" s="2" t="str">
        <f t="shared" si="0"/>
        <v>+91-7926212202</v>
      </c>
      <c r="J59">
        <f>91-7926212293</f>
        <v>-7926212202</v>
      </c>
      <c r="K59" t="s">
        <v>239</v>
      </c>
      <c r="L59" t="s">
        <v>191</v>
      </c>
      <c r="M59">
        <v>327383</v>
      </c>
      <c r="N59" s="1">
        <v>45336</v>
      </c>
      <c r="O59" t="s">
        <v>28</v>
      </c>
      <c r="P59">
        <v>5</v>
      </c>
      <c r="Q59">
        <v>99995.14</v>
      </c>
    </row>
    <row r="60" spans="1:17" x14ac:dyDescent="0.3">
      <c r="A60" t="s">
        <v>240</v>
      </c>
      <c r="B60" t="s">
        <v>241</v>
      </c>
      <c r="C60" s="2" t="str">
        <f>PROPER(TRIM(Table1[[#This Row],[Gender]]))</f>
        <v>Male</v>
      </c>
      <c r="D60" t="s">
        <v>16</v>
      </c>
      <c r="E60">
        <v>33</v>
      </c>
      <c r="F60" t="s">
        <v>31</v>
      </c>
      <c r="G60" s="1">
        <v>33613</v>
      </c>
      <c r="H60" t="s">
        <v>242</v>
      </c>
      <c r="I60" s="2" t="str">
        <f t="shared" si="0"/>
        <v>+91-9460062641</v>
      </c>
      <c r="J60">
        <f>91-9460062732</f>
        <v>-9460062641</v>
      </c>
      <c r="K60" t="s">
        <v>154</v>
      </c>
      <c r="L60" t="s">
        <v>46</v>
      </c>
      <c r="M60">
        <v>312436</v>
      </c>
      <c r="N60" s="1">
        <v>45183</v>
      </c>
      <c r="O60" t="s">
        <v>21</v>
      </c>
      <c r="P60">
        <v>3</v>
      </c>
      <c r="Q60">
        <v>20335.04</v>
      </c>
    </row>
    <row r="61" spans="1:17" x14ac:dyDescent="0.3">
      <c r="A61" t="s">
        <v>243</v>
      </c>
      <c r="B61" t="s">
        <v>244</v>
      </c>
      <c r="C61" s="2" t="str">
        <f>PROPER(TRIM(Table1[[#This Row],[Gender]]))</f>
        <v>Male</v>
      </c>
      <c r="D61" t="s">
        <v>16</v>
      </c>
      <c r="E61">
        <v>25</v>
      </c>
      <c r="F61" t="s">
        <v>49</v>
      </c>
      <c r="G61" s="1">
        <v>36533</v>
      </c>
      <c r="H61" t="s">
        <v>245</v>
      </c>
      <c r="I61" s="2" t="str">
        <f t="shared" si="0"/>
        <v>+91-7537170502</v>
      </c>
      <c r="J61">
        <f>91-7537170593</f>
        <v>-7537170502</v>
      </c>
      <c r="K61" t="s">
        <v>138</v>
      </c>
      <c r="L61" t="s">
        <v>90</v>
      </c>
      <c r="M61">
        <v>916550</v>
      </c>
      <c r="N61" s="1">
        <v>45203</v>
      </c>
      <c r="O61" t="s">
        <v>35</v>
      </c>
      <c r="P61">
        <v>2</v>
      </c>
      <c r="Q61">
        <v>6233.23</v>
      </c>
    </row>
    <row r="62" spans="1:17" x14ac:dyDescent="0.3">
      <c r="A62" t="s">
        <v>246</v>
      </c>
      <c r="B62" t="s">
        <v>247</v>
      </c>
      <c r="C62" s="2" t="str">
        <f>PROPER(TRIM(Table1[[#This Row],[Gender]]))</f>
        <v>Female</v>
      </c>
      <c r="D62" t="s">
        <v>43</v>
      </c>
      <c r="E62">
        <v>50</v>
      </c>
      <c r="F62" t="s">
        <v>17</v>
      </c>
      <c r="G62" s="1">
        <v>27408</v>
      </c>
      <c r="H62" t="s">
        <v>248</v>
      </c>
      <c r="I62" s="2" t="str">
        <f t="shared" si="0"/>
        <v>+91-7416942683</v>
      </c>
      <c r="J62">
        <f>91-7416942774</f>
        <v>-7416942683</v>
      </c>
      <c r="K62" t="s">
        <v>249</v>
      </c>
      <c r="L62" t="s">
        <v>34</v>
      </c>
      <c r="M62">
        <v>803791</v>
      </c>
      <c r="N62" s="1">
        <v>45179</v>
      </c>
      <c r="O62" t="s">
        <v>28</v>
      </c>
      <c r="P62">
        <v>4</v>
      </c>
      <c r="Q62">
        <v>54915.02</v>
      </c>
    </row>
    <row r="63" spans="1:17" x14ac:dyDescent="0.3">
      <c r="A63" t="s">
        <v>250</v>
      </c>
      <c r="B63" t="s">
        <v>251</v>
      </c>
      <c r="C63" s="2" t="str">
        <f>PROPER(TRIM(Table1[[#This Row],[Gender]]))</f>
        <v>Female</v>
      </c>
      <c r="D63" t="s">
        <v>43</v>
      </c>
      <c r="E63">
        <v>29</v>
      </c>
      <c r="F63" t="s">
        <v>31</v>
      </c>
      <c r="G63" s="1">
        <v>35073</v>
      </c>
      <c r="H63" t="s">
        <v>252</v>
      </c>
      <c r="I63" s="2" t="str">
        <f t="shared" si="0"/>
        <v>+91-7460188282</v>
      </c>
      <c r="J63">
        <f>91-7460188373</f>
        <v>-7460188282</v>
      </c>
      <c r="K63" t="s">
        <v>125</v>
      </c>
      <c r="L63" t="s">
        <v>52</v>
      </c>
      <c r="M63">
        <v>769274</v>
      </c>
      <c r="N63" s="1">
        <v>45409</v>
      </c>
      <c r="O63" t="s">
        <v>28</v>
      </c>
      <c r="P63">
        <v>6</v>
      </c>
      <c r="Q63">
        <v>273662.88</v>
      </c>
    </row>
    <row r="64" spans="1:17" x14ac:dyDescent="0.3">
      <c r="A64" t="s">
        <v>253</v>
      </c>
      <c r="B64" t="s">
        <v>254</v>
      </c>
      <c r="C64" s="2" t="str">
        <f>PROPER(TRIM(Table1[[#This Row],[Gender]]))</f>
        <v>Female</v>
      </c>
      <c r="D64" t="s">
        <v>43</v>
      </c>
      <c r="E64">
        <v>46</v>
      </c>
      <c r="F64" t="s">
        <v>17</v>
      </c>
      <c r="G64" s="1">
        <v>28868</v>
      </c>
      <c r="H64" t="s">
        <v>255</v>
      </c>
      <c r="I64" s="2" t="str">
        <f t="shared" si="0"/>
        <v>+91-7600671139</v>
      </c>
      <c r="J64">
        <f>91-7600671230</f>
        <v>-7600671139</v>
      </c>
      <c r="K64" t="s">
        <v>174</v>
      </c>
      <c r="L64" t="s">
        <v>90</v>
      </c>
      <c r="M64">
        <v>956741</v>
      </c>
      <c r="N64" s="1">
        <v>45233</v>
      </c>
      <c r="O64" t="s">
        <v>35</v>
      </c>
      <c r="P64">
        <v>3</v>
      </c>
      <c r="Q64">
        <v>5656.29</v>
      </c>
    </row>
    <row r="65" spans="1:17" x14ac:dyDescent="0.3">
      <c r="A65" t="s">
        <v>256</v>
      </c>
      <c r="B65" t="s">
        <v>257</v>
      </c>
      <c r="C65" s="2" t="str">
        <f>PROPER(TRIM(Table1[[#This Row],[Gender]]))</f>
        <v>Male</v>
      </c>
      <c r="D65" t="s">
        <v>16</v>
      </c>
      <c r="E65">
        <v>27</v>
      </c>
      <c r="F65" t="s">
        <v>31</v>
      </c>
      <c r="G65" s="1">
        <v>35803</v>
      </c>
      <c r="H65" t="s">
        <v>258</v>
      </c>
      <c r="I65" s="2" t="str">
        <f t="shared" si="0"/>
        <v>+91-7471037222</v>
      </c>
      <c r="J65">
        <f>91-7471037313</f>
        <v>-7471037222</v>
      </c>
      <c r="K65" t="s">
        <v>190</v>
      </c>
      <c r="L65" t="s">
        <v>191</v>
      </c>
      <c r="M65">
        <v>744419</v>
      </c>
      <c r="N65" s="1">
        <v>45322</v>
      </c>
      <c r="O65" t="s">
        <v>28</v>
      </c>
      <c r="P65">
        <v>3</v>
      </c>
      <c r="Q65">
        <v>129262.34</v>
      </c>
    </row>
    <row r="66" spans="1:17" x14ac:dyDescent="0.3">
      <c r="A66" t="s">
        <v>259</v>
      </c>
      <c r="B66" t="s">
        <v>225</v>
      </c>
      <c r="C66" s="2" t="str">
        <f>PROPER(TRIM(Table1[[#This Row],[Gender]]))</f>
        <v>Male</v>
      </c>
      <c r="D66" t="s">
        <v>16</v>
      </c>
      <c r="E66">
        <v>26</v>
      </c>
      <c r="F66" t="s">
        <v>31</v>
      </c>
      <c r="G66" s="1">
        <v>36168</v>
      </c>
      <c r="H66" t="s">
        <v>260</v>
      </c>
      <c r="I66" s="2" t="str">
        <f t="shared" ref="I66:I129" si="1">"+91"&amp;TEXT(J66,"0000000000")</f>
        <v>+91-9460888845</v>
      </c>
      <c r="J66">
        <f>91-9460888936</f>
        <v>-9460888845</v>
      </c>
      <c r="K66" t="s">
        <v>249</v>
      </c>
      <c r="L66" t="s">
        <v>34</v>
      </c>
      <c r="M66">
        <v>854703</v>
      </c>
      <c r="N66" s="1">
        <v>45282</v>
      </c>
      <c r="O66" t="s">
        <v>21</v>
      </c>
      <c r="P66">
        <v>4</v>
      </c>
      <c r="Q66">
        <v>22717.46</v>
      </c>
    </row>
    <row r="67" spans="1:17" x14ac:dyDescent="0.3">
      <c r="A67" t="s">
        <v>261</v>
      </c>
      <c r="B67" t="s">
        <v>262</v>
      </c>
      <c r="C67" s="2" t="str">
        <f>PROPER(TRIM(Table1[[#This Row],[Gender]]))</f>
        <v>Female</v>
      </c>
      <c r="D67" t="s">
        <v>43</v>
      </c>
      <c r="E67">
        <v>22</v>
      </c>
      <c r="F67" t="s">
        <v>49</v>
      </c>
      <c r="G67" s="1">
        <v>37628</v>
      </c>
      <c r="H67" t="s">
        <v>263</v>
      </c>
      <c r="I67" s="2" t="str">
        <f t="shared" si="1"/>
        <v>+91-8680416010</v>
      </c>
      <c r="J67">
        <f>91-8680416101</f>
        <v>-8680416010</v>
      </c>
      <c r="K67" t="s">
        <v>125</v>
      </c>
      <c r="L67" t="s">
        <v>52</v>
      </c>
      <c r="M67">
        <v>947003</v>
      </c>
      <c r="N67" s="1">
        <v>45103</v>
      </c>
      <c r="O67" t="s">
        <v>28</v>
      </c>
      <c r="P67">
        <v>7</v>
      </c>
      <c r="Q67">
        <v>101322.12</v>
      </c>
    </row>
    <row r="68" spans="1:17" x14ac:dyDescent="0.3">
      <c r="A68" t="s">
        <v>264</v>
      </c>
      <c r="B68" t="s">
        <v>265</v>
      </c>
      <c r="C68" s="2" t="str">
        <f>PROPER(TRIM(Table1[[#This Row],[Gender]]))</f>
        <v>Female</v>
      </c>
      <c r="D68" t="s">
        <v>43</v>
      </c>
      <c r="E68">
        <v>21</v>
      </c>
      <c r="F68" t="s">
        <v>49</v>
      </c>
      <c r="G68" s="1">
        <v>37993</v>
      </c>
      <c r="H68" t="s">
        <v>266</v>
      </c>
      <c r="I68" s="2" t="str">
        <f t="shared" si="1"/>
        <v>+91-7288032976</v>
      </c>
      <c r="J68">
        <f>91-7288033067</f>
        <v>-7288032976</v>
      </c>
      <c r="K68" t="s">
        <v>40</v>
      </c>
      <c r="L68" t="s">
        <v>27</v>
      </c>
      <c r="M68">
        <v>165910</v>
      </c>
      <c r="N68" s="1">
        <v>45380</v>
      </c>
      <c r="O68" t="s">
        <v>28</v>
      </c>
      <c r="P68">
        <v>5</v>
      </c>
      <c r="Q68">
        <v>187007.44</v>
      </c>
    </row>
    <row r="69" spans="1:17" x14ac:dyDescent="0.3">
      <c r="A69" t="s">
        <v>267</v>
      </c>
      <c r="B69" t="s">
        <v>268</v>
      </c>
      <c r="C69" s="2" t="str">
        <f>PROPER(TRIM(Table1[[#This Row],[Gender]]))</f>
        <v>Female</v>
      </c>
      <c r="D69" t="s">
        <v>43</v>
      </c>
      <c r="E69">
        <v>27</v>
      </c>
      <c r="F69" t="s">
        <v>31</v>
      </c>
      <c r="G69" s="1">
        <v>35803</v>
      </c>
      <c r="H69" t="s">
        <v>269</v>
      </c>
      <c r="I69" s="2" t="str">
        <f t="shared" si="1"/>
        <v>+91-9235652961</v>
      </c>
      <c r="J69">
        <f>91-9235653052</f>
        <v>-9235652961</v>
      </c>
      <c r="K69" t="s">
        <v>174</v>
      </c>
      <c r="L69" t="s">
        <v>90</v>
      </c>
      <c r="M69">
        <v>114723</v>
      </c>
      <c r="N69" s="1">
        <v>45292</v>
      </c>
      <c r="O69" t="s">
        <v>28</v>
      </c>
      <c r="P69">
        <v>2</v>
      </c>
      <c r="Q69">
        <v>66203.8</v>
      </c>
    </row>
    <row r="70" spans="1:17" x14ac:dyDescent="0.3">
      <c r="A70" t="s">
        <v>270</v>
      </c>
      <c r="B70" t="s">
        <v>271</v>
      </c>
      <c r="C70" s="2" t="str">
        <f>PROPER(TRIM(Table1[[#This Row],[Gender]]))</f>
        <v>Male</v>
      </c>
      <c r="D70" t="s">
        <v>16</v>
      </c>
      <c r="E70">
        <v>19</v>
      </c>
      <c r="F70" t="s">
        <v>49</v>
      </c>
      <c r="G70" s="1">
        <v>38723</v>
      </c>
      <c r="H70" t="s">
        <v>272</v>
      </c>
      <c r="I70" s="2" t="str">
        <f t="shared" si="1"/>
        <v>+91-9002361886</v>
      </c>
      <c r="J70">
        <f>91-9002361977</f>
        <v>-9002361886</v>
      </c>
      <c r="K70" t="s">
        <v>273</v>
      </c>
      <c r="L70" t="s">
        <v>46</v>
      </c>
      <c r="M70">
        <v>297003</v>
      </c>
      <c r="N70" s="1">
        <v>45238</v>
      </c>
      <c r="O70" t="s">
        <v>21</v>
      </c>
      <c r="P70">
        <v>4</v>
      </c>
      <c r="Q70">
        <v>36602.11</v>
      </c>
    </row>
    <row r="71" spans="1:17" x14ac:dyDescent="0.3">
      <c r="A71" t="s">
        <v>274</v>
      </c>
      <c r="B71" t="s">
        <v>275</v>
      </c>
      <c r="C71" s="2" t="str">
        <f>PROPER(TRIM(Table1[[#This Row],[Gender]]))</f>
        <v>Female</v>
      </c>
      <c r="D71" t="s">
        <v>43</v>
      </c>
      <c r="E71">
        <v>28</v>
      </c>
      <c r="F71" t="s">
        <v>31</v>
      </c>
      <c r="G71" s="1">
        <v>35438</v>
      </c>
      <c r="H71" t="s">
        <v>276</v>
      </c>
      <c r="I71" s="2" t="str">
        <f t="shared" si="1"/>
        <v>+91-7804631170</v>
      </c>
      <c r="J71">
        <f>91-7804631261</f>
        <v>-7804631170</v>
      </c>
      <c r="K71" t="s">
        <v>19</v>
      </c>
      <c r="L71" t="s">
        <v>20</v>
      </c>
      <c r="M71">
        <v>377704</v>
      </c>
      <c r="N71" s="1">
        <v>45285</v>
      </c>
      <c r="O71" t="s">
        <v>28</v>
      </c>
      <c r="P71">
        <v>10</v>
      </c>
      <c r="Q71">
        <v>307046.11</v>
      </c>
    </row>
    <row r="72" spans="1:17" x14ac:dyDescent="0.3">
      <c r="A72" t="s">
        <v>277</v>
      </c>
      <c r="B72" t="s">
        <v>278</v>
      </c>
      <c r="C72" s="2" t="str">
        <f>PROPER(TRIM(Table1[[#This Row],[Gender]]))</f>
        <v>Male</v>
      </c>
      <c r="D72" t="s">
        <v>16</v>
      </c>
      <c r="E72">
        <v>26</v>
      </c>
      <c r="F72" t="s">
        <v>31</v>
      </c>
      <c r="G72" s="1">
        <v>36168</v>
      </c>
      <c r="H72" t="s">
        <v>279</v>
      </c>
      <c r="I72" s="2" t="str">
        <f t="shared" si="1"/>
        <v>+91-7132343805</v>
      </c>
      <c r="J72">
        <f>91-7132343896</f>
        <v>-7132343805</v>
      </c>
      <c r="K72" t="s">
        <v>202</v>
      </c>
      <c r="L72" t="s">
        <v>191</v>
      </c>
      <c r="M72">
        <v>155698</v>
      </c>
      <c r="N72" s="1">
        <v>45186</v>
      </c>
      <c r="O72" t="s">
        <v>28</v>
      </c>
      <c r="P72">
        <v>5</v>
      </c>
      <c r="Q72">
        <v>294444.40999999997</v>
      </c>
    </row>
    <row r="73" spans="1:17" x14ac:dyDescent="0.3">
      <c r="A73" t="s">
        <v>280</v>
      </c>
      <c r="B73" t="s">
        <v>281</v>
      </c>
      <c r="C73" s="2" t="str">
        <f>PROPER(TRIM(Table1[[#This Row],[Gender]]))</f>
        <v>Female</v>
      </c>
      <c r="D73" t="s">
        <v>43</v>
      </c>
      <c r="E73">
        <v>36</v>
      </c>
      <c r="F73" t="s">
        <v>38</v>
      </c>
      <c r="G73" s="1">
        <v>32518</v>
      </c>
      <c r="H73" t="s">
        <v>282</v>
      </c>
      <c r="I73" s="2" t="str">
        <f t="shared" si="1"/>
        <v>+91-7256652434</v>
      </c>
      <c r="J73">
        <f>91-7256652525</f>
        <v>-7256652434</v>
      </c>
      <c r="K73" t="s">
        <v>239</v>
      </c>
      <c r="L73" t="s">
        <v>191</v>
      </c>
      <c r="M73">
        <v>133125</v>
      </c>
      <c r="N73" s="1">
        <v>45421</v>
      </c>
      <c r="O73" t="s">
        <v>28</v>
      </c>
      <c r="P73">
        <v>4</v>
      </c>
      <c r="Q73">
        <v>123244.18</v>
      </c>
    </row>
    <row r="74" spans="1:17" x14ac:dyDescent="0.3">
      <c r="A74" t="s">
        <v>283</v>
      </c>
      <c r="B74" t="s">
        <v>284</v>
      </c>
      <c r="C74" s="2" t="str">
        <f>PROPER(TRIM(Table1[[#This Row],[Gender]]))</f>
        <v>Female</v>
      </c>
      <c r="D74" t="s">
        <v>43</v>
      </c>
      <c r="E74">
        <v>35</v>
      </c>
      <c r="F74" t="s">
        <v>31</v>
      </c>
      <c r="G74" s="1">
        <v>32883</v>
      </c>
      <c r="H74" t="s">
        <v>285</v>
      </c>
      <c r="I74" s="2" t="str">
        <f t="shared" si="1"/>
        <v>+91-7310578215</v>
      </c>
      <c r="J74">
        <f>91-7310578306</f>
        <v>-7310578215</v>
      </c>
      <c r="K74" t="s">
        <v>147</v>
      </c>
      <c r="L74" t="s">
        <v>143</v>
      </c>
      <c r="M74">
        <v>436674</v>
      </c>
      <c r="N74" s="1">
        <v>45164</v>
      </c>
      <c r="O74" t="s">
        <v>28</v>
      </c>
      <c r="P74">
        <v>5</v>
      </c>
      <c r="Q74">
        <v>201653.75</v>
      </c>
    </row>
    <row r="75" spans="1:17" x14ac:dyDescent="0.3">
      <c r="A75" t="s">
        <v>286</v>
      </c>
      <c r="B75" t="s">
        <v>136</v>
      </c>
      <c r="C75" s="2" t="str">
        <f>PROPER(TRIM(Table1[[#This Row],[Gender]]))</f>
        <v>Female</v>
      </c>
      <c r="D75" t="s">
        <v>43</v>
      </c>
      <c r="E75">
        <v>26</v>
      </c>
      <c r="F75" t="s">
        <v>31</v>
      </c>
      <c r="G75" s="1">
        <v>36168</v>
      </c>
      <c r="H75" t="s">
        <v>287</v>
      </c>
      <c r="I75" s="2" t="str">
        <f t="shared" si="1"/>
        <v>+91-7058040218</v>
      </c>
      <c r="J75">
        <f>91-7058040309</f>
        <v>-7058040218</v>
      </c>
      <c r="K75" t="s">
        <v>142</v>
      </c>
      <c r="L75" t="s">
        <v>143</v>
      </c>
      <c r="M75">
        <v>458952</v>
      </c>
      <c r="N75" s="1">
        <v>45182</v>
      </c>
      <c r="O75" t="s">
        <v>28</v>
      </c>
      <c r="P75">
        <v>3</v>
      </c>
      <c r="Q75">
        <v>104566.2</v>
      </c>
    </row>
    <row r="76" spans="1:17" x14ac:dyDescent="0.3">
      <c r="A76" t="s">
        <v>288</v>
      </c>
      <c r="B76" t="s">
        <v>289</v>
      </c>
      <c r="C76" s="2" t="str">
        <f>PROPER(TRIM(Table1[[#This Row],[Gender]]))</f>
        <v>Male</v>
      </c>
      <c r="D76" t="s">
        <v>16</v>
      </c>
      <c r="E76">
        <v>64</v>
      </c>
      <c r="F76" t="s">
        <v>58</v>
      </c>
      <c r="G76" s="1">
        <v>22298</v>
      </c>
      <c r="H76" t="s">
        <v>290</v>
      </c>
      <c r="I76" s="2" t="str">
        <f t="shared" si="1"/>
        <v>+91-7590388240</v>
      </c>
      <c r="J76">
        <f>91-7590388331</f>
        <v>-7590388240</v>
      </c>
      <c r="K76" t="s">
        <v>60</v>
      </c>
      <c r="L76" t="s">
        <v>34</v>
      </c>
      <c r="M76">
        <v>552386</v>
      </c>
      <c r="N76" s="1">
        <v>45271</v>
      </c>
      <c r="O76" t="s">
        <v>28</v>
      </c>
      <c r="P76">
        <v>8</v>
      </c>
      <c r="Q76">
        <v>82460.429999999993</v>
      </c>
    </row>
    <row r="77" spans="1:17" x14ac:dyDescent="0.3">
      <c r="A77" t="s">
        <v>291</v>
      </c>
      <c r="B77" t="s">
        <v>292</v>
      </c>
      <c r="C77" s="2" t="str">
        <f>PROPER(TRIM(Table1[[#This Row],[Gender]]))</f>
        <v>Male</v>
      </c>
      <c r="D77" t="s">
        <v>16</v>
      </c>
      <c r="E77">
        <v>34</v>
      </c>
      <c r="F77" t="s">
        <v>31</v>
      </c>
      <c r="G77" s="1">
        <v>33248</v>
      </c>
      <c r="H77" t="s">
        <v>293</v>
      </c>
      <c r="I77" s="2" t="str">
        <f t="shared" si="1"/>
        <v>+91-9574056867</v>
      </c>
      <c r="J77">
        <f>91-9574056958</f>
        <v>-9574056867</v>
      </c>
      <c r="K77" t="s">
        <v>154</v>
      </c>
      <c r="L77" t="s">
        <v>46</v>
      </c>
      <c r="M77">
        <v>128163</v>
      </c>
      <c r="N77" s="1">
        <v>45305</v>
      </c>
      <c r="O77" t="s">
        <v>28</v>
      </c>
      <c r="P77">
        <v>2</v>
      </c>
      <c r="Q77">
        <v>57569.78</v>
      </c>
    </row>
    <row r="78" spans="1:17" x14ac:dyDescent="0.3">
      <c r="A78" t="s">
        <v>294</v>
      </c>
      <c r="B78" t="s">
        <v>295</v>
      </c>
      <c r="C78" s="2" t="str">
        <f>PROPER(TRIM(Table1[[#This Row],[Gender]]))</f>
        <v>Male</v>
      </c>
      <c r="D78" t="s">
        <v>16</v>
      </c>
      <c r="E78">
        <v>21</v>
      </c>
      <c r="F78" t="s">
        <v>49</v>
      </c>
      <c r="G78" s="1">
        <v>37993</v>
      </c>
      <c r="H78" t="s">
        <v>296</v>
      </c>
      <c r="I78" s="2" t="str">
        <f t="shared" si="1"/>
        <v>+91-7793896212</v>
      </c>
      <c r="J78">
        <f>91-7793896303</f>
        <v>-7793896212</v>
      </c>
      <c r="K78" t="s">
        <v>138</v>
      </c>
      <c r="L78" t="s">
        <v>90</v>
      </c>
      <c r="M78">
        <v>602178</v>
      </c>
      <c r="N78" s="1">
        <v>45411</v>
      </c>
      <c r="O78" t="s">
        <v>21</v>
      </c>
      <c r="P78">
        <v>1</v>
      </c>
      <c r="Q78">
        <v>25735.79</v>
      </c>
    </row>
    <row r="79" spans="1:17" x14ac:dyDescent="0.3">
      <c r="A79" t="s">
        <v>297</v>
      </c>
      <c r="B79" t="s">
        <v>298</v>
      </c>
      <c r="C79" s="2" t="str">
        <f>PROPER(TRIM(Table1[[#This Row],[Gender]]))</f>
        <v>Male</v>
      </c>
      <c r="D79" t="s">
        <v>16</v>
      </c>
      <c r="E79">
        <v>53</v>
      </c>
      <c r="F79" t="s">
        <v>17</v>
      </c>
      <c r="G79" s="1">
        <v>26313</v>
      </c>
      <c r="H79" t="s">
        <v>299</v>
      </c>
      <c r="I79" s="2" t="str">
        <f t="shared" si="1"/>
        <v>+91-9005885241</v>
      </c>
      <c r="J79">
        <f>91-9005885332</f>
        <v>-9005885241</v>
      </c>
      <c r="K79" t="s">
        <v>33</v>
      </c>
      <c r="L79" t="s">
        <v>34</v>
      </c>
      <c r="M79">
        <v>801690</v>
      </c>
      <c r="N79" s="1">
        <v>45323</v>
      </c>
      <c r="O79" t="s">
        <v>21</v>
      </c>
      <c r="P79">
        <v>5</v>
      </c>
      <c r="Q79">
        <v>27333.89</v>
      </c>
    </row>
    <row r="80" spans="1:17" x14ac:dyDescent="0.3">
      <c r="A80" t="s">
        <v>300</v>
      </c>
      <c r="B80" t="s">
        <v>301</v>
      </c>
      <c r="C80" s="2" t="str">
        <f>PROPER(TRIM(Table1[[#This Row],[Gender]]))</f>
        <v>Male</v>
      </c>
      <c r="D80" t="s">
        <v>16</v>
      </c>
      <c r="E80">
        <v>51</v>
      </c>
      <c r="F80" t="s">
        <v>17</v>
      </c>
      <c r="G80" s="1">
        <v>27043</v>
      </c>
      <c r="H80" t="s">
        <v>302</v>
      </c>
      <c r="I80" s="2" t="str">
        <f t="shared" si="1"/>
        <v>+91-7470851746</v>
      </c>
      <c r="J80">
        <f>91-7470851837</f>
        <v>-7470851746</v>
      </c>
      <c r="K80" t="s">
        <v>190</v>
      </c>
      <c r="L80" t="s">
        <v>191</v>
      </c>
      <c r="M80">
        <v>912027</v>
      </c>
      <c r="N80" s="1">
        <v>45366</v>
      </c>
      <c r="O80" t="s">
        <v>28</v>
      </c>
      <c r="P80">
        <v>5</v>
      </c>
      <c r="Q80">
        <v>56879.43</v>
      </c>
    </row>
    <row r="81" spans="1:17" x14ac:dyDescent="0.3">
      <c r="A81" t="s">
        <v>303</v>
      </c>
      <c r="B81" t="s">
        <v>304</v>
      </c>
      <c r="C81" s="2" t="str">
        <f>PROPER(TRIM(Table1[[#This Row],[Gender]]))</f>
        <v>Male</v>
      </c>
      <c r="D81" t="s">
        <v>16</v>
      </c>
      <c r="E81">
        <v>65</v>
      </c>
      <c r="F81" t="s">
        <v>58</v>
      </c>
      <c r="G81" s="1">
        <v>21933</v>
      </c>
      <c r="H81" t="s">
        <v>305</v>
      </c>
      <c r="I81" s="2" t="str">
        <f t="shared" si="1"/>
        <v>+91-9312165831</v>
      </c>
      <c r="J81">
        <f>91-9312165922</f>
        <v>-9312165831</v>
      </c>
      <c r="K81" t="s">
        <v>202</v>
      </c>
      <c r="L81" t="s">
        <v>191</v>
      </c>
      <c r="M81">
        <v>443919</v>
      </c>
      <c r="N81" s="1">
        <v>45361</v>
      </c>
      <c r="O81" t="s">
        <v>28</v>
      </c>
      <c r="P81">
        <v>7</v>
      </c>
      <c r="Q81">
        <v>113293.86</v>
      </c>
    </row>
    <row r="82" spans="1:17" x14ac:dyDescent="0.3">
      <c r="A82" t="s">
        <v>306</v>
      </c>
      <c r="B82" t="s">
        <v>307</v>
      </c>
      <c r="C82" s="2" t="str">
        <f>PROPER(TRIM(Table1[[#This Row],[Gender]]))</f>
        <v>Female</v>
      </c>
      <c r="D82" t="s">
        <v>43</v>
      </c>
      <c r="E82">
        <v>25</v>
      </c>
      <c r="F82" t="s">
        <v>49</v>
      </c>
      <c r="G82" s="1">
        <v>36533</v>
      </c>
      <c r="H82" t="s">
        <v>308</v>
      </c>
      <c r="I82" s="2" t="str">
        <f t="shared" si="1"/>
        <v>+91-7588010621</v>
      </c>
      <c r="J82">
        <f>91-7588010712</f>
        <v>-7588010621</v>
      </c>
      <c r="K82" t="s">
        <v>178</v>
      </c>
      <c r="L82" t="s">
        <v>27</v>
      </c>
      <c r="M82">
        <v>588613</v>
      </c>
      <c r="N82" s="1">
        <v>45135</v>
      </c>
      <c r="O82" t="s">
        <v>28</v>
      </c>
      <c r="P82">
        <v>4</v>
      </c>
      <c r="Q82">
        <v>121001.11</v>
      </c>
    </row>
    <row r="83" spans="1:17" x14ac:dyDescent="0.3">
      <c r="A83" t="s">
        <v>309</v>
      </c>
      <c r="B83" t="s">
        <v>304</v>
      </c>
      <c r="C83" s="2" t="str">
        <f>PROPER(TRIM(Table1[[#This Row],[Gender]]))</f>
        <v>Male</v>
      </c>
      <c r="D83" t="s">
        <v>16</v>
      </c>
      <c r="E83">
        <v>36</v>
      </c>
      <c r="F83" t="s">
        <v>38</v>
      </c>
      <c r="G83" s="1">
        <v>32518</v>
      </c>
      <c r="H83" t="s">
        <v>310</v>
      </c>
      <c r="I83" s="2" t="str">
        <f t="shared" si="1"/>
        <v>+91-7572486663</v>
      </c>
      <c r="J83">
        <f>91-7572486754</f>
        <v>-7572486663</v>
      </c>
      <c r="K83" t="s">
        <v>26</v>
      </c>
      <c r="L83" t="s">
        <v>27</v>
      </c>
      <c r="M83">
        <v>996824</v>
      </c>
      <c r="N83" s="1">
        <v>45303</v>
      </c>
      <c r="O83" t="s">
        <v>28</v>
      </c>
      <c r="P83">
        <v>3</v>
      </c>
      <c r="Q83">
        <v>53849.599999999999</v>
      </c>
    </row>
    <row r="84" spans="1:17" x14ac:dyDescent="0.3">
      <c r="A84" t="s">
        <v>311</v>
      </c>
      <c r="B84" t="s">
        <v>312</v>
      </c>
      <c r="C84" s="2" t="str">
        <f>PROPER(TRIM(Table1[[#This Row],[Gender]]))</f>
        <v>Female</v>
      </c>
      <c r="D84" t="s">
        <v>43</v>
      </c>
      <c r="E84">
        <v>38</v>
      </c>
      <c r="F84" t="s">
        <v>38</v>
      </c>
      <c r="G84" s="1">
        <v>31788</v>
      </c>
      <c r="H84" t="s">
        <v>313</v>
      </c>
      <c r="I84" s="2" t="str">
        <f t="shared" si="1"/>
        <v>+91-9954631693</v>
      </c>
      <c r="J84">
        <f>91-9954631784</f>
        <v>-9954631693</v>
      </c>
      <c r="K84" t="s">
        <v>195</v>
      </c>
      <c r="L84" t="s">
        <v>102</v>
      </c>
      <c r="M84">
        <v>702755</v>
      </c>
      <c r="N84" s="1">
        <v>45078</v>
      </c>
      <c r="O84" t="s">
        <v>28</v>
      </c>
      <c r="P84">
        <v>5</v>
      </c>
      <c r="Q84">
        <v>144031.82999999999</v>
      </c>
    </row>
    <row r="85" spans="1:17" x14ac:dyDescent="0.3">
      <c r="A85" t="s">
        <v>314</v>
      </c>
      <c r="B85" t="s">
        <v>315</v>
      </c>
      <c r="C85" s="2" t="str">
        <f>PROPER(TRIM(Table1[[#This Row],[Gender]]))</f>
        <v>Female</v>
      </c>
      <c r="D85" t="s">
        <v>43</v>
      </c>
      <c r="E85">
        <v>24</v>
      </c>
      <c r="F85" t="s">
        <v>49</v>
      </c>
      <c r="G85" s="1">
        <v>36898</v>
      </c>
      <c r="H85" t="s">
        <v>316</v>
      </c>
      <c r="I85" s="2" t="str">
        <f t="shared" si="1"/>
        <v>+91-9656589315</v>
      </c>
      <c r="J85">
        <f>91-9656589406</f>
        <v>-9656589315</v>
      </c>
      <c r="K85" t="s">
        <v>161</v>
      </c>
      <c r="L85" t="s">
        <v>102</v>
      </c>
      <c r="M85">
        <v>195721</v>
      </c>
      <c r="N85" s="1">
        <v>45128</v>
      </c>
      <c r="O85" t="s">
        <v>28</v>
      </c>
      <c r="P85">
        <v>4</v>
      </c>
      <c r="Q85">
        <v>188044.95</v>
      </c>
    </row>
    <row r="86" spans="1:17" x14ac:dyDescent="0.3">
      <c r="A86" t="s">
        <v>317</v>
      </c>
      <c r="B86" t="s">
        <v>318</v>
      </c>
      <c r="C86" s="2" t="str">
        <f>PROPER(TRIM(Table1[[#This Row],[Gender]]))</f>
        <v>Female</v>
      </c>
      <c r="D86" t="s">
        <v>43</v>
      </c>
      <c r="E86">
        <v>29</v>
      </c>
      <c r="F86" t="s">
        <v>31</v>
      </c>
      <c r="G86" s="1">
        <v>35073</v>
      </c>
      <c r="H86" t="s">
        <v>319</v>
      </c>
      <c r="I86" s="2" t="str">
        <f t="shared" si="1"/>
        <v>+91-7062519840</v>
      </c>
      <c r="J86">
        <f>91-7062519931</f>
        <v>-7062519840</v>
      </c>
      <c r="K86" t="s">
        <v>84</v>
      </c>
      <c r="L86" t="s">
        <v>85</v>
      </c>
      <c r="M86">
        <v>744943</v>
      </c>
      <c r="N86" s="1">
        <v>45441</v>
      </c>
      <c r="O86" t="s">
        <v>28</v>
      </c>
      <c r="P86">
        <v>8</v>
      </c>
      <c r="Q86">
        <v>247417.13</v>
      </c>
    </row>
    <row r="87" spans="1:17" x14ac:dyDescent="0.3">
      <c r="A87" t="s">
        <v>320</v>
      </c>
      <c r="B87" t="s">
        <v>321</v>
      </c>
      <c r="C87" s="2" t="str">
        <f>PROPER(TRIM(Table1[[#This Row],[Gender]]))</f>
        <v>Female</v>
      </c>
      <c r="D87" t="s">
        <v>43</v>
      </c>
      <c r="E87">
        <v>31</v>
      </c>
      <c r="F87" t="s">
        <v>31</v>
      </c>
      <c r="G87" s="1">
        <v>34343</v>
      </c>
      <c r="H87" t="s">
        <v>322</v>
      </c>
      <c r="I87" s="2" t="str">
        <f t="shared" si="1"/>
        <v>+91-9491987997</v>
      </c>
      <c r="J87">
        <f>91-9491988088</f>
        <v>-9491987997</v>
      </c>
      <c r="K87" t="s">
        <v>249</v>
      </c>
      <c r="L87" t="s">
        <v>34</v>
      </c>
      <c r="M87">
        <v>869653</v>
      </c>
      <c r="N87" s="1">
        <v>45380</v>
      </c>
      <c r="O87" t="s">
        <v>28</v>
      </c>
      <c r="P87">
        <v>4</v>
      </c>
      <c r="Q87">
        <v>287191.92</v>
      </c>
    </row>
    <row r="88" spans="1:17" x14ac:dyDescent="0.3">
      <c r="A88" t="s">
        <v>323</v>
      </c>
      <c r="B88" t="s">
        <v>324</v>
      </c>
      <c r="C88" s="2" t="str">
        <f>PROPER(TRIM(Table1[[#This Row],[Gender]]))</f>
        <v>Female</v>
      </c>
      <c r="D88" t="s">
        <v>43</v>
      </c>
      <c r="E88">
        <v>21</v>
      </c>
      <c r="F88" t="s">
        <v>49</v>
      </c>
      <c r="G88" s="1">
        <v>37993</v>
      </c>
      <c r="H88" t="s">
        <v>325</v>
      </c>
      <c r="I88" s="2" t="str">
        <f t="shared" si="1"/>
        <v>+91-8308316580</v>
      </c>
      <c r="J88">
        <f>91-8308316671</f>
        <v>-8308316580</v>
      </c>
      <c r="K88" t="s">
        <v>142</v>
      </c>
      <c r="L88" t="s">
        <v>143</v>
      </c>
      <c r="M88">
        <v>899774</v>
      </c>
      <c r="N88" s="1">
        <v>45120</v>
      </c>
      <c r="O88" t="s">
        <v>28</v>
      </c>
      <c r="P88">
        <v>3</v>
      </c>
      <c r="Q88">
        <v>56323.51</v>
      </c>
    </row>
    <row r="89" spans="1:17" x14ac:dyDescent="0.3">
      <c r="A89" t="s">
        <v>326</v>
      </c>
      <c r="B89" t="s">
        <v>327</v>
      </c>
      <c r="C89" s="2" t="str">
        <f>PROPER(TRIM(Table1[[#This Row],[Gender]]))</f>
        <v>Male</v>
      </c>
      <c r="D89" t="s">
        <v>16</v>
      </c>
      <c r="E89">
        <v>73</v>
      </c>
      <c r="F89" t="s">
        <v>24</v>
      </c>
      <c r="G89" s="1">
        <v>19013</v>
      </c>
      <c r="H89" t="s">
        <v>328</v>
      </c>
      <c r="I89" s="2" t="str">
        <f t="shared" si="1"/>
        <v>+91-8133125893</v>
      </c>
      <c r="J89">
        <f>91-8133125984</f>
        <v>-8133125893</v>
      </c>
      <c r="K89" t="s">
        <v>64</v>
      </c>
      <c r="L89" t="s">
        <v>20</v>
      </c>
      <c r="M89">
        <v>871019</v>
      </c>
      <c r="N89" s="1">
        <v>45423</v>
      </c>
      <c r="O89" t="s">
        <v>28</v>
      </c>
      <c r="P89">
        <v>4</v>
      </c>
      <c r="Q89">
        <v>65871.89</v>
      </c>
    </row>
    <row r="90" spans="1:17" x14ac:dyDescent="0.3">
      <c r="A90" t="s">
        <v>329</v>
      </c>
      <c r="B90" t="s">
        <v>244</v>
      </c>
      <c r="C90" s="2" t="str">
        <f>PROPER(TRIM(Table1[[#This Row],[Gender]]))</f>
        <v>Male</v>
      </c>
      <c r="D90" t="s">
        <v>16</v>
      </c>
      <c r="E90">
        <v>37</v>
      </c>
      <c r="F90" t="s">
        <v>38</v>
      </c>
      <c r="G90" s="1">
        <v>32153</v>
      </c>
      <c r="H90" t="s">
        <v>330</v>
      </c>
      <c r="I90" s="2" t="str">
        <f t="shared" si="1"/>
        <v>+91-8636157295</v>
      </c>
      <c r="J90">
        <f>91-8636157386</f>
        <v>-8636157295</v>
      </c>
      <c r="K90" t="s">
        <v>331</v>
      </c>
      <c r="L90" t="s">
        <v>143</v>
      </c>
      <c r="M90">
        <v>818826</v>
      </c>
      <c r="N90" s="1">
        <v>45279</v>
      </c>
      <c r="O90" t="s">
        <v>21</v>
      </c>
      <c r="P90">
        <v>5</v>
      </c>
      <c r="Q90">
        <v>38859.339999999997</v>
      </c>
    </row>
    <row r="91" spans="1:17" x14ac:dyDescent="0.3">
      <c r="A91" t="s">
        <v>332</v>
      </c>
      <c r="B91" t="s">
        <v>333</v>
      </c>
      <c r="C91" s="2" t="str">
        <f>PROPER(TRIM(Table1[[#This Row],[Gender]]))</f>
        <v>Female</v>
      </c>
      <c r="D91" t="s">
        <v>43</v>
      </c>
      <c r="E91">
        <v>25</v>
      </c>
      <c r="F91" t="s">
        <v>49</v>
      </c>
      <c r="G91" s="1">
        <v>36533</v>
      </c>
      <c r="H91" t="s">
        <v>334</v>
      </c>
      <c r="I91" s="2" t="str">
        <f t="shared" si="1"/>
        <v>+91-9110332149</v>
      </c>
      <c r="J91">
        <f>91-9110332240</f>
        <v>-9110332149</v>
      </c>
      <c r="K91" t="s">
        <v>109</v>
      </c>
      <c r="L91" t="s">
        <v>46</v>
      </c>
      <c r="M91">
        <v>730278</v>
      </c>
      <c r="N91" s="1">
        <v>45206</v>
      </c>
      <c r="O91" t="s">
        <v>28</v>
      </c>
      <c r="P91">
        <v>4</v>
      </c>
      <c r="Q91">
        <v>71607.600000000006</v>
      </c>
    </row>
    <row r="92" spans="1:17" x14ac:dyDescent="0.3">
      <c r="A92" t="s">
        <v>335</v>
      </c>
      <c r="B92" t="s">
        <v>336</v>
      </c>
      <c r="C92" s="2" t="str">
        <f>PROPER(TRIM(Table1[[#This Row],[Gender]]))</f>
        <v>Male</v>
      </c>
      <c r="D92" t="s">
        <v>16</v>
      </c>
      <c r="E92">
        <v>33</v>
      </c>
      <c r="F92" t="s">
        <v>31</v>
      </c>
      <c r="G92" s="1">
        <v>33613</v>
      </c>
      <c r="H92" t="s">
        <v>337</v>
      </c>
      <c r="I92" s="2" t="str">
        <f t="shared" si="1"/>
        <v>+91-8478124403</v>
      </c>
      <c r="J92">
        <f>91-8478124494</f>
        <v>-8478124403</v>
      </c>
      <c r="K92" t="s">
        <v>51</v>
      </c>
      <c r="L92" t="s">
        <v>52</v>
      </c>
      <c r="M92">
        <v>692989</v>
      </c>
      <c r="N92" s="1">
        <v>45221</v>
      </c>
      <c r="O92" t="s">
        <v>28</v>
      </c>
      <c r="P92">
        <v>4</v>
      </c>
      <c r="Q92">
        <v>188531.20000000001</v>
      </c>
    </row>
    <row r="93" spans="1:17" x14ac:dyDescent="0.3">
      <c r="A93" t="s">
        <v>338</v>
      </c>
      <c r="B93" t="s">
        <v>339</v>
      </c>
      <c r="C93" s="2" t="str">
        <f>PROPER(TRIM(Table1[[#This Row],[Gender]]))</f>
        <v>Female</v>
      </c>
      <c r="D93" t="s">
        <v>43</v>
      </c>
      <c r="E93">
        <v>31</v>
      </c>
      <c r="F93" t="s">
        <v>31</v>
      </c>
      <c r="G93" s="1">
        <v>34343</v>
      </c>
      <c r="H93" t="s">
        <v>340</v>
      </c>
      <c r="I93" s="2" t="str">
        <f t="shared" si="1"/>
        <v>+91-7092774324</v>
      </c>
      <c r="J93">
        <f>91-7092774415</f>
        <v>-7092774324</v>
      </c>
      <c r="K93" t="s">
        <v>101</v>
      </c>
      <c r="L93" t="s">
        <v>102</v>
      </c>
      <c r="M93">
        <v>781818</v>
      </c>
      <c r="N93" s="1">
        <v>45104</v>
      </c>
      <c r="O93" t="s">
        <v>28</v>
      </c>
      <c r="P93">
        <v>5</v>
      </c>
      <c r="Q93">
        <v>92991</v>
      </c>
    </row>
    <row r="94" spans="1:17" x14ac:dyDescent="0.3">
      <c r="A94" t="s">
        <v>341</v>
      </c>
      <c r="B94" t="s">
        <v>342</v>
      </c>
      <c r="C94" s="2" t="str">
        <f>PROPER(TRIM(Table1[[#This Row],[Gender]]))</f>
        <v>Male</v>
      </c>
      <c r="D94" t="s">
        <v>16</v>
      </c>
      <c r="E94">
        <v>26</v>
      </c>
      <c r="F94" t="s">
        <v>31</v>
      </c>
      <c r="G94" s="1">
        <v>36168</v>
      </c>
      <c r="H94" t="s">
        <v>343</v>
      </c>
      <c r="I94" s="2" t="str">
        <f t="shared" si="1"/>
        <v>+91-9092829345</v>
      </c>
      <c r="J94">
        <f>91-9092829436</f>
        <v>-9092829345</v>
      </c>
      <c r="K94" t="s">
        <v>33</v>
      </c>
      <c r="L94" t="s">
        <v>34</v>
      </c>
      <c r="M94">
        <v>335170</v>
      </c>
      <c r="N94" s="1">
        <v>45370</v>
      </c>
      <c r="O94" t="s">
        <v>28</v>
      </c>
      <c r="P94">
        <v>8</v>
      </c>
      <c r="Q94">
        <v>269586.36</v>
      </c>
    </row>
    <row r="95" spans="1:17" x14ac:dyDescent="0.3">
      <c r="A95" t="s">
        <v>344</v>
      </c>
      <c r="B95" t="s">
        <v>345</v>
      </c>
      <c r="C95" s="2" t="str">
        <f>PROPER(TRIM(Table1[[#This Row],[Gender]]))</f>
        <v>Male</v>
      </c>
      <c r="D95" t="s">
        <v>16</v>
      </c>
      <c r="E95">
        <v>27</v>
      </c>
      <c r="F95" t="s">
        <v>31</v>
      </c>
      <c r="G95" s="1">
        <v>35803</v>
      </c>
      <c r="H95" t="s">
        <v>346</v>
      </c>
      <c r="I95" s="2" t="str">
        <f t="shared" si="1"/>
        <v>+91-8573445535</v>
      </c>
      <c r="J95">
        <f>91-8573445626</f>
        <v>-8573445535</v>
      </c>
      <c r="K95" t="s">
        <v>45</v>
      </c>
      <c r="L95" t="s">
        <v>46</v>
      </c>
      <c r="M95">
        <v>175220</v>
      </c>
      <c r="N95" s="1">
        <v>45199</v>
      </c>
      <c r="O95" t="s">
        <v>28</v>
      </c>
      <c r="P95">
        <v>7</v>
      </c>
      <c r="Q95">
        <v>163492.85999999999</v>
      </c>
    </row>
    <row r="96" spans="1:17" x14ac:dyDescent="0.3">
      <c r="A96" t="s">
        <v>347</v>
      </c>
      <c r="B96" t="s">
        <v>42</v>
      </c>
      <c r="C96" s="2" t="str">
        <f>PROPER(TRIM(Table1[[#This Row],[Gender]]))</f>
        <v>Female</v>
      </c>
      <c r="D96" t="s">
        <v>43</v>
      </c>
      <c r="E96">
        <v>21</v>
      </c>
      <c r="F96" t="s">
        <v>49</v>
      </c>
      <c r="G96" s="1">
        <v>37993</v>
      </c>
      <c r="H96" t="s">
        <v>44</v>
      </c>
      <c r="I96" s="2" t="str">
        <f t="shared" si="1"/>
        <v>+91-7122988173</v>
      </c>
      <c r="J96">
        <f>91-7122988264</f>
        <v>-7122988173</v>
      </c>
      <c r="K96" t="s">
        <v>117</v>
      </c>
      <c r="L96" t="s">
        <v>52</v>
      </c>
      <c r="M96">
        <v>198976</v>
      </c>
      <c r="N96" s="1">
        <v>45340</v>
      </c>
      <c r="O96" t="s">
        <v>28</v>
      </c>
      <c r="P96">
        <v>3</v>
      </c>
      <c r="Q96">
        <v>80585.97</v>
      </c>
    </row>
    <row r="97" spans="1:17" x14ac:dyDescent="0.3">
      <c r="A97" t="s">
        <v>348</v>
      </c>
      <c r="B97" t="s">
        <v>349</v>
      </c>
      <c r="C97" s="2" t="str">
        <f>PROPER(TRIM(Table1[[#This Row],[Gender]]))</f>
        <v>Female</v>
      </c>
      <c r="D97" t="s">
        <v>43</v>
      </c>
      <c r="E97">
        <v>45</v>
      </c>
      <c r="F97" t="s">
        <v>38</v>
      </c>
      <c r="G97" s="1">
        <v>29233</v>
      </c>
      <c r="H97" t="s">
        <v>350</v>
      </c>
      <c r="I97" s="2" t="str">
        <f t="shared" si="1"/>
        <v>+91-8153504773</v>
      </c>
      <c r="J97">
        <f>91-8153504864</f>
        <v>-8153504773</v>
      </c>
      <c r="K97" t="s">
        <v>165</v>
      </c>
      <c r="L97" t="s">
        <v>52</v>
      </c>
      <c r="M97">
        <v>957767</v>
      </c>
      <c r="N97" s="1">
        <v>45194</v>
      </c>
      <c r="O97" t="s">
        <v>28</v>
      </c>
      <c r="P97">
        <v>4</v>
      </c>
      <c r="Q97">
        <v>278991.51</v>
      </c>
    </row>
    <row r="98" spans="1:17" x14ac:dyDescent="0.3">
      <c r="A98" t="s">
        <v>351</v>
      </c>
      <c r="B98" t="s">
        <v>352</v>
      </c>
      <c r="C98" s="2" t="str">
        <f>PROPER(TRIM(Table1[[#This Row],[Gender]]))</f>
        <v>Male</v>
      </c>
      <c r="D98" t="s">
        <v>16</v>
      </c>
      <c r="E98">
        <v>52</v>
      </c>
      <c r="F98" t="s">
        <v>17</v>
      </c>
      <c r="G98" s="1">
        <v>26678</v>
      </c>
      <c r="H98" t="s">
        <v>353</v>
      </c>
      <c r="I98" s="2" t="str">
        <f t="shared" si="1"/>
        <v>+91-8733361574</v>
      </c>
      <c r="J98">
        <f>91-8733361665</f>
        <v>-8733361574</v>
      </c>
      <c r="K98" t="s">
        <v>147</v>
      </c>
      <c r="L98" t="s">
        <v>143</v>
      </c>
      <c r="M98">
        <v>384669</v>
      </c>
      <c r="N98" s="1">
        <v>45099</v>
      </c>
      <c r="O98" t="s">
        <v>21</v>
      </c>
      <c r="P98">
        <v>4</v>
      </c>
      <c r="Q98">
        <v>43776.51</v>
      </c>
    </row>
    <row r="99" spans="1:17" x14ac:dyDescent="0.3">
      <c r="A99" t="s">
        <v>354</v>
      </c>
      <c r="B99" t="s">
        <v>96</v>
      </c>
      <c r="C99" s="2" t="str">
        <f>PROPER(TRIM(Table1[[#This Row],[Gender]]))</f>
        <v>Female</v>
      </c>
      <c r="D99" t="s">
        <v>43</v>
      </c>
      <c r="E99">
        <v>39</v>
      </c>
      <c r="F99" t="s">
        <v>38</v>
      </c>
      <c r="G99" s="1">
        <v>31423</v>
      </c>
      <c r="H99" t="s">
        <v>355</v>
      </c>
      <c r="I99" s="2" t="str">
        <f t="shared" si="1"/>
        <v>+91-7307156867</v>
      </c>
      <c r="J99">
        <f>91-7307156958</f>
        <v>-7307156867</v>
      </c>
      <c r="K99" t="s">
        <v>101</v>
      </c>
      <c r="L99" t="s">
        <v>102</v>
      </c>
      <c r="M99">
        <v>125280</v>
      </c>
      <c r="N99" s="1">
        <v>45329</v>
      </c>
      <c r="O99" t="s">
        <v>28</v>
      </c>
      <c r="P99">
        <v>6</v>
      </c>
      <c r="Q99">
        <v>126452.66</v>
      </c>
    </row>
    <row r="100" spans="1:17" x14ac:dyDescent="0.3">
      <c r="A100" t="s">
        <v>356</v>
      </c>
      <c r="B100" t="s">
        <v>204</v>
      </c>
      <c r="C100" s="2" t="str">
        <f>PROPER(TRIM(Table1[[#This Row],[Gender]]))</f>
        <v>Female</v>
      </c>
      <c r="D100" t="s">
        <v>43</v>
      </c>
      <c r="E100">
        <v>25</v>
      </c>
      <c r="F100" t="s">
        <v>49</v>
      </c>
      <c r="G100" s="1">
        <v>36533</v>
      </c>
      <c r="H100" t="s">
        <v>357</v>
      </c>
      <c r="I100" s="2" t="str">
        <f t="shared" si="1"/>
        <v>+91-7575685037</v>
      </c>
      <c r="J100">
        <f>91-7575685128</f>
        <v>-7575685037</v>
      </c>
      <c r="K100" t="s">
        <v>64</v>
      </c>
      <c r="L100" t="s">
        <v>20</v>
      </c>
      <c r="M100">
        <v>815681</v>
      </c>
      <c r="N100" s="1">
        <v>45273</v>
      </c>
      <c r="O100" t="s">
        <v>35</v>
      </c>
      <c r="P100">
        <v>3</v>
      </c>
      <c r="Q100">
        <v>9211.2999999999993</v>
      </c>
    </row>
    <row r="101" spans="1:17" x14ac:dyDescent="0.3">
      <c r="A101" t="s">
        <v>358</v>
      </c>
      <c r="B101" t="s">
        <v>359</v>
      </c>
      <c r="C101" s="2" t="str">
        <f>PROPER(TRIM(Table1[[#This Row],[Gender]]))</f>
        <v>Male</v>
      </c>
      <c r="D101" t="s">
        <v>16</v>
      </c>
      <c r="E101">
        <v>33</v>
      </c>
      <c r="F101" t="s">
        <v>31</v>
      </c>
      <c r="G101" s="1">
        <v>33613</v>
      </c>
      <c r="H101" t="s">
        <v>360</v>
      </c>
      <c r="I101" s="2" t="str">
        <f t="shared" si="1"/>
        <v>+91-9897029490</v>
      </c>
      <c r="J101">
        <f>91-9897029581</f>
        <v>-9897029490</v>
      </c>
      <c r="K101" t="s">
        <v>84</v>
      </c>
      <c r="L101" t="s">
        <v>85</v>
      </c>
      <c r="M101">
        <v>314514</v>
      </c>
      <c r="N101" s="1">
        <v>45223</v>
      </c>
      <c r="O101" t="s">
        <v>28</v>
      </c>
      <c r="P101">
        <v>6</v>
      </c>
      <c r="Q101">
        <v>291515.28999999998</v>
      </c>
    </row>
    <row r="102" spans="1:17" x14ac:dyDescent="0.3">
      <c r="A102" t="s">
        <v>361</v>
      </c>
      <c r="B102" t="s">
        <v>295</v>
      </c>
      <c r="C102" s="2" t="str">
        <f>PROPER(TRIM(Table1[[#This Row],[Gender]]))</f>
        <v>Male</v>
      </c>
      <c r="D102" t="s">
        <v>16</v>
      </c>
      <c r="E102">
        <v>38</v>
      </c>
      <c r="F102" t="s">
        <v>38</v>
      </c>
      <c r="G102" s="1">
        <v>31788</v>
      </c>
      <c r="H102" t="s">
        <v>362</v>
      </c>
      <c r="I102" s="2" t="str">
        <f t="shared" si="1"/>
        <v>+91-7538726237</v>
      </c>
      <c r="J102">
        <f>91-7538726328</f>
        <v>-7538726237</v>
      </c>
      <c r="K102" t="s">
        <v>125</v>
      </c>
      <c r="L102" t="s">
        <v>52</v>
      </c>
      <c r="M102">
        <v>526501</v>
      </c>
      <c r="N102" s="1">
        <v>45085</v>
      </c>
      <c r="O102" t="s">
        <v>28</v>
      </c>
      <c r="P102">
        <v>4</v>
      </c>
      <c r="Q102">
        <v>246732.59</v>
      </c>
    </row>
    <row r="103" spans="1:17" x14ac:dyDescent="0.3">
      <c r="A103" t="s">
        <v>363</v>
      </c>
      <c r="B103" t="s">
        <v>364</v>
      </c>
      <c r="C103" s="2" t="str">
        <f>PROPER(TRIM(Table1[[#This Row],[Gender]]))</f>
        <v>Female</v>
      </c>
      <c r="D103" t="s">
        <v>43</v>
      </c>
      <c r="E103">
        <v>40</v>
      </c>
      <c r="F103" t="s">
        <v>38</v>
      </c>
      <c r="G103" s="1">
        <v>31058</v>
      </c>
      <c r="H103" t="s">
        <v>365</v>
      </c>
      <c r="I103" s="2" t="str">
        <f t="shared" si="1"/>
        <v>+91-8084074030</v>
      </c>
      <c r="J103">
        <f>91-8084074121</f>
        <v>-8084074030</v>
      </c>
      <c r="K103" t="s">
        <v>142</v>
      </c>
      <c r="L103" t="s">
        <v>143</v>
      </c>
      <c r="M103">
        <v>134787</v>
      </c>
      <c r="N103" s="1">
        <v>45207</v>
      </c>
      <c r="O103" t="s">
        <v>28</v>
      </c>
      <c r="P103">
        <v>6</v>
      </c>
      <c r="Q103">
        <v>228857.83</v>
      </c>
    </row>
    <row r="104" spans="1:17" x14ac:dyDescent="0.3">
      <c r="A104" t="s">
        <v>366</v>
      </c>
      <c r="B104" t="s">
        <v>367</v>
      </c>
      <c r="C104" s="2" t="str">
        <f>PROPER(TRIM(Table1[[#This Row],[Gender]]))</f>
        <v>Male</v>
      </c>
      <c r="D104" t="s">
        <v>16</v>
      </c>
      <c r="E104">
        <v>44</v>
      </c>
      <c r="F104" t="s">
        <v>38</v>
      </c>
      <c r="G104" s="1">
        <v>29598</v>
      </c>
      <c r="H104" t="s">
        <v>368</v>
      </c>
      <c r="I104" s="2" t="str">
        <f t="shared" si="1"/>
        <v>+91-9115477419</v>
      </c>
      <c r="J104">
        <f>91-9115477510</f>
        <v>-9115477419</v>
      </c>
      <c r="K104" t="s">
        <v>369</v>
      </c>
      <c r="L104" t="s">
        <v>191</v>
      </c>
      <c r="M104">
        <v>149949</v>
      </c>
      <c r="N104" s="1">
        <v>45174</v>
      </c>
      <c r="O104" t="s">
        <v>28</v>
      </c>
      <c r="P104">
        <v>2</v>
      </c>
      <c r="Q104">
        <v>107140.59</v>
      </c>
    </row>
    <row r="105" spans="1:17" x14ac:dyDescent="0.3">
      <c r="A105" t="s">
        <v>370</v>
      </c>
      <c r="B105" t="s">
        <v>371</v>
      </c>
      <c r="C105" s="2" t="str">
        <f>PROPER(TRIM(Table1[[#This Row],[Gender]]))</f>
        <v>Female</v>
      </c>
      <c r="D105" t="s">
        <v>43</v>
      </c>
      <c r="E105">
        <v>52</v>
      </c>
      <c r="F105" t="s">
        <v>17</v>
      </c>
      <c r="G105" s="1">
        <v>26678</v>
      </c>
      <c r="H105" t="s">
        <v>372</v>
      </c>
      <c r="I105" s="2" t="str">
        <f t="shared" si="1"/>
        <v>+91-7466901011</v>
      </c>
      <c r="J105">
        <f>91-7466901102</f>
        <v>-7466901011</v>
      </c>
      <c r="K105" t="s">
        <v>76</v>
      </c>
      <c r="L105" t="s">
        <v>46</v>
      </c>
      <c r="M105">
        <v>390960</v>
      </c>
      <c r="N105" s="1">
        <v>45298</v>
      </c>
      <c r="O105" t="s">
        <v>35</v>
      </c>
      <c r="P105">
        <v>3</v>
      </c>
      <c r="Q105">
        <v>5200.09</v>
      </c>
    </row>
    <row r="106" spans="1:17" x14ac:dyDescent="0.3">
      <c r="A106" t="s">
        <v>373</v>
      </c>
      <c r="B106" t="s">
        <v>374</v>
      </c>
      <c r="C106" s="2" t="str">
        <f>PROPER(TRIM(Table1[[#This Row],[Gender]]))</f>
        <v>Male</v>
      </c>
      <c r="D106" t="s">
        <v>16</v>
      </c>
      <c r="E106">
        <v>61</v>
      </c>
      <c r="F106" t="s">
        <v>58</v>
      </c>
      <c r="G106" s="1">
        <v>23393</v>
      </c>
      <c r="H106" t="s">
        <v>375</v>
      </c>
      <c r="I106" s="2" t="str">
        <f t="shared" si="1"/>
        <v>+91-8203664004</v>
      </c>
      <c r="J106">
        <f>91-8203664095</f>
        <v>-8203664004</v>
      </c>
      <c r="K106" t="s">
        <v>117</v>
      </c>
      <c r="L106" t="s">
        <v>52</v>
      </c>
      <c r="M106">
        <v>498235</v>
      </c>
      <c r="N106" s="1">
        <v>45394</v>
      </c>
      <c r="O106" t="s">
        <v>35</v>
      </c>
      <c r="P106">
        <v>4</v>
      </c>
      <c r="Q106">
        <v>11883.95</v>
      </c>
    </row>
    <row r="107" spans="1:17" x14ac:dyDescent="0.3">
      <c r="A107" t="s">
        <v>376</v>
      </c>
      <c r="B107" t="s">
        <v>377</v>
      </c>
      <c r="C107" s="2" t="str">
        <f>PROPER(TRIM(Table1[[#This Row],[Gender]]))</f>
        <v>Male</v>
      </c>
      <c r="D107" t="s">
        <v>16</v>
      </c>
      <c r="E107">
        <v>18</v>
      </c>
      <c r="F107" t="s">
        <v>49</v>
      </c>
      <c r="G107" s="1">
        <v>39088</v>
      </c>
      <c r="H107" t="s">
        <v>378</v>
      </c>
      <c r="I107" s="2" t="str">
        <f t="shared" si="1"/>
        <v>+91-7348139580</v>
      </c>
      <c r="J107">
        <f>91-7348139671</f>
        <v>-7348139580</v>
      </c>
      <c r="K107" t="s">
        <v>174</v>
      </c>
      <c r="L107" t="s">
        <v>90</v>
      </c>
      <c r="M107">
        <v>361608</v>
      </c>
      <c r="N107" s="1">
        <v>45272</v>
      </c>
      <c r="O107" t="s">
        <v>28</v>
      </c>
      <c r="P107">
        <v>5</v>
      </c>
      <c r="Q107">
        <v>260393.77</v>
      </c>
    </row>
    <row r="108" spans="1:17" x14ac:dyDescent="0.3">
      <c r="A108" t="s">
        <v>379</v>
      </c>
      <c r="B108" t="s">
        <v>380</v>
      </c>
      <c r="C108" s="2" t="str">
        <f>PROPER(TRIM(Table1[[#This Row],[Gender]]))</f>
        <v>Male</v>
      </c>
      <c r="D108" t="s">
        <v>16</v>
      </c>
      <c r="E108">
        <v>25</v>
      </c>
      <c r="F108" t="s">
        <v>49</v>
      </c>
      <c r="G108" s="1">
        <v>36533</v>
      </c>
      <c r="H108" t="s">
        <v>381</v>
      </c>
      <c r="I108" s="2" t="str">
        <f t="shared" si="1"/>
        <v>+91-7335186017</v>
      </c>
      <c r="J108">
        <f>91-7335186108</f>
        <v>-7335186017</v>
      </c>
      <c r="K108" t="s">
        <v>89</v>
      </c>
      <c r="L108" t="s">
        <v>90</v>
      </c>
      <c r="M108">
        <v>260078</v>
      </c>
      <c r="N108" s="1">
        <v>45366</v>
      </c>
      <c r="O108" t="s">
        <v>35</v>
      </c>
      <c r="P108">
        <v>3</v>
      </c>
      <c r="Q108">
        <v>10243.93</v>
      </c>
    </row>
    <row r="109" spans="1:17" x14ac:dyDescent="0.3">
      <c r="A109" t="s">
        <v>382</v>
      </c>
      <c r="B109" t="s">
        <v>383</v>
      </c>
      <c r="C109" s="2" t="str">
        <f>PROPER(TRIM(Table1[[#This Row],[Gender]]))</f>
        <v>Male</v>
      </c>
      <c r="D109" t="s">
        <v>16</v>
      </c>
      <c r="E109">
        <v>59</v>
      </c>
      <c r="F109" t="s">
        <v>58</v>
      </c>
      <c r="G109" s="1">
        <v>24123</v>
      </c>
      <c r="H109" t="s">
        <v>384</v>
      </c>
      <c r="I109" s="2" t="str">
        <f t="shared" si="1"/>
        <v>+91-8719667697</v>
      </c>
      <c r="J109">
        <f>91-8719667788</f>
        <v>-8719667697</v>
      </c>
      <c r="K109" t="s">
        <v>40</v>
      </c>
      <c r="L109" t="s">
        <v>27</v>
      </c>
      <c r="M109">
        <v>125152</v>
      </c>
      <c r="N109" s="1">
        <v>45384</v>
      </c>
      <c r="O109" t="s">
        <v>21</v>
      </c>
      <c r="P109">
        <v>3</v>
      </c>
      <c r="Q109">
        <v>30692.49</v>
      </c>
    </row>
    <row r="110" spans="1:17" x14ac:dyDescent="0.3">
      <c r="A110" t="s">
        <v>385</v>
      </c>
      <c r="B110" t="s">
        <v>386</v>
      </c>
      <c r="C110" s="2" t="str">
        <f>PROPER(TRIM(Table1[[#This Row],[Gender]]))</f>
        <v>Male</v>
      </c>
      <c r="D110" t="s">
        <v>16</v>
      </c>
      <c r="E110">
        <v>52</v>
      </c>
      <c r="F110" t="s">
        <v>17</v>
      </c>
      <c r="G110" s="1">
        <v>26678</v>
      </c>
      <c r="H110" t="s">
        <v>387</v>
      </c>
      <c r="I110" s="2" t="str">
        <f t="shared" si="1"/>
        <v>+91-9125845494</v>
      </c>
      <c r="J110">
        <f>91-9125845585</f>
        <v>-9125845494</v>
      </c>
      <c r="K110" t="s">
        <v>125</v>
      </c>
      <c r="L110" t="s">
        <v>52</v>
      </c>
      <c r="M110">
        <v>645672</v>
      </c>
      <c r="N110" s="1">
        <v>45256</v>
      </c>
      <c r="O110" t="s">
        <v>21</v>
      </c>
      <c r="P110">
        <v>4</v>
      </c>
      <c r="Q110">
        <v>29135.14</v>
      </c>
    </row>
    <row r="111" spans="1:17" x14ac:dyDescent="0.3">
      <c r="A111" t="s">
        <v>388</v>
      </c>
      <c r="B111" t="s">
        <v>389</v>
      </c>
      <c r="C111" s="2" t="str">
        <f>PROPER(TRIM(Table1[[#This Row],[Gender]]))</f>
        <v>Female</v>
      </c>
      <c r="D111" t="s">
        <v>43</v>
      </c>
      <c r="E111">
        <v>29</v>
      </c>
      <c r="F111" t="s">
        <v>31</v>
      </c>
      <c r="G111" s="1">
        <v>35073</v>
      </c>
      <c r="H111" t="s">
        <v>390</v>
      </c>
      <c r="I111" s="2" t="str">
        <f t="shared" si="1"/>
        <v>+91-7879620447</v>
      </c>
      <c r="J111">
        <f>91-7879620538</f>
        <v>-7879620447</v>
      </c>
      <c r="K111" t="s">
        <v>113</v>
      </c>
      <c r="L111" t="s">
        <v>34</v>
      </c>
      <c r="M111">
        <v>227479</v>
      </c>
      <c r="N111" s="1">
        <v>45173</v>
      </c>
      <c r="O111" t="s">
        <v>28</v>
      </c>
      <c r="P111">
        <v>3</v>
      </c>
      <c r="Q111">
        <v>70857.210000000006</v>
      </c>
    </row>
    <row r="112" spans="1:17" x14ac:dyDescent="0.3">
      <c r="A112" t="s">
        <v>391</v>
      </c>
      <c r="B112" t="s">
        <v>392</v>
      </c>
      <c r="C112" s="2" t="str">
        <f>PROPER(TRIM(Table1[[#This Row],[Gender]]))</f>
        <v>Female</v>
      </c>
      <c r="D112" t="s">
        <v>43</v>
      </c>
      <c r="E112">
        <v>42</v>
      </c>
      <c r="F112" t="s">
        <v>38</v>
      </c>
      <c r="G112" s="1">
        <v>30328</v>
      </c>
      <c r="H112" t="s">
        <v>393</v>
      </c>
      <c r="I112" s="2" t="str">
        <f t="shared" si="1"/>
        <v>+91-9630777640</v>
      </c>
      <c r="J112">
        <f>91-9630777731</f>
        <v>-9630777640</v>
      </c>
      <c r="K112" t="s">
        <v>161</v>
      </c>
      <c r="L112" t="s">
        <v>102</v>
      </c>
      <c r="M112">
        <v>573542</v>
      </c>
      <c r="N112" s="1">
        <v>45116</v>
      </c>
      <c r="O112" t="s">
        <v>28</v>
      </c>
      <c r="P112">
        <v>6</v>
      </c>
      <c r="Q112">
        <v>79849.84</v>
      </c>
    </row>
    <row r="113" spans="1:17" x14ac:dyDescent="0.3">
      <c r="A113" t="s">
        <v>394</v>
      </c>
      <c r="B113" t="s">
        <v>395</v>
      </c>
      <c r="C113" s="2" t="str">
        <f>PROPER(TRIM(Table1[[#This Row],[Gender]]))</f>
        <v>Female</v>
      </c>
      <c r="D113" t="s">
        <v>43</v>
      </c>
      <c r="E113">
        <v>19</v>
      </c>
      <c r="F113" t="s">
        <v>49</v>
      </c>
      <c r="G113" s="1">
        <v>38723</v>
      </c>
      <c r="H113" t="s">
        <v>396</v>
      </c>
      <c r="I113" s="2" t="str">
        <f t="shared" si="1"/>
        <v>+91-9707058032</v>
      </c>
      <c r="J113">
        <f>91-9707058123</f>
        <v>-9707058032</v>
      </c>
      <c r="K113" t="s">
        <v>72</v>
      </c>
      <c r="L113" t="s">
        <v>34</v>
      </c>
      <c r="M113">
        <v>652616</v>
      </c>
      <c r="N113" s="1">
        <v>45441</v>
      </c>
      <c r="O113" t="s">
        <v>28</v>
      </c>
      <c r="P113">
        <v>5</v>
      </c>
      <c r="Q113">
        <v>127975.44</v>
      </c>
    </row>
    <row r="114" spans="1:17" x14ac:dyDescent="0.3">
      <c r="A114" t="s">
        <v>397</v>
      </c>
      <c r="B114" t="s">
        <v>398</v>
      </c>
      <c r="C114" s="2" t="str">
        <f>PROPER(TRIM(Table1[[#This Row],[Gender]]))</f>
        <v>Male</v>
      </c>
      <c r="D114" t="s">
        <v>16</v>
      </c>
      <c r="E114">
        <v>30</v>
      </c>
      <c r="F114" t="s">
        <v>31</v>
      </c>
      <c r="G114" s="1">
        <v>34708</v>
      </c>
      <c r="H114" t="s">
        <v>399</v>
      </c>
      <c r="I114" s="2" t="str">
        <f t="shared" si="1"/>
        <v>+91-9962775794</v>
      </c>
      <c r="J114">
        <f>91-9962775885</f>
        <v>-9962775794</v>
      </c>
      <c r="K114" t="s">
        <v>178</v>
      </c>
      <c r="L114" t="s">
        <v>27</v>
      </c>
      <c r="M114">
        <v>251791</v>
      </c>
      <c r="N114" s="1">
        <v>45197</v>
      </c>
      <c r="O114" t="s">
        <v>28</v>
      </c>
      <c r="P114">
        <v>8</v>
      </c>
      <c r="Q114">
        <v>502062.96</v>
      </c>
    </row>
    <row r="115" spans="1:17" x14ac:dyDescent="0.3">
      <c r="A115" t="s">
        <v>400</v>
      </c>
      <c r="B115" t="s">
        <v>401</v>
      </c>
      <c r="C115" s="2" t="str">
        <f>PROPER(TRIM(Table1[[#This Row],[Gender]]))</f>
        <v>Male</v>
      </c>
      <c r="D115" t="s">
        <v>16</v>
      </c>
      <c r="E115">
        <v>26</v>
      </c>
      <c r="F115" t="s">
        <v>31</v>
      </c>
      <c r="G115" s="1">
        <v>36168</v>
      </c>
      <c r="H115" t="s">
        <v>402</v>
      </c>
      <c r="I115" s="2" t="str">
        <f t="shared" si="1"/>
        <v>+91-8836840410</v>
      </c>
      <c r="J115">
        <f>91-8836840501</f>
        <v>-8836840410</v>
      </c>
      <c r="K115" t="s">
        <v>369</v>
      </c>
      <c r="L115" t="s">
        <v>191</v>
      </c>
      <c r="M115">
        <v>449682</v>
      </c>
      <c r="N115" s="1">
        <v>45423</v>
      </c>
      <c r="O115" t="s">
        <v>28</v>
      </c>
      <c r="P115">
        <v>10</v>
      </c>
      <c r="Q115">
        <v>189762</v>
      </c>
    </row>
    <row r="116" spans="1:17" x14ac:dyDescent="0.3">
      <c r="A116" t="s">
        <v>403</v>
      </c>
      <c r="B116" t="s">
        <v>404</v>
      </c>
      <c r="C116" s="2" t="str">
        <f>PROPER(TRIM(Table1[[#This Row],[Gender]]))</f>
        <v>Female</v>
      </c>
      <c r="D116" t="s">
        <v>43</v>
      </c>
      <c r="E116">
        <v>33</v>
      </c>
      <c r="F116" t="s">
        <v>31</v>
      </c>
      <c r="G116" s="1">
        <v>33613</v>
      </c>
      <c r="H116" t="s">
        <v>405</v>
      </c>
      <c r="I116" s="2" t="str">
        <f t="shared" si="1"/>
        <v>+91-8315786561</v>
      </c>
      <c r="J116">
        <f>91-8315786652</f>
        <v>-8315786561</v>
      </c>
      <c r="K116" t="s">
        <v>68</v>
      </c>
      <c r="L116" t="s">
        <v>52</v>
      </c>
      <c r="M116">
        <v>123400</v>
      </c>
      <c r="N116" s="1">
        <v>45207</v>
      </c>
      <c r="O116" t="s">
        <v>28</v>
      </c>
      <c r="P116">
        <v>6</v>
      </c>
      <c r="Q116">
        <v>209844.81</v>
      </c>
    </row>
    <row r="117" spans="1:17" x14ac:dyDescent="0.3">
      <c r="A117" t="s">
        <v>406</v>
      </c>
      <c r="B117" t="s">
        <v>407</v>
      </c>
      <c r="C117" s="2" t="str">
        <f>PROPER(TRIM(Table1[[#This Row],[Gender]]))</f>
        <v>Male</v>
      </c>
      <c r="D117" t="s">
        <v>16</v>
      </c>
      <c r="E117">
        <v>38</v>
      </c>
      <c r="F117" t="s">
        <v>38</v>
      </c>
      <c r="G117" s="1">
        <v>31788</v>
      </c>
      <c r="H117" t="s">
        <v>408</v>
      </c>
      <c r="I117" s="2" t="str">
        <f t="shared" si="1"/>
        <v>+91-8463582926</v>
      </c>
      <c r="J117">
        <f>91-8463583017</f>
        <v>-8463582926</v>
      </c>
      <c r="K117" t="s">
        <v>33</v>
      </c>
      <c r="L117" t="s">
        <v>34</v>
      </c>
      <c r="M117">
        <v>455174</v>
      </c>
      <c r="N117" s="1">
        <v>45325</v>
      </c>
      <c r="O117" t="s">
        <v>28</v>
      </c>
      <c r="P117">
        <v>7</v>
      </c>
      <c r="Q117">
        <v>109884.54</v>
      </c>
    </row>
    <row r="118" spans="1:17" x14ac:dyDescent="0.3">
      <c r="A118" t="s">
        <v>409</v>
      </c>
      <c r="B118" t="s">
        <v>410</v>
      </c>
      <c r="C118" s="2" t="str">
        <f>PROPER(TRIM(Table1[[#This Row],[Gender]]))</f>
        <v>Male</v>
      </c>
      <c r="D118" t="s">
        <v>16</v>
      </c>
      <c r="E118">
        <v>61</v>
      </c>
      <c r="F118" t="s">
        <v>58</v>
      </c>
      <c r="G118" s="1">
        <v>23393</v>
      </c>
      <c r="H118" t="s">
        <v>411</v>
      </c>
      <c r="I118" s="2" t="str">
        <f t="shared" si="1"/>
        <v>+91-7188090494</v>
      </c>
      <c r="J118">
        <f>91-7188090585</f>
        <v>-7188090494</v>
      </c>
      <c r="K118" t="s">
        <v>147</v>
      </c>
      <c r="L118" t="s">
        <v>143</v>
      </c>
      <c r="M118">
        <v>652185</v>
      </c>
      <c r="N118" s="1">
        <v>45380</v>
      </c>
      <c r="O118" t="s">
        <v>35</v>
      </c>
      <c r="P118">
        <v>5</v>
      </c>
      <c r="Q118">
        <v>6715.15</v>
      </c>
    </row>
    <row r="119" spans="1:17" x14ac:dyDescent="0.3">
      <c r="A119" t="s">
        <v>412</v>
      </c>
      <c r="B119" t="s">
        <v>413</v>
      </c>
      <c r="C119" s="2" t="str">
        <f>PROPER(TRIM(Table1[[#This Row],[Gender]]))</f>
        <v>Female</v>
      </c>
      <c r="D119" t="s">
        <v>43</v>
      </c>
      <c r="E119">
        <v>38</v>
      </c>
      <c r="F119" t="s">
        <v>38</v>
      </c>
      <c r="G119" s="1">
        <v>31788</v>
      </c>
      <c r="H119" t="s">
        <v>414</v>
      </c>
      <c r="I119" s="2" t="str">
        <f t="shared" si="1"/>
        <v>+91-8699476114</v>
      </c>
      <c r="J119">
        <f>91-8699476205</f>
        <v>-8699476114</v>
      </c>
      <c r="K119" t="s">
        <v>415</v>
      </c>
      <c r="L119" t="s">
        <v>90</v>
      </c>
      <c r="M119">
        <v>262309</v>
      </c>
      <c r="N119" s="1">
        <v>45349</v>
      </c>
      <c r="O119" t="s">
        <v>28</v>
      </c>
      <c r="P119">
        <v>4</v>
      </c>
      <c r="Q119">
        <v>222203.56</v>
      </c>
    </row>
    <row r="120" spans="1:17" x14ac:dyDescent="0.3">
      <c r="A120" t="s">
        <v>416</v>
      </c>
      <c r="B120" t="s">
        <v>204</v>
      </c>
      <c r="C120" s="2" t="str">
        <f>PROPER(TRIM(Table1[[#This Row],[Gender]]))</f>
        <v>Female</v>
      </c>
      <c r="D120" t="s">
        <v>43</v>
      </c>
      <c r="E120">
        <v>50</v>
      </c>
      <c r="F120" t="s">
        <v>17</v>
      </c>
      <c r="G120" s="1">
        <v>27408</v>
      </c>
      <c r="H120" t="s">
        <v>417</v>
      </c>
      <c r="I120" s="2" t="str">
        <f t="shared" si="1"/>
        <v>+91-9143780728</v>
      </c>
      <c r="J120">
        <f>91-9143780819</f>
        <v>-9143780728</v>
      </c>
      <c r="K120" t="s">
        <v>19</v>
      </c>
      <c r="L120" t="s">
        <v>20</v>
      </c>
      <c r="M120">
        <v>185684</v>
      </c>
      <c r="N120" s="1">
        <v>45347</v>
      </c>
      <c r="O120" t="s">
        <v>35</v>
      </c>
      <c r="P120">
        <v>1</v>
      </c>
      <c r="Q120">
        <v>1791.41</v>
      </c>
    </row>
    <row r="121" spans="1:17" x14ac:dyDescent="0.3">
      <c r="A121" t="s">
        <v>418</v>
      </c>
      <c r="B121" t="s">
        <v>419</v>
      </c>
      <c r="C121" s="2" t="str">
        <f>PROPER(TRIM(Table1[[#This Row],[Gender]]))</f>
        <v>Male</v>
      </c>
      <c r="D121" t="s">
        <v>16</v>
      </c>
      <c r="E121">
        <v>36</v>
      </c>
      <c r="F121" t="s">
        <v>38</v>
      </c>
      <c r="G121" s="1">
        <v>32518</v>
      </c>
      <c r="H121" t="s">
        <v>420</v>
      </c>
      <c r="I121" s="2" t="str">
        <f t="shared" si="1"/>
        <v>+91-8857648756</v>
      </c>
      <c r="J121">
        <f>91-8857648847</f>
        <v>-8857648756</v>
      </c>
      <c r="K121" t="s">
        <v>109</v>
      </c>
      <c r="L121" t="s">
        <v>46</v>
      </c>
      <c r="M121">
        <v>595322</v>
      </c>
      <c r="N121" s="1">
        <v>45280</v>
      </c>
      <c r="O121" t="s">
        <v>28</v>
      </c>
      <c r="P121">
        <v>7</v>
      </c>
      <c r="Q121">
        <v>204735.35</v>
      </c>
    </row>
    <row r="122" spans="1:17" x14ac:dyDescent="0.3">
      <c r="A122" t="s">
        <v>421</v>
      </c>
      <c r="B122" t="s">
        <v>422</v>
      </c>
      <c r="C122" s="2" t="str">
        <f>PROPER(TRIM(Table1[[#This Row],[Gender]]))</f>
        <v>Male</v>
      </c>
      <c r="D122" t="s">
        <v>16</v>
      </c>
      <c r="E122">
        <v>20</v>
      </c>
      <c r="F122" t="s">
        <v>49</v>
      </c>
      <c r="G122" s="1">
        <v>38358</v>
      </c>
      <c r="H122" t="s">
        <v>423</v>
      </c>
      <c r="I122" s="2" t="str">
        <f t="shared" si="1"/>
        <v>+91-7345126447</v>
      </c>
      <c r="J122">
        <f>91-7345126538</f>
        <v>-7345126447</v>
      </c>
      <c r="K122" t="s">
        <v>64</v>
      </c>
      <c r="L122" t="s">
        <v>20</v>
      </c>
      <c r="M122">
        <v>777753</v>
      </c>
      <c r="N122" s="1">
        <v>45442</v>
      </c>
      <c r="O122" t="s">
        <v>35</v>
      </c>
      <c r="P122">
        <v>5</v>
      </c>
      <c r="Q122">
        <v>4932.95</v>
      </c>
    </row>
    <row r="123" spans="1:17" x14ac:dyDescent="0.3">
      <c r="A123" t="s">
        <v>424</v>
      </c>
      <c r="B123" t="s">
        <v>425</v>
      </c>
      <c r="C123" s="2" t="str">
        <f>PROPER(TRIM(Table1[[#This Row],[Gender]]))</f>
        <v>Male</v>
      </c>
      <c r="D123" t="s">
        <v>16</v>
      </c>
      <c r="E123">
        <v>30</v>
      </c>
      <c r="F123" t="s">
        <v>31</v>
      </c>
      <c r="G123" s="1">
        <v>34708</v>
      </c>
      <c r="H123" t="s">
        <v>426</v>
      </c>
      <c r="I123" s="2" t="str">
        <f t="shared" si="1"/>
        <v>+91-8319220446</v>
      </c>
      <c r="J123">
        <f>91-8319220537</f>
        <v>-8319220446</v>
      </c>
      <c r="K123" t="s">
        <v>60</v>
      </c>
      <c r="L123" t="s">
        <v>34</v>
      </c>
      <c r="M123">
        <v>156020</v>
      </c>
      <c r="N123" s="1">
        <v>45333</v>
      </c>
      <c r="O123" t="s">
        <v>28</v>
      </c>
      <c r="P123">
        <v>7</v>
      </c>
      <c r="Q123">
        <v>146750.79999999999</v>
      </c>
    </row>
    <row r="124" spans="1:17" x14ac:dyDescent="0.3">
      <c r="A124" t="s">
        <v>427</v>
      </c>
      <c r="B124" t="s">
        <v>428</v>
      </c>
      <c r="C124" s="2" t="str">
        <f>PROPER(TRIM(Table1[[#This Row],[Gender]]))</f>
        <v>Male</v>
      </c>
      <c r="D124" t="s">
        <v>16</v>
      </c>
      <c r="E124">
        <v>27</v>
      </c>
      <c r="F124" t="s">
        <v>31</v>
      </c>
      <c r="G124" s="1">
        <v>35803</v>
      </c>
      <c r="H124" t="s">
        <v>429</v>
      </c>
      <c r="I124" s="2" t="str">
        <f t="shared" si="1"/>
        <v>+91-8741309643</v>
      </c>
      <c r="J124">
        <f>91-8741309734</f>
        <v>-8741309643</v>
      </c>
      <c r="K124" t="s">
        <v>101</v>
      </c>
      <c r="L124" t="s">
        <v>102</v>
      </c>
      <c r="M124">
        <v>557293</v>
      </c>
      <c r="N124" s="1">
        <v>45251</v>
      </c>
      <c r="O124" t="s">
        <v>28</v>
      </c>
      <c r="P124">
        <v>5</v>
      </c>
      <c r="Q124">
        <v>54202.76</v>
      </c>
    </row>
    <row r="125" spans="1:17" x14ac:dyDescent="0.3">
      <c r="A125" t="s">
        <v>430</v>
      </c>
      <c r="B125" t="s">
        <v>324</v>
      </c>
      <c r="C125" s="2" t="str">
        <f>PROPER(TRIM(Table1[[#This Row],[Gender]]))</f>
        <v>Female</v>
      </c>
      <c r="D125" t="s">
        <v>43</v>
      </c>
      <c r="E125">
        <v>32</v>
      </c>
      <c r="F125" t="s">
        <v>31</v>
      </c>
      <c r="G125" s="1">
        <v>33978</v>
      </c>
      <c r="H125" t="s">
        <v>431</v>
      </c>
      <c r="I125" s="2" t="str">
        <f t="shared" si="1"/>
        <v>+91-9978931076</v>
      </c>
      <c r="J125">
        <f>91-9978931167</f>
        <v>-9978931076</v>
      </c>
      <c r="K125" t="s">
        <v>101</v>
      </c>
      <c r="L125" t="s">
        <v>102</v>
      </c>
      <c r="M125">
        <v>181410</v>
      </c>
      <c r="N125" s="1">
        <v>45376</v>
      </c>
      <c r="O125" t="s">
        <v>28</v>
      </c>
      <c r="P125">
        <v>9</v>
      </c>
      <c r="Q125">
        <v>257440.8</v>
      </c>
    </row>
    <row r="126" spans="1:17" x14ac:dyDescent="0.3">
      <c r="A126" t="s">
        <v>432</v>
      </c>
      <c r="B126" t="s">
        <v>433</v>
      </c>
      <c r="C126" s="2" t="str">
        <f>PROPER(TRIM(Table1[[#This Row],[Gender]]))</f>
        <v>Female</v>
      </c>
      <c r="D126" t="s">
        <v>43</v>
      </c>
      <c r="E126">
        <v>45</v>
      </c>
      <c r="F126" t="s">
        <v>38</v>
      </c>
      <c r="G126" s="1">
        <v>29233</v>
      </c>
      <c r="H126" t="s">
        <v>434</v>
      </c>
      <c r="I126" s="2" t="str">
        <f t="shared" si="1"/>
        <v>+91-7471891828</v>
      </c>
      <c r="J126">
        <f>91-7471891919</f>
        <v>-7471891828</v>
      </c>
      <c r="K126" t="s">
        <v>33</v>
      </c>
      <c r="L126" t="s">
        <v>34</v>
      </c>
      <c r="M126">
        <v>911806</v>
      </c>
      <c r="N126" s="1">
        <v>45289</v>
      </c>
      <c r="O126" t="s">
        <v>28</v>
      </c>
      <c r="P126">
        <v>8</v>
      </c>
      <c r="Q126">
        <v>107546.13</v>
      </c>
    </row>
    <row r="127" spans="1:17" x14ac:dyDescent="0.3">
      <c r="A127" t="s">
        <v>435</v>
      </c>
      <c r="B127" t="s">
        <v>436</v>
      </c>
      <c r="C127" s="2" t="str">
        <f>PROPER(TRIM(Table1[[#This Row],[Gender]]))</f>
        <v>Male</v>
      </c>
      <c r="D127" t="s">
        <v>16</v>
      </c>
      <c r="E127">
        <v>65</v>
      </c>
      <c r="F127" t="s">
        <v>58</v>
      </c>
      <c r="G127" s="1">
        <v>21933</v>
      </c>
      <c r="H127" t="s">
        <v>437</v>
      </c>
      <c r="I127" s="2" t="str">
        <f t="shared" si="1"/>
        <v>+91-7420619759</v>
      </c>
      <c r="J127">
        <f>91-7420619850</f>
        <v>-7420619759</v>
      </c>
      <c r="K127" t="s">
        <v>138</v>
      </c>
      <c r="L127" t="s">
        <v>90</v>
      </c>
      <c r="M127">
        <v>442049</v>
      </c>
      <c r="N127" s="1">
        <v>45334</v>
      </c>
      <c r="O127" t="s">
        <v>28</v>
      </c>
      <c r="P127">
        <v>2</v>
      </c>
      <c r="Q127">
        <v>64560.71</v>
      </c>
    </row>
    <row r="128" spans="1:17" x14ac:dyDescent="0.3">
      <c r="A128" t="s">
        <v>438</v>
      </c>
      <c r="B128" t="s">
        <v>439</v>
      </c>
      <c r="C128" s="2" t="str">
        <f>PROPER(TRIM(Table1[[#This Row],[Gender]]))</f>
        <v>Male</v>
      </c>
      <c r="D128" t="s">
        <v>16</v>
      </c>
      <c r="E128">
        <v>23</v>
      </c>
      <c r="F128" t="s">
        <v>49</v>
      </c>
      <c r="G128" s="1">
        <v>37263</v>
      </c>
      <c r="H128" t="s">
        <v>440</v>
      </c>
      <c r="I128" s="2" t="str">
        <f t="shared" si="1"/>
        <v>+91-8952424715</v>
      </c>
      <c r="J128">
        <f>91-8952424806</f>
        <v>-8952424715</v>
      </c>
      <c r="K128" t="s">
        <v>178</v>
      </c>
      <c r="L128" t="s">
        <v>27</v>
      </c>
      <c r="M128">
        <v>492413</v>
      </c>
      <c r="N128" s="1">
        <v>45091</v>
      </c>
      <c r="O128" t="s">
        <v>28</v>
      </c>
      <c r="P128">
        <v>6</v>
      </c>
      <c r="Q128">
        <v>210212.65</v>
      </c>
    </row>
    <row r="129" spans="1:17" x14ac:dyDescent="0.3">
      <c r="A129" t="s">
        <v>441</v>
      </c>
      <c r="B129" t="s">
        <v>442</v>
      </c>
      <c r="C129" s="2" t="str">
        <f>PROPER(TRIM(Table1[[#This Row],[Gender]]))</f>
        <v>Male</v>
      </c>
      <c r="D129" t="s">
        <v>16</v>
      </c>
      <c r="E129">
        <v>47</v>
      </c>
      <c r="F129" t="s">
        <v>17</v>
      </c>
      <c r="G129" s="1">
        <v>28503</v>
      </c>
      <c r="H129" t="s">
        <v>443</v>
      </c>
      <c r="I129" s="2" t="str">
        <f t="shared" si="1"/>
        <v>+91-8984674983</v>
      </c>
      <c r="J129">
        <f>91-8984675074</f>
        <v>-8984674983</v>
      </c>
      <c r="K129" t="s">
        <v>33</v>
      </c>
      <c r="L129" t="s">
        <v>34</v>
      </c>
      <c r="M129">
        <v>965211</v>
      </c>
      <c r="N129" s="1">
        <v>45229</v>
      </c>
      <c r="O129" t="s">
        <v>28</v>
      </c>
      <c r="P129">
        <v>6</v>
      </c>
      <c r="Q129">
        <v>85529.24</v>
      </c>
    </row>
    <row r="130" spans="1:17" x14ac:dyDescent="0.3">
      <c r="A130" t="s">
        <v>444</v>
      </c>
      <c r="B130" t="s">
        <v>445</v>
      </c>
      <c r="C130" s="2" t="str">
        <f>PROPER(TRIM(Table1[[#This Row],[Gender]]))</f>
        <v>Male</v>
      </c>
      <c r="D130" t="s">
        <v>16</v>
      </c>
      <c r="E130">
        <v>41</v>
      </c>
      <c r="F130" t="s">
        <v>38</v>
      </c>
      <c r="G130" s="1">
        <v>30693</v>
      </c>
      <c r="H130" t="s">
        <v>446</v>
      </c>
      <c r="I130" s="2" t="str">
        <f t="shared" ref="I130:I193" si="2">"+91"&amp;TEXT(J130,"0000000000")</f>
        <v>+91-8633764005</v>
      </c>
      <c r="J130">
        <f>91-8633764096</f>
        <v>-8633764005</v>
      </c>
      <c r="K130" t="s">
        <v>121</v>
      </c>
      <c r="L130" t="s">
        <v>85</v>
      </c>
      <c r="M130">
        <v>546367</v>
      </c>
      <c r="N130" s="1">
        <v>45180</v>
      </c>
      <c r="O130" t="s">
        <v>28</v>
      </c>
      <c r="P130">
        <v>6</v>
      </c>
      <c r="Q130">
        <v>146878.21</v>
      </c>
    </row>
    <row r="131" spans="1:17" x14ac:dyDescent="0.3">
      <c r="A131" t="s">
        <v>447</v>
      </c>
      <c r="B131" t="s">
        <v>448</v>
      </c>
      <c r="C131" s="2" t="str">
        <f>PROPER(TRIM(Table1[[#This Row],[Gender]]))</f>
        <v>Female</v>
      </c>
      <c r="D131" t="s">
        <v>43</v>
      </c>
      <c r="E131">
        <v>29</v>
      </c>
      <c r="F131" t="s">
        <v>31</v>
      </c>
      <c r="G131" s="1">
        <v>35073</v>
      </c>
      <c r="H131" t="s">
        <v>449</v>
      </c>
      <c r="I131" s="2" t="str">
        <f t="shared" si="2"/>
        <v>+91-9453308478</v>
      </c>
      <c r="J131">
        <f>91-9453308569</f>
        <v>-9453308478</v>
      </c>
      <c r="K131" t="s">
        <v>147</v>
      </c>
      <c r="L131" t="s">
        <v>143</v>
      </c>
      <c r="M131">
        <v>950782</v>
      </c>
      <c r="N131" s="1">
        <v>45354</v>
      </c>
      <c r="O131" t="s">
        <v>28</v>
      </c>
      <c r="P131">
        <v>8</v>
      </c>
      <c r="Q131">
        <v>236809.65</v>
      </c>
    </row>
    <row r="132" spans="1:17" x14ac:dyDescent="0.3">
      <c r="A132" t="s">
        <v>450</v>
      </c>
      <c r="B132" t="s">
        <v>374</v>
      </c>
      <c r="C132" s="2" t="str">
        <f>PROPER(TRIM(Table1[[#This Row],[Gender]]))</f>
        <v>Male</v>
      </c>
      <c r="D132" t="s">
        <v>16</v>
      </c>
      <c r="E132">
        <v>31</v>
      </c>
      <c r="F132" t="s">
        <v>31</v>
      </c>
      <c r="G132" s="1">
        <v>34343</v>
      </c>
      <c r="H132" t="s">
        <v>451</v>
      </c>
      <c r="I132" s="2" t="str">
        <f t="shared" si="2"/>
        <v>+91-8626564077</v>
      </c>
      <c r="J132">
        <f>91-8626564168</f>
        <v>-8626564077</v>
      </c>
      <c r="K132" t="s">
        <v>19</v>
      </c>
      <c r="L132" t="s">
        <v>20</v>
      </c>
      <c r="M132">
        <v>692201</v>
      </c>
      <c r="N132" s="1">
        <v>45109</v>
      </c>
      <c r="O132" t="s">
        <v>28</v>
      </c>
      <c r="P132">
        <v>5</v>
      </c>
      <c r="Q132">
        <v>157363.13</v>
      </c>
    </row>
    <row r="133" spans="1:17" x14ac:dyDescent="0.3">
      <c r="A133" t="s">
        <v>452</v>
      </c>
      <c r="B133" t="s">
        <v>398</v>
      </c>
      <c r="C133" s="2" t="str">
        <f>PROPER(TRIM(Table1[[#This Row],[Gender]]))</f>
        <v>Male</v>
      </c>
      <c r="D133" t="s">
        <v>16</v>
      </c>
      <c r="E133">
        <v>39</v>
      </c>
      <c r="F133" t="s">
        <v>38</v>
      </c>
      <c r="G133" s="1">
        <v>31423</v>
      </c>
      <c r="H133" t="s">
        <v>399</v>
      </c>
      <c r="I133" s="2" t="str">
        <f t="shared" si="2"/>
        <v>+91-9507086028</v>
      </c>
      <c r="J133">
        <f>91-9507086119</f>
        <v>-9507086028</v>
      </c>
      <c r="K133" t="s">
        <v>113</v>
      </c>
      <c r="L133" t="s">
        <v>34</v>
      </c>
      <c r="M133">
        <v>662372</v>
      </c>
      <c r="N133" s="1">
        <v>45209</v>
      </c>
      <c r="O133" t="s">
        <v>28</v>
      </c>
      <c r="P133">
        <v>3</v>
      </c>
      <c r="Q133">
        <v>124777.27</v>
      </c>
    </row>
    <row r="134" spans="1:17" x14ac:dyDescent="0.3">
      <c r="A134" t="s">
        <v>453</v>
      </c>
      <c r="B134" t="s">
        <v>454</v>
      </c>
      <c r="C134" s="2" t="str">
        <f>PROPER(TRIM(Table1[[#This Row],[Gender]]))</f>
        <v>Male</v>
      </c>
      <c r="D134" t="s">
        <v>16</v>
      </c>
      <c r="E134">
        <v>29</v>
      </c>
      <c r="F134" t="s">
        <v>31</v>
      </c>
      <c r="G134" s="1">
        <v>35073</v>
      </c>
      <c r="H134" t="s">
        <v>455</v>
      </c>
      <c r="I134" s="2" t="str">
        <f t="shared" si="2"/>
        <v>+91-7905067850</v>
      </c>
      <c r="J134">
        <f>91-7905067941</f>
        <v>-7905067850</v>
      </c>
      <c r="K134" t="s">
        <v>202</v>
      </c>
      <c r="L134" t="s">
        <v>191</v>
      </c>
      <c r="M134">
        <v>213050</v>
      </c>
      <c r="N134" s="1">
        <v>45132</v>
      </c>
      <c r="O134" t="s">
        <v>35</v>
      </c>
      <c r="P134">
        <v>1</v>
      </c>
      <c r="Q134">
        <v>17017.240000000002</v>
      </c>
    </row>
    <row r="135" spans="1:17" x14ac:dyDescent="0.3">
      <c r="A135" t="s">
        <v>456</v>
      </c>
      <c r="B135" t="s">
        <v>457</v>
      </c>
      <c r="C135" s="2" t="str">
        <f>PROPER(TRIM(Table1[[#This Row],[Gender]]))</f>
        <v>Female</v>
      </c>
      <c r="D135" t="s">
        <v>43</v>
      </c>
      <c r="E135">
        <v>44</v>
      </c>
      <c r="F135" t="s">
        <v>38</v>
      </c>
      <c r="G135" s="1">
        <v>29598</v>
      </c>
      <c r="H135" t="s">
        <v>458</v>
      </c>
      <c r="I135" s="2" t="str">
        <f t="shared" si="2"/>
        <v>+91-9675104830</v>
      </c>
      <c r="J135">
        <f>91-9675104921</f>
        <v>-9675104830</v>
      </c>
      <c r="K135" t="s">
        <v>64</v>
      </c>
      <c r="L135" t="s">
        <v>20</v>
      </c>
      <c r="M135">
        <v>473964</v>
      </c>
      <c r="N135" s="1">
        <v>45123</v>
      </c>
      <c r="O135" t="s">
        <v>28</v>
      </c>
      <c r="P135">
        <v>4</v>
      </c>
      <c r="Q135">
        <v>115095.52</v>
      </c>
    </row>
    <row r="136" spans="1:17" x14ac:dyDescent="0.3">
      <c r="A136" t="s">
        <v>459</v>
      </c>
      <c r="B136" t="s">
        <v>460</v>
      </c>
      <c r="C136" s="2" t="str">
        <f>PROPER(TRIM(Table1[[#This Row],[Gender]]))</f>
        <v>Male</v>
      </c>
      <c r="D136" t="s">
        <v>16</v>
      </c>
      <c r="E136">
        <v>40</v>
      </c>
      <c r="F136" t="s">
        <v>38</v>
      </c>
      <c r="G136" s="1">
        <v>31058</v>
      </c>
      <c r="H136" t="s">
        <v>461</v>
      </c>
      <c r="I136" s="2" t="str">
        <f t="shared" si="2"/>
        <v>+91-7346778376</v>
      </c>
      <c r="J136">
        <f>91-7346778467</f>
        <v>-7346778376</v>
      </c>
      <c r="K136" t="s">
        <v>68</v>
      </c>
      <c r="L136" t="s">
        <v>52</v>
      </c>
      <c r="M136">
        <v>337799</v>
      </c>
      <c r="N136" s="1">
        <v>45220</v>
      </c>
      <c r="O136" t="s">
        <v>21</v>
      </c>
      <c r="P136">
        <v>2</v>
      </c>
      <c r="Q136">
        <v>35278.959999999999</v>
      </c>
    </row>
    <row r="137" spans="1:17" x14ac:dyDescent="0.3">
      <c r="A137" t="s">
        <v>462</v>
      </c>
      <c r="B137" t="s">
        <v>463</v>
      </c>
      <c r="C137" s="2" t="str">
        <f>PROPER(TRIM(Table1[[#This Row],[Gender]]))</f>
        <v>Female</v>
      </c>
      <c r="D137" t="s">
        <v>43</v>
      </c>
      <c r="E137">
        <v>22</v>
      </c>
      <c r="F137" t="s">
        <v>49</v>
      </c>
      <c r="G137" s="1">
        <v>37628</v>
      </c>
      <c r="H137" t="s">
        <v>464</v>
      </c>
      <c r="I137" s="2" t="str">
        <f t="shared" si="2"/>
        <v>+91-7482730548</v>
      </c>
      <c r="J137">
        <f>91-7482730639</f>
        <v>-7482730548</v>
      </c>
      <c r="K137" t="s">
        <v>178</v>
      </c>
      <c r="L137" t="s">
        <v>27</v>
      </c>
      <c r="M137">
        <v>753591</v>
      </c>
      <c r="N137" s="1">
        <v>45307</v>
      </c>
      <c r="O137" t="s">
        <v>28</v>
      </c>
      <c r="P137">
        <v>5</v>
      </c>
      <c r="Q137">
        <v>153155.63</v>
      </c>
    </row>
    <row r="138" spans="1:17" x14ac:dyDescent="0.3">
      <c r="A138" t="s">
        <v>465</v>
      </c>
      <c r="B138" t="s">
        <v>466</v>
      </c>
      <c r="C138" s="2" t="str">
        <f>PROPER(TRIM(Table1[[#This Row],[Gender]]))</f>
        <v>Male</v>
      </c>
      <c r="D138" t="s">
        <v>16</v>
      </c>
      <c r="E138">
        <v>33</v>
      </c>
      <c r="F138" t="s">
        <v>31</v>
      </c>
      <c r="G138" s="1">
        <v>33613</v>
      </c>
      <c r="H138" t="s">
        <v>467</v>
      </c>
      <c r="I138" s="2" t="str">
        <f t="shared" si="2"/>
        <v>+91-7126984933</v>
      </c>
      <c r="J138">
        <f>91-7126985024</f>
        <v>-7126984933</v>
      </c>
      <c r="K138" t="s">
        <v>125</v>
      </c>
      <c r="L138" t="s">
        <v>52</v>
      </c>
      <c r="M138">
        <v>297354</v>
      </c>
      <c r="N138" s="1">
        <v>45388</v>
      </c>
      <c r="O138" t="s">
        <v>28</v>
      </c>
      <c r="P138">
        <v>8</v>
      </c>
      <c r="Q138">
        <v>211325.72</v>
      </c>
    </row>
    <row r="139" spans="1:17" x14ac:dyDescent="0.3">
      <c r="A139" t="s">
        <v>468</v>
      </c>
      <c r="B139" t="s">
        <v>469</v>
      </c>
      <c r="C139" s="2" t="str">
        <f>PROPER(TRIM(Table1[[#This Row],[Gender]]))</f>
        <v>Male</v>
      </c>
      <c r="D139" t="s">
        <v>16</v>
      </c>
      <c r="E139">
        <v>22</v>
      </c>
      <c r="F139" t="s">
        <v>49</v>
      </c>
      <c r="G139" s="1">
        <v>37628</v>
      </c>
      <c r="H139" t="s">
        <v>470</v>
      </c>
      <c r="I139" s="2" t="str">
        <f t="shared" si="2"/>
        <v>+91-9622697461</v>
      </c>
      <c r="J139">
        <f>91-9622697552</f>
        <v>-9622697461</v>
      </c>
      <c r="K139" t="s">
        <v>165</v>
      </c>
      <c r="L139" t="s">
        <v>52</v>
      </c>
      <c r="M139">
        <v>128194</v>
      </c>
      <c r="N139" s="1">
        <v>45234</v>
      </c>
      <c r="O139" t="s">
        <v>28</v>
      </c>
      <c r="P139">
        <v>5</v>
      </c>
      <c r="Q139">
        <v>57443.49</v>
      </c>
    </row>
    <row r="140" spans="1:17" x14ac:dyDescent="0.3">
      <c r="A140" t="s">
        <v>471</v>
      </c>
      <c r="B140" t="s">
        <v>472</v>
      </c>
      <c r="C140" s="2" t="str">
        <f>PROPER(TRIM(Table1[[#This Row],[Gender]]))</f>
        <v>Male</v>
      </c>
      <c r="D140" t="s">
        <v>16</v>
      </c>
      <c r="E140">
        <v>47</v>
      </c>
      <c r="F140" t="s">
        <v>17</v>
      </c>
      <c r="G140" s="1">
        <v>28503</v>
      </c>
      <c r="H140" t="s">
        <v>473</v>
      </c>
      <c r="I140" s="2" t="str">
        <f t="shared" si="2"/>
        <v>+91-9385612072</v>
      </c>
      <c r="J140">
        <f>91-9385612163</f>
        <v>-9385612072</v>
      </c>
      <c r="K140" t="s">
        <v>26</v>
      </c>
      <c r="L140" t="s">
        <v>27</v>
      </c>
      <c r="M140">
        <v>997951</v>
      </c>
      <c r="N140" s="1">
        <v>45242</v>
      </c>
      <c r="O140" t="s">
        <v>21</v>
      </c>
      <c r="P140">
        <v>12</v>
      </c>
      <c r="Q140">
        <v>47995.03</v>
      </c>
    </row>
    <row r="141" spans="1:17" x14ac:dyDescent="0.3">
      <c r="A141" t="s">
        <v>474</v>
      </c>
      <c r="B141" t="s">
        <v>475</v>
      </c>
      <c r="C141" s="2" t="str">
        <f>PROPER(TRIM(Table1[[#This Row],[Gender]]))</f>
        <v>Female</v>
      </c>
      <c r="D141" t="s">
        <v>43</v>
      </c>
      <c r="E141">
        <v>21</v>
      </c>
      <c r="F141" t="s">
        <v>49</v>
      </c>
      <c r="G141" s="1">
        <v>37993</v>
      </c>
      <c r="H141" t="s">
        <v>476</v>
      </c>
      <c r="I141" s="2" t="str">
        <f t="shared" si="2"/>
        <v>+91-9736486971</v>
      </c>
      <c r="J141">
        <f>91-9736487062</f>
        <v>-9736486971</v>
      </c>
      <c r="K141" t="s">
        <v>51</v>
      </c>
      <c r="L141" t="s">
        <v>52</v>
      </c>
      <c r="M141">
        <v>778549</v>
      </c>
      <c r="N141" s="1">
        <v>45383</v>
      </c>
      <c r="O141" t="s">
        <v>28</v>
      </c>
      <c r="P141">
        <v>8</v>
      </c>
      <c r="Q141">
        <v>200918.36</v>
      </c>
    </row>
    <row r="142" spans="1:17" x14ac:dyDescent="0.3">
      <c r="A142" t="s">
        <v>477</v>
      </c>
      <c r="B142" t="s">
        <v>478</v>
      </c>
      <c r="C142" s="2" t="str">
        <f>PROPER(TRIM(Table1[[#This Row],[Gender]]))</f>
        <v>Male</v>
      </c>
      <c r="D142" t="s">
        <v>16</v>
      </c>
      <c r="E142">
        <v>22</v>
      </c>
      <c r="F142" t="s">
        <v>49</v>
      </c>
      <c r="G142" s="1">
        <v>37628</v>
      </c>
      <c r="H142" t="s">
        <v>479</v>
      </c>
      <c r="I142" s="2" t="str">
        <f t="shared" si="2"/>
        <v>+91-9558738653</v>
      </c>
      <c r="J142">
        <f>91-9558738744</f>
        <v>-9558738653</v>
      </c>
      <c r="K142" t="s">
        <v>165</v>
      </c>
      <c r="L142" t="s">
        <v>52</v>
      </c>
      <c r="M142">
        <v>790055</v>
      </c>
      <c r="N142" s="1">
        <v>45374</v>
      </c>
      <c r="O142" t="s">
        <v>28</v>
      </c>
      <c r="P142">
        <v>4</v>
      </c>
      <c r="Q142">
        <v>151036.62</v>
      </c>
    </row>
    <row r="143" spans="1:17" x14ac:dyDescent="0.3">
      <c r="A143" t="s">
        <v>480</v>
      </c>
      <c r="B143" t="s">
        <v>481</v>
      </c>
      <c r="C143" s="2" t="str">
        <f>PROPER(TRIM(Table1[[#This Row],[Gender]]))</f>
        <v>Female</v>
      </c>
      <c r="D143" t="s">
        <v>43</v>
      </c>
      <c r="E143">
        <v>27</v>
      </c>
      <c r="F143" t="s">
        <v>31</v>
      </c>
      <c r="G143" s="1">
        <v>35803</v>
      </c>
      <c r="H143" t="s">
        <v>482</v>
      </c>
      <c r="I143" s="2" t="str">
        <f t="shared" si="2"/>
        <v>+91-9970915245</v>
      </c>
      <c r="J143">
        <f>91-9970915336</f>
        <v>-9970915245</v>
      </c>
      <c r="K143" t="s">
        <v>68</v>
      </c>
      <c r="L143" t="s">
        <v>52</v>
      </c>
      <c r="M143">
        <v>590522</v>
      </c>
      <c r="N143" s="1">
        <v>45214</v>
      </c>
      <c r="O143" t="s">
        <v>28</v>
      </c>
      <c r="P143">
        <v>4</v>
      </c>
      <c r="Q143">
        <v>75196.479999999996</v>
      </c>
    </row>
    <row r="144" spans="1:17" x14ac:dyDescent="0.3">
      <c r="A144" t="s">
        <v>483</v>
      </c>
      <c r="B144" t="s">
        <v>484</v>
      </c>
      <c r="C144" s="2" t="str">
        <f>PROPER(TRIM(Table1[[#This Row],[Gender]]))</f>
        <v>Male</v>
      </c>
      <c r="D144" t="s">
        <v>16</v>
      </c>
      <c r="E144">
        <v>33</v>
      </c>
      <c r="F144" t="s">
        <v>31</v>
      </c>
      <c r="G144" s="1">
        <v>33613</v>
      </c>
      <c r="H144" t="s">
        <v>485</v>
      </c>
      <c r="I144" s="2" t="str">
        <f t="shared" si="2"/>
        <v>+91-9336598950</v>
      </c>
      <c r="J144">
        <f>91-9336599041</f>
        <v>-9336598950</v>
      </c>
      <c r="K144" t="s">
        <v>165</v>
      </c>
      <c r="L144" t="s">
        <v>52</v>
      </c>
      <c r="M144">
        <v>240916</v>
      </c>
      <c r="N144" s="1">
        <v>45264</v>
      </c>
      <c r="O144" t="s">
        <v>35</v>
      </c>
      <c r="P144">
        <v>2</v>
      </c>
      <c r="Q144">
        <v>12736.01</v>
      </c>
    </row>
    <row r="145" spans="1:17" x14ac:dyDescent="0.3">
      <c r="A145" t="s">
        <v>486</v>
      </c>
      <c r="B145" t="s">
        <v>487</v>
      </c>
      <c r="C145" s="2" t="str">
        <f>PROPER(TRIM(Table1[[#This Row],[Gender]]))</f>
        <v>Female</v>
      </c>
      <c r="D145" t="s">
        <v>43</v>
      </c>
      <c r="E145">
        <v>33</v>
      </c>
      <c r="F145" t="s">
        <v>31</v>
      </c>
      <c r="G145" s="1">
        <v>33613</v>
      </c>
      <c r="H145" t="s">
        <v>488</v>
      </c>
      <c r="I145" s="2" t="str">
        <f t="shared" si="2"/>
        <v>+91-7842879241</v>
      </c>
      <c r="J145">
        <f>91-7842879332</f>
        <v>-7842879241</v>
      </c>
      <c r="K145" t="s">
        <v>26</v>
      </c>
      <c r="L145" t="s">
        <v>27</v>
      </c>
      <c r="M145">
        <v>739062</v>
      </c>
      <c r="N145" s="1">
        <v>45103</v>
      </c>
      <c r="O145" t="s">
        <v>28</v>
      </c>
      <c r="P145">
        <v>4</v>
      </c>
      <c r="Q145">
        <v>167722.94</v>
      </c>
    </row>
    <row r="146" spans="1:17" x14ac:dyDescent="0.3">
      <c r="A146" t="s">
        <v>489</v>
      </c>
      <c r="B146" t="s">
        <v>490</v>
      </c>
      <c r="C146" s="2" t="str">
        <f>PROPER(TRIM(Table1[[#This Row],[Gender]]))</f>
        <v>Male</v>
      </c>
      <c r="D146" t="s">
        <v>16</v>
      </c>
      <c r="E146">
        <v>40</v>
      </c>
      <c r="F146" t="s">
        <v>38</v>
      </c>
      <c r="G146" s="1">
        <v>31058</v>
      </c>
      <c r="H146" t="s">
        <v>491</v>
      </c>
      <c r="I146" s="2" t="str">
        <f t="shared" si="2"/>
        <v>+91-9966320248</v>
      </c>
      <c r="J146">
        <f>91-9966320339</f>
        <v>-9966320248</v>
      </c>
      <c r="K146" t="s">
        <v>19</v>
      </c>
      <c r="L146" t="s">
        <v>20</v>
      </c>
      <c r="M146">
        <v>485887</v>
      </c>
      <c r="N146" s="1">
        <v>45303</v>
      </c>
      <c r="O146" t="s">
        <v>21</v>
      </c>
      <c r="P146">
        <v>2</v>
      </c>
      <c r="Q146">
        <v>48802.77</v>
      </c>
    </row>
    <row r="147" spans="1:17" x14ac:dyDescent="0.3">
      <c r="A147" t="s">
        <v>492</v>
      </c>
      <c r="B147" t="s">
        <v>493</v>
      </c>
      <c r="C147" s="2" t="str">
        <f>PROPER(TRIM(Table1[[#This Row],[Gender]]))</f>
        <v>Female</v>
      </c>
      <c r="D147" t="s">
        <v>43</v>
      </c>
      <c r="E147">
        <v>27</v>
      </c>
      <c r="F147" t="s">
        <v>31</v>
      </c>
      <c r="G147" s="1">
        <v>35803</v>
      </c>
      <c r="H147" t="s">
        <v>494</v>
      </c>
      <c r="I147" s="2" t="str">
        <f t="shared" si="2"/>
        <v>+91-9694456166</v>
      </c>
      <c r="J147">
        <f>91-9694456257</f>
        <v>-9694456166</v>
      </c>
      <c r="K147" t="s">
        <v>202</v>
      </c>
      <c r="L147" t="s">
        <v>191</v>
      </c>
      <c r="M147">
        <v>105268</v>
      </c>
      <c r="N147" s="1">
        <v>45291</v>
      </c>
      <c r="O147" t="s">
        <v>28</v>
      </c>
      <c r="P147">
        <v>6</v>
      </c>
      <c r="Q147">
        <v>152657.68</v>
      </c>
    </row>
    <row r="148" spans="1:17" x14ac:dyDescent="0.3">
      <c r="A148" t="s">
        <v>495</v>
      </c>
      <c r="B148" t="s">
        <v>183</v>
      </c>
      <c r="C148" s="2" t="str">
        <f>PROPER(TRIM(Table1[[#This Row],[Gender]]))</f>
        <v>Male</v>
      </c>
      <c r="D148" t="s">
        <v>16</v>
      </c>
      <c r="E148">
        <v>47</v>
      </c>
      <c r="F148" t="s">
        <v>17</v>
      </c>
      <c r="G148" s="1">
        <v>28503</v>
      </c>
      <c r="H148" t="s">
        <v>496</v>
      </c>
      <c r="I148" s="2" t="str">
        <f t="shared" si="2"/>
        <v>+91-9614872579</v>
      </c>
      <c r="J148">
        <f>91-9614872670</f>
        <v>-9614872579</v>
      </c>
      <c r="K148" t="s">
        <v>190</v>
      </c>
      <c r="L148" t="s">
        <v>191</v>
      </c>
      <c r="M148">
        <v>277053</v>
      </c>
      <c r="N148" s="1">
        <v>45320</v>
      </c>
      <c r="O148" t="s">
        <v>21</v>
      </c>
      <c r="P148">
        <v>6</v>
      </c>
      <c r="Q148">
        <v>49877.23</v>
      </c>
    </row>
    <row r="149" spans="1:17" x14ac:dyDescent="0.3">
      <c r="A149" t="s">
        <v>497</v>
      </c>
      <c r="B149" t="s">
        <v>498</v>
      </c>
      <c r="C149" s="2" t="str">
        <f>PROPER(TRIM(Table1[[#This Row],[Gender]]))</f>
        <v>Female</v>
      </c>
      <c r="D149" t="s">
        <v>43</v>
      </c>
      <c r="E149">
        <v>54</v>
      </c>
      <c r="F149" t="s">
        <v>17</v>
      </c>
      <c r="G149" s="1">
        <v>25948</v>
      </c>
      <c r="H149" t="s">
        <v>499</v>
      </c>
      <c r="I149" s="2" t="str">
        <f t="shared" si="2"/>
        <v>+91-8949061258</v>
      </c>
      <c r="J149">
        <f>91-8949061349</f>
        <v>-8949061258</v>
      </c>
      <c r="K149" t="s">
        <v>331</v>
      </c>
      <c r="L149" t="s">
        <v>143</v>
      </c>
      <c r="M149">
        <v>606802</v>
      </c>
      <c r="N149" s="1">
        <v>45432</v>
      </c>
      <c r="O149" t="s">
        <v>35</v>
      </c>
      <c r="P149">
        <v>3</v>
      </c>
      <c r="Q149">
        <v>13411.73</v>
      </c>
    </row>
    <row r="150" spans="1:17" x14ac:dyDescent="0.3">
      <c r="A150" t="s">
        <v>500</v>
      </c>
      <c r="B150" t="s">
        <v>501</v>
      </c>
      <c r="C150" s="2" t="str">
        <f>PROPER(TRIM(Table1[[#This Row],[Gender]]))</f>
        <v>Male</v>
      </c>
      <c r="D150" t="s">
        <v>16</v>
      </c>
      <c r="E150">
        <v>30</v>
      </c>
      <c r="F150" t="s">
        <v>31</v>
      </c>
      <c r="G150" s="1">
        <v>34708</v>
      </c>
      <c r="H150" t="s">
        <v>502</v>
      </c>
      <c r="I150" s="2" t="str">
        <f t="shared" si="2"/>
        <v>+91-7821971127</v>
      </c>
      <c r="J150">
        <f>91-7821971218</f>
        <v>-7821971127</v>
      </c>
      <c r="K150" t="s">
        <v>138</v>
      </c>
      <c r="L150" t="s">
        <v>90</v>
      </c>
      <c r="M150">
        <v>569484</v>
      </c>
      <c r="N150" s="1">
        <v>45237</v>
      </c>
      <c r="O150" t="s">
        <v>28</v>
      </c>
      <c r="P150">
        <v>10</v>
      </c>
      <c r="Q150">
        <v>299985.96000000002</v>
      </c>
    </row>
    <row r="151" spans="1:17" x14ac:dyDescent="0.3">
      <c r="A151" t="s">
        <v>503</v>
      </c>
      <c r="B151" t="s">
        <v>504</v>
      </c>
      <c r="C151" s="2" t="str">
        <f>PROPER(TRIM(Table1[[#This Row],[Gender]]))</f>
        <v>Male</v>
      </c>
      <c r="D151" t="s">
        <v>16</v>
      </c>
      <c r="E151">
        <v>48</v>
      </c>
      <c r="F151" t="s">
        <v>17</v>
      </c>
      <c r="G151" s="1">
        <v>28138</v>
      </c>
      <c r="H151" t="s">
        <v>505</v>
      </c>
      <c r="I151" s="2" t="str">
        <f t="shared" si="2"/>
        <v>+91-9437023987</v>
      </c>
      <c r="J151">
        <f>91-9437024078</f>
        <v>-9437023987</v>
      </c>
      <c r="K151" t="s">
        <v>142</v>
      </c>
      <c r="L151" t="s">
        <v>143</v>
      </c>
      <c r="M151">
        <v>973833</v>
      </c>
      <c r="N151" s="1">
        <v>45237</v>
      </c>
      <c r="O151" t="s">
        <v>28</v>
      </c>
      <c r="P151">
        <v>9</v>
      </c>
      <c r="Q151">
        <v>77803.789999999994</v>
      </c>
    </row>
    <row r="152" spans="1:17" x14ac:dyDescent="0.3">
      <c r="A152" t="s">
        <v>506</v>
      </c>
      <c r="B152" t="s">
        <v>507</v>
      </c>
      <c r="C152" s="2" t="str">
        <f>PROPER(TRIM(Table1[[#This Row],[Gender]]))</f>
        <v>Male</v>
      </c>
      <c r="D152" t="s">
        <v>16</v>
      </c>
      <c r="E152">
        <v>44</v>
      </c>
      <c r="F152" t="s">
        <v>38</v>
      </c>
      <c r="G152" s="1">
        <v>29598</v>
      </c>
      <c r="H152" t="s">
        <v>508</v>
      </c>
      <c r="I152" s="2" t="str">
        <f t="shared" si="2"/>
        <v>+91-8448141866</v>
      </c>
      <c r="J152">
        <f>91-8448141957</f>
        <v>-8448141866</v>
      </c>
      <c r="K152" t="s">
        <v>147</v>
      </c>
      <c r="L152" t="s">
        <v>143</v>
      </c>
      <c r="M152">
        <v>231359</v>
      </c>
      <c r="N152" s="1">
        <v>45339</v>
      </c>
      <c r="O152" t="s">
        <v>28</v>
      </c>
      <c r="P152">
        <v>4</v>
      </c>
      <c r="Q152">
        <v>105603.25</v>
      </c>
    </row>
    <row r="153" spans="1:17" x14ac:dyDescent="0.3">
      <c r="A153" t="s">
        <v>509</v>
      </c>
      <c r="B153" t="s">
        <v>510</v>
      </c>
      <c r="C153" s="2" t="str">
        <f>PROPER(TRIM(Table1[[#This Row],[Gender]]))</f>
        <v>Male</v>
      </c>
      <c r="D153" t="s">
        <v>16</v>
      </c>
      <c r="E153">
        <v>43</v>
      </c>
      <c r="F153" t="s">
        <v>38</v>
      </c>
      <c r="G153" s="1">
        <v>29963</v>
      </c>
      <c r="H153" t="s">
        <v>511</v>
      </c>
      <c r="I153" s="2" t="str">
        <f t="shared" si="2"/>
        <v>+91-7661714010</v>
      </c>
      <c r="J153">
        <f>91-7661714101</f>
        <v>-7661714010</v>
      </c>
      <c r="K153" t="s">
        <v>60</v>
      </c>
      <c r="L153" t="s">
        <v>34</v>
      </c>
      <c r="M153">
        <v>446274</v>
      </c>
      <c r="N153" s="1">
        <v>45258</v>
      </c>
      <c r="O153" t="s">
        <v>28</v>
      </c>
      <c r="P153">
        <v>5</v>
      </c>
      <c r="Q153">
        <v>200329.99</v>
      </c>
    </row>
    <row r="154" spans="1:17" x14ac:dyDescent="0.3">
      <c r="A154" t="s">
        <v>512</v>
      </c>
      <c r="B154" t="s">
        <v>513</v>
      </c>
      <c r="C154" s="2" t="str">
        <f>PROPER(TRIM(Table1[[#This Row],[Gender]]))</f>
        <v>Female</v>
      </c>
      <c r="D154" t="s">
        <v>43</v>
      </c>
      <c r="E154">
        <v>43</v>
      </c>
      <c r="F154" t="s">
        <v>38</v>
      </c>
      <c r="G154" s="1">
        <v>29963</v>
      </c>
      <c r="H154" t="s">
        <v>514</v>
      </c>
      <c r="I154" s="2" t="str">
        <f t="shared" si="2"/>
        <v>+91-8966148883</v>
      </c>
      <c r="J154">
        <f>91-8966148974</f>
        <v>-8966148883</v>
      </c>
      <c r="K154" t="s">
        <v>273</v>
      </c>
      <c r="L154" t="s">
        <v>46</v>
      </c>
      <c r="M154">
        <v>583577</v>
      </c>
      <c r="N154" s="1">
        <v>45138</v>
      </c>
      <c r="O154" t="s">
        <v>28</v>
      </c>
      <c r="P154">
        <v>6</v>
      </c>
      <c r="Q154">
        <v>242171.4</v>
      </c>
    </row>
    <row r="155" spans="1:17" x14ac:dyDescent="0.3">
      <c r="A155" t="s">
        <v>515</v>
      </c>
      <c r="B155" t="s">
        <v>516</v>
      </c>
      <c r="C155" s="2" t="str">
        <f>PROPER(TRIM(Table1[[#This Row],[Gender]]))</f>
        <v>Female</v>
      </c>
      <c r="D155" t="s">
        <v>43</v>
      </c>
      <c r="E155">
        <v>21</v>
      </c>
      <c r="F155" t="s">
        <v>49</v>
      </c>
      <c r="G155" s="1">
        <v>37993</v>
      </c>
      <c r="H155" t="s">
        <v>517</v>
      </c>
      <c r="I155" s="2" t="str">
        <f t="shared" si="2"/>
        <v>+91-7934631619</v>
      </c>
      <c r="J155">
        <f>91-7934631710</f>
        <v>-7934631619</v>
      </c>
      <c r="K155" t="s">
        <v>239</v>
      </c>
      <c r="L155" t="s">
        <v>191</v>
      </c>
      <c r="M155">
        <v>672727</v>
      </c>
      <c r="N155" s="1">
        <v>45227</v>
      </c>
      <c r="O155" t="s">
        <v>21</v>
      </c>
      <c r="P155">
        <v>8</v>
      </c>
      <c r="Q155">
        <v>22481.33</v>
      </c>
    </row>
    <row r="156" spans="1:17" x14ac:dyDescent="0.3">
      <c r="A156" t="s">
        <v>518</v>
      </c>
      <c r="B156" t="s">
        <v>519</v>
      </c>
      <c r="C156" s="2" t="str">
        <f>PROPER(TRIM(Table1[[#This Row],[Gender]]))</f>
        <v>Male</v>
      </c>
      <c r="D156" t="s">
        <v>16</v>
      </c>
      <c r="E156">
        <v>20</v>
      </c>
      <c r="F156" t="s">
        <v>49</v>
      </c>
      <c r="G156" s="1">
        <v>38358</v>
      </c>
      <c r="H156" t="s">
        <v>520</v>
      </c>
      <c r="I156" s="2" t="str">
        <f t="shared" si="2"/>
        <v>+91-8759510627</v>
      </c>
      <c r="J156">
        <f>91-8759510718</f>
        <v>-8759510627</v>
      </c>
      <c r="K156" t="s">
        <v>331</v>
      </c>
      <c r="L156" t="s">
        <v>143</v>
      </c>
      <c r="M156">
        <v>869307</v>
      </c>
      <c r="N156" s="1">
        <v>45087</v>
      </c>
      <c r="O156" t="s">
        <v>35</v>
      </c>
      <c r="P156">
        <v>6</v>
      </c>
      <c r="Q156">
        <v>13206.81</v>
      </c>
    </row>
    <row r="157" spans="1:17" x14ac:dyDescent="0.3">
      <c r="A157" t="s">
        <v>521</v>
      </c>
      <c r="B157" t="s">
        <v>522</v>
      </c>
      <c r="C157" s="2" t="str">
        <f>PROPER(TRIM(Table1[[#This Row],[Gender]]))</f>
        <v>Female</v>
      </c>
      <c r="D157" t="s">
        <v>43</v>
      </c>
      <c r="E157">
        <v>40</v>
      </c>
      <c r="F157" t="s">
        <v>38</v>
      </c>
      <c r="G157" s="1">
        <v>31058</v>
      </c>
      <c r="H157" t="s">
        <v>523</v>
      </c>
      <c r="I157" s="2" t="str">
        <f t="shared" si="2"/>
        <v>+91-9063668442</v>
      </c>
      <c r="J157">
        <f>91-9063668533</f>
        <v>-9063668442</v>
      </c>
      <c r="K157" t="s">
        <v>125</v>
      </c>
      <c r="L157" t="s">
        <v>52</v>
      </c>
      <c r="M157">
        <v>586151</v>
      </c>
      <c r="N157" s="1">
        <v>45211</v>
      </c>
      <c r="O157" t="s">
        <v>28</v>
      </c>
      <c r="P157">
        <v>5</v>
      </c>
      <c r="Q157">
        <v>70181.600000000006</v>
      </c>
    </row>
    <row r="158" spans="1:17" x14ac:dyDescent="0.3">
      <c r="A158" t="s">
        <v>524</v>
      </c>
      <c r="B158" t="s">
        <v>525</v>
      </c>
      <c r="C158" s="2" t="str">
        <f>PROPER(TRIM(Table1[[#This Row],[Gender]]))</f>
        <v>Female</v>
      </c>
      <c r="D158" t="s">
        <v>43</v>
      </c>
      <c r="E158">
        <v>34</v>
      </c>
      <c r="F158" t="s">
        <v>31</v>
      </c>
      <c r="G158" s="1">
        <v>33248</v>
      </c>
      <c r="H158" t="s">
        <v>526</v>
      </c>
      <c r="I158" s="2" t="str">
        <f t="shared" si="2"/>
        <v>+91-8288948675</v>
      </c>
      <c r="J158">
        <f>91-8288948766</f>
        <v>-8288948675</v>
      </c>
      <c r="K158" t="s">
        <v>142</v>
      </c>
      <c r="L158" t="s">
        <v>143</v>
      </c>
      <c r="M158">
        <v>844821</v>
      </c>
      <c r="N158" s="1">
        <v>45238</v>
      </c>
      <c r="O158" t="s">
        <v>28</v>
      </c>
      <c r="P158">
        <v>6</v>
      </c>
      <c r="Q158">
        <v>364038.16</v>
      </c>
    </row>
    <row r="159" spans="1:17" x14ac:dyDescent="0.3">
      <c r="A159" t="s">
        <v>527</v>
      </c>
      <c r="B159" t="s">
        <v>528</v>
      </c>
      <c r="C159" s="2" t="str">
        <f>PROPER(TRIM(Table1[[#This Row],[Gender]]))</f>
        <v>Female</v>
      </c>
      <c r="D159" t="s">
        <v>43</v>
      </c>
      <c r="E159">
        <v>43</v>
      </c>
      <c r="F159" t="s">
        <v>38</v>
      </c>
      <c r="G159" s="1">
        <v>29963</v>
      </c>
      <c r="H159" t="s">
        <v>529</v>
      </c>
      <c r="I159" s="2" t="str">
        <f t="shared" si="2"/>
        <v>+91-7411773121</v>
      </c>
      <c r="J159">
        <f>91-7411773212</f>
        <v>-7411773121</v>
      </c>
      <c r="K159" t="s">
        <v>89</v>
      </c>
      <c r="L159" t="s">
        <v>90</v>
      </c>
      <c r="M159">
        <v>455471</v>
      </c>
      <c r="N159" s="1">
        <v>45098</v>
      </c>
      <c r="O159" t="s">
        <v>28</v>
      </c>
      <c r="P159">
        <v>4</v>
      </c>
      <c r="Q159">
        <v>272332.34999999998</v>
      </c>
    </row>
    <row r="160" spans="1:17" x14ac:dyDescent="0.3">
      <c r="A160" t="s">
        <v>530</v>
      </c>
      <c r="B160" t="s">
        <v>531</v>
      </c>
      <c r="C160" s="2" t="str">
        <f>PROPER(TRIM(Table1[[#This Row],[Gender]]))</f>
        <v>Male</v>
      </c>
      <c r="D160" t="s">
        <v>16</v>
      </c>
      <c r="E160">
        <v>33</v>
      </c>
      <c r="F160" t="s">
        <v>31</v>
      </c>
      <c r="G160" s="1">
        <v>33613</v>
      </c>
      <c r="H160" t="s">
        <v>532</v>
      </c>
      <c r="I160" s="2" t="str">
        <f t="shared" si="2"/>
        <v>+91-7817666133</v>
      </c>
      <c r="J160">
        <f>91-7817666224</f>
        <v>-7817666133</v>
      </c>
      <c r="K160" t="s">
        <v>369</v>
      </c>
      <c r="L160" t="s">
        <v>191</v>
      </c>
      <c r="M160">
        <v>555053</v>
      </c>
      <c r="N160" s="1">
        <v>45126</v>
      </c>
      <c r="O160" t="s">
        <v>28</v>
      </c>
      <c r="P160">
        <v>4</v>
      </c>
      <c r="Q160">
        <v>82303.38</v>
      </c>
    </row>
    <row r="161" spans="1:17" x14ac:dyDescent="0.3">
      <c r="A161" t="s">
        <v>533</v>
      </c>
      <c r="B161" t="s">
        <v>534</v>
      </c>
      <c r="C161" s="2" t="str">
        <f>PROPER(TRIM(Table1[[#This Row],[Gender]]))</f>
        <v>Female</v>
      </c>
      <c r="D161" t="s">
        <v>43</v>
      </c>
      <c r="E161">
        <v>23</v>
      </c>
      <c r="F161" t="s">
        <v>49</v>
      </c>
      <c r="G161" s="1">
        <v>37263</v>
      </c>
      <c r="H161" t="s">
        <v>535</v>
      </c>
      <c r="I161" s="2" t="str">
        <f t="shared" si="2"/>
        <v>+91-7196416791</v>
      </c>
      <c r="J161">
        <f>91-7196416882</f>
        <v>-7196416791</v>
      </c>
      <c r="K161" t="s">
        <v>161</v>
      </c>
      <c r="L161" t="s">
        <v>102</v>
      </c>
      <c r="M161">
        <v>107199</v>
      </c>
      <c r="N161" s="1">
        <v>45440</v>
      </c>
      <c r="O161" t="s">
        <v>28</v>
      </c>
      <c r="P161">
        <v>9</v>
      </c>
      <c r="Q161">
        <v>449522.63</v>
      </c>
    </row>
    <row r="162" spans="1:17" x14ac:dyDescent="0.3">
      <c r="A162" t="s">
        <v>536</v>
      </c>
      <c r="B162" t="s">
        <v>537</v>
      </c>
      <c r="C162" s="2" t="str">
        <f>PROPER(TRIM(Table1[[#This Row],[Gender]]))</f>
        <v>Female</v>
      </c>
      <c r="D162" t="s">
        <v>43</v>
      </c>
      <c r="E162">
        <v>49</v>
      </c>
      <c r="F162" t="s">
        <v>17</v>
      </c>
      <c r="G162" s="1">
        <v>27773</v>
      </c>
      <c r="H162" t="s">
        <v>538</v>
      </c>
      <c r="I162" s="2" t="str">
        <f t="shared" si="2"/>
        <v>+91-8160275853</v>
      </c>
      <c r="J162">
        <f>91-8160275944</f>
        <v>-8160275853</v>
      </c>
      <c r="K162" t="s">
        <v>72</v>
      </c>
      <c r="L162" t="s">
        <v>34</v>
      </c>
      <c r="M162">
        <v>804879</v>
      </c>
      <c r="N162" s="1">
        <v>45190</v>
      </c>
      <c r="O162" t="s">
        <v>35</v>
      </c>
      <c r="P162">
        <v>7</v>
      </c>
      <c r="Q162">
        <v>9069.83</v>
      </c>
    </row>
    <row r="163" spans="1:17" x14ac:dyDescent="0.3">
      <c r="A163" t="s">
        <v>539</v>
      </c>
      <c r="B163" t="s">
        <v>540</v>
      </c>
      <c r="C163" s="2" t="str">
        <f>PROPER(TRIM(Table1[[#This Row],[Gender]]))</f>
        <v>Female</v>
      </c>
      <c r="D163" t="s">
        <v>43</v>
      </c>
      <c r="E163">
        <v>58</v>
      </c>
      <c r="F163" t="s">
        <v>58</v>
      </c>
      <c r="G163" s="1">
        <v>24488</v>
      </c>
      <c r="H163" t="s">
        <v>541</v>
      </c>
      <c r="I163" s="2" t="str">
        <f t="shared" si="2"/>
        <v>+91-8537691799</v>
      </c>
      <c r="J163">
        <f>91-8537691890</f>
        <v>-8537691799</v>
      </c>
      <c r="K163" t="s">
        <v>76</v>
      </c>
      <c r="L163" t="s">
        <v>46</v>
      </c>
      <c r="M163">
        <v>236952</v>
      </c>
      <c r="N163" s="1">
        <v>45191</v>
      </c>
      <c r="O163" t="s">
        <v>21</v>
      </c>
      <c r="P163">
        <v>2</v>
      </c>
      <c r="Q163">
        <v>42669.11</v>
      </c>
    </row>
    <row r="164" spans="1:17" x14ac:dyDescent="0.3">
      <c r="A164" t="s">
        <v>542</v>
      </c>
      <c r="B164" t="s">
        <v>543</v>
      </c>
      <c r="C164" s="2" t="str">
        <f>PROPER(TRIM(Table1[[#This Row],[Gender]]))</f>
        <v>Female</v>
      </c>
      <c r="D164" t="s">
        <v>43</v>
      </c>
      <c r="E164">
        <v>36</v>
      </c>
      <c r="F164" t="s">
        <v>38</v>
      </c>
      <c r="G164" s="1">
        <v>32518</v>
      </c>
      <c r="H164" t="s">
        <v>544</v>
      </c>
      <c r="I164" s="2" t="str">
        <f t="shared" si="2"/>
        <v>+91-7003914823</v>
      </c>
      <c r="J164">
        <f>91-7003914914</f>
        <v>-7003914823</v>
      </c>
      <c r="K164" t="s">
        <v>195</v>
      </c>
      <c r="L164" t="s">
        <v>102</v>
      </c>
      <c r="M164">
        <v>637746</v>
      </c>
      <c r="N164" s="1">
        <v>45353</v>
      </c>
      <c r="O164" t="s">
        <v>28</v>
      </c>
      <c r="P164">
        <v>7</v>
      </c>
      <c r="Q164">
        <v>194611.58</v>
      </c>
    </row>
    <row r="165" spans="1:17" x14ac:dyDescent="0.3">
      <c r="A165" t="s">
        <v>545</v>
      </c>
      <c r="B165" t="s">
        <v>546</v>
      </c>
      <c r="C165" s="2" t="str">
        <f>PROPER(TRIM(Table1[[#This Row],[Gender]]))</f>
        <v>Female</v>
      </c>
      <c r="D165" t="s">
        <v>43</v>
      </c>
      <c r="E165">
        <v>35</v>
      </c>
      <c r="F165" t="s">
        <v>31</v>
      </c>
      <c r="G165" s="1">
        <v>32883</v>
      </c>
      <c r="H165" t="s">
        <v>547</v>
      </c>
      <c r="I165" s="2" t="str">
        <f t="shared" si="2"/>
        <v>+91-8123519514</v>
      </c>
      <c r="J165">
        <f>91-8123519605</f>
        <v>-8123519514</v>
      </c>
      <c r="K165" t="s">
        <v>369</v>
      </c>
      <c r="L165" t="s">
        <v>191</v>
      </c>
      <c r="M165">
        <v>814047</v>
      </c>
      <c r="N165" s="1">
        <v>45382</v>
      </c>
      <c r="O165" t="s">
        <v>28</v>
      </c>
      <c r="P165">
        <v>4</v>
      </c>
      <c r="Q165">
        <v>136884.68</v>
      </c>
    </row>
    <row r="166" spans="1:17" x14ac:dyDescent="0.3">
      <c r="A166" t="s">
        <v>548</v>
      </c>
      <c r="B166" t="s">
        <v>407</v>
      </c>
      <c r="C166" s="2" t="str">
        <f>PROPER(TRIM(Table1[[#This Row],[Gender]]))</f>
        <v>Male</v>
      </c>
      <c r="D166" t="s">
        <v>16</v>
      </c>
      <c r="E166">
        <v>36</v>
      </c>
      <c r="F166" t="s">
        <v>38</v>
      </c>
      <c r="G166" s="1">
        <v>32518</v>
      </c>
      <c r="H166" t="s">
        <v>549</v>
      </c>
      <c r="I166" s="2" t="str">
        <f t="shared" si="2"/>
        <v>+91-8954176068</v>
      </c>
      <c r="J166">
        <f>91-8954176159</f>
        <v>-8954176068</v>
      </c>
      <c r="K166" t="s">
        <v>125</v>
      </c>
      <c r="L166" t="s">
        <v>52</v>
      </c>
      <c r="M166">
        <v>876687</v>
      </c>
      <c r="N166" s="1">
        <v>45312</v>
      </c>
      <c r="O166" t="s">
        <v>28</v>
      </c>
      <c r="P166">
        <v>6</v>
      </c>
      <c r="Q166">
        <v>233935.85</v>
      </c>
    </row>
    <row r="167" spans="1:17" x14ac:dyDescent="0.3">
      <c r="A167" t="s">
        <v>550</v>
      </c>
      <c r="B167" t="s">
        <v>551</v>
      </c>
      <c r="C167" s="2" t="str">
        <f>PROPER(TRIM(Table1[[#This Row],[Gender]]))</f>
        <v>Male</v>
      </c>
      <c r="D167" t="s">
        <v>16</v>
      </c>
      <c r="E167">
        <v>18</v>
      </c>
      <c r="F167" t="s">
        <v>49</v>
      </c>
      <c r="G167" s="1">
        <v>39088</v>
      </c>
      <c r="H167" t="s">
        <v>552</v>
      </c>
      <c r="I167" s="2" t="str">
        <f t="shared" si="2"/>
        <v>+91-8087358599</v>
      </c>
      <c r="J167">
        <f>91-8087358690</f>
        <v>-8087358599</v>
      </c>
      <c r="K167" t="s">
        <v>178</v>
      </c>
      <c r="L167" t="s">
        <v>27</v>
      </c>
      <c r="M167">
        <v>490476</v>
      </c>
      <c r="N167" s="1">
        <v>45394</v>
      </c>
      <c r="O167" t="s">
        <v>21</v>
      </c>
      <c r="P167">
        <v>4</v>
      </c>
      <c r="Q167">
        <v>24124.65</v>
      </c>
    </row>
    <row r="168" spans="1:17" x14ac:dyDescent="0.3">
      <c r="A168" t="s">
        <v>553</v>
      </c>
      <c r="B168" t="s">
        <v>554</v>
      </c>
      <c r="C168" s="2" t="str">
        <f>PROPER(TRIM(Table1[[#This Row],[Gender]]))</f>
        <v>Male</v>
      </c>
      <c r="D168" t="s">
        <v>16</v>
      </c>
      <c r="E168">
        <v>73</v>
      </c>
      <c r="F168" t="s">
        <v>24</v>
      </c>
      <c r="G168" s="1">
        <v>19013</v>
      </c>
      <c r="H168" t="s">
        <v>555</v>
      </c>
      <c r="I168" s="2" t="str">
        <f t="shared" si="2"/>
        <v>+91-8181649770</v>
      </c>
      <c r="J168">
        <f>91-8181649861</f>
        <v>-8181649770</v>
      </c>
      <c r="K168" t="s">
        <v>154</v>
      </c>
      <c r="L168" t="s">
        <v>46</v>
      </c>
      <c r="M168">
        <v>784360</v>
      </c>
      <c r="N168" s="1">
        <v>45106</v>
      </c>
      <c r="O168" t="s">
        <v>28</v>
      </c>
      <c r="P168">
        <v>3</v>
      </c>
      <c r="Q168">
        <v>70703.63</v>
      </c>
    </row>
    <row r="169" spans="1:17" x14ac:dyDescent="0.3">
      <c r="A169" t="s">
        <v>556</v>
      </c>
      <c r="B169" t="s">
        <v>557</v>
      </c>
      <c r="C169" s="2" t="str">
        <f>PROPER(TRIM(Table1[[#This Row],[Gender]]))</f>
        <v>Male</v>
      </c>
      <c r="D169" t="s">
        <v>16</v>
      </c>
      <c r="E169">
        <v>37</v>
      </c>
      <c r="F169" t="s">
        <v>38</v>
      </c>
      <c r="G169" s="1">
        <v>32153</v>
      </c>
      <c r="H169" t="s">
        <v>558</v>
      </c>
      <c r="I169" s="2" t="str">
        <f t="shared" si="2"/>
        <v>+91-7588964653</v>
      </c>
      <c r="J169">
        <f>91-7588964744</f>
        <v>-7588964653</v>
      </c>
      <c r="K169" t="s">
        <v>161</v>
      </c>
      <c r="L169" t="s">
        <v>102</v>
      </c>
      <c r="M169">
        <v>310755</v>
      </c>
      <c r="N169" s="1">
        <v>45224</v>
      </c>
      <c r="O169" t="s">
        <v>28</v>
      </c>
      <c r="P169">
        <v>5</v>
      </c>
      <c r="Q169">
        <v>237839.3</v>
      </c>
    </row>
    <row r="170" spans="1:17" x14ac:dyDescent="0.3">
      <c r="A170" t="s">
        <v>559</v>
      </c>
      <c r="B170" t="s">
        <v>560</v>
      </c>
      <c r="C170" s="2" t="str">
        <f>PROPER(TRIM(Table1[[#This Row],[Gender]]))</f>
        <v>Male</v>
      </c>
      <c r="D170" t="s">
        <v>16</v>
      </c>
      <c r="E170">
        <v>45</v>
      </c>
      <c r="F170" t="s">
        <v>38</v>
      </c>
      <c r="G170" s="1">
        <v>29233</v>
      </c>
      <c r="H170" t="s">
        <v>561</v>
      </c>
      <c r="I170" s="2" t="str">
        <f t="shared" si="2"/>
        <v>+91-8136792003</v>
      </c>
      <c r="J170">
        <f>91-8136792094</f>
        <v>-8136792003</v>
      </c>
      <c r="K170" t="s">
        <v>239</v>
      </c>
      <c r="L170" t="s">
        <v>191</v>
      </c>
      <c r="M170">
        <v>612227</v>
      </c>
      <c r="N170" s="1">
        <v>45417</v>
      </c>
      <c r="O170" t="s">
        <v>28</v>
      </c>
      <c r="P170">
        <v>5</v>
      </c>
      <c r="Q170">
        <v>221258.87</v>
      </c>
    </row>
    <row r="171" spans="1:17" x14ac:dyDescent="0.3">
      <c r="A171" t="s">
        <v>562</v>
      </c>
      <c r="B171" t="s">
        <v>563</v>
      </c>
      <c r="C171" s="2" t="str">
        <f>PROPER(TRIM(Table1[[#This Row],[Gender]]))</f>
        <v>Male</v>
      </c>
      <c r="D171" t="s">
        <v>16</v>
      </c>
      <c r="E171">
        <v>33</v>
      </c>
      <c r="F171" t="s">
        <v>31</v>
      </c>
      <c r="G171" s="1">
        <v>33613</v>
      </c>
      <c r="H171" t="s">
        <v>564</v>
      </c>
      <c r="I171" s="2" t="str">
        <f t="shared" si="2"/>
        <v>+91-7815936785</v>
      </c>
      <c r="J171">
        <f>91-7815936876</f>
        <v>-7815936785</v>
      </c>
      <c r="K171" t="s">
        <v>125</v>
      </c>
      <c r="L171" t="s">
        <v>52</v>
      </c>
      <c r="M171">
        <v>539720</v>
      </c>
      <c r="N171" s="1">
        <v>45358</v>
      </c>
      <c r="O171" t="s">
        <v>28</v>
      </c>
      <c r="P171">
        <v>3</v>
      </c>
      <c r="Q171">
        <v>77028.91</v>
      </c>
    </row>
    <row r="172" spans="1:17" x14ac:dyDescent="0.3">
      <c r="A172" t="s">
        <v>565</v>
      </c>
      <c r="B172" t="s">
        <v>130</v>
      </c>
      <c r="C172" s="2" t="str">
        <f>PROPER(TRIM(Table1[[#This Row],[Gender]]))</f>
        <v>Male</v>
      </c>
      <c r="D172" t="s">
        <v>16</v>
      </c>
      <c r="E172">
        <v>44</v>
      </c>
      <c r="F172" t="s">
        <v>38</v>
      </c>
      <c r="G172" s="1">
        <v>29598</v>
      </c>
      <c r="H172" t="s">
        <v>566</v>
      </c>
      <c r="I172" s="2" t="str">
        <f t="shared" si="2"/>
        <v>+91-9252551287</v>
      </c>
      <c r="J172">
        <f>91-9252551378</f>
        <v>-9252551287</v>
      </c>
      <c r="K172" t="s">
        <v>138</v>
      </c>
      <c r="L172" t="s">
        <v>90</v>
      </c>
      <c r="M172">
        <v>539426</v>
      </c>
      <c r="N172" s="1">
        <v>45216</v>
      </c>
      <c r="O172" t="s">
        <v>28</v>
      </c>
      <c r="P172">
        <v>7</v>
      </c>
      <c r="Q172">
        <v>145296.12</v>
      </c>
    </row>
    <row r="173" spans="1:17" x14ac:dyDescent="0.3">
      <c r="A173" t="s">
        <v>567</v>
      </c>
      <c r="B173" t="s">
        <v>66</v>
      </c>
      <c r="C173" s="2" t="str">
        <f>PROPER(TRIM(Table1[[#This Row],[Gender]]))</f>
        <v>Male</v>
      </c>
      <c r="D173" t="s">
        <v>16</v>
      </c>
      <c r="E173">
        <v>47</v>
      </c>
      <c r="F173" t="s">
        <v>17</v>
      </c>
      <c r="G173" s="1">
        <v>28503</v>
      </c>
      <c r="H173" t="s">
        <v>568</v>
      </c>
      <c r="I173" s="2" t="str">
        <f t="shared" si="2"/>
        <v>+91-7978301199</v>
      </c>
      <c r="J173">
        <f>91-7978301290</f>
        <v>-7978301199</v>
      </c>
      <c r="K173" t="s">
        <v>249</v>
      </c>
      <c r="L173" t="s">
        <v>34</v>
      </c>
      <c r="M173">
        <v>712742</v>
      </c>
      <c r="N173" s="1">
        <v>45242</v>
      </c>
      <c r="O173" t="s">
        <v>35</v>
      </c>
      <c r="P173">
        <v>1</v>
      </c>
      <c r="Q173">
        <v>3098.7</v>
      </c>
    </row>
    <row r="174" spans="1:17" x14ac:dyDescent="0.3">
      <c r="A174" t="s">
        <v>569</v>
      </c>
      <c r="B174" t="s">
        <v>570</v>
      </c>
      <c r="C174" s="2" t="str">
        <f>PROPER(TRIM(Table1[[#This Row],[Gender]]))</f>
        <v>Male</v>
      </c>
      <c r="D174" t="s">
        <v>16</v>
      </c>
      <c r="E174">
        <v>40</v>
      </c>
      <c r="F174" t="s">
        <v>38</v>
      </c>
      <c r="G174" s="1">
        <v>31058</v>
      </c>
      <c r="H174" t="s">
        <v>571</v>
      </c>
      <c r="I174" s="2" t="str">
        <f t="shared" si="2"/>
        <v>+91-8899167334</v>
      </c>
      <c r="J174">
        <f>91-8899167425</f>
        <v>-8899167334</v>
      </c>
      <c r="K174" t="s">
        <v>19</v>
      </c>
      <c r="L174" t="s">
        <v>20</v>
      </c>
      <c r="M174">
        <v>640307</v>
      </c>
      <c r="N174" s="1">
        <v>45302</v>
      </c>
      <c r="O174" t="s">
        <v>21</v>
      </c>
      <c r="P174">
        <v>4</v>
      </c>
      <c r="Q174">
        <v>44028.959999999999</v>
      </c>
    </row>
    <row r="175" spans="1:17" x14ac:dyDescent="0.3">
      <c r="A175" t="s">
        <v>572</v>
      </c>
      <c r="B175" t="s">
        <v>127</v>
      </c>
      <c r="C175" s="2" t="str">
        <f>PROPER(TRIM(Table1[[#This Row],[Gender]]))</f>
        <v>Male</v>
      </c>
      <c r="D175" t="s">
        <v>16</v>
      </c>
      <c r="E175">
        <v>63</v>
      </c>
      <c r="F175" t="s">
        <v>58</v>
      </c>
      <c r="G175" s="1">
        <v>22663</v>
      </c>
      <c r="H175" t="s">
        <v>573</v>
      </c>
      <c r="I175" s="2" t="str">
        <f t="shared" si="2"/>
        <v>+91-8023489825</v>
      </c>
      <c r="J175">
        <f>91-8023489916</f>
        <v>-8023489825</v>
      </c>
      <c r="K175" t="s">
        <v>76</v>
      </c>
      <c r="L175" t="s">
        <v>46</v>
      </c>
      <c r="M175">
        <v>901529</v>
      </c>
      <c r="N175" s="1">
        <v>45368</v>
      </c>
      <c r="O175" t="s">
        <v>21</v>
      </c>
      <c r="P175">
        <v>6</v>
      </c>
      <c r="Q175">
        <v>49071.38</v>
      </c>
    </row>
    <row r="176" spans="1:17" x14ac:dyDescent="0.3">
      <c r="A176" t="s">
        <v>574</v>
      </c>
      <c r="B176" t="s">
        <v>104</v>
      </c>
      <c r="C176" s="2" t="str">
        <f>PROPER(TRIM(Table1[[#This Row],[Gender]]))</f>
        <v>Female</v>
      </c>
      <c r="D176" t="s">
        <v>43</v>
      </c>
      <c r="E176">
        <v>27</v>
      </c>
      <c r="F176" t="s">
        <v>31</v>
      </c>
      <c r="G176" s="1">
        <v>35803</v>
      </c>
      <c r="H176" t="s">
        <v>105</v>
      </c>
      <c r="I176" s="2" t="str">
        <f t="shared" si="2"/>
        <v>+91-9508367939</v>
      </c>
      <c r="J176">
        <f>91-9508368030</f>
        <v>-9508367939</v>
      </c>
      <c r="K176" t="s">
        <v>109</v>
      </c>
      <c r="L176" t="s">
        <v>46</v>
      </c>
      <c r="M176">
        <v>749723</v>
      </c>
      <c r="N176" s="1">
        <v>45139</v>
      </c>
      <c r="O176" t="s">
        <v>28</v>
      </c>
      <c r="P176">
        <v>3</v>
      </c>
      <c r="Q176">
        <v>69885.81</v>
      </c>
    </row>
    <row r="177" spans="1:17" x14ac:dyDescent="0.3">
      <c r="A177" t="s">
        <v>575</v>
      </c>
      <c r="B177" t="s">
        <v>275</v>
      </c>
      <c r="C177" s="2" t="str">
        <f>PROPER(TRIM(Table1[[#This Row],[Gender]]))</f>
        <v>Female</v>
      </c>
      <c r="D177" t="s">
        <v>43</v>
      </c>
      <c r="E177">
        <v>34</v>
      </c>
      <c r="F177" t="s">
        <v>31</v>
      </c>
      <c r="G177" s="1">
        <v>33248</v>
      </c>
      <c r="H177" t="s">
        <v>576</v>
      </c>
      <c r="I177" s="2" t="str">
        <f t="shared" si="2"/>
        <v>+91-7009731325</v>
      </c>
      <c r="J177">
        <f>91-7009731416</f>
        <v>-7009731325</v>
      </c>
      <c r="K177" t="s">
        <v>202</v>
      </c>
      <c r="L177" t="s">
        <v>191</v>
      </c>
      <c r="M177">
        <v>488879</v>
      </c>
      <c r="N177" s="1">
        <v>45277</v>
      </c>
      <c r="O177" t="s">
        <v>28</v>
      </c>
      <c r="P177">
        <v>4</v>
      </c>
      <c r="Q177">
        <v>110858.14</v>
      </c>
    </row>
    <row r="178" spans="1:17" x14ac:dyDescent="0.3">
      <c r="A178" t="s">
        <v>577</v>
      </c>
      <c r="B178" t="s">
        <v>578</v>
      </c>
      <c r="C178" s="2" t="str">
        <f>PROPER(TRIM(Table1[[#This Row],[Gender]]))</f>
        <v>Female</v>
      </c>
      <c r="D178" t="s">
        <v>43</v>
      </c>
      <c r="E178">
        <v>23</v>
      </c>
      <c r="F178" t="s">
        <v>49</v>
      </c>
      <c r="G178" s="1">
        <v>37263</v>
      </c>
      <c r="H178" t="s">
        <v>579</v>
      </c>
      <c r="I178" s="2" t="str">
        <f t="shared" si="2"/>
        <v>+91-7060110966</v>
      </c>
      <c r="J178">
        <f>91-7060111057</f>
        <v>-7060110966</v>
      </c>
      <c r="K178" t="s">
        <v>580</v>
      </c>
      <c r="L178" t="s">
        <v>85</v>
      </c>
      <c r="M178">
        <v>886924</v>
      </c>
      <c r="N178" s="1">
        <v>45298</v>
      </c>
      <c r="O178" t="s">
        <v>35</v>
      </c>
      <c r="P178">
        <v>2</v>
      </c>
      <c r="Q178">
        <v>8667.4500000000007</v>
      </c>
    </row>
    <row r="179" spans="1:17" x14ac:dyDescent="0.3">
      <c r="A179" t="s">
        <v>581</v>
      </c>
      <c r="B179" t="s">
        <v>219</v>
      </c>
      <c r="C179" s="2" t="str">
        <f>PROPER(TRIM(Table1[[#This Row],[Gender]]))</f>
        <v>Female</v>
      </c>
      <c r="D179" t="s">
        <v>43</v>
      </c>
      <c r="E179">
        <v>26</v>
      </c>
      <c r="F179" t="s">
        <v>31</v>
      </c>
      <c r="G179" s="1">
        <v>36168</v>
      </c>
      <c r="H179" t="s">
        <v>582</v>
      </c>
      <c r="I179" s="2" t="str">
        <f t="shared" si="2"/>
        <v>+91-9102840640</v>
      </c>
      <c r="J179">
        <f>91-9102840731</f>
        <v>-9102840640</v>
      </c>
      <c r="K179" t="s">
        <v>113</v>
      </c>
      <c r="L179" t="s">
        <v>34</v>
      </c>
      <c r="M179">
        <v>712895</v>
      </c>
      <c r="N179" s="1">
        <v>45318</v>
      </c>
      <c r="O179" t="s">
        <v>28</v>
      </c>
      <c r="P179">
        <v>7</v>
      </c>
      <c r="Q179">
        <v>222910.9</v>
      </c>
    </row>
    <row r="180" spans="1:17" x14ac:dyDescent="0.3">
      <c r="A180" t="s">
        <v>583</v>
      </c>
      <c r="B180" t="s">
        <v>584</v>
      </c>
      <c r="C180" s="2" t="str">
        <f>PROPER(TRIM(Table1[[#This Row],[Gender]]))</f>
        <v>Male</v>
      </c>
      <c r="D180" t="s">
        <v>16</v>
      </c>
      <c r="E180">
        <v>25</v>
      </c>
      <c r="F180" t="s">
        <v>49</v>
      </c>
      <c r="G180" s="1">
        <v>36533</v>
      </c>
      <c r="H180" t="s">
        <v>585</v>
      </c>
      <c r="I180" s="2" t="str">
        <f t="shared" si="2"/>
        <v>+91-7526779025</v>
      </c>
      <c r="J180">
        <f>91-7526779116</f>
        <v>-7526779025</v>
      </c>
      <c r="K180" t="s">
        <v>165</v>
      </c>
      <c r="L180" t="s">
        <v>52</v>
      </c>
      <c r="M180">
        <v>194975</v>
      </c>
      <c r="N180" s="1">
        <v>45087</v>
      </c>
      <c r="O180" t="s">
        <v>28</v>
      </c>
      <c r="P180">
        <v>7</v>
      </c>
      <c r="Q180">
        <v>128136.19</v>
      </c>
    </row>
    <row r="181" spans="1:17" x14ac:dyDescent="0.3">
      <c r="A181" t="s">
        <v>586</v>
      </c>
      <c r="B181" t="s">
        <v>587</v>
      </c>
      <c r="C181" s="2" t="str">
        <f>PROPER(TRIM(Table1[[#This Row],[Gender]]))</f>
        <v>Female</v>
      </c>
      <c r="D181" t="s">
        <v>43</v>
      </c>
      <c r="E181">
        <v>33</v>
      </c>
      <c r="F181" t="s">
        <v>31</v>
      </c>
      <c r="G181" s="1">
        <v>33613</v>
      </c>
      <c r="H181" t="s">
        <v>588</v>
      </c>
      <c r="I181" s="2" t="str">
        <f t="shared" si="2"/>
        <v>+91-9831902203</v>
      </c>
      <c r="J181">
        <f>91-9831902294</f>
        <v>-9831902203</v>
      </c>
      <c r="K181" t="s">
        <v>64</v>
      </c>
      <c r="L181" t="s">
        <v>20</v>
      </c>
      <c r="M181">
        <v>946875</v>
      </c>
      <c r="N181" s="1">
        <v>45256</v>
      </c>
      <c r="O181" t="s">
        <v>28</v>
      </c>
      <c r="P181">
        <v>4</v>
      </c>
      <c r="Q181">
        <v>84655.35</v>
      </c>
    </row>
    <row r="182" spans="1:17" x14ac:dyDescent="0.3">
      <c r="A182" t="s">
        <v>589</v>
      </c>
      <c r="B182" t="s">
        <v>590</v>
      </c>
      <c r="C182" s="2" t="str">
        <f>PROPER(TRIM(Table1[[#This Row],[Gender]]))</f>
        <v>Female</v>
      </c>
      <c r="D182" t="s">
        <v>43</v>
      </c>
      <c r="E182">
        <v>29</v>
      </c>
      <c r="F182" t="s">
        <v>31</v>
      </c>
      <c r="G182" s="1">
        <v>35073</v>
      </c>
      <c r="H182" t="s">
        <v>591</v>
      </c>
      <c r="I182" s="2" t="str">
        <f t="shared" si="2"/>
        <v>+91-7899888091</v>
      </c>
      <c r="J182">
        <f>91-7899888182</f>
        <v>-7899888091</v>
      </c>
      <c r="K182" t="s">
        <v>45</v>
      </c>
      <c r="L182" t="s">
        <v>46</v>
      </c>
      <c r="M182">
        <v>440336</v>
      </c>
      <c r="N182" s="1">
        <v>45083</v>
      </c>
      <c r="O182" t="s">
        <v>28</v>
      </c>
      <c r="P182">
        <v>8</v>
      </c>
      <c r="Q182">
        <v>164166.51</v>
      </c>
    </row>
    <row r="183" spans="1:17" x14ac:dyDescent="0.3">
      <c r="A183" t="s">
        <v>592</v>
      </c>
      <c r="B183" t="s">
        <v>593</v>
      </c>
      <c r="C183" s="2" t="str">
        <f>PROPER(TRIM(Table1[[#This Row],[Gender]]))</f>
        <v>Female</v>
      </c>
      <c r="D183" t="s">
        <v>43</v>
      </c>
      <c r="E183">
        <v>40</v>
      </c>
      <c r="F183" t="s">
        <v>38</v>
      </c>
      <c r="G183" s="1">
        <v>31058</v>
      </c>
      <c r="H183" t="s">
        <v>594</v>
      </c>
      <c r="I183" s="2" t="str">
        <f t="shared" si="2"/>
        <v>+91-8794496051</v>
      </c>
      <c r="J183">
        <f>91-8794496142</f>
        <v>-8794496051</v>
      </c>
      <c r="K183" t="s">
        <v>51</v>
      </c>
      <c r="L183" t="s">
        <v>52</v>
      </c>
      <c r="M183">
        <v>889970</v>
      </c>
      <c r="N183" s="1">
        <v>45201</v>
      </c>
      <c r="O183" t="s">
        <v>28</v>
      </c>
      <c r="P183">
        <v>14</v>
      </c>
      <c r="Q183">
        <v>214908.4</v>
      </c>
    </row>
    <row r="184" spans="1:17" x14ac:dyDescent="0.3">
      <c r="A184" t="s">
        <v>595</v>
      </c>
      <c r="B184" t="s">
        <v>596</v>
      </c>
      <c r="C184" s="2" t="str">
        <f>PROPER(TRIM(Table1[[#This Row],[Gender]]))</f>
        <v>Male</v>
      </c>
      <c r="D184" t="s">
        <v>16</v>
      </c>
      <c r="E184">
        <v>65</v>
      </c>
      <c r="F184" t="s">
        <v>58</v>
      </c>
      <c r="G184" s="1">
        <v>21933</v>
      </c>
      <c r="H184" t="s">
        <v>597</v>
      </c>
      <c r="I184" s="2" t="str">
        <f t="shared" si="2"/>
        <v>+91-9981442204</v>
      </c>
      <c r="J184">
        <f>91-9981442295</f>
        <v>-9981442204</v>
      </c>
      <c r="K184" t="s">
        <v>84</v>
      </c>
      <c r="L184" t="s">
        <v>85</v>
      </c>
      <c r="M184">
        <v>803489</v>
      </c>
      <c r="N184" s="1">
        <v>45245</v>
      </c>
      <c r="O184" t="s">
        <v>21</v>
      </c>
      <c r="P184">
        <v>2</v>
      </c>
      <c r="Q184">
        <v>27512.48</v>
      </c>
    </row>
    <row r="185" spans="1:17" x14ac:dyDescent="0.3">
      <c r="A185" t="s">
        <v>598</v>
      </c>
      <c r="B185" t="s">
        <v>599</v>
      </c>
      <c r="C185" s="2" t="str">
        <f>PROPER(TRIM(Table1[[#This Row],[Gender]]))</f>
        <v>Male</v>
      </c>
      <c r="D185" t="s">
        <v>16</v>
      </c>
      <c r="E185">
        <v>26</v>
      </c>
      <c r="F185" t="s">
        <v>31</v>
      </c>
      <c r="G185" s="1">
        <v>36168</v>
      </c>
      <c r="H185" t="s">
        <v>600</v>
      </c>
      <c r="I185" s="2" t="str">
        <f t="shared" si="2"/>
        <v>+91-8362917598</v>
      </c>
      <c r="J185">
        <f>91-8362917689</f>
        <v>-8362917598</v>
      </c>
      <c r="K185" t="s">
        <v>147</v>
      </c>
      <c r="L185" t="s">
        <v>143</v>
      </c>
      <c r="M185">
        <v>600111</v>
      </c>
      <c r="N185" s="1">
        <v>45413</v>
      </c>
      <c r="O185" t="s">
        <v>28</v>
      </c>
      <c r="P185">
        <v>7</v>
      </c>
      <c r="Q185">
        <v>212011.62</v>
      </c>
    </row>
    <row r="186" spans="1:17" x14ac:dyDescent="0.3">
      <c r="A186" t="s">
        <v>601</v>
      </c>
      <c r="B186" t="s">
        <v>602</v>
      </c>
      <c r="C186" s="2" t="str">
        <f>PROPER(TRIM(Table1[[#This Row],[Gender]]))</f>
        <v>Female</v>
      </c>
      <c r="D186" t="s">
        <v>43</v>
      </c>
      <c r="E186">
        <v>28</v>
      </c>
      <c r="F186" t="s">
        <v>31</v>
      </c>
      <c r="G186" s="1">
        <v>35438</v>
      </c>
      <c r="H186" t="s">
        <v>603</v>
      </c>
      <c r="I186" s="2" t="str">
        <f t="shared" si="2"/>
        <v>+91-9915467308</v>
      </c>
      <c r="J186">
        <f>91-9915467399</f>
        <v>-9915467308</v>
      </c>
      <c r="K186" t="s">
        <v>138</v>
      </c>
      <c r="L186" t="s">
        <v>90</v>
      </c>
      <c r="M186">
        <v>971162</v>
      </c>
      <c r="N186" s="1">
        <v>45430</v>
      </c>
      <c r="O186" t="s">
        <v>28</v>
      </c>
      <c r="P186">
        <v>5</v>
      </c>
      <c r="Q186">
        <v>350896.36</v>
      </c>
    </row>
    <row r="187" spans="1:17" x14ac:dyDescent="0.3">
      <c r="A187" t="s">
        <v>604</v>
      </c>
      <c r="B187" t="s">
        <v>605</v>
      </c>
      <c r="C187" s="2" t="str">
        <f>PROPER(TRIM(Table1[[#This Row],[Gender]]))</f>
        <v>Male</v>
      </c>
      <c r="D187" t="s">
        <v>16</v>
      </c>
      <c r="E187">
        <v>23</v>
      </c>
      <c r="F187" t="s">
        <v>49</v>
      </c>
      <c r="G187" s="1">
        <v>37263</v>
      </c>
      <c r="H187" t="s">
        <v>606</v>
      </c>
      <c r="I187" s="2" t="str">
        <f t="shared" si="2"/>
        <v>+91-9492231976</v>
      </c>
      <c r="J187">
        <f>91-9492232067</f>
        <v>-9492231976</v>
      </c>
      <c r="K187" t="s">
        <v>121</v>
      </c>
      <c r="L187" t="s">
        <v>85</v>
      </c>
      <c r="M187">
        <v>791578</v>
      </c>
      <c r="N187" s="1">
        <v>45199</v>
      </c>
      <c r="O187" t="s">
        <v>28</v>
      </c>
      <c r="P187">
        <v>6</v>
      </c>
      <c r="Q187">
        <v>168262.25</v>
      </c>
    </row>
    <row r="188" spans="1:17" x14ac:dyDescent="0.3">
      <c r="A188" t="s">
        <v>607</v>
      </c>
      <c r="B188" t="s">
        <v>608</v>
      </c>
      <c r="C188" s="2" t="str">
        <f>PROPER(TRIM(Table1[[#This Row],[Gender]]))</f>
        <v>Female</v>
      </c>
      <c r="D188" t="s">
        <v>43</v>
      </c>
      <c r="E188">
        <v>18</v>
      </c>
      <c r="F188" t="s">
        <v>49</v>
      </c>
      <c r="G188" s="1">
        <v>39088</v>
      </c>
      <c r="H188" t="s">
        <v>609</v>
      </c>
      <c r="I188" s="2" t="str">
        <f t="shared" si="2"/>
        <v>+91-7491657105</v>
      </c>
      <c r="J188">
        <f>91-7491657196</f>
        <v>-7491657105</v>
      </c>
      <c r="K188" t="s">
        <v>19</v>
      </c>
      <c r="L188" t="s">
        <v>20</v>
      </c>
      <c r="M188">
        <v>769579</v>
      </c>
      <c r="N188" s="1">
        <v>45187</v>
      </c>
      <c r="O188" t="s">
        <v>28</v>
      </c>
      <c r="P188">
        <v>4</v>
      </c>
      <c r="Q188">
        <v>110125.75999999999</v>
      </c>
    </row>
    <row r="189" spans="1:17" x14ac:dyDescent="0.3">
      <c r="A189" t="s">
        <v>610</v>
      </c>
      <c r="B189" t="s">
        <v>611</v>
      </c>
      <c r="C189" s="2" t="str">
        <f>PROPER(TRIM(Table1[[#This Row],[Gender]]))</f>
        <v>Male</v>
      </c>
      <c r="D189" t="s">
        <v>16</v>
      </c>
      <c r="E189">
        <v>32</v>
      </c>
      <c r="F189" t="s">
        <v>31</v>
      </c>
      <c r="G189" s="1">
        <v>33978</v>
      </c>
      <c r="H189" t="s">
        <v>612</v>
      </c>
      <c r="I189" s="2" t="str">
        <f t="shared" si="2"/>
        <v>+91-9697759573</v>
      </c>
      <c r="J189">
        <f>91-9697759664</f>
        <v>-9697759573</v>
      </c>
      <c r="K189" t="s">
        <v>109</v>
      </c>
      <c r="L189" t="s">
        <v>46</v>
      </c>
      <c r="M189">
        <v>152336</v>
      </c>
      <c r="N189" s="1">
        <v>45254</v>
      </c>
      <c r="O189" t="s">
        <v>21</v>
      </c>
      <c r="P189">
        <v>3</v>
      </c>
      <c r="Q189">
        <v>43815.19</v>
      </c>
    </row>
    <row r="190" spans="1:17" x14ac:dyDescent="0.3">
      <c r="A190" t="s">
        <v>613</v>
      </c>
      <c r="B190" t="s">
        <v>614</v>
      </c>
      <c r="C190" s="2" t="str">
        <f>PROPER(TRIM(Table1[[#This Row],[Gender]]))</f>
        <v>Male</v>
      </c>
      <c r="D190" t="s">
        <v>16</v>
      </c>
      <c r="E190">
        <v>28</v>
      </c>
      <c r="F190" t="s">
        <v>31</v>
      </c>
      <c r="G190" s="1">
        <v>35438</v>
      </c>
      <c r="H190" t="s">
        <v>615</v>
      </c>
      <c r="I190" s="2" t="str">
        <f t="shared" si="2"/>
        <v>+91-7242353484</v>
      </c>
      <c r="J190">
        <f>91-7242353575</f>
        <v>-7242353484</v>
      </c>
      <c r="K190" t="s">
        <v>89</v>
      </c>
      <c r="L190" t="s">
        <v>90</v>
      </c>
      <c r="M190">
        <v>348987</v>
      </c>
      <c r="N190" s="1">
        <v>45434</v>
      </c>
      <c r="O190" t="s">
        <v>28</v>
      </c>
      <c r="P190">
        <v>5</v>
      </c>
      <c r="Q190">
        <v>102621.48</v>
      </c>
    </row>
    <row r="191" spans="1:17" x14ac:dyDescent="0.3">
      <c r="A191" t="s">
        <v>616</v>
      </c>
      <c r="B191" t="s">
        <v>493</v>
      </c>
      <c r="C191" s="2" t="str">
        <f>PROPER(TRIM(Table1[[#This Row],[Gender]]))</f>
        <v>Female</v>
      </c>
      <c r="D191" t="s">
        <v>43</v>
      </c>
      <c r="E191">
        <v>25</v>
      </c>
      <c r="F191" t="s">
        <v>49</v>
      </c>
      <c r="G191" s="1">
        <v>36533</v>
      </c>
      <c r="H191" t="s">
        <v>617</v>
      </c>
      <c r="I191" s="2" t="str">
        <f t="shared" si="2"/>
        <v>+91-8856113273</v>
      </c>
      <c r="J191">
        <f>91-8856113364</f>
        <v>-8856113273</v>
      </c>
      <c r="K191" t="s">
        <v>109</v>
      </c>
      <c r="L191" t="s">
        <v>46</v>
      </c>
      <c r="M191">
        <v>269360</v>
      </c>
      <c r="N191" s="1">
        <v>45208</v>
      </c>
      <c r="O191" t="s">
        <v>28</v>
      </c>
      <c r="P191">
        <v>8</v>
      </c>
      <c r="Q191">
        <v>175996.51</v>
      </c>
    </row>
    <row r="192" spans="1:17" x14ac:dyDescent="0.3">
      <c r="A192" t="s">
        <v>618</v>
      </c>
      <c r="B192" t="s">
        <v>619</v>
      </c>
      <c r="C192" s="2" t="str">
        <f>PROPER(TRIM(Table1[[#This Row],[Gender]]))</f>
        <v>Male</v>
      </c>
      <c r="D192" t="s">
        <v>16</v>
      </c>
      <c r="E192">
        <v>49</v>
      </c>
      <c r="F192" t="s">
        <v>17</v>
      </c>
      <c r="G192" s="1">
        <v>27773</v>
      </c>
      <c r="H192" t="s">
        <v>620</v>
      </c>
      <c r="I192" s="2" t="str">
        <f t="shared" si="2"/>
        <v>+91-7450323364</v>
      </c>
      <c r="J192">
        <f>91-7450323455</f>
        <v>-7450323364</v>
      </c>
      <c r="K192" t="s">
        <v>178</v>
      </c>
      <c r="L192" t="s">
        <v>27</v>
      </c>
      <c r="M192">
        <v>871104</v>
      </c>
      <c r="N192" s="1">
        <v>45192</v>
      </c>
      <c r="O192" t="s">
        <v>21</v>
      </c>
      <c r="P192">
        <v>6</v>
      </c>
      <c r="Q192">
        <v>41542.9</v>
      </c>
    </row>
    <row r="193" spans="1:17" x14ac:dyDescent="0.3">
      <c r="A193" t="s">
        <v>621</v>
      </c>
      <c r="B193" t="s">
        <v>622</v>
      </c>
      <c r="C193" s="2" t="str">
        <f>PROPER(TRIM(Table1[[#This Row],[Gender]]))</f>
        <v>Female</v>
      </c>
      <c r="D193" t="s">
        <v>43</v>
      </c>
      <c r="E193">
        <v>25</v>
      </c>
      <c r="F193" t="s">
        <v>49</v>
      </c>
      <c r="G193" s="1">
        <v>36533</v>
      </c>
      <c r="H193" t="s">
        <v>623</v>
      </c>
      <c r="I193" s="2" t="str">
        <f t="shared" si="2"/>
        <v>+91-9256969473</v>
      </c>
      <c r="J193">
        <f>91-9256969564</f>
        <v>-9256969473</v>
      </c>
      <c r="K193" t="s">
        <v>117</v>
      </c>
      <c r="L193" t="s">
        <v>52</v>
      </c>
      <c r="M193">
        <v>566652</v>
      </c>
      <c r="N193" s="1">
        <v>45096</v>
      </c>
      <c r="O193" t="s">
        <v>28</v>
      </c>
      <c r="P193">
        <v>7</v>
      </c>
      <c r="Q193">
        <v>207488.74</v>
      </c>
    </row>
    <row r="194" spans="1:17" x14ac:dyDescent="0.3">
      <c r="A194" t="s">
        <v>624</v>
      </c>
      <c r="B194" t="s">
        <v>625</v>
      </c>
      <c r="C194" s="2" t="str">
        <f>PROPER(TRIM(Table1[[#This Row],[Gender]]))</f>
        <v>Female</v>
      </c>
      <c r="D194" t="s">
        <v>43</v>
      </c>
      <c r="E194">
        <v>26</v>
      </c>
      <c r="F194" t="s">
        <v>31</v>
      </c>
      <c r="G194" s="1">
        <v>36168</v>
      </c>
      <c r="H194" t="s">
        <v>626</v>
      </c>
      <c r="I194" s="2" t="str">
        <f t="shared" ref="I194:I257" si="3">"+91"&amp;TEXT(J194,"0000000000")</f>
        <v>+91-7876645702</v>
      </c>
      <c r="J194">
        <f>91-7876645793</f>
        <v>-7876645702</v>
      </c>
      <c r="K194" t="s">
        <v>178</v>
      </c>
      <c r="L194" t="s">
        <v>27</v>
      </c>
      <c r="M194">
        <v>213864</v>
      </c>
      <c r="N194" s="1">
        <v>45337</v>
      </c>
      <c r="O194" t="s">
        <v>28</v>
      </c>
      <c r="P194">
        <v>8</v>
      </c>
      <c r="Q194">
        <v>125806.12</v>
      </c>
    </row>
    <row r="195" spans="1:17" x14ac:dyDescent="0.3">
      <c r="A195" t="s">
        <v>627</v>
      </c>
      <c r="B195" t="s">
        <v>628</v>
      </c>
      <c r="C195" s="2" t="str">
        <f>PROPER(TRIM(Table1[[#This Row],[Gender]]))</f>
        <v>Male</v>
      </c>
      <c r="D195" t="s">
        <v>16</v>
      </c>
      <c r="E195">
        <v>32</v>
      </c>
      <c r="F195" t="s">
        <v>31</v>
      </c>
      <c r="G195" s="1">
        <v>33978</v>
      </c>
      <c r="H195" t="s">
        <v>629</v>
      </c>
      <c r="I195" s="2" t="str">
        <f t="shared" si="3"/>
        <v>+91-8426749394</v>
      </c>
      <c r="J195">
        <f>91-8426749485</f>
        <v>-8426749394</v>
      </c>
      <c r="K195" t="s">
        <v>19</v>
      </c>
      <c r="L195" t="s">
        <v>20</v>
      </c>
      <c r="M195">
        <v>224439</v>
      </c>
      <c r="N195" s="1">
        <v>45431</v>
      </c>
      <c r="O195" t="s">
        <v>21</v>
      </c>
      <c r="P195">
        <v>2</v>
      </c>
      <c r="Q195">
        <v>36453.599999999999</v>
      </c>
    </row>
    <row r="196" spans="1:17" x14ac:dyDescent="0.3">
      <c r="A196" t="s">
        <v>630</v>
      </c>
      <c r="B196" t="s">
        <v>159</v>
      </c>
      <c r="C196" s="2" t="str">
        <f>PROPER(TRIM(Table1[[#This Row],[Gender]]))</f>
        <v>Female</v>
      </c>
      <c r="D196" t="s">
        <v>43</v>
      </c>
      <c r="E196">
        <v>64</v>
      </c>
      <c r="F196" t="s">
        <v>58</v>
      </c>
      <c r="G196" s="1">
        <v>22298</v>
      </c>
      <c r="H196" t="s">
        <v>631</v>
      </c>
      <c r="I196" s="2" t="str">
        <f t="shared" si="3"/>
        <v>+91-8487236637</v>
      </c>
      <c r="J196">
        <f>91-8487236728</f>
        <v>-8487236637</v>
      </c>
      <c r="K196" t="s">
        <v>64</v>
      </c>
      <c r="L196" t="s">
        <v>20</v>
      </c>
      <c r="M196">
        <v>755141</v>
      </c>
      <c r="N196" s="1">
        <v>45345</v>
      </c>
      <c r="O196" t="s">
        <v>28</v>
      </c>
      <c r="P196">
        <v>4</v>
      </c>
      <c r="Q196">
        <v>59085.74</v>
      </c>
    </row>
    <row r="197" spans="1:17" x14ac:dyDescent="0.3">
      <c r="A197" t="s">
        <v>632</v>
      </c>
      <c r="B197" t="s">
        <v>633</v>
      </c>
      <c r="C197" s="2" t="str">
        <f>PROPER(TRIM(Table1[[#This Row],[Gender]]))</f>
        <v>Female</v>
      </c>
      <c r="D197" t="s">
        <v>43</v>
      </c>
      <c r="E197">
        <v>31</v>
      </c>
      <c r="F197" t="s">
        <v>31</v>
      </c>
      <c r="G197" s="1">
        <v>34343</v>
      </c>
      <c r="H197" t="s">
        <v>634</v>
      </c>
      <c r="I197" s="2" t="str">
        <f t="shared" si="3"/>
        <v>+91-8114711025</v>
      </c>
      <c r="J197">
        <f>91-8114711116</f>
        <v>-8114711025</v>
      </c>
      <c r="K197" t="s">
        <v>33</v>
      </c>
      <c r="L197" t="s">
        <v>34</v>
      </c>
      <c r="M197">
        <v>160393</v>
      </c>
      <c r="N197" s="1">
        <v>45189</v>
      </c>
      <c r="O197" t="s">
        <v>28</v>
      </c>
      <c r="P197">
        <v>5</v>
      </c>
      <c r="Q197">
        <v>57225.18</v>
      </c>
    </row>
    <row r="198" spans="1:17" x14ac:dyDescent="0.3">
      <c r="A198" t="s">
        <v>635</v>
      </c>
      <c r="B198" t="s">
        <v>611</v>
      </c>
      <c r="C198" s="2" t="str">
        <f>PROPER(TRIM(Table1[[#This Row],[Gender]]))</f>
        <v>Male</v>
      </c>
      <c r="D198" t="s">
        <v>16</v>
      </c>
      <c r="E198">
        <v>22</v>
      </c>
      <c r="F198" t="s">
        <v>49</v>
      </c>
      <c r="G198" s="1">
        <v>37628</v>
      </c>
      <c r="H198" t="s">
        <v>636</v>
      </c>
      <c r="I198" s="2" t="str">
        <f t="shared" si="3"/>
        <v>+91-9600446634</v>
      </c>
      <c r="J198">
        <f>91-9600446725</f>
        <v>-9600446634</v>
      </c>
      <c r="K198" t="s">
        <v>239</v>
      </c>
      <c r="L198" t="s">
        <v>191</v>
      </c>
      <c r="M198">
        <v>637137</v>
      </c>
      <c r="N198" s="1">
        <v>45291</v>
      </c>
      <c r="O198" t="s">
        <v>35</v>
      </c>
      <c r="P198">
        <v>3</v>
      </c>
      <c r="Q198">
        <v>16842.560000000001</v>
      </c>
    </row>
    <row r="199" spans="1:17" x14ac:dyDescent="0.3">
      <c r="A199" t="s">
        <v>637</v>
      </c>
      <c r="B199" t="s">
        <v>638</v>
      </c>
      <c r="C199" s="2" t="str">
        <f>PROPER(TRIM(Table1[[#This Row],[Gender]]))</f>
        <v>Female</v>
      </c>
      <c r="D199" t="s">
        <v>43</v>
      </c>
      <c r="E199">
        <v>18</v>
      </c>
      <c r="F199" t="s">
        <v>49</v>
      </c>
      <c r="G199" s="1">
        <v>39088</v>
      </c>
      <c r="H199" t="s">
        <v>639</v>
      </c>
      <c r="I199" s="2" t="str">
        <f t="shared" si="3"/>
        <v>+91-8873417909</v>
      </c>
      <c r="J199">
        <f>91-8873418000</f>
        <v>-8873417909</v>
      </c>
      <c r="K199" t="s">
        <v>72</v>
      </c>
      <c r="L199" t="s">
        <v>34</v>
      </c>
      <c r="M199">
        <v>291094</v>
      </c>
      <c r="N199" s="1">
        <v>45225</v>
      </c>
      <c r="O199" t="s">
        <v>21</v>
      </c>
      <c r="P199">
        <v>5</v>
      </c>
      <c r="Q199">
        <v>27671.01</v>
      </c>
    </row>
    <row r="200" spans="1:17" x14ac:dyDescent="0.3">
      <c r="A200" t="s">
        <v>640</v>
      </c>
      <c r="B200" t="s">
        <v>641</v>
      </c>
      <c r="C200" s="2" t="str">
        <f>PROPER(TRIM(Table1[[#This Row],[Gender]]))</f>
        <v>Male</v>
      </c>
      <c r="D200" t="s">
        <v>16</v>
      </c>
      <c r="E200">
        <v>71</v>
      </c>
      <c r="F200" t="s">
        <v>24</v>
      </c>
      <c r="G200" s="1">
        <v>19743</v>
      </c>
      <c r="H200" t="s">
        <v>642</v>
      </c>
      <c r="I200" s="2" t="str">
        <f t="shared" si="3"/>
        <v>+91-9489110698</v>
      </c>
      <c r="J200">
        <f>91-9489110789</f>
        <v>-9489110698</v>
      </c>
      <c r="K200" t="s">
        <v>154</v>
      </c>
      <c r="L200" t="s">
        <v>46</v>
      </c>
      <c r="M200">
        <v>725621</v>
      </c>
      <c r="N200" s="1">
        <v>45134</v>
      </c>
      <c r="O200" t="s">
        <v>28</v>
      </c>
      <c r="P200">
        <v>6</v>
      </c>
      <c r="Q200">
        <v>58014.85</v>
      </c>
    </row>
    <row r="201" spans="1:17" x14ac:dyDescent="0.3">
      <c r="A201" t="s">
        <v>643</v>
      </c>
      <c r="B201" t="s">
        <v>644</v>
      </c>
      <c r="C201" s="2" t="str">
        <f>PROPER(TRIM(Table1[[#This Row],[Gender]]))</f>
        <v>Female</v>
      </c>
      <c r="D201" t="s">
        <v>43</v>
      </c>
      <c r="E201">
        <v>30</v>
      </c>
      <c r="F201" t="s">
        <v>31</v>
      </c>
      <c r="G201" s="1">
        <v>34708</v>
      </c>
      <c r="H201" t="s">
        <v>645</v>
      </c>
      <c r="I201" s="2" t="str">
        <f t="shared" si="3"/>
        <v>+91-8116975235</v>
      </c>
      <c r="J201">
        <f>91-8116975326</f>
        <v>-8116975235</v>
      </c>
      <c r="K201" t="s">
        <v>68</v>
      </c>
      <c r="L201" t="s">
        <v>52</v>
      </c>
      <c r="M201">
        <v>816900</v>
      </c>
      <c r="N201" s="1">
        <v>45411</v>
      </c>
      <c r="O201" t="s">
        <v>28</v>
      </c>
      <c r="P201">
        <v>5</v>
      </c>
      <c r="Q201">
        <v>102296.53</v>
      </c>
    </row>
    <row r="202" spans="1:17" x14ac:dyDescent="0.3">
      <c r="A202" t="s">
        <v>646</v>
      </c>
      <c r="B202" t="s">
        <v>647</v>
      </c>
      <c r="C202" s="2" t="str">
        <f>PROPER(TRIM(Table1[[#This Row],[Gender]]))</f>
        <v>Male</v>
      </c>
      <c r="D202" t="s">
        <v>16</v>
      </c>
      <c r="E202">
        <v>30</v>
      </c>
      <c r="F202" t="s">
        <v>31</v>
      </c>
      <c r="G202" s="1">
        <v>34708</v>
      </c>
      <c r="H202" t="s">
        <v>648</v>
      </c>
      <c r="I202" s="2" t="str">
        <f t="shared" si="3"/>
        <v>+91-8201423675</v>
      </c>
      <c r="J202">
        <f>91-8201423766</f>
        <v>-8201423675</v>
      </c>
      <c r="K202" t="s">
        <v>190</v>
      </c>
      <c r="L202" t="s">
        <v>191</v>
      </c>
      <c r="M202">
        <v>380935</v>
      </c>
      <c r="N202" s="1">
        <v>45424</v>
      </c>
      <c r="O202" t="s">
        <v>28</v>
      </c>
      <c r="P202">
        <v>6</v>
      </c>
      <c r="Q202">
        <v>157086.29</v>
      </c>
    </row>
    <row r="203" spans="1:17" x14ac:dyDescent="0.3">
      <c r="A203" t="s">
        <v>649</v>
      </c>
      <c r="B203" t="s">
        <v>650</v>
      </c>
      <c r="C203" s="2" t="str">
        <f>PROPER(TRIM(Table1[[#This Row],[Gender]]))</f>
        <v>Male</v>
      </c>
      <c r="D203" t="s">
        <v>16</v>
      </c>
      <c r="E203">
        <v>40</v>
      </c>
      <c r="F203" t="s">
        <v>38</v>
      </c>
      <c r="G203" s="1">
        <v>31058</v>
      </c>
      <c r="H203" t="s">
        <v>651</v>
      </c>
      <c r="I203" s="2" t="str">
        <f t="shared" si="3"/>
        <v>+91-9011314185</v>
      </c>
      <c r="J203">
        <f>91-9011314276</f>
        <v>-9011314185</v>
      </c>
      <c r="K203" t="s">
        <v>147</v>
      </c>
      <c r="L203" t="s">
        <v>143</v>
      </c>
      <c r="M203">
        <v>205481</v>
      </c>
      <c r="N203" s="1">
        <v>45237</v>
      </c>
      <c r="O203" t="s">
        <v>28</v>
      </c>
      <c r="P203">
        <v>3</v>
      </c>
      <c r="Q203">
        <v>124855.88</v>
      </c>
    </row>
    <row r="204" spans="1:17" x14ac:dyDescent="0.3">
      <c r="A204" t="s">
        <v>652</v>
      </c>
      <c r="B204" t="s">
        <v>653</v>
      </c>
      <c r="C204" s="2" t="str">
        <f>PROPER(TRIM(Table1[[#This Row],[Gender]]))</f>
        <v>Male</v>
      </c>
      <c r="D204" t="s">
        <v>16</v>
      </c>
      <c r="E204">
        <v>41</v>
      </c>
      <c r="F204" t="s">
        <v>38</v>
      </c>
      <c r="G204" s="1">
        <v>30693</v>
      </c>
      <c r="H204" t="s">
        <v>654</v>
      </c>
      <c r="I204" s="2" t="str">
        <f t="shared" si="3"/>
        <v>+91-7483476699</v>
      </c>
      <c r="J204">
        <f>91-7483476790</f>
        <v>-7483476699</v>
      </c>
      <c r="K204" t="s">
        <v>60</v>
      </c>
      <c r="L204" t="s">
        <v>34</v>
      </c>
      <c r="M204">
        <v>262450</v>
      </c>
      <c r="N204" s="1">
        <v>45392</v>
      </c>
      <c r="O204" t="s">
        <v>28</v>
      </c>
      <c r="P204">
        <v>10</v>
      </c>
      <c r="Q204">
        <v>328604.53999999998</v>
      </c>
    </row>
    <row r="205" spans="1:17" x14ac:dyDescent="0.3">
      <c r="A205" t="s">
        <v>655</v>
      </c>
      <c r="B205" t="s">
        <v>130</v>
      </c>
      <c r="C205" s="2" t="str">
        <f>PROPER(TRIM(Table1[[#This Row],[Gender]]))</f>
        <v>Male</v>
      </c>
      <c r="D205" t="s">
        <v>16</v>
      </c>
      <c r="E205">
        <v>23</v>
      </c>
      <c r="F205" t="s">
        <v>49</v>
      </c>
      <c r="G205" s="1">
        <v>37263</v>
      </c>
      <c r="H205" t="s">
        <v>656</v>
      </c>
      <c r="I205" s="2" t="str">
        <f t="shared" si="3"/>
        <v>+91-7013098242</v>
      </c>
      <c r="J205">
        <f>91-7013098333</f>
        <v>-7013098242</v>
      </c>
      <c r="K205" t="s">
        <v>273</v>
      </c>
      <c r="L205" t="s">
        <v>46</v>
      </c>
      <c r="M205">
        <v>825972</v>
      </c>
      <c r="N205" s="1">
        <v>45157</v>
      </c>
      <c r="O205" t="s">
        <v>28</v>
      </c>
      <c r="P205">
        <v>3</v>
      </c>
      <c r="Q205">
        <v>81479.78</v>
      </c>
    </row>
    <row r="206" spans="1:17" x14ac:dyDescent="0.3">
      <c r="A206" t="s">
        <v>657</v>
      </c>
      <c r="B206" t="s">
        <v>658</v>
      </c>
      <c r="C206" s="2" t="str">
        <f>PROPER(TRIM(Table1[[#This Row],[Gender]]))</f>
        <v>Male</v>
      </c>
      <c r="D206" t="s">
        <v>16</v>
      </c>
      <c r="E206">
        <v>21</v>
      </c>
      <c r="F206" t="s">
        <v>49</v>
      </c>
      <c r="G206" s="1">
        <v>37993</v>
      </c>
      <c r="H206" t="s">
        <v>659</v>
      </c>
      <c r="I206" s="2" t="str">
        <f t="shared" si="3"/>
        <v>+91-9029474333</v>
      </c>
      <c r="J206">
        <f>91-9029474424</f>
        <v>-9029474333</v>
      </c>
      <c r="K206" t="s">
        <v>154</v>
      </c>
      <c r="L206" t="s">
        <v>46</v>
      </c>
      <c r="M206">
        <v>736128</v>
      </c>
      <c r="N206" s="1">
        <v>45359</v>
      </c>
      <c r="O206" t="s">
        <v>35</v>
      </c>
      <c r="P206">
        <v>6</v>
      </c>
      <c r="Q206">
        <v>17869.66</v>
      </c>
    </row>
    <row r="207" spans="1:17" x14ac:dyDescent="0.3">
      <c r="A207" t="s">
        <v>660</v>
      </c>
      <c r="B207" t="s">
        <v>661</v>
      </c>
      <c r="C207" s="2" t="str">
        <f>PROPER(TRIM(Table1[[#This Row],[Gender]]))</f>
        <v>Male</v>
      </c>
      <c r="D207" t="s">
        <v>16</v>
      </c>
      <c r="E207">
        <v>33</v>
      </c>
      <c r="F207" t="s">
        <v>31</v>
      </c>
      <c r="G207" s="1">
        <v>33613</v>
      </c>
      <c r="H207" t="s">
        <v>662</v>
      </c>
      <c r="I207" s="2" t="str">
        <f t="shared" si="3"/>
        <v>+91-9786361406</v>
      </c>
      <c r="J207">
        <f>91-9786361497</f>
        <v>-9786361406</v>
      </c>
      <c r="K207" t="s">
        <v>89</v>
      </c>
      <c r="L207" t="s">
        <v>90</v>
      </c>
      <c r="M207">
        <v>499646</v>
      </c>
      <c r="N207" s="1">
        <v>45189</v>
      </c>
      <c r="O207" t="s">
        <v>28</v>
      </c>
      <c r="P207">
        <v>3</v>
      </c>
      <c r="Q207">
        <v>73420.97</v>
      </c>
    </row>
    <row r="208" spans="1:17" x14ac:dyDescent="0.3">
      <c r="A208" t="s">
        <v>663</v>
      </c>
      <c r="B208" t="s">
        <v>664</v>
      </c>
      <c r="C208" s="2" t="str">
        <f>PROPER(TRIM(Table1[[#This Row],[Gender]]))</f>
        <v>Male</v>
      </c>
      <c r="D208" t="s">
        <v>16</v>
      </c>
      <c r="E208">
        <v>29</v>
      </c>
      <c r="F208" t="s">
        <v>31</v>
      </c>
      <c r="G208" s="1">
        <v>35073</v>
      </c>
      <c r="H208" t="s">
        <v>665</v>
      </c>
      <c r="I208" s="2" t="str">
        <f t="shared" si="3"/>
        <v>+91-9591203834</v>
      </c>
      <c r="J208">
        <f>91-9591203925</f>
        <v>-9591203834</v>
      </c>
      <c r="K208" t="s">
        <v>101</v>
      </c>
      <c r="L208" t="s">
        <v>102</v>
      </c>
      <c r="M208">
        <v>567332</v>
      </c>
      <c r="N208" s="1">
        <v>45246</v>
      </c>
      <c r="O208" t="s">
        <v>28</v>
      </c>
      <c r="P208">
        <v>7</v>
      </c>
      <c r="Q208">
        <v>144274.10999999999</v>
      </c>
    </row>
    <row r="209" spans="1:17" x14ac:dyDescent="0.3">
      <c r="A209" t="s">
        <v>666</v>
      </c>
      <c r="B209" t="s">
        <v>104</v>
      </c>
      <c r="C209" s="2" t="str">
        <f>PROPER(TRIM(Table1[[#This Row],[Gender]]))</f>
        <v>Female</v>
      </c>
      <c r="D209" t="s">
        <v>43</v>
      </c>
      <c r="E209">
        <v>27</v>
      </c>
      <c r="F209" t="s">
        <v>31</v>
      </c>
      <c r="G209" s="1">
        <v>35803</v>
      </c>
      <c r="H209" t="s">
        <v>667</v>
      </c>
      <c r="I209" s="2" t="str">
        <f t="shared" si="3"/>
        <v>+91-9830902232</v>
      </c>
      <c r="J209">
        <f>91-9830902323</f>
        <v>-9830902232</v>
      </c>
      <c r="K209" t="s">
        <v>331</v>
      </c>
      <c r="L209" t="s">
        <v>143</v>
      </c>
      <c r="M209">
        <v>491344</v>
      </c>
      <c r="N209" s="1">
        <v>45238</v>
      </c>
      <c r="O209" t="s">
        <v>28</v>
      </c>
      <c r="P209">
        <v>6</v>
      </c>
      <c r="Q209">
        <v>74332.62</v>
      </c>
    </row>
    <row r="210" spans="1:17" x14ac:dyDescent="0.3">
      <c r="A210" t="s">
        <v>668</v>
      </c>
      <c r="B210" t="s">
        <v>669</v>
      </c>
      <c r="C210" s="2" t="str">
        <f>PROPER(TRIM(Table1[[#This Row],[Gender]]))</f>
        <v>Female</v>
      </c>
      <c r="D210" t="s">
        <v>43</v>
      </c>
      <c r="E210">
        <v>39</v>
      </c>
      <c r="F210" t="s">
        <v>38</v>
      </c>
      <c r="G210" s="1">
        <v>31423</v>
      </c>
      <c r="H210" t="s">
        <v>670</v>
      </c>
      <c r="I210" s="2" t="str">
        <f t="shared" si="3"/>
        <v>+91-7671925689</v>
      </c>
      <c r="J210">
        <f>91-7671925780</f>
        <v>-7671925689</v>
      </c>
      <c r="K210" t="s">
        <v>64</v>
      </c>
      <c r="L210" t="s">
        <v>20</v>
      </c>
      <c r="M210">
        <v>969725</v>
      </c>
      <c r="N210" s="1">
        <v>45357</v>
      </c>
      <c r="O210" t="s">
        <v>28</v>
      </c>
      <c r="P210">
        <v>6</v>
      </c>
      <c r="Q210">
        <v>87857.59</v>
      </c>
    </row>
    <row r="211" spans="1:17" x14ac:dyDescent="0.3">
      <c r="A211" t="s">
        <v>671</v>
      </c>
      <c r="B211" t="s">
        <v>672</v>
      </c>
      <c r="C211" s="2" t="str">
        <f>PROPER(TRIM(Table1[[#This Row],[Gender]]))</f>
        <v>Female</v>
      </c>
      <c r="D211" t="s">
        <v>43</v>
      </c>
      <c r="E211">
        <v>29</v>
      </c>
      <c r="F211" t="s">
        <v>31</v>
      </c>
      <c r="G211" s="1">
        <v>35073</v>
      </c>
      <c r="H211" t="s">
        <v>673</v>
      </c>
      <c r="I211" s="2" t="str">
        <f t="shared" si="3"/>
        <v>+91-8038546568</v>
      </c>
      <c r="J211">
        <f>91-8038546659</f>
        <v>-8038546568</v>
      </c>
      <c r="K211" t="s">
        <v>101</v>
      </c>
      <c r="L211" t="s">
        <v>102</v>
      </c>
      <c r="M211">
        <v>958097</v>
      </c>
      <c r="N211" s="1">
        <v>45167</v>
      </c>
      <c r="O211" t="s">
        <v>28</v>
      </c>
      <c r="P211">
        <v>4</v>
      </c>
      <c r="Q211">
        <v>163263.1</v>
      </c>
    </row>
    <row r="212" spans="1:17" x14ac:dyDescent="0.3">
      <c r="A212" t="s">
        <v>674</v>
      </c>
      <c r="B212" t="s">
        <v>675</v>
      </c>
      <c r="C212" s="2" t="str">
        <f>PROPER(TRIM(Table1[[#This Row],[Gender]]))</f>
        <v>Male</v>
      </c>
      <c r="D212" t="s">
        <v>16</v>
      </c>
      <c r="E212">
        <v>28</v>
      </c>
      <c r="F212" t="s">
        <v>31</v>
      </c>
      <c r="G212" s="1">
        <v>35438</v>
      </c>
      <c r="H212" t="s">
        <v>676</v>
      </c>
      <c r="I212" s="2" t="str">
        <f t="shared" si="3"/>
        <v>+91-8541371877</v>
      </c>
      <c r="J212">
        <f>91-8541371968</f>
        <v>-8541371877</v>
      </c>
      <c r="K212" t="s">
        <v>89</v>
      </c>
      <c r="L212" t="s">
        <v>90</v>
      </c>
      <c r="M212">
        <v>938858</v>
      </c>
      <c r="N212" s="1">
        <v>45301</v>
      </c>
      <c r="O212" t="s">
        <v>28</v>
      </c>
      <c r="P212">
        <v>3</v>
      </c>
      <c r="Q212">
        <v>104207.44</v>
      </c>
    </row>
    <row r="213" spans="1:17" x14ac:dyDescent="0.3">
      <c r="A213" t="s">
        <v>677</v>
      </c>
      <c r="B213" t="s">
        <v>501</v>
      </c>
      <c r="C213" s="2" t="str">
        <f>PROPER(TRIM(Table1[[#This Row],[Gender]]))</f>
        <v>Male</v>
      </c>
      <c r="D213" t="s">
        <v>16</v>
      </c>
      <c r="E213">
        <v>58</v>
      </c>
      <c r="F213" t="s">
        <v>58</v>
      </c>
      <c r="G213" s="1">
        <v>24488</v>
      </c>
      <c r="H213" t="s">
        <v>678</v>
      </c>
      <c r="I213" s="2" t="str">
        <f t="shared" si="3"/>
        <v>+91-9609671549</v>
      </c>
      <c r="J213">
        <f>91-9609671640</f>
        <v>-9609671549</v>
      </c>
      <c r="K213" t="s">
        <v>80</v>
      </c>
      <c r="L213" t="s">
        <v>20</v>
      </c>
      <c r="M213">
        <v>182187</v>
      </c>
      <c r="N213" s="1">
        <v>45182</v>
      </c>
      <c r="O213" t="s">
        <v>21</v>
      </c>
      <c r="P213">
        <v>4</v>
      </c>
      <c r="Q213">
        <v>28940.19</v>
      </c>
    </row>
    <row r="214" spans="1:17" x14ac:dyDescent="0.3">
      <c r="A214" t="s">
        <v>679</v>
      </c>
      <c r="B214" t="s">
        <v>680</v>
      </c>
      <c r="C214" s="2" t="str">
        <f>PROPER(TRIM(Table1[[#This Row],[Gender]]))</f>
        <v>Female</v>
      </c>
      <c r="D214" t="s">
        <v>43</v>
      </c>
      <c r="E214">
        <v>22</v>
      </c>
      <c r="F214" t="s">
        <v>49</v>
      </c>
      <c r="G214" s="1">
        <v>37628</v>
      </c>
      <c r="H214" t="s">
        <v>681</v>
      </c>
      <c r="I214" s="2" t="str">
        <f t="shared" si="3"/>
        <v>+91-8439097701</v>
      </c>
      <c r="J214">
        <f>91-8439097792</f>
        <v>-8439097701</v>
      </c>
      <c r="K214" t="s">
        <v>45</v>
      </c>
      <c r="L214" t="s">
        <v>46</v>
      </c>
      <c r="M214">
        <v>532985</v>
      </c>
      <c r="N214" s="1">
        <v>45284</v>
      </c>
      <c r="O214" t="s">
        <v>21</v>
      </c>
      <c r="P214">
        <v>6</v>
      </c>
      <c r="Q214">
        <v>26204.35</v>
      </c>
    </row>
    <row r="215" spans="1:17" x14ac:dyDescent="0.3">
      <c r="A215" t="s">
        <v>682</v>
      </c>
      <c r="B215" t="s">
        <v>683</v>
      </c>
      <c r="C215" s="2" t="str">
        <f>PROPER(TRIM(Table1[[#This Row],[Gender]]))</f>
        <v>Female</v>
      </c>
      <c r="D215" t="s">
        <v>43</v>
      </c>
      <c r="E215">
        <v>27</v>
      </c>
      <c r="F215" t="s">
        <v>31</v>
      </c>
      <c r="G215" s="1">
        <v>35803</v>
      </c>
      <c r="H215" t="s">
        <v>684</v>
      </c>
      <c r="I215" s="2" t="str">
        <f t="shared" si="3"/>
        <v>+91-8378461008</v>
      </c>
      <c r="J215">
        <f>91-8378461099</f>
        <v>-8378461008</v>
      </c>
      <c r="K215" t="s">
        <v>580</v>
      </c>
      <c r="L215" t="s">
        <v>85</v>
      </c>
      <c r="M215">
        <v>107519</v>
      </c>
      <c r="N215" s="1">
        <v>45087</v>
      </c>
      <c r="O215" t="s">
        <v>28</v>
      </c>
      <c r="P215">
        <v>7</v>
      </c>
      <c r="Q215">
        <v>87186.28</v>
      </c>
    </row>
    <row r="216" spans="1:17" x14ac:dyDescent="0.3">
      <c r="A216" t="s">
        <v>685</v>
      </c>
      <c r="B216" t="s">
        <v>686</v>
      </c>
      <c r="C216" s="2" t="str">
        <f>PROPER(TRIM(Table1[[#This Row],[Gender]]))</f>
        <v>Male</v>
      </c>
      <c r="D216" t="s">
        <v>16</v>
      </c>
      <c r="E216">
        <v>28</v>
      </c>
      <c r="F216" t="s">
        <v>31</v>
      </c>
      <c r="G216" s="1">
        <v>35438</v>
      </c>
      <c r="H216" t="s">
        <v>687</v>
      </c>
      <c r="I216" s="2" t="str">
        <f t="shared" si="3"/>
        <v>+91-7511186725</v>
      </c>
      <c r="J216">
        <f>91-7511186816</f>
        <v>-7511186725</v>
      </c>
      <c r="K216" t="s">
        <v>89</v>
      </c>
      <c r="L216" t="s">
        <v>90</v>
      </c>
      <c r="M216">
        <v>103290</v>
      </c>
      <c r="N216" s="1">
        <v>45329</v>
      </c>
      <c r="O216" t="s">
        <v>28</v>
      </c>
      <c r="P216">
        <v>5</v>
      </c>
      <c r="Q216">
        <v>77630.720000000001</v>
      </c>
    </row>
    <row r="217" spans="1:17" x14ac:dyDescent="0.3">
      <c r="A217" t="s">
        <v>688</v>
      </c>
      <c r="B217" t="s">
        <v>689</v>
      </c>
      <c r="C217" s="2" t="str">
        <f>PROPER(TRIM(Table1[[#This Row],[Gender]]))</f>
        <v>Male</v>
      </c>
      <c r="D217" t="s">
        <v>16</v>
      </c>
      <c r="E217">
        <v>25</v>
      </c>
      <c r="F217" t="s">
        <v>49</v>
      </c>
      <c r="G217" s="1">
        <v>36533</v>
      </c>
      <c r="H217" t="s">
        <v>690</v>
      </c>
      <c r="I217" s="2" t="str">
        <f t="shared" si="3"/>
        <v>+91-7220171404</v>
      </c>
      <c r="J217">
        <f>91-7220171495</f>
        <v>-7220171404</v>
      </c>
      <c r="K217" t="s">
        <v>195</v>
      </c>
      <c r="L217" t="s">
        <v>102</v>
      </c>
      <c r="M217">
        <v>286704</v>
      </c>
      <c r="N217" s="1">
        <v>45135</v>
      </c>
      <c r="O217" t="s">
        <v>28</v>
      </c>
      <c r="P217">
        <v>4</v>
      </c>
      <c r="Q217">
        <v>93947.17</v>
      </c>
    </row>
    <row r="218" spans="1:17" x14ac:dyDescent="0.3">
      <c r="A218" t="s">
        <v>691</v>
      </c>
      <c r="B218" t="s">
        <v>692</v>
      </c>
      <c r="C218" s="2" t="str">
        <f>PROPER(TRIM(Table1[[#This Row],[Gender]]))</f>
        <v>Male</v>
      </c>
      <c r="D218" t="s">
        <v>16</v>
      </c>
      <c r="E218">
        <v>42</v>
      </c>
      <c r="F218" t="s">
        <v>38</v>
      </c>
      <c r="G218" s="1">
        <v>30328</v>
      </c>
      <c r="H218" t="s">
        <v>693</v>
      </c>
      <c r="I218" s="2" t="str">
        <f t="shared" si="3"/>
        <v>+91-8949072659</v>
      </c>
      <c r="J218">
        <f>91-8949072750</f>
        <v>-8949072659</v>
      </c>
      <c r="K218" t="s">
        <v>178</v>
      </c>
      <c r="L218" t="s">
        <v>27</v>
      </c>
      <c r="M218">
        <v>223480</v>
      </c>
      <c r="N218" s="1">
        <v>45205</v>
      </c>
      <c r="O218" t="s">
        <v>28</v>
      </c>
      <c r="P218">
        <v>5</v>
      </c>
      <c r="Q218">
        <v>124444.68</v>
      </c>
    </row>
    <row r="219" spans="1:17" x14ac:dyDescent="0.3">
      <c r="A219" t="s">
        <v>694</v>
      </c>
      <c r="B219" t="s">
        <v>695</v>
      </c>
      <c r="C219" s="2" t="str">
        <f>PROPER(TRIM(Table1[[#This Row],[Gender]]))</f>
        <v>Male</v>
      </c>
      <c r="D219" t="s">
        <v>16</v>
      </c>
      <c r="E219">
        <v>31</v>
      </c>
      <c r="F219" t="s">
        <v>31</v>
      </c>
      <c r="G219" s="1">
        <v>34343</v>
      </c>
      <c r="H219" t="s">
        <v>696</v>
      </c>
      <c r="I219" s="2" t="str">
        <f t="shared" si="3"/>
        <v>+91-7710127707</v>
      </c>
      <c r="J219">
        <f>91-7710127798</f>
        <v>-7710127707</v>
      </c>
      <c r="K219" t="s">
        <v>64</v>
      </c>
      <c r="L219" t="s">
        <v>20</v>
      </c>
      <c r="M219">
        <v>163065</v>
      </c>
      <c r="N219" s="1">
        <v>45313</v>
      </c>
      <c r="O219" t="s">
        <v>28</v>
      </c>
      <c r="P219">
        <v>4</v>
      </c>
      <c r="Q219">
        <v>75206.539999999994</v>
      </c>
    </row>
    <row r="220" spans="1:17" x14ac:dyDescent="0.3">
      <c r="A220" t="s">
        <v>697</v>
      </c>
      <c r="B220" t="s">
        <v>698</v>
      </c>
      <c r="C220" s="2" t="str">
        <f>PROPER(TRIM(Table1[[#This Row],[Gender]]))</f>
        <v>Female</v>
      </c>
      <c r="D220" t="s">
        <v>43</v>
      </c>
      <c r="E220">
        <v>29</v>
      </c>
      <c r="F220" t="s">
        <v>31</v>
      </c>
      <c r="G220" s="1">
        <v>35073</v>
      </c>
      <c r="H220" t="s">
        <v>699</v>
      </c>
      <c r="I220" s="2" t="str">
        <f t="shared" si="3"/>
        <v>+91-8412044817</v>
      </c>
      <c r="J220">
        <f>91-8412044908</f>
        <v>-8412044817</v>
      </c>
      <c r="K220" t="s">
        <v>369</v>
      </c>
      <c r="L220" t="s">
        <v>191</v>
      </c>
      <c r="M220">
        <v>870840</v>
      </c>
      <c r="N220" s="1">
        <v>45185</v>
      </c>
      <c r="O220" t="s">
        <v>28</v>
      </c>
      <c r="P220">
        <v>3</v>
      </c>
      <c r="Q220">
        <v>116643.03</v>
      </c>
    </row>
    <row r="221" spans="1:17" x14ac:dyDescent="0.3">
      <c r="A221" t="s">
        <v>700</v>
      </c>
      <c r="B221" t="s">
        <v>159</v>
      </c>
      <c r="C221" s="2" t="str">
        <f>PROPER(TRIM(Table1[[#This Row],[Gender]]))</f>
        <v>Female</v>
      </c>
      <c r="D221" t="s">
        <v>43</v>
      </c>
      <c r="E221">
        <v>23</v>
      </c>
      <c r="F221" t="s">
        <v>49</v>
      </c>
      <c r="G221" s="1">
        <v>37263</v>
      </c>
      <c r="H221" t="s">
        <v>701</v>
      </c>
      <c r="I221" s="2" t="str">
        <f t="shared" si="3"/>
        <v>+91-8094302625</v>
      </c>
      <c r="J221">
        <f>91-8094302716</f>
        <v>-8094302625</v>
      </c>
      <c r="K221" t="s">
        <v>178</v>
      </c>
      <c r="L221" t="s">
        <v>27</v>
      </c>
      <c r="M221">
        <v>224672</v>
      </c>
      <c r="N221" s="1">
        <v>45161</v>
      </c>
      <c r="O221" t="s">
        <v>35</v>
      </c>
      <c r="P221">
        <v>4</v>
      </c>
      <c r="Q221">
        <v>17210.82</v>
      </c>
    </row>
    <row r="222" spans="1:17" x14ac:dyDescent="0.3">
      <c r="A222" t="s">
        <v>702</v>
      </c>
      <c r="B222" t="s">
        <v>703</v>
      </c>
      <c r="C222" s="2" t="str">
        <f>PROPER(TRIM(Table1[[#This Row],[Gender]]))</f>
        <v>Female</v>
      </c>
      <c r="D222" t="s">
        <v>43</v>
      </c>
      <c r="E222">
        <v>30</v>
      </c>
      <c r="F222" t="s">
        <v>31</v>
      </c>
      <c r="G222" s="1">
        <v>34708</v>
      </c>
      <c r="H222" t="s">
        <v>704</v>
      </c>
      <c r="I222" s="2" t="str">
        <f t="shared" si="3"/>
        <v>+91-9811893055</v>
      </c>
      <c r="J222">
        <f>91-9811893146</f>
        <v>-9811893055</v>
      </c>
      <c r="K222" t="s">
        <v>94</v>
      </c>
      <c r="L222" t="s">
        <v>20</v>
      </c>
      <c r="M222">
        <v>727596</v>
      </c>
      <c r="N222" s="1">
        <v>45297</v>
      </c>
      <c r="O222" t="s">
        <v>35</v>
      </c>
      <c r="P222">
        <v>4</v>
      </c>
      <c r="Q222">
        <v>18114.169999999998</v>
      </c>
    </row>
    <row r="223" spans="1:17" x14ac:dyDescent="0.3">
      <c r="A223" t="s">
        <v>705</v>
      </c>
      <c r="B223" t="s">
        <v>207</v>
      </c>
      <c r="C223" s="2" t="str">
        <f>PROPER(TRIM(Table1[[#This Row],[Gender]]))</f>
        <v>Female</v>
      </c>
      <c r="D223" t="s">
        <v>43</v>
      </c>
      <c r="E223">
        <v>63</v>
      </c>
      <c r="F223" t="s">
        <v>58</v>
      </c>
      <c r="G223" s="1">
        <v>22663</v>
      </c>
      <c r="H223" t="s">
        <v>706</v>
      </c>
      <c r="I223" s="2" t="str">
        <f t="shared" si="3"/>
        <v>+91-8596323417</v>
      </c>
      <c r="J223">
        <f>91-8596323508</f>
        <v>-8596323417</v>
      </c>
      <c r="K223" t="s">
        <v>165</v>
      </c>
      <c r="L223" t="s">
        <v>52</v>
      </c>
      <c r="M223">
        <v>888596</v>
      </c>
      <c r="N223" s="1">
        <v>45084</v>
      </c>
      <c r="O223" t="s">
        <v>28</v>
      </c>
      <c r="P223">
        <v>6</v>
      </c>
      <c r="Q223">
        <v>105133.94</v>
      </c>
    </row>
    <row r="224" spans="1:17" x14ac:dyDescent="0.3">
      <c r="A224" t="s">
        <v>707</v>
      </c>
      <c r="B224" t="s">
        <v>289</v>
      </c>
      <c r="C224" s="2" t="str">
        <f>PROPER(TRIM(Table1[[#This Row],[Gender]]))</f>
        <v>Male</v>
      </c>
      <c r="D224" t="s">
        <v>16</v>
      </c>
      <c r="E224">
        <v>50</v>
      </c>
      <c r="F224" t="s">
        <v>17</v>
      </c>
      <c r="G224" s="1">
        <v>27408</v>
      </c>
      <c r="H224" t="s">
        <v>708</v>
      </c>
      <c r="I224" s="2" t="str">
        <f t="shared" si="3"/>
        <v>+91-8952843200</v>
      </c>
      <c r="J224">
        <f>91-8952843291</f>
        <v>-8952843200</v>
      </c>
      <c r="K224" t="s">
        <v>161</v>
      </c>
      <c r="L224" t="s">
        <v>102</v>
      </c>
      <c r="M224">
        <v>383247</v>
      </c>
      <c r="N224" s="1">
        <v>45408</v>
      </c>
      <c r="O224" t="s">
        <v>21</v>
      </c>
      <c r="P224">
        <v>6</v>
      </c>
      <c r="Q224">
        <v>40859.370000000003</v>
      </c>
    </row>
    <row r="225" spans="1:17" x14ac:dyDescent="0.3">
      <c r="A225" t="s">
        <v>709</v>
      </c>
      <c r="B225" t="s">
        <v>710</v>
      </c>
      <c r="C225" s="2" t="str">
        <f>PROPER(TRIM(Table1[[#This Row],[Gender]]))</f>
        <v>Male</v>
      </c>
      <c r="D225" t="s">
        <v>16</v>
      </c>
      <c r="E225">
        <v>44</v>
      </c>
      <c r="F225" t="s">
        <v>38</v>
      </c>
      <c r="G225" s="1">
        <v>29598</v>
      </c>
      <c r="H225" t="s">
        <v>711</v>
      </c>
      <c r="I225" s="2" t="str">
        <f t="shared" si="3"/>
        <v>+91-7032729954</v>
      </c>
      <c r="J225">
        <f>91-7032730045</f>
        <v>-7032729954</v>
      </c>
      <c r="K225" t="s">
        <v>101</v>
      </c>
      <c r="L225" t="s">
        <v>102</v>
      </c>
      <c r="M225">
        <v>440098</v>
      </c>
      <c r="N225" s="1">
        <v>45182</v>
      </c>
      <c r="O225" t="s">
        <v>28</v>
      </c>
      <c r="P225">
        <v>10</v>
      </c>
      <c r="Q225">
        <v>331695.55</v>
      </c>
    </row>
    <row r="226" spans="1:17" x14ac:dyDescent="0.3">
      <c r="A226" t="s">
        <v>712</v>
      </c>
      <c r="B226" t="s">
        <v>713</v>
      </c>
      <c r="C226" s="2" t="str">
        <f>PROPER(TRIM(Table1[[#This Row],[Gender]]))</f>
        <v>Male</v>
      </c>
      <c r="D226" t="s">
        <v>16</v>
      </c>
      <c r="E226">
        <v>34</v>
      </c>
      <c r="F226" t="s">
        <v>31</v>
      </c>
      <c r="G226" s="1">
        <v>33248</v>
      </c>
      <c r="H226" t="s">
        <v>714</v>
      </c>
      <c r="I226" s="2" t="str">
        <f t="shared" si="3"/>
        <v>+91-7716743740</v>
      </c>
      <c r="J226">
        <f>91-7716743831</f>
        <v>-7716743740</v>
      </c>
      <c r="K226" t="s">
        <v>580</v>
      </c>
      <c r="L226" t="s">
        <v>85</v>
      </c>
      <c r="M226">
        <v>407543</v>
      </c>
      <c r="N226" s="1">
        <v>45421</v>
      </c>
      <c r="O226" t="s">
        <v>28</v>
      </c>
      <c r="P226">
        <v>4</v>
      </c>
      <c r="Q226">
        <v>51708.46</v>
      </c>
    </row>
    <row r="227" spans="1:17" x14ac:dyDescent="0.3">
      <c r="A227" t="s">
        <v>715</v>
      </c>
      <c r="B227" t="s">
        <v>193</v>
      </c>
      <c r="C227" s="2" t="str">
        <f>PROPER(TRIM(Table1[[#This Row],[Gender]]))</f>
        <v>Male</v>
      </c>
      <c r="D227" t="s">
        <v>16</v>
      </c>
      <c r="E227">
        <v>30</v>
      </c>
      <c r="F227" t="s">
        <v>31</v>
      </c>
      <c r="G227" s="1">
        <v>34708</v>
      </c>
      <c r="H227" t="s">
        <v>716</v>
      </c>
      <c r="I227" s="2" t="str">
        <f t="shared" si="3"/>
        <v>+91-9118707398</v>
      </c>
      <c r="J227">
        <f>91-9118707489</f>
        <v>-9118707398</v>
      </c>
      <c r="K227" t="s">
        <v>64</v>
      </c>
      <c r="L227" t="s">
        <v>20</v>
      </c>
      <c r="M227">
        <v>662340</v>
      </c>
      <c r="N227" s="1">
        <v>45128</v>
      </c>
      <c r="O227" t="s">
        <v>28</v>
      </c>
      <c r="P227">
        <v>4</v>
      </c>
      <c r="Q227">
        <v>156196.59</v>
      </c>
    </row>
    <row r="228" spans="1:17" x14ac:dyDescent="0.3">
      <c r="A228" t="s">
        <v>717</v>
      </c>
      <c r="B228" t="s">
        <v>718</v>
      </c>
      <c r="C228" s="2" t="str">
        <f>PROPER(TRIM(Table1[[#This Row],[Gender]]))</f>
        <v>Female</v>
      </c>
      <c r="D228" t="s">
        <v>43</v>
      </c>
      <c r="E228">
        <v>33</v>
      </c>
      <c r="F228" t="s">
        <v>31</v>
      </c>
      <c r="G228" s="1">
        <v>33613</v>
      </c>
      <c r="H228" t="s">
        <v>719</v>
      </c>
      <c r="I228" s="2" t="str">
        <f t="shared" si="3"/>
        <v>+91-9913100027</v>
      </c>
      <c r="J228">
        <f>91-9913100118</f>
        <v>-9913100027</v>
      </c>
      <c r="K228" t="s">
        <v>174</v>
      </c>
      <c r="L228" t="s">
        <v>90</v>
      </c>
      <c r="M228">
        <v>952344</v>
      </c>
      <c r="N228" s="1">
        <v>45393</v>
      </c>
      <c r="O228" t="s">
        <v>21</v>
      </c>
      <c r="P228">
        <v>3</v>
      </c>
      <c r="Q228">
        <v>38713.980000000003</v>
      </c>
    </row>
    <row r="229" spans="1:17" x14ac:dyDescent="0.3">
      <c r="A229" t="s">
        <v>720</v>
      </c>
      <c r="B229" t="s">
        <v>721</v>
      </c>
      <c r="C229" s="2" t="str">
        <f>PROPER(TRIM(Table1[[#This Row],[Gender]]))</f>
        <v>Male</v>
      </c>
      <c r="D229" t="s">
        <v>16</v>
      </c>
      <c r="E229">
        <v>18</v>
      </c>
      <c r="F229" t="s">
        <v>49</v>
      </c>
      <c r="G229" s="1">
        <v>39088</v>
      </c>
      <c r="H229" t="s">
        <v>722</v>
      </c>
      <c r="I229" s="2" t="str">
        <f t="shared" si="3"/>
        <v>+91-9401475283</v>
      </c>
      <c r="J229">
        <f>91-9401475374</f>
        <v>-9401475283</v>
      </c>
      <c r="K229" t="s">
        <v>239</v>
      </c>
      <c r="L229" t="s">
        <v>191</v>
      </c>
      <c r="M229">
        <v>179125</v>
      </c>
      <c r="N229" s="1">
        <v>45330</v>
      </c>
      <c r="O229" t="s">
        <v>35</v>
      </c>
      <c r="P229">
        <v>7</v>
      </c>
      <c r="Q229">
        <v>19475.32</v>
      </c>
    </row>
    <row r="230" spans="1:17" x14ac:dyDescent="0.3">
      <c r="A230" t="s">
        <v>723</v>
      </c>
      <c r="B230" t="s">
        <v>145</v>
      </c>
      <c r="C230" s="2" t="str">
        <f>PROPER(TRIM(Table1[[#This Row],[Gender]]))</f>
        <v>Female</v>
      </c>
      <c r="D230" t="s">
        <v>43</v>
      </c>
      <c r="E230">
        <v>54</v>
      </c>
      <c r="F230" t="s">
        <v>17</v>
      </c>
      <c r="G230" s="1">
        <v>25948</v>
      </c>
      <c r="H230" t="s">
        <v>724</v>
      </c>
      <c r="I230" s="2" t="str">
        <f t="shared" si="3"/>
        <v>+91-9589415973</v>
      </c>
      <c r="J230">
        <f>91-9589416064</f>
        <v>-9589415973</v>
      </c>
      <c r="K230" t="s">
        <v>147</v>
      </c>
      <c r="L230" t="s">
        <v>143</v>
      </c>
      <c r="M230">
        <v>432307</v>
      </c>
      <c r="N230" s="1">
        <v>45111</v>
      </c>
      <c r="O230" t="s">
        <v>28</v>
      </c>
      <c r="P230">
        <v>13</v>
      </c>
      <c r="Q230">
        <v>135444.76999999999</v>
      </c>
    </row>
    <row r="231" spans="1:17" x14ac:dyDescent="0.3">
      <c r="A231" t="s">
        <v>725</v>
      </c>
      <c r="B231" t="s">
        <v>726</v>
      </c>
      <c r="C231" s="2" t="str">
        <f>PROPER(TRIM(Table1[[#This Row],[Gender]]))</f>
        <v>Male</v>
      </c>
      <c r="D231" t="s">
        <v>16</v>
      </c>
      <c r="E231">
        <v>20</v>
      </c>
      <c r="F231" t="s">
        <v>49</v>
      </c>
      <c r="G231" s="1">
        <v>38358</v>
      </c>
      <c r="H231" t="s">
        <v>727</v>
      </c>
      <c r="I231" s="2" t="str">
        <f t="shared" si="3"/>
        <v>+91-7788936223</v>
      </c>
      <c r="J231">
        <f>91-7788936314</f>
        <v>-7788936223</v>
      </c>
      <c r="K231" t="s">
        <v>125</v>
      </c>
      <c r="L231" t="s">
        <v>52</v>
      </c>
      <c r="M231">
        <v>317486</v>
      </c>
      <c r="N231" s="1">
        <v>45317</v>
      </c>
      <c r="O231" t="s">
        <v>28</v>
      </c>
      <c r="P231">
        <v>6</v>
      </c>
      <c r="Q231">
        <v>176750.04</v>
      </c>
    </row>
    <row r="232" spans="1:17" x14ac:dyDescent="0.3">
      <c r="A232" t="s">
        <v>728</v>
      </c>
      <c r="B232" t="s">
        <v>729</v>
      </c>
      <c r="C232" s="2" t="str">
        <f>PROPER(TRIM(Table1[[#This Row],[Gender]]))</f>
        <v>Male</v>
      </c>
      <c r="D232" t="s">
        <v>16</v>
      </c>
      <c r="E232">
        <v>27</v>
      </c>
      <c r="F232" t="s">
        <v>31</v>
      </c>
      <c r="G232" s="1">
        <v>35803</v>
      </c>
      <c r="H232" t="s">
        <v>730</v>
      </c>
      <c r="I232" s="2" t="str">
        <f t="shared" si="3"/>
        <v>+91-9953210182</v>
      </c>
      <c r="J232">
        <f>91-9953210273</f>
        <v>-9953210182</v>
      </c>
      <c r="K232" t="s">
        <v>94</v>
      </c>
      <c r="L232" t="s">
        <v>20</v>
      </c>
      <c r="M232">
        <v>793998</v>
      </c>
      <c r="N232" s="1">
        <v>45437</v>
      </c>
      <c r="O232" t="s">
        <v>28</v>
      </c>
      <c r="P232">
        <v>8</v>
      </c>
      <c r="Q232">
        <v>214089.57</v>
      </c>
    </row>
    <row r="233" spans="1:17" x14ac:dyDescent="0.3">
      <c r="A233" t="s">
        <v>731</v>
      </c>
      <c r="B233" t="s">
        <v>557</v>
      </c>
      <c r="C233" s="2" t="str">
        <f>PROPER(TRIM(Table1[[#This Row],[Gender]]))</f>
        <v>Male</v>
      </c>
      <c r="D233" t="s">
        <v>16</v>
      </c>
      <c r="E233">
        <v>53</v>
      </c>
      <c r="F233" t="s">
        <v>17</v>
      </c>
      <c r="G233" s="1">
        <v>26313</v>
      </c>
      <c r="H233" t="s">
        <v>732</v>
      </c>
      <c r="I233" s="2" t="str">
        <f t="shared" si="3"/>
        <v>+91-9838292959</v>
      </c>
      <c r="J233">
        <f>91-9838293050</f>
        <v>-9838292959</v>
      </c>
      <c r="K233" t="s">
        <v>369</v>
      </c>
      <c r="L233" t="s">
        <v>191</v>
      </c>
      <c r="M233">
        <v>563048</v>
      </c>
      <c r="N233" s="1">
        <v>45155</v>
      </c>
      <c r="O233" t="s">
        <v>28</v>
      </c>
      <c r="P233">
        <v>9</v>
      </c>
      <c r="Q233">
        <v>58151.07</v>
      </c>
    </row>
    <row r="234" spans="1:17" x14ac:dyDescent="0.3">
      <c r="A234" t="s">
        <v>733</v>
      </c>
      <c r="B234" t="s">
        <v>734</v>
      </c>
      <c r="C234" s="2" t="str">
        <f>PROPER(TRIM(Table1[[#This Row],[Gender]]))</f>
        <v>Female</v>
      </c>
      <c r="D234" t="s">
        <v>43</v>
      </c>
      <c r="E234">
        <v>25</v>
      </c>
      <c r="F234" t="s">
        <v>49</v>
      </c>
      <c r="G234" s="1">
        <v>36533</v>
      </c>
      <c r="H234" t="s">
        <v>735</v>
      </c>
      <c r="I234" s="2" t="str">
        <f t="shared" si="3"/>
        <v>+91-9538513303</v>
      </c>
      <c r="J234">
        <f>91-9538513394</f>
        <v>-9538513303</v>
      </c>
      <c r="K234" t="s">
        <v>76</v>
      </c>
      <c r="L234" t="s">
        <v>46</v>
      </c>
      <c r="M234">
        <v>774664</v>
      </c>
      <c r="N234" s="1">
        <v>45117</v>
      </c>
      <c r="O234" t="s">
        <v>28</v>
      </c>
      <c r="P234">
        <v>4</v>
      </c>
      <c r="Q234">
        <v>178570.07</v>
      </c>
    </row>
    <row r="235" spans="1:17" x14ac:dyDescent="0.3">
      <c r="A235" t="s">
        <v>736</v>
      </c>
      <c r="B235" t="s">
        <v>737</v>
      </c>
      <c r="C235" s="2" t="str">
        <f>PROPER(TRIM(Table1[[#This Row],[Gender]]))</f>
        <v>Male</v>
      </c>
      <c r="D235" t="s">
        <v>16</v>
      </c>
      <c r="E235">
        <v>32</v>
      </c>
      <c r="F235" t="s">
        <v>31</v>
      </c>
      <c r="G235" s="1">
        <v>33978</v>
      </c>
      <c r="H235" t="s">
        <v>738</v>
      </c>
      <c r="I235" s="2" t="str">
        <f t="shared" si="3"/>
        <v>+91-7623264530</v>
      </c>
      <c r="J235">
        <f>91-7623264621</f>
        <v>-7623264530</v>
      </c>
      <c r="K235" t="s">
        <v>154</v>
      </c>
      <c r="L235" t="s">
        <v>46</v>
      </c>
      <c r="M235">
        <v>186836</v>
      </c>
      <c r="N235" s="1">
        <v>45173</v>
      </c>
      <c r="O235" t="s">
        <v>28</v>
      </c>
      <c r="P235">
        <v>3</v>
      </c>
      <c r="Q235">
        <v>72574.94</v>
      </c>
    </row>
    <row r="236" spans="1:17" x14ac:dyDescent="0.3">
      <c r="A236" t="s">
        <v>739</v>
      </c>
      <c r="B236" t="s">
        <v>740</v>
      </c>
      <c r="C236" s="2" t="str">
        <f>PROPER(TRIM(Table1[[#This Row],[Gender]]))</f>
        <v>Male</v>
      </c>
      <c r="D236" t="s">
        <v>16</v>
      </c>
      <c r="E236">
        <v>20</v>
      </c>
      <c r="F236" t="s">
        <v>49</v>
      </c>
      <c r="G236" s="1">
        <v>38358</v>
      </c>
      <c r="H236" t="s">
        <v>741</v>
      </c>
      <c r="I236" s="2" t="str">
        <f t="shared" si="3"/>
        <v>+91-7485160569</v>
      </c>
      <c r="J236">
        <f>91-7485160660</f>
        <v>-7485160569</v>
      </c>
      <c r="K236" t="s">
        <v>580</v>
      </c>
      <c r="L236" t="s">
        <v>85</v>
      </c>
      <c r="M236">
        <v>745929</v>
      </c>
      <c r="N236" s="1">
        <v>45341</v>
      </c>
      <c r="O236" t="s">
        <v>28</v>
      </c>
      <c r="P236">
        <v>7</v>
      </c>
      <c r="Q236">
        <v>208446.72</v>
      </c>
    </row>
    <row r="237" spans="1:17" x14ac:dyDescent="0.3">
      <c r="A237" t="s">
        <v>742</v>
      </c>
      <c r="B237" t="s">
        <v>743</v>
      </c>
      <c r="C237" s="2" t="str">
        <f>PROPER(TRIM(Table1[[#This Row],[Gender]]))</f>
        <v>Female</v>
      </c>
      <c r="D237" t="s">
        <v>43</v>
      </c>
      <c r="E237">
        <v>68</v>
      </c>
      <c r="F237" t="s">
        <v>24</v>
      </c>
      <c r="G237" s="1">
        <v>20838</v>
      </c>
      <c r="H237" t="s">
        <v>744</v>
      </c>
      <c r="I237" s="2" t="str">
        <f t="shared" si="3"/>
        <v>+91-8322351736</v>
      </c>
      <c r="J237">
        <f>91-8322351827</f>
        <v>-8322351736</v>
      </c>
      <c r="K237" t="s">
        <v>45</v>
      </c>
      <c r="L237" t="s">
        <v>46</v>
      </c>
      <c r="M237">
        <v>302654</v>
      </c>
      <c r="N237" s="1">
        <v>45202</v>
      </c>
      <c r="O237" t="s">
        <v>35</v>
      </c>
      <c r="P237">
        <v>2</v>
      </c>
      <c r="Q237">
        <v>10866.83</v>
      </c>
    </row>
    <row r="238" spans="1:17" x14ac:dyDescent="0.3">
      <c r="A238" t="s">
        <v>745</v>
      </c>
      <c r="B238" t="s">
        <v>746</v>
      </c>
      <c r="C238" s="2" t="str">
        <f>PROPER(TRIM(Table1[[#This Row],[Gender]]))</f>
        <v>Male</v>
      </c>
      <c r="D238" t="s">
        <v>16</v>
      </c>
      <c r="E238">
        <v>43</v>
      </c>
      <c r="F238" t="s">
        <v>38</v>
      </c>
      <c r="G238" s="1">
        <v>29963</v>
      </c>
      <c r="H238" t="s">
        <v>747</v>
      </c>
      <c r="I238" s="2" t="str">
        <f t="shared" si="3"/>
        <v>+91-8957311474</v>
      </c>
      <c r="J238">
        <f>91-8957311565</f>
        <v>-8957311474</v>
      </c>
      <c r="K238" t="s">
        <v>178</v>
      </c>
      <c r="L238" t="s">
        <v>27</v>
      </c>
      <c r="M238">
        <v>167495</v>
      </c>
      <c r="N238" s="1">
        <v>45138</v>
      </c>
      <c r="O238" t="s">
        <v>21</v>
      </c>
      <c r="P238">
        <v>4</v>
      </c>
      <c r="Q238">
        <v>36546.07</v>
      </c>
    </row>
    <row r="239" spans="1:17" x14ac:dyDescent="0.3">
      <c r="A239" t="s">
        <v>748</v>
      </c>
      <c r="B239" t="s">
        <v>749</v>
      </c>
      <c r="C239" s="2" t="str">
        <f>PROPER(TRIM(Table1[[#This Row],[Gender]]))</f>
        <v>Male</v>
      </c>
      <c r="D239" t="s">
        <v>16</v>
      </c>
      <c r="E239">
        <v>47</v>
      </c>
      <c r="F239" t="s">
        <v>17</v>
      </c>
      <c r="G239" s="1">
        <v>28503</v>
      </c>
      <c r="H239" t="s">
        <v>750</v>
      </c>
      <c r="I239" s="2" t="str">
        <f t="shared" si="3"/>
        <v>+91-8633846249</v>
      </c>
      <c r="J239">
        <f>91-8633846340</f>
        <v>-8633846249</v>
      </c>
      <c r="K239" t="s">
        <v>68</v>
      </c>
      <c r="L239" t="s">
        <v>52</v>
      </c>
      <c r="M239">
        <v>162068</v>
      </c>
      <c r="N239" s="1">
        <v>45375</v>
      </c>
      <c r="O239" t="s">
        <v>21</v>
      </c>
      <c r="P239">
        <v>3</v>
      </c>
      <c r="Q239">
        <v>33214.449999999997</v>
      </c>
    </row>
    <row r="240" spans="1:17" x14ac:dyDescent="0.3">
      <c r="A240" t="s">
        <v>751</v>
      </c>
      <c r="B240" t="s">
        <v>752</v>
      </c>
      <c r="C240" s="2" t="str">
        <f>PROPER(TRIM(Table1[[#This Row],[Gender]]))</f>
        <v>Male</v>
      </c>
      <c r="D240" t="s">
        <v>16</v>
      </c>
      <c r="E240">
        <v>41</v>
      </c>
      <c r="F240" t="s">
        <v>38</v>
      </c>
      <c r="G240" s="1">
        <v>30693</v>
      </c>
      <c r="H240" t="s">
        <v>753</v>
      </c>
      <c r="I240" s="2" t="str">
        <f t="shared" si="3"/>
        <v>+91-7557379086</v>
      </c>
      <c r="J240">
        <f>91-7557379177</f>
        <v>-7557379086</v>
      </c>
      <c r="K240" t="s">
        <v>45</v>
      </c>
      <c r="L240" t="s">
        <v>46</v>
      </c>
      <c r="M240">
        <v>148827</v>
      </c>
      <c r="N240" s="1">
        <v>45083</v>
      </c>
      <c r="O240" t="s">
        <v>21</v>
      </c>
      <c r="P240">
        <v>2</v>
      </c>
      <c r="Q240">
        <v>26432.35</v>
      </c>
    </row>
    <row r="241" spans="1:17" x14ac:dyDescent="0.3">
      <c r="A241" t="s">
        <v>754</v>
      </c>
      <c r="B241" t="s">
        <v>284</v>
      </c>
      <c r="C241" s="2" t="str">
        <f>PROPER(TRIM(Table1[[#This Row],[Gender]]))</f>
        <v>Female</v>
      </c>
      <c r="D241" t="s">
        <v>43</v>
      </c>
      <c r="E241">
        <v>19</v>
      </c>
      <c r="F241" t="s">
        <v>49</v>
      </c>
      <c r="G241" s="1">
        <v>38723</v>
      </c>
      <c r="H241" t="s">
        <v>755</v>
      </c>
      <c r="I241" s="2" t="str">
        <f t="shared" si="3"/>
        <v>+91-7679808334</v>
      </c>
      <c r="J241">
        <f>91-7679808425</f>
        <v>-7679808334</v>
      </c>
      <c r="K241" t="s">
        <v>45</v>
      </c>
      <c r="L241" t="s">
        <v>46</v>
      </c>
      <c r="M241">
        <v>284850</v>
      </c>
      <c r="N241" s="1">
        <v>45296</v>
      </c>
      <c r="O241" t="s">
        <v>28</v>
      </c>
      <c r="P241">
        <v>9</v>
      </c>
      <c r="Q241">
        <v>185799.38</v>
      </c>
    </row>
    <row r="242" spans="1:17" x14ac:dyDescent="0.3">
      <c r="A242" t="s">
        <v>756</v>
      </c>
      <c r="B242" t="s">
        <v>487</v>
      </c>
      <c r="C242" s="2" t="str">
        <f>PROPER(TRIM(Table1[[#This Row],[Gender]]))</f>
        <v>Female</v>
      </c>
      <c r="D242" t="s">
        <v>43</v>
      </c>
      <c r="E242">
        <v>47</v>
      </c>
      <c r="F242" t="s">
        <v>17</v>
      </c>
      <c r="G242" s="1">
        <v>28503</v>
      </c>
      <c r="H242" t="s">
        <v>757</v>
      </c>
      <c r="I242" s="2" t="str">
        <f t="shared" si="3"/>
        <v>+91-9224228073</v>
      </c>
      <c r="J242">
        <f>91-9224228164</f>
        <v>-9224228073</v>
      </c>
      <c r="K242" t="s">
        <v>76</v>
      </c>
      <c r="L242" t="s">
        <v>46</v>
      </c>
      <c r="M242">
        <v>966058</v>
      </c>
      <c r="N242" s="1">
        <v>45197</v>
      </c>
      <c r="O242" t="s">
        <v>28</v>
      </c>
      <c r="P242">
        <v>8</v>
      </c>
      <c r="Q242">
        <v>71282.66</v>
      </c>
    </row>
    <row r="243" spans="1:17" x14ac:dyDescent="0.3">
      <c r="A243" t="s">
        <v>758</v>
      </c>
      <c r="B243" t="s">
        <v>759</v>
      </c>
      <c r="C243" s="2" t="str">
        <f>PROPER(TRIM(Table1[[#This Row],[Gender]]))</f>
        <v>Female</v>
      </c>
      <c r="D243" t="s">
        <v>43</v>
      </c>
      <c r="E243">
        <v>27</v>
      </c>
      <c r="F243" t="s">
        <v>31</v>
      </c>
      <c r="G243" s="1">
        <v>35803</v>
      </c>
      <c r="H243" t="s">
        <v>760</v>
      </c>
      <c r="I243" s="2" t="str">
        <f t="shared" si="3"/>
        <v>+91-9668055122</v>
      </c>
      <c r="J243">
        <f>91-9668055213</f>
        <v>-9668055122</v>
      </c>
      <c r="K243" t="s">
        <v>45</v>
      </c>
      <c r="L243" t="s">
        <v>46</v>
      </c>
      <c r="M243">
        <v>871834</v>
      </c>
      <c r="N243" s="1">
        <v>45318</v>
      </c>
      <c r="O243" t="s">
        <v>28</v>
      </c>
      <c r="P243">
        <v>9</v>
      </c>
      <c r="Q243">
        <v>263630.23</v>
      </c>
    </row>
    <row r="244" spans="1:17" x14ac:dyDescent="0.3">
      <c r="A244" t="s">
        <v>761</v>
      </c>
      <c r="B244" t="s">
        <v>762</v>
      </c>
      <c r="C244" s="2" t="str">
        <f>PROPER(TRIM(Table1[[#This Row],[Gender]]))</f>
        <v>Male</v>
      </c>
      <c r="D244" t="s">
        <v>16</v>
      </c>
      <c r="E244">
        <v>38</v>
      </c>
      <c r="F244" t="s">
        <v>38</v>
      </c>
      <c r="G244" s="1">
        <v>31788</v>
      </c>
      <c r="H244" t="s">
        <v>763</v>
      </c>
      <c r="I244" s="2" t="str">
        <f t="shared" si="3"/>
        <v>+91-9843093234</v>
      </c>
      <c r="J244">
        <f>91-9843093325</f>
        <v>-9843093234</v>
      </c>
      <c r="K244" t="s">
        <v>369</v>
      </c>
      <c r="L244" t="s">
        <v>191</v>
      </c>
      <c r="M244">
        <v>700616</v>
      </c>
      <c r="N244" s="1">
        <v>45389</v>
      </c>
      <c r="O244" t="s">
        <v>28</v>
      </c>
      <c r="P244">
        <v>4</v>
      </c>
      <c r="Q244">
        <v>99778.71</v>
      </c>
    </row>
    <row r="245" spans="1:17" x14ac:dyDescent="0.3">
      <c r="A245" t="s">
        <v>764</v>
      </c>
      <c r="B245" t="s">
        <v>765</v>
      </c>
      <c r="C245" s="2" t="str">
        <f>PROPER(TRIM(Table1[[#This Row],[Gender]]))</f>
        <v>Male</v>
      </c>
      <c r="D245" t="s">
        <v>16</v>
      </c>
      <c r="E245">
        <v>43</v>
      </c>
      <c r="F245" t="s">
        <v>38</v>
      </c>
      <c r="G245" s="1">
        <v>29963</v>
      </c>
      <c r="H245" t="s">
        <v>766</v>
      </c>
      <c r="I245" s="2" t="str">
        <f t="shared" si="3"/>
        <v>+91-9235983893</v>
      </c>
      <c r="J245">
        <f>91-9235983984</f>
        <v>-9235983893</v>
      </c>
      <c r="K245" t="s">
        <v>195</v>
      </c>
      <c r="L245" t="s">
        <v>102</v>
      </c>
      <c r="M245">
        <v>475620</v>
      </c>
      <c r="N245" s="1">
        <v>45378</v>
      </c>
      <c r="O245" t="s">
        <v>35</v>
      </c>
      <c r="P245">
        <v>3</v>
      </c>
      <c r="Q245">
        <v>12156.82</v>
      </c>
    </row>
    <row r="246" spans="1:17" x14ac:dyDescent="0.3">
      <c r="A246" t="s">
        <v>767</v>
      </c>
      <c r="B246" t="s">
        <v>768</v>
      </c>
      <c r="C246" s="2" t="str">
        <f>PROPER(TRIM(Table1[[#This Row],[Gender]]))</f>
        <v>Male</v>
      </c>
      <c r="D246" t="s">
        <v>16</v>
      </c>
      <c r="E246">
        <v>63</v>
      </c>
      <c r="F246" t="s">
        <v>58</v>
      </c>
      <c r="G246" s="1">
        <v>22663</v>
      </c>
      <c r="H246" t="s">
        <v>769</v>
      </c>
      <c r="I246" s="2" t="str">
        <f t="shared" si="3"/>
        <v>+91-9449436239</v>
      </c>
      <c r="J246">
        <f>91-9449436330</f>
        <v>-9449436239</v>
      </c>
      <c r="K246" t="s">
        <v>273</v>
      </c>
      <c r="L246" t="s">
        <v>46</v>
      </c>
      <c r="M246">
        <v>112380</v>
      </c>
      <c r="N246" s="1">
        <v>45294</v>
      </c>
      <c r="O246" t="s">
        <v>35</v>
      </c>
      <c r="P246">
        <v>3</v>
      </c>
      <c r="Q246">
        <v>8248.2199999999993</v>
      </c>
    </row>
    <row r="247" spans="1:17" x14ac:dyDescent="0.3">
      <c r="A247" t="s">
        <v>770</v>
      </c>
      <c r="B247" t="s">
        <v>389</v>
      </c>
      <c r="C247" s="2" t="str">
        <f>PROPER(TRIM(Table1[[#This Row],[Gender]]))</f>
        <v>Female</v>
      </c>
      <c r="D247" t="s">
        <v>43</v>
      </c>
      <c r="E247">
        <v>27</v>
      </c>
      <c r="F247" t="s">
        <v>31</v>
      </c>
      <c r="G247" s="1">
        <v>35803</v>
      </c>
      <c r="H247" t="s">
        <v>771</v>
      </c>
      <c r="I247" s="2" t="str">
        <f t="shared" si="3"/>
        <v>+91-9523810210</v>
      </c>
      <c r="J247">
        <f>91-9523810301</f>
        <v>-9523810210</v>
      </c>
      <c r="K247" t="s">
        <v>26</v>
      </c>
      <c r="L247" t="s">
        <v>27</v>
      </c>
      <c r="M247">
        <v>773915</v>
      </c>
      <c r="N247" s="1">
        <v>45442</v>
      </c>
      <c r="O247" t="s">
        <v>28</v>
      </c>
      <c r="P247">
        <v>3</v>
      </c>
      <c r="Q247">
        <v>78656.12</v>
      </c>
    </row>
    <row r="248" spans="1:17" x14ac:dyDescent="0.3">
      <c r="A248" t="s">
        <v>772</v>
      </c>
      <c r="B248" t="s">
        <v>773</v>
      </c>
      <c r="C248" s="2" t="str">
        <f>PROPER(TRIM(Table1[[#This Row],[Gender]]))</f>
        <v>Female</v>
      </c>
      <c r="D248" t="s">
        <v>43</v>
      </c>
      <c r="E248">
        <v>46</v>
      </c>
      <c r="F248" t="s">
        <v>17</v>
      </c>
      <c r="G248" s="1">
        <v>28868</v>
      </c>
      <c r="H248" t="s">
        <v>774</v>
      </c>
      <c r="I248" s="2" t="str">
        <f t="shared" si="3"/>
        <v>+91-7804814895</v>
      </c>
      <c r="J248">
        <f>91-7804814986</f>
        <v>-7804814895</v>
      </c>
      <c r="K248" t="s">
        <v>369</v>
      </c>
      <c r="L248" t="s">
        <v>191</v>
      </c>
      <c r="M248">
        <v>329348</v>
      </c>
      <c r="N248" s="1">
        <v>45280</v>
      </c>
      <c r="O248" t="s">
        <v>21</v>
      </c>
      <c r="P248">
        <v>4</v>
      </c>
      <c r="Q248">
        <v>32234.39</v>
      </c>
    </row>
    <row r="249" spans="1:17" x14ac:dyDescent="0.3">
      <c r="A249" t="s">
        <v>775</v>
      </c>
      <c r="B249" t="s">
        <v>404</v>
      </c>
      <c r="C249" s="2" t="str">
        <f>PROPER(TRIM(Table1[[#This Row],[Gender]]))</f>
        <v>Female</v>
      </c>
      <c r="D249" t="s">
        <v>43</v>
      </c>
      <c r="E249">
        <v>33</v>
      </c>
      <c r="F249" t="s">
        <v>31</v>
      </c>
      <c r="G249" s="1">
        <v>33613</v>
      </c>
      <c r="H249" t="s">
        <v>776</v>
      </c>
      <c r="I249" s="2" t="str">
        <f t="shared" si="3"/>
        <v>+91-9954139908</v>
      </c>
      <c r="J249">
        <f>91-9954139999</f>
        <v>-9954139908</v>
      </c>
      <c r="K249" t="s">
        <v>239</v>
      </c>
      <c r="L249" t="s">
        <v>191</v>
      </c>
      <c r="M249">
        <v>410805</v>
      </c>
      <c r="N249" s="1">
        <v>45116</v>
      </c>
      <c r="O249" t="s">
        <v>21</v>
      </c>
      <c r="P249">
        <v>3</v>
      </c>
      <c r="Q249">
        <v>38569.65</v>
      </c>
    </row>
    <row r="250" spans="1:17" x14ac:dyDescent="0.3">
      <c r="A250" t="s">
        <v>777</v>
      </c>
      <c r="B250" t="s">
        <v>778</v>
      </c>
      <c r="C250" s="2" t="str">
        <f>PROPER(TRIM(Table1[[#This Row],[Gender]]))</f>
        <v>Female</v>
      </c>
      <c r="D250" t="s">
        <v>43</v>
      </c>
      <c r="E250">
        <v>56</v>
      </c>
      <c r="F250" t="s">
        <v>58</v>
      </c>
      <c r="G250" s="1">
        <v>25218</v>
      </c>
      <c r="H250" t="s">
        <v>779</v>
      </c>
      <c r="I250" s="2" t="str">
        <f t="shared" si="3"/>
        <v>+91-8206176731</v>
      </c>
      <c r="J250">
        <f>91-8206176822</f>
        <v>-8206176731</v>
      </c>
      <c r="K250" t="s">
        <v>51</v>
      </c>
      <c r="L250" t="s">
        <v>52</v>
      </c>
      <c r="M250">
        <v>383973</v>
      </c>
      <c r="N250" s="1">
        <v>45316</v>
      </c>
      <c r="O250" t="s">
        <v>35</v>
      </c>
      <c r="P250">
        <v>4</v>
      </c>
      <c r="Q250">
        <v>18444.23</v>
      </c>
    </row>
    <row r="251" spans="1:17" x14ac:dyDescent="0.3">
      <c r="A251" t="s">
        <v>780</v>
      </c>
      <c r="B251" t="s">
        <v>781</v>
      </c>
      <c r="C251" s="2" t="str">
        <f>PROPER(TRIM(Table1[[#This Row],[Gender]]))</f>
        <v>Male</v>
      </c>
      <c r="D251" t="s">
        <v>16</v>
      </c>
      <c r="E251">
        <v>35</v>
      </c>
      <c r="F251" t="s">
        <v>31</v>
      </c>
      <c r="G251" s="1">
        <v>32883</v>
      </c>
      <c r="H251" t="s">
        <v>782</v>
      </c>
      <c r="I251" s="2" t="str">
        <f t="shared" si="3"/>
        <v>+91-7747349606</v>
      </c>
      <c r="J251">
        <f>91-7747349697</f>
        <v>-7747349606</v>
      </c>
      <c r="K251" t="s">
        <v>125</v>
      </c>
      <c r="L251" t="s">
        <v>52</v>
      </c>
      <c r="M251">
        <v>259446</v>
      </c>
      <c r="N251" s="1">
        <v>45166</v>
      </c>
      <c r="O251" t="s">
        <v>21</v>
      </c>
      <c r="P251">
        <v>6</v>
      </c>
      <c r="Q251">
        <v>46053.72</v>
      </c>
    </row>
    <row r="252" spans="1:17" x14ac:dyDescent="0.3">
      <c r="A252" t="s">
        <v>783</v>
      </c>
      <c r="B252" t="s">
        <v>784</v>
      </c>
      <c r="C252" s="2" t="str">
        <f>PROPER(TRIM(Table1[[#This Row],[Gender]]))</f>
        <v>Male</v>
      </c>
      <c r="D252" t="s">
        <v>16</v>
      </c>
      <c r="E252">
        <v>41</v>
      </c>
      <c r="F252" t="s">
        <v>38</v>
      </c>
      <c r="G252" s="1">
        <v>30693</v>
      </c>
      <c r="H252" t="s">
        <v>785</v>
      </c>
      <c r="I252" s="2" t="str">
        <f t="shared" si="3"/>
        <v>+91-9393464161</v>
      </c>
      <c r="J252">
        <f>91-9393464252</f>
        <v>-9393464161</v>
      </c>
      <c r="K252" t="s">
        <v>147</v>
      </c>
      <c r="L252" t="s">
        <v>143</v>
      </c>
      <c r="M252">
        <v>794507</v>
      </c>
      <c r="N252" s="1">
        <v>45137</v>
      </c>
      <c r="O252" t="s">
        <v>35</v>
      </c>
      <c r="P252">
        <v>1</v>
      </c>
      <c r="Q252">
        <v>616.37</v>
      </c>
    </row>
    <row r="253" spans="1:17" x14ac:dyDescent="0.3">
      <c r="A253" t="s">
        <v>786</v>
      </c>
      <c r="B253" t="s">
        <v>787</v>
      </c>
      <c r="C253" s="2" t="str">
        <f>PROPER(TRIM(Table1[[#This Row],[Gender]]))</f>
        <v>Female</v>
      </c>
      <c r="D253" t="s">
        <v>43</v>
      </c>
      <c r="E253">
        <v>25</v>
      </c>
      <c r="F253" t="s">
        <v>49</v>
      </c>
      <c r="G253" s="1">
        <v>36533</v>
      </c>
      <c r="H253" t="s">
        <v>788</v>
      </c>
      <c r="I253" s="2" t="str">
        <f t="shared" si="3"/>
        <v>+91-7067004430</v>
      </c>
      <c r="J253">
        <f>91-7067004521</f>
        <v>-7067004430</v>
      </c>
      <c r="K253" t="s">
        <v>190</v>
      </c>
      <c r="L253" t="s">
        <v>191</v>
      </c>
      <c r="M253">
        <v>478990</v>
      </c>
      <c r="N253" s="1">
        <v>45238</v>
      </c>
      <c r="O253" t="s">
        <v>28</v>
      </c>
      <c r="P253">
        <v>8</v>
      </c>
      <c r="Q253">
        <v>161434.96</v>
      </c>
    </row>
    <row r="254" spans="1:17" x14ac:dyDescent="0.3">
      <c r="A254" t="s">
        <v>789</v>
      </c>
      <c r="B254" t="s">
        <v>790</v>
      </c>
      <c r="C254" s="2" t="str">
        <f>PROPER(TRIM(Table1[[#This Row],[Gender]]))</f>
        <v>Female</v>
      </c>
      <c r="D254" t="s">
        <v>43</v>
      </c>
      <c r="E254">
        <v>47</v>
      </c>
      <c r="F254" t="s">
        <v>17</v>
      </c>
      <c r="G254" s="1">
        <v>28503</v>
      </c>
      <c r="H254" t="s">
        <v>791</v>
      </c>
      <c r="I254" s="2" t="str">
        <f t="shared" si="3"/>
        <v>+91-7849695072</v>
      </c>
      <c r="J254">
        <f>91-7849695163</f>
        <v>-7849695072</v>
      </c>
      <c r="K254" t="s">
        <v>40</v>
      </c>
      <c r="L254" t="s">
        <v>27</v>
      </c>
      <c r="M254">
        <v>540173</v>
      </c>
      <c r="N254" s="1">
        <v>45106</v>
      </c>
      <c r="O254" t="s">
        <v>28</v>
      </c>
      <c r="P254">
        <v>12</v>
      </c>
      <c r="Q254">
        <v>106178.13</v>
      </c>
    </row>
    <row r="255" spans="1:17" x14ac:dyDescent="0.3">
      <c r="A255" t="s">
        <v>792</v>
      </c>
      <c r="B255" t="s">
        <v>295</v>
      </c>
      <c r="C255" s="2" t="str">
        <f>PROPER(TRIM(Table1[[#This Row],[Gender]]))</f>
        <v>Male</v>
      </c>
      <c r="D255" t="s">
        <v>16</v>
      </c>
      <c r="E255">
        <v>60</v>
      </c>
      <c r="F255" t="s">
        <v>58</v>
      </c>
      <c r="G255" s="1">
        <v>23758</v>
      </c>
      <c r="H255" t="s">
        <v>793</v>
      </c>
      <c r="I255" s="2" t="str">
        <f t="shared" si="3"/>
        <v>+91-7426335731</v>
      </c>
      <c r="J255">
        <f>91-7426335822</f>
        <v>-7426335731</v>
      </c>
      <c r="K255" t="s">
        <v>94</v>
      </c>
      <c r="L255" t="s">
        <v>20</v>
      </c>
      <c r="M255">
        <v>815912</v>
      </c>
      <c r="N255" s="1">
        <v>45093</v>
      </c>
      <c r="O255" t="s">
        <v>21</v>
      </c>
      <c r="P255">
        <v>6</v>
      </c>
      <c r="Q255">
        <v>25741.09</v>
      </c>
    </row>
    <row r="256" spans="1:17" x14ac:dyDescent="0.3">
      <c r="A256" t="s">
        <v>794</v>
      </c>
      <c r="B256" t="s">
        <v>795</v>
      </c>
      <c r="C256" s="2" t="str">
        <f>PROPER(TRIM(Table1[[#This Row],[Gender]]))</f>
        <v>Male</v>
      </c>
      <c r="D256" t="s">
        <v>16</v>
      </c>
      <c r="E256">
        <v>32</v>
      </c>
      <c r="F256" t="s">
        <v>31</v>
      </c>
      <c r="G256" s="1">
        <v>33978</v>
      </c>
      <c r="H256" t="s">
        <v>796</v>
      </c>
      <c r="I256" s="2" t="str">
        <f t="shared" si="3"/>
        <v>+91-9773015564</v>
      </c>
      <c r="J256">
        <f>91-9773015655</f>
        <v>-9773015564</v>
      </c>
      <c r="K256" t="s">
        <v>33</v>
      </c>
      <c r="L256" t="s">
        <v>34</v>
      </c>
      <c r="M256">
        <v>538920</v>
      </c>
      <c r="N256" s="1">
        <v>45138</v>
      </c>
      <c r="O256" t="s">
        <v>28</v>
      </c>
      <c r="P256">
        <v>5</v>
      </c>
      <c r="Q256">
        <v>399536.97</v>
      </c>
    </row>
    <row r="257" spans="1:17" x14ac:dyDescent="0.3">
      <c r="A257" t="s">
        <v>797</v>
      </c>
      <c r="B257" t="s">
        <v>798</v>
      </c>
      <c r="C257" s="2" t="str">
        <f>PROPER(TRIM(Table1[[#This Row],[Gender]]))</f>
        <v>Female</v>
      </c>
      <c r="D257" t="s">
        <v>43</v>
      </c>
      <c r="E257">
        <v>48</v>
      </c>
      <c r="F257" t="s">
        <v>17</v>
      </c>
      <c r="G257" s="1">
        <v>28138</v>
      </c>
      <c r="H257" t="s">
        <v>799</v>
      </c>
      <c r="I257" s="2" t="str">
        <f t="shared" si="3"/>
        <v>+91-7187755819</v>
      </c>
      <c r="J257">
        <f>91-7187755910</f>
        <v>-7187755819</v>
      </c>
      <c r="K257" t="s">
        <v>45</v>
      </c>
      <c r="L257" t="s">
        <v>46</v>
      </c>
      <c r="M257">
        <v>413405</v>
      </c>
      <c r="N257" s="1">
        <v>45354</v>
      </c>
      <c r="O257" t="s">
        <v>28</v>
      </c>
      <c r="P257">
        <v>7</v>
      </c>
      <c r="Q257">
        <v>104931</v>
      </c>
    </row>
    <row r="258" spans="1:17" x14ac:dyDescent="0.3">
      <c r="A258" t="s">
        <v>800</v>
      </c>
      <c r="B258" t="s">
        <v>801</v>
      </c>
      <c r="C258" s="2" t="str">
        <f>PROPER(TRIM(Table1[[#This Row],[Gender]]))</f>
        <v>Female</v>
      </c>
      <c r="D258" t="s">
        <v>43</v>
      </c>
      <c r="E258">
        <v>19</v>
      </c>
      <c r="F258" t="s">
        <v>49</v>
      </c>
      <c r="G258" s="1">
        <v>38723</v>
      </c>
      <c r="H258" t="s">
        <v>802</v>
      </c>
      <c r="I258" s="2" t="str">
        <f t="shared" ref="I258:I321" si="4">"+91"&amp;TEXT(J258,"0000000000")</f>
        <v>+91-9200012951</v>
      </c>
      <c r="J258">
        <f>91-9200013042</f>
        <v>-9200012951</v>
      </c>
      <c r="K258" t="s">
        <v>369</v>
      </c>
      <c r="L258" t="s">
        <v>191</v>
      </c>
      <c r="M258">
        <v>343186</v>
      </c>
      <c r="N258" s="1">
        <v>45228</v>
      </c>
      <c r="O258" t="s">
        <v>28</v>
      </c>
      <c r="P258">
        <v>6</v>
      </c>
      <c r="Q258">
        <v>216490.18</v>
      </c>
    </row>
    <row r="259" spans="1:17" x14ac:dyDescent="0.3">
      <c r="A259" t="s">
        <v>803</v>
      </c>
      <c r="B259" t="s">
        <v>804</v>
      </c>
      <c r="C259" s="2" t="str">
        <f>PROPER(TRIM(Table1[[#This Row],[Gender]]))</f>
        <v>Male</v>
      </c>
      <c r="D259" t="s">
        <v>16</v>
      </c>
      <c r="E259">
        <v>47</v>
      </c>
      <c r="F259" t="s">
        <v>17</v>
      </c>
      <c r="G259" s="1">
        <v>28503</v>
      </c>
      <c r="H259" t="s">
        <v>805</v>
      </c>
      <c r="I259" s="2" t="str">
        <f t="shared" si="4"/>
        <v>+91-8237733714</v>
      </c>
      <c r="J259">
        <f>91-8237733805</f>
        <v>-8237733714</v>
      </c>
      <c r="K259" t="s">
        <v>202</v>
      </c>
      <c r="L259" t="s">
        <v>191</v>
      </c>
      <c r="M259">
        <v>671582</v>
      </c>
      <c r="N259" s="1">
        <v>45154</v>
      </c>
      <c r="O259" t="s">
        <v>28</v>
      </c>
      <c r="P259">
        <v>5</v>
      </c>
      <c r="Q259">
        <v>58287.48</v>
      </c>
    </row>
    <row r="260" spans="1:17" x14ac:dyDescent="0.3">
      <c r="A260" t="s">
        <v>806</v>
      </c>
      <c r="B260" t="s">
        <v>807</v>
      </c>
      <c r="C260" s="2" t="str">
        <f>PROPER(TRIM(Table1[[#This Row],[Gender]]))</f>
        <v>Male</v>
      </c>
      <c r="D260" t="s">
        <v>16</v>
      </c>
      <c r="E260">
        <v>27</v>
      </c>
      <c r="F260" t="s">
        <v>31</v>
      </c>
      <c r="G260" s="1">
        <v>35803</v>
      </c>
      <c r="H260" t="s">
        <v>808</v>
      </c>
      <c r="I260" s="2" t="str">
        <f t="shared" si="4"/>
        <v>+91-8831427886</v>
      </c>
      <c r="J260">
        <f>91-8831427977</f>
        <v>-8831427886</v>
      </c>
      <c r="K260" t="s">
        <v>94</v>
      </c>
      <c r="L260" t="s">
        <v>20</v>
      </c>
      <c r="M260">
        <v>139588</v>
      </c>
      <c r="N260" s="1">
        <v>45428</v>
      </c>
      <c r="O260" t="s">
        <v>21</v>
      </c>
      <c r="P260">
        <v>6</v>
      </c>
      <c r="Q260">
        <v>44380.87</v>
      </c>
    </row>
    <row r="261" spans="1:17" x14ac:dyDescent="0.3">
      <c r="A261" t="s">
        <v>809</v>
      </c>
      <c r="B261" t="s">
        <v>740</v>
      </c>
      <c r="C261" s="2" t="str">
        <f>PROPER(TRIM(Table1[[#This Row],[Gender]]))</f>
        <v>Male</v>
      </c>
      <c r="D261" t="s">
        <v>16</v>
      </c>
      <c r="E261">
        <v>64</v>
      </c>
      <c r="F261" t="s">
        <v>58</v>
      </c>
      <c r="G261" s="1">
        <v>22298</v>
      </c>
      <c r="H261" t="s">
        <v>810</v>
      </c>
      <c r="I261" s="2" t="str">
        <f t="shared" si="4"/>
        <v>+91-7512106763</v>
      </c>
      <c r="J261">
        <f>91-7512106854</f>
        <v>-7512106763</v>
      </c>
      <c r="K261" t="s">
        <v>109</v>
      </c>
      <c r="L261" t="s">
        <v>46</v>
      </c>
      <c r="M261">
        <v>415061</v>
      </c>
      <c r="N261" s="1">
        <v>45429</v>
      </c>
      <c r="O261" t="s">
        <v>28</v>
      </c>
      <c r="P261">
        <v>4</v>
      </c>
      <c r="Q261">
        <v>52390.25</v>
      </c>
    </row>
    <row r="262" spans="1:17" x14ac:dyDescent="0.3">
      <c r="A262" t="s">
        <v>811</v>
      </c>
      <c r="B262" t="s">
        <v>336</v>
      </c>
      <c r="C262" s="2" t="str">
        <f>PROPER(TRIM(Table1[[#This Row],[Gender]]))</f>
        <v>Male</v>
      </c>
      <c r="D262" t="s">
        <v>16</v>
      </c>
      <c r="E262">
        <v>33</v>
      </c>
      <c r="F262" t="s">
        <v>31</v>
      </c>
      <c r="G262" s="1">
        <v>33613</v>
      </c>
      <c r="H262" t="s">
        <v>812</v>
      </c>
      <c r="I262" s="2" t="str">
        <f t="shared" si="4"/>
        <v>+91-8905315755</v>
      </c>
      <c r="J262">
        <f>91-8905315846</f>
        <v>-8905315755</v>
      </c>
      <c r="K262" t="s">
        <v>101</v>
      </c>
      <c r="L262" t="s">
        <v>102</v>
      </c>
      <c r="M262">
        <v>869588</v>
      </c>
      <c r="N262" s="1">
        <v>45127</v>
      </c>
      <c r="O262" t="s">
        <v>28</v>
      </c>
      <c r="P262">
        <v>5</v>
      </c>
      <c r="Q262">
        <v>237749.83</v>
      </c>
    </row>
    <row r="263" spans="1:17" x14ac:dyDescent="0.3">
      <c r="A263" t="s">
        <v>813</v>
      </c>
      <c r="B263" t="s">
        <v>814</v>
      </c>
      <c r="C263" s="2" t="str">
        <f>PROPER(TRIM(Table1[[#This Row],[Gender]]))</f>
        <v>Male</v>
      </c>
      <c r="D263" t="s">
        <v>16</v>
      </c>
      <c r="E263">
        <v>24</v>
      </c>
      <c r="F263" t="s">
        <v>49</v>
      </c>
      <c r="G263" s="1">
        <v>36898</v>
      </c>
      <c r="H263" t="s">
        <v>815</v>
      </c>
      <c r="I263" s="2" t="str">
        <f t="shared" si="4"/>
        <v>+91-8496561731</v>
      </c>
      <c r="J263">
        <f>91-8496561822</f>
        <v>-8496561731</v>
      </c>
      <c r="K263" t="s">
        <v>51</v>
      </c>
      <c r="L263" t="s">
        <v>52</v>
      </c>
      <c r="M263">
        <v>375229</v>
      </c>
      <c r="N263" s="1">
        <v>45135</v>
      </c>
      <c r="O263" t="s">
        <v>35</v>
      </c>
      <c r="P263">
        <v>1</v>
      </c>
      <c r="Q263">
        <v>705.38</v>
      </c>
    </row>
    <row r="264" spans="1:17" x14ac:dyDescent="0.3">
      <c r="A264" t="s">
        <v>816</v>
      </c>
      <c r="B264" t="s">
        <v>817</v>
      </c>
      <c r="C264" s="2" t="str">
        <f>PROPER(TRIM(Table1[[#This Row],[Gender]]))</f>
        <v>Male</v>
      </c>
      <c r="D264" t="s">
        <v>16</v>
      </c>
      <c r="E264">
        <v>27</v>
      </c>
      <c r="F264" t="s">
        <v>31</v>
      </c>
      <c r="G264" s="1">
        <v>35803</v>
      </c>
      <c r="H264" t="s">
        <v>818</v>
      </c>
      <c r="I264" s="2" t="str">
        <f t="shared" si="4"/>
        <v>+91-9457738045</v>
      </c>
      <c r="J264">
        <f>91-9457738136</f>
        <v>-9457738045</v>
      </c>
      <c r="K264" t="s">
        <v>45</v>
      </c>
      <c r="L264" t="s">
        <v>46</v>
      </c>
      <c r="M264">
        <v>291957</v>
      </c>
      <c r="N264" s="1">
        <v>45307</v>
      </c>
      <c r="O264" t="s">
        <v>28</v>
      </c>
      <c r="P264">
        <v>5</v>
      </c>
      <c r="Q264">
        <v>118059.29</v>
      </c>
    </row>
    <row r="265" spans="1:17" x14ac:dyDescent="0.3">
      <c r="A265" t="s">
        <v>819</v>
      </c>
      <c r="B265" t="s">
        <v>820</v>
      </c>
      <c r="C265" s="2" t="str">
        <f>PROPER(TRIM(Table1[[#This Row],[Gender]]))</f>
        <v>Male</v>
      </c>
      <c r="D265" t="s">
        <v>16</v>
      </c>
      <c r="E265">
        <v>45</v>
      </c>
      <c r="F265" t="s">
        <v>38</v>
      </c>
      <c r="G265" s="1">
        <v>29233</v>
      </c>
      <c r="H265" t="s">
        <v>821</v>
      </c>
      <c r="I265" s="2" t="str">
        <f t="shared" si="4"/>
        <v>+91-7764008249</v>
      </c>
      <c r="J265">
        <f>91-7764008340</f>
        <v>-7764008249</v>
      </c>
      <c r="K265" t="s">
        <v>161</v>
      </c>
      <c r="L265" t="s">
        <v>102</v>
      </c>
      <c r="M265">
        <v>749036</v>
      </c>
      <c r="N265" s="1">
        <v>45307</v>
      </c>
      <c r="O265" t="s">
        <v>28</v>
      </c>
      <c r="P265">
        <v>8</v>
      </c>
      <c r="Q265">
        <v>223346.9</v>
      </c>
    </row>
    <row r="266" spans="1:17" x14ac:dyDescent="0.3">
      <c r="A266" t="s">
        <v>822</v>
      </c>
      <c r="B266" t="s">
        <v>823</v>
      </c>
      <c r="C266" s="2" t="str">
        <f>PROPER(TRIM(Table1[[#This Row],[Gender]]))</f>
        <v>Female</v>
      </c>
      <c r="D266" t="s">
        <v>43</v>
      </c>
      <c r="E266">
        <v>28</v>
      </c>
      <c r="F266" t="s">
        <v>31</v>
      </c>
      <c r="G266" s="1">
        <v>35438</v>
      </c>
      <c r="H266" t="s">
        <v>824</v>
      </c>
      <c r="I266" s="2" t="str">
        <f t="shared" si="4"/>
        <v>+91-8795082115</v>
      </c>
      <c r="J266">
        <f>91-8795082206</f>
        <v>-8795082115</v>
      </c>
      <c r="K266" t="s">
        <v>109</v>
      </c>
      <c r="L266" t="s">
        <v>46</v>
      </c>
      <c r="M266">
        <v>399319</v>
      </c>
      <c r="N266" s="1">
        <v>45210</v>
      </c>
      <c r="O266" t="s">
        <v>21</v>
      </c>
      <c r="P266">
        <v>1</v>
      </c>
      <c r="Q266">
        <v>26885.26</v>
      </c>
    </row>
    <row r="267" spans="1:17" x14ac:dyDescent="0.3">
      <c r="A267" t="s">
        <v>825</v>
      </c>
      <c r="B267" t="s">
        <v>826</v>
      </c>
      <c r="C267" s="2" t="str">
        <f>PROPER(TRIM(Table1[[#This Row],[Gender]]))</f>
        <v>Female</v>
      </c>
      <c r="D267" t="s">
        <v>43</v>
      </c>
      <c r="E267">
        <v>26</v>
      </c>
      <c r="F267" t="s">
        <v>31</v>
      </c>
      <c r="G267" s="1">
        <v>36168</v>
      </c>
      <c r="H267" t="s">
        <v>827</v>
      </c>
      <c r="I267" s="2" t="str">
        <f t="shared" si="4"/>
        <v>+91-8349782087</v>
      </c>
      <c r="J267">
        <f>91-8349782178</f>
        <v>-8349782087</v>
      </c>
      <c r="K267" t="s">
        <v>165</v>
      </c>
      <c r="L267" t="s">
        <v>52</v>
      </c>
      <c r="M267">
        <v>545896</v>
      </c>
      <c r="N267" s="1">
        <v>45375</v>
      </c>
      <c r="O267" t="s">
        <v>28</v>
      </c>
      <c r="P267">
        <v>4</v>
      </c>
      <c r="Q267">
        <v>200778.36</v>
      </c>
    </row>
    <row r="268" spans="1:17" x14ac:dyDescent="0.3">
      <c r="A268" t="s">
        <v>828</v>
      </c>
      <c r="B268" t="s">
        <v>765</v>
      </c>
      <c r="C268" s="2" t="str">
        <f>PROPER(TRIM(Table1[[#This Row],[Gender]]))</f>
        <v>Male</v>
      </c>
      <c r="D268" t="s">
        <v>16</v>
      </c>
      <c r="E268">
        <v>23</v>
      </c>
      <c r="F268" t="s">
        <v>49</v>
      </c>
      <c r="G268" s="1">
        <v>37263</v>
      </c>
      <c r="H268" t="s">
        <v>829</v>
      </c>
      <c r="I268" s="2" t="str">
        <f t="shared" si="4"/>
        <v>+91-9445153745</v>
      </c>
      <c r="J268">
        <f>91-9445153836</f>
        <v>-9445153745</v>
      </c>
      <c r="K268" t="s">
        <v>239</v>
      </c>
      <c r="L268" t="s">
        <v>191</v>
      </c>
      <c r="M268">
        <v>385124</v>
      </c>
      <c r="N268" s="1">
        <v>45364</v>
      </c>
      <c r="O268" t="s">
        <v>28</v>
      </c>
      <c r="P268">
        <v>8</v>
      </c>
      <c r="Q268">
        <v>159108.85</v>
      </c>
    </row>
    <row r="269" spans="1:17" x14ac:dyDescent="0.3">
      <c r="A269" t="s">
        <v>830</v>
      </c>
      <c r="B269" t="s">
        <v>831</v>
      </c>
      <c r="C269" s="2" t="str">
        <f>PROPER(TRIM(Table1[[#This Row],[Gender]]))</f>
        <v>Male</v>
      </c>
      <c r="D269" t="s">
        <v>16</v>
      </c>
      <c r="E269">
        <v>26</v>
      </c>
      <c r="F269" t="s">
        <v>31</v>
      </c>
      <c r="G269" s="1">
        <v>36168</v>
      </c>
      <c r="H269" t="s">
        <v>832</v>
      </c>
      <c r="I269" s="2" t="str">
        <f t="shared" si="4"/>
        <v>+91-9523594758</v>
      </c>
      <c r="J269">
        <f>91-9523594849</f>
        <v>-9523594758</v>
      </c>
      <c r="K269" t="s">
        <v>273</v>
      </c>
      <c r="L269" t="s">
        <v>46</v>
      </c>
      <c r="M269">
        <v>707040</v>
      </c>
      <c r="N269" s="1">
        <v>45339</v>
      </c>
      <c r="O269" t="s">
        <v>28</v>
      </c>
      <c r="P269">
        <v>4</v>
      </c>
      <c r="Q269">
        <v>77219.490000000005</v>
      </c>
    </row>
    <row r="270" spans="1:17" x14ac:dyDescent="0.3">
      <c r="A270" t="s">
        <v>833</v>
      </c>
      <c r="B270" t="s">
        <v>721</v>
      </c>
      <c r="C270" s="2" t="str">
        <f>PROPER(TRIM(Table1[[#This Row],[Gender]]))</f>
        <v>Male</v>
      </c>
      <c r="D270" t="s">
        <v>16</v>
      </c>
      <c r="E270">
        <v>47</v>
      </c>
      <c r="F270" t="s">
        <v>17</v>
      </c>
      <c r="G270" s="1">
        <v>28503</v>
      </c>
      <c r="H270" t="s">
        <v>834</v>
      </c>
      <c r="I270" s="2" t="str">
        <f t="shared" si="4"/>
        <v>+91-7931705406</v>
      </c>
      <c r="J270">
        <f>91-7931705497</f>
        <v>-7931705406</v>
      </c>
      <c r="K270" t="s">
        <v>101</v>
      </c>
      <c r="L270" t="s">
        <v>102</v>
      </c>
      <c r="M270">
        <v>221898</v>
      </c>
      <c r="N270" s="1">
        <v>45205</v>
      </c>
      <c r="O270" t="s">
        <v>35</v>
      </c>
      <c r="P270">
        <v>5</v>
      </c>
      <c r="Q270">
        <v>6980.75</v>
      </c>
    </row>
    <row r="271" spans="1:17" x14ac:dyDescent="0.3">
      <c r="A271" t="s">
        <v>835</v>
      </c>
      <c r="B271" t="s">
        <v>836</v>
      </c>
      <c r="C271" s="2" t="str">
        <f>PROPER(TRIM(Table1[[#This Row],[Gender]]))</f>
        <v>Female</v>
      </c>
      <c r="D271" t="s">
        <v>43</v>
      </c>
      <c r="E271">
        <v>26</v>
      </c>
      <c r="F271" t="s">
        <v>31</v>
      </c>
      <c r="G271" s="1">
        <v>36168</v>
      </c>
      <c r="H271" t="s">
        <v>837</v>
      </c>
      <c r="I271" s="2" t="str">
        <f t="shared" si="4"/>
        <v>+91-9206245609</v>
      </c>
      <c r="J271">
        <f>91-9206245700</f>
        <v>-9206245609</v>
      </c>
      <c r="K271" t="s">
        <v>33</v>
      </c>
      <c r="L271" t="s">
        <v>34</v>
      </c>
      <c r="M271">
        <v>255200</v>
      </c>
      <c r="N271" s="1">
        <v>45315</v>
      </c>
      <c r="O271" t="s">
        <v>28</v>
      </c>
      <c r="P271">
        <v>4</v>
      </c>
      <c r="Q271">
        <v>176823.81</v>
      </c>
    </row>
    <row r="272" spans="1:17" x14ac:dyDescent="0.3">
      <c r="A272" t="s">
        <v>838</v>
      </c>
      <c r="B272" t="s">
        <v>839</v>
      </c>
      <c r="C272" s="2" t="str">
        <f>PROPER(TRIM(Table1[[#This Row],[Gender]]))</f>
        <v>Male</v>
      </c>
      <c r="D272" t="s">
        <v>16</v>
      </c>
      <c r="E272">
        <v>38</v>
      </c>
      <c r="F272" t="s">
        <v>38</v>
      </c>
      <c r="G272" s="1">
        <v>31788</v>
      </c>
      <c r="H272" t="s">
        <v>840</v>
      </c>
      <c r="I272" s="2" t="str">
        <f t="shared" si="4"/>
        <v>+91-9712710461</v>
      </c>
      <c r="J272">
        <f>91-9712710552</f>
        <v>-9712710461</v>
      </c>
      <c r="K272" t="s">
        <v>45</v>
      </c>
      <c r="L272" t="s">
        <v>46</v>
      </c>
      <c r="M272">
        <v>135685</v>
      </c>
      <c r="N272" s="1">
        <v>45157</v>
      </c>
      <c r="O272" t="s">
        <v>28</v>
      </c>
      <c r="P272">
        <v>7</v>
      </c>
      <c r="Q272">
        <v>219872.82</v>
      </c>
    </row>
    <row r="273" spans="1:17" x14ac:dyDescent="0.3">
      <c r="A273" t="s">
        <v>841</v>
      </c>
      <c r="B273" t="s">
        <v>842</v>
      </c>
      <c r="C273" s="2" t="str">
        <f>PROPER(TRIM(Table1[[#This Row],[Gender]]))</f>
        <v>Female</v>
      </c>
      <c r="D273" t="s">
        <v>43</v>
      </c>
      <c r="E273">
        <v>42</v>
      </c>
      <c r="F273" t="s">
        <v>38</v>
      </c>
      <c r="G273" s="1">
        <v>30328</v>
      </c>
      <c r="H273" t="s">
        <v>843</v>
      </c>
      <c r="I273" s="2" t="str">
        <f t="shared" si="4"/>
        <v>+91-9691354773</v>
      </c>
      <c r="J273">
        <f>91-9691354864</f>
        <v>-9691354773</v>
      </c>
      <c r="K273" t="s">
        <v>101</v>
      </c>
      <c r="L273" t="s">
        <v>102</v>
      </c>
      <c r="M273">
        <v>465616</v>
      </c>
      <c r="N273" s="1">
        <v>45264</v>
      </c>
      <c r="O273" t="s">
        <v>28</v>
      </c>
      <c r="P273">
        <v>5</v>
      </c>
      <c r="Q273">
        <v>310252.71999999997</v>
      </c>
    </row>
    <row r="274" spans="1:17" x14ac:dyDescent="0.3">
      <c r="A274" t="s">
        <v>844</v>
      </c>
      <c r="B274" t="s">
        <v>845</v>
      </c>
      <c r="C274" s="2" t="str">
        <f>PROPER(TRIM(Table1[[#This Row],[Gender]]))</f>
        <v>Male</v>
      </c>
      <c r="D274" t="s">
        <v>16</v>
      </c>
      <c r="E274">
        <v>30</v>
      </c>
      <c r="F274" t="s">
        <v>31</v>
      </c>
      <c r="G274" s="1">
        <v>34708</v>
      </c>
      <c r="H274" t="s">
        <v>846</v>
      </c>
      <c r="I274" s="2" t="str">
        <f t="shared" si="4"/>
        <v>+91-9879994269</v>
      </c>
      <c r="J274">
        <f>91-9879994360</f>
        <v>-9879994269</v>
      </c>
      <c r="K274" t="s">
        <v>239</v>
      </c>
      <c r="L274" t="s">
        <v>191</v>
      </c>
      <c r="M274">
        <v>537092</v>
      </c>
      <c r="N274" s="1">
        <v>45151</v>
      </c>
      <c r="O274" t="s">
        <v>28</v>
      </c>
      <c r="P274">
        <v>8</v>
      </c>
      <c r="Q274">
        <v>321716.06</v>
      </c>
    </row>
    <row r="275" spans="1:17" x14ac:dyDescent="0.3">
      <c r="A275" t="s">
        <v>847</v>
      </c>
      <c r="B275" t="s">
        <v>848</v>
      </c>
      <c r="C275" s="2" t="str">
        <f>PROPER(TRIM(Table1[[#This Row],[Gender]]))</f>
        <v>Female</v>
      </c>
      <c r="D275" t="s">
        <v>43</v>
      </c>
      <c r="E275">
        <v>29</v>
      </c>
      <c r="F275" t="s">
        <v>31</v>
      </c>
      <c r="G275" s="1">
        <v>35073</v>
      </c>
      <c r="H275" t="s">
        <v>849</v>
      </c>
      <c r="I275" s="2" t="str">
        <f t="shared" si="4"/>
        <v>+91-8924006113</v>
      </c>
      <c r="J275">
        <f>91-8924006204</f>
        <v>-8924006113</v>
      </c>
      <c r="K275" t="s">
        <v>195</v>
      </c>
      <c r="L275" t="s">
        <v>102</v>
      </c>
      <c r="M275">
        <v>764622</v>
      </c>
      <c r="N275" s="1">
        <v>45237</v>
      </c>
      <c r="O275" t="s">
        <v>28</v>
      </c>
      <c r="P275">
        <v>3</v>
      </c>
      <c r="Q275">
        <v>208976.44</v>
      </c>
    </row>
    <row r="276" spans="1:17" x14ac:dyDescent="0.3">
      <c r="A276" t="s">
        <v>850</v>
      </c>
      <c r="B276" t="s">
        <v>278</v>
      </c>
      <c r="C276" s="2" t="str">
        <f>PROPER(TRIM(Table1[[#This Row],[Gender]]))</f>
        <v>Male</v>
      </c>
      <c r="D276" t="s">
        <v>16</v>
      </c>
      <c r="E276">
        <v>45</v>
      </c>
      <c r="F276" t="s">
        <v>38</v>
      </c>
      <c r="G276" s="1">
        <v>29233</v>
      </c>
      <c r="H276" t="s">
        <v>851</v>
      </c>
      <c r="I276" s="2" t="str">
        <f t="shared" si="4"/>
        <v>+91-9750566836</v>
      </c>
      <c r="J276">
        <f>91-9750566927</f>
        <v>-9750566836</v>
      </c>
      <c r="K276" t="s">
        <v>190</v>
      </c>
      <c r="L276" t="s">
        <v>191</v>
      </c>
      <c r="M276">
        <v>595988</v>
      </c>
      <c r="N276" s="1">
        <v>45194</v>
      </c>
      <c r="O276" t="s">
        <v>28</v>
      </c>
      <c r="P276">
        <v>6</v>
      </c>
      <c r="Q276">
        <v>93591.93</v>
      </c>
    </row>
    <row r="277" spans="1:17" x14ac:dyDescent="0.3">
      <c r="A277" t="s">
        <v>852</v>
      </c>
      <c r="B277" t="s">
        <v>853</v>
      </c>
      <c r="C277" s="2" t="str">
        <f>PROPER(TRIM(Table1[[#This Row],[Gender]]))</f>
        <v>Male</v>
      </c>
      <c r="D277" t="s">
        <v>16</v>
      </c>
      <c r="E277">
        <v>27</v>
      </c>
      <c r="F277" t="s">
        <v>31</v>
      </c>
      <c r="G277" s="1">
        <v>35803</v>
      </c>
      <c r="H277" t="s">
        <v>854</v>
      </c>
      <c r="I277" s="2" t="str">
        <f t="shared" si="4"/>
        <v>+91-9197418153</v>
      </c>
      <c r="J277">
        <f>91-9197418244</f>
        <v>-9197418153</v>
      </c>
      <c r="K277" t="s">
        <v>109</v>
      </c>
      <c r="L277" t="s">
        <v>46</v>
      </c>
      <c r="M277">
        <v>163464</v>
      </c>
      <c r="N277" s="1">
        <v>45441</v>
      </c>
      <c r="O277" t="s">
        <v>21</v>
      </c>
      <c r="P277">
        <v>3</v>
      </c>
      <c r="Q277">
        <v>36092.21</v>
      </c>
    </row>
    <row r="278" spans="1:17" x14ac:dyDescent="0.3">
      <c r="A278" t="s">
        <v>855</v>
      </c>
      <c r="B278" t="s">
        <v>856</v>
      </c>
      <c r="C278" s="2" t="str">
        <f>PROPER(TRIM(Table1[[#This Row],[Gender]]))</f>
        <v>Female</v>
      </c>
      <c r="D278" t="s">
        <v>43</v>
      </c>
      <c r="E278">
        <v>51</v>
      </c>
      <c r="F278" t="s">
        <v>17</v>
      </c>
      <c r="G278" s="1">
        <v>27043</v>
      </c>
      <c r="H278" t="s">
        <v>857</v>
      </c>
      <c r="I278" s="2" t="str">
        <f t="shared" si="4"/>
        <v>+91-9296854817</v>
      </c>
      <c r="J278">
        <f>91-9296854908</f>
        <v>-9296854817</v>
      </c>
      <c r="K278" t="s">
        <v>415</v>
      </c>
      <c r="L278" t="s">
        <v>90</v>
      </c>
      <c r="M278">
        <v>401999</v>
      </c>
      <c r="N278" s="1">
        <v>45361</v>
      </c>
      <c r="O278" t="s">
        <v>21</v>
      </c>
      <c r="P278">
        <v>6</v>
      </c>
      <c r="Q278">
        <v>24067.75</v>
      </c>
    </row>
    <row r="279" spans="1:17" x14ac:dyDescent="0.3">
      <c r="A279" t="s">
        <v>858</v>
      </c>
      <c r="B279" t="s">
        <v>859</v>
      </c>
      <c r="C279" s="2" t="str">
        <f>PROPER(TRIM(Table1[[#This Row],[Gender]]))</f>
        <v>Male</v>
      </c>
      <c r="D279" t="s">
        <v>16</v>
      </c>
      <c r="E279">
        <v>32</v>
      </c>
      <c r="F279" t="s">
        <v>31</v>
      </c>
      <c r="G279" s="1">
        <v>33978</v>
      </c>
      <c r="H279" t="s">
        <v>860</v>
      </c>
      <c r="I279" s="2" t="str">
        <f t="shared" si="4"/>
        <v>+91-9242376888</v>
      </c>
      <c r="J279">
        <f>91-9242376979</f>
        <v>-9242376888</v>
      </c>
      <c r="K279" t="s">
        <v>51</v>
      </c>
      <c r="L279" t="s">
        <v>52</v>
      </c>
      <c r="M279">
        <v>351214</v>
      </c>
      <c r="N279" s="1">
        <v>45257</v>
      </c>
      <c r="O279" t="s">
        <v>21</v>
      </c>
      <c r="P279">
        <v>3</v>
      </c>
      <c r="Q279">
        <v>34643.089999999997</v>
      </c>
    </row>
    <row r="280" spans="1:17" x14ac:dyDescent="0.3">
      <c r="A280" t="s">
        <v>861</v>
      </c>
      <c r="B280" t="s">
        <v>862</v>
      </c>
      <c r="C280" s="2" t="str">
        <f>PROPER(TRIM(Table1[[#This Row],[Gender]]))</f>
        <v>Male</v>
      </c>
      <c r="D280" t="s">
        <v>16</v>
      </c>
      <c r="E280">
        <v>23</v>
      </c>
      <c r="F280" t="s">
        <v>49</v>
      </c>
      <c r="G280" s="1">
        <v>37263</v>
      </c>
      <c r="H280" t="s">
        <v>863</v>
      </c>
      <c r="I280" s="2" t="str">
        <f t="shared" si="4"/>
        <v>+91-8375520129</v>
      </c>
      <c r="J280">
        <f>91-8375520220</f>
        <v>-8375520129</v>
      </c>
      <c r="K280" t="s">
        <v>174</v>
      </c>
      <c r="L280" t="s">
        <v>90</v>
      </c>
      <c r="M280">
        <v>555052</v>
      </c>
      <c r="N280" s="1">
        <v>45306</v>
      </c>
      <c r="O280" t="s">
        <v>28</v>
      </c>
      <c r="P280">
        <v>2</v>
      </c>
      <c r="Q280">
        <v>175205.35</v>
      </c>
    </row>
    <row r="281" spans="1:17" x14ac:dyDescent="0.3">
      <c r="A281" t="s">
        <v>864</v>
      </c>
      <c r="B281" t="s">
        <v>865</v>
      </c>
      <c r="C281" s="2" t="str">
        <f>PROPER(TRIM(Table1[[#This Row],[Gender]]))</f>
        <v>Male</v>
      </c>
      <c r="D281" t="s">
        <v>16</v>
      </c>
      <c r="E281">
        <v>18</v>
      </c>
      <c r="F281" t="s">
        <v>49</v>
      </c>
      <c r="G281" s="1">
        <v>39088</v>
      </c>
      <c r="H281" t="s">
        <v>866</v>
      </c>
      <c r="I281" s="2" t="str">
        <f t="shared" si="4"/>
        <v>+91-9405867039</v>
      </c>
      <c r="J281">
        <f>91-9405867130</f>
        <v>-9405867039</v>
      </c>
      <c r="K281" t="s">
        <v>45</v>
      </c>
      <c r="L281" t="s">
        <v>46</v>
      </c>
      <c r="M281">
        <v>547896</v>
      </c>
      <c r="N281" s="1">
        <v>45171</v>
      </c>
      <c r="O281" t="s">
        <v>28</v>
      </c>
      <c r="P281">
        <v>7</v>
      </c>
      <c r="Q281">
        <v>99260.08</v>
      </c>
    </row>
    <row r="282" spans="1:17" x14ac:dyDescent="0.3">
      <c r="A282" t="s">
        <v>867</v>
      </c>
      <c r="B282" t="s">
        <v>868</v>
      </c>
      <c r="C282" s="2" t="str">
        <f>PROPER(TRIM(Table1[[#This Row],[Gender]]))</f>
        <v>Female</v>
      </c>
      <c r="D282" t="s">
        <v>43</v>
      </c>
      <c r="E282">
        <v>34</v>
      </c>
      <c r="F282" t="s">
        <v>31</v>
      </c>
      <c r="G282" s="1">
        <v>33248</v>
      </c>
      <c r="H282" t="s">
        <v>869</v>
      </c>
      <c r="I282" s="2" t="str">
        <f t="shared" si="4"/>
        <v>+91-9335184123</v>
      </c>
      <c r="J282">
        <f>91-9335184214</f>
        <v>-9335184123</v>
      </c>
      <c r="K282" t="s">
        <v>174</v>
      </c>
      <c r="L282" t="s">
        <v>90</v>
      </c>
      <c r="M282">
        <v>373836</v>
      </c>
      <c r="N282" s="1">
        <v>45397</v>
      </c>
      <c r="O282" t="s">
        <v>28</v>
      </c>
      <c r="P282">
        <v>9</v>
      </c>
      <c r="Q282">
        <v>199540.04</v>
      </c>
    </row>
    <row r="283" spans="1:17" x14ac:dyDescent="0.3">
      <c r="A283" t="s">
        <v>870</v>
      </c>
      <c r="B283" t="s">
        <v>871</v>
      </c>
      <c r="C283" s="2" t="str">
        <f>PROPER(TRIM(Table1[[#This Row],[Gender]]))</f>
        <v>Female</v>
      </c>
      <c r="D283" t="s">
        <v>43</v>
      </c>
      <c r="E283">
        <v>43</v>
      </c>
      <c r="F283" t="s">
        <v>38</v>
      </c>
      <c r="G283" s="1">
        <v>29963</v>
      </c>
      <c r="H283" t="s">
        <v>872</v>
      </c>
      <c r="I283" s="2" t="str">
        <f t="shared" si="4"/>
        <v>+91-9806334701</v>
      </c>
      <c r="J283">
        <f>91-9806334792</f>
        <v>-9806334701</v>
      </c>
      <c r="K283" t="s">
        <v>178</v>
      </c>
      <c r="L283" t="s">
        <v>27</v>
      </c>
      <c r="M283">
        <v>789861</v>
      </c>
      <c r="N283" s="1">
        <v>45085</v>
      </c>
      <c r="O283" t="s">
        <v>28</v>
      </c>
      <c r="P283">
        <v>4</v>
      </c>
      <c r="Q283">
        <v>91789.24</v>
      </c>
    </row>
    <row r="284" spans="1:17" x14ac:dyDescent="0.3">
      <c r="A284" t="s">
        <v>873</v>
      </c>
      <c r="B284" t="s">
        <v>349</v>
      </c>
      <c r="C284" s="2" t="str">
        <f>PROPER(TRIM(Table1[[#This Row],[Gender]]))</f>
        <v>Female</v>
      </c>
      <c r="D284" t="s">
        <v>43</v>
      </c>
      <c r="E284">
        <v>26</v>
      </c>
      <c r="F284" t="s">
        <v>31</v>
      </c>
      <c r="G284" s="1">
        <v>36168</v>
      </c>
      <c r="H284" t="s">
        <v>874</v>
      </c>
      <c r="I284" s="2" t="str">
        <f t="shared" si="4"/>
        <v>+91-9981591166</v>
      </c>
      <c r="J284">
        <f>91-9981591257</f>
        <v>-9981591166</v>
      </c>
      <c r="K284" t="s">
        <v>273</v>
      </c>
      <c r="L284" t="s">
        <v>46</v>
      </c>
      <c r="M284">
        <v>230025</v>
      </c>
      <c r="N284" s="1">
        <v>45184</v>
      </c>
      <c r="O284" t="s">
        <v>28</v>
      </c>
      <c r="P284">
        <v>9</v>
      </c>
      <c r="Q284">
        <v>304235.58</v>
      </c>
    </row>
    <row r="285" spans="1:17" x14ac:dyDescent="0.3">
      <c r="A285" t="s">
        <v>875</v>
      </c>
      <c r="B285" t="s">
        <v>152</v>
      </c>
      <c r="C285" s="2" t="str">
        <f>PROPER(TRIM(Table1[[#This Row],[Gender]]))</f>
        <v>Male</v>
      </c>
      <c r="D285" t="s">
        <v>16</v>
      </c>
      <c r="E285">
        <v>25</v>
      </c>
      <c r="F285" t="s">
        <v>49</v>
      </c>
      <c r="G285" s="1">
        <v>36533</v>
      </c>
      <c r="H285" t="s">
        <v>876</v>
      </c>
      <c r="I285" s="2" t="str">
        <f t="shared" si="4"/>
        <v>+91-7589970165</v>
      </c>
      <c r="J285">
        <f>91-7589970256</f>
        <v>-7589970165</v>
      </c>
      <c r="K285" t="s">
        <v>125</v>
      </c>
      <c r="L285" t="s">
        <v>52</v>
      </c>
      <c r="M285">
        <v>420668</v>
      </c>
      <c r="N285" s="1">
        <v>45095</v>
      </c>
      <c r="O285" t="s">
        <v>28</v>
      </c>
      <c r="P285">
        <v>4</v>
      </c>
      <c r="Q285">
        <v>362251.74</v>
      </c>
    </row>
    <row r="286" spans="1:17" x14ac:dyDescent="0.3">
      <c r="A286" t="s">
        <v>877</v>
      </c>
      <c r="B286" t="s">
        <v>298</v>
      </c>
      <c r="C286" s="2" t="str">
        <f>PROPER(TRIM(Table1[[#This Row],[Gender]]))</f>
        <v>Male</v>
      </c>
      <c r="D286" t="s">
        <v>16</v>
      </c>
      <c r="E286">
        <v>65</v>
      </c>
      <c r="F286" t="s">
        <v>58</v>
      </c>
      <c r="G286" s="1">
        <v>21933</v>
      </c>
      <c r="H286" t="s">
        <v>878</v>
      </c>
      <c r="I286" s="2" t="str">
        <f t="shared" si="4"/>
        <v>+91-9348136836</v>
      </c>
      <c r="J286">
        <f>91-9348136927</f>
        <v>-9348136836</v>
      </c>
      <c r="K286" t="s">
        <v>45</v>
      </c>
      <c r="L286" t="s">
        <v>46</v>
      </c>
      <c r="M286">
        <v>991582</v>
      </c>
      <c r="N286" s="1">
        <v>45342</v>
      </c>
      <c r="O286" t="s">
        <v>28</v>
      </c>
      <c r="P286">
        <v>5</v>
      </c>
      <c r="Q286">
        <v>57665</v>
      </c>
    </row>
    <row r="287" spans="1:17" x14ac:dyDescent="0.3">
      <c r="A287" t="s">
        <v>879</v>
      </c>
      <c r="B287" t="s">
        <v>718</v>
      </c>
      <c r="C287" s="2" t="str">
        <f>PROPER(TRIM(Table1[[#This Row],[Gender]]))</f>
        <v>Female</v>
      </c>
      <c r="D287" t="s">
        <v>43</v>
      </c>
      <c r="E287">
        <v>25</v>
      </c>
      <c r="F287" t="s">
        <v>49</v>
      </c>
      <c r="G287" s="1">
        <v>36533</v>
      </c>
      <c r="H287" t="s">
        <v>880</v>
      </c>
      <c r="I287" s="2" t="str">
        <f t="shared" si="4"/>
        <v>+91-7510149406</v>
      </c>
      <c r="J287">
        <f>91-7510149497</f>
        <v>-7510149406</v>
      </c>
      <c r="K287" t="s">
        <v>68</v>
      </c>
      <c r="L287" t="s">
        <v>52</v>
      </c>
      <c r="M287">
        <v>975906</v>
      </c>
      <c r="N287" s="1">
        <v>45147</v>
      </c>
      <c r="O287" t="s">
        <v>28</v>
      </c>
      <c r="P287">
        <v>7</v>
      </c>
      <c r="Q287">
        <v>129263.72</v>
      </c>
    </row>
    <row r="288" spans="1:17" x14ac:dyDescent="0.3">
      <c r="A288" t="s">
        <v>881</v>
      </c>
      <c r="B288" t="s">
        <v>413</v>
      </c>
      <c r="C288" s="2" t="str">
        <f>PROPER(TRIM(Table1[[#This Row],[Gender]]))</f>
        <v>Female</v>
      </c>
      <c r="D288" t="s">
        <v>43</v>
      </c>
      <c r="E288">
        <v>43</v>
      </c>
      <c r="F288" t="s">
        <v>38</v>
      </c>
      <c r="G288" s="1">
        <v>29963</v>
      </c>
      <c r="H288" t="s">
        <v>882</v>
      </c>
      <c r="I288" s="2" t="str">
        <f t="shared" si="4"/>
        <v>+91-9224846397</v>
      </c>
      <c r="J288">
        <f>91-9224846488</f>
        <v>-9224846397</v>
      </c>
      <c r="K288" t="s">
        <v>109</v>
      </c>
      <c r="L288" t="s">
        <v>46</v>
      </c>
      <c r="M288">
        <v>544329</v>
      </c>
      <c r="N288" s="1">
        <v>45244</v>
      </c>
      <c r="O288" t="s">
        <v>28</v>
      </c>
      <c r="P288">
        <v>7</v>
      </c>
      <c r="Q288">
        <v>214300.69</v>
      </c>
    </row>
    <row r="289" spans="1:17" x14ac:dyDescent="0.3">
      <c r="A289" t="s">
        <v>883</v>
      </c>
      <c r="B289" t="s">
        <v>884</v>
      </c>
      <c r="C289" s="2" t="str">
        <f>PROPER(TRIM(Table1[[#This Row],[Gender]]))</f>
        <v>Male</v>
      </c>
      <c r="D289" t="s">
        <v>16</v>
      </c>
      <c r="E289">
        <v>22</v>
      </c>
      <c r="F289" t="s">
        <v>49</v>
      </c>
      <c r="G289" s="1">
        <v>37628</v>
      </c>
      <c r="H289" t="s">
        <v>885</v>
      </c>
      <c r="I289" s="2" t="str">
        <f t="shared" si="4"/>
        <v>+91-9390018072</v>
      </c>
      <c r="J289">
        <f>91-9390018163</f>
        <v>-9390018072</v>
      </c>
      <c r="K289" t="s">
        <v>138</v>
      </c>
      <c r="L289" t="s">
        <v>90</v>
      </c>
      <c r="M289">
        <v>946551</v>
      </c>
      <c r="N289" s="1">
        <v>45196</v>
      </c>
      <c r="O289" t="s">
        <v>21</v>
      </c>
      <c r="P289">
        <v>3</v>
      </c>
      <c r="Q289">
        <v>41508.620000000003</v>
      </c>
    </row>
    <row r="290" spans="1:17" x14ac:dyDescent="0.3">
      <c r="A290" t="s">
        <v>886</v>
      </c>
      <c r="B290" t="s">
        <v>887</v>
      </c>
      <c r="C290" s="2" t="str">
        <f>PROPER(TRIM(Table1[[#This Row],[Gender]]))</f>
        <v>Female</v>
      </c>
      <c r="D290" t="s">
        <v>43</v>
      </c>
      <c r="E290">
        <v>23</v>
      </c>
      <c r="F290" t="s">
        <v>49</v>
      </c>
      <c r="G290" s="1">
        <v>37263</v>
      </c>
      <c r="H290" t="s">
        <v>888</v>
      </c>
      <c r="I290" s="2" t="str">
        <f t="shared" si="4"/>
        <v>+91-9521532222</v>
      </c>
      <c r="J290">
        <f>91-9521532313</f>
        <v>-9521532222</v>
      </c>
      <c r="K290" t="s">
        <v>68</v>
      </c>
      <c r="L290" t="s">
        <v>52</v>
      </c>
      <c r="M290">
        <v>726892</v>
      </c>
      <c r="N290" s="1">
        <v>45335</v>
      </c>
      <c r="O290" t="s">
        <v>35</v>
      </c>
      <c r="P290">
        <v>2</v>
      </c>
      <c r="Q290">
        <v>17601.490000000002</v>
      </c>
    </row>
    <row r="291" spans="1:17" x14ac:dyDescent="0.3">
      <c r="A291" t="s">
        <v>889</v>
      </c>
      <c r="B291" t="s">
        <v>890</v>
      </c>
      <c r="C291" s="2" t="str">
        <f>PROPER(TRIM(Table1[[#This Row],[Gender]]))</f>
        <v>Female</v>
      </c>
      <c r="D291" t="s">
        <v>43</v>
      </c>
      <c r="E291">
        <v>40</v>
      </c>
      <c r="F291" t="s">
        <v>38</v>
      </c>
      <c r="G291" s="1">
        <v>31058</v>
      </c>
      <c r="H291" t="s">
        <v>891</v>
      </c>
      <c r="I291" s="2" t="str">
        <f t="shared" si="4"/>
        <v>+91-8691179905</v>
      </c>
      <c r="J291">
        <f>91-8691179996</f>
        <v>-8691179905</v>
      </c>
      <c r="K291" t="s">
        <v>60</v>
      </c>
      <c r="L291" t="s">
        <v>34</v>
      </c>
      <c r="M291">
        <v>338364</v>
      </c>
      <c r="N291" s="1">
        <v>45158</v>
      </c>
      <c r="O291" t="s">
        <v>28</v>
      </c>
      <c r="P291">
        <v>7</v>
      </c>
      <c r="Q291">
        <v>141537.22</v>
      </c>
    </row>
    <row r="292" spans="1:17" x14ac:dyDescent="0.3">
      <c r="A292" t="s">
        <v>892</v>
      </c>
      <c r="B292" t="s">
        <v>644</v>
      </c>
      <c r="C292" s="2" t="str">
        <f>PROPER(TRIM(Table1[[#This Row],[Gender]]))</f>
        <v>Female</v>
      </c>
      <c r="D292" t="s">
        <v>43</v>
      </c>
      <c r="E292">
        <v>31</v>
      </c>
      <c r="F292" t="s">
        <v>31</v>
      </c>
      <c r="G292" s="1">
        <v>34343</v>
      </c>
      <c r="H292" t="s">
        <v>893</v>
      </c>
      <c r="I292" s="2" t="str">
        <f t="shared" si="4"/>
        <v>+91-8646862886</v>
      </c>
      <c r="J292">
        <f>91-8646862977</f>
        <v>-8646862886</v>
      </c>
      <c r="K292" t="s">
        <v>80</v>
      </c>
      <c r="L292" t="s">
        <v>20</v>
      </c>
      <c r="M292">
        <v>799090</v>
      </c>
      <c r="N292" s="1">
        <v>45105</v>
      </c>
      <c r="O292" t="s">
        <v>28</v>
      </c>
      <c r="P292">
        <v>6</v>
      </c>
      <c r="Q292">
        <v>103940.13</v>
      </c>
    </row>
    <row r="293" spans="1:17" x14ac:dyDescent="0.3">
      <c r="A293" t="s">
        <v>894</v>
      </c>
      <c r="B293" t="s">
        <v>848</v>
      </c>
      <c r="C293" s="2" t="str">
        <f>PROPER(TRIM(Table1[[#This Row],[Gender]]))</f>
        <v>Female</v>
      </c>
      <c r="D293" t="s">
        <v>43</v>
      </c>
      <c r="E293">
        <v>26</v>
      </c>
      <c r="F293" t="s">
        <v>31</v>
      </c>
      <c r="G293" s="1">
        <v>36168</v>
      </c>
      <c r="H293" t="s">
        <v>895</v>
      </c>
      <c r="I293" s="2" t="str">
        <f t="shared" si="4"/>
        <v>+91-8950815675</v>
      </c>
      <c r="J293">
        <f>91-8950815766</f>
        <v>-8950815675</v>
      </c>
      <c r="K293" t="s">
        <v>33</v>
      </c>
      <c r="L293" t="s">
        <v>34</v>
      </c>
      <c r="M293">
        <v>334453</v>
      </c>
      <c r="N293" s="1">
        <v>45142</v>
      </c>
      <c r="O293" t="s">
        <v>28</v>
      </c>
      <c r="P293">
        <v>3</v>
      </c>
      <c r="Q293">
        <v>64507.28</v>
      </c>
    </row>
    <row r="294" spans="1:17" x14ac:dyDescent="0.3">
      <c r="A294" t="s">
        <v>896</v>
      </c>
      <c r="B294" t="s">
        <v>107</v>
      </c>
      <c r="C294" s="2" t="str">
        <f>PROPER(TRIM(Table1[[#This Row],[Gender]]))</f>
        <v>Female</v>
      </c>
      <c r="D294" t="s">
        <v>43</v>
      </c>
      <c r="E294">
        <v>37</v>
      </c>
      <c r="F294" t="s">
        <v>38</v>
      </c>
      <c r="G294" s="1">
        <v>32153</v>
      </c>
      <c r="H294" t="s">
        <v>897</v>
      </c>
      <c r="I294" s="2" t="str">
        <f t="shared" si="4"/>
        <v>+91-7644312244</v>
      </c>
      <c r="J294">
        <f>91-7644312335</f>
        <v>-7644312244</v>
      </c>
      <c r="K294" t="s">
        <v>239</v>
      </c>
      <c r="L294" t="s">
        <v>191</v>
      </c>
      <c r="M294">
        <v>631270</v>
      </c>
      <c r="N294" s="1">
        <v>45189</v>
      </c>
      <c r="O294" t="s">
        <v>28</v>
      </c>
      <c r="P294">
        <v>4</v>
      </c>
      <c r="Q294">
        <v>187043.20000000001</v>
      </c>
    </row>
    <row r="295" spans="1:17" x14ac:dyDescent="0.3">
      <c r="A295" t="s">
        <v>898</v>
      </c>
      <c r="B295" t="s">
        <v>133</v>
      </c>
      <c r="C295" s="2" t="str">
        <f>PROPER(TRIM(Table1[[#This Row],[Gender]]))</f>
        <v>Male</v>
      </c>
      <c r="D295" t="s">
        <v>16</v>
      </c>
      <c r="E295">
        <v>53</v>
      </c>
      <c r="F295" t="s">
        <v>17</v>
      </c>
      <c r="G295" s="1">
        <v>26313</v>
      </c>
      <c r="H295" t="s">
        <v>899</v>
      </c>
      <c r="I295" s="2" t="str">
        <f t="shared" si="4"/>
        <v>+91-8885456401</v>
      </c>
      <c r="J295">
        <f>91-8885456492</f>
        <v>-8885456401</v>
      </c>
      <c r="K295" t="s">
        <v>580</v>
      </c>
      <c r="L295" t="s">
        <v>85</v>
      </c>
      <c r="M295">
        <v>161026</v>
      </c>
      <c r="N295" s="1">
        <v>45342</v>
      </c>
      <c r="O295" t="s">
        <v>21</v>
      </c>
      <c r="P295">
        <v>6</v>
      </c>
      <c r="Q295">
        <v>24052.79</v>
      </c>
    </row>
    <row r="296" spans="1:17" x14ac:dyDescent="0.3">
      <c r="A296" t="s">
        <v>900</v>
      </c>
      <c r="B296" t="s">
        <v>740</v>
      </c>
      <c r="C296" s="2" t="str">
        <f>PROPER(TRIM(Table1[[#This Row],[Gender]]))</f>
        <v>Male</v>
      </c>
      <c r="D296" t="s">
        <v>16</v>
      </c>
      <c r="E296">
        <v>26</v>
      </c>
      <c r="F296" t="s">
        <v>31</v>
      </c>
      <c r="G296" s="1">
        <v>36168</v>
      </c>
      <c r="H296" t="s">
        <v>901</v>
      </c>
      <c r="I296" s="2" t="str">
        <f t="shared" si="4"/>
        <v>+91-7481716601</v>
      </c>
      <c r="J296">
        <f>91-7481716692</f>
        <v>-7481716601</v>
      </c>
      <c r="K296" t="s">
        <v>26</v>
      </c>
      <c r="L296" t="s">
        <v>27</v>
      </c>
      <c r="M296">
        <v>820046</v>
      </c>
      <c r="N296" s="1">
        <v>45243</v>
      </c>
      <c r="O296" t="s">
        <v>28</v>
      </c>
      <c r="P296">
        <v>8</v>
      </c>
      <c r="Q296">
        <v>252158.18</v>
      </c>
    </row>
    <row r="297" spans="1:17" x14ac:dyDescent="0.3">
      <c r="A297" t="s">
        <v>902</v>
      </c>
      <c r="B297" t="s">
        <v>903</v>
      </c>
      <c r="C297" s="2" t="str">
        <f>PROPER(TRIM(Table1[[#This Row],[Gender]]))</f>
        <v>Male</v>
      </c>
      <c r="D297" t="s">
        <v>16</v>
      </c>
      <c r="E297">
        <v>33</v>
      </c>
      <c r="F297" t="s">
        <v>31</v>
      </c>
      <c r="G297" s="1">
        <v>33613</v>
      </c>
      <c r="H297" t="s">
        <v>904</v>
      </c>
      <c r="I297" s="2" t="str">
        <f t="shared" si="4"/>
        <v>+91-9216636518</v>
      </c>
      <c r="J297">
        <f>91-9216636609</f>
        <v>-9216636518</v>
      </c>
      <c r="K297" t="s">
        <v>249</v>
      </c>
      <c r="L297" t="s">
        <v>34</v>
      </c>
      <c r="M297">
        <v>698580</v>
      </c>
      <c r="N297" s="1">
        <v>45348</v>
      </c>
      <c r="O297" t="s">
        <v>28</v>
      </c>
      <c r="P297">
        <v>5</v>
      </c>
      <c r="Q297">
        <v>98147.58</v>
      </c>
    </row>
    <row r="298" spans="1:17" x14ac:dyDescent="0.3">
      <c r="A298" t="s">
        <v>905</v>
      </c>
      <c r="B298" t="s">
        <v>713</v>
      </c>
      <c r="C298" s="2" t="str">
        <f>PROPER(TRIM(Table1[[#This Row],[Gender]]))</f>
        <v>Male</v>
      </c>
      <c r="D298" t="s">
        <v>16</v>
      </c>
      <c r="E298">
        <v>41</v>
      </c>
      <c r="F298" t="s">
        <v>38</v>
      </c>
      <c r="G298" s="1">
        <v>30693</v>
      </c>
      <c r="H298" t="s">
        <v>906</v>
      </c>
      <c r="I298" s="2" t="str">
        <f t="shared" si="4"/>
        <v>+91-8400214657</v>
      </c>
      <c r="J298">
        <f>91-8400214748</f>
        <v>-8400214657</v>
      </c>
      <c r="K298" t="s">
        <v>195</v>
      </c>
      <c r="L298" t="s">
        <v>102</v>
      </c>
      <c r="M298">
        <v>608376</v>
      </c>
      <c r="N298" s="1">
        <v>45114</v>
      </c>
      <c r="O298" t="s">
        <v>21</v>
      </c>
      <c r="P298">
        <v>4</v>
      </c>
      <c r="Q298">
        <v>37912.69</v>
      </c>
    </row>
    <row r="299" spans="1:17" x14ac:dyDescent="0.3">
      <c r="A299" t="s">
        <v>907</v>
      </c>
      <c r="B299" t="s">
        <v>908</v>
      </c>
      <c r="C299" s="2" t="str">
        <f>PROPER(TRIM(Table1[[#This Row],[Gender]]))</f>
        <v>Female</v>
      </c>
      <c r="D299" t="s">
        <v>43</v>
      </c>
      <c r="E299">
        <v>45</v>
      </c>
      <c r="F299" t="s">
        <v>38</v>
      </c>
      <c r="G299" s="1">
        <v>29233</v>
      </c>
      <c r="H299" t="s">
        <v>909</v>
      </c>
      <c r="I299" s="2" t="str">
        <f t="shared" si="4"/>
        <v>+91-7106456566</v>
      </c>
      <c r="J299">
        <f>91-7106456657</f>
        <v>-7106456566</v>
      </c>
      <c r="K299" t="s">
        <v>178</v>
      </c>
      <c r="L299" t="s">
        <v>27</v>
      </c>
      <c r="M299">
        <v>169607</v>
      </c>
      <c r="N299" s="1">
        <v>45288</v>
      </c>
      <c r="O299" t="s">
        <v>28</v>
      </c>
      <c r="P299">
        <v>3</v>
      </c>
      <c r="Q299">
        <v>144816.21</v>
      </c>
    </row>
    <row r="300" spans="1:17" x14ac:dyDescent="0.3">
      <c r="A300" t="s">
        <v>910</v>
      </c>
      <c r="B300" t="s">
        <v>911</v>
      </c>
      <c r="C300" s="2" t="str">
        <f>PROPER(TRIM(Table1[[#This Row],[Gender]]))</f>
        <v>Male</v>
      </c>
      <c r="D300" t="s">
        <v>16</v>
      </c>
      <c r="E300">
        <v>29</v>
      </c>
      <c r="F300" t="s">
        <v>31</v>
      </c>
      <c r="G300" s="1">
        <v>35073</v>
      </c>
      <c r="H300" t="s">
        <v>912</v>
      </c>
      <c r="I300" s="2" t="str">
        <f t="shared" si="4"/>
        <v>+91-9857543898</v>
      </c>
      <c r="J300">
        <f>91-9857543989</f>
        <v>-9857543898</v>
      </c>
      <c r="K300" t="s">
        <v>51</v>
      </c>
      <c r="L300" t="s">
        <v>52</v>
      </c>
      <c r="M300">
        <v>669929</v>
      </c>
      <c r="N300" s="1">
        <v>45081</v>
      </c>
      <c r="O300" t="s">
        <v>28</v>
      </c>
      <c r="P300">
        <v>5</v>
      </c>
      <c r="Q300">
        <v>86219.24</v>
      </c>
    </row>
    <row r="301" spans="1:17" x14ac:dyDescent="0.3">
      <c r="A301" t="s">
        <v>913</v>
      </c>
      <c r="B301" t="s">
        <v>454</v>
      </c>
      <c r="C301" s="2" t="str">
        <f>PROPER(TRIM(Table1[[#This Row],[Gender]]))</f>
        <v>Male</v>
      </c>
      <c r="D301" t="s">
        <v>16</v>
      </c>
      <c r="E301">
        <v>30</v>
      </c>
      <c r="F301" t="s">
        <v>31</v>
      </c>
      <c r="G301" s="1">
        <v>34708</v>
      </c>
      <c r="H301" t="s">
        <v>455</v>
      </c>
      <c r="I301" s="2" t="str">
        <f t="shared" si="4"/>
        <v>+91-9161517749</v>
      </c>
      <c r="J301">
        <f>91-9161517840</f>
        <v>-9161517749</v>
      </c>
      <c r="K301" t="s">
        <v>26</v>
      </c>
      <c r="L301" t="s">
        <v>27</v>
      </c>
      <c r="M301">
        <v>635542</v>
      </c>
      <c r="N301" s="1">
        <v>45155</v>
      </c>
      <c r="O301" t="s">
        <v>28</v>
      </c>
      <c r="P301">
        <v>8</v>
      </c>
      <c r="Q301">
        <v>270498.92</v>
      </c>
    </row>
    <row r="302" spans="1:17" x14ac:dyDescent="0.3">
      <c r="A302" t="s">
        <v>914</v>
      </c>
      <c r="B302" t="s">
        <v>915</v>
      </c>
      <c r="C302" s="2" t="str">
        <f>PROPER(TRIM(Table1[[#This Row],[Gender]]))</f>
        <v>Male</v>
      </c>
      <c r="D302" t="s">
        <v>16</v>
      </c>
      <c r="E302">
        <v>22</v>
      </c>
      <c r="F302" t="s">
        <v>49</v>
      </c>
      <c r="G302" s="1">
        <v>37628</v>
      </c>
      <c r="H302" t="s">
        <v>916</v>
      </c>
      <c r="I302" s="2" t="str">
        <f t="shared" si="4"/>
        <v>+91-7366836638</v>
      </c>
      <c r="J302">
        <f>91-7366836729</f>
        <v>-7366836638</v>
      </c>
      <c r="K302" t="s">
        <v>331</v>
      </c>
      <c r="L302" t="s">
        <v>143</v>
      </c>
      <c r="M302">
        <v>324918</v>
      </c>
      <c r="N302" s="1">
        <v>45180</v>
      </c>
      <c r="O302" t="s">
        <v>35</v>
      </c>
      <c r="P302">
        <v>0</v>
      </c>
      <c r="Q302">
        <v>0</v>
      </c>
    </row>
    <row r="303" spans="1:17" x14ac:dyDescent="0.3">
      <c r="A303" t="s">
        <v>917</v>
      </c>
      <c r="B303" t="s">
        <v>918</v>
      </c>
      <c r="C303" s="2" t="str">
        <f>PROPER(TRIM(Table1[[#This Row],[Gender]]))</f>
        <v>Male</v>
      </c>
      <c r="D303" t="s">
        <v>16</v>
      </c>
      <c r="E303">
        <v>24</v>
      </c>
      <c r="F303" t="s">
        <v>49</v>
      </c>
      <c r="G303" s="1">
        <v>36898</v>
      </c>
      <c r="H303" t="s">
        <v>919</v>
      </c>
      <c r="I303" s="2" t="str">
        <f t="shared" si="4"/>
        <v>+91-8335609534</v>
      </c>
      <c r="J303">
        <f>91-8335609625</f>
        <v>-8335609534</v>
      </c>
      <c r="K303" t="s">
        <v>125</v>
      </c>
      <c r="L303" t="s">
        <v>52</v>
      </c>
      <c r="M303">
        <v>914973</v>
      </c>
      <c r="N303" s="1">
        <v>45131</v>
      </c>
      <c r="O303" t="s">
        <v>28</v>
      </c>
      <c r="P303">
        <v>4</v>
      </c>
      <c r="Q303">
        <v>158489.79</v>
      </c>
    </row>
    <row r="304" spans="1:17" x14ac:dyDescent="0.3">
      <c r="A304" t="s">
        <v>920</v>
      </c>
      <c r="B304" t="s">
        <v>921</v>
      </c>
      <c r="C304" s="2" t="str">
        <f>PROPER(TRIM(Table1[[#This Row],[Gender]]))</f>
        <v>Female</v>
      </c>
      <c r="D304" t="s">
        <v>43</v>
      </c>
      <c r="E304">
        <v>20</v>
      </c>
      <c r="F304" t="s">
        <v>49</v>
      </c>
      <c r="G304" s="1">
        <v>38358</v>
      </c>
      <c r="H304" t="s">
        <v>922</v>
      </c>
      <c r="I304" s="2" t="str">
        <f t="shared" si="4"/>
        <v>+91-8819394559</v>
      </c>
      <c r="J304">
        <f>91-8819394650</f>
        <v>-8819394559</v>
      </c>
      <c r="K304" t="s">
        <v>138</v>
      </c>
      <c r="L304" t="s">
        <v>90</v>
      </c>
      <c r="M304">
        <v>797307</v>
      </c>
      <c r="N304" s="1">
        <v>45250</v>
      </c>
      <c r="O304" t="s">
        <v>35</v>
      </c>
      <c r="P304">
        <v>2</v>
      </c>
      <c r="Q304">
        <v>8959.08</v>
      </c>
    </row>
    <row r="305" spans="1:17" x14ac:dyDescent="0.3">
      <c r="A305" t="s">
        <v>923</v>
      </c>
      <c r="B305" t="s">
        <v>180</v>
      </c>
      <c r="C305" s="2" t="str">
        <f>PROPER(TRIM(Table1[[#This Row],[Gender]]))</f>
        <v>Female</v>
      </c>
      <c r="D305" t="s">
        <v>43</v>
      </c>
      <c r="E305">
        <v>25</v>
      </c>
      <c r="F305" t="s">
        <v>49</v>
      </c>
      <c r="G305" s="1">
        <v>36533</v>
      </c>
      <c r="H305" t="s">
        <v>924</v>
      </c>
      <c r="I305" s="2" t="str">
        <f t="shared" si="4"/>
        <v>+91-8070492289</v>
      </c>
      <c r="J305">
        <f>91-8070492380</f>
        <v>-8070492289</v>
      </c>
      <c r="K305" t="s">
        <v>33</v>
      </c>
      <c r="L305" t="s">
        <v>34</v>
      </c>
      <c r="M305">
        <v>911890</v>
      </c>
      <c r="N305" s="1">
        <v>45368</v>
      </c>
      <c r="O305" t="s">
        <v>28</v>
      </c>
      <c r="P305">
        <v>6</v>
      </c>
      <c r="Q305">
        <v>204157.42</v>
      </c>
    </row>
    <row r="306" spans="1:17" x14ac:dyDescent="0.3">
      <c r="A306" t="s">
        <v>925</v>
      </c>
      <c r="B306" t="s">
        <v>926</v>
      </c>
      <c r="C306" s="2" t="str">
        <f>PROPER(TRIM(Table1[[#This Row],[Gender]]))</f>
        <v>Male</v>
      </c>
      <c r="D306" t="s">
        <v>16</v>
      </c>
      <c r="E306">
        <v>25</v>
      </c>
      <c r="F306" t="s">
        <v>49</v>
      </c>
      <c r="G306" s="1">
        <v>36533</v>
      </c>
      <c r="H306" t="s">
        <v>927</v>
      </c>
      <c r="I306" s="2" t="str">
        <f t="shared" si="4"/>
        <v>+91-8493113424</v>
      </c>
      <c r="J306">
        <f>91-8493113515</f>
        <v>-8493113424</v>
      </c>
      <c r="K306" t="s">
        <v>19</v>
      </c>
      <c r="L306" t="s">
        <v>20</v>
      </c>
      <c r="M306">
        <v>404433</v>
      </c>
      <c r="N306" s="1">
        <v>45209</v>
      </c>
      <c r="O306" t="s">
        <v>35</v>
      </c>
      <c r="P306">
        <v>1</v>
      </c>
      <c r="Q306">
        <v>290.02999999999997</v>
      </c>
    </row>
    <row r="307" spans="1:17" x14ac:dyDescent="0.3">
      <c r="A307" t="s">
        <v>928</v>
      </c>
      <c r="B307" t="s">
        <v>929</v>
      </c>
      <c r="C307" s="2" t="str">
        <f>PROPER(TRIM(Table1[[#This Row],[Gender]]))</f>
        <v>Female</v>
      </c>
      <c r="D307" t="s">
        <v>43</v>
      </c>
      <c r="E307">
        <v>62</v>
      </c>
      <c r="F307" t="s">
        <v>58</v>
      </c>
      <c r="G307" s="1">
        <v>23028</v>
      </c>
      <c r="H307" t="s">
        <v>930</v>
      </c>
      <c r="I307" s="2" t="str">
        <f t="shared" si="4"/>
        <v>+91-9316847918</v>
      </c>
      <c r="J307">
        <f>91-9316848009</f>
        <v>-9316847918</v>
      </c>
      <c r="K307" t="s">
        <v>147</v>
      </c>
      <c r="L307" t="s">
        <v>143</v>
      </c>
      <c r="M307">
        <v>442985</v>
      </c>
      <c r="N307" s="1">
        <v>45195</v>
      </c>
      <c r="O307" t="s">
        <v>28</v>
      </c>
      <c r="P307">
        <v>5</v>
      </c>
      <c r="Q307">
        <v>93085.54</v>
      </c>
    </row>
    <row r="308" spans="1:17" x14ac:dyDescent="0.3">
      <c r="A308" t="s">
        <v>931</v>
      </c>
      <c r="B308" t="s">
        <v>932</v>
      </c>
      <c r="C308" s="2" t="str">
        <f>PROPER(TRIM(Table1[[#This Row],[Gender]]))</f>
        <v>Female</v>
      </c>
      <c r="D308" t="s">
        <v>43</v>
      </c>
      <c r="E308">
        <v>31</v>
      </c>
      <c r="F308" t="s">
        <v>31</v>
      </c>
      <c r="G308" s="1">
        <v>34343</v>
      </c>
      <c r="H308" t="s">
        <v>933</v>
      </c>
      <c r="I308" s="2" t="str">
        <f t="shared" si="4"/>
        <v>+91-7237537360</v>
      </c>
      <c r="J308">
        <f>91-7237537451</f>
        <v>-7237537360</v>
      </c>
      <c r="K308" t="s">
        <v>94</v>
      </c>
      <c r="L308" t="s">
        <v>20</v>
      </c>
      <c r="M308">
        <v>402902</v>
      </c>
      <c r="N308" s="1">
        <v>45103</v>
      </c>
      <c r="O308" t="s">
        <v>35</v>
      </c>
      <c r="P308">
        <v>2</v>
      </c>
      <c r="Q308">
        <v>5649.21</v>
      </c>
    </row>
    <row r="309" spans="1:17" x14ac:dyDescent="0.3">
      <c r="A309" t="s">
        <v>934</v>
      </c>
      <c r="B309" t="s">
        <v>935</v>
      </c>
      <c r="C309" s="2" t="str">
        <f>PROPER(TRIM(Table1[[#This Row],[Gender]]))</f>
        <v>Female</v>
      </c>
      <c r="D309" t="s">
        <v>43</v>
      </c>
      <c r="E309">
        <v>70</v>
      </c>
      <c r="F309" t="s">
        <v>24</v>
      </c>
      <c r="G309" s="1">
        <v>20108</v>
      </c>
      <c r="H309" t="s">
        <v>936</v>
      </c>
      <c r="I309" s="2" t="str">
        <f t="shared" si="4"/>
        <v>+91-9352526281</v>
      </c>
      <c r="J309">
        <f>91-9352526372</f>
        <v>-9352526281</v>
      </c>
      <c r="K309" t="s">
        <v>51</v>
      </c>
      <c r="L309" t="s">
        <v>52</v>
      </c>
      <c r="M309">
        <v>392974</v>
      </c>
      <c r="N309" s="1">
        <v>45381</v>
      </c>
      <c r="O309" t="s">
        <v>35</v>
      </c>
      <c r="P309">
        <v>1</v>
      </c>
      <c r="Q309">
        <v>610.65</v>
      </c>
    </row>
    <row r="310" spans="1:17" x14ac:dyDescent="0.3">
      <c r="A310" t="s">
        <v>937</v>
      </c>
      <c r="B310" t="s">
        <v>759</v>
      </c>
      <c r="C310" s="2" t="str">
        <f>PROPER(TRIM(Table1[[#This Row],[Gender]]))</f>
        <v>Female</v>
      </c>
      <c r="D310" t="s">
        <v>43</v>
      </c>
      <c r="E310">
        <v>31</v>
      </c>
      <c r="F310" t="s">
        <v>31</v>
      </c>
      <c r="G310" s="1">
        <v>34343</v>
      </c>
      <c r="H310" t="s">
        <v>938</v>
      </c>
      <c r="I310" s="2" t="str">
        <f t="shared" si="4"/>
        <v>+91-7063756800</v>
      </c>
      <c r="J310">
        <f>91-7063756891</f>
        <v>-7063756800</v>
      </c>
      <c r="K310" t="s">
        <v>142</v>
      </c>
      <c r="L310" t="s">
        <v>143</v>
      </c>
      <c r="M310">
        <v>154880</v>
      </c>
      <c r="N310" s="1">
        <v>45130</v>
      </c>
      <c r="O310" t="s">
        <v>28</v>
      </c>
      <c r="P310">
        <v>6</v>
      </c>
      <c r="Q310">
        <v>170704.91</v>
      </c>
    </row>
    <row r="311" spans="1:17" x14ac:dyDescent="0.3">
      <c r="A311" t="s">
        <v>939</v>
      </c>
      <c r="B311" t="s">
        <v>940</v>
      </c>
      <c r="C311" s="2" t="str">
        <f>PROPER(TRIM(Table1[[#This Row],[Gender]]))</f>
        <v>Male</v>
      </c>
      <c r="D311" t="s">
        <v>16</v>
      </c>
      <c r="E311">
        <v>27</v>
      </c>
      <c r="F311" t="s">
        <v>31</v>
      </c>
      <c r="G311" s="1">
        <v>35803</v>
      </c>
      <c r="H311" t="s">
        <v>941</v>
      </c>
      <c r="I311" s="2" t="str">
        <f t="shared" si="4"/>
        <v>+91-8563209630</v>
      </c>
      <c r="J311">
        <f>91-8563209721</f>
        <v>-8563209630</v>
      </c>
      <c r="K311" t="s">
        <v>26</v>
      </c>
      <c r="L311" t="s">
        <v>27</v>
      </c>
      <c r="M311">
        <v>695514</v>
      </c>
      <c r="N311" s="1">
        <v>45394</v>
      </c>
      <c r="O311" t="s">
        <v>21</v>
      </c>
      <c r="P311">
        <v>3</v>
      </c>
      <c r="Q311">
        <v>33155.620000000003</v>
      </c>
    </row>
    <row r="312" spans="1:17" x14ac:dyDescent="0.3">
      <c r="A312" t="s">
        <v>942</v>
      </c>
      <c r="B312" t="s">
        <v>943</v>
      </c>
      <c r="C312" s="2" t="str">
        <f>PROPER(TRIM(Table1[[#This Row],[Gender]]))</f>
        <v>Male</v>
      </c>
      <c r="D312" t="s">
        <v>16</v>
      </c>
      <c r="E312">
        <v>44</v>
      </c>
      <c r="F312" t="s">
        <v>38</v>
      </c>
      <c r="G312" s="1">
        <v>29598</v>
      </c>
      <c r="H312" t="s">
        <v>944</v>
      </c>
      <c r="I312" s="2" t="str">
        <f t="shared" si="4"/>
        <v>+91-9735966448</v>
      </c>
      <c r="J312">
        <f>91-9735966539</f>
        <v>-9735966448</v>
      </c>
      <c r="K312" t="s">
        <v>94</v>
      </c>
      <c r="L312" t="s">
        <v>20</v>
      </c>
      <c r="M312">
        <v>664633</v>
      </c>
      <c r="N312" s="1">
        <v>45209</v>
      </c>
      <c r="O312" t="s">
        <v>28</v>
      </c>
      <c r="P312">
        <v>5</v>
      </c>
      <c r="Q312">
        <v>334425.63</v>
      </c>
    </row>
    <row r="313" spans="1:17" x14ac:dyDescent="0.3">
      <c r="A313" t="s">
        <v>945</v>
      </c>
      <c r="B313" t="s">
        <v>946</v>
      </c>
      <c r="C313" s="2" t="str">
        <f>PROPER(TRIM(Table1[[#This Row],[Gender]]))</f>
        <v>Female</v>
      </c>
      <c r="D313" t="s">
        <v>43</v>
      </c>
      <c r="E313">
        <v>21</v>
      </c>
      <c r="F313" t="s">
        <v>49</v>
      </c>
      <c r="G313" s="1">
        <v>37993</v>
      </c>
      <c r="H313" t="s">
        <v>947</v>
      </c>
      <c r="I313" s="2" t="str">
        <f t="shared" si="4"/>
        <v>+91-9051380703</v>
      </c>
      <c r="J313">
        <f>91-9051380794</f>
        <v>-9051380703</v>
      </c>
      <c r="K313" t="s">
        <v>147</v>
      </c>
      <c r="L313" t="s">
        <v>143</v>
      </c>
      <c r="M313">
        <v>527073</v>
      </c>
      <c r="N313" s="1">
        <v>45367</v>
      </c>
      <c r="O313" t="s">
        <v>28</v>
      </c>
      <c r="P313">
        <v>5</v>
      </c>
      <c r="Q313">
        <v>80617.19</v>
      </c>
    </row>
    <row r="314" spans="1:17" x14ac:dyDescent="0.3">
      <c r="A314" t="s">
        <v>948</v>
      </c>
      <c r="B314" t="s">
        <v>949</v>
      </c>
      <c r="C314" s="2" t="str">
        <f>PROPER(TRIM(Table1[[#This Row],[Gender]]))</f>
        <v>Male</v>
      </c>
      <c r="D314" t="s">
        <v>16</v>
      </c>
      <c r="E314">
        <v>56</v>
      </c>
      <c r="F314" t="s">
        <v>58</v>
      </c>
      <c r="G314" s="1">
        <v>25218</v>
      </c>
      <c r="H314" t="s">
        <v>950</v>
      </c>
      <c r="I314" s="2" t="str">
        <f t="shared" si="4"/>
        <v>+91-9539685866</v>
      </c>
      <c r="J314">
        <f>91-9539685957</f>
        <v>-9539685866</v>
      </c>
      <c r="K314" t="s">
        <v>113</v>
      </c>
      <c r="L314" t="s">
        <v>34</v>
      </c>
      <c r="M314">
        <v>396913</v>
      </c>
      <c r="N314" s="1">
        <v>45288</v>
      </c>
      <c r="O314" t="s">
        <v>28</v>
      </c>
      <c r="P314">
        <v>10</v>
      </c>
      <c r="Q314">
        <v>83364.160000000003</v>
      </c>
    </row>
    <row r="315" spans="1:17" x14ac:dyDescent="0.3">
      <c r="A315" t="s">
        <v>951</v>
      </c>
      <c r="B315" t="s">
        <v>853</v>
      </c>
      <c r="C315" s="2" t="str">
        <f>PROPER(TRIM(Table1[[#This Row],[Gender]]))</f>
        <v>Male</v>
      </c>
      <c r="D315" t="s">
        <v>16</v>
      </c>
      <c r="E315">
        <v>25</v>
      </c>
      <c r="F315" t="s">
        <v>49</v>
      </c>
      <c r="G315" s="1">
        <v>36533</v>
      </c>
      <c r="H315" t="s">
        <v>952</v>
      </c>
      <c r="I315" s="2" t="str">
        <f t="shared" si="4"/>
        <v>+91-7327734960</v>
      </c>
      <c r="J315">
        <f>91-7327735051</f>
        <v>-7327734960</v>
      </c>
      <c r="K315" t="s">
        <v>195</v>
      </c>
      <c r="L315" t="s">
        <v>102</v>
      </c>
      <c r="M315">
        <v>743943</v>
      </c>
      <c r="N315" s="1">
        <v>45352</v>
      </c>
      <c r="O315" t="s">
        <v>28</v>
      </c>
      <c r="P315">
        <v>4</v>
      </c>
      <c r="Q315">
        <v>145591.09</v>
      </c>
    </row>
    <row r="316" spans="1:17" x14ac:dyDescent="0.3">
      <c r="A316" t="s">
        <v>953</v>
      </c>
      <c r="B316" t="s">
        <v>954</v>
      </c>
      <c r="C316" s="2" t="str">
        <f>PROPER(TRIM(Table1[[#This Row],[Gender]]))</f>
        <v>Male</v>
      </c>
      <c r="D316" t="s">
        <v>16</v>
      </c>
      <c r="E316">
        <v>21</v>
      </c>
      <c r="F316" t="s">
        <v>49</v>
      </c>
      <c r="G316" s="1">
        <v>37993</v>
      </c>
      <c r="H316" t="s">
        <v>955</v>
      </c>
      <c r="I316" s="2" t="str">
        <f t="shared" si="4"/>
        <v>+91-8870369360</v>
      </c>
      <c r="J316">
        <f>91-8870369451</f>
        <v>-8870369360</v>
      </c>
      <c r="K316" t="s">
        <v>94</v>
      </c>
      <c r="L316" t="s">
        <v>20</v>
      </c>
      <c r="M316">
        <v>919300</v>
      </c>
      <c r="N316" s="1">
        <v>45420</v>
      </c>
      <c r="O316" t="s">
        <v>28</v>
      </c>
      <c r="P316">
        <v>7</v>
      </c>
      <c r="Q316">
        <v>162115.1</v>
      </c>
    </row>
    <row r="317" spans="1:17" x14ac:dyDescent="0.3">
      <c r="A317" t="s">
        <v>956</v>
      </c>
      <c r="B317" t="s">
        <v>957</v>
      </c>
      <c r="C317" s="2" t="str">
        <f>PROPER(TRIM(Table1[[#This Row],[Gender]]))</f>
        <v>Female</v>
      </c>
      <c r="D317" t="s">
        <v>43</v>
      </c>
      <c r="E317">
        <v>24</v>
      </c>
      <c r="F317" t="s">
        <v>49</v>
      </c>
      <c r="G317" s="1">
        <v>36898</v>
      </c>
      <c r="H317" t="s">
        <v>958</v>
      </c>
      <c r="I317" s="2" t="str">
        <f t="shared" si="4"/>
        <v>+91-7884752005</v>
      </c>
      <c r="J317">
        <f>91-7884752096</f>
        <v>-7884752005</v>
      </c>
      <c r="K317" t="s">
        <v>64</v>
      </c>
      <c r="L317" t="s">
        <v>20</v>
      </c>
      <c r="M317">
        <v>768362</v>
      </c>
      <c r="N317" s="1">
        <v>45190</v>
      </c>
      <c r="O317" t="s">
        <v>28</v>
      </c>
      <c r="P317">
        <v>8</v>
      </c>
      <c r="Q317">
        <v>147533.64000000001</v>
      </c>
    </row>
    <row r="318" spans="1:17" x14ac:dyDescent="0.3">
      <c r="A318" t="s">
        <v>959</v>
      </c>
      <c r="B318" t="s">
        <v>960</v>
      </c>
      <c r="C318" s="2" t="str">
        <f>PROPER(TRIM(Table1[[#This Row],[Gender]]))</f>
        <v>Male</v>
      </c>
      <c r="D318" t="s">
        <v>16</v>
      </c>
      <c r="E318">
        <v>41</v>
      </c>
      <c r="F318" t="s">
        <v>38</v>
      </c>
      <c r="G318" s="1">
        <v>30693</v>
      </c>
      <c r="H318" t="s">
        <v>961</v>
      </c>
      <c r="I318" s="2" t="str">
        <f t="shared" si="4"/>
        <v>+91-8023402996</v>
      </c>
      <c r="J318">
        <f>91-8023403087</f>
        <v>-8023402996</v>
      </c>
      <c r="K318" t="s">
        <v>415</v>
      </c>
      <c r="L318" t="s">
        <v>90</v>
      </c>
      <c r="M318">
        <v>220875</v>
      </c>
      <c r="N318" s="1">
        <v>45256</v>
      </c>
      <c r="O318" t="s">
        <v>28</v>
      </c>
      <c r="P318">
        <v>4</v>
      </c>
      <c r="Q318">
        <v>148750.66</v>
      </c>
    </row>
    <row r="319" spans="1:17" x14ac:dyDescent="0.3">
      <c r="A319" t="s">
        <v>962</v>
      </c>
      <c r="B319" t="s">
        <v>963</v>
      </c>
      <c r="C319" s="2" t="str">
        <f>PROPER(TRIM(Table1[[#This Row],[Gender]]))</f>
        <v>Male</v>
      </c>
      <c r="D319" t="s">
        <v>16</v>
      </c>
      <c r="E319">
        <v>27</v>
      </c>
      <c r="F319" t="s">
        <v>31</v>
      </c>
      <c r="G319" s="1">
        <v>35803</v>
      </c>
      <c r="H319" t="s">
        <v>964</v>
      </c>
      <c r="I319" s="2" t="str">
        <f t="shared" si="4"/>
        <v>+91-9775614891</v>
      </c>
      <c r="J319">
        <f>91-9775614982</f>
        <v>-9775614891</v>
      </c>
      <c r="K319" t="s">
        <v>273</v>
      </c>
      <c r="L319" t="s">
        <v>46</v>
      </c>
      <c r="M319">
        <v>972911</v>
      </c>
      <c r="N319" s="1">
        <v>45327</v>
      </c>
      <c r="O319" t="s">
        <v>35</v>
      </c>
      <c r="P319">
        <v>4</v>
      </c>
      <c r="Q319">
        <v>9315.69</v>
      </c>
    </row>
    <row r="320" spans="1:17" x14ac:dyDescent="0.3">
      <c r="A320" t="s">
        <v>965</v>
      </c>
      <c r="B320" t="s">
        <v>966</v>
      </c>
      <c r="C320" s="2" t="str">
        <f>PROPER(TRIM(Table1[[#This Row],[Gender]]))</f>
        <v>Female</v>
      </c>
      <c r="D320" t="s">
        <v>43</v>
      </c>
      <c r="E320">
        <v>28</v>
      </c>
      <c r="F320" t="s">
        <v>31</v>
      </c>
      <c r="G320" s="1">
        <v>35438</v>
      </c>
      <c r="H320" t="s">
        <v>967</v>
      </c>
      <c r="I320" s="2" t="str">
        <f t="shared" si="4"/>
        <v>+91-9538942480</v>
      </c>
      <c r="J320">
        <f>91-9538942571</f>
        <v>-9538942480</v>
      </c>
      <c r="K320" t="s">
        <v>195</v>
      </c>
      <c r="L320" t="s">
        <v>102</v>
      </c>
      <c r="M320">
        <v>127385</v>
      </c>
      <c r="N320" s="1">
        <v>45384</v>
      </c>
      <c r="O320" t="s">
        <v>28</v>
      </c>
      <c r="P320">
        <v>8</v>
      </c>
      <c r="Q320">
        <v>130545.04</v>
      </c>
    </row>
    <row r="321" spans="1:17" x14ac:dyDescent="0.3">
      <c r="A321" t="s">
        <v>968</v>
      </c>
      <c r="B321" t="s">
        <v>969</v>
      </c>
      <c r="C321" s="2" t="str">
        <f>PROPER(TRIM(Table1[[#This Row],[Gender]]))</f>
        <v>Male</v>
      </c>
      <c r="D321" t="s">
        <v>16</v>
      </c>
      <c r="E321">
        <v>33</v>
      </c>
      <c r="F321" t="s">
        <v>31</v>
      </c>
      <c r="G321" s="1">
        <v>33613</v>
      </c>
      <c r="H321" t="s">
        <v>970</v>
      </c>
      <c r="I321" s="2" t="str">
        <f t="shared" si="4"/>
        <v>+91-7773231176</v>
      </c>
      <c r="J321">
        <f>91-7773231267</f>
        <v>-7773231176</v>
      </c>
      <c r="K321" t="s">
        <v>19</v>
      </c>
      <c r="L321" t="s">
        <v>20</v>
      </c>
      <c r="M321">
        <v>353707</v>
      </c>
      <c r="N321" s="1">
        <v>45114</v>
      </c>
      <c r="O321" t="s">
        <v>35</v>
      </c>
      <c r="P321">
        <v>3</v>
      </c>
      <c r="Q321">
        <v>17510.669999999998</v>
      </c>
    </row>
    <row r="322" spans="1:17" x14ac:dyDescent="0.3">
      <c r="A322" t="s">
        <v>971</v>
      </c>
      <c r="B322" t="s">
        <v>972</v>
      </c>
      <c r="C322" s="2" t="str">
        <f>PROPER(TRIM(Table1[[#This Row],[Gender]]))</f>
        <v>Male</v>
      </c>
      <c r="D322" t="s">
        <v>16</v>
      </c>
      <c r="E322">
        <v>22</v>
      </c>
      <c r="F322" t="s">
        <v>49</v>
      </c>
      <c r="G322" s="1">
        <v>37628</v>
      </c>
      <c r="H322" t="s">
        <v>973</v>
      </c>
      <c r="I322" s="2" t="str">
        <f t="shared" ref="I322:I385" si="5">"+91"&amp;TEXT(J322,"0000000000")</f>
        <v>+91-9755655881</v>
      </c>
      <c r="J322">
        <f>91-9755655972</f>
        <v>-9755655881</v>
      </c>
      <c r="K322" t="s">
        <v>84</v>
      </c>
      <c r="L322" t="s">
        <v>85</v>
      </c>
      <c r="M322">
        <v>721988</v>
      </c>
      <c r="N322" s="1">
        <v>45167</v>
      </c>
      <c r="O322" t="s">
        <v>28</v>
      </c>
      <c r="P322">
        <v>9</v>
      </c>
      <c r="Q322">
        <v>314288.3</v>
      </c>
    </row>
    <row r="323" spans="1:17" x14ac:dyDescent="0.3">
      <c r="A323" t="s">
        <v>974</v>
      </c>
      <c r="B323" t="s">
        <v>975</v>
      </c>
      <c r="C323" s="2" t="str">
        <f>PROPER(TRIM(Table1[[#This Row],[Gender]]))</f>
        <v>Male</v>
      </c>
      <c r="D323" t="s">
        <v>16</v>
      </c>
      <c r="E323">
        <v>44</v>
      </c>
      <c r="F323" t="s">
        <v>38</v>
      </c>
      <c r="G323" s="1">
        <v>29598</v>
      </c>
      <c r="H323" t="s">
        <v>976</v>
      </c>
      <c r="I323" s="2" t="str">
        <f t="shared" si="5"/>
        <v>+91-9727661321</v>
      </c>
      <c r="J323">
        <f>91-9727661412</f>
        <v>-9727661321</v>
      </c>
      <c r="K323" t="s">
        <v>195</v>
      </c>
      <c r="L323" t="s">
        <v>102</v>
      </c>
      <c r="M323">
        <v>364536</v>
      </c>
      <c r="N323" s="1">
        <v>45396</v>
      </c>
      <c r="O323" t="s">
        <v>28</v>
      </c>
      <c r="P323">
        <v>9</v>
      </c>
      <c r="Q323">
        <v>316557.12</v>
      </c>
    </row>
    <row r="324" spans="1:17" x14ac:dyDescent="0.3">
      <c r="A324" t="s">
        <v>977</v>
      </c>
      <c r="B324" t="s">
        <v>247</v>
      </c>
      <c r="C324" s="2" t="str">
        <f>PROPER(TRIM(Table1[[#This Row],[Gender]]))</f>
        <v>Female</v>
      </c>
      <c r="D324" t="s">
        <v>43</v>
      </c>
      <c r="E324">
        <v>31</v>
      </c>
      <c r="F324" t="s">
        <v>31</v>
      </c>
      <c r="G324" s="1">
        <v>34343</v>
      </c>
      <c r="H324" t="s">
        <v>978</v>
      </c>
      <c r="I324" s="2" t="str">
        <f t="shared" si="5"/>
        <v>+91-9347324502</v>
      </c>
      <c r="J324">
        <f>91-9347324593</f>
        <v>-9347324502</v>
      </c>
      <c r="K324" t="s">
        <v>117</v>
      </c>
      <c r="L324" t="s">
        <v>52</v>
      </c>
      <c r="M324">
        <v>184226</v>
      </c>
      <c r="N324" s="1">
        <v>45165</v>
      </c>
      <c r="O324" t="s">
        <v>28</v>
      </c>
      <c r="P324">
        <v>4</v>
      </c>
      <c r="Q324">
        <v>262377.01</v>
      </c>
    </row>
    <row r="325" spans="1:17" x14ac:dyDescent="0.3">
      <c r="A325" t="s">
        <v>979</v>
      </c>
      <c r="B325" t="s">
        <v>74</v>
      </c>
      <c r="C325" s="2" t="str">
        <f>PROPER(TRIM(Table1[[#This Row],[Gender]]))</f>
        <v>Male</v>
      </c>
      <c r="D325" t="s">
        <v>16</v>
      </c>
      <c r="E325">
        <v>22</v>
      </c>
      <c r="F325" t="s">
        <v>49</v>
      </c>
      <c r="G325" s="1">
        <v>37628</v>
      </c>
      <c r="H325" t="s">
        <v>980</v>
      </c>
      <c r="I325" s="2" t="str">
        <f t="shared" si="5"/>
        <v>+91-7707988847</v>
      </c>
      <c r="J325">
        <f>91-7707988938</f>
        <v>-7707988847</v>
      </c>
      <c r="K325" t="s">
        <v>89</v>
      </c>
      <c r="L325" t="s">
        <v>90</v>
      </c>
      <c r="M325">
        <v>628102</v>
      </c>
      <c r="N325" s="1">
        <v>45204</v>
      </c>
      <c r="O325" t="s">
        <v>28</v>
      </c>
      <c r="P325">
        <v>2</v>
      </c>
      <c r="Q325">
        <v>64473.94</v>
      </c>
    </row>
    <row r="326" spans="1:17" x14ac:dyDescent="0.3">
      <c r="A326" t="s">
        <v>981</v>
      </c>
      <c r="B326" t="s">
        <v>982</v>
      </c>
      <c r="C326" s="2" t="str">
        <f>PROPER(TRIM(Table1[[#This Row],[Gender]]))</f>
        <v>Male</v>
      </c>
      <c r="D326" t="s">
        <v>16</v>
      </c>
      <c r="E326">
        <v>30</v>
      </c>
      <c r="F326" t="s">
        <v>31</v>
      </c>
      <c r="G326" s="1">
        <v>34708</v>
      </c>
      <c r="H326" t="s">
        <v>983</v>
      </c>
      <c r="I326" s="2" t="str">
        <f t="shared" si="5"/>
        <v>+91-9629728132</v>
      </c>
      <c r="J326">
        <f>91-9629728223</f>
        <v>-9629728132</v>
      </c>
      <c r="K326" t="s">
        <v>72</v>
      </c>
      <c r="L326" t="s">
        <v>34</v>
      </c>
      <c r="M326">
        <v>860220</v>
      </c>
      <c r="N326" s="1">
        <v>45257</v>
      </c>
      <c r="O326" t="s">
        <v>28</v>
      </c>
      <c r="P326">
        <v>5</v>
      </c>
      <c r="Q326">
        <v>65198.15</v>
      </c>
    </row>
    <row r="327" spans="1:17" x14ac:dyDescent="0.3">
      <c r="A327" t="s">
        <v>984</v>
      </c>
      <c r="B327" t="s">
        <v>985</v>
      </c>
      <c r="C327" s="2" t="str">
        <f>PROPER(TRIM(Table1[[#This Row],[Gender]]))</f>
        <v>Male</v>
      </c>
      <c r="D327" t="s">
        <v>16</v>
      </c>
      <c r="E327">
        <v>62</v>
      </c>
      <c r="F327" t="s">
        <v>58</v>
      </c>
      <c r="G327" s="1">
        <v>23028</v>
      </c>
      <c r="H327" t="s">
        <v>986</v>
      </c>
      <c r="I327" s="2" t="str">
        <f t="shared" si="5"/>
        <v>+91-9253771022</v>
      </c>
      <c r="J327">
        <f>91-9253771113</f>
        <v>-9253771022</v>
      </c>
      <c r="K327" t="s">
        <v>121</v>
      </c>
      <c r="L327" t="s">
        <v>85</v>
      </c>
      <c r="M327">
        <v>433197</v>
      </c>
      <c r="N327" s="1">
        <v>45354</v>
      </c>
      <c r="O327" t="s">
        <v>21</v>
      </c>
      <c r="P327">
        <v>5</v>
      </c>
      <c r="Q327">
        <v>31564.68</v>
      </c>
    </row>
    <row r="328" spans="1:17" x14ac:dyDescent="0.3">
      <c r="A328" t="s">
        <v>987</v>
      </c>
      <c r="B328" t="s">
        <v>988</v>
      </c>
      <c r="C328" s="2" t="str">
        <f>PROPER(TRIM(Table1[[#This Row],[Gender]]))</f>
        <v>Male</v>
      </c>
      <c r="D328" t="s">
        <v>16</v>
      </c>
      <c r="E328">
        <v>28</v>
      </c>
      <c r="F328" t="s">
        <v>31</v>
      </c>
      <c r="G328" s="1">
        <v>35438</v>
      </c>
      <c r="H328" t="s">
        <v>989</v>
      </c>
      <c r="I328" s="2" t="str">
        <f t="shared" si="5"/>
        <v>+91-7395016357</v>
      </c>
      <c r="J328">
        <f>91-7395016448</f>
        <v>-7395016357</v>
      </c>
      <c r="K328" t="s">
        <v>125</v>
      </c>
      <c r="L328" t="s">
        <v>52</v>
      </c>
      <c r="M328">
        <v>738378</v>
      </c>
      <c r="N328" s="1">
        <v>45260</v>
      </c>
      <c r="O328" t="s">
        <v>21</v>
      </c>
      <c r="P328">
        <v>2</v>
      </c>
      <c r="Q328">
        <v>42712.65</v>
      </c>
    </row>
    <row r="329" spans="1:17" x14ac:dyDescent="0.3">
      <c r="A329" t="s">
        <v>990</v>
      </c>
      <c r="B329" t="s">
        <v>991</v>
      </c>
      <c r="C329" s="2" t="str">
        <f>PROPER(TRIM(Table1[[#This Row],[Gender]]))</f>
        <v>Female</v>
      </c>
      <c r="D329" t="s">
        <v>43</v>
      </c>
      <c r="E329">
        <v>41</v>
      </c>
      <c r="F329" t="s">
        <v>38</v>
      </c>
      <c r="G329" s="1">
        <v>30693</v>
      </c>
      <c r="H329" t="s">
        <v>992</v>
      </c>
      <c r="I329" s="2" t="str">
        <f t="shared" si="5"/>
        <v>+91-7318255392</v>
      </c>
      <c r="J329">
        <f>91-7318255483</f>
        <v>-7318255392</v>
      </c>
      <c r="K329" t="s">
        <v>174</v>
      </c>
      <c r="L329" t="s">
        <v>90</v>
      </c>
      <c r="M329">
        <v>882733</v>
      </c>
      <c r="N329" s="1">
        <v>45158</v>
      </c>
      <c r="O329" t="s">
        <v>35</v>
      </c>
      <c r="P329">
        <v>1</v>
      </c>
      <c r="Q329">
        <v>3695.52</v>
      </c>
    </row>
    <row r="330" spans="1:17" x14ac:dyDescent="0.3">
      <c r="A330" t="s">
        <v>993</v>
      </c>
      <c r="B330" t="s">
        <v>163</v>
      </c>
      <c r="C330" s="2" t="str">
        <f>PROPER(TRIM(Table1[[#This Row],[Gender]]))</f>
        <v>Female</v>
      </c>
      <c r="D330" t="s">
        <v>43</v>
      </c>
      <c r="E330">
        <v>41</v>
      </c>
      <c r="F330" t="s">
        <v>38</v>
      </c>
      <c r="G330" s="1">
        <v>30693</v>
      </c>
      <c r="H330" t="s">
        <v>994</v>
      </c>
      <c r="I330" s="2" t="str">
        <f t="shared" si="5"/>
        <v>+91-9264960852</v>
      </c>
      <c r="J330">
        <f>91-9264960943</f>
        <v>-9264960852</v>
      </c>
      <c r="K330" t="s">
        <v>331</v>
      </c>
      <c r="L330" t="s">
        <v>143</v>
      </c>
      <c r="M330">
        <v>317990</v>
      </c>
      <c r="N330" s="1">
        <v>45368</v>
      </c>
      <c r="O330" t="s">
        <v>28</v>
      </c>
      <c r="P330">
        <v>5</v>
      </c>
      <c r="Q330">
        <v>110634.71</v>
      </c>
    </row>
    <row r="331" spans="1:17" x14ac:dyDescent="0.3">
      <c r="A331" t="s">
        <v>995</v>
      </c>
      <c r="B331" t="s">
        <v>890</v>
      </c>
      <c r="C331" s="2" t="str">
        <f>PROPER(TRIM(Table1[[#This Row],[Gender]]))</f>
        <v>Female</v>
      </c>
      <c r="D331" t="s">
        <v>43</v>
      </c>
      <c r="E331">
        <v>42</v>
      </c>
      <c r="F331" t="s">
        <v>38</v>
      </c>
      <c r="G331" s="1">
        <v>30328</v>
      </c>
      <c r="H331" t="s">
        <v>996</v>
      </c>
      <c r="I331" s="2" t="str">
        <f t="shared" si="5"/>
        <v>+91-8665601180</v>
      </c>
      <c r="J331">
        <f>91-8665601271</f>
        <v>-8665601180</v>
      </c>
      <c r="K331" t="s">
        <v>80</v>
      </c>
      <c r="L331" t="s">
        <v>20</v>
      </c>
      <c r="M331">
        <v>479285</v>
      </c>
      <c r="N331" s="1">
        <v>45177</v>
      </c>
      <c r="O331" t="s">
        <v>28</v>
      </c>
      <c r="P331">
        <v>5</v>
      </c>
      <c r="Q331">
        <v>117309.48</v>
      </c>
    </row>
    <row r="332" spans="1:17" x14ac:dyDescent="0.3">
      <c r="A332" t="s">
        <v>997</v>
      </c>
      <c r="B332" t="s">
        <v>998</v>
      </c>
      <c r="C332" s="2" t="str">
        <f>PROPER(TRIM(Table1[[#This Row],[Gender]]))</f>
        <v>Female</v>
      </c>
      <c r="D332" t="s">
        <v>43</v>
      </c>
      <c r="E332">
        <v>29</v>
      </c>
      <c r="F332" t="s">
        <v>31</v>
      </c>
      <c r="G332" s="1">
        <v>35073</v>
      </c>
      <c r="H332" t="s">
        <v>999</v>
      </c>
      <c r="I332" s="2" t="str">
        <f t="shared" si="5"/>
        <v>+91-7738138103</v>
      </c>
      <c r="J332">
        <f>91-7738138194</f>
        <v>-7738138103</v>
      </c>
      <c r="K332" t="s">
        <v>60</v>
      </c>
      <c r="L332" t="s">
        <v>34</v>
      </c>
      <c r="M332">
        <v>834106</v>
      </c>
      <c r="N332" s="1">
        <v>45114</v>
      </c>
      <c r="O332" t="s">
        <v>28</v>
      </c>
      <c r="P332">
        <v>7</v>
      </c>
      <c r="Q332">
        <v>139598.19</v>
      </c>
    </row>
    <row r="333" spans="1:17" x14ac:dyDescent="0.3">
      <c r="A333" t="s">
        <v>1000</v>
      </c>
      <c r="B333" t="s">
        <v>1001</v>
      </c>
      <c r="C333" s="2" t="str">
        <f>PROPER(TRIM(Table1[[#This Row],[Gender]]))</f>
        <v>Female</v>
      </c>
      <c r="D333" t="s">
        <v>43</v>
      </c>
      <c r="E333">
        <v>23</v>
      </c>
      <c r="F333" t="s">
        <v>49</v>
      </c>
      <c r="G333" s="1">
        <v>37263</v>
      </c>
      <c r="H333" t="s">
        <v>1002</v>
      </c>
      <c r="I333" s="2" t="str">
        <f t="shared" si="5"/>
        <v>+91-8150187654</v>
      </c>
      <c r="J333">
        <f>91-8150187745</f>
        <v>-8150187654</v>
      </c>
      <c r="K333" t="s">
        <v>19</v>
      </c>
      <c r="L333" t="s">
        <v>20</v>
      </c>
      <c r="M333">
        <v>401470</v>
      </c>
      <c r="N333" s="1">
        <v>45143</v>
      </c>
      <c r="O333" t="s">
        <v>28</v>
      </c>
      <c r="P333">
        <v>3</v>
      </c>
      <c r="Q333">
        <v>125759.14</v>
      </c>
    </row>
    <row r="334" spans="1:17" x14ac:dyDescent="0.3">
      <c r="A334" t="s">
        <v>1003</v>
      </c>
      <c r="B334" t="s">
        <v>1004</v>
      </c>
      <c r="C334" s="2" t="str">
        <f>PROPER(TRIM(Table1[[#This Row],[Gender]]))</f>
        <v>Female</v>
      </c>
      <c r="D334" t="s">
        <v>43</v>
      </c>
      <c r="E334">
        <v>62</v>
      </c>
      <c r="F334" t="s">
        <v>58</v>
      </c>
      <c r="G334" s="1">
        <v>23028</v>
      </c>
      <c r="H334" t="s">
        <v>1005</v>
      </c>
      <c r="I334" s="2" t="str">
        <f t="shared" si="5"/>
        <v>+91-7897423078</v>
      </c>
      <c r="J334">
        <f>91-7897423169</f>
        <v>-7897423078</v>
      </c>
      <c r="K334" t="s">
        <v>178</v>
      </c>
      <c r="L334" t="s">
        <v>27</v>
      </c>
      <c r="M334">
        <v>203956</v>
      </c>
      <c r="N334" s="1">
        <v>45263</v>
      </c>
      <c r="O334" t="s">
        <v>28</v>
      </c>
      <c r="P334">
        <v>9</v>
      </c>
      <c r="Q334">
        <v>96821.440000000002</v>
      </c>
    </row>
    <row r="335" spans="1:17" x14ac:dyDescent="0.3">
      <c r="A335" t="s">
        <v>1006</v>
      </c>
      <c r="B335" t="s">
        <v>1007</v>
      </c>
      <c r="C335" s="2" t="str">
        <f>PROPER(TRIM(Table1[[#This Row],[Gender]]))</f>
        <v>Male</v>
      </c>
      <c r="D335" t="s">
        <v>16</v>
      </c>
      <c r="E335">
        <v>41</v>
      </c>
      <c r="F335" t="s">
        <v>38</v>
      </c>
      <c r="G335" s="1">
        <v>30693</v>
      </c>
      <c r="H335" t="s">
        <v>1008</v>
      </c>
      <c r="I335" s="2" t="str">
        <f t="shared" si="5"/>
        <v>+91-9283553088</v>
      </c>
      <c r="J335">
        <f>91-9283553179</f>
        <v>-9283553088</v>
      </c>
      <c r="K335" t="s">
        <v>45</v>
      </c>
      <c r="L335" t="s">
        <v>46</v>
      </c>
      <c r="M335">
        <v>106756</v>
      </c>
      <c r="N335" s="1">
        <v>45293</v>
      </c>
      <c r="O335" t="s">
        <v>28</v>
      </c>
      <c r="P335">
        <v>5</v>
      </c>
      <c r="Q335">
        <v>189616.5</v>
      </c>
    </row>
    <row r="336" spans="1:17" x14ac:dyDescent="0.3">
      <c r="A336" t="s">
        <v>1009</v>
      </c>
      <c r="B336" t="s">
        <v>193</v>
      </c>
      <c r="C336" s="2" t="str">
        <f>PROPER(TRIM(Table1[[#This Row],[Gender]]))</f>
        <v>Male</v>
      </c>
      <c r="D336" t="s">
        <v>16</v>
      </c>
      <c r="E336">
        <v>61</v>
      </c>
      <c r="F336" t="s">
        <v>58</v>
      </c>
      <c r="G336" s="1">
        <v>23393</v>
      </c>
      <c r="H336" t="s">
        <v>1010</v>
      </c>
      <c r="I336" s="2" t="str">
        <f t="shared" si="5"/>
        <v>+91-7092777168</v>
      </c>
      <c r="J336">
        <f>91-7092777259</f>
        <v>-7092777168</v>
      </c>
      <c r="K336" t="s">
        <v>239</v>
      </c>
      <c r="L336" t="s">
        <v>191</v>
      </c>
      <c r="M336">
        <v>161368</v>
      </c>
      <c r="N336" s="1">
        <v>45309</v>
      </c>
      <c r="O336" t="s">
        <v>35</v>
      </c>
      <c r="P336">
        <v>3</v>
      </c>
      <c r="Q336">
        <v>2557.7800000000002</v>
      </c>
    </row>
    <row r="337" spans="1:17" x14ac:dyDescent="0.3">
      <c r="A337" t="s">
        <v>1011</v>
      </c>
      <c r="B337" t="s">
        <v>1012</v>
      </c>
      <c r="C337" s="2" t="str">
        <f>PROPER(TRIM(Table1[[#This Row],[Gender]]))</f>
        <v>Male</v>
      </c>
      <c r="D337" t="s">
        <v>16</v>
      </c>
      <c r="E337">
        <v>34</v>
      </c>
      <c r="F337" t="s">
        <v>31</v>
      </c>
      <c r="G337" s="1">
        <v>33248</v>
      </c>
      <c r="H337" t="s">
        <v>1013</v>
      </c>
      <c r="I337" s="2" t="str">
        <f t="shared" si="5"/>
        <v>+91-9997068784</v>
      </c>
      <c r="J337">
        <f>91-9997068875</f>
        <v>-9997068784</v>
      </c>
      <c r="K337" t="s">
        <v>161</v>
      </c>
      <c r="L337" t="s">
        <v>102</v>
      </c>
      <c r="M337">
        <v>863826</v>
      </c>
      <c r="N337" s="1">
        <v>45095</v>
      </c>
      <c r="O337" t="s">
        <v>28</v>
      </c>
      <c r="P337">
        <v>5</v>
      </c>
      <c r="Q337">
        <v>140098.70000000001</v>
      </c>
    </row>
    <row r="338" spans="1:17" x14ac:dyDescent="0.3">
      <c r="A338" t="s">
        <v>1014</v>
      </c>
      <c r="B338" t="s">
        <v>1015</v>
      </c>
      <c r="C338" s="2" t="str">
        <f>PROPER(TRIM(Table1[[#This Row],[Gender]]))</f>
        <v>Male</v>
      </c>
      <c r="D338" t="s">
        <v>16</v>
      </c>
      <c r="E338">
        <v>20</v>
      </c>
      <c r="F338" t="s">
        <v>49</v>
      </c>
      <c r="G338" s="1">
        <v>38358</v>
      </c>
      <c r="H338" t="s">
        <v>1016</v>
      </c>
      <c r="I338" s="2" t="str">
        <f t="shared" si="5"/>
        <v>+91-7409156311</v>
      </c>
      <c r="J338">
        <f>91-7409156402</f>
        <v>-7409156311</v>
      </c>
      <c r="K338" t="s">
        <v>580</v>
      </c>
      <c r="L338" t="s">
        <v>85</v>
      </c>
      <c r="M338">
        <v>546782</v>
      </c>
      <c r="N338" s="1">
        <v>45314</v>
      </c>
      <c r="O338" t="s">
        <v>28</v>
      </c>
      <c r="P338">
        <v>5</v>
      </c>
      <c r="Q338">
        <v>413891.99</v>
      </c>
    </row>
    <row r="339" spans="1:17" x14ac:dyDescent="0.3">
      <c r="A339" t="s">
        <v>1017</v>
      </c>
      <c r="B339" t="s">
        <v>487</v>
      </c>
      <c r="C339" s="2" t="str">
        <f>PROPER(TRIM(Table1[[#This Row],[Gender]]))</f>
        <v>Female</v>
      </c>
      <c r="D339" t="s">
        <v>43</v>
      </c>
      <c r="E339">
        <v>50</v>
      </c>
      <c r="F339" t="s">
        <v>17</v>
      </c>
      <c r="G339" s="1">
        <v>27408</v>
      </c>
      <c r="H339" t="s">
        <v>1018</v>
      </c>
      <c r="I339" s="2" t="str">
        <f t="shared" si="5"/>
        <v>+91-7399147470</v>
      </c>
      <c r="J339">
        <f>91-7399147561</f>
        <v>-7399147470</v>
      </c>
      <c r="K339" t="s">
        <v>26</v>
      </c>
      <c r="L339" t="s">
        <v>27</v>
      </c>
      <c r="M339">
        <v>706212</v>
      </c>
      <c r="N339" s="1">
        <v>45158</v>
      </c>
      <c r="O339" t="s">
        <v>21</v>
      </c>
      <c r="P339">
        <v>3</v>
      </c>
      <c r="Q339">
        <v>44706.7</v>
      </c>
    </row>
    <row r="340" spans="1:17" x14ac:dyDescent="0.3">
      <c r="A340" t="s">
        <v>1019</v>
      </c>
      <c r="B340" t="s">
        <v>301</v>
      </c>
      <c r="C340" s="2" t="str">
        <f>PROPER(TRIM(Table1[[#This Row],[Gender]]))</f>
        <v>Male</v>
      </c>
      <c r="D340" t="s">
        <v>16</v>
      </c>
      <c r="E340">
        <v>21</v>
      </c>
      <c r="F340" t="s">
        <v>49</v>
      </c>
      <c r="G340" s="1">
        <v>37993</v>
      </c>
      <c r="H340" t="s">
        <v>1020</v>
      </c>
      <c r="I340" s="2" t="str">
        <f t="shared" si="5"/>
        <v>+91-9171719762</v>
      </c>
      <c r="J340">
        <f>91-9171719853</f>
        <v>-9171719762</v>
      </c>
      <c r="K340" t="s">
        <v>76</v>
      </c>
      <c r="L340" t="s">
        <v>46</v>
      </c>
      <c r="M340">
        <v>652350</v>
      </c>
      <c r="N340" s="1">
        <v>45113</v>
      </c>
      <c r="O340" t="s">
        <v>35</v>
      </c>
      <c r="P340">
        <v>4</v>
      </c>
      <c r="Q340">
        <v>17209.02</v>
      </c>
    </row>
    <row r="341" spans="1:17" x14ac:dyDescent="0.3">
      <c r="A341" t="s">
        <v>1021</v>
      </c>
      <c r="B341" t="s">
        <v>1022</v>
      </c>
      <c r="C341" s="2" t="str">
        <f>PROPER(TRIM(Table1[[#This Row],[Gender]]))</f>
        <v>Female</v>
      </c>
      <c r="D341" t="s">
        <v>43</v>
      </c>
      <c r="E341">
        <v>18</v>
      </c>
      <c r="F341" t="s">
        <v>49</v>
      </c>
      <c r="G341" s="1">
        <v>39088</v>
      </c>
      <c r="H341" t="s">
        <v>1023</v>
      </c>
      <c r="I341" s="2" t="str">
        <f t="shared" si="5"/>
        <v>+91-7217394715</v>
      </c>
      <c r="J341">
        <f>91-7217394806</f>
        <v>-7217394715</v>
      </c>
      <c r="K341" t="s">
        <v>147</v>
      </c>
      <c r="L341" t="s">
        <v>143</v>
      </c>
      <c r="M341">
        <v>920103</v>
      </c>
      <c r="N341" s="1">
        <v>45373</v>
      </c>
      <c r="O341" t="s">
        <v>28</v>
      </c>
      <c r="P341">
        <v>6</v>
      </c>
      <c r="Q341">
        <v>196092.81</v>
      </c>
    </row>
    <row r="342" spans="1:17" x14ac:dyDescent="0.3">
      <c r="A342" t="s">
        <v>1024</v>
      </c>
      <c r="B342" t="s">
        <v>1025</v>
      </c>
      <c r="C342" s="2" t="str">
        <f>PROPER(TRIM(Table1[[#This Row],[Gender]]))</f>
        <v>Female</v>
      </c>
      <c r="D342" t="s">
        <v>43</v>
      </c>
      <c r="E342">
        <v>23</v>
      </c>
      <c r="F342" t="s">
        <v>49</v>
      </c>
      <c r="G342" s="1">
        <v>37263</v>
      </c>
      <c r="H342" t="s">
        <v>1026</v>
      </c>
      <c r="I342" s="2" t="str">
        <f t="shared" si="5"/>
        <v>+91-9941199113</v>
      </c>
      <c r="J342">
        <f>91-9941199204</f>
        <v>-9941199113</v>
      </c>
      <c r="K342" t="s">
        <v>64</v>
      </c>
      <c r="L342" t="s">
        <v>20</v>
      </c>
      <c r="M342">
        <v>438064</v>
      </c>
      <c r="N342" s="1">
        <v>45332</v>
      </c>
      <c r="O342" t="s">
        <v>28</v>
      </c>
      <c r="P342">
        <v>5</v>
      </c>
      <c r="Q342">
        <v>105230.74</v>
      </c>
    </row>
    <row r="343" spans="1:17" x14ac:dyDescent="0.3">
      <c r="A343" t="s">
        <v>1027</v>
      </c>
      <c r="B343" t="s">
        <v>1028</v>
      </c>
      <c r="C343" s="2" t="str">
        <f>PROPER(TRIM(Table1[[#This Row],[Gender]]))</f>
        <v>Male</v>
      </c>
      <c r="D343" t="s">
        <v>16</v>
      </c>
      <c r="E343">
        <v>20</v>
      </c>
      <c r="F343" t="s">
        <v>49</v>
      </c>
      <c r="G343" s="1">
        <v>38358</v>
      </c>
      <c r="H343" t="s">
        <v>1029</v>
      </c>
      <c r="I343" s="2" t="str">
        <f t="shared" si="5"/>
        <v>+91-7837174921</v>
      </c>
      <c r="J343">
        <f>91-7837175012</f>
        <v>-7837174921</v>
      </c>
      <c r="K343" t="s">
        <v>239</v>
      </c>
      <c r="L343" t="s">
        <v>191</v>
      </c>
      <c r="M343">
        <v>770803</v>
      </c>
      <c r="N343" s="1">
        <v>45083</v>
      </c>
      <c r="O343" t="s">
        <v>28</v>
      </c>
      <c r="P343">
        <v>4</v>
      </c>
      <c r="Q343">
        <v>189845.72</v>
      </c>
    </row>
    <row r="344" spans="1:17" x14ac:dyDescent="0.3">
      <c r="A344" t="s">
        <v>1030</v>
      </c>
      <c r="B344" t="s">
        <v>546</v>
      </c>
      <c r="C344" s="2" t="str">
        <f>PROPER(TRIM(Table1[[#This Row],[Gender]]))</f>
        <v>Female</v>
      </c>
      <c r="D344" t="s">
        <v>43</v>
      </c>
      <c r="E344">
        <v>18</v>
      </c>
      <c r="F344" t="s">
        <v>49</v>
      </c>
      <c r="G344" s="1">
        <v>39088</v>
      </c>
      <c r="H344" t="s">
        <v>1031</v>
      </c>
      <c r="I344" s="2" t="str">
        <f t="shared" si="5"/>
        <v>+91-9266607862</v>
      </c>
      <c r="J344">
        <f>91-9266607953</f>
        <v>-9266607862</v>
      </c>
      <c r="K344" t="s">
        <v>178</v>
      </c>
      <c r="L344" t="s">
        <v>27</v>
      </c>
      <c r="M344">
        <v>632827</v>
      </c>
      <c r="N344" s="1">
        <v>45211</v>
      </c>
      <c r="O344" t="s">
        <v>28</v>
      </c>
      <c r="P344">
        <v>7</v>
      </c>
      <c r="Q344">
        <v>163968.76999999999</v>
      </c>
    </row>
    <row r="345" spans="1:17" x14ac:dyDescent="0.3">
      <c r="A345" t="s">
        <v>1032</v>
      </c>
      <c r="B345" t="s">
        <v>281</v>
      </c>
      <c r="C345" s="2" t="str">
        <f>PROPER(TRIM(Table1[[#This Row],[Gender]]))</f>
        <v>Female</v>
      </c>
      <c r="D345" t="s">
        <v>43</v>
      </c>
      <c r="E345">
        <v>24</v>
      </c>
      <c r="F345" t="s">
        <v>49</v>
      </c>
      <c r="G345" s="1">
        <v>36898</v>
      </c>
      <c r="H345" t="s">
        <v>1033</v>
      </c>
      <c r="I345" s="2" t="str">
        <f t="shared" si="5"/>
        <v>+91-9847175186</v>
      </c>
      <c r="J345">
        <f>91-9847175277</f>
        <v>-9847175186</v>
      </c>
      <c r="K345" t="s">
        <v>80</v>
      </c>
      <c r="L345" t="s">
        <v>20</v>
      </c>
      <c r="M345">
        <v>311014</v>
      </c>
      <c r="N345" s="1">
        <v>45384</v>
      </c>
      <c r="O345" t="s">
        <v>28</v>
      </c>
      <c r="P345">
        <v>4</v>
      </c>
      <c r="Q345">
        <v>158077.96</v>
      </c>
    </row>
    <row r="346" spans="1:17" x14ac:dyDescent="0.3">
      <c r="A346" t="s">
        <v>1034</v>
      </c>
      <c r="B346" t="s">
        <v>683</v>
      </c>
      <c r="C346" s="2" t="str">
        <f>PROPER(TRIM(Table1[[#This Row],[Gender]]))</f>
        <v>Female</v>
      </c>
      <c r="D346" t="s">
        <v>43</v>
      </c>
      <c r="E346">
        <v>53</v>
      </c>
      <c r="F346" t="s">
        <v>17</v>
      </c>
      <c r="G346" s="1">
        <v>26313</v>
      </c>
      <c r="H346" t="s">
        <v>1035</v>
      </c>
      <c r="I346" s="2" t="str">
        <f t="shared" si="5"/>
        <v>+91-8688532112</v>
      </c>
      <c r="J346">
        <f>91-8688532203</f>
        <v>-8688532112</v>
      </c>
      <c r="K346" t="s">
        <v>125</v>
      </c>
      <c r="L346" t="s">
        <v>52</v>
      </c>
      <c r="M346">
        <v>603250</v>
      </c>
      <c r="N346" s="1">
        <v>45250</v>
      </c>
      <c r="O346" t="s">
        <v>21</v>
      </c>
      <c r="P346">
        <v>2</v>
      </c>
      <c r="Q346">
        <v>25653.31</v>
      </c>
    </row>
    <row r="347" spans="1:17" x14ac:dyDescent="0.3">
      <c r="A347" t="s">
        <v>1036</v>
      </c>
      <c r="B347" t="s">
        <v>1037</v>
      </c>
      <c r="C347" s="2" t="str">
        <f>PROPER(TRIM(Table1[[#This Row],[Gender]]))</f>
        <v>Male</v>
      </c>
      <c r="D347" t="s">
        <v>16</v>
      </c>
      <c r="E347">
        <v>29</v>
      </c>
      <c r="F347" t="s">
        <v>31</v>
      </c>
      <c r="G347" s="1">
        <v>35073</v>
      </c>
      <c r="H347" t="s">
        <v>1038</v>
      </c>
      <c r="I347" s="2" t="str">
        <f t="shared" si="5"/>
        <v>+91-8439855837</v>
      </c>
      <c r="J347">
        <f>91-8439855928</f>
        <v>-8439855837</v>
      </c>
      <c r="K347" t="s">
        <v>239</v>
      </c>
      <c r="L347" t="s">
        <v>191</v>
      </c>
      <c r="M347">
        <v>738735</v>
      </c>
      <c r="N347" s="1">
        <v>45207</v>
      </c>
      <c r="O347" t="s">
        <v>21</v>
      </c>
      <c r="P347">
        <v>4</v>
      </c>
      <c r="Q347">
        <v>49283.82</v>
      </c>
    </row>
    <row r="348" spans="1:17" x14ac:dyDescent="0.3">
      <c r="A348" t="s">
        <v>1039</v>
      </c>
      <c r="B348" t="s">
        <v>1040</v>
      </c>
      <c r="C348" s="2" t="str">
        <f>PROPER(TRIM(Table1[[#This Row],[Gender]]))</f>
        <v>Male</v>
      </c>
      <c r="D348" t="s">
        <v>16</v>
      </c>
      <c r="E348">
        <v>21</v>
      </c>
      <c r="F348" t="s">
        <v>49</v>
      </c>
      <c r="G348" s="1">
        <v>37993</v>
      </c>
      <c r="H348" t="s">
        <v>1041</v>
      </c>
      <c r="I348" s="2" t="str">
        <f t="shared" si="5"/>
        <v>+91-7195918775</v>
      </c>
      <c r="J348">
        <f>91-7195918866</f>
        <v>-7195918775</v>
      </c>
      <c r="K348" t="s">
        <v>249</v>
      </c>
      <c r="L348" t="s">
        <v>34</v>
      </c>
      <c r="M348">
        <v>585728</v>
      </c>
      <c r="N348" s="1">
        <v>45089</v>
      </c>
      <c r="O348" t="s">
        <v>35</v>
      </c>
      <c r="P348">
        <v>0</v>
      </c>
      <c r="Q348">
        <v>0</v>
      </c>
    </row>
    <row r="349" spans="1:17" x14ac:dyDescent="0.3">
      <c r="A349" t="s">
        <v>1042</v>
      </c>
      <c r="B349" t="s">
        <v>1043</v>
      </c>
      <c r="C349" s="2" t="str">
        <f>PROPER(TRIM(Table1[[#This Row],[Gender]]))</f>
        <v>Female</v>
      </c>
      <c r="D349" t="s">
        <v>43</v>
      </c>
      <c r="E349">
        <v>43</v>
      </c>
      <c r="F349" t="s">
        <v>38</v>
      </c>
      <c r="G349" s="1">
        <v>29963</v>
      </c>
      <c r="H349" t="s">
        <v>1044</v>
      </c>
      <c r="I349" s="2" t="str">
        <f t="shared" si="5"/>
        <v>+91-7874910936</v>
      </c>
      <c r="J349">
        <f>91-7874911027</f>
        <v>-7874910936</v>
      </c>
      <c r="K349" t="s">
        <v>249</v>
      </c>
      <c r="L349" t="s">
        <v>34</v>
      </c>
      <c r="M349">
        <v>256262</v>
      </c>
      <c r="N349" s="1">
        <v>45212</v>
      </c>
      <c r="O349" t="s">
        <v>28</v>
      </c>
      <c r="P349">
        <v>6</v>
      </c>
      <c r="Q349">
        <v>70964</v>
      </c>
    </row>
    <row r="350" spans="1:17" x14ac:dyDescent="0.3">
      <c r="A350" t="s">
        <v>1045</v>
      </c>
      <c r="B350" t="s">
        <v>1046</v>
      </c>
      <c r="C350" s="2" t="str">
        <f>PROPER(TRIM(Table1[[#This Row],[Gender]]))</f>
        <v>Female</v>
      </c>
      <c r="D350" t="s">
        <v>43</v>
      </c>
      <c r="E350">
        <v>39</v>
      </c>
      <c r="F350" t="s">
        <v>38</v>
      </c>
      <c r="G350" s="1">
        <v>31423</v>
      </c>
      <c r="H350" t="s">
        <v>1047</v>
      </c>
      <c r="I350" s="2" t="str">
        <f t="shared" si="5"/>
        <v>+91-7154264099</v>
      </c>
      <c r="J350">
        <f>91-7154264190</f>
        <v>-7154264099</v>
      </c>
      <c r="K350" t="s">
        <v>195</v>
      </c>
      <c r="L350" t="s">
        <v>102</v>
      </c>
      <c r="M350">
        <v>703260</v>
      </c>
      <c r="N350" s="1">
        <v>45136</v>
      </c>
      <c r="O350" t="s">
        <v>28</v>
      </c>
      <c r="P350">
        <v>3</v>
      </c>
      <c r="Q350">
        <v>117008.51</v>
      </c>
    </row>
    <row r="351" spans="1:17" x14ac:dyDescent="0.3">
      <c r="A351" t="s">
        <v>1048</v>
      </c>
      <c r="B351" t="s">
        <v>493</v>
      </c>
      <c r="C351" s="2" t="str">
        <f>PROPER(TRIM(Table1[[#This Row],[Gender]]))</f>
        <v>Female</v>
      </c>
      <c r="D351" t="s">
        <v>43</v>
      </c>
      <c r="E351">
        <v>21</v>
      </c>
      <c r="F351" t="s">
        <v>49</v>
      </c>
      <c r="G351" s="1">
        <v>37993</v>
      </c>
      <c r="H351" t="s">
        <v>1049</v>
      </c>
      <c r="I351" s="2" t="str">
        <f t="shared" si="5"/>
        <v>+91-8665634088</v>
      </c>
      <c r="J351">
        <f>91-8665634179</f>
        <v>-8665634088</v>
      </c>
      <c r="K351" t="s">
        <v>84</v>
      </c>
      <c r="L351" t="s">
        <v>85</v>
      </c>
      <c r="M351">
        <v>157028</v>
      </c>
      <c r="N351" s="1">
        <v>45089</v>
      </c>
      <c r="O351" t="s">
        <v>21</v>
      </c>
      <c r="P351">
        <v>2</v>
      </c>
      <c r="Q351">
        <v>48294.91</v>
      </c>
    </row>
    <row r="352" spans="1:17" x14ac:dyDescent="0.3">
      <c r="A352" t="s">
        <v>1050</v>
      </c>
      <c r="B352" t="s">
        <v>1051</v>
      </c>
      <c r="C352" s="2" t="str">
        <f>PROPER(TRIM(Table1[[#This Row],[Gender]]))</f>
        <v>Male</v>
      </c>
      <c r="D352" t="s">
        <v>16</v>
      </c>
      <c r="E352">
        <v>34</v>
      </c>
      <c r="F352" t="s">
        <v>31</v>
      </c>
      <c r="G352" s="1">
        <v>33248</v>
      </c>
      <c r="H352" t="s">
        <v>1052</v>
      </c>
      <c r="I352" s="2" t="str">
        <f t="shared" si="5"/>
        <v>+91-9730055829</v>
      </c>
      <c r="J352">
        <f>91-9730055920</f>
        <v>-9730055829</v>
      </c>
      <c r="K352" t="s">
        <v>72</v>
      </c>
      <c r="L352" t="s">
        <v>34</v>
      </c>
      <c r="M352">
        <v>833007</v>
      </c>
      <c r="N352" s="1">
        <v>45428</v>
      </c>
      <c r="O352" t="s">
        <v>28</v>
      </c>
      <c r="P352">
        <v>5</v>
      </c>
      <c r="Q352">
        <v>61818.559999999998</v>
      </c>
    </row>
    <row r="353" spans="1:17" x14ac:dyDescent="0.3">
      <c r="A353" t="s">
        <v>1053</v>
      </c>
      <c r="B353" t="s">
        <v>413</v>
      </c>
      <c r="C353" s="2" t="str">
        <f>PROPER(TRIM(Table1[[#This Row],[Gender]]))</f>
        <v>Female</v>
      </c>
      <c r="D353" t="s">
        <v>43</v>
      </c>
      <c r="E353">
        <v>34</v>
      </c>
      <c r="F353" t="s">
        <v>31</v>
      </c>
      <c r="G353" s="1">
        <v>33248</v>
      </c>
      <c r="H353" t="s">
        <v>1054</v>
      </c>
      <c r="I353" s="2" t="str">
        <f t="shared" si="5"/>
        <v>+91-8627713988</v>
      </c>
      <c r="J353">
        <f>91-8627714079</f>
        <v>-8627713988</v>
      </c>
      <c r="K353" t="s">
        <v>190</v>
      </c>
      <c r="L353" t="s">
        <v>191</v>
      </c>
      <c r="M353">
        <v>521008</v>
      </c>
      <c r="N353" s="1">
        <v>45381</v>
      </c>
      <c r="O353" t="s">
        <v>28</v>
      </c>
      <c r="P353">
        <v>4</v>
      </c>
      <c r="Q353">
        <v>89999.05</v>
      </c>
    </row>
    <row r="354" spans="1:17" x14ac:dyDescent="0.3">
      <c r="A354" t="s">
        <v>1055</v>
      </c>
      <c r="B354" t="s">
        <v>1028</v>
      </c>
      <c r="C354" s="2" t="str">
        <f>PROPER(TRIM(Table1[[#This Row],[Gender]]))</f>
        <v>Male</v>
      </c>
      <c r="D354" t="s">
        <v>16</v>
      </c>
      <c r="E354">
        <v>42</v>
      </c>
      <c r="F354" t="s">
        <v>38</v>
      </c>
      <c r="G354" s="1">
        <v>30328</v>
      </c>
      <c r="H354" t="s">
        <v>1056</v>
      </c>
      <c r="I354" s="2" t="str">
        <f t="shared" si="5"/>
        <v>+91-8737288186</v>
      </c>
      <c r="J354">
        <f>91-8737288277</f>
        <v>-8737288186</v>
      </c>
      <c r="K354" t="s">
        <v>40</v>
      </c>
      <c r="L354" t="s">
        <v>27</v>
      </c>
      <c r="M354">
        <v>415466</v>
      </c>
      <c r="N354" s="1">
        <v>45237</v>
      </c>
      <c r="O354" t="s">
        <v>21</v>
      </c>
      <c r="P354">
        <v>7</v>
      </c>
      <c r="Q354">
        <v>45540.62</v>
      </c>
    </row>
    <row r="355" spans="1:17" x14ac:dyDescent="0.3">
      <c r="A355" t="s">
        <v>1057</v>
      </c>
      <c r="B355" t="s">
        <v>1058</v>
      </c>
      <c r="C355" s="2" t="str">
        <f>PROPER(TRIM(Table1[[#This Row],[Gender]]))</f>
        <v>Male</v>
      </c>
      <c r="D355" t="s">
        <v>16</v>
      </c>
      <c r="E355">
        <v>28</v>
      </c>
      <c r="F355" t="s">
        <v>31</v>
      </c>
      <c r="G355" s="1">
        <v>35438</v>
      </c>
      <c r="H355" t="s">
        <v>1059</v>
      </c>
      <c r="I355" s="2" t="str">
        <f t="shared" si="5"/>
        <v>+91-9797535136</v>
      </c>
      <c r="J355">
        <f>91-9797535227</f>
        <v>-9797535136</v>
      </c>
      <c r="K355" t="s">
        <v>147</v>
      </c>
      <c r="L355" t="s">
        <v>143</v>
      </c>
      <c r="M355">
        <v>313459</v>
      </c>
      <c r="N355" s="1">
        <v>45214</v>
      </c>
      <c r="O355" t="s">
        <v>28</v>
      </c>
      <c r="P355">
        <v>7</v>
      </c>
      <c r="Q355">
        <v>147930.35</v>
      </c>
    </row>
    <row r="356" spans="1:17" x14ac:dyDescent="0.3">
      <c r="A356" t="s">
        <v>1060</v>
      </c>
      <c r="B356" t="s">
        <v>1061</v>
      </c>
      <c r="C356" s="2" t="str">
        <f>PROPER(TRIM(Table1[[#This Row],[Gender]]))</f>
        <v>Male</v>
      </c>
      <c r="D356" t="s">
        <v>16</v>
      </c>
      <c r="E356">
        <v>19</v>
      </c>
      <c r="F356" t="s">
        <v>49</v>
      </c>
      <c r="G356" s="1">
        <v>38723</v>
      </c>
      <c r="H356" t="s">
        <v>1062</v>
      </c>
      <c r="I356" s="2" t="str">
        <f t="shared" si="5"/>
        <v>+91-8444304981</v>
      </c>
      <c r="J356">
        <f>91-8444305072</f>
        <v>-8444304981</v>
      </c>
      <c r="K356" t="s">
        <v>40</v>
      </c>
      <c r="L356" t="s">
        <v>27</v>
      </c>
      <c r="M356">
        <v>747420</v>
      </c>
      <c r="N356" s="1">
        <v>45148</v>
      </c>
      <c r="O356" t="s">
        <v>28</v>
      </c>
      <c r="P356">
        <v>6</v>
      </c>
      <c r="Q356">
        <v>119630.16</v>
      </c>
    </row>
    <row r="357" spans="1:17" x14ac:dyDescent="0.3">
      <c r="A357" t="s">
        <v>1063</v>
      </c>
      <c r="B357" t="s">
        <v>244</v>
      </c>
      <c r="C357" s="2" t="str">
        <f>PROPER(TRIM(Table1[[#This Row],[Gender]]))</f>
        <v>Male</v>
      </c>
      <c r="D357" t="s">
        <v>16</v>
      </c>
      <c r="E357">
        <v>37</v>
      </c>
      <c r="F357" t="s">
        <v>38</v>
      </c>
      <c r="G357" s="1">
        <v>32153</v>
      </c>
      <c r="H357" t="s">
        <v>1064</v>
      </c>
      <c r="I357" s="2" t="str">
        <f t="shared" si="5"/>
        <v>+91-9805187455</v>
      </c>
      <c r="J357">
        <f>91-9805187546</f>
        <v>-9805187455</v>
      </c>
      <c r="K357" t="s">
        <v>178</v>
      </c>
      <c r="L357" t="s">
        <v>27</v>
      </c>
      <c r="M357">
        <v>275323</v>
      </c>
      <c r="N357" s="1">
        <v>45210</v>
      </c>
      <c r="O357" t="s">
        <v>28</v>
      </c>
      <c r="P357">
        <v>5</v>
      </c>
      <c r="Q357">
        <v>97592.09</v>
      </c>
    </row>
    <row r="358" spans="1:17" x14ac:dyDescent="0.3">
      <c r="A358" t="s">
        <v>1065</v>
      </c>
      <c r="B358" t="s">
        <v>265</v>
      </c>
      <c r="C358" s="2" t="str">
        <f>PROPER(TRIM(Table1[[#This Row],[Gender]]))</f>
        <v>Female</v>
      </c>
      <c r="D358" t="s">
        <v>43</v>
      </c>
      <c r="E358">
        <v>27</v>
      </c>
      <c r="F358" t="s">
        <v>31</v>
      </c>
      <c r="G358" s="1">
        <v>35803</v>
      </c>
      <c r="H358" t="s">
        <v>1066</v>
      </c>
      <c r="I358" s="2" t="str">
        <f t="shared" si="5"/>
        <v>+91-8467245768</v>
      </c>
      <c r="J358">
        <f>91-8467245859</f>
        <v>-8467245768</v>
      </c>
      <c r="K358" t="s">
        <v>19</v>
      </c>
      <c r="L358" t="s">
        <v>20</v>
      </c>
      <c r="M358">
        <v>328829</v>
      </c>
      <c r="N358" s="1">
        <v>45291</v>
      </c>
      <c r="O358" t="s">
        <v>28</v>
      </c>
      <c r="P358">
        <v>6</v>
      </c>
      <c r="Q358">
        <v>191236.55</v>
      </c>
    </row>
    <row r="359" spans="1:17" x14ac:dyDescent="0.3">
      <c r="A359" t="s">
        <v>1067</v>
      </c>
      <c r="B359" t="s">
        <v>1068</v>
      </c>
      <c r="C359" s="2" t="str">
        <f>PROPER(TRIM(Table1[[#This Row],[Gender]]))</f>
        <v>Male</v>
      </c>
      <c r="D359" t="s">
        <v>16</v>
      </c>
      <c r="E359">
        <v>51</v>
      </c>
      <c r="F359" t="s">
        <v>17</v>
      </c>
      <c r="G359" s="1">
        <v>27043</v>
      </c>
      <c r="H359" t="s">
        <v>1069</v>
      </c>
      <c r="I359" s="2" t="str">
        <f t="shared" si="5"/>
        <v>+91-9131732626</v>
      </c>
      <c r="J359">
        <f>91-9131732717</f>
        <v>-9131732626</v>
      </c>
      <c r="K359" t="s">
        <v>331</v>
      </c>
      <c r="L359" t="s">
        <v>143</v>
      </c>
      <c r="M359">
        <v>843393</v>
      </c>
      <c r="N359" s="1">
        <v>45418</v>
      </c>
      <c r="O359" t="s">
        <v>28</v>
      </c>
      <c r="P359">
        <v>3</v>
      </c>
      <c r="Q359">
        <v>65394.66</v>
      </c>
    </row>
    <row r="360" spans="1:17" x14ac:dyDescent="0.3">
      <c r="A360" t="s">
        <v>1070</v>
      </c>
      <c r="B360" t="s">
        <v>531</v>
      </c>
      <c r="C360" s="2" t="str">
        <f>PROPER(TRIM(Table1[[#This Row],[Gender]]))</f>
        <v>Male</v>
      </c>
      <c r="D360" t="s">
        <v>16</v>
      </c>
      <c r="E360">
        <v>51</v>
      </c>
      <c r="F360" t="s">
        <v>17</v>
      </c>
      <c r="G360" s="1">
        <v>27043</v>
      </c>
      <c r="H360" t="s">
        <v>1071</v>
      </c>
      <c r="I360" s="2" t="str">
        <f t="shared" si="5"/>
        <v>+91-8458682382</v>
      </c>
      <c r="J360">
        <f>91-8458682473</f>
        <v>-8458682382</v>
      </c>
      <c r="K360" t="s">
        <v>580</v>
      </c>
      <c r="L360" t="s">
        <v>85</v>
      </c>
      <c r="M360">
        <v>294783</v>
      </c>
      <c r="N360" s="1">
        <v>45154</v>
      </c>
      <c r="O360" t="s">
        <v>35</v>
      </c>
      <c r="P360">
        <v>0</v>
      </c>
      <c r="Q360">
        <v>0</v>
      </c>
    </row>
    <row r="361" spans="1:17" x14ac:dyDescent="0.3">
      <c r="A361" t="s">
        <v>1072</v>
      </c>
      <c r="B361" t="s">
        <v>1073</v>
      </c>
      <c r="C361" s="2" t="str">
        <f>PROPER(TRIM(Table1[[#This Row],[Gender]]))</f>
        <v>Female</v>
      </c>
      <c r="D361" t="s">
        <v>43</v>
      </c>
      <c r="E361">
        <v>52</v>
      </c>
      <c r="F361" t="s">
        <v>17</v>
      </c>
      <c r="G361" s="1">
        <v>26678</v>
      </c>
      <c r="H361" t="s">
        <v>1074</v>
      </c>
      <c r="I361" s="2" t="str">
        <f t="shared" si="5"/>
        <v>+91-7419512791</v>
      </c>
      <c r="J361">
        <f>91-7419512882</f>
        <v>-7419512791</v>
      </c>
      <c r="K361" t="s">
        <v>84</v>
      </c>
      <c r="L361" t="s">
        <v>85</v>
      </c>
      <c r="M361">
        <v>468490</v>
      </c>
      <c r="N361" s="1">
        <v>45147</v>
      </c>
      <c r="O361" t="s">
        <v>35</v>
      </c>
      <c r="P361">
        <v>4</v>
      </c>
      <c r="Q361">
        <v>6299.53</v>
      </c>
    </row>
    <row r="362" spans="1:17" x14ac:dyDescent="0.3">
      <c r="A362" t="s">
        <v>1075</v>
      </c>
      <c r="B362" t="s">
        <v>817</v>
      </c>
      <c r="C362" s="2" t="str">
        <f>PROPER(TRIM(Table1[[#This Row],[Gender]]))</f>
        <v>Male</v>
      </c>
      <c r="D362" t="s">
        <v>16</v>
      </c>
      <c r="E362">
        <v>19</v>
      </c>
      <c r="F362" t="s">
        <v>49</v>
      </c>
      <c r="G362" s="1">
        <v>38723</v>
      </c>
      <c r="H362" t="s">
        <v>1076</v>
      </c>
      <c r="I362" s="2" t="str">
        <f t="shared" si="5"/>
        <v>+91-9380349887</v>
      </c>
      <c r="J362">
        <f>91-9380349978</f>
        <v>-9380349887</v>
      </c>
      <c r="K362" t="s">
        <v>138</v>
      </c>
      <c r="L362" t="s">
        <v>90</v>
      </c>
      <c r="M362">
        <v>352143</v>
      </c>
      <c r="N362" s="1">
        <v>45181</v>
      </c>
      <c r="O362" t="s">
        <v>21</v>
      </c>
      <c r="P362">
        <v>5</v>
      </c>
      <c r="Q362">
        <v>44423.95</v>
      </c>
    </row>
    <row r="363" spans="1:17" x14ac:dyDescent="0.3">
      <c r="A363" t="s">
        <v>1077</v>
      </c>
      <c r="B363" t="s">
        <v>1078</v>
      </c>
      <c r="C363" s="2" t="str">
        <f>PROPER(TRIM(Table1[[#This Row],[Gender]]))</f>
        <v>Female</v>
      </c>
      <c r="D363" t="s">
        <v>43</v>
      </c>
      <c r="E363">
        <v>51</v>
      </c>
      <c r="F363" t="s">
        <v>17</v>
      </c>
      <c r="G363" s="1">
        <v>27043</v>
      </c>
      <c r="H363" t="s">
        <v>1079</v>
      </c>
      <c r="I363" s="2" t="str">
        <f t="shared" si="5"/>
        <v>+91-8111933127</v>
      </c>
      <c r="J363">
        <f>91-8111933218</f>
        <v>-8111933127</v>
      </c>
      <c r="K363" t="s">
        <v>178</v>
      </c>
      <c r="L363" t="s">
        <v>27</v>
      </c>
      <c r="M363">
        <v>445541</v>
      </c>
      <c r="N363" s="1">
        <v>45285</v>
      </c>
      <c r="O363" t="s">
        <v>35</v>
      </c>
      <c r="P363">
        <v>0</v>
      </c>
      <c r="Q363">
        <v>0</v>
      </c>
    </row>
    <row r="364" spans="1:17" x14ac:dyDescent="0.3">
      <c r="A364" t="s">
        <v>1080</v>
      </c>
      <c r="B364" t="s">
        <v>784</v>
      </c>
      <c r="C364" s="2" t="str">
        <f>PROPER(TRIM(Table1[[#This Row],[Gender]]))</f>
        <v>Male</v>
      </c>
      <c r="D364" t="s">
        <v>16</v>
      </c>
      <c r="E364">
        <v>21</v>
      </c>
      <c r="F364" t="s">
        <v>49</v>
      </c>
      <c r="G364" s="1">
        <v>37993</v>
      </c>
      <c r="H364" t="s">
        <v>1081</v>
      </c>
      <c r="I364" s="2" t="str">
        <f t="shared" si="5"/>
        <v>+91-7569166687</v>
      </c>
      <c r="J364">
        <f>91-7569166778</f>
        <v>-7569166687</v>
      </c>
      <c r="K364" t="s">
        <v>84</v>
      </c>
      <c r="L364" t="s">
        <v>85</v>
      </c>
      <c r="M364">
        <v>550182</v>
      </c>
      <c r="N364" s="1">
        <v>45390</v>
      </c>
      <c r="O364" t="s">
        <v>28</v>
      </c>
      <c r="P364">
        <v>9</v>
      </c>
      <c r="Q364">
        <v>201225.05</v>
      </c>
    </row>
    <row r="365" spans="1:17" x14ac:dyDescent="0.3">
      <c r="A365" t="s">
        <v>1082</v>
      </c>
      <c r="B365" t="s">
        <v>1022</v>
      </c>
      <c r="C365" s="2" t="str">
        <f>PROPER(TRIM(Table1[[#This Row],[Gender]]))</f>
        <v>Female</v>
      </c>
      <c r="D365" t="s">
        <v>43</v>
      </c>
      <c r="E365">
        <v>22</v>
      </c>
      <c r="F365" t="s">
        <v>49</v>
      </c>
      <c r="G365" s="1">
        <v>37628</v>
      </c>
      <c r="H365" t="s">
        <v>1083</v>
      </c>
      <c r="I365" s="2" t="str">
        <f t="shared" si="5"/>
        <v>+91-7863912689</v>
      </c>
      <c r="J365">
        <f>91-7863912780</f>
        <v>-7863912689</v>
      </c>
      <c r="K365" t="s">
        <v>147</v>
      </c>
      <c r="L365" t="s">
        <v>143</v>
      </c>
      <c r="M365">
        <v>941337</v>
      </c>
      <c r="N365" s="1">
        <v>45257</v>
      </c>
      <c r="O365" t="s">
        <v>28</v>
      </c>
      <c r="P365">
        <v>4</v>
      </c>
      <c r="Q365">
        <v>224853.24</v>
      </c>
    </row>
    <row r="366" spans="1:17" x14ac:dyDescent="0.3">
      <c r="A366" t="s">
        <v>1084</v>
      </c>
      <c r="B366" t="s">
        <v>969</v>
      </c>
      <c r="C366" s="2" t="str">
        <f>PROPER(TRIM(Table1[[#This Row],[Gender]]))</f>
        <v>Male</v>
      </c>
      <c r="D366" t="s">
        <v>16</v>
      </c>
      <c r="E366">
        <v>50</v>
      </c>
      <c r="F366" t="s">
        <v>17</v>
      </c>
      <c r="G366" s="1">
        <v>27408</v>
      </c>
      <c r="H366" t="s">
        <v>1085</v>
      </c>
      <c r="I366" s="2" t="str">
        <f t="shared" si="5"/>
        <v>+91-9257984163</v>
      </c>
      <c r="J366">
        <f>91-9257984254</f>
        <v>-9257984163</v>
      </c>
      <c r="K366" t="s">
        <v>415</v>
      </c>
      <c r="L366" t="s">
        <v>90</v>
      </c>
      <c r="M366">
        <v>625759</v>
      </c>
      <c r="N366" s="1">
        <v>45388</v>
      </c>
      <c r="O366" t="s">
        <v>21</v>
      </c>
      <c r="P366">
        <v>2</v>
      </c>
      <c r="Q366">
        <v>44365.14</v>
      </c>
    </row>
    <row r="367" spans="1:17" x14ac:dyDescent="0.3">
      <c r="A367" t="s">
        <v>1086</v>
      </c>
      <c r="B367" t="s">
        <v>281</v>
      </c>
      <c r="C367" s="2" t="str">
        <f>PROPER(TRIM(Table1[[#This Row],[Gender]]))</f>
        <v>Female</v>
      </c>
      <c r="D367" t="s">
        <v>43</v>
      </c>
      <c r="E367">
        <v>50</v>
      </c>
      <c r="F367" t="s">
        <v>17</v>
      </c>
      <c r="G367" s="1">
        <v>27408</v>
      </c>
      <c r="H367" t="s">
        <v>1087</v>
      </c>
      <c r="I367" s="2" t="str">
        <f t="shared" si="5"/>
        <v>+91-9738755334</v>
      </c>
      <c r="J367">
        <f>91-9738755425</f>
        <v>-9738755334</v>
      </c>
      <c r="K367" t="s">
        <v>45</v>
      </c>
      <c r="L367" t="s">
        <v>46</v>
      </c>
      <c r="M367">
        <v>484585</v>
      </c>
      <c r="N367" s="1">
        <v>45223</v>
      </c>
      <c r="O367" t="s">
        <v>28</v>
      </c>
      <c r="P367">
        <v>5</v>
      </c>
      <c r="Q367">
        <v>63467.03</v>
      </c>
    </row>
    <row r="368" spans="1:17" x14ac:dyDescent="0.3">
      <c r="A368" t="s">
        <v>1088</v>
      </c>
      <c r="B368" t="s">
        <v>839</v>
      </c>
      <c r="C368" s="2" t="str">
        <f>PROPER(TRIM(Table1[[#This Row],[Gender]]))</f>
        <v>Male</v>
      </c>
      <c r="D368" t="s">
        <v>16</v>
      </c>
      <c r="E368">
        <v>30</v>
      </c>
      <c r="F368" t="s">
        <v>31</v>
      </c>
      <c r="G368" s="1">
        <v>34708</v>
      </c>
      <c r="H368" t="s">
        <v>1089</v>
      </c>
      <c r="I368" s="2" t="str">
        <f t="shared" si="5"/>
        <v>+91-7365131380</v>
      </c>
      <c r="J368">
        <f>91-7365131471</f>
        <v>-7365131380</v>
      </c>
      <c r="K368" t="s">
        <v>51</v>
      </c>
      <c r="L368" t="s">
        <v>52</v>
      </c>
      <c r="M368">
        <v>329164</v>
      </c>
      <c r="N368" s="1">
        <v>45338</v>
      </c>
      <c r="O368" t="s">
        <v>28</v>
      </c>
      <c r="P368">
        <v>8</v>
      </c>
      <c r="Q368">
        <v>508481.76</v>
      </c>
    </row>
    <row r="369" spans="1:17" x14ac:dyDescent="0.3">
      <c r="A369" t="s">
        <v>1090</v>
      </c>
      <c r="B369" t="s">
        <v>862</v>
      </c>
      <c r="C369" s="2" t="str">
        <f>PROPER(TRIM(Table1[[#This Row],[Gender]]))</f>
        <v>Male</v>
      </c>
      <c r="D369" t="s">
        <v>16</v>
      </c>
      <c r="E369">
        <v>25</v>
      </c>
      <c r="F369" t="s">
        <v>49</v>
      </c>
      <c r="G369" s="1">
        <v>36533</v>
      </c>
      <c r="H369" t="s">
        <v>1091</v>
      </c>
      <c r="I369" s="2" t="str">
        <f t="shared" si="5"/>
        <v>+91-8317590109</v>
      </c>
      <c r="J369">
        <f>91-8317590200</f>
        <v>-8317590109</v>
      </c>
      <c r="K369" t="s">
        <v>142</v>
      </c>
      <c r="L369" t="s">
        <v>143</v>
      </c>
      <c r="M369">
        <v>440861</v>
      </c>
      <c r="N369" s="1">
        <v>45111</v>
      </c>
      <c r="O369" t="s">
        <v>28</v>
      </c>
      <c r="P369">
        <v>8</v>
      </c>
      <c r="Q369">
        <v>192775.04000000001</v>
      </c>
    </row>
    <row r="370" spans="1:17" x14ac:dyDescent="0.3">
      <c r="A370" t="s">
        <v>1092</v>
      </c>
      <c r="B370" t="s">
        <v>570</v>
      </c>
      <c r="C370" s="2" t="str">
        <f>PROPER(TRIM(Table1[[#This Row],[Gender]]))</f>
        <v>Male</v>
      </c>
      <c r="D370" t="s">
        <v>16</v>
      </c>
      <c r="E370">
        <v>18</v>
      </c>
      <c r="F370" t="s">
        <v>49</v>
      </c>
      <c r="G370" s="1">
        <v>39088</v>
      </c>
      <c r="H370" t="s">
        <v>1093</v>
      </c>
      <c r="I370" s="2" t="str">
        <f t="shared" si="5"/>
        <v>+91-9648604358</v>
      </c>
      <c r="J370">
        <f>91-9648604449</f>
        <v>-9648604358</v>
      </c>
      <c r="K370" t="s">
        <v>154</v>
      </c>
      <c r="L370" t="s">
        <v>46</v>
      </c>
      <c r="M370">
        <v>195477</v>
      </c>
      <c r="N370" s="1">
        <v>45319</v>
      </c>
      <c r="O370" t="s">
        <v>28</v>
      </c>
      <c r="P370">
        <v>6</v>
      </c>
      <c r="Q370">
        <v>135733.87</v>
      </c>
    </row>
    <row r="371" spans="1:17" x14ac:dyDescent="0.3">
      <c r="A371" t="s">
        <v>1094</v>
      </c>
      <c r="B371" t="s">
        <v>516</v>
      </c>
      <c r="C371" s="2" t="str">
        <f>PROPER(TRIM(Table1[[#This Row],[Gender]]))</f>
        <v>Female</v>
      </c>
      <c r="D371" t="s">
        <v>43</v>
      </c>
      <c r="E371">
        <v>59</v>
      </c>
      <c r="F371" t="s">
        <v>58</v>
      </c>
      <c r="G371" s="1">
        <v>24123</v>
      </c>
      <c r="H371" t="s">
        <v>1095</v>
      </c>
      <c r="I371" s="2" t="str">
        <f t="shared" si="5"/>
        <v>+91-7098636969</v>
      </c>
      <c r="J371">
        <f>91-7098637060</f>
        <v>-7098636969</v>
      </c>
      <c r="K371" t="s">
        <v>239</v>
      </c>
      <c r="L371" t="s">
        <v>191</v>
      </c>
      <c r="M371">
        <v>341851</v>
      </c>
      <c r="N371" s="1">
        <v>45133</v>
      </c>
      <c r="O371" t="s">
        <v>28</v>
      </c>
      <c r="P371">
        <v>8</v>
      </c>
      <c r="Q371">
        <v>56139.14</v>
      </c>
    </row>
    <row r="372" spans="1:17" x14ac:dyDescent="0.3">
      <c r="A372" t="s">
        <v>1096</v>
      </c>
      <c r="B372" t="s">
        <v>1097</v>
      </c>
      <c r="C372" s="2" t="str">
        <f>PROPER(TRIM(Table1[[#This Row],[Gender]]))</f>
        <v>Male</v>
      </c>
      <c r="D372" t="s">
        <v>16</v>
      </c>
      <c r="E372">
        <v>21</v>
      </c>
      <c r="F372" t="s">
        <v>49</v>
      </c>
      <c r="G372" s="1">
        <v>37993</v>
      </c>
      <c r="H372" t="s">
        <v>1098</v>
      </c>
      <c r="I372" s="2" t="str">
        <f t="shared" si="5"/>
        <v>+91-7059915981</v>
      </c>
      <c r="J372">
        <f>91-7059916072</f>
        <v>-7059915981</v>
      </c>
      <c r="K372" t="s">
        <v>109</v>
      </c>
      <c r="L372" t="s">
        <v>46</v>
      </c>
      <c r="M372">
        <v>516409</v>
      </c>
      <c r="N372" s="1">
        <v>45144</v>
      </c>
      <c r="O372" t="s">
        <v>28</v>
      </c>
      <c r="P372">
        <v>8</v>
      </c>
      <c r="Q372">
        <v>143737.20000000001</v>
      </c>
    </row>
    <row r="373" spans="1:17" x14ac:dyDescent="0.3">
      <c r="A373" t="s">
        <v>1099</v>
      </c>
      <c r="B373" t="s">
        <v>1100</v>
      </c>
      <c r="C373" s="2" t="str">
        <f>PROPER(TRIM(Table1[[#This Row],[Gender]]))</f>
        <v>Male</v>
      </c>
      <c r="D373" t="s">
        <v>16</v>
      </c>
      <c r="E373">
        <v>33</v>
      </c>
      <c r="F373" t="s">
        <v>31</v>
      </c>
      <c r="G373" s="1">
        <v>33613</v>
      </c>
      <c r="H373" t="s">
        <v>1101</v>
      </c>
      <c r="I373" s="2" t="str">
        <f t="shared" si="5"/>
        <v>+91-8729212184</v>
      </c>
      <c r="J373">
        <f>91-8729212275</f>
        <v>-8729212184</v>
      </c>
      <c r="K373" t="s">
        <v>331</v>
      </c>
      <c r="L373" t="s">
        <v>143</v>
      </c>
      <c r="M373">
        <v>200516</v>
      </c>
      <c r="N373" s="1">
        <v>45184</v>
      </c>
      <c r="O373" t="s">
        <v>21</v>
      </c>
      <c r="P373">
        <v>4</v>
      </c>
      <c r="Q373">
        <v>40202.129999999997</v>
      </c>
    </row>
    <row r="374" spans="1:17" x14ac:dyDescent="0.3">
      <c r="A374" t="s">
        <v>1102</v>
      </c>
      <c r="B374" t="s">
        <v>1103</v>
      </c>
      <c r="C374" s="2" t="str">
        <f>PROPER(TRIM(Table1[[#This Row],[Gender]]))</f>
        <v>Female</v>
      </c>
      <c r="D374" t="s">
        <v>43</v>
      </c>
      <c r="E374">
        <v>39</v>
      </c>
      <c r="F374" t="s">
        <v>38</v>
      </c>
      <c r="G374" s="1">
        <v>31423</v>
      </c>
      <c r="H374" t="s">
        <v>1104</v>
      </c>
      <c r="I374" s="2" t="str">
        <f t="shared" si="5"/>
        <v>+91-8737110540</v>
      </c>
      <c r="J374">
        <f>91-8737110631</f>
        <v>-8737110540</v>
      </c>
      <c r="K374" t="s">
        <v>109</v>
      </c>
      <c r="L374" t="s">
        <v>46</v>
      </c>
      <c r="M374">
        <v>563852</v>
      </c>
      <c r="N374" s="1">
        <v>45412</v>
      </c>
      <c r="O374" t="s">
        <v>35</v>
      </c>
      <c r="P374">
        <v>3</v>
      </c>
      <c r="Q374">
        <v>7425.59</v>
      </c>
    </row>
    <row r="375" spans="1:17" x14ac:dyDescent="0.3">
      <c r="A375" t="s">
        <v>1105</v>
      </c>
      <c r="B375" t="s">
        <v>1106</v>
      </c>
      <c r="C375" s="2" t="str">
        <f>PROPER(TRIM(Table1[[#This Row],[Gender]]))</f>
        <v>Male</v>
      </c>
      <c r="D375" t="s">
        <v>16</v>
      </c>
      <c r="E375">
        <v>36</v>
      </c>
      <c r="F375" t="s">
        <v>38</v>
      </c>
      <c r="G375" s="1">
        <v>32518</v>
      </c>
      <c r="H375" t="s">
        <v>1107</v>
      </c>
      <c r="I375" s="2" t="str">
        <f t="shared" si="5"/>
        <v>+91-8775189676</v>
      </c>
      <c r="J375">
        <f>91-8775189767</f>
        <v>-8775189676</v>
      </c>
      <c r="K375" t="s">
        <v>26</v>
      </c>
      <c r="L375" t="s">
        <v>27</v>
      </c>
      <c r="M375">
        <v>680894</v>
      </c>
      <c r="N375" s="1">
        <v>45091</v>
      </c>
      <c r="O375" t="s">
        <v>28</v>
      </c>
      <c r="P375">
        <v>7</v>
      </c>
      <c r="Q375">
        <v>280977.53000000003</v>
      </c>
    </row>
    <row r="376" spans="1:17" x14ac:dyDescent="0.3">
      <c r="A376" t="s">
        <v>1108</v>
      </c>
      <c r="B376" t="s">
        <v>1109</v>
      </c>
      <c r="C376" s="2" t="str">
        <f>PROPER(TRIM(Table1[[#This Row],[Gender]]))</f>
        <v>Male</v>
      </c>
      <c r="D376" t="s">
        <v>16</v>
      </c>
      <c r="E376">
        <v>41</v>
      </c>
      <c r="F376" t="s">
        <v>38</v>
      </c>
      <c r="G376" s="1">
        <v>30693</v>
      </c>
      <c r="H376" t="s">
        <v>1110</v>
      </c>
      <c r="I376" s="2" t="str">
        <f t="shared" si="5"/>
        <v>+91-8039583977</v>
      </c>
      <c r="J376">
        <f>91-8039584068</f>
        <v>-8039583977</v>
      </c>
      <c r="K376" t="s">
        <v>142</v>
      </c>
      <c r="L376" t="s">
        <v>143</v>
      </c>
      <c r="M376">
        <v>163848</v>
      </c>
      <c r="N376" s="1">
        <v>45276</v>
      </c>
      <c r="O376" t="s">
        <v>28</v>
      </c>
      <c r="P376">
        <v>3</v>
      </c>
      <c r="Q376">
        <v>108389.34</v>
      </c>
    </row>
    <row r="377" spans="1:17" x14ac:dyDescent="0.3">
      <c r="A377" t="s">
        <v>1111</v>
      </c>
      <c r="B377" t="s">
        <v>1112</v>
      </c>
      <c r="C377" s="2" t="str">
        <f>PROPER(TRIM(Table1[[#This Row],[Gender]]))</f>
        <v>Male</v>
      </c>
      <c r="D377" t="s">
        <v>16</v>
      </c>
      <c r="E377">
        <v>28</v>
      </c>
      <c r="F377" t="s">
        <v>31</v>
      </c>
      <c r="G377" s="1">
        <v>35438</v>
      </c>
      <c r="H377" t="s">
        <v>1113</v>
      </c>
      <c r="I377" s="2" t="str">
        <f t="shared" si="5"/>
        <v>+91-7592652650</v>
      </c>
      <c r="J377">
        <f>91-7592652741</f>
        <v>-7592652650</v>
      </c>
      <c r="K377" t="s">
        <v>113</v>
      </c>
      <c r="L377" t="s">
        <v>34</v>
      </c>
      <c r="M377">
        <v>914951</v>
      </c>
      <c r="N377" s="1">
        <v>45106</v>
      </c>
      <c r="O377" t="s">
        <v>28</v>
      </c>
      <c r="P377">
        <v>7</v>
      </c>
      <c r="Q377">
        <v>168845.94</v>
      </c>
    </row>
    <row r="378" spans="1:17" x14ac:dyDescent="0.3">
      <c r="A378" t="s">
        <v>1114</v>
      </c>
      <c r="B378" t="s">
        <v>1115</v>
      </c>
      <c r="C378" s="2" t="str">
        <f>PROPER(TRIM(Table1[[#This Row],[Gender]]))</f>
        <v>Female</v>
      </c>
      <c r="D378" t="s">
        <v>43</v>
      </c>
      <c r="E378">
        <v>20</v>
      </c>
      <c r="F378" t="s">
        <v>49</v>
      </c>
      <c r="G378" s="1">
        <v>38358</v>
      </c>
      <c r="H378" t="s">
        <v>1116</v>
      </c>
      <c r="I378" s="2" t="str">
        <f t="shared" si="5"/>
        <v>+91-7559155200</v>
      </c>
      <c r="J378">
        <f>91-7559155291</f>
        <v>-7559155200</v>
      </c>
      <c r="K378" t="s">
        <v>174</v>
      </c>
      <c r="L378" t="s">
        <v>90</v>
      </c>
      <c r="M378">
        <v>304507</v>
      </c>
      <c r="N378" s="1">
        <v>45218</v>
      </c>
      <c r="O378" t="s">
        <v>21</v>
      </c>
      <c r="P378">
        <v>6</v>
      </c>
      <c r="Q378">
        <v>37143.980000000003</v>
      </c>
    </row>
    <row r="379" spans="1:17" x14ac:dyDescent="0.3">
      <c r="A379" t="s">
        <v>1117</v>
      </c>
      <c r="B379" t="s">
        <v>237</v>
      </c>
      <c r="C379" s="2" t="str">
        <f>PROPER(TRIM(Table1[[#This Row],[Gender]]))</f>
        <v>Female</v>
      </c>
      <c r="D379" t="s">
        <v>43</v>
      </c>
      <c r="E379">
        <v>38</v>
      </c>
      <c r="F379" t="s">
        <v>38</v>
      </c>
      <c r="G379" s="1">
        <v>31788</v>
      </c>
      <c r="H379" t="s">
        <v>1118</v>
      </c>
      <c r="I379" s="2" t="str">
        <f t="shared" si="5"/>
        <v>+91-8576317125</v>
      </c>
      <c r="J379">
        <f>91-8576317216</f>
        <v>-8576317125</v>
      </c>
      <c r="K379" t="s">
        <v>138</v>
      </c>
      <c r="L379" t="s">
        <v>90</v>
      </c>
      <c r="M379">
        <v>511799</v>
      </c>
      <c r="N379" s="1">
        <v>45085</v>
      </c>
      <c r="O379" t="s">
        <v>28</v>
      </c>
      <c r="P379">
        <v>4</v>
      </c>
      <c r="Q379">
        <v>454976.72</v>
      </c>
    </row>
    <row r="380" spans="1:17" x14ac:dyDescent="0.3">
      <c r="A380" t="s">
        <v>1119</v>
      </c>
      <c r="B380" t="s">
        <v>219</v>
      </c>
      <c r="C380" s="2" t="str">
        <f>PROPER(TRIM(Table1[[#This Row],[Gender]]))</f>
        <v>Female</v>
      </c>
      <c r="D380" t="s">
        <v>43</v>
      </c>
      <c r="E380">
        <v>31</v>
      </c>
      <c r="F380" t="s">
        <v>31</v>
      </c>
      <c r="G380" s="1">
        <v>34343</v>
      </c>
      <c r="H380" t="s">
        <v>1120</v>
      </c>
      <c r="I380" s="2" t="str">
        <f t="shared" si="5"/>
        <v>+91-9333040152</v>
      </c>
      <c r="J380">
        <f>91-9333040243</f>
        <v>-9333040152</v>
      </c>
      <c r="K380" t="s">
        <v>113</v>
      </c>
      <c r="L380" t="s">
        <v>34</v>
      </c>
      <c r="M380">
        <v>870515</v>
      </c>
      <c r="N380" s="1">
        <v>45430</v>
      </c>
      <c r="O380" t="s">
        <v>28</v>
      </c>
      <c r="P380">
        <v>7</v>
      </c>
      <c r="Q380">
        <v>411723.73</v>
      </c>
    </row>
    <row r="381" spans="1:17" x14ac:dyDescent="0.3">
      <c r="A381" t="s">
        <v>1121</v>
      </c>
      <c r="B381" t="s">
        <v>321</v>
      </c>
      <c r="C381" s="2" t="str">
        <f>PROPER(TRIM(Table1[[#This Row],[Gender]]))</f>
        <v>Female</v>
      </c>
      <c r="D381" t="s">
        <v>43</v>
      </c>
      <c r="E381">
        <v>20</v>
      </c>
      <c r="F381" t="s">
        <v>49</v>
      </c>
      <c r="G381" s="1">
        <v>38358</v>
      </c>
      <c r="H381" t="s">
        <v>1122</v>
      </c>
      <c r="I381" s="2" t="str">
        <f t="shared" si="5"/>
        <v>+91-7470746243</v>
      </c>
      <c r="J381">
        <f>91-7470746334</f>
        <v>-7470746243</v>
      </c>
      <c r="K381" t="s">
        <v>80</v>
      </c>
      <c r="L381" t="s">
        <v>20</v>
      </c>
      <c r="M381">
        <v>848193</v>
      </c>
      <c r="N381" s="1">
        <v>45271</v>
      </c>
      <c r="O381" t="s">
        <v>35</v>
      </c>
      <c r="P381">
        <v>2</v>
      </c>
      <c r="Q381">
        <v>5061.1899999999996</v>
      </c>
    </row>
    <row r="382" spans="1:17" x14ac:dyDescent="0.3">
      <c r="A382" t="s">
        <v>1123</v>
      </c>
      <c r="B382" t="s">
        <v>1124</v>
      </c>
      <c r="C382" s="2" t="str">
        <f>PROPER(TRIM(Table1[[#This Row],[Gender]]))</f>
        <v>Female</v>
      </c>
      <c r="D382" t="s">
        <v>43</v>
      </c>
      <c r="E382">
        <v>59</v>
      </c>
      <c r="F382" t="s">
        <v>58</v>
      </c>
      <c r="G382" s="1">
        <v>24123</v>
      </c>
      <c r="H382" t="s">
        <v>1125</v>
      </c>
      <c r="I382" s="2" t="str">
        <f t="shared" si="5"/>
        <v>+91-8872893691</v>
      </c>
      <c r="J382">
        <f>91-8872893782</f>
        <v>-8872893691</v>
      </c>
      <c r="K382" t="s">
        <v>113</v>
      </c>
      <c r="L382" t="s">
        <v>34</v>
      </c>
      <c r="M382">
        <v>347088</v>
      </c>
      <c r="N382" s="1">
        <v>45384</v>
      </c>
      <c r="O382" t="s">
        <v>35</v>
      </c>
      <c r="P382">
        <v>4</v>
      </c>
      <c r="Q382">
        <v>19295.72</v>
      </c>
    </row>
    <row r="383" spans="1:17" x14ac:dyDescent="0.3">
      <c r="A383" t="s">
        <v>1126</v>
      </c>
      <c r="B383" t="s">
        <v>918</v>
      </c>
      <c r="C383" s="2" t="str">
        <f>PROPER(TRIM(Table1[[#This Row],[Gender]]))</f>
        <v>Male</v>
      </c>
      <c r="D383" t="s">
        <v>16</v>
      </c>
      <c r="E383">
        <v>40</v>
      </c>
      <c r="F383" t="s">
        <v>38</v>
      </c>
      <c r="G383" s="1">
        <v>31058</v>
      </c>
      <c r="H383" t="s">
        <v>1127</v>
      </c>
      <c r="I383" s="2" t="str">
        <f t="shared" si="5"/>
        <v>+91-7020418850</v>
      </c>
      <c r="J383">
        <f>91-7020418941</f>
        <v>-7020418850</v>
      </c>
      <c r="K383" t="s">
        <v>239</v>
      </c>
      <c r="L383" t="s">
        <v>191</v>
      </c>
      <c r="M383">
        <v>173310</v>
      </c>
      <c r="N383" s="1">
        <v>45288</v>
      </c>
      <c r="O383" t="s">
        <v>35</v>
      </c>
      <c r="P383">
        <v>1</v>
      </c>
      <c r="Q383">
        <v>8727.8799999999992</v>
      </c>
    </row>
    <row r="384" spans="1:17" x14ac:dyDescent="0.3">
      <c r="A384" t="s">
        <v>1128</v>
      </c>
      <c r="B384" t="s">
        <v>448</v>
      </c>
      <c r="C384" s="2" t="str">
        <f>PROPER(TRIM(Table1[[#This Row],[Gender]]))</f>
        <v>Female</v>
      </c>
      <c r="D384" t="s">
        <v>43</v>
      </c>
      <c r="E384">
        <v>44</v>
      </c>
      <c r="F384" t="s">
        <v>38</v>
      </c>
      <c r="G384" s="1">
        <v>29598</v>
      </c>
      <c r="H384" t="s">
        <v>449</v>
      </c>
      <c r="I384" s="2" t="str">
        <f t="shared" si="5"/>
        <v>+91-7551993040</v>
      </c>
      <c r="J384">
        <f>91-7551993131</f>
        <v>-7551993040</v>
      </c>
      <c r="K384" t="s">
        <v>40</v>
      </c>
      <c r="L384" t="s">
        <v>27</v>
      </c>
      <c r="M384">
        <v>865081</v>
      </c>
      <c r="N384" s="1">
        <v>45359</v>
      </c>
      <c r="O384" t="s">
        <v>28</v>
      </c>
      <c r="P384">
        <v>3</v>
      </c>
      <c r="Q384">
        <v>126906.81</v>
      </c>
    </row>
    <row r="385" spans="1:17" x14ac:dyDescent="0.3">
      <c r="A385" t="s">
        <v>1129</v>
      </c>
      <c r="B385" t="s">
        <v>1130</v>
      </c>
      <c r="C385" s="2" t="str">
        <f>PROPER(TRIM(Table1[[#This Row],[Gender]]))</f>
        <v>Male</v>
      </c>
      <c r="D385" t="s">
        <v>16</v>
      </c>
      <c r="E385">
        <v>27</v>
      </c>
      <c r="F385" t="s">
        <v>31</v>
      </c>
      <c r="G385" s="1">
        <v>35803</v>
      </c>
      <c r="H385" t="s">
        <v>1131</v>
      </c>
      <c r="I385" s="2" t="str">
        <f t="shared" si="5"/>
        <v>+91-7645697139</v>
      </c>
      <c r="J385">
        <f>91-7645697230</f>
        <v>-7645697139</v>
      </c>
      <c r="K385" t="s">
        <v>154</v>
      </c>
      <c r="L385" t="s">
        <v>46</v>
      </c>
      <c r="M385">
        <v>104581</v>
      </c>
      <c r="N385" s="1">
        <v>45255</v>
      </c>
      <c r="O385" t="s">
        <v>21</v>
      </c>
      <c r="P385">
        <v>5</v>
      </c>
      <c r="Q385">
        <v>36467.65</v>
      </c>
    </row>
    <row r="386" spans="1:17" x14ac:dyDescent="0.3">
      <c r="A386" t="s">
        <v>1132</v>
      </c>
      <c r="B386" t="s">
        <v>1133</v>
      </c>
      <c r="C386" s="2" t="str">
        <f>PROPER(TRIM(Table1[[#This Row],[Gender]]))</f>
        <v>Female</v>
      </c>
      <c r="D386" t="s">
        <v>43</v>
      </c>
      <c r="E386">
        <v>49</v>
      </c>
      <c r="F386" t="s">
        <v>17</v>
      </c>
      <c r="G386" s="1">
        <v>27773</v>
      </c>
      <c r="H386" t="s">
        <v>1134</v>
      </c>
      <c r="I386" s="2" t="str">
        <f t="shared" ref="I386:I449" si="6">"+91"&amp;TEXT(J386,"0000000000")</f>
        <v>+91-7889935672</v>
      </c>
      <c r="J386">
        <f>91-7889935763</f>
        <v>-7889935672</v>
      </c>
      <c r="K386" t="s">
        <v>138</v>
      </c>
      <c r="L386" t="s">
        <v>90</v>
      </c>
      <c r="M386">
        <v>568154</v>
      </c>
      <c r="N386" s="1">
        <v>45412</v>
      </c>
      <c r="O386" t="s">
        <v>35</v>
      </c>
      <c r="P386">
        <v>5</v>
      </c>
      <c r="Q386">
        <v>11173.95</v>
      </c>
    </row>
    <row r="387" spans="1:17" x14ac:dyDescent="0.3">
      <c r="A387" t="s">
        <v>1135</v>
      </c>
      <c r="B387" t="s">
        <v>1136</v>
      </c>
      <c r="C387" s="2" t="str">
        <f>PROPER(TRIM(Table1[[#This Row],[Gender]]))</f>
        <v>Male</v>
      </c>
      <c r="D387" t="s">
        <v>16</v>
      </c>
      <c r="E387">
        <v>23</v>
      </c>
      <c r="F387" t="s">
        <v>49</v>
      </c>
      <c r="G387" s="1">
        <v>37263</v>
      </c>
      <c r="H387" t="s">
        <v>1137</v>
      </c>
      <c r="I387" s="2" t="str">
        <f t="shared" si="6"/>
        <v>+91-9047496463</v>
      </c>
      <c r="J387">
        <f>91-9047496554</f>
        <v>-9047496463</v>
      </c>
      <c r="K387" t="s">
        <v>117</v>
      </c>
      <c r="L387" t="s">
        <v>52</v>
      </c>
      <c r="M387">
        <v>638206</v>
      </c>
      <c r="N387" s="1">
        <v>45435</v>
      </c>
      <c r="O387" t="s">
        <v>21</v>
      </c>
      <c r="P387">
        <v>1</v>
      </c>
      <c r="Q387">
        <v>31895.68</v>
      </c>
    </row>
    <row r="388" spans="1:17" x14ac:dyDescent="0.3">
      <c r="A388" t="s">
        <v>1138</v>
      </c>
      <c r="B388" t="s">
        <v>1139</v>
      </c>
      <c r="C388" s="2" t="str">
        <f>PROPER(TRIM(Table1[[#This Row],[Gender]]))</f>
        <v>Male</v>
      </c>
      <c r="D388" t="s">
        <v>16</v>
      </c>
      <c r="E388">
        <v>18</v>
      </c>
      <c r="F388" t="s">
        <v>49</v>
      </c>
      <c r="G388" s="1">
        <v>39088</v>
      </c>
      <c r="H388" t="s">
        <v>1140</v>
      </c>
      <c r="I388" s="2" t="str">
        <f t="shared" si="6"/>
        <v>+91-9114896118</v>
      </c>
      <c r="J388">
        <f>91-9114896209</f>
        <v>-9114896118</v>
      </c>
      <c r="K388" t="s">
        <v>113</v>
      </c>
      <c r="L388" t="s">
        <v>34</v>
      </c>
      <c r="M388">
        <v>915029</v>
      </c>
      <c r="N388" s="1">
        <v>45104</v>
      </c>
      <c r="O388" t="s">
        <v>28</v>
      </c>
      <c r="P388">
        <v>7</v>
      </c>
      <c r="Q388">
        <v>379739.28</v>
      </c>
    </row>
    <row r="389" spans="1:17" x14ac:dyDescent="0.3">
      <c r="A389" t="s">
        <v>1141</v>
      </c>
      <c r="B389" t="s">
        <v>1142</v>
      </c>
      <c r="C389" s="2" t="str">
        <f>PROPER(TRIM(Table1[[#This Row],[Gender]]))</f>
        <v>Male</v>
      </c>
      <c r="D389" t="s">
        <v>16</v>
      </c>
      <c r="E389">
        <v>31</v>
      </c>
      <c r="F389" t="s">
        <v>31</v>
      </c>
      <c r="G389" s="1">
        <v>34343</v>
      </c>
      <c r="H389" t="s">
        <v>1143</v>
      </c>
      <c r="I389" s="2" t="str">
        <f t="shared" si="6"/>
        <v>+91-9499824751</v>
      </c>
      <c r="J389">
        <f>91-9499824842</f>
        <v>-9499824751</v>
      </c>
      <c r="K389" t="s">
        <v>89</v>
      </c>
      <c r="L389" t="s">
        <v>90</v>
      </c>
      <c r="M389">
        <v>820718</v>
      </c>
      <c r="N389" s="1">
        <v>45100</v>
      </c>
      <c r="O389" t="s">
        <v>21</v>
      </c>
      <c r="P389">
        <v>3</v>
      </c>
      <c r="Q389">
        <v>22451.439999999999</v>
      </c>
    </row>
    <row r="390" spans="1:17" x14ac:dyDescent="0.3">
      <c r="A390" t="s">
        <v>1144</v>
      </c>
      <c r="B390" t="s">
        <v>484</v>
      </c>
      <c r="C390" s="2" t="str">
        <f>PROPER(TRIM(Table1[[#This Row],[Gender]]))</f>
        <v>Male</v>
      </c>
      <c r="D390" t="s">
        <v>16</v>
      </c>
      <c r="E390">
        <v>42</v>
      </c>
      <c r="F390" t="s">
        <v>38</v>
      </c>
      <c r="G390" s="1">
        <v>30328</v>
      </c>
      <c r="H390" t="s">
        <v>1145</v>
      </c>
      <c r="I390" s="2" t="str">
        <f t="shared" si="6"/>
        <v>+91-9690871324</v>
      </c>
      <c r="J390">
        <f>91-9690871415</f>
        <v>-9690871324</v>
      </c>
      <c r="K390" t="s">
        <v>121</v>
      </c>
      <c r="L390" t="s">
        <v>85</v>
      </c>
      <c r="M390">
        <v>225987</v>
      </c>
      <c r="N390" s="1">
        <v>45155</v>
      </c>
      <c r="O390" t="s">
        <v>28</v>
      </c>
      <c r="P390">
        <v>4</v>
      </c>
      <c r="Q390">
        <v>63674.15</v>
      </c>
    </row>
    <row r="391" spans="1:17" x14ac:dyDescent="0.3">
      <c r="A391" t="s">
        <v>1146</v>
      </c>
      <c r="B391" t="s">
        <v>1147</v>
      </c>
      <c r="C391" s="2" t="str">
        <f>PROPER(TRIM(Table1[[#This Row],[Gender]]))</f>
        <v>Male</v>
      </c>
      <c r="D391" t="s">
        <v>16</v>
      </c>
      <c r="E391">
        <v>64</v>
      </c>
      <c r="F391" t="s">
        <v>58</v>
      </c>
      <c r="G391" s="1">
        <v>22298</v>
      </c>
      <c r="H391" t="s">
        <v>1148</v>
      </c>
      <c r="I391" s="2" t="str">
        <f t="shared" si="6"/>
        <v>+91-9499210364</v>
      </c>
      <c r="J391">
        <f>91-9499210455</f>
        <v>-9499210364</v>
      </c>
      <c r="K391" t="s">
        <v>84</v>
      </c>
      <c r="L391" t="s">
        <v>85</v>
      </c>
      <c r="M391">
        <v>446550</v>
      </c>
      <c r="N391" s="1">
        <v>45272</v>
      </c>
      <c r="O391" t="s">
        <v>35</v>
      </c>
      <c r="P391">
        <v>3</v>
      </c>
      <c r="Q391">
        <v>3948.96</v>
      </c>
    </row>
    <row r="392" spans="1:17" x14ac:dyDescent="0.3">
      <c r="A392" t="s">
        <v>1149</v>
      </c>
      <c r="B392" t="s">
        <v>943</v>
      </c>
      <c r="C392" s="2" t="str">
        <f>PROPER(TRIM(Table1[[#This Row],[Gender]]))</f>
        <v>Male</v>
      </c>
      <c r="D392" t="s">
        <v>16</v>
      </c>
      <c r="E392">
        <v>28</v>
      </c>
      <c r="F392" t="s">
        <v>31</v>
      </c>
      <c r="G392" s="1">
        <v>35438</v>
      </c>
      <c r="H392" t="s">
        <v>1150</v>
      </c>
      <c r="I392" s="2" t="str">
        <f t="shared" si="6"/>
        <v>+91-8134275911</v>
      </c>
      <c r="J392">
        <f>91-8134276002</f>
        <v>-8134275911</v>
      </c>
      <c r="K392" t="s">
        <v>190</v>
      </c>
      <c r="L392" t="s">
        <v>191</v>
      </c>
      <c r="M392">
        <v>108447</v>
      </c>
      <c r="N392" s="1">
        <v>45100</v>
      </c>
      <c r="O392" t="s">
        <v>28</v>
      </c>
      <c r="P392">
        <v>7</v>
      </c>
      <c r="Q392">
        <v>302844.34000000003</v>
      </c>
    </row>
    <row r="393" spans="1:17" x14ac:dyDescent="0.3">
      <c r="A393" t="s">
        <v>1151</v>
      </c>
      <c r="B393" t="s">
        <v>1152</v>
      </c>
      <c r="C393" s="2" t="str">
        <f>PROPER(TRIM(Table1[[#This Row],[Gender]]))</f>
        <v>Male</v>
      </c>
      <c r="D393" t="s">
        <v>16</v>
      </c>
      <c r="E393">
        <v>24</v>
      </c>
      <c r="F393" t="s">
        <v>49</v>
      </c>
      <c r="G393" s="1">
        <v>36898</v>
      </c>
      <c r="H393" t="s">
        <v>1153</v>
      </c>
      <c r="I393" s="2" t="str">
        <f t="shared" si="6"/>
        <v>+91-8516290863</v>
      </c>
      <c r="J393">
        <f>91-8516290954</f>
        <v>-8516290863</v>
      </c>
      <c r="K393" t="s">
        <v>165</v>
      </c>
      <c r="L393" t="s">
        <v>52</v>
      </c>
      <c r="M393">
        <v>363645</v>
      </c>
      <c r="N393" s="1">
        <v>45281</v>
      </c>
      <c r="O393" t="s">
        <v>28</v>
      </c>
      <c r="P393">
        <v>7</v>
      </c>
      <c r="Q393">
        <v>169606.93</v>
      </c>
    </row>
    <row r="394" spans="1:17" x14ac:dyDescent="0.3">
      <c r="A394" t="s">
        <v>1154</v>
      </c>
      <c r="B394" t="s">
        <v>1155</v>
      </c>
      <c r="C394" s="2" t="str">
        <f>PROPER(TRIM(Table1[[#This Row],[Gender]]))</f>
        <v>Male</v>
      </c>
      <c r="D394" t="s">
        <v>16</v>
      </c>
      <c r="E394">
        <v>21</v>
      </c>
      <c r="F394" t="s">
        <v>49</v>
      </c>
      <c r="G394" s="1">
        <v>37993</v>
      </c>
      <c r="H394" t="s">
        <v>1156</v>
      </c>
      <c r="I394" s="2" t="str">
        <f t="shared" si="6"/>
        <v>+91-7249237143</v>
      </c>
      <c r="J394">
        <f>91-7249237234</f>
        <v>-7249237143</v>
      </c>
      <c r="K394" t="s">
        <v>101</v>
      </c>
      <c r="L394" t="s">
        <v>102</v>
      </c>
      <c r="M394">
        <v>953237</v>
      </c>
      <c r="N394" s="1">
        <v>45290</v>
      </c>
      <c r="O394" t="s">
        <v>28</v>
      </c>
      <c r="P394">
        <v>6</v>
      </c>
      <c r="Q394">
        <v>117067.61</v>
      </c>
    </row>
    <row r="395" spans="1:17" x14ac:dyDescent="0.3">
      <c r="A395" t="s">
        <v>1157</v>
      </c>
      <c r="B395" t="s">
        <v>1158</v>
      </c>
      <c r="C395" s="2" t="str">
        <f>PROPER(TRIM(Table1[[#This Row],[Gender]]))</f>
        <v>Male</v>
      </c>
      <c r="D395" t="s">
        <v>16</v>
      </c>
      <c r="E395">
        <v>38</v>
      </c>
      <c r="F395" t="s">
        <v>38</v>
      </c>
      <c r="G395" s="1">
        <v>31788</v>
      </c>
      <c r="H395" t="s">
        <v>1159</v>
      </c>
      <c r="I395" s="2" t="str">
        <f t="shared" si="6"/>
        <v>+91-8558979509</v>
      </c>
      <c r="J395">
        <f>91-8558979600</f>
        <v>-8558979509</v>
      </c>
      <c r="K395" t="s">
        <v>142</v>
      </c>
      <c r="L395" t="s">
        <v>143</v>
      </c>
      <c r="M395">
        <v>516625</v>
      </c>
      <c r="N395" s="1">
        <v>45176</v>
      </c>
      <c r="O395" t="s">
        <v>28</v>
      </c>
      <c r="P395">
        <v>9</v>
      </c>
      <c r="Q395">
        <v>589436.31000000006</v>
      </c>
    </row>
    <row r="396" spans="1:17" x14ac:dyDescent="0.3">
      <c r="A396" t="s">
        <v>1160</v>
      </c>
      <c r="B396" t="s">
        <v>1161</v>
      </c>
      <c r="C396" s="2" t="str">
        <f>PROPER(TRIM(Table1[[#This Row],[Gender]]))</f>
        <v>Male</v>
      </c>
      <c r="D396" t="s">
        <v>16</v>
      </c>
      <c r="E396">
        <v>34</v>
      </c>
      <c r="F396" t="s">
        <v>31</v>
      </c>
      <c r="G396" s="1">
        <v>33248</v>
      </c>
      <c r="H396" t="s">
        <v>1162</v>
      </c>
      <c r="I396" s="2" t="str">
        <f t="shared" si="6"/>
        <v>+91-8098005638</v>
      </c>
      <c r="J396">
        <f>91-8098005729</f>
        <v>-8098005638</v>
      </c>
      <c r="K396" t="s">
        <v>142</v>
      </c>
      <c r="L396" t="s">
        <v>143</v>
      </c>
      <c r="M396">
        <v>210632</v>
      </c>
      <c r="N396" s="1">
        <v>45330</v>
      </c>
      <c r="O396" t="s">
        <v>28</v>
      </c>
      <c r="P396">
        <v>6</v>
      </c>
      <c r="Q396">
        <v>133619.29999999999</v>
      </c>
    </row>
    <row r="397" spans="1:17" x14ac:dyDescent="0.3">
      <c r="A397" t="s">
        <v>1163</v>
      </c>
      <c r="B397" t="s">
        <v>428</v>
      </c>
      <c r="C397" s="2" t="str">
        <f>PROPER(TRIM(Table1[[#This Row],[Gender]]))</f>
        <v>Male</v>
      </c>
      <c r="D397" t="s">
        <v>16</v>
      </c>
      <c r="E397">
        <v>38</v>
      </c>
      <c r="F397" t="s">
        <v>38</v>
      </c>
      <c r="G397" s="1">
        <v>31788</v>
      </c>
      <c r="H397" t="s">
        <v>1164</v>
      </c>
      <c r="I397" s="2" t="str">
        <f t="shared" si="6"/>
        <v>+91-9977823845</v>
      </c>
      <c r="J397">
        <f>91-9977823936</f>
        <v>-9977823845</v>
      </c>
      <c r="K397" t="s">
        <v>19</v>
      </c>
      <c r="L397" t="s">
        <v>20</v>
      </c>
      <c r="M397">
        <v>807048</v>
      </c>
      <c r="N397" s="1">
        <v>45409</v>
      </c>
      <c r="O397" t="s">
        <v>28</v>
      </c>
      <c r="P397">
        <v>7</v>
      </c>
      <c r="Q397">
        <v>159890.72</v>
      </c>
    </row>
    <row r="398" spans="1:17" x14ac:dyDescent="0.3">
      <c r="A398" t="s">
        <v>1165</v>
      </c>
      <c r="B398" t="s">
        <v>254</v>
      </c>
      <c r="C398" s="2" t="str">
        <f>PROPER(TRIM(Table1[[#This Row],[Gender]]))</f>
        <v>Female</v>
      </c>
      <c r="D398" t="s">
        <v>43</v>
      </c>
      <c r="E398">
        <v>66</v>
      </c>
      <c r="F398" t="s">
        <v>24</v>
      </c>
      <c r="G398" s="1">
        <v>21568</v>
      </c>
      <c r="H398" t="s">
        <v>1166</v>
      </c>
      <c r="I398" s="2" t="str">
        <f t="shared" si="6"/>
        <v>+91-9533164963</v>
      </c>
      <c r="J398">
        <f>91-9533165054</f>
        <v>-9533164963</v>
      </c>
      <c r="K398" t="s">
        <v>249</v>
      </c>
      <c r="L398" t="s">
        <v>34</v>
      </c>
      <c r="M398">
        <v>464813</v>
      </c>
      <c r="N398" s="1">
        <v>45202</v>
      </c>
      <c r="O398" t="s">
        <v>21</v>
      </c>
      <c r="P398">
        <v>4</v>
      </c>
      <c r="Q398">
        <v>22011.7</v>
      </c>
    </row>
    <row r="399" spans="1:17" x14ac:dyDescent="0.3">
      <c r="A399" t="s">
        <v>1167</v>
      </c>
      <c r="B399" t="s">
        <v>1168</v>
      </c>
      <c r="C399" s="2" t="str">
        <f>PROPER(TRIM(Table1[[#This Row],[Gender]]))</f>
        <v>Female</v>
      </c>
      <c r="D399" t="s">
        <v>43</v>
      </c>
      <c r="E399">
        <v>33</v>
      </c>
      <c r="F399" t="s">
        <v>31</v>
      </c>
      <c r="G399" s="1">
        <v>33613</v>
      </c>
      <c r="H399" t="s">
        <v>1169</v>
      </c>
      <c r="I399" s="2" t="str">
        <f t="shared" si="6"/>
        <v>+91-8517780504</v>
      </c>
      <c r="J399">
        <f>91-8517780595</f>
        <v>-8517780504</v>
      </c>
      <c r="K399" t="s">
        <v>415</v>
      </c>
      <c r="L399" t="s">
        <v>90</v>
      </c>
      <c r="M399">
        <v>357554</v>
      </c>
      <c r="N399" s="1">
        <v>45281</v>
      </c>
      <c r="O399" t="s">
        <v>21</v>
      </c>
      <c r="P399">
        <v>3</v>
      </c>
      <c r="Q399">
        <v>40027.79</v>
      </c>
    </row>
    <row r="400" spans="1:17" x14ac:dyDescent="0.3">
      <c r="A400" t="s">
        <v>1170</v>
      </c>
      <c r="B400" t="s">
        <v>865</v>
      </c>
      <c r="C400" s="2" t="str">
        <f>PROPER(TRIM(Table1[[#This Row],[Gender]]))</f>
        <v>Male</v>
      </c>
      <c r="D400" t="s">
        <v>16</v>
      </c>
      <c r="E400">
        <v>18</v>
      </c>
      <c r="F400" t="s">
        <v>49</v>
      </c>
      <c r="G400" s="1">
        <v>39088</v>
      </c>
      <c r="H400" t="s">
        <v>1171</v>
      </c>
      <c r="I400" s="2" t="str">
        <f t="shared" si="6"/>
        <v>+91-7715506825</v>
      </c>
      <c r="J400">
        <f>91-7715506916</f>
        <v>-7715506825</v>
      </c>
      <c r="K400" t="s">
        <v>249</v>
      </c>
      <c r="L400" t="s">
        <v>34</v>
      </c>
      <c r="M400">
        <v>719898</v>
      </c>
      <c r="N400" s="1">
        <v>45132</v>
      </c>
      <c r="O400" t="s">
        <v>28</v>
      </c>
      <c r="P400">
        <v>6</v>
      </c>
      <c r="Q400">
        <v>217174.96</v>
      </c>
    </row>
    <row r="401" spans="1:17" x14ac:dyDescent="0.3">
      <c r="A401" t="s">
        <v>1172</v>
      </c>
      <c r="B401" t="s">
        <v>1173</v>
      </c>
      <c r="C401" s="2" t="str">
        <f>PROPER(TRIM(Table1[[#This Row],[Gender]]))</f>
        <v>Female</v>
      </c>
      <c r="D401" t="s">
        <v>43</v>
      </c>
      <c r="E401">
        <v>52</v>
      </c>
      <c r="F401" t="s">
        <v>17</v>
      </c>
      <c r="G401" s="1">
        <v>26678</v>
      </c>
      <c r="H401" t="s">
        <v>1174</v>
      </c>
      <c r="I401" s="2" t="str">
        <f t="shared" si="6"/>
        <v>+91-7654896507</v>
      </c>
      <c r="J401">
        <f>91-7654896598</f>
        <v>-7654896507</v>
      </c>
      <c r="K401" t="s">
        <v>80</v>
      </c>
      <c r="L401" t="s">
        <v>20</v>
      </c>
      <c r="M401">
        <v>590476</v>
      </c>
      <c r="N401" s="1">
        <v>45273</v>
      </c>
      <c r="O401" t="s">
        <v>21</v>
      </c>
      <c r="P401">
        <v>5</v>
      </c>
      <c r="Q401">
        <v>31355.1</v>
      </c>
    </row>
    <row r="402" spans="1:17" x14ac:dyDescent="0.3">
      <c r="A402" t="s">
        <v>1175</v>
      </c>
      <c r="B402" t="s">
        <v>428</v>
      </c>
      <c r="C402" s="2" t="str">
        <f>PROPER(TRIM(Table1[[#This Row],[Gender]]))</f>
        <v>Male</v>
      </c>
      <c r="D402" t="s">
        <v>16</v>
      </c>
      <c r="E402">
        <v>25</v>
      </c>
      <c r="F402" t="s">
        <v>49</v>
      </c>
      <c r="G402" s="1">
        <v>36533</v>
      </c>
      <c r="H402" t="s">
        <v>1176</v>
      </c>
      <c r="I402" s="2" t="str">
        <f t="shared" si="6"/>
        <v>+91-7564137104</v>
      </c>
      <c r="J402">
        <f>91-7564137195</f>
        <v>-7564137104</v>
      </c>
      <c r="K402" t="s">
        <v>84</v>
      </c>
      <c r="L402" t="s">
        <v>85</v>
      </c>
      <c r="M402">
        <v>520450</v>
      </c>
      <c r="N402" s="1">
        <v>45378</v>
      </c>
      <c r="O402" t="s">
        <v>28</v>
      </c>
      <c r="P402">
        <v>7</v>
      </c>
      <c r="Q402">
        <v>150136.57999999999</v>
      </c>
    </row>
    <row r="403" spans="1:17" x14ac:dyDescent="0.3">
      <c r="A403" t="s">
        <v>1177</v>
      </c>
      <c r="B403" t="s">
        <v>1178</v>
      </c>
      <c r="C403" s="2" t="str">
        <f>PROPER(TRIM(Table1[[#This Row],[Gender]]))</f>
        <v>Female</v>
      </c>
      <c r="D403" t="s">
        <v>43</v>
      </c>
      <c r="E403">
        <v>28</v>
      </c>
      <c r="F403" t="s">
        <v>31</v>
      </c>
      <c r="G403" s="1">
        <v>35438</v>
      </c>
      <c r="H403" t="s">
        <v>1179</v>
      </c>
      <c r="I403" s="2" t="str">
        <f t="shared" si="6"/>
        <v>+91-8087013208</v>
      </c>
      <c r="J403">
        <f>91-8087013299</f>
        <v>-8087013208</v>
      </c>
      <c r="K403" t="s">
        <v>80</v>
      </c>
      <c r="L403" t="s">
        <v>20</v>
      </c>
      <c r="M403">
        <v>586695</v>
      </c>
      <c r="N403" s="1">
        <v>45322</v>
      </c>
      <c r="O403" t="s">
        <v>28</v>
      </c>
      <c r="P403">
        <v>11</v>
      </c>
      <c r="Q403">
        <v>354030.26</v>
      </c>
    </row>
    <row r="404" spans="1:17" x14ac:dyDescent="0.3">
      <c r="A404" t="s">
        <v>1180</v>
      </c>
      <c r="B404" t="s">
        <v>1181</v>
      </c>
      <c r="C404" s="2" t="str">
        <f>PROPER(TRIM(Table1[[#This Row],[Gender]]))</f>
        <v>Male</v>
      </c>
      <c r="D404" t="s">
        <v>16</v>
      </c>
      <c r="E404">
        <v>66</v>
      </c>
      <c r="F404" t="s">
        <v>24</v>
      </c>
      <c r="G404" s="1">
        <v>21568</v>
      </c>
      <c r="H404" t="s">
        <v>1182</v>
      </c>
      <c r="I404" s="2" t="str">
        <f t="shared" si="6"/>
        <v>+91-9705843819</v>
      </c>
      <c r="J404">
        <f>91-9705843910</f>
        <v>-9705843819</v>
      </c>
      <c r="K404" t="s">
        <v>125</v>
      </c>
      <c r="L404" t="s">
        <v>52</v>
      </c>
      <c r="M404">
        <v>999854</v>
      </c>
      <c r="N404" s="1">
        <v>45311</v>
      </c>
      <c r="O404" t="s">
        <v>35</v>
      </c>
      <c r="P404">
        <v>3</v>
      </c>
      <c r="Q404">
        <v>9820.0400000000009</v>
      </c>
    </row>
    <row r="405" spans="1:17" x14ac:dyDescent="0.3">
      <c r="A405" t="s">
        <v>1183</v>
      </c>
      <c r="B405" t="s">
        <v>1184</v>
      </c>
      <c r="C405" s="2" t="str">
        <f>PROPER(TRIM(Table1[[#This Row],[Gender]]))</f>
        <v>Male</v>
      </c>
      <c r="D405" t="s">
        <v>16</v>
      </c>
      <c r="E405">
        <v>26</v>
      </c>
      <c r="F405" t="s">
        <v>31</v>
      </c>
      <c r="G405" s="1">
        <v>36168</v>
      </c>
      <c r="H405" t="s">
        <v>1185</v>
      </c>
      <c r="I405" s="2" t="str">
        <f t="shared" si="6"/>
        <v>+91-9462409961</v>
      </c>
      <c r="J405">
        <f>91-9462410052</f>
        <v>-9462409961</v>
      </c>
      <c r="K405" t="s">
        <v>72</v>
      </c>
      <c r="L405" t="s">
        <v>34</v>
      </c>
      <c r="M405">
        <v>315839</v>
      </c>
      <c r="N405" s="1">
        <v>45235</v>
      </c>
      <c r="O405" t="s">
        <v>28</v>
      </c>
      <c r="P405">
        <v>4</v>
      </c>
      <c r="Q405">
        <v>71269.78</v>
      </c>
    </row>
    <row r="406" spans="1:17" x14ac:dyDescent="0.3">
      <c r="A406" t="s">
        <v>1186</v>
      </c>
      <c r="B406" t="s">
        <v>1187</v>
      </c>
      <c r="C406" s="2" t="str">
        <f>PROPER(TRIM(Table1[[#This Row],[Gender]]))</f>
        <v>Female</v>
      </c>
      <c r="D406" t="s">
        <v>43</v>
      </c>
      <c r="E406">
        <v>26</v>
      </c>
      <c r="F406" t="s">
        <v>31</v>
      </c>
      <c r="G406" s="1">
        <v>36168</v>
      </c>
      <c r="H406" t="s">
        <v>1188</v>
      </c>
      <c r="I406" s="2" t="str">
        <f t="shared" si="6"/>
        <v>+91-9366386984</v>
      </c>
      <c r="J406">
        <f>91-9366387075</f>
        <v>-9366386984</v>
      </c>
      <c r="K406" t="s">
        <v>154</v>
      </c>
      <c r="L406" t="s">
        <v>46</v>
      </c>
      <c r="M406">
        <v>646223</v>
      </c>
      <c r="N406" s="1">
        <v>45334</v>
      </c>
      <c r="O406" t="s">
        <v>28</v>
      </c>
      <c r="P406">
        <v>8</v>
      </c>
      <c r="Q406">
        <v>278720.69</v>
      </c>
    </row>
    <row r="407" spans="1:17" x14ac:dyDescent="0.3">
      <c r="A407" t="s">
        <v>1189</v>
      </c>
      <c r="B407" t="s">
        <v>1190</v>
      </c>
      <c r="C407" s="2" t="str">
        <f>PROPER(TRIM(Table1[[#This Row],[Gender]]))</f>
        <v>Female</v>
      </c>
      <c r="D407" t="s">
        <v>43</v>
      </c>
      <c r="E407">
        <v>63</v>
      </c>
      <c r="F407" t="s">
        <v>58</v>
      </c>
      <c r="G407" s="1">
        <v>22663</v>
      </c>
      <c r="H407" t="s">
        <v>1191</v>
      </c>
      <c r="I407" s="2" t="str">
        <f t="shared" si="6"/>
        <v>+91-9878550805</v>
      </c>
      <c r="J407">
        <f>91-9878550896</f>
        <v>-9878550805</v>
      </c>
      <c r="K407" t="s">
        <v>138</v>
      </c>
      <c r="L407" t="s">
        <v>90</v>
      </c>
      <c r="M407">
        <v>372646</v>
      </c>
      <c r="N407" s="1">
        <v>45217</v>
      </c>
      <c r="O407" t="s">
        <v>35</v>
      </c>
      <c r="P407">
        <v>5</v>
      </c>
      <c r="Q407">
        <v>7595.27</v>
      </c>
    </row>
    <row r="408" spans="1:17" x14ac:dyDescent="0.3">
      <c r="A408" t="s">
        <v>1192</v>
      </c>
      <c r="B408" t="s">
        <v>647</v>
      </c>
      <c r="C408" s="2" t="str">
        <f>PROPER(TRIM(Table1[[#This Row],[Gender]]))</f>
        <v>Male</v>
      </c>
      <c r="D408" t="s">
        <v>16</v>
      </c>
      <c r="E408">
        <v>34</v>
      </c>
      <c r="F408" t="s">
        <v>31</v>
      </c>
      <c r="G408" s="1">
        <v>33248</v>
      </c>
      <c r="H408" t="s">
        <v>1193</v>
      </c>
      <c r="I408" s="2" t="str">
        <f t="shared" si="6"/>
        <v>+91-8666880211</v>
      </c>
      <c r="J408">
        <f>91-8666880302</f>
        <v>-8666880211</v>
      </c>
      <c r="K408" t="s">
        <v>195</v>
      </c>
      <c r="L408" t="s">
        <v>102</v>
      </c>
      <c r="M408">
        <v>857093</v>
      </c>
      <c r="N408" s="1">
        <v>45386</v>
      </c>
      <c r="O408" t="s">
        <v>28</v>
      </c>
      <c r="P408">
        <v>7</v>
      </c>
      <c r="Q408">
        <v>217593.88</v>
      </c>
    </row>
    <row r="409" spans="1:17" x14ac:dyDescent="0.3">
      <c r="A409" t="s">
        <v>1194</v>
      </c>
      <c r="B409" t="s">
        <v>1195</v>
      </c>
      <c r="C409" s="2" t="str">
        <f>PROPER(TRIM(Table1[[#This Row],[Gender]]))</f>
        <v>Female</v>
      </c>
      <c r="D409" t="s">
        <v>43</v>
      </c>
      <c r="E409">
        <v>57</v>
      </c>
      <c r="F409" t="s">
        <v>58</v>
      </c>
      <c r="G409" s="1">
        <v>24853</v>
      </c>
      <c r="H409" t="s">
        <v>1196</v>
      </c>
      <c r="I409" s="2" t="str">
        <f t="shared" si="6"/>
        <v>+91-8988053288</v>
      </c>
      <c r="J409">
        <f>91-8988053379</f>
        <v>-8988053288</v>
      </c>
      <c r="K409" t="s">
        <v>415</v>
      </c>
      <c r="L409" t="s">
        <v>90</v>
      </c>
      <c r="M409">
        <v>847570</v>
      </c>
      <c r="N409" s="1">
        <v>45150</v>
      </c>
      <c r="O409" t="s">
        <v>21</v>
      </c>
      <c r="P409">
        <v>7</v>
      </c>
      <c r="Q409">
        <v>22040.3</v>
      </c>
    </row>
    <row r="410" spans="1:17" x14ac:dyDescent="0.3">
      <c r="A410" t="s">
        <v>1197</v>
      </c>
      <c r="B410" t="s">
        <v>698</v>
      </c>
      <c r="C410" s="2" t="str">
        <f>PROPER(TRIM(Table1[[#This Row],[Gender]]))</f>
        <v>Female</v>
      </c>
      <c r="D410" t="s">
        <v>43</v>
      </c>
      <c r="E410">
        <v>32</v>
      </c>
      <c r="F410" t="s">
        <v>31</v>
      </c>
      <c r="G410" s="1">
        <v>33978</v>
      </c>
      <c r="H410" t="s">
        <v>1198</v>
      </c>
      <c r="I410" s="2" t="str">
        <f t="shared" si="6"/>
        <v>+91-9653912147</v>
      </c>
      <c r="J410">
        <f>91-9653912238</f>
        <v>-9653912147</v>
      </c>
      <c r="K410" t="s">
        <v>68</v>
      </c>
      <c r="L410" t="s">
        <v>52</v>
      </c>
      <c r="M410">
        <v>680604</v>
      </c>
      <c r="N410" s="1">
        <v>45151</v>
      </c>
      <c r="O410" t="s">
        <v>28</v>
      </c>
      <c r="P410">
        <v>5</v>
      </c>
      <c r="Q410">
        <v>272489.56</v>
      </c>
    </row>
    <row r="411" spans="1:17" x14ac:dyDescent="0.3">
      <c r="A411" t="s">
        <v>1199</v>
      </c>
      <c r="B411" t="s">
        <v>1200</v>
      </c>
      <c r="C411" s="2" t="str">
        <f>PROPER(TRIM(Table1[[#This Row],[Gender]]))</f>
        <v>Male</v>
      </c>
      <c r="D411" t="s">
        <v>16</v>
      </c>
      <c r="E411">
        <v>19</v>
      </c>
      <c r="F411" t="s">
        <v>49</v>
      </c>
      <c r="G411" s="1">
        <v>38723</v>
      </c>
      <c r="H411" t="s">
        <v>1201</v>
      </c>
      <c r="I411" s="2" t="str">
        <f t="shared" si="6"/>
        <v>+91-9792564407</v>
      </c>
      <c r="J411">
        <f>91-9792564498</f>
        <v>-9792564407</v>
      </c>
      <c r="K411" t="s">
        <v>165</v>
      </c>
      <c r="L411" t="s">
        <v>52</v>
      </c>
      <c r="M411">
        <v>313801</v>
      </c>
      <c r="N411" s="1">
        <v>45350</v>
      </c>
      <c r="O411" t="s">
        <v>28</v>
      </c>
      <c r="P411">
        <v>5</v>
      </c>
      <c r="Q411">
        <v>99874.76</v>
      </c>
    </row>
    <row r="412" spans="1:17" x14ac:dyDescent="0.3">
      <c r="A412" t="s">
        <v>1202</v>
      </c>
      <c r="B412" t="s">
        <v>546</v>
      </c>
      <c r="C412" s="2" t="str">
        <f>PROPER(TRIM(Table1[[#This Row],[Gender]]))</f>
        <v>Female</v>
      </c>
      <c r="D412" t="s">
        <v>43</v>
      </c>
      <c r="E412">
        <v>27</v>
      </c>
      <c r="F412" t="s">
        <v>31</v>
      </c>
      <c r="G412" s="1">
        <v>35803</v>
      </c>
      <c r="H412" t="s">
        <v>1203</v>
      </c>
      <c r="I412" s="2" t="str">
        <f t="shared" si="6"/>
        <v>+91-8335846622</v>
      </c>
      <c r="J412">
        <f>91-8335846713</f>
        <v>-8335846622</v>
      </c>
      <c r="K412" t="s">
        <v>19</v>
      </c>
      <c r="L412" t="s">
        <v>20</v>
      </c>
      <c r="M412">
        <v>787769</v>
      </c>
      <c r="N412" s="1">
        <v>45285</v>
      </c>
      <c r="O412" t="s">
        <v>28</v>
      </c>
      <c r="P412">
        <v>8</v>
      </c>
      <c r="Q412">
        <v>236722.09</v>
      </c>
    </row>
    <row r="413" spans="1:17" x14ac:dyDescent="0.3">
      <c r="A413" t="s">
        <v>1204</v>
      </c>
      <c r="B413" t="s">
        <v>1205</v>
      </c>
      <c r="C413" s="2" t="str">
        <f>PROPER(TRIM(Table1[[#This Row],[Gender]]))</f>
        <v>Male</v>
      </c>
      <c r="D413" t="s">
        <v>16</v>
      </c>
      <c r="E413">
        <v>46</v>
      </c>
      <c r="F413" t="s">
        <v>17</v>
      </c>
      <c r="G413" s="1">
        <v>28868</v>
      </c>
      <c r="H413" t="s">
        <v>1206</v>
      </c>
      <c r="I413" s="2" t="str">
        <f t="shared" si="6"/>
        <v>+91-7687032292</v>
      </c>
      <c r="J413">
        <f>91-7687032383</f>
        <v>-7687032292</v>
      </c>
      <c r="K413" t="s">
        <v>125</v>
      </c>
      <c r="L413" t="s">
        <v>52</v>
      </c>
      <c r="M413">
        <v>386101</v>
      </c>
      <c r="N413" s="1">
        <v>45225</v>
      </c>
      <c r="O413" t="s">
        <v>21</v>
      </c>
      <c r="P413">
        <v>8</v>
      </c>
      <c r="Q413">
        <v>46839.91</v>
      </c>
    </row>
    <row r="414" spans="1:17" x14ac:dyDescent="0.3">
      <c r="A414" t="s">
        <v>1207</v>
      </c>
      <c r="B414" t="s">
        <v>1208</v>
      </c>
      <c r="C414" s="2" t="str">
        <f>PROPER(TRIM(Table1[[#This Row],[Gender]]))</f>
        <v>Male</v>
      </c>
      <c r="D414" t="s">
        <v>16</v>
      </c>
      <c r="E414">
        <v>35</v>
      </c>
      <c r="F414" t="s">
        <v>31</v>
      </c>
      <c r="G414" s="1">
        <v>32883</v>
      </c>
      <c r="H414" t="s">
        <v>1209</v>
      </c>
      <c r="I414" s="2" t="str">
        <f t="shared" si="6"/>
        <v>+91-7607588221</v>
      </c>
      <c r="J414">
        <f>91-7607588312</f>
        <v>-7607588221</v>
      </c>
      <c r="K414" t="s">
        <v>138</v>
      </c>
      <c r="L414" t="s">
        <v>90</v>
      </c>
      <c r="M414">
        <v>323515</v>
      </c>
      <c r="N414" s="1">
        <v>45326</v>
      </c>
      <c r="O414" t="s">
        <v>28</v>
      </c>
      <c r="P414">
        <v>5</v>
      </c>
      <c r="Q414">
        <v>67948.23</v>
      </c>
    </row>
    <row r="415" spans="1:17" x14ac:dyDescent="0.3">
      <c r="A415" t="s">
        <v>1210</v>
      </c>
      <c r="B415" t="s">
        <v>1211</v>
      </c>
      <c r="C415" s="2" t="str">
        <f>PROPER(TRIM(Table1[[#This Row],[Gender]]))</f>
        <v>Female</v>
      </c>
      <c r="D415" t="s">
        <v>43</v>
      </c>
      <c r="E415">
        <v>40</v>
      </c>
      <c r="F415" t="s">
        <v>38</v>
      </c>
      <c r="G415" s="1">
        <v>31058</v>
      </c>
      <c r="H415" t="s">
        <v>1212</v>
      </c>
      <c r="I415" s="2" t="str">
        <f t="shared" si="6"/>
        <v>+91-7049101839</v>
      </c>
      <c r="J415">
        <f>91-7049101930</f>
        <v>-7049101839</v>
      </c>
      <c r="K415" t="s">
        <v>64</v>
      </c>
      <c r="L415" t="s">
        <v>20</v>
      </c>
      <c r="M415">
        <v>472563</v>
      </c>
      <c r="N415" s="1">
        <v>45369</v>
      </c>
      <c r="O415" t="s">
        <v>35</v>
      </c>
      <c r="P415">
        <v>1</v>
      </c>
      <c r="Q415">
        <v>6954.7</v>
      </c>
    </row>
    <row r="416" spans="1:17" x14ac:dyDescent="0.3">
      <c r="A416" t="s">
        <v>1213</v>
      </c>
      <c r="B416" t="s">
        <v>982</v>
      </c>
      <c r="C416" s="2" t="str">
        <f>PROPER(TRIM(Table1[[#This Row],[Gender]]))</f>
        <v>Male</v>
      </c>
      <c r="D416" t="s">
        <v>16</v>
      </c>
      <c r="E416">
        <v>34</v>
      </c>
      <c r="F416" t="s">
        <v>31</v>
      </c>
      <c r="G416" s="1">
        <v>33248</v>
      </c>
      <c r="H416" t="s">
        <v>1214</v>
      </c>
      <c r="I416" s="2" t="str">
        <f t="shared" si="6"/>
        <v>+91-8552324154</v>
      </c>
      <c r="J416">
        <f>91-8552324245</f>
        <v>-8552324154</v>
      </c>
      <c r="K416" t="s">
        <v>117</v>
      </c>
      <c r="L416" t="s">
        <v>52</v>
      </c>
      <c r="M416">
        <v>670776</v>
      </c>
      <c r="N416" s="1">
        <v>45106</v>
      </c>
      <c r="O416" t="s">
        <v>28</v>
      </c>
      <c r="P416">
        <v>5</v>
      </c>
      <c r="Q416">
        <v>121534.49</v>
      </c>
    </row>
    <row r="417" spans="1:17" x14ac:dyDescent="0.3">
      <c r="A417" t="s">
        <v>1215</v>
      </c>
      <c r="B417" t="s">
        <v>1216</v>
      </c>
      <c r="C417" s="2" t="str">
        <f>PROPER(TRIM(Table1[[#This Row],[Gender]]))</f>
        <v>Female</v>
      </c>
      <c r="D417" t="s">
        <v>43</v>
      </c>
      <c r="E417">
        <v>69</v>
      </c>
      <c r="F417" t="s">
        <v>24</v>
      </c>
      <c r="G417" s="1">
        <v>20473</v>
      </c>
      <c r="H417" t="s">
        <v>1217</v>
      </c>
      <c r="I417" s="2" t="str">
        <f t="shared" si="6"/>
        <v>+91-9942650951</v>
      </c>
      <c r="J417">
        <f>91-9942651042</f>
        <v>-9942650951</v>
      </c>
      <c r="K417" t="s">
        <v>249</v>
      </c>
      <c r="L417" t="s">
        <v>34</v>
      </c>
      <c r="M417">
        <v>582331</v>
      </c>
      <c r="N417" s="1">
        <v>45406</v>
      </c>
      <c r="O417" t="s">
        <v>21</v>
      </c>
      <c r="P417">
        <v>7</v>
      </c>
      <c r="Q417">
        <v>32540.49</v>
      </c>
    </row>
    <row r="418" spans="1:17" x14ac:dyDescent="0.3">
      <c r="A418" t="s">
        <v>1218</v>
      </c>
      <c r="B418" t="s">
        <v>718</v>
      </c>
      <c r="C418" s="2" t="str">
        <f>PROPER(TRIM(Table1[[#This Row],[Gender]]))</f>
        <v>Female</v>
      </c>
      <c r="D418" t="s">
        <v>43</v>
      </c>
      <c r="E418">
        <v>25</v>
      </c>
      <c r="F418" t="s">
        <v>49</v>
      </c>
      <c r="G418" s="1">
        <v>36533</v>
      </c>
      <c r="H418" t="s">
        <v>1219</v>
      </c>
      <c r="I418" s="2" t="str">
        <f t="shared" si="6"/>
        <v>+91-9169953697</v>
      </c>
      <c r="J418">
        <f>91-9169953788</f>
        <v>-9169953697</v>
      </c>
      <c r="K418" t="s">
        <v>84</v>
      </c>
      <c r="L418" t="s">
        <v>85</v>
      </c>
      <c r="M418">
        <v>345188</v>
      </c>
      <c r="N418" s="1">
        <v>45249</v>
      </c>
      <c r="O418" t="s">
        <v>28</v>
      </c>
      <c r="P418">
        <v>8</v>
      </c>
      <c r="Q418">
        <v>190728.86</v>
      </c>
    </row>
    <row r="419" spans="1:17" x14ac:dyDescent="0.3">
      <c r="A419" t="s">
        <v>1220</v>
      </c>
      <c r="B419" t="s">
        <v>975</v>
      </c>
      <c r="C419" s="2" t="str">
        <f>PROPER(TRIM(Table1[[#This Row],[Gender]]))</f>
        <v>Male</v>
      </c>
      <c r="D419" t="s">
        <v>16</v>
      </c>
      <c r="E419">
        <v>18</v>
      </c>
      <c r="F419" t="s">
        <v>49</v>
      </c>
      <c r="G419" s="1">
        <v>39088</v>
      </c>
      <c r="H419" t="s">
        <v>1221</v>
      </c>
      <c r="I419" s="2" t="str">
        <f t="shared" si="6"/>
        <v>+91-8480406725</v>
      </c>
      <c r="J419">
        <f>91-8480406816</f>
        <v>-8480406725</v>
      </c>
      <c r="K419" t="s">
        <v>165</v>
      </c>
      <c r="L419" t="s">
        <v>52</v>
      </c>
      <c r="M419">
        <v>200023</v>
      </c>
      <c r="N419" s="1">
        <v>45297</v>
      </c>
      <c r="O419" t="s">
        <v>28</v>
      </c>
      <c r="P419">
        <v>6</v>
      </c>
      <c r="Q419">
        <v>211891.25</v>
      </c>
    </row>
    <row r="420" spans="1:17" x14ac:dyDescent="0.3">
      <c r="A420" t="s">
        <v>1222</v>
      </c>
      <c r="B420" t="s">
        <v>172</v>
      </c>
      <c r="C420" s="2" t="str">
        <f>PROPER(TRIM(Table1[[#This Row],[Gender]]))</f>
        <v>Male</v>
      </c>
      <c r="D420" t="s">
        <v>16</v>
      </c>
      <c r="E420">
        <v>48</v>
      </c>
      <c r="F420" t="s">
        <v>17</v>
      </c>
      <c r="G420" s="1">
        <v>28138</v>
      </c>
      <c r="H420" t="s">
        <v>1223</v>
      </c>
      <c r="I420" s="2" t="str">
        <f t="shared" si="6"/>
        <v>+91-9424656166</v>
      </c>
      <c r="J420">
        <f>91-9424656257</f>
        <v>-9424656166</v>
      </c>
      <c r="K420" t="s">
        <v>580</v>
      </c>
      <c r="L420" t="s">
        <v>85</v>
      </c>
      <c r="M420">
        <v>599488</v>
      </c>
      <c r="N420" s="1">
        <v>45144</v>
      </c>
      <c r="O420" t="s">
        <v>21</v>
      </c>
      <c r="P420">
        <v>2</v>
      </c>
      <c r="Q420">
        <v>47297.55</v>
      </c>
    </row>
    <row r="421" spans="1:17" x14ac:dyDescent="0.3">
      <c r="A421" t="s">
        <v>1224</v>
      </c>
      <c r="B421" t="s">
        <v>1225</v>
      </c>
      <c r="C421" s="2" t="str">
        <f>PROPER(TRIM(Table1[[#This Row],[Gender]]))</f>
        <v>Female</v>
      </c>
      <c r="D421" t="s">
        <v>43</v>
      </c>
      <c r="E421">
        <v>35</v>
      </c>
      <c r="F421" t="s">
        <v>31</v>
      </c>
      <c r="G421" s="1">
        <v>32883</v>
      </c>
      <c r="H421" t="s">
        <v>1226</v>
      </c>
      <c r="I421" s="2" t="str">
        <f t="shared" si="6"/>
        <v>+91-7723906776</v>
      </c>
      <c r="J421">
        <f>91-7723906867</f>
        <v>-7723906776</v>
      </c>
      <c r="K421" t="s">
        <v>72</v>
      </c>
      <c r="L421" t="s">
        <v>34</v>
      </c>
      <c r="M421">
        <v>718834</v>
      </c>
      <c r="N421" s="1">
        <v>45384</v>
      </c>
      <c r="O421" t="s">
        <v>28</v>
      </c>
      <c r="P421">
        <v>6</v>
      </c>
      <c r="Q421">
        <v>309963.02</v>
      </c>
    </row>
    <row r="422" spans="1:17" x14ac:dyDescent="0.3">
      <c r="A422" t="s">
        <v>1227</v>
      </c>
      <c r="B422" t="s">
        <v>1228</v>
      </c>
      <c r="C422" s="2" t="str">
        <f>PROPER(TRIM(Table1[[#This Row],[Gender]]))</f>
        <v>Female</v>
      </c>
      <c r="D422" t="s">
        <v>43</v>
      </c>
      <c r="E422">
        <v>41</v>
      </c>
      <c r="F422" t="s">
        <v>38</v>
      </c>
      <c r="G422" s="1">
        <v>30693</v>
      </c>
      <c r="H422" t="s">
        <v>1229</v>
      </c>
      <c r="I422" s="2" t="str">
        <f t="shared" si="6"/>
        <v>+91-9111697127</v>
      </c>
      <c r="J422">
        <f>91-9111697218</f>
        <v>-9111697127</v>
      </c>
      <c r="K422" t="s">
        <v>19</v>
      </c>
      <c r="L422" t="s">
        <v>20</v>
      </c>
      <c r="M422">
        <v>891443</v>
      </c>
      <c r="N422" s="1">
        <v>45091</v>
      </c>
      <c r="O422" t="s">
        <v>28</v>
      </c>
      <c r="P422">
        <v>7</v>
      </c>
      <c r="Q422">
        <v>201868.75</v>
      </c>
    </row>
    <row r="423" spans="1:17" x14ac:dyDescent="0.3">
      <c r="A423" t="s">
        <v>1230</v>
      </c>
      <c r="B423" t="s">
        <v>1231</v>
      </c>
      <c r="C423" s="2" t="str">
        <f>PROPER(TRIM(Table1[[#This Row],[Gender]]))</f>
        <v>Male</v>
      </c>
      <c r="D423" t="s">
        <v>16</v>
      </c>
      <c r="E423">
        <v>28</v>
      </c>
      <c r="F423" t="s">
        <v>31</v>
      </c>
      <c r="G423" s="1">
        <v>35438</v>
      </c>
      <c r="H423" t="s">
        <v>1232</v>
      </c>
      <c r="I423" s="2" t="str">
        <f t="shared" si="6"/>
        <v>+91-9017309667</v>
      </c>
      <c r="J423">
        <f>91-9017309758</f>
        <v>-9017309667</v>
      </c>
      <c r="K423" t="s">
        <v>19</v>
      </c>
      <c r="L423" t="s">
        <v>20</v>
      </c>
      <c r="M423">
        <v>384770</v>
      </c>
      <c r="N423" s="1">
        <v>45430</v>
      </c>
      <c r="O423" t="s">
        <v>28</v>
      </c>
      <c r="P423">
        <v>2</v>
      </c>
      <c r="Q423">
        <v>98464.25</v>
      </c>
    </row>
    <row r="424" spans="1:17" x14ac:dyDescent="0.3">
      <c r="A424" t="s">
        <v>1233</v>
      </c>
      <c r="B424" t="s">
        <v>1025</v>
      </c>
      <c r="C424" s="2" t="str">
        <f>PROPER(TRIM(Table1[[#This Row],[Gender]]))</f>
        <v>Female</v>
      </c>
      <c r="D424" t="s">
        <v>43</v>
      </c>
      <c r="E424">
        <v>27</v>
      </c>
      <c r="F424" t="s">
        <v>31</v>
      </c>
      <c r="G424" s="1">
        <v>35803</v>
      </c>
      <c r="H424" t="s">
        <v>1234</v>
      </c>
      <c r="I424" s="2" t="str">
        <f t="shared" si="6"/>
        <v>+91-8498116471</v>
      </c>
      <c r="J424">
        <f>91-8498116562</f>
        <v>-8498116471</v>
      </c>
      <c r="K424" t="s">
        <v>19</v>
      </c>
      <c r="L424" t="s">
        <v>20</v>
      </c>
      <c r="M424">
        <v>588218</v>
      </c>
      <c r="N424" s="1">
        <v>45193</v>
      </c>
      <c r="O424" t="s">
        <v>28</v>
      </c>
      <c r="P424">
        <v>6</v>
      </c>
      <c r="Q424">
        <v>163506.62</v>
      </c>
    </row>
    <row r="425" spans="1:17" x14ac:dyDescent="0.3">
      <c r="A425" t="s">
        <v>1235</v>
      </c>
      <c r="B425" t="s">
        <v>1236</v>
      </c>
      <c r="C425" s="2" t="str">
        <f>PROPER(TRIM(Table1[[#This Row],[Gender]]))</f>
        <v>Male</v>
      </c>
      <c r="D425" t="s">
        <v>16</v>
      </c>
      <c r="E425">
        <v>28</v>
      </c>
      <c r="F425" t="s">
        <v>31</v>
      </c>
      <c r="G425" s="1">
        <v>35438</v>
      </c>
      <c r="H425" t="s">
        <v>1237</v>
      </c>
      <c r="I425" s="2" t="str">
        <f t="shared" si="6"/>
        <v>+91-7513993496</v>
      </c>
      <c r="J425">
        <f>91-7513993587</f>
        <v>-7513993496</v>
      </c>
      <c r="K425" t="s">
        <v>80</v>
      </c>
      <c r="L425" t="s">
        <v>20</v>
      </c>
      <c r="M425">
        <v>328681</v>
      </c>
      <c r="N425" s="1">
        <v>45288</v>
      </c>
      <c r="O425" t="s">
        <v>28</v>
      </c>
      <c r="P425">
        <v>4</v>
      </c>
      <c r="Q425">
        <v>94348.63</v>
      </c>
    </row>
    <row r="426" spans="1:17" x14ac:dyDescent="0.3">
      <c r="A426" t="s">
        <v>1238</v>
      </c>
      <c r="B426" t="s">
        <v>1239</v>
      </c>
      <c r="C426" s="2" t="str">
        <f>PROPER(TRIM(Table1[[#This Row],[Gender]]))</f>
        <v>Female</v>
      </c>
      <c r="D426" t="s">
        <v>43</v>
      </c>
      <c r="E426">
        <v>38</v>
      </c>
      <c r="F426" t="s">
        <v>38</v>
      </c>
      <c r="G426" s="1">
        <v>31788</v>
      </c>
      <c r="H426" t="s">
        <v>1240</v>
      </c>
      <c r="I426" s="2" t="str">
        <f t="shared" si="6"/>
        <v>+91-7996877527</v>
      </c>
      <c r="J426">
        <f>91-7996877618</f>
        <v>-7996877527</v>
      </c>
      <c r="K426" t="s">
        <v>178</v>
      </c>
      <c r="L426" t="s">
        <v>27</v>
      </c>
      <c r="M426">
        <v>433709</v>
      </c>
      <c r="N426" s="1">
        <v>45312</v>
      </c>
      <c r="O426" t="s">
        <v>28</v>
      </c>
      <c r="P426">
        <v>6</v>
      </c>
      <c r="Q426">
        <v>64049.59</v>
      </c>
    </row>
    <row r="427" spans="1:17" x14ac:dyDescent="0.3">
      <c r="A427" t="s">
        <v>1241</v>
      </c>
      <c r="B427" t="s">
        <v>1242</v>
      </c>
      <c r="C427" s="2" t="str">
        <f>PROPER(TRIM(Table1[[#This Row],[Gender]]))</f>
        <v>Female</v>
      </c>
      <c r="D427" t="s">
        <v>43</v>
      </c>
      <c r="E427">
        <v>27</v>
      </c>
      <c r="F427" t="s">
        <v>31</v>
      </c>
      <c r="G427" s="1">
        <v>35803</v>
      </c>
      <c r="H427" t="s">
        <v>1243</v>
      </c>
      <c r="I427" s="2" t="str">
        <f t="shared" si="6"/>
        <v>+91-7026120621</v>
      </c>
      <c r="J427">
        <f>91-7026120712</f>
        <v>-7026120621</v>
      </c>
      <c r="K427" t="s">
        <v>60</v>
      </c>
      <c r="L427" t="s">
        <v>34</v>
      </c>
      <c r="M427">
        <v>754320</v>
      </c>
      <c r="N427" s="1">
        <v>45376</v>
      </c>
      <c r="O427" t="s">
        <v>28</v>
      </c>
      <c r="P427">
        <v>7</v>
      </c>
      <c r="Q427">
        <v>162727.49</v>
      </c>
    </row>
    <row r="428" spans="1:17" x14ac:dyDescent="0.3">
      <c r="A428" t="s">
        <v>1244</v>
      </c>
      <c r="B428" t="s">
        <v>1245</v>
      </c>
      <c r="C428" s="2" t="str">
        <f>PROPER(TRIM(Table1[[#This Row],[Gender]]))</f>
        <v>Female</v>
      </c>
      <c r="D428" t="s">
        <v>43</v>
      </c>
      <c r="E428">
        <v>41</v>
      </c>
      <c r="F428" t="s">
        <v>38</v>
      </c>
      <c r="G428" s="1">
        <v>30693</v>
      </c>
      <c r="H428" t="s">
        <v>1246</v>
      </c>
      <c r="I428" s="2" t="str">
        <f t="shared" si="6"/>
        <v>+91-9763754156</v>
      </c>
      <c r="J428">
        <f>91-9763754247</f>
        <v>-9763754156</v>
      </c>
      <c r="K428" t="s">
        <v>117</v>
      </c>
      <c r="L428" t="s">
        <v>52</v>
      </c>
      <c r="M428">
        <v>352428</v>
      </c>
      <c r="N428" s="1">
        <v>45440</v>
      </c>
      <c r="O428" t="s">
        <v>28</v>
      </c>
      <c r="P428">
        <v>1</v>
      </c>
      <c r="Q428">
        <v>50385.120000000003</v>
      </c>
    </row>
    <row r="429" spans="1:17" x14ac:dyDescent="0.3">
      <c r="A429" t="s">
        <v>1247</v>
      </c>
      <c r="B429" t="s">
        <v>1248</v>
      </c>
      <c r="C429" s="2" t="str">
        <f>PROPER(TRIM(Table1[[#This Row],[Gender]]))</f>
        <v>Female</v>
      </c>
      <c r="D429" t="s">
        <v>43</v>
      </c>
      <c r="E429">
        <v>20</v>
      </c>
      <c r="F429" t="s">
        <v>49</v>
      </c>
      <c r="G429" s="1">
        <v>38358</v>
      </c>
      <c r="H429" t="s">
        <v>1249</v>
      </c>
      <c r="I429" s="2" t="str">
        <f t="shared" si="6"/>
        <v>+91-9543714426</v>
      </c>
      <c r="J429">
        <f>91-9543714517</f>
        <v>-9543714426</v>
      </c>
      <c r="K429" t="s">
        <v>40</v>
      </c>
      <c r="L429" t="s">
        <v>27</v>
      </c>
      <c r="M429">
        <v>318743</v>
      </c>
      <c r="N429" s="1">
        <v>45371</v>
      </c>
      <c r="O429" t="s">
        <v>28</v>
      </c>
      <c r="P429">
        <v>3</v>
      </c>
      <c r="Q429">
        <v>354815.12</v>
      </c>
    </row>
    <row r="430" spans="1:17" x14ac:dyDescent="0.3">
      <c r="A430" t="s">
        <v>1250</v>
      </c>
      <c r="B430" t="s">
        <v>1251</v>
      </c>
      <c r="C430" s="2" t="str">
        <f>PROPER(TRIM(Table1[[#This Row],[Gender]]))</f>
        <v>Male</v>
      </c>
      <c r="D430" t="s">
        <v>16</v>
      </c>
      <c r="E430">
        <v>37</v>
      </c>
      <c r="F430" t="s">
        <v>38</v>
      </c>
      <c r="G430" s="1">
        <v>32153</v>
      </c>
      <c r="H430" t="s">
        <v>1252</v>
      </c>
      <c r="I430" s="2" t="str">
        <f t="shared" si="6"/>
        <v>+91-9853278954</v>
      </c>
      <c r="J430">
        <f>91-9853279045</f>
        <v>-9853278954</v>
      </c>
      <c r="K430" t="s">
        <v>415</v>
      </c>
      <c r="L430" t="s">
        <v>90</v>
      </c>
      <c r="M430">
        <v>338689</v>
      </c>
      <c r="N430" s="1">
        <v>45294</v>
      </c>
      <c r="O430" t="s">
        <v>28</v>
      </c>
      <c r="P430">
        <v>5</v>
      </c>
      <c r="Q430">
        <v>201511.53</v>
      </c>
    </row>
    <row r="431" spans="1:17" x14ac:dyDescent="0.3">
      <c r="A431" t="s">
        <v>1253</v>
      </c>
      <c r="B431" t="s">
        <v>740</v>
      </c>
      <c r="C431" s="2" t="str">
        <f>PROPER(TRIM(Table1[[#This Row],[Gender]]))</f>
        <v>Male</v>
      </c>
      <c r="D431" t="s">
        <v>16</v>
      </c>
      <c r="E431">
        <v>40</v>
      </c>
      <c r="F431" t="s">
        <v>38</v>
      </c>
      <c r="G431" s="1">
        <v>31058</v>
      </c>
      <c r="H431" t="s">
        <v>1254</v>
      </c>
      <c r="I431" s="2" t="str">
        <f t="shared" si="6"/>
        <v>+91-8035792774</v>
      </c>
      <c r="J431">
        <f>91-8035792865</f>
        <v>-8035792774</v>
      </c>
      <c r="K431" t="s">
        <v>26</v>
      </c>
      <c r="L431" t="s">
        <v>27</v>
      </c>
      <c r="M431">
        <v>835372</v>
      </c>
      <c r="N431" s="1">
        <v>45233</v>
      </c>
      <c r="O431" t="s">
        <v>28</v>
      </c>
      <c r="P431">
        <v>3</v>
      </c>
      <c r="Q431">
        <v>50375.82</v>
      </c>
    </row>
    <row r="432" spans="1:17" x14ac:dyDescent="0.3">
      <c r="A432" t="s">
        <v>1255</v>
      </c>
      <c r="B432" t="s">
        <v>1256</v>
      </c>
      <c r="C432" s="2" t="str">
        <f>PROPER(TRIM(Table1[[#This Row],[Gender]]))</f>
        <v>Male</v>
      </c>
      <c r="D432" t="s">
        <v>16</v>
      </c>
      <c r="E432">
        <v>52</v>
      </c>
      <c r="F432" t="s">
        <v>17</v>
      </c>
      <c r="G432" s="1">
        <v>26678</v>
      </c>
      <c r="H432" t="s">
        <v>1257</v>
      </c>
      <c r="I432" s="2" t="str">
        <f t="shared" si="6"/>
        <v>+91-9898098590</v>
      </c>
      <c r="J432">
        <f>91-9898098681</f>
        <v>-9898098590</v>
      </c>
      <c r="K432" t="s">
        <v>165</v>
      </c>
      <c r="L432" t="s">
        <v>52</v>
      </c>
      <c r="M432">
        <v>757089</v>
      </c>
      <c r="N432" s="1">
        <v>45171</v>
      </c>
      <c r="O432" t="s">
        <v>28</v>
      </c>
      <c r="P432">
        <v>3</v>
      </c>
      <c r="Q432">
        <v>75053.94</v>
      </c>
    </row>
    <row r="433" spans="1:17" x14ac:dyDescent="0.3">
      <c r="A433" t="s">
        <v>1258</v>
      </c>
      <c r="B433" t="s">
        <v>359</v>
      </c>
      <c r="C433" s="2" t="str">
        <f>PROPER(TRIM(Table1[[#This Row],[Gender]]))</f>
        <v>Male</v>
      </c>
      <c r="D433" t="s">
        <v>16</v>
      </c>
      <c r="E433">
        <v>31</v>
      </c>
      <c r="F433" t="s">
        <v>31</v>
      </c>
      <c r="G433" s="1">
        <v>34343</v>
      </c>
      <c r="H433" t="s">
        <v>360</v>
      </c>
      <c r="I433" s="2" t="str">
        <f t="shared" si="6"/>
        <v>+91-9082772164</v>
      </c>
      <c r="J433">
        <f>91-9082772255</f>
        <v>-9082772164</v>
      </c>
      <c r="K433" t="s">
        <v>26</v>
      </c>
      <c r="L433" t="s">
        <v>27</v>
      </c>
      <c r="M433">
        <v>862814</v>
      </c>
      <c r="N433" s="1">
        <v>45293</v>
      </c>
      <c r="O433" t="s">
        <v>21</v>
      </c>
      <c r="P433">
        <v>5</v>
      </c>
      <c r="Q433">
        <v>41693.57</v>
      </c>
    </row>
    <row r="434" spans="1:17" x14ac:dyDescent="0.3">
      <c r="A434" t="s">
        <v>1259</v>
      </c>
      <c r="B434" t="s">
        <v>1260</v>
      </c>
      <c r="C434" s="2" t="str">
        <f>PROPER(TRIM(Table1[[#This Row],[Gender]]))</f>
        <v>Female</v>
      </c>
      <c r="D434" t="s">
        <v>43</v>
      </c>
      <c r="E434">
        <v>31</v>
      </c>
      <c r="F434" t="s">
        <v>31</v>
      </c>
      <c r="G434" s="1">
        <v>34343</v>
      </c>
      <c r="H434" t="s">
        <v>1261</v>
      </c>
      <c r="I434" s="2" t="str">
        <f t="shared" si="6"/>
        <v>+91-7988739985</v>
      </c>
      <c r="J434">
        <f>91-7988740076</f>
        <v>-7988739985</v>
      </c>
      <c r="K434" t="s">
        <v>26</v>
      </c>
      <c r="L434" t="s">
        <v>27</v>
      </c>
      <c r="M434">
        <v>773828</v>
      </c>
      <c r="N434" s="1">
        <v>45294</v>
      </c>
      <c r="O434" t="s">
        <v>35</v>
      </c>
      <c r="P434">
        <v>1</v>
      </c>
      <c r="Q434">
        <v>18163.080000000002</v>
      </c>
    </row>
    <row r="435" spans="1:17" x14ac:dyDescent="0.3">
      <c r="A435" t="s">
        <v>1262</v>
      </c>
      <c r="B435" t="s">
        <v>448</v>
      </c>
      <c r="C435" s="2" t="str">
        <f>PROPER(TRIM(Table1[[#This Row],[Gender]]))</f>
        <v>Female</v>
      </c>
      <c r="D435" t="s">
        <v>43</v>
      </c>
      <c r="E435">
        <v>44</v>
      </c>
      <c r="F435" t="s">
        <v>38</v>
      </c>
      <c r="G435" s="1">
        <v>29598</v>
      </c>
      <c r="H435" t="s">
        <v>1263</v>
      </c>
      <c r="I435" s="2" t="str">
        <f t="shared" si="6"/>
        <v>+91-7652711706</v>
      </c>
      <c r="J435">
        <f>91-7652711797</f>
        <v>-7652711706</v>
      </c>
      <c r="K435" t="s">
        <v>147</v>
      </c>
      <c r="L435" t="s">
        <v>143</v>
      </c>
      <c r="M435">
        <v>582544</v>
      </c>
      <c r="N435" s="1">
        <v>45171</v>
      </c>
      <c r="O435" t="s">
        <v>28</v>
      </c>
      <c r="P435">
        <v>6</v>
      </c>
      <c r="Q435">
        <v>122759.9</v>
      </c>
    </row>
    <row r="436" spans="1:17" x14ac:dyDescent="0.3">
      <c r="A436" t="s">
        <v>1264</v>
      </c>
      <c r="B436" t="s">
        <v>1265</v>
      </c>
      <c r="C436" s="2" t="str">
        <f>PROPER(TRIM(Table1[[#This Row],[Gender]]))</f>
        <v>Female</v>
      </c>
      <c r="D436" t="s">
        <v>43</v>
      </c>
      <c r="E436">
        <v>20</v>
      </c>
      <c r="F436" t="s">
        <v>49</v>
      </c>
      <c r="G436" s="1">
        <v>38358</v>
      </c>
      <c r="H436" t="s">
        <v>1266</v>
      </c>
      <c r="I436" s="2" t="str">
        <f t="shared" si="6"/>
        <v>+91-9427633874</v>
      </c>
      <c r="J436">
        <f>91-9427633965</f>
        <v>-9427633874</v>
      </c>
      <c r="K436" t="s">
        <v>113</v>
      </c>
      <c r="L436" t="s">
        <v>34</v>
      </c>
      <c r="M436">
        <v>501679</v>
      </c>
      <c r="N436" s="1">
        <v>45220</v>
      </c>
      <c r="O436" t="s">
        <v>28</v>
      </c>
      <c r="P436">
        <v>3</v>
      </c>
      <c r="Q436">
        <v>50167.15</v>
      </c>
    </row>
    <row r="437" spans="1:17" x14ac:dyDescent="0.3">
      <c r="A437" t="s">
        <v>1267</v>
      </c>
      <c r="B437" t="s">
        <v>546</v>
      </c>
      <c r="C437" s="2" t="str">
        <f>PROPER(TRIM(Table1[[#This Row],[Gender]]))</f>
        <v>Female</v>
      </c>
      <c r="D437" t="s">
        <v>43</v>
      </c>
      <c r="E437">
        <v>62</v>
      </c>
      <c r="F437" t="s">
        <v>58</v>
      </c>
      <c r="G437" s="1">
        <v>23028</v>
      </c>
      <c r="H437" t="s">
        <v>1268</v>
      </c>
      <c r="I437" s="2" t="str">
        <f t="shared" si="6"/>
        <v>+91-9028665967</v>
      </c>
      <c r="J437">
        <f>91-9028666058</f>
        <v>-9028665967</v>
      </c>
      <c r="K437" t="s">
        <v>113</v>
      </c>
      <c r="L437" t="s">
        <v>34</v>
      </c>
      <c r="M437">
        <v>842816</v>
      </c>
      <c r="N437" s="1">
        <v>45288</v>
      </c>
      <c r="O437" t="s">
        <v>35</v>
      </c>
      <c r="P437">
        <v>2</v>
      </c>
      <c r="Q437">
        <v>453.24</v>
      </c>
    </row>
    <row r="438" spans="1:17" x14ac:dyDescent="0.3">
      <c r="A438" t="s">
        <v>1269</v>
      </c>
      <c r="B438" t="s">
        <v>1270</v>
      </c>
      <c r="C438" s="2" t="str">
        <f>PROPER(TRIM(Table1[[#This Row],[Gender]]))</f>
        <v>Female</v>
      </c>
      <c r="D438" t="s">
        <v>43</v>
      </c>
      <c r="E438">
        <v>42</v>
      </c>
      <c r="F438" t="s">
        <v>38</v>
      </c>
      <c r="G438" s="1">
        <v>30328</v>
      </c>
      <c r="H438" t="s">
        <v>1271</v>
      </c>
      <c r="I438" s="2" t="str">
        <f t="shared" si="6"/>
        <v>+91-7714340278</v>
      </c>
      <c r="J438">
        <f>91-7714340369</f>
        <v>-7714340278</v>
      </c>
      <c r="K438" t="s">
        <v>76</v>
      </c>
      <c r="L438" t="s">
        <v>46</v>
      </c>
      <c r="M438">
        <v>830153</v>
      </c>
      <c r="N438" s="1">
        <v>45425</v>
      </c>
      <c r="O438" t="s">
        <v>28</v>
      </c>
      <c r="P438">
        <v>6</v>
      </c>
      <c r="Q438">
        <v>92659.18</v>
      </c>
    </row>
    <row r="439" spans="1:17" x14ac:dyDescent="0.3">
      <c r="A439" t="s">
        <v>1272</v>
      </c>
      <c r="B439" t="s">
        <v>672</v>
      </c>
      <c r="C439" s="2" t="str">
        <f>PROPER(TRIM(Table1[[#This Row],[Gender]]))</f>
        <v>Female</v>
      </c>
      <c r="D439" t="s">
        <v>43</v>
      </c>
      <c r="E439">
        <v>38</v>
      </c>
      <c r="F439" t="s">
        <v>38</v>
      </c>
      <c r="G439" s="1">
        <v>31788</v>
      </c>
      <c r="H439" t="s">
        <v>1273</v>
      </c>
      <c r="I439" s="2" t="str">
        <f t="shared" si="6"/>
        <v>+91-9429721503</v>
      </c>
      <c r="J439">
        <f>91-9429721594</f>
        <v>-9429721503</v>
      </c>
      <c r="K439" t="s">
        <v>202</v>
      </c>
      <c r="L439" t="s">
        <v>191</v>
      </c>
      <c r="M439">
        <v>395907</v>
      </c>
      <c r="N439" s="1">
        <v>45418</v>
      </c>
      <c r="O439" t="s">
        <v>28</v>
      </c>
      <c r="P439">
        <v>7</v>
      </c>
      <c r="Q439">
        <v>238054.35</v>
      </c>
    </row>
    <row r="440" spans="1:17" x14ac:dyDescent="0.3">
      <c r="A440" t="s">
        <v>1274</v>
      </c>
      <c r="B440" t="s">
        <v>1275</v>
      </c>
      <c r="C440" s="2" t="str">
        <f>PROPER(TRIM(Table1[[#This Row],[Gender]]))</f>
        <v>Female</v>
      </c>
      <c r="D440" t="s">
        <v>43</v>
      </c>
      <c r="E440">
        <v>55</v>
      </c>
      <c r="F440" t="s">
        <v>17</v>
      </c>
      <c r="G440" s="1">
        <v>25583</v>
      </c>
      <c r="H440" t="s">
        <v>1276</v>
      </c>
      <c r="I440" s="2" t="str">
        <f t="shared" si="6"/>
        <v>+91-7380684869</v>
      </c>
      <c r="J440">
        <f>91-7380684960</f>
        <v>-7380684869</v>
      </c>
      <c r="K440" t="s">
        <v>33</v>
      </c>
      <c r="L440" t="s">
        <v>34</v>
      </c>
      <c r="M440">
        <v>753624</v>
      </c>
      <c r="N440" s="1">
        <v>45204</v>
      </c>
      <c r="O440" t="s">
        <v>35</v>
      </c>
      <c r="P440">
        <v>4</v>
      </c>
      <c r="Q440">
        <v>15474.84</v>
      </c>
    </row>
    <row r="441" spans="1:17" x14ac:dyDescent="0.3">
      <c r="A441" t="s">
        <v>1277</v>
      </c>
      <c r="B441" t="s">
        <v>1278</v>
      </c>
      <c r="C441" s="2" t="str">
        <f>PROPER(TRIM(Table1[[#This Row],[Gender]]))</f>
        <v>Male</v>
      </c>
      <c r="D441" t="s">
        <v>16</v>
      </c>
      <c r="E441">
        <v>35</v>
      </c>
      <c r="F441" t="s">
        <v>31</v>
      </c>
      <c r="G441" s="1">
        <v>32883</v>
      </c>
      <c r="H441" t="s">
        <v>1279</v>
      </c>
      <c r="I441" s="2" t="str">
        <f t="shared" si="6"/>
        <v>+91-8283549823</v>
      </c>
      <c r="J441">
        <f>91-8283549914</f>
        <v>-8283549823</v>
      </c>
      <c r="K441" t="s">
        <v>101</v>
      </c>
      <c r="L441" t="s">
        <v>102</v>
      </c>
      <c r="M441">
        <v>926109</v>
      </c>
      <c r="N441" s="1">
        <v>45232</v>
      </c>
      <c r="O441" t="s">
        <v>28</v>
      </c>
      <c r="P441">
        <v>3</v>
      </c>
      <c r="Q441">
        <v>107123.37</v>
      </c>
    </row>
    <row r="442" spans="1:17" x14ac:dyDescent="0.3">
      <c r="A442" t="s">
        <v>1280</v>
      </c>
      <c r="B442" t="s">
        <v>778</v>
      </c>
      <c r="C442" s="2" t="str">
        <f>PROPER(TRIM(Table1[[#This Row],[Gender]]))</f>
        <v>Female</v>
      </c>
      <c r="D442" t="s">
        <v>43</v>
      </c>
      <c r="E442">
        <v>60</v>
      </c>
      <c r="F442" t="s">
        <v>58</v>
      </c>
      <c r="G442" s="1">
        <v>23758</v>
      </c>
      <c r="H442" t="s">
        <v>1281</v>
      </c>
      <c r="I442" s="2" t="str">
        <f t="shared" si="6"/>
        <v>+91-7267487146</v>
      </c>
      <c r="J442">
        <f>91-7267487237</f>
        <v>-7267487146</v>
      </c>
      <c r="K442" t="s">
        <v>580</v>
      </c>
      <c r="L442" t="s">
        <v>85</v>
      </c>
      <c r="M442">
        <v>570826</v>
      </c>
      <c r="N442" s="1">
        <v>45115</v>
      </c>
      <c r="O442" t="s">
        <v>28</v>
      </c>
      <c r="P442">
        <v>8</v>
      </c>
      <c r="Q442">
        <v>114476.83</v>
      </c>
    </row>
    <row r="443" spans="1:17" x14ac:dyDescent="0.3">
      <c r="A443" t="s">
        <v>1282</v>
      </c>
      <c r="B443" t="s">
        <v>1283</v>
      </c>
      <c r="C443" s="2" t="str">
        <f>PROPER(TRIM(Table1[[#This Row],[Gender]]))</f>
        <v>Female</v>
      </c>
      <c r="D443" t="s">
        <v>43</v>
      </c>
      <c r="E443">
        <v>33</v>
      </c>
      <c r="F443" t="s">
        <v>31</v>
      </c>
      <c r="G443" s="1">
        <v>33613</v>
      </c>
      <c r="H443" t="s">
        <v>1284</v>
      </c>
      <c r="I443" s="2" t="str">
        <f t="shared" si="6"/>
        <v>+91-7781631646</v>
      </c>
      <c r="J443">
        <f>91-7781631737</f>
        <v>-7781631646</v>
      </c>
      <c r="K443" t="s">
        <v>142</v>
      </c>
      <c r="L443" t="s">
        <v>143</v>
      </c>
      <c r="M443">
        <v>407576</v>
      </c>
      <c r="N443" s="1">
        <v>45225</v>
      </c>
      <c r="O443" t="s">
        <v>28</v>
      </c>
      <c r="P443">
        <v>5</v>
      </c>
      <c r="Q443">
        <v>79308.05</v>
      </c>
    </row>
    <row r="444" spans="1:17" x14ac:dyDescent="0.3">
      <c r="A444" t="s">
        <v>1285</v>
      </c>
      <c r="B444" t="s">
        <v>1286</v>
      </c>
      <c r="C444" s="2" t="str">
        <f>PROPER(TRIM(Table1[[#This Row],[Gender]]))</f>
        <v>Male</v>
      </c>
      <c r="D444" t="s">
        <v>16</v>
      </c>
      <c r="E444">
        <v>26</v>
      </c>
      <c r="F444" t="s">
        <v>31</v>
      </c>
      <c r="G444" s="1">
        <v>36168</v>
      </c>
      <c r="H444" t="s">
        <v>1287</v>
      </c>
      <c r="I444" s="2" t="str">
        <f t="shared" si="6"/>
        <v>+91-9867986730</v>
      </c>
      <c r="J444">
        <f>91-9867986821</f>
        <v>-9867986730</v>
      </c>
      <c r="K444" t="s">
        <v>331</v>
      </c>
      <c r="L444" t="s">
        <v>143</v>
      </c>
      <c r="M444">
        <v>638656</v>
      </c>
      <c r="N444" s="1">
        <v>45294</v>
      </c>
      <c r="O444" t="s">
        <v>28</v>
      </c>
      <c r="P444">
        <v>8</v>
      </c>
      <c r="Q444">
        <v>280370.5</v>
      </c>
    </row>
    <row r="445" spans="1:17" x14ac:dyDescent="0.3">
      <c r="A445" t="s">
        <v>1288</v>
      </c>
      <c r="B445" t="s">
        <v>1289</v>
      </c>
      <c r="C445" s="2" t="str">
        <f>PROPER(TRIM(Table1[[#This Row],[Gender]]))</f>
        <v>Male</v>
      </c>
      <c r="D445" t="s">
        <v>16</v>
      </c>
      <c r="E445">
        <v>39</v>
      </c>
      <c r="F445" t="s">
        <v>38</v>
      </c>
      <c r="G445" s="1">
        <v>31423</v>
      </c>
      <c r="H445" t="s">
        <v>1290</v>
      </c>
      <c r="I445" s="2" t="str">
        <f t="shared" si="6"/>
        <v>+91-7641909071</v>
      </c>
      <c r="J445">
        <f>91-7641909162</f>
        <v>-7641909071</v>
      </c>
      <c r="K445" t="s">
        <v>101</v>
      </c>
      <c r="L445" t="s">
        <v>102</v>
      </c>
      <c r="M445">
        <v>254494</v>
      </c>
      <c r="N445" s="1">
        <v>45199</v>
      </c>
      <c r="O445" t="s">
        <v>35</v>
      </c>
      <c r="P445">
        <v>2</v>
      </c>
      <c r="Q445">
        <v>695.95</v>
      </c>
    </row>
    <row r="446" spans="1:17" x14ac:dyDescent="0.3">
      <c r="A446" t="s">
        <v>1291</v>
      </c>
      <c r="B446" t="s">
        <v>1022</v>
      </c>
      <c r="C446" s="2" t="str">
        <f>PROPER(TRIM(Table1[[#This Row],[Gender]]))</f>
        <v>Female</v>
      </c>
      <c r="D446" t="s">
        <v>43</v>
      </c>
      <c r="E446">
        <v>37</v>
      </c>
      <c r="F446" t="s">
        <v>38</v>
      </c>
      <c r="G446" s="1">
        <v>32153</v>
      </c>
      <c r="H446" t="s">
        <v>1292</v>
      </c>
      <c r="I446" s="2" t="str">
        <f t="shared" si="6"/>
        <v>+91-8875802216</v>
      </c>
      <c r="J446">
        <f>91-8875802307</f>
        <v>-8875802216</v>
      </c>
      <c r="K446" t="s">
        <v>195</v>
      </c>
      <c r="L446" t="s">
        <v>102</v>
      </c>
      <c r="M446">
        <v>644699</v>
      </c>
      <c r="N446" s="1">
        <v>45234</v>
      </c>
      <c r="O446" t="s">
        <v>28</v>
      </c>
      <c r="P446">
        <v>4</v>
      </c>
      <c r="Q446">
        <v>76181.919999999998</v>
      </c>
    </row>
    <row r="447" spans="1:17" x14ac:dyDescent="0.3">
      <c r="A447" t="s">
        <v>1293</v>
      </c>
      <c r="B447" t="s">
        <v>1294</v>
      </c>
      <c r="C447" s="2" t="str">
        <f>PROPER(TRIM(Table1[[#This Row],[Gender]]))</f>
        <v>Male</v>
      </c>
      <c r="D447" t="s">
        <v>16</v>
      </c>
      <c r="E447">
        <v>29</v>
      </c>
      <c r="F447" t="s">
        <v>31</v>
      </c>
      <c r="G447" s="1">
        <v>35073</v>
      </c>
      <c r="H447" t="s">
        <v>1295</v>
      </c>
      <c r="I447" s="2" t="str">
        <f t="shared" si="6"/>
        <v>+91-9178893615</v>
      </c>
      <c r="J447">
        <f>91-9178893706</f>
        <v>-9178893615</v>
      </c>
      <c r="K447" t="s">
        <v>580</v>
      </c>
      <c r="L447" t="s">
        <v>85</v>
      </c>
      <c r="M447">
        <v>739904</v>
      </c>
      <c r="N447" s="1">
        <v>45405</v>
      </c>
      <c r="O447" t="s">
        <v>35</v>
      </c>
      <c r="P447">
        <v>1</v>
      </c>
      <c r="Q447">
        <v>10305.780000000001</v>
      </c>
    </row>
    <row r="448" spans="1:17" x14ac:dyDescent="0.3">
      <c r="A448" t="s">
        <v>1296</v>
      </c>
      <c r="B448" t="s">
        <v>1297</v>
      </c>
      <c r="C448" s="2" t="str">
        <f>PROPER(TRIM(Table1[[#This Row],[Gender]]))</f>
        <v>Male</v>
      </c>
      <c r="D448" t="s">
        <v>16</v>
      </c>
      <c r="E448">
        <v>28</v>
      </c>
      <c r="F448" t="s">
        <v>31</v>
      </c>
      <c r="G448" s="1">
        <v>35438</v>
      </c>
      <c r="H448" t="s">
        <v>1298</v>
      </c>
      <c r="I448" s="2" t="str">
        <f t="shared" si="6"/>
        <v>+91-7134799539</v>
      </c>
      <c r="J448">
        <f>91-7134799630</f>
        <v>-7134799539</v>
      </c>
      <c r="K448" t="s">
        <v>190</v>
      </c>
      <c r="L448" t="s">
        <v>191</v>
      </c>
      <c r="M448">
        <v>144651</v>
      </c>
      <c r="N448" s="1">
        <v>45285</v>
      </c>
      <c r="O448" t="s">
        <v>28</v>
      </c>
      <c r="P448">
        <v>5</v>
      </c>
      <c r="Q448">
        <v>285405.28000000003</v>
      </c>
    </row>
    <row r="449" spans="1:17" x14ac:dyDescent="0.3">
      <c r="A449" t="s">
        <v>1299</v>
      </c>
      <c r="B449" t="s">
        <v>336</v>
      </c>
      <c r="C449" s="2" t="str">
        <f>PROPER(TRIM(Table1[[#This Row],[Gender]]))</f>
        <v>Male</v>
      </c>
      <c r="D449" t="s">
        <v>16</v>
      </c>
      <c r="E449">
        <v>44</v>
      </c>
      <c r="F449" t="s">
        <v>38</v>
      </c>
      <c r="G449" s="1">
        <v>29598</v>
      </c>
      <c r="H449" t="s">
        <v>1300</v>
      </c>
      <c r="I449" s="2" t="str">
        <f t="shared" si="6"/>
        <v>+91-9317341298</v>
      </c>
      <c r="J449">
        <f>91-9317341389</f>
        <v>-9317341298</v>
      </c>
      <c r="K449" t="s">
        <v>26</v>
      </c>
      <c r="L449" t="s">
        <v>27</v>
      </c>
      <c r="M449">
        <v>856555</v>
      </c>
      <c r="N449" s="1">
        <v>45209</v>
      </c>
      <c r="O449" t="s">
        <v>28</v>
      </c>
      <c r="P449">
        <v>6</v>
      </c>
      <c r="Q449">
        <v>137245.09</v>
      </c>
    </row>
    <row r="450" spans="1:17" x14ac:dyDescent="0.3">
      <c r="A450" t="s">
        <v>1301</v>
      </c>
      <c r="B450" t="s">
        <v>773</v>
      </c>
      <c r="C450" s="2" t="str">
        <f>PROPER(TRIM(Table1[[#This Row],[Gender]]))</f>
        <v>Female</v>
      </c>
      <c r="D450" t="s">
        <v>43</v>
      </c>
      <c r="E450">
        <v>28</v>
      </c>
      <c r="F450" t="s">
        <v>31</v>
      </c>
      <c r="G450" s="1">
        <v>35438</v>
      </c>
      <c r="H450" t="s">
        <v>1302</v>
      </c>
      <c r="I450" s="2" t="str">
        <f t="shared" ref="I450:I513" si="7">"+91"&amp;TEXT(J450,"0000000000")</f>
        <v>+91-7519488692</v>
      </c>
      <c r="J450">
        <f>91-7519488783</f>
        <v>-7519488692</v>
      </c>
      <c r="K450" t="s">
        <v>72</v>
      </c>
      <c r="L450" t="s">
        <v>34</v>
      </c>
      <c r="M450">
        <v>318608</v>
      </c>
      <c r="N450" s="1">
        <v>45316</v>
      </c>
      <c r="O450" t="s">
        <v>28</v>
      </c>
      <c r="P450">
        <v>4</v>
      </c>
      <c r="Q450">
        <v>104035.77</v>
      </c>
    </row>
    <row r="451" spans="1:17" x14ac:dyDescent="0.3">
      <c r="A451" t="s">
        <v>1303</v>
      </c>
      <c r="B451" t="s">
        <v>856</v>
      </c>
      <c r="C451" s="2" t="str">
        <f>PROPER(TRIM(Table1[[#This Row],[Gender]]))</f>
        <v>Female</v>
      </c>
      <c r="D451" t="s">
        <v>43</v>
      </c>
      <c r="E451">
        <v>49</v>
      </c>
      <c r="F451" t="s">
        <v>17</v>
      </c>
      <c r="G451" s="1">
        <v>27773</v>
      </c>
      <c r="H451" t="s">
        <v>1304</v>
      </c>
      <c r="I451" s="2" t="str">
        <f t="shared" si="7"/>
        <v>+91-8238878090</v>
      </c>
      <c r="J451">
        <f>91-8238878181</f>
        <v>-8238878090</v>
      </c>
      <c r="K451" t="s">
        <v>580</v>
      </c>
      <c r="L451" t="s">
        <v>85</v>
      </c>
      <c r="M451">
        <v>778863</v>
      </c>
      <c r="N451" s="1">
        <v>45199</v>
      </c>
      <c r="O451" t="s">
        <v>28</v>
      </c>
      <c r="P451">
        <v>4</v>
      </c>
      <c r="Q451">
        <v>51807.81</v>
      </c>
    </row>
    <row r="452" spans="1:17" x14ac:dyDescent="0.3">
      <c r="A452" t="s">
        <v>1305</v>
      </c>
      <c r="B452" t="s">
        <v>193</v>
      </c>
      <c r="C452" s="2" t="str">
        <f>PROPER(TRIM(Table1[[#This Row],[Gender]]))</f>
        <v>Male</v>
      </c>
      <c r="D452" t="s">
        <v>16</v>
      </c>
      <c r="E452">
        <v>35</v>
      </c>
      <c r="F452" t="s">
        <v>31</v>
      </c>
      <c r="G452" s="1">
        <v>32883</v>
      </c>
      <c r="H452" t="s">
        <v>1306</v>
      </c>
      <c r="I452" s="2" t="str">
        <f t="shared" si="7"/>
        <v>+91-8711186522</v>
      </c>
      <c r="J452">
        <f>91-8711186613</f>
        <v>-8711186522</v>
      </c>
      <c r="K452" t="s">
        <v>76</v>
      </c>
      <c r="L452" t="s">
        <v>46</v>
      </c>
      <c r="M452">
        <v>273310</v>
      </c>
      <c r="N452" s="1">
        <v>45226</v>
      </c>
      <c r="O452" t="s">
        <v>28</v>
      </c>
      <c r="P452">
        <v>6</v>
      </c>
      <c r="Q452">
        <v>226202.17</v>
      </c>
    </row>
    <row r="453" spans="1:17" x14ac:dyDescent="0.3">
      <c r="A453" t="s">
        <v>1307</v>
      </c>
      <c r="B453" t="s">
        <v>1308</v>
      </c>
      <c r="C453" s="2" t="str">
        <f>PROPER(TRIM(Table1[[#This Row],[Gender]]))</f>
        <v>Male</v>
      </c>
      <c r="D453" t="s">
        <v>16</v>
      </c>
      <c r="E453">
        <v>20</v>
      </c>
      <c r="F453" t="s">
        <v>49</v>
      </c>
      <c r="G453" s="1">
        <v>38358</v>
      </c>
      <c r="H453" t="s">
        <v>1309</v>
      </c>
      <c r="I453" s="2" t="str">
        <f t="shared" si="7"/>
        <v>+91-8060998869</v>
      </c>
      <c r="J453">
        <f>91-8060998960</f>
        <v>-8060998869</v>
      </c>
      <c r="K453" t="s">
        <v>331</v>
      </c>
      <c r="L453" t="s">
        <v>143</v>
      </c>
      <c r="M453">
        <v>786065</v>
      </c>
      <c r="N453" s="1">
        <v>45320</v>
      </c>
      <c r="O453" t="s">
        <v>21</v>
      </c>
      <c r="P453">
        <v>5</v>
      </c>
      <c r="Q453">
        <v>38566.199999999997</v>
      </c>
    </row>
    <row r="454" spans="1:17" x14ac:dyDescent="0.3">
      <c r="A454" t="s">
        <v>1310</v>
      </c>
      <c r="B454" t="s">
        <v>1311</v>
      </c>
      <c r="C454" s="2" t="str">
        <f>PROPER(TRIM(Table1[[#This Row],[Gender]]))</f>
        <v>Female</v>
      </c>
      <c r="D454" t="s">
        <v>43</v>
      </c>
      <c r="E454">
        <v>30</v>
      </c>
      <c r="F454" t="s">
        <v>31</v>
      </c>
      <c r="G454" s="1">
        <v>34708</v>
      </c>
      <c r="H454" t="s">
        <v>1312</v>
      </c>
      <c r="I454" s="2" t="str">
        <f t="shared" si="7"/>
        <v>+91-8381419059</v>
      </c>
      <c r="J454">
        <f>91-8381419150</f>
        <v>-8381419059</v>
      </c>
      <c r="K454" t="s">
        <v>68</v>
      </c>
      <c r="L454" t="s">
        <v>52</v>
      </c>
      <c r="M454">
        <v>453508</v>
      </c>
      <c r="N454" s="1">
        <v>45222</v>
      </c>
      <c r="O454" t="s">
        <v>21</v>
      </c>
      <c r="P454">
        <v>5</v>
      </c>
      <c r="Q454">
        <v>40742.43</v>
      </c>
    </row>
    <row r="455" spans="1:17" x14ac:dyDescent="0.3">
      <c r="A455" t="s">
        <v>1313</v>
      </c>
      <c r="B455" t="s">
        <v>884</v>
      </c>
      <c r="C455" s="2" t="str">
        <f>PROPER(TRIM(Table1[[#This Row],[Gender]]))</f>
        <v>Male</v>
      </c>
      <c r="D455" t="s">
        <v>16</v>
      </c>
      <c r="E455">
        <v>46</v>
      </c>
      <c r="F455" t="s">
        <v>17</v>
      </c>
      <c r="G455" s="1">
        <v>28868</v>
      </c>
      <c r="H455" t="s">
        <v>1314</v>
      </c>
      <c r="I455" s="2" t="str">
        <f t="shared" si="7"/>
        <v>+91-8417002344</v>
      </c>
      <c r="J455">
        <f>91-8417002435</f>
        <v>-8417002344</v>
      </c>
      <c r="K455" t="s">
        <v>190</v>
      </c>
      <c r="L455" t="s">
        <v>191</v>
      </c>
      <c r="M455">
        <v>773452</v>
      </c>
      <c r="N455" s="1">
        <v>45089</v>
      </c>
      <c r="O455" t="s">
        <v>21</v>
      </c>
      <c r="P455">
        <v>7</v>
      </c>
      <c r="Q455">
        <v>41312.79</v>
      </c>
    </row>
    <row r="456" spans="1:17" x14ac:dyDescent="0.3">
      <c r="A456" t="s">
        <v>1315</v>
      </c>
      <c r="B456" t="s">
        <v>1316</v>
      </c>
      <c r="C456" s="2" t="str">
        <f>PROPER(TRIM(Table1[[#This Row],[Gender]]))</f>
        <v>Female</v>
      </c>
      <c r="D456" t="s">
        <v>43</v>
      </c>
      <c r="E456">
        <v>45</v>
      </c>
      <c r="F456" t="s">
        <v>38</v>
      </c>
      <c r="G456" s="1">
        <v>29233</v>
      </c>
      <c r="H456" t="s">
        <v>1317</v>
      </c>
      <c r="I456" s="2" t="str">
        <f t="shared" si="7"/>
        <v>+91-7074086812</v>
      </c>
      <c r="J456">
        <f>91-7074086903</f>
        <v>-7074086812</v>
      </c>
      <c r="K456" t="s">
        <v>147</v>
      </c>
      <c r="L456" t="s">
        <v>143</v>
      </c>
      <c r="M456">
        <v>566571</v>
      </c>
      <c r="N456" s="1">
        <v>45136</v>
      </c>
      <c r="O456" t="s">
        <v>35</v>
      </c>
      <c r="P456">
        <v>4</v>
      </c>
      <c r="Q456">
        <v>17371.509999999998</v>
      </c>
    </row>
    <row r="457" spans="1:17" x14ac:dyDescent="0.3">
      <c r="A457" t="s">
        <v>1318</v>
      </c>
      <c r="B457" t="s">
        <v>1319</v>
      </c>
      <c r="C457" s="2" t="str">
        <f>PROPER(TRIM(Table1[[#This Row],[Gender]]))</f>
        <v>Male</v>
      </c>
      <c r="D457" t="s">
        <v>16</v>
      </c>
      <c r="E457">
        <v>23</v>
      </c>
      <c r="F457" t="s">
        <v>49</v>
      </c>
      <c r="G457" s="1">
        <v>37263</v>
      </c>
      <c r="H457" t="s">
        <v>1320</v>
      </c>
      <c r="I457" s="2" t="str">
        <f t="shared" si="7"/>
        <v>+91-8701189135</v>
      </c>
      <c r="J457">
        <f>91-8701189226</f>
        <v>-8701189135</v>
      </c>
      <c r="K457" t="s">
        <v>178</v>
      </c>
      <c r="L457" t="s">
        <v>27</v>
      </c>
      <c r="M457">
        <v>494085</v>
      </c>
      <c r="N457" s="1">
        <v>45328</v>
      </c>
      <c r="O457" t="s">
        <v>28</v>
      </c>
      <c r="P457">
        <v>7</v>
      </c>
      <c r="Q457">
        <v>125934.39999999999</v>
      </c>
    </row>
    <row r="458" spans="1:17" x14ac:dyDescent="0.3">
      <c r="A458" t="s">
        <v>1321</v>
      </c>
      <c r="B458" t="s">
        <v>1322</v>
      </c>
      <c r="C458" s="2" t="str">
        <f>PROPER(TRIM(Table1[[#This Row],[Gender]]))</f>
        <v>Male</v>
      </c>
      <c r="D458" t="s">
        <v>16</v>
      </c>
      <c r="E458">
        <v>27</v>
      </c>
      <c r="F458" t="s">
        <v>31</v>
      </c>
      <c r="G458" s="1">
        <v>35803</v>
      </c>
      <c r="H458" t="s">
        <v>1323</v>
      </c>
      <c r="I458" s="2" t="str">
        <f t="shared" si="7"/>
        <v>+91-9793236352</v>
      </c>
      <c r="J458">
        <f>91-9793236443</f>
        <v>-9793236352</v>
      </c>
      <c r="K458" t="s">
        <v>195</v>
      </c>
      <c r="L458" t="s">
        <v>102</v>
      </c>
      <c r="M458">
        <v>661827</v>
      </c>
      <c r="N458" s="1">
        <v>45172</v>
      </c>
      <c r="O458" t="s">
        <v>21</v>
      </c>
      <c r="P458">
        <v>2</v>
      </c>
      <c r="Q458">
        <v>49016.2</v>
      </c>
    </row>
    <row r="459" spans="1:17" x14ac:dyDescent="0.3">
      <c r="A459" t="s">
        <v>1324</v>
      </c>
      <c r="B459" t="s">
        <v>798</v>
      </c>
      <c r="C459" s="2" t="str">
        <f>PROPER(TRIM(Table1[[#This Row],[Gender]]))</f>
        <v>Female</v>
      </c>
      <c r="D459" t="s">
        <v>43</v>
      </c>
      <c r="E459">
        <v>40</v>
      </c>
      <c r="F459" t="s">
        <v>38</v>
      </c>
      <c r="G459" s="1">
        <v>31058</v>
      </c>
      <c r="H459" t="s">
        <v>1325</v>
      </c>
      <c r="I459" s="2" t="str">
        <f t="shared" si="7"/>
        <v>+91-8842914368</v>
      </c>
      <c r="J459">
        <f>91-8842914459</f>
        <v>-8842914368</v>
      </c>
      <c r="K459" t="s">
        <v>68</v>
      </c>
      <c r="L459" t="s">
        <v>52</v>
      </c>
      <c r="M459">
        <v>870898</v>
      </c>
      <c r="N459" s="1">
        <v>45152</v>
      </c>
      <c r="O459" t="s">
        <v>28</v>
      </c>
      <c r="P459">
        <v>5</v>
      </c>
      <c r="Q459">
        <v>110523.94</v>
      </c>
    </row>
    <row r="460" spans="1:17" x14ac:dyDescent="0.3">
      <c r="A460" t="s">
        <v>1326</v>
      </c>
      <c r="B460" t="s">
        <v>1327</v>
      </c>
      <c r="C460" s="2" t="str">
        <f>PROPER(TRIM(Table1[[#This Row],[Gender]]))</f>
        <v>Male</v>
      </c>
      <c r="D460" t="s">
        <v>16</v>
      </c>
      <c r="E460">
        <v>29</v>
      </c>
      <c r="F460" t="s">
        <v>31</v>
      </c>
      <c r="G460" s="1">
        <v>35073</v>
      </c>
      <c r="H460" t="s">
        <v>1328</v>
      </c>
      <c r="I460" s="2" t="str">
        <f t="shared" si="7"/>
        <v>+91-8826261702</v>
      </c>
      <c r="J460">
        <f>91-8826261793</f>
        <v>-8826261702</v>
      </c>
      <c r="K460" t="s">
        <v>113</v>
      </c>
      <c r="L460" t="s">
        <v>34</v>
      </c>
      <c r="M460">
        <v>590763</v>
      </c>
      <c r="N460" s="1">
        <v>45375</v>
      </c>
      <c r="O460" t="s">
        <v>28</v>
      </c>
      <c r="P460">
        <v>3</v>
      </c>
      <c r="Q460">
        <v>130872.88</v>
      </c>
    </row>
    <row r="461" spans="1:17" x14ac:dyDescent="0.3">
      <c r="A461" t="s">
        <v>1329</v>
      </c>
      <c r="B461" t="s">
        <v>1330</v>
      </c>
      <c r="C461" s="2" t="str">
        <f>PROPER(TRIM(Table1[[#This Row],[Gender]]))</f>
        <v>Male</v>
      </c>
      <c r="D461" t="s">
        <v>16</v>
      </c>
      <c r="E461">
        <v>67</v>
      </c>
      <c r="F461" t="s">
        <v>24</v>
      </c>
      <c r="G461" s="1">
        <v>21203</v>
      </c>
      <c r="H461" t="s">
        <v>1331</v>
      </c>
      <c r="I461" s="2" t="str">
        <f t="shared" si="7"/>
        <v>+91-9685760710</v>
      </c>
      <c r="J461">
        <f>91-9685760801</f>
        <v>-9685760710</v>
      </c>
      <c r="K461" t="s">
        <v>415</v>
      </c>
      <c r="L461" t="s">
        <v>90</v>
      </c>
      <c r="M461">
        <v>952874</v>
      </c>
      <c r="N461" s="1">
        <v>45313</v>
      </c>
      <c r="O461" t="s">
        <v>35</v>
      </c>
      <c r="P461">
        <v>3</v>
      </c>
      <c r="Q461">
        <v>12720.25</v>
      </c>
    </row>
    <row r="462" spans="1:17" x14ac:dyDescent="0.3">
      <c r="A462" t="s">
        <v>1332</v>
      </c>
      <c r="B462" t="s">
        <v>859</v>
      </c>
      <c r="C462" s="2" t="str">
        <f>PROPER(TRIM(Table1[[#This Row],[Gender]]))</f>
        <v>Male</v>
      </c>
      <c r="D462" t="s">
        <v>16</v>
      </c>
      <c r="E462">
        <v>32</v>
      </c>
      <c r="F462" t="s">
        <v>31</v>
      </c>
      <c r="G462" s="1">
        <v>33978</v>
      </c>
      <c r="H462" t="s">
        <v>1333</v>
      </c>
      <c r="I462" s="2" t="str">
        <f t="shared" si="7"/>
        <v>+91-9735107492</v>
      </c>
      <c r="J462">
        <f>91-9735107583</f>
        <v>-9735107492</v>
      </c>
      <c r="K462" t="s">
        <v>195</v>
      </c>
      <c r="L462" t="s">
        <v>102</v>
      </c>
      <c r="M462">
        <v>650640</v>
      </c>
      <c r="N462" s="1">
        <v>45211</v>
      </c>
      <c r="O462" t="s">
        <v>28</v>
      </c>
      <c r="P462">
        <v>2</v>
      </c>
      <c r="Q462">
        <v>91728.83</v>
      </c>
    </row>
    <row r="463" spans="1:17" x14ac:dyDescent="0.3">
      <c r="A463" t="s">
        <v>1334</v>
      </c>
      <c r="B463" t="s">
        <v>831</v>
      </c>
      <c r="C463" s="2" t="str">
        <f>PROPER(TRIM(Table1[[#This Row],[Gender]]))</f>
        <v>Male</v>
      </c>
      <c r="D463" t="s">
        <v>16</v>
      </c>
      <c r="E463">
        <v>60</v>
      </c>
      <c r="F463" t="s">
        <v>58</v>
      </c>
      <c r="G463" s="1">
        <v>23758</v>
      </c>
      <c r="H463" t="s">
        <v>1335</v>
      </c>
      <c r="I463" s="2" t="str">
        <f t="shared" si="7"/>
        <v>+91-8360743481</v>
      </c>
      <c r="J463">
        <f>91-8360743572</f>
        <v>-8360743481</v>
      </c>
      <c r="K463" t="s">
        <v>80</v>
      </c>
      <c r="L463" t="s">
        <v>20</v>
      </c>
      <c r="M463">
        <v>605692</v>
      </c>
      <c r="N463" s="1">
        <v>45214</v>
      </c>
      <c r="O463" t="s">
        <v>21</v>
      </c>
      <c r="P463">
        <v>4</v>
      </c>
      <c r="Q463">
        <v>21168.53</v>
      </c>
    </row>
    <row r="464" spans="1:17" x14ac:dyDescent="0.3">
      <c r="A464" t="s">
        <v>1336</v>
      </c>
      <c r="B464" t="s">
        <v>1337</v>
      </c>
      <c r="C464" s="2" t="str">
        <f>PROPER(TRIM(Table1[[#This Row],[Gender]]))</f>
        <v>Female</v>
      </c>
      <c r="D464" t="s">
        <v>43</v>
      </c>
      <c r="E464">
        <v>55</v>
      </c>
      <c r="F464" t="s">
        <v>17</v>
      </c>
      <c r="G464" s="1">
        <v>25583</v>
      </c>
      <c r="H464" t="s">
        <v>1338</v>
      </c>
      <c r="I464" s="2" t="str">
        <f t="shared" si="7"/>
        <v>+91-8216387820</v>
      </c>
      <c r="J464">
        <f>91-8216387911</f>
        <v>-8216387820</v>
      </c>
      <c r="K464" t="s">
        <v>273</v>
      </c>
      <c r="L464" t="s">
        <v>46</v>
      </c>
      <c r="M464">
        <v>534625</v>
      </c>
      <c r="N464" s="1">
        <v>45148</v>
      </c>
      <c r="O464" t="s">
        <v>21</v>
      </c>
      <c r="P464">
        <v>5</v>
      </c>
      <c r="Q464">
        <v>37082.18</v>
      </c>
    </row>
    <row r="465" spans="1:17" x14ac:dyDescent="0.3">
      <c r="A465" t="s">
        <v>1339</v>
      </c>
      <c r="B465" t="s">
        <v>1340</v>
      </c>
      <c r="C465" s="2" t="str">
        <f>PROPER(TRIM(Table1[[#This Row],[Gender]]))</f>
        <v>Female</v>
      </c>
      <c r="D465" t="s">
        <v>43</v>
      </c>
      <c r="E465">
        <v>27</v>
      </c>
      <c r="F465" t="s">
        <v>31</v>
      </c>
      <c r="G465" s="1">
        <v>35803</v>
      </c>
      <c r="H465" t="s">
        <v>1341</v>
      </c>
      <c r="I465" s="2" t="str">
        <f t="shared" si="7"/>
        <v>+91-7199892025</v>
      </c>
      <c r="J465">
        <f>91-7199892116</f>
        <v>-7199892025</v>
      </c>
      <c r="K465" t="s">
        <v>89</v>
      </c>
      <c r="L465" t="s">
        <v>90</v>
      </c>
      <c r="M465">
        <v>885927</v>
      </c>
      <c r="N465" s="1">
        <v>45237</v>
      </c>
      <c r="O465" t="s">
        <v>28</v>
      </c>
      <c r="P465">
        <v>7</v>
      </c>
      <c r="Q465">
        <v>130331.93</v>
      </c>
    </row>
    <row r="466" spans="1:17" x14ac:dyDescent="0.3">
      <c r="A466" t="s">
        <v>1342</v>
      </c>
      <c r="B466" t="s">
        <v>1015</v>
      </c>
      <c r="C466" s="2" t="str">
        <f>PROPER(TRIM(Table1[[#This Row],[Gender]]))</f>
        <v>Male</v>
      </c>
      <c r="D466" t="s">
        <v>16</v>
      </c>
      <c r="E466">
        <v>29</v>
      </c>
      <c r="F466" t="s">
        <v>31</v>
      </c>
      <c r="G466" s="1">
        <v>35073</v>
      </c>
      <c r="H466" t="s">
        <v>1343</v>
      </c>
      <c r="I466" s="2" t="str">
        <f t="shared" si="7"/>
        <v>+91-9074066706</v>
      </c>
      <c r="J466">
        <f>91-9074066797</f>
        <v>-9074066706</v>
      </c>
      <c r="K466" t="s">
        <v>80</v>
      </c>
      <c r="L466" t="s">
        <v>20</v>
      </c>
      <c r="M466">
        <v>692816</v>
      </c>
      <c r="N466" s="1">
        <v>45095</v>
      </c>
      <c r="O466" t="s">
        <v>28</v>
      </c>
      <c r="P466">
        <v>4</v>
      </c>
      <c r="Q466">
        <v>77473.100000000006</v>
      </c>
    </row>
    <row r="467" spans="1:17" x14ac:dyDescent="0.3">
      <c r="A467" t="s">
        <v>1344</v>
      </c>
      <c r="B467" t="s">
        <v>641</v>
      </c>
      <c r="C467" s="2" t="str">
        <f>PROPER(TRIM(Table1[[#This Row],[Gender]]))</f>
        <v>Male</v>
      </c>
      <c r="D467" t="s">
        <v>16</v>
      </c>
      <c r="E467">
        <v>70</v>
      </c>
      <c r="F467" t="s">
        <v>24</v>
      </c>
      <c r="G467" s="1">
        <v>20108</v>
      </c>
      <c r="H467" t="s">
        <v>1345</v>
      </c>
      <c r="I467" s="2" t="str">
        <f t="shared" si="7"/>
        <v>+91-9527674334</v>
      </c>
      <c r="J467">
        <f>91-9527674425</f>
        <v>-9527674334</v>
      </c>
      <c r="K467" t="s">
        <v>415</v>
      </c>
      <c r="L467" t="s">
        <v>90</v>
      </c>
      <c r="M467">
        <v>594366</v>
      </c>
      <c r="N467" s="1">
        <v>45374</v>
      </c>
      <c r="O467" t="s">
        <v>21</v>
      </c>
      <c r="P467">
        <v>5</v>
      </c>
      <c r="Q467">
        <v>38898.589999999997</v>
      </c>
    </row>
    <row r="468" spans="1:17" x14ac:dyDescent="0.3">
      <c r="A468" t="s">
        <v>1346</v>
      </c>
      <c r="B468" t="s">
        <v>1347</v>
      </c>
      <c r="C468" s="2" t="str">
        <f>PROPER(TRIM(Table1[[#This Row],[Gender]]))</f>
        <v>Male</v>
      </c>
      <c r="D468" t="s">
        <v>16</v>
      </c>
      <c r="E468">
        <v>22</v>
      </c>
      <c r="F468" t="s">
        <v>49</v>
      </c>
      <c r="G468" s="1">
        <v>37628</v>
      </c>
      <c r="H468" t="s">
        <v>1348</v>
      </c>
      <c r="I468" s="2" t="str">
        <f t="shared" si="7"/>
        <v>+91-7495978014</v>
      </c>
      <c r="J468">
        <f>91-7495978105</f>
        <v>-7495978014</v>
      </c>
      <c r="K468" t="s">
        <v>51</v>
      </c>
      <c r="L468" t="s">
        <v>52</v>
      </c>
      <c r="M468">
        <v>865302</v>
      </c>
      <c r="N468" s="1">
        <v>45314</v>
      </c>
      <c r="O468" t="s">
        <v>28</v>
      </c>
      <c r="P468">
        <v>6</v>
      </c>
      <c r="Q468">
        <v>195982.09</v>
      </c>
    </row>
    <row r="469" spans="1:17" x14ac:dyDescent="0.3">
      <c r="A469" t="s">
        <v>1349</v>
      </c>
      <c r="B469" t="s">
        <v>1350</v>
      </c>
      <c r="C469" s="2" t="str">
        <f>PROPER(TRIM(Table1[[#This Row],[Gender]]))</f>
        <v>Female</v>
      </c>
      <c r="D469" t="s">
        <v>43</v>
      </c>
      <c r="E469">
        <v>46</v>
      </c>
      <c r="F469" t="s">
        <v>17</v>
      </c>
      <c r="G469" s="1">
        <v>28868</v>
      </c>
      <c r="H469" t="s">
        <v>1351</v>
      </c>
      <c r="I469" s="2" t="str">
        <f t="shared" si="7"/>
        <v>+91-8038996003</v>
      </c>
      <c r="J469">
        <f>91-8038996094</f>
        <v>-8038996003</v>
      </c>
      <c r="K469" t="s">
        <v>147</v>
      </c>
      <c r="L469" t="s">
        <v>143</v>
      </c>
      <c r="M469">
        <v>468709</v>
      </c>
      <c r="N469" s="1">
        <v>45103</v>
      </c>
      <c r="O469" t="s">
        <v>28</v>
      </c>
      <c r="P469">
        <v>7</v>
      </c>
      <c r="Q469">
        <v>83931.97</v>
      </c>
    </row>
    <row r="470" spans="1:17" x14ac:dyDescent="0.3">
      <c r="A470" t="s">
        <v>1352</v>
      </c>
      <c r="B470" t="s">
        <v>1353</v>
      </c>
      <c r="C470" s="2" t="str">
        <f>PROPER(TRIM(Table1[[#This Row],[Gender]]))</f>
        <v>Male</v>
      </c>
      <c r="D470" t="s">
        <v>16</v>
      </c>
      <c r="E470">
        <v>40</v>
      </c>
      <c r="F470" t="s">
        <v>38</v>
      </c>
      <c r="G470" s="1">
        <v>31058</v>
      </c>
      <c r="H470" t="s">
        <v>1354</v>
      </c>
      <c r="I470" s="2" t="str">
        <f t="shared" si="7"/>
        <v>+91-9821054021</v>
      </c>
      <c r="J470">
        <f>91-9821054112</f>
        <v>-9821054021</v>
      </c>
      <c r="K470" t="s">
        <v>273</v>
      </c>
      <c r="L470" t="s">
        <v>46</v>
      </c>
      <c r="M470">
        <v>110235</v>
      </c>
      <c r="N470" s="1">
        <v>45431</v>
      </c>
      <c r="O470" t="s">
        <v>28</v>
      </c>
      <c r="P470">
        <v>4</v>
      </c>
      <c r="Q470">
        <v>67059.67</v>
      </c>
    </row>
    <row r="471" spans="1:17" x14ac:dyDescent="0.3">
      <c r="A471" t="s">
        <v>1355</v>
      </c>
      <c r="B471" t="s">
        <v>1356</v>
      </c>
      <c r="C471" s="2" t="str">
        <f>PROPER(TRIM(Table1[[#This Row],[Gender]]))</f>
        <v>Female</v>
      </c>
      <c r="D471" t="s">
        <v>43</v>
      </c>
      <c r="E471">
        <v>35</v>
      </c>
      <c r="F471" t="s">
        <v>31</v>
      </c>
      <c r="G471" s="1">
        <v>32883</v>
      </c>
      <c r="H471" t="s">
        <v>1357</v>
      </c>
      <c r="I471" s="2" t="str">
        <f t="shared" si="7"/>
        <v>+91-8982242386</v>
      </c>
      <c r="J471">
        <f>91-8982242477</f>
        <v>-8982242386</v>
      </c>
      <c r="K471" t="s">
        <v>117</v>
      </c>
      <c r="L471" t="s">
        <v>52</v>
      </c>
      <c r="M471">
        <v>349453</v>
      </c>
      <c r="N471" s="1">
        <v>45245</v>
      </c>
      <c r="O471" t="s">
        <v>28</v>
      </c>
      <c r="P471">
        <v>3</v>
      </c>
      <c r="Q471">
        <v>118913.22</v>
      </c>
    </row>
    <row r="472" spans="1:17" x14ac:dyDescent="0.3">
      <c r="A472" t="s">
        <v>1358</v>
      </c>
      <c r="B472" t="s">
        <v>1359</v>
      </c>
      <c r="C472" s="2" t="str">
        <f>PROPER(TRIM(Table1[[#This Row],[Gender]]))</f>
        <v>Female</v>
      </c>
      <c r="D472" t="s">
        <v>43</v>
      </c>
      <c r="E472">
        <v>72</v>
      </c>
      <c r="F472" t="s">
        <v>24</v>
      </c>
      <c r="G472" s="1">
        <v>19378</v>
      </c>
      <c r="H472" t="s">
        <v>1360</v>
      </c>
      <c r="I472" s="2" t="str">
        <f t="shared" si="7"/>
        <v>+91-7113890588</v>
      </c>
      <c r="J472">
        <f>91-7113890679</f>
        <v>-7113890588</v>
      </c>
      <c r="K472" t="s">
        <v>161</v>
      </c>
      <c r="L472" t="s">
        <v>102</v>
      </c>
      <c r="M472">
        <v>953856</v>
      </c>
      <c r="N472" s="1">
        <v>45356</v>
      </c>
      <c r="O472" t="s">
        <v>28</v>
      </c>
      <c r="P472">
        <v>6</v>
      </c>
      <c r="Q472">
        <v>132657.19</v>
      </c>
    </row>
    <row r="473" spans="1:17" x14ac:dyDescent="0.3">
      <c r="A473" t="s">
        <v>1361</v>
      </c>
      <c r="B473" t="s">
        <v>1362</v>
      </c>
      <c r="C473" s="2" t="str">
        <f>PROPER(TRIM(Table1[[#This Row],[Gender]]))</f>
        <v>Female</v>
      </c>
      <c r="D473" t="s">
        <v>43</v>
      </c>
      <c r="E473">
        <v>29</v>
      </c>
      <c r="F473" t="s">
        <v>31</v>
      </c>
      <c r="G473" s="1">
        <v>35073</v>
      </c>
      <c r="H473" t="s">
        <v>1363</v>
      </c>
      <c r="I473" s="2" t="str">
        <f t="shared" si="7"/>
        <v>+91-8437801966</v>
      </c>
      <c r="J473">
        <f>91-8437802057</f>
        <v>-8437801966</v>
      </c>
      <c r="K473" t="s">
        <v>165</v>
      </c>
      <c r="L473" t="s">
        <v>52</v>
      </c>
      <c r="M473">
        <v>114607</v>
      </c>
      <c r="N473" s="1">
        <v>45109</v>
      </c>
      <c r="O473" t="s">
        <v>35</v>
      </c>
      <c r="P473">
        <v>2</v>
      </c>
      <c r="Q473">
        <v>13347.41</v>
      </c>
    </row>
    <row r="474" spans="1:17" x14ac:dyDescent="0.3">
      <c r="A474" t="s">
        <v>1364</v>
      </c>
      <c r="B474" t="s">
        <v>534</v>
      </c>
      <c r="C474" s="2" t="str">
        <f>PROPER(TRIM(Table1[[#This Row],[Gender]]))</f>
        <v>Female</v>
      </c>
      <c r="D474" t="s">
        <v>43</v>
      </c>
      <c r="E474">
        <v>22</v>
      </c>
      <c r="F474" t="s">
        <v>49</v>
      </c>
      <c r="G474" s="1">
        <v>37628</v>
      </c>
      <c r="H474" t="s">
        <v>1365</v>
      </c>
      <c r="I474" s="2" t="str">
        <f t="shared" si="7"/>
        <v>+91-9018263912</v>
      </c>
      <c r="J474">
        <f>91-9018264003</f>
        <v>-9018263912</v>
      </c>
      <c r="K474" t="s">
        <v>415</v>
      </c>
      <c r="L474" t="s">
        <v>90</v>
      </c>
      <c r="M474">
        <v>974837</v>
      </c>
      <c r="N474" s="1">
        <v>45160</v>
      </c>
      <c r="O474" t="s">
        <v>28</v>
      </c>
      <c r="P474">
        <v>4</v>
      </c>
      <c r="Q474">
        <v>75577.83</v>
      </c>
    </row>
    <row r="475" spans="1:17" x14ac:dyDescent="0.3">
      <c r="A475" t="s">
        <v>1366</v>
      </c>
      <c r="B475" t="s">
        <v>1367</v>
      </c>
      <c r="C475" s="2" t="str">
        <f>PROPER(TRIM(Table1[[#This Row],[Gender]]))</f>
        <v>Female</v>
      </c>
      <c r="D475" t="s">
        <v>43</v>
      </c>
      <c r="E475">
        <v>37</v>
      </c>
      <c r="F475" t="s">
        <v>38</v>
      </c>
      <c r="G475" s="1">
        <v>32153</v>
      </c>
      <c r="H475" t="s">
        <v>1368</v>
      </c>
      <c r="I475" s="2" t="str">
        <f t="shared" si="7"/>
        <v>+91-9696871420</v>
      </c>
      <c r="J475">
        <f>91-9696871511</f>
        <v>-9696871420</v>
      </c>
      <c r="K475" t="s">
        <v>80</v>
      </c>
      <c r="L475" t="s">
        <v>20</v>
      </c>
      <c r="M475">
        <v>702730</v>
      </c>
      <c r="N475" s="1">
        <v>45172</v>
      </c>
      <c r="O475" t="s">
        <v>28</v>
      </c>
      <c r="P475">
        <v>7</v>
      </c>
      <c r="Q475">
        <v>222845.85</v>
      </c>
    </row>
    <row r="476" spans="1:17" x14ac:dyDescent="0.3">
      <c r="A476" t="s">
        <v>1369</v>
      </c>
      <c r="B476" t="s">
        <v>1370</v>
      </c>
      <c r="C476" s="2" t="str">
        <f>PROPER(TRIM(Table1[[#This Row],[Gender]]))</f>
        <v>Male</v>
      </c>
      <c r="D476" t="s">
        <v>16</v>
      </c>
      <c r="E476">
        <v>24</v>
      </c>
      <c r="F476" t="s">
        <v>49</v>
      </c>
      <c r="G476" s="1">
        <v>36898</v>
      </c>
      <c r="H476" t="s">
        <v>1371</v>
      </c>
      <c r="I476" s="2" t="str">
        <f t="shared" si="7"/>
        <v>+91-7473273155</v>
      </c>
      <c r="J476">
        <f>91-7473273246</f>
        <v>-7473273155</v>
      </c>
      <c r="K476" t="s">
        <v>161</v>
      </c>
      <c r="L476" t="s">
        <v>102</v>
      </c>
      <c r="M476">
        <v>288363</v>
      </c>
      <c r="N476" s="1">
        <v>45157</v>
      </c>
      <c r="O476" t="s">
        <v>21</v>
      </c>
      <c r="P476">
        <v>2</v>
      </c>
      <c r="Q476">
        <v>32728.959999999999</v>
      </c>
    </row>
    <row r="477" spans="1:17" x14ac:dyDescent="0.3">
      <c r="A477" t="s">
        <v>1372</v>
      </c>
      <c r="B477" t="s">
        <v>1130</v>
      </c>
      <c r="C477" s="2" t="str">
        <f>PROPER(TRIM(Table1[[#This Row],[Gender]]))</f>
        <v>Male</v>
      </c>
      <c r="D477" t="s">
        <v>16</v>
      </c>
      <c r="E477">
        <v>35</v>
      </c>
      <c r="F477" t="s">
        <v>31</v>
      </c>
      <c r="G477" s="1">
        <v>32883</v>
      </c>
      <c r="H477" t="s">
        <v>1373</v>
      </c>
      <c r="I477" s="2" t="str">
        <f t="shared" si="7"/>
        <v>+91-7517549101</v>
      </c>
      <c r="J477">
        <f>91-7517549192</f>
        <v>-7517549101</v>
      </c>
      <c r="K477" t="s">
        <v>239</v>
      </c>
      <c r="L477" t="s">
        <v>191</v>
      </c>
      <c r="M477">
        <v>758114</v>
      </c>
      <c r="N477" s="1">
        <v>45128</v>
      </c>
      <c r="O477" t="s">
        <v>28</v>
      </c>
      <c r="P477">
        <v>5</v>
      </c>
      <c r="Q477">
        <v>428889.45</v>
      </c>
    </row>
    <row r="478" spans="1:17" x14ac:dyDescent="0.3">
      <c r="A478" t="s">
        <v>1374</v>
      </c>
      <c r="B478" t="s">
        <v>1375</v>
      </c>
      <c r="C478" s="2" t="str">
        <f>PROPER(TRIM(Table1[[#This Row],[Gender]]))</f>
        <v>Female</v>
      </c>
      <c r="D478" t="s">
        <v>43</v>
      </c>
      <c r="E478">
        <v>74</v>
      </c>
      <c r="F478" t="s">
        <v>24</v>
      </c>
      <c r="G478" s="1">
        <v>18648</v>
      </c>
      <c r="H478" t="s">
        <v>1376</v>
      </c>
      <c r="I478" s="2" t="str">
        <f t="shared" si="7"/>
        <v>+91-7992886252</v>
      </c>
      <c r="J478">
        <f>91-7992886343</f>
        <v>-7992886252</v>
      </c>
      <c r="K478" t="s">
        <v>195</v>
      </c>
      <c r="L478" t="s">
        <v>102</v>
      </c>
      <c r="M478">
        <v>250600</v>
      </c>
      <c r="N478" s="1">
        <v>45125</v>
      </c>
      <c r="O478" t="s">
        <v>21</v>
      </c>
      <c r="P478">
        <v>5</v>
      </c>
      <c r="Q478">
        <v>36069.42</v>
      </c>
    </row>
    <row r="479" spans="1:17" x14ac:dyDescent="0.3">
      <c r="A479" t="s">
        <v>1377</v>
      </c>
      <c r="B479" t="s">
        <v>1378</v>
      </c>
      <c r="C479" s="2" t="str">
        <f>PROPER(TRIM(Table1[[#This Row],[Gender]]))</f>
        <v>Male</v>
      </c>
      <c r="D479" t="s">
        <v>16</v>
      </c>
      <c r="E479">
        <v>32</v>
      </c>
      <c r="F479" t="s">
        <v>31</v>
      </c>
      <c r="G479" s="1">
        <v>33978</v>
      </c>
      <c r="H479" t="s">
        <v>1379</v>
      </c>
      <c r="I479" s="2" t="str">
        <f t="shared" si="7"/>
        <v>+91-7712435241</v>
      </c>
      <c r="J479">
        <f>91-7712435332</f>
        <v>-7712435241</v>
      </c>
      <c r="K479" t="s">
        <v>161</v>
      </c>
      <c r="L479" t="s">
        <v>102</v>
      </c>
      <c r="M479">
        <v>400321</v>
      </c>
      <c r="N479" s="1">
        <v>45174</v>
      </c>
      <c r="O479" t="s">
        <v>28</v>
      </c>
      <c r="P479">
        <v>7</v>
      </c>
      <c r="Q479">
        <v>89190.81</v>
      </c>
    </row>
    <row r="480" spans="1:17" x14ac:dyDescent="0.3">
      <c r="A480" t="s">
        <v>1380</v>
      </c>
      <c r="B480" t="s">
        <v>1381</v>
      </c>
      <c r="C480" s="2" t="str">
        <f>PROPER(TRIM(Table1[[#This Row],[Gender]]))</f>
        <v>Female</v>
      </c>
      <c r="D480" t="s">
        <v>43</v>
      </c>
      <c r="E480">
        <v>32</v>
      </c>
      <c r="F480" t="s">
        <v>31</v>
      </c>
      <c r="G480" s="1">
        <v>33978</v>
      </c>
      <c r="H480" t="s">
        <v>1382</v>
      </c>
      <c r="I480" s="2" t="str">
        <f t="shared" si="7"/>
        <v>+91-8905267565</v>
      </c>
      <c r="J480">
        <f>91-8905267656</f>
        <v>-8905267565</v>
      </c>
      <c r="K480" t="s">
        <v>40</v>
      </c>
      <c r="L480" t="s">
        <v>27</v>
      </c>
      <c r="M480">
        <v>966581</v>
      </c>
      <c r="N480" s="1">
        <v>45196</v>
      </c>
      <c r="O480" t="s">
        <v>28</v>
      </c>
      <c r="P480">
        <v>4</v>
      </c>
      <c r="Q480">
        <v>111332.78</v>
      </c>
    </row>
    <row r="481" spans="1:17" x14ac:dyDescent="0.3">
      <c r="A481" t="s">
        <v>1383</v>
      </c>
      <c r="B481" t="s">
        <v>1381</v>
      </c>
      <c r="C481" s="2" t="str">
        <f>PROPER(TRIM(Table1[[#This Row],[Gender]]))</f>
        <v>Female</v>
      </c>
      <c r="D481" t="s">
        <v>43</v>
      </c>
      <c r="E481">
        <v>33</v>
      </c>
      <c r="F481" t="s">
        <v>31</v>
      </c>
      <c r="G481" s="1">
        <v>33613</v>
      </c>
      <c r="H481" t="s">
        <v>1384</v>
      </c>
      <c r="I481" s="2" t="str">
        <f t="shared" si="7"/>
        <v>+91-9796066408</v>
      </c>
      <c r="J481">
        <f>91-9796066499</f>
        <v>-9796066408</v>
      </c>
      <c r="K481" t="s">
        <v>109</v>
      </c>
      <c r="L481" t="s">
        <v>46</v>
      </c>
      <c r="M481">
        <v>896279</v>
      </c>
      <c r="N481" s="1">
        <v>45162</v>
      </c>
      <c r="O481" t="s">
        <v>28</v>
      </c>
      <c r="P481">
        <v>7</v>
      </c>
      <c r="Q481">
        <v>99349.38</v>
      </c>
    </row>
    <row r="482" spans="1:17" x14ac:dyDescent="0.3">
      <c r="A482" t="s">
        <v>1385</v>
      </c>
      <c r="B482" t="s">
        <v>1386</v>
      </c>
      <c r="C482" s="2" t="str">
        <f>PROPER(TRIM(Table1[[#This Row],[Gender]]))</f>
        <v>Female</v>
      </c>
      <c r="D482" t="s">
        <v>43</v>
      </c>
      <c r="E482">
        <v>62</v>
      </c>
      <c r="F482" t="s">
        <v>58</v>
      </c>
      <c r="G482" s="1">
        <v>23028</v>
      </c>
      <c r="H482" t="s">
        <v>1387</v>
      </c>
      <c r="I482" s="2" t="str">
        <f t="shared" si="7"/>
        <v>+91-9903186786</v>
      </c>
      <c r="J482">
        <f>91-9903186877</f>
        <v>-9903186786</v>
      </c>
      <c r="K482" t="s">
        <v>101</v>
      </c>
      <c r="L482" t="s">
        <v>102</v>
      </c>
      <c r="M482">
        <v>891005</v>
      </c>
      <c r="N482" s="1">
        <v>45359</v>
      </c>
      <c r="O482" t="s">
        <v>28</v>
      </c>
      <c r="P482">
        <v>6</v>
      </c>
      <c r="Q482">
        <v>76741.789999999994</v>
      </c>
    </row>
    <row r="483" spans="1:17" x14ac:dyDescent="0.3">
      <c r="A483" t="s">
        <v>1388</v>
      </c>
      <c r="B483" t="s">
        <v>374</v>
      </c>
      <c r="C483" s="2" t="str">
        <f>PROPER(TRIM(Table1[[#This Row],[Gender]]))</f>
        <v>Male</v>
      </c>
      <c r="D483" t="s">
        <v>16</v>
      </c>
      <c r="E483">
        <v>29</v>
      </c>
      <c r="F483" t="s">
        <v>31</v>
      </c>
      <c r="G483" s="1">
        <v>35073</v>
      </c>
      <c r="H483" t="s">
        <v>1389</v>
      </c>
      <c r="I483" s="2" t="str">
        <f t="shared" si="7"/>
        <v>+91-7716565117</v>
      </c>
      <c r="J483">
        <f>91-7716565208</f>
        <v>-7716565117</v>
      </c>
      <c r="K483" t="s">
        <v>89</v>
      </c>
      <c r="L483" t="s">
        <v>90</v>
      </c>
      <c r="M483">
        <v>736553</v>
      </c>
      <c r="N483" s="1">
        <v>45352</v>
      </c>
      <c r="O483" t="s">
        <v>28</v>
      </c>
      <c r="P483">
        <v>7</v>
      </c>
      <c r="Q483">
        <v>335478.56</v>
      </c>
    </row>
    <row r="484" spans="1:17" x14ac:dyDescent="0.3">
      <c r="A484" t="s">
        <v>1390</v>
      </c>
      <c r="B484" t="s">
        <v>862</v>
      </c>
      <c r="C484" s="2" t="str">
        <f>PROPER(TRIM(Table1[[#This Row],[Gender]]))</f>
        <v>Male</v>
      </c>
      <c r="D484" t="s">
        <v>16</v>
      </c>
      <c r="E484">
        <v>40</v>
      </c>
      <c r="F484" t="s">
        <v>38</v>
      </c>
      <c r="G484" s="1">
        <v>31058</v>
      </c>
      <c r="H484" t="s">
        <v>1391</v>
      </c>
      <c r="I484" s="2" t="str">
        <f t="shared" si="7"/>
        <v>+91-8004879510</v>
      </c>
      <c r="J484">
        <f>91-8004879601</f>
        <v>-8004879510</v>
      </c>
      <c r="K484" t="s">
        <v>101</v>
      </c>
      <c r="L484" t="s">
        <v>102</v>
      </c>
      <c r="M484">
        <v>326051</v>
      </c>
      <c r="N484" s="1">
        <v>45244</v>
      </c>
      <c r="O484" t="s">
        <v>28</v>
      </c>
      <c r="P484">
        <v>8</v>
      </c>
      <c r="Q484">
        <v>148801.07999999999</v>
      </c>
    </row>
    <row r="485" spans="1:17" x14ac:dyDescent="0.3">
      <c r="A485" t="s">
        <v>1392</v>
      </c>
      <c r="B485" t="s">
        <v>1115</v>
      </c>
      <c r="C485" s="2" t="str">
        <f>PROPER(TRIM(Table1[[#This Row],[Gender]]))</f>
        <v>Female</v>
      </c>
      <c r="D485" t="s">
        <v>43</v>
      </c>
      <c r="E485">
        <v>22</v>
      </c>
      <c r="F485" t="s">
        <v>49</v>
      </c>
      <c r="G485" s="1">
        <v>37628</v>
      </c>
      <c r="H485" t="s">
        <v>1393</v>
      </c>
      <c r="I485" s="2" t="str">
        <f t="shared" si="7"/>
        <v>+91-8368497766</v>
      </c>
      <c r="J485">
        <f>91-8368497857</f>
        <v>-8368497766</v>
      </c>
      <c r="K485" t="s">
        <v>121</v>
      </c>
      <c r="L485" t="s">
        <v>85</v>
      </c>
      <c r="M485">
        <v>718339</v>
      </c>
      <c r="N485" s="1">
        <v>45414</v>
      </c>
      <c r="O485" t="s">
        <v>28</v>
      </c>
      <c r="P485">
        <v>5</v>
      </c>
      <c r="Q485">
        <v>234083.38</v>
      </c>
    </row>
    <row r="486" spans="1:17" x14ac:dyDescent="0.3">
      <c r="A486" t="s">
        <v>1394</v>
      </c>
      <c r="B486" t="s">
        <v>1395</v>
      </c>
      <c r="C486" s="2" t="str">
        <f>PROPER(TRIM(Table1[[#This Row],[Gender]]))</f>
        <v>Male</v>
      </c>
      <c r="D486" t="s">
        <v>16</v>
      </c>
      <c r="E486">
        <v>23</v>
      </c>
      <c r="F486" t="s">
        <v>49</v>
      </c>
      <c r="G486" s="1">
        <v>37263</v>
      </c>
      <c r="H486" t="s">
        <v>1396</v>
      </c>
      <c r="I486" s="2" t="str">
        <f t="shared" si="7"/>
        <v>+91-8820415422</v>
      </c>
      <c r="J486">
        <f>91-8820415513</f>
        <v>-8820415422</v>
      </c>
      <c r="K486" t="s">
        <v>202</v>
      </c>
      <c r="L486" t="s">
        <v>191</v>
      </c>
      <c r="M486">
        <v>887031</v>
      </c>
      <c r="N486" s="1">
        <v>45378</v>
      </c>
      <c r="O486" t="s">
        <v>21</v>
      </c>
      <c r="P486">
        <v>3</v>
      </c>
      <c r="Q486">
        <v>39016.15</v>
      </c>
    </row>
    <row r="487" spans="1:17" x14ac:dyDescent="0.3">
      <c r="A487" t="s">
        <v>1397</v>
      </c>
      <c r="B487" t="s">
        <v>921</v>
      </c>
      <c r="C487" s="2" t="str">
        <f>PROPER(TRIM(Table1[[#This Row],[Gender]]))</f>
        <v>Female</v>
      </c>
      <c r="D487" t="s">
        <v>43</v>
      </c>
      <c r="E487">
        <v>20</v>
      </c>
      <c r="F487" t="s">
        <v>49</v>
      </c>
      <c r="G487" s="1">
        <v>38358</v>
      </c>
      <c r="H487" t="s">
        <v>1398</v>
      </c>
      <c r="I487" s="2" t="str">
        <f t="shared" si="7"/>
        <v>+91-8767784875</v>
      </c>
      <c r="J487">
        <f>91-8767784966</f>
        <v>-8767784875</v>
      </c>
      <c r="K487" t="s">
        <v>331</v>
      </c>
      <c r="L487" t="s">
        <v>143</v>
      </c>
      <c r="M487">
        <v>986738</v>
      </c>
      <c r="N487" s="1">
        <v>45100</v>
      </c>
      <c r="O487" t="s">
        <v>28</v>
      </c>
      <c r="P487">
        <v>3</v>
      </c>
      <c r="Q487">
        <v>296497.08</v>
      </c>
    </row>
    <row r="488" spans="1:17" x14ac:dyDescent="0.3">
      <c r="A488" t="s">
        <v>1399</v>
      </c>
      <c r="B488" t="s">
        <v>1400</v>
      </c>
      <c r="C488" s="2" t="str">
        <f>PROPER(TRIM(Table1[[#This Row],[Gender]]))</f>
        <v>Male</v>
      </c>
      <c r="D488" t="s">
        <v>16</v>
      </c>
      <c r="E488">
        <v>54</v>
      </c>
      <c r="F488" t="s">
        <v>17</v>
      </c>
      <c r="G488" s="1">
        <v>25948</v>
      </c>
      <c r="H488" t="s">
        <v>1401</v>
      </c>
      <c r="I488" s="2" t="str">
        <f t="shared" si="7"/>
        <v>+91-7705106622</v>
      </c>
      <c r="J488">
        <f>91-7705106713</f>
        <v>-7705106622</v>
      </c>
      <c r="K488" t="s">
        <v>117</v>
      </c>
      <c r="L488" t="s">
        <v>52</v>
      </c>
      <c r="M488">
        <v>215429</v>
      </c>
      <c r="N488" s="1">
        <v>45225</v>
      </c>
      <c r="O488" t="s">
        <v>35</v>
      </c>
      <c r="P488">
        <v>3</v>
      </c>
      <c r="Q488">
        <v>18612.400000000001</v>
      </c>
    </row>
    <row r="489" spans="1:17" x14ac:dyDescent="0.3">
      <c r="A489" t="s">
        <v>1402</v>
      </c>
      <c r="B489" t="s">
        <v>759</v>
      </c>
      <c r="C489" s="2" t="str">
        <f>PROPER(TRIM(Table1[[#This Row],[Gender]]))</f>
        <v>Female</v>
      </c>
      <c r="D489" t="s">
        <v>43</v>
      </c>
      <c r="E489">
        <v>18</v>
      </c>
      <c r="F489" t="s">
        <v>49</v>
      </c>
      <c r="G489" s="1">
        <v>39088</v>
      </c>
      <c r="H489" t="s">
        <v>1403</v>
      </c>
      <c r="I489" s="2" t="str">
        <f t="shared" si="7"/>
        <v>+91-9710351692</v>
      </c>
      <c r="J489">
        <f>91-9710351783</f>
        <v>-9710351692</v>
      </c>
      <c r="K489" t="s">
        <v>64</v>
      </c>
      <c r="L489" t="s">
        <v>20</v>
      </c>
      <c r="M489">
        <v>892551</v>
      </c>
      <c r="N489" s="1">
        <v>45277</v>
      </c>
      <c r="O489" t="s">
        <v>35</v>
      </c>
      <c r="P489">
        <v>3</v>
      </c>
      <c r="Q489">
        <v>14681.29</v>
      </c>
    </row>
    <row r="490" spans="1:17" x14ac:dyDescent="0.3">
      <c r="A490" t="s">
        <v>1404</v>
      </c>
      <c r="B490" t="s">
        <v>1405</v>
      </c>
      <c r="C490" s="2" t="str">
        <f>PROPER(TRIM(Table1[[#This Row],[Gender]]))</f>
        <v>Male</v>
      </c>
      <c r="D490" t="s">
        <v>16</v>
      </c>
      <c r="E490">
        <v>34</v>
      </c>
      <c r="F490" t="s">
        <v>31</v>
      </c>
      <c r="G490" s="1">
        <v>33248</v>
      </c>
      <c r="H490" t="s">
        <v>1406</v>
      </c>
      <c r="I490" s="2" t="str">
        <f t="shared" si="7"/>
        <v>+91-8400011897</v>
      </c>
      <c r="J490">
        <f>91-8400011988</f>
        <v>-8400011897</v>
      </c>
      <c r="K490" t="s">
        <v>94</v>
      </c>
      <c r="L490" t="s">
        <v>20</v>
      </c>
      <c r="M490">
        <v>481424</v>
      </c>
      <c r="N490" s="1">
        <v>45235</v>
      </c>
      <c r="O490" t="s">
        <v>28</v>
      </c>
      <c r="P490">
        <v>7</v>
      </c>
      <c r="Q490">
        <v>200858.71</v>
      </c>
    </row>
    <row r="491" spans="1:17" x14ac:dyDescent="0.3">
      <c r="A491" t="s">
        <v>1407</v>
      </c>
      <c r="B491" t="s">
        <v>1408</v>
      </c>
      <c r="C491" s="2" t="str">
        <f>PROPER(TRIM(Table1[[#This Row],[Gender]]))</f>
        <v>Male</v>
      </c>
      <c r="D491" t="s">
        <v>16</v>
      </c>
      <c r="E491">
        <v>31</v>
      </c>
      <c r="F491" t="s">
        <v>31</v>
      </c>
      <c r="G491" s="1">
        <v>34343</v>
      </c>
      <c r="H491" t="s">
        <v>1409</v>
      </c>
      <c r="I491" s="2" t="str">
        <f t="shared" si="7"/>
        <v>+91-8979069013</v>
      </c>
      <c r="J491">
        <f>91-8979069104</f>
        <v>-8979069013</v>
      </c>
      <c r="K491" t="s">
        <v>60</v>
      </c>
      <c r="L491" t="s">
        <v>34</v>
      </c>
      <c r="M491">
        <v>624579</v>
      </c>
      <c r="N491" s="1">
        <v>45181</v>
      </c>
      <c r="O491" t="s">
        <v>28</v>
      </c>
      <c r="P491">
        <v>5</v>
      </c>
      <c r="Q491">
        <v>102096.64</v>
      </c>
    </row>
    <row r="492" spans="1:17" x14ac:dyDescent="0.3">
      <c r="A492" t="s">
        <v>1410</v>
      </c>
      <c r="B492" t="s">
        <v>1411</v>
      </c>
      <c r="C492" s="2" t="str">
        <f>PROPER(TRIM(Table1[[#This Row],[Gender]]))</f>
        <v>Male</v>
      </c>
      <c r="D492" t="s">
        <v>16</v>
      </c>
      <c r="E492">
        <v>33</v>
      </c>
      <c r="F492" t="s">
        <v>31</v>
      </c>
      <c r="G492" s="1">
        <v>33613</v>
      </c>
      <c r="H492" t="s">
        <v>1412</v>
      </c>
      <c r="I492" s="2" t="str">
        <f t="shared" si="7"/>
        <v>+91-9398191318</v>
      </c>
      <c r="J492">
        <f>91-9398191409</f>
        <v>-9398191318</v>
      </c>
      <c r="K492" t="s">
        <v>147</v>
      </c>
      <c r="L492" t="s">
        <v>143</v>
      </c>
      <c r="M492">
        <v>877221</v>
      </c>
      <c r="N492" s="1">
        <v>45145</v>
      </c>
      <c r="O492" t="s">
        <v>28</v>
      </c>
      <c r="P492">
        <v>8</v>
      </c>
      <c r="Q492">
        <v>321860.87</v>
      </c>
    </row>
    <row r="493" spans="1:17" x14ac:dyDescent="0.3">
      <c r="A493" t="s">
        <v>1413</v>
      </c>
      <c r="B493" t="s">
        <v>1414</v>
      </c>
      <c r="C493" s="2" t="str">
        <f>PROPER(TRIM(Table1[[#This Row],[Gender]]))</f>
        <v>Male</v>
      </c>
      <c r="D493" t="s">
        <v>16</v>
      </c>
      <c r="E493">
        <v>30</v>
      </c>
      <c r="F493" t="s">
        <v>31</v>
      </c>
      <c r="G493" s="1">
        <v>34708</v>
      </c>
      <c r="H493" t="s">
        <v>1415</v>
      </c>
      <c r="I493" s="2" t="str">
        <f t="shared" si="7"/>
        <v>+91-7911306159</v>
      </c>
      <c r="J493">
        <f>91-7911306250</f>
        <v>-7911306159</v>
      </c>
      <c r="K493" t="s">
        <v>273</v>
      </c>
      <c r="L493" t="s">
        <v>46</v>
      </c>
      <c r="M493">
        <v>476778</v>
      </c>
      <c r="N493" s="1">
        <v>45087</v>
      </c>
      <c r="O493" t="s">
        <v>28</v>
      </c>
      <c r="P493">
        <v>5</v>
      </c>
      <c r="Q493">
        <v>173945.31</v>
      </c>
    </row>
    <row r="494" spans="1:17" x14ac:dyDescent="0.3">
      <c r="A494" t="s">
        <v>1416</v>
      </c>
      <c r="B494" t="s">
        <v>903</v>
      </c>
      <c r="C494" s="2" t="str">
        <f>PROPER(TRIM(Table1[[#This Row],[Gender]]))</f>
        <v>Male</v>
      </c>
      <c r="D494" t="s">
        <v>16</v>
      </c>
      <c r="E494">
        <v>37</v>
      </c>
      <c r="F494" t="s">
        <v>38</v>
      </c>
      <c r="G494" s="1">
        <v>32153</v>
      </c>
      <c r="H494" t="s">
        <v>1417</v>
      </c>
      <c r="I494" s="2" t="str">
        <f t="shared" si="7"/>
        <v>+91-7796500990</v>
      </c>
      <c r="J494">
        <f>91-7796501081</f>
        <v>-7796500990</v>
      </c>
      <c r="K494" t="s">
        <v>40</v>
      </c>
      <c r="L494" t="s">
        <v>27</v>
      </c>
      <c r="M494">
        <v>136204</v>
      </c>
      <c r="N494" s="1">
        <v>45423</v>
      </c>
      <c r="O494" t="s">
        <v>28</v>
      </c>
      <c r="P494">
        <v>4</v>
      </c>
      <c r="Q494">
        <v>259384.57</v>
      </c>
    </row>
    <row r="495" spans="1:17" x14ac:dyDescent="0.3">
      <c r="A495" t="s">
        <v>1418</v>
      </c>
      <c r="B495" t="s">
        <v>1419</v>
      </c>
      <c r="C495" s="2" t="str">
        <f>PROPER(TRIM(Table1[[#This Row],[Gender]]))</f>
        <v>Female</v>
      </c>
      <c r="D495" t="s">
        <v>43</v>
      </c>
      <c r="E495">
        <v>58</v>
      </c>
      <c r="F495" t="s">
        <v>58</v>
      </c>
      <c r="G495" s="1">
        <v>24488</v>
      </c>
      <c r="H495" t="s">
        <v>1420</v>
      </c>
      <c r="I495" s="2" t="str">
        <f t="shared" si="7"/>
        <v>+91-7291691451</v>
      </c>
      <c r="J495">
        <f>91-7291691542</f>
        <v>-7291691451</v>
      </c>
      <c r="K495" t="s">
        <v>89</v>
      </c>
      <c r="L495" t="s">
        <v>90</v>
      </c>
      <c r="M495">
        <v>668041</v>
      </c>
      <c r="N495" s="1">
        <v>45432</v>
      </c>
      <c r="O495" t="s">
        <v>35</v>
      </c>
      <c r="P495">
        <v>2</v>
      </c>
      <c r="Q495">
        <v>4416.28</v>
      </c>
    </row>
    <row r="496" spans="1:17" x14ac:dyDescent="0.3">
      <c r="A496" t="s">
        <v>1421</v>
      </c>
      <c r="B496" t="s">
        <v>862</v>
      </c>
      <c r="C496" s="2" t="str">
        <f>PROPER(TRIM(Table1[[#This Row],[Gender]]))</f>
        <v>Male</v>
      </c>
      <c r="D496" t="s">
        <v>16</v>
      </c>
      <c r="E496">
        <v>40</v>
      </c>
      <c r="F496" t="s">
        <v>38</v>
      </c>
      <c r="G496" s="1">
        <v>31058</v>
      </c>
      <c r="H496" t="s">
        <v>1422</v>
      </c>
      <c r="I496" s="2" t="str">
        <f t="shared" si="7"/>
        <v>+91-8630382315</v>
      </c>
      <c r="J496">
        <f>91-8630382406</f>
        <v>-8630382315</v>
      </c>
      <c r="K496" t="s">
        <v>273</v>
      </c>
      <c r="L496" t="s">
        <v>46</v>
      </c>
      <c r="M496">
        <v>358690</v>
      </c>
      <c r="N496" s="1">
        <v>45175</v>
      </c>
      <c r="O496" t="s">
        <v>28</v>
      </c>
      <c r="P496">
        <v>6</v>
      </c>
      <c r="Q496">
        <v>247102.1</v>
      </c>
    </row>
    <row r="497" spans="1:17" x14ac:dyDescent="0.3">
      <c r="A497" t="s">
        <v>1423</v>
      </c>
      <c r="B497" t="s">
        <v>546</v>
      </c>
      <c r="C497" s="2" t="str">
        <f>PROPER(TRIM(Table1[[#This Row],[Gender]]))</f>
        <v>Female</v>
      </c>
      <c r="D497" t="s">
        <v>43</v>
      </c>
      <c r="E497">
        <v>25</v>
      </c>
      <c r="F497" t="s">
        <v>49</v>
      </c>
      <c r="G497" s="1">
        <v>36533</v>
      </c>
      <c r="H497" t="s">
        <v>1424</v>
      </c>
      <c r="I497" s="2" t="str">
        <f t="shared" si="7"/>
        <v>+91-9268457830</v>
      </c>
      <c r="J497">
        <f>91-9268457921</f>
        <v>-9268457830</v>
      </c>
      <c r="K497" t="s">
        <v>64</v>
      </c>
      <c r="L497" t="s">
        <v>20</v>
      </c>
      <c r="M497">
        <v>391074</v>
      </c>
      <c r="N497" s="1">
        <v>45184</v>
      </c>
      <c r="O497" t="s">
        <v>28</v>
      </c>
      <c r="P497">
        <v>6</v>
      </c>
      <c r="Q497">
        <v>50398.89</v>
      </c>
    </row>
    <row r="498" spans="1:17" x14ac:dyDescent="0.3">
      <c r="A498" t="s">
        <v>1425</v>
      </c>
      <c r="B498" t="s">
        <v>926</v>
      </c>
      <c r="C498" s="2" t="str">
        <f>PROPER(TRIM(Table1[[#This Row],[Gender]]))</f>
        <v>Male</v>
      </c>
      <c r="D498" t="s">
        <v>16</v>
      </c>
      <c r="E498">
        <v>42</v>
      </c>
      <c r="F498" t="s">
        <v>38</v>
      </c>
      <c r="G498" s="1">
        <v>30328</v>
      </c>
      <c r="H498" t="s">
        <v>1426</v>
      </c>
      <c r="I498" s="2" t="str">
        <f t="shared" si="7"/>
        <v>+91-8231681081</v>
      </c>
      <c r="J498">
        <f>91-8231681172</f>
        <v>-8231681081</v>
      </c>
      <c r="K498" t="s">
        <v>80</v>
      </c>
      <c r="L498" t="s">
        <v>20</v>
      </c>
      <c r="M498">
        <v>830661</v>
      </c>
      <c r="N498" s="1">
        <v>45133</v>
      </c>
      <c r="O498" t="s">
        <v>28</v>
      </c>
      <c r="P498">
        <v>10</v>
      </c>
      <c r="Q498">
        <v>361990.98</v>
      </c>
    </row>
    <row r="499" spans="1:17" x14ac:dyDescent="0.3">
      <c r="A499" t="s">
        <v>1427</v>
      </c>
      <c r="B499" t="s">
        <v>1428</v>
      </c>
      <c r="C499" s="2" t="str">
        <f>PROPER(TRIM(Table1[[#This Row],[Gender]]))</f>
        <v>Female</v>
      </c>
      <c r="D499" t="s">
        <v>43</v>
      </c>
      <c r="E499">
        <v>34</v>
      </c>
      <c r="F499" t="s">
        <v>31</v>
      </c>
      <c r="G499" s="1">
        <v>33248</v>
      </c>
      <c r="H499" t="s">
        <v>1429</v>
      </c>
      <c r="I499" s="2" t="str">
        <f t="shared" si="7"/>
        <v>+91-8209962738</v>
      </c>
      <c r="J499">
        <f>91-8209962829</f>
        <v>-8209962738</v>
      </c>
      <c r="K499" t="s">
        <v>117</v>
      </c>
      <c r="L499" t="s">
        <v>52</v>
      </c>
      <c r="M499">
        <v>824757</v>
      </c>
      <c r="N499" s="1">
        <v>45347</v>
      </c>
      <c r="O499" t="s">
        <v>21</v>
      </c>
      <c r="P499">
        <v>3</v>
      </c>
      <c r="Q499">
        <v>33936.74</v>
      </c>
    </row>
    <row r="500" spans="1:17" x14ac:dyDescent="0.3">
      <c r="A500" t="s">
        <v>1430</v>
      </c>
      <c r="B500" t="s">
        <v>345</v>
      </c>
      <c r="C500" s="2" t="str">
        <f>PROPER(TRIM(Table1[[#This Row],[Gender]]))</f>
        <v>Male</v>
      </c>
      <c r="D500" t="s">
        <v>16</v>
      </c>
      <c r="E500">
        <v>73</v>
      </c>
      <c r="F500" t="s">
        <v>24</v>
      </c>
      <c r="G500" s="1">
        <v>19013</v>
      </c>
      <c r="H500" t="s">
        <v>1431</v>
      </c>
      <c r="I500" s="2" t="str">
        <f t="shared" si="7"/>
        <v>+91-8498470587</v>
      </c>
      <c r="J500">
        <f>91-8498470678</f>
        <v>-8498470587</v>
      </c>
      <c r="K500" t="s">
        <v>76</v>
      </c>
      <c r="L500" t="s">
        <v>46</v>
      </c>
      <c r="M500">
        <v>988288</v>
      </c>
      <c r="N500" s="1">
        <v>45351</v>
      </c>
      <c r="O500" t="s">
        <v>21</v>
      </c>
      <c r="P500">
        <v>3</v>
      </c>
      <c r="Q500">
        <v>46316.42</v>
      </c>
    </row>
    <row r="501" spans="1:17" x14ac:dyDescent="0.3">
      <c r="A501" t="s">
        <v>1432</v>
      </c>
      <c r="B501" t="s">
        <v>1195</v>
      </c>
      <c r="C501" s="2" t="str">
        <f>PROPER(TRIM(Table1[[#This Row],[Gender]]))</f>
        <v>Female</v>
      </c>
      <c r="D501" t="s">
        <v>43</v>
      </c>
      <c r="E501">
        <v>37</v>
      </c>
      <c r="F501" t="s">
        <v>38</v>
      </c>
      <c r="G501" s="1">
        <v>32153</v>
      </c>
      <c r="H501" t="s">
        <v>1433</v>
      </c>
      <c r="I501" s="2" t="str">
        <f t="shared" si="7"/>
        <v>+91-8685243510</v>
      </c>
      <c r="J501">
        <f>91-8685243601</f>
        <v>-8685243510</v>
      </c>
      <c r="K501" t="s">
        <v>331</v>
      </c>
      <c r="L501" t="s">
        <v>143</v>
      </c>
      <c r="M501">
        <v>554642</v>
      </c>
      <c r="N501" s="1">
        <v>45395</v>
      </c>
      <c r="O501" t="s">
        <v>28</v>
      </c>
      <c r="P501">
        <v>3</v>
      </c>
      <c r="Q501">
        <v>62338.39</v>
      </c>
    </row>
    <row r="502" spans="1:17" x14ac:dyDescent="0.3">
      <c r="A502" t="s">
        <v>1434</v>
      </c>
      <c r="B502" t="s">
        <v>578</v>
      </c>
      <c r="C502" s="2" t="str">
        <f>PROPER(TRIM(Table1[[#This Row],[Gender]]))</f>
        <v>Female</v>
      </c>
      <c r="D502" t="s">
        <v>43</v>
      </c>
      <c r="E502">
        <v>21</v>
      </c>
      <c r="F502" t="s">
        <v>49</v>
      </c>
      <c r="G502" s="1">
        <v>37993</v>
      </c>
      <c r="H502" t="s">
        <v>1435</v>
      </c>
      <c r="I502" s="2" t="str">
        <f t="shared" si="7"/>
        <v>+91-8399511646</v>
      </c>
      <c r="J502">
        <f>91-8399511737</f>
        <v>-8399511646</v>
      </c>
      <c r="K502" t="s">
        <v>202</v>
      </c>
      <c r="L502" t="s">
        <v>191</v>
      </c>
      <c r="M502">
        <v>248843</v>
      </c>
      <c r="N502" s="1">
        <v>45273</v>
      </c>
      <c r="O502" t="s">
        <v>21</v>
      </c>
      <c r="P502">
        <v>6</v>
      </c>
      <c r="Q502">
        <v>45470.91</v>
      </c>
    </row>
    <row r="503" spans="1:17" x14ac:dyDescent="0.3">
      <c r="A503" t="s">
        <v>1436</v>
      </c>
      <c r="B503" t="s">
        <v>1437</v>
      </c>
      <c r="C503" s="2" t="str">
        <f>PROPER(TRIM(Table1[[#This Row],[Gender]]))</f>
        <v>Female</v>
      </c>
      <c r="D503" t="s">
        <v>43</v>
      </c>
      <c r="E503">
        <v>19</v>
      </c>
      <c r="F503" t="s">
        <v>49</v>
      </c>
      <c r="G503" s="1">
        <v>38723</v>
      </c>
      <c r="H503" t="s">
        <v>1438</v>
      </c>
      <c r="I503" s="2" t="str">
        <f t="shared" si="7"/>
        <v>+91-8395631786</v>
      </c>
      <c r="J503">
        <f>91-8395631877</f>
        <v>-8395631786</v>
      </c>
      <c r="K503" t="s">
        <v>142</v>
      </c>
      <c r="L503" t="s">
        <v>143</v>
      </c>
      <c r="M503">
        <v>261621</v>
      </c>
      <c r="N503" s="1">
        <v>45293</v>
      </c>
      <c r="O503" t="s">
        <v>28</v>
      </c>
      <c r="P503">
        <v>5</v>
      </c>
      <c r="Q503">
        <v>63662.239999999998</v>
      </c>
    </row>
    <row r="504" spans="1:17" x14ac:dyDescent="0.3">
      <c r="A504" t="s">
        <v>1439</v>
      </c>
      <c r="B504" t="s">
        <v>946</v>
      </c>
      <c r="C504" s="2" t="str">
        <f>PROPER(TRIM(Table1[[#This Row],[Gender]]))</f>
        <v>Female</v>
      </c>
      <c r="D504" t="s">
        <v>43</v>
      </c>
      <c r="E504">
        <v>23</v>
      </c>
      <c r="F504" t="s">
        <v>49</v>
      </c>
      <c r="G504" s="1">
        <v>37263</v>
      </c>
      <c r="H504" t="s">
        <v>1440</v>
      </c>
      <c r="I504" s="2" t="str">
        <f t="shared" si="7"/>
        <v>+91-7669318712</v>
      </c>
      <c r="J504">
        <f>91-7669318803</f>
        <v>-7669318712</v>
      </c>
      <c r="K504" t="s">
        <v>113</v>
      </c>
      <c r="L504" t="s">
        <v>34</v>
      </c>
      <c r="M504">
        <v>824538</v>
      </c>
      <c r="N504" s="1">
        <v>45291</v>
      </c>
      <c r="O504" t="s">
        <v>28</v>
      </c>
      <c r="P504">
        <v>7</v>
      </c>
      <c r="Q504">
        <v>222621.3</v>
      </c>
    </row>
    <row r="505" spans="1:17" x14ac:dyDescent="0.3">
      <c r="A505" t="s">
        <v>1441</v>
      </c>
      <c r="B505" t="s">
        <v>1442</v>
      </c>
      <c r="C505" s="2" t="str">
        <f>PROPER(TRIM(Table1[[#This Row],[Gender]]))</f>
        <v>Male</v>
      </c>
      <c r="D505" t="s">
        <v>16</v>
      </c>
      <c r="E505">
        <v>35</v>
      </c>
      <c r="F505" t="s">
        <v>31</v>
      </c>
      <c r="G505" s="1">
        <v>32883</v>
      </c>
      <c r="H505" t="s">
        <v>1443</v>
      </c>
      <c r="I505" s="2" t="str">
        <f t="shared" si="7"/>
        <v>+91-7224397491</v>
      </c>
      <c r="J505">
        <f>91-7224397582</f>
        <v>-7224397491</v>
      </c>
      <c r="K505" t="s">
        <v>60</v>
      </c>
      <c r="L505" t="s">
        <v>34</v>
      </c>
      <c r="M505">
        <v>143668</v>
      </c>
      <c r="N505" s="1">
        <v>45323</v>
      </c>
      <c r="O505" t="s">
        <v>28</v>
      </c>
      <c r="P505">
        <v>4</v>
      </c>
      <c r="Q505">
        <v>65440.72</v>
      </c>
    </row>
    <row r="506" spans="1:17" x14ac:dyDescent="0.3">
      <c r="A506" t="s">
        <v>1444</v>
      </c>
      <c r="B506" t="s">
        <v>1445</v>
      </c>
      <c r="C506" s="2" t="str">
        <f>PROPER(TRIM(Table1[[#This Row],[Gender]]))</f>
        <v>Male</v>
      </c>
      <c r="D506" t="s">
        <v>16</v>
      </c>
      <c r="E506">
        <v>36</v>
      </c>
      <c r="F506" t="s">
        <v>38</v>
      </c>
      <c r="G506" s="1">
        <v>32518</v>
      </c>
      <c r="H506" t="s">
        <v>1446</v>
      </c>
      <c r="I506" s="2" t="str">
        <f t="shared" si="7"/>
        <v>+91-7420434352</v>
      </c>
      <c r="J506">
        <f>91-7420434443</f>
        <v>-7420434352</v>
      </c>
      <c r="K506" t="s">
        <v>101</v>
      </c>
      <c r="L506" t="s">
        <v>102</v>
      </c>
      <c r="M506">
        <v>829675</v>
      </c>
      <c r="N506" s="1">
        <v>45147</v>
      </c>
      <c r="O506" t="s">
        <v>35</v>
      </c>
      <c r="P506">
        <v>3</v>
      </c>
      <c r="Q506">
        <v>12480.36</v>
      </c>
    </row>
    <row r="507" spans="1:17" x14ac:dyDescent="0.3">
      <c r="A507" t="s">
        <v>1447</v>
      </c>
      <c r="B507" t="s">
        <v>74</v>
      </c>
      <c r="C507" s="2" t="str">
        <f>PROPER(TRIM(Table1[[#This Row],[Gender]]))</f>
        <v>Male</v>
      </c>
      <c r="D507" t="s">
        <v>16</v>
      </c>
      <c r="E507">
        <v>43</v>
      </c>
      <c r="F507" t="s">
        <v>38</v>
      </c>
      <c r="G507" s="1">
        <v>29963</v>
      </c>
      <c r="H507" t="s">
        <v>75</v>
      </c>
      <c r="I507" s="2" t="str">
        <f t="shared" si="7"/>
        <v>+91-7838978222</v>
      </c>
      <c r="J507">
        <f>91-7838978313</f>
        <v>-7838978222</v>
      </c>
      <c r="K507" t="s">
        <v>161</v>
      </c>
      <c r="L507" t="s">
        <v>102</v>
      </c>
      <c r="M507">
        <v>418163</v>
      </c>
      <c r="N507" s="1">
        <v>45433</v>
      </c>
      <c r="O507" t="s">
        <v>28</v>
      </c>
      <c r="P507">
        <v>8</v>
      </c>
      <c r="Q507">
        <v>112866.59</v>
      </c>
    </row>
    <row r="508" spans="1:17" x14ac:dyDescent="0.3">
      <c r="A508" t="s">
        <v>1448</v>
      </c>
      <c r="B508" t="s">
        <v>1449</v>
      </c>
      <c r="C508" s="2" t="str">
        <f>PROPER(TRIM(Table1[[#This Row],[Gender]]))</f>
        <v>Female</v>
      </c>
      <c r="D508" t="s">
        <v>43</v>
      </c>
      <c r="E508">
        <v>32</v>
      </c>
      <c r="F508" t="s">
        <v>31</v>
      </c>
      <c r="G508" s="1">
        <v>33978</v>
      </c>
      <c r="H508" t="s">
        <v>1450</v>
      </c>
      <c r="I508" s="2" t="str">
        <f t="shared" si="7"/>
        <v>+91-7854417930</v>
      </c>
      <c r="J508">
        <f>91-7854418021</f>
        <v>-7854417930</v>
      </c>
      <c r="K508" t="s">
        <v>19</v>
      </c>
      <c r="L508" t="s">
        <v>20</v>
      </c>
      <c r="M508">
        <v>189695</v>
      </c>
      <c r="N508" s="1">
        <v>45435</v>
      </c>
      <c r="O508" t="s">
        <v>35</v>
      </c>
      <c r="P508">
        <v>4</v>
      </c>
      <c r="Q508">
        <v>18468.98</v>
      </c>
    </row>
    <row r="509" spans="1:17" x14ac:dyDescent="0.3">
      <c r="A509" t="s">
        <v>1451</v>
      </c>
      <c r="B509" t="s">
        <v>743</v>
      </c>
      <c r="C509" s="2" t="str">
        <f>PROPER(TRIM(Table1[[#This Row],[Gender]]))</f>
        <v>Female</v>
      </c>
      <c r="D509" t="s">
        <v>43</v>
      </c>
      <c r="E509">
        <v>38</v>
      </c>
      <c r="F509" t="s">
        <v>38</v>
      </c>
      <c r="G509" s="1">
        <v>31788</v>
      </c>
      <c r="H509" t="s">
        <v>1452</v>
      </c>
      <c r="I509" s="2" t="str">
        <f t="shared" si="7"/>
        <v>+91-7735671973</v>
      </c>
      <c r="J509">
        <f>91-7735672064</f>
        <v>-7735671973</v>
      </c>
      <c r="K509" t="s">
        <v>331</v>
      </c>
      <c r="L509" t="s">
        <v>143</v>
      </c>
      <c r="M509">
        <v>584040</v>
      </c>
      <c r="N509" s="1">
        <v>45147</v>
      </c>
      <c r="O509" t="s">
        <v>28</v>
      </c>
      <c r="P509">
        <v>3</v>
      </c>
      <c r="Q509">
        <v>50586.67</v>
      </c>
    </row>
    <row r="510" spans="1:17" x14ac:dyDescent="0.3">
      <c r="A510" t="s">
        <v>1453</v>
      </c>
      <c r="B510" t="s">
        <v>1454</v>
      </c>
      <c r="C510" s="2" t="str">
        <f>PROPER(TRIM(Table1[[#This Row],[Gender]]))</f>
        <v>Female</v>
      </c>
      <c r="D510" t="s">
        <v>43</v>
      </c>
      <c r="E510">
        <v>45</v>
      </c>
      <c r="F510" t="s">
        <v>38</v>
      </c>
      <c r="G510" s="1">
        <v>29233</v>
      </c>
      <c r="H510" t="s">
        <v>1455</v>
      </c>
      <c r="I510" s="2" t="str">
        <f t="shared" si="7"/>
        <v>+91-7008837892</v>
      </c>
      <c r="J510">
        <f>91-7008837983</f>
        <v>-7008837892</v>
      </c>
      <c r="K510" t="s">
        <v>415</v>
      </c>
      <c r="L510" t="s">
        <v>90</v>
      </c>
      <c r="M510">
        <v>900575</v>
      </c>
      <c r="N510" s="1">
        <v>45376</v>
      </c>
      <c r="O510" t="s">
        <v>28</v>
      </c>
      <c r="P510">
        <v>7</v>
      </c>
      <c r="Q510">
        <v>228164.8</v>
      </c>
    </row>
    <row r="511" spans="1:17" x14ac:dyDescent="0.3">
      <c r="A511" t="s">
        <v>1456</v>
      </c>
      <c r="B511" t="s">
        <v>1028</v>
      </c>
      <c r="C511" s="2" t="str">
        <f>PROPER(TRIM(Table1[[#This Row],[Gender]]))</f>
        <v>Male</v>
      </c>
      <c r="D511" t="s">
        <v>16</v>
      </c>
      <c r="E511">
        <v>22</v>
      </c>
      <c r="F511" t="s">
        <v>49</v>
      </c>
      <c r="G511" s="1">
        <v>37628</v>
      </c>
      <c r="H511" t="s">
        <v>1457</v>
      </c>
      <c r="I511" s="2" t="str">
        <f t="shared" si="7"/>
        <v>+91-8569510697</v>
      </c>
      <c r="J511">
        <f>91-8569510788</f>
        <v>-8569510697</v>
      </c>
      <c r="K511" t="s">
        <v>60</v>
      </c>
      <c r="L511" t="s">
        <v>34</v>
      </c>
      <c r="M511">
        <v>715955</v>
      </c>
      <c r="N511" s="1">
        <v>45158</v>
      </c>
      <c r="O511" t="s">
        <v>28</v>
      </c>
      <c r="P511">
        <v>7</v>
      </c>
      <c r="Q511">
        <v>221279.12</v>
      </c>
    </row>
    <row r="512" spans="1:17" x14ac:dyDescent="0.3">
      <c r="A512" t="s">
        <v>1458</v>
      </c>
      <c r="B512" t="s">
        <v>1411</v>
      </c>
      <c r="C512" s="2" t="str">
        <f>PROPER(TRIM(Table1[[#This Row],[Gender]]))</f>
        <v>Male</v>
      </c>
      <c r="D512" t="s">
        <v>16</v>
      </c>
      <c r="E512">
        <v>42</v>
      </c>
      <c r="F512" t="s">
        <v>38</v>
      </c>
      <c r="G512" s="1">
        <v>30328</v>
      </c>
      <c r="H512" t="s">
        <v>1459</v>
      </c>
      <c r="I512" s="2" t="str">
        <f t="shared" si="7"/>
        <v>+91-9102854917</v>
      </c>
      <c r="J512">
        <f>91-9102855008</f>
        <v>-9102854917</v>
      </c>
      <c r="K512" t="s">
        <v>60</v>
      </c>
      <c r="L512" t="s">
        <v>34</v>
      </c>
      <c r="M512">
        <v>700519</v>
      </c>
      <c r="N512" s="1">
        <v>45227</v>
      </c>
      <c r="O512" t="s">
        <v>28</v>
      </c>
      <c r="P512">
        <v>10</v>
      </c>
      <c r="Q512">
        <v>249186.34</v>
      </c>
    </row>
    <row r="513" spans="1:17" x14ac:dyDescent="0.3">
      <c r="A513" t="s">
        <v>1460</v>
      </c>
      <c r="B513" t="s">
        <v>778</v>
      </c>
      <c r="C513" s="2" t="str">
        <f>PROPER(TRIM(Table1[[#This Row],[Gender]]))</f>
        <v>Female</v>
      </c>
      <c r="D513" t="s">
        <v>43</v>
      </c>
      <c r="E513">
        <v>39</v>
      </c>
      <c r="F513" t="s">
        <v>38</v>
      </c>
      <c r="G513" s="1">
        <v>31423</v>
      </c>
      <c r="H513" t="s">
        <v>1461</v>
      </c>
      <c r="I513" s="2" t="str">
        <f t="shared" si="7"/>
        <v>+91-7873479018</v>
      </c>
      <c r="J513">
        <f>91-7873479109</f>
        <v>-7873479018</v>
      </c>
      <c r="K513" t="s">
        <v>109</v>
      </c>
      <c r="L513" t="s">
        <v>46</v>
      </c>
      <c r="M513">
        <v>786017</v>
      </c>
      <c r="N513" s="1">
        <v>45270</v>
      </c>
      <c r="O513" t="s">
        <v>28</v>
      </c>
      <c r="P513">
        <v>5</v>
      </c>
      <c r="Q513">
        <v>142078.32</v>
      </c>
    </row>
    <row r="514" spans="1:17" x14ac:dyDescent="0.3">
      <c r="A514" t="s">
        <v>1462</v>
      </c>
      <c r="B514" t="s">
        <v>1347</v>
      </c>
      <c r="C514" s="2" t="str">
        <f>PROPER(TRIM(Table1[[#This Row],[Gender]]))</f>
        <v>Male</v>
      </c>
      <c r="D514" t="s">
        <v>16</v>
      </c>
      <c r="E514">
        <v>62</v>
      </c>
      <c r="F514" t="s">
        <v>58</v>
      </c>
      <c r="G514" s="1">
        <v>23028</v>
      </c>
      <c r="H514" t="s">
        <v>1463</v>
      </c>
      <c r="I514" s="2" t="str">
        <f t="shared" ref="I514:I577" si="8">"+91"&amp;TEXT(J514,"0000000000")</f>
        <v>+91-9011011112</v>
      </c>
      <c r="J514">
        <f>91-9011011203</f>
        <v>-9011011112</v>
      </c>
      <c r="K514" t="s">
        <v>51</v>
      </c>
      <c r="L514" t="s">
        <v>52</v>
      </c>
      <c r="M514">
        <v>600613</v>
      </c>
      <c r="N514" s="1">
        <v>45381</v>
      </c>
      <c r="O514" t="s">
        <v>28</v>
      </c>
      <c r="P514">
        <v>6</v>
      </c>
      <c r="Q514">
        <v>119757.75999999999</v>
      </c>
    </row>
    <row r="515" spans="1:17" x14ac:dyDescent="0.3">
      <c r="A515" t="s">
        <v>1464</v>
      </c>
      <c r="B515" t="s">
        <v>1297</v>
      </c>
      <c r="C515" s="2" t="str">
        <f>PROPER(TRIM(Table1[[#This Row],[Gender]]))</f>
        <v>Male</v>
      </c>
      <c r="D515" t="s">
        <v>16</v>
      </c>
      <c r="E515">
        <v>63</v>
      </c>
      <c r="F515" t="s">
        <v>58</v>
      </c>
      <c r="G515" s="1">
        <v>22663</v>
      </c>
      <c r="H515" t="s">
        <v>1465</v>
      </c>
      <c r="I515" s="2" t="str">
        <f t="shared" si="8"/>
        <v>+91-7454098903</v>
      </c>
      <c r="J515">
        <f>91-7454098994</f>
        <v>-7454098903</v>
      </c>
      <c r="K515" t="s">
        <v>415</v>
      </c>
      <c r="L515" t="s">
        <v>90</v>
      </c>
      <c r="M515">
        <v>375581</v>
      </c>
      <c r="N515" s="1">
        <v>45423</v>
      </c>
      <c r="O515" t="s">
        <v>35</v>
      </c>
      <c r="P515">
        <v>2</v>
      </c>
      <c r="Q515">
        <v>1928.26</v>
      </c>
    </row>
    <row r="516" spans="1:17" x14ac:dyDescent="0.3">
      <c r="A516" t="s">
        <v>1466</v>
      </c>
      <c r="B516" t="s">
        <v>669</v>
      </c>
      <c r="C516" s="2" t="str">
        <f>PROPER(TRIM(Table1[[#This Row],[Gender]]))</f>
        <v>Female</v>
      </c>
      <c r="D516" t="s">
        <v>43</v>
      </c>
      <c r="E516">
        <v>53</v>
      </c>
      <c r="F516" t="s">
        <v>17</v>
      </c>
      <c r="G516" s="1">
        <v>26313</v>
      </c>
      <c r="H516" t="s">
        <v>1467</v>
      </c>
      <c r="I516" s="2" t="str">
        <f t="shared" si="8"/>
        <v>+91-9477344675</v>
      </c>
      <c r="J516">
        <f>91-9477344766</f>
        <v>-9477344675</v>
      </c>
      <c r="K516" t="s">
        <v>76</v>
      </c>
      <c r="L516" t="s">
        <v>46</v>
      </c>
      <c r="M516">
        <v>385797</v>
      </c>
      <c r="N516" s="1">
        <v>45338</v>
      </c>
      <c r="O516" t="s">
        <v>35</v>
      </c>
      <c r="P516">
        <v>5</v>
      </c>
      <c r="Q516">
        <v>16558.43</v>
      </c>
    </row>
    <row r="517" spans="1:17" x14ac:dyDescent="0.3">
      <c r="A517" t="s">
        <v>1468</v>
      </c>
      <c r="B517" t="s">
        <v>197</v>
      </c>
      <c r="C517" s="2" t="str">
        <f>PROPER(TRIM(Table1[[#This Row],[Gender]]))</f>
        <v>Male</v>
      </c>
      <c r="D517" t="s">
        <v>16</v>
      </c>
      <c r="E517">
        <v>38</v>
      </c>
      <c r="F517" t="s">
        <v>38</v>
      </c>
      <c r="G517" s="1">
        <v>31788</v>
      </c>
      <c r="H517" t="s">
        <v>1469</v>
      </c>
      <c r="I517" s="2" t="str">
        <f t="shared" si="8"/>
        <v>+91-8202238717</v>
      </c>
      <c r="J517">
        <f>91-8202238808</f>
        <v>-8202238717</v>
      </c>
      <c r="K517" t="s">
        <v>580</v>
      </c>
      <c r="L517" t="s">
        <v>85</v>
      </c>
      <c r="M517">
        <v>950653</v>
      </c>
      <c r="N517" s="1">
        <v>45192</v>
      </c>
      <c r="O517" t="s">
        <v>28</v>
      </c>
      <c r="P517">
        <v>5</v>
      </c>
      <c r="Q517">
        <v>101394.22</v>
      </c>
    </row>
    <row r="518" spans="1:17" x14ac:dyDescent="0.3">
      <c r="A518" t="s">
        <v>1470</v>
      </c>
      <c r="B518" t="s">
        <v>1471</v>
      </c>
      <c r="C518" s="2" t="str">
        <f>PROPER(TRIM(Table1[[#This Row],[Gender]]))</f>
        <v>Female</v>
      </c>
      <c r="D518" t="s">
        <v>43</v>
      </c>
      <c r="E518">
        <v>25</v>
      </c>
      <c r="F518" t="s">
        <v>49</v>
      </c>
      <c r="G518" s="1">
        <v>36533</v>
      </c>
      <c r="H518" t="s">
        <v>1472</v>
      </c>
      <c r="I518" s="2" t="str">
        <f t="shared" si="8"/>
        <v>+91-7173649094</v>
      </c>
      <c r="J518">
        <f>91-7173649185</f>
        <v>-7173649094</v>
      </c>
      <c r="K518" t="s">
        <v>89</v>
      </c>
      <c r="L518" t="s">
        <v>90</v>
      </c>
      <c r="M518">
        <v>677954</v>
      </c>
      <c r="N518" s="1">
        <v>45378</v>
      </c>
      <c r="O518" t="s">
        <v>28</v>
      </c>
      <c r="P518">
        <v>5</v>
      </c>
      <c r="Q518">
        <v>90120.52</v>
      </c>
    </row>
    <row r="519" spans="1:17" x14ac:dyDescent="0.3">
      <c r="A519" t="s">
        <v>1473</v>
      </c>
      <c r="B519" t="s">
        <v>1474</v>
      </c>
      <c r="C519" s="2" t="str">
        <f>PROPER(TRIM(Table1[[#This Row],[Gender]]))</f>
        <v>Female</v>
      </c>
      <c r="D519" t="s">
        <v>43</v>
      </c>
      <c r="E519">
        <v>38</v>
      </c>
      <c r="F519" t="s">
        <v>38</v>
      </c>
      <c r="G519" s="1">
        <v>31788</v>
      </c>
      <c r="H519" t="s">
        <v>1475</v>
      </c>
      <c r="I519" s="2" t="str">
        <f t="shared" si="8"/>
        <v>+91-7745828325</v>
      </c>
      <c r="J519">
        <f>91-7745828416</f>
        <v>-7745828325</v>
      </c>
      <c r="K519" t="s">
        <v>80</v>
      </c>
      <c r="L519" t="s">
        <v>20</v>
      </c>
      <c r="M519">
        <v>288110</v>
      </c>
      <c r="N519" s="1">
        <v>45362</v>
      </c>
      <c r="O519" t="s">
        <v>21</v>
      </c>
      <c r="P519">
        <v>3</v>
      </c>
      <c r="Q519">
        <v>25949.14</v>
      </c>
    </row>
    <row r="520" spans="1:17" x14ac:dyDescent="0.3">
      <c r="A520" t="s">
        <v>1476</v>
      </c>
      <c r="B520" t="s">
        <v>1161</v>
      </c>
      <c r="C520" s="2" t="str">
        <f>PROPER(TRIM(Table1[[#This Row],[Gender]]))</f>
        <v>Male</v>
      </c>
      <c r="D520" t="s">
        <v>16</v>
      </c>
      <c r="E520">
        <v>28</v>
      </c>
      <c r="F520" t="s">
        <v>31</v>
      </c>
      <c r="G520" s="1">
        <v>35438</v>
      </c>
      <c r="H520" t="s">
        <v>1477</v>
      </c>
      <c r="I520" s="2" t="str">
        <f t="shared" si="8"/>
        <v>+91-7137464003</v>
      </c>
      <c r="J520">
        <f>91-7137464094</f>
        <v>-7137464003</v>
      </c>
      <c r="K520" t="s">
        <v>154</v>
      </c>
      <c r="L520" t="s">
        <v>46</v>
      </c>
      <c r="M520">
        <v>722939</v>
      </c>
      <c r="N520" s="1">
        <v>45181</v>
      </c>
      <c r="O520" t="s">
        <v>28</v>
      </c>
      <c r="P520">
        <v>3</v>
      </c>
      <c r="Q520">
        <v>125753.15</v>
      </c>
    </row>
    <row r="521" spans="1:17" x14ac:dyDescent="0.3">
      <c r="A521" t="s">
        <v>1478</v>
      </c>
      <c r="B521" t="s">
        <v>231</v>
      </c>
      <c r="C521" s="2" t="str">
        <f>PROPER(TRIM(Table1[[#This Row],[Gender]]))</f>
        <v>Male</v>
      </c>
      <c r="D521" t="s">
        <v>16</v>
      </c>
      <c r="E521">
        <v>35</v>
      </c>
      <c r="F521" t="s">
        <v>31</v>
      </c>
      <c r="G521" s="1">
        <v>32883</v>
      </c>
      <c r="H521" t="s">
        <v>232</v>
      </c>
      <c r="I521" s="2" t="str">
        <f t="shared" si="8"/>
        <v>+91-9111351390</v>
      </c>
      <c r="J521">
        <f>91-9111351481</f>
        <v>-9111351390</v>
      </c>
      <c r="K521" t="s">
        <v>64</v>
      </c>
      <c r="L521" t="s">
        <v>20</v>
      </c>
      <c r="M521">
        <v>933287</v>
      </c>
      <c r="N521" s="1">
        <v>45418</v>
      </c>
      <c r="O521" t="s">
        <v>28</v>
      </c>
      <c r="P521">
        <v>4</v>
      </c>
      <c r="Q521">
        <v>137095.79</v>
      </c>
    </row>
    <row r="522" spans="1:17" x14ac:dyDescent="0.3">
      <c r="A522" t="s">
        <v>1479</v>
      </c>
      <c r="B522" t="s">
        <v>1208</v>
      </c>
      <c r="C522" s="2" t="str">
        <f>PROPER(TRIM(Table1[[#This Row],[Gender]]))</f>
        <v>Male</v>
      </c>
      <c r="D522" t="s">
        <v>16</v>
      </c>
      <c r="E522">
        <v>28</v>
      </c>
      <c r="F522" t="s">
        <v>31</v>
      </c>
      <c r="G522" s="1">
        <v>35438</v>
      </c>
      <c r="H522" t="s">
        <v>1480</v>
      </c>
      <c r="I522" s="2" t="str">
        <f t="shared" si="8"/>
        <v>+91-7479630279</v>
      </c>
      <c r="J522">
        <f>91-7479630370</f>
        <v>-7479630279</v>
      </c>
      <c r="K522" t="s">
        <v>580</v>
      </c>
      <c r="L522" t="s">
        <v>85</v>
      </c>
      <c r="M522">
        <v>466880</v>
      </c>
      <c r="N522" s="1">
        <v>45221</v>
      </c>
      <c r="O522" t="s">
        <v>28</v>
      </c>
      <c r="P522">
        <v>10</v>
      </c>
      <c r="Q522">
        <v>271735.02</v>
      </c>
    </row>
    <row r="523" spans="1:17" x14ac:dyDescent="0.3">
      <c r="A523" t="s">
        <v>1481</v>
      </c>
      <c r="B523" t="s">
        <v>1482</v>
      </c>
      <c r="C523" s="2" t="str">
        <f>PROPER(TRIM(Table1[[#This Row],[Gender]]))</f>
        <v>Male</v>
      </c>
      <c r="D523" t="s">
        <v>16</v>
      </c>
      <c r="E523">
        <v>42</v>
      </c>
      <c r="F523" t="s">
        <v>38</v>
      </c>
      <c r="G523" s="1">
        <v>30328</v>
      </c>
      <c r="H523" t="s">
        <v>1483</v>
      </c>
      <c r="I523" s="2" t="str">
        <f t="shared" si="8"/>
        <v>+91-7766482510</v>
      </c>
      <c r="J523">
        <f>91-7766482601</f>
        <v>-7766482510</v>
      </c>
      <c r="K523" t="s">
        <v>72</v>
      </c>
      <c r="L523" t="s">
        <v>34</v>
      </c>
      <c r="M523">
        <v>204146</v>
      </c>
      <c r="N523" s="1">
        <v>45409</v>
      </c>
      <c r="O523" t="s">
        <v>28</v>
      </c>
      <c r="P523">
        <v>8</v>
      </c>
      <c r="Q523">
        <v>196527.7</v>
      </c>
    </row>
    <row r="524" spans="1:17" x14ac:dyDescent="0.3">
      <c r="A524" t="s">
        <v>1484</v>
      </c>
      <c r="B524" t="s">
        <v>1485</v>
      </c>
      <c r="C524" s="2" t="str">
        <f>PROPER(TRIM(Table1[[#This Row],[Gender]]))</f>
        <v>Female</v>
      </c>
      <c r="D524" t="s">
        <v>43</v>
      </c>
      <c r="E524">
        <v>30</v>
      </c>
      <c r="F524" t="s">
        <v>31</v>
      </c>
      <c r="G524" s="1">
        <v>34708</v>
      </c>
      <c r="H524" t="s">
        <v>1486</v>
      </c>
      <c r="I524" s="2" t="str">
        <f t="shared" si="8"/>
        <v>+91-9064103970</v>
      </c>
      <c r="J524">
        <f>91-9064104061</f>
        <v>-9064103970</v>
      </c>
      <c r="K524" t="s">
        <v>239</v>
      </c>
      <c r="L524" t="s">
        <v>191</v>
      </c>
      <c r="M524">
        <v>443758</v>
      </c>
      <c r="N524" s="1">
        <v>45389</v>
      </c>
      <c r="O524" t="s">
        <v>28</v>
      </c>
      <c r="P524">
        <v>5</v>
      </c>
      <c r="Q524">
        <v>111563.01</v>
      </c>
    </row>
    <row r="525" spans="1:17" x14ac:dyDescent="0.3">
      <c r="A525" t="s">
        <v>1487</v>
      </c>
      <c r="B525" t="s">
        <v>826</v>
      </c>
      <c r="C525" s="2" t="str">
        <f>PROPER(TRIM(Table1[[#This Row],[Gender]]))</f>
        <v>Female</v>
      </c>
      <c r="D525" t="s">
        <v>43</v>
      </c>
      <c r="E525">
        <v>35</v>
      </c>
      <c r="F525" t="s">
        <v>31</v>
      </c>
      <c r="G525" s="1">
        <v>32883</v>
      </c>
      <c r="H525" t="s">
        <v>1488</v>
      </c>
      <c r="I525" s="2" t="str">
        <f t="shared" si="8"/>
        <v>+91-9022986562</v>
      </c>
      <c r="J525">
        <f>91-9022986653</f>
        <v>-9022986562</v>
      </c>
      <c r="K525" t="s">
        <v>125</v>
      </c>
      <c r="L525" t="s">
        <v>52</v>
      </c>
      <c r="M525">
        <v>476171</v>
      </c>
      <c r="N525" s="1">
        <v>45137</v>
      </c>
      <c r="O525" t="s">
        <v>28</v>
      </c>
      <c r="P525">
        <v>2</v>
      </c>
      <c r="Q525">
        <v>84219.79</v>
      </c>
    </row>
    <row r="526" spans="1:17" x14ac:dyDescent="0.3">
      <c r="A526" t="s">
        <v>1489</v>
      </c>
      <c r="B526" t="s">
        <v>540</v>
      </c>
      <c r="C526" s="2" t="str">
        <f>PROPER(TRIM(Table1[[#This Row],[Gender]]))</f>
        <v>Female</v>
      </c>
      <c r="D526" t="s">
        <v>43</v>
      </c>
      <c r="E526">
        <v>34</v>
      </c>
      <c r="F526" t="s">
        <v>31</v>
      </c>
      <c r="G526" s="1">
        <v>33248</v>
      </c>
      <c r="H526" t="s">
        <v>1490</v>
      </c>
      <c r="I526" s="2" t="str">
        <f t="shared" si="8"/>
        <v>+91-9131607844</v>
      </c>
      <c r="J526">
        <f>91-9131607935</f>
        <v>-9131607844</v>
      </c>
      <c r="K526" t="s">
        <v>84</v>
      </c>
      <c r="L526" t="s">
        <v>85</v>
      </c>
      <c r="M526">
        <v>159948</v>
      </c>
      <c r="N526" s="1">
        <v>45103</v>
      </c>
      <c r="O526" t="s">
        <v>21</v>
      </c>
      <c r="P526">
        <v>2</v>
      </c>
      <c r="Q526">
        <v>45855.8</v>
      </c>
    </row>
    <row r="527" spans="1:17" x14ac:dyDescent="0.3">
      <c r="A527" t="s">
        <v>1491</v>
      </c>
      <c r="B527" t="s">
        <v>590</v>
      </c>
      <c r="C527" s="2" t="str">
        <f>PROPER(TRIM(Table1[[#This Row],[Gender]]))</f>
        <v>Female</v>
      </c>
      <c r="D527" t="s">
        <v>43</v>
      </c>
      <c r="E527">
        <v>32</v>
      </c>
      <c r="F527" t="s">
        <v>31</v>
      </c>
      <c r="G527" s="1">
        <v>33978</v>
      </c>
      <c r="H527" t="s">
        <v>1492</v>
      </c>
      <c r="I527" s="2" t="str">
        <f t="shared" si="8"/>
        <v>+91-7494993249</v>
      </c>
      <c r="J527">
        <f>91-7494993340</f>
        <v>-7494993249</v>
      </c>
      <c r="K527" t="s">
        <v>415</v>
      </c>
      <c r="L527" t="s">
        <v>90</v>
      </c>
      <c r="M527">
        <v>302162</v>
      </c>
      <c r="N527" s="1">
        <v>45334</v>
      </c>
      <c r="O527" t="s">
        <v>28</v>
      </c>
      <c r="P527">
        <v>6</v>
      </c>
      <c r="Q527">
        <v>185148.99</v>
      </c>
    </row>
    <row r="528" spans="1:17" x14ac:dyDescent="0.3">
      <c r="A528" t="s">
        <v>1493</v>
      </c>
      <c r="B528" t="s">
        <v>1494</v>
      </c>
      <c r="C528" s="2" t="str">
        <f>PROPER(TRIM(Table1[[#This Row],[Gender]]))</f>
        <v>Female</v>
      </c>
      <c r="D528" t="s">
        <v>43</v>
      </c>
      <c r="E528">
        <v>34</v>
      </c>
      <c r="F528" t="s">
        <v>31</v>
      </c>
      <c r="G528" s="1">
        <v>33248</v>
      </c>
      <c r="H528" t="s">
        <v>1495</v>
      </c>
      <c r="I528" s="2" t="str">
        <f t="shared" si="8"/>
        <v>+91-9671521704</v>
      </c>
      <c r="J528">
        <f>91-9671521795</f>
        <v>-9671521704</v>
      </c>
      <c r="K528" t="s">
        <v>94</v>
      </c>
      <c r="L528" t="s">
        <v>20</v>
      </c>
      <c r="M528">
        <v>718970</v>
      </c>
      <c r="N528" s="1">
        <v>45304</v>
      </c>
      <c r="O528" t="s">
        <v>28</v>
      </c>
      <c r="P528">
        <v>4</v>
      </c>
      <c r="Q528">
        <v>109816.73</v>
      </c>
    </row>
    <row r="529" spans="1:17" x14ac:dyDescent="0.3">
      <c r="A529" t="s">
        <v>1496</v>
      </c>
      <c r="B529" t="s">
        <v>167</v>
      </c>
      <c r="C529" s="2" t="str">
        <f>PROPER(TRIM(Table1[[#This Row],[Gender]]))</f>
        <v>Female</v>
      </c>
      <c r="D529" t="s">
        <v>43</v>
      </c>
      <c r="E529">
        <v>29</v>
      </c>
      <c r="F529" t="s">
        <v>31</v>
      </c>
      <c r="G529" s="1">
        <v>35073</v>
      </c>
      <c r="H529" t="s">
        <v>1497</v>
      </c>
      <c r="I529" s="2" t="str">
        <f t="shared" si="8"/>
        <v>+91-7379444303</v>
      </c>
      <c r="J529">
        <f>91-7379444394</f>
        <v>-7379444303</v>
      </c>
      <c r="K529" t="s">
        <v>239</v>
      </c>
      <c r="L529" t="s">
        <v>191</v>
      </c>
      <c r="M529">
        <v>607015</v>
      </c>
      <c r="N529" s="1">
        <v>45152</v>
      </c>
      <c r="O529" t="s">
        <v>28</v>
      </c>
      <c r="P529">
        <v>3</v>
      </c>
      <c r="Q529">
        <v>106989.8</v>
      </c>
    </row>
    <row r="530" spans="1:17" x14ac:dyDescent="0.3">
      <c r="A530" t="s">
        <v>1498</v>
      </c>
      <c r="B530" t="s">
        <v>1499</v>
      </c>
      <c r="C530" s="2" t="str">
        <f>PROPER(TRIM(Table1[[#This Row],[Gender]]))</f>
        <v>Male</v>
      </c>
      <c r="D530" t="s">
        <v>16</v>
      </c>
      <c r="E530">
        <v>18</v>
      </c>
      <c r="F530" t="s">
        <v>49</v>
      </c>
      <c r="G530" s="1">
        <v>39088</v>
      </c>
      <c r="H530" t="s">
        <v>1500</v>
      </c>
      <c r="I530" s="2" t="str">
        <f t="shared" si="8"/>
        <v>+91-7247605425</v>
      </c>
      <c r="J530">
        <f>91-7247605516</f>
        <v>-7247605425</v>
      </c>
      <c r="K530" t="s">
        <v>121</v>
      </c>
      <c r="L530" t="s">
        <v>85</v>
      </c>
      <c r="M530">
        <v>888870</v>
      </c>
      <c r="N530" s="1">
        <v>45132</v>
      </c>
      <c r="O530" t="s">
        <v>21</v>
      </c>
      <c r="P530">
        <v>4</v>
      </c>
      <c r="Q530">
        <v>23452.46</v>
      </c>
    </row>
    <row r="531" spans="1:17" x14ac:dyDescent="0.3">
      <c r="A531" t="s">
        <v>1501</v>
      </c>
      <c r="B531" t="s">
        <v>1502</v>
      </c>
      <c r="C531" s="2" t="str">
        <f>PROPER(TRIM(Table1[[#This Row],[Gender]]))</f>
        <v>Female</v>
      </c>
      <c r="D531" t="s">
        <v>43</v>
      </c>
      <c r="E531">
        <v>23</v>
      </c>
      <c r="F531" t="s">
        <v>49</v>
      </c>
      <c r="G531" s="1">
        <v>37263</v>
      </c>
      <c r="H531" t="s">
        <v>1503</v>
      </c>
      <c r="I531" s="2" t="str">
        <f t="shared" si="8"/>
        <v>+91-7421710582</v>
      </c>
      <c r="J531">
        <f>91-7421710673</f>
        <v>-7421710582</v>
      </c>
      <c r="K531" t="s">
        <v>19</v>
      </c>
      <c r="L531" t="s">
        <v>20</v>
      </c>
      <c r="M531">
        <v>871360</v>
      </c>
      <c r="N531" s="1">
        <v>45136</v>
      </c>
      <c r="O531" t="s">
        <v>28</v>
      </c>
      <c r="P531">
        <v>5</v>
      </c>
      <c r="Q531">
        <v>187040.79</v>
      </c>
    </row>
    <row r="532" spans="1:17" x14ac:dyDescent="0.3">
      <c r="A532" t="s">
        <v>1504</v>
      </c>
      <c r="B532" t="s">
        <v>734</v>
      </c>
      <c r="C532" s="2" t="str">
        <f>PROPER(TRIM(Table1[[#This Row],[Gender]]))</f>
        <v>Female</v>
      </c>
      <c r="D532" t="s">
        <v>43</v>
      </c>
      <c r="E532">
        <v>56</v>
      </c>
      <c r="F532" t="s">
        <v>58</v>
      </c>
      <c r="G532" s="1">
        <v>25218</v>
      </c>
      <c r="H532" t="s">
        <v>1505</v>
      </c>
      <c r="I532" s="2" t="str">
        <f t="shared" si="8"/>
        <v>+91-8839163872</v>
      </c>
      <c r="J532">
        <f>91-8839163963</f>
        <v>-8839163872</v>
      </c>
      <c r="K532" t="s">
        <v>142</v>
      </c>
      <c r="L532" t="s">
        <v>143</v>
      </c>
      <c r="M532">
        <v>621492</v>
      </c>
      <c r="N532" s="1">
        <v>45196</v>
      </c>
      <c r="O532" t="s">
        <v>28</v>
      </c>
      <c r="P532">
        <v>8</v>
      </c>
      <c r="Q532">
        <v>76379.11</v>
      </c>
    </row>
    <row r="533" spans="1:17" x14ac:dyDescent="0.3">
      <c r="A533" t="s">
        <v>1506</v>
      </c>
      <c r="B533" t="s">
        <v>1507</v>
      </c>
      <c r="C533" s="2" t="str">
        <f>PROPER(TRIM(Table1[[#This Row],[Gender]]))</f>
        <v>Female</v>
      </c>
      <c r="D533" t="s">
        <v>43</v>
      </c>
      <c r="E533">
        <v>24</v>
      </c>
      <c r="F533" t="s">
        <v>49</v>
      </c>
      <c r="G533" s="1">
        <v>36898</v>
      </c>
      <c r="H533" t="s">
        <v>1508</v>
      </c>
      <c r="I533" s="2" t="str">
        <f t="shared" si="8"/>
        <v>+91-8088482993</v>
      </c>
      <c r="J533">
        <f>91-8088483084</f>
        <v>-8088482993</v>
      </c>
      <c r="K533" t="s">
        <v>33</v>
      </c>
      <c r="L533" t="s">
        <v>34</v>
      </c>
      <c r="M533">
        <v>745082</v>
      </c>
      <c r="N533" s="1">
        <v>45379</v>
      </c>
      <c r="O533" t="s">
        <v>28</v>
      </c>
      <c r="P533">
        <v>4</v>
      </c>
      <c r="Q533">
        <v>202811.04</v>
      </c>
    </row>
    <row r="534" spans="1:17" x14ac:dyDescent="0.3">
      <c r="A534" t="s">
        <v>1509</v>
      </c>
      <c r="B534" t="s">
        <v>1510</v>
      </c>
      <c r="C534" s="2" t="str">
        <f>PROPER(TRIM(Table1[[#This Row],[Gender]]))</f>
        <v>Male</v>
      </c>
      <c r="D534" t="s">
        <v>16</v>
      </c>
      <c r="E534">
        <v>25</v>
      </c>
      <c r="F534" t="s">
        <v>49</v>
      </c>
      <c r="G534" s="1">
        <v>36533</v>
      </c>
      <c r="H534" t="s">
        <v>1511</v>
      </c>
      <c r="I534" s="2" t="str">
        <f t="shared" si="8"/>
        <v>+91-9795298746</v>
      </c>
      <c r="J534">
        <f>91-9795298837</f>
        <v>-9795298746</v>
      </c>
      <c r="K534" t="s">
        <v>109</v>
      </c>
      <c r="L534" t="s">
        <v>46</v>
      </c>
      <c r="M534">
        <v>770789</v>
      </c>
      <c r="N534" s="1">
        <v>45358</v>
      </c>
      <c r="O534" t="s">
        <v>28</v>
      </c>
      <c r="P534">
        <v>6</v>
      </c>
      <c r="Q534">
        <v>213069.38</v>
      </c>
    </row>
    <row r="535" spans="1:17" x14ac:dyDescent="0.3">
      <c r="A535" t="s">
        <v>1512</v>
      </c>
      <c r="B535" t="s">
        <v>1513</v>
      </c>
      <c r="C535" s="2" t="str">
        <f>PROPER(TRIM(Table1[[#This Row],[Gender]]))</f>
        <v>Female</v>
      </c>
      <c r="D535" t="s">
        <v>43</v>
      </c>
      <c r="E535">
        <v>58</v>
      </c>
      <c r="F535" t="s">
        <v>58</v>
      </c>
      <c r="G535" s="1">
        <v>24488</v>
      </c>
      <c r="H535" t="s">
        <v>1514</v>
      </c>
      <c r="I535" s="2" t="str">
        <f t="shared" si="8"/>
        <v>+91-8675710334</v>
      </c>
      <c r="J535">
        <f>91-8675710425</f>
        <v>-8675710334</v>
      </c>
      <c r="K535" t="s">
        <v>60</v>
      </c>
      <c r="L535" t="s">
        <v>34</v>
      </c>
      <c r="M535">
        <v>284132</v>
      </c>
      <c r="N535" s="1">
        <v>45241</v>
      </c>
      <c r="O535" t="s">
        <v>35</v>
      </c>
      <c r="P535">
        <v>4</v>
      </c>
      <c r="Q535">
        <v>11137.33</v>
      </c>
    </row>
    <row r="536" spans="1:17" x14ac:dyDescent="0.3">
      <c r="A536" t="s">
        <v>1515</v>
      </c>
      <c r="B536" t="s">
        <v>1516</v>
      </c>
      <c r="C536" s="2" t="str">
        <f>PROPER(TRIM(Table1[[#This Row],[Gender]]))</f>
        <v>Female</v>
      </c>
      <c r="D536" t="s">
        <v>43</v>
      </c>
      <c r="E536">
        <v>26</v>
      </c>
      <c r="F536" t="s">
        <v>31</v>
      </c>
      <c r="G536" s="1">
        <v>36168</v>
      </c>
      <c r="H536" t="s">
        <v>1517</v>
      </c>
      <c r="I536" s="2" t="str">
        <f t="shared" si="8"/>
        <v>+91-7182483578</v>
      </c>
      <c r="J536">
        <f>91-7182483669</f>
        <v>-7182483578</v>
      </c>
      <c r="K536" t="s">
        <v>190</v>
      </c>
      <c r="L536" t="s">
        <v>191</v>
      </c>
      <c r="M536">
        <v>872655</v>
      </c>
      <c r="N536" s="1">
        <v>45131</v>
      </c>
      <c r="O536" t="s">
        <v>28</v>
      </c>
      <c r="P536">
        <v>3</v>
      </c>
      <c r="Q536">
        <v>114227.27</v>
      </c>
    </row>
    <row r="537" spans="1:17" x14ac:dyDescent="0.3">
      <c r="A537" t="s">
        <v>1518</v>
      </c>
      <c r="B537" t="s">
        <v>608</v>
      </c>
      <c r="C537" s="2" t="str">
        <f>PROPER(TRIM(Table1[[#This Row],[Gender]]))</f>
        <v>Female</v>
      </c>
      <c r="D537" t="s">
        <v>43</v>
      </c>
      <c r="E537">
        <v>18</v>
      </c>
      <c r="F537" t="s">
        <v>49</v>
      </c>
      <c r="G537" s="1">
        <v>39088</v>
      </c>
      <c r="H537" t="s">
        <v>1519</v>
      </c>
      <c r="I537" s="2" t="str">
        <f t="shared" si="8"/>
        <v>+91-9271072328</v>
      </c>
      <c r="J537">
        <f>91-9271072419</f>
        <v>-9271072328</v>
      </c>
      <c r="K537" t="s">
        <v>249</v>
      </c>
      <c r="L537" t="s">
        <v>34</v>
      </c>
      <c r="M537">
        <v>496222</v>
      </c>
      <c r="N537" s="1">
        <v>45240</v>
      </c>
      <c r="O537" t="s">
        <v>35</v>
      </c>
      <c r="P537">
        <v>3</v>
      </c>
      <c r="Q537">
        <v>11057.17</v>
      </c>
    </row>
    <row r="538" spans="1:17" x14ac:dyDescent="0.3">
      <c r="A538" t="s">
        <v>1520</v>
      </c>
      <c r="B538" t="s">
        <v>848</v>
      </c>
      <c r="C538" s="2" t="str">
        <f>PROPER(TRIM(Table1[[#This Row],[Gender]]))</f>
        <v>Female</v>
      </c>
      <c r="D538" t="s">
        <v>43</v>
      </c>
      <c r="E538">
        <v>27</v>
      </c>
      <c r="F538" t="s">
        <v>31</v>
      </c>
      <c r="G538" s="1">
        <v>35803</v>
      </c>
      <c r="H538" t="s">
        <v>1521</v>
      </c>
      <c r="I538" s="2" t="str">
        <f t="shared" si="8"/>
        <v>+91-7609199889</v>
      </c>
      <c r="J538">
        <f>91-7609199980</f>
        <v>-7609199889</v>
      </c>
      <c r="K538" t="s">
        <v>147</v>
      </c>
      <c r="L538" t="s">
        <v>143</v>
      </c>
      <c r="M538">
        <v>704050</v>
      </c>
      <c r="N538" s="1">
        <v>45214</v>
      </c>
      <c r="O538" t="s">
        <v>28</v>
      </c>
      <c r="P538">
        <v>5</v>
      </c>
      <c r="Q538">
        <v>167897.67</v>
      </c>
    </row>
    <row r="539" spans="1:17" x14ac:dyDescent="0.3">
      <c r="A539" t="s">
        <v>1522</v>
      </c>
      <c r="B539" t="s">
        <v>1523</v>
      </c>
      <c r="C539" s="2" t="str">
        <f>PROPER(TRIM(Table1[[#This Row],[Gender]]))</f>
        <v>Male</v>
      </c>
      <c r="D539" t="s">
        <v>16</v>
      </c>
      <c r="E539">
        <v>37</v>
      </c>
      <c r="F539" t="s">
        <v>38</v>
      </c>
      <c r="G539" s="1">
        <v>32153</v>
      </c>
      <c r="H539" t="s">
        <v>1524</v>
      </c>
      <c r="I539" s="2" t="str">
        <f t="shared" si="8"/>
        <v>+91-9826261184</v>
      </c>
      <c r="J539">
        <f>91-9826261275</f>
        <v>-9826261184</v>
      </c>
      <c r="K539" t="s">
        <v>45</v>
      </c>
      <c r="L539" t="s">
        <v>46</v>
      </c>
      <c r="M539">
        <v>530858</v>
      </c>
      <c r="N539" s="1">
        <v>45372</v>
      </c>
      <c r="O539" t="s">
        <v>28</v>
      </c>
      <c r="P539">
        <v>7</v>
      </c>
      <c r="Q539">
        <v>118651.21</v>
      </c>
    </row>
    <row r="540" spans="1:17" x14ac:dyDescent="0.3">
      <c r="A540" t="s">
        <v>1525</v>
      </c>
      <c r="B540" t="s">
        <v>422</v>
      </c>
      <c r="C540" s="2" t="str">
        <f>PROPER(TRIM(Table1[[#This Row],[Gender]]))</f>
        <v>Male</v>
      </c>
      <c r="D540" t="s">
        <v>16</v>
      </c>
      <c r="E540">
        <v>45</v>
      </c>
      <c r="F540" t="s">
        <v>38</v>
      </c>
      <c r="G540" s="1">
        <v>29233</v>
      </c>
      <c r="H540" t="s">
        <v>1526</v>
      </c>
      <c r="I540" s="2" t="str">
        <f t="shared" si="8"/>
        <v>+91-9309169626</v>
      </c>
      <c r="J540">
        <f>91-9309169717</f>
        <v>-9309169626</v>
      </c>
      <c r="K540" t="s">
        <v>165</v>
      </c>
      <c r="L540" t="s">
        <v>52</v>
      </c>
      <c r="M540">
        <v>765850</v>
      </c>
      <c r="N540" s="1">
        <v>45307</v>
      </c>
      <c r="O540" t="s">
        <v>28</v>
      </c>
      <c r="P540">
        <v>11</v>
      </c>
      <c r="Q540">
        <v>260464.36</v>
      </c>
    </row>
    <row r="541" spans="1:17" x14ac:dyDescent="0.3">
      <c r="A541" t="s">
        <v>1527</v>
      </c>
      <c r="B541" t="s">
        <v>1528</v>
      </c>
      <c r="C541" s="2" t="str">
        <f>PROPER(TRIM(Table1[[#This Row],[Gender]]))</f>
        <v>Male</v>
      </c>
      <c r="D541" t="s">
        <v>16</v>
      </c>
      <c r="E541">
        <v>27</v>
      </c>
      <c r="F541" t="s">
        <v>31</v>
      </c>
      <c r="G541" s="1">
        <v>35803</v>
      </c>
      <c r="H541" t="s">
        <v>1529</v>
      </c>
      <c r="I541" s="2" t="str">
        <f t="shared" si="8"/>
        <v>+91-7596996883</v>
      </c>
      <c r="J541">
        <f>91-7596996974</f>
        <v>-7596996883</v>
      </c>
      <c r="K541" t="s">
        <v>369</v>
      </c>
      <c r="L541" t="s">
        <v>191</v>
      </c>
      <c r="M541">
        <v>657747</v>
      </c>
      <c r="N541" s="1">
        <v>45102</v>
      </c>
      <c r="O541" t="s">
        <v>28</v>
      </c>
      <c r="P541">
        <v>5</v>
      </c>
      <c r="Q541">
        <v>126601.55</v>
      </c>
    </row>
    <row r="542" spans="1:17" x14ac:dyDescent="0.3">
      <c r="A542" t="s">
        <v>1530</v>
      </c>
      <c r="B542" t="s">
        <v>383</v>
      </c>
      <c r="C542" s="2" t="str">
        <f>PROPER(TRIM(Table1[[#This Row],[Gender]]))</f>
        <v>Male</v>
      </c>
      <c r="D542" t="s">
        <v>16</v>
      </c>
      <c r="E542">
        <v>69</v>
      </c>
      <c r="F542" t="s">
        <v>24</v>
      </c>
      <c r="G542" s="1">
        <v>20473</v>
      </c>
      <c r="H542" t="s">
        <v>1531</v>
      </c>
      <c r="I542" s="2" t="str">
        <f t="shared" si="8"/>
        <v>+91-7479752374</v>
      </c>
      <c r="J542">
        <f>91-7479752465</f>
        <v>-7479752374</v>
      </c>
      <c r="K542" t="s">
        <v>89</v>
      </c>
      <c r="L542" t="s">
        <v>90</v>
      </c>
      <c r="M542">
        <v>190369</v>
      </c>
      <c r="N542" s="1">
        <v>45436</v>
      </c>
      <c r="O542" t="s">
        <v>35</v>
      </c>
      <c r="P542">
        <v>3</v>
      </c>
      <c r="Q542">
        <v>3212.15</v>
      </c>
    </row>
    <row r="543" spans="1:17" x14ac:dyDescent="0.3">
      <c r="A543" t="s">
        <v>1532</v>
      </c>
      <c r="B543" t="s">
        <v>1533</v>
      </c>
      <c r="C543" s="2" t="str">
        <f>PROPER(TRIM(Table1[[#This Row],[Gender]]))</f>
        <v>Male</v>
      </c>
      <c r="D543" t="s">
        <v>16</v>
      </c>
      <c r="E543">
        <v>29</v>
      </c>
      <c r="F543" t="s">
        <v>31</v>
      </c>
      <c r="G543" s="1">
        <v>35073</v>
      </c>
      <c r="H543" t="s">
        <v>1534</v>
      </c>
      <c r="I543" s="2" t="str">
        <f t="shared" si="8"/>
        <v>+91-9898896595</v>
      </c>
      <c r="J543">
        <f>91-9898896686</f>
        <v>-9898896595</v>
      </c>
      <c r="K543" t="s">
        <v>40</v>
      </c>
      <c r="L543" t="s">
        <v>27</v>
      </c>
      <c r="M543">
        <v>170711</v>
      </c>
      <c r="N543" s="1">
        <v>45342</v>
      </c>
      <c r="O543" t="s">
        <v>28</v>
      </c>
      <c r="P543">
        <v>7</v>
      </c>
      <c r="Q543">
        <v>75035.92</v>
      </c>
    </row>
    <row r="544" spans="1:17" x14ac:dyDescent="0.3">
      <c r="A544" t="s">
        <v>1535</v>
      </c>
      <c r="B544" t="s">
        <v>695</v>
      </c>
      <c r="C544" s="2" t="str">
        <f>PROPER(TRIM(Table1[[#This Row],[Gender]]))</f>
        <v>Male</v>
      </c>
      <c r="D544" t="s">
        <v>16</v>
      </c>
      <c r="E544">
        <v>25</v>
      </c>
      <c r="F544" t="s">
        <v>49</v>
      </c>
      <c r="G544" s="1">
        <v>36533</v>
      </c>
      <c r="H544" t="s">
        <v>1536</v>
      </c>
      <c r="I544" s="2" t="str">
        <f t="shared" si="8"/>
        <v>+91-9627017777</v>
      </c>
      <c r="J544">
        <f>91-9627017868</f>
        <v>-9627017777</v>
      </c>
      <c r="K544" t="s">
        <v>101</v>
      </c>
      <c r="L544" t="s">
        <v>102</v>
      </c>
      <c r="M544">
        <v>858083</v>
      </c>
      <c r="N544" s="1">
        <v>45370</v>
      </c>
      <c r="O544" t="s">
        <v>35</v>
      </c>
      <c r="P544">
        <v>2</v>
      </c>
      <c r="Q544">
        <v>5556.28</v>
      </c>
    </row>
    <row r="545" spans="1:17" x14ac:dyDescent="0.3">
      <c r="A545" t="s">
        <v>1537</v>
      </c>
      <c r="B545" t="s">
        <v>145</v>
      </c>
      <c r="C545" s="2" t="str">
        <f>PROPER(TRIM(Table1[[#This Row],[Gender]]))</f>
        <v>Female</v>
      </c>
      <c r="D545" t="s">
        <v>43</v>
      </c>
      <c r="E545">
        <v>30</v>
      </c>
      <c r="F545" t="s">
        <v>31</v>
      </c>
      <c r="G545" s="1">
        <v>34708</v>
      </c>
      <c r="H545" t="s">
        <v>1538</v>
      </c>
      <c r="I545" s="2" t="str">
        <f t="shared" si="8"/>
        <v>+91-7722481544</v>
      </c>
      <c r="J545">
        <f>91-7722481635</f>
        <v>-7722481544</v>
      </c>
      <c r="K545" t="s">
        <v>19</v>
      </c>
      <c r="L545" t="s">
        <v>20</v>
      </c>
      <c r="M545">
        <v>134909</v>
      </c>
      <c r="N545" s="1">
        <v>45377</v>
      </c>
      <c r="O545" t="s">
        <v>35</v>
      </c>
      <c r="P545">
        <v>2</v>
      </c>
      <c r="Q545">
        <v>18898.59</v>
      </c>
    </row>
    <row r="546" spans="1:17" x14ac:dyDescent="0.3">
      <c r="A546" t="s">
        <v>1539</v>
      </c>
      <c r="B546" t="s">
        <v>307</v>
      </c>
      <c r="C546" s="2" t="str">
        <f>PROPER(TRIM(Table1[[#This Row],[Gender]]))</f>
        <v>Female</v>
      </c>
      <c r="D546" t="s">
        <v>43</v>
      </c>
      <c r="E546">
        <v>39</v>
      </c>
      <c r="F546" t="s">
        <v>38</v>
      </c>
      <c r="G546" s="1">
        <v>31423</v>
      </c>
      <c r="H546" t="s">
        <v>1540</v>
      </c>
      <c r="I546" s="2" t="str">
        <f t="shared" si="8"/>
        <v>+91-8911038894</v>
      </c>
      <c r="J546">
        <f>91-8911038985</f>
        <v>-8911038894</v>
      </c>
      <c r="K546" t="s">
        <v>109</v>
      </c>
      <c r="L546" t="s">
        <v>46</v>
      </c>
      <c r="M546">
        <v>275134</v>
      </c>
      <c r="N546" s="1">
        <v>45440</v>
      </c>
      <c r="O546" t="s">
        <v>28</v>
      </c>
      <c r="P546">
        <v>4</v>
      </c>
      <c r="Q546">
        <v>90700.29</v>
      </c>
    </row>
    <row r="547" spans="1:17" x14ac:dyDescent="0.3">
      <c r="A547" t="s">
        <v>1541</v>
      </c>
      <c r="B547" t="s">
        <v>1297</v>
      </c>
      <c r="C547" s="2" t="str">
        <f>PROPER(TRIM(Table1[[#This Row],[Gender]]))</f>
        <v>Male</v>
      </c>
      <c r="D547" t="s">
        <v>16</v>
      </c>
      <c r="E547">
        <v>35</v>
      </c>
      <c r="F547" t="s">
        <v>31</v>
      </c>
      <c r="G547" s="1">
        <v>32883</v>
      </c>
      <c r="H547" t="s">
        <v>1542</v>
      </c>
      <c r="I547" s="2" t="str">
        <f t="shared" si="8"/>
        <v>+91-7599555165</v>
      </c>
      <c r="J547">
        <f>91-7599555256</f>
        <v>-7599555165</v>
      </c>
      <c r="K547" t="s">
        <v>80</v>
      </c>
      <c r="L547" t="s">
        <v>20</v>
      </c>
      <c r="M547">
        <v>941252</v>
      </c>
      <c r="N547" s="1">
        <v>45356</v>
      </c>
      <c r="O547" t="s">
        <v>21</v>
      </c>
      <c r="P547">
        <v>2</v>
      </c>
      <c r="Q547">
        <v>30749.68</v>
      </c>
    </row>
    <row r="548" spans="1:17" x14ac:dyDescent="0.3">
      <c r="A548" t="s">
        <v>1543</v>
      </c>
      <c r="B548" t="s">
        <v>315</v>
      </c>
      <c r="C548" s="2" t="str">
        <f>PROPER(TRIM(Table1[[#This Row],[Gender]]))</f>
        <v>Female</v>
      </c>
      <c r="D548" t="s">
        <v>43</v>
      </c>
      <c r="E548">
        <v>35</v>
      </c>
      <c r="F548" t="s">
        <v>31</v>
      </c>
      <c r="G548" s="1">
        <v>32883</v>
      </c>
      <c r="H548" t="s">
        <v>1544</v>
      </c>
      <c r="I548" s="2" t="str">
        <f t="shared" si="8"/>
        <v>+91-8680941465</v>
      </c>
      <c r="J548">
        <f>91-8680941556</f>
        <v>-8680941465</v>
      </c>
      <c r="K548" t="s">
        <v>369</v>
      </c>
      <c r="L548" t="s">
        <v>191</v>
      </c>
      <c r="M548">
        <v>136965</v>
      </c>
      <c r="N548" s="1">
        <v>45252</v>
      </c>
      <c r="O548" t="s">
        <v>28</v>
      </c>
      <c r="P548">
        <v>5</v>
      </c>
      <c r="Q548">
        <v>82031.94</v>
      </c>
    </row>
    <row r="549" spans="1:17" x14ac:dyDescent="0.3">
      <c r="A549" t="s">
        <v>1545</v>
      </c>
      <c r="B549" t="s">
        <v>466</v>
      </c>
      <c r="C549" s="2" t="str">
        <f>PROPER(TRIM(Table1[[#This Row],[Gender]]))</f>
        <v>Male</v>
      </c>
      <c r="D549" t="s">
        <v>16</v>
      </c>
      <c r="E549">
        <v>28</v>
      </c>
      <c r="F549" t="s">
        <v>31</v>
      </c>
      <c r="G549" s="1">
        <v>35438</v>
      </c>
      <c r="H549" t="s">
        <v>1546</v>
      </c>
      <c r="I549" s="2" t="str">
        <f t="shared" si="8"/>
        <v>+91-8515463982</v>
      </c>
      <c r="J549">
        <f>91-8515464073</f>
        <v>-8515463982</v>
      </c>
      <c r="K549" t="s">
        <v>239</v>
      </c>
      <c r="L549" t="s">
        <v>191</v>
      </c>
      <c r="M549">
        <v>918812</v>
      </c>
      <c r="N549" s="1">
        <v>45087</v>
      </c>
      <c r="O549" t="s">
        <v>28</v>
      </c>
      <c r="P549">
        <v>3</v>
      </c>
      <c r="Q549">
        <v>73133.56</v>
      </c>
    </row>
    <row r="550" spans="1:17" x14ac:dyDescent="0.3">
      <c r="A550" t="s">
        <v>1547</v>
      </c>
      <c r="B550" t="s">
        <v>1548</v>
      </c>
      <c r="C550" s="2" t="str">
        <f>PROPER(TRIM(Table1[[#This Row],[Gender]]))</f>
        <v>Male</v>
      </c>
      <c r="D550" t="s">
        <v>16</v>
      </c>
      <c r="E550">
        <v>60</v>
      </c>
      <c r="F550" t="s">
        <v>58</v>
      </c>
      <c r="G550" s="1">
        <v>23758</v>
      </c>
      <c r="H550" t="s">
        <v>1549</v>
      </c>
      <c r="I550" s="2" t="str">
        <f t="shared" si="8"/>
        <v>+91-9836415152</v>
      </c>
      <c r="J550">
        <f>91-9836415243</f>
        <v>-9836415152</v>
      </c>
      <c r="K550" t="s">
        <v>195</v>
      </c>
      <c r="L550" t="s">
        <v>102</v>
      </c>
      <c r="M550">
        <v>214208</v>
      </c>
      <c r="N550" s="1">
        <v>45131</v>
      </c>
      <c r="O550" t="s">
        <v>28</v>
      </c>
      <c r="P550">
        <v>5</v>
      </c>
      <c r="Q550">
        <v>69675.429999999993</v>
      </c>
    </row>
    <row r="551" spans="1:17" x14ac:dyDescent="0.3">
      <c r="A551" t="s">
        <v>1550</v>
      </c>
      <c r="B551" t="s">
        <v>1551</v>
      </c>
      <c r="C551" s="2" t="str">
        <f>PROPER(TRIM(Table1[[#This Row],[Gender]]))</f>
        <v>Female</v>
      </c>
      <c r="D551" t="s">
        <v>43</v>
      </c>
      <c r="E551">
        <v>44</v>
      </c>
      <c r="F551" t="s">
        <v>38</v>
      </c>
      <c r="G551" s="1">
        <v>29598</v>
      </c>
      <c r="H551" t="s">
        <v>1552</v>
      </c>
      <c r="I551" s="2" t="str">
        <f t="shared" si="8"/>
        <v>+91-8979126503</v>
      </c>
      <c r="J551">
        <f>91-8979126594</f>
        <v>-8979126503</v>
      </c>
      <c r="K551" t="s">
        <v>174</v>
      </c>
      <c r="L551" t="s">
        <v>90</v>
      </c>
      <c r="M551">
        <v>551773</v>
      </c>
      <c r="N551" s="1">
        <v>45135</v>
      </c>
      <c r="O551" t="s">
        <v>21</v>
      </c>
      <c r="P551">
        <v>2</v>
      </c>
      <c r="Q551">
        <v>20021.82</v>
      </c>
    </row>
    <row r="552" spans="1:17" x14ac:dyDescent="0.3">
      <c r="A552" t="s">
        <v>1553</v>
      </c>
      <c r="B552" t="s">
        <v>1554</v>
      </c>
      <c r="C552" s="2" t="str">
        <f>PROPER(TRIM(Table1[[#This Row],[Gender]]))</f>
        <v>Female</v>
      </c>
      <c r="D552" t="s">
        <v>43</v>
      </c>
      <c r="E552">
        <v>39</v>
      </c>
      <c r="F552" t="s">
        <v>38</v>
      </c>
      <c r="G552" s="1">
        <v>31423</v>
      </c>
      <c r="H552" t="s">
        <v>1555</v>
      </c>
      <c r="I552" s="2" t="str">
        <f t="shared" si="8"/>
        <v>+91-8442769839</v>
      </c>
      <c r="J552">
        <f>91-8442769930</f>
        <v>-8442769839</v>
      </c>
      <c r="K552" t="s">
        <v>26</v>
      </c>
      <c r="L552" t="s">
        <v>27</v>
      </c>
      <c r="M552">
        <v>103214</v>
      </c>
      <c r="N552" s="1">
        <v>45389</v>
      </c>
      <c r="O552" t="s">
        <v>28</v>
      </c>
      <c r="P552">
        <v>6</v>
      </c>
      <c r="Q552">
        <v>121953.24</v>
      </c>
    </row>
    <row r="553" spans="1:17" x14ac:dyDescent="0.3">
      <c r="A553" t="s">
        <v>1556</v>
      </c>
      <c r="B553" t="s">
        <v>222</v>
      </c>
      <c r="C553" s="2" t="str">
        <f>PROPER(TRIM(Table1[[#This Row],[Gender]]))</f>
        <v>Female</v>
      </c>
      <c r="D553" t="s">
        <v>43</v>
      </c>
      <c r="E553">
        <v>26</v>
      </c>
      <c r="F553" t="s">
        <v>31</v>
      </c>
      <c r="G553" s="1">
        <v>36168</v>
      </c>
      <c r="H553" t="s">
        <v>1557</v>
      </c>
      <c r="I553" s="2" t="str">
        <f t="shared" si="8"/>
        <v>+91-8560949080</v>
      </c>
      <c r="J553">
        <f>91-8560949171</f>
        <v>-8560949080</v>
      </c>
      <c r="K553" t="s">
        <v>147</v>
      </c>
      <c r="L553" t="s">
        <v>143</v>
      </c>
      <c r="M553">
        <v>657132</v>
      </c>
      <c r="N553" s="1">
        <v>45421</v>
      </c>
      <c r="O553" t="s">
        <v>28</v>
      </c>
      <c r="P553">
        <v>1</v>
      </c>
      <c r="Q553">
        <v>82519.22</v>
      </c>
    </row>
    <row r="554" spans="1:17" x14ac:dyDescent="0.3">
      <c r="A554" t="s">
        <v>1558</v>
      </c>
      <c r="B554" t="s">
        <v>710</v>
      </c>
      <c r="C554" s="2" t="str">
        <f>PROPER(TRIM(Table1[[#This Row],[Gender]]))</f>
        <v>Male</v>
      </c>
      <c r="D554" t="s">
        <v>16</v>
      </c>
      <c r="E554">
        <v>28</v>
      </c>
      <c r="F554" t="s">
        <v>31</v>
      </c>
      <c r="G554" s="1">
        <v>35438</v>
      </c>
      <c r="H554" t="s">
        <v>1559</v>
      </c>
      <c r="I554" s="2" t="str">
        <f t="shared" si="8"/>
        <v>+91-7742802985</v>
      </c>
      <c r="J554">
        <f>91-7742803076</f>
        <v>-7742802985</v>
      </c>
      <c r="K554" t="s">
        <v>174</v>
      </c>
      <c r="L554" t="s">
        <v>90</v>
      </c>
      <c r="M554">
        <v>705030</v>
      </c>
      <c r="N554" s="1">
        <v>45419</v>
      </c>
      <c r="O554" t="s">
        <v>28</v>
      </c>
      <c r="P554">
        <v>6</v>
      </c>
      <c r="Q554">
        <v>181467.9</v>
      </c>
    </row>
    <row r="555" spans="1:17" x14ac:dyDescent="0.3">
      <c r="A555" t="s">
        <v>1560</v>
      </c>
      <c r="B555" t="s">
        <v>1561</v>
      </c>
      <c r="C555" s="2" t="str">
        <f>PROPER(TRIM(Table1[[#This Row],[Gender]]))</f>
        <v>Female</v>
      </c>
      <c r="D555" t="s">
        <v>43</v>
      </c>
      <c r="E555">
        <v>27</v>
      </c>
      <c r="F555" t="s">
        <v>31</v>
      </c>
      <c r="G555" s="1">
        <v>35803</v>
      </c>
      <c r="H555" t="s">
        <v>1562</v>
      </c>
      <c r="I555" s="2" t="str">
        <f t="shared" si="8"/>
        <v>+91-9619525753</v>
      </c>
      <c r="J555">
        <f>91-9619525844</f>
        <v>-9619525753</v>
      </c>
      <c r="K555" t="s">
        <v>174</v>
      </c>
      <c r="L555" t="s">
        <v>90</v>
      </c>
      <c r="M555">
        <v>960981</v>
      </c>
      <c r="N555" s="1">
        <v>45371</v>
      </c>
      <c r="O555" t="s">
        <v>28</v>
      </c>
      <c r="P555">
        <v>4</v>
      </c>
      <c r="Q555">
        <v>116184.4</v>
      </c>
    </row>
    <row r="556" spans="1:17" x14ac:dyDescent="0.3">
      <c r="A556" t="s">
        <v>1563</v>
      </c>
      <c r="B556" t="s">
        <v>1564</v>
      </c>
      <c r="C556" s="2" t="str">
        <f>PROPER(TRIM(Table1[[#This Row],[Gender]]))</f>
        <v>Female</v>
      </c>
      <c r="D556" t="s">
        <v>43</v>
      </c>
      <c r="E556">
        <v>18</v>
      </c>
      <c r="F556" t="s">
        <v>49</v>
      </c>
      <c r="G556" s="1">
        <v>39088</v>
      </c>
      <c r="H556" t="s">
        <v>1565</v>
      </c>
      <c r="I556" s="2" t="str">
        <f t="shared" si="8"/>
        <v>+91-8072987470</v>
      </c>
      <c r="J556">
        <f>91-8072987561</f>
        <v>-8072987470</v>
      </c>
      <c r="K556" t="s">
        <v>26</v>
      </c>
      <c r="L556" t="s">
        <v>27</v>
      </c>
      <c r="M556">
        <v>120298</v>
      </c>
      <c r="N556" s="1">
        <v>45135</v>
      </c>
      <c r="O556" t="s">
        <v>21</v>
      </c>
      <c r="P556">
        <v>7</v>
      </c>
      <c r="Q556">
        <v>44067.68</v>
      </c>
    </row>
    <row r="557" spans="1:17" x14ac:dyDescent="0.3">
      <c r="A557" t="s">
        <v>1566</v>
      </c>
      <c r="B557" t="s">
        <v>472</v>
      </c>
      <c r="C557" s="2" t="str">
        <f>PROPER(TRIM(Table1[[#This Row],[Gender]]))</f>
        <v>Male</v>
      </c>
      <c r="D557" t="s">
        <v>16</v>
      </c>
      <c r="E557">
        <v>44</v>
      </c>
      <c r="F557" t="s">
        <v>38</v>
      </c>
      <c r="G557" s="1">
        <v>29598</v>
      </c>
      <c r="H557" t="s">
        <v>1567</v>
      </c>
      <c r="I557" s="2" t="str">
        <f t="shared" si="8"/>
        <v>+91-9747720471</v>
      </c>
      <c r="J557">
        <f>91-9747720562</f>
        <v>-9747720471</v>
      </c>
      <c r="K557" t="s">
        <v>331</v>
      </c>
      <c r="L557" t="s">
        <v>143</v>
      </c>
      <c r="M557">
        <v>320648</v>
      </c>
      <c r="N557" s="1">
        <v>45428</v>
      </c>
      <c r="O557" t="s">
        <v>28</v>
      </c>
      <c r="P557">
        <v>5</v>
      </c>
      <c r="Q557">
        <v>219270.54</v>
      </c>
    </row>
    <row r="558" spans="1:17" x14ac:dyDescent="0.3">
      <c r="A558" t="s">
        <v>1568</v>
      </c>
      <c r="B558" t="s">
        <v>1569</v>
      </c>
      <c r="C558" s="2" t="str">
        <f>PROPER(TRIM(Table1[[#This Row],[Gender]]))</f>
        <v>Female</v>
      </c>
      <c r="D558" t="s">
        <v>43</v>
      </c>
      <c r="E558">
        <v>25</v>
      </c>
      <c r="F558" t="s">
        <v>49</v>
      </c>
      <c r="G558" s="1">
        <v>36533</v>
      </c>
      <c r="H558" t="s">
        <v>1570</v>
      </c>
      <c r="I558" s="2" t="str">
        <f t="shared" si="8"/>
        <v>+91-7767685140</v>
      </c>
      <c r="J558">
        <f>91-7767685231</f>
        <v>-7767685140</v>
      </c>
      <c r="K558" t="s">
        <v>154</v>
      </c>
      <c r="L558" t="s">
        <v>46</v>
      </c>
      <c r="M558">
        <v>214165</v>
      </c>
      <c r="N558" s="1">
        <v>45171</v>
      </c>
      <c r="O558" t="s">
        <v>28</v>
      </c>
      <c r="P558">
        <v>6</v>
      </c>
      <c r="Q558">
        <v>99687.13</v>
      </c>
    </row>
    <row r="559" spans="1:17" x14ac:dyDescent="0.3">
      <c r="A559" t="s">
        <v>1571</v>
      </c>
      <c r="B559" t="s">
        <v>773</v>
      </c>
      <c r="C559" s="2" t="str">
        <f>PROPER(TRIM(Table1[[#This Row],[Gender]]))</f>
        <v>Female</v>
      </c>
      <c r="D559" t="s">
        <v>43</v>
      </c>
      <c r="E559">
        <v>64</v>
      </c>
      <c r="F559" t="s">
        <v>58</v>
      </c>
      <c r="G559" s="1">
        <v>22298</v>
      </c>
      <c r="H559" t="s">
        <v>1572</v>
      </c>
      <c r="I559" s="2" t="str">
        <f t="shared" si="8"/>
        <v>+91-9101580421</v>
      </c>
      <c r="J559">
        <f>91-9101580512</f>
        <v>-9101580421</v>
      </c>
      <c r="K559" t="s">
        <v>154</v>
      </c>
      <c r="L559" t="s">
        <v>46</v>
      </c>
      <c r="M559">
        <v>344314</v>
      </c>
      <c r="N559" s="1">
        <v>45161</v>
      </c>
      <c r="O559" t="s">
        <v>21</v>
      </c>
      <c r="P559">
        <v>7</v>
      </c>
      <c r="Q559">
        <v>33827.69</v>
      </c>
    </row>
    <row r="560" spans="1:17" x14ac:dyDescent="0.3">
      <c r="A560" t="s">
        <v>1573</v>
      </c>
      <c r="B560" t="s">
        <v>1061</v>
      </c>
      <c r="C560" s="2" t="str">
        <f>PROPER(TRIM(Table1[[#This Row],[Gender]]))</f>
        <v>Male</v>
      </c>
      <c r="D560" t="s">
        <v>16</v>
      </c>
      <c r="E560">
        <v>53</v>
      </c>
      <c r="F560" t="s">
        <v>17</v>
      </c>
      <c r="G560" s="1">
        <v>26313</v>
      </c>
      <c r="H560" t="s">
        <v>1574</v>
      </c>
      <c r="I560" s="2" t="str">
        <f t="shared" si="8"/>
        <v>+91-8851110867</v>
      </c>
      <c r="J560">
        <f>91-8851110958</f>
        <v>-8851110867</v>
      </c>
      <c r="K560" t="s">
        <v>45</v>
      </c>
      <c r="L560" t="s">
        <v>46</v>
      </c>
      <c r="M560">
        <v>516478</v>
      </c>
      <c r="N560" s="1">
        <v>45276</v>
      </c>
      <c r="O560" t="s">
        <v>35</v>
      </c>
      <c r="P560">
        <v>2</v>
      </c>
      <c r="Q560">
        <v>3339.14</v>
      </c>
    </row>
    <row r="561" spans="1:17" x14ac:dyDescent="0.3">
      <c r="A561" t="s">
        <v>1575</v>
      </c>
      <c r="B561" t="s">
        <v>644</v>
      </c>
      <c r="C561" s="2" t="str">
        <f>PROPER(TRIM(Table1[[#This Row],[Gender]]))</f>
        <v>Female</v>
      </c>
      <c r="D561" t="s">
        <v>43</v>
      </c>
      <c r="E561">
        <v>36</v>
      </c>
      <c r="F561" t="s">
        <v>38</v>
      </c>
      <c r="G561" s="1">
        <v>32518</v>
      </c>
      <c r="H561" t="s">
        <v>1576</v>
      </c>
      <c r="I561" s="2" t="str">
        <f t="shared" si="8"/>
        <v>+91-9122220508</v>
      </c>
      <c r="J561">
        <f>91-9122220599</f>
        <v>-9122220508</v>
      </c>
      <c r="K561" t="s">
        <v>174</v>
      </c>
      <c r="L561" t="s">
        <v>90</v>
      </c>
      <c r="M561">
        <v>613638</v>
      </c>
      <c r="N561" s="1">
        <v>45289</v>
      </c>
      <c r="O561" t="s">
        <v>28</v>
      </c>
      <c r="P561">
        <v>5</v>
      </c>
      <c r="Q561">
        <v>164955.5</v>
      </c>
    </row>
    <row r="562" spans="1:17" x14ac:dyDescent="0.3">
      <c r="A562" t="s">
        <v>1577</v>
      </c>
      <c r="B562" t="s">
        <v>1216</v>
      </c>
      <c r="C562" s="2" t="str">
        <f>PROPER(TRIM(Table1[[#This Row],[Gender]]))</f>
        <v>Female</v>
      </c>
      <c r="D562" t="s">
        <v>43</v>
      </c>
      <c r="E562">
        <v>40</v>
      </c>
      <c r="F562" t="s">
        <v>38</v>
      </c>
      <c r="G562" s="1">
        <v>31058</v>
      </c>
      <c r="H562" t="s">
        <v>1578</v>
      </c>
      <c r="I562" s="2" t="str">
        <f t="shared" si="8"/>
        <v>+91-8021873712</v>
      </c>
      <c r="J562">
        <f>91-8021873803</f>
        <v>-8021873712</v>
      </c>
      <c r="K562" t="s">
        <v>142</v>
      </c>
      <c r="L562" t="s">
        <v>143</v>
      </c>
      <c r="M562">
        <v>954456</v>
      </c>
      <c r="N562" s="1">
        <v>45274</v>
      </c>
      <c r="O562" t="s">
        <v>28</v>
      </c>
      <c r="P562">
        <v>9</v>
      </c>
      <c r="Q562">
        <v>290489.58</v>
      </c>
    </row>
    <row r="563" spans="1:17" x14ac:dyDescent="0.3">
      <c r="A563" t="s">
        <v>1579</v>
      </c>
      <c r="B563" t="s">
        <v>1580</v>
      </c>
      <c r="C563" s="2" t="str">
        <f>PROPER(TRIM(Table1[[#This Row],[Gender]]))</f>
        <v>Male</v>
      </c>
      <c r="D563" t="s">
        <v>16</v>
      </c>
      <c r="E563">
        <v>40</v>
      </c>
      <c r="F563" t="s">
        <v>38</v>
      </c>
      <c r="G563" s="1">
        <v>31058</v>
      </c>
      <c r="H563" t="s">
        <v>1581</v>
      </c>
      <c r="I563" s="2" t="str">
        <f t="shared" si="8"/>
        <v>+91-7885698145</v>
      </c>
      <c r="J563">
        <f>91-7885698236</f>
        <v>-7885698145</v>
      </c>
      <c r="K563" t="s">
        <v>40</v>
      </c>
      <c r="L563" t="s">
        <v>27</v>
      </c>
      <c r="M563">
        <v>135328</v>
      </c>
      <c r="N563" s="1">
        <v>45300</v>
      </c>
      <c r="O563" t="s">
        <v>28</v>
      </c>
      <c r="P563">
        <v>6</v>
      </c>
      <c r="Q563">
        <v>62991.05</v>
      </c>
    </row>
    <row r="564" spans="1:17" x14ac:dyDescent="0.3">
      <c r="A564" t="s">
        <v>1582</v>
      </c>
      <c r="B564" t="s">
        <v>1195</v>
      </c>
      <c r="C564" s="2" t="str">
        <f>PROPER(TRIM(Table1[[#This Row],[Gender]]))</f>
        <v>Female</v>
      </c>
      <c r="D564" t="s">
        <v>43</v>
      </c>
      <c r="E564">
        <v>44</v>
      </c>
      <c r="F564" t="s">
        <v>38</v>
      </c>
      <c r="G564" s="1">
        <v>29598</v>
      </c>
      <c r="H564" t="s">
        <v>1583</v>
      </c>
      <c r="I564" s="2" t="str">
        <f t="shared" si="8"/>
        <v>+91-9706523753</v>
      </c>
      <c r="J564">
        <f>91-9706523844</f>
        <v>-9706523753</v>
      </c>
      <c r="K564" t="s">
        <v>331</v>
      </c>
      <c r="L564" t="s">
        <v>143</v>
      </c>
      <c r="M564">
        <v>241032</v>
      </c>
      <c r="N564" s="1">
        <v>45127</v>
      </c>
      <c r="O564" t="s">
        <v>21</v>
      </c>
      <c r="P564">
        <v>4</v>
      </c>
      <c r="Q564">
        <v>46698.86</v>
      </c>
    </row>
    <row r="565" spans="1:17" x14ac:dyDescent="0.3">
      <c r="A565" t="s">
        <v>1584</v>
      </c>
      <c r="B565" t="s">
        <v>1585</v>
      </c>
      <c r="C565" s="2" t="str">
        <f>PROPER(TRIM(Table1[[#This Row],[Gender]]))</f>
        <v>Male</v>
      </c>
      <c r="D565" t="s">
        <v>16</v>
      </c>
      <c r="E565">
        <v>51</v>
      </c>
      <c r="F565" t="s">
        <v>17</v>
      </c>
      <c r="G565" s="1">
        <v>27043</v>
      </c>
      <c r="H565" t="s">
        <v>1586</v>
      </c>
      <c r="I565" s="2" t="str">
        <f t="shared" si="8"/>
        <v>+91-7171772294</v>
      </c>
      <c r="J565">
        <f>91-7171772385</f>
        <v>-7171772294</v>
      </c>
      <c r="K565" t="s">
        <v>19</v>
      </c>
      <c r="L565" t="s">
        <v>20</v>
      </c>
      <c r="M565">
        <v>551351</v>
      </c>
      <c r="N565" s="1">
        <v>45288</v>
      </c>
      <c r="O565" t="s">
        <v>35</v>
      </c>
      <c r="P565">
        <v>3</v>
      </c>
      <c r="Q565">
        <v>8538.73</v>
      </c>
    </row>
    <row r="566" spans="1:17" x14ac:dyDescent="0.3">
      <c r="A566" t="s">
        <v>1587</v>
      </c>
      <c r="B566" t="s">
        <v>1588</v>
      </c>
      <c r="C566" s="2" t="str">
        <f>PROPER(TRIM(Table1[[#This Row],[Gender]]))</f>
        <v>Female</v>
      </c>
      <c r="D566" t="s">
        <v>43</v>
      </c>
      <c r="E566">
        <v>31</v>
      </c>
      <c r="F566" t="s">
        <v>31</v>
      </c>
      <c r="G566" s="1">
        <v>34343</v>
      </c>
      <c r="H566" t="s">
        <v>1589</v>
      </c>
      <c r="I566" s="2" t="str">
        <f t="shared" si="8"/>
        <v>+91-7703890665</v>
      </c>
      <c r="J566">
        <f>91-7703890756</f>
        <v>-7703890665</v>
      </c>
      <c r="K566" t="s">
        <v>76</v>
      </c>
      <c r="L566" t="s">
        <v>46</v>
      </c>
      <c r="M566">
        <v>803097</v>
      </c>
      <c r="N566" s="1">
        <v>45132</v>
      </c>
      <c r="O566" t="s">
        <v>28</v>
      </c>
      <c r="P566">
        <v>7</v>
      </c>
      <c r="Q566">
        <v>100537.13</v>
      </c>
    </row>
    <row r="567" spans="1:17" x14ac:dyDescent="0.3">
      <c r="A567" t="s">
        <v>1590</v>
      </c>
      <c r="B567" t="s">
        <v>1591</v>
      </c>
      <c r="C567" s="2" t="str">
        <f>PROPER(TRIM(Table1[[#This Row],[Gender]]))</f>
        <v>Female</v>
      </c>
      <c r="D567" t="s">
        <v>43</v>
      </c>
      <c r="E567">
        <v>24</v>
      </c>
      <c r="F567" t="s">
        <v>49</v>
      </c>
      <c r="G567" s="1">
        <v>36898</v>
      </c>
      <c r="H567" t="s">
        <v>1592</v>
      </c>
      <c r="I567" s="2" t="str">
        <f t="shared" si="8"/>
        <v>+91-7754842417</v>
      </c>
      <c r="J567">
        <f>91-7754842508</f>
        <v>-7754842417</v>
      </c>
      <c r="K567" t="s">
        <v>239</v>
      </c>
      <c r="L567" t="s">
        <v>191</v>
      </c>
      <c r="M567">
        <v>781504</v>
      </c>
      <c r="N567" s="1">
        <v>45132</v>
      </c>
      <c r="O567" t="s">
        <v>28</v>
      </c>
      <c r="P567">
        <v>5</v>
      </c>
      <c r="Q567">
        <v>227484.62</v>
      </c>
    </row>
    <row r="568" spans="1:17" x14ac:dyDescent="0.3">
      <c r="A568" t="s">
        <v>1593</v>
      </c>
      <c r="B568" t="s">
        <v>222</v>
      </c>
      <c r="C568" s="2" t="str">
        <f>PROPER(TRIM(Table1[[#This Row],[Gender]]))</f>
        <v>Female</v>
      </c>
      <c r="D568" t="s">
        <v>43</v>
      </c>
      <c r="E568">
        <v>24</v>
      </c>
      <c r="F568" t="s">
        <v>49</v>
      </c>
      <c r="G568" s="1">
        <v>36898</v>
      </c>
      <c r="H568" t="s">
        <v>1594</v>
      </c>
      <c r="I568" s="2" t="str">
        <f t="shared" si="8"/>
        <v>+91-9438657737</v>
      </c>
      <c r="J568">
        <f>91-9438657828</f>
        <v>-9438657737</v>
      </c>
      <c r="K568" t="s">
        <v>45</v>
      </c>
      <c r="L568" t="s">
        <v>46</v>
      </c>
      <c r="M568">
        <v>986827</v>
      </c>
      <c r="N568" s="1">
        <v>45371</v>
      </c>
      <c r="O568" t="s">
        <v>28</v>
      </c>
      <c r="P568">
        <v>9</v>
      </c>
      <c r="Q568">
        <v>186895.76</v>
      </c>
    </row>
    <row r="569" spans="1:17" x14ac:dyDescent="0.3">
      <c r="A569" t="s">
        <v>1595</v>
      </c>
      <c r="B569" t="s">
        <v>1147</v>
      </c>
      <c r="C569" s="2" t="str">
        <f>PROPER(TRIM(Table1[[#This Row],[Gender]]))</f>
        <v>Male</v>
      </c>
      <c r="D569" t="s">
        <v>16</v>
      </c>
      <c r="E569">
        <v>29</v>
      </c>
      <c r="F569" t="s">
        <v>31</v>
      </c>
      <c r="G569" s="1">
        <v>35073</v>
      </c>
      <c r="H569" t="s">
        <v>1148</v>
      </c>
      <c r="I569" s="2" t="str">
        <f t="shared" si="8"/>
        <v>+91-7815044958</v>
      </c>
      <c r="J569">
        <f>91-7815045049</f>
        <v>-7815044958</v>
      </c>
      <c r="K569" t="s">
        <v>68</v>
      </c>
      <c r="L569" t="s">
        <v>52</v>
      </c>
      <c r="M569">
        <v>477096</v>
      </c>
      <c r="N569" s="1">
        <v>45186</v>
      </c>
      <c r="O569" t="s">
        <v>28</v>
      </c>
      <c r="P569">
        <v>7</v>
      </c>
      <c r="Q569">
        <v>175897.47</v>
      </c>
    </row>
    <row r="570" spans="1:17" x14ac:dyDescent="0.3">
      <c r="A570" t="s">
        <v>1596</v>
      </c>
      <c r="B570" t="s">
        <v>1597</v>
      </c>
      <c r="C570" s="2" t="str">
        <f>PROPER(TRIM(Table1[[#This Row],[Gender]]))</f>
        <v>Male</v>
      </c>
      <c r="D570" t="s">
        <v>16</v>
      </c>
      <c r="E570">
        <v>39</v>
      </c>
      <c r="F570" t="s">
        <v>38</v>
      </c>
      <c r="G570" s="1">
        <v>31423</v>
      </c>
      <c r="H570" t="s">
        <v>1598</v>
      </c>
      <c r="I570" s="2" t="str">
        <f t="shared" si="8"/>
        <v>+91-7001360790</v>
      </c>
      <c r="J570">
        <f>91-7001360881</f>
        <v>-7001360790</v>
      </c>
      <c r="K570" t="s">
        <v>33</v>
      </c>
      <c r="L570" t="s">
        <v>34</v>
      </c>
      <c r="M570">
        <v>177957</v>
      </c>
      <c r="N570" s="1">
        <v>45237</v>
      </c>
      <c r="O570" t="s">
        <v>28</v>
      </c>
      <c r="P570">
        <v>5</v>
      </c>
      <c r="Q570">
        <v>153686.74</v>
      </c>
    </row>
    <row r="571" spans="1:17" x14ac:dyDescent="0.3">
      <c r="A571" t="s">
        <v>1599</v>
      </c>
      <c r="B571" t="s">
        <v>1600</v>
      </c>
      <c r="C571" s="2" t="str">
        <f>PROPER(TRIM(Table1[[#This Row],[Gender]]))</f>
        <v>Male</v>
      </c>
      <c r="D571" t="s">
        <v>16</v>
      </c>
      <c r="E571">
        <v>49</v>
      </c>
      <c r="F571" t="s">
        <v>17</v>
      </c>
      <c r="G571" s="1">
        <v>27773</v>
      </c>
      <c r="H571" t="s">
        <v>1601</v>
      </c>
      <c r="I571" s="2" t="str">
        <f t="shared" si="8"/>
        <v>+91-9367074042</v>
      </c>
      <c r="J571">
        <f>91-9367074133</f>
        <v>-9367074042</v>
      </c>
      <c r="K571" t="s">
        <v>40</v>
      </c>
      <c r="L571" t="s">
        <v>27</v>
      </c>
      <c r="M571">
        <v>574526</v>
      </c>
      <c r="N571" s="1">
        <v>45169</v>
      </c>
      <c r="O571" t="s">
        <v>35</v>
      </c>
      <c r="P571">
        <v>5</v>
      </c>
      <c r="Q571">
        <v>8523.26</v>
      </c>
    </row>
    <row r="572" spans="1:17" x14ac:dyDescent="0.3">
      <c r="A572" t="s">
        <v>1602</v>
      </c>
      <c r="B572" t="s">
        <v>1603</v>
      </c>
      <c r="C572" s="2" t="str">
        <f>PROPER(TRIM(Table1[[#This Row],[Gender]]))</f>
        <v>Female</v>
      </c>
      <c r="D572" t="s">
        <v>43</v>
      </c>
      <c r="E572">
        <v>54</v>
      </c>
      <c r="F572" t="s">
        <v>17</v>
      </c>
      <c r="G572" s="1">
        <v>25948</v>
      </c>
      <c r="H572" t="s">
        <v>1604</v>
      </c>
      <c r="I572" s="2" t="str">
        <f t="shared" si="8"/>
        <v>+91-8243577344</v>
      </c>
      <c r="J572">
        <f>91-8243577435</f>
        <v>-8243577344</v>
      </c>
      <c r="K572" t="s">
        <v>239</v>
      </c>
      <c r="L572" t="s">
        <v>191</v>
      </c>
      <c r="M572">
        <v>914824</v>
      </c>
      <c r="N572" s="1">
        <v>45304</v>
      </c>
      <c r="O572" t="s">
        <v>21</v>
      </c>
      <c r="P572">
        <v>6</v>
      </c>
      <c r="Q572">
        <v>30200.42</v>
      </c>
    </row>
    <row r="573" spans="1:17" x14ac:dyDescent="0.3">
      <c r="A573" t="s">
        <v>1605</v>
      </c>
      <c r="B573" t="s">
        <v>428</v>
      </c>
      <c r="C573" s="2" t="str">
        <f>PROPER(TRIM(Table1[[#This Row],[Gender]]))</f>
        <v>Male</v>
      </c>
      <c r="D573" t="s">
        <v>16</v>
      </c>
      <c r="E573">
        <v>43</v>
      </c>
      <c r="F573" t="s">
        <v>38</v>
      </c>
      <c r="G573" s="1">
        <v>29963</v>
      </c>
      <c r="H573" t="s">
        <v>1606</v>
      </c>
      <c r="I573" s="2" t="str">
        <f t="shared" si="8"/>
        <v>+91-9322779147</v>
      </c>
      <c r="J573">
        <f>91-9322779238</f>
        <v>-9322779147</v>
      </c>
      <c r="K573" t="s">
        <v>72</v>
      </c>
      <c r="L573" t="s">
        <v>34</v>
      </c>
      <c r="M573">
        <v>173550</v>
      </c>
      <c r="N573" s="1">
        <v>45238</v>
      </c>
      <c r="O573" t="s">
        <v>28</v>
      </c>
      <c r="P573">
        <v>9</v>
      </c>
      <c r="Q573">
        <v>396847.15</v>
      </c>
    </row>
    <row r="574" spans="1:17" x14ac:dyDescent="0.3">
      <c r="A574" t="s">
        <v>1607</v>
      </c>
      <c r="B574" t="s">
        <v>1608</v>
      </c>
      <c r="C574" s="2" t="str">
        <f>PROPER(TRIM(Table1[[#This Row],[Gender]]))</f>
        <v>Male</v>
      </c>
      <c r="D574" t="s">
        <v>16</v>
      </c>
      <c r="E574">
        <v>50</v>
      </c>
      <c r="F574" t="s">
        <v>17</v>
      </c>
      <c r="G574" s="1">
        <v>27408</v>
      </c>
      <c r="H574" t="s">
        <v>1609</v>
      </c>
      <c r="I574" s="2" t="str">
        <f t="shared" si="8"/>
        <v>+91-8459069107</v>
      </c>
      <c r="J574">
        <f>91-8459069198</f>
        <v>-8459069107</v>
      </c>
      <c r="K574" t="s">
        <v>331</v>
      </c>
      <c r="L574" t="s">
        <v>143</v>
      </c>
      <c r="M574">
        <v>523358</v>
      </c>
      <c r="N574" s="1">
        <v>45284</v>
      </c>
      <c r="O574" t="s">
        <v>28</v>
      </c>
      <c r="P574">
        <v>9</v>
      </c>
      <c r="Q574">
        <v>76015.679999999993</v>
      </c>
    </row>
    <row r="575" spans="1:17" x14ac:dyDescent="0.3">
      <c r="A575" t="s">
        <v>1610</v>
      </c>
      <c r="B575" t="s">
        <v>1611</v>
      </c>
      <c r="C575" s="2" t="str">
        <f>PROPER(TRIM(Table1[[#This Row],[Gender]]))</f>
        <v>Female</v>
      </c>
      <c r="D575" t="s">
        <v>43</v>
      </c>
      <c r="E575">
        <v>52</v>
      </c>
      <c r="F575" t="s">
        <v>17</v>
      </c>
      <c r="G575" s="1">
        <v>26678</v>
      </c>
      <c r="H575" t="s">
        <v>1612</v>
      </c>
      <c r="I575" s="2" t="str">
        <f t="shared" si="8"/>
        <v>+91-7386664900</v>
      </c>
      <c r="J575">
        <f>91-7386664991</f>
        <v>-7386664900</v>
      </c>
      <c r="K575" t="s">
        <v>154</v>
      </c>
      <c r="L575" t="s">
        <v>46</v>
      </c>
      <c r="M575">
        <v>890792</v>
      </c>
      <c r="N575" s="1">
        <v>45413</v>
      </c>
      <c r="O575" t="s">
        <v>28</v>
      </c>
      <c r="P575">
        <v>5</v>
      </c>
      <c r="Q575">
        <v>63003.7</v>
      </c>
    </row>
    <row r="576" spans="1:17" x14ac:dyDescent="0.3">
      <c r="A576" t="s">
        <v>1613</v>
      </c>
      <c r="B576" t="s">
        <v>1614</v>
      </c>
      <c r="C576" s="2" t="str">
        <f>PROPER(TRIM(Table1[[#This Row],[Gender]]))</f>
        <v>Male</v>
      </c>
      <c r="D576" t="s">
        <v>16</v>
      </c>
      <c r="E576">
        <v>35</v>
      </c>
      <c r="F576" t="s">
        <v>31</v>
      </c>
      <c r="G576" s="1">
        <v>32883</v>
      </c>
      <c r="H576" t="s">
        <v>1615</v>
      </c>
      <c r="I576" s="2" t="str">
        <f t="shared" si="8"/>
        <v>+91-9933920253</v>
      </c>
      <c r="J576">
        <f>91-9933920344</f>
        <v>-9933920253</v>
      </c>
      <c r="K576" t="s">
        <v>117</v>
      </c>
      <c r="L576" t="s">
        <v>52</v>
      </c>
      <c r="M576">
        <v>160279</v>
      </c>
      <c r="N576" s="1">
        <v>45367</v>
      </c>
      <c r="O576" t="s">
        <v>28</v>
      </c>
      <c r="P576">
        <v>4</v>
      </c>
      <c r="Q576">
        <v>80096.7</v>
      </c>
    </row>
    <row r="577" spans="1:17" x14ac:dyDescent="0.3">
      <c r="A577" t="s">
        <v>1616</v>
      </c>
      <c r="B577" t="s">
        <v>1617</v>
      </c>
      <c r="C577" s="2" t="str">
        <f>PROPER(TRIM(Table1[[#This Row],[Gender]]))</f>
        <v>Female</v>
      </c>
      <c r="D577" t="s">
        <v>43</v>
      </c>
      <c r="E577">
        <v>35</v>
      </c>
      <c r="F577" t="s">
        <v>31</v>
      </c>
      <c r="G577" s="1">
        <v>32883</v>
      </c>
      <c r="H577" t="s">
        <v>1618</v>
      </c>
      <c r="I577" s="2" t="str">
        <f t="shared" si="8"/>
        <v>+91-7383120440</v>
      </c>
      <c r="J577">
        <f>91-7383120531</f>
        <v>-7383120440</v>
      </c>
      <c r="K577" t="s">
        <v>161</v>
      </c>
      <c r="L577" t="s">
        <v>102</v>
      </c>
      <c r="M577">
        <v>266651</v>
      </c>
      <c r="N577" s="1">
        <v>45430</v>
      </c>
      <c r="O577" t="s">
        <v>28</v>
      </c>
      <c r="P577">
        <v>5</v>
      </c>
      <c r="Q577">
        <v>151937.70000000001</v>
      </c>
    </row>
    <row r="578" spans="1:17" x14ac:dyDescent="0.3">
      <c r="A578" t="s">
        <v>1619</v>
      </c>
      <c r="B578" t="s">
        <v>1620</v>
      </c>
      <c r="C578" s="2" t="str">
        <f>PROPER(TRIM(Table1[[#This Row],[Gender]]))</f>
        <v>Male</v>
      </c>
      <c r="D578" t="s">
        <v>16</v>
      </c>
      <c r="E578">
        <v>47</v>
      </c>
      <c r="F578" t="s">
        <v>17</v>
      </c>
      <c r="G578" s="1">
        <v>28503</v>
      </c>
      <c r="H578" t="s">
        <v>1621</v>
      </c>
      <c r="I578" s="2" t="str">
        <f t="shared" ref="I578:I641" si="9">"+91"&amp;TEXT(J578,"0000000000")</f>
        <v>+91-7345652353</v>
      </c>
      <c r="J578">
        <f>91-7345652444</f>
        <v>-7345652353</v>
      </c>
      <c r="K578" t="s">
        <v>60</v>
      </c>
      <c r="L578" t="s">
        <v>34</v>
      </c>
      <c r="M578">
        <v>150380</v>
      </c>
      <c r="N578" s="1">
        <v>45379</v>
      </c>
      <c r="O578" t="s">
        <v>21</v>
      </c>
      <c r="P578">
        <v>3</v>
      </c>
      <c r="Q578">
        <v>24271.27</v>
      </c>
    </row>
    <row r="579" spans="1:17" x14ac:dyDescent="0.3">
      <c r="A579" t="s">
        <v>1622</v>
      </c>
      <c r="B579" t="s">
        <v>1386</v>
      </c>
      <c r="C579" s="2" t="str">
        <f>PROPER(TRIM(Table1[[#This Row],[Gender]]))</f>
        <v>Female</v>
      </c>
      <c r="D579" t="s">
        <v>43</v>
      </c>
      <c r="E579">
        <v>75</v>
      </c>
      <c r="F579" t="s">
        <v>24</v>
      </c>
      <c r="G579" s="1">
        <v>18283</v>
      </c>
      <c r="H579" t="s">
        <v>1623</v>
      </c>
      <c r="I579" s="2" t="str">
        <f t="shared" si="9"/>
        <v>+91-8729918304</v>
      </c>
      <c r="J579">
        <f>91-8729918395</f>
        <v>-8729918304</v>
      </c>
      <c r="K579" t="s">
        <v>64</v>
      </c>
      <c r="L579" t="s">
        <v>20</v>
      </c>
      <c r="M579">
        <v>108840</v>
      </c>
      <c r="N579" s="1">
        <v>45098</v>
      </c>
      <c r="O579" t="s">
        <v>28</v>
      </c>
      <c r="P579">
        <v>8</v>
      </c>
      <c r="Q579">
        <v>54116.51</v>
      </c>
    </row>
    <row r="580" spans="1:17" x14ac:dyDescent="0.3">
      <c r="A580" t="s">
        <v>1624</v>
      </c>
      <c r="B580" t="s">
        <v>1625</v>
      </c>
      <c r="C580" s="2" t="str">
        <f>PROPER(TRIM(Table1[[#This Row],[Gender]]))</f>
        <v>Female</v>
      </c>
      <c r="D580" t="s">
        <v>43</v>
      </c>
      <c r="E580">
        <v>21</v>
      </c>
      <c r="F580" t="s">
        <v>49</v>
      </c>
      <c r="G580" s="1">
        <v>37993</v>
      </c>
      <c r="H580" t="s">
        <v>1626</v>
      </c>
      <c r="I580" s="2" t="str">
        <f t="shared" si="9"/>
        <v>+91-7124551017</v>
      </c>
      <c r="J580">
        <f>91-7124551108</f>
        <v>-7124551017</v>
      </c>
      <c r="K580" t="s">
        <v>142</v>
      </c>
      <c r="L580" t="s">
        <v>143</v>
      </c>
      <c r="M580">
        <v>559907</v>
      </c>
      <c r="N580" s="1">
        <v>45345</v>
      </c>
      <c r="O580" t="s">
        <v>28</v>
      </c>
      <c r="P580">
        <v>4</v>
      </c>
      <c r="Q580">
        <v>54629.87</v>
      </c>
    </row>
    <row r="581" spans="1:17" x14ac:dyDescent="0.3">
      <c r="A581" t="s">
        <v>1627</v>
      </c>
      <c r="B581" t="s">
        <v>1628</v>
      </c>
      <c r="C581" s="2" t="str">
        <f>PROPER(TRIM(Table1[[#This Row],[Gender]]))</f>
        <v>Male</v>
      </c>
      <c r="D581" t="s">
        <v>16</v>
      </c>
      <c r="E581">
        <v>46</v>
      </c>
      <c r="F581" t="s">
        <v>17</v>
      </c>
      <c r="G581" s="1">
        <v>28868</v>
      </c>
      <c r="H581" t="s">
        <v>1629</v>
      </c>
      <c r="I581" s="2" t="str">
        <f t="shared" si="9"/>
        <v>+91-9215978564</v>
      </c>
      <c r="J581">
        <f>91-9215978655</f>
        <v>-9215978564</v>
      </c>
      <c r="K581" t="s">
        <v>51</v>
      </c>
      <c r="L581" t="s">
        <v>52</v>
      </c>
      <c r="M581">
        <v>603439</v>
      </c>
      <c r="N581" s="1">
        <v>45357</v>
      </c>
      <c r="O581" t="s">
        <v>28</v>
      </c>
      <c r="P581">
        <v>4</v>
      </c>
      <c r="Q581">
        <v>56411.62</v>
      </c>
    </row>
    <row r="582" spans="1:17" x14ac:dyDescent="0.3">
      <c r="A582" t="s">
        <v>1630</v>
      </c>
      <c r="B582" t="s">
        <v>1356</v>
      </c>
      <c r="C582" s="2" t="str">
        <f>PROPER(TRIM(Table1[[#This Row],[Gender]]))</f>
        <v>Female</v>
      </c>
      <c r="D582" t="s">
        <v>43</v>
      </c>
      <c r="E582">
        <v>29</v>
      </c>
      <c r="F582" t="s">
        <v>31</v>
      </c>
      <c r="G582" s="1">
        <v>35073</v>
      </c>
      <c r="H582" t="s">
        <v>1631</v>
      </c>
      <c r="I582" s="2" t="str">
        <f t="shared" si="9"/>
        <v>+91-9229197624</v>
      </c>
      <c r="J582">
        <f>91-9229197715</f>
        <v>-9229197624</v>
      </c>
      <c r="K582" t="s">
        <v>117</v>
      </c>
      <c r="L582" t="s">
        <v>52</v>
      </c>
      <c r="M582">
        <v>477309</v>
      </c>
      <c r="N582" s="1">
        <v>45390</v>
      </c>
      <c r="O582" t="s">
        <v>28</v>
      </c>
      <c r="P582">
        <v>9</v>
      </c>
      <c r="Q582">
        <v>270436.21999999997</v>
      </c>
    </row>
    <row r="583" spans="1:17" x14ac:dyDescent="0.3">
      <c r="A583" t="s">
        <v>1632</v>
      </c>
      <c r="B583" t="s">
        <v>1633</v>
      </c>
      <c r="C583" s="2" t="str">
        <f>PROPER(TRIM(Table1[[#This Row],[Gender]]))</f>
        <v>Female</v>
      </c>
      <c r="D583" t="s">
        <v>43</v>
      </c>
      <c r="E583">
        <v>27</v>
      </c>
      <c r="F583" t="s">
        <v>31</v>
      </c>
      <c r="G583" s="1">
        <v>35803</v>
      </c>
      <c r="H583" t="s">
        <v>1634</v>
      </c>
      <c r="I583" s="2" t="str">
        <f t="shared" si="9"/>
        <v>+91-8618223465</v>
      </c>
      <c r="J583">
        <f>91-8618223556</f>
        <v>-8618223465</v>
      </c>
      <c r="K583" t="s">
        <v>84</v>
      </c>
      <c r="L583" t="s">
        <v>85</v>
      </c>
      <c r="M583">
        <v>225169</v>
      </c>
      <c r="N583" s="1">
        <v>45079</v>
      </c>
      <c r="O583" t="s">
        <v>28</v>
      </c>
      <c r="P583">
        <v>7</v>
      </c>
      <c r="Q583">
        <v>138061.82</v>
      </c>
    </row>
    <row r="584" spans="1:17" x14ac:dyDescent="0.3">
      <c r="A584" t="s">
        <v>1635</v>
      </c>
      <c r="B584" t="s">
        <v>1636</v>
      </c>
      <c r="C584" s="2" t="str">
        <f>PROPER(TRIM(Table1[[#This Row],[Gender]]))</f>
        <v>Male</v>
      </c>
      <c r="D584" t="s">
        <v>16</v>
      </c>
      <c r="E584">
        <v>31</v>
      </c>
      <c r="F584" t="s">
        <v>31</v>
      </c>
      <c r="G584" s="1">
        <v>34343</v>
      </c>
      <c r="H584" t="s">
        <v>1637</v>
      </c>
      <c r="I584" s="2" t="str">
        <f t="shared" si="9"/>
        <v>+91-9773808002</v>
      </c>
      <c r="J584">
        <f>91-9773808093</f>
        <v>-9773808002</v>
      </c>
      <c r="K584" t="s">
        <v>72</v>
      </c>
      <c r="L584" t="s">
        <v>34</v>
      </c>
      <c r="M584">
        <v>630431</v>
      </c>
      <c r="N584" s="1">
        <v>45189</v>
      </c>
      <c r="O584" t="s">
        <v>28</v>
      </c>
      <c r="P584">
        <v>6</v>
      </c>
      <c r="Q584">
        <v>128604.19</v>
      </c>
    </row>
    <row r="585" spans="1:17" x14ac:dyDescent="0.3">
      <c r="A585" t="s">
        <v>1638</v>
      </c>
      <c r="B585" t="s">
        <v>1639</v>
      </c>
      <c r="C585" s="2" t="str">
        <f>PROPER(TRIM(Table1[[#This Row],[Gender]]))</f>
        <v>Male</v>
      </c>
      <c r="D585" t="s">
        <v>16</v>
      </c>
      <c r="E585">
        <v>44</v>
      </c>
      <c r="F585" t="s">
        <v>38</v>
      </c>
      <c r="G585" s="1">
        <v>29598</v>
      </c>
      <c r="H585" t="s">
        <v>1640</v>
      </c>
      <c r="I585" s="2" t="str">
        <f t="shared" si="9"/>
        <v>+91-7553984756</v>
      </c>
      <c r="J585">
        <f>91-7553984847</f>
        <v>-7553984756</v>
      </c>
      <c r="K585" t="s">
        <v>89</v>
      </c>
      <c r="L585" t="s">
        <v>90</v>
      </c>
      <c r="M585">
        <v>380966</v>
      </c>
      <c r="N585" s="1">
        <v>45162</v>
      </c>
      <c r="O585" t="s">
        <v>35</v>
      </c>
      <c r="P585">
        <v>4</v>
      </c>
      <c r="Q585">
        <v>7088.9</v>
      </c>
    </row>
    <row r="586" spans="1:17" x14ac:dyDescent="0.3">
      <c r="A586" t="s">
        <v>1641</v>
      </c>
      <c r="B586" t="s">
        <v>204</v>
      </c>
      <c r="C586" s="2" t="str">
        <f>PROPER(TRIM(Table1[[#This Row],[Gender]]))</f>
        <v>Female</v>
      </c>
      <c r="D586" t="s">
        <v>43</v>
      </c>
      <c r="E586">
        <v>50</v>
      </c>
      <c r="F586" t="s">
        <v>17</v>
      </c>
      <c r="G586" s="1">
        <v>27408</v>
      </c>
      <c r="H586" t="s">
        <v>1642</v>
      </c>
      <c r="I586" s="2" t="str">
        <f t="shared" si="9"/>
        <v>+91-7496143384</v>
      </c>
      <c r="J586">
        <f>91-7496143475</f>
        <v>-7496143384</v>
      </c>
      <c r="K586" t="s">
        <v>369</v>
      </c>
      <c r="L586" t="s">
        <v>191</v>
      </c>
      <c r="M586">
        <v>771076</v>
      </c>
      <c r="N586" s="1">
        <v>45223</v>
      </c>
      <c r="O586" t="s">
        <v>35</v>
      </c>
      <c r="P586">
        <v>3</v>
      </c>
      <c r="Q586">
        <v>17143.93</v>
      </c>
    </row>
    <row r="587" spans="1:17" x14ac:dyDescent="0.3">
      <c r="A587" t="s">
        <v>1643</v>
      </c>
      <c r="B587" t="s">
        <v>1644</v>
      </c>
      <c r="C587" s="2" t="str">
        <f>PROPER(TRIM(Table1[[#This Row],[Gender]]))</f>
        <v>Male</v>
      </c>
      <c r="D587" t="s">
        <v>16</v>
      </c>
      <c r="E587">
        <v>28</v>
      </c>
      <c r="F587" t="s">
        <v>31</v>
      </c>
      <c r="G587" s="1">
        <v>35438</v>
      </c>
      <c r="H587" t="s">
        <v>1645</v>
      </c>
      <c r="I587" s="2" t="str">
        <f t="shared" si="9"/>
        <v>+91-8864088476</v>
      </c>
      <c r="J587">
        <f>91-8864088567</f>
        <v>-8864088476</v>
      </c>
      <c r="K587" t="s">
        <v>249</v>
      </c>
      <c r="L587" t="s">
        <v>34</v>
      </c>
      <c r="M587">
        <v>524085</v>
      </c>
      <c r="N587" s="1">
        <v>45441</v>
      </c>
      <c r="O587" t="s">
        <v>28</v>
      </c>
      <c r="P587">
        <v>8</v>
      </c>
      <c r="Q587">
        <v>148576.16</v>
      </c>
    </row>
    <row r="588" spans="1:17" x14ac:dyDescent="0.3">
      <c r="A588" t="s">
        <v>1646</v>
      </c>
      <c r="B588" t="s">
        <v>1647</v>
      </c>
      <c r="C588" s="2" t="str">
        <f>PROPER(TRIM(Table1[[#This Row],[Gender]]))</f>
        <v>Male</v>
      </c>
      <c r="D588" t="s">
        <v>16</v>
      </c>
      <c r="E588">
        <v>41</v>
      </c>
      <c r="F588" t="s">
        <v>38</v>
      </c>
      <c r="G588" s="1">
        <v>30693</v>
      </c>
      <c r="H588" t="s">
        <v>1648</v>
      </c>
      <c r="I588" s="2" t="str">
        <f t="shared" si="9"/>
        <v>+91-8247566260</v>
      </c>
      <c r="J588">
        <f>91-8247566351</f>
        <v>-8247566260</v>
      </c>
      <c r="K588" t="s">
        <v>195</v>
      </c>
      <c r="L588" t="s">
        <v>102</v>
      </c>
      <c r="M588">
        <v>478016</v>
      </c>
      <c r="N588" s="1">
        <v>45091</v>
      </c>
      <c r="O588" t="s">
        <v>28</v>
      </c>
      <c r="P588">
        <v>6</v>
      </c>
      <c r="Q588">
        <v>64281.56</v>
      </c>
    </row>
    <row r="589" spans="1:17" x14ac:dyDescent="0.3">
      <c r="A589" t="s">
        <v>1649</v>
      </c>
      <c r="B589" t="s">
        <v>1650</v>
      </c>
      <c r="C589" s="2" t="str">
        <f>PROPER(TRIM(Table1[[#This Row],[Gender]]))</f>
        <v>Male</v>
      </c>
      <c r="D589" t="s">
        <v>16</v>
      </c>
      <c r="E589">
        <v>32</v>
      </c>
      <c r="F589" t="s">
        <v>31</v>
      </c>
      <c r="G589" s="1">
        <v>33978</v>
      </c>
      <c r="H589" t="s">
        <v>1651</v>
      </c>
      <c r="I589" s="2" t="str">
        <f t="shared" si="9"/>
        <v>+91-9618426054</v>
      </c>
      <c r="J589">
        <f>91-9618426145</f>
        <v>-9618426054</v>
      </c>
      <c r="K589" t="s">
        <v>165</v>
      </c>
      <c r="L589" t="s">
        <v>52</v>
      </c>
      <c r="M589">
        <v>864225</v>
      </c>
      <c r="N589" s="1">
        <v>45404</v>
      </c>
      <c r="O589" t="s">
        <v>28</v>
      </c>
      <c r="P589">
        <v>8</v>
      </c>
      <c r="Q589">
        <v>349962.88</v>
      </c>
    </row>
    <row r="590" spans="1:17" x14ac:dyDescent="0.3">
      <c r="A590" t="s">
        <v>1652</v>
      </c>
      <c r="B590" t="s">
        <v>836</v>
      </c>
      <c r="C590" s="2" t="str">
        <f>PROPER(TRIM(Table1[[#This Row],[Gender]]))</f>
        <v>Female</v>
      </c>
      <c r="D590" t="s">
        <v>43</v>
      </c>
      <c r="E590">
        <v>27</v>
      </c>
      <c r="F590" t="s">
        <v>31</v>
      </c>
      <c r="G590" s="1">
        <v>35803</v>
      </c>
      <c r="H590" t="s">
        <v>1653</v>
      </c>
      <c r="I590" s="2" t="str">
        <f t="shared" si="9"/>
        <v>+91-8187444021</v>
      </c>
      <c r="J590">
        <f>91-8187444112</f>
        <v>-8187444021</v>
      </c>
      <c r="K590" t="s">
        <v>72</v>
      </c>
      <c r="L590" t="s">
        <v>34</v>
      </c>
      <c r="M590">
        <v>312584</v>
      </c>
      <c r="N590" s="1">
        <v>45255</v>
      </c>
      <c r="O590" t="s">
        <v>28</v>
      </c>
      <c r="P590">
        <v>5</v>
      </c>
      <c r="Q590">
        <v>57328.61</v>
      </c>
    </row>
    <row r="591" spans="1:17" x14ac:dyDescent="0.3">
      <c r="A591" t="s">
        <v>1654</v>
      </c>
      <c r="B591" t="s">
        <v>1655</v>
      </c>
      <c r="C591" s="2" t="str">
        <f>PROPER(TRIM(Table1[[#This Row],[Gender]]))</f>
        <v>Female</v>
      </c>
      <c r="D591" t="s">
        <v>43</v>
      </c>
      <c r="E591">
        <v>50</v>
      </c>
      <c r="F591" t="s">
        <v>17</v>
      </c>
      <c r="G591" s="1">
        <v>27408</v>
      </c>
      <c r="H591" t="s">
        <v>1656</v>
      </c>
      <c r="I591" s="2" t="str">
        <f t="shared" si="9"/>
        <v>+91-7756879952</v>
      </c>
      <c r="J591">
        <f>91-7756880043</f>
        <v>-7756879952</v>
      </c>
      <c r="K591" t="s">
        <v>109</v>
      </c>
      <c r="L591" t="s">
        <v>46</v>
      </c>
      <c r="M591">
        <v>919825</v>
      </c>
      <c r="N591" s="1">
        <v>45310</v>
      </c>
      <c r="O591" t="s">
        <v>28</v>
      </c>
      <c r="P591">
        <v>10</v>
      </c>
      <c r="Q591">
        <v>53808.37</v>
      </c>
    </row>
    <row r="592" spans="1:17" x14ac:dyDescent="0.3">
      <c r="A592" t="s">
        <v>1657</v>
      </c>
      <c r="B592" t="s">
        <v>1620</v>
      </c>
      <c r="C592" s="2" t="str">
        <f>PROPER(TRIM(Table1[[#This Row],[Gender]]))</f>
        <v>Male</v>
      </c>
      <c r="D592" t="s">
        <v>16</v>
      </c>
      <c r="E592">
        <v>38</v>
      </c>
      <c r="F592" t="s">
        <v>38</v>
      </c>
      <c r="G592" s="1">
        <v>31788</v>
      </c>
      <c r="H592" t="s">
        <v>1658</v>
      </c>
      <c r="I592" s="2" t="str">
        <f t="shared" si="9"/>
        <v>+91-7082843376</v>
      </c>
      <c r="J592">
        <f>91-7082843467</f>
        <v>-7082843376</v>
      </c>
      <c r="K592" t="s">
        <v>89</v>
      </c>
      <c r="L592" t="s">
        <v>90</v>
      </c>
      <c r="M592">
        <v>291284</v>
      </c>
      <c r="N592" s="1">
        <v>45331</v>
      </c>
      <c r="O592" t="s">
        <v>28</v>
      </c>
      <c r="P592">
        <v>3</v>
      </c>
      <c r="Q592">
        <v>50570.22</v>
      </c>
    </row>
    <row r="593" spans="1:17" x14ac:dyDescent="0.3">
      <c r="A593" t="s">
        <v>1659</v>
      </c>
      <c r="B593" t="s">
        <v>204</v>
      </c>
      <c r="C593" s="2" t="str">
        <f>PROPER(TRIM(Table1[[#This Row],[Gender]]))</f>
        <v>Female</v>
      </c>
      <c r="D593" t="s">
        <v>43</v>
      </c>
      <c r="E593">
        <v>35</v>
      </c>
      <c r="F593" t="s">
        <v>31</v>
      </c>
      <c r="G593" s="1">
        <v>32883</v>
      </c>
      <c r="H593" t="s">
        <v>357</v>
      </c>
      <c r="I593" s="2" t="str">
        <f t="shared" si="9"/>
        <v>+91-7608952977</v>
      </c>
      <c r="J593">
        <f>91-7608953068</f>
        <v>-7608952977</v>
      </c>
      <c r="K593" t="s">
        <v>154</v>
      </c>
      <c r="L593" t="s">
        <v>46</v>
      </c>
      <c r="M593">
        <v>967519</v>
      </c>
      <c r="N593" s="1">
        <v>45157</v>
      </c>
      <c r="O593" t="s">
        <v>28</v>
      </c>
      <c r="P593">
        <v>9</v>
      </c>
      <c r="Q593">
        <v>237531.11</v>
      </c>
    </row>
    <row r="594" spans="1:17" x14ac:dyDescent="0.3">
      <c r="A594" t="s">
        <v>1660</v>
      </c>
      <c r="B594" t="s">
        <v>887</v>
      </c>
      <c r="C594" s="2" t="str">
        <f>PROPER(TRIM(Table1[[#This Row],[Gender]]))</f>
        <v>Female</v>
      </c>
      <c r="D594" t="s">
        <v>43</v>
      </c>
      <c r="E594">
        <v>29</v>
      </c>
      <c r="F594" t="s">
        <v>31</v>
      </c>
      <c r="G594" s="1">
        <v>35073</v>
      </c>
      <c r="H594" t="s">
        <v>1661</v>
      </c>
      <c r="I594" s="2" t="str">
        <f t="shared" si="9"/>
        <v>+91-8911633177</v>
      </c>
      <c r="J594">
        <f>91-8911633268</f>
        <v>-8911633177</v>
      </c>
      <c r="K594" t="s">
        <v>580</v>
      </c>
      <c r="L594" t="s">
        <v>85</v>
      </c>
      <c r="M594">
        <v>299136</v>
      </c>
      <c r="N594" s="1">
        <v>45106</v>
      </c>
      <c r="O594" t="s">
        <v>28</v>
      </c>
      <c r="P594">
        <v>7</v>
      </c>
      <c r="Q594">
        <v>444383.25</v>
      </c>
    </row>
    <row r="595" spans="1:17" x14ac:dyDescent="0.3">
      <c r="A595" t="s">
        <v>1662</v>
      </c>
      <c r="B595" t="s">
        <v>1663</v>
      </c>
      <c r="C595" s="2" t="str">
        <f>PROPER(TRIM(Table1[[#This Row],[Gender]]))</f>
        <v>Female</v>
      </c>
      <c r="D595" t="s">
        <v>43</v>
      </c>
      <c r="E595">
        <v>21</v>
      </c>
      <c r="F595" t="s">
        <v>49</v>
      </c>
      <c r="G595" s="1">
        <v>37993</v>
      </c>
      <c r="H595" t="s">
        <v>1664</v>
      </c>
      <c r="I595" s="2" t="str">
        <f t="shared" si="9"/>
        <v>+91-9245425751</v>
      </c>
      <c r="J595">
        <f>91-9245425842</f>
        <v>-9245425751</v>
      </c>
      <c r="K595" t="s">
        <v>45</v>
      </c>
      <c r="L595" t="s">
        <v>46</v>
      </c>
      <c r="M595">
        <v>509460</v>
      </c>
      <c r="N595" s="1">
        <v>45253</v>
      </c>
      <c r="O595" t="s">
        <v>28</v>
      </c>
      <c r="P595">
        <v>4</v>
      </c>
      <c r="Q595">
        <v>150696.22</v>
      </c>
    </row>
    <row r="596" spans="1:17" x14ac:dyDescent="0.3">
      <c r="A596" t="s">
        <v>1665</v>
      </c>
      <c r="B596" t="s">
        <v>734</v>
      </c>
      <c r="C596" s="2" t="str">
        <f>PROPER(TRIM(Table1[[#This Row],[Gender]]))</f>
        <v>Female</v>
      </c>
      <c r="D596" t="s">
        <v>43</v>
      </c>
      <c r="E596">
        <v>19</v>
      </c>
      <c r="F596" t="s">
        <v>49</v>
      </c>
      <c r="G596" s="1">
        <v>38723</v>
      </c>
      <c r="H596" t="s">
        <v>1666</v>
      </c>
      <c r="I596" s="2" t="str">
        <f t="shared" si="9"/>
        <v>+91-7304314367</v>
      </c>
      <c r="J596">
        <f>91-7304314458</f>
        <v>-7304314367</v>
      </c>
      <c r="K596" t="s">
        <v>76</v>
      </c>
      <c r="L596" t="s">
        <v>46</v>
      </c>
      <c r="M596">
        <v>922773</v>
      </c>
      <c r="N596" s="1">
        <v>45320</v>
      </c>
      <c r="O596" t="s">
        <v>28</v>
      </c>
      <c r="P596">
        <v>3</v>
      </c>
      <c r="Q596">
        <v>82898.820000000007</v>
      </c>
    </row>
    <row r="597" spans="1:17" x14ac:dyDescent="0.3">
      <c r="A597" t="s">
        <v>1667</v>
      </c>
      <c r="B597" t="s">
        <v>1668</v>
      </c>
      <c r="C597" s="2" t="str">
        <f>PROPER(TRIM(Table1[[#This Row],[Gender]]))</f>
        <v>Male</v>
      </c>
      <c r="D597" t="s">
        <v>16</v>
      </c>
      <c r="E597">
        <v>27</v>
      </c>
      <c r="F597" t="s">
        <v>31</v>
      </c>
      <c r="G597" s="1">
        <v>35803</v>
      </c>
      <c r="H597" t="s">
        <v>1669</v>
      </c>
      <c r="I597" s="2" t="str">
        <f t="shared" si="9"/>
        <v>+91-9191607778</v>
      </c>
      <c r="J597">
        <f>91-9191607869</f>
        <v>-9191607778</v>
      </c>
      <c r="K597" t="s">
        <v>154</v>
      </c>
      <c r="L597" t="s">
        <v>46</v>
      </c>
      <c r="M597">
        <v>807334</v>
      </c>
      <c r="N597" s="1">
        <v>45408</v>
      </c>
      <c r="O597" t="s">
        <v>35</v>
      </c>
      <c r="P597">
        <v>1</v>
      </c>
      <c r="Q597">
        <v>6290.14</v>
      </c>
    </row>
    <row r="598" spans="1:17" x14ac:dyDescent="0.3">
      <c r="A598" t="s">
        <v>1670</v>
      </c>
      <c r="B598" t="s">
        <v>127</v>
      </c>
      <c r="C598" s="2" t="str">
        <f>PROPER(TRIM(Table1[[#This Row],[Gender]]))</f>
        <v>Male</v>
      </c>
      <c r="D598" t="s">
        <v>16</v>
      </c>
      <c r="E598">
        <v>31</v>
      </c>
      <c r="F598" t="s">
        <v>31</v>
      </c>
      <c r="G598" s="1">
        <v>34343</v>
      </c>
      <c r="H598" t="s">
        <v>1671</v>
      </c>
      <c r="I598" s="2" t="str">
        <f t="shared" si="9"/>
        <v>+91-9963360829</v>
      </c>
      <c r="J598">
        <f>91-9963360920</f>
        <v>-9963360829</v>
      </c>
      <c r="K598" t="s">
        <v>147</v>
      </c>
      <c r="L598" t="s">
        <v>143</v>
      </c>
      <c r="M598">
        <v>939645</v>
      </c>
      <c r="N598" s="1">
        <v>45325</v>
      </c>
      <c r="O598" t="s">
        <v>28</v>
      </c>
      <c r="P598">
        <v>3</v>
      </c>
      <c r="Q598">
        <v>155401.46</v>
      </c>
    </row>
    <row r="599" spans="1:17" x14ac:dyDescent="0.3">
      <c r="A599" t="s">
        <v>1672</v>
      </c>
      <c r="B599" t="s">
        <v>1181</v>
      </c>
      <c r="C599" s="2" t="str">
        <f>PROPER(TRIM(Table1[[#This Row],[Gender]]))</f>
        <v>Male</v>
      </c>
      <c r="D599" t="s">
        <v>16</v>
      </c>
      <c r="E599">
        <v>35</v>
      </c>
      <c r="F599" t="s">
        <v>31</v>
      </c>
      <c r="G599" s="1">
        <v>32883</v>
      </c>
      <c r="H599" t="s">
        <v>1673</v>
      </c>
      <c r="I599" s="2" t="str">
        <f t="shared" si="9"/>
        <v>+91-7948052364</v>
      </c>
      <c r="J599">
        <f>91-7948052455</f>
        <v>-7948052364</v>
      </c>
      <c r="K599" t="s">
        <v>142</v>
      </c>
      <c r="L599" t="s">
        <v>143</v>
      </c>
      <c r="M599">
        <v>134995</v>
      </c>
      <c r="N599" s="1">
        <v>45398</v>
      </c>
      <c r="O599" t="s">
        <v>28</v>
      </c>
      <c r="P599">
        <v>5</v>
      </c>
      <c r="Q599">
        <v>208914.73</v>
      </c>
    </row>
    <row r="600" spans="1:17" x14ac:dyDescent="0.3">
      <c r="A600" t="s">
        <v>1674</v>
      </c>
      <c r="B600" t="s">
        <v>1236</v>
      </c>
      <c r="C600" s="2" t="str">
        <f>PROPER(TRIM(Table1[[#This Row],[Gender]]))</f>
        <v>Male</v>
      </c>
      <c r="D600" t="s">
        <v>16</v>
      </c>
      <c r="E600">
        <v>68</v>
      </c>
      <c r="F600" t="s">
        <v>24</v>
      </c>
      <c r="G600" s="1">
        <v>20838</v>
      </c>
      <c r="H600" t="s">
        <v>1675</v>
      </c>
      <c r="I600" s="2" t="str">
        <f t="shared" si="9"/>
        <v>+91-7804698350</v>
      </c>
      <c r="J600">
        <f>91-7804698441</f>
        <v>-7804698350</v>
      </c>
      <c r="K600" t="s">
        <v>142</v>
      </c>
      <c r="L600" t="s">
        <v>143</v>
      </c>
      <c r="M600">
        <v>361793</v>
      </c>
      <c r="N600" s="1">
        <v>45345</v>
      </c>
      <c r="O600" t="s">
        <v>21</v>
      </c>
      <c r="P600">
        <v>7</v>
      </c>
      <c r="Q600">
        <v>38198.660000000003</v>
      </c>
    </row>
    <row r="601" spans="1:17" x14ac:dyDescent="0.3">
      <c r="A601" t="s">
        <v>1676</v>
      </c>
      <c r="B601" t="s">
        <v>1677</v>
      </c>
      <c r="C601" s="2" t="str">
        <f>PROPER(TRIM(Table1[[#This Row],[Gender]]))</f>
        <v>Female</v>
      </c>
      <c r="D601" t="s">
        <v>43</v>
      </c>
      <c r="E601">
        <v>30</v>
      </c>
      <c r="F601" t="s">
        <v>31</v>
      </c>
      <c r="G601" s="1">
        <v>34708</v>
      </c>
      <c r="H601" t="s">
        <v>1678</v>
      </c>
      <c r="I601" s="2" t="str">
        <f t="shared" si="9"/>
        <v>+91-8394325141</v>
      </c>
      <c r="J601">
        <f>91-8394325232</f>
        <v>-8394325141</v>
      </c>
      <c r="K601" t="s">
        <v>161</v>
      </c>
      <c r="L601" t="s">
        <v>102</v>
      </c>
      <c r="M601">
        <v>273986</v>
      </c>
      <c r="N601" s="1">
        <v>45108</v>
      </c>
      <c r="O601" t="s">
        <v>28</v>
      </c>
      <c r="P601">
        <v>3</v>
      </c>
      <c r="Q601">
        <v>115978.78</v>
      </c>
    </row>
    <row r="602" spans="1:17" x14ac:dyDescent="0.3">
      <c r="A602" t="s">
        <v>1679</v>
      </c>
      <c r="B602" t="s">
        <v>1680</v>
      </c>
      <c r="C602" s="2" t="str">
        <f>PROPER(TRIM(Table1[[#This Row],[Gender]]))</f>
        <v>Female</v>
      </c>
      <c r="D602" t="s">
        <v>43</v>
      </c>
      <c r="E602">
        <v>33</v>
      </c>
      <c r="F602" t="s">
        <v>31</v>
      </c>
      <c r="G602" s="1">
        <v>33613</v>
      </c>
      <c r="H602" t="s">
        <v>1681</v>
      </c>
      <c r="I602" s="2" t="str">
        <f t="shared" si="9"/>
        <v>+91-7753039988</v>
      </c>
      <c r="J602">
        <f>91-7753040079</f>
        <v>-7753039988</v>
      </c>
      <c r="K602" t="s">
        <v>89</v>
      </c>
      <c r="L602" t="s">
        <v>90</v>
      </c>
      <c r="M602">
        <v>806270</v>
      </c>
      <c r="N602" s="1">
        <v>45204</v>
      </c>
      <c r="O602" t="s">
        <v>28</v>
      </c>
      <c r="P602">
        <v>3</v>
      </c>
      <c r="Q602">
        <v>121008.55</v>
      </c>
    </row>
    <row r="603" spans="1:17" x14ac:dyDescent="0.3">
      <c r="A603" t="s">
        <v>1682</v>
      </c>
      <c r="B603" t="s">
        <v>1683</v>
      </c>
      <c r="C603" s="2" t="str">
        <f>PROPER(TRIM(Table1[[#This Row],[Gender]]))</f>
        <v>Male</v>
      </c>
      <c r="D603" t="s">
        <v>16</v>
      </c>
      <c r="E603">
        <v>26</v>
      </c>
      <c r="F603" t="s">
        <v>31</v>
      </c>
      <c r="G603" s="1">
        <v>36168</v>
      </c>
      <c r="H603" t="s">
        <v>1684</v>
      </c>
      <c r="I603" s="2" t="str">
        <f t="shared" si="9"/>
        <v>+91-8341058059</v>
      </c>
      <c r="J603">
        <f>91-8341058150</f>
        <v>-8341058059</v>
      </c>
      <c r="K603" t="s">
        <v>117</v>
      </c>
      <c r="L603" t="s">
        <v>52</v>
      </c>
      <c r="M603">
        <v>497664</v>
      </c>
      <c r="N603" s="1">
        <v>45107</v>
      </c>
      <c r="O603" t="s">
        <v>28</v>
      </c>
      <c r="P603">
        <v>4</v>
      </c>
      <c r="Q603">
        <v>100292.27</v>
      </c>
    </row>
    <row r="604" spans="1:17" x14ac:dyDescent="0.3">
      <c r="A604" t="s">
        <v>1685</v>
      </c>
      <c r="B604" t="s">
        <v>1686</v>
      </c>
      <c r="C604" s="2" t="str">
        <f>PROPER(TRIM(Table1[[#This Row],[Gender]]))</f>
        <v>Female</v>
      </c>
      <c r="D604" t="s">
        <v>43</v>
      </c>
      <c r="E604">
        <v>27</v>
      </c>
      <c r="F604" t="s">
        <v>31</v>
      </c>
      <c r="G604" s="1">
        <v>35803</v>
      </c>
      <c r="H604" t="s">
        <v>1687</v>
      </c>
      <c r="I604" s="2" t="str">
        <f t="shared" si="9"/>
        <v>+91-8307586870</v>
      </c>
      <c r="J604">
        <f>91-8307586961</f>
        <v>-8307586870</v>
      </c>
      <c r="K604" t="s">
        <v>19</v>
      </c>
      <c r="L604" t="s">
        <v>20</v>
      </c>
      <c r="M604">
        <v>249502</v>
      </c>
      <c r="N604" s="1">
        <v>45249</v>
      </c>
      <c r="O604" t="s">
        <v>28</v>
      </c>
      <c r="P604">
        <v>8</v>
      </c>
      <c r="Q604">
        <v>221096.41</v>
      </c>
    </row>
    <row r="605" spans="1:17" x14ac:dyDescent="0.3">
      <c r="A605" t="s">
        <v>1688</v>
      </c>
      <c r="B605" t="s">
        <v>1001</v>
      </c>
      <c r="C605" s="2" t="str">
        <f>PROPER(TRIM(Table1[[#This Row],[Gender]]))</f>
        <v>Female</v>
      </c>
      <c r="D605" t="s">
        <v>43</v>
      </c>
      <c r="E605">
        <v>51</v>
      </c>
      <c r="F605" t="s">
        <v>17</v>
      </c>
      <c r="G605" s="1">
        <v>27043</v>
      </c>
      <c r="H605" t="s">
        <v>1689</v>
      </c>
      <c r="I605" s="2" t="str">
        <f t="shared" si="9"/>
        <v>+91-9303032072</v>
      </c>
      <c r="J605">
        <f>91-9303032163</f>
        <v>-9303032072</v>
      </c>
      <c r="K605" t="s">
        <v>154</v>
      </c>
      <c r="L605" t="s">
        <v>46</v>
      </c>
      <c r="M605">
        <v>742088</v>
      </c>
      <c r="N605" s="1">
        <v>45088</v>
      </c>
      <c r="O605" t="s">
        <v>21</v>
      </c>
      <c r="P605">
        <v>5</v>
      </c>
      <c r="Q605">
        <v>35966.85</v>
      </c>
    </row>
    <row r="606" spans="1:17" x14ac:dyDescent="0.3">
      <c r="A606" t="s">
        <v>1690</v>
      </c>
      <c r="B606" t="s">
        <v>1691</v>
      </c>
      <c r="C606" s="2" t="str">
        <f>PROPER(TRIM(Table1[[#This Row],[Gender]]))</f>
        <v>Female</v>
      </c>
      <c r="D606" t="s">
        <v>43</v>
      </c>
      <c r="E606">
        <v>18</v>
      </c>
      <c r="F606" t="s">
        <v>49</v>
      </c>
      <c r="G606" s="1">
        <v>39088</v>
      </c>
      <c r="H606" t="s">
        <v>1692</v>
      </c>
      <c r="I606" s="2" t="str">
        <f t="shared" si="9"/>
        <v>+91-8490709538</v>
      </c>
      <c r="J606">
        <f>91-8490709629</f>
        <v>-8490709538</v>
      </c>
      <c r="K606" t="s">
        <v>202</v>
      </c>
      <c r="L606" t="s">
        <v>191</v>
      </c>
      <c r="M606">
        <v>595438</v>
      </c>
      <c r="N606" s="1">
        <v>45199</v>
      </c>
      <c r="O606" t="s">
        <v>28</v>
      </c>
      <c r="P606">
        <v>4</v>
      </c>
      <c r="Q606">
        <v>220856.11</v>
      </c>
    </row>
    <row r="607" spans="1:17" x14ac:dyDescent="0.3">
      <c r="A607" t="s">
        <v>1693</v>
      </c>
      <c r="B607" t="s">
        <v>1694</v>
      </c>
      <c r="C607" s="2" t="str">
        <f>PROPER(TRIM(Table1[[#This Row],[Gender]]))</f>
        <v>Female</v>
      </c>
      <c r="D607" t="s">
        <v>43</v>
      </c>
      <c r="E607">
        <v>33</v>
      </c>
      <c r="F607" t="s">
        <v>31</v>
      </c>
      <c r="G607" s="1">
        <v>33613</v>
      </c>
      <c r="H607" t="s">
        <v>1695</v>
      </c>
      <c r="I607" s="2" t="str">
        <f t="shared" si="9"/>
        <v>+91-7873987297</v>
      </c>
      <c r="J607">
        <f>91-7873987388</f>
        <v>-7873987297</v>
      </c>
      <c r="K607" t="s">
        <v>94</v>
      </c>
      <c r="L607" t="s">
        <v>20</v>
      </c>
      <c r="M607">
        <v>766129</v>
      </c>
      <c r="N607" s="1">
        <v>45162</v>
      </c>
      <c r="O607" t="s">
        <v>28</v>
      </c>
      <c r="P607">
        <v>5</v>
      </c>
      <c r="Q607">
        <v>144303.96</v>
      </c>
    </row>
    <row r="608" spans="1:17" x14ac:dyDescent="0.3">
      <c r="A608" t="s">
        <v>1696</v>
      </c>
      <c r="B608" t="s">
        <v>845</v>
      </c>
      <c r="C608" s="2" t="str">
        <f>PROPER(TRIM(Table1[[#This Row],[Gender]]))</f>
        <v>Male</v>
      </c>
      <c r="D608" t="s">
        <v>16</v>
      </c>
      <c r="E608">
        <v>28</v>
      </c>
      <c r="F608" t="s">
        <v>31</v>
      </c>
      <c r="G608" s="1">
        <v>35438</v>
      </c>
      <c r="H608" t="s">
        <v>1697</v>
      </c>
      <c r="I608" s="2" t="str">
        <f t="shared" si="9"/>
        <v>+91-7439731976</v>
      </c>
      <c r="J608">
        <f>91-7439732067</f>
        <v>-7439731976</v>
      </c>
      <c r="K608" t="s">
        <v>40</v>
      </c>
      <c r="L608" t="s">
        <v>27</v>
      </c>
      <c r="M608">
        <v>678819</v>
      </c>
      <c r="N608" s="1">
        <v>45243</v>
      </c>
      <c r="O608" t="s">
        <v>28</v>
      </c>
      <c r="P608">
        <v>4</v>
      </c>
      <c r="Q608">
        <v>79052.350000000006</v>
      </c>
    </row>
    <row r="609" spans="1:17" x14ac:dyDescent="0.3">
      <c r="A609" t="s">
        <v>1698</v>
      </c>
      <c r="B609" t="s">
        <v>1251</v>
      </c>
      <c r="C609" s="2" t="str">
        <f>PROPER(TRIM(Table1[[#This Row],[Gender]]))</f>
        <v>Male</v>
      </c>
      <c r="D609" t="s">
        <v>16</v>
      </c>
      <c r="E609">
        <v>23</v>
      </c>
      <c r="F609" t="s">
        <v>49</v>
      </c>
      <c r="G609" s="1">
        <v>37263</v>
      </c>
      <c r="H609" t="s">
        <v>1699</v>
      </c>
      <c r="I609" s="2" t="str">
        <f t="shared" si="9"/>
        <v>+91-9145390742</v>
      </c>
      <c r="J609">
        <f>91-9145390833</f>
        <v>-9145390742</v>
      </c>
      <c r="K609" t="s">
        <v>369</v>
      </c>
      <c r="L609" t="s">
        <v>191</v>
      </c>
      <c r="M609">
        <v>462391</v>
      </c>
      <c r="N609" s="1">
        <v>45393</v>
      </c>
      <c r="O609" t="s">
        <v>21</v>
      </c>
      <c r="P609">
        <v>7</v>
      </c>
      <c r="Q609">
        <v>22536.83</v>
      </c>
    </row>
    <row r="610" spans="1:17" x14ac:dyDescent="0.3">
      <c r="A610" t="s">
        <v>1700</v>
      </c>
      <c r="B610" t="s">
        <v>1701</v>
      </c>
      <c r="C610" s="2" t="str">
        <f>PROPER(TRIM(Table1[[#This Row],[Gender]]))</f>
        <v>Male</v>
      </c>
      <c r="D610" t="s">
        <v>16</v>
      </c>
      <c r="E610">
        <v>30</v>
      </c>
      <c r="F610" t="s">
        <v>31</v>
      </c>
      <c r="G610" s="1">
        <v>34708</v>
      </c>
      <c r="H610" t="s">
        <v>1702</v>
      </c>
      <c r="I610" s="2" t="str">
        <f t="shared" si="9"/>
        <v>+91-7771643984</v>
      </c>
      <c r="J610">
        <f>91-7771644075</f>
        <v>-7771643984</v>
      </c>
      <c r="K610" t="s">
        <v>195</v>
      </c>
      <c r="L610" t="s">
        <v>102</v>
      </c>
      <c r="M610">
        <v>610633</v>
      </c>
      <c r="N610" s="1">
        <v>45195</v>
      </c>
      <c r="O610" t="s">
        <v>28</v>
      </c>
      <c r="P610">
        <v>5</v>
      </c>
      <c r="Q610">
        <v>168431.37</v>
      </c>
    </row>
    <row r="611" spans="1:17" x14ac:dyDescent="0.3">
      <c r="A611" t="s">
        <v>1703</v>
      </c>
      <c r="B611" t="s">
        <v>658</v>
      </c>
      <c r="C611" s="2" t="str">
        <f>PROPER(TRIM(Table1[[#This Row],[Gender]]))</f>
        <v>Male</v>
      </c>
      <c r="D611" t="s">
        <v>16</v>
      </c>
      <c r="E611">
        <v>33</v>
      </c>
      <c r="F611" t="s">
        <v>31</v>
      </c>
      <c r="G611" s="1">
        <v>33613</v>
      </c>
      <c r="H611" t="s">
        <v>1704</v>
      </c>
      <c r="I611" s="2" t="str">
        <f t="shared" si="9"/>
        <v>+91-8833219856</v>
      </c>
      <c r="J611">
        <f>91-8833219947</f>
        <v>-8833219856</v>
      </c>
      <c r="K611" t="s">
        <v>64</v>
      </c>
      <c r="L611" t="s">
        <v>20</v>
      </c>
      <c r="M611">
        <v>635926</v>
      </c>
      <c r="N611" s="1">
        <v>45234</v>
      </c>
      <c r="O611" t="s">
        <v>21</v>
      </c>
      <c r="P611">
        <v>2</v>
      </c>
      <c r="Q611">
        <v>38341.29</v>
      </c>
    </row>
    <row r="612" spans="1:17" x14ac:dyDescent="0.3">
      <c r="A612" t="s">
        <v>1705</v>
      </c>
      <c r="B612" t="s">
        <v>778</v>
      </c>
      <c r="C612" s="2" t="str">
        <f>PROPER(TRIM(Table1[[#This Row],[Gender]]))</f>
        <v>Female</v>
      </c>
      <c r="D612" t="s">
        <v>43</v>
      </c>
      <c r="E612">
        <v>22</v>
      </c>
      <c r="F612" t="s">
        <v>49</v>
      </c>
      <c r="G612" s="1">
        <v>37628</v>
      </c>
      <c r="H612" t="s">
        <v>1706</v>
      </c>
      <c r="I612" s="2" t="str">
        <f t="shared" si="9"/>
        <v>+91-9374902433</v>
      </c>
      <c r="J612">
        <f>91-9374902524</f>
        <v>-9374902433</v>
      </c>
      <c r="K612" t="s">
        <v>51</v>
      </c>
      <c r="L612" t="s">
        <v>52</v>
      </c>
      <c r="M612">
        <v>859581</v>
      </c>
      <c r="N612" s="1">
        <v>45263</v>
      </c>
      <c r="O612" t="s">
        <v>28</v>
      </c>
      <c r="P612">
        <v>4</v>
      </c>
      <c r="Q612">
        <v>136463.62</v>
      </c>
    </row>
    <row r="613" spans="1:17" x14ac:dyDescent="0.3">
      <c r="A613" t="s">
        <v>1707</v>
      </c>
      <c r="B613" t="s">
        <v>1708</v>
      </c>
      <c r="C613" s="2" t="str">
        <f>PROPER(TRIM(Table1[[#This Row],[Gender]]))</f>
        <v>Female</v>
      </c>
      <c r="D613" t="s">
        <v>43</v>
      </c>
      <c r="E613">
        <v>57</v>
      </c>
      <c r="F613" t="s">
        <v>58</v>
      </c>
      <c r="G613" s="1">
        <v>24853</v>
      </c>
      <c r="H613" t="s">
        <v>1709</v>
      </c>
      <c r="I613" s="2" t="str">
        <f t="shared" si="9"/>
        <v>+91-7566418889</v>
      </c>
      <c r="J613">
        <f>91-7566418980</f>
        <v>-7566418889</v>
      </c>
      <c r="K613" t="s">
        <v>147</v>
      </c>
      <c r="L613" t="s">
        <v>143</v>
      </c>
      <c r="M613">
        <v>961456</v>
      </c>
      <c r="N613" s="1">
        <v>45418</v>
      </c>
      <c r="O613" t="s">
        <v>28</v>
      </c>
      <c r="P613">
        <v>5</v>
      </c>
      <c r="Q613">
        <v>110604.75</v>
      </c>
    </row>
    <row r="614" spans="1:17" x14ac:dyDescent="0.3">
      <c r="A614" t="s">
        <v>1710</v>
      </c>
      <c r="B614" t="s">
        <v>768</v>
      </c>
      <c r="C614" s="2" t="str">
        <f>PROPER(TRIM(Table1[[#This Row],[Gender]]))</f>
        <v>Male</v>
      </c>
      <c r="D614" t="s">
        <v>16</v>
      </c>
      <c r="E614">
        <v>26</v>
      </c>
      <c r="F614" t="s">
        <v>31</v>
      </c>
      <c r="G614" s="1">
        <v>36168</v>
      </c>
      <c r="H614" t="s">
        <v>1711</v>
      </c>
      <c r="I614" s="2" t="str">
        <f t="shared" si="9"/>
        <v>+91-7348162151</v>
      </c>
      <c r="J614">
        <f>91-7348162242</f>
        <v>-7348162151</v>
      </c>
      <c r="K614" t="s">
        <v>64</v>
      </c>
      <c r="L614" t="s">
        <v>20</v>
      </c>
      <c r="M614">
        <v>318450</v>
      </c>
      <c r="N614" s="1">
        <v>45281</v>
      </c>
      <c r="O614" t="s">
        <v>28</v>
      </c>
      <c r="P614">
        <v>3</v>
      </c>
      <c r="Q614">
        <v>52931.519999999997</v>
      </c>
    </row>
    <row r="615" spans="1:17" x14ac:dyDescent="0.3">
      <c r="A615" t="s">
        <v>1712</v>
      </c>
      <c r="B615" t="s">
        <v>1713</v>
      </c>
      <c r="C615" s="2" t="str">
        <f>PROPER(TRIM(Table1[[#This Row],[Gender]]))</f>
        <v>Female</v>
      </c>
      <c r="D615" t="s">
        <v>43</v>
      </c>
      <c r="E615">
        <v>45</v>
      </c>
      <c r="F615" t="s">
        <v>38</v>
      </c>
      <c r="G615" s="1">
        <v>29233</v>
      </c>
      <c r="H615" t="s">
        <v>1714</v>
      </c>
      <c r="I615" s="2" t="str">
        <f t="shared" si="9"/>
        <v>+91-8504898822</v>
      </c>
      <c r="J615">
        <f>91-8504898913</f>
        <v>-8504898822</v>
      </c>
      <c r="K615" t="s">
        <v>19</v>
      </c>
      <c r="L615" t="s">
        <v>20</v>
      </c>
      <c r="M615">
        <v>732182</v>
      </c>
      <c r="N615" s="1">
        <v>45165</v>
      </c>
      <c r="O615" t="s">
        <v>28</v>
      </c>
      <c r="P615">
        <v>3</v>
      </c>
      <c r="Q615">
        <v>160459.41</v>
      </c>
    </row>
    <row r="616" spans="1:17" x14ac:dyDescent="0.3">
      <c r="A616" t="s">
        <v>1715</v>
      </c>
      <c r="B616" t="s">
        <v>1419</v>
      </c>
      <c r="C616" s="2" t="str">
        <f>PROPER(TRIM(Table1[[#This Row],[Gender]]))</f>
        <v>Female</v>
      </c>
      <c r="D616" t="s">
        <v>43</v>
      </c>
      <c r="E616">
        <v>53</v>
      </c>
      <c r="F616" t="s">
        <v>17</v>
      </c>
      <c r="G616" s="1">
        <v>26313</v>
      </c>
      <c r="H616" t="s">
        <v>1716</v>
      </c>
      <c r="I616" s="2" t="str">
        <f t="shared" si="9"/>
        <v>+91-9770824359</v>
      </c>
      <c r="J616">
        <f>91-9770824450</f>
        <v>-9770824359</v>
      </c>
      <c r="K616" t="s">
        <v>174</v>
      </c>
      <c r="L616" t="s">
        <v>90</v>
      </c>
      <c r="M616">
        <v>979692</v>
      </c>
      <c r="N616" s="1">
        <v>45238</v>
      </c>
      <c r="O616" t="s">
        <v>21</v>
      </c>
      <c r="P616">
        <v>3</v>
      </c>
      <c r="Q616">
        <v>21839.599999999999</v>
      </c>
    </row>
    <row r="617" spans="1:17" x14ac:dyDescent="0.3">
      <c r="A617" t="s">
        <v>1717</v>
      </c>
      <c r="B617" t="s">
        <v>1523</v>
      </c>
      <c r="C617" s="2" t="str">
        <f>PROPER(TRIM(Table1[[#This Row],[Gender]]))</f>
        <v>Male</v>
      </c>
      <c r="D617" t="s">
        <v>16</v>
      </c>
      <c r="E617">
        <v>33</v>
      </c>
      <c r="F617" t="s">
        <v>31</v>
      </c>
      <c r="G617" s="1">
        <v>33613</v>
      </c>
      <c r="H617" t="s">
        <v>1718</v>
      </c>
      <c r="I617" s="2" t="str">
        <f t="shared" si="9"/>
        <v>+91-9968095466</v>
      </c>
      <c r="J617">
        <f>91-9968095557</f>
        <v>-9968095466</v>
      </c>
      <c r="K617" t="s">
        <v>101</v>
      </c>
      <c r="L617" t="s">
        <v>102</v>
      </c>
      <c r="M617">
        <v>246232</v>
      </c>
      <c r="N617" s="1">
        <v>45098</v>
      </c>
      <c r="O617" t="s">
        <v>28</v>
      </c>
      <c r="P617">
        <v>5</v>
      </c>
      <c r="Q617">
        <v>248256.2</v>
      </c>
    </row>
    <row r="618" spans="1:17" x14ac:dyDescent="0.3">
      <c r="A618" t="s">
        <v>1719</v>
      </c>
      <c r="B618" t="s">
        <v>661</v>
      </c>
      <c r="C618" s="2" t="str">
        <f>PROPER(TRIM(Table1[[#This Row],[Gender]]))</f>
        <v>Male</v>
      </c>
      <c r="D618" t="s">
        <v>16</v>
      </c>
      <c r="E618">
        <v>20</v>
      </c>
      <c r="F618" t="s">
        <v>49</v>
      </c>
      <c r="G618" s="1">
        <v>38358</v>
      </c>
      <c r="H618" t="s">
        <v>1720</v>
      </c>
      <c r="I618" s="2" t="str">
        <f t="shared" si="9"/>
        <v>+91-9988330637</v>
      </c>
      <c r="J618">
        <f>91-9988330728</f>
        <v>-9988330637</v>
      </c>
      <c r="K618" t="s">
        <v>331</v>
      </c>
      <c r="L618" t="s">
        <v>143</v>
      </c>
      <c r="M618">
        <v>939113</v>
      </c>
      <c r="N618" s="1">
        <v>45177</v>
      </c>
      <c r="O618" t="s">
        <v>28</v>
      </c>
      <c r="P618">
        <v>5</v>
      </c>
      <c r="Q618">
        <v>109398.75</v>
      </c>
    </row>
    <row r="619" spans="1:17" x14ac:dyDescent="0.3">
      <c r="A619" t="s">
        <v>1721</v>
      </c>
      <c r="B619" t="s">
        <v>1722</v>
      </c>
      <c r="C619" s="2" t="str">
        <f>PROPER(TRIM(Table1[[#This Row],[Gender]]))</f>
        <v>Female</v>
      </c>
      <c r="D619" t="s">
        <v>43</v>
      </c>
      <c r="E619">
        <v>35</v>
      </c>
      <c r="F619" t="s">
        <v>31</v>
      </c>
      <c r="G619" s="1">
        <v>32883</v>
      </c>
      <c r="H619" t="s">
        <v>1723</v>
      </c>
      <c r="I619" s="2" t="str">
        <f t="shared" si="9"/>
        <v>+91-8428803146</v>
      </c>
      <c r="J619">
        <f>91-8428803237</f>
        <v>-8428803146</v>
      </c>
      <c r="K619" t="s">
        <v>138</v>
      </c>
      <c r="L619" t="s">
        <v>90</v>
      </c>
      <c r="M619">
        <v>132102</v>
      </c>
      <c r="N619" s="1">
        <v>45354</v>
      </c>
      <c r="O619" t="s">
        <v>28</v>
      </c>
      <c r="P619">
        <v>8</v>
      </c>
      <c r="Q619">
        <v>146342.42000000001</v>
      </c>
    </row>
    <row r="620" spans="1:17" x14ac:dyDescent="0.3">
      <c r="A620" t="s">
        <v>1724</v>
      </c>
      <c r="B620" t="s">
        <v>1725</v>
      </c>
      <c r="C620" s="2" t="str">
        <f>PROPER(TRIM(Table1[[#This Row],[Gender]]))</f>
        <v>Male</v>
      </c>
      <c r="D620" t="s">
        <v>16</v>
      </c>
      <c r="E620">
        <v>33</v>
      </c>
      <c r="F620" t="s">
        <v>31</v>
      </c>
      <c r="G620" s="1">
        <v>33613</v>
      </c>
      <c r="H620" t="s">
        <v>1726</v>
      </c>
      <c r="I620" s="2" t="str">
        <f t="shared" si="9"/>
        <v>+91-8757121645</v>
      </c>
      <c r="J620">
        <f>91-8757121736</f>
        <v>-8757121645</v>
      </c>
      <c r="K620" t="s">
        <v>178</v>
      </c>
      <c r="L620" t="s">
        <v>27</v>
      </c>
      <c r="M620">
        <v>308654</v>
      </c>
      <c r="N620" s="1">
        <v>45430</v>
      </c>
      <c r="O620" t="s">
        <v>28</v>
      </c>
      <c r="P620">
        <v>4</v>
      </c>
      <c r="Q620">
        <v>304280.74</v>
      </c>
    </row>
    <row r="621" spans="1:17" x14ac:dyDescent="0.3">
      <c r="A621" t="s">
        <v>1727</v>
      </c>
      <c r="B621" t="s">
        <v>1728</v>
      </c>
      <c r="C621" s="2" t="str">
        <f>PROPER(TRIM(Table1[[#This Row],[Gender]]))</f>
        <v>Male</v>
      </c>
      <c r="D621" t="s">
        <v>16</v>
      </c>
      <c r="E621">
        <v>37</v>
      </c>
      <c r="F621" t="s">
        <v>38</v>
      </c>
      <c r="G621" s="1">
        <v>32153</v>
      </c>
      <c r="H621" t="s">
        <v>1729</v>
      </c>
      <c r="I621" s="2" t="str">
        <f t="shared" si="9"/>
        <v>+91-9096295293</v>
      </c>
      <c r="J621">
        <f>91-9096295384</f>
        <v>-9096295293</v>
      </c>
      <c r="K621" t="s">
        <v>64</v>
      </c>
      <c r="L621" t="s">
        <v>20</v>
      </c>
      <c r="M621">
        <v>416456</v>
      </c>
      <c r="N621" s="1">
        <v>45104</v>
      </c>
      <c r="O621" t="s">
        <v>28</v>
      </c>
      <c r="P621">
        <v>2</v>
      </c>
      <c r="Q621">
        <v>145611.81</v>
      </c>
    </row>
    <row r="622" spans="1:17" x14ac:dyDescent="0.3">
      <c r="A622" t="s">
        <v>1730</v>
      </c>
      <c r="B622" t="s">
        <v>1731</v>
      </c>
      <c r="C622" s="2" t="str">
        <f>PROPER(TRIM(Table1[[#This Row],[Gender]]))</f>
        <v>Male</v>
      </c>
      <c r="D622" t="s">
        <v>16</v>
      </c>
      <c r="E622">
        <v>29</v>
      </c>
      <c r="F622" t="s">
        <v>31</v>
      </c>
      <c r="G622" s="1">
        <v>35073</v>
      </c>
      <c r="H622" t="s">
        <v>1732</v>
      </c>
      <c r="I622" s="2" t="str">
        <f t="shared" si="9"/>
        <v>+91-9813049661</v>
      </c>
      <c r="J622">
        <f>91-9813049752</f>
        <v>-9813049661</v>
      </c>
      <c r="K622" t="s">
        <v>94</v>
      </c>
      <c r="L622" t="s">
        <v>20</v>
      </c>
      <c r="M622">
        <v>323434</v>
      </c>
      <c r="N622" s="1">
        <v>45412</v>
      </c>
      <c r="O622" t="s">
        <v>21</v>
      </c>
      <c r="P622">
        <v>4</v>
      </c>
      <c r="Q622">
        <v>39945.589999999997</v>
      </c>
    </row>
    <row r="623" spans="1:17" x14ac:dyDescent="0.3">
      <c r="A623" t="s">
        <v>1733</v>
      </c>
      <c r="B623" t="s">
        <v>1734</v>
      </c>
      <c r="C623" s="2" t="str">
        <f>PROPER(TRIM(Table1[[#This Row],[Gender]]))</f>
        <v>Female</v>
      </c>
      <c r="D623" t="s">
        <v>43</v>
      </c>
      <c r="E623">
        <v>46</v>
      </c>
      <c r="F623" t="s">
        <v>17</v>
      </c>
      <c r="G623" s="1">
        <v>28868</v>
      </c>
      <c r="H623" t="s">
        <v>1735</v>
      </c>
      <c r="I623" s="2" t="str">
        <f t="shared" si="9"/>
        <v>+91-7377229578</v>
      </c>
      <c r="J623">
        <f>91-7377229669</f>
        <v>-7377229578</v>
      </c>
      <c r="K623" t="s">
        <v>178</v>
      </c>
      <c r="L623" t="s">
        <v>27</v>
      </c>
      <c r="M623">
        <v>473013</v>
      </c>
      <c r="N623" s="1">
        <v>45427</v>
      </c>
      <c r="O623" t="s">
        <v>21</v>
      </c>
      <c r="P623">
        <v>6</v>
      </c>
      <c r="Q623">
        <v>28087.21</v>
      </c>
    </row>
    <row r="624" spans="1:17" x14ac:dyDescent="0.3">
      <c r="A624" t="s">
        <v>1736</v>
      </c>
      <c r="B624" t="s">
        <v>74</v>
      </c>
      <c r="C624" s="2" t="str">
        <f>PROPER(TRIM(Table1[[#This Row],[Gender]]))</f>
        <v>Male</v>
      </c>
      <c r="D624" t="s">
        <v>16</v>
      </c>
      <c r="E624">
        <v>42</v>
      </c>
      <c r="F624" t="s">
        <v>38</v>
      </c>
      <c r="G624" s="1">
        <v>30328</v>
      </c>
      <c r="H624" t="s">
        <v>1737</v>
      </c>
      <c r="I624" s="2" t="str">
        <f t="shared" si="9"/>
        <v>+91-9490980740</v>
      </c>
      <c r="J624">
        <f>91-9490980831</f>
        <v>-9490980740</v>
      </c>
      <c r="K624" t="s">
        <v>154</v>
      </c>
      <c r="L624" t="s">
        <v>46</v>
      </c>
      <c r="M624">
        <v>677525</v>
      </c>
      <c r="N624" s="1">
        <v>45363</v>
      </c>
      <c r="O624" t="s">
        <v>28</v>
      </c>
      <c r="P624">
        <v>5</v>
      </c>
      <c r="Q624">
        <v>69561.850000000006</v>
      </c>
    </row>
    <row r="625" spans="1:17" x14ac:dyDescent="0.3">
      <c r="A625" t="s">
        <v>1738</v>
      </c>
      <c r="B625" t="s">
        <v>284</v>
      </c>
      <c r="C625" s="2" t="str">
        <f>PROPER(TRIM(Table1[[#This Row],[Gender]]))</f>
        <v>Female</v>
      </c>
      <c r="D625" t="s">
        <v>43</v>
      </c>
      <c r="E625">
        <v>52</v>
      </c>
      <c r="F625" t="s">
        <v>17</v>
      </c>
      <c r="G625" s="1">
        <v>26678</v>
      </c>
      <c r="H625" t="s">
        <v>1739</v>
      </c>
      <c r="I625" s="2" t="str">
        <f t="shared" si="9"/>
        <v>+91-7572060763</v>
      </c>
      <c r="J625">
        <f>91-7572060854</f>
        <v>-7572060763</v>
      </c>
      <c r="K625" t="s">
        <v>33</v>
      </c>
      <c r="L625" t="s">
        <v>34</v>
      </c>
      <c r="M625">
        <v>227593</v>
      </c>
      <c r="N625" s="1">
        <v>45239</v>
      </c>
      <c r="O625" t="s">
        <v>28</v>
      </c>
      <c r="P625">
        <v>4</v>
      </c>
      <c r="Q625">
        <v>50422.43</v>
      </c>
    </row>
    <row r="626" spans="1:17" x14ac:dyDescent="0.3">
      <c r="A626" t="s">
        <v>1740</v>
      </c>
      <c r="B626" t="s">
        <v>1741</v>
      </c>
      <c r="C626" s="2" t="str">
        <f>PROPER(TRIM(Table1[[#This Row],[Gender]]))</f>
        <v>Female</v>
      </c>
      <c r="D626" t="s">
        <v>43</v>
      </c>
      <c r="E626">
        <v>32</v>
      </c>
      <c r="F626" t="s">
        <v>31</v>
      </c>
      <c r="G626" s="1">
        <v>33978</v>
      </c>
      <c r="H626" t="s">
        <v>1742</v>
      </c>
      <c r="I626" s="2" t="str">
        <f t="shared" si="9"/>
        <v>+91-7045209387</v>
      </c>
      <c r="J626">
        <f>91-7045209478</f>
        <v>-7045209387</v>
      </c>
      <c r="K626" t="s">
        <v>64</v>
      </c>
      <c r="L626" t="s">
        <v>20</v>
      </c>
      <c r="M626">
        <v>768082</v>
      </c>
      <c r="N626" s="1">
        <v>45129</v>
      </c>
      <c r="O626" t="s">
        <v>28</v>
      </c>
      <c r="P626">
        <v>6</v>
      </c>
      <c r="Q626">
        <v>122843.57</v>
      </c>
    </row>
    <row r="627" spans="1:17" x14ac:dyDescent="0.3">
      <c r="A627" t="s">
        <v>1743</v>
      </c>
      <c r="B627" t="s">
        <v>478</v>
      </c>
      <c r="C627" s="2" t="str">
        <f>PROPER(TRIM(Table1[[#This Row],[Gender]]))</f>
        <v>Male</v>
      </c>
      <c r="D627" t="s">
        <v>16</v>
      </c>
      <c r="E627">
        <v>43</v>
      </c>
      <c r="F627" t="s">
        <v>38</v>
      </c>
      <c r="G627" s="1">
        <v>29963</v>
      </c>
      <c r="H627" t="s">
        <v>1744</v>
      </c>
      <c r="I627" s="2" t="str">
        <f t="shared" si="9"/>
        <v>+91-7325558808</v>
      </c>
      <c r="J627">
        <f>91-7325558899</f>
        <v>-7325558808</v>
      </c>
      <c r="K627" t="s">
        <v>165</v>
      </c>
      <c r="L627" t="s">
        <v>52</v>
      </c>
      <c r="M627">
        <v>230352</v>
      </c>
      <c r="N627" s="1">
        <v>45120</v>
      </c>
      <c r="O627" t="s">
        <v>28</v>
      </c>
      <c r="P627">
        <v>7</v>
      </c>
      <c r="Q627">
        <v>290902.49</v>
      </c>
    </row>
    <row r="628" spans="1:17" x14ac:dyDescent="0.3">
      <c r="A628" t="s">
        <v>1745</v>
      </c>
      <c r="B628" t="s">
        <v>998</v>
      </c>
      <c r="C628" s="2" t="str">
        <f>PROPER(TRIM(Table1[[#This Row],[Gender]]))</f>
        <v>Female</v>
      </c>
      <c r="D628" t="s">
        <v>43</v>
      </c>
      <c r="E628">
        <v>55</v>
      </c>
      <c r="F628" t="s">
        <v>17</v>
      </c>
      <c r="G628" s="1">
        <v>25583</v>
      </c>
      <c r="H628" t="s">
        <v>1746</v>
      </c>
      <c r="I628" s="2" t="str">
        <f t="shared" si="9"/>
        <v>+91-7780053279</v>
      </c>
      <c r="J628">
        <f>91-7780053370</f>
        <v>-7780053279</v>
      </c>
      <c r="K628" t="s">
        <v>33</v>
      </c>
      <c r="L628" t="s">
        <v>34</v>
      </c>
      <c r="M628">
        <v>365323</v>
      </c>
      <c r="N628" s="1">
        <v>45404</v>
      </c>
      <c r="O628" t="s">
        <v>21</v>
      </c>
      <c r="P628">
        <v>4</v>
      </c>
      <c r="Q628">
        <v>22263.86</v>
      </c>
    </row>
    <row r="629" spans="1:17" x14ac:dyDescent="0.3">
      <c r="A629" t="s">
        <v>1747</v>
      </c>
      <c r="B629" t="s">
        <v>1608</v>
      </c>
      <c r="C629" s="2" t="str">
        <f>PROPER(TRIM(Table1[[#This Row],[Gender]]))</f>
        <v>Male</v>
      </c>
      <c r="D629" t="s">
        <v>16</v>
      </c>
      <c r="E629">
        <v>19</v>
      </c>
      <c r="F629" t="s">
        <v>49</v>
      </c>
      <c r="G629" s="1">
        <v>38723</v>
      </c>
      <c r="H629" t="s">
        <v>1748</v>
      </c>
      <c r="I629" s="2" t="str">
        <f t="shared" si="9"/>
        <v>+91-8118103872</v>
      </c>
      <c r="J629">
        <f>91-8118103963</f>
        <v>-8118103872</v>
      </c>
      <c r="K629" t="s">
        <v>161</v>
      </c>
      <c r="L629" t="s">
        <v>102</v>
      </c>
      <c r="M629">
        <v>264234</v>
      </c>
      <c r="N629" s="1">
        <v>45272</v>
      </c>
      <c r="O629" t="s">
        <v>21</v>
      </c>
      <c r="P629">
        <v>2</v>
      </c>
      <c r="Q629">
        <v>30326.32</v>
      </c>
    </row>
    <row r="630" spans="1:17" x14ac:dyDescent="0.3">
      <c r="A630" t="s">
        <v>1749</v>
      </c>
      <c r="B630" t="s">
        <v>380</v>
      </c>
      <c r="C630" s="2" t="str">
        <f>PROPER(TRIM(Table1[[#This Row],[Gender]]))</f>
        <v>Male</v>
      </c>
      <c r="D630" t="s">
        <v>16</v>
      </c>
      <c r="E630">
        <v>20</v>
      </c>
      <c r="F630" t="s">
        <v>49</v>
      </c>
      <c r="G630" s="1">
        <v>38358</v>
      </c>
      <c r="H630" t="s">
        <v>1750</v>
      </c>
      <c r="I630" s="2" t="str">
        <f t="shared" si="9"/>
        <v>+91-9148743782</v>
      </c>
      <c r="J630">
        <f>91-9148743873</f>
        <v>-9148743782</v>
      </c>
      <c r="K630" t="s">
        <v>331</v>
      </c>
      <c r="L630" t="s">
        <v>143</v>
      </c>
      <c r="M630">
        <v>960290</v>
      </c>
      <c r="N630" s="1">
        <v>45317</v>
      </c>
      <c r="O630" t="s">
        <v>28</v>
      </c>
      <c r="P630">
        <v>5</v>
      </c>
      <c r="Q630">
        <v>74661.14</v>
      </c>
    </row>
    <row r="631" spans="1:17" x14ac:dyDescent="0.3">
      <c r="A631" t="s">
        <v>1751</v>
      </c>
      <c r="B631" t="s">
        <v>48</v>
      </c>
      <c r="C631" s="2" t="str">
        <f>PROPER(TRIM(Table1[[#This Row],[Gender]]))</f>
        <v>Female</v>
      </c>
      <c r="D631" t="s">
        <v>43</v>
      </c>
      <c r="E631">
        <v>42</v>
      </c>
      <c r="F631" t="s">
        <v>38</v>
      </c>
      <c r="G631" s="1">
        <v>30328</v>
      </c>
      <c r="H631" t="s">
        <v>1752</v>
      </c>
      <c r="I631" s="2" t="str">
        <f t="shared" si="9"/>
        <v>+91-8318407930</v>
      </c>
      <c r="J631">
        <f>91-8318408021</f>
        <v>-8318407930</v>
      </c>
      <c r="K631" t="s">
        <v>45</v>
      </c>
      <c r="L631" t="s">
        <v>46</v>
      </c>
      <c r="M631">
        <v>363203</v>
      </c>
      <c r="N631" s="1">
        <v>45432</v>
      </c>
      <c r="O631" t="s">
        <v>28</v>
      </c>
      <c r="P631">
        <v>7</v>
      </c>
      <c r="Q631">
        <v>174196.78</v>
      </c>
    </row>
    <row r="632" spans="1:17" x14ac:dyDescent="0.3">
      <c r="A632" t="s">
        <v>1753</v>
      </c>
      <c r="B632" t="s">
        <v>1168</v>
      </c>
      <c r="C632" s="2" t="str">
        <f>PROPER(TRIM(Table1[[#This Row],[Gender]]))</f>
        <v>Female</v>
      </c>
      <c r="D632" t="s">
        <v>43</v>
      </c>
      <c r="E632">
        <v>33</v>
      </c>
      <c r="F632" t="s">
        <v>31</v>
      </c>
      <c r="G632" s="1">
        <v>33613</v>
      </c>
      <c r="H632" t="s">
        <v>1169</v>
      </c>
      <c r="I632" s="2" t="str">
        <f t="shared" si="9"/>
        <v>+91-8313673017</v>
      </c>
      <c r="J632">
        <f>91-8313673108</f>
        <v>-8313673017</v>
      </c>
      <c r="K632" t="s">
        <v>94</v>
      </c>
      <c r="L632" t="s">
        <v>20</v>
      </c>
      <c r="M632">
        <v>767840</v>
      </c>
      <c r="N632" s="1">
        <v>45180</v>
      </c>
      <c r="O632" t="s">
        <v>28</v>
      </c>
      <c r="P632">
        <v>2</v>
      </c>
      <c r="Q632">
        <v>51032.55</v>
      </c>
    </row>
    <row r="633" spans="1:17" x14ac:dyDescent="0.3">
      <c r="A633" t="s">
        <v>1754</v>
      </c>
      <c r="B633" t="s">
        <v>1755</v>
      </c>
      <c r="C633" s="2" t="str">
        <f>PROPER(TRIM(Table1[[#This Row],[Gender]]))</f>
        <v>Female</v>
      </c>
      <c r="D633" t="s">
        <v>43</v>
      </c>
      <c r="E633">
        <v>23</v>
      </c>
      <c r="F633" t="s">
        <v>49</v>
      </c>
      <c r="G633" s="1">
        <v>37263</v>
      </c>
      <c r="H633" t="s">
        <v>1756</v>
      </c>
      <c r="I633" s="2" t="str">
        <f t="shared" si="9"/>
        <v>+91-7489343727</v>
      </c>
      <c r="J633">
        <f>91-7489343818</f>
        <v>-7489343727</v>
      </c>
      <c r="K633" t="s">
        <v>369</v>
      </c>
      <c r="L633" t="s">
        <v>191</v>
      </c>
      <c r="M633">
        <v>637669</v>
      </c>
      <c r="N633" s="1">
        <v>45175</v>
      </c>
      <c r="O633" t="s">
        <v>28</v>
      </c>
      <c r="P633">
        <v>6</v>
      </c>
      <c r="Q633">
        <v>109725.13</v>
      </c>
    </row>
    <row r="634" spans="1:17" x14ac:dyDescent="0.3">
      <c r="A634" t="s">
        <v>1757</v>
      </c>
      <c r="B634" t="s">
        <v>1758</v>
      </c>
      <c r="C634" s="2" t="str">
        <f>PROPER(TRIM(Table1[[#This Row],[Gender]]))</f>
        <v>Male</v>
      </c>
      <c r="D634" t="s">
        <v>16</v>
      </c>
      <c r="E634">
        <v>45</v>
      </c>
      <c r="F634" t="s">
        <v>38</v>
      </c>
      <c r="G634" s="1">
        <v>29233</v>
      </c>
      <c r="H634" t="s">
        <v>1759</v>
      </c>
      <c r="I634" s="2" t="str">
        <f t="shared" si="9"/>
        <v>+91-8900113564</v>
      </c>
      <c r="J634">
        <f>91-8900113655</f>
        <v>-8900113564</v>
      </c>
      <c r="K634" t="s">
        <v>64</v>
      </c>
      <c r="L634" t="s">
        <v>20</v>
      </c>
      <c r="M634">
        <v>445751</v>
      </c>
      <c r="N634" s="1">
        <v>45157</v>
      </c>
      <c r="O634" t="s">
        <v>28</v>
      </c>
      <c r="P634">
        <v>5</v>
      </c>
      <c r="Q634">
        <v>372915.6</v>
      </c>
    </row>
    <row r="635" spans="1:17" x14ac:dyDescent="0.3">
      <c r="A635" t="s">
        <v>1760</v>
      </c>
      <c r="B635" t="s">
        <v>15</v>
      </c>
      <c r="C635" s="2" t="str">
        <f>PROPER(TRIM(Table1[[#This Row],[Gender]]))</f>
        <v>Male</v>
      </c>
      <c r="D635" t="s">
        <v>16</v>
      </c>
      <c r="E635">
        <v>55</v>
      </c>
      <c r="F635" t="s">
        <v>17</v>
      </c>
      <c r="G635" s="1">
        <v>25583</v>
      </c>
      <c r="H635" t="s">
        <v>1761</v>
      </c>
      <c r="I635" s="2" t="str">
        <f t="shared" si="9"/>
        <v>+91-7274634486</v>
      </c>
      <c r="J635">
        <f>91-7274634577</f>
        <v>-7274634486</v>
      </c>
      <c r="K635" t="s">
        <v>147</v>
      </c>
      <c r="L635" t="s">
        <v>143</v>
      </c>
      <c r="M635">
        <v>504487</v>
      </c>
      <c r="N635" s="1">
        <v>45438</v>
      </c>
      <c r="O635" t="s">
        <v>21</v>
      </c>
      <c r="P635">
        <v>2</v>
      </c>
      <c r="Q635">
        <v>24329.599999999999</v>
      </c>
    </row>
    <row r="636" spans="1:17" x14ac:dyDescent="0.3">
      <c r="A636" t="s">
        <v>1762</v>
      </c>
      <c r="B636" t="s">
        <v>1386</v>
      </c>
      <c r="C636" s="2" t="str">
        <f>PROPER(TRIM(Table1[[#This Row],[Gender]]))</f>
        <v>Female</v>
      </c>
      <c r="D636" t="s">
        <v>43</v>
      </c>
      <c r="E636">
        <v>34</v>
      </c>
      <c r="F636" t="s">
        <v>31</v>
      </c>
      <c r="G636" s="1">
        <v>33248</v>
      </c>
      <c r="H636" t="s">
        <v>1763</v>
      </c>
      <c r="I636" s="2" t="str">
        <f t="shared" si="9"/>
        <v>+91-9798229179</v>
      </c>
      <c r="J636">
        <f>91-9798229270</f>
        <v>-9798229179</v>
      </c>
      <c r="K636" t="s">
        <v>239</v>
      </c>
      <c r="L636" t="s">
        <v>191</v>
      </c>
      <c r="M636">
        <v>201807</v>
      </c>
      <c r="N636" s="1">
        <v>45110</v>
      </c>
      <c r="O636" t="s">
        <v>35</v>
      </c>
      <c r="P636">
        <v>1</v>
      </c>
      <c r="Q636">
        <v>3103.1</v>
      </c>
    </row>
    <row r="637" spans="1:17" x14ac:dyDescent="0.3">
      <c r="A637" t="s">
        <v>1764</v>
      </c>
      <c r="B637" t="s">
        <v>1765</v>
      </c>
      <c r="C637" s="2" t="str">
        <f>PROPER(TRIM(Table1[[#This Row],[Gender]]))</f>
        <v>Female</v>
      </c>
      <c r="D637" t="s">
        <v>43</v>
      </c>
      <c r="E637">
        <v>64</v>
      </c>
      <c r="F637" t="s">
        <v>58</v>
      </c>
      <c r="G637" s="1">
        <v>22298</v>
      </c>
      <c r="H637" t="s">
        <v>1766</v>
      </c>
      <c r="I637" s="2" t="str">
        <f t="shared" si="9"/>
        <v>+91-8512838381</v>
      </c>
      <c r="J637">
        <f>91-8512838472</f>
        <v>-8512838381</v>
      </c>
      <c r="K637" t="s">
        <v>249</v>
      </c>
      <c r="L637" t="s">
        <v>34</v>
      </c>
      <c r="M637">
        <v>947361</v>
      </c>
      <c r="N637" s="1">
        <v>45441</v>
      </c>
      <c r="O637" t="s">
        <v>21</v>
      </c>
      <c r="P637">
        <v>5</v>
      </c>
      <c r="Q637">
        <v>25278.61</v>
      </c>
    </row>
    <row r="638" spans="1:17" x14ac:dyDescent="0.3">
      <c r="A638" t="s">
        <v>1767</v>
      </c>
      <c r="B638" t="s">
        <v>1147</v>
      </c>
      <c r="C638" s="2" t="str">
        <f>PROPER(TRIM(Table1[[#This Row],[Gender]]))</f>
        <v>Male</v>
      </c>
      <c r="D638" t="s">
        <v>16</v>
      </c>
      <c r="E638">
        <v>28</v>
      </c>
      <c r="F638" t="s">
        <v>31</v>
      </c>
      <c r="G638" s="1">
        <v>35438</v>
      </c>
      <c r="H638" t="s">
        <v>1768</v>
      </c>
      <c r="I638" s="2" t="str">
        <f t="shared" si="9"/>
        <v>+91-8231976986</v>
      </c>
      <c r="J638">
        <f>91-8231977077</f>
        <v>-8231976986</v>
      </c>
      <c r="K638" t="s">
        <v>121</v>
      </c>
      <c r="L638" t="s">
        <v>85</v>
      </c>
      <c r="M638">
        <v>466279</v>
      </c>
      <c r="N638" s="1">
        <v>45422</v>
      </c>
      <c r="O638" t="s">
        <v>35</v>
      </c>
      <c r="P638">
        <v>2</v>
      </c>
      <c r="Q638">
        <v>3931.26</v>
      </c>
    </row>
    <row r="639" spans="1:17" x14ac:dyDescent="0.3">
      <c r="A639" t="s">
        <v>1769</v>
      </c>
      <c r="B639" t="s">
        <v>257</v>
      </c>
      <c r="C639" s="2" t="str">
        <f>PROPER(TRIM(Table1[[#This Row],[Gender]]))</f>
        <v>Male</v>
      </c>
      <c r="D639" t="s">
        <v>16</v>
      </c>
      <c r="E639">
        <v>38</v>
      </c>
      <c r="F639" t="s">
        <v>38</v>
      </c>
      <c r="G639" s="1">
        <v>31788</v>
      </c>
      <c r="H639" t="s">
        <v>1770</v>
      </c>
      <c r="I639" s="2" t="str">
        <f t="shared" si="9"/>
        <v>+91-8297222206</v>
      </c>
      <c r="J639">
        <f>91-8297222297</f>
        <v>-8297222206</v>
      </c>
      <c r="K639" t="s">
        <v>195</v>
      </c>
      <c r="L639" t="s">
        <v>102</v>
      </c>
      <c r="M639">
        <v>809558</v>
      </c>
      <c r="N639" s="1">
        <v>45409</v>
      </c>
      <c r="O639" t="s">
        <v>28</v>
      </c>
      <c r="P639">
        <v>7</v>
      </c>
      <c r="Q639">
        <v>209091.08</v>
      </c>
    </row>
    <row r="640" spans="1:17" x14ac:dyDescent="0.3">
      <c r="A640" t="s">
        <v>1771</v>
      </c>
      <c r="B640" t="s">
        <v>1772</v>
      </c>
      <c r="C640" s="2" t="str">
        <f>PROPER(TRIM(Table1[[#This Row],[Gender]]))</f>
        <v>Male</v>
      </c>
      <c r="D640" t="s">
        <v>16</v>
      </c>
      <c r="E640">
        <v>65</v>
      </c>
      <c r="F640" t="s">
        <v>58</v>
      </c>
      <c r="G640" s="1">
        <v>21933</v>
      </c>
      <c r="H640" t="s">
        <v>1773</v>
      </c>
      <c r="I640" s="2" t="str">
        <f t="shared" si="9"/>
        <v>+91-7809249333</v>
      </c>
      <c r="J640">
        <f>91-7809249424</f>
        <v>-7809249333</v>
      </c>
      <c r="K640" t="s">
        <v>101</v>
      </c>
      <c r="L640" t="s">
        <v>102</v>
      </c>
      <c r="M640">
        <v>991914</v>
      </c>
      <c r="N640" s="1">
        <v>45400</v>
      </c>
      <c r="O640" t="s">
        <v>28</v>
      </c>
      <c r="P640">
        <v>8</v>
      </c>
      <c r="Q640">
        <v>58586.17</v>
      </c>
    </row>
    <row r="641" spans="1:17" x14ac:dyDescent="0.3">
      <c r="A641" t="s">
        <v>1774</v>
      </c>
      <c r="B641" t="s">
        <v>1775</v>
      </c>
      <c r="C641" s="2" t="str">
        <f>PROPER(TRIM(Table1[[#This Row],[Gender]]))</f>
        <v>Female</v>
      </c>
      <c r="D641" t="s">
        <v>43</v>
      </c>
      <c r="E641">
        <v>25</v>
      </c>
      <c r="F641" t="s">
        <v>49</v>
      </c>
      <c r="G641" s="1">
        <v>36533</v>
      </c>
      <c r="H641" t="s">
        <v>1776</v>
      </c>
      <c r="I641" s="2" t="str">
        <f t="shared" si="9"/>
        <v>+91-9516656521</v>
      </c>
      <c r="J641">
        <f>91-9516656612</f>
        <v>-9516656521</v>
      </c>
      <c r="K641" t="s">
        <v>125</v>
      </c>
      <c r="L641" t="s">
        <v>52</v>
      </c>
      <c r="M641">
        <v>857209</v>
      </c>
      <c r="N641" s="1">
        <v>45203</v>
      </c>
      <c r="O641" t="s">
        <v>28</v>
      </c>
      <c r="P641">
        <v>5</v>
      </c>
      <c r="Q641">
        <v>163055.04000000001</v>
      </c>
    </row>
    <row r="642" spans="1:17" x14ac:dyDescent="0.3">
      <c r="A642" t="s">
        <v>1777</v>
      </c>
      <c r="B642" t="s">
        <v>1778</v>
      </c>
      <c r="C642" s="2" t="str">
        <f>PROPER(TRIM(Table1[[#This Row],[Gender]]))</f>
        <v>Female</v>
      </c>
      <c r="D642" t="s">
        <v>43</v>
      </c>
      <c r="E642">
        <v>37</v>
      </c>
      <c r="F642" t="s">
        <v>38</v>
      </c>
      <c r="G642" s="1">
        <v>32153</v>
      </c>
      <c r="H642" t="s">
        <v>1779</v>
      </c>
      <c r="I642" s="2" t="str">
        <f t="shared" ref="I642:I705" si="10">"+91"&amp;TEXT(J642,"0000000000")</f>
        <v>+91-8620522864</v>
      </c>
      <c r="J642">
        <f>91-8620522955</f>
        <v>-8620522864</v>
      </c>
      <c r="K642" t="s">
        <v>161</v>
      </c>
      <c r="L642" t="s">
        <v>102</v>
      </c>
      <c r="M642">
        <v>773350</v>
      </c>
      <c r="N642" s="1">
        <v>45145</v>
      </c>
      <c r="O642" t="s">
        <v>28</v>
      </c>
      <c r="P642">
        <v>6</v>
      </c>
      <c r="Q642">
        <v>208985.52</v>
      </c>
    </row>
    <row r="643" spans="1:17" x14ac:dyDescent="0.3">
      <c r="A643" t="s">
        <v>1780</v>
      </c>
      <c r="B643" t="s">
        <v>1781</v>
      </c>
      <c r="C643" s="2" t="str">
        <f>PROPER(TRIM(Table1[[#This Row],[Gender]]))</f>
        <v>Male</v>
      </c>
      <c r="D643" t="s">
        <v>16</v>
      </c>
      <c r="E643">
        <v>24</v>
      </c>
      <c r="F643" t="s">
        <v>49</v>
      </c>
      <c r="G643" s="1">
        <v>36898</v>
      </c>
      <c r="H643" t="s">
        <v>1782</v>
      </c>
      <c r="I643" s="2" t="str">
        <f t="shared" si="10"/>
        <v>+91-7283457942</v>
      </c>
      <c r="J643">
        <f>91-7283458033</f>
        <v>-7283457942</v>
      </c>
      <c r="K643" t="s">
        <v>84</v>
      </c>
      <c r="L643" t="s">
        <v>85</v>
      </c>
      <c r="M643">
        <v>919238</v>
      </c>
      <c r="N643" s="1">
        <v>45338</v>
      </c>
      <c r="O643" t="s">
        <v>35</v>
      </c>
      <c r="P643">
        <v>3</v>
      </c>
      <c r="Q643">
        <v>12518.79</v>
      </c>
    </row>
    <row r="644" spans="1:17" x14ac:dyDescent="0.3">
      <c r="A644" t="s">
        <v>1783</v>
      </c>
      <c r="B644" t="s">
        <v>1784</v>
      </c>
      <c r="C644" s="2" t="str">
        <f>PROPER(TRIM(Table1[[#This Row],[Gender]]))</f>
        <v>Female</v>
      </c>
      <c r="D644" t="s">
        <v>43</v>
      </c>
      <c r="E644">
        <v>18</v>
      </c>
      <c r="F644" t="s">
        <v>49</v>
      </c>
      <c r="G644" s="1">
        <v>39088</v>
      </c>
      <c r="H644" t="s">
        <v>1785</v>
      </c>
      <c r="I644" s="2" t="str">
        <f t="shared" si="10"/>
        <v>+91-9297029385</v>
      </c>
      <c r="J644">
        <f>91-9297029476</f>
        <v>-9297029385</v>
      </c>
      <c r="K644" t="s">
        <v>117</v>
      </c>
      <c r="L644" t="s">
        <v>52</v>
      </c>
      <c r="M644">
        <v>324508</v>
      </c>
      <c r="N644" s="1">
        <v>45409</v>
      </c>
      <c r="O644" t="s">
        <v>35</v>
      </c>
      <c r="P644">
        <v>1</v>
      </c>
      <c r="Q644">
        <v>10516.6</v>
      </c>
    </row>
    <row r="645" spans="1:17" x14ac:dyDescent="0.3">
      <c r="A645" t="s">
        <v>1786</v>
      </c>
      <c r="B645" t="s">
        <v>1787</v>
      </c>
      <c r="C645" s="2" t="str">
        <f>PROPER(TRIM(Table1[[#This Row],[Gender]]))</f>
        <v>Male</v>
      </c>
      <c r="D645" t="s">
        <v>16</v>
      </c>
      <c r="E645">
        <v>34</v>
      </c>
      <c r="F645" t="s">
        <v>31</v>
      </c>
      <c r="G645" s="1">
        <v>33248</v>
      </c>
      <c r="H645" t="s">
        <v>1788</v>
      </c>
      <c r="I645" s="2" t="str">
        <f t="shared" si="10"/>
        <v>+91-9543390103</v>
      </c>
      <c r="J645">
        <f>91-9543390194</f>
        <v>-9543390103</v>
      </c>
      <c r="K645" t="s">
        <v>109</v>
      </c>
      <c r="L645" t="s">
        <v>46</v>
      </c>
      <c r="M645">
        <v>186154</v>
      </c>
      <c r="N645" s="1">
        <v>45381</v>
      </c>
      <c r="O645" t="s">
        <v>28</v>
      </c>
      <c r="P645">
        <v>4</v>
      </c>
      <c r="Q645">
        <v>112118.89</v>
      </c>
    </row>
    <row r="646" spans="1:17" x14ac:dyDescent="0.3">
      <c r="A646" t="s">
        <v>1789</v>
      </c>
      <c r="B646" t="s">
        <v>1790</v>
      </c>
      <c r="C646" s="2" t="str">
        <f>PROPER(TRIM(Table1[[#This Row],[Gender]]))</f>
        <v>Female</v>
      </c>
      <c r="D646" t="s">
        <v>43</v>
      </c>
      <c r="E646">
        <v>43</v>
      </c>
      <c r="F646" t="s">
        <v>38</v>
      </c>
      <c r="G646" s="1">
        <v>29963</v>
      </c>
      <c r="H646" t="s">
        <v>1791</v>
      </c>
      <c r="I646" s="2" t="str">
        <f t="shared" si="10"/>
        <v>+91-7116569396</v>
      </c>
      <c r="J646">
        <f>91-7116569487</f>
        <v>-7116569396</v>
      </c>
      <c r="K646" t="s">
        <v>19</v>
      </c>
      <c r="L646" t="s">
        <v>20</v>
      </c>
      <c r="M646">
        <v>986177</v>
      </c>
      <c r="N646" s="1">
        <v>45213</v>
      </c>
      <c r="O646" t="s">
        <v>28</v>
      </c>
      <c r="P646">
        <v>5</v>
      </c>
      <c r="Q646">
        <v>134792.32000000001</v>
      </c>
    </row>
    <row r="647" spans="1:17" x14ac:dyDescent="0.3">
      <c r="A647" t="s">
        <v>1792</v>
      </c>
      <c r="B647" t="s">
        <v>1591</v>
      </c>
      <c r="C647" s="2" t="str">
        <f>PROPER(TRIM(Table1[[#This Row],[Gender]]))</f>
        <v>Female</v>
      </c>
      <c r="D647" t="s">
        <v>43</v>
      </c>
      <c r="E647">
        <v>43</v>
      </c>
      <c r="F647" t="s">
        <v>38</v>
      </c>
      <c r="G647" s="1">
        <v>29963</v>
      </c>
      <c r="H647" t="s">
        <v>1793</v>
      </c>
      <c r="I647" s="2" t="str">
        <f t="shared" si="10"/>
        <v>+91-9100683958</v>
      </c>
      <c r="J647">
        <f>91-9100684049</f>
        <v>-9100683958</v>
      </c>
      <c r="K647" t="s">
        <v>76</v>
      </c>
      <c r="L647" t="s">
        <v>46</v>
      </c>
      <c r="M647">
        <v>963431</v>
      </c>
      <c r="N647" s="1">
        <v>45375</v>
      </c>
      <c r="O647" t="s">
        <v>28</v>
      </c>
      <c r="P647">
        <v>5</v>
      </c>
      <c r="Q647">
        <v>143100.32</v>
      </c>
    </row>
    <row r="648" spans="1:17" x14ac:dyDescent="0.3">
      <c r="A648" t="s">
        <v>1794</v>
      </c>
      <c r="B648" t="s">
        <v>1795</v>
      </c>
      <c r="C648" s="2" t="str">
        <f>PROPER(TRIM(Table1[[#This Row],[Gender]]))</f>
        <v>Male</v>
      </c>
      <c r="D648" t="s">
        <v>16</v>
      </c>
      <c r="E648">
        <v>42</v>
      </c>
      <c r="F648" t="s">
        <v>38</v>
      </c>
      <c r="G648" s="1">
        <v>30328</v>
      </c>
      <c r="H648" t="s">
        <v>1796</v>
      </c>
      <c r="I648" s="2" t="str">
        <f t="shared" si="10"/>
        <v>+91-9342274247</v>
      </c>
      <c r="J648">
        <f>91-9342274338</f>
        <v>-9342274247</v>
      </c>
      <c r="K648" t="s">
        <v>138</v>
      </c>
      <c r="L648" t="s">
        <v>90</v>
      </c>
      <c r="M648">
        <v>959778</v>
      </c>
      <c r="N648" s="1">
        <v>45208</v>
      </c>
      <c r="O648" t="s">
        <v>28</v>
      </c>
      <c r="P648">
        <v>8</v>
      </c>
      <c r="Q648">
        <v>113396.07</v>
      </c>
    </row>
    <row r="649" spans="1:17" x14ac:dyDescent="0.3">
      <c r="A649" t="s">
        <v>1797</v>
      </c>
      <c r="B649" t="s">
        <v>70</v>
      </c>
      <c r="C649" s="2" t="str">
        <f>PROPER(TRIM(Table1[[#This Row],[Gender]]))</f>
        <v>Female</v>
      </c>
      <c r="D649" t="s">
        <v>43</v>
      </c>
      <c r="E649">
        <v>24</v>
      </c>
      <c r="F649" t="s">
        <v>49</v>
      </c>
      <c r="G649" s="1">
        <v>36898</v>
      </c>
      <c r="H649" t="s">
        <v>1798</v>
      </c>
      <c r="I649" s="2" t="str">
        <f t="shared" si="10"/>
        <v>+91-7817568405</v>
      </c>
      <c r="J649">
        <f>91-7817568496</f>
        <v>-7817568405</v>
      </c>
      <c r="K649" t="s">
        <v>26</v>
      </c>
      <c r="L649" t="s">
        <v>27</v>
      </c>
      <c r="M649">
        <v>431711</v>
      </c>
      <c r="N649" s="1">
        <v>45177</v>
      </c>
      <c r="O649" t="s">
        <v>28</v>
      </c>
      <c r="P649">
        <v>5</v>
      </c>
      <c r="Q649">
        <v>589865.75</v>
      </c>
    </row>
    <row r="650" spans="1:17" x14ac:dyDescent="0.3">
      <c r="A650" t="s">
        <v>1799</v>
      </c>
      <c r="B650" t="s">
        <v>1800</v>
      </c>
      <c r="C650" s="2" t="str">
        <f>PROPER(TRIM(Table1[[#This Row],[Gender]]))</f>
        <v>Female</v>
      </c>
      <c r="D650" t="s">
        <v>43</v>
      </c>
      <c r="E650">
        <v>31</v>
      </c>
      <c r="F650" t="s">
        <v>31</v>
      </c>
      <c r="G650" s="1">
        <v>34343</v>
      </c>
      <c r="H650" t="s">
        <v>1801</v>
      </c>
      <c r="I650" s="2" t="str">
        <f t="shared" si="10"/>
        <v>+91-7288575003</v>
      </c>
      <c r="J650">
        <f>91-7288575094</f>
        <v>-7288575003</v>
      </c>
      <c r="K650" t="s">
        <v>26</v>
      </c>
      <c r="L650" t="s">
        <v>27</v>
      </c>
      <c r="M650">
        <v>586610</v>
      </c>
      <c r="N650" s="1">
        <v>45272</v>
      </c>
      <c r="O650" t="s">
        <v>28</v>
      </c>
      <c r="P650">
        <v>7</v>
      </c>
      <c r="Q650">
        <v>179678.23</v>
      </c>
    </row>
    <row r="651" spans="1:17" x14ac:dyDescent="0.3">
      <c r="A651" t="s">
        <v>1802</v>
      </c>
      <c r="B651" t="s">
        <v>1803</v>
      </c>
      <c r="C651" s="2" t="str">
        <f>PROPER(TRIM(Table1[[#This Row],[Gender]]))</f>
        <v>Female</v>
      </c>
      <c r="D651" t="s">
        <v>43</v>
      </c>
      <c r="E651">
        <v>30</v>
      </c>
      <c r="F651" t="s">
        <v>31</v>
      </c>
      <c r="G651" s="1">
        <v>34708</v>
      </c>
      <c r="H651" t="s">
        <v>1804</v>
      </c>
      <c r="I651" s="2" t="str">
        <f t="shared" si="10"/>
        <v>+91-8347057361</v>
      </c>
      <c r="J651">
        <f>91-8347057452</f>
        <v>-8347057361</v>
      </c>
      <c r="K651" t="s">
        <v>94</v>
      </c>
      <c r="L651" t="s">
        <v>20</v>
      </c>
      <c r="M651">
        <v>822945</v>
      </c>
      <c r="N651" s="1">
        <v>45430</v>
      </c>
      <c r="O651" t="s">
        <v>28</v>
      </c>
      <c r="P651">
        <v>6</v>
      </c>
      <c r="Q651">
        <v>223079.12</v>
      </c>
    </row>
    <row r="652" spans="1:17" x14ac:dyDescent="0.3">
      <c r="A652" t="s">
        <v>1805</v>
      </c>
      <c r="B652" t="s">
        <v>991</v>
      </c>
      <c r="C652" s="2" t="str">
        <f>PROPER(TRIM(Table1[[#This Row],[Gender]]))</f>
        <v>Female</v>
      </c>
      <c r="D652" t="s">
        <v>43</v>
      </c>
      <c r="E652">
        <v>34</v>
      </c>
      <c r="F652" t="s">
        <v>31</v>
      </c>
      <c r="G652" s="1">
        <v>33248</v>
      </c>
      <c r="H652" t="s">
        <v>1806</v>
      </c>
      <c r="I652" s="2" t="str">
        <f t="shared" si="10"/>
        <v>+91-7665825138</v>
      </c>
      <c r="J652">
        <f>91-7665825229</f>
        <v>-7665825138</v>
      </c>
      <c r="K652" t="s">
        <v>109</v>
      </c>
      <c r="L652" t="s">
        <v>46</v>
      </c>
      <c r="M652">
        <v>898128</v>
      </c>
      <c r="N652" s="1">
        <v>45182</v>
      </c>
      <c r="O652" t="s">
        <v>28</v>
      </c>
      <c r="P652">
        <v>10</v>
      </c>
      <c r="Q652">
        <v>249480.9</v>
      </c>
    </row>
    <row r="653" spans="1:17" x14ac:dyDescent="0.3">
      <c r="A653" t="s">
        <v>1807</v>
      </c>
      <c r="B653" t="s">
        <v>1808</v>
      </c>
      <c r="C653" s="2" t="str">
        <f>PROPER(TRIM(Table1[[#This Row],[Gender]]))</f>
        <v>Female</v>
      </c>
      <c r="D653" t="s">
        <v>43</v>
      </c>
      <c r="E653">
        <v>42</v>
      </c>
      <c r="F653" t="s">
        <v>38</v>
      </c>
      <c r="G653" s="1">
        <v>30328</v>
      </c>
      <c r="H653" t="s">
        <v>1809</v>
      </c>
      <c r="I653" s="2" t="str">
        <f t="shared" si="10"/>
        <v>+91-8023751273</v>
      </c>
      <c r="J653">
        <f>91-8023751364</f>
        <v>-8023751273</v>
      </c>
      <c r="K653" t="s">
        <v>121</v>
      </c>
      <c r="L653" t="s">
        <v>85</v>
      </c>
      <c r="M653">
        <v>650041</v>
      </c>
      <c r="N653" s="1">
        <v>45353</v>
      </c>
      <c r="O653" t="s">
        <v>28</v>
      </c>
      <c r="P653">
        <v>5</v>
      </c>
      <c r="Q653">
        <v>160237.04999999999</v>
      </c>
    </row>
    <row r="654" spans="1:17" x14ac:dyDescent="0.3">
      <c r="A654" t="s">
        <v>1810</v>
      </c>
      <c r="B654" t="s">
        <v>1811</v>
      </c>
      <c r="C654" s="2" t="str">
        <f>PROPER(TRIM(Table1[[#This Row],[Gender]]))</f>
        <v>Female</v>
      </c>
      <c r="D654" t="s">
        <v>43</v>
      </c>
      <c r="E654">
        <v>32</v>
      </c>
      <c r="F654" t="s">
        <v>31</v>
      </c>
      <c r="G654" s="1">
        <v>33978</v>
      </c>
      <c r="H654" t="s">
        <v>1812</v>
      </c>
      <c r="I654" s="2" t="str">
        <f t="shared" si="10"/>
        <v>+91-8088913121</v>
      </c>
      <c r="J654">
        <f>91-8088913212</f>
        <v>-8088913121</v>
      </c>
      <c r="K654" t="s">
        <v>109</v>
      </c>
      <c r="L654" t="s">
        <v>46</v>
      </c>
      <c r="M654">
        <v>638888</v>
      </c>
      <c r="N654" s="1">
        <v>45256</v>
      </c>
      <c r="O654" t="s">
        <v>28</v>
      </c>
      <c r="P654">
        <v>6</v>
      </c>
      <c r="Q654">
        <v>111909.55</v>
      </c>
    </row>
    <row r="655" spans="1:17" x14ac:dyDescent="0.3">
      <c r="A655" t="s">
        <v>1813</v>
      </c>
      <c r="B655" t="s">
        <v>1270</v>
      </c>
      <c r="C655" s="2" t="str">
        <f>PROPER(TRIM(Table1[[#This Row],[Gender]]))</f>
        <v>Female</v>
      </c>
      <c r="D655" t="s">
        <v>43</v>
      </c>
      <c r="E655">
        <v>28</v>
      </c>
      <c r="F655" t="s">
        <v>31</v>
      </c>
      <c r="G655" s="1">
        <v>35438</v>
      </c>
      <c r="H655" t="s">
        <v>1814</v>
      </c>
      <c r="I655" s="2" t="str">
        <f t="shared" si="10"/>
        <v>+91-9423156827</v>
      </c>
      <c r="J655">
        <f>91-9423156918</f>
        <v>-9423156827</v>
      </c>
      <c r="K655" t="s">
        <v>580</v>
      </c>
      <c r="L655" t="s">
        <v>85</v>
      </c>
      <c r="M655">
        <v>532954</v>
      </c>
      <c r="N655" s="1">
        <v>45377</v>
      </c>
      <c r="O655" t="s">
        <v>28</v>
      </c>
      <c r="P655">
        <v>8</v>
      </c>
      <c r="Q655">
        <v>225074.92</v>
      </c>
    </row>
    <row r="656" spans="1:17" x14ac:dyDescent="0.3">
      <c r="A656" t="s">
        <v>1815</v>
      </c>
      <c r="B656" t="s">
        <v>1816</v>
      </c>
      <c r="C656" s="2" t="str">
        <f>PROPER(TRIM(Table1[[#This Row],[Gender]]))</f>
        <v>Female</v>
      </c>
      <c r="D656" t="s">
        <v>43</v>
      </c>
      <c r="E656">
        <v>65</v>
      </c>
      <c r="F656" t="s">
        <v>58</v>
      </c>
      <c r="G656" s="1">
        <v>21933</v>
      </c>
      <c r="H656" t="s">
        <v>1817</v>
      </c>
      <c r="I656" s="2" t="str">
        <f t="shared" si="10"/>
        <v>+91-9556401388</v>
      </c>
      <c r="J656">
        <f>91-9556401479</f>
        <v>-9556401388</v>
      </c>
      <c r="K656" t="s">
        <v>113</v>
      </c>
      <c r="L656" t="s">
        <v>34</v>
      </c>
      <c r="M656">
        <v>634663</v>
      </c>
      <c r="N656" s="1">
        <v>45237</v>
      </c>
      <c r="O656" t="s">
        <v>21</v>
      </c>
      <c r="P656">
        <v>4</v>
      </c>
      <c r="Q656">
        <v>34660.480000000003</v>
      </c>
    </row>
    <row r="657" spans="1:17" x14ac:dyDescent="0.3">
      <c r="A657" t="s">
        <v>1818</v>
      </c>
      <c r="B657" t="s">
        <v>718</v>
      </c>
      <c r="C657" s="2" t="str">
        <f>PROPER(TRIM(Table1[[#This Row],[Gender]]))</f>
        <v>Female</v>
      </c>
      <c r="D657" t="s">
        <v>43</v>
      </c>
      <c r="E657">
        <v>45</v>
      </c>
      <c r="F657" t="s">
        <v>38</v>
      </c>
      <c r="G657" s="1">
        <v>29233</v>
      </c>
      <c r="H657" t="s">
        <v>1819</v>
      </c>
      <c r="I657" s="2" t="str">
        <f t="shared" si="10"/>
        <v>+91-7840880410</v>
      </c>
      <c r="J657">
        <f>91-7840880501</f>
        <v>-7840880410</v>
      </c>
      <c r="K657" t="s">
        <v>369</v>
      </c>
      <c r="L657" t="s">
        <v>191</v>
      </c>
      <c r="M657">
        <v>424949</v>
      </c>
      <c r="N657" s="1">
        <v>45143</v>
      </c>
      <c r="O657" t="s">
        <v>28</v>
      </c>
      <c r="P657">
        <v>3</v>
      </c>
      <c r="Q657">
        <v>54826.44</v>
      </c>
    </row>
    <row r="658" spans="1:17" x14ac:dyDescent="0.3">
      <c r="A658" t="s">
        <v>1820</v>
      </c>
      <c r="B658" t="s">
        <v>87</v>
      </c>
      <c r="C658" s="2" t="str">
        <f>PROPER(TRIM(Table1[[#This Row],[Gender]]))</f>
        <v>Female</v>
      </c>
      <c r="D658" t="s">
        <v>43</v>
      </c>
      <c r="E658">
        <v>34</v>
      </c>
      <c r="F658" t="s">
        <v>31</v>
      </c>
      <c r="G658" s="1">
        <v>33248</v>
      </c>
      <c r="H658" t="s">
        <v>1821</v>
      </c>
      <c r="I658" s="2" t="str">
        <f t="shared" si="10"/>
        <v>+91-9941833466</v>
      </c>
      <c r="J658">
        <f>91-9941833557</f>
        <v>-9941833466</v>
      </c>
      <c r="K658" t="s">
        <v>51</v>
      </c>
      <c r="L658" t="s">
        <v>52</v>
      </c>
      <c r="M658">
        <v>705520</v>
      </c>
      <c r="N658" s="1">
        <v>45411</v>
      </c>
      <c r="O658" t="s">
        <v>28</v>
      </c>
      <c r="P658">
        <v>6</v>
      </c>
      <c r="Q658">
        <v>307653.39</v>
      </c>
    </row>
    <row r="659" spans="1:17" x14ac:dyDescent="0.3">
      <c r="A659" t="s">
        <v>1822</v>
      </c>
      <c r="B659" t="s">
        <v>1655</v>
      </c>
      <c r="C659" s="2" t="str">
        <f>PROPER(TRIM(Table1[[#This Row],[Gender]]))</f>
        <v>Female</v>
      </c>
      <c r="D659" t="s">
        <v>43</v>
      </c>
      <c r="E659">
        <v>19</v>
      </c>
      <c r="F659" t="s">
        <v>49</v>
      </c>
      <c r="G659" s="1">
        <v>38723</v>
      </c>
      <c r="H659" t="s">
        <v>1823</v>
      </c>
      <c r="I659" s="2" t="str">
        <f t="shared" si="10"/>
        <v>+91-9772854954</v>
      </c>
      <c r="J659">
        <f>91-9772855045</f>
        <v>-9772854954</v>
      </c>
      <c r="K659" t="s">
        <v>580</v>
      </c>
      <c r="L659" t="s">
        <v>85</v>
      </c>
      <c r="M659">
        <v>178044</v>
      </c>
      <c r="N659" s="1">
        <v>45404</v>
      </c>
      <c r="O659" t="s">
        <v>28</v>
      </c>
      <c r="P659">
        <v>6</v>
      </c>
      <c r="Q659">
        <v>68484.39</v>
      </c>
    </row>
    <row r="660" spans="1:17" x14ac:dyDescent="0.3">
      <c r="A660" t="s">
        <v>1824</v>
      </c>
      <c r="B660" t="s">
        <v>602</v>
      </c>
      <c r="C660" s="2" t="str">
        <f>PROPER(TRIM(Table1[[#This Row],[Gender]]))</f>
        <v>Female</v>
      </c>
      <c r="D660" t="s">
        <v>43</v>
      </c>
      <c r="E660">
        <v>44</v>
      </c>
      <c r="F660" t="s">
        <v>38</v>
      </c>
      <c r="G660" s="1">
        <v>29598</v>
      </c>
      <c r="H660" t="s">
        <v>1825</v>
      </c>
      <c r="I660" s="2" t="str">
        <f t="shared" si="10"/>
        <v>+91-9790223462</v>
      </c>
      <c r="J660">
        <f>91-9790223553</f>
        <v>-9790223462</v>
      </c>
      <c r="K660" t="s">
        <v>72</v>
      </c>
      <c r="L660" t="s">
        <v>34</v>
      </c>
      <c r="M660">
        <v>297035</v>
      </c>
      <c r="N660" s="1">
        <v>45227</v>
      </c>
      <c r="O660" t="s">
        <v>28</v>
      </c>
      <c r="P660">
        <v>5</v>
      </c>
      <c r="Q660">
        <v>72029.17</v>
      </c>
    </row>
    <row r="661" spans="1:17" x14ac:dyDescent="0.3">
      <c r="A661" t="s">
        <v>1826</v>
      </c>
      <c r="B661" t="s">
        <v>1827</v>
      </c>
      <c r="C661" s="2" t="str">
        <f>PROPER(TRIM(Table1[[#This Row],[Gender]]))</f>
        <v>Male</v>
      </c>
      <c r="D661" t="s">
        <v>16</v>
      </c>
      <c r="E661">
        <v>37</v>
      </c>
      <c r="F661" t="s">
        <v>38</v>
      </c>
      <c r="G661" s="1">
        <v>32153</v>
      </c>
      <c r="H661" t="s">
        <v>1828</v>
      </c>
      <c r="I661" s="2" t="str">
        <f t="shared" si="10"/>
        <v>+91-9103304551</v>
      </c>
      <c r="J661">
        <f>91-9103304642</f>
        <v>-9103304551</v>
      </c>
      <c r="K661" t="s">
        <v>165</v>
      </c>
      <c r="L661" t="s">
        <v>52</v>
      </c>
      <c r="M661">
        <v>326781</v>
      </c>
      <c r="N661" s="1">
        <v>45135</v>
      </c>
      <c r="O661" t="s">
        <v>28</v>
      </c>
      <c r="P661">
        <v>8</v>
      </c>
      <c r="Q661">
        <v>142770.15</v>
      </c>
    </row>
    <row r="662" spans="1:17" x14ac:dyDescent="0.3">
      <c r="A662" t="s">
        <v>1829</v>
      </c>
      <c r="B662" t="s">
        <v>1830</v>
      </c>
      <c r="C662" s="2" t="str">
        <f>PROPER(TRIM(Table1[[#This Row],[Gender]]))</f>
        <v>Male</v>
      </c>
      <c r="D662" t="s">
        <v>16</v>
      </c>
      <c r="E662">
        <v>71</v>
      </c>
      <c r="F662" t="s">
        <v>24</v>
      </c>
      <c r="G662" s="1">
        <v>19743</v>
      </c>
      <c r="H662" t="s">
        <v>1831</v>
      </c>
      <c r="I662" s="2" t="str">
        <f t="shared" si="10"/>
        <v>+91-7598951747</v>
      </c>
      <c r="J662">
        <f>91-7598951838</f>
        <v>-7598951747</v>
      </c>
      <c r="K662" t="s">
        <v>161</v>
      </c>
      <c r="L662" t="s">
        <v>102</v>
      </c>
      <c r="M662">
        <v>155085</v>
      </c>
      <c r="N662" s="1">
        <v>45401</v>
      </c>
      <c r="O662" t="s">
        <v>21</v>
      </c>
      <c r="P662">
        <v>4</v>
      </c>
      <c r="Q662">
        <v>24905.58</v>
      </c>
    </row>
    <row r="663" spans="1:17" x14ac:dyDescent="0.3">
      <c r="A663" t="s">
        <v>1832</v>
      </c>
      <c r="B663" t="s">
        <v>445</v>
      </c>
      <c r="C663" s="2" t="str">
        <f>PROPER(TRIM(Table1[[#This Row],[Gender]]))</f>
        <v>Male</v>
      </c>
      <c r="D663" t="s">
        <v>16</v>
      </c>
      <c r="E663">
        <v>20</v>
      </c>
      <c r="F663" t="s">
        <v>49</v>
      </c>
      <c r="G663" s="1">
        <v>38358</v>
      </c>
      <c r="H663" t="s">
        <v>1833</v>
      </c>
      <c r="I663" s="2" t="str">
        <f t="shared" si="10"/>
        <v>+91-8770500160</v>
      </c>
      <c r="J663">
        <f>91-8770500251</f>
        <v>-8770500160</v>
      </c>
      <c r="K663" t="s">
        <v>72</v>
      </c>
      <c r="L663" t="s">
        <v>34</v>
      </c>
      <c r="M663">
        <v>494578</v>
      </c>
      <c r="N663" s="1">
        <v>45351</v>
      </c>
      <c r="O663" t="s">
        <v>28</v>
      </c>
      <c r="P663">
        <v>6</v>
      </c>
      <c r="Q663">
        <v>172062.67</v>
      </c>
    </row>
    <row r="664" spans="1:17" x14ac:dyDescent="0.3">
      <c r="A664" t="s">
        <v>1834</v>
      </c>
      <c r="B664" t="s">
        <v>661</v>
      </c>
      <c r="C664" s="2" t="str">
        <f>PROPER(TRIM(Table1[[#This Row],[Gender]]))</f>
        <v>Male</v>
      </c>
      <c r="D664" t="s">
        <v>16</v>
      </c>
      <c r="E664">
        <v>42</v>
      </c>
      <c r="F664" t="s">
        <v>38</v>
      </c>
      <c r="G664" s="1">
        <v>30328</v>
      </c>
      <c r="H664" t="s">
        <v>1835</v>
      </c>
      <c r="I664" s="2" t="str">
        <f t="shared" si="10"/>
        <v>+91-9532507665</v>
      </c>
      <c r="J664">
        <f>91-9532507756</f>
        <v>-9532507665</v>
      </c>
      <c r="K664" t="s">
        <v>113</v>
      </c>
      <c r="L664" t="s">
        <v>34</v>
      </c>
      <c r="M664">
        <v>839790</v>
      </c>
      <c r="N664" s="1">
        <v>45180</v>
      </c>
      <c r="O664" t="s">
        <v>28</v>
      </c>
      <c r="P664">
        <v>6</v>
      </c>
      <c r="Q664">
        <v>454713.65</v>
      </c>
    </row>
    <row r="665" spans="1:17" x14ac:dyDescent="0.3">
      <c r="A665" t="s">
        <v>1836</v>
      </c>
      <c r="B665" t="s">
        <v>1516</v>
      </c>
      <c r="C665" s="2" t="str">
        <f>PROPER(TRIM(Table1[[#This Row],[Gender]]))</f>
        <v>Female</v>
      </c>
      <c r="D665" t="s">
        <v>43</v>
      </c>
      <c r="E665">
        <v>35</v>
      </c>
      <c r="F665" t="s">
        <v>31</v>
      </c>
      <c r="G665" s="1">
        <v>32883</v>
      </c>
      <c r="H665" t="s">
        <v>1837</v>
      </c>
      <c r="I665" s="2" t="str">
        <f t="shared" si="10"/>
        <v>+91-9579223463</v>
      </c>
      <c r="J665">
        <f>91-9579223554</f>
        <v>-9579223463</v>
      </c>
      <c r="K665" t="s">
        <v>202</v>
      </c>
      <c r="L665" t="s">
        <v>191</v>
      </c>
      <c r="M665">
        <v>341360</v>
      </c>
      <c r="N665" s="1">
        <v>45361</v>
      </c>
      <c r="O665" t="s">
        <v>28</v>
      </c>
      <c r="P665">
        <v>10</v>
      </c>
      <c r="Q665">
        <v>232177.59</v>
      </c>
    </row>
    <row r="666" spans="1:17" x14ac:dyDescent="0.3">
      <c r="A666" t="s">
        <v>1838</v>
      </c>
      <c r="B666" t="s">
        <v>1839</v>
      </c>
      <c r="C666" s="2" t="str">
        <f>PROPER(TRIM(Table1[[#This Row],[Gender]]))</f>
        <v>Male</v>
      </c>
      <c r="D666" t="s">
        <v>16</v>
      </c>
      <c r="E666">
        <v>38</v>
      </c>
      <c r="F666" t="s">
        <v>38</v>
      </c>
      <c r="G666" s="1">
        <v>31788</v>
      </c>
      <c r="H666" t="s">
        <v>1840</v>
      </c>
      <c r="I666" s="2" t="str">
        <f t="shared" si="10"/>
        <v>+91-8584134670</v>
      </c>
      <c r="J666">
        <f>91-8584134761</f>
        <v>-8584134670</v>
      </c>
      <c r="K666" t="s">
        <v>117</v>
      </c>
      <c r="L666" t="s">
        <v>52</v>
      </c>
      <c r="M666">
        <v>396403</v>
      </c>
      <c r="N666" s="1">
        <v>45134</v>
      </c>
      <c r="O666" t="s">
        <v>28</v>
      </c>
      <c r="P666">
        <v>7</v>
      </c>
      <c r="Q666">
        <v>151829.18</v>
      </c>
    </row>
    <row r="667" spans="1:17" x14ac:dyDescent="0.3">
      <c r="A667" t="s">
        <v>1841</v>
      </c>
      <c r="B667" t="s">
        <v>207</v>
      </c>
      <c r="C667" s="2" t="str">
        <f>PROPER(TRIM(Table1[[#This Row],[Gender]]))</f>
        <v>Female</v>
      </c>
      <c r="D667" t="s">
        <v>43</v>
      </c>
      <c r="E667">
        <v>40</v>
      </c>
      <c r="F667" t="s">
        <v>38</v>
      </c>
      <c r="G667" s="1">
        <v>31058</v>
      </c>
      <c r="H667" t="s">
        <v>1842</v>
      </c>
      <c r="I667" s="2" t="str">
        <f t="shared" si="10"/>
        <v>+91-7424496937</v>
      </c>
      <c r="J667">
        <f>91-7424497028</f>
        <v>-7424496937</v>
      </c>
      <c r="K667" t="s">
        <v>45</v>
      </c>
      <c r="L667" t="s">
        <v>46</v>
      </c>
      <c r="M667">
        <v>313413</v>
      </c>
      <c r="N667" s="1">
        <v>45216</v>
      </c>
      <c r="O667" t="s">
        <v>28</v>
      </c>
      <c r="P667">
        <v>4</v>
      </c>
      <c r="Q667">
        <v>101796.45</v>
      </c>
    </row>
    <row r="668" spans="1:17" x14ac:dyDescent="0.3">
      <c r="A668" t="s">
        <v>1843</v>
      </c>
      <c r="B668" t="s">
        <v>608</v>
      </c>
      <c r="C668" s="2" t="str">
        <f>PROPER(TRIM(Table1[[#This Row],[Gender]]))</f>
        <v>Female</v>
      </c>
      <c r="D668" t="s">
        <v>43</v>
      </c>
      <c r="E668">
        <v>39</v>
      </c>
      <c r="F668" t="s">
        <v>38</v>
      </c>
      <c r="G668" s="1">
        <v>31423</v>
      </c>
      <c r="H668" t="s">
        <v>1844</v>
      </c>
      <c r="I668" s="2" t="str">
        <f t="shared" si="10"/>
        <v>+91-9479143364</v>
      </c>
      <c r="J668">
        <f>91-9479143455</f>
        <v>-9479143364</v>
      </c>
      <c r="K668" t="s">
        <v>161</v>
      </c>
      <c r="L668" t="s">
        <v>102</v>
      </c>
      <c r="M668">
        <v>671724</v>
      </c>
      <c r="N668" s="1">
        <v>45187</v>
      </c>
      <c r="O668" t="s">
        <v>28</v>
      </c>
      <c r="P668">
        <v>6</v>
      </c>
      <c r="Q668">
        <v>129152.77</v>
      </c>
    </row>
    <row r="669" spans="1:17" x14ac:dyDescent="0.3">
      <c r="A669" t="s">
        <v>1845</v>
      </c>
      <c r="B669" t="s">
        <v>1846</v>
      </c>
      <c r="C669" s="2" t="str">
        <f>PROPER(TRIM(Table1[[#This Row],[Gender]]))</f>
        <v>Male</v>
      </c>
      <c r="D669" t="s">
        <v>16</v>
      </c>
      <c r="E669">
        <v>35</v>
      </c>
      <c r="F669" t="s">
        <v>31</v>
      </c>
      <c r="G669" s="1">
        <v>32883</v>
      </c>
      <c r="H669" t="s">
        <v>1847</v>
      </c>
      <c r="I669" s="2" t="str">
        <f t="shared" si="10"/>
        <v>+91-9820957441</v>
      </c>
      <c r="J669">
        <f>91-9820957532</f>
        <v>-9820957441</v>
      </c>
      <c r="K669" t="s">
        <v>40</v>
      </c>
      <c r="L669" t="s">
        <v>27</v>
      </c>
      <c r="M669">
        <v>779372</v>
      </c>
      <c r="N669" s="1">
        <v>45344</v>
      </c>
      <c r="O669" t="s">
        <v>28</v>
      </c>
      <c r="P669">
        <v>7</v>
      </c>
      <c r="Q669">
        <v>133511.23000000001</v>
      </c>
    </row>
    <row r="670" spans="1:17" x14ac:dyDescent="0.3">
      <c r="A670" t="s">
        <v>1848</v>
      </c>
      <c r="B670" t="s">
        <v>1849</v>
      </c>
      <c r="C670" s="2" t="str">
        <f>PROPER(TRIM(Table1[[#This Row],[Gender]]))</f>
        <v>Male</v>
      </c>
      <c r="D670" t="s">
        <v>16</v>
      </c>
      <c r="E670">
        <v>39</v>
      </c>
      <c r="F670" t="s">
        <v>38</v>
      </c>
      <c r="G670" s="1">
        <v>31423</v>
      </c>
      <c r="H670" t="s">
        <v>1850</v>
      </c>
      <c r="I670" s="2" t="str">
        <f t="shared" si="10"/>
        <v>+91-7520526260</v>
      </c>
      <c r="J670">
        <f>91-7520526351</f>
        <v>-7520526260</v>
      </c>
      <c r="K670" t="s">
        <v>165</v>
      </c>
      <c r="L670" t="s">
        <v>52</v>
      </c>
      <c r="M670">
        <v>578187</v>
      </c>
      <c r="N670" s="1">
        <v>45206</v>
      </c>
      <c r="O670" t="s">
        <v>28</v>
      </c>
      <c r="P670">
        <v>11</v>
      </c>
      <c r="Q670">
        <v>332318.26</v>
      </c>
    </row>
    <row r="671" spans="1:17" x14ac:dyDescent="0.3">
      <c r="A671" t="s">
        <v>1851</v>
      </c>
      <c r="B671" t="s">
        <v>487</v>
      </c>
      <c r="C671" s="2" t="str">
        <f>PROPER(TRIM(Table1[[#This Row],[Gender]]))</f>
        <v>Female</v>
      </c>
      <c r="D671" t="s">
        <v>43</v>
      </c>
      <c r="E671">
        <v>23</v>
      </c>
      <c r="F671" t="s">
        <v>49</v>
      </c>
      <c r="G671" s="1">
        <v>37263</v>
      </c>
      <c r="H671" t="s">
        <v>1018</v>
      </c>
      <c r="I671" s="2" t="str">
        <f t="shared" si="10"/>
        <v>+91-7830691578</v>
      </c>
      <c r="J671">
        <f>91-7830691669</f>
        <v>-7830691578</v>
      </c>
      <c r="K671" t="s">
        <v>26</v>
      </c>
      <c r="L671" t="s">
        <v>27</v>
      </c>
      <c r="M671">
        <v>383553</v>
      </c>
      <c r="N671" s="1">
        <v>45327</v>
      </c>
      <c r="O671" t="s">
        <v>28</v>
      </c>
      <c r="P671">
        <v>6</v>
      </c>
      <c r="Q671">
        <v>94578.64</v>
      </c>
    </row>
    <row r="672" spans="1:17" x14ac:dyDescent="0.3">
      <c r="A672" t="s">
        <v>1852</v>
      </c>
      <c r="B672" t="s">
        <v>104</v>
      </c>
      <c r="C672" s="2" t="str">
        <f>PROPER(TRIM(Table1[[#This Row],[Gender]]))</f>
        <v>Female</v>
      </c>
      <c r="D672" t="s">
        <v>43</v>
      </c>
      <c r="E672">
        <v>22</v>
      </c>
      <c r="F672" t="s">
        <v>49</v>
      </c>
      <c r="G672" s="1">
        <v>37628</v>
      </c>
      <c r="H672" t="s">
        <v>1853</v>
      </c>
      <c r="I672" s="2" t="str">
        <f t="shared" si="10"/>
        <v>+91-7801733157</v>
      </c>
      <c r="J672">
        <f>91-7801733248</f>
        <v>-7801733157</v>
      </c>
      <c r="K672" t="s">
        <v>154</v>
      </c>
      <c r="L672" t="s">
        <v>46</v>
      </c>
      <c r="M672">
        <v>897823</v>
      </c>
      <c r="N672" s="1">
        <v>45218</v>
      </c>
      <c r="O672" t="s">
        <v>28</v>
      </c>
      <c r="P672">
        <v>2</v>
      </c>
      <c r="Q672">
        <v>73583.789999999994</v>
      </c>
    </row>
    <row r="673" spans="1:17" x14ac:dyDescent="0.3">
      <c r="A673" t="s">
        <v>1854</v>
      </c>
      <c r="B673" t="s">
        <v>244</v>
      </c>
      <c r="C673" s="2" t="str">
        <f>PROPER(TRIM(Table1[[#This Row],[Gender]]))</f>
        <v>Male</v>
      </c>
      <c r="D673" t="s">
        <v>16</v>
      </c>
      <c r="E673">
        <v>57</v>
      </c>
      <c r="F673" t="s">
        <v>58</v>
      </c>
      <c r="G673" s="1">
        <v>24853</v>
      </c>
      <c r="H673" t="s">
        <v>1855</v>
      </c>
      <c r="I673" s="2" t="str">
        <f t="shared" si="10"/>
        <v>+91-7061871707</v>
      </c>
      <c r="J673">
        <f>91-7061871798</f>
        <v>-7061871707</v>
      </c>
      <c r="K673" t="s">
        <v>369</v>
      </c>
      <c r="L673" t="s">
        <v>191</v>
      </c>
      <c r="M673">
        <v>500772</v>
      </c>
      <c r="N673" s="1">
        <v>45079</v>
      </c>
      <c r="O673" t="s">
        <v>35</v>
      </c>
      <c r="P673">
        <v>9</v>
      </c>
      <c r="Q673">
        <v>15950.34</v>
      </c>
    </row>
    <row r="674" spans="1:17" x14ac:dyDescent="0.3">
      <c r="A674" t="s">
        <v>1856</v>
      </c>
      <c r="B674" t="s">
        <v>478</v>
      </c>
      <c r="C674" s="2" t="str">
        <f>PROPER(TRIM(Table1[[#This Row],[Gender]]))</f>
        <v>Male</v>
      </c>
      <c r="D674" t="s">
        <v>16</v>
      </c>
      <c r="E674">
        <v>46</v>
      </c>
      <c r="F674" t="s">
        <v>17</v>
      </c>
      <c r="G674" s="1">
        <v>28868</v>
      </c>
      <c r="H674" t="s">
        <v>1857</v>
      </c>
      <c r="I674" s="2" t="str">
        <f t="shared" si="10"/>
        <v>+91-8430418762</v>
      </c>
      <c r="J674">
        <f>91-8430418853</f>
        <v>-8430418762</v>
      </c>
      <c r="K674" t="s">
        <v>109</v>
      </c>
      <c r="L674" t="s">
        <v>46</v>
      </c>
      <c r="M674">
        <v>192325</v>
      </c>
      <c r="N674" s="1">
        <v>45380</v>
      </c>
      <c r="O674" t="s">
        <v>21</v>
      </c>
      <c r="P674">
        <v>6</v>
      </c>
      <c r="Q674">
        <v>36297.040000000001</v>
      </c>
    </row>
    <row r="675" spans="1:17" x14ac:dyDescent="0.3">
      <c r="A675" t="s">
        <v>1858</v>
      </c>
      <c r="B675" t="s">
        <v>1859</v>
      </c>
      <c r="C675" s="2" t="str">
        <f>PROPER(TRIM(Table1[[#This Row],[Gender]]))</f>
        <v>Female</v>
      </c>
      <c r="D675" t="s">
        <v>43</v>
      </c>
      <c r="E675">
        <v>45</v>
      </c>
      <c r="F675" t="s">
        <v>38</v>
      </c>
      <c r="G675" s="1">
        <v>29233</v>
      </c>
      <c r="H675" t="s">
        <v>1860</v>
      </c>
      <c r="I675" s="2" t="str">
        <f t="shared" si="10"/>
        <v>+91-9247763816</v>
      </c>
      <c r="J675">
        <f>91-9247763907</f>
        <v>-9247763816</v>
      </c>
      <c r="K675" t="s">
        <v>45</v>
      </c>
      <c r="L675" t="s">
        <v>46</v>
      </c>
      <c r="M675">
        <v>248523</v>
      </c>
      <c r="N675" s="1">
        <v>45293</v>
      </c>
      <c r="O675" t="s">
        <v>21</v>
      </c>
      <c r="P675">
        <v>5</v>
      </c>
      <c r="Q675">
        <v>28661.05</v>
      </c>
    </row>
    <row r="676" spans="1:17" x14ac:dyDescent="0.3">
      <c r="A676" t="s">
        <v>1861</v>
      </c>
      <c r="B676" t="s">
        <v>1862</v>
      </c>
      <c r="C676" s="2" t="str">
        <f>PROPER(TRIM(Table1[[#This Row],[Gender]]))</f>
        <v>Female</v>
      </c>
      <c r="D676" t="s">
        <v>43</v>
      </c>
      <c r="E676">
        <v>36</v>
      </c>
      <c r="F676" t="s">
        <v>38</v>
      </c>
      <c r="G676" s="1">
        <v>32518</v>
      </c>
      <c r="H676" t="s">
        <v>1863</v>
      </c>
      <c r="I676" s="2" t="str">
        <f t="shared" si="10"/>
        <v>+91-8392343005</v>
      </c>
      <c r="J676">
        <f>91-8392343096</f>
        <v>-8392343005</v>
      </c>
      <c r="K676" t="s">
        <v>249</v>
      </c>
      <c r="L676" t="s">
        <v>34</v>
      </c>
      <c r="M676">
        <v>777473</v>
      </c>
      <c r="N676" s="1">
        <v>45101</v>
      </c>
      <c r="O676" t="s">
        <v>35</v>
      </c>
      <c r="P676">
        <v>5</v>
      </c>
      <c r="Q676">
        <v>6327.42</v>
      </c>
    </row>
    <row r="677" spans="1:17" x14ac:dyDescent="0.3">
      <c r="A677" t="s">
        <v>1864</v>
      </c>
      <c r="B677" t="s">
        <v>1865</v>
      </c>
      <c r="C677" s="2" t="str">
        <f>PROPER(TRIM(Table1[[#This Row],[Gender]]))</f>
        <v>Female</v>
      </c>
      <c r="D677" t="s">
        <v>43</v>
      </c>
      <c r="E677">
        <v>34</v>
      </c>
      <c r="F677" t="s">
        <v>31</v>
      </c>
      <c r="G677" s="1">
        <v>33248</v>
      </c>
      <c r="H677" t="s">
        <v>1866</v>
      </c>
      <c r="I677" s="2" t="str">
        <f t="shared" si="10"/>
        <v>+91-7918324619</v>
      </c>
      <c r="J677">
        <f>91-7918324710</f>
        <v>-7918324619</v>
      </c>
      <c r="K677" t="s">
        <v>273</v>
      </c>
      <c r="L677" t="s">
        <v>46</v>
      </c>
      <c r="M677">
        <v>322361</v>
      </c>
      <c r="N677" s="1">
        <v>45128</v>
      </c>
      <c r="O677" t="s">
        <v>28</v>
      </c>
      <c r="P677">
        <v>6</v>
      </c>
      <c r="Q677">
        <v>298968.61</v>
      </c>
    </row>
    <row r="678" spans="1:17" x14ac:dyDescent="0.3">
      <c r="A678" t="s">
        <v>1867</v>
      </c>
      <c r="B678" t="s">
        <v>1868</v>
      </c>
      <c r="C678" s="2" t="str">
        <f>PROPER(TRIM(Table1[[#This Row],[Gender]]))</f>
        <v>Female</v>
      </c>
      <c r="D678" t="s">
        <v>43</v>
      </c>
      <c r="E678">
        <v>21</v>
      </c>
      <c r="F678" t="s">
        <v>49</v>
      </c>
      <c r="G678" s="1">
        <v>37993</v>
      </c>
      <c r="H678" t="s">
        <v>1869</v>
      </c>
      <c r="I678" s="2" t="str">
        <f t="shared" si="10"/>
        <v>+91-9110086889</v>
      </c>
      <c r="J678">
        <f>91-9110086980</f>
        <v>-9110086889</v>
      </c>
      <c r="K678" t="s">
        <v>174</v>
      </c>
      <c r="L678" t="s">
        <v>90</v>
      </c>
      <c r="M678">
        <v>566389</v>
      </c>
      <c r="N678" s="1">
        <v>45371</v>
      </c>
      <c r="O678" t="s">
        <v>28</v>
      </c>
      <c r="P678">
        <v>7</v>
      </c>
      <c r="Q678">
        <v>135906.32999999999</v>
      </c>
    </row>
    <row r="679" spans="1:17" x14ac:dyDescent="0.3">
      <c r="A679" t="s">
        <v>1870</v>
      </c>
      <c r="B679" t="s">
        <v>1551</v>
      </c>
      <c r="C679" s="2" t="str">
        <f>PROPER(TRIM(Table1[[#This Row],[Gender]]))</f>
        <v>Female</v>
      </c>
      <c r="D679" t="s">
        <v>43</v>
      </c>
      <c r="E679">
        <v>43</v>
      </c>
      <c r="F679" t="s">
        <v>38</v>
      </c>
      <c r="G679" s="1">
        <v>29963</v>
      </c>
      <c r="H679" t="s">
        <v>1871</v>
      </c>
      <c r="I679" s="2" t="str">
        <f t="shared" si="10"/>
        <v>+91-8125524442</v>
      </c>
      <c r="J679">
        <f>91-8125524533</f>
        <v>-8125524442</v>
      </c>
      <c r="K679" t="s">
        <v>415</v>
      </c>
      <c r="L679" t="s">
        <v>90</v>
      </c>
      <c r="M679">
        <v>446255</v>
      </c>
      <c r="N679" s="1">
        <v>45276</v>
      </c>
      <c r="O679" t="s">
        <v>28</v>
      </c>
      <c r="P679">
        <v>5</v>
      </c>
      <c r="Q679">
        <v>231149.32</v>
      </c>
    </row>
    <row r="680" spans="1:17" x14ac:dyDescent="0.3">
      <c r="A680" t="s">
        <v>1872</v>
      </c>
      <c r="B680" t="s">
        <v>1731</v>
      </c>
      <c r="C680" s="2" t="str">
        <f>PROPER(TRIM(Table1[[#This Row],[Gender]]))</f>
        <v>Male</v>
      </c>
      <c r="D680" t="s">
        <v>16</v>
      </c>
      <c r="E680">
        <v>43</v>
      </c>
      <c r="F680" t="s">
        <v>38</v>
      </c>
      <c r="G680" s="1">
        <v>29963</v>
      </c>
      <c r="H680" t="s">
        <v>1873</v>
      </c>
      <c r="I680" s="2" t="str">
        <f t="shared" si="10"/>
        <v>+91-9281442468</v>
      </c>
      <c r="J680">
        <f>91-9281442559</f>
        <v>-9281442468</v>
      </c>
      <c r="K680" t="s">
        <v>190</v>
      </c>
      <c r="L680" t="s">
        <v>191</v>
      </c>
      <c r="M680">
        <v>406008</v>
      </c>
      <c r="N680" s="1">
        <v>45288</v>
      </c>
      <c r="O680" t="s">
        <v>28</v>
      </c>
      <c r="P680">
        <v>5</v>
      </c>
      <c r="Q680">
        <v>88707.71</v>
      </c>
    </row>
    <row r="681" spans="1:17" x14ac:dyDescent="0.3">
      <c r="A681" t="s">
        <v>1874</v>
      </c>
      <c r="B681" t="s">
        <v>762</v>
      </c>
      <c r="C681" s="2" t="str">
        <f>PROPER(TRIM(Table1[[#This Row],[Gender]]))</f>
        <v>Male</v>
      </c>
      <c r="D681" t="s">
        <v>16</v>
      </c>
      <c r="E681">
        <v>53</v>
      </c>
      <c r="F681" t="s">
        <v>17</v>
      </c>
      <c r="G681" s="1">
        <v>26313</v>
      </c>
      <c r="H681" t="s">
        <v>1875</v>
      </c>
      <c r="I681" s="2" t="str">
        <f t="shared" si="10"/>
        <v>+91-8563262582</v>
      </c>
      <c r="J681">
        <f>91-8563262673</f>
        <v>-8563262582</v>
      </c>
      <c r="K681" t="s">
        <v>239</v>
      </c>
      <c r="L681" t="s">
        <v>191</v>
      </c>
      <c r="M681">
        <v>261817</v>
      </c>
      <c r="N681" s="1">
        <v>45180</v>
      </c>
      <c r="O681" t="s">
        <v>35</v>
      </c>
      <c r="P681">
        <v>3</v>
      </c>
      <c r="Q681">
        <v>9545.2999999999993</v>
      </c>
    </row>
    <row r="682" spans="1:17" x14ac:dyDescent="0.3">
      <c r="A682" t="s">
        <v>1876</v>
      </c>
      <c r="B682" t="s">
        <v>1784</v>
      </c>
      <c r="C682" s="2" t="str">
        <f>PROPER(TRIM(Table1[[#This Row],[Gender]]))</f>
        <v>Female</v>
      </c>
      <c r="D682" t="s">
        <v>43</v>
      </c>
      <c r="E682">
        <v>31</v>
      </c>
      <c r="F682" t="s">
        <v>31</v>
      </c>
      <c r="G682" s="1">
        <v>34343</v>
      </c>
      <c r="H682" t="s">
        <v>1877</v>
      </c>
      <c r="I682" s="2" t="str">
        <f t="shared" si="10"/>
        <v>+91-9213104780</v>
      </c>
      <c r="J682">
        <f>91-9213104871</f>
        <v>-9213104780</v>
      </c>
      <c r="K682" t="s">
        <v>331</v>
      </c>
      <c r="L682" t="s">
        <v>143</v>
      </c>
      <c r="M682">
        <v>666601</v>
      </c>
      <c r="N682" s="1">
        <v>45140</v>
      </c>
      <c r="O682" t="s">
        <v>28</v>
      </c>
      <c r="P682">
        <v>2</v>
      </c>
      <c r="Q682">
        <v>60840.52</v>
      </c>
    </row>
    <row r="683" spans="1:17" x14ac:dyDescent="0.3">
      <c r="A683" t="s">
        <v>1878</v>
      </c>
      <c r="B683" t="s">
        <v>1879</v>
      </c>
      <c r="C683" s="2" t="str">
        <f>PROPER(TRIM(Table1[[#This Row],[Gender]]))</f>
        <v>Female</v>
      </c>
      <c r="D683" t="s">
        <v>43</v>
      </c>
      <c r="E683">
        <v>51</v>
      </c>
      <c r="F683" t="s">
        <v>17</v>
      </c>
      <c r="G683" s="1">
        <v>27043</v>
      </c>
      <c r="H683" t="s">
        <v>1880</v>
      </c>
      <c r="I683" s="2" t="str">
        <f t="shared" si="10"/>
        <v>+91-7212792740</v>
      </c>
      <c r="J683">
        <f>91-7212792831</f>
        <v>-7212792740</v>
      </c>
      <c r="K683" t="s">
        <v>138</v>
      </c>
      <c r="L683" t="s">
        <v>90</v>
      </c>
      <c r="M683">
        <v>137979</v>
      </c>
      <c r="N683" s="1">
        <v>45365</v>
      </c>
      <c r="O683" t="s">
        <v>28</v>
      </c>
      <c r="P683">
        <v>9</v>
      </c>
      <c r="Q683">
        <v>75316.929999999993</v>
      </c>
    </row>
    <row r="684" spans="1:17" x14ac:dyDescent="0.3">
      <c r="A684" t="s">
        <v>1881</v>
      </c>
      <c r="B684" t="s">
        <v>1882</v>
      </c>
      <c r="C684" s="2" t="str">
        <f>PROPER(TRIM(Table1[[#This Row],[Gender]]))</f>
        <v>Female</v>
      </c>
      <c r="D684" t="s">
        <v>43</v>
      </c>
      <c r="E684">
        <v>53</v>
      </c>
      <c r="F684" t="s">
        <v>17</v>
      </c>
      <c r="G684" s="1">
        <v>26313</v>
      </c>
      <c r="H684" t="s">
        <v>1883</v>
      </c>
      <c r="I684" s="2" t="str">
        <f t="shared" si="10"/>
        <v>+91-8126885978</v>
      </c>
      <c r="J684">
        <f>91-8126886069</f>
        <v>-8126885978</v>
      </c>
      <c r="K684" t="s">
        <v>147</v>
      </c>
      <c r="L684" t="s">
        <v>143</v>
      </c>
      <c r="M684">
        <v>870025</v>
      </c>
      <c r="N684" s="1">
        <v>45200</v>
      </c>
      <c r="O684" t="s">
        <v>35</v>
      </c>
      <c r="P684">
        <v>5</v>
      </c>
      <c r="Q684">
        <v>10999.37</v>
      </c>
    </row>
    <row r="685" spans="1:17" x14ac:dyDescent="0.3">
      <c r="A685" t="s">
        <v>1884</v>
      </c>
      <c r="B685" t="s">
        <v>1885</v>
      </c>
      <c r="C685" s="2" t="str">
        <f>PROPER(TRIM(Table1[[#This Row],[Gender]]))</f>
        <v>Male</v>
      </c>
      <c r="D685" t="s">
        <v>16</v>
      </c>
      <c r="E685">
        <v>21</v>
      </c>
      <c r="F685" t="s">
        <v>49</v>
      </c>
      <c r="G685" s="1">
        <v>37993</v>
      </c>
      <c r="H685" t="s">
        <v>1886</v>
      </c>
      <c r="I685" s="2" t="str">
        <f t="shared" si="10"/>
        <v>+91-9249301333</v>
      </c>
      <c r="J685">
        <f>91-9249301424</f>
        <v>-9249301333</v>
      </c>
      <c r="K685" t="s">
        <v>117</v>
      </c>
      <c r="L685" t="s">
        <v>52</v>
      </c>
      <c r="M685">
        <v>419216</v>
      </c>
      <c r="N685" s="1">
        <v>45280</v>
      </c>
      <c r="O685" t="s">
        <v>28</v>
      </c>
      <c r="P685">
        <v>4</v>
      </c>
      <c r="Q685">
        <v>99744.47</v>
      </c>
    </row>
    <row r="686" spans="1:17" x14ac:dyDescent="0.3">
      <c r="A686" t="s">
        <v>1887</v>
      </c>
      <c r="B686" t="s">
        <v>1888</v>
      </c>
      <c r="C686" s="2" t="str">
        <f>PROPER(TRIM(Table1[[#This Row],[Gender]]))</f>
        <v>Female</v>
      </c>
      <c r="D686" t="s">
        <v>43</v>
      </c>
      <c r="E686">
        <v>24</v>
      </c>
      <c r="F686" t="s">
        <v>49</v>
      </c>
      <c r="G686" s="1">
        <v>36898</v>
      </c>
      <c r="H686" t="s">
        <v>1889</v>
      </c>
      <c r="I686" s="2" t="str">
        <f t="shared" si="10"/>
        <v>+91-7768749877</v>
      </c>
      <c r="J686">
        <f>91-7768749968</f>
        <v>-7768749877</v>
      </c>
      <c r="K686" t="s">
        <v>40</v>
      </c>
      <c r="L686" t="s">
        <v>27</v>
      </c>
      <c r="M686">
        <v>192865</v>
      </c>
      <c r="N686" s="1">
        <v>45225</v>
      </c>
      <c r="O686" t="s">
        <v>35</v>
      </c>
      <c r="P686">
        <v>3</v>
      </c>
      <c r="Q686">
        <v>1943.72</v>
      </c>
    </row>
    <row r="687" spans="1:17" x14ac:dyDescent="0.3">
      <c r="A687" t="s">
        <v>1890</v>
      </c>
      <c r="B687" t="s">
        <v>1242</v>
      </c>
      <c r="C687" s="2" t="str">
        <f>PROPER(TRIM(Table1[[#This Row],[Gender]]))</f>
        <v>Female</v>
      </c>
      <c r="D687" t="s">
        <v>43</v>
      </c>
      <c r="E687">
        <v>21</v>
      </c>
      <c r="F687" t="s">
        <v>49</v>
      </c>
      <c r="G687" s="1">
        <v>37993</v>
      </c>
      <c r="H687" t="s">
        <v>1243</v>
      </c>
      <c r="I687" s="2" t="str">
        <f t="shared" si="10"/>
        <v>+91-9700931537</v>
      </c>
      <c r="J687">
        <f>91-9700931628</f>
        <v>-9700931537</v>
      </c>
      <c r="K687" t="s">
        <v>142</v>
      </c>
      <c r="L687" t="s">
        <v>143</v>
      </c>
      <c r="M687">
        <v>524881</v>
      </c>
      <c r="N687" s="1">
        <v>45310</v>
      </c>
      <c r="O687" t="s">
        <v>28</v>
      </c>
      <c r="P687">
        <v>5</v>
      </c>
      <c r="Q687">
        <v>56663.14</v>
      </c>
    </row>
    <row r="688" spans="1:17" x14ac:dyDescent="0.3">
      <c r="A688" t="s">
        <v>1891</v>
      </c>
      <c r="B688" t="s">
        <v>1892</v>
      </c>
      <c r="C688" s="2" t="str">
        <f>PROPER(TRIM(Table1[[#This Row],[Gender]]))</f>
        <v>Male</v>
      </c>
      <c r="D688" t="s">
        <v>16</v>
      </c>
      <c r="E688">
        <v>29</v>
      </c>
      <c r="F688" t="s">
        <v>31</v>
      </c>
      <c r="G688" s="1">
        <v>35073</v>
      </c>
      <c r="H688" t="s">
        <v>1893</v>
      </c>
      <c r="I688" s="2" t="str">
        <f t="shared" si="10"/>
        <v>+91-8981595333</v>
      </c>
      <c r="J688">
        <f>91-8981595424</f>
        <v>-8981595333</v>
      </c>
      <c r="K688" t="s">
        <v>174</v>
      </c>
      <c r="L688" t="s">
        <v>90</v>
      </c>
      <c r="M688">
        <v>722570</v>
      </c>
      <c r="N688" s="1">
        <v>45210</v>
      </c>
      <c r="O688" t="s">
        <v>28</v>
      </c>
      <c r="P688">
        <v>5</v>
      </c>
      <c r="Q688">
        <v>168677.11</v>
      </c>
    </row>
    <row r="689" spans="1:17" x14ac:dyDescent="0.3">
      <c r="A689" t="s">
        <v>1894</v>
      </c>
      <c r="B689" t="s">
        <v>1895</v>
      </c>
      <c r="C689" s="2" t="str">
        <f>PROPER(TRIM(Table1[[#This Row],[Gender]]))</f>
        <v>Male</v>
      </c>
      <c r="D689" t="s">
        <v>16</v>
      </c>
      <c r="E689">
        <v>18</v>
      </c>
      <c r="F689" t="s">
        <v>49</v>
      </c>
      <c r="G689" s="1">
        <v>39088</v>
      </c>
      <c r="H689" t="s">
        <v>1896</v>
      </c>
      <c r="I689" s="2" t="str">
        <f t="shared" si="10"/>
        <v>+91-8705649548</v>
      </c>
      <c r="J689">
        <f>91-8705649639</f>
        <v>-8705649548</v>
      </c>
      <c r="K689" t="s">
        <v>51</v>
      </c>
      <c r="L689" t="s">
        <v>52</v>
      </c>
      <c r="M689">
        <v>488951</v>
      </c>
      <c r="N689" s="1">
        <v>45288</v>
      </c>
      <c r="O689" t="s">
        <v>35</v>
      </c>
      <c r="P689">
        <v>4</v>
      </c>
      <c r="Q689">
        <v>12694.54</v>
      </c>
    </row>
    <row r="690" spans="1:17" x14ac:dyDescent="0.3">
      <c r="A690" t="s">
        <v>1897</v>
      </c>
      <c r="B690" t="s">
        <v>686</v>
      </c>
      <c r="C690" s="2" t="str">
        <f>PROPER(TRIM(Table1[[#This Row],[Gender]]))</f>
        <v>Male</v>
      </c>
      <c r="D690" t="s">
        <v>16</v>
      </c>
      <c r="E690">
        <v>21</v>
      </c>
      <c r="F690" t="s">
        <v>49</v>
      </c>
      <c r="G690" s="1">
        <v>37993</v>
      </c>
      <c r="H690" t="s">
        <v>1898</v>
      </c>
      <c r="I690" s="2" t="str">
        <f t="shared" si="10"/>
        <v>+91-9746365694</v>
      </c>
      <c r="J690">
        <f>91-9746365785</f>
        <v>-9746365694</v>
      </c>
      <c r="K690" t="s">
        <v>190</v>
      </c>
      <c r="L690" t="s">
        <v>191</v>
      </c>
      <c r="M690">
        <v>617792</v>
      </c>
      <c r="N690" s="1">
        <v>45168</v>
      </c>
      <c r="O690" t="s">
        <v>28</v>
      </c>
      <c r="P690">
        <v>8</v>
      </c>
      <c r="Q690">
        <v>63768.28</v>
      </c>
    </row>
    <row r="691" spans="1:17" x14ac:dyDescent="0.3">
      <c r="A691" t="s">
        <v>1899</v>
      </c>
      <c r="B691" t="s">
        <v>1900</v>
      </c>
      <c r="C691" s="2" t="str">
        <f>PROPER(TRIM(Table1[[#This Row],[Gender]]))</f>
        <v>Female</v>
      </c>
      <c r="D691" t="s">
        <v>43</v>
      </c>
      <c r="E691">
        <v>21</v>
      </c>
      <c r="F691" t="s">
        <v>49</v>
      </c>
      <c r="G691" s="1">
        <v>37993</v>
      </c>
      <c r="H691" t="s">
        <v>1901</v>
      </c>
      <c r="I691" s="2" t="str">
        <f t="shared" si="10"/>
        <v>+91-8231557608</v>
      </c>
      <c r="J691">
        <f>91-8231557699</f>
        <v>-8231557608</v>
      </c>
      <c r="K691" t="s">
        <v>84</v>
      </c>
      <c r="L691" t="s">
        <v>85</v>
      </c>
      <c r="M691">
        <v>148210</v>
      </c>
      <c r="N691" s="1">
        <v>45141</v>
      </c>
      <c r="O691" t="s">
        <v>28</v>
      </c>
      <c r="P691">
        <v>10</v>
      </c>
      <c r="Q691">
        <v>213135.98</v>
      </c>
    </row>
    <row r="692" spans="1:17" x14ac:dyDescent="0.3">
      <c r="A692" t="s">
        <v>1902</v>
      </c>
      <c r="B692" t="s">
        <v>887</v>
      </c>
      <c r="C692" s="2" t="str">
        <f>PROPER(TRIM(Table1[[#This Row],[Gender]]))</f>
        <v>Female</v>
      </c>
      <c r="D692" t="s">
        <v>43</v>
      </c>
      <c r="E692">
        <v>23</v>
      </c>
      <c r="F692" t="s">
        <v>49</v>
      </c>
      <c r="G692" s="1">
        <v>37263</v>
      </c>
      <c r="H692" t="s">
        <v>1903</v>
      </c>
      <c r="I692" s="2" t="str">
        <f t="shared" si="10"/>
        <v>+91-7633172802</v>
      </c>
      <c r="J692">
        <f>91-7633172893</f>
        <v>-7633172802</v>
      </c>
      <c r="K692" t="s">
        <v>94</v>
      </c>
      <c r="L692" t="s">
        <v>20</v>
      </c>
      <c r="M692">
        <v>467312</v>
      </c>
      <c r="N692" s="1">
        <v>45390</v>
      </c>
      <c r="O692" t="s">
        <v>28</v>
      </c>
      <c r="P692">
        <v>3</v>
      </c>
      <c r="Q692">
        <v>176939.55</v>
      </c>
    </row>
    <row r="693" spans="1:17" x14ac:dyDescent="0.3">
      <c r="A693" t="s">
        <v>1904</v>
      </c>
      <c r="B693" t="s">
        <v>1228</v>
      </c>
      <c r="C693" s="2" t="str">
        <f>PROPER(TRIM(Table1[[#This Row],[Gender]]))</f>
        <v>Female</v>
      </c>
      <c r="D693" t="s">
        <v>43</v>
      </c>
      <c r="E693">
        <v>21</v>
      </c>
      <c r="F693" t="s">
        <v>49</v>
      </c>
      <c r="G693" s="1">
        <v>37993</v>
      </c>
      <c r="H693" t="s">
        <v>1229</v>
      </c>
      <c r="I693" s="2" t="str">
        <f t="shared" si="10"/>
        <v>+91-7839498030</v>
      </c>
      <c r="J693">
        <f>91-7839498121</f>
        <v>-7839498030</v>
      </c>
      <c r="K693" t="s">
        <v>60</v>
      </c>
      <c r="L693" t="s">
        <v>34</v>
      </c>
      <c r="M693">
        <v>456166</v>
      </c>
      <c r="N693" s="1">
        <v>45352</v>
      </c>
      <c r="O693" t="s">
        <v>21</v>
      </c>
      <c r="P693">
        <v>4</v>
      </c>
      <c r="Q693">
        <v>21518.99</v>
      </c>
    </row>
    <row r="694" spans="1:17" x14ac:dyDescent="0.3">
      <c r="A694" t="s">
        <v>1905</v>
      </c>
      <c r="B694" t="s">
        <v>903</v>
      </c>
      <c r="C694" s="2" t="str">
        <f>PROPER(TRIM(Table1[[#This Row],[Gender]]))</f>
        <v>Male</v>
      </c>
      <c r="D694" t="s">
        <v>16</v>
      </c>
      <c r="E694">
        <v>20</v>
      </c>
      <c r="F694" t="s">
        <v>49</v>
      </c>
      <c r="G694" s="1">
        <v>38358</v>
      </c>
      <c r="H694" t="s">
        <v>1906</v>
      </c>
      <c r="I694" s="2" t="str">
        <f t="shared" si="10"/>
        <v>+91-9819198561</v>
      </c>
      <c r="J694">
        <f>91-9819198652</f>
        <v>-9819198561</v>
      </c>
      <c r="K694" t="s">
        <v>19</v>
      </c>
      <c r="L694" t="s">
        <v>20</v>
      </c>
      <c r="M694">
        <v>974829</v>
      </c>
      <c r="N694" s="1">
        <v>45163</v>
      </c>
      <c r="O694" t="s">
        <v>28</v>
      </c>
      <c r="P694">
        <v>6</v>
      </c>
      <c r="Q694">
        <v>68775.490000000005</v>
      </c>
    </row>
    <row r="695" spans="1:17" x14ac:dyDescent="0.3">
      <c r="A695" t="s">
        <v>1907</v>
      </c>
      <c r="B695" t="s">
        <v>1908</v>
      </c>
      <c r="C695" s="2" t="str">
        <f>PROPER(TRIM(Table1[[#This Row],[Gender]]))</f>
        <v>Female</v>
      </c>
      <c r="D695" t="s">
        <v>43</v>
      </c>
      <c r="E695">
        <v>35</v>
      </c>
      <c r="F695" t="s">
        <v>31</v>
      </c>
      <c r="G695" s="1">
        <v>32883</v>
      </c>
      <c r="H695" t="s">
        <v>1909</v>
      </c>
      <c r="I695" s="2" t="str">
        <f t="shared" si="10"/>
        <v>+91-7821319499</v>
      </c>
      <c r="J695">
        <f>91-7821319590</f>
        <v>-7821319499</v>
      </c>
      <c r="K695" t="s">
        <v>580</v>
      </c>
      <c r="L695" t="s">
        <v>85</v>
      </c>
      <c r="M695">
        <v>367485</v>
      </c>
      <c r="N695" s="1">
        <v>45364</v>
      </c>
      <c r="O695" t="s">
        <v>28</v>
      </c>
      <c r="P695">
        <v>5</v>
      </c>
      <c r="Q695">
        <v>83044.399999999994</v>
      </c>
    </row>
    <row r="696" spans="1:17" x14ac:dyDescent="0.3">
      <c r="A696" t="s">
        <v>1910</v>
      </c>
      <c r="B696" t="s">
        <v>1608</v>
      </c>
      <c r="C696" s="2" t="str">
        <f>PROPER(TRIM(Table1[[#This Row],[Gender]]))</f>
        <v>Male</v>
      </c>
      <c r="D696" t="s">
        <v>16</v>
      </c>
      <c r="E696">
        <v>42</v>
      </c>
      <c r="F696" t="s">
        <v>38</v>
      </c>
      <c r="G696" s="1">
        <v>30328</v>
      </c>
      <c r="H696" t="s">
        <v>1911</v>
      </c>
      <c r="I696" s="2" t="str">
        <f t="shared" si="10"/>
        <v>+91-8751446094</v>
      </c>
      <c r="J696">
        <f>91-8751446185</f>
        <v>-8751446094</v>
      </c>
      <c r="K696" t="s">
        <v>109</v>
      </c>
      <c r="L696" t="s">
        <v>46</v>
      </c>
      <c r="M696">
        <v>487515</v>
      </c>
      <c r="N696" s="1">
        <v>45407</v>
      </c>
      <c r="O696" t="s">
        <v>28</v>
      </c>
      <c r="P696">
        <v>3</v>
      </c>
      <c r="Q696">
        <v>55716.82</v>
      </c>
    </row>
    <row r="697" spans="1:17" x14ac:dyDescent="0.3">
      <c r="A697" t="s">
        <v>1912</v>
      </c>
      <c r="B697" t="s">
        <v>1913</v>
      </c>
      <c r="C697" s="2" t="str">
        <f>PROPER(TRIM(Table1[[#This Row],[Gender]]))</f>
        <v>Female</v>
      </c>
      <c r="D697" t="s">
        <v>43</v>
      </c>
      <c r="E697">
        <v>19</v>
      </c>
      <c r="F697" t="s">
        <v>49</v>
      </c>
      <c r="G697" s="1">
        <v>38723</v>
      </c>
      <c r="H697" t="s">
        <v>1914</v>
      </c>
      <c r="I697" s="2" t="str">
        <f t="shared" si="10"/>
        <v>+91-9484456804</v>
      </c>
      <c r="J697">
        <f>91-9484456895</f>
        <v>-9484456804</v>
      </c>
      <c r="K697" t="s">
        <v>89</v>
      </c>
      <c r="L697" t="s">
        <v>90</v>
      </c>
      <c r="M697">
        <v>449762</v>
      </c>
      <c r="N697" s="1">
        <v>45302</v>
      </c>
      <c r="O697" t="s">
        <v>35</v>
      </c>
      <c r="P697">
        <v>2</v>
      </c>
      <c r="Q697">
        <v>6907.48</v>
      </c>
    </row>
    <row r="698" spans="1:17" x14ac:dyDescent="0.3">
      <c r="A698" t="s">
        <v>1915</v>
      </c>
      <c r="B698" t="s">
        <v>1916</v>
      </c>
      <c r="C698" s="2" t="str">
        <f>PROPER(TRIM(Table1[[#This Row],[Gender]]))</f>
        <v>Male</v>
      </c>
      <c r="D698" t="s">
        <v>16</v>
      </c>
      <c r="E698">
        <v>26</v>
      </c>
      <c r="F698" t="s">
        <v>31</v>
      </c>
      <c r="G698" s="1">
        <v>36168</v>
      </c>
      <c r="H698" t="s">
        <v>1917</v>
      </c>
      <c r="I698" s="2" t="str">
        <f t="shared" si="10"/>
        <v>+91-7882013803</v>
      </c>
      <c r="J698">
        <f>91-7882013894</f>
        <v>-7882013803</v>
      </c>
      <c r="K698" t="s">
        <v>101</v>
      </c>
      <c r="L698" t="s">
        <v>102</v>
      </c>
      <c r="M698">
        <v>523508</v>
      </c>
      <c r="N698" s="1">
        <v>45131</v>
      </c>
      <c r="O698" t="s">
        <v>28</v>
      </c>
      <c r="P698">
        <v>9</v>
      </c>
      <c r="Q698">
        <v>236366.17</v>
      </c>
    </row>
    <row r="699" spans="1:17" x14ac:dyDescent="0.3">
      <c r="A699" t="s">
        <v>1918</v>
      </c>
      <c r="B699" t="s">
        <v>1919</v>
      </c>
      <c r="C699" s="2" t="str">
        <f>PROPER(TRIM(Table1[[#This Row],[Gender]]))</f>
        <v>Male</v>
      </c>
      <c r="D699" t="s">
        <v>16</v>
      </c>
      <c r="E699">
        <v>35</v>
      </c>
      <c r="F699" t="s">
        <v>31</v>
      </c>
      <c r="G699" s="1">
        <v>32883</v>
      </c>
      <c r="H699" t="s">
        <v>1920</v>
      </c>
      <c r="I699" s="2" t="str">
        <f t="shared" si="10"/>
        <v>+91-9416808486</v>
      </c>
      <c r="J699">
        <f>91-9416808577</f>
        <v>-9416808486</v>
      </c>
      <c r="K699" t="s">
        <v>45</v>
      </c>
      <c r="L699" t="s">
        <v>46</v>
      </c>
      <c r="M699">
        <v>784595</v>
      </c>
      <c r="N699" s="1">
        <v>45381</v>
      </c>
      <c r="O699" t="s">
        <v>28</v>
      </c>
      <c r="P699">
        <v>6</v>
      </c>
      <c r="Q699">
        <v>436883.1</v>
      </c>
    </row>
    <row r="700" spans="1:17" x14ac:dyDescent="0.3">
      <c r="A700" t="s">
        <v>1921</v>
      </c>
      <c r="B700" t="s">
        <v>307</v>
      </c>
      <c r="C700" s="2" t="str">
        <f>PROPER(TRIM(Table1[[#This Row],[Gender]]))</f>
        <v>Female</v>
      </c>
      <c r="D700" t="s">
        <v>43</v>
      </c>
      <c r="E700">
        <v>27</v>
      </c>
      <c r="F700" t="s">
        <v>31</v>
      </c>
      <c r="G700" s="1">
        <v>35803</v>
      </c>
      <c r="H700" t="s">
        <v>1922</v>
      </c>
      <c r="I700" s="2" t="str">
        <f t="shared" si="10"/>
        <v>+91-7017036730</v>
      </c>
      <c r="J700">
        <f>91-7017036821</f>
        <v>-7017036730</v>
      </c>
      <c r="K700" t="s">
        <v>125</v>
      </c>
      <c r="L700" t="s">
        <v>52</v>
      </c>
      <c r="M700">
        <v>516952</v>
      </c>
      <c r="N700" s="1">
        <v>45384</v>
      </c>
      <c r="O700" t="s">
        <v>28</v>
      </c>
      <c r="P700">
        <v>5</v>
      </c>
      <c r="Q700">
        <v>310317.02</v>
      </c>
    </row>
    <row r="701" spans="1:17" x14ac:dyDescent="0.3">
      <c r="A701" t="s">
        <v>1923</v>
      </c>
      <c r="B701" t="s">
        <v>890</v>
      </c>
      <c r="C701" s="2" t="str">
        <f>PROPER(TRIM(Table1[[#This Row],[Gender]]))</f>
        <v>Female</v>
      </c>
      <c r="D701" t="s">
        <v>43</v>
      </c>
      <c r="E701">
        <v>53</v>
      </c>
      <c r="F701" t="s">
        <v>17</v>
      </c>
      <c r="G701" s="1">
        <v>26313</v>
      </c>
      <c r="H701" t="s">
        <v>1924</v>
      </c>
      <c r="I701" s="2" t="str">
        <f t="shared" si="10"/>
        <v>+91-9581141290</v>
      </c>
      <c r="J701">
        <f>91-9581141381</f>
        <v>-9581141290</v>
      </c>
      <c r="K701" t="s">
        <v>89</v>
      </c>
      <c r="L701" t="s">
        <v>90</v>
      </c>
      <c r="M701">
        <v>559128</v>
      </c>
      <c r="N701" s="1">
        <v>45237</v>
      </c>
      <c r="O701" t="s">
        <v>21</v>
      </c>
      <c r="P701">
        <v>4</v>
      </c>
      <c r="Q701">
        <v>32646.29</v>
      </c>
    </row>
    <row r="702" spans="1:17" x14ac:dyDescent="0.3">
      <c r="A702" t="s">
        <v>1925</v>
      </c>
      <c r="B702" t="s">
        <v>1926</v>
      </c>
      <c r="C702" s="2" t="str">
        <f>PROPER(TRIM(Table1[[#This Row],[Gender]]))</f>
        <v>Female</v>
      </c>
      <c r="D702" t="s">
        <v>43</v>
      </c>
      <c r="E702">
        <v>23</v>
      </c>
      <c r="F702" t="s">
        <v>49</v>
      </c>
      <c r="G702" s="1">
        <v>37263</v>
      </c>
      <c r="H702" t="s">
        <v>1927</v>
      </c>
      <c r="I702" s="2" t="str">
        <f t="shared" si="10"/>
        <v>+91-7486084388</v>
      </c>
      <c r="J702">
        <f>91-7486084479</f>
        <v>-7486084388</v>
      </c>
      <c r="K702" t="s">
        <v>68</v>
      </c>
      <c r="L702" t="s">
        <v>52</v>
      </c>
      <c r="M702">
        <v>389137</v>
      </c>
      <c r="N702" s="1">
        <v>45090</v>
      </c>
      <c r="O702" t="s">
        <v>28</v>
      </c>
      <c r="P702">
        <v>6</v>
      </c>
      <c r="Q702">
        <v>220334.1</v>
      </c>
    </row>
    <row r="703" spans="1:17" x14ac:dyDescent="0.3">
      <c r="A703" t="s">
        <v>1928</v>
      </c>
      <c r="B703" t="s">
        <v>1929</v>
      </c>
      <c r="C703" s="2" t="str">
        <f>PROPER(TRIM(Table1[[#This Row],[Gender]]))</f>
        <v>Female</v>
      </c>
      <c r="D703" t="s">
        <v>43</v>
      </c>
      <c r="E703">
        <v>21</v>
      </c>
      <c r="F703" t="s">
        <v>49</v>
      </c>
      <c r="G703" s="1">
        <v>37993</v>
      </c>
      <c r="H703" t="s">
        <v>1930</v>
      </c>
      <c r="I703" s="2" t="str">
        <f t="shared" si="10"/>
        <v>+91-8284062970</v>
      </c>
      <c r="J703">
        <f>91-8284063061</f>
        <v>-8284062970</v>
      </c>
      <c r="K703" t="s">
        <v>154</v>
      </c>
      <c r="L703" t="s">
        <v>46</v>
      </c>
      <c r="M703">
        <v>694118</v>
      </c>
      <c r="N703" s="1">
        <v>45410</v>
      </c>
      <c r="O703" t="s">
        <v>28</v>
      </c>
      <c r="P703">
        <v>7</v>
      </c>
      <c r="Q703">
        <v>171106.15</v>
      </c>
    </row>
    <row r="704" spans="1:17" x14ac:dyDescent="0.3">
      <c r="A704" t="s">
        <v>1931</v>
      </c>
      <c r="B704" t="s">
        <v>1932</v>
      </c>
      <c r="C704" s="2" t="str">
        <f>PROPER(TRIM(Table1[[#This Row],[Gender]]))</f>
        <v>Female</v>
      </c>
      <c r="D704" t="s">
        <v>43</v>
      </c>
      <c r="E704">
        <v>21</v>
      </c>
      <c r="F704" t="s">
        <v>49</v>
      </c>
      <c r="G704" s="1">
        <v>37993</v>
      </c>
      <c r="H704" t="s">
        <v>1933</v>
      </c>
      <c r="I704" s="2" t="str">
        <f t="shared" si="10"/>
        <v>+91-8997413333</v>
      </c>
      <c r="J704">
        <f>91-8997413424</f>
        <v>-8997413333</v>
      </c>
      <c r="K704" t="s">
        <v>76</v>
      </c>
      <c r="L704" t="s">
        <v>46</v>
      </c>
      <c r="M704">
        <v>695739</v>
      </c>
      <c r="N704" s="1">
        <v>45393</v>
      </c>
      <c r="O704" t="s">
        <v>28</v>
      </c>
      <c r="P704">
        <v>8</v>
      </c>
      <c r="Q704">
        <v>253566.56</v>
      </c>
    </row>
    <row r="705" spans="1:17" x14ac:dyDescent="0.3">
      <c r="A705" t="s">
        <v>1934</v>
      </c>
      <c r="B705" t="s">
        <v>1935</v>
      </c>
      <c r="C705" s="2" t="str">
        <f>PROPER(TRIM(Table1[[#This Row],[Gender]]))</f>
        <v>Female</v>
      </c>
      <c r="D705" t="s">
        <v>43</v>
      </c>
      <c r="E705">
        <v>33</v>
      </c>
      <c r="F705" t="s">
        <v>31</v>
      </c>
      <c r="G705" s="1">
        <v>33613</v>
      </c>
      <c r="H705" t="s">
        <v>1936</v>
      </c>
      <c r="I705" s="2" t="str">
        <f t="shared" si="10"/>
        <v>+91-7768591202</v>
      </c>
      <c r="J705">
        <f>91-7768591293</f>
        <v>-7768591202</v>
      </c>
      <c r="K705" t="s">
        <v>64</v>
      </c>
      <c r="L705" t="s">
        <v>20</v>
      </c>
      <c r="M705">
        <v>659679</v>
      </c>
      <c r="N705" s="1">
        <v>45140</v>
      </c>
      <c r="O705" t="s">
        <v>35</v>
      </c>
      <c r="P705">
        <v>2</v>
      </c>
      <c r="Q705">
        <v>4716.37</v>
      </c>
    </row>
    <row r="706" spans="1:17" x14ac:dyDescent="0.3">
      <c r="A706" t="s">
        <v>1937</v>
      </c>
      <c r="B706" t="s">
        <v>737</v>
      </c>
      <c r="C706" s="2" t="str">
        <f>PROPER(TRIM(Table1[[#This Row],[Gender]]))</f>
        <v>Male</v>
      </c>
      <c r="D706" t="s">
        <v>16</v>
      </c>
      <c r="E706">
        <v>21</v>
      </c>
      <c r="F706" t="s">
        <v>49</v>
      </c>
      <c r="G706" s="1">
        <v>37993</v>
      </c>
      <c r="H706" t="s">
        <v>1938</v>
      </c>
      <c r="I706" s="2" t="str">
        <f t="shared" ref="I706:I769" si="11">"+91"&amp;TEXT(J706,"0000000000")</f>
        <v>+91-7103501986</v>
      </c>
      <c r="J706">
        <f>91-7103502077</f>
        <v>-7103501986</v>
      </c>
      <c r="K706" t="s">
        <v>239</v>
      </c>
      <c r="L706" t="s">
        <v>191</v>
      </c>
      <c r="M706">
        <v>544192</v>
      </c>
      <c r="N706" s="1">
        <v>45107</v>
      </c>
      <c r="O706" t="s">
        <v>28</v>
      </c>
      <c r="P706">
        <v>5</v>
      </c>
      <c r="Q706">
        <v>178149.34</v>
      </c>
    </row>
    <row r="707" spans="1:17" x14ac:dyDescent="0.3">
      <c r="A707" t="s">
        <v>1939</v>
      </c>
      <c r="B707" t="s">
        <v>1668</v>
      </c>
      <c r="C707" s="2" t="str">
        <f>PROPER(TRIM(Table1[[#This Row],[Gender]]))</f>
        <v>Male</v>
      </c>
      <c r="D707" t="s">
        <v>16</v>
      </c>
      <c r="E707">
        <v>21</v>
      </c>
      <c r="F707" t="s">
        <v>49</v>
      </c>
      <c r="G707" s="1">
        <v>37993</v>
      </c>
      <c r="H707" t="s">
        <v>1940</v>
      </c>
      <c r="I707" s="2" t="str">
        <f t="shared" si="11"/>
        <v>+91-7045850186</v>
      </c>
      <c r="J707">
        <f>91-7045850277</f>
        <v>-7045850186</v>
      </c>
      <c r="K707" t="s">
        <v>273</v>
      </c>
      <c r="L707" t="s">
        <v>46</v>
      </c>
      <c r="M707">
        <v>954457</v>
      </c>
      <c r="N707" s="1">
        <v>45276</v>
      </c>
      <c r="O707" t="s">
        <v>28</v>
      </c>
      <c r="P707">
        <v>6</v>
      </c>
      <c r="Q707">
        <v>353180.8</v>
      </c>
    </row>
    <row r="708" spans="1:17" x14ac:dyDescent="0.3">
      <c r="A708" t="s">
        <v>1941</v>
      </c>
      <c r="B708" t="s">
        <v>1862</v>
      </c>
      <c r="C708" s="2" t="str">
        <f>PROPER(TRIM(Table1[[#This Row],[Gender]]))</f>
        <v>Female</v>
      </c>
      <c r="D708" t="s">
        <v>43</v>
      </c>
      <c r="E708">
        <v>66</v>
      </c>
      <c r="F708" t="s">
        <v>24</v>
      </c>
      <c r="G708" s="1">
        <v>21568</v>
      </c>
      <c r="H708" t="s">
        <v>1942</v>
      </c>
      <c r="I708" s="2" t="str">
        <f t="shared" si="11"/>
        <v>+91-9403863776</v>
      </c>
      <c r="J708">
        <f>91-9403863867</f>
        <v>-9403863776</v>
      </c>
      <c r="K708" t="s">
        <v>33</v>
      </c>
      <c r="L708" t="s">
        <v>34</v>
      </c>
      <c r="M708">
        <v>299291</v>
      </c>
      <c r="N708" s="1">
        <v>45132</v>
      </c>
      <c r="O708" t="s">
        <v>21</v>
      </c>
      <c r="P708">
        <v>3</v>
      </c>
      <c r="Q708">
        <v>22890.26</v>
      </c>
    </row>
    <row r="709" spans="1:17" x14ac:dyDescent="0.3">
      <c r="A709" t="s">
        <v>1943</v>
      </c>
      <c r="B709" t="s">
        <v>336</v>
      </c>
      <c r="C709" s="2" t="str">
        <f>PROPER(TRIM(Table1[[#This Row],[Gender]]))</f>
        <v>Male</v>
      </c>
      <c r="D709" t="s">
        <v>16</v>
      </c>
      <c r="E709">
        <v>34</v>
      </c>
      <c r="F709" t="s">
        <v>31</v>
      </c>
      <c r="G709" s="1">
        <v>33248</v>
      </c>
      <c r="H709" t="s">
        <v>1944</v>
      </c>
      <c r="I709" s="2" t="str">
        <f t="shared" si="11"/>
        <v>+91-7184854954</v>
      </c>
      <c r="J709">
        <f>91-7184855045</f>
        <v>-7184854954</v>
      </c>
      <c r="K709" t="s">
        <v>273</v>
      </c>
      <c r="L709" t="s">
        <v>46</v>
      </c>
      <c r="M709">
        <v>820330</v>
      </c>
      <c r="N709" s="1">
        <v>45246</v>
      </c>
      <c r="O709" t="s">
        <v>35</v>
      </c>
      <c r="P709">
        <v>3</v>
      </c>
      <c r="Q709">
        <v>18441.580000000002</v>
      </c>
    </row>
    <row r="710" spans="1:17" x14ac:dyDescent="0.3">
      <c r="A710" t="s">
        <v>1945</v>
      </c>
      <c r="B710" t="s">
        <v>82</v>
      </c>
      <c r="C710" s="2" t="str">
        <f>PROPER(TRIM(Table1[[#This Row],[Gender]]))</f>
        <v>Female</v>
      </c>
      <c r="D710" t="s">
        <v>43</v>
      </c>
      <c r="E710">
        <v>28</v>
      </c>
      <c r="F710" t="s">
        <v>31</v>
      </c>
      <c r="G710" s="1">
        <v>35438</v>
      </c>
      <c r="H710" t="s">
        <v>1946</v>
      </c>
      <c r="I710" s="2" t="str">
        <f t="shared" si="11"/>
        <v>+91-9659437235</v>
      </c>
      <c r="J710">
        <f>91-9659437326</f>
        <v>-9659437235</v>
      </c>
      <c r="K710" t="s">
        <v>45</v>
      </c>
      <c r="L710" t="s">
        <v>46</v>
      </c>
      <c r="M710">
        <v>818478</v>
      </c>
      <c r="N710" s="1">
        <v>45292</v>
      </c>
      <c r="O710" t="s">
        <v>35</v>
      </c>
      <c r="P710">
        <v>3</v>
      </c>
      <c r="Q710">
        <v>19372.12</v>
      </c>
    </row>
    <row r="711" spans="1:17" x14ac:dyDescent="0.3">
      <c r="A711" t="s">
        <v>1947</v>
      </c>
      <c r="B711" t="s">
        <v>1948</v>
      </c>
      <c r="C711" s="2" t="str">
        <f>PROPER(TRIM(Table1[[#This Row],[Gender]]))</f>
        <v>Male</v>
      </c>
      <c r="D711" t="s">
        <v>16</v>
      </c>
      <c r="E711">
        <v>25</v>
      </c>
      <c r="F711" t="s">
        <v>49</v>
      </c>
      <c r="G711" s="1">
        <v>36533</v>
      </c>
      <c r="H711" t="s">
        <v>1949</v>
      </c>
      <c r="I711" s="2" t="str">
        <f t="shared" si="11"/>
        <v>+91-7337533136</v>
      </c>
      <c r="J711">
        <f>91-7337533227</f>
        <v>-7337533136</v>
      </c>
      <c r="K711" t="s">
        <v>178</v>
      </c>
      <c r="L711" t="s">
        <v>27</v>
      </c>
      <c r="M711">
        <v>761071</v>
      </c>
      <c r="N711" s="1">
        <v>45133</v>
      </c>
      <c r="O711" t="s">
        <v>21</v>
      </c>
      <c r="P711">
        <v>5</v>
      </c>
      <c r="Q711">
        <v>46234.99</v>
      </c>
    </row>
    <row r="712" spans="1:17" x14ac:dyDescent="0.3">
      <c r="A712" t="s">
        <v>1950</v>
      </c>
      <c r="B712" t="s">
        <v>1951</v>
      </c>
      <c r="C712" s="2" t="str">
        <f>PROPER(TRIM(Table1[[#This Row],[Gender]]))</f>
        <v>Male</v>
      </c>
      <c r="D712" t="s">
        <v>16</v>
      </c>
      <c r="E712">
        <v>32</v>
      </c>
      <c r="F712" t="s">
        <v>31</v>
      </c>
      <c r="G712" s="1">
        <v>33978</v>
      </c>
      <c r="H712" t="s">
        <v>1952</v>
      </c>
      <c r="I712" s="2" t="str">
        <f t="shared" si="11"/>
        <v>+91-7587589468</v>
      </c>
      <c r="J712">
        <f>91-7587589559</f>
        <v>-7587589468</v>
      </c>
      <c r="K712" t="s">
        <v>174</v>
      </c>
      <c r="L712" t="s">
        <v>90</v>
      </c>
      <c r="M712">
        <v>171535</v>
      </c>
      <c r="N712" s="1">
        <v>45203</v>
      </c>
      <c r="O712" t="s">
        <v>28</v>
      </c>
      <c r="P712">
        <v>8</v>
      </c>
      <c r="Q712">
        <v>69948.23</v>
      </c>
    </row>
    <row r="713" spans="1:17" x14ac:dyDescent="0.3">
      <c r="A713" t="s">
        <v>1953</v>
      </c>
      <c r="B713" t="s">
        <v>1454</v>
      </c>
      <c r="C713" s="2" t="str">
        <f>PROPER(TRIM(Table1[[#This Row],[Gender]]))</f>
        <v>Female</v>
      </c>
      <c r="D713" t="s">
        <v>43</v>
      </c>
      <c r="E713">
        <v>30</v>
      </c>
      <c r="F713" t="s">
        <v>31</v>
      </c>
      <c r="G713" s="1">
        <v>34708</v>
      </c>
      <c r="H713" t="s">
        <v>1954</v>
      </c>
      <c r="I713" s="2" t="str">
        <f t="shared" si="11"/>
        <v>+91-8566106900</v>
      </c>
      <c r="J713">
        <f>91-8566106991</f>
        <v>-8566106900</v>
      </c>
      <c r="K713" t="s">
        <v>68</v>
      </c>
      <c r="L713" t="s">
        <v>52</v>
      </c>
      <c r="M713">
        <v>950021</v>
      </c>
      <c r="N713" s="1">
        <v>45218</v>
      </c>
      <c r="O713" t="s">
        <v>28</v>
      </c>
      <c r="P713">
        <v>6</v>
      </c>
      <c r="Q713">
        <v>244221.39</v>
      </c>
    </row>
    <row r="714" spans="1:17" x14ac:dyDescent="0.3">
      <c r="A714" t="s">
        <v>1955</v>
      </c>
      <c r="B714" t="s">
        <v>1956</v>
      </c>
      <c r="C714" s="2" t="str">
        <f>PROPER(TRIM(Table1[[#This Row],[Gender]]))</f>
        <v>Female</v>
      </c>
      <c r="D714" t="s">
        <v>43</v>
      </c>
      <c r="E714">
        <v>37</v>
      </c>
      <c r="F714" t="s">
        <v>38</v>
      </c>
      <c r="G714" s="1">
        <v>32153</v>
      </c>
      <c r="H714" t="s">
        <v>1957</v>
      </c>
      <c r="I714" s="2" t="str">
        <f t="shared" si="11"/>
        <v>+91-8957203195</v>
      </c>
      <c r="J714">
        <f>91-8957203286</f>
        <v>-8957203195</v>
      </c>
      <c r="K714" t="s">
        <v>84</v>
      </c>
      <c r="L714" t="s">
        <v>85</v>
      </c>
      <c r="M714">
        <v>335715</v>
      </c>
      <c r="N714" s="1">
        <v>45184</v>
      </c>
      <c r="O714" t="s">
        <v>28</v>
      </c>
      <c r="P714">
        <v>6</v>
      </c>
      <c r="Q714">
        <v>158439.76</v>
      </c>
    </row>
    <row r="715" spans="1:17" x14ac:dyDescent="0.3">
      <c r="A715" t="s">
        <v>1958</v>
      </c>
      <c r="B715" t="s">
        <v>1959</v>
      </c>
      <c r="C715" s="2" t="str">
        <f>PROPER(TRIM(Table1[[#This Row],[Gender]]))</f>
        <v>Male</v>
      </c>
      <c r="D715" t="s">
        <v>16</v>
      </c>
      <c r="E715">
        <v>48</v>
      </c>
      <c r="F715" t="s">
        <v>17</v>
      </c>
      <c r="G715" s="1">
        <v>28138</v>
      </c>
      <c r="H715" t="s">
        <v>1960</v>
      </c>
      <c r="I715" s="2" t="str">
        <f t="shared" si="11"/>
        <v>+91-7978759876</v>
      </c>
      <c r="J715">
        <f>91-7978759967</f>
        <v>-7978759876</v>
      </c>
      <c r="K715" t="s">
        <v>273</v>
      </c>
      <c r="L715" t="s">
        <v>46</v>
      </c>
      <c r="M715">
        <v>683726</v>
      </c>
      <c r="N715" s="1">
        <v>45148</v>
      </c>
      <c r="O715" t="s">
        <v>21</v>
      </c>
      <c r="P715">
        <v>5</v>
      </c>
      <c r="Q715">
        <v>30692.080000000002</v>
      </c>
    </row>
    <row r="716" spans="1:17" x14ac:dyDescent="0.3">
      <c r="A716" t="s">
        <v>1961</v>
      </c>
      <c r="B716" t="s">
        <v>1962</v>
      </c>
      <c r="C716" s="2" t="str">
        <f>PROPER(TRIM(Table1[[#This Row],[Gender]]))</f>
        <v>Female</v>
      </c>
      <c r="D716" t="s">
        <v>43</v>
      </c>
      <c r="E716">
        <v>33</v>
      </c>
      <c r="F716" t="s">
        <v>31</v>
      </c>
      <c r="G716" s="1">
        <v>33613</v>
      </c>
      <c r="H716" t="s">
        <v>1963</v>
      </c>
      <c r="I716" s="2" t="str">
        <f t="shared" si="11"/>
        <v>+91-9134466245</v>
      </c>
      <c r="J716">
        <f>91-9134466336</f>
        <v>-9134466245</v>
      </c>
      <c r="K716" t="s">
        <v>415</v>
      </c>
      <c r="L716" t="s">
        <v>90</v>
      </c>
      <c r="M716">
        <v>273790</v>
      </c>
      <c r="N716" s="1">
        <v>45250</v>
      </c>
      <c r="O716" t="s">
        <v>28</v>
      </c>
      <c r="P716">
        <v>4</v>
      </c>
      <c r="Q716">
        <v>89494.38</v>
      </c>
    </row>
    <row r="717" spans="1:17" x14ac:dyDescent="0.3">
      <c r="A717" t="s">
        <v>1964</v>
      </c>
      <c r="B717" t="s">
        <v>1686</v>
      </c>
      <c r="C717" s="2" t="str">
        <f>PROPER(TRIM(Table1[[#This Row],[Gender]]))</f>
        <v>Female</v>
      </c>
      <c r="D717" t="s">
        <v>43</v>
      </c>
      <c r="E717">
        <v>25</v>
      </c>
      <c r="F717" t="s">
        <v>49</v>
      </c>
      <c r="G717" s="1">
        <v>36533</v>
      </c>
      <c r="H717" t="s">
        <v>1965</v>
      </c>
      <c r="I717" s="2" t="str">
        <f t="shared" si="11"/>
        <v>+91-9728442792</v>
      </c>
      <c r="J717">
        <f>91-9728442883</f>
        <v>-9728442792</v>
      </c>
      <c r="K717" t="s">
        <v>239</v>
      </c>
      <c r="L717" t="s">
        <v>191</v>
      </c>
      <c r="M717">
        <v>455827</v>
      </c>
      <c r="N717" s="1">
        <v>45340</v>
      </c>
      <c r="O717" t="s">
        <v>28</v>
      </c>
      <c r="P717">
        <v>3</v>
      </c>
      <c r="Q717">
        <v>76155.72</v>
      </c>
    </row>
    <row r="718" spans="1:17" x14ac:dyDescent="0.3">
      <c r="A718" t="s">
        <v>1966</v>
      </c>
      <c r="B718" t="s">
        <v>1967</v>
      </c>
      <c r="C718" s="2" t="str">
        <f>PROPER(TRIM(Table1[[#This Row],[Gender]]))</f>
        <v>Male</v>
      </c>
      <c r="D718" t="s">
        <v>16</v>
      </c>
      <c r="E718">
        <v>19</v>
      </c>
      <c r="F718" t="s">
        <v>49</v>
      </c>
      <c r="G718" s="1">
        <v>38723</v>
      </c>
      <c r="H718" t="s">
        <v>1968</v>
      </c>
      <c r="I718" s="2" t="str">
        <f t="shared" si="11"/>
        <v>+91-9297904585</v>
      </c>
      <c r="J718">
        <f>91-9297904676</f>
        <v>-9297904585</v>
      </c>
      <c r="K718" t="s">
        <v>154</v>
      </c>
      <c r="L718" t="s">
        <v>46</v>
      </c>
      <c r="M718">
        <v>997320</v>
      </c>
      <c r="N718" s="1">
        <v>45354</v>
      </c>
      <c r="O718" t="s">
        <v>21</v>
      </c>
      <c r="P718">
        <v>6</v>
      </c>
      <c r="Q718">
        <v>24261.39</v>
      </c>
    </row>
    <row r="719" spans="1:17" x14ac:dyDescent="0.3">
      <c r="A719" t="s">
        <v>1969</v>
      </c>
      <c r="B719" t="s">
        <v>1970</v>
      </c>
      <c r="C719" s="2" t="str">
        <f>PROPER(TRIM(Table1[[#This Row],[Gender]]))</f>
        <v>Female</v>
      </c>
      <c r="D719" t="s">
        <v>43</v>
      </c>
      <c r="E719">
        <v>31</v>
      </c>
      <c r="F719" t="s">
        <v>31</v>
      </c>
      <c r="G719" s="1">
        <v>34343</v>
      </c>
      <c r="H719" t="s">
        <v>1971</v>
      </c>
      <c r="I719" s="2" t="str">
        <f t="shared" si="11"/>
        <v>+91-7729552154</v>
      </c>
      <c r="J719">
        <f>91-7729552245</f>
        <v>-7729552154</v>
      </c>
      <c r="K719" t="s">
        <v>80</v>
      </c>
      <c r="L719" t="s">
        <v>20</v>
      </c>
      <c r="M719">
        <v>635069</v>
      </c>
      <c r="N719" s="1">
        <v>45107</v>
      </c>
      <c r="O719" t="s">
        <v>28</v>
      </c>
      <c r="P719">
        <v>5</v>
      </c>
      <c r="Q719">
        <v>155210.32</v>
      </c>
    </row>
    <row r="720" spans="1:17" x14ac:dyDescent="0.3">
      <c r="A720" t="s">
        <v>1972</v>
      </c>
      <c r="B720" t="s">
        <v>70</v>
      </c>
      <c r="C720" s="2" t="str">
        <f>PROPER(TRIM(Table1[[#This Row],[Gender]]))</f>
        <v>Female</v>
      </c>
      <c r="D720" t="s">
        <v>43</v>
      </c>
      <c r="E720">
        <v>25</v>
      </c>
      <c r="F720" t="s">
        <v>49</v>
      </c>
      <c r="G720" s="1">
        <v>36533</v>
      </c>
      <c r="H720" t="s">
        <v>1973</v>
      </c>
      <c r="I720" s="2" t="str">
        <f t="shared" si="11"/>
        <v>+91-7511734155</v>
      </c>
      <c r="J720">
        <f>91-7511734246</f>
        <v>-7511734155</v>
      </c>
      <c r="K720" t="s">
        <v>154</v>
      </c>
      <c r="L720" t="s">
        <v>46</v>
      </c>
      <c r="M720">
        <v>643155</v>
      </c>
      <c r="N720" s="1">
        <v>45183</v>
      </c>
      <c r="O720" t="s">
        <v>35</v>
      </c>
      <c r="P720">
        <v>3</v>
      </c>
      <c r="Q720">
        <v>19725.759999999998</v>
      </c>
    </row>
    <row r="721" spans="1:17" x14ac:dyDescent="0.3">
      <c r="A721" t="s">
        <v>1974</v>
      </c>
      <c r="B721" t="s">
        <v>1245</v>
      </c>
      <c r="C721" s="2" t="str">
        <f>PROPER(TRIM(Table1[[#This Row],[Gender]]))</f>
        <v>Female</v>
      </c>
      <c r="D721" t="s">
        <v>43</v>
      </c>
      <c r="E721">
        <v>23</v>
      </c>
      <c r="F721" t="s">
        <v>49</v>
      </c>
      <c r="G721" s="1">
        <v>37263</v>
      </c>
      <c r="H721" t="s">
        <v>1246</v>
      </c>
      <c r="I721" s="2" t="str">
        <f t="shared" si="11"/>
        <v>+91-7195520624</v>
      </c>
      <c r="J721">
        <f>91-7195520715</f>
        <v>-7195520624</v>
      </c>
      <c r="K721" t="s">
        <v>154</v>
      </c>
      <c r="L721" t="s">
        <v>46</v>
      </c>
      <c r="M721">
        <v>156856</v>
      </c>
      <c r="N721" s="1">
        <v>45151</v>
      </c>
      <c r="O721" t="s">
        <v>28</v>
      </c>
      <c r="P721">
        <v>8</v>
      </c>
      <c r="Q721">
        <v>329239.65000000002</v>
      </c>
    </row>
    <row r="722" spans="1:17" x14ac:dyDescent="0.3">
      <c r="A722" t="s">
        <v>1975</v>
      </c>
      <c r="B722" t="s">
        <v>257</v>
      </c>
      <c r="C722" s="2" t="str">
        <f>PROPER(TRIM(Table1[[#This Row],[Gender]]))</f>
        <v>Male</v>
      </c>
      <c r="D722" t="s">
        <v>16</v>
      </c>
      <c r="E722">
        <v>20</v>
      </c>
      <c r="F722" t="s">
        <v>49</v>
      </c>
      <c r="G722" s="1">
        <v>38358</v>
      </c>
      <c r="H722" t="s">
        <v>1976</v>
      </c>
      <c r="I722" s="2" t="str">
        <f t="shared" si="11"/>
        <v>+91-8416167628</v>
      </c>
      <c r="J722">
        <f>91-8416167719</f>
        <v>-8416167628</v>
      </c>
      <c r="K722" t="s">
        <v>33</v>
      </c>
      <c r="L722" t="s">
        <v>34</v>
      </c>
      <c r="M722">
        <v>601872</v>
      </c>
      <c r="N722" s="1">
        <v>45192</v>
      </c>
      <c r="O722" t="s">
        <v>28</v>
      </c>
      <c r="P722">
        <v>4</v>
      </c>
      <c r="Q722">
        <v>93084.05</v>
      </c>
    </row>
    <row r="723" spans="1:17" x14ac:dyDescent="0.3">
      <c r="A723" t="s">
        <v>1977</v>
      </c>
      <c r="B723" t="s">
        <v>149</v>
      </c>
      <c r="C723" s="2" t="str">
        <f>PROPER(TRIM(Table1[[#This Row],[Gender]]))</f>
        <v>Male</v>
      </c>
      <c r="D723" t="s">
        <v>16</v>
      </c>
      <c r="E723">
        <v>18</v>
      </c>
      <c r="F723" t="s">
        <v>49</v>
      </c>
      <c r="G723" s="1">
        <v>39088</v>
      </c>
      <c r="H723" t="s">
        <v>1978</v>
      </c>
      <c r="I723" s="2" t="str">
        <f t="shared" si="11"/>
        <v>+91-8741623902</v>
      </c>
      <c r="J723">
        <f>91-8741623993</f>
        <v>-8741623902</v>
      </c>
      <c r="K723" t="s">
        <v>202</v>
      </c>
      <c r="L723" t="s">
        <v>191</v>
      </c>
      <c r="M723">
        <v>116492</v>
      </c>
      <c r="N723" s="1">
        <v>45155</v>
      </c>
      <c r="O723" t="s">
        <v>21</v>
      </c>
      <c r="P723">
        <v>5</v>
      </c>
      <c r="Q723">
        <v>41861.300000000003</v>
      </c>
    </row>
    <row r="724" spans="1:17" x14ac:dyDescent="0.3">
      <c r="A724" t="s">
        <v>1979</v>
      </c>
      <c r="B724" t="s">
        <v>1980</v>
      </c>
      <c r="C724" s="2" t="str">
        <f>PROPER(TRIM(Table1[[#This Row],[Gender]]))</f>
        <v>Male</v>
      </c>
      <c r="D724" t="s">
        <v>16</v>
      </c>
      <c r="E724">
        <v>35</v>
      </c>
      <c r="F724" t="s">
        <v>31</v>
      </c>
      <c r="G724" s="1">
        <v>32883</v>
      </c>
      <c r="H724" t="s">
        <v>1981</v>
      </c>
      <c r="I724" s="2" t="str">
        <f t="shared" si="11"/>
        <v>+91-8973225153</v>
      </c>
      <c r="J724">
        <f>91-8973225244</f>
        <v>-8973225153</v>
      </c>
      <c r="K724" t="s">
        <v>80</v>
      </c>
      <c r="L724" t="s">
        <v>20</v>
      </c>
      <c r="M724">
        <v>240576</v>
      </c>
      <c r="N724" s="1">
        <v>45268</v>
      </c>
      <c r="O724" t="s">
        <v>28</v>
      </c>
      <c r="P724">
        <v>4</v>
      </c>
      <c r="Q724">
        <v>109399.98</v>
      </c>
    </row>
    <row r="725" spans="1:17" x14ac:dyDescent="0.3">
      <c r="A725" t="s">
        <v>1982</v>
      </c>
      <c r="B725" t="s">
        <v>1983</v>
      </c>
      <c r="C725" s="2" t="str">
        <f>PROPER(TRIM(Table1[[#This Row],[Gender]]))</f>
        <v>Male</v>
      </c>
      <c r="D725" t="s">
        <v>16</v>
      </c>
      <c r="E725">
        <v>44</v>
      </c>
      <c r="F725" t="s">
        <v>38</v>
      </c>
      <c r="G725" s="1">
        <v>29598</v>
      </c>
      <c r="H725" t="s">
        <v>1984</v>
      </c>
      <c r="I725" s="2" t="str">
        <f t="shared" si="11"/>
        <v>+91-9980291441</v>
      </c>
      <c r="J725">
        <f>91-9980291532</f>
        <v>-9980291441</v>
      </c>
      <c r="K725" t="s">
        <v>190</v>
      </c>
      <c r="L725" t="s">
        <v>191</v>
      </c>
      <c r="M725">
        <v>329852</v>
      </c>
      <c r="N725" s="1">
        <v>45090</v>
      </c>
      <c r="O725" t="s">
        <v>21</v>
      </c>
      <c r="P725">
        <v>5</v>
      </c>
      <c r="Q725">
        <v>29866.87</v>
      </c>
    </row>
    <row r="726" spans="1:17" x14ac:dyDescent="0.3">
      <c r="A726" t="s">
        <v>1985</v>
      </c>
      <c r="B726" t="s">
        <v>1986</v>
      </c>
      <c r="C726" s="2" t="str">
        <f>PROPER(TRIM(Table1[[#This Row],[Gender]]))</f>
        <v>Male</v>
      </c>
      <c r="D726" t="s">
        <v>16</v>
      </c>
      <c r="E726">
        <v>31</v>
      </c>
      <c r="F726" t="s">
        <v>31</v>
      </c>
      <c r="G726" s="1">
        <v>34343</v>
      </c>
      <c r="H726" t="s">
        <v>1987</v>
      </c>
      <c r="I726" s="2" t="str">
        <f t="shared" si="11"/>
        <v>+91-7997555835</v>
      </c>
      <c r="J726">
        <f>91-7997555926</f>
        <v>-7997555835</v>
      </c>
      <c r="K726" t="s">
        <v>580</v>
      </c>
      <c r="L726" t="s">
        <v>85</v>
      </c>
      <c r="M726">
        <v>185338</v>
      </c>
      <c r="N726" s="1">
        <v>45291</v>
      </c>
      <c r="O726" t="s">
        <v>28</v>
      </c>
      <c r="P726">
        <v>7</v>
      </c>
      <c r="Q726">
        <v>286336.76</v>
      </c>
    </row>
    <row r="727" spans="1:17" x14ac:dyDescent="0.3">
      <c r="A727" t="s">
        <v>1988</v>
      </c>
      <c r="B727" t="s">
        <v>1989</v>
      </c>
      <c r="C727" s="2" t="str">
        <f>PROPER(TRIM(Table1[[#This Row],[Gender]]))</f>
        <v>Female</v>
      </c>
      <c r="D727" t="s">
        <v>43</v>
      </c>
      <c r="E727">
        <v>28</v>
      </c>
      <c r="F727" t="s">
        <v>31</v>
      </c>
      <c r="G727" s="1">
        <v>35438</v>
      </c>
      <c r="H727" t="s">
        <v>1990</v>
      </c>
      <c r="I727" s="2" t="str">
        <f t="shared" si="11"/>
        <v>+91-7906253110</v>
      </c>
      <c r="J727">
        <f>91-7906253201</f>
        <v>-7906253110</v>
      </c>
      <c r="K727" t="s">
        <v>249</v>
      </c>
      <c r="L727" t="s">
        <v>34</v>
      </c>
      <c r="M727">
        <v>341180</v>
      </c>
      <c r="N727" s="1">
        <v>45252</v>
      </c>
      <c r="O727" t="s">
        <v>21</v>
      </c>
      <c r="P727">
        <v>3</v>
      </c>
      <c r="Q727">
        <v>34992.980000000003</v>
      </c>
    </row>
    <row r="728" spans="1:17" x14ac:dyDescent="0.3">
      <c r="A728" t="s">
        <v>1991</v>
      </c>
      <c r="B728" t="s">
        <v>1992</v>
      </c>
      <c r="C728" s="2" t="str">
        <f>PROPER(TRIM(Table1[[#This Row],[Gender]]))</f>
        <v>Female</v>
      </c>
      <c r="D728" t="s">
        <v>43</v>
      </c>
      <c r="E728">
        <v>26</v>
      </c>
      <c r="F728" t="s">
        <v>31</v>
      </c>
      <c r="G728" s="1">
        <v>36168</v>
      </c>
      <c r="H728" t="s">
        <v>1993</v>
      </c>
      <c r="I728" s="2" t="str">
        <f t="shared" si="11"/>
        <v>+91-9205612490</v>
      </c>
      <c r="J728">
        <f>91-9205612581</f>
        <v>-9205612490</v>
      </c>
      <c r="K728" t="s">
        <v>369</v>
      </c>
      <c r="L728" t="s">
        <v>191</v>
      </c>
      <c r="M728">
        <v>766352</v>
      </c>
      <c r="N728" s="1">
        <v>45171</v>
      </c>
      <c r="O728" t="s">
        <v>28</v>
      </c>
      <c r="P728">
        <v>5</v>
      </c>
      <c r="Q728">
        <v>77759.240000000005</v>
      </c>
    </row>
    <row r="729" spans="1:17" x14ac:dyDescent="0.3">
      <c r="A729" t="s">
        <v>1994</v>
      </c>
      <c r="B729" t="s">
        <v>1995</v>
      </c>
      <c r="C729" s="2" t="str">
        <f>PROPER(TRIM(Table1[[#This Row],[Gender]]))</f>
        <v>Male</v>
      </c>
      <c r="D729" t="s">
        <v>16</v>
      </c>
      <c r="E729">
        <v>58</v>
      </c>
      <c r="F729" t="s">
        <v>58</v>
      </c>
      <c r="G729" s="1">
        <v>24488</v>
      </c>
      <c r="H729" t="s">
        <v>1996</v>
      </c>
      <c r="I729" s="2" t="str">
        <f t="shared" si="11"/>
        <v>+91-7139217494</v>
      </c>
      <c r="J729">
        <f>91-7139217585</f>
        <v>-7139217494</v>
      </c>
      <c r="K729" t="s">
        <v>580</v>
      </c>
      <c r="L729" t="s">
        <v>85</v>
      </c>
      <c r="M729">
        <v>189873</v>
      </c>
      <c r="N729" s="1">
        <v>45160</v>
      </c>
      <c r="O729" t="s">
        <v>35</v>
      </c>
      <c r="P729">
        <v>3</v>
      </c>
      <c r="Q729">
        <v>4676.91</v>
      </c>
    </row>
    <row r="730" spans="1:17" x14ac:dyDescent="0.3">
      <c r="A730" t="s">
        <v>1997</v>
      </c>
      <c r="B730" t="s">
        <v>136</v>
      </c>
      <c r="C730" s="2" t="str">
        <f>PROPER(TRIM(Table1[[#This Row],[Gender]]))</f>
        <v>Female</v>
      </c>
      <c r="D730" t="s">
        <v>43</v>
      </c>
      <c r="E730">
        <v>33</v>
      </c>
      <c r="F730" t="s">
        <v>31</v>
      </c>
      <c r="G730" s="1">
        <v>33613</v>
      </c>
      <c r="H730" t="s">
        <v>1998</v>
      </c>
      <c r="I730" s="2" t="str">
        <f t="shared" si="11"/>
        <v>+91-8802998150</v>
      </c>
      <c r="J730">
        <f>91-8802998241</f>
        <v>-8802998150</v>
      </c>
      <c r="K730" t="s">
        <v>80</v>
      </c>
      <c r="L730" t="s">
        <v>20</v>
      </c>
      <c r="M730">
        <v>993661</v>
      </c>
      <c r="N730" s="1">
        <v>45109</v>
      </c>
      <c r="O730" t="s">
        <v>21</v>
      </c>
      <c r="P730">
        <v>6</v>
      </c>
      <c r="Q730">
        <v>38732.61</v>
      </c>
    </row>
    <row r="731" spans="1:17" x14ac:dyDescent="0.3">
      <c r="A731" t="s">
        <v>1999</v>
      </c>
      <c r="B731" t="s">
        <v>2000</v>
      </c>
      <c r="C731" s="2" t="str">
        <f>PROPER(TRIM(Table1[[#This Row],[Gender]]))</f>
        <v>Male</v>
      </c>
      <c r="D731" t="s">
        <v>16</v>
      </c>
      <c r="E731">
        <v>35</v>
      </c>
      <c r="F731" t="s">
        <v>31</v>
      </c>
      <c r="G731" s="1">
        <v>32883</v>
      </c>
      <c r="H731" t="s">
        <v>2001</v>
      </c>
      <c r="I731" s="2" t="str">
        <f t="shared" si="11"/>
        <v>+91-8651347848</v>
      </c>
      <c r="J731">
        <f>91-8651347939</f>
        <v>-8651347848</v>
      </c>
      <c r="K731" t="s">
        <v>80</v>
      </c>
      <c r="L731" t="s">
        <v>20</v>
      </c>
      <c r="M731">
        <v>143476</v>
      </c>
      <c r="N731" s="1">
        <v>45113</v>
      </c>
      <c r="O731" t="s">
        <v>28</v>
      </c>
      <c r="P731">
        <v>4</v>
      </c>
      <c r="Q731">
        <v>245065.64</v>
      </c>
    </row>
    <row r="732" spans="1:17" x14ac:dyDescent="0.3">
      <c r="A732" t="s">
        <v>2002</v>
      </c>
      <c r="B732" t="s">
        <v>2003</v>
      </c>
      <c r="C732" s="2" t="str">
        <f>PROPER(TRIM(Table1[[#This Row],[Gender]]))</f>
        <v>Male</v>
      </c>
      <c r="D732" t="s">
        <v>16</v>
      </c>
      <c r="E732">
        <v>36</v>
      </c>
      <c r="F732" t="s">
        <v>38</v>
      </c>
      <c r="G732" s="1">
        <v>32518</v>
      </c>
      <c r="H732" t="s">
        <v>2004</v>
      </c>
      <c r="I732" s="2" t="str">
        <f t="shared" si="11"/>
        <v>+91-8425313692</v>
      </c>
      <c r="J732">
        <f>91-8425313783</f>
        <v>-8425313692</v>
      </c>
      <c r="K732" t="s">
        <v>239</v>
      </c>
      <c r="L732" t="s">
        <v>191</v>
      </c>
      <c r="M732">
        <v>809561</v>
      </c>
      <c r="N732" s="1">
        <v>45340</v>
      </c>
      <c r="O732" t="s">
        <v>28</v>
      </c>
      <c r="P732">
        <v>5</v>
      </c>
      <c r="Q732">
        <v>132434.12</v>
      </c>
    </row>
    <row r="733" spans="1:17" x14ac:dyDescent="0.3">
      <c r="A733" t="s">
        <v>2005</v>
      </c>
      <c r="B733" t="s">
        <v>374</v>
      </c>
      <c r="C733" s="2" t="str">
        <f>PROPER(TRIM(Table1[[#This Row],[Gender]]))</f>
        <v>Male</v>
      </c>
      <c r="D733" t="s">
        <v>16</v>
      </c>
      <c r="E733">
        <v>38</v>
      </c>
      <c r="F733" t="s">
        <v>38</v>
      </c>
      <c r="G733" s="1">
        <v>31788</v>
      </c>
      <c r="H733" t="s">
        <v>2006</v>
      </c>
      <c r="I733" s="2" t="str">
        <f t="shared" si="11"/>
        <v>+91-7537186116</v>
      </c>
      <c r="J733">
        <f>91-7537186207</f>
        <v>-7537186116</v>
      </c>
      <c r="K733" t="s">
        <v>19</v>
      </c>
      <c r="L733" t="s">
        <v>20</v>
      </c>
      <c r="M733">
        <v>304155</v>
      </c>
      <c r="N733" s="1">
        <v>45413</v>
      </c>
      <c r="O733" t="s">
        <v>28</v>
      </c>
      <c r="P733">
        <v>6</v>
      </c>
      <c r="Q733">
        <v>191003.53</v>
      </c>
    </row>
    <row r="734" spans="1:17" x14ac:dyDescent="0.3">
      <c r="A734" t="s">
        <v>2007</v>
      </c>
      <c r="B734" t="s">
        <v>814</v>
      </c>
      <c r="C734" s="2" t="str">
        <f>PROPER(TRIM(Table1[[#This Row],[Gender]]))</f>
        <v>Male</v>
      </c>
      <c r="D734" t="s">
        <v>16</v>
      </c>
      <c r="E734">
        <v>21</v>
      </c>
      <c r="F734" t="s">
        <v>49</v>
      </c>
      <c r="G734" s="1">
        <v>37993</v>
      </c>
      <c r="H734" t="s">
        <v>2008</v>
      </c>
      <c r="I734" s="2" t="str">
        <f t="shared" si="11"/>
        <v>+91-8536843121</v>
      </c>
      <c r="J734">
        <f>91-8536843212</f>
        <v>-8536843121</v>
      </c>
      <c r="K734" t="s">
        <v>273</v>
      </c>
      <c r="L734" t="s">
        <v>46</v>
      </c>
      <c r="M734">
        <v>463069</v>
      </c>
      <c r="N734" s="1">
        <v>45369</v>
      </c>
      <c r="O734" t="s">
        <v>35</v>
      </c>
      <c r="P734">
        <v>1</v>
      </c>
      <c r="Q734">
        <v>16224.36</v>
      </c>
    </row>
    <row r="735" spans="1:17" x14ac:dyDescent="0.3">
      <c r="A735" t="s">
        <v>2009</v>
      </c>
      <c r="B735" t="s">
        <v>2010</v>
      </c>
      <c r="C735" s="2" t="str">
        <f>PROPER(TRIM(Table1[[#This Row],[Gender]]))</f>
        <v>Male</v>
      </c>
      <c r="D735" t="s">
        <v>16</v>
      </c>
      <c r="E735">
        <v>20</v>
      </c>
      <c r="F735" t="s">
        <v>49</v>
      </c>
      <c r="G735" s="1">
        <v>38358</v>
      </c>
      <c r="H735" t="s">
        <v>2011</v>
      </c>
      <c r="I735" s="2" t="str">
        <f t="shared" si="11"/>
        <v>+91-8768706212</v>
      </c>
      <c r="J735">
        <f>91-8768706303</f>
        <v>-8768706212</v>
      </c>
      <c r="K735" t="s">
        <v>174</v>
      </c>
      <c r="L735" t="s">
        <v>90</v>
      </c>
      <c r="M735">
        <v>783704</v>
      </c>
      <c r="N735" s="1">
        <v>45421</v>
      </c>
      <c r="O735" t="s">
        <v>21</v>
      </c>
      <c r="P735">
        <v>1</v>
      </c>
      <c r="Q735">
        <v>45247.77</v>
      </c>
    </row>
    <row r="736" spans="1:17" x14ac:dyDescent="0.3">
      <c r="A736" t="s">
        <v>2012</v>
      </c>
      <c r="B736" t="s">
        <v>2013</v>
      </c>
      <c r="C736" s="2" t="str">
        <f>PROPER(TRIM(Table1[[#This Row],[Gender]]))</f>
        <v>Male</v>
      </c>
      <c r="D736" t="s">
        <v>16</v>
      </c>
      <c r="E736">
        <v>24</v>
      </c>
      <c r="F736" t="s">
        <v>49</v>
      </c>
      <c r="G736" s="1">
        <v>36898</v>
      </c>
      <c r="H736" t="s">
        <v>2014</v>
      </c>
      <c r="I736" s="2" t="str">
        <f t="shared" si="11"/>
        <v>+91-9022535068</v>
      </c>
      <c r="J736">
        <f>91-9022535159</f>
        <v>-9022535068</v>
      </c>
      <c r="K736" t="s">
        <v>64</v>
      </c>
      <c r="L736" t="s">
        <v>20</v>
      </c>
      <c r="M736">
        <v>811936</v>
      </c>
      <c r="N736" s="1">
        <v>45165</v>
      </c>
      <c r="O736" t="s">
        <v>28</v>
      </c>
      <c r="P736">
        <v>3</v>
      </c>
      <c r="Q736">
        <v>65526.96</v>
      </c>
    </row>
    <row r="737" spans="1:17" x14ac:dyDescent="0.3">
      <c r="A737" t="s">
        <v>2015</v>
      </c>
      <c r="B737" t="s">
        <v>593</v>
      </c>
      <c r="C737" s="2" t="str">
        <f>PROPER(TRIM(Table1[[#This Row],[Gender]]))</f>
        <v>Female</v>
      </c>
      <c r="D737" t="s">
        <v>43</v>
      </c>
      <c r="E737">
        <v>27</v>
      </c>
      <c r="F737" t="s">
        <v>31</v>
      </c>
      <c r="G737" s="1">
        <v>35803</v>
      </c>
      <c r="H737" t="s">
        <v>2016</v>
      </c>
      <c r="I737" s="2" t="str">
        <f t="shared" si="11"/>
        <v>+91-7078168895</v>
      </c>
      <c r="J737">
        <f>91-7078168986</f>
        <v>-7078168895</v>
      </c>
      <c r="K737" t="s">
        <v>60</v>
      </c>
      <c r="L737" t="s">
        <v>34</v>
      </c>
      <c r="M737">
        <v>741552</v>
      </c>
      <c r="N737" s="1">
        <v>45422</v>
      </c>
      <c r="O737" t="s">
        <v>28</v>
      </c>
      <c r="P737">
        <v>8</v>
      </c>
      <c r="Q737">
        <v>249709.79</v>
      </c>
    </row>
    <row r="738" spans="1:17" x14ac:dyDescent="0.3">
      <c r="A738" t="s">
        <v>2017</v>
      </c>
      <c r="B738" t="s">
        <v>2018</v>
      </c>
      <c r="C738" s="2" t="str">
        <f>PROPER(TRIM(Table1[[#This Row],[Gender]]))</f>
        <v>Male</v>
      </c>
      <c r="D738" t="s">
        <v>16</v>
      </c>
      <c r="E738">
        <v>20</v>
      </c>
      <c r="F738" t="s">
        <v>49</v>
      </c>
      <c r="G738" s="1">
        <v>38358</v>
      </c>
      <c r="H738" t="s">
        <v>2019</v>
      </c>
      <c r="I738" s="2" t="str">
        <f t="shared" si="11"/>
        <v>+91-8472603166</v>
      </c>
      <c r="J738">
        <f>91-8472603257</f>
        <v>-8472603166</v>
      </c>
      <c r="K738" t="s">
        <v>19</v>
      </c>
      <c r="L738" t="s">
        <v>20</v>
      </c>
      <c r="M738">
        <v>729995</v>
      </c>
      <c r="N738" s="1">
        <v>45348</v>
      </c>
      <c r="O738" t="s">
        <v>21</v>
      </c>
      <c r="P738">
        <v>2</v>
      </c>
      <c r="Q738">
        <v>40326.910000000003</v>
      </c>
    </row>
    <row r="739" spans="1:17" x14ac:dyDescent="0.3">
      <c r="A739" t="s">
        <v>2020</v>
      </c>
      <c r="B739" t="s">
        <v>2021</v>
      </c>
      <c r="C739" s="2" t="str">
        <f>PROPER(TRIM(Table1[[#This Row],[Gender]]))</f>
        <v>Male</v>
      </c>
      <c r="D739" t="s">
        <v>16</v>
      </c>
      <c r="E739">
        <v>51</v>
      </c>
      <c r="F739" t="s">
        <v>17</v>
      </c>
      <c r="G739" s="1">
        <v>27043</v>
      </c>
      <c r="H739" t="s">
        <v>2022</v>
      </c>
      <c r="I739" s="2" t="str">
        <f t="shared" si="11"/>
        <v>+91-8599529821</v>
      </c>
      <c r="J739">
        <f>91-8599529912</f>
        <v>-8599529821</v>
      </c>
      <c r="K739" t="s">
        <v>147</v>
      </c>
      <c r="L739" t="s">
        <v>143</v>
      </c>
      <c r="M739">
        <v>500744</v>
      </c>
      <c r="N739" s="1">
        <v>45139</v>
      </c>
      <c r="O739" t="s">
        <v>35</v>
      </c>
      <c r="P739">
        <v>5</v>
      </c>
      <c r="Q739">
        <v>12682.55</v>
      </c>
    </row>
    <row r="740" spans="1:17" x14ac:dyDescent="0.3">
      <c r="A740" t="s">
        <v>2023</v>
      </c>
      <c r="B740" t="s">
        <v>2024</v>
      </c>
      <c r="C740" s="2" t="str">
        <f>PROPER(TRIM(Table1[[#This Row],[Gender]]))</f>
        <v>Female</v>
      </c>
      <c r="D740" t="s">
        <v>43</v>
      </c>
      <c r="E740">
        <v>47</v>
      </c>
      <c r="F740" t="s">
        <v>17</v>
      </c>
      <c r="G740" s="1">
        <v>28503</v>
      </c>
      <c r="H740" t="s">
        <v>2025</v>
      </c>
      <c r="I740" s="2" t="str">
        <f t="shared" si="11"/>
        <v>+91-7871983932</v>
      </c>
      <c r="J740">
        <f>91-7871984023</f>
        <v>-7871983932</v>
      </c>
      <c r="K740" t="s">
        <v>154</v>
      </c>
      <c r="L740" t="s">
        <v>46</v>
      </c>
      <c r="M740">
        <v>165078</v>
      </c>
      <c r="N740" s="1">
        <v>45113</v>
      </c>
      <c r="O740" t="s">
        <v>35</v>
      </c>
      <c r="P740">
        <v>2</v>
      </c>
      <c r="Q740">
        <v>2071.8200000000002</v>
      </c>
    </row>
    <row r="741" spans="1:17" x14ac:dyDescent="0.3">
      <c r="A741" t="s">
        <v>2026</v>
      </c>
      <c r="B741" t="s">
        <v>2027</v>
      </c>
      <c r="C741" s="2" t="str">
        <f>PROPER(TRIM(Table1[[#This Row],[Gender]]))</f>
        <v>Female</v>
      </c>
      <c r="D741" t="s">
        <v>43</v>
      </c>
      <c r="E741">
        <v>26</v>
      </c>
      <c r="F741" t="s">
        <v>31</v>
      </c>
      <c r="G741" s="1">
        <v>36168</v>
      </c>
      <c r="H741" t="s">
        <v>2028</v>
      </c>
      <c r="I741" s="2" t="str">
        <f t="shared" si="11"/>
        <v>+91-8265102429</v>
      </c>
      <c r="J741">
        <f>91-8265102520</f>
        <v>-8265102429</v>
      </c>
      <c r="K741" t="s">
        <v>415</v>
      </c>
      <c r="L741" t="s">
        <v>90</v>
      </c>
      <c r="M741">
        <v>441369</v>
      </c>
      <c r="N741" s="1">
        <v>45124</v>
      </c>
      <c r="O741" t="s">
        <v>28</v>
      </c>
      <c r="P741">
        <v>5</v>
      </c>
      <c r="Q741">
        <v>166165.49</v>
      </c>
    </row>
    <row r="742" spans="1:17" x14ac:dyDescent="0.3">
      <c r="A742" t="s">
        <v>2029</v>
      </c>
      <c r="B742" t="s">
        <v>2030</v>
      </c>
      <c r="C742" s="2" t="str">
        <f>PROPER(TRIM(Table1[[#This Row],[Gender]]))</f>
        <v>Male</v>
      </c>
      <c r="D742" t="s">
        <v>16</v>
      </c>
      <c r="E742">
        <v>29</v>
      </c>
      <c r="F742" t="s">
        <v>31</v>
      </c>
      <c r="G742" s="1">
        <v>35073</v>
      </c>
      <c r="H742" t="s">
        <v>2031</v>
      </c>
      <c r="I742" s="2" t="str">
        <f t="shared" si="11"/>
        <v>+91-7833356370</v>
      </c>
      <c r="J742">
        <f>91-7833356461</f>
        <v>-7833356370</v>
      </c>
      <c r="K742" t="s">
        <v>113</v>
      </c>
      <c r="L742" t="s">
        <v>34</v>
      </c>
      <c r="M742">
        <v>679326</v>
      </c>
      <c r="N742" s="1">
        <v>45263</v>
      </c>
      <c r="O742" t="s">
        <v>21</v>
      </c>
      <c r="P742">
        <v>5</v>
      </c>
      <c r="Q742">
        <v>27942.87</v>
      </c>
    </row>
    <row r="743" spans="1:17" x14ac:dyDescent="0.3">
      <c r="A743" t="s">
        <v>2032</v>
      </c>
      <c r="B743" t="s">
        <v>2033</v>
      </c>
      <c r="C743" s="2" t="str">
        <f>PROPER(TRIM(Table1[[#This Row],[Gender]]))</f>
        <v>Female</v>
      </c>
      <c r="D743" t="s">
        <v>43</v>
      </c>
      <c r="E743">
        <v>19</v>
      </c>
      <c r="F743" t="s">
        <v>49</v>
      </c>
      <c r="G743" s="1">
        <v>38723</v>
      </c>
      <c r="H743" t="s">
        <v>2034</v>
      </c>
      <c r="I743" s="2" t="str">
        <f t="shared" si="11"/>
        <v>+91-8347641633</v>
      </c>
      <c r="J743">
        <f>91-8347641724</f>
        <v>-8347641633</v>
      </c>
      <c r="K743" t="s">
        <v>239</v>
      </c>
      <c r="L743" t="s">
        <v>191</v>
      </c>
      <c r="M743">
        <v>493976</v>
      </c>
      <c r="N743" s="1">
        <v>45297</v>
      </c>
      <c r="O743" t="s">
        <v>28</v>
      </c>
      <c r="P743">
        <v>4</v>
      </c>
      <c r="Q743">
        <v>269368.37</v>
      </c>
    </row>
    <row r="744" spans="1:17" x14ac:dyDescent="0.3">
      <c r="A744" t="s">
        <v>2035</v>
      </c>
      <c r="B744" t="s">
        <v>836</v>
      </c>
      <c r="C744" s="2" t="str">
        <f>PROPER(TRIM(Table1[[#This Row],[Gender]]))</f>
        <v>Female</v>
      </c>
      <c r="D744" t="s">
        <v>43</v>
      </c>
      <c r="E744">
        <v>24</v>
      </c>
      <c r="F744" t="s">
        <v>49</v>
      </c>
      <c r="G744" s="1">
        <v>36898</v>
      </c>
      <c r="H744" t="s">
        <v>2036</v>
      </c>
      <c r="I744" s="2" t="str">
        <f t="shared" si="11"/>
        <v>+91-8047905335</v>
      </c>
      <c r="J744">
        <f>91-8047905426</f>
        <v>-8047905335</v>
      </c>
      <c r="K744" t="s">
        <v>51</v>
      </c>
      <c r="L744" t="s">
        <v>52</v>
      </c>
      <c r="M744">
        <v>344898</v>
      </c>
      <c r="N744" s="1">
        <v>45330</v>
      </c>
      <c r="O744" t="s">
        <v>28</v>
      </c>
      <c r="P744">
        <v>6</v>
      </c>
      <c r="Q744">
        <v>51888.32</v>
      </c>
    </row>
    <row r="745" spans="1:17" x14ac:dyDescent="0.3">
      <c r="A745" t="s">
        <v>2037</v>
      </c>
      <c r="B745" t="s">
        <v>2038</v>
      </c>
      <c r="C745" s="2" t="str">
        <f>PROPER(TRIM(Table1[[#This Row],[Gender]]))</f>
        <v>Female</v>
      </c>
      <c r="D745" t="s">
        <v>43</v>
      </c>
      <c r="E745">
        <v>33</v>
      </c>
      <c r="F745" t="s">
        <v>31</v>
      </c>
      <c r="G745" s="1">
        <v>33613</v>
      </c>
      <c r="H745" t="s">
        <v>2039</v>
      </c>
      <c r="I745" s="2" t="str">
        <f t="shared" si="11"/>
        <v>+91-8557016250</v>
      </c>
      <c r="J745">
        <f>91-8557016341</f>
        <v>-8557016250</v>
      </c>
      <c r="K745" t="s">
        <v>33</v>
      </c>
      <c r="L745" t="s">
        <v>34</v>
      </c>
      <c r="M745">
        <v>757863</v>
      </c>
      <c r="N745" s="1">
        <v>45299</v>
      </c>
      <c r="O745" t="s">
        <v>28</v>
      </c>
      <c r="P745">
        <v>8</v>
      </c>
      <c r="Q745">
        <v>113231.32</v>
      </c>
    </row>
    <row r="746" spans="1:17" x14ac:dyDescent="0.3">
      <c r="A746" t="s">
        <v>2040</v>
      </c>
      <c r="B746" t="s">
        <v>1551</v>
      </c>
      <c r="C746" s="2" t="str">
        <f>PROPER(TRIM(Table1[[#This Row],[Gender]]))</f>
        <v>Female</v>
      </c>
      <c r="D746" t="s">
        <v>43</v>
      </c>
      <c r="E746">
        <v>18</v>
      </c>
      <c r="F746" t="s">
        <v>49</v>
      </c>
      <c r="G746" s="1">
        <v>39088</v>
      </c>
      <c r="H746" t="s">
        <v>2041</v>
      </c>
      <c r="I746" s="2" t="str">
        <f t="shared" si="11"/>
        <v>+91-8711460917</v>
      </c>
      <c r="J746">
        <f>91-8711461008</f>
        <v>-8711460917</v>
      </c>
      <c r="K746" t="s">
        <v>165</v>
      </c>
      <c r="L746" t="s">
        <v>52</v>
      </c>
      <c r="M746">
        <v>690649</v>
      </c>
      <c r="N746" s="1">
        <v>45293</v>
      </c>
      <c r="O746" t="s">
        <v>21</v>
      </c>
      <c r="P746">
        <v>6</v>
      </c>
      <c r="Q746">
        <v>34070.42</v>
      </c>
    </row>
    <row r="747" spans="1:17" x14ac:dyDescent="0.3">
      <c r="A747" t="s">
        <v>2042</v>
      </c>
      <c r="B747" t="s">
        <v>2043</v>
      </c>
      <c r="C747" s="2" t="str">
        <f>PROPER(TRIM(Table1[[#This Row],[Gender]]))</f>
        <v>Female</v>
      </c>
      <c r="D747" t="s">
        <v>43</v>
      </c>
      <c r="E747">
        <v>34</v>
      </c>
      <c r="F747" t="s">
        <v>31</v>
      </c>
      <c r="G747" s="1">
        <v>33248</v>
      </c>
      <c r="H747" t="s">
        <v>2044</v>
      </c>
      <c r="I747" s="2" t="str">
        <f t="shared" si="11"/>
        <v>+91-8458126965</v>
      </c>
      <c r="J747">
        <f>91-8458127056</f>
        <v>-8458126965</v>
      </c>
      <c r="K747" t="s">
        <v>94</v>
      </c>
      <c r="L747" t="s">
        <v>20</v>
      </c>
      <c r="M747">
        <v>385376</v>
      </c>
      <c r="N747" s="1">
        <v>45334</v>
      </c>
      <c r="O747" t="s">
        <v>28</v>
      </c>
      <c r="P747">
        <v>9</v>
      </c>
      <c r="Q747">
        <v>294249.3</v>
      </c>
    </row>
    <row r="748" spans="1:17" x14ac:dyDescent="0.3">
      <c r="A748" t="s">
        <v>2045</v>
      </c>
      <c r="B748" t="s">
        <v>2046</v>
      </c>
      <c r="C748" s="2" t="str">
        <f>PROPER(TRIM(Table1[[#This Row],[Gender]]))</f>
        <v>Female</v>
      </c>
      <c r="D748" t="s">
        <v>43</v>
      </c>
      <c r="E748">
        <v>32</v>
      </c>
      <c r="F748" t="s">
        <v>31</v>
      </c>
      <c r="G748" s="1">
        <v>33978</v>
      </c>
      <c r="H748" t="s">
        <v>2047</v>
      </c>
      <c r="I748" s="2" t="str">
        <f t="shared" si="11"/>
        <v>+91-7258183452</v>
      </c>
      <c r="J748">
        <f>91-7258183543</f>
        <v>-7258183452</v>
      </c>
      <c r="K748" t="s">
        <v>80</v>
      </c>
      <c r="L748" t="s">
        <v>20</v>
      </c>
      <c r="M748">
        <v>738002</v>
      </c>
      <c r="N748" s="1">
        <v>45192</v>
      </c>
      <c r="O748" t="s">
        <v>28</v>
      </c>
      <c r="P748">
        <v>6</v>
      </c>
      <c r="Q748">
        <v>54790.57</v>
      </c>
    </row>
    <row r="749" spans="1:17" x14ac:dyDescent="0.3">
      <c r="A749" t="s">
        <v>2048</v>
      </c>
      <c r="B749" t="s">
        <v>2049</v>
      </c>
      <c r="C749" s="2" t="str">
        <f>PROPER(TRIM(Table1[[#This Row],[Gender]]))</f>
        <v>Female</v>
      </c>
      <c r="D749" t="s">
        <v>43</v>
      </c>
      <c r="E749">
        <v>19</v>
      </c>
      <c r="F749" t="s">
        <v>49</v>
      </c>
      <c r="G749" s="1">
        <v>38723</v>
      </c>
      <c r="H749" t="s">
        <v>2050</v>
      </c>
      <c r="I749" s="2" t="str">
        <f t="shared" si="11"/>
        <v>+91-7598351507</v>
      </c>
      <c r="J749">
        <f>91-7598351598</f>
        <v>-7598351507</v>
      </c>
      <c r="K749" t="s">
        <v>72</v>
      </c>
      <c r="L749" t="s">
        <v>34</v>
      </c>
      <c r="M749">
        <v>815293</v>
      </c>
      <c r="N749" s="1">
        <v>45109</v>
      </c>
      <c r="O749" t="s">
        <v>35</v>
      </c>
      <c r="P749">
        <v>2</v>
      </c>
      <c r="Q749">
        <v>2104.48</v>
      </c>
    </row>
    <row r="750" spans="1:17" x14ac:dyDescent="0.3">
      <c r="A750" t="s">
        <v>2051</v>
      </c>
      <c r="B750" t="s">
        <v>345</v>
      </c>
      <c r="C750" s="2" t="str">
        <f>PROPER(TRIM(Table1[[#This Row],[Gender]]))</f>
        <v>Male</v>
      </c>
      <c r="D750" t="s">
        <v>16</v>
      </c>
      <c r="E750">
        <v>64</v>
      </c>
      <c r="F750" t="s">
        <v>58</v>
      </c>
      <c r="G750" s="1">
        <v>22298</v>
      </c>
      <c r="H750" t="s">
        <v>2052</v>
      </c>
      <c r="I750" s="2" t="str">
        <f t="shared" si="11"/>
        <v>+91-8821193100</v>
      </c>
      <c r="J750">
        <f>91-8821193191</f>
        <v>-8821193100</v>
      </c>
      <c r="K750" t="s">
        <v>64</v>
      </c>
      <c r="L750" t="s">
        <v>20</v>
      </c>
      <c r="M750">
        <v>272838</v>
      </c>
      <c r="N750" s="1">
        <v>45377</v>
      </c>
      <c r="O750" t="s">
        <v>28</v>
      </c>
      <c r="P750">
        <v>6</v>
      </c>
      <c r="Q750">
        <v>95095.43</v>
      </c>
    </row>
    <row r="751" spans="1:17" x14ac:dyDescent="0.3">
      <c r="A751" t="s">
        <v>2053</v>
      </c>
      <c r="B751" t="s">
        <v>2054</v>
      </c>
      <c r="C751" s="2" t="str">
        <f>PROPER(TRIM(Table1[[#This Row],[Gender]]))</f>
        <v>Female</v>
      </c>
      <c r="D751" t="s">
        <v>43</v>
      </c>
      <c r="E751">
        <v>18</v>
      </c>
      <c r="F751" t="s">
        <v>49</v>
      </c>
      <c r="G751" s="1">
        <v>39088</v>
      </c>
      <c r="H751" t="s">
        <v>2055</v>
      </c>
      <c r="I751" s="2" t="str">
        <f t="shared" si="11"/>
        <v>+91-9078021041</v>
      </c>
      <c r="J751">
        <f>91-9078021132</f>
        <v>-9078021041</v>
      </c>
      <c r="K751" t="s">
        <v>202</v>
      </c>
      <c r="L751" t="s">
        <v>191</v>
      </c>
      <c r="M751">
        <v>160797</v>
      </c>
      <c r="N751" s="1">
        <v>45397</v>
      </c>
      <c r="O751" t="s">
        <v>28</v>
      </c>
      <c r="P751">
        <v>6</v>
      </c>
      <c r="Q751">
        <v>87194.89</v>
      </c>
    </row>
    <row r="752" spans="1:17" x14ac:dyDescent="0.3">
      <c r="A752" t="s">
        <v>2056</v>
      </c>
      <c r="B752" t="s">
        <v>2057</v>
      </c>
      <c r="C752" s="2" t="str">
        <f>PROPER(TRIM(Table1[[#This Row],[Gender]]))</f>
        <v>Male</v>
      </c>
      <c r="D752" t="s">
        <v>16</v>
      </c>
      <c r="E752">
        <v>43</v>
      </c>
      <c r="F752" t="s">
        <v>38</v>
      </c>
      <c r="G752" s="1">
        <v>29963</v>
      </c>
      <c r="H752" t="s">
        <v>2058</v>
      </c>
      <c r="I752" s="2" t="str">
        <f t="shared" si="11"/>
        <v>+91-7350576153</v>
      </c>
      <c r="J752">
        <f>91-7350576244</f>
        <v>-7350576153</v>
      </c>
      <c r="K752" t="s">
        <v>68</v>
      </c>
      <c r="L752" t="s">
        <v>52</v>
      </c>
      <c r="M752">
        <v>941277</v>
      </c>
      <c r="N752" s="1">
        <v>45149</v>
      </c>
      <c r="O752" t="s">
        <v>28</v>
      </c>
      <c r="P752">
        <v>5</v>
      </c>
      <c r="Q752">
        <v>189630.54</v>
      </c>
    </row>
    <row r="753" spans="1:17" x14ac:dyDescent="0.3">
      <c r="A753" t="s">
        <v>2059</v>
      </c>
      <c r="B753" t="s">
        <v>133</v>
      </c>
      <c r="C753" s="2" t="str">
        <f>PROPER(TRIM(Table1[[#This Row],[Gender]]))</f>
        <v>Male</v>
      </c>
      <c r="D753" t="s">
        <v>16</v>
      </c>
      <c r="E753">
        <v>34</v>
      </c>
      <c r="F753" t="s">
        <v>31</v>
      </c>
      <c r="G753" s="1">
        <v>33248</v>
      </c>
      <c r="H753" t="s">
        <v>899</v>
      </c>
      <c r="I753" s="2" t="str">
        <f t="shared" si="11"/>
        <v>+91-8367056792</v>
      </c>
      <c r="J753">
        <f>91-8367056883</f>
        <v>-8367056792</v>
      </c>
      <c r="K753" t="s">
        <v>40</v>
      </c>
      <c r="L753" t="s">
        <v>27</v>
      </c>
      <c r="M753">
        <v>228647</v>
      </c>
      <c r="N753" s="1">
        <v>45244</v>
      </c>
      <c r="O753" t="s">
        <v>28</v>
      </c>
      <c r="P753">
        <v>2</v>
      </c>
      <c r="Q753">
        <v>123814.94</v>
      </c>
    </row>
    <row r="754" spans="1:17" x14ac:dyDescent="0.3">
      <c r="A754" t="s">
        <v>2060</v>
      </c>
      <c r="B754" t="s">
        <v>2061</v>
      </c>
      <c r="C754" s="2" t="str">
        <f>PROPER(TRIM(Table1[[#This Row],[Gender]]))</f>
        <v>Female</v>
      </c>
      <c r="D754" t="s">
        <v>43</v>
      </c>
      <c r="E754">
        <v>43</v>
      </c>
      <c r="F754" t="s">
        <v>38</v>
      </c>
      <c r="G754" s="1">
        <v>29963</v>
      </c>
      <c r="H754" t="s">
        <v>2062</v>
      </c>
      <c r="I754" s="2" t="str">
        <f t="shared" si="11"/>
        <v>+91-8040606302</v>
      </c>
      <c r="J754">
        <f>91-8040606393</f>
        <v>-8040606302</v>
      </c>
      <c r="K754" t="s">
        <v>84</v>
      </c>
      <c r="L754" t="s">
        <v>85</v>
      </c>
      <c r="M754">
        <v>523833</v>
      </c>
      <c r="N754" s="1">
        <v>45330</v>
      </c>
      <c r="O754" t="s">
        <v>28</v>
      </c>
      <c r="P754">
        <v>5</v>
      </c>
      <c r="Q754">
        <v>159291.4</v>
      </c>
    </row>
    <row r="755" spans="1:17" x14ac:dyDescent="0.3">
      <c r="A755" t="s">
        <v>2063</v>
      </c>
      <c r="B755" t="s">
        <v>2064</v>
      </c>
      <c r="C755" s="2" t="str">
        <f>PROPER(TRIM(Table1[[#This Row],[Gender]]))</f>
        <v>Male</v>
      </c>
      <c r="D755" t="s">
        <v>16</v>
      </c>
      <c r="E755">
        <v>33</v>
      </c>
      <c r="F755" t="s">
        <v>31</v>
      </c>
      <c r="G755" s="1">
        <v>33613</v>
      </c>
      <c r="H755" t="s">
        <v>2065</v>
      </c>
      <c r="I755" s="2" t="str">
        <f t="shared" si="11"/>
        <v>+91-8181908477</v>
      </c>
      <c r="J755">
        <f>91-8181908568</f>
        <v>-8181908477</v>
      </c>
      <c r="K755" t="s">
        <v>249</v>
      </c>
      <c r="L755" t="s">
        <v>34</v>
      </c>
      <c r="M755">
        <v>904752</v>
      </c>
      <c r="N755" s="1">
        <v>45389</v>
      </c>
      <c r="O755" t="s">
        <v>21</v>
      </c>
      <c r="P755">
        <v>4</v>
      </c>
      <c r="Q755">
        <v>44180.13</v>
      </c>
    </row>
    <row r="756" spans="1:17" x14ac:dyDescent="0.3">
      <c r="A756" t="s">
        <v>2066</v>
      </c>
      <c r="B756" t="s">
        <v>2067</v>
      </c>
      <c r="C756" s="2" t="str">
        <f>PROPER(TRIM(Table1[[#This Row],[Gender]]))</f>
        <v>Female</v>
      </c>
      <c r="D756" t="s">
        <v>43</v>
      </c>
      <c r="E756">
        <v>57</v>
      </c>
      <c r="F756" t="s">
        <v>58</v>
      </c>
      <c r="G756" s="1">
        <v>24853</v>
      </c>
      <c r="H756" t="s">
        <v>2068</v>
      </c>
      <c r="I756" s="2" t="str">
        <f t="shared" si="11"/>
        <v>+91-8349635174</v>
      </c>
      <c r="J756">
        <f>91-8349635265</f>
        <v>-8349635174</v>
      </c>
      <c r="K756" t="s">
        <v>94</v>
      </c>
      <c r="L756" t="s">
        <v>20</v>
      </c>
      <c r="M756">
        <v>748225</v>
      </c>
      <c r="N756" s="1">
        <v>45387</v>
      </c>
      <c r="O756" t="s">
        <v>35</v>
      </c>
      <c r="P756">
        <v>6</v>
      </c>
      <c r="Q756">
        <v>16331.81</v>
      </c>
    </row>
    <row r="757" spans="1:17" x14ac:dyDescent="0.3">
      <c r="A757" t="s">
        <v>2069</v>
      </c>
      <c r="B757" t="s">
        <v>2070</v>
      </c>
      <c r="C757" s="2" t="str">
        <f>PROPER(TRIM(Table1[[#This Row],[Gender]]))</f>
        <v>Male</v>
      </c>
      <c r="D757" t="s">
        <v>16</v>
      </c>
      <c r="E757">
        <v>23</v>
      </c>
      <c r="F757" t="s">
        <v>49</v>
      </c>
      <c r="G757" s="1">
        <v>37263</v>
      </c>
      <c r="H757" t="s">
        <v>2071</v>
      </c>
      <c r="I757" s="2" t="str">
        <f t="shared" si="11"/>
        <v>+91-8440728611</v>
      </c>
      <c r="J757">
        <f>91-8440728702</f>
        <v>-8440728611</v>
      </c>
      <c r="K757" t="s">
        <v>202</v>
      </c>
      <c r="L757" t="s">
        <v>191</v>
      </c>
      <c r="M757">
        <v>321219</v>
      </c>
      <c r="N757" s="1">
        <v>45305</v>
      </c>
      <c r="O757" t="s">
        <v>21</v>
      </c>
      <c r="P757">
        <v>6</v>
      </c>
      <c r="Q757">
        <v>28821.57</v>
      </c>
    </row>
    <row r="758" spans="1:17" x14ac:dyDescent="0.3">
      <c r="A758" t="s">
        <v>2072</v>
      </c>
      <c r="B758" t="s">
        <v>2073</v>
      </c>
      <c r="C758" s="2" t="str">
        <f>PROPER(TRIM(Table1[[#This Row],[Gender]]))</f>
        <v>Male</v>
      </c>
      <c r="D758" t="s">
        <v>16</v>
      </c>
      <c r="E758">
        <v>24</v>
      </c>
      <c r="F758" t="s">
        <v>49</v>
      </c>
      <c r="G758" s="1">
        <v>36898</v>
      </c>
      <c r="H758" t="s">
        <v>2074</v>
      </c>
      <c r="I758" s="2" t="str">
        <f t="shared" si="11"/>
        <v>+91-9064534281</v>
      </c>
      <c r="J758">
        <f>91-9064534372</f>
        <v>-9064534281</v>
      </c>
      <c r="K758" t="s">
        <v>273</v>
      </c>
      <c r="L758" t="s">
        <v>46</v>
      </c>
      <c r="M758">
        <v>948352</v>
      </c>
      <c r="N758" s="1">
        <v>45155</v>
      </c>
      <c r="O758" t="s">
        <v>28</v>
      </c>
      <c r="P758">
        <v>8</v>
      </c>
      <c r="Q758">
        <v>176466.32</v>
      </c>
    </row>
    <row r="759" spans="1:17" x14ac:dyDescent="0.3">
      <c r="A759" t="s">
        <v>2075</v>
      </c>
      <c r="B759" t="s">
        <v>2076</v>
      </c>
      <c r="C759" s="2" t="str">
        <f>PROPER(TRIM(Table1[[#This Row],[Gender]]))</f>
        <v>Male</v>
      </c>
      <c r="D759" t="s">
        <v>16</v>
      </c>
      <c r="E759">
        <v>32</v>
      </c>
      <c r="F759" t="s">
        <v>31</v>
      </c>
      <c r="G759" s="1">
        <v>33978</v>
      </c>
      <c r="H759" t="s">
        <v>2077</v>
      </c>
      <c r="I759" s="2" t="str">
        <f t="shared" si="11"/>
        <v>+91-8165692573</v>
      </c>
      <c r="J759">
        <f>91-8165692664</f>
        <v>-8165692573</v>
      </c>
      <c r="K759" t="s">
        <v>142</v>
      </c>
      <c r="L759" t="s">
        <v>143</v>
      </c>
      <c r="M759">
        <v>742444</v>
      </c>
      <c r="N759" s="1">
        <v>45318</v>
      </c>
      <c r="O759" t="s">
        <v>21</v>
      </c>
      <c r="P759">
        <v>2</v>
      </c>
      <c r="Q759">
        <v>41074.06</v>
      </c>
    </row>
    <row r="760" spans="1:17" x14ac:dyDescent="0.3">
      <c r="A760" t="s">
        <v>2078</v>
      </c>
      <c r="B760" t="s">
        <v>2079</v>
      </c>
      <c r="C760" s="2" t="str">
        <f>PROPER(TRIM(Table1[[#This Row],[Gender]]))</f>
        <v>Male</v>
      </c>
      <c r="D760" t="s">
        <v>16</v>
      </c>
      <c r="E760">
        <v>19</v>
      </c>
      <c r="F760" t="s">
        <v>49</v>
      </c>
      <c r="G760" s="1">
        <v>38723</v>
      </c>
      <c r="H760" t="s">
        <v>2080</v>
      </c>
      <c r="I760" s="2" t="str">
        <f t="shared" si="11"/>
        <v>+91-7029796154</v>
      </c>
      <c r="J760">
        <f>91-7029796245</f>
        <v>-7029796154</v>
      </c>
      <c r="K760" t="s">
        <v>113</v>
      </c>
      <c r="L760" t="s">
        <v>34</v>
      </c>
      <c r="M760">
        <v>652407</v>
      </c>
      <c r="N760" s="1">
        <v>45143</v>
      </c>
      <c r="O760" t="s">
        <v>21</v>
      </c>
      <c r="P760">
        <v>5</v>
      </c>
      <c r="Q760">
        <v>39524.43</v>
      </c>
    </row>
    <row r="761" spans="1:17" x14ac:dyDescent="0.3">
      <c r="A761" t="s">
        <v>2081</v>
      </c>
      <c r="B761" t="s">
        <v>638</v>
      </c>
      <c r="C761" s="2" t="str">
        <f>PROPER(TRIM(Table1[[#This Row],[Gender]]))</f>
        <v>Female</v>
      </c>
      <c r="D761" t="s">
        <v>43</v>
      </c>
      <c r="E761">
        <v>41</v>
      </c>
      <c r="F761" t="s">
        <v>38</v>
      </c>
      <c r="G761" s="1">
        <v>30693</v>
      </c>
      <c r="H761" t="s">
        <v>2082</v>
      </c>
      <c r="I761" s="2" t="str">
        <f t="shared" si="11"/>
        <v>+91-8266201193</v>
      </c>
      <c r="J761">
        <f>91-8266201284</f>
        <v>-8266201193</v>
      </c>
      <c r="K761" t="s">
        <v>101</v>
      </c>
      <c r="L761" t="s">
        <v>102</v>
      </c>
      <c r="M761">
        <v>184026</v>
      </c>
      <c r="N761" s="1">
        <v>45282</v>
      </c>
      <c r="O761" t="s">
        <v>28</v>
      </c>
      <c r="P761">
        <v>4</v>
      </c>
      <c r="Q761">
        <v>164412.75</v>
      </c>
    </row>
    <row r="762" spans="1:17" x14ac:dyDescent="0.3">
      <c r="A762" t="s">
        <v>2083</v>
      </c>
      <c r="B762" t="s">
        <v>778</v>
      </c>
      <c r="C762" s="2" t="str">
        <f>PROPER(TRIM(Table1[[#This Row],[Gender]]))</f>
        <v>Female</v>
      </c>
      <c r="D762" t="s">
        <v>43</v>
      </c>
      <c r="E762">
        <v>30</v>
      </c>
      <c r="F762" t="s">
        <v>31</v>
      </c>
      <c r="G762" s="1">
        <v>34708</v>
      </c>
      <c r="H762" t="s">
        <v>2084</v>
      </c>
      <c r="I762" s="2" t="str">
        <f t="shared" si="11"/>
        <v>+91-8093938955</v>
      </c>
      <c r="J762">
        <f>91-8093939046</f>
        <v>-8093938955</v>
      </c>
      <c r="K762" t="s">
        <v>76</v>
      </c>
      <c r="L762" t="s">
        <v>46</v>
      </c>
      <c r="M762">
        <v>579151</v>
      </c>
      <c r="N762" s="1">
        <v>45172</v>
      </c>
      <c r="O762" t="s">
        <v>28</v>
      </c>
      <c r="P762">
        <v>7</v>
      </c>
      <c r="Q762">
        <v>253126.05</v>
      </c>
    </row>
    <row r="763" spans="1:17" x14ac:dyDescent="0.3">
      <c r="A763" t="s">
        <v>2085</v>
      </c>
      <c r="B763" t="s">
        <v>312</v>
      </c>
      <c r="C763" s="2" t="str">
        <f>PROPER(TRIM(Table1[[#This Row],[Gender]]))</f>
        <v>Female</v>
      </c>
      <c r="D763" t="s">
        <v>43</v>
      </c>
      <c r="E763">
        <v>31</v>
      </c>
      <c r="F763" t="s">
        <v>31</v>
      </c>
      <c r="G763" s="1">
        <v>34343</v>
      </c>
      <c r="H763" t="s">
        <v>2086</v>
      </c>
      <c r="I763" s="2" t="str">
        <f t="shared" si="11"/>
        <v>+91-9482675543</v>
      </c>
      <c r="J763">
        <f>91-9482675634</f>
        <v>-9482675543</v>
      </c>
      <c r="K763" t="s">
        <v>68</v>
      </c>
      <c r="L763" t="s">
        <v>52</v>
      </c>
      <c r="M763">
        <v>949564</v>
      </c>
      <c r="N763" s="1">
        <v>45194</v>
      </c>
      <c r="O763" t="s">
        <v>21</v>
      </c>
      <c r="P763">
        <v>3</v>
      </c>
      <c r="Q763">
        <v>37834.379999999997</v>
      </c>
    </row>
    <row r="764" spans="1:17" x14ac:dyDescent="0.3">
      <c r="A764" t="s">
        <v>2087</v>
      </c>
      <c r="B764" t="s">
        <v>2088</v>
      </c>
      <c r="C764" s="2" t="str">
        <f>PROPER(TRIM(Table1[[#This Row],[Gender]]))</f>
        <v>Male</v>
      </c>
      <c r="D764" t="s">
        <v>16</v>
      </c>
      <c r="E764">
        <v>31</v>
      </c>
      <c r="F764" t="s">
        <v>31</v>
      </c>
      <c r="G764" s="1">
        <v>34343</v>
      </c>
      <c r="H764" t="s">
        <v>2089</v>
      </c>
      <c r="I764" s="2" t="str">
        <f t="shared" si="11"/>
        <v>+91-9655247639</v>
      </c>
      <c r="J764">
        <f>91-9655247730</f>
        <v>-9655247639</v>
      </c>
      <c r="K764" t="s">
        <v>239</v>
      </c>
      <c r="L764" t="s">
        <v>191</v>
      </c>
      <c r="M764">
        <v>390347</v>
      </c>
      <c r="N764" s="1">
        <v>45424</v>
      </c>
      <c r="O764" t="s">
        <v>28</v>
      </c>
      <c r="P764">
        <v>9</v>
      </c>
      <c r="Q764">
        <v>208438.31</v>
      </c>
    </row>
    <row r="765" spans="1:17" x14ac:dyDescent="0.3">
      <c r="A765" t="s">
        <v>2090</v>
      </c>
      <c r="B765" t="s">
        <v>2091</v>
      </c>
      <c r="C765" s="2" t="str">
        <f>PROPER(TRIM(Table1[[#This Row],[Gender]]))</f>
        <v>Male</v>
      </c>
      <c r="D765" t="s">
        <v>16</v>
      </c>
      <c r="E765">
        <v>26</v>
      </c>
      <c r="F765" t="s">
        <v>31</v>
      </c>
      <c r="G765" s="1">
        <v>36168</v>
      </c>
      <c r="H765" t="s">
        <v>2092</v>
      </c>
      <c r="I765" s="2" t="str">
        <f t="shared" si="11"/>
        <v>+91-7683958056</v>
      </c>
      <c r="J765">
        <f>91-7683958147</f>
        <v>-7683958056</v>
      </c>
      <c r="K765" t="s">
        <v>60</v>
      </c>
      <c r="L765" t="s">
        <v>34</v>
      </c>
      <c r="M765">
        <v>265007</v>
      </c>
      <c r="N765" s="1">
        <v>45149</v>
      </c>
      <c r="O765" t="s">
        <v>28</v>
      </c>
      <c r="P765">
        <v>5</v>
      </c>
      <c r="Q765">
        <v>106944.83</v>
      </c>
    </row>
    <row r="766" spans="1:17" x14ac:dyDescent="0.3">
      <c r="A766" t="s">
        <v>2093</v>
      </c>
      <c r="B766" t="s">
        <v>1408</v>
      </c>
      <c r="C766" s="2" t="str">
        <f>PROPER(TRIM(Table1[[#This Row],[Gender]]))</f>
        <v>Male</v>
      </c>
      <c r="D766" t="s">
        <v>16</v>
      </c>
      <c r="E766">
        <v>71</v>
      </c>
      <c r="F766" t="s">
        <v>24</v>
      </c>
      <c r="G766" s="1">
        <v>19743</v>
      </c>
      <c r="H766" t="s">
        <v>2094</v>
      </c>
      <c r="I766" s="2" t="str">
        <f t="shared" si="11"/>
        <v>+91-9065512180</v>
      </c>
      <c r="J766">
        <f>91-9065512271</f>
        <v>-9065512180</v>
      </c>
      <c r="K766" t="s">
        <v>190</v>
      </c>
      <c r="L766" t="s">
        <v>191</v>
      </c>
      <c r="M766">
        <v>924360</v>
      </c>
      <c r="N766" s="1">
        <v>45132</v>
      </c>
      <c r="O766" t="s">
        <v>35</v>
      </c>
      <c r="P766">
        <v>9</v>
      </c>
      <c r="Q766">
        <v>18755.09</v>
      </c>
    </row>
    <row r="767" spans="1:17" x14ac:dyDescent="0.3">
      <c r="A767" t="s">
        <v>2095</v>
      </c>
      <c r="B767" t="s">
        <v>1211</v>
      </c>
      <c r="C767" s="2" t="str">
        <f>PROPER(TRIM(Table1[[#This Row],[Gender]]))</f>
        <v>Female</v>
      </c>
      <c r="D767" t="s">
        <v>43</v>
      </c>
      <c r="E767">
        <v>45</v>
      </c>
      <c r="F767" t="s">
        <v>38</v>
      </c>
      <c r="G767" s="1">
        <v>29233</v>
      </c>
      <c r="H767" t="s">
        <v>2096</v>
      </c>
      <c r="I767" s="2" t="str">
        <f t="shared" si="11"/>
        <v>+91-7357492095</v>
      </c>
      <c r="J767">
        <f>91-7357492186</f>
        <v>-7357492095</v>
      </c>
      <c r="K767" t="s">
        <v>154</v>
      </c>
      <c r="L767" t="s">
        <v>46</v>
      </c>
      <c r="M767">
        <v>449357</v>
      </c>
      <c r="N767" s="1">
        <v>45380</v>
      </c>
      <c r="O767" t="s">
        <v>28</v>
      </c>
      <c r="P767">
        <v>3</v>
      </c>
      <c r="Q767">
        <v>115367.74</v>
      </c>
    </row>
    <row r="768" spans="1:17" x14ac:dyDescent="0.3">
      <c r="A768" t="s">
        <v>2097</v>
      </c>
      <c r="B768" t="s">
        <v>540</v>
      </c>
      <c r="C768" s="2" t="str">
        <f>PROPER(TRIM(Table1[[#This Row],[Gender]]))</f>
        <v>Female</v>
      </c>
      <c r="D768" t="s">
        <v>43</v>
      </c>
      <c r="E768">
        <v>51</v>
      </c>
      <c r="F768" t="s">
        <v>17</v>
      </c>
      <c r="G768" s="1">
        <v>27043</v>
      </c>
      <c r="H768" t="s">
        <v>541</v>
      </c>
      <c r="I768" s="2" t="str">
        <f t="shared" si="11"/>
        <v>+91-7288806733</v>
      </c>
      <c r="J768">
        <f>91-7288806824</f>
        <v>-7288806733</v>
      </c>
      <c r="K768" t="s">
        <v>109</v>
      </c>
      <c r="L768" t="s">
        <v>46</v>
      </c>
      <c r="M768">
        <v>411097</v>
      </c>
      <c r="N768" s="1">
        <v>45401</v>
      </c>
      <c r="O768" t="s">
        <v>28</v>
      </c>
      <c r="P768">
        <v>8</v>
      </c>
      <c r="Q768">
        <v>138024.47</v>
      </c>
    </row>
    <row r="769" spans="1:17" x14ac:dyDescent="0.3">
      <c r="A769" t="s">
        <v>2098</v>
      </c>
      <c r="B769" t="s">
        <v>625</v>
      </c>
      <c r="C769" s="2" t="str">
        <f>PROPER(TRIM(Table1[[#This Row],[Gender]]))</f>
        <v>Female</v>
      </c>
      <c r="D769" t="s">
        <v>43</v>
      </c>
      <c r="E769">
        <v>41</v>
      </c>
      <c r="F769" t="s">
        <v>38</v>
      </c>
      <c r="G769" s="1">
        <v>30693</v>
      </c>
      <c r="H769" t="s">
        <v>2099</v>
      </c>
      <c r="I769" s="2" t="str">
        <f t="shared" si="11"/>
        <v>+91-7191957886</v>
      </c>
      <c r="J769">
        <f>91-7191957977</f>
        <v>-7191957886</v>
      </c>
      <c r="K769" t="s">
        <v>45</v>
      </c>
      <c r="L769" t="s">
        <v>46</v>
      </c>
      <c r="M769">
        <v>853564</v>
      </c>
      <c r="N769" s="1">
        <v>45245</v>
      </c>
      <c r="O769" t="s">
        <v>21</v>
      </c>
      <c r="P769">
        <v>5</v>
      </c>
      <c r="Q769">
        <v>32779.61</v>
      </c>
    </row>
    <row r="770" spans="1:17" x14ac:dyDescent="0.3">
      <c r="A770" t="s">
        <v>2100</v>
      </c>
      <c r="B770" t="s">
        <v>868</v>
      </c>
      <c r="C770" s="2" t="str">
        <f>PROPER(TRIM(Table1[[#This Row],[Gender]]))</f>
        <v>Female</v>
      </c>
      <c r="D770" t="s">
        <v>43</v>
      </c>
      <c r="E770">
        <v>46</v>
      </c>
      <c r="F770" t="s">
        <v>17</v>
      </c>
      <c r="G770" s="1">
        <v>28868</v>
      </c>
      <c r="H770" t="s">
        <v>2101</v>
      </c>
      <c r="I770" s="2" t="str">
        <f t="shared" ref="I770:I833" si="12">"+91"&amp;TEXT(J770,"0000000000")</f>
        <v>+91-9834494391</v>
      </c>
      <c r="J770">
        <f>91-9834494482</f>
        <v>-9834494391</v>
      </c>
      <c r="K770" t="s">
        <v>68</v>
      </c>
      <c r="L770" t="s">
        <v>52</v>
      </c>
      <c r="M770">
        <v>469670</v>
      </c>
      <c r="N770" s="1">
        <v>45195</v>
      </c>
      <c r="O770" t="s">
        <v>35</v>
      </c>
      <c r="P770">
        <v>4</v>
      </c>
      <c r="Q770">
        <v>19495.3</v>
      </c>
    </row>
    <row r="771" spans="1:17" x14ac:dyDescent="0.3">
      <c r="A771" t="s">
        <v>2102</v>
      </c>
      <c r="B771" t="s">
        <v>1190</v>
      </c>
      <c r="C771" s="2" t="str">
        <f>PROPER(TRIM(Table1[[#This Row],[Gender]]))</f>
        <v>Female</v>
      </c>
      <c r="D771" t="s">
        <v>43</v>
      </c>
      <c r="E771">
        <v>27</v>
      </c>
      <c r="F771" t="s">
        <v>31</v>
      </c>
      <c r="G771" s="1">
        <v>35803</v>
      </c>
      <c r="H771" t="s">
        <v>2103</v>
      </c>
      <c r="I771" s="2" t="str">
        <f t="shared" si="12"/>
        <v>+91-9201387047</v>
      </c>
      <c r="J771">
        <f>91-9201387138</f>
        <v>-9201387047</v>
      </c>
      <c r="K771" t="s">
        <v>125</v>
      </c>
      <c r="L771" t="s">
        <v>52</v>
      </c>
      <c r="M771">
        <v>578219</v>
      </c>
      <c r="N771" s="1">
        <v>45336</v>
      </c>
      <c r="O771" t="s">
        <v>21</v>
      </c>
      <c r="P771">
        <v>6</v>
      </c>
      <c r="Q771">
        <v>40757.46</v>
      </c>
    </row>
    <row r="772" spans="1:17" x14ac:dyDescent="0.3">
      <c r="A772" t="s">
        <v>2104</v>
      </c>
      <c r="B772" t="s">
        <v>2105</v>
      </c>
      <c r="C772" s="2" t="str">
        <f>PROPER(TRIM(Table1[[#This Row],[Gender]]))</f>
        <v>Male</v>
      </c>
      <c r="D772" t="s">
        <v>16</v>
      </c>
      <c r="E772">
        <v>25</v>
      </c>
      <c r="F772" t="s">
        <v>49</v>
      </c>
      <c r="G772" s="1">
        <v>36533</v>
      </c>
      <c r="H772" t="s">
        <v>2106</v>
      </c>
      <c r="I772" s="2" t="str">
        <f t="shared" si="12"/>
        <v>+91-7842622411</v>
      </c>
      <c r="J772">
        <f>91-7842622502</f>
        <v>-7842622411</v>
      </c>
      <c r="K772" t="s">
        <v>138</v>
      </c>
      <c r="L772" t="s">
        <v>90</v>
      </c>
      <c r="M772">
        <v>951927</v>
      </c>
      <c r="N772" s="1">
        <v>45099</v>
      </c>
      <c r="O772" t="s">
        <v>28</v>
      </c>
      <c r="P772">
        <v>11</v>
      </c>
      <c r="Q772">
        <v>421126.2</v>
      </c>
    </row>
    <row r="773" spans="1:17" x14ac:dyDescent="0.3">
      <c r="A773" t="s">
        <v>2107</v>
      </c>
      <c r="B773" t="s">
        <v>2108</v>
      </c>
      <c r="C773" s="2" t="str">
        <f>PROPER(TRIM(Table1[[#This Row],[Gender]]))</f>
        <v>Male</v>
      </c>
      <c r="D773" t="s">
        <v>16</v>
      </c>
      <c r="E773">
        <v>32</v>
      </c>
      <c r="F773" t="s">
        <v>31</v>
      </c>
      <c r="G773" s="1">
        <v>33978</v>
      </c>
      <c r="H773" t="s">
        <v>2109</v>
      </c>
      <c r="I773" s="2" t="str">
        <f t="shared" si="12"/>
        <v>+91-9069614214</v>
      </c>
      <c r="J773">
        <f>91-9069614305</f>
        <v>-9069614214</v>
      </c>
      <c r="K773" t="s">
        <v>94</v>
      </c>
      <c r="L773" t="s">
        <v>20</v>
      </c>
      <c r="M773">
        <v>268733</v>
      </c>
      <c r="N773" s="1">
        <v>45364</v>
      </c>
      <c r="O773" t="s">
        <v>28</v>
      </c>
      <c r="P773">
        <v>5</v>
      </c>
      <c r="Q773">
        <v>101989.24</v>
      </c>
    </row>
    <row r="774" spans="1:17" x14ac:dyDescent="0.3">
      <c r="A774" t="s">
        <v>2110</v>
      </c>
      <c r="B774" t="s">
        <v>392</v>
      </c>
      <c r="C774" s="2" t="str">
        <f>PROPER(TRIM(Table1[[#This Row],[Gender]]))</f>
        <v>Female</v>
      </c>
      <c r="D774" t="s">
        <v>43</v>
      </c>
      <c r="E774">
        <v>61</v>
      </c>
      <c r="F774" t="s">
        <v>58</v>
      </c>
      <c r="G774" s="1">
        <v>23393</v>
      </c>
      <c r="H774" t="s">
        <v>2111</v>
      </c>
      <c r="I774" s="2" t="str">
        <f t="shared" si="12"/>
        <v>+91-9431105995</v>
      </c>
      <c r="J774">
        <f>91-9431106086</f>
        <v>-9431105995</v>
      </c>
      <c r="K774" t="s">
        <v>331</v>
      </c>
      <c r="L774" t="s">
        <v>143</v>
      </c>
      <c r="M774">
        <v>640756</v>
      </c>
      <c r="N774" s="1">
        <v>45387</v>
      </c>
      <c r="O774" t="s">
        <v>35</v>
      </c>
      <c r="P774">
        <v>2</v>
      </c>
      <c r="Q774">
        <v>16177.95</v>
      </c>
    </row>
    <row r="775" spans="1:17" x14ac:dyDescent="0.3">
      <c r="A775" t="s">
        <v>2112</v>
      </c>
      <c r="B775" t="s">
        <v>1916</v>
      </c>
      <c r="C775" s="2" t="str">
        <f>PROPER(TRIM(Table1[[#This Row],[Gender]]))</f>
        <v>Male</v>
      </c>
      <c r="D775" t="s">
        <v>16</v>
      </c>
      <c r="E775">
        <v>43</v>
      </c>
      <c r="F775" t="s">
        <v>38</v>
      </c>
      <c r="G775" s="1">
        <v>29963</v>
      </c>
      <c r="H775" t="s">
        <v>2113</v>
      </c>
      <c r="I775" s="2" t="str">
        <f t="shared" si="12"/>
        <v>+91-7267652925</v>
      </c>
      <c r="J775">
        <f>91-7267653016</f>
        <v>-7267652925</v>
      </c>
      <c r="K775" t="s">
        <v>331</v>
      </c>
      <c r="L775" t="s">
        <v>143</v>
      </c>
      <c r="M775">
        <v>491868</v>
      </c>
      <c r="N775" s="1">
        <v>45442</v>
      </c>
      <c r="O775" t="s">
        <v>28</v>
      </c>
      <c r="P775">
        <v>6</v>
      </c>
      <c r="Q775">
        <v>65678.820000000007</v>
      </c>
    </row>
    <row r="776" spans="1:17" x14ac:dyDescent="0.3">
      <c r="A776" t="s">
        <v>2114</v>
      </c>
      <c r="B776" t="s">
        <v>1956</v>
      </c>
      <c r="C776" s="2" t="str">
        <f>PROPER(TRIM(Table1[[#This Row],[Gender]]))</f>
        <v>Female</v>
      </c>
      <c r="D776" t="s">
        <v>43</v>
      </c>
      <c r="E776">
        <v>44</v>
      </c>
      <c r="F776" t="s">
        <v>38</v>
      </c>
      <c r="G776" s="1">
        <v>29598</v>
      </c>
      <c r="H776" t="s">
        <v>2115</v>
      </c>
      <c r="I776" s="2" t="str">
        <f t="shared" si="12"/>
        <v>+91-9277496660</v>
      </c>
      <c r="J776">
        <f>91-9277496751</f>
        <v>-9277496660</v>
      </c>
      <c r="K776" t="s">
        <v>154</v>
      </c>
      <c r="L776" t="s">
        <v>46</v>
      </c>
      <c r="M776">
        <v>748084</v>
      </c>
      <c r="N776" s="1">
        <v>45164</v>
      </c>
      <c r="O776" t="s">
        <v>28</v>
      </c>
      <c r="P776">
        <v>4</v>
      </c>
      <c r="Q776">
        <v>57590.86</v>
      </c>
    </row>
    <row r="777" spans="1:17" x14ac:dyDescent="0.3">
      <c r="A777" t="s">
        <v>2116</v>
      </c>
      <c r="B777" t="s">
        <v>683</v>
      </c>
      <c r="C777" s="2" t="str">
        <f>PROPER(TRIM(Table1[[#This Row],[Gender]]))</f>
        <v>Female</v>
      </c>
      <c r="D777" t="s">
        <v>43</v>
      </c>
      <c r="E777">
        <v>22</v>
      </c>
      <c r="F777" t="s">
        <v>49</v>
      </c>
      <c r="G777" s="1">
        <v>37628</v>
      </c>
      <c r="H777" t="s">
        <v>1035</v>
      </c>
      <c r="I777" s="2" t="str">
        <f t="shared" si="12"/>
        <v>+91-8945569646</v>
      </c>
      <c r="J777">
        <f>91-8945569737</f>
        <v>-8945569646</v>
      </c>
      <c r="K777" t="s">
        <v>142</v>
      </c>
      <c r="L777" t="s">
        <v>143</v>
      </c>
      <c r="M777">
        <v>837630</v>
      </c>
      <c r="N777" s="1">
        <v>45080</v>
      </c>
      <c r="O777" t="s">
        <v>28</v>
      </c>
      <c r="P777">
        <v>6</v>
      </c>
      <c r="Q777">
        <v>186156.87</v>
      </c>
    </row>
    <row r="778" spans="1:17" x14ac:dyDescent="0.3">
      <c r="A778" t="s">
        <v>2117</v>
      </c>
      <c r="B778" t="s">
        <v>2118</v>
      </c>
      <c r="C778" s="2" t="str">
        <f>PROPER(TRIM(Table1[[#This Row],[Gender]]))</f>
        <v>Female</v>
      </c>
      <c r="D778" t="s">
        <v>43</v>
      </c>
      <c r="E778">
        <v>24</v>
      </c>
      <c r="F778" t="s">
        <v>49</v>
      </c>
      <c r="G778" s="1">
        <v>36898</v>
      </c>
      <c r="H778" t="s">
        <v>2119</v>
      </c>
      <c r="I778" s="2" t="str">
        <f t="shared" si="12"/>
        <v>+91-9470182438</v>
      </c>
      <c r="J778">
        <f>91-9470182529</f>
        <v>-9470182438</v>
      </c>
      <c r="K778" t="s">
        <v>147</v>
      </c>
      <c r="L778" t="s">
        <v>143</v>
      </c>
      <c r="M778">
        <v>487841</v>
      </c>
      <c r="N778" s="1">
        <v>45212</v>
      </c>
      <c r="O778" t="s">
        <v>21</v>
      </c>
      <c r="P778">
        <v>5</v>
      </c>
      <c r="Q778">
        <v>37093.040000000001</v>
      </c>
    </row>
    <row r="779" spans="1:17" x14ac:dyDescent="0.3">
      <c r="A779" t="s">
        <v>2120</v>
      </c>
      <c r="B779" t="s">
        <v>278</v>
      </c>
      <c r="C779" s="2" t="str">
        <f>PROPER(TRIM(Table1[[#This Row],[Gender]]))</f>
        <v>Male</v>
      </c>
      <c r="D779" t="s">
        <v>16</v>
      </c>
      <c r="E779">
        <v>35</v>
      </c>
      <c r="F779" t="s">
        <v>31</v>
      </c>
      <c r="G779" s="1">
        <v>32883</v>
      </c>
      <c r="H779" t="s">
        <v>2121</v>
      </c>
      <c r="I779" s="2" t="str">
        <f t="shared" si="12"/>
        <v>+91-9932670365</v>
      </c>
      <c r="J779">
        <f>91-9932670456</f>
        <v>-9932670365</v>
      </c>
      <c r="K779" t="s">
        <v>369</v>
      </c>
      <c r="L779" t="s">
        <v>191</v>
      </c>
      <c r="M779">
        <v>916938</v>
      </c>
      <c r="N779" s="1">
        <v>45197</v>
      </c>
      <c r="O779" t="s">
        <v>28</v>
      </c>
      <c r="P779">
        <v>7</v>
      </c>
      <c r="Q779">
        <v>219262.65</v>
      </c>
    </row>
    <row r="780" spans="1:17" x14ac:dyDescent="0.3">
      <c r="A780" t="s">
        <v>2122</v>
      </c>
      <c r="B780" t="s">
        <v>140</v>
      </c>
      <c r="C780" s="2" t="str">
        <f>PROPER(TRIM(Table1[[#This Row],[Gender]]))</f>
        <v>Female</v>
      </c>
      <c r="D780" t="s">
        <v>43</v>
      </c>
      <c r="E780">
        <v>45</v>
      </c>
      <c r="F780" t="s">
        <v>38</v>
      </c>
      <c r="G780" s="1">
        <v>29233</v>
      </c>
      <c r="H780" t="s">
        <v>2123</v>
      </c>
      <c r="I780" s="2" t="str">
        <f t="shared" si="12"/>
        <v>+91-9401599307</v>
      </c>
      <c r="J780">
        <f>91-9401599398</f>
        <v>-9401599307</v>
      </c>
      <c r="K780" t="s">
        <v>72</v>
      </c>
      <c r="L780" t="s">
        <v>34</v>
      </c>
      <c r="M780">
        <v>290046</v>
      </c>
      <c r="N780" s="1">
        <v>45186</v>
      </c>
      <c r="O780" t="s">
        <v>28</v>
      </c>
      <c r="P780">
        <v>9</v>
      </c>
      <c r="Q780">
        <v>257284.97</v>
      </c>
    </row>
    <row r="781" spans="1:17" x14ac:dyDescent="0.3">
      <c r="A781" t="s">
        <v>2124</v>
      </c>
      <c r="B781" t="s">
        <v>407</v>
      </c>
      <c r="C781" s="2" t="str">
        <f>PROPER(TRIM(Table1[[#This Row],[Gender]]))</f>
        <v>Male</v>
      </c>
      <c r="D781" t="s">
        <v>16</v>
      </c>
      <c r="E781">
        <v>43</v>
      </c>
      <c r="F781" t="s">
        <v>38</v>
      </c>
      <c r="G781" s="1">
        <v>29963</v>
      </c>
      <c r="H781" t="s">
        <v>2125</v>
      </c>
      <c r="I781" s="2" t="str">
        <f t="shared" si="12"/>
        <v>+91-7163189360</v>
      </c>
      <c r="J781">
        <f>91-7163189451</f>
        <v>-7163189360</v>
      </c>
      <c r="K781" t="s">
        <v>161</v>
      </c>
      <c r="L781" t="s">
        <v>102</v>
      </c>
      <c r="M781">
        <v>201367</v>
      </c>
      <c r="N781" s="1">
        <v>45336</v>
      </c>
      <c r="O781" t="s">
        <v>28</v>
      </c>
      <c r="P781">
        <v>7</v>
      </c>
      <c r="Q781">
        <v>148321.04</v>
      </c>
    </row>
    <row r="782" spans="1:17" x14ac:dyDescent="0.3">
      <c r="A782" t="s">
        <v>2126</v>
      </c>
      <c r="B782" t="s">
        <v>2127</v>
      </c>
      <c r="C782" s="2" t="str">
        <f>PROPER(TRIM(Table1[[#This Row],[Gender]]))</f>
        <v>Male</v>
      </c>
      <c r="D782" t="s">
        <v>16</v>
      </c>
      <c r="E782">
        <v>21</v>
      </c>
      <c r="F782" t="s">
        <v>49</v>
      </c>
      <c r="G782" s="1">
        <v>37993</v>
      </c>
      <c r="H782" t="s">
        <v>2128</v>
      </c>
      <c r="I782" s="2" t="str">
        <f t="shared" si="12"/>
        <v>+91-8129026951</v>
      </c>
      <c r="J782">
        <f>91-8129027042</f>
        <v>-8129026951</v>
      </c>
      <c r="K782" t="s">
        <v>580</v>
      </c>
      <c r="L782" t="s">
        <v>85</v>
      </c>
      <c r="M782">
        <v>553745</v>
      </c>
      <c r="N782" s="1">
        <v>45425</v>
      </c>
      <c r="O782" t="s">
        <v>35</v>
      </c>
      <c r="P782">
        <v>2</v>
      </c>
      <c r="Q782">
        <v>9285.31</v>
      </c>
    </row>
    <row r="783" spans="1:17" x14ac:dyDescent="0.3">
      <c r="A783" t="s">
        <v>2129</v>
      </c>
      <c r="B783" t="s">
        <v>2130</v>
      </c>
      <c r="C783" s="2" t="str">
        <f>PROPER(TRIM(Table1[[#This Row],[Gender]]))</f>
        <v>Female</v>
      </c>
      <c r="D783" t="s">
        <v>43</v>
      </c>
      <c r="E783">
        <v>24</v>
      </c>
      <c r="F783" t="s">
        <v>49</v>
      </c>
      <c r="G783" s="1">
        <v>36898</v>
      </c>
      <c r="H783" t="s">
        <v>2131</v>
      </c>
      <c r="I783" s="2" t="str">
        <f t="shared" si="12"/>
        <v>+91-7284516853</v>
      </c>
      <c r="J783">
        <f>91-7284516944</f>
        <v>-7284516853</v>
      </c>
      <c r="K783" t="s">
        <v>125</v>
      </c>
      <c r="L783" t="s">
        <v>52</v>
      </c>
      <c r="M783">
        <v>510261</v>
      </c>
      <c r="N783" s="1">
        <v>45146</v>
      </c>
      <c r="O783" t="s">
        <v>28</v>
      </c>
      <c r="P783">
        <v>5</v>
      </c>
      <c r="Q783">
        <v>191352.79</v>
      </c>
    </row>
    <row r="784" spans="1:17" x14ac:dyDescent="0.3">
      <c r="A784" t="s">
        <v>2132</v>
      </c>
      <c r="B784" t="s">
        <v>940</v>
      </c>
      <c r="C784" s="2" t="str">
        <f>PROPER(TRIM(Table1[[#This Row],[Gender]]))</f>
        <v>Male</v>
      </c>
      <c r="D784" t="s">
        <v>16</v>
      </c>
      <c r="E784">
        <v>34</v>
      </c>
      <c r="F784" t="s">
        <v>31</v>
      </c>
      <c r="G784" s="1">
        <v>33248</v>
      </c>
      <c r="H784" t="s">
        <v>2133</v>
      </c>
      <c r="I784" s="2" t="str">
        <f t="shared" si="12"/>
        <v>+91-9845322920</v>
      </c>
      <c r="J784">
        <f>91-9845323011</f>
        <v>-9845322920</v>
      </c>
      <c r="K784" t="s">
        <v>415</v>
      </c>
      <c r="L784" t="s">
        <v>90</v>
      </c>
      <c r="M784">
        <v>331082</v>
      </c>
      <c r="N784" s="1">
        <v>45235</v>
      </c>
      <c r="O784" t="s">
        <v>28</v>
      </c>
      <c r="P784">
        <v>5</v>
      </c>
      <c r="Q784">
        <v>282835.24</v>
      </c>
    </row>
    <row r="785" spans="1:17" x14ac:dyDescent="0.3">
      <c r="A785" t="s">
        <v>2134</v>
      </c>
      <c r="B785" t="s">
        <v>1686</v>
      </c>
      <c r="C785" s="2" t="str">
        <f>PROPER(TRIM(Table1[[#This Row],[Gender]]))</f>
        <v>Female</v>
      </c>
      <c r="D785" t="s">
        <v>43</v>
      </c>
      <c r="E785">
        <v>63</v>
      </c>
      <c r="F785" t="s">
        <v>58</v>
      </c>
      <c r="G785" s="1">
        <v>22663</v>
      </c>
      <c r="H785" t="s">
        <v>2135</v>
      </c>
      <c r="I785" s="2" t="str">
        <f t="shared" si="12"/>
        <v>+91-9230281787</v>
      </c>
      <c r="J785">
        <f>91-9230281878</f>
        <v>-9230281787</v>
      </c>
      <c r="K785" t="s">
        <v>76</v>
      </c>
      <c r="L785" t="s">
        <v>46</v>
      </c>
      <c r="M785">
        <v>430774</v>
      </c>
      <c r="N785" s="1">
        <v>45333</v>
      </c>
      <c r="O785" t="s">
        <v>21</v>
      </c>
      <c r="P785">
        <v>2</v>
      </c>
      <c r="Q785">
        <v>48492.77</v>
      </c>
    </row>
    <row r="786" spans="1:17" x14ac:dyDescent="0.3">
      <c r="A786" t="s">
        <v>2136</v>
      </c>
      <c r="B786" t="s">
        <v>2137</v>
      </c>
      <c r="C786" s="2" t="str">
        <f>PROPER(TRIM(Table1[[#This Row],[Gender]]))</f>
        <v>Female</v>
      </c>
      <c r="D786" t="s">
        <v>43</v>
      </c>
      <c r="E786">
        <v>20</v>
      </c>
      <c r="F786" t="s">
        <v>49</v>
      </c>
      <c r="G786" s="1">
        <v>38358</v>
      </c>
      <c r="H786" t="s">
        <v>2138</v>
      </c>
      <c r="I786" s="2" t="str">
        <f t="shared" si="12"/>
        <v>+91-8761526740</v>
      </c>
      <c r="J786">
        <f>91-8761526831</f>
        <v>-8761526740</v>
      </c>
      <c r="K786" t="s">
        <v>33</v>
      </c>
      <c r="L786" t="s">
        <v>34</v>
      </c>
      <c r="M786">
        <v>725514</v>
      </c>
      <c r="N786" s="1">
        <v>45271</v>
      </c>
      <c r="O786" t="s">
        <v>28</v>
      </c>
      <c r="P786">
        <v>8</v>
      </c>
      <c r="Q786">
        <v>198077.7</v>
      </c>
    </row>
    <row r="787" spans="1:17" x14ac:dyDescent="0.3">
      <c r="A787" t="s">
        <v>2139</v>
      </c>
      <c r="B787" t="s">
        <v>1152</v>
      </c>
      <c r="C787" s="2" t="str">
        <f>PROPER(TRIM(Table1[[#This Row],[Gender]]))</f>
        <v>Male</v>
      </c>
      <c r="D787" t="s">
        <v>16</v>
      </c>
      <c r="E787">
        <v>34</v>
      </c>
      <c r="F787" t="s">
        <v>31</v>
      </c>
      <c r="G787" s="1">
        <v>33248</v>
      </c>
      <c r="H787" t="s">
        <v>2140</v>
      </c>
      <c r="I787" s="2" t="str">
        <f t="shared" si="12"/>
        <v>+91-8565499651</v>
      </c>
      <c r="J787">
        <f>91-8565499742</f>
        <v>-8565499651</v>
      </c>
      <c r="K787" t="s">
        <v>174</v>
      </c>
      <c r="L787" t="s">
        <v>90</v>
      </c>
      <c r="M787">
        <v>690819</v>
      </c>
      <c r="N787" s="1">
        <v>45380</v>
      </c>
      <c r="O787" t="s">
        <v>28</v>
      </c>
      <c r="P787">
        <v>12</v>
      </c>
      <c r="Q787">
        <v>391049.92</v>
      </c>
    </row>
    <row r="788" spans="1:17" x14ac:dyDescent="0.3">
      <c r="A788" t="s">
        <v>2141</v>
      </c>
      <c r="B788" t="s">
        <v>2142</v>
      </c>
      <c r="C788" s="2" t="str">
        <f>PROPER(TRIM(Table1[[#This Row],[Gender]]))</f>
        <v>Male</v>
      </c>
      <c r="D788" t="s">
        <v>16</v>
      </c>
      <c r="E788">
        <v>43</v>
      </c>
      <c r="F788" t="s">
        <v>38</v>
      </c>
      <c r="G788" s="1">
        <v>29963</v>
      </c>
      <c r="H788" t="s">
        <v>2143</v>
      </c>
      <c r="I788" s="2" t="str">
        <f t="shared" si="12"/>
        <v>+91-8838971705</v>
      </c>
      <c r="J788">
        <f>91-8838971796</f>
        <v>-8838971705</v>
      </c>
      <c r="K788" t="s">
        <v>76</v>
      </c>
      <c r="L788" t="s">
        <v>46</v>
      </c>
      <c r="M788">
        <v>776965</v>
      </c>
      <c r="N788" s="1">
        <v>45351</v>
      </c>
      <c r="O788" t="s">
        <v>35</v>
      </c>
      <c r="P788">
        <v>1</v>
      </c>
      <c r="Q788">
        <v>871.56</v>
      </c>
    </row>
    <row r="789" spans="1:17" x14ac:dyDescent="0.3">
      <c r="A789" t="s">
        <v>2144</v>
      </c>
      <c r="B789" t="s">
        <v>2061</v>
      </c>
      <c r="C789" s="2" t="str">
        <f>PROPER(TRIM(Table1[[#This Row],[Gender]]))</f>
        <v>Female</v>
      </c>
      <c r="D789" t="s">
        <v>43</v>
      </c>
      <c r="E789">
        <v>34</v>
      </c>
      <c r="F789" t="s">
        <v>31</v>
      </c>
      <c r="G789" s="1">
        <v>33248</v>
      </c>
      <c r="H789" t="s">
        <v>2145</v>
      </c>
      <c r="I789" s="2" t="str">
        <f t="shared" si="12"/>
        <v>+91-8968441176</v>
      </c>
      <c r="J789">
        <f>91-8968441267</f>
        <v>-8968441176</v>
      </c>
      <c r="K789" t="s">
        <v>195</v>
      </c>
      <c r="L789" t="s">
        <v>102</v>
      </c>
      <c r="M789">
        <v>574384</v>
      </c>
      <c r="N789" s="1">
        <v>45384</v>
      </c>
      <c r="O789" t="s">
        <v>28</v>
      </c>
      <c r="P789">
        <v>5</v>
      </c>
      <c r="Q789">
        <v>142934.84</v>
      </c>
    </row>
    <row r="790" spans="1:17" x14ac:dyDescent="0.3">
      <c r="A790" t="s">
        <v>2146</v>
      </c>
      <c r="B790" t="s">
        <v>2147</v>
      </c>
      <c r="C790" s="2" t="str">
        <f>PROPER(TRIM(Table1[[#This Row],[Gender]]))</f>
        <v>Female</v>
      </c>
      <c r="D790" t="s">
        <v>43</v>
      </c>
      <c r="E790">
        <v>34</v>
      </c>
      <c r="F790" t="s">
        <v>31</v>
      </c>
      <c r="G790" s="1">
        <v>33248</v>
      </c>
      <c r="H790" t="s">
        <v>2148</v>
      </c>
      <c r="I790" s="2" t="str">
        <f t="shared" si="12"/>
        <v>+91-7863444923</v>
      </c>
      <c r="J790">
        <f>91-7863445014</f>
        <v>-7863444923</v>
      </c>
      <c r="K790" t="s">
        <v>190</v>
      </c>
      <c r="L790" t="s">
        <v>191</v>
      </c>
      <c r="M790">
        <v>165516</v>
      </c>
      <c r="N790" s="1">
        <v>45313</v>
      </c>
      <c r="O790" t="s">
        <v>28</v>
      </c>
      <c r="P790">
        <v>4</v>
      </c>
      <c r="Q790">
        <v>188127.42</v>
      </c>
    </row>
    <row r="791" spans="1:17" x14ac:dyDescent="0.3">
      <c r="A791" t="s">
        <v>2149</v>
      </c>
      <c r="B791" t="s">
        <v>2150</v>
      </c>
      <c r="C791" s="2" t="str">
        <f>PROPER(TRIM(Table1[[#This Row],[Gender]]))</f>
        <v>Female</v>
      </c>
      <c r="D791" t="s">
        <v>43</v>
      </c>
      <c r="E791">
        <v>25</v>
      </c>
      <c r="F791" t="s">
        <v>49</v>
      </c>
      <c r="G791" s="1">
        <v>36533</v>
      </c>
      <c r="H791" t="s">
        <v>2151</v>
      </c>
      <c r="I791" s="2" t="str">
        <f t="shared" si="12"/>
        <v>+91-9353728053</v>
      </c>
      <c r="J791">
        <f>91-9353728144</f>
        <v>-9353728053</v>
      </c>
      <c r="K791" t="s">
        <v>580</v>
      </c>
      <c r="L791" t="s">
        <v>85</v>
      </c>
      <c r="M791">
        <v>771825</v>
      </c>
      <c r="N791" s="1">
        <v>45233</v>
      </c>
      <c r="O791" t="s">
        <v>35</v>
      </c>
      <c r="P791">
        <v>2</v>
      </c>
      <c r="Q791">
        <v>2445.8000000000002</v>
      </c>
    </row>
    <row r="792" spans="1:17" x14ac:dyDescent="0.3">
      <c r="A792" t="s">
        <v>2152</v>
      </c>
      <c r="B792" t="s">
        <v>798</v>
      </c>
      <c r="C792" s="2" t="str">
        <f>PROPER(TRIM(Table1[[#This Row],[Gender]]))</f>
        <v>Female</v>
      </c>
      <c r="D792" t="s">
        <v>43</v>
      </c>
      <c r="E792">
        <v>60</v>
      </c>
      <c r="F792" t="s">
        <v>58</v>
      </c>
      <c r="G792" s="1">
        <v>23758</v>
      </c>
      <c r="H792" t="s">
        <v>2153</v>
      </c>
      <c r="I792" s="2" t="str">
        <f t="shared" si="12"/>
        <v>+91-8562539685</v>
      </c>
      <c r="J792">
        <f>91-8562539776</f>
        <v>-8562539685</v>
      </c>
      <c r="K792" t="s">
        <v>80</v>
      </c>
      <c r="L792" t="s">
        <v>20</v>
      </c>
      <c r="M792">
        <v>311798</v>
      </c>
      <c r="N792" s="1">
        <v>45141</v>
      </c>
      <c r="O792" t="s">
        <v>28</v>
      </c>
      <c r="P792">
        <v>7</v>
      </c>
      <c r="Q792">
        <v>64053.11</v>
      </c>
    </row>
    <row r="793" spans="1:17" x14ac:dyDescent="0.3">
      <c r="A793" t="s">
        <v>2154</v>
      </c>
      <c r="B793" t="s">
        <v>2155</v>
      </c>
      <c r="C793" s="2" t="str">
        <f>PROPER(TRIM(Table1[[#This Row],[Gender]]))</f>
        <v>Male</v>
      </c>
      <c r="D793" t="s">
        <v>16</v>
      </c>
      <c r="E793">
        <v>24</v>
      </c>
      <c r="F793" t="s">
        <v>49</v>
      </c>
      <c r="G793" s="1">
        <v>36898</v>
      </c>
      <c r="H793" t="s">
        <v>2156</v>
      </c>
      <c r="I793" s="2" t="str">
        <f t="shared" si="12"/>
        <v>+91-8848024548</v>
      </c>
      <c r="J793">
        <f>91-8848024639</f>
        <v>-8848024548</v>
      </c>
      <c r="K793" t="s">
        <v>94</v>
      </c>
      <c r="L793" t="s">
        <v>20</v>
      </c>
      <c r="M793">
        <v>490657</v>
      </c>
      <c r="N793" s="1">
        <v>45181</v>
      </c>
      <c r="O793" t="s">
        <v>28</v>
      </c>
      <c r="P793">
        <v>7</v>
      </c>
      <c r="Q793">
        <v>126183.97</v>
      </c>
    </row>
    <row r="794" spans="1:17" x14ac:dyDescent="0.3">
      <c r="A794" t="s">
        <v>2157</v>
      </c>
      <c r="B794" t="s">
        <v>1882</v>
      </c>
      <c r="C794" s="2" t="str">
        <f>PROPER(TRIM(Table1[[#This Row],[Gender]]))</f>
        <v>Female</v>
      </c>
      <c r="D794" t="s">
        <v>43</v>
      </c>
      <c r="E794">
        <v>22</v>
      </c>
      <c r="F794" t="s">
        <v>49</v>
      </c>
      <c r="G794" s="1">
        <v>37628</v>
      </c>
      <c r="H794" t="s">
        <v>2158</v>
      </c>
      <c r="I794" s="2" t="str">
        <f t="shared" si="12"/>
        <v>+91-8290525271</v>
      </c>
      <c r="J794">
        <f>91-8290525362</f>
        <v>-8290525271</v>
      </c>
      <c r="K794" t="s">
        <v>109</v>
      </c>
      <c r="L794" t="s">
        <v>46</v>
      </c>
      <c r="M794">
        <v>686724</v>
      </c>
      <c r="N794" s="1">
        <v>45379</v>
      </c>
      <c r="O794" t="s">
        <v>28</v>
      </c>
      <c r="P794">
        <v>5</v>
      </c>
      <c r="Q794">
        <v>69207.899999999994</v>
      </c>
    </row>
    <row r="795" spans="1:17" x14ac:dyDescent="0.3">
      <c r="A795" t="s">
        <v>2159</v>
      </c>
      <c r="B795" t="s">
        <v>2155</v>
      </c>
      <c r="C795" s="2" t="str">
        <f>PROPER(TRIM(Table1[[#This Row],[Gender]]))</f>
        <v>Male</v>
      </c>
      <c r="D795" t="s">
        <v>16</v>
      </c>
      <c r="E795">
        <v>21</v>
      </c>
      <c r="F795" t="s">
        <v>49</v>
      </c>
      <c r="G795" s="1">
        <v>37993</v>
      </c>
      <c r="H795" t="s">
        <v>2160</v>
      </c>
      <c r="I795" s="2" t="str">
        <f t="shared" si="12"/>
        <v>+91-9860467634</v>
      </c>
      <c r="J795">
        <f>91-9860467725</f>
        <v>-9860467634</v>
      </c>
      <c r="K795" t="s">
        <v>64</v>
      </c>
      <c r="L795" t="s">
        <v>20</v>
      </c>
      <c r="M795">
        <v>621015</v>
      </c>
      <c r="N795" s="1">
        <v>45285</v>
      </c>
      <c r="O795" t="s">
        <v>28</v>
      </c>
      <c r="P795">
        <v>7</v>
      </c>
      <c r="Q795">
        <v>152861.57</v>
      </c>
    </row>
    <row r="796" spans="1:17" x14ac:dyDescent="0.3">
      <c r="A796" t="s">
        <v>2161</v>
      </c>
      <c r="B796" t="s">
        <v>2162</v>
      </c>
      <c r="C796" s="2" t="str">
        <f>PROPER(TRIM(Table1[[#This Row],[Gender]]))</f>
        <v>Male</v>
      </c>
      <c r="D796" t="s">
        <v>16</v>
      </c>
      <c r="E796">
        <v>26</v>
      </c>
      <c r="F796" t="s">
        <v>31</v>
      </c>
      <c r="G796" s="1">
        <v>36168</v>
      </c>
      <c r="H796" t="s">
        <v>2163</v>
      </c>
      <c r="I796" s="2" t="str">
        <f t="shared" si="12"/>
        <v>+91-9233359494</v>
      </c>
      <c r="J796">
        <f>91-9233359585</f>
        <v>-9233359494</v>
      </c>
      <c r="K796" t="s">
        <v>45</v>
      </c>
      <c r="L796" t="s">
        <v>46</v>
      </c>
      <c r="M796">
        <v>655248</v>
      </c>
      <c r="N796" s="1">
        <v>45236</v>
      </c>
      <c r="O796" t="s">
        <v>28</v>
      </c>
      <c r="P796">
        <v>7</v>
      </c>
      <c r="Q796">
        <v>247297.66</v>
      </c>
    </row>
    <row r="797" spans="1:17" x14ac:dyDescent="0.3">
      <c r="A797" t="s">
        <v>2164</v>
      </c>
      <c r="B797" t="s">
        <v>66</v>
      </c>
      <c r="C797" s="2" t="str">
        <f>PROPER(TRIM(Table1[[#This Row],[Gender]]))</f>
        <v>Male</v>
      </c>
      <c r="D797" t="s">
        <v>16</v>
      </c>
      <c r="E797">
        <v>43</v>
      </c>
      <c r="F797" t="s">
        <v>38</v>
      </c>
      <c r="G797" s="1">
        <v>29963</v>
      </c>
      <c r="H797" t="s">
        <v>2165</v>
      </c>
      <c r="I797" s="2" t="str">
        <f t="shared" si="12"/>
        <v>+91-9349610309</v>
      </c>
      <c r="J797">
        <f>91-9349610400</f>
        <v>-9349610309</v>
      </c>
      <c r="K797" t="s">
        <v>109</v>
      </c>
      <c r="L797" t="s">
        <v>46</v>
      </c>
      <c r="M797">
        <v>150165</v>
      </c>
      <c r="N797" s="1">
        <v>45194</v>
      </c>
      <c r="O797" t="s">
        <v>28</v>
      </c>
      <c r="P797">
        <v>6</v>
      </c>
      <c r="Q797">
        <v>308977.96000000002</v>
      </c>
    </row>
    <row r="798" spans="1:17" x14ac:dyDescent="0.3">
      <c r="A798" t="s">
        <v>2166</v>
      </c>
      <c r="B798" t="s">
        <v>1124</v>
      </c>
      <c r="C798" s="2" t="str">
        <f>PROPER(TRIM(Table1[[#This Row],[Gender]]))</f>
        <v>Female</v>
      </c>
      <c r="D798" t="s">
        <v>43</v>
      </c>
      <c r="E798">
        <v>27</v>
      </c>
      <c r="F798" t="s">
        <v>31</v>
      </c>
      <c r="G798" s="1">
        <v>35803</v>
      </c>
      <c r="H798" t="s">
        <v>2167</v>
      </c>
      <c r="I798" s="2" t="str">
        <f t="shared" si="12"/>
        <v>+91-7243082712</v>
      </c>
      <c r="J798">
        <f>91-7243082803</f>
        <v>-7243082712</v>
      </c>
      <c r="K798" t="s">
        <v>109</v>
      </c>
      <c r="L798" t="s">
        <v>46</v>
      </c>
      <c r="M798">
        <v>462484</v>
      </c>
      <c r="N798" s="1">
        <v>45383</v>
      </c>
      <c r="O798" t="s">
        <v>28</v>
      </c>
      <c r="P798">
        <v>5</v>
      </c>
      <c r="Q798">
        <v>182667.53</v>
      </c>
    </row>
    <row r="799" spans="1:17" x14ac:dyDescent="0.3">
      <c r="A799" t="s">
        <v>2168</v>
      </c>
      <c r="B799" t="s">
        <v>1617</v>
      </c>
      <c r="C799" s="2" t="str">
        <f>PROPER(TRIM(Table1[[#This Row],[Gender]]))</f>
        <v>Female</v>
      </c>
      <c r="D799" t="s">
        <v>43</v>
      </c>
      <c r="E799">
        <v>44</v>
      </c>
      <c r="F799" t="s">
        <v>38</v>
      </c>
      <c r="G799" s="1">
        <v>29598</v>
      </c>
      <c r="H799" t="s">
        <v>2169</v>
      </c>
      <c r="I799" s="2" t="str">
        <f t="shared" si="12"/>
        <v>+91-7104537460</v>
      </c>
      <c r="J799">
        <f>91-7104537551</f>
        <v>-7104537460</v>
      </c>
      <c r="K799" t="s">
        <v>19</v>
      </c>
      <c r="L799" t="s">
        <v>20</v>
      </c>
      <c r="M799">
        <v>335425</v>
      </c>
      <c r="N799" s="1">
        <v>45310</v>
      </c>
      <c r="O799" t="s">
        <v>28</v>
      </c>
      <c r="P799">
        <v>3</v>
      </c>
      <c r="Q799">
        <v>74095.91</v>
      </c>
    </row>
    <row r="800" spans="1:17" x14ac:dyDescent="0.3">
      <c r="A800" t="s">
        <v>2170</v>
      </c>
      <c r="B800" t="s">
        <v>795</v>
      </c>
      <c r="C800" s="2" t="str">
        <f>PROPER(TRIM(Table1[[#This Row],[Gender]]))</f>
        <v>Male</v>
      </c>
      <c r="D800" t="s">
        <v>16</v>
      </c>
      <c r="E800">
        <v>55</v>
      </c>
      <c r="F800" t="s">
        <v>17</v>
      </c>
      <c r="G800" s="1">
        <v>25583</v>
      </c>
      <c r="H800" t="s">
        <v>2171</v>
      </c>
      <c r="I800" s="2" t="str">
        <f t="shared" si="12"/>
        <v>+91-7506834237</v>
      </c>
      <c r="J800">
        <f>91-7506834328</f>
        <v>-7506834237</v>
      </c>
      <c r="K800" t="s">
        <v>142</v>
      </c>
      <c r="L800" t="s">
        <v>143</v>
      </c>
      <c r="M800">
        <v>628786</v>
      </c>
      <c r="N800" s="1">
        <v>45318</v>
      </c>
      <c r="O800" t="s">
        <v>35</v>
      </c>
      <c r="P800">
        <v>3</v>
      </c>
      <c r="Q800">
        <v>18559.72</v>
      </c>
    </row>
    <row r="801" spans="1:17" x14ac:dyDescent="0.3">
      <c r="A801" t="s">
        <v>2172</v>
      </c>
      <c r="B801" t="s">
        <v>2173</v>
      </c>
      <c r="C801" s="2" t="str">
        <f>PROPER(TRIM(Table1[[#This Row],[Gender]]))</f>
        <v>Female</v>
      </c>
      <c r="D801" t="s">
        <v>43</v>
      </c>
      <c r="E801">
        <v>22</v>
      </c>
      <c r="F801" t="s">
        <v>49</v>
      </c>
      <c r="G801" s="1">
        <v>37628</v>
      </c>
      <c r="H801" t="s">
        <v>2174</v>
      </c>
      <c r="I801" s="2" t="str">
        <f t="shared" si="12"/>
        <v>+91-9866038267</v>
      </c>
      <c r="J801">
        <f>91-9866038358</f>
        <v>-9866038267</v>
      </c>
      <c r="K801" t="s">
        <v>142</v>
      </c>
      <c r="L801" t="s">
        <v>143</v>
      </c>
      <c r="M801">
        <v>533813</v>
      </c>
      <c r="N801" s="1">
        <v>45129</v>
      </c>
      <c r="O801" t="s">
        <v>35</v>
      </c>
      <c r="P801">
        <v>1</v>
      </c>
      <c r="Q801">
        <v>1449.5</v>
      </c>
    </row>
    <row r="802" spans="1:17" x14ac:dyDescent="0.3">
      <c r="A802" t="s">
        <v>2175</v>
      </c>
      <c r="B802" t="s">
        <v>1124</v>
      </c>
      <c r="C802" s="2" t="str">
        <f>PROPER(TRIM(Table1[[#This Row],[Gender]]))</f>
        <v>Female</v>
      </c>
      <c r="D802" t="s">
        <v>43</v>
      </c>
      <c r="E802">
        <v>56</v>
      </c>
      <c r="F802" t="s">
        <v>58</v>
      </c>
      <c r="G802" s="1">
        <v>25218</v>
      </c>
      <c r="H802" t="s">
        <v>2176</v>
      </c>
      <c r="I802" s="2" t="str">
        <f t="shared" si="12"/>
        <v>+91-7601428331</v>
      </c>
      <c r="J802">
        <f>91-7601428422</f>
        <v>-7601428331</v>
      </c>
      <c r="K802" t="s">
        <v>142</v>
      </c>
      <c r="L802" t="s">
        <v>143</v>
      </c>
      <c r="M802">
        <v>968215</v>
      </c>
      <c r="N802" s="1">
        <v>45320</v>
      </c>
      <c r="O802" t="s">
        <v>35</v>
      </c>
      <c r="P802">
        <v>4</v>
      </c>
      <c r="Q802">
        <v>15775.35</v>
      </c>
    </row>
    <row r="803" spans="1:17" x14ac:dyDescent="0.3">
      <c r="A803" t="s">
        <v>2177</v>
      </c>
      <c r="B803" t="s">
        <v>1989</v>
      </c>
      <c r="C803" s="2" t="str">
        <f>PROPER(TRIM(Table1[[#This Row],[Gender]]))</f>
        <v>Female</v>
      </c>
      <c r="D803" t="s">
        <v>43</v>
      </c>
      <c r="E803">
        <v>41</v>
      </c>
      <c r="F803" t="s">
        <v>38</v>
      </c>
      <c r="G803" s="1">
        <v>30693</v>
      </c>
      <c r="H803" t="s">
        <v>2178</v>
      </c>
      <c r="I803" s="2" t="str">
        <f t="shared" si="12"/>
        <v>+91-8395733091</v>
      </c>
      <c r="J803">
        <f>91-8395733182</f>
        <v>-8395733091</v>
      </c>
      <c r="K803" t="s">
        <v>60</v>
      </c>
      <c r="L803" t="s">
        <v>34</v>
      </c>
      <c r="M803">
        <v>249695</v>
      </c>
      <c r="N803" s="1">
        <v>45093</v>
      </c>
      <c r="O803" t="s">
        <v>21</v>
      </c>
      <c r="P803">
        <v>4</v>
      </c>
      <c r="Q803">
        <v>20032.95</v>
      </c>
    </row>
    <row r="804" spans="1:17" x14ac:dyDescent="0.3">
      <c r="A804" t="s">
        <v>2179</v>
      </c>
      <c r="B804" t="s">
        <v>271</v>
      </c>
      <c r="C804" s="2" t="str">
        <f>PROPER(TRIM(Table1[[#This Row],[Gender]]))</f>
        <v>Male</v>
      </c>
      <c r="D804" t="s">
        <v>16</v>
      </c>
      <c r="E804">
        <v>24</v>
      </c>
      <c r="F804" t="s">
        <v>49</v>
      </c>
      <c r="G804" s="1">
        <v>36898</v>
      </c>
      <c r="H804" t="s">
        <v>2180</v>
      </c>
      <c r="I804" s="2" t="str">
        <f t="shared" si="12"/>
        <v>+91-8039899243</v>
      </c>
      <c r="J804">
        <f>91-8039899334</f>
        <v>-8039899243</v>
      </c>
      <c r="K804" t="s">
        <v>45</v>
      </c>
      <c r="L804" t="s">
        <v>46</v>
      </c>
      <c r="M804">
        <v>112815</v>
      </c>
      <c r="N804" s="1">
        <v>45094</v>
      </c>
      <c r="O804" t="s">
        <v>28</v>
      </c>
      <c r="P804">
        <v>5</v>
      </c>
      <c r="Q804">
        <v>156337.75</v>
      </c>
    </row>
    <row r="805" spans="1:17" x14ac:dyDescent="0.3">
      <c r="A805" t="s">
        <v>2181</v>
      </c>
      <c r="B805" t="s">
        <v>2182</v>
      </c>
      <c r="C805" s="2" t="str">
        <f>PROPER(TRIM(Table1[[#This Row],[Gender]]))</f>
        <v>Male</v>
      </c>
      <c r="D805" t="s">
        <v>16</v>
      </c>
      <c r="E805">
        <v>33</v>
      </c>
      <c r="F805" t="s">
        <v>31</v>
      </c>
      <c r="G805" s="1">
        <v>33613</v>
      </c>
      <c r="H805" t="s">
        <v>2183</v>
      </c>
      <c r="I805" s="2" t="str">
        <f t="shared" si="12"/>
        <v>+91-9628585024</v>
      </c>
      <c r="J805">
        <f>91-9628585115</f>
        <v>-9628585024</v>
      </c>
      <c r="K805" t="s">
        <v>117</v>
      </c>
      <c r="L805" t="s">
        <v>52</v>
      </c>
      <c r="M805">
        <v>379094</v>
      </c>
      <c r="N805" s="1">
        <v>45189</v>
      </c>
      <c r="O805" t="s">
        <v>21</v>
      </c>
      <c r="P805">
        <v>2</v>
      </c>
      <c r="Q805">
        <v>34091.46</v>
      </c>
    </row>
    <row r="806" spans="1:17" x14ac:dyDescent="0.3">
      <c r="A806" t="s">
        <v>2184</v>
      </c>
      <c r="B806" t="s">
        <v>2185</v>
      </c>
      <c r="C806" s="2" t="str">
        <f>PROPER(TRIM(Table1[[#This Row],[Gender]]))</f>
        <v>Female</v>
      </c>
      <c r="D806" t="s">
        <v>43</v>
      </c>
      <c r="E806">
        <v>32</v>
      </c>
      <c r="F806" t="s">
        <v>31</v>
      </c>
      <c r="G806" s="1">
        <v>33978</v>
      </c>
      <c r="H806" t="s">
        <v>2186</v>
      </c>
      <c r="I806" s="2" t="str">
        <f t="shared" si="12"/>
        <v>+91-7150159986</v>
      </c>
      <c r="J806">
        <f>91-7150160077</f>
        <v>-7150159986</v>
      </c>
      <c r="K806" t="s">
        <v>72</v>
      </c>
      <c r="L806" t="s">
        <v>34</v>
      </c>
      <c r="M806">
        <v>378579</v>
      </c>
      <c r="N806" s="1">
        <v>45114</v>
      </c>
      <c r="O806" t="s">
        <v>35</v>
      </c>
      <c r="P806">
        <v>0</v>
      </c>
      <c r="Q806">
        <v>0</v>
      </c>
    </row>
    <row r="807" spans="1:17" x14ac:dyDescent="0.3">
      <c r="A807" t="s">
        <v>2187</v>
      </c>
      <c r="B807" t="s">
        <v>932</v>
      </c>
      <c r="C807" s="2" t="str">
        <f>PROPER(TRIM(Table1[[#This Row],[Gender]]))</f>
        <v>Female</v>
      </c>
      <c r="D807" t="s">
        <v>43</v>
      </c>
      <c r="E807">
        <v>30</v>
      </c>
      <c r="F807" t="s">
        <v>31</v>
      </c>
      <c r="G807" s="1">
        <v>34708</v>
      </c>
      <c r="H807" t="s">
        <v>2188</v>
      </c>
      <c r="I807" s="2" t="str">
        <f t="shared" si="12"/>
        <v>+91-8469018637</v>
      </c>
      <c r="J807">
        <f>91-8469018728</f>
        <v>-8469018637</v>
      </c>
      <c r="K807" t="s">
        <v>202</v>
      </c>
      <c r="L807" t="s">
        <v>191</v>
      </c>
      <c r="M807">
        <v>234723</v>
      </c>
      <c r="N807" s="1">
        <v>45121</v>
      </c>
      <c r="O807" t="s">
        <v>21</v>
      </c>
      <c r="P807">
        <v>4</v>
      </c>
      <c r="Q807">
        <v>38206.79</v>
      </c>
    </row>
    <row r="808" spans="1:17" x14ac:dyDescent="0.3">
      <c r="A808" t="s">
        <v>2189</v>
      </c>
      <c r="B808" t="s">
        <v>2190</v>
      </c>
      <c r="C808" s="2" t="str">
        <f>PROPER(TRIM(Table1[[#This Row],[Gender]]))</f>
        <v>Male</v>
      </c>
      <c r="D808" t="s">
        <v>16</v>
      </c>
      <c r="E808">
        <v>53</v>
      </c>
      <c r="F808" t="s">
        <v>17</v>
      </c>
      <c r="G808" s="1">
        <v>26313</v>
      </c>
      <c r="H808" t="s">
        <v>2191</v>
      </c>
      <c r="I808" s="2" t="str">
        <f t="shared" si="12"/>
        <v>+91-7936057738</v>
      </c>
      <c r="J808">
        <f>91-7936057829</f>
        <v>-7936057738</v>
      </c>
      <c r="K808" t="s">
        <v>202</v>
      </c>
      <c r="L808" t="s">
        <v>191</v>
      </c>
      <c r="M808">
        <v>661407</v>
      </c>
      <c r="N808" s="1">
        <v>45377</v>
      </c>
      <c r="O808" t="s">
        <v>35</v>
      </c>
      <c r="P808">
        <v>2</v>
      </c>
      <c r="Q808">
        <v>4155.3</v>
      </c>
    </row>
    <row r="809" spans="1:17" x14ac:dyDescent="0.3">
      <c r="A809" t="s">
        <v>2192</v>
      </c>
      <c r="B809" t="s">
        <v>587</v>
      </c>
      <c r="C809" s="2" t="str">
        <f>PROPER(TRIM(Table1[[#This Row],[Gender]]))</f>
        <v>Female</v>
      </c>
      <c r="D809" t="s">
        <v>43</v>
      </c>
      <c r="E809">
        <v>43</v>
      </c>
      <c r="F809" t="s">
        <v>38</v>
      </c>
      <c r="G809" s="1">
        <v>29963</v>
      </c>
      <c r="H809" t="s">
        <v>2193</v>
      </c>
      <c r="I809" s="2" t="str">
        <f t="shared" si="12"/>
        <v>+91-7802573784</v>
      </c>
      <c r="J809">
        <f>91-7802573875</f>
        <v>-7802573784</v>
      </c>
      <c r="K809" t="s">
        <v>19</v>
      </c>
      <c r="L809" t="s">
        <v>20</v>
      </c>
      <c r="M809">
        <v>639956</v>
      </c>
      <c r="N809" s="1">
        <v>45231</v>
      </c>
      <c r="O809" t="s">
        <v>28</v>
      </c>
      <c r="P809">
        <v>4</v>
      </c>
      <c r="Q809">
        <v>139979.95000000001</v>
      </c>
    </row>
    <row r="810" spans="1:17" x14ac:dyDescent="0.3">
      <c r="A810" t="s">
        <v>2194</v>
      </c>
      <c r="B810" t="s">
        <v>1986</v>
      </c>
      <c r="C810" s="2" t="str">
        <f>PROPER(TRIM(Table1[[#This Row],[Gender]]))</f>
        <v>Male</v>
      </c>
      <c r="D810" t="s">
        <v>16</v>
      </c>
      <c r="E810">
        <v>27</v>
      </c>
      <c r="F810" t="s">
        <v>31</v>
      </c>
      <c r="G810" s="1">
        <v>35803</v>
      </c>
      <c r="H810" t="s">
        <v>2195</v>
      </c>
      <c r="I810" s="2" t="str">
        <f t="shared" si="12"/>
        <v>+91-7472814437</v>
      </c>
      <c r="J810">
        <f>91-7472814528</f>
        <v>-7472814437</v>
      </c>
      <c r="K810" t="s">
        <v>64</v>
      </c>
      <c r="L810" t="s">
        <v>20</v>
      </c>
      <c r="M810">
        <v>379667</v>
      </c>
      <c r="N810" s="1">
        <v>45083</v>
      </c>
      <c r="O810" t="s">
        <v>21</v>
      </c>
      <c r="P810">
        <v>4</v>
      </c>
      <c r="Q810">
        <v>40428.769999999997</v>
      </c>
    </row>
    <row r="811" spans="1:17" x14ac:dyDescent="0.3">
      <c r="A811" t="s">
        <v>2196</v>
      </c>
      <c r="B811" t="s">
        <v>136</v>
      </c>
      <c r="C811" s="2" t="str">
        <f>PROPER(TRIM(Table1[[#This Row],[Gender]]))</f>
        <v>Female</v>
      </c>
      <c r="D811" t="s">
        <v>43</v>
      </c>
      <c r="E811">
        <v>45</v>
      </c>
      <c r="F811" t="s">
        <v>38</v>
      </c>
      <c r="G811" s="1">
        <v>29233</v>
      </c>
      <c r="H811" t="s">
        <v>2197</v>
      </c>
      <c r="I811" s="2" t="str">
        <f t="shared" si="12"/>
        <v>+91-8528261663</v>
      </c>
      <c r="J811">
        <f>91-8528261754</f>
        <v>-8528261663</v>
      </c>
      <c r="K811" t="s">
        <v>26</v>
      </c>
      <c r="L811" t="s">
        <v>27</v>
      </c>
      <c r="M811">
        <v>198326</v>
      </c>
      <c r="N811" s="1">
        <v>45217</v>
      </c>
      <c r="O811" t="s">
        <v>28</v>
      </c>
      <c r="P811">
        <v>4</v>
      </c>
      <c r="Q811">
        <v>97143.81</v>
      </c>
    </row>
    <row r="812" spans="1:17" x14ac:dyDescent="0.3">
      <c r="A812" t="s">
        <v>2198</v>
      </c>
      <c r="B812" t="s">
        <v>2199</v>
      </c>
      <c r="C812" s="2" t="str">
        <f>PROPER(TRIM(Table1[[#This Row],[Gender]]))</f>
        <v>Female</v>
      </c>
      <c r="D812" t="s">
        <v>43</v>
      </c>
      <c r="E812">
        <v>32</v>
      </c>
      <c r="F812" t="s">
        <v>31</v>
      </c>
      <c r="G812" s="1">
        <v>33978</v>
      </c>
      <c r="H812" t="s">
        <v>2200</v>
      </c>
      <c r="I812" s="2" t="str">
        <f t="shared" si="12"/>
        <v>+91-9565660802</v>
      </c>
      <c r="J812">
        <f>91-9565660893</f>
        <v>-9565660802</v>
      </c>
      <c r="K812" t="s">
        <v>154</v>
      </c>
      <c r="L812" t="s">
        <v>46</v>
      </c>
      <c r="M812">
        <v>354929</v>
      </c>
      <c r="N812" s="1">
        <v>45111</v>
      </c>
      <c r="O812" t="s">
        <v>21</v>
      </c>
      <c r="P812">
        <v>3</v>
      </c>
      <c r="Q812">
        <v>45817.38</v>
      </c>
    </row>
    <row r="813" spans="1:17" x14ac:dyDescent="0.3">
      <c r="A813" t="s">
        <v>2201</v>
      </c>
      <c r="B813" t="s">
        <v>15</v>
      </c>
      <c r="C813" s="2" t="str">
        <f>PROPER(TRIM(Table1[[#This Row],[Gender]]))</f>
        <v>Male</v>
      </c>
      <c r="D813" t="s">
        <v>16</v>
      </c>
      <c r="E813">
        <v>57</v>
      </c>
      <c r="F813" t="s">
        <v>58</v>
      </c>
      <c r="G813" s="1">
        <v>24853</v>
      </c>
      <c r="H813" t="s">
        <v>2202</v>
      </c>
      <c r="I813" s="2" t="str">
        <f t="shared" si="12"/>
        <v>+91-8645028200</v>
      </c>
      <c r="J813">
        <f>91-8645028291</f>
        <v>-8645028200</v>
      </c>
      <c r="K813" t="s">
        <v>161</v>
      </c>
      <c r="L813" t="s">
        <v>102</v>
      </c>
      <c r="M813">
        <v>758806</v>
      </c>
      <c r="N813" s="1">
        <v>45267</v>
      </c>
      <c r="O813" t="s">
        <v>35</v>
      </c>
      <c r="P813">
        <v>3</v>
      </c>
      <c r="Q813">
        <v>7355.43</v>
      </c>
    </row>
    <row r="814" spans="1:17" x14ac:dyDescent="0.3">
      <c r="A814" t="s">
        <v>2203</v>
      </c>
      <c r="B814" t="s">
        <v>2204</v>
      </c>
      <c r="C814" s="2" t="str">
        <f>PROPER(TRIM(Table1[[#This Row],[Gender]]))</f>
        <v>Male</v>
      </c>
      <c r="D814" t="s">
        <v>16</v>
      </c>
      <c r="E814">
        <v>31</v>
      </c>
      <c r="F814" t="s">
        <v>31</v>
      </c>
      <c r="G814" s="1">
        <v>34343</v>
      </c>
      <c r="H814" t="s">
        <v>2205</v>
      </c>
      <c r="I814" s="2" t="str">
        <f t="shared" si="12"/>
        <v>+91-7839587894</v>
      </c>
      <c r="J814">
        <f>91-7839587985</f>
        <v>-7839587894</v>
      </c>
      <c r="K814" t="s">
        <v>72</v>
      </c>
      <c r="L814" t="s">
        <v>34</v>
      </c>
      <c r="M814">
        <v>564561</v>
      </c>
      <c r="N814" s="1">
        <v>45405</v>
      </c>
      <c r="O814" t="s">
        <v>28</v>
      </c>
      <c r="P814">
        <v>6</v>
      </c>
      <c r="Q814">
        <v>252430.49</v>
      </c>
    </row>
    <row r="815" spans="1:17" x14ac:dyDescent="0.3">
      <c r="A815" t="s">
        <v>2206</v>
      </c>
      <c r="B815" t="s">
        <v>1956</v>
      </c>
      <c r="C815" s="2" t="str">
        <f>PROPER(TRIM(Table1[[#This Row],[Gender]]))</f>
        <v>Female</v>
      </c>
      <c r="D815" t="s">
        <v>43</v>
      </c>
      <c r="E815">
        <v>19</v>
      </c>
      <c r="F815" t="s">
        <v>49</v>
      </c>
      <c r="G815" s="1">
        <v>38723</v>
      </c>
      <c r="H815" t="s">
        <v>1957</v>
      </c>
      <c r="I815" s="2" t="str">
        <f t="shared" si="12"/>
        <v>+91-8786185229</v>
      </c>
      <c r="J815">
        <f>91-8786185320</f>
        <v>-8786185229</v>
      </c>
      <c r="K815" t="s">
        <v>45</v>
      </c>
      <c r="L815" t="s">
        <v>46</v>
      </c>
      <c r="M815">
        <v>920750</v>
      </c>
      <c r="N815" s="1">
        <v>45106</v>
      </c>
      <c r="O815" t="s">
        <v>21</v>
      </c>
      <c r="P815">
        <v>6</v>
      </c>
      <c r="Q815">
        <v>20122.78</v>
      </c>
    </row>
    <row r="816" spans="1:17" x14ac:dyDescent="0.3">
      <c r="A816" t="s">
        <v>2207</v>
      </c>
      <c r="B816" t="s">
        <v>2021</v>
      </c>
      <c r="C816" s="2" t="str">
        <f>PROPER(TRIM(Table1[[#This Row],[Gender]]))</f>
        <v>Male</v>
      </c>
      <c r="D816" t="s">
        <v>16</v>
      </c>
      <c r="E816">
        <v>29</v>
      </c>
      <c r="F816" t="s">
        <v>31</v>
      </c>
      <c r="G816" s="1">
        <v>35073</v>
      </c>
      <c r="H816" t="s">
        <v>2208</v>
      </c>
      <c r="I816" s="2" t="str">
        <f t="shared" si="12"/>
        <v>+91-7123503536</v>
      </c>
      <c r="J816">
        <f>91-7123503627</f>
        <v>-7123503536</v>
      </c>
      <c r="K816" t="s">
        <v>178</v>
      </c>
      <c r="L816" t="s">
        <v>27</v>
      </c>
      <c r="M816">
        <v>841118</v>
      </c>
      <c r="N816" s="1">
        <v>45200</v>
      </c>
      <c r="O816" t="s">
        <v>28</v>
      </c>
      <c r="P816">
        <v>3</v>
      </c>
      <c r="Q816">
        <v>203269.85</v>
      </c>
    </row>
    <row r="817" spans="1:17" x14ac:dyDescent="0.3">
      <c r="A817" t="s">
        <v>2209</v>
      </c>
      <c r="B817" t="s">
        <v>2210</v>
      </c>
      <c r="C817" s="2" t="str">
        <f>PROPER(TRIM(Table1[[#This Row],[Gender]]))</f>
        <v>Female</v>
      </c>
      <c r="D817" t="s">
        <v>43</v>
      </c>
      <c r="E817">
        <v>39</v>
      </c>
      <c r="F817" t="s">
        <v>38</v>
      </c>
      <c r="G817" s="1">
        <v>31423</v>
      </c>
      <c r="H817" t="s">
        <v>2211</v>
      </c>
      <c r="I817" s="2" t="str">
        <f t="shared" si="12"/>
        <v>+91-8257773203</v>
      </c>
      <c r="J817">
        <f>91-8257773294</f>
        <v>-8257773203</v>
      </c>
      <c r="K817" t="s">
        <v>94</v>
      </c>
      <c r="L817" t="s">
        <v>20</v>
      </c>
      <c r="M817">
        <v>573195</v>
      </c>
      <c r="N817" s="1">
        <v>45436</v>
      </c>
      <c r="O817" t="s">
        <v>21</v>
      </c>
      <c r="P817">
        <v>6</v>
      </c>
      <c r="Q817">
        <v>30215.08</v>
      </c>
    </row>
    <row r="818" spans="1:17" x14ac:dyDescent="0.3">
      <c r="A818" t="s">
        <v>2212</v>
      </c>
      <c r="B818" t="s">
        <v>2213</v>
      </c>
      <c r="C818" s="2" t="str">
        <f>PROPER(TRIM(Table1[[#This Row],[Gender]]))</f>
        <v>Male</v>
      </c>
      <c r="D818" t="s">
        <v>16</v>
      </c>
      <c r="E818">
        <v>23</v>
      </c>
      <c r="F818" t="s">
        <v>49</v>
      </c>
      <c r="G818" s="1">
        <v>37263</v>
      </c>
      <c r="H818" t="s">
        <v>2214</v>
      </c>
      <c r="I818" s="2" t="str">
        <f t="shared" si="12"/>
        <v>+91-7001774972</v>
      </c>
      <c r="J818">
        <f>91-7001775063</f>
        <v>-7001774972</v>
      </c>
      <c r="K818" t="s">
        <v>202</v>
      </c>
      <c r="L818" t="s">
        <v>191</v>
      </c>
      <c r="M818">
        <v>160437</v>
      </c>
      <c r="N818" s="1">
        <v>45353</v>
      </c>
      <c r="O818" t="s">
        <v>21</v>
      </c>
      <c r="P818">
        <v>7</v>
      </c>
      <c r="Q818">
        <v>31079.31</v>
      </c>
    </row>
    <row r="819" spans="1:17" x14ac:dyDescent="0.3">
      <c r="A819" t="s">
        <v>2215</v>
      </c>
      <c r="B819" t="s">
        <v>2216</v>
      </c>
      <c r="C819" s="2" t="str">
        <f>PROPER(TRIM(Table1[[#This Row],[Gender]]))</f>
        <v>Male</v>
      </c>
      <c r="D819" t="s">
        <v>16</v>
      </c>
      <c r="E819">
        <v>45</v>
      </c>
      <c r="F819" t="s">
        <v>38</v>
      </c>
      <c r="G819" s="1">
        <v>29233</v>
      </c>
      <c r="H819" t="s">
        <v>2217</v>
      </c>
      <c r="I819" s="2" t="str">
        <f t="shared" si="12"/>
        <v>+91-9975866110</v>
      </c>
      <c r="J819">
        <f>91-9975866201</f>
        <v>-9975866110</v>
      </c>
      <c r="K819" t="s">
        <v>64</v>
      </c>
      <c r="L819" t="s">
        <v>20</v>
      </c>
      <c r="M819">
        <v>231523</v>
      </c>
      <c r="N819" s="1">
        <v>45138</v>
      </c>
      <c r="O819" t="s">
        <v>28</v>
      </c>
      <c r="P819">
        <v>4</v>
      </c>
      <c r="Q819">
        <v>219924.64</v>
      </c>
    </row>
    <row r="820" spans="1:17" x14ac:dyDescent="0.3">
      <c r="A820" t="s">
        <v>2218</v>
      </c>
      <c r="B820" t="s">
        <v>2105</v>
      </c>
      <c r="C820" s="2" t="str">
        <f>PROPER(TRIM(Table1[[#This Row],[Gender]]))</f>
        <v>Male</v>
      </c>
      <c r="D820" t="s">
        <v>16</v>
      </c>
      <c r="E820">
        <v>40</v>
      </c>
      <c r="F820" t="s">
        <v>38</v>
      </c>
      <c r="G820" s="1">
        <v>31058</v>
      </c>
      <c r="H820" t="s">
        <v>2219</v>
      </c>
      <c r="I820" s="2" t="str">
        <f t="shared" si="12"/>
        <v>+91-7556714864</v>
      </c>
      <c r="J820">
        <f>91-7556714955</f>
        <v>-7556714864</v>
      </c>
      <c r="K820" t="s">
        <v>165</v>
      </c>
      <c r="L820" t="s">
        <v>52</v>
      </c>
      <c r="M820">
        <v>498031</v>
      </c>
      <c r="N820" s="1">
        <v>45171</v>
      </c>
      <c r="O820" t="s">
        <v>28</v>
      </c>
      <c r="P820">
        <v>4</v>
      </c>
      <c r="Q820">
        <v>109171.42</v>
      </c>
    </row>
    <row r="821" spans="1:17" x14ac:dyDescent="0.3">
      <c r="A821" t="s">
        <v>2220</v>
      </c>
      <c r="B821" t="s">
        <v>2221</v>
      </c>
      <c r="C821" s="2" t="str">
        <f>PROPER(TRIM(Table1[[#This Row],[Gender]]))</f>
        <v>Male</v>
      </c>
      <c r="D821" t="s">
        <v>16</v>
      </c>
      <c r="E821">
        <v>24</v>
      </c>
      <c r="F821" t="s">
        <v>49</v>
      </c>
      <c r="G821" s="1">
        <v>36898</v>
      </c>
      <c r="H821" t="s">
        <v>2222</v>
      </c>
      <c r="I821" s="2" t="str">
        <f t="shared" si="12"/>
        <v>+91-8226953664</v>
      </c>
      <c r="J821">
        <f>91-8226953755</f>
        <v>-8226953664</v>
      </c>
      <c r="K821" t="s">
        <v>45</v>
      </c>
      <c r="L821" t="s">
        <v>46</v>
      </c>
      <c r="M821">
        <v>547081</v>
      </c>
      <c r="N821" s="1">
        <v>45416</v>
      </c>
      <c r="O821" t="s">
        <v>28</v>
      </c>
      <c r="P821">
        <v>6</v>
      </c>
      <c r="Q821">
        <v>456134.81</v>
      </c>
    </row>
    <row r="822" spans="1:17" x14ac:dyDescent="0.3">
      <c r="A822" t="s">
        <v>2223</v>
      </c>
      <c r="B822" t="s">
        <v>2224</v>
      </c>
      <c r="C822" s="2" t="str">
        <f>PROPER(TRIM(Table1[[#This Row],[Gender]]))</f>
        <v>Male</v>
      </c>
      <c r="D822" t="s">
        <v>16</v>
      </c>
      <c r="E822">
        <v>33</v>
      </c>
      <c r="F822" t="s">
        <v>31</v>
      </c>
      <c r="G822" s="1">
        <v>33613</v>
      </c>
      <c r="H822" t="s">
        <v>2225</v>
      </c>
      <c r="I822" s="2" t="str">
        <f t="shared" si="12"/>
        <v>+91-8494249262</v>
      </c>
      <c r="J822">
        <f>91-8494249353</f>
        <v>-8494249262</v>
      </c>
      <c r="K822" t="s">
        <v>273</v>
      </c>
      <c r="L822" t="s">
        <v>46</v>
      </c>
      <c r="M822">
        <v>206471</v>
      </c>
      <c r="N822" s="1">
        <v>45239</v>
      </c>
      <c r="O822" t="s">
        <v>28</v>
      </c>
      <c r="P822">
        <v>6</v>
      </c>
      <c r="Q822">
        <v>162749.34</v>
      </c>
    </row>
    <row r="823" spans="1:17" x14ac:dyDescent="0.3">
      <c r="A823" t="s">
        <v>2226</v>
      </c>
      <c r="B823" t="s">
        <v>1359</v>
      </c>
      <c r="C823" s="2" t="str">
        <f>PROPER(TRIM(Table1[[#This Row],[Gender]]))</f>
        <v>Female</v>
      </c>
      <c r="D823" t="s">
        <v>43</v>
      </c>
      <c r="E823">
        <v>61</v>
      </c>
      <c r="F823" t="s">
        <v>58</v>
      </c>
      <c r="G823" s="1">
        <v>23393</v>
      </c>
      <c r="H823" t="s">
        <v>2227</v>
      </c>
      <c r="I823" s="2" t="str">
        <f t="shared" si="12"/>
        <v>+91-7365568285</v>
      </c>
      <c r="J823">
        <f>91-7365568376</f>
        <v>-7365568285</v>
      </c>
      <c r="K823" t="s">
        <v>72</v>
      </c>
      <c r="L823" t="s">
        <v>34</v>
      </c>
      <c r="M823">
        <v>185506</v>
      </c>
      <c r="N823" s="1">
        <v>45139</v>
      </c>
      <c r="O823" t="s">
        <v>35</v>
      </c>
      <c r="P823">
        <v>2</v>
      </c>
      <c r="Q823">
        <v>1677.12</v>
      </c>
    </row>
    <row r="824" spans="1:17" x14ac:dyDescent="0.3">
      <c r="A824" t="s">
        <v>2228</v>
      </c>
      <c r="B824" t="s">
        <v>746</v>
      </c>
      <c r="C824" s="2" t="str">
        <f>PROPER(TRIM(Table1[[#This Row],[Gender]]))</f>
        <v>Male</v>
      </c>
      <c r="D824" t="s">
        <v>16</v>
      </c>
      <c r="E824">
        <v>24</v>
      </c>
      <c r="F824" t="s">
        <v>49</v>
      </c>
      <c r="G824" s="1">
        <v>36898</v>
      </c>
      <c r="H824" t="s">
        <v>2229</v>
      </c>
      <c r="I824" s="2" t="str">
        <f t="shared" si="12"/>
        <v>+91-9070428726</v>
      </c>
      <c r="J824">
        <f>91-9070428817</f>
        <v>-9070428726</v>
      </c>
      <c r="K824" t="s">
        <v>45</v>
      </c>
      <c r="L824" t="s">
        <v>46</v>
      </c>
      <c r="M824">
        <v>576882</v>
      </c>
      <c r="N824" s="1">
        <v>45122</v>
      </c>
      <c r="O824" t="s">
        <v>28</v>
      </c>
      <c r="P824">
        <v>7</v>
      </c>
      <c r="Q824">
        <v>99308.05</v>
      </c>
    </row>
    <row r="825" spans="1:17" x14ac:dyDescent="0.3">
      <c r="A825" t="s">
        <v>2230</v>
      </c>
      <c r="B825" t="s">
        <v>352</v>
      </c>
      <c r="C825" s="2" t="str">
        <f>PROPER(TRIM(Table1[[#This Row],[Gender]]))</f>
        <v>Male</v>
      </c>
      <c r="D825" t="s">
        <v>16</v>
      </c>
      <c r="E825">
        <v>28</v>
      </c>
      <c r="F825" t="s">
        <v>31</v>
      </c>
      <c r="G825" s="1">
        <v>35438</v>
      </c>
      <c r="H825" t="s">
        <v>2231</v>
      </c>
      <c r="I825" s="2" t="str">
        <f t="shared" si="12"/>
        <v>+91-7364411056</v>
      </c>
      <c r="J825">
        <f>91-7364411147</f>
        <v>-7364411056</v>
      </c>
      <c r="K825" t="s">
        <v>138</v>
      </c>
      <c r="L825" t="s">
        <v>90</v>
      </c>
      <c r="M825">
        <v>694185</v>
      </c>
      <c r="N825" s="1">
        <v>45278</v>
      </c>
      <c r="O825" t="s">
        <v>28</v>
      </c>
      <c r="P825">
        <v>8</v>
      </c>
      <c r="Q825">
        <v>52151.21</v>
      </c>
    </row>
    <row r="826" spans="1:17" x14ac:dyDescent="0.3">
      <c r="A826" t="s">
        <v>2232</v>
      </c>
      <c r="B826" t="s">
        <v>1078</v>
      </c>
      <c r="C826" s="2" t="str">
        <f>PROPER(TRIM(Table1[[#This Row],[Gender]]))</f>
        <v>Female</v>
      </c>
      <c r="D826" t="s">
        <v>43</v>
      </c>
      <c r="E826">
        <v>41</v>
      </c>
      <c r="F826" t="s">
        <v>38</v>
      </c>
      <c r="G826" s="1">
        <v>30693</v>
      </c>
      <c r="H826" t="s">
        <v>2233</v>
      </c>
      <c r="I826" s="2" t="str">
        <f t="shared" si="12"/>
        <v>+91-9544573135</v>
      </c>
      <c r="J826">
        <f>91-9544573226</f>
        <v>-9544573135</v>
      </c>
      <c r="K826" t="s">
        <v>190</v>
      </c>
      <c r="L826" t="s">
        <v>191</v>
      </c>
      <c r="M826">
        <v>684794</v>
      </c>
      <c r="N826" s="1">
        <v>45235</v>
      </c>
      <c r="O826" t="s">
        <v>28</v>
      </c>
      <c r="P826">
        <v>5</v>
      </c>
      <c r="Q826">
        <v>164439.47</v>
      </c>
    </row>
    <row r="827" spans="1:17" x14ac:dyDescent="0.3">
      <c r="A827" t="s">
        <v>2234</v>
      </c>
      <c r="B827" t="s">
        <v>991</v>
      </c>
      <c r="C827" s="2" t="str">
        <f>PROPER(TRIM(Table1[[#This Row],[Gender]]))</f>
        <v>Female</v>
      </c>
      <c r="D827" t="s">
        <v>43</v>
      </c>
      <c r="E827">
        <v>23</v>
      </c>
      <c r="F827" t="s">
        <v>49</v>
      </c>
      <c r="G827" s="1">
        <v>37263</v>
      </c>
      <c r="H827" t="s">
        <v>2235</v>
      </c>
      <c r="I827" s="2" t="str">
        <f t="shared" si="12"/>
        <v>+91-8276745672</v>
      </c>
      <c r="J827">
        <f>91-8276745763</f>
        <v>-8276745672</v>
      </c>
      <c r="K827" t="s">
        <v>331</v>
      </c>
      <c r="L827" t="s">
        <v>143</v>
      </c>
      <c r="M827">
        <v>128204</v>
      </c>
      <c r="N827" s="1">
        <v>45102</v>
      </c>
      <c r="O827" t="s">
        <v>28</v>
      </c>
      <c r="P827">
        <v>9</v>
      </c>
      <c r="Q827">
        <v>183741.4</v>
      </c>
    </row>
    <row r="828" spans="1:17" x14ac:dyDescent="0.3">
      <c r="A828" t="s">
        <v>2236</v>
      </c>
      <c r="B828" t="s">
        <v>1322</v>
      </c>
      <c r="C828" s="2" t="str">
        <f>PROPER(TRIM(Table1[[#This Row],[Gender]]))</f>
        <v>Male</v>
      </c>
      <c r="D828" t="s">
        <v>16</v>
      </c>
      <c r="E828">
        <v>48</v>
      </c>
      <c r="F828" t="s">
        <v>17</v>
      </c>
      <c r="G828" s="1">
        <v>28138</v>
      </c>
      <c r="H828" t="s">
        <v>2237</v>
      </c>
      <c r="I828" s="2" t="str">
        <f t="shared" si="12"/>
        <v>+91-9446233843</v>
      </c>
      <c r="J828">
        <f>91-9446233934</f>
        <v>-9446233843</v>
      </c>
      <c r="K828" t="s">
        <v>161</v>
      </c>
      <c r="L828" t="s">
        <v>102</v>
      </c>
      <c r="M828">
        <v>898561</v>
      </c>
      <c r="N828" s="1">
        <v>45235</v>
      </c>
      <c r="O828" t="s">
        <v>35</v>
      </c>
      <c r="P828">
        <v>2</v>
      </c>
      <c r="Q828">
        <v>5319.44</v>
      </c>
    </row>
    <row r="829" spans="1:17" x14ac:dyDescent="0.3">
      <c r="A829" t="s">
        <v>2238</v>
      </c>
      <c r="B829" t="s">
        <v>2239</v>
      </c>
      <c r="C829" s="2" t="str">
        <f>PROPER(TRIM(Table1[[#This Row],[Gender]]))</f>
        <v>Male</v>
      </c>
      <c r="D829" t="s">
        <v>16</v>
      </c>
      <c r="E829">
        <v>34</v>
      </c>
      <c r="F829" t="s">
        <v>31</v>
      </c>
      <c r="G829" s="1">
        <v>33248</v>
      </c>
      <c r="H829" t="s">
        <v>2240</v>
      </c>
      <c r="I829" s="2" t="str">
        <f t="shared" si="12"/>
        <v>+91-8180627978</v>
      </c>
      <c r="J829">
        <f>91-8180628069</f>
        <v>-8180627978</v>
      </c>
      <c r="K829" t="s">
        <v>125</v>
      </c>
      <c r="L829" t="s">
        <v>52</v>
      </c>
      <c r="M829">
        <v>570705</v>
      </c>
      <c r="N829" s="1">
        <v>45334</v>
      </c>
      <c r="O829" t="s">
        <v>28</v>
      </c>
      <c r="P829">
        <v>6</v>
      </c>
      <c r="Q829">
        <v>115218.28</v>
      </c>
    </row>
    <row r="830" spans="1:17" x14ac:dyDescent="0.3">
      <c r="A830" t="s">
        <v>2241</v>
      </c>
      <c r="B830" t="s">
        <v>2242</v>
      </c>
      <c r="C830" s="2" t="str">
        <f>PROPER(TRIM(Table1[[#This Row],[Gender]]))</f>
        <v>Female</v>
      </c>
      <c r="D830" t="s">
        <v>43</v>
      </c>
      <c r="E830">
        <v>33</v>
      </c>
      <c r="F830" t="s">
        <v>31</v>
      </c>
      <c r="G830" s="1">
        <v>33613</v>
      </c>
      <c r="H830" t="s">
        <v>2243</v>
      </c>
      <c r="I830" s="2" t="str">
        <f t="shared" si="12"/>
        <v>+91-8365807044</v>
      </c>
      <c r="J830">
        <f>91-8365807135</f>
        <v>-8365807044</v>
      </c>
      <c r="K830" t="s">
        <v>415</v>
      </c>
      <c r="L830" t="s">
        <v>90</v>
      </c>
      <c r="M830">
        <v>546609</v>
      </c>
      <c r="N830" s="1">
        <v>45378</v>
      </c>
      <c r="O830" t="s">
        <v>35</v>
      </c>
      <c r="P830">
        <v>2</v>
      </c>
      <c r="Q830">
        <v>12169.15</v>
      </c>
    </row>
    <row r="831" spans="1:17" x14ac:dyDescent="0.3">
      <c r="A831" t="s">
        <v>2244</v>
      </c>
      <c r="B831" t="s">
        <v>2245</v>
      </c>
      <c r="C831" s="2" t="str">
        <f>PROPER(TRIM(Table1[[#This Row],[Gender]]))</f>
        <v>Female</v>
      </c>
      <c r="D831" t="s">
        <v>43</v>
      </c>
      <c r="E831">
        <v>23</v>
      </c>
      <c r="F831" t="s">
        <v>49</v>
      </c>
      <c r="G831" s="1">
        <v>37263</v>
      </c>
      <c r="H831" t="s">
        <v>2246</v>
      </c>
      <c r="I831" s="2" t="str">
        <f t="shared" si="12"/>
        <v>+91-7564238458</v>
      </c>
      <c r="J831">
        <f>91-7564238549</f>
        <v>-7564238458</v>
      </c>
      <c r="K831" t="s">
        <v>154</v>
      </c>
      <c r="L831" t="s">
        <v>46</v>
      </c>
      <c r="M831">
        <v>207272</v>
      </c>
      <c r="N831" s="1">
        <v>45296</v>
      </c>
      <c r="O831" t="s">
        <v>28</v>
      </c>
      <c r="P831">
        <v>1</v>
      </c>
      <c r="Q831">
        <v>53264.74</v>
      </c>
    </row>
    <row r="832" spans="1:17" x14ac:dyDescent="0.3">
      <c r="A832" t="s">
        <v>2247</v>
      </c>
      <c r="B832" t="s">
        <v>1741</v>
      </c>
      <c r="C832" s="2" t="str">
        <f>PROPER(TRIM(Table1[[#This Row],[Gender]]))</f>
        <v>Female</v>
      </c>
      <c r="D832" t="s">
        <v>43</v>
      </c>
      <c r="E832">
        <v>28</v>
      </c>
      <c r="F832" t="s">
        <v>31</v>
      </c>
      <c r="G832" s="1">
        <v>35438</v>
      </c>
      <c r="H832" t="s">
        <v>2248</v>
      </c>
      <c r="I832" s="2" t="str">
        <f t="shared" si="12"/>
        <v>+91-9156219361</v>
      </c>
      <c r="J832">
        <f>91-9156219452</f>
        <v>-9156219361</v>
      </c>
      <c r="K832" t="s">
        <v>331</v>
      </c>
      <c r="L832" t="s">
        <v>143</v>
      </c>
      <c r="M832">
        <v>872513</v>
      </c>
      <c r="N832" s="1">
        <v>45140</v>
      </c>
      <c r="O832" t="s">
        <v>28</v>
      </c>
      <c r="P832">
        <v>5</v>
      </c>
      <c r="Q832">
        <v>112709.77</v>
      </c>
    </row>
    <row r="833" spans="1:17" x14ac:dyDescent="0.3">
      <c r="A833" t="s">
        <v>2249</v>
      </c>
      <c r="B833" t="s">
        <v>2250</v>
      </c>
      <c r="C833" s="2" t="str">
        <f>PROPER(TRIM(Table1[[#This Row],[Gender]]))</f>
        <v>Female</v>
      </c>
      <c r="D833" t="s">
        <v>43</v>
      </c>
      <c r="E833">
        <v>44</v>
      </c>
      <c r="F833" t="s">
        <v>38</v>
      </c>
      <c r="G833" s="1">
        <v>29598</v>
      </c>
      <c r="H833" t="s">
        <v>2251</v>
      </c>
      <c r="I833" s="2" t="str">
        <f t="shared" si="12"/>
        <v>+91-8013894425</v>
      </c>
      <c r="J833">
        <f>91-8013894516</f>
        <v>-8013894425</v>
      </c>
      <c r="K833" t="s">
        <v>138</v>
      </c>
      <c r="L833" t="s">
        <v>90</v>
      </c>
      <c r="M833">
        <v>832696</v>
      </c>
      <c r="N833" s="1">
        <v>45344</v>
      </c>
      <c r="O833" t="s">
        <v>35</v>
      </c>
      <c r="P833">
        <v>1</v>
      </c>
      <c r="Q833">
        <v>2369.75</v>
      </c>
    </row>
    <row r="834" spans="1:17" x14ac:dyDescent="0.3">
      <c r="A834" t="s">
        <v>2252</v>
      </c>
      <c r="B834" t="s">
        <v>1561</v>
      </c>
      <c r="C834" s="2" t="str">
        <f>PROPER(TRIM(Table1[[#This Row],[Gender]]))</f>
        <v>Female</v>
      </c>
      <c r="D834" t="s">
        <v>43</v>
      </c>
      <c r="E834">
        <v>43</v>
      </c>
      <c r="F834" t="s">
        <v>38</v>
      </c>
      <c r="G834" s="1">
        <v>29963</v>
      </c>
      <c r="H834" t="s">
        <v>2253</v>
      </c>
      <c r="I834" s="2" t="str">
        <f t="shared" ref="I834:I897" si="13">"+91"&amp;TEXT(J834,"0000000000")</f>
        <v>+91-7334887911</v>
      </c>
      <c r="J834">
        <f>91-7334888002</f>
        <v>-7334887911</v>
      </c>
      <c r="K834" t="s">
        <v>68</v>
      </c>
      <c r="L834" t="s">
        <v>52</v>
      </c>
      <c r="M834">
        <v>250806</v>
      </c>
      <c r="N834" s="1">
        <v>45420</v>
      </c>
      <c r="O834" t="s">
        <v>21</v>
      </c>
      <c r="P834">
        <v>4</v>
      </c>
      <c r="Q834">
        <v>42313.64</v>
      </c>
    </row>
    <row r="835" spans="1:17" x14ac:dyDescent="0.3">
      <c r="A835" t="s">
        <v>2254</v>
      </c>
      <c r="B835" t="s">
        <v>826</v>
      </c>
      <c r="C835" s="2" t="str">
        <f>PROPER(TRIM(Table1[[#This Row],[Gender]]))</f>
        <v>Female</v>
      </c>
      <c r="D835" t="s">
        <v>43</v>
      </c>
      <c r="E835">
        <v>34</v>
      </c>
      <c r="F835" t="s">
        <v>31</v>
      </c>
      <c r="G835" s="1">
        <v>33248</v>
      </c>
      <c r="H835" t="s">
        <v>2255</v>
      </c>
      <c r="I835" s="2" t="str">
        <f t="shared" si="13"/>
        <v>+91-8413879884</v>
      </c>
      <c r="J835">
        <f>91-8413879975</f>
        <v>-8413879884</v>
      </c>
      <c r="K835" t="s">
        <v>273</v>
      </c>
      <c r="L835" t="s">
        <v>46</v>
      </c>
      <c r="M835">
        <v>913904</v>
      </c>
      <c r="N835" s="1">
        <v>45375</v>
      </c>
      <c r="O835" t="s">
        <v>28</v>
      </c>
      <c r="P835">
        <v>4</v>
      </c>
      <c r="Q835">
        <v>175586.49</v>
      </c>
    </row>
    <row r="836" spans="1:17" x14ac:dyDescent="0.3">
      <c r="A836" t="s">
        <v>2256</v>
      </c>
      <c r="B836" t="s">
        <v>251</v>
      </c>
      <c r="C836" s="2" t="str">
        <f>PROPER(TRIM(Table1[[#This Row],[Gender]]))</f>
        <v>Female</v>
      </c>
      <c r="D836" t="s">
        <v>43</v>
      </c>
      <c r="E836">
        <v>33</v>
      </c>
      <c r="F836" t="s">
        <v>31</v>
      </c>
      <c r="G836" s="1">
        <v>33613</v>
      </c>
      <c r="H836" t="s">
        <v>2257</v>
      </c>
      <c r="I836" s="2" t="str">
        <f t="shared" si="13"/>
        <v>+91-7982893661</v>
      </c>
      <c r="J836">
        <f>91-7982893752</f>
        <v>-7982893661</v>
      </c>
      <c r="K836" t="s">
        <v>89</v>
      </c>
      <c r="L836" t="s">
        <v>90</v>
      </c>
      <c r="M836">
        <v>834981</v>
      </c>
      <c r="N836" s="1">
        <v>45182</v>
      </c>
      <c r="O836" t="s">
        <v>28</v>
      </c>
      <c r="P836">
        <v>6</v>
      </c>
      <c r="Q836">
        <v>185192.16</v>
      </c>
    </row>
    <row r="837" spans="1:17" x14ac:dyDescent="0.3">
      <c r="A837" t="s">
        <v>2258</v>
      </c>
      <c r="B837" t="s">
        <v>2259</v>
      </c>
      <c r="C837" s="2" t="str">
        <f>PROPER(TRIM(Table1[[#This Row],[Gender]]))</f>
        <v>Female</v>
      </c>
      <c r="D837" t="s">
        <v>43</v>
      </c>
      <c r="E837">
        <v>40</v>
      </c>
      <c r="F837" t="s">
        <v>38</v>
      </c>
      <c r="G837" s="1">
        <v>31058</v>
      </c>
      <c r="H837" t="s">
        <v>2260</v>
      </c>
      <c r="I837" s="2" t="str">
        <f t="shared" si="13"/>
        <v>+91-8031307152</v>
      </c>
      <c r="J837">
        <f>91-8031307243</f>
        <v>-8031307152</v>
      </c>
      <c r="K837" t="s">
        <v>19</v>
      </c>
      <c r="L837" t="s">
        <v>20</v>
      </c>
      <c r="M837">
        <v>900001</v>
      </c>
      <c r="N837" s="1">
        <v>45220</v>
      </c>
      <c r="O837" t="s">
        <v>28</v>
      </c>
      <c r="P837">
        <v>2</v>
      </c>
      <c r="Q837">
        <v>53031.13</v>
      </c>
    </row>
    <row r="838" spans="1:17" x14ac:dyDescent="0.3">
      <c r="A838" t="s">
        <v>2261</v>
      </c>
      <c r="B838" t="s">
        <v>752</v>
      </c>
      <c r="C838" s="2" t="str">
        <f>PROPER(TRIM(Table1[[#This Row],[Gender]]))</f>
        <v>Male</v>
      </c>
      <c r="D838" t="s">
        <v>16</v>
      </c>
      <c r="E838">
        <v>33</v>
      </c>
      <c r="F838" t="s">
        <v>31</v>
      </c>
      <c r="G838" s="1">
        <v>33613</v>
      </c>
      <c r="H838" t="s">
        <v>2262</v>
      </c>
      <c r="I838" s="2" t="str">
        <f t="shared" si="13"/>
        <v>+91-9157104789</v>
      </c>
      <c r="J838">
        <f>91-9157104880</f>
        <v>-9157104789</v>
      </c>
      <c r="K838" t="s">
        <v>161</v>
      </c>
      <c r="L838" t="s">
        <v>102</v>
      </c>
      <c r="M838">
        <v>561984</v>
      </c>
      <c r="N838" s="1">
        <v>45403</v>
      </c>
      <c r="O838" t="s">
        <v>28</v>
      </c>
      <c r="P838">
        <v>8</v>
      </c>
      <c r="Q838">
        <v>100959.47</v>
      </c>
    </row>
    <row r="839" spans="1:17" x14ac:dyDescent="0.3">
      <c r="A839" t="s">
        <v>2263</v>
      </c>
      <c r="B839" t="s">
        <v>1043</v>
      </c>
      <c r="C839" s="2" t="str">
        <f>PROPER(TRIM(Table1[[#This Row],[Gender]]))</f>
        <v>Female</v>
      </c>
      <c r="D839" t="s">
        <v>43</v>
      </c>
      <c r="E839">
        <v>21</v>
      </c>
      <c r="F839" t="s">
        <v>49</v>
      </c>
      <c r="G839" s="1">
        <v>37993</v>
      </c>
      <c r="H839" t="s">
        <v>2264</v>
      </c>
      <c r="I839" s="2" t="str">
        <f t="shared" si="13"/>
        <v>+91-9553389697</v>
      </c>
      <c r="J839">
        <f>91-9553389788</f>
        <v>-9553389697</v>
      </c>
      <c r="K839" t="s">
        <v>178</v>
      </c>
      <c r="L839" t="s">
        <v>27</v>
      </c>
      <c r="M839">
        <v>627227</v>
      </c>
      <c r="N839" s="1">
        <v>45371</v>
      </c>
      <c r="O839" t="s">
        <v>28</v>
      </c>
      <c r="P839">
        <v>5</v>
      </c>
      <c r="Q839">
        <v>124250.55</v>
      </c>
    </row>
    <row r="840" spans="1:17" x14ac:dyDescent="0.3">
      <c r="A840" t="s">
        <v>2265</v>
      </c>
      <c r="B840" t="s">
        <v>2266</v>
      </c>
      <c r="C840" s="2" t="str">
        <f>PROPER(TRIM(Table1[[#This Row],[Gender]]))</f>
        <v>Male</v>
      </c>
      <c r="D840" t="s">
        <v>16</v>
      </c>
      <c r="E840">
        <v>48</v>
      </c>
      <c r="F840" t="s">
        <v>17</v>
      </c>
      <c r="G840" s="1">
        <v>28138</v>
      </c>
      <c r="H840" t="s">
        <v>2267</v>
      </c>
      <c r="I840" s="2" t="str">
        <f t="shared" si="13"/>
        <v>+91-8766297901</v>
      </c>
      <c r="J840">
        <f>91-8766297992</f>
        <v>-8766297901</v>
      </c>
      <c r="K840" t="s">
        <v>109</v>
      </c>
      <c r="L840" t="s">
        <v>46</v>
      </c>
      <c r="M840">
        <v>285272</v>
      </c>
      <c r="N840" s="1">
        <v>45360</v>
      </c>
      <c r="O840" t="s">
        <v>28</v>
      </c>
      <c r="P840">
        <v>9</v>
      </c>
      <c r="Q840">
        <v>85895.44</v>
      </c>
    </row>
    <row r="841" spans="1:17" x14ac:dyDescent="0.3">
      <c r="A841" t="s">
        <v>2268</v>
      </c>
      <c r="B841" t="s">
        <v>839</v>
      </c>
      <c r="C841" s="2" t="str">
        <f>PROPER(TRIM(Table1[[#This Row],[Gender]]))</f>
        <v>Male</v>
      </c>
      <c r="D841" t="s">
        <v>16</v>
      </c>
      <c r="E841">
        <v>52</v>
      </c>
      <c r="F841" t="s">
        <v>17</v>
      </c>
      <c r="G841" s="1">
        <v>26678</v>
      </c>
      <c r="H841" t="s">
        <v>2269</v>
      </c>
      <c r="I841" s="2" t="str">
        <f t="shared" si="13"/>
        <v>+91-7047738458</v>
      </c>
      <c r="J841">
        <f>91-7047738549</f>
        <v>-7047738458</v>
      </c>
      <c r="K841" t="s">
        <v>125</v>
      </c>
      <c r="L841" t="s">
        <v>52</v>
      </c>
      <c r="M841">
        <v>651995</v>
      </c>
      <c r="N841" s="1">
        <v>45119</v>
      </c>
      <c r="O841" t="s">
        <v>21</v>
      </c>
      <c r="P841">
        <v>2</v>
      </c>
      <c r="Q841">
        <v>36270.129999999997</v>
      </c>
    </row>
    <row r="842" spans="1:17" x14ac:dyDescent="0.3">
      <c r="A842" t="s">
        <v>2270</v>
      </c>
      <c r="B842" t="s">
        <v>2271</v>
      </c>
      <c r="C842" s="2" t="str">
        <f>PROPER(TRIM(Table1[[#This Row],[Gender]]))</f>
        <v>Female</v>
      </c>
      <c r="D842" t="s">
        <v>43</v>
      </c>
      <c r="E842">
        <v>30</v>
      </c>
      <c r="F842" t="s">
        <v>31</v>
      </c>
      <c r="G842" s="1">
        <v>34708</v>
      </c>
      <c r="H842" t="s">
        <v>2272</v>
      </c>
      <c r="I842" s="2" t="str">
        <f t="shared" si="13"/>
        <v>+91-7448794560</v>
      </c>
      <c r="J842">
        <f>91-7448794651</f>
        <v>-7448794560</v>
      </c>
      <c r="K842" t="s">
        <v>51</v>
      </c>
      <c r="L842" t="s">
        <v>52</v>
      </c>
      <c r="M842">
        <v>191609</v>
      </c>
      <c r="N842" s="1">
        <v>45361</v>
      </c>
      <c r="O842" t="s">
        <v>21</v>
      </c>
      <c r="P842">
        <v>2</v>
      </c>
      <c r="Q842">
        <v>43652.28</v>
      </c>
    </row>
    <row r="843" spans="1:17" x14ac:dyDescent="0.3">
      <c r="A843" t="s">
        <v>2273</v>
      </c>
      <c r="B843" t="s">
        <v>2033</v>
      </c>
      <c r="C843" s="2" t="str">
        <f>PROPER(TRIM(Table1[[#This Row],[Gender]]))</f>
        <v>Female</v>
      </c>
      <c r="D843" t="s">
        <v>43</v>
      </c>
      <c r="E843">
        <v>69</v>
      </c>
      <c r="F843" t="s">
        <v>24</v>
      </c>
      <c r="G843" s="1">
        <v>20473</v>
      </c>
      <c r="H843" t="s">
        <v>2274</v>
      </c>
      <c r="I843" s="2" t="str">
        <f t="shared" si="13"/>
        <v>+91-9876221642</v>
      </c>
      <c r="J843">
        <f>91-9876221733</f>
        <v>-9876221642</v>
      </c>
      <c r="K843" t="s">
        <v>51</v>
      </c>
      <c r="L843" t="s">
        <v>52</v>
      </c>
      <c r="M843">
        <v>947995</v>
      </c>
      <c r="N843" s="1">
        <v>45223</v>
      </c>
      <c r="O843" t="s">
        <v>21</v>
      </c>
      <c r="P843">
        <v>6</v>
      </c>
      <c r="Q843">
        <v>31699.62</v>
      </c>
    </row>
    <row r="844" spans="1:17" x14ac:dyDescent="0.3">
      <c r="A844" t="s">
        <v>2275</v>
      </c>
      <c r="B844" t="s">
        <v>593</v>
      </c>
      <c r="C844" s="2" t="str">
        <f>PROPER(TRIM(Table1[[#This Row],[Gender]]))</f>
        <v>Female</v>
      </c>
      <c r="D844" t="s">
        <v>43</v>
      </c>
      <c r="E844">
        <v>31</v>
      </c>
      <c r="F844" t="s">
        <v>31</v>
      </c>
      <c r="G844" s="1">
        <v>34343</v>
      </c>
      <c r="H844" t="s">
        <v>2276</v>
      </c>
      <c r="I844" s="2" t="str">
        <f t="shared" si="13"/>
        <v>+91-7138916059</v>
      </c>
      <c r="J844">
        <f>91-7138916150</f>
        <v>-7138916059</v>
      </c>
      <c r="K844" t="s">
        <v>76</v>
      </c>
      <c r="L844" t="s">
        <v>46</v>
      </c>
      <c r="M844">
        <v>974966</v>
      </c>
      <c r="N844" s="1">
        <v>45263</v>
      </c>
      <c r="O844" t="s">
        <v>28</v>
      </c>
      <c r="P844">
        <v>1</v>
      </c>
      <c r="Q844">
        <v>51443.32</v>
      </c>
    </row>
    <row r="845" spans="1:17" x14ac:dyDescent="0.3">
      <c r="A845" t="s">
        <v>2277</v>
      </c>
      <c r="B845" t="s">
        <v>710</v>
      </c>
      <c r="C845" s="2" t="str">
        <f>PROPER(TRIM(Table1[[#This Row],[Gender]]))</f>
        <v>Male</v>
      </c>
      <c r="D845" t="s">
        <v>16</v>
      </c>
      <c r="E845">
        <v>39</v>
      </c>
      <c r="F845" t="s">
        <v>38</v>
      </c>
      <c r="G845" s="1">
        <v>31423</v>
      </c>
      <c r="H845" t="s">
        <v>2278</v>
      </c>
      <c r="I845" s="2" t="str">
        <f t="shared" si="13"/>
        <v>+91-8609749477</v>
      </c>
      <c r="J845">
        <f>91-8609749568</f>
        <v>-8609749477</v>
      </c>
      <c r="K845" t="s">
        <v>76</v>
      </c>
      <c r="L845" t="s">
        <v>46</v>
      </c>
      <c r="M845">
        <v>243070</v>
      </c>
      <c r="N845" s="1">
        <v>45194</v>
      </c>
      <c r="O845" t="s">
        <v>28</v>
      </c>
      <c r="P845">
        <v>8</v>
      </c>
      <c r="Q845">
        <v>179174.45</v>
      </c>
    </row>
    <row r="846" spans="1:17" x14ac:dyDescent="0.3">
      <c r="A846" t="s">
        <v>2279</v>
      </c>
      <c r="B846" t="s">
        <v>2280</v>
      </c>
      <c r="C846" s="2" t="str">
        <f>PROPER(TRIM(Table1[[#This Row],[Gender]]))</f>
        <v>Female</v>
      </c>
      <c r="D846" t="s">
        <v>43</v>
      </c>
      <c r="E846">
        <v>30</v>
      </c>
      <c r="F846" t="s">
        <v>31</v>
      </c>
      <c r="G846" s="1">
        <v>34708</v>
      </c>
      <c r="H846" t="s">
        <v>2281</v>
      </c>
      <c r="I846" s="2" t="str">
        <f t="shared" si="13"/>
        <v>+91-7746197206</v>
      </c>
      <c r="J846">
        <f>91-7746197297</f>
        <v>-7746197206</v>
      </c>
      <c r="K846" t="s">
        <v>138</v>
      </c>
      <c r="L846" t="s">
        <v>90</v>
      </c>
      <c r="M846">
        <v>545837</v>
      </c>
      <c r="N846" s="1">
        <v>45267</v>
      </c>
      <c r="O846" t="s">
        <v>28</v>
      </c>
      <c r="P846">
        <v>7</v>
      </c>
      <c r="Q846">
        <v>203046.47</v>
      </c>
    </row>
    <row r="847" spans="1:17" x14ac:dyDescent="0.3">
      <c r="A847" t="s">
        <v>2282</v>
      </c>
      <c r="B847" t="s">
        <v>2283</v>
      </c>
      <c r="C847" s="2" t="str">
        <f>PROPER(TRIM(Table1[[#This Row],[Gender]]))</f>
        <v>Female</v>
      </c>
      <c r="D847" t="s">
        <v>43</v>
      </c>
      <c r="E847">
        <v>63</v>
      </c>
      <c r="F847" t="s">
        <v>58</v>
      </c>
      <c r="G847" s="1">
        <v>22663</v>
      </c>
      <c r="H847" t="s">
        <v>2284</v>
      </c>
      <c r="I847" s="2" t="str">
        <f t="shared" si="13"/>
        <v>+91-9360561541</v>
      </c>
      <c r="J847">
        <f>91-9360561632</f>
        <v>-9360561541</v>
      </c>
      <c r="K847" t="s">
        <v>94</v>
      </c>
      <c r="L847" t="s">
        <v>20</v>
      </c>
      <c r="M847">
        <v>137735</v>
      </c>
      <c r="N847" s="1">
        <v>45149</v>
      </c>
      <c r="O847" t="s">
        <v>21</v>
      </c>
      <c r="P847">
        <v>6</v>
      </c>
      <c r="Q847">
        <v>32548.9</v>
      </c>
    </row>
    <row r="848" spans="1:17" x14ac:dyDescent="0.3">
      <c r="A848" t="s">
        <v>2285</v>
      </c>
      <c r="B848" t="s">
        <v>1136</v>
      </c>
      <c r="C848" s="2" t="str">
        <f>PROPER(TRIM(Table1[[#This Row],[Gender]]))</f>
        <v>Male</v>
      </c>
      <c r="D848" t="s">
        <v>16</v>
      </c>
      <c r="E848">
        <v>57</v>
      </c>
      <c r="F848" t="s">
        <v>58</v>
      </c>
      <c r="G848" s="1">
        <v>24853</v>
      </c>
      <c r="H848" t="s">
        <v>2286</v>
      </c>
      <c r="I848" s="2" t="str">
        <f t="shared" si="13"/>
        <v>+91-7538016008</v>
      </c>
      <c r="J848">
        <f>91-7538016099</f>
        <v>-7538016008</v>
      </c>
      <c r="K848" t="s">
        <v>51</v>
      </c>
      <c r="L848" t="s">
        <v>52</v>
      </c>
      <c r="M848">
        <v>629526</v>
      </c>
      <c r="N848" s="1">
        <v>45204</v>
      </c>
      <c r="O848" t="s">
        <v>21</v>
      </c>
      <c r="P848">
        <v>3</v>
      </c>
      <c r="Q848">
        <v>29054.75</v>
      </c>
    </row>
    <row r="849" spans="1:17" x14ac:dyDescent="0.3">
      <c r="A849" t="s">
        <v>2287</v>
      </c>
      <c r="B849" t="s">
        <v>2288</v>
      </c>
      <c r="C849" s="2" t="str">
        <f>PROPER(TRIM(Table1[[#This Row],[Gender]]))</f>
        <v>Male</v>
      </c>
      <c r="D849" t="s">
        <v>16</v>
      </c>
      <c r="E849">
        <v>39</v>
      </c>
      <c r="F849" t="s">
        <v>38</v>
      </c>
      <c r="G849" s="1">
        <v>31423</v>
      </c>
      <c r="H849" t="s">
        <v>2289</v>
      </c>
      <c r="I849" s="2" t="str">
        <f t="shared" si="13"/>
        <v>+91-7805275205</v>
      </c>
      <c r="J849">
        <f>91-7805275296</f>
        <v>-7805275205</v>
      </c>
      <c r="K849" t="s">
        <v>117</v>
      </c>
      <c r="L849" t="s">
        <v>52</v>
      </c>
      <c r="M849">
        <v>726353</v>
      </c>
      <c r="N849" s="1">
        <v>45271</v>
      </c>
      <c r="O849" t="s">
        <v>28</v>
      </c>
      <c r="P849">
        <v>3</v>
      </c>
      <c r="Q849">
        <v>73058.2</v>
      </c>
    </row>
    <row r="850" spans="1:17" x14ac:dyDescent="0.3">
      <c r="A850" t="s">
        <v>2290</v>
      </c>
      <c r="B850" t="s">
        <v>848</v>
      </c>
      <c r="C850" s="2" t="str">
        <f>PROPER(TRIM(Table1[[#This Row],[Gender]]))</f>
        <v>Female</v>
      </c>
      <c r="D850" t="s">
        <v>43</v>
      </c>
      <c r="E850">
        <v>63</v>
      </c>
      <c r="F850" t="s">
        <v>58</v>
      </c>
      <c r="G850" s="1">
        <v>22663</v>
      </c>
      <c r="H850" t="s">
        <v>2291</v>
      </c>
      <c r="I850" s="2" t="str">
        <f t="shared" si="13"/>
        <v>+91-8887994775</v>
      </c>
      <c r="J850">
        <f>91-8887994866</f>
        <v>-8887994775</v>
      </c>
      <c r="K850" t="s">
        <v>331</v>
      </c>
      <c r="L850" t="s">
        <v>143</v>
      </c>
      <c r="M850">
        <v>527045</v>
      </c>
      <c r="N850" s="1">
        <v>45437</v>
      </c>
      <c r="O850" t="s">
        <v>35</v>
      </c>
      <c r="P850">
        <v>5</v>
      </c>
      <c r="Q850">
        <v>15410.87</v>
      </c>
    </row>
    <row r="851" spans="1:17" x14ac:dyDescent="0.3">
      <c r="A851" t="s">
        <v>2292</v>
      </c>
      <c r="B851" t="s">
        <v>2293</v>
      </c>
      <c r="C851" s="2" t="str">
        <f>PROPER(TRIM(Table1[[#This Row],[Gender]]))</f>
        <v>Female</v>
      </c>
      <c r="D851" t="s">
        <v>43</v>
      </c>
      <c r="E851">
        <v>19</v>
      </c>
      <c r="F851" t="s">
        <v>49</v>
      </c>
      <c r="G851" s="1">
        <v>38723</v>
      </c>
      <c r="H851" t="s">
        <v>2294</v>
      </c>
      <c r="I851" s="2" t="str">
        <f t="shared" si="13"/>
        <v>+91-9857104061</v>
      </c>
      <c r="J851">
        <f>91-9857104152</f>
        <v>-9857104061</v>
      </c>
      <c r="K851" t="s">
        <v>174</v>
      </c>
      <c r="L851" t="s">
        <v>90</v>
      </c>
      <c r="M851">
        <v>941054</v>
      </c>
      <c r="N851" s="1">
        <v>45099</v>
      </c>
      <c r="O851" t="s">
        <v>28</v>
      </c>
      <c r="P851">
        <v>8</v>
      </c>
      <c r="Q851">
        <v>116914.55</v>
      </c>
    </row>
    <row r="852" spans="1:17" x14ac:dyDescent="0.3">
      <c r="A852" t="s">
        <v>2295</v>
      </c>
      <c r="B852" t="s">
        <v>1639</v>
      </c>
      <c r="C852" s="2" t="str">
        <f>PROPER(TRIM(Table1[[#This Row],[Gender]]))</f>
        <v>Male</v>
      </c>
      <c r="D852" t="s">
        <v>16</v>
      </c>
      <c r="E852">
        <v>51</v>
      </c>
      <c r="F852" t="s">
        <v>17</v>
      </c>
      <c r="G852" s="1">
        <v>27043</v>
      </c>
      <c r="H852" t="s">
        <v>2296</v>
      </c>
      <c r="I852" s="2" t="str">
        <f t="shared" si="13"/>
        <v>+91-8387125090</v>
      </c>
      <c r="J852">
        <f>91-8387125181</f>
        <v>-8387125090</v>
      </c>
      <c r="K852" t="s">
        <v>415</v>
      </c>
      <c r="L852" t="s">
        <v>90</v>
      </c>
      <c r="M852">
        <v>170407</v>
      </c>
      <c r="N852" s="1">
        <v>45259</v>
      </c>
      <c r="O852" t="s">
        <v>35</v>
      </c>
      <c r="P852">
        <v>4</v>
      </c>
      <c r="Q852">
        <v>14576.6</v>
      </c>
    </row>
    <row r="853" spans="1:17" x14ac:dyDescent="0.3">
      <c r="A853" t="s">
        <v>2297</v>
      </c>
      <c r="B853" t="s">
        <v>37</v>
      </c>
      <c r="C853" s="2" t="str">
        <f>PROPER(TRIM(Table1[[#This Row],[Gender]]))</f>
        <v>Male</v>
      </c>
      <c r="D853" t="s">
        <v>16</v>
      </c>
      <c r="E853">
        <v>27</v>
      </c>
      <c r="F853" t="s">
        <v>31</v>
      </c>
      <c r="G853" s="1">
        <v>35803</v>
      </c>
      <c r="H853" t="s">
        <v>2298</v>
      </c>
      <c r="I853" s="2" t="str">
        <f t="shared" si="13"/>
        <v>+91-7861747547</v>
      </c>
      <c r="J853">
        <f>91-7861747638</f>
        <v>-7861747547</v>
      </c>
      <c r="K853" t="s">
        <v>161</v>
      </c>
      <c r="L853" t="s">
        <v>102</v>
      </c>
      <c r="M853">
        <v>332860</v>
      </c>
      <c r="N853" s="1">
        <v>45326</v>
      </c>
      <c r="O853" t="s">
        <v>28</v>
      </c>
      <c r="P853">
        <v>4</v>
      </c>
      <c r="Q853">
        <v>390496.42</v>
      </c>
    </row>
    <row r="854" spans="1:17" x14ac:dyDescent="0.3">
      <c r="A854" t="s">
        <v>2299</v>
      </c>
      <c r="B854" t="s">
        <v>1437</v>
      </c>
      <c r="C854" s="2" t="str">
        <f>PROPER(TRIM(Table1[[#This Row],[Gender]]))</f>
        <v>Female</v>
      </c>
      <c r="D854" t="s">
        <v>43</v>
      </c>
      <c r="E854">
        <v>37</v>
      </c>
      <c r="F854" t="s">
        <v>38</v>
      </c>
      <c r="G854" s="1">
        <v>32153</v>
      </c>
      <c r="H854" t="s">
        <v>2300</v>
      </c>
      <c r="I854" s="2" t="str">
        <f t="shared" si="13"/>
        <v>+91-8184956356</v>
      </c>
      <c r="J854">
        <f>91-8184956447</f>
        <v>-8184956356</v>
      </c>
      <c r="K854" t="s">
        <v>117</v>
      </c>
      <c r="L854" t="s">
        <v>52</v>
      </c>
      <c r="M854">
        <v>754262</v>
      </c>
      <c r="N854" s="1">
        <v>45205</v>
      </c>
      <c r="O854" t="s">
        <v>28</v>
      </c>
      <c r="P854">
        <v>5</v>
      </c>
      <c r="Q854">
        <v>210564.15</v>
      </c>
    </row>
    <row r="855" spans="1:17" x14ac:dyDescent="0.3">
      <c r="A855" t="s">
        <v>2301</v>
      </c>
      <c r="B855" t="s">
        <v>2137</v>
      </c>
      <c r="C855" s="2" t="str">
        <f>PROPER(TRIM(Table1[[#This Row],[Gender]]))</f>
        <v>Female</v>
      </c>
      <c r="D855" t="s">
        <v>43</v>
      </c>
      <c r="E855">
        <v>38</v>
      </c>
      <c r="F855" t="s">
        <v>38</v>
      </c>
      <c r="G855" s="1">
        <v>31788</v>
      </c>
      <c r="H855" t="s">
        <v>2302</v>
      </c>
      <c r="I855" s="2" t="str">
        <f t="shared" si="13"/>
        <v>+91-9432639330</v>
      </c>
      <c r="J855">
        <f>91-9432639421</f>
        <v>-9432639330</v>
      </c>
      <c r="K855" t="s">
        <v>202</v>
      </c>
      <c r="L855" t="s">
        <v>191</v>
      </c>
      <c r="M855">
        <v>305576</v>
      </c>
      <c r="N855" s="1">
        <v>45276</v>
      </c>
      <c r="O855" t="s">
        <v>28</v>
      </c>
      <c r="P855">
        <v>3</v>
      </c>
      <c r="Q855">
        <v>111299.54</v>
      </c>
    </row>
    <row r="856" spans="1:17" x14ac:dyDescent="0.3">
      <c r="A856" t="s">
        <v>2303</v>
      </c>
      <c r="B856" t="s">
        <v>2304</v>
      </c>
      <c r="C856" s="2" t="str">
        <f>PROPER(TRIM(Table1[[#This Row],[Gender]]))</f>
        <v>Male</v>
      </c>
      <c r="D856" t="s">
        <v>16</v>
      </c>
      <c r="E856">
        <v>40</v>
      </c>
      <c r="F856" t="s">
        <v>38</v>
      </c>
      <c r="G856" s="1">
        <v>31058</v>
      </c>
      <c r="H856" t="s">
        <v>2305</v>
      </c>
      <c r="I856" s="2" t="str">
        <f t="shared" si="13"/>
        <v>+91-9968624650</v>
      </c>
      <c r="J856">
        <f>91-9968624741</f>
        <v>-9968624650</v>
      </c>
      <c r="K856" t="s">
        <v>195</v>
      </c>
      <c r="L856" t="s">
        <v>102</v>
      </c>
      <c r="M856">
        <v>329870</v>
      </c>
      <c r="N856" s="1">
        <v>45132</v>
      </c>
      <c r="O856" t="s">
        <v>28</v>
      </c>
      <c r="P856">
        <v>7</v>
      </c>
      <c r="Q856">
        <v>222241.4</v>
      </c>
    </row>
    <row r="857" spans="1:17" x14ac:dyDescent="0.3">
      <c r="A857" t="s">
        <v>2306</v>
      </c>
      <c r="B857" t="s">
        <v>1408</v>
      </c>
      <c r="C857" s="2" t="str">
        <f>PROPER(TRIM(Table1[[#This Row],[Gender]]))</f>
        <v>Male</v>
      </c>
      <c r="D857" t="s">
        <v>16</v>
      </c>
      <c r="E857">
        <v>32</v>
      </c>
      <c r="F857" t="s">
        <v>31</v>
      </c>
      <c r="G857" s="1">
        <v>33978</v>
      </c>
      <c r="H857" t="s">
        <v>2307</v>
      </c>
      <c r="I857" s="2" t="str">
        <f t="shared" si="13"/>
        <v>+91-8396057650</v>
      </c>
      <c r="J857">
        <f>91-8396057741</f>
        <v>-8396057650</v>
      </c>
      <c r="K857" t="s">
        <v>147</v>
      </c>
      <c r="L857" t="s">
        <v>143</v>
      </c>
      <c r="M857">
        <v>984024</v>
      </c>
      <c r="N857" s="1">
        <v>45111</v>
      </c>
      <c r="O857" t="s">
        <v>28</v>
      </c>
      <c r="P857">
        <v>6</v>
      </c>
      <c r="Q857">
        <v>286595.07</v>
      </c>
    </row>
    <row r="858" spans="1:17" x14ac:dyDescent="0.3">
      <c r="A858" t="s">
        <v>2308</v>
      </c>
      <c r="B858" t="s">
        <v>180</v>
      </c>
      <c r="C858" s="2" t="str">
        <f>PROPER(TRIM(Table1[[#This Row],[Gender]]))</f>
        <v>Female</v>
      </c>
      <c r="D858" t="s">
        <v>43</v>
      </c>
      <c r="E858">
        <v>21</v>
      </c>
      <c r="F858" t="s">
        <v>49</v>
      </c>
      <c r="G858" s="1">
        <v>37993</v>
      </c>
      <c r="H858" t="s">
        <v>2309</v>
      </c>
      <c r="I858" s="2" t="str">
        <f t="shared" si="13"/>
        <v>+91-9225005391</v>
      </c>
      <c r="J858">
        <f>91-9225005482</f>
        <v>-9225005391</v>
      </c>
      <c r="K858" t="s">
        <v>26</v>
      </c>
      <c r="L858" t="s">
        <v>27</v>
      </c>
      <c r="M858">
        <v>521343</v>
      </c>
      <c r="N858" s="1">
        <v>45337</v>
      </c>
      <c r="O858" t="s">
        <v>28</v>
      </c>
      <c r="P858">
        <v>7</v>
      </c>
      <c r="Q858">
        <v>290729.83</v>
      </c>
    </row>
    <row r="859" spans="1:17" x14ac:dyDescent="0.3">
      <c r="A859" t="s">
        <v>2310</v>
      </c>
      <c r="B859" t="s">
        <v>2311</v>
      </c>
      <c r="C859" s="2" t="str">
        <f>PROPER(TRIM(Table1[[#This Row],[Gender]]))</f>
        <v>Male</v>
      </c>
      <c r="D859" t="s">
        <v>16</v>
      </c>
      <c r="E859">
        <v>41</v>
      </c>
      <c r="F859" t="s">
        <v>38</v>
      </c>
      <c r="G859" s="1">
        <v>30693</v>
      </c>
      <c r="H859" t="s">
        <v>2312</v>
      </c>
      <c r="I859" s="2" t="str">
        <f t="shared" si="13"/>
        <v>+91-9874147043</v>
      </c>
      <c r="J859">
        <f>91-9874147134</f>
        <v>-9874147043</v>
      </c>
      <c r="K859" t="s">
        <v>19</v>
      </c>
      <c r="L859" t="s">
        <v>20</v>
      </c>
      <c r="M859">
        <v>330650</v>
      </c>
      <c r="N859" s="1">
        <v>45408</v>
      </c>
      <c r="O859" t="s">
        <v>28</v>
      </c>
      <c r="P859">
        <v>4</v>
      </c>
      <c r="Q859">
        <v>65988.89</v>
      </c>
    </row>
    <row r="860" spans="1:17" x14ac:dyDescent="0.3">
      <c r="A860" t="s">
        <v>2313</v>
      </c>
      <c r="B860" t="s">
        <v>890</v>
      </c>
      <c r="C860" s="2" t="str">
        <f>PROPER(TRIM(Table1[[#This Row],[Gender]]))</f>
        <v>Female</v>
      </c>
      <c r="D860" t="s">
        <v>43</v>
      </c>
      <c r="E860">
        <v>29</v>
      </c>
      <c r="F860" t="s">
        <v>31</v>
      </c>
      <c r="G860" s="1">
        <v>35073</v>
      </c>
      <c r="H860" t="s">
        <v>2314</v>
      </c>
      <c r="I860" s="2" t="str">
        <f t="shared" si="13"/>
        <v>+91-9074477530</v>
      </c>
      <c r="J860">
        <f>91-9074477621</f>
        <v>-9074477530</v>
      </c>
      <c r="K860" t="s">
        <v>154</v>
      </c>
      <c r="L860" t="s">
        <v>46</v>
      </c>
      <c r="M860">
        <v>718789</v>
      </c>
      <c r="N860" s="1">
        <v>45123</v>
      </c>
      <c r="O860" t="s">
        <v>28</v>
      </c>
      <c r="P860">
        <v>4</v>
      </c>
      <c r="Q860">
        <v>244970.11</v>
      </c>
    </row>
    <row r="861" spans="1:17" x14ac:dyDescent="0.3">
      <c r="A861" t="s">
        <v>2315</v>
      </c>
      <c r="B861" t="s">
        <v>2316</v>
      </c>
      <c r="C861" s="2" t="str">
        <f>PROPER(TRIM(Table1[[#This Row],[Gender]]))</f>
        <v>Male</v>
      </c>
      <c r="D861" t="s">
        <v>16</v>
      </c>
      <c r="E861">
        <v>19</v>
      </c>
      <c r="F861" t="s">
        <v>49</v>
      </c>
      <c r="G861" s="1">
        <v>38723</v>
      </c>
      <c r="H861" t="s">
        <v>2317</v>
      </c>
      <c r="I861" s="2" t="str">
        <f t="shared" si="13"/>
        <v>+91-8528594830</v>
      </c>
      <c r="J861">
        <f>91-8528594921</f>
        <v>-8528594830</v>
      </c>
      <c r="K861" t="s">
        <v>45</v>
      </c>
      <c r="L861" t="s">
        <v>46</v>
      </c>
      <c r="M861">
        <v>689428</v>
      </c>
      <c r="N861" s="1">
        <v>45367</v>
      </c>
      <c r="O861" t="s">
        <v>28</v>
      </c>
      <c r="P861">
        <v>1</v>
      </c>
      <c r="Q861">
        <v>50252.76</v>
      </c>
    </row>
    <row r="862" spans="1:17" x14ac:dyDescent="0.3">
      <c r="A862" t="s">
        <v>2318</v>
      </c>
      <c r="B862" t="s">
        <v>2319</v>
      </c>
      <c r="C862" s="2" t="str">
        <f>PROPER(TRIM(Table1[[#This Row],[Gender]]))</f>
        <v>Female</v>
      </c>
      <c r="D862" t="s">
        <v>43</v>
      </c>
      <c r="E862">
        <v>22</v>
      </c>
      <c r="F862" t="s">
        <v>49</v>
      </c>
      <c r="G862" s="1">
        <v>37628</v>
      </c>
      <c r="H862" t="s">
        <v>2320</v>
      </c>
      <c r="I862" s="2" t="str">
        <f t="shared" si="13"/>
        <v>+91-8784504798</v>
      </c>
      <c r="J862">
        <f>91-8784504889</f>
        <v>-8784504798</v>
      </c>
      <c r="K862" t="s">
        <v>174</v>
      </c>
      <c r="L862" t="s">
        <v>90</v>
      </c>
      <c r="M862">
        <v>863543</v>
      </c>
      <c r="N862" s="1">
        <v>45431</v>
      </c>
      <c r="O862" t="s">
        <v>21</v>
      </c>
      <c r="P862">
        <v>4</v>
      </c>
      <c r="Q862">
        <v>47144.28</v>
      </c>
    </row>
    <row r="863" spans="1:17" x14ac:dyDescent="0.3">
      <c r="A863" t="s">
        <v>2321</v>
      </c>
      <c r="B863" t="s">
        <v>1551</v>
      </c>
      <c r="C863" s="2" t="str">
        <f>PROPER(TRIM(Table1[[#This Row],[Gender]]))</f>
        <v>Female</v>
      </c>
      <c r="D863" t="s">
        <v>43</v>
      </c>
      <c r="E863">
        <v>53</v>
      </c>
      <c r="F863" t="s">
        <v>17</v>
      </c>
      <c r="G863" s="1">
        <v>26313</v>
      </c>
      <c r="H863" t="s">
        <v>2322</v>
      </c>
      <c r="I863" s="2" t="str">
        <f t="shared" si="13"/>
        <v>+91-9002584924</v>
      </c>
      <c r="J863">
        <f>91-9002585015</f>
        <v>-9002584924</v>
      </c>
      <c r="K863" t="s">
        <v>161</v>
      </c>
      <c r="L863" t="s">
        <v>102</v>
      </c>
      <c r="M863">
        <v>329882</v>
      </c>
      <c r="N863" s="1">
        <v>45140</v>
      </c>
      <c r="O863" t="s">
        <v>21</v>
      </c>
      <c r="P863">
        <v>5</v>
      </c>
      <c r="Q863">
        <v>44750.68</v>
      </c>
    </row>
    <row r="864" spans="1:17" x14ac:dyDescent="0.3">
      <c r="A864" t="s">
        <v>2323</v>
      </c>
      <c r="B864" t="s">
        <v>2324</v>
      </c>
      <c r="C864" s="2" t="str">
        <f>PROPER(TRIM(Table1[[#This Row],[Gender]]))</f>
        <v>Female</v>
      </c>
      <c r="D864" t="s">
        <v>43</v>
      </c>
      <c r="E864">
        <v>26</v>
      </c>
      <c r="F864" t="s">
        <v>31</v>
      </c>
      <c r="G864" s="1">
        <v>36168</v>
      </c>
      <c r="H864" t="s">
        <v>2325</v>
      </c>
      <c r="I864" s="2" t="str">
        <f t="shared" si="13"/>
        <v>+91-8326594112</v>
      </c>
      <c r="J864">
        <f>91-8326594203</f>
        <v>-8326594112</v>
      </c>
      <c r="K864" t="s">
        <v>369</v>
      </c>
      <c r="L864" t="s">
        <v>191</v>
      </c>
      <c r="M864">
        <v>899006</v>
      </c>
      <c r="N864" s="1">
        <v>45086</v>
      </c>
      <c r="O864" t="s">
        <v>28</v>
      </c>
      <c r="P864">
        <v>7</v>
      </c>
      <c r="Q864">
        <v>83049.3</v>
      </c>
    </row>
    <row r="865" spans="1:17" x14ac:dyDescent="0.3">
      <c r="A865" t="s">
        <v>2326</v>
      </c>
      <c r="B865" t="s">
        <v>2327</v>
      </c>
      <c r="C865" s="2" t="str">
        <f>PROPER(TRIM(Table1[[#This Row],[Gender]]))</f>
        <v>Male</v>
      </c>
      <c r="D865" t="s">
        <v>16</v>
      </c>
      <c r="E865">
        <v>30</v>
      </c>
      <c r="F865" t="s">
        <v>31</v>
      </c>
      <c r="G865" s="1">
        <v>34708</v>
      </c>
      <c r="H865" t="s">
        <v>2328</v>
      </c>
      <c r="I865" s="2" t="str">
        <f t="shared" si="13"/>
        <v>+91-9844341394</v>
      </c>
      <c r="J865">
        <f>91-9844341485</f>
        <v>-9844341394</v>
      </c>
      <c r="K865" t="s">
        <v>72</v>
      </c>
      <c r="L865" t="s">
        <v>34</v>
      </c>
      <c r="M865">
        <v>472485</v>
      </c>
      <c r="N865" s="1">
        <v>45232</v>
      </c>
      <c r="O865" t="s">
        <v>28</v>
      </c>
      <c r="P865">
        <v>7</v>
      </c>
      <c r="Q865">
        <v>195959.98</v>
      </c>
    </row>
    <row r="866" spans="1:17" x14ac:dyDescent="0.3">
      <c r="A866" t="s">
        <v>2329</v>
      </c>
      <c r="B866" t="s">
        <v>2330</v>
      </c>
      <c r="C866" s="2" t="str">
        <f>PROPER(TRIM(Table1[[#This Row],[Gender]]))</f>
        <v>Female</v>
      </c>
      <c r="D866" t="s">
        <v>43</v>
      </c>
      <c r="E866">
        <v>28</v>
      </c>
      <c r="F866" t="s">
        <v>31</v>
      </c>
      <c r="G866" s="1">
        <v>35438</v>
      </c>
      <c r="H866" t="s">
        <v>2331</v>
      </c>
      <c r="I866" s="2" t="str">
        <f t="shared" si="13"/>
        <v>+91-8324894298</v>
      </c>
      <c r="J866">
        <f>91-8324894389</f>
        <v>-8324894298</v>
      </c>
      <c r="K866" t="s">
        <v>45</v>
      </c>
      <c r="L866" t="s">
        <v>46</v>
      </c>
      <c r="M866">
        <v>234858</v>
      </c>
      <c r="N866" s="1">
        <v>45309</v>
      </c>
      <c r="O866" t="s">
        <v>28</v>
      </c>
      <c r="P866">
        <v>6</v>
      </c>
      <c r="Q866">
        <v>123894.6</v>
      </c>
    </row>
    <row r="867" spans="1:17" x14ac:dyDescent="0.3">
      <c r="A867" t="s">
        <v>2332</v>
      </c>
      <c r="B867" t="s">
        <v>1316</v>
      </c>
      <c r="C867" s="2" t="str">
        <f>PROPER(TRIM(Table1[[#This Row],[Gender]]))</f>
        <v>Female</v>
      </c>
      <c r="D867" t="s">
        <v>43</v>
      </c>
      <c r="E867">
        <v>40</v>
      </c>
      <c r="F867" t="s">
        <v>38</v>
      </c>
      <c r="G867" s="1">
        <v>31058</v>
      </c>
      <c r="H867" t="s">
        <v>2333</v>
      </c>
      <c r="I867" s="2" t="str">
        <f t="shared" si="13"/>
        <v>+91-9742724614</v>
      </c>
      <c r="J867">
        <f>91-9742724705</f>
        <v>-9742724614</v>
      </c>
      <c r="K867" t="s">
        <v>109</v>
      </c>
      <c r="L867" t="s">
        <v>46</v>
      </c>
      <c r="M867">
        <v>180143</v>
      </c>
      <c r="N867" s="1">
        <v>45275</v>
      </c>
      <c r="O867" t="s">
        <v>28</v>
      </c>
      <c r="P867">
        <v>2</v>
      </c>
      <c r="Q867">
        <v>82443.8</v>
      </c>
    </row>
    <row r="868" spans="1:17" x14ac:dyDescent="0.3">
      <c r="A868" t="s">
        <v>2334</v>
      </c>
      <c r="B868" t="s">
        <v>570</v>
      </c>
      <c r="C868" s="2" t="str">
        <f>PROPER(TRIM(Table1[[#This Row],[Gender]]))</f>
        <v>Male</v>
      </c>
      <c r="D868" t="s">
        <v>16</v>
      </c>
      <c r="E868">
        <v>35</v>
      </c>
      <c r="F868" t="s">
        <v>31</v>
      </c>
      <c r="G868" s="1">
        <v>32883</v>
      </c>
      <c r="H868" t="s">
        <v>571</v>
      </c>
      <c r="I868" s="2" t="str">
        <f t="shared" si="13"/>
        <v>+91-7932993961</v>
      </c>
      <c r="J868">
        <f>91-7932994052</f>
        <v>-7932993961</v>
      </c>
      <c r="K868" t="s">
        <v>331</v>
      </c>
      <c r="L868" t="s">
        <v>143</v>
      </c>
      <c r="M868">
        <v>881694</v>
      </c>
      <c r="N868" s="1">
        <v>45398</v>
      </c>
      <c r="O868" t="s">
        <v>21</v>
      </c>
      <c r="P868">
        <v>3</v>
      </c>
      <c r="Q868">
        <v>30568.79</v>
      </c>
    </row>
    <row r="869" spans="1:17" x14ac:dyDescent="0.3">
      <c r="A869" t="s">
        <v>2335</v>
      </c>
      <c r="B869" t="s">
        <v>284</v>
      </c>
      <c r="C869" s="2" t="str">
        <f>PROPER(TRIM(Table1[[#This Row],[Gender]]))</f>
        <v>Female</v>
      </c>
      <c r="D869" t="s">
        <v>43</v>
      </c>
      <c r="E869">
        <v>55</v>
      </c>
      <c r="F869" t="s">
        <v>17</v>
      </c>
      <c r="G869" s="1">
        <v>25583</v>
      </c>
      <c r="H869" t="s">
        <v>2336</v>
      </c>
      <c r="I869" s="2" t="str">
        <f t="shared" si="13"/>
        <v>+91-8730360936</v>
      </c>
      <c r="J869">
        <f>91-8730361027</f>
        <v>-8730360936</v>
      </c>
      <c r="K869" t="s">
        <v>89</v>
      </c>
      <c r="L869" t="s">
        <v>90</v>
      </c>
      <c r="M869">
        <v>977245</v>
      </c>
      <c r="N869" s="1">
        <v>45203</v>
      </c>
      <c r="O869" t="s">
        <v>35</v>
      </c>
      <c r="P869">
        <v>3</v>
      </c>
      <c r="Q869">
        <v>3972.72</v>
      </c>
    </row>
    <row r="870" spans="1:17" x14ac:dyDescent="0.3">
      <c r="A870" t="s">
        <v>2337</v>
      </c>
      <c r="B870" t="s">
        <v>2338</v>
      </c>
      <c r="C870" s="2" t="str">
        <f>PROPER(TRIM(Table1[[#This Row],[Gender]]))</f>
        <v>Male</v>
      </c>
      <c r="D870" t="s">
        <v>16</v>
      </c>
      <c r="E870">
        <v>39</v>
      </c>
      <c r="F870" t="s">
        <v>38</v>
      </c>
      <c r="G870" s="1">
        <v>31423</v>
      </c>
      <c r="H870" t="s">
        <v>2339</v>
      </c>
      <c r="I870" s="2" t="str">
        <f t="shared" si="13"/>
        <v>+91-7893498775</v>
      </c>
      <c r="J870">
        <f>91-7893498866</f>
        <v>-7893498775</v>
      </c>
      <c r="K870" t="s">
        <v>249</v>
      </c>
      <c r="L870" t="s">
        <v>34</v>
      </c>
      <c r="M870">
        <v>703045</v>
      </c>
      <c r="N870" s="1">
        <v>45418</v>
      </c>
      <c r="O870" t="s">
        <v>21</v>
      </c>
      <c r="P870">
        <v>2</v>
      </c>
      <c r="Q870">
        <v>27645.14</v>
      </c>
    </row>
    <row r="871" spans="1:17" x14ac:dyDescent="0.3">
      <c r="A871" t="s">
        <v>2340</v>
      </c>
      <c r="B871" t="s">
        <v>1708</v>
      </c>
      <c r="C871" s="2" t="str">
        <f>PROPER(TRIM(Table1[[#This Row],[Gender]]))</f>
        <v>Female</v>
      </c>
      <c r="D871" t="s">
        <v>43</v>
      </c>
      <c r="E871">
        <v>37</v>
      </c>
      <c r="F871" t="s">
        <v>38</v>
      </c>
      <c r="G871" s="1">
        <v>32153</v>
      </c>
      <c r="H871" t="s">
        <v>2341</v>
      </c>
      <c r="I871" s="2" t="str">
        <f t="shared" si="13"/>
        <v>+91-7675106823</v>
      </c>
      <c r="J871">
        <f>91-7675106914</f>
        <v>-7675106823</v>
      </c>
      <c r="K871" t="s">
        <v>113</v>
      </c>
      <c r="L871" t="s">
        <v>34</v>
      </c>
      <c r="M871">
        <v>940251</v>
      </c>
      <c r="N871" s="1">
        <v>45263</v>
      </c>
      <c r="O871" t="s">
        <v>28</v>
      </c>
      <c r="P871">
        <v>7</v>
      </c>
      <c r="Q871">
        <v>134820.57999999999</v>
      </c>
    </row>
    <row r="872" spans="1:17" x14ac:dyDescent="0.3">
      <c r="A872" t="s">
        <v>2342</v>
      </c>
      <c r="B872" t="s">
        <v>1245</v>
      </c>
      <c r="C872" s="2" t="str">
        <f>PROPER(TRIM(Table1[[#This Row],[Gender]]))</f>
        <v>Female</v>
      </c>
      <c r="D872" t="s">
        <v>43</v>
      </c>
      <c r="E872">
        <v>25</v>
      </c>
      <c r="F872" t="s">
        <v>49</v>
      </c>
      <c r="G872" s="1">
        <v>36533</v>
      </c>
      <c r="H872" t="s">
        <v>2343</v>
      </c>
      <c r="I872" s="2" t="str">
        <f t="shared" si="13"/>
        <v>+91-7773570291</v>
      </c>
      <c r="J872">
        <f>91-7773570382</f>
        <v>-7773570291</v>
      </c>
      <c r="K872" t="s">
        <v>190</v>
      </c>
      <c r="L872" t="s">
        <v>191</v>
      </c>
      <c r="M872">
        <v>226082</v>
      </c>
      <c r="N872" s="1">
        <v>45348</v>
      </c>
      <c r="O872" t="s">
        <v>28</v>
      </c>
      <c r="P872">
        <v>9</v>
      </c>
      <c r="Q872">
        <v>243609.83</v>
      </c>
    </row>
    <row r="873" spans="1:17" x14ac:dyDescent="0.3">
      <c r="A873" t="s">
        <v>2344</v>
      </c>
      <c r="B873" t="s">
        <v>2345</v>
      </c>
      <c r="C873" s="2" t="str">
        <f>PROPER(TRIM(Table1[[#This Row],[Gender]]))</f>
        <v>Female</v>
      </c>
      <c r="D873" t="s">
        <v>43</v>
      </c>
      <c r="E873">
        <v>54</v>
      </c>
      <c r="F873" t="s">
        <v>17</v>
      </c>
      <c r="G873" s="1">
        <v>25948</v>
      </c>
      <c r="H873" t="s">
        <v>2346</v>
      </c>
      <c r="I873" s="2" t="str">
        <f t="shared" si="13"/>
        <v>+91-8380800711</v>
      </c>
      <c r="J873">
        <f>91-8380800802</f>
        <v>-8380800711</v>
      </c>
      <c r="K873" t="s">
        <v>45</v>
      </c>
      <c r="L873" t="s">
        <v>46</v>
      </c>
      <c r="M873">
        <v>118662</v>
      </c>
      <c r="N873" s="1">
        <v>45334</v>
      </c>
      <c r="O873" t="s">
        <v>28</v>
      </c>
      <c r="P873">
        <v>7</v>
      </c>
      <c r="Q873">
        <v>113523.65</v>
      </c>
    </row>
    <row r="874" spans="1:17" x14ac:dyDescent="0.3">
      <c r="A874" t="s">
        <v>2347</v>
      </c>
      <c r="B874" t="s">
        <v>2348</v>
      </c>
      <c r="C874" s="2" t="str">
        <f>PROPER(TRIM(Table1[[#This Row],[Gender]]))</f>
        <v>Male</v>
      </c>
      <c r="D874" t="s">
        <v>16</v>
      </c>
      <c r="E874">
        <v>46</v>
      </c>
      <c r="F874" t="s">
        <v>17</v>
      </c>
      <c r="G874" s="1">
        <v>28868</v>
      </c>
      <c r="H874" t="s">
        <v>2349</v>
      </c>
      <c r="I874" s="2" t="str">
        <f t="shared" si="13"/>
        <v>+91-7093781410</v>
      </c>
      <c r="J874">
        <f>91-7093781501</f>
        <v>-7093781410</v>
      </c>
      <c r="K874" t="s">
        <v>195</v>
      </c>
      <c r="L874" t="s">
        <v>102</v>
      </c>
      <c r="M874">
        <v>321301</v>
      </c>
      <c r="N874" s="1">
        <v>45227</v>
      </c>
      <c r="O874" t="s">
        <v>21</v>
      </c>
      <c r="P874">
        <v>3</v>
      </c>
      <c r="Q874">
        <v>20505.79</v>
      </c>
    </row>
    <row r="875" spans="1:17" x14ac:dyDescent="0.3">
      <c r="A875" t="s">
        <v>2350</v>
      </c>
      <c r="B875" t="s">
        <v>2351</v>
      </c>
      <c r="C875" s="2" t="str">
        <f>PROPER(TRIM(Table1[[#This Row],[Gender]]))</f>
        <v>Female</v>
      </c>
      <c r="D875" t="s">
        <v>43</v>
      </c>
      <c r="E875">
        <v>36</v>
      </c>
      <c r="F875" t="s">
        <v>38</v>
      </c>
      <c r="G875" s="1">
        <v>32518</v>
      </c>
      <c r="H875" t="s">
        <v>2352</v>
      </c>
      <c r="I875" s="2" t="str">
        <f t="shared" si="13"/>
        <v>+91-7964184178</v>
      </c>
      <c r="J875">
        <f>91-7964184269</f>
        <v>-7964184178</v>
      </c>
      <c r="K875" t="s">
        <v>239</v>
      </c>
      <c r="L875" t="s">
        <v>191</v>
      </c>
      <c r="M875">
        <v>257893</v>
      </c>
      <c r="N875" s="1">
        <v>45164</v>
      </c>
      <c r="O875" t="s">
        <v>28</v>
      </c>
      <c r="P875">
        <v>7</v>
      </c>
      <c r="Q875">
        <v>271392.19</v>
      </c>
    </row>
    <row r="876" spans="1:17" x14ac:dyDescent="0.3">
      <c r="A876" t="s">
        <v>2353</v>
      </c>
      <c r="B876" t="s">
        <v>2271</v>
      </c>
      <c r="C876" s="2" t="str">
        <f>PROPER(TRIM(Table1[[#This Row],[Gender]]))</f>
        <v>Female</v>
      </c>
      <c r="D876" t="s">
        <v>43</v>
      </c>
      <c r="E876">
        <v>19</v>
      </c>
      <c r="F876" t="s">
        <v>49</v>
      </c>
      <c r="G876" s="1">
        <v>38723</v>
      </c>
      <c r="H876" t="s">
        <v>2354</v>
      </c>
      <c r="I876" s="2" t="str">
        <f t="shared" si="13"/>
        <v>+91-7620404018</v>
      </c>
      <c r="J876">
        <f>91-7620404109</f>
        <v>-7620404018</v>
      </c>
      <c r="K876" t="s">
        <v>76</v>
      </c>
      <c r="L876" t="s">
        <v>46</v>
      </c>
      <c r="M876">
        <v>620582</v>
      </c>
      <c r="N876" s="1">
        <v>45416</v>
      </c>
      <c r="O876" t="s">
        <v>28</v>
      </c>
      <c r="P876">
        <v>7</v>
      </c>
      <c r="Q876">
        <v>147659.54</v>
      </c>
    </row>
    <row r="877" spans="1:17" x14ac:dyDescent="0.3">
      <c r="A877" t="s">
        <v>2355</v>
      </c>
      <c r="B877" t="s">
        <v>1948</v>
      </c>
      <c r="C877" s="2" t="str">
        <f>PROPER(TRIM(Table1[[#This Row],[Gender]]))</f>
        <v>Male</v>
      </c>
      <c r="D877" t="s">
        <v>16</v>
      </c>
      <c r="E877">
        <v>49</v>
      </c>
      <c r="F877" t="s">
        <v>17</v>
      </c>
      <c r="G877" s="1">
        <v>27773</v>
      </c>
      <c r="H877" t="s">
        <v>2356</v>
      </c>
      <c r="I877" s="2" t="str">
        <f t="shared" si="13"/>
        <v>+91-9966453969</v>
      </c>
      <c r="J877">
        <f>91-9966454060</f>
        <v>-9966453969</v>
      </c>
      <c r="K877" t="s">
        <v>138</v>
      </c>
      <c r="L877" t="s">
        <v>90</v>
      </c>
      <c r="M877">
        <v>171888</v>
      </c>
      <c r="N877" s="1">
        <v>45293</v>
      </c>
      <c r="O877" t="s">
        <v>35</v>
      </c>
      <c r="P877">
        <v>4</v>
      </c>
      <c r="Q877">
        <v>15661.42</v>
      </c>
    </row>
    <row r="878" spans="1:17" x14ac:dyDescent="0.3">
      <c r="A878" t="s">
        <v>2357</v>
      </c>
      <c r="B878" t="s">
        <v>2358</v>
      </c>
      <c r="C878" s="2" t="str">
        <f>PROPER(TRIM(Table1[[#This Row],[Gender]]))</f>
        <v>Female</v>
      </c>
      <c r="D878" t="s">
        <v>43</v>
      </c>
      <c r="E878">
        <v>29</v>
      </c>
      <c r="F878" t="s">
        <v>31</v>
      </c>
      <c r="G878" s="1">
        <v>35073</v>
      </c>
      <c r="H878" t="s">
        <v>2359</v>
      </c>
      <c r="I878" s="2" t="str">
        <f t="shared" si="13"/>
        <v>+91-8242353644</v>
      </c>
      <c r="J878">
        <f>91-8242353735</f>
        <v>-8242353644</v>
      </c>
      <c r="K878" t="s">
        <v>33</v>
      </c>
      <c r="L878" t="s">
        <v>34</v>
      </c>
      <c r="M878">
        <v>640591</v>
      </c>
      <c r="N878" s="1">
        <v>45119</v>
      </c>
      <c r="O878" t="s">
        <v>28</v>
      </c>
      <c r="P878">
        <v>5</v>
      </c>
      <c r="Q878">
        <v>379731.99</v>
      </c>
    </row>
    <row r="879" spans="1:17" x14ac:dyDescent="0.3">
      <c r="A879" t="s">
        <v>2360</v>
      </c>
      <c r="B879" t="s">
        <v>703</v>
      </c>
      <c r="C879" s="2" t="str">
        <f>PROPER(TRIM(Table1[[#This Row],[Gender]]))</f>
        <v>Female</v>
      </c>
      <c r="D879" t="s">
        <v>43</v>
      </c>
      <c r="E879">
        <v>64</v>
      </c>
      <c r="F879" t="s">
        <v>58</v>
      </c>
      <c r="G879" s="1">
        <v>22298</v>
      </c>
      <c r="H879" t="s">
        <v>2361</v>
      </c>
      <c r="I879" s="2" t="str">
        <f t="shared" si="13"/>
        <v>+91-8702908171</v>
      </c>
      <c r="J879">
        <f>91-8702908262</f>
        <v>-8702908171</v>
      </c>
      <c r="K879" t="s">
        <v>64</v>
      </c>
      <c r="L879" t="s">
        <v>20</v>
      </c>
      <c r="M879">
        <v>291483</v>
      </c>
      <c r="N879" s="1">
        <v>45334</v>
      </c>
      <c r="O879" t="s">
        <v>21</v>
      </c>
      <c r="P879">
        <v>5</v>
      </c>
      <c r="Q879">
        <v>45151.23</v>
      </c>
    </row>
    <row r="880" spans="1:17" x14ac:dyDescent="0.3">
      <c r="A880" t="s">
        <v>2362</v>
      </c>
      <c r="B880" t="s">
        <v>2363</v>
      </c>
      <c r="C880" s="2" t="str">
        <f>PROPER(TRIM(Table1[[#This Row],[Gender]]))</f>
        <v>Male</v>
      </c>
      <c r="D880" t="s">
        <v>16</v>
      </c>
      <c r="E880">
        <v>19</v>
      </c>
      <c r="F880" t="s">
        <v>49</v>
      </c>
      <c r="G880" s="1">
        <v>38723</v>
      </c>
      <c r="H880" t="s">
        <v>2364</v>
      </c>
      <c r="I880" s="2" t="str">
        <f t="shared" si="13"/>
        <v>+91-8943510783</v>
      </c>
      <c r="J880">
        <f>91-8943510874</f>
        <v>-8943510783</v>
      </c>
      <c r="K880" t="s">
        <v>76</v>
      </c>
      <c r="L880" t="s">
        <v>46</v>
      </c>
      <c r="M880">
        <v>875492</v>
      </c>
      <c r="N880" s="1">
        <v>45310</v>
      </c>
      <c r="O880" t="s">
        <v>21</v>
      </c>
      <c r="P880">
        <v>9</v>
      </c>
      <c r="Q880">
        <v>27626.54</v>
      </c>
    </row>
    <row r="881" spans="1:17" x14ac:dyDescent="0.3">
      <c r="A881" t="s">
        <v>2365</v>
      </c>
      <c r="B881" t="s">
        <v>1803</v>
      </c>
      <c r="C881" s="2" t="str">
        <f>PROPER(TRIM(Table1[[#This Row],[Gender]]))</f>
        <v>Female</v>
      </c>
      <c r="D881" t="s">
        <v>43</v>
      </c>
      <c r="E881">
        <v>23</v>
      </c>
      <c r="F881" t="s">
        <v>49</v>
      </c>
      <c r="G881" s="1">
        <v>37263</v>
      </c>
      <c r="H881" t="s">
        <v>2366</v>
      </c>
      <c r="I881" s="2" t="str">
        <f t="shared" si="13"/>
        <v>+91-9051756739</v>
      </c>
      <c r="J881">
        <f>91-9051756830</f>
        <v>-9051756739</v>
      </c>
      <c r="K881" t="s">
        <v>369</v>
      </c>
      <c r="L881" t="s">
        <v>191</v>
      </c>
      <c r="M881">
        <v>551259</v>
      </c>
      <c r="N881" s="1">
        <v>45417</v>
      </c>
      <c r="O881" t="s">
        <v>28</v>
      </c>
      <c r="P881">
        <v>4</v>
      </c>
      <c r="Q881">
        <v>151950.21</v>
      </c>
    </row>
    <row r="882" spans="1:17" x14ac:dyDescent="0.3">
      <c r="A882" t="s">
        <v>2367</v>
      </c>
      <c r="B882" t="s">
        <v>1569</v>
      </c>
      <c r="C882" s="2" t="str">
        <f>PROPER(TRIM(Table1[[#This Row],[Gender]]))</f>
        <v>Female</v>
      </c>
      <c r="D882" t="s">
        <v>43</v>
      </c>
      <c r="E882">
        <v>19</v>
      </c>
      <c r="F882" t="s">
        <v>49</v>
      </c>
      <c r="G882" s="1">
        <v>38723</v>
      </c>
      <c r="H882" t="s">
        <v>2368</v>
      </c>
      <c r="I882" s="2" t="str">
        <f t="shared" si="13"/>
        <v>+91-9200908827</v>
      </c>
      <c r="J882">
        <f>91-9200908918</f>
        <v>-9200908827</v>
      </c>
      <c r="K882" t="s">
        <v>195</v>
      </c>
      <c r="L882" t="s">
        <v>102</v>
      </c>
      <c r="M882">
        <v>681468</v>
      </c>
      <c r="N882" s="1">
        <v>45320</v>
      </c>
      <c r="O882" t="s">
        <v>28</v>
      </c>
      <c r="P882">
        <v>7</v>
      </c>
      <c r="Q882">
        <v>221038.21</v>
      </c>
    </row>
    <row r="883" spans="1:17" x14ac:dyDescent="0.3">
      <c r="A883" t="s">
        <v>2369</v>
      </c>
      <c r="B883" t="s">
        <v>119</v>
      </c>
      <c r="C883" s="2" t="str">
        <f>PROPER(TRIM(Table1[[#This Row],[Gender]]))</f>
        <v>Male</v>
      </c>
      <c r="D883" t="s">
        <v>16</v>
      </c>
      <c r="E883">
        <v>18</v>
      </c>
      <c r="F883" t="s">
        <v>49</v>
      </c>
      <c r="G883" s="1">
        <v>39088</v>
      </c>
      <c r="H883" t="s">
        <v>2370</v>
      </c>
      <c r="I883" s="2" t="str">
        <f t="shared" si="13"/>
        <v>+91-7533532454</v>
      </c>
      <c r="J883">
        <f>91-7533532545</f>
        <v>-7533532454</v>
      </c>
      <c r="K883" t="s">
        <v>138</v>
      </c>
      <c r="L883" t="s">
        <v>90</v>
      </c>
      <c r="M883">
        <v>493534</v>
      </c>
      <c r="N883" s="1">
        <v>45413</v>
      </c>
      <c r="O883" t="s">
        <v>28</v>
      </c>
      <c r="P883">
        <v>8</v>
      </c>
      <c r="Q883">
        <v>215788.38</v>
      </c>
    </row>
    <row r="884" spans="1:17" x14ac:dyDescent="0.3">
      <c r="A884" t="s">
        <v>2371</v>
      </c>
      <c r="B884" t="s">
        <v>2372</v>
      </c>
      <c r="C884" s="2" t="str">
        <f>PROPER(TRIM(Table1[[#This Row],[Gender]]))</f>
        <v>Female</v>
      </c>
      <c r="D884" t="s">
        <v>43</v>
      </c>
      <c r="E884">
        <v>42</v>
      </c>
      <c r="F884" t="s">
        <v>38</v>
      </c>
      <c r="G884" s="1">
        <v>30328</v>
      </c>
      <c r="H884" t="s">
        <v>2373</v>
      </c>
      <c r="I884" s="2" t="str">
        <f t="shared" si="13"/>
        <v>+91-9147070361</v>
      </c>
      <c r="J884">
        <f>91-9147070452</f>
        <v>-9147070361</v>
      </c>
      <c r="K884" t="s">
        <v>249</v>
      </c>
      <c r="L884" t="s">
        <v>34</v>
      </c>
      <c r="M884">
        <v>981120</v>
      </c>
      <c r="N884" s="1">
        <v>45268</v>
      </c>
      <c r="O884" t="s">
        <v>28</v>
      </c>
      <c r="P884">
        <v>2</v>
      </c>
      <c r="Q884">
        <v>72601.460000000006</v>
      </c>
    </row>
    <row r="885" spans="1:17" x14ac:dyDescent="0.3">
      <c r="A885" t="s">
        <v>2374</v>
      </c>
      <c r="B885" t="s">
        <v>710</v>
      </c>
      <c r="C885" s="2" t="str">
        <f>PROPER(TRIM(Table1[[#This Row],[Gender]]))</f>
        <v>Male</v>
      </c>
      <c r="D885" t="s">
        <v>16</v>
      </c>
      <c r="E885">
        <v>24</v>
      </c>
      <c r="F885" t="s">
        <v>49</v>
      </c>
      <c r="G885" s="1">
        <v>36898</v>
      </c>
      <c r="H885" t="s">
        <v>2375</v>
      </c>
      <c r="I885" s="2" t="str">
        <f t="shared" si="13"/>
        <v>+91-9701721683</v>
      </c>
      <c r="J885">
        <f>91-9701721774</f>
        <v>-9701721683</v>
      </c>
      <c r="K885" t="s">
        <v>580</v>
      </c>
      <c r="L885" t="s">
        <v>85</v>
      </c>
      <c r="M885">
        <v>316271</v>
      </c>
      <c r="N885" s="1">
        <v>45146</v>
      </c>
      <c r="O885" t="s">
        <v>28</v>
      </c>
      <c r="P885">
        <v>6</v>
      </c>
      <c r="Q885">
        <v>250386.87</v>
      </c>
    </row>
    <row r="886" spans="1:17" x14ac:dyDescent="0.3">
      <c r="A886" t="s">
        <v>2376</v>
      </c>
      <c r="B886" t="s">
        <v>2377</v>
      </c>
      <c r="C886" s="2" t="str">
        <f>PROPER(TRIM(Table1[[#This Row],[Gender]]))</f>
        <v>Male</v>
      </c>
      <c r="D886" t="s">
        <v>16</v>
      </c>
      <c r="E886">
        <v>54</v>
      </c>
      <c r="F886" t="s">
        <v>17</v>
      </c>
      <c r="G886" s="1">
        <v>25948</v>
      </c>
      <c r="H886" t="s">
        <v>2378</v>
      </c>
      <c r="I886" s="2" t="str">
        <f t="shared" si="13"/>
        <v>+91-9819493502</v>
      </c>
      <c r="J886">
        <f>91-9819493593</f>
        <v>-9819493502</v>
      </c>
      <c r="K886" t="s">
        <v>165</v>
      </c>
      <c r="L886" t="s">
        <v>52</v>
      </c>
      <c r="M886">
        <v>982769</v>
      </c>
      <c r="N886" s="1">
        <v>45216</v>
      </c>
      <c r="O886" t="s">
        <v>21</v>
      </c>
      <c r="P886">
        <v>4</v>
      </c>
      <c r="Q886">
        <v>43154.94</v>
      </c>
    </row>
    <row r="887" spans="1:17" x14ac:dyDescent="0.3">
      <c r="A887" t="s">
        <v>2379</v>
      </c>
      <c r="B887" t="s">
        <v>1350</v>
      </c>
      <c r="C887" s="2" t="str">
        <f>PROPER(TRIM(Table1[[#This Row],[Gender]]))</f>
        <v>Female</v>
      </c>
      <c r="D887" t="s">
        <v>43</v>
      </c>
      <c r="E887">
        <v>40</v>
      </c>
      <c r="F887" t="s">
        <v>38</v>
      </c>
      <c r="G887" s="1">
        <v>31058</v>
      </c>
      <c r="H887" t="s">
        <v>2380</v>
      </c>
      <c r="I887" s="2" t="str">
        <f t="shared" si="13"/>
        <v>+91-7965427733</v>
      </c>
      <c r="J887">
        <f>91-7965427824</f>
        <v>-7965427733</v>
      </c>
      <c r="K887" t="s">
        <v>138</v>
      </c>
      <c r="L887" t="s">
        <v>90</v>
      </c>
      <c r="M887">
        <v>390401</v>
      </c>
      <c r="N887" s="1">
        <v>45273</v>
      </c>
      <c r="O887" t="s">
        <v>35</v>
      </c>
      <c r="P887">
        <v>4</v>
      </c>
      <c r="Q887">
        <v>3398.03</v>
      </c>
    </row>
    <row r="888" spans="1:17" x14ac:dyDescent="0.3">
      <c r="A888" t="s">
        <v>2381</v>
      </c>
      <c r="B888" t="s">
        <v>1980</v>
      </c>
      <c r="C888" s="2" t="str">
        <f>PROPER(TRIM(Table1[[#This Row],[Gender]]))</f>
        <v>Male</v>
      </c>
      <c r="D888" t="s">
        <v>16</v>
      </c>
      <c r="E888">
        <v>22</v>
      </c>
      <c r="F888" t="s">
        <v>49</v>
      </c>
      <c r="G888" s="1">
        <v>37628</v>
      </c>
      <c r="H888" t="s">
        <v>2382</v>
      </c>
      <c r="I888" s="2" t="str">
        <f t="shared" si="13"/>
        <v>+91-7540358473</v>
      </c>
      <c r="J888">
        <f>91-7540358564</f>
        <v>-7540358473</v>
      </c>
      <c r="K888" t="s">
        <v>109</v>
      </c>
      <c r="L888" t="s">
        <v>46</v>
      </c>
      <c r="M888">
        <v>596947</v>
      </c>
      <c r="N888" s="1">
        <v>45329</v>
      </c>
      <c r="O888" t="s">
        <v>35</v>
      </c>
      <c r="P888">
        <v>4</v>
      </c>
      <c r="Q888">
        <v>12990.61</v>
      </c>
    </row>
    <row r="889" spans="1:17" x14ac:dyDescent="0.3">
      <c r="A889" t="s">
        <v>2383</v>
      </c>
      <c r="B889" t="s">
        <v>2384</v>
      </c>
      <c r="C889" s="2" t="str">
        <f>PROPER(TRIM(Table1[[#This Row],[Gender]]))</f>
        <v>Male</v>
      </c>
      <c r="D889" t="s">
        <v>16</v>
      </c>
      <c r="E889">
        <v>19</v>
      </c>
      <c r="F889" t="s">
        <v>49</v>
      </c>
      <c r="G889" s="1">
        <v>38723</v>
      </c>
      <c r="H889" t="s">
        <v>2385</v>
      </c>
      <c r="I889" s="2" t="str">
        <f t="shared" si="13"/>
        <v>+91-7540059420</v>
      </c>
      <c r="J889">
        <f>91-7540059511</f>
        <v>-7540059420</v>
      </c>
      <c r="K889" t="s">
        <v>239</v>
      </c>
      <c r="L889" t="s">
        <v>191</v>
      </c>
      <c r="M889">
        <v>190386</v>
      </c>
      <c r="N889" s="1">
        <v>45219</v>
      </c>
      <c r="O889" t="s">
        <v>21</v>
      </c>
      <c r="P889">
        <v>4</v>
      </c>
      <c r="Q889">
        <v>33862.5</v>
      </c>
    </row>
    <row r="890" spans="1:17" x14ac:dyDescent="0.3">
      <c r="A890" t="s">
        <v>2386</v>
      </c>
      <c r="B890" t="s">
        <v>2387</v>
      </c>
      <c r="C890" s="2" t="str">
        <f>PROPER(TRIM(Table1[[#This Row],[Gender]]))</f>
        <v>Male</v>
      </c>
      <c r="D890" t="s">
        <v>16</v>
      </c>
      <c r="E890">
        <v>27</v>
      </c>
      <c r="F890" t="s">
        <v>31</v>
      </c>
      <c r="G890" s="1">
        <v>35803</v>
      </c>
      <c r="H890" t="s">
        <v>2388</v>
      </c>
      <c r="I890" s="2" t="str">
        <f t="shared" si="13"/>
        <v>+91-8707619100</v>
      </c>
      <c r="J890">
        <f>91-8707619191</f>
        <v>-8707619100</v>
      </c>
      <c r="K890" t="s">
        <v>415</v>
      </c>
      <c r="L890" t="s">
        <v>90</v>
      </c>
      <c r="M890">
        <v>558171</v>
      </c>
      <c r="N890" s="1">
        <v>45433</v>
      </c>
      <c r="O890" t="s">
        <v>28</v>
      </c>
      <c r="P890">
        <v>5</v>
      </c>
      <c r="Q890">
        <v>240898.58</v>
      </c>
    </row>
    <row r="891" spans="1:17" x14ac:dyDescent="0.3">
      <c r="A891" t="s">
        <v>2389</v>
      </c>
      <c r="B891" t="s">
        <v>1015</v>
      </c>
      <c r="C891" s="2" t="str">
        <f>PROPER(TRIM(Table1[[#This Row],[Gender]]))</f>
        <v>Male</v>
      </c>
      <c r="D891" t="s">
        <v>16</v>
      </c>
      <c r="E891">
        <v>33</v>
      </c>
      <c r="F891" t="s">
        <v>31</v>
      </c>
      <c r="G891" s="1">
        <v>33613</v>
      </c>
      <c r="H891" t="s">
        <v>2390</v>
      </c>
      <c r="I891" s="2" t="str">
        <f t="shared" si="13"/>
        <v>+91-8581093999</v>
      </c>
      <c r="J891">
        <f>91-8581094090</f>
        <v>-8581093999</v>
      </c>
      <c r="K891" t="s">
        <v>72</v>
      </c>
      <c r="L891" t="s">
        <v>34</v>
      </c>
      <c r="M891">
        <v>915607</v>
      </c>
      <c r="N891" s="1">
        <v>45287</v>
      </c>
      <c r="O891" t="s">
        <v>28</v>
      </c>
      <c r="P891">
        <v>2</v>
      </c>
      <c r="Q891">
        <v>127549.7</v>
      </c>
    </row>
    <row r="892" spans="1:17" x14ac:dyDescent="0.3">
      <c r="A892" t="s">
        <v>2391</v>
      </c>
      <c r="B892" t="s">
        <v>1816</v>
      </c>
      <c r="C892" s="2" t="str">
        <f>PROPER(TRIM(Table1[[#This Row],[Gender]]))</f>
        <v>Female</v>
      </c>
      <c r="D892" t="s">
        <v>43</v>
      </c>
      <c r="E892">
        <v>19</v>
      </c>
      <c r="F892" t="s">
        <v>49</v>
      </c>
      <c r="G892" s="1">
        <v>38723</v>
      </c>
      <c r="H892" t="s">
        <v>2392</v>
      </c>
      <c r="I892" s="2" t="str">
        <f t="shared" si="13"/>
        <v>+91-9046854551</v>
      </c>
      <c r="J892">
        <f>91-9046854642</f>
        <v>-9046854551</v>
      </c>
      <c r="K892" t="s">
        <v>60</v>
      </c>
      <c r="L892" t="s">
        <v>34</v>
      </c>
      <c r="M892">
        <v>381209</v>
      </c>
      <c r="N892" s="1">
        <v>45326</v>
      </c>
      <c r="O892" t="s">
        <v>35</v>
      </c>
      <c r="P892">
        <v>2</v>
      </c>
      <c r="Q892">
        <v>3347.09</v>
      </c>
    </row>
    <row r="893" spans="1:17" x14ac:dyDescent="0.3">
      <c r="A893" t="s">
        <v>2393</v>
      </c>
      <c r="B893" t="s">
        <v>534</v>
      </c>
      <c r="C893" s="2" t="str">
        <f>PROPER(TRIM(Table1[[#This Row],[Gender]]))</f>
        <v>Female</v>
      </c>
      <c r="D893" t="s">
        <v>43</v>
      </c>
      <c r="E893">
        <v>25</v>
      </c>
      <c r="F893" t="s">
        <v>49</v>
      </c>
      <c r="G893" s="1">
        <v>36533</v>
      </c>
      <c r="H893" t="s">
        <v>2394</v>
      </c>
      <c r="I893" s="2" t="str">
        <f t="shared" si="13"/>
        <v>+91-7348286863</v>
      </c>
      <c r="J893">
        <f>91-7348286954</f>
        <v>-7348286863</v>
      </c>
      <c r="K893" t="s">
        <v>89</v>
      </c>
      <c r="L893" t="s">
        <v>90</v>
      </c>
      <c r="M893">
        <v>787092</v>
      </c>
      <c r="N893" s="1">
        <v>45428</v>
      </c>
      <c r="O893" t="s">
        <v>28</v>
      </c>
      <c r="P893">
        <v>4</v>
      </c>
      <c r="Q893">
        <v>262941.76</v>
      </c>
    </row>
    <row r="894" spans="1:17" x14ac:dyDescent="0.3">
      <c r="A894" t="s">
        <v>2395</v>
      </c>
      <c r="B894" t="s">
        <v>2396</v>
      </c>
      <c r="C894" s="2" t="str">
        <f>PROPER(TRIM(Table1[[#This Row],[Gender]]))</f>
        <v>Female</v>
      </c>
      <c r="D894" t="s">
        <v>43</v>
      </c>
      <c r="E894">
        <v>38</v>
      </c>
      <c r="F894" t="s">
        <v>38</v>
      </c>
      <c r="G894" s="1">
        <v>31788</v>
      </c>
      <c r="H894" t="s">
        <v>2397</v>
      </c>
      <c r="I894" s="2" t="str">
        <f t="shared" si="13"/>
        <v>+91-7341438309</v>
      </c>
      <c r="J894">
        <f>91-7341438400</f>
        <v>-7341438309</v>
      </c>
      <c r="K894" t="s">
        <v>154</v>
      </c>
      <c r="L894" t="s">
        <v>46</v>
      </c>
      <c r="M894">
        <v>156189</v>
      </c>
      <c r="N894" s="1">
        <v>45217</v>
      </c>
      <c r="O894" t="s">
        <v>21</v>
      </c>
      <c r="P894">
        <v>4</v>
      </c>
      <c r="Q894">
        <v>46614.47</v>
      </c>
    </row>
    <row r="895" spans="1:17" x14ac:dyDescent="0.3">
      <c r="A895" t="s">
        <v>2398</v>
      </c>
      <c r="B895" t="s">
        <v>2399</v>
      </c>
      <c r="C895" s="2" t="str">
        <f>PROPER(TRIM(Table1[[#This Row],[Gender]]))</f>
        <v>Male</v>
      </c>
      <c r="D895" t="s">
        <v>16</v>
      </c>
      <c r="E895">
        <v>26</v>
      </c>
      <c r="F895" t="s">
        <v>31</v>
      </c>
      <c r="G895" s="1">
        <v>36168</v>
      </c>
      <c r="H895" t="s">
        <v>2400</v>
      </c>
      <c r="I895" s="2" t="str">
        <f t="shared" si="13"/>
        <v>+91-8270214035</v>
      </c>
      <c r="J895">
        <f>91-8270214126</f>
        <v>-8270214035</v>
      </c>
      <c r="K895" t="s">
        <v>174</v>
      </c>
      <c r="L895" t="s">
        <v>90</v>
      </c>
      <c r="M895">
        <v>434048</v>
      </c>
      <c r="N895" s="1">
        <v>45401</v>
      </c>
      <c r="O895" t="s">
        <v>28</v>
      </c>
      <c r="P895">
        <v>7</v>
      </c>
      <c r="Q895">
        <v>135489.39000000001</v>
      </c>
    </row>
    <row r="896" spans="1:17" x14ac:dyDescent="0.3">
      <c r="A896" t="s">
        <v>2401</v>
      </c>
      <c r="B896" t="s">
        <v>2239</v>
      </c>
      <c r="C896" s="2" t="str">
        <f>PROPER(TRIM(Table1[[#This Row],[Gender]]))</f>
        <v>Male</v>
      </c>
      <c r="D896" t="s">
        <v>16</v>
      </c>
      <c r="E896">
        <v>28</v>
      </c>
      <c r="F896" t="s">
        <v>31</v>
      </c>
      <c r="G896" s="1">
        <v>35438</v>
      </c>
      <c r="H896" t="s">
        <v>2402</v>
      </c>
      <c r="I896" s="2" t="str">
        <f t="shared" si="13"/>
        <v>+91-7335828461</v>
      </c>
      <c r="J896">
        <f>91-7335828552</f>
        <v>-7335828461</v>
      </c>
      <c r="K896" t="s">
        <v>331</v>
      </c>
      <c r="L896" t="s">
        <v>143</v>
      </c>
      <c r="M896">
        <v>699726</v>
      </c>
      <c r="N896" s="1">
        <v>45095</v>
      </c>
      <c r="O896" t="s">
        <v>21</v>
      </c>
      <c r="P896">
        <v>3</v>
      </c>
      <c r="Q896">
        <v>43070.59</v>
      </c>
    </row>
    <row r="897" spans="1:17" x14ac:dyDescent="0.3">
      <c r="A897" t="s">
        <v>2403</v>
      </c>
      <c r="B897" t="s">
        <v>2363</v>
      </c>
      <c r="C897" s="2" t="str">
        <f>PROPER(TRIM(Table1[[#This Row],[Gender]]))</f>
        <v>Male</v>
      </c>
      <c r="D897" t="s">
        <v>16</v>
      </c>
      <c r="E897">
        <v>45</v>
      </c>
      <c r="F897" t="s">
        <v>38</v>
      </c>
      <c r="G897" s="1">
        <v>29233</v>
      </c>
      <c r="H897" t="s">
        <v>2404</v>
      </c>
      <c r="I897" s="2" t="str">
        <f t="shared" si="13"/>
        <v>+91-9214432417</v>
      </c>
      <c r="J897">
        <f>91-9214432508</f>
        <v>-9214432417</v>
      </c>
      <c r="K897" t="s">
        <v>72</v>
      </c>
      <c r="L897" t="s">
        <v>34</v>
      </c>
      <c r="M897">
        <v>719885</v>
      </c>
      <c r="N897" s="1">
        <v>45358</v>
      </c>
      <c r="O897" t="s">
        <v>28</v>
      </c>
      <c r="P897">
        <v>3</v>
      </c>
      <c r="Q897">
        <v>101788.39</v>
      </c>
    </row>
    <row r="898" spans="1:17" x14ac:dyDescent="0.3">
      <c r="A898" t="s">
        <v>2405</v>
      </c>
      <c r="B898" t="s">
        <v>2406</v>
      </c>
      <c r="C898" s="2" t="str">
        <f>PROPER(TRIM(Table1[[#This Row],[Gender]]))</f>
        <v>Female</v>
      </c>
      <c r="D898" t="s">
        <v>43</v>
      </c>
      <c r="E898">
        <v>48</v>
      </c>
      <c r="F898" t="s">
        <v>17</v>
      </c>
      <c r="G898" s="1">
        <v>28138</v>
      </c>
      <c r="H898" t="s">
        <v>2407</v>
      </c>
      <c r="I898" s="2" t="str">
        <f t="shared" ref="I898:I961" si="14">"+91"&amp;TEXT(J898,"0000000000")</f>
        <v>+91-9079248505</v>
      </c>
      <c r="J898">
        <f>91-9079248596</f>
        <v>-9079248505</v>
      </c>
      <c r="K898" t="s">
        <v>113</v>
      </c>
      <c r="L898" t="s">
        <v>34</v>
      </c>
      <c r="M898">
        <v>870755</v>
      </c>
      <c r="N898" s="1">
        <v>45237</v>
      </c>
      <c r="O898" t="s">
        <v>28</v>
      </c>
      <c r="P898">
        <v>5</v>
      </c>
      <c r="Q898">
        <v>90787.18</v>
      </c>
    </row>
    <row r="899" spans="1:17" x14ac:dyDescent="0.3">
      <c r="A899" t="s">
        <v>2408</v>
      </c>
      <c r="B899" t="s">
        <v>324</v>
      </c>
      <c r="C899" s="2" t="str">
        <f>PROPER(TRIM(Table1[[#This Row],[Gender]]))</f>
        <v>Female</v>
      </c>
      <c r="D899" t="s">
        <v>43</v>
      </c>
      <c r="E899">
        <v>25</v>
      </c>
      <c r="F899" t="s">
        <v>49</v>
      </c>
      <c r="G899" s="1">
        <v>36533</v>
      </c>
      <c r="H899" t="s">
        <v>431</v>
      </c>
      <c r="I899" s="2" t="str">
        <f t="shared" si="14"/>
        <v>+91-7893941354</v>
      </c>
      <c r="J899">
        <f>91-7893941445</f>
        <v>-7893941354</v>
      </c>
      <c r="K899" t="s">
        <v>101</v>
      </c>
      <c r="L899" t="s">
        <v>102</v>
      </c>
      <c r="M899">
        <v>200856</v>
      </c>
      <c r="N899" s="1">
        <v>45397</v>
      </c>
      <c r="O899" t="s">
        <v>28</v>
      </c>
      <c r="P899">
        <v>4</v>
      </c>
      <c r="Q899">
        <v>189654.68</v>
      </c>
    </row>
    <row r="900" spans="1:17" x14ac:dyDescent="0.3">
      <c r="A900" t="s">
        <v>2409</v>
      </c>
      <c r="B900" t="s">
        <v>2410</v>
      </c>
      <c r="C900" s="2" t="str">
        <f>PROPER(TRIM(Table1[[#This Row],[Gender]]))</f>
        <v>Female</v>
      </c>
      <c r="D900" t="s">
        <v>43</v>
      </c>
      <c r="E900">
        <v>41</v>
      </c>
      <c r="F900" t="s">
        <v>38</v>
      </c>
      <c r="G900" s="1">
        <v>30693</v>
      </c>
      <c r="H900" t="s">
        <v>2411</v>
      </c>
      <c r="I900" s="2" t="str">
        <f t="shared" si="14"/>
        <v>+91-8269810434</v>
      </c>
      <c r="J900">
        <f>91-8269810525</f>
        <v>-8269810434</v>
      </c>
      <c r="K900" t="s">
        <v>80</v>
      </c>
      <c r="L900" t="s">
        <v>20</v>
      </c>
      <c r="M900">
        <v>247419</v>
      </c>
      <c r="N900" s="1">
        <v>45279</v>
      </c>
      <c r="O900" t="s">
        <v>28</v>
      </c>
      <c r="P900">
        <v>6</v>
      </c>
      <c r="Q900">
        <v>83335.19</v>
      </c>
    </row>
    <row r="901" spans="1:17" x14ac:dyDescent="0.3">
      <c r="A901" t="s">
        <v>2412</v>
      </c>
      <c r="B901" t="s">
        <v>848</v>
      </c>
      <c r="C901" s="2" t="str">
        <f>PROPER(TRIM(Table1[[#This Row],[Gender]]))</f>
        <v>Female</v>
      </c>
      <c r="D901" t="s">
        <v>43</v>
      </c>
      <c r="E901">
        <v>24</v>
      </c>
      <c r="F901" t="s">
        <v>49</v>
      </c>
      <c r="G901" s="1">
        <v>36898</v>
      </c>
      <c r="H901" t="s">
        <v>2413</v>
      </c>
      <c r="I901" s="2" t="str">
        <f t="shared" si="14"/>
        <v>+91-9956921854</v>
      </c>
      <c r="J901">
        <f>91-9956921945</f>
        <v>-9956921854</v>
      </c>
      <c r="K901" t="s">
        <v>125</v>
      </c>
      <c r="L901" t="s">
        <v>52</v>
      </c>
      <c r="M901">
        <v>210730</v>
      </c>
      <c r="N901" s="1">
        <v>45238</v>
      </c>
      <c r="O901" t="s">
        <v>28</v>
      </c>
      <c r="P901">
        <v>3</v>
      </c>
      <c r="Q901">
        <v>90841.7</v>
      </c>
    </row>
    <row r="902" spans="1:17" x14ac:dyDescent="0.3">
      <c r="A902" t="s">
        <v>2414</v>
      </c>
      <c r="B902" t="s">
        <v>2415</v>
      </c>
      <c r="C902" s="2" t="str">
        <f>PROPER(TRIM(Table1[[#This Row],[Gender]]))</f>
        <v>Female</v>
      </c>
      <c r="D902" t="s">
        <v>43</v>
      </c>
      <c r="E902">
        <v>18</v>
      </c>
      <c r="F902" t="s">
        <v>49</v>
      </c>
      <c r="G902" s="1">
        <v>39088</v>
      </c>
      <c r="H902" t="s">
        <v>2416</v>
      </c>
      <c r="I902" s="2" t="str">
        <f t="shared" si="14"/>
        <v>+91-9124801720</v>
      </c>
      <c r="J902">
        <f>91-9124801811</f>
        <v>-9124801720</v>
      </c>
      <c r="K902" t="s">
        <v>415</v>
      </c>
      <c r="L902" t="s">
        <v>90</v>
      </c>
      <c r="M902">
        <v>642880</v>
      </c>
      <c r="N902" s="1">
        <v>45405</v>
      </c>
      <c r="O902" t="s">
        <v>21</v>
      </c>
      <c r="P902">
        <v>4</v>
      </c>
      <c r="Q902">
        <v>22418.32</v>
      </c>
    </row>
    <row r="903" spans="1:17" x14ac:dyDescent="0.3">
      <c r="A903" t="s">
        <v>2417</v>
      </c>
      <c r="B903" t="s">
        <v>546</v>
      </c>
      <c r="C903" s="2" t="str">
        <f>PROPER(TRIM(Table1[[#This Row],[Gender]]))</f>
        <v>Female</v>
      </c>
      <c r="D903" t="s">
        <v>43</v>
      </c>
      <c r="E903">
        <v>28</v>
      </c>
      <c r="F903" t="s">
        <v>31</v>
      </c>
      <c r="G903" s="1">
        <v>35438</v>
      </c>
      <c r="H903" t="s">
        <v>2418</v>
      </c>
      <c r="I903" s="2" t="str">
        <f t="shared" si="14"/>
        <v>+91-8956218501</v>
      </c>
      <c r="J903">
        <f>91-8956218592</f>
        <v>-8956218501</v>
      </c>
      <c r="K903" t="s">
        <v>72</v>
      </c>
      <c r="L903" t="s">
        <v>34</v>
      </c>
      <c r="M903">
        <v>953627</v>
      </c>
      <c r="N903" s="1">
        <v>45338</v>
      </c>
      <c r="O903" t="s">
        <v>28</v>
      </c>
      <c r="P903">
        <v>5</v>
      </c>
      <c r="Q903">
        <v>96840.26</v>
      </c>
    </row>
    <row r="904" spans="1:17" x14ac:dyDescent="0.3">
      <c r="A904" t="s">
        <v>2419</v>
      </c>
      <c r="B904" t="s">
        <v>1124</v>
      </c>
      <c r="C904" s="2" t="str">
        <f>PROPER(TRIM(Table1[[#This Row],[Gender]]))</f>
        <v>Female</v>
      </c>
      <c r="D904" t="s">
        <v>43</v>
      </c>
      <c r="E904">
        <v>40</v>
      </c>
      <c r="F904" t="s">
        <v>38</v>
      </c>
      <c r="G904" s="1">
        <v>31058</v>
      </c>
      <c r="H904" t="s">
        <v>2420</v>
      </c>
      <c r="I904" s="2" t="str">
        <f t="shared" si="14"/>
        <v>+91-9000984544</v>
      </c>
      <c r="J904">
        <f>91-9000984635</f>
        <v>-9000984544</v>
      </c>
      <c r="K904" t="s">
        <v>19</v>
      </c>
      <c r="L904" t="s">
        <v>20</v>
      </c>
      <c r="M904">
        <v>113627</v>
      </c>
      <c r="N904" s="1">
        <v>45429</v>
      </c>
      <c r="O904" t="s">
        <v>28</v>
      </c>
      <c r="P904">
        <v>4</v>
      </c>
      <c r="Q904">
        <v>63982.06</v>
      </c>
    </row>
    <row r="905" spans="1:17" x14ac:dyDescent="0.3">
      <c r="A905" t="s">
        <v>2421</v>
      </c>
      <c r="B905" t="s">
        <v>1510</v>
      </c>
      <c r="C905" s="2" t="str">
        <f>PROPER(TRIM(Table1[[#This Row],[Gender]]))</f>
        <v>Male</v>
      </c>
      <c r="D905" t="s">
        <v>16</v>
      </c>
      <c r="E905">
        <v>61</v>
      </c>
      <c r="F905" t="s">
        <v>58</v>
      </c>
      <c r="G905" s="1">
        <v>23393</v>
      </c>
      <c r="H905" t="s">
        <v>2422</v>
      </c>
      <c r="I905" s="2" t="str">
        <f t="shared" si="14"/>
        <v>+91-9213472030</v>
      </c>
      <c r="J905">
        <f>91-9213472121</f>
        <v>-9213472030</v>
      </c>
      <c r="K905" t="s">
        <v>154</v>
      </c>
      <c r="L905" t="s">
        <v>46</v>
      </c>
      <c r="M905">
        <v>530427</v>
      </c>
      <c r="N905" s="1">
        <v>45272</v>
      </c>
      <c r="O905" t="s">
        <v>28</v>
      </c>
      <c r="P905">
        <v>6</v>
      </c>
      <c r="Q905">
        <v>60546.92</v>
      </c>
    </row>
    <row r="906" spans="1:17" x14ac:dyDescent="0.3">
      <c r="A906" t="s">
        <v>2423</v>
      </c>
      <c r="B906" t="s">
        <v>1356</v>
      </c>
      <c r="C906" s="2" t="str">
        <f>PROPER(TRIM(Table1[[#This Row],[Gender]]))</f>
        <v>Female</v>
      </c>
      <c r="D906" t="s">
        <v>43</v>
      </c>
      <c r="E906">
        <v>26</v>
      </c>
      <c r="F906" t="s">
        <v>31</v>
      </c>
      <c r="G906" s="1">
        <v>36168</v>
      </c>
      <c r="H906" t="s">
        <v>2424</v>
      </c>
      <c r="I906" s="2" t="str">
        <f t="shared" si="14"/>
        <v>+91-8318128385</v>
      </c>
      <c r="J906">
        <f>91-8318128476</f>
        <v>-8318128385</v>
      </c>
      <c r="K906" t="s">
        <v>202</v>
      </c>
      <c r="L906" t="s">
        <v>191</v>
      </c>
      <c r="M906">
        <v>678506</v>
      </c>
      <c r="N906" s="1">
        <v>45216</v>
      </c>
      <c r="O906" t="s">
        <v>28</v>
      </c>
      <c r="P906">
        <v>5</v>
      </c>
      <c r="Q906">
        <v>261261.36</v>
      </c>
    </row>
    <row r="907" spans="1:17" x14ac:dyDescent="0.3">
      <c r="A907" t="s">
        <v>2425</v>
      </c>
      <c r="B907" t="s">
        <v>2426</v>
      </c>
      <c r="C907" s="2" t="str">
        <f>PROPER(TRIM(Table1[[#This Row],[Gender]]))</f>
        <v>Male</v>
      </c>
      <c r="D907" t="s">
        <v>16</v>
      </c>
      <c r="E907">
        <v>29</v>
      </c>
      <c r="F907" t="s">
        <v>31</v>
      </c>
      <c r="G907" s="1">
        <v>35073</v>
      </c>
      <c r="H907" t="s">
        <v>2427</v>
      </c>
      <c r="I907" s="2" t="str">
        <f t="shared" si="14"/>
        <v>+91-7650307990</v>
      </c>
      <c r="J907">
        <f>91-7650308081</f>
        <v>-7650307990</v>
      </c>
      <c r="K907" t="s">
        <v>121</v>
      </c>
      <c r="L907" t="s">
        <v>85</v>
      </c>
      <c r="M907">
        <v>470835</v>
      </c>
      <c r="N907" s="1">
        <v>45319</v>
      </c>
      <c r="O907" t="s">
        <v>21</v>
      </c>
      <c r="P907">
        <v>4</v>
      </c>
      <c r="Q907">
        <v>30932.37</v>
      </c>
    </row>
    <row r="908" spans="1:17" x14ac:dyDescent="0.3">
      <c r="A908" t="s">
        <v>2428</v>
      </c>
      <c r="B908" t="s">
        <v>2429</v>
      </c>
      <c r="C908" s="2" t="str">
        <f>PROPER(TRIM(Table1[[#This Row],[Gender]]))</f>
        <v>Female</v>
      </c>
      <c r="D908" t="s">
        <v>43</v>
      </c>
      <c r="E908">
        <v>34</v>
      </c>
      <c r="F908" t="s">
        <v>31</v>
      </c>
      <c r="G908" s="1">
        <v>33248</v>
      </c>
      <c r="H908" t="s">
        <v>2430</v>
      </c>
      <c r="I908" s="2" t="str">
        <f t="shared" si="14"/>
        <v>+91-8632770107</v>
      </c>
      <c r="J908">
        <f>91-8632770198</f>
        <v>-8632770107</v>
      </c>
      <c r="K908" t="s">
        <v>161</v>
      </c>
      <c r="L908" t="s">
        <v>102</v>
      </c>
      <c r="M908">
        <v>513661</v>
      </c>
      <c r="N908" s="1">
        <v>45247</v>
      </c>
      <c r="O908" t="s">
        <v>35</v>
      </c>
      <c r="P908">
        <v>1</v>
      </c>
      <c r="Q908">
        <v>453.96</v>
      </c>
    </row>
    <row r="909" spans="1:17" x14ac:dyDescent="0.3">
      <c r="A909" t="s">
        <v>2431</v>
      </c>
      <c r="B909" t="s">
        <v>2432</v>
      </c>
      <c r="C909" s="2" t="str">
        <f>PROPER(TRIM(Table1[[#This Row],[Gender]]))</f>
        <v>Male</v>
      </c>
      <c r="D909" t="s">
        <v>16</v>
      </c>
      <c r="E909">
        <v>65</v>
      </c>
      <c r="F909" t="s">
        <v>58</v>
      </c>
      <c r="G909" s="1">
        <v>21933</v>
      </c>
      <c r="H909" t="s">
        <v>2433</v>
      </c>
      <c r="I909" s="2" t="str">
        <f t="shared" si="14"/>
        <v>+91-8351052351</v>
      </c>
      <c r="J909">
        <f>91-8351052442</f>
        <v>-8351052351</v>
      </c>
      <c r="K909" t="s">
        <v>202</v>
      </c>
      <c r="L909" t="s">
        <v>191</v>
      </c>
      <c r="M909">
        <v>496973</v>
      </c>
      <c r="N909" s="1">
        <v>45342</v>
      </c>
      <c r="O909" t="s">
        <v>21</v>
      </c>
      <c r="P909">
        <v>3</v>
      </c>
      <c r="Q909">
        <v>32876.97</v>
      </c>
    </row>
    <row r="910" spans="1:17" x14ac:dyDescent="0.3">
      <c r="A910" t="s">
        <v>2434</v>
      </c>
      <c r="B910" t="s">
        <v>653</v>
      </c>
      <c r="C910" s="2" t="str">
        <f>PROPER(TRIM(Table1[[#This Row],[Gender]]))</f>
        <v>Male</v>
      </c>
      <c r="D910" t="s">
        <v>16</v>
      </c>
      <c r="E910">
        <v>41</v>
      </c>
      <c r="F910" t="s">
        <v>38</v>
      </c>
      <c r="G910" s="1">
        <v>30693</v>
      </c>
      <c r="H910" t="s">
        <v>2435</v>
      </c>
      <c r="I910" s="2" t="str">
        <f t="shared" si="14"/>
        <v>+91-9491700422</v>
      </c>
      <c r="J910">
        <f>91-9491700513</f>
        <v>-9491700422</v>
      </c>
      <c r="K910" t="s">
        <v>60</v>
      </c>
      <c r="L910" t="s">
        <v>34</v>
      </c>
      <c r="M910">
        <v>155252</v>
      </c>
      <c r="N910" s="1">
        <v>45090</v>
      </c>
      <c r="O910" t="s">
        <v>28</v>
      </c>
      <c r="P910">
        <v>3</v>
      </c>
      <c r="Q910">
        <v>112497.57</v>
      </c>
    </row>
    <row r="911" spans="1:17" x14ac:dyDescent="0.3">
      <c r="A911" t="s">
        <v>2436</v>
      </c>
      <c r="B911" t="s">
        <v>2199</v>
      </c>
      <c r="C911" s="2" t="str">
        <f>PROPER(TRIM(Table1[[#This Row],[Gender]]))</f>
        <v>Female</v>
      </c>
      <c r="D911" t="s">
        <v>43</v>
      </c>
      <c r="E911">
        <v>48</v>
      </c>
      <c r="F911" t="s">
        <v>17</v>
      </c>
      <c r="G911" s="1">
        <v>28138</v>
      </c>
      <c r="H911" t="s">
        <v>2437</v>
      </c>
      <c r="I911" s="2" t="str">
        <f t="shared" si="14"/>
        <v>+91-8982406360</v>
      </c>
      <c r="J911">
        <f>91-8982406451</f>
        <v>-8982406360</v>
      </c>
      <c r="K911" t="s">
        <v>40</v>
      </c>
      <c r="L911" t="s">
        <v>27</v>
      </c>
      <c r="M911">
        <v>400675</v>
      </c>
      <c r="N911" s="1">
        <v>45098</v>
      </c>
      <c r="O911" t="s">
        <v>35</v>
      </c>
      <c r="P911">
        <v>3</v>
      </c>
      <c r="Q911">
        <v>5315.83</v>
      </c>
    </row>
    <row r="912" spans="1:17" x14ac:dyDescent="0.3">
      <c r="A912" t="s">
        <v>2438</v>
      </c>
      <c r="B912" t="s">
        <v>2439</v>
      </c>
      <c r="C912" s="2" t="str">
        <f>PROPER(TRIM(Table1[[#This Row],[Gender]]))</f>
        <v>Male</v>
      </c>
      <c r="D912" t="s">
        <v>16</v>
      </c>
      <c r="E912">
        <v>26</v>
      </c>
      <c r="F912" t="s">
        <v>31</v>
      </c>
      <c r="G912" s="1">
        <v>36168</v>
      </c>
      <c r="H912" t="s">
        <v>2440</v>
      </c>
      <c r="I912" s="2" t="str">
        <f t="shared" si="14"/>
        <v>+91-9584301353</v>
      </c>
      <c r="J912">
        <f>91-9584301444</f>
        <v>-9584301353</v>
      </c>
      <c r="K912" t="s">
        <v>109</v>
      </c>
      <c r="L912" t="s">
        <v>46</v>
      </c>
      <c r="M912">
        <v>319823</v>
      </c>
      <c r="N912" s="1">
        <v>45412</v>
      </c>
      <c r="O912" t="s">
        <v>28</v>
      </c>
      <c r="P912">
        <v>6</v>
      </c>
      <c r="Q912">
        <v>88614.19</v>
      </c>
    </row>
    <row r="913" spans="1:17" x14ac:dyDescent="0.3">
      <c r="A913" t="s">
        <v>2441</v>
      </c>
      <c r="B913" t="s">
        <v>1668</v>
      </c>
      <c r="C913" s="2" t="str">
        <f>PROPER(TRIM(Table1[[#This Row],[Gender]]))</f>
        <v>Male</v>
      </c>
      <c r="D913" t="s">
        <v>16</v>
      </c>
      <c r="E913">
        <v>43</v>
      </c>
      <c r="F913" t="s">
        <v>38</v>
      </c>
      <c r="G913" s="1">
        <v>29963</v>
      </c>
      <c r="H913" t="s">
        <v>2442</v>
      </c>
      <c r="I913" s="2" t="str">
        <f t="shared" si="14"/>
        <v>+91-9230982771</v>
      </c>
      <c r="J913">
        <f>91-9230982862</f>
        <v>-9230982771</v>
      </c>
      <c r="K913" t="s">
        <v>239</v>
      </c>
      <c r="L913" t="s">
        <v>191</v>
      </c>
      <c r="M913">
        <v>987950</v>
      </c>
      <c r="N913" s="1">
        <v>45160</v>
      </c>
      <c r="O913" t="s">
        <v>35</v>
      </c>
      <c r="P913">
        <v>1</v>
      </c>
      <c r="Q913">
        <v>247.97</v>
      </c>
    </row>
    <row r="914" spans="1:17" x14ac:dyDescent="0.3">
      <c r="A914" t="s">
        <v>2443</v>
      </c>
      <c r="B914" t="s">
        <v>2444</v>
      </c>
      <c r="C914" s="2" t="str">
        <f>PROPER(TRIM(Table1[[#This Row],[Gender]]))</f>
        <v>Female</v>
      </c>
      <c r="D914" t="s">
        <v>43</v>
      </c>
      <c r="E914">
        <v>19</v>
      </c>
      <c r="F914" t="s">
        <v>49</v>
      </c>
      <c r="G914" s="1">
        <v>38723</v>
      </c>
      <c r="H914" t="s">
        <v>2445</v>
      </c>
      <c r="I914" s="2" t="str">
        <f t="shared" si="14"/>
        <v>+91-8329453730</v>
      </c>
      <c r="J914">
        <f>91-8329453821</f>
        <v>-8329453730</v>
      </c>
      <c r="K914" t="s">
        <v>154</v>
      </c>
      <c r="L914" t="s">
        <v>46</v>
      </c>
      <c r="M914">
        <v>110364</v>
      </c>
      <c r="N914" s="1">
        <v>45273</v>
      </c>
      <c r="O914" t="s">
        <v>28</v>
      </c>
      <c r="P914">
        <v>2</v>
      </c>
      <c r="Q914">
        <v>91603.4</v>
      </c>
    </row>
    <row r="915" spans="1:17" x14ac:dyDescent="0.3">
      <c r="A915" t="s">
        <v>2446</v>
      </c>
      <c r="B915" t="s">
        <v>759</v>
      </c>
      <c r="C915" s="2" t="str">
        <f>PROPER(TRIM(Table1[[#This Row],[Gender]]))</f>
        <v>Female</v>
      </c>
      <c r="D915" t="s">
        <v>43</v>
      </c>
      <c r="E915">
        <v>28</v>
      </c>
      <c r="F915" t="s">
        <v>31</v>
      </c>
      <c r="G915" s="1">
        <v>35438</v>
      </c>
      <c r="H915" t="s">
        <v>2447</v>
      </c>
      <c r="I915" s="2" t="str">
        <f t="shared" si="14"/>
        <v>+91-7975079694</v>
      </c>
      <c r="J915">
        <f>91-7975079785</f>
        <v>-7975079694</v>
      </c>
      <c r="K915" t="s">
        <v>121</v>
      </c>
      <c r="L915" t="s">
        <v>85</v>
      </c>
      <c r="M915">
        <v>795794</v>
      </c>
      <c r="N915" s="1">
        <v>45417</v>
      </c>
      <c r="O915" t="s">
        <v>28</v>
      </c>
      <c r="P915">
        <v>4</v>
      </c>
      <c r="Q915">
        <v>68500.09</v>
      </c>
    </row>
    <row r="916" spans="1:17" x14ac:dyDescent="0.3">
      <c r="A916" t="s">
        <v>2448</v>
      </c>
      <c r="B916" t="s">
        <v>2449</v>
      </c>
      <c r="C916" s="2" t="str">
        <f>PROPER(TRIM(Table1[[#This Row],[Gender]]))</f>
        <v>Male</v>
      </c>
      <c r="D916" t="s">
        <v>16</v>
      </c>
      <c r="E916">
        <v>52</v>
      </c>
      <c r="F916" t="s">
        <v>17</v>
      </c>
      <c r="G916" s="1">
        <v>26678</v>
      </c>
      <c r="H916" t="s">
        <v>2450</v>
      </c>
      <c r="I916" s="2" t="str">
        <f t="shared" si="14"/>
        <v>+91-8627712776</v>
      </c>
      <c r="J916">
        <f>91-8627712867</f>
        <v>-8627712776</v>
      </c>
      <c r="K916" t="s">
        <v>178</v>
      </c>
      <c r="L916" t="s">
        <v>27</v>
      </c>
      <c r="M916">
        <v>664328</v>
      </c>
      <c r="N916" s="1">
        <v>45245</v>
      </c>
      <c r="O916" t="s">
        <v>35</v>
      </c>
      <c r="P916">
        <v>6</v>
      </c>
      <c r="Q916">
        <v>17847.11</v>
      </c>
    </row>
    <row r="917" spans="1:17" x14ac:dyDescent="0.3">
      <c r="A917" t="s">
        <v>2451</v>
      </c>
      <c r="B917" t="s">
        <v>213</v>
      </c>
      <c r="C917" s="2" t="str">
        <f>PROPER(TRIM(Table1[[#This Row],[Gender]]))</f>
        <v>Female</v>
      </c>
      <c r="D917" t="s">
        <v>43</v>
      </c>
      <c r="E917">
        <v>22</v>
      </c>
      <c r="F917" t="s">
        <v>49</v>
      </c>
      <c r="G917" s="1">
        <v>37628</v>
      </c>
      <c r="H917" t="s">
        <v>214</v>
      </c>
      <c r="I917" s="2" t="str">
        <f t="shared" si="14"/>
        <v>+91-7756721630</v>
      </c>
      <c r="J917">
        <f>91-7756721721</f>
        <v>-7756721630</v>
      </c>
      <c r="K917" t="s">
        <v>178</v>
      </c>
      <c r="L917" t="s">
        <v>27</v>
      </c>
      <c r="M917">
        <v>471401</v>
      </c>
      <c r="N917" s="1">
        <v>45383</v>
      </c>
      <c r="O917" t="s">
        <v>28</v>
      </c>
      <c r="P917">
        <v>4</v>
      </c>
      <c r="Q917">
        <v>121957.23</v>
      </c>
    </row>
    <row r="918" spans="1:17" x14ac:dyDescent="0.3">
      <c r="A918" t="s">
        <v>2452</v>
      </c>
      <c r="B918" t="s">
        <v>167</v>
      </c>
      <c r="C918" s="2" t="str">
        <f>PROPER(TRIM(Table1[[#This Row],[Gender]]))</f>
        <v>Female</v>
      </c>
      <c r="D918" t="s">
        <v>43</v>
      </c>
      <c r="E918">
        <v>39</v>
      </c>
      <c r="F918" t="s">
        <v>38</v>
      </c>
      <c r="G918" s="1">
        <v>31423</v>
      </c>
      <c r="H918" t="s">
        <v>2453</v>
      </c>
      <c r="I918" s="2" t="str">
        <f t="shared" si="14"/>
        <v>+91-7147572834</v>
      </c>
      <c r="J918">
        <f>91-7147572925</f>
        <v>-7147572834</v>
      </c>
      <c r="K918" t="s">
        <v>113</v>
      </c>
      <c r="L918" t="s">
        <v>34</v>
      </c>
      <c r="M918">
        <v>107557</v>
      </c>
      <c r="N918" s="1">
        <v>45437</v>
      </c>
      <c r="O918" t="s">
        <v>28</v>
      </c>
      <c r="P918">
        <v>6</v>
      </c>
      <c r="Q918">
        <v>219309.73</v>
      </c>
    </row>
    <row r="919" spans="1:17" x14ac:dyDescent="0.3">
      <c r="A919" t="s">
        <v>2454</v>
      </c>
      <c r="B919" t="s">
        <v>1932</v>
      </c>
      <c r="C919" s="2" t="str">
        <f>PROPER(TRIM(Table1[[#This Row],[Gender]]))</f>
        <v>Female</v>
      </c>
      <c r="D919" t="s">
        <v>43</v>
      </c>
      <c r="E919">
        <v>59</v>
      </c>
      <c r="F919" t="s">
        <v>58</v>
      </c>
      <c r="G919" s="1">
        <v>24123</v>
      </c>
      <c r="H919" t="s">
        <v>2455</v>
      </c>
      <c r="I919" s="2" t="str">
        <f t="shared" si="14"/>
        <v>+91-7296295482</v>
      </c>
      <c r="J919">
        <f>91-7296295573</f>
        <v>-7296295482</v>
      </c>
      <c r="K919" t="s">
        <v>109</v>
      </c>
      <c r="L919" t="s">
        <v>46</v>
      </c>
      <c r="M919">
        <v>884933</v>
      </c>
      <c r="N919" s="1">
        <v>45300</v>
      </c>
      <c r="O919" t="s">
        <v>28</v>
      </c>
      <c r="P919">
        <v>5</v>
      </c>
      <c r="Q919">
        <v>83819.23</v>
      </c>
    </row>
    <row r="920" spans="1:17" x14ac:dyDescent="0.3">
      <c r="A920" t="s">
        <v>2456</v>
      </c>
      <c r="B920" t="s">
        <v>734</v>
      </c>
      <c r="C920" s="2" t="str">
        <f>PROPER(TRIM(Table1[[#This Row],[Gender]]))</f>
        <v>Female</v>
      </c>
      <c r="D920" t="s">
        <v>43</v>
      </c>
      <c r="E920">
        <v>51</v>
      </c>
      <c r="F920" t="s">
        <v>17</v>
      </c>
      <c r="G920" s="1">
        <v>27043</v>
      </c>
      <c r="H920" t="s">
        <v>1666</v>
      </c>
      <c r="I920" s="2" t="str">
        <f t="shared" si="14"/>
        <v>+91-9051091944</v>
      </c>
      <c r="J920">
        <f>91-9051092035</f>
        <v>-9051091944</v>
      </c>
      <c r="K920" t="s">
        <v>125</v>
      </c>
      <c r="L920" t="s">
        <v>52</v>
      </c>
      <c r="M920">
        <v>689577</v>
      </c>
      <c r="N920" s="1">
        <v>45437</v>
      </c>
      <c r="O920" t="s">
        <v>35</v>
      </c>
      <c r="P920">
        <v>3</v>
      </c>
      <c r="Q920">
        <v>4609.5600000000004</v>
      </c>
    </row>
    <row r="921" spans="1:17" x14ac:dyDescent="0.3">
      <c r="A921" t="s">
        <v>2457</v>
      </c>
      <c r="B921" t="s">
        <v>2458</v>
      </c>
      <c r="C921" s="2" t="str">
        <f>PROPER(TRIM(Table1[[#This Row],[Gender]]))</f>
        <v>Female</v>
      </c>
      <c r="D921" t="s">
        <v>43</v>
      </c>
      <c r="E921">
        <v>63</v>
      </c>
      <c r="F921" t="s">
        <v>58</v>
      </c>
      <c r="G921" s="1">
        <v>22663</v>
      </c>
      <c r="H921" t="s">
        <v>2459</v>
      </c>
      <c r="I921" s="2" t="str">
        <f t="shared" si="14"/>
        <v>+91-7420054013</v>
      </c>
      <c r="J921">
        <f>91-7420054104</f>
        <v>-7420054013</v>
      </c>
      <c r="K921" t="s">
        <v>117</v>
      </c>
      <c r="L921" t="s">
        <v>52</v>
      </c>
      <c r="M921">
        <v>571155</v>
      </c>
      <c r="N921" s="1">
        <v>45351</v>
      </c>
      <c r="O921" t="s">
        <v>21</v>
      </c>
      <c r="P921">
        <v>4</v>
      </c>
      <c r="Q921">
        <v>43974.73</v>
      </c>
    </row>
    <row r="922" spans="1:17" x14ac:dyDescent="0.3">
      <c r="A922" t="s">
        <v>2460</v>
      </c>
      <c r="B922" t="s">
        <v>374</v>
      </c>
      <c r="C922" s="2" t="str">
        <f>PROPER(TRIM(Table1[[#This Row],[Gender]]))</f>
        <v>Male</v>
      </c>
      <c r="D922" t="s">
        <v>16</v>
      </c>
      <c r="E922">
        <v>18</v>
      </c>
      <c r="F922" t="s">
        <v>49</v>
      </c>
      <c r="G922" s="1">
        <v>39088</v>
      </c>
      <c r="H922" t="s">
        <v>2461</v>
      </c>
      <c r="I922" s="2" t="str">
        <f t="shared" si="14"/>
        <v>+91-9890151875</v>
      </c>
      <c r="J922">
        <f>91-9890151966</f>
        <v>-9890151875</v>
      </c>
      <c r="K922" t="s">
        <v>89</v>
      </c>
      <c r="L922" t="s">
        <v>90</v>
      </c>
      <c r="M922">
        <v>533636</v>
      </c>
      <c r="N922" s="1">
        <v>45227</v>
      </c>
      <c r="O922" t="s">
        <v>28</v>
      </c>
      <c r="P922">
        <v>5</v>
      </c>
      <c r="Q922">
        <v>71008.73</v>
      </c>
    </row>
    <row r="923" spans="1:17" x14ac:dyDescent="0.3">
      <c r="A923" t="s">
        <v>2462</v>
      </c>
      <c r="B923" t="s">
        <v>908</v>
      </c>
      <c r="C923" s="2" t="str">
        <f>PROPER(TRIM(Table1[[#This Row],[Gender]]))</f>
        <v>Female</v>
      </c>
      <c r="D923" t="s">
        <v>43</v>
      </c>
      <c r="E923">
        <v>61</v>
      </c>
      <c r="F923" t="s">
        <v>58</v>
      </c>
      <c r="G923" s="1">
        <v>23393</v>
      </c>
      <c r="H923" t="s">
        <v>2463</v>
      </c>
      <c r="I923" s="2" t="str">
        <f t="shared" si="14"/>
        <v>+91-7484053746</v>
      </c>
      <c r="J923">
        <f>91-7484053837</f>
        <v>-7484053746</v>
      </c>
      <c r="K923" t="s">
        <v>45</v>
      </c>
      <c r="L923" t="s">
        <v>46</v>
      </c>
      <c r="M923">
        <v>986183</v>
      </c>
      <c r="N923" s="1">
        <v>45378</v>
      </c>
      <c r="O923" t="s">
        <v>35</v>
      </c>
      <c r="P923">
        <v>3</v>
      </c>
      <c r="Q923">
        <v>3393.94</v>
      </c>
    </row>
    <row r="924" spans="1:17" x14ac:dyDescent="0.3">
      <c r="A924" t="s">
        <v>2464</v>
      </c>
      <c r="B924" t="s">
        <v>2010</v>
      </c>
      <c r="C924" s="2" t="str">
        <f>PROPER(TRIM(Table1[[#This Row],[Gender]]))</f>
        <v>Male</v>
      </c>
      <c r="D924" t="s">
        <v>16</v>
      </c>
      <c r="E924">
        <v>37</v>
      </c>
      <c r="F924" t="s">
        <v>38</v>
      </c>
      <c r="G924" s="1">
        <v>32153</v>
      </c>
      <c r="H924" t="s">
        <v>2465</v>
      </c>
      <c r="I924" s="2" t="str">
        <f t="shared" si="14"/>
        <v>+91-7320494095</v>
      </c>
      <c r="J924">
        <f>91-7320494186</f>
        <v>-7320494095</v>
      </c>
      <c r="K924" t="s">
        <v>51</v>
      </c>
      <c r="L924" t="s">
        <v>52</v>
      </c>
      <c r="M924">
        <v>641858</v>
      </c>
      <c r="N924" s="1">
        <v>45103</v>
      </c>
      <c r="O924" t="s">
        <v>28</v>
      </c>
      <c r="P924">
        <v>4</v>
      </c>
      <c r="Q924">
        <v>101867.28</v>
      </c>
    </row>
    <row r="925" spans="1:17" x14ac:dyDescent="0.3">
      <c r="A925" t="s">
        <v>2466</v>
      </c>
      <c r="B925" t="s">
        <v>2449</v>
      </c>
      <c r="C925" s="2" t="str">
        <f>PROPER(TRIM(Table1[[#This Row],[Gender]]))</f>
        <v>Male</v>
      </c>
      <c r="D925" t="s">
        <v>16</v>
      </c>
      <c r="E925">
        <v>74</v>
      </c>
      <c r="F925" t="s">
        <v>24</v>
      </c>
      <c r="G925" s="1">
        <v>18648</v>
      </c>
      <c r="H925" t="s">
        <v>2467</v>
      </c>
      <c r="I925" s="2" t="str">
        <f t="shared" si="14"/>
        <v>+91-8101276949</v>
      </c>
      <c r="J925">
        <f>91-8101277040</f>
        <v>-8101276949</v>
      </c>
      <c r="K925" t="s">
        <v>249</v>
      </c>
      <c r="L925" t="s">
        <v>34</v>
      </c>
      <c r="M925">
        <v>961736</v>
      </c>
      <c r="N925" s="1">
        <v>45121</v>
      </c>
      <c r="O925" t="s">
        <v>35</v>
      </c>
      <c r="P925">
        <v>7</v>
      </c>
      <c r="Q925">
        <v>10570.82</v>
      </c>
    </row>
    <row r="926" spans="1:17" x14ac:dyDescent="0.3">
      <c r="A926" t="s">
        <v>2468</v>
      </c>
      <c r="B926" t="s">
        <v>1913</v>
      </c>
      <c r="C926" s="2" t="str">
        <f>PROPER(TRIM(Table1[[#This Row],[Gender]]))</f>
        <v>Female</v>
      </c>
      <c r="D926" t="s">
        <v>43</v>
      </c>
      <c r="E926">
        <v>65</v>
      </c>
      <c r="F926" t="s">
        <v>58</v>
      </c>
      <c r="G926" s="1">
        <v>21933</v>
      </c>
      <c r="H926" t="s">
        <v>2469</v>
      </c>
      <c r="I926" s="2" t="str">
        <f t="shared" si="14"/>
        <v>+91-7800183147</v>
      </c>
      <c r="J926">
        <f>91-7800183238</f>
        <v>-7800183147</v>
      </c>
      <c r="K926" t="s">
        <v>89</v>
      </c>
      <c r="L926" t="s">
        <v>90</v>
      </c>
      <c r="M926">
        <v>144413</v>
      </c>
      <c r="N926" s="1">
        <v>45096</v>
      </c>
      <c r="O926" t="s">
        <v>35</v>
      </c>
      <c r="P926">
        <v>2</v>
      </c>
      <c r="Q926">
        <v>908.16</v>
      </c>
    </row>
    <row r="927" spans="1:17" x14ac:dyDescent="0.3">
      <c r="A927" t="s">
        <v>2470</v>
      </c>
      <c r="B927" t="s">
        <v>1967</v>
      </c>
      <c r="C927" s="2" t="str">
        <f>PROPER(TRIM(Table1[[#This Row],[Gender]]))</f>
        <v>Male</v>
      </c>
      <c r="D927" t="s">
        <v>16</v>
      </c>
      <c r="E927">
        <v>37</v>
      </c>
      <c r="F927" t="s">
        <v>38</v>
      </c>
      <c r="G927" s="1">
        <v>32153</v>
      </c>
      <c r="H927" t="s">
        <v>2471</v>
      </c>
      <c r="I927" s="2" t="str">
        <f t="shared" si="14"/>
        <v>+91-8061187384</v>
      </c>
      <c r="J927">
        <f>91-8061187475</f>
        <v>-8061187384</v>
      </c>
      <c r="K927" t="s">
        <v>273</v>
      </c>
      <c r="L927" t="s">
        <v>46</v>
      </c>
      <c r="M927">
        <v>201255</v>
      </c>
      <c r="N927" s="1">
        <v>45102</v>
      </c>
      <c r="O927" t="s">
        <v>28</v>
      </c>
      <c r="P927">
        <v>4</v>
      </c>
      <c r="Q927">
        <v>156609.72</v>
      </c>
    </row>
    <row r="928" spans="1:17" x14ac:dyDescent="0.3">
      <c r="A928" t="s">
        <v>2472</v>
      </c>
      <c r="B928" t="s">
        <v>2473</v>
      </c>
      <c r="C928" s="2" t="str">
        <f>PROPER(TRIM(Table1[[#This Row],[Gender]]))</f>
        <v>Female</v>
      </c>
      <c r="D928" t="s">
        <v>43</v>
      </c>
      <c r="E928">
        <v>51</v>
      </c>
      <c r="F928" t="s">
        <v>17</v>
      </c>
      <c r="G928" s="1">
        <v>27043</v>
      </c>
      <c r="H928" t="s">
        <v>2474</v>
      </c>
      <c r="I928" s="2" t="str">
        <f t="shared" si="14"/>
        <v>+91-7246201429</v>
      </c>
      <c r="J928">
        <f>91-7246201520</f>
        <v>-7246201429</v>
      </c>
      <c r="K928" t="s">
        <v>117</v>
      </c>
      <c r="L928" t="s">
        <v>52</v>
      </c>
      <c r="M928">
        <v>511654</v>
      </c>
      <c r="N928" s="1">
        <v>45410</v>
      </c>
      <c r="O928" t="s">
        <v>35</v>
      </c>
      <c r="P928">
        <v>4</v>
      </c>
      <c r="Q928">
        <v>4609.84</v>
      </c>
    </row>
    <row r="929" spans="1:17" x14ac:dyDescent="0.3">
      <c r="A929" t="s">
        <v>2475</v>
      </c>
      <c r="B929" t="s">
        <v>848</v>
      </c>
      <c r="C929" s="2" t="str">
        <f>PROPER(TRIM(Table1[[#This Row],[Gender]]))</f>
        <v>Female</v>
      </c>
      <c r="D929" t="s">
        <v>43</v>
      </c>
      <c r="E929">
        <v>33</v>
      </c>
      <c r="F929" t="s">
        <v>31</v>
      </c>
      <c r="G929" s="1">
        <v>33613</v>
      </c>
      <c r="H929" t="s">
        <v>2476</v>
      </c>
      <c r="I929" s="2" t="str">
        <f t="shared" si="14"/>
        <v>+91-9400972148</v>
      </c>
      <c r="J929">
        <f>91-9400972239</f>
        <v>-9400972148</v>
      </c>
      <c r="K929" t="s">
        <v>89</v>
      </c>
      <c r="L929" t="s">
        <v>90</v>
      </c>
      <c r="M929">
        <v>905888</v>
      </c>
      <c r="N929" s="1">
        <v>45268</v>
      </c>
      <c r="O929" t="s">
        <v>28</v>
      </c>
      <c r="P929">
        <v>2</v>
      </c>
      <c r="Q929">
        <v>88613.25</v>
      </c>
    </row>
    <row r="930" spans="1:17" x14ac:dyDescent="0.3">
      <c r="A930" t="s">
        <v>2477</v>
      </c>
      <c r="B930" t="s">
        <v>1859</v>
      </c>
      <c r="C930" s="2" t="str">
        <f>PROPER(TRIM(Table1[[#This Row],[Gender]]))</f>
        <v>Female</v>
      </c>
      <c r="D930" t="s">
        <v>43</v>
      </c>
      <c r="E930">
        <v>45</v>
      </c>
      <c r="F930" t="s">
        <v>38</v>
      </c>
      <c r="G930" s="1">
        <v>29233</v>
      </c>
      <c r="H930" t="s">
        <v>2478</v>
      </c>
      <c r="I930" s="2" t="str">
        <f t="shared" si="14"/>
        <v>+91-7297996545</v>
      </c>
      <c r="J930">
        <f>91-7297996636</f>
        <v>-7297996545</v>
      </c>
      <c r="K930" t="s">
        <v>117</v>
      </c>
      <c r="L930" t="s">
        <v>52</v>
      </c>
      <c r="M930">
        <v>430914</v>
      </c>
      <c r="N930" s="1">
        <v>45264</v>
      </c>
      <c r="O930" t="s">
        <v>28</v>
      </c>
      <c r="P930">
        <v>5</v>
      </c>
      <c r="Q930">
        <v>156997.44</v>
      </c>
    </row>
    <row r="931" spans="1:17" x14ac:dyDescent="0.3">
      <c r="A931" t="s">
        <v>2479</v>
      </c>
      <c r="B931" t="s">
        <v>729</v>
      </c>
      <c r="C931" s="2" t="str">
        <f>PROPER(TRIM(Table1[[#This Row],[Gender]]))</f>
        <v>Male</v>
      </c>
      <c r="D931" t="s">
        <v>16</v>
      </c>
      <c r="E931">
        <v>28</v>
      </c>
      <c r="F931" t="s">
        <v>31</v>
      </c>
      <c r="G931" s="1">
        <v>35438</v>
      </c>
      <c r="H931" t="s">
        <v>2480</v>
      </c>
      <c r="I931" s="2" t="str">
        <f t="shared" si="14"/>
        <v>+91-9390774905</v>
      </c>
      <c r="J931">
        <f>91-9390774996</f>
        <v>-9390774905</v>
      </c>
      <c r="K931" t="s">
        <v>68</v>
      </c>
      <c r="L931" t="s">
        <v>52</v>
      </c>
      <c r="M931">
        <v>484693</v>
      </c>
      <c r="N931" s="1">
        <v>45345</v>
      </c>
      <c r="O931" t="s">
        <v>28</v>
      </c>
      <c r="P931">
        <v>7</v>
      </c>
      <c r="Q931">
        <v>117841.65</v>
      </c>
    </row>
    <row r="932" spans="1:17" x14ac:dyDescent="0.3">
      <c r="A932" t="s">
        <v>2481</v>
      </c>
      <c r="B932" t="s">
        <v>207</v>
      </c>
      <c r="C932" s="2" t="str">
        <f>PROPER(TRIM(Table1[[#This Row],[Gender]]))</f>
        <v>Female</v>
      </c>
      <c r="D932" t="s">
        <v>43</v>
      </c>
      <c r="E932">
        <v>49</v>
      </c>
      <c r="F932" t="s">
        <v>17</v>
      </c>
      <c r="G932" s="1">
        <v>27773</v>
      </c>
      <c r="H932" t="s">
        <v>2482</v>
      </c>
      <c r="I932" s="2" t="str">
        <f t="shared" si="14"/>
        <v>+91-7983504978</v>
      </c>
      <c r="J932">
        <f>91-7983505069</f>
        <v>-7983504978</v>
      </c>
      <c r="K932" t="s">
        <v>68</v>
      </c>
      <c r="L932" t="s">
        <v>52</v>
      </c>
      <c r="M932">
        <v>324536</v>
      </c>
      <c r="N932" s="1">
        <v>45142</v>
      </c>
      <c r="O932" t="s">
        <v>28</v>
      </c>
      <c r="P932">
        <v>10</v>
      </c>
      <c r="Q932">
        <v>60529.99</v>
      </c>
    </row>
    <row r="933" spans="1:17" x14ac:dyDescent="0.3">
      <c r="A933" t="s">
        <v>2483</v>
      </c>
      <c r="B933" t="s">
        <v>1367</v>
      </c>
      <c r="C933" s="2" t="str">
        <f>PROPER(TRIM(Table1[[#This Row],[Gender]]))</f>
        <v>Female</v>
      </c>
      <c r="D933" t="s">
        <v>43</v>
      </c>
      <c r="E933">
        <v>47</v>
      </c>
      <c r="F933" t="s">
        <v>17</v>
      </c>
      <c r="G933" s="1">
        <v>28503</v>
      </c>
      <c r="H933" t="s">
        <v>2484</v>
      </c>
      <c r="I933" s="2" t="str">
        <f t="shared" si="14"/>
        <v>+91-9782088454</v>
      </c>
      <c r="J933">
        <f>91-9782088545</f>
        <v>-9782088454</v>
      </c>
      <c r="K933" t="s">
        <v>195</v>
      </c>
      <c r="L933" t="s">
        <v>102</v>
      </c>
      <c r="M933">
        <v>833810</v>
      </c>
      <c r="N933" s="1">
        <v>45409</v>
      </c>
      <c r="O933" t="s">
        <v>28</v>
      </c>
      <c r="P933">
        <v>6</v>
      </c>
      <c r="Q933">
        <v>50288.66</v>
      </c>
    </row>
    <row r="934" spans="1:17" x14ac:dyDescent="0.3">
      <c r="A934" t="s">
        <v>2485</v>
      </c>
      <c r="B934" t="s">
        <v>1231</v>
      </c>
      <c r="C934" s="2" t="str">
        <f>PROPER(TRIM(Table1[[#This Row],[Gender]]))</f>
        <v>Male</v>
      </c>
      <c r="D934" t="s">
        <v>16</v>
      </c>
      <c r="E934">
        <v>45</v>
      </c>
      <c r="F934" t="s">
        <v>38</v>
      </c>
      <c r="G934" s="1">
        <v>29233</v>
      </c>
      <c r="H934" t="s">
        <v>1232</v>
      </c>
      <c r="I934" s="2" t="str">
        <f t="shared" si="14"/>
        <v>+91-8934410881</v>
      </c>
      <c r="J934">
        <f>91-8934410972</f>
        <v>-8934410881</v>
      </c>
      <c r="K934" t="s">
        <v>142</v>
      </c>
      <c r="L934" t="s">
        <v>143</v>
      </c>
      <c r="M934">
        <v>984602</v>
      </c>
      <c r="N934" s="1">
        <v>45198</v>
      </c>
      <c r="O934" t="s">
        <v>28</v>
      </c>
      <c r="P934">
        <v>7</v>
      </c>
      <c r="Q934">
        <v>168151.19</v>
      </c>
    </row>
    <row r="935" spans="1:17" x14ac:dyDescent="0.3">
      <c r="A935" t="s">
        <v>2486</v>
      </c>
      <c r="B935" t="s">
        <v>159</v>
      </c>
      <c r="C935" s="2" t="str">
        <f>PROPER(TRIM(Table1[[#This Row],[Gender]]))</f>
        <v>Female</v>
      </c>
      <c r="D935" t="s">
        <v>43</v>
      </c>
      <c r="E935">
        <v>29</v>
      </c>
      <c r="F935" t="s">
        <v>31</v>
      </c>
      <c r="G935" s="1">
        <v>35073</v>
      </c>
      <c r="H935" t="s">
        <v>2487</v>
      </c>
      <c r="I935" s="2" t="str">
        <f t="shared" si="14"/>
        <v>+91-7624570930</v>
      </c>
      <c r="J935">
        <f>91-7624571021</f>
        <v>-7624570930</v>
      </c>
      <c r="K935" t="s">
        <v>89</v>
      </c>
      <c r="L935" t="s">
        <v>90</v>
      </c>
      <c r="M935">
        <v>577734</v>
      </c>
      <c r="N935" s="1">
        <v>45405</v>
      </c>
      <c r="O935" t="s">
        <v>28</v>
      </c>
      <c r="P935">
        <v>5</v>
      </c>
      <c r="Q935">
        <v>74269.62</v>
      </c>
    </row>
    <row r="936" spans="1:17" x14ac:dyDescent="0.3">
      <c r="A936" t="s">
        <v>2488</v>
      </c>
      <c r="B936" t="s">
        <v>2489</v>
      </c>
      <c r="C936" s="2" t="str">
        <f>PROPER(TRIM(Table1[[#This Row],[Gender]]))</f>
        <v>Male</v>
      </c>
      <c r="D936" t="s">
        <v>16</v>
      </c>
      <c r="E936">
        <v>25</v>
      </c>
      <c r="F936" t="s">
        <v>49</v>
      </c>
      <c r="G936" s="1">
        <v>36533</v>
      </c>
      <c r="H936" t="s">
        <v>2490</v>
      </c>
      <c r="I936" s="2" t="str">
        <f t="shared" si="14"/>
        <v>+91-8631828023</v>
      </c>
      <c r="J936">
        <f>91-8631828114</f>
        <v>-8631828023</v>
      </c>
      <c r="K936" t="s">
        <v>84</v>
      </c>
      <c r="L936" t="s">
        <v>85</v>
      </c>
      <c r="M936">
        <v>416984</v>
      </c>
      <c r="N936" s="1">
        <v>45347</v>
      </c>
      <c r="O936" t="s">
        <v>28</v>
      </c>
      <c r="P936">
        <v>6</v>
      </c>
      <c r="Q936">
        <v>57645.41</v>
      </c>
    </row>
    <row r="937" spans="1:17" x14ac:dyDescent="0.3">
      <c r="A937" t="s">
        <v>2491</v>
      </c>
      <c r="B937" t="s">
        <v>1734</v>
      </c>
      <c r="C937" s="2" t="str">
        <f>PROPER(TRIM(Table1[[#This Row],[Gender]]))</f>
        <v>Female</v>
      </c>
      <c r="D937" t="s">
        <v>43</v>
      </c>
      <c r="E937">
        <v>28</v>
      </c>
      <c r="F937" t="s">
        <v>31</v>
      </c>
      <c r="G937" s="1">
        <v>35438</v>
      </c>
      <c r="H937" t="s">
        <v>2492</v>
      </c>
      <c r="I937" s="2" t="str">
        <f t="shared" si="14"/>
        <v>+91-7258968633</v>
      </c>
      <c r="J937">
        <f>91-7258968724</f>
        <v>-7258968633</v>
      </c>
      <c r="K937" t="s">
        <v>195</v>
      </c>
      <c r="L937" t="s">
        <v>102</v>
      </c>
      <c r="M937">
        <v>179477</v>
      </c>
      <c r="N937" s="1">
        <v>45264</v>
      </c>
      <c r="O937" t="s">
        <v>28</v>
      </c>
      <c r="P937">
        <v>4</v>
      </c>
      <c r="Q937">
        <v>90282.45</v>
      </c>
    </row>
    <row r="938" spans="1:17" x14ac:dyDescent="0.3">
      <c r="A938" t="s">
        <v>2493</v>
      </c>
      <c r="B938" t="s">
        <v>404</v>
      </c>
      <c r="C938" s="2" t="str">
        <f>PROPER(TRIM(Table1[[#This Row],[Gender]]))</f>
        <v>Female</v>
      </c>
      <c r="D938" t="s">
        <v>43</v>
      </c>
      <c r="E938">
        <v>18</v>
      </c>
      <c r="F938" t="s">
        <v>49</v>
      </c>
      <c r="G938" s="1">
        <v>39088</v>
      </c>
      <c r="H938" t="s">
        <v>2494</v>
      </c>
      <c r="I938" s="2" t="str">
        <f t="shared" si="14"/>
        <v>+91-9816441359</v>
      </c>
      <c r="J938">
        <f>91-9816441450</f>
        <v>-9816441359</v>
      </c>
      <c r="K938" t="s">
        <v>580</v>
      </c>
      <c r="L938" t="s">
        <v>85</v>
      </c>
      <c r="M938">
        <v>689357</v>
      </c>
      <c r="N938" s="1">
        <v>45130</v>
      </c>
      <c r="O938" t="s">
        <v>28</v>
      </c>
      <c r="P938">
        <v>8</v>
      </c>
      <c r="Q938">
        <v>437626.43</v>
      </c>
    </row>
    <row r="939" spans="1:17" x14ac:dyDescent="0.3">
      <c r="A939" t="s">
        <v>2495</v>
      </c>
      <c r="B939" t="s">
        <v>2496</v>
      </c>
      <c r="C939" s="2" t="str">
        <f>PROPER(TRIM(Table1[[#This Row],[Gender]]))</f>
        <v>Male</v>
      </c>
      <c r="D939" t="s">
        <v>16</v>
      </c>
      <c r="E939">
        <v>53</v>
      </c>
      <c r="F939" t="s">
        <v>17</v>
      </c>
      <c r="G939" s="1">
        <v>26313</v>
      </c>
      <c r="H939" t="s">
        <v>2497</v>
      </c>
      <c r="I939" s="2" t="str">
        <f t="shared" si="14"/>
        <v>+91-8004184087</v>
      </c>
      <c r="J939">
        <f>91-8004184178</f>
        <v>-8004184087</v>
      </c>
      <c r="K939" t="s">
        <v>161</v>
      </c>
      <c r="L939" t="s">
        <v>102</v>
      </c>
      <c r="M939">
        <v>109289</v>
      </c>
      <c r="N939" s="1">
        <v>45300</v>
      </c>
      <c r="O939" t="s">
        <v>35</v>
      </c>
      <c r="P939">
        <v>6</v>
      </c>
      <c r="Q939">
        <v>18684.29</v>
      </c>
    </row>
    <row r="940" spans="1:17" x14ac:dyDescent="0.3">
      <c r="A940" t="s">
        <v>2498</v>
      </c>
      <c r="B940" t="s">
        <v>1800</v>
      </c>
      <c r="C940" s="2" t="str">
        <f>PROPER(TRIM(Table1[[#This Row],[Gender]]))</f>
        <v>Female</v>
      </c>
      <c r="D940" t="s">
        <v>43</v>
      </c>
      <c r="E940">
        <v>36</v>
      </c>
      <c r="F940" t="s">
        <v>38</v>
      </c>
      <c r="G940" s="1">
        <v>32518</v>
      </c>
      <c r="H940" t="s">
        <v>2499</v>
      </c>
      <c r="I940" s="2" t="str">
        <f t="shared" si="14"/>
        <v>+91-8301860792</v>
      </c>
      <c r="J940">
        <f>91-8301860883</f>
        <v>-8301860792</v>
      </c>
      <c r="K940" t="s">
        <v>84</v>
      </c>
      <c r="L940" t="s">
        <v>85</v>
      </c>
      <c r="M940">
        <v>824975</v>
      </c>
      <c r="N940" s="1">
        <v>45188</v>
      </c>
      <c r="O940" t="s">
        <v>28</v>
      </c>
      <c r="P940">
        <v>5</v>
      </c>
      <c r="Q940">
        <v>216303.18</v>
      </c>
    </row>
    <row r="941" spans="1:17" x14ac:dyDescent="0.3">
      <c r="A941" t="s">
        <v>2500</v>
      </c>
      <c r="B941" t="s">
        <v>1322</v>
      </c>
      <c r="C941" s="2" t="str">
        <f>PROPER(TRIM(Table1[[#This Row],[Gender]]))</f>
        <v>Male</v>
      </c>
      <c r="D941" t="s">
        <v>16</v>
      </c>
      <c r="E941">
        <v>23</v>
      </c>
      <c r="F941" t="s">
        <v>49</v>
      </c>
      <c r="G941" s="1">
        <v>37263</v>
      </c>
      <c r="H941" t="s">
        <v>2501</v>
      </c>
      <c r="I941" s="2" t="str">
        <f t="shared" si="14"/>
        <v>+91-8716429296</v>
      </c>
      <c r="J941">
        <f>91-8716429387</f>
        <v>-8716429296</v>
      </c>
      <c r="K941" t="s">
        <v>249</v>
      </c>
      <c r="L941" t="s">
        <v>34</v>
      </c>
      <c r="M941">
        <v>842635</v>
      </c>
      <c r="N941" s="1">
        <v>45354</v>
      </c>
      <c r="O941" t="s">
        <v>28</v>
      </c>
      <c r="P941">
        <v>7</v>
      </c>
      <c r="Q941">
        <v>116547.94</v>
      </c>
    </row>
    <row r="942" spans="1:17" x14ac:dyDescent="0.3">
      <c r="A942" t="s">
        <v>2502</v>
      </c>
      <c r="B942" t="s">
        <v>1485</v>
      </c>
      <c r="C942" s="2" t="str">
        <f>PROPER(TRIM(Table1[[#This Row],[Gender]]))</f>
        <v>Female</v>
      </c>
      <c r="D942" t="s">
        <v>43</v>
      </c>
      <c r="E942">
        <v>34</v>
      </c>
      <c r="F942" t="s">
        <v>31</v>
      </c>
      <c r="G942" s="1">
        <v>33248</v>
      </c>
      <c r="H942" t="s">
        <v>2503</v>
      </c>
      <c r="I942" s="2" t="str">
        <f t="shared" si="14"/>
        <v>+91-7844056110</v>
      </c>
      <c r="J942">
        <f>91-7844056201</f>
        <v>-7844056110</v>
      </c>
      <c r="K942" t="s">
        <v>26</v>
      </c>
      <c r="L942" t="s">
        <v>27</v>
      </c>
      <c r="M942">
        <v>326694</v>
      </c>
      <c r="N942" s="1">
        <v>45242</v>
      </c>
      <c r="O942" t="s">
        <v>28</v>
      </c>
      <c r="P942">
        <v>5</v>
      </c>
      <c r="Q942">
        <v>253975.98</v>
      </c>
    </row>
    <row r="943" spans="1:17" x14ac:dyDescent="0.3">
      <c r="A943" t="s">
        <v>2504</v>
      </c>
      <c r="B943" t="s">
        <v>315</v>
      </c>
      <c r="C943" s="2" t="str">
        <f>PROPER(TRIM(Table1[[#This Row],[Gender]]))</f>
        <v>Female</v>
      </c>
      <c r="D943" t="s">
        <v>43</v>
      </c>
      <c r="E943">
        <v>27</v>
      </c>
      <c r="F943" t="s">
        <v>31</v>
      </c>
      <c r="G943" s="1">
        <v>35803</v>
      </c>
      <c r="H943" t="s">
        <v>2505</v>
      </c>
      <c r="I943" s="2" t="str">
        <f t="shared" si="14"/>
        <v>+91-7532091759</v>
      </c>
      <c r="J943">
        <f>91-7532091850</f>
        <v>-7532091759</v>
      </c>
      <c r="K943" t="s">
        <v>125</v>
      </c>
      <c r="L943" t="s">
        <v>52</v>
      </c>
      <c r="M943">
        <v>893523</v>
      </c>
      <c r="N943" s="1">
        <v>45147</v>
      </c>
      <c r="O943" t="s">
        <v>35</v>
      </c>
      <c r="P943">
        <v>2</v>
      </c>
      <c r="Q943">
        <v>16777.28</v>
      </c>
    </row>
    <row r="944" spans="1:17" x14ac:dyDescent="0.3">
      <c r="A944" t="s">
        <v>2506</v>
      </c>
      <c r="B944" t="s">
        <v>2242</v>
      </c>
      <c r="C944" s="2" t="str">
        <f>PROPER(TRIM(Table1[[#This Row],[Gender]]))</f>
        <v>Female</v>
      </c>
      <c r="D944" t="s">
        <v>43</v>
      </c>
      <c r="E944">
        <v>56</v>
      </c>
      <c r="F944" t="s">
        <v>58</v>
      </c>
      <c r="G944" s="1">
        <v>25218</v>
      </c>
      <c r="H944" t="s">
        <v>2507</v>
      </c>
      <c r="I944" s="2" t="str">
        <f t="shared" si="14"/>
        <v>+91-8945826266</v>
      </c>
      <c r="J944">
        <f>91-8945826357</f>
        <v>-8945826266</v>
      </c>
      <c r="K944" t="s">
        <v>40</v>
      </c>
      <c r="L944" t="s">
        <v>27</v>
      </c>
      <c r="M944">
        <v>353829</v>
      </c>
      <c r="N944" s="1">
        <v>45282</v>
      </c>
      <c r="O944" t="s">
        <v>28</v>
      </c>
      <c r="P944">
        <v>4</v>
      </c>
      <c r="Q944">
        <v>52720.21</v>
      </c>
    </row>
    <row r="945" spans="1:17" x14ac:dyDescent="0.3">
      <c r="A945" t="s">
        <v>2508</v>
      </c>
      <c r="B945" t="s">
        <v>1337</v>
      </c>
      <c r="C945" s="2" t="str">
        <f>PROPER(TRIM(Table1[[#This Row],[Gender]]))</f>
        <v>Female</v>
      </c>
      <c r="D945" t="s">
        <v>43</v>
      </c>
      <c r="E945">
        <v>56</v>
      </c>
      <c r="F945" t="s">
        <v>58</v>
      </c>
      <c r="G945" s="1">
        <v>25218</v>
      </c>
      <c r="H945" t="s">
        <v>2509</v>
      </c>
      <c r="I945" s="2" t="str">
        <f t="shared" si="14"/>
        <v>+91-9211667986</v>
      </c>
      <c r="J945">
        <f>91-9211668077</f>
        <v>-9211667986</v>
      </c>
      <c r="K945" t="s">
        <v>101</v>
      </c>
      <c r="L945" t="s">
        <v>102</v>
      </c>
      <c r="M945">
        <v>336803</v>
      </c>
      <c r="N945" s="1">
        <v>45443</v>
      </c>
      <c r="O945" t="s">
        <v>35</v>
      </c>
      <c r="P945">
        <v>1</v>
      </c>
      <c r="Q945">
        <v>109.81</v>
      </c>
    </row>
    <row r="946" spans="1:17" x14ac:dyDescent="0.3">
      <c r="A946" t="s">
        <v>2510</v>
      </c>
      <c r="B946" t="s">
        <v>946</v>
      </c>
      <c r="C946" s="2" t="str">
        <f>PROPER(TRIM(Table1[[#This Row],[Gender]]))</f>
        <v>Female</v>
      </c>
      <c r="D946" t="s">
        <v>43</v>
      </c>
      <c r="E946">
        <v>52</v>
      </c>
      <c r="F946" t="s">
        <v>17</v>
      </c>
      <c r="G946" s="1">
        <v>26678</v>
      </c>
      <c r="H946" t="s">
        <v>2511</v>
      </c>
      <c r="I946" s="2" t="str">
        <f t="shared" si="14"/>
        <v>+91-9636785268</v>
      </c>
      <c r="J946">
        <f>91-9636785359</f>
        <v>-9636785268</v>
      </c>
      <c r="K946" t="s">
        <v>174</v>
      </c>
      <c r="L946" t="s">
        <v>90</v>
      </c>
      <c r="M946">
        <v>338105</v>
      </c>
      <c r="N946" s="1">
        <v>45124</v>
      </c>
      <c r="O946" t="s">
        <v>35</v>
      </c>
      <c r="P946">
        <v>3</v>
      </c>
      <c r="Q946">
        <v>9806.15</v>
      </c>
    </row>
    <row r="947" spans="1:17" x14ac:dyDescent="0.3">
      <c r="A947" t="s">
        <v>2512</v>
      </c>
      <c r="B947" t="s">
        <v>2513</v>
      </c>
      <c r="C947" s="2" t="str">
        <f>PROPER(TRIM(Table1[[#This Row],[Gender]]))</f>
        <v>Male</v>
      </c>
      <c r="D947" t="s">
        <v>16</v>
      </c>
      <c r="E947">
        <v>30</v>
      </c>
      <c r="F947" t="s">
        <v>31</v>
      </c>
      <c r="G947" s="1">
        <v>34708</v>
      </c>
      <c r="H947" t="s">
        <v>2514</v>
      </c>
      <c r="I947" s="2" t="str">
        <f t="shared" si="14"/>
        <v>+91-7012056186</v>
      </c>
      <c r="J947">
        <f>91-7012056277</f>
        <v>-7012056186</v>
      </c>
      <c r="K947" t="s">
        <v>249</v>
      </c>
      <c r="L947" t="s">
        <v>34</v>
      </c>
      <c r="M947">
        <v>592573</v>
      </c>
      <c r="N947" s="1">
        <v>45373</v>
      </c>
      <c r="O947" t="s">
        <v>28</v>
      </c>
      <c r="P947">
        <v>6</v>
      </c>
      <c r="Q947">
        <v>96890.51</v>
      </c>
    </row>
    <row r="948" spans="1:17" x14ac:dyDescent="0.3">
      <c r="A948" t="s">
        <v>2515</v>
      </c>
      <c r="B948" t="s">
        <v>1680</v>
      </c>
      <c r="C948" s="2" t="str">
        <f>PROPER(TRIM(Table1[[#This Row],[Gender]]))</f>
        <v>Female</v>
      </c>
      <c r="D948" t="s">
        <v>43</v>
      </c>
      <c r="E948">
        <v>37</v>
      </c>
      <c r="F948" t="s">
        <v>38</v>
      </c>
      <c r="G948" s="1">
        <v>32153</v>
      </c>
      <c r="H948" t="s">
        <v>2516</v>
      </c>
      <c r="I948" s="2" t="str">
        <f t="shared" si="14"/>
        <v>+91-7779325104</v>
      </c>
      <c r="J948">
        <f>91-7779325195</f>
        <v>-7779325104</v>
      </c>
      <c r="K948" t="s">
        <v>142</v>
      </c>
      <c r="L948" t="s">
        <v>143</v>
      </c>
      <c r="M948">
        <v>942577</v>
      </c>
      <c r="N948" s="1">
        <v>45183</v>
      </c>
      <c r="O948" t="s">
        <v>28</v>
      </c>
      <c r="P948">
        <v>6</v>
      </c>
      <c r="Q948">
        <v>222910.73</v>
      </c>
    </row>
    <row r="949" spans="1:17" x14ac:dyDescent="0.3">
      <c r="A949" t="s">
        <v>2517</v>
      </c>
      <c r="B949" t="s">
        <v>2518</v>
      </c>
      <c r="C949" s="2" t="str">
        <f>PROPER(TRIM(Table1[[#This Row],[Gender]]))</f>
        <v>Male</v>
      </c>
      <c r="D949" t="s">
        <v>16</v>
      </c>
      <c r="E949">
        <v>34</v>
      </c>
      <c r="F949" t="s">
        <v>31</v>
      </c>
      <c r="G949" s="1">
        <v>33248</v>
      </c>
      <c r="H949" t="s">
        <v>2519</v>
      </c>
      <c r="I949" s="2" t="str">
        <f t="shared" si="14"/>
        <v>+91-8064291800</v>
      </c>
      <c r="J949">
        <f>91-8064291891</f>
        <v>-8064291800</v>
      </c>
      <c r="K949" t="s">
        <v>94</v>
      </c>
      <c r="L949" t="s">
        <v>20</v>
      </c>
      <c r="M949">
        <v>256455</v>
      </c>
      <c r="N949" s="1">
        <v>45323</v>
      </c>
      <c r="O949" t="s">
        <v>28</v>
      </c>
      <c r="P949">
        <v>14</v>
      </c>
      <c r="Q949">
        <v>564833.49</v>
      </c>
    </row>
    <row r="950" spans="1:17" x14ac:dyDescent="0.3">
      <c r="A950" t="s">
        <v>2520</v>
      </c>
      <c r="B950" t="s">
        <v>2199</v>
      </c>
      <c r="C950" s="2" t="str">
        <f>PROPER(TRIM(Table1[[#This Row],[Gender]]))</f>
        <v>Female</v>
      </c>
      <c r="D950" t="s">
        <v>43</v>
      </c>
      <c r="E950">
        <v>31</v>
      </c>
      <c r="F950" t="s">
        <v>31</v>
      </c>
      <c r="G950" s="1">
        <v>34343</v>
      </c>
      <c r="H950" t="s">
        <v>2521</v>
      </c>
      <c r="I950" s="2" t="str">
        <f t="shared" si="14"/>
        <v>+91-8735305886</v>
      </c>
      <c r="J950">
        <f>91-8735305977</f>
        <v>-8735305886</v>
      </c>
      <c r="K950" t="s">
        <v>40</v>
      </c>
      <c r="L950" t="s">
        <v>27</v>
      </c>
      <c r="M950">
        <v>337746</v>
      </c>
      <c r="N950" s="1">
        <v>45427</v>
      </c>
      <c r="O950" t="s">
        <v>28</v>
      </c>
      <c r="P950">
        <v>11</v>
      </c>
      <c r="Q950">
        <v>456108.84</v>
      </c>
    </row>
    <row r="951" spans="1:17" x14ac:dyDescent="0.3">
      <c r="A951" t="s">
        <v>2522</v>
      </c>
      <c r="B951" t="s">
        <v>490</v>
      </c>
      <c r="C951" s="2" t="str">
        <f>PROPER(TRIM(Table1[[#This Row],[Gender]]))</f>
        <v>Male</v>
      </c>
      <c r="D951" t="s">
        <v>16</v>
      </c>
      <c r="E951">
        <v>65</v>
      </c>
      <c r="F951" t="s">
        <v>58</v>
      </c>
      <c r="G951" s="1">
        <v>21933</v>
      </c>
      <c r="H951" t="s">
        <v>2523</v>
      </c>
      <c r="I951" s="2" t="str">
        <f t="shared" si="14"/>
        <v>+91-9107629662</v>
      </c>
      <c r="J951">
        <f>91-9107629753</f>
        <v>-9107629662</v>
      </c>
      <c r="K951" t="s">
        <v>580</v>
      </c>
      <c r="L951" t="s">
        <v>85</v>
      </c>
      <c r="M951">
        <v>571340</v>
      </c>
      <c r="N951" s="1">
        <v>45098</v>
      </c>
      <c r="O951" t="s">
        <v>35</v>
      </c>
      <c r="P951">
        <v>2</v>
      </c>
      <c r="Q951">
        <v>2132.0300000000002</v>
      </c>
    </row>
    <row r="952" spans="1:17" x14ac:dyDescent="0.3">
      <c r="A952" t="s">
        <v>2524</v>
      </c>
      <c r="B952" t="s">
        <v>2525</v>
      </c>
      <c r="C952" s="2" t="str">
        <f>PROPER(TRIM(Table1[[#This Row],[Gender]]))</f>
        <v>Male</v>
      </c>
      <c r="D952" t="s">
        <v>16</v>
      </c>
      <c r="E952">
        <v>26</v>
      </c>
      <c r="F952" t="s">
        <v>31</v>
      </c>
      <c r="G952" s="1">
        <v>36168</v>
      </c>
      <c r="H952" t="s">
        <v>2526</v>
      </c>
      <c r="I952" s="2" t="str">
        <f t="shared" si="14"/>
        <v>+91-8041121860</v>
      </c>
      <c r="J952">
        <f>91-8041121951</f>
        <v>-8041121860</v>
      </c>
      <c r="K952" t="s">
        <v>154</v>
      </c>
      <c r="L952" t="s">
        <v>46</v>
      </c>
      <c r="M952">
        <v>629347</v>
      </c>
      <c r="N952" s="1">
        <v>45404</v>
      </c>
      <c r="O952" t="s">
        <v>28</v>
      </c>
      <c r="P952">
        <v>3</v>
      </c>
      <c r="Q952">
        <v>99624.66</v>
      </c>
    </row>
    <row r="953" spans="1:17" x14ac:dyDescent="0.3">
      <c r="A953" t="s">
        <v>2527</v>
      </c>
      <c r="B953" t="s">
        <v>2150</v>
      </c>
      <c r="C953" s="2" t="str">
        <f>PROPER(TRIM(Table1[[#This Row],[Gender]]))</f>
        <v>Female</v>
      </c>
      <c r="D953" t="s">
        <v>43</v>
      </c>
      <c r="E953">
        <v>29</v>
      </c>
      <c r="F953" t="s">
        <v>31</v>
      </c>
      <c r="G953" s="1">
        <v>35073</v>
      </c>
      <c r="H953" t="s">
        <v>2528</v>
      </c>
      <c r="I953" s="2" t="str">
        <f t="shared" si="14"/>
        <v>+91-9715561677</v>
      </c>
      <c r="J953">
        <f>91-9715561768</f>
        <v>-9715561677</v>
      </c>
      <c r="K953" t="s">
        <v>33</v>
      </c>
      <c r="L953" t="s">
        <v>34</v>
      </c>
      <c r="M953">
        <v>150401</v>
      </c>
      <c r="N953" s="1">
        <v>45253</v>
      </c>
      <c r="O953" t="s">
        <v>21</v>
      </c>
      <c r="P953">
        <v>4</v>
      </c>
      <c r="Q953">
        <v>39384.82</v>
      </c>
    </row>
    <row r="954" spans="1:17" x14ac:dyDescent="0.3">
      <c r="A954" t="s">
        <v>2529</v>
      </c>
      <c r="B954" t="s">
        <v>1895</v>
      </c>
      <c r="C954" s="2" t="str">
        <f>PROPER(TRIM(Table1[[#This Row],[Gender]]))</f>
        <v>Male</v>
      </c>
      <c r="D954" t="s">
        <v>16</v>
      </c>
      <c r="E954">
        <v>21</v>
      </c>
      <c r="F954" t="s">
        <v>49</v>
      </c>
      <c r="G954" s="1">
        <v>37993</v>
      </c>
      <c r="H954" t="s">
        <v>2530</v>
      </c>
      <c r="I954" s="2" t="str">
        <f t="shared" si="14"/>
        <v>+91-9541375197</v>
      </c>
      <c r="J954">
        <f>91-9541375288</f>
        <v>-9541375197</v>
      </c>
      <c r="K954" t="s">
        <v>142</v>
      </c>
      <c r="L954" t="s">
        <v>143</v>
      </c>
      <c r="M954">
        <v>255023</v>
      </c>
      <c r="N954" s="1">
        <v>45296</v>
      </c>
      <c r="O954" t="s">
        <v>28</v>
      </c>
      <c r="P954">
        <v>4</v>
      </c>
      <c r="Q954">
        <v>101519.48</v>
      </c>
    </row>
    <row r="955" spans="1:17" x14ac:dyDescent="0.3">
      <c r="A955" t="s">
        <v>2531</v>
      </c>
      <c r="B955" t="s">
        <v>1580</v>
      </c>
      <c r="C955" s="2" t="str">
        <f>PROPER(TRIM(Table1[[#This Row],[Gender]]))</f>
        <v>Male</v>
      </c>
      <c r="D955" t="s">
        <v>16</v>
      </c>
      <c r="E955">
        <v>38</v>
      </c>
      <c r="F955" t="s">
        <v>38</v>
      </c>
      <c r="G955" s="1">
        <v>31788</v>
      </c>
      <c r="H955" t="s">
        <v>2532</v>
      </c>
      <c r="I955" s="2" t="str">
        <f t="shared" si="14"/>
        <v>+91-8822621914</v>
      </c>
      <c r="J955">
        <f>91-8822622005</f>
        <v>-8822621914</v>
      </c>
      <c r="K955" t="s">
        <v>109</v>
      </c>
      <c r="L955" t="s">
        <v>46</v>
      </c>
      <c r="M955">
        <v>499612</v>
      </c>
      <c r="N955" s="1">
        <v>45429</v>
      </c>
      <c r="O955" t="s">
        <v>21</v>
      </c>
      <c r="P955">
        <v>3</v>
      </c>
      <c r="Q955">
        <v>34863.120000000003</v>
      </c>
    </row>
    <row r="956" spans="1:17" x14ac:dyDescent="0.3">
      <c r="A956" t="s">
        <v>2533</v>
      </c>
      <c r="B956" t="s">
        <v>1109</v>
      </c>
      <c r="C956" s="2" t="str">
        <f>PROPER(TRIM(Table1[[#This Row],[Gender]]))</f>
        <v>Male</v>
      </c>
      <c r="D956" t="s">
        <v>16</v>
      </c>
      <c r="E956">
        <v>36</v>
      </c>
      <c r="F956" t="s">
        <v>38</v>
      </c>
      <c r="G956" s="1">
        <v>32518</v>
      </c>
      <c r="H956" t="s">
        <v>2534</v>
      </c>
      <c r="I956" s="2" t="str">
        <f t="shared" si="14"/>
        <v>+91-7953356549</v>
      </c>
      <c r="J956">
        <f>91-7953356640</f>
        <v>-7953356549</v>
      </c>
      <c r="K956" t="s">
        <v>117</v>
      </c>
      <c r="L956" t="s">
        <v>52</v>
      </c>
      <c r="M956">
        <v>133445</v>
      </c>
      <c r="N956" s="1">
        <v>45279</v>
      </c>
      <c r="O956" t="s">
        <v>21</v>
      </c>
      <c r="P956">
        <v>5</v>
      </c>
      <c r="Q956">
        <v>22226.27</v>
      </c>
    </row>
    <row r="957" spans="1:17" x14ac:dyDescent="0.3">
      <c r="A957" t="s">
        <v>2535</v>
      </c>
      <c r="B957" t="s">
        <v>683</v>
      </c>
      <c r="C957" s="2" t="str">
        <f>PROPER(TRIM(Table1[[#This Row],[Gender]]))</f>
        <v>Female</v>
      </c>
      <c r="D957" t="s">
        <v>43</v>
      </c>
      <c r="E957">
        <v>58</v>
      </c>
      <c r="F957" t="s">
        <v>58</v>
      </c>
      <c r="G957" s="1">
        <v>24488</v>
      </c>
      <c r="H957" t="s">
        <v>2536</v>
      </c>
      <c r="I957" s="2" t="str">
        <f t="shared" si="14"/>
        <v>+91-8870550146</v>
      </c>
      <c r="J957">
        <f>91-8870550237</f>
        <v>-8870550146</v>
      </c>
      <c r="K957" t="s">
        <v>60</v>
      </c>
      <c r="L957" t="s">
        <v>34</v>
      </c>
      <c r="M957">
        <v>719948</v>
      </c>
      <c r="N957" s="1">
        <v>45116</v>
      </c>
      <c r="O957" t="s">
        <v>35</v>
      </c>
      <c r="P957">
        <v>2</v>
      </c>
      <c r="Q957">
        <v>8713.02</v>
      </c>
    </row>
    <row r="958" spans="1:17" x14ac:dyDescent="0.3">
      <c r="A958" t="s">
        <v>2537</v>
      </c>
      <c r="B958" t="s">
        <v>2538</v>
      </c>
      <c r="C958" s="2" t="str">
        <f>PROPER(TRIM(Table1[[#This Row],[Gender]]))</f>
        <v>Female</v>
      </c>
      <c r="D958" t="s">
        <v>43</v>
      </c>
      <c r="E958">
        <v>21</v>
      </c>
      <c r="F958" t="s">
        <v>49</v>
      </c>
      <c r="G958" s="1">
        <v>37993</v>
      </c>
      <c r="H958" t="s">
        <v>2539</v>
      </c>
      <c r="I958" s="2" t="str">
        <f t="shared" si="14"/>
        <v>+91-9487798561</v>
      </c>
      <c r="J958">
        <f>91-9487798652</f>
        <v>-9487798561</v>
      </c>
      <c r="K958" t="s">
        <v>33</v>
      </c>
      <c r="L958" t="s">
        <v>34</v>
      </c>
      <c r="M958">
        <v>729634</v>
      </c>
      <c r="N958" s="1">
        <v>45368</v>
      </c>
      <c r="O958" t="s">
        <v>28</v>
      </c>
      <c r="P958">
        <v>6</v>
      </c>
      <c r="Q958">
        <v>83183.990000000005</v>
      </c>
    </row>
    <row r="959" spans="1:17" x14ac:dyDescent="0.3">
      <c r="A959" t="s">
        <v>2540</v>
      </c>
      <c r="B959" t="s">
        <v>371</v>
      </c>
      <c r="C959" s="2" t="str">
        <f>PROPER(TRIM(Table1[[#This Row],[Gender]]))</f>
        <v>Female</v>
      </c>
      <c r="D959" t="s">
        <v>43</v>
      </c>
      <c r="E959">
        <v>25</v>
      </c>
      <c r="F959" t="s">
        <v>49</v>
      </c>
      <c r="G959" s="1">
        <v>36533</v>
      </c>
      <c r="H959" t="s">
        <v>2541</v>
      </c>
      <c r="I959" s="2" t="str">
        <f t="shared" si="14"/>
        <v>+91-9488834161</v>
      </c>
      <c r="J959">
        <f>91-9488834252</f>
        <v>-9488834161</v>
      </c>
      <c r="K959" t="s">
        <v>33</v>
      </c>
      <c r="L959" t="s">
        <v>34</v>
      </c>
      <c r="M959">
        <v>793148</v>
      </c>
      <c r="N959" s="1">
        <v>45254</v>
      </c>
      <c r="O959" t="s">
        <v>28</v>
      </c>
      <c r="P959">
        <v>3</v>
      </c>
      <c r="Q959">
        <v>344121.95</v>
      </c>
    </row>
    <row r="960" spans="1:17" x14ac:dyDescent="0.3">
      <c r="A960" t="s">
        <v>2542</v>
      </c>
      <c r="B960" t="s">
        <v>1152</v>
      </c>
      <c r="C960" s="2" t="str">
        <f>PROPER(TRIM(Table1[[#This Row],[Gender]]))</f>
        <v>Male</v>
      </c>
      <c r="D960" t="s">
        <v>16</v>
      </c>
      <c r="E960">
        <v>24</v>
      </c>
      <c r="F960" t="s">
        <v>49</v>
      </c>
      <c r="G960" s="1">
        <v>36898</v>
      </c>
      <c r="H960" t="s">
        <v>2543</v>
      </c>
      <c r="I960" s="2" t="str">
        <f t="shared" si="14"/>
        <v>+91-8836016172</v>
      </c>
      <c r="J960">
        <f>91-8836016263</f>
        <v>-8836016172</v>
      </c>
      <c r="K960" t="s">
        <v>101</v>
      </c>
      <c r="L960" t="s">
        <v>102</v>
      </c>
      <c r="M960">
        <v>270430</v>
      </c>
      <c r="N960" s="1">
        <v>45091</v>
      </c>
      <c r="O960" t="s">
        <v>35</v>
      </c>
      <c r="P960">
        <v>3</v>
      </c>
      <c r="Q960">
        <v>14818.49</v>
      </c>
    </row>
    <row r="961" spans="1:17" x14ac:dyDescent="0.3">
      <c r="A961" t="s">
        <v>2544</v>
      </c>
      <c r="B961" t="s">
        <v>87</v>
      </c>
      <c r="C961" s="2" t="str">
        <f>PROPER(TRIM(Table1[[#This Row],[Gender]]))</f>
        <v>Female</v>
      </c>
      <c r="D961" t="s">
        <v>43</v>
      </c>
      <c r="E961">
        <v>29</v>
      </c>
      <c r="F961" t="s">
        <v>31</v>
      </c>
      <c r="G961" s="1">
        <v>35073</v>
      </c>
      <c r="H961" t="s">
        <v>2545</v>
      </c>
      <c r="I961" s="2" t="str">
        <f t="shared" si="14"/>
        <v>+91-9611573680</v>
      </c>
      <c r="J961">
        <f>91-9611573771</f>
        <v>-9611573680</v>
      </c>
      <c r="K961" t="s">
        <v>80</v>
      </c>
      <c r="L961" t="s">
        <v>20</v>
      </c>
      <c r="M961">
        <v>942497</v>
      </c>
      <c r="N961" s="1">
        <v>45095</v>
      </c>
      <c r="O961" t="s">
        <v>28</v>
      </c>
      <c r="P961">
        <v>3</v>
      </c>
      <c r="Q961">
        <v>53369.24</v>
      </c>
    </row>
    <row r="962" spans="1:17" x14ac:dyDescent="0.3">
      <c r="A962" t="s">
        <v>2546</v>
      </c>
      <c r="B962" t="s">
        <v>765</v>
      </c>
      <c r="C962" s="2" t="str">
        <f>PROPER(TRIM(Table1[[#This Row],[Gender]]))</f>
        <v>Male</v>
      </c>
      <c r="D962" t="s">
        <v>16</v>
      </c>
      <c r="E962">
        <v>26</v>
      </c>
      <c r="F962" t="s">
        <v>31</v>
      </c>
      <c r="G962" s="1">
        <v>36168</v>
      </c>
      <c r="H962" t="s">
        <v>2547</v>
      </c>
      <c r="I962" s="2" t="str">
        <f t="shared" ref="I962:I1025" si="15">"+91"&amp;TEXT(J962,"0000000000")</f>
        <v>+91-7524652645</v>
      </c>
      <c r="J962">
        <f>91-7524652736</f>
        <v>-7524652645</v>
      </c>
      <c r="K962" t="s">
        <v>19</v>
      </c>
      <c r="L962" t="s">
        <v>20</v>
      </c>
      <c r="M962">
        <v>302911</v>
      </c>
      <c r="N962" s="1">
        <v>45346</v>
      </c>
      <c r="O962" t="s">
        <v>28</v>
      </c>
      <c r="P962">
        <v>4</v>
      </c>
      <c r="Q962">
        <v>195999.48</v>
      </c>
    </row>
    <row r="963" spans="1:17" x14ac:dyDescent="0.3">
      <c r="A963" t="s">
        <v>2548</v>
      </c>
      <c r="B963" t="s">
        <v>163</v>
      </c>
      <c r="C963" s="2" t="str">
        <f>PROPER(TRIM(Table1[[#This Row],[Gender]]))</f>
        <v>Female</v>
      </c>
      <c r="D963" t="s">
        <v>43</v>
      </c>
      <c r="E963">
        <v>27</v>
      </c>
      <c r="F963" t="s">
        <v>31</v>
      </c>
      <c r="G963" s="1">
        <v>35803</v>
      </c>
      <c r="H963" t="s">
        <v>2549</v>
      </c>
      <c r="I963" s="2" t="str">
        <f t="shared" si="15"/>
        <v>+91-8894590541</v>
      </c>
      <c r="J963">
        <f>91-8894590632</f>
        <v>-8894590541</v>
      </c>
      <c r="K963" t="s">
        <v>19</v>
      </c>
      <c r="L963" t="s">
        <v>20</v>
      </c>
      <c r="M963">
        <v>789408</v>
      </c>
      <c r="N963" s="1">
        <v>45121</v>
      </c>
      <c r="O963" t="s">
        <v>28</v>
      </c>
      <c r="P963">
        <v>7</v>
      </c>
      <c r="Q963">
        <v>206918.55</v>
      </c>
    </row>
    <row r="964" spans="1:17" x14ac:dyDescent="0.3">
      <c r="A964" t="s">
        <v>2550</v>
      </c>
      <c r="B964" t="s">
        <v>975</v>
      </c>
      <c r="C964" s="2" t="str">
        <f>PROPER(TRIM(Table1[[#This Row],[Gender]]))</f>
        <v>Male</v>
      </c>
      <c r="D964" t="s">
        <v>16</v>
      </c>
      <c r="E964">
        <v>60</v>
      </c>
      <c r="F964" t="s">
        <v>58</v>
      </c>
      <c r="G964" s="1">
        <v>23758</v>
      </c>
      <c r="H964" t="s">
        <v>2551</v>
      </c>
      <c r="I964" s="2" t="str">
        <f t="shared" si="15"/>
        <v>+91-9367432214</v>
      </c>
      <c r="J964">
        <f>91-9367432305</f>
        <v>-9367432214</v>
      </c>
      <c r="K964" t="s">
        <v>19</v>
      </c>
      <c r="L964" t="s">
        <v>20</v>
      </c>
      <c r="M964">
        <v>394743</v>
      </c>
      <c r="N964" s="1">
        <v>45133</v>
      </c>
      <c r="O964" t="s">
        <v>35</v>
      </c>
      <c r="P964">
        <v>3</v>
      </c>
      <c r="Q964">
        <v>5548.69</v>
      </c>
    </row>
    <row r="965" spans="1:17" x14ac:dyDescent="0.3">
      <c r="A965" t="s">
        <v>2552</v>
      </c>
      <c r="B965" t="s">
        <v>2553</v>
      </c>
      <c r="C965" s="2" t="str">
        <f>PROPER(TRIM(Table1[[#This Row],[Gender]]))</f>
        <v>Female</v>
      </c>
      <c r="D965" t="s">
        <v>43</v>
      </c>
      <c r="E965">
        <v>38</v>
      </c>
      <c r="F965" t="s">
        <v>38</v>
      </c>
      <c r="G965" s="1">
        <v>31788</v>
      </c>
      <c r="H965" t="s">
        <v>2554</v>
      </c>
      <c r="I965" s="2" t="str">
        <f t="shared" si="15"/>
        <v>+91-8931521088</v>
      </c>
      <c r="J965">
        <f>91-8931521179</f>
        <v>-8931521088</v>
      </c>
      <c r="K965" t="s">
        <v>60</v>
      </c>
      <c r="L965" t="s">
        <v>34</v>
      </c>
      <c r="M965">
        <v>757960</v>
      </c>
      <c r="N965" s="1">
        <v>45254</v>
      </c>
      <c r="O965" t="s">
        <v>28</v>
      </c>
      <c r="P965">
        <v>4</v>
      </c>
      <c r="Q965">
        <v>156402.5</v>
      </c>
    </row>
    <row r="966" spans="1:17" x14ac:dyDescent="0.3">
      <c r="A966" t="s">
        <v>2555</v>
      </c>
      <c r="B966" t="s">
        <v>2556</v>
      </c>
      <c r="C966" s="2" t="str">
        <f>PROPER(TRIM(Table1[[#This Row],[Gender]]))</f>
        <v>Male</v>
      </c>
      <c r="D966" t="s">
        <v>16</v>
      </c>
      <c r="E966">
        <v>47</v>
      </c>
      <c r="F966" t="s">
        <v>17</v>
      </c>
      <c r="G966" s="1">
        <v>28503</v>
      </c>
      <c r="H966" t="s">
        <v>2557</v>
      </c>
      <c r="I966" s="2" t="str">
        <f t="shared" si="15"/>
        <v>+91-7155462041</v>
      </c>
      <c r="J966">
        <f>91-7155462132</f>
        <v>-7155462041</v>
      </c>
      <c r="K966" t="s">
        <v>72</v>
      </c>
      <c r="L966" t="s">
        <v>34</v>
      </c>
      <c r="M966">
        <v>918947</v>
      </c>
      <c r="N966" s="1">
        <v>45228</v>
      </c>
      <c r="O966" t="s">
        <v>35</v>
      </c>
      <c r="P966">
        <v>4</v>
      </c>
      <c r="Q966">
        <v>8299.84</v>
      </c>
    </row>
    <row r="967" spans="1:17" x14ac:dyDescent="0.3">
      <c r="A967" t="s">
        <v>2558</v>
      </c>
      <c r="B967" t="s">
        <v>2559</v>
      </c>
      <c r="C967" s="2" t="str">
        <f>PROPER(TRIM(Table1[[#This Row],[Gender]]))</f>
        <v>Male</v>
      </c>
      <c r="D967" t="s">
        <v>16</v>
      </c>
      <c r="E967">
        <v>47</v>
      </c>
      <c r="F967" t="s">
        <v>17</v>
      </c>
      <c r="G967" s="1">
        <v>28503</v>
      </c>
      <c r="H967" t="s">
        <v>2560</v>
      </c>
      <c r="I967" s="2" t="str">
        <f t="shared" si="15"/>
        <v>+91-7073722361</v>
      </c>
      <c r="J967">
        <f>91-7073722452</f>
        <v>-7073722361</v>
      </c>
      <c r="K967" t="s">
        <v>26</v>
      </c>
      <c r="L967" t="s">
        <v>27</v>
      </c>
      <c r="M967">
        <v>670229</v>
      </c>
      <c r="N967" s="1">
        <v>45148</v>
      </c>
      <c r="O967" t="s">
        <v>21</v>
      </c>
      <c r="P967">
        <v>10</v>
      </c>
      <c r="Q967">
        <v>36212.47</v>
      </c>
    </row>
    <row r="968" spans="1:17" x14ac:dyDescent="0.3">
      <c r="A968" t="s">
        <v>2561</v>
      </c>
      <c r="B968" t="s">
        <v>425</v>
      </c>
      <c r="C968" s="2" t="str">
        <f>PROPER(TRIM(Table1[[#This Row],[Gender]]))</f>
        <v>Male</v>
      </c>
      <c r="D968" t="s">
        <v>16</v>
      </c>
      <c r="E968">
        <v>33</v>
      </c>
      <c r="F968" t="s">
        <v>31</v>
      </c>
      <c r="G968" s="1">
        <v>33613</v>
      </c>
      <c r="H968" t="s">
        <v>2562</v>
      </c>
      <c r="I968" s="2" t="str">
        <f t="shared" si="15"/>
        <v>+91-7437143835</v>
      </c>
      <c r="J968">
        <f>91-7437143926</f>
        <v>-7437143835</v>
      </c>
      <c r="K968" t="s">
        <v>84</v>
      </c>
      <c r="L968" t="s">
        <v>85</v>
      </c>
      <c r="M968">
        <v>813467</v>
      </c>
      <c r="N968" s="1">
        <v>45336</v>
      </c>
      <c r="O968" t="s">
        <v>28</v>
      </c>
      <c r="P968">
        <v>6</v>
      </c>
      <c r="Q968">
        <v>188093.03</v>
      </c>
    </row>
    <row r="969" spans="1:17" x14ac:dyDescent="0.3">
      <c r="A969" t="s">
        <v>2563</v>
      </c>
      <c r="B969" t="s">
        <v>2224</v>
      </c>
      <c r="C969" s="2" t="str">
        <f>PROPER(TRIM(Table1[[#This Row],[Gender]]))</f>
        <v>Male</v>
      </c>
      <c r="D969" t="s">
        <v>16</v>
      </c>
      <c r="E969">
        <v>43</v>
      </c>
      <c r="F969" t="s">
        <v>38</v>
      </c>
      <c r="G969" s="1">
        <v>29963</v>
      </c>
      <c r="H969" t="s">
        <v>2564</v>
      </c>
      <c r="I969" s="2" t="str">
        <f t="shared" si="15"/>
        <v>+91-8964310268</v>
      </c>
      <c r="J969">
        <f>91-8964310359</f>
        <v>-8964310268</v>
      </c>
      <c r="K969" t="s">
        <v>45</v>
      </c>
      <c r="L969" t="s">
        <v>46</v>
      </c>
      <c r="M969">
        <v>214986</v>
      </c>
      <c r="N969" s="1">
        <v>45243</v>
      </c>
      <c r="O969" t="s">
        <v>21</v>
      </c>
      <c r="P969">
        <v>3</v>
      </c>
      <c r="Q969">
        <v>38835.11</v>
      </c>
    </row>
    <row r="970" spans="1:17" x14ac:dyDescent="0.3">
      <c r="A970" t="s">
        <v>2565</v>
      </c>
      <c r="B970" t="s">
        <v>2046</v>
      </c>
      <c r="C970" s="2" t="str">
        <f>PROPER(TRIM(Table1[[#This Row],[Gender]]))</f>
        <v>Female</v>
      </c>
      <c r="D970" t="s">
        <v>43</v>
      </c>
      <c r="E970">
        <v>29</v>
      </c>
      <c r="F970" t="s">
        <v>31</v>
      </c>
      <c r="G970" s="1">
        <v>35073</v>
      </c>
      <c r="H970" t="s">
        <v>2566</v>
      </c>
      <c r="I970" s="2" t="str">
        <f t="shared" si="15"/>
        <v>+91-8144794167</v>
      </c>
      <c r="J970">
        <f>91-8144794258</f>
        <v>-8144794167</v>
      </c>
      <c r="K970" t="s">
        <v>19</v>
      </c>
      <c r="L970" t="s">
        <v>20</v>
      </c>
      <c r="M970">
        <v>473542</v>
      </c>
      <c r="N970" s="1">
        <v>45179</v>
      </c>
      <c r="O970" t="s">
        <v>28</v>
      </c>
      <c r="P970">
        <v>6</v>
      </c>
      <c r="Q970">
        <v>222761.55</v>
      </c>
    </row>
    <row r="971" spans="1:17" x14ac:dyDescent="0.3">
      <c r="A971" t="s">
        <v>2567</v>
      </c>
      <c r="B971" t="s">
        <v>2568</v>
      </c>
      <c r="C971" s="2" t="str">
        <f>PROPER(TRIM(Table1[[#This Row],[Gender]]))</f>
        <v>Male</v>
      </c>
      <c r="D971" t="s">
        <v>16</v>
      </c>
      <c r="E971">
        <v>40</v>
      </c>
      <c r="F971" t="s">
        <v>38</v>
      </c>
      <c r="G971" s="1">
        <v>31058</v>
      </c>
      <c r="H971" t="s">
        <v>2569</v>
      </c>
      <c r="I971" s="2" t="str">
        <f t="shared" si="15"/>
        <v>+91-8429550380</v>
      </c>
      <c r="J971">
        <f>91-8429550471</f>
        <v>-8429550380</v>
      </c>
      <c r="K971" t="s">
        <v>161</v>
      </c>
      <c r="L971" t="s">
        <v>102</v>
      </c>
      <c r="M971">
        <v>379566</v>
      </c>
      <c r="N971" s="1">
        <v>45382</v>
      </c>
      <c r="O971" t="s">
        <v>28</v>
      </c>
      <c r="P971">
        <v>5</v>
      </c>
      <c r="Q971">
        <v>173538.14</v>
      </c>
    </row>
    <row r="972" spans="1:17" x14ac:dyDescent="0.3">
      <c r="A972" t="s">
        <v>2570</v>
      </c>
      <c r="B972" t="s">
        <v>765</v>
      </c>
      <c r="C972" s="2" t="str">
        <f>PROPER(TRIM(Table1[[#This Row],[Gender]]))</f>
        <v>Male</v>
      </c>
      <c r="D972" t="s">
        <v>16</v>
      </c>
      <c r="E972">
        <v>44</v>
      </c>
      <c r="F972" t="s">
        <v>38</v>
      </c>
      <c r="G972" s="1">
        <v>29598</v>
      </c>
      <c r="H972" t="s">
        <v>2571</v>
      </c>
      <c r="I972" s="2" t="str">
        <f t="shared" si="15"/>
        <v>+91-7869448202</v>
      </c>
      <c r="J972">
        <f>91-7869448293</f>
        <v>-7869448202</v>
      </c>
      <c r="K972" t="s">
        <v>40</v>
      </c>
      <c r="L972" t="s">
        <v>27</v>
      </c>
      <c r="M972">
        <v>877916</v>
      </c>
      <c r="N972" s="1">
        <v>45441</v>
      </c>
      <c r="O972" t="s">
        <v>35</v>
      </c>
      <c r="P972">
        <v>1</v>
      </c>
      <c r="Q972">
        <v>6933.2</v>
      </c>
    </row>
    <row r="973" spans="1:17" x14ac:dyDescent="0.3">
      <c r="A973" t="s">
        <v>2572</v>
      </c>
      <c r="B973" t="s">
        <v>2573</v>
      </c>
      <c r="C973" s="2" t="str">
        <f>PROPER(TRIM(Table1[[#This Row],[Gender]]))</f>
        <v>Male</v>
      </c>
      <c r="D973" t="s">
        <v>16</v>
      </c>
      <c r="E973">
        <v>34</v>
      </c>
      <c r="F973" t="s">
        <v>31</v>
      </c>
      <c r="G973" s="1">
        <v>33248</v>
      </c>
      <c r="H973" t="s">
        <v>2574</v>
      </c>
      <c r="I973" s="2" t="str">
        <f t="shared" si="15"/>
        <v>+91-9310021667</v>
      </c>
      <c r="J973">
        <f>91-9310021758</f>
        <v>-9310021667</v>
      </c>
      <c r="K973" t="s">
        <v>154</v>
      </c>
      <c r="L973" t="s">
        <v>46</v>
      </c>
      <c r="M973">
        <v>668072</v>
      </c>
      <c r="N973" s="1">
        <v>45079</v>
      </c>
      <c r="O973" t="s">
        <v>28</v>
      </c>
      <c r="P973">
        <v>8</v>
      </c>
      <c r="Q973">
        <v>65559.570000000007</v>
      </c>
    </row>
    <row r="974" spans="1:17" x14ac:dyDescent="0.3">
      <c r="A974" t="s">
        <v>2575</v>
      </c>
      <c r="B974" t="s">
        <v>836</v>
      </c>
      <c r="C974" s="2" t="str">
        <f>PROPER(TRIM(Table1[[#This Row],[Gender]]))</f>
        <v>Female</v>
      </c>
      <c r="D974" t="s">
        <v>43</v>
      </c>
      <c r="E974">
        <v>22</v>
      </c>
      <c r="F974" t="s">
        <v>49</v>
      </c>
      <c r="G974" s="1">
        <v>37628</v>
      </c>
      <c r="H974" t="s">
        <v>2576</v>
      </c>
      <c r="I974" s="2" t="str">
        <f t="shared" si="15"/>
        <v>+91-9280624107</v>
      </c>
      <c r="J974">
        <f>91-9280624198</f>
        <v>-9280624107</v>
      </c>
      <c r="K974" t="s">
        <v>51</v>
      </c>
      <c r="L974" t="s">
        <v>52</v>
      </c>
      <c r="M974">
        <v>589238</v>
      </c>
      <c r="N974" s="1">
        <v>45403</v>
      </c>
      <c r="O974" t="s">
        <v>28</v>
      </c>
      <c r="P974">
        <v>7</v>
      </c>
      <c r="Q974">
        <v>117356.05</v>
      </c>
    </row>
    <row r="975" spans="1:17" x14ac:dyDescent="0.3">
      <c r="A975" t="s">
        <v>2577</v>
      </c>
      <c r="B975" t="s">
        <v>1551</v>
      </c>
      <c r="C975" s="2" t="str">
        <f>PROPER(TRIM(Table1[[#This Row],[Gender]]))</f>
        <v>Female</v>
      </c>
      <c r="D975" t="s">
        <v>43</v>
      </c>
      <c r="E975">
        <v>55</v>
      </c>
      <c r="F975" t="s">
        <v>17</v>
      </c>
      <c r="G975" s="1">
        <v>25583</v>
      </c>
      <c r="H975" t="s">
        <v>2578</v>
      </c>
      <c r="I975" s="2" t="str">
        <f t="shared" si="15"/>
        <v>+91-8044853121</v>
      </c>
      <c r="J975">
        <f>91-8044853212</f>
        <v>-8044853121</v>
      </c>
      <c r="K975" t="s">
        <v>117</v>
      </c>
      <c r="L975" t="s">
        <v>52</v>
      </c>
      <c r="M975">
        <v>798076</v>
      </c>
      <c r="N975" s="1">
        <v>45284</v>
      </c>
      <c r="O975" t="s">
        <v>21</v>
      </c>
      <c r="P975">
        <v>8</v>
      </c>
      <c r="Q975">
        <v>38262.17</v>
      </c>
    </row>
    <row r="976" spans="1:17" x14ac:dyDescent="0.3">
      <c r="A976" t="s">
        <v>2579</v>
      </c>
      <c r="B976" t="s">
        <v>2580</v>
      </c>
      <c r="C976" s="2" t="str">
        <f>PROPER(TRIM(Table1[[#This Row],[Gender]]))</f>
        <v>Female</v>
      </c>
      <c r="D976" t="s">
        <v>43</v>
      </c>
      <c r="E976">
        <v>31</v>
      </c>
      <c r="F976" t="s">
        <v>31</v>
      </c>
      <c r="G976" s="1">
        <v>34343</v>
      </c>
      <c r="H976" t="s">
        <v>2581</v>
      </c>
      <c r="I976" s="2" t="str">
        <f t="shared" si="15"/>
        <v>+91-7566429075</v>
      </c>
      <c r="J976">
        <f>91-7566429166</f>
        <v>-7566429075</v>
      </c>
      <c r="K976" t="s">
        <v>580</v>
      </c>
      <c r="L976" t="s">
        <v>85</v>
      </c>
      <c r="M976">
        <v>414079</v>
      </c>
      <c r="N976" s="1">
        <v>45242</v>
      </c>
      <c r="O976" t="s">
        <v>35</v>
      </c>
      <c r="P976">
        <v>1</v>
      </c>
      <c r="Q976">
        <v>2416.27</v>
      </c>
    </row>
    <row r="977" spans="1:17" x14ac:dyDescent="0.3">
      <c r="A977" t="s">
        <v>2582</v>
      </c>
      <c r="B977" t="s">
        <v>1239</v>
      </c>
      <c r="C977" s="2" t="str">
        <f>PROPER(TRIM(Table1[[#This Row],[Gender]]))</f>
        <v>Female</v>
      </c>
      <c r="D977" t="s">
        <v>43</v>
      </c>
      <c r="E977">
        <v>30</v>
      </c>
      <c r="F977" t="s">
        <v>31</v>
      </c>
      <c r="G977" s="1">
        <v>34708</v>
      </c>
      <c r="H977" t="s">
        <v>2583</v>
      </c>
      <c r="I977" s="2" t="str">
        <f t="shared" si="15"/>
        <v>+91-7651491140</v>
      </c>
      <c r="J977">
        <f>91-7651491231</f>
        <v>-7651491140</v>
      </c>
      <c r="K977" t="s">
        <v>178</v>
      </c>
      <c r="L977" t="s">
        <v>27</v>
      </c>
      <c r="M977">
        <v>315894</v>
      </c>
      <c r="N977" s="1">
        <v>45403</v>
      </c>
      <c r="O977" t="s">
        <v>28</v>
      </c>
      <c r="P977">
        <v>5</v>
      </c>
      <c r="Q977">
        <v>89530.7</v>
      </c>
    </row>
    <row r="978" spans="1:17" x14ac:dyDescent="0.3">
      <c r="A978" t="s">
        <v>2584</v>
      </c>
      <c r="B978" t="s">
        <v>998</v>
      </c>
      <c r="C978" s="2" t="str">
        <f>PROPER(TRIM(Table1[[#This Row],[Gender]]))</f>
        <v>Female</v>
      </c>
      <c r="D978" t="s">
        <v>43</v>
      </c>
      <c r="E978">
        <v>36</v>
      </c>
      <c r="F978" t="s">
        <v>38</v>
      </c>
      <c r="G978" s="1">
        <v>32518</v>
      </c>
      <c r="H978" t="s">
        <v>2585</v>
      </c>
      <c r="I978" s="2" t="str">
        <f t="shared" si="15"/>
        <v>+91-7398549048</v>
      </c>
      <c r="J978">
        <f>91-7398549139</f>
        <v>-7398549048</v>
      </c>
      <c r="K978" t="s">
        <v>249</v>
      </c>
      <c r="L978" t="s">
        <v>34</v>
      </c>
      <c r="M978">
        <v>864027</v>
      </c>
      <c r="N978" s="1">
        <v>45275</v>
      </c>
      <c r="O978" t="s">
        <v>28</v>
      </c>
      <c r="P978">
        <v>6</v>
      </c>
      <c r="Q978">
        <v>109604.4</v>
      </c>
    </row>
    <row r="979" spans="1:17" x14ac:dyDescent="0.3">
      <c r="A979" t="s">
        <v>2586</v>
      </c>
      <c r="B979" t="s">
        <v>2587</v>
      </c>
      <c r="C979" s="2" t="str">
        <f>PROPER(TRIM(Table1[[#This Row],[Gender]]))</f>
        <v>Female</v>
      </c>
      <c r="D979" t="s">
        <v>43</v>
      </c>
      <c r="E979">
        <v>18</v>
      </c>
      <c r="F979" t="s">
        <v>49</v>
      </c>
      <c r="G979" s="1">
        <v>39088</v>
      </c>
      <c r="H979" t="s">
        <v>2588</v>
      </c>
      <c r="I979" s="2" t="str">
        <f t="shared" si="15"/>
        <v>+91-9669064634</v>
      </c>
      <c r="J979">
        <f>91-9669064725</f>
        <v>-9669064634</v>
      </c>
      <c r="K979" t="s">
        <v>113</v>
      </c>
      <c r="L979" t="s">
        <v>34</v>
      </c>
      <c r="M979">
        <v>707660</v>
      </c>
      <c r="N979" s="1">
        <v>45244</v>
      </c>
      <c r="O979" t="s">
        <v>35</v>
      </c>
      <c r="P979">
        <v>3</v>
      </c>
      <c r="Q979">
        <v>9957.2999999999993</v>
      </c>
    </row>
    <row r="980" spans="1:17" x14ac:dyDescent="0.3">
      <c r="A980" t="s">
        <v>2589</v>
      </c>
      <c r="B980" t="s">
        <v>1892</v>
      </c>
      <c r="C980" s="2" t="str">
        <f>PROPER(TRIM(Table1[[#This Row],[Gender]]))</f>
        <v>Male</v>
      </c>
      <c r="D980" t="s">
        <v>16</v>
      </c>
      <c r="E980">
        <v>63</v>
      </c>
      <c r="F980" t="s">
        <v>58</v>
      </c>
      <c r="G980" s="1">
        <v>22663</v>
      </c>
      <c r="H980" t="s">
        <v>2590</v>
      </c>
      <c r="I980" s="2" t="str">
        <f t="shared" si="15"/>
        <v>+91-9034542832</v>
      </c>
      <c r="J980">
        <f>91-9034542923</f>
        <v>-9034542832</v>
      </c>
      <c r="K980" t="s">
        <v>51</v>
      </c>
      <c r="L980" t="s">
        <v>52</v>
      </c>
      <c r="M980">
        <v>116160</v>
      </c>
      <c r="N980" s="1">
        <v>45391</v>
      </c>
      <c r="O980" t="s">
        <v>28</v>
      </c>
      <c r="P980">
        <v>8</v>
      </c>
      <c r="Q980">
        <v>95730.98</v>
      </c>
    </row>
    <row r="981" spans="1:17" x14ac:dyDescent="0.3">
      <c r="A981" t="s">
        <v>2591</v>
      </c>
      <c r="B981" t="s">
        <v>1708</v>
      </c>
      <c r="C981" s="2" t="str">
        <f>PROPER(TRIM(Table1[[#This Row],[Gender]]))</f>
        <v>Female</v>
      </c>
      <c r="D981" t="s">
        <v>43</v>
      </c>
      <c r="E981">
        <v>19</v>
      </c>
      <c r="F981" t="s">
        <v>49</v>
      </c>
      <c r="G981" s="1">
        <v>38723</v>
      </c>
      <c r="H981" t="s">
        <v>2592</v>
      </c>
      <c r="I981" s="2" t="str">
        <f t="shared" si="15"/>
        <v>+91-8326968072</v>
      </c>
      <c r="J981">
        <f>91-8326968163</f>
        <v>-8326968072</v>
      </c>
      <c r="K981" t="s">
        <v>109</v>
      </c>
      <c r="L981" t="s">
        <v>46</v>
      </c>
      <c r="M981">
        <v>871299</v>
      </c>
      <c r="N981" s="1">
        <v>45108</v>
      </c>
      <c r="O981" t="s">
        <v>28</v>
      </c>
      <c r="P981">
        <v>9</v>
      </c>
      <c r="Q981">
        <v>254391.43</v>
      </c>
    </row>
    <row r="982" spans="1:17" x14ac:dyDescent="0.3">
      <c r="A982" t="s">
        <v>2593</v>
      </c>
      <c r="B982" t="s">
        <v>2594</v>
      </c>
      <c r="C982" s="2" t="str">
        <f>PROPER(TRIM(Table1[[#This Row],[Gender]]))</f>
        <v>Female</v>
      </c>
      <c r="D982" t="s">
        <v>43</v>
      </c>
      <c r="E982">
        <v>41</v>
      </c>
      <c r="F982" t="s">
        <v>38</v>
      </c>
      <c r="G982" s="1">
        <v>30693</v>
      </c>
      <c r="H982" t="s">
        <v>2595</v>
      </c>
      <c r="I982" s="2" t="str">
        <f t="shared" si="15"/>
        <v>+91-7000721814</v>
      </c>
      <c r="J982">
        <f>91-7000721905</f>
        <v>-7000721814</v>
      </c>
      <c r="K982" t="s">
        <v>202</v>
      </c>
      <c r="L982" t="s">
        <v>191</v>
      </c>
      <c r="M982">
        <v>299723</v>
      </c>
      <c r="N982" s="1">
        <v>45242</v>
      </c>
      <c r="O982" t="s">
        <v>28</v>
      </c>
      <c r="P982">
        <v>8</v>
      </c>
      <c r="Q982">
        <v>216596.7</v>
      </c>
    </row>
    <row r="983" spans="1:17" x14ac:dyDescent="0.3">
      <c r="A983" t="s">
        <v>2596</v>
      </c>
      <c r="B983" t="s">
        <v>2597</v>
      </c>
      <c r="C983" s="2" t="str">
        <f>PROPER(TRIM(Table1[[#This Row],[Gender]]))</f>
        <v>Female</v>
      </c>
      <c r="D983" t="s">
        <v>43</v>
      </c>
      <c r="E983">
        <v>48</v>
      </c>
      <c r="F983" t="s">
        <v>17</v>
      </c>
      <c r="G983" s="1">
        <v>28138</v>
      </c>
      <c r="H983" t="s">
        <v>2598</v>
      </c>
      <c r="I983" s="2" t="str">
        <f t="shared" si="15"/>
        <v>+91-7661447501</v>
      </c>
      <c r="J983">
        <f>91-7661447592</f>
        <v>-7661447501</v>
      </c>
      <c r="K983" t="s">
        <v>121</v>
      </c>
      <c r="L983" t="s">
        <v>85</v>
      </c>
      <c r="M983">
        <v>901218</v>
      </c>
      <c r="N983" s="1">
        <v>45270</v>
      </c>
      <c r="O983" t="s">
        <v>28</v>
      </c>
      <c r="P983">
        <v>7</v>
      </c>
      <c r="Q983">
        <v>85747.01</v>
      </c>
    </row>
    <row r="984" spans="1:17" x14ac:dyDescent="0.3">
      <c r="A984" t="s">
        <v>2599</v>
      </c>
      <c r="B984" t="s">
        <v>2600</v>
      </c>
      <c r="C984" s="2" t="str">
        <f>PROPER(TRIM(Table1[[#This Row],[Gender]]))</f>
        <v>Male</v>
      </c>
      <c r="D984" t="s">
        <v>16</v>
      </c>
      <c r="E984">
        <v>40</v>
      </c>
      <c r="F984" t="s">
        <v>38</v>
      </c>
      <c r="G984" s="1">
        <v>31058</v>
      </c>
      <c r="H984" t="s">
        <v>2601</v>
      </c>
      <c r="I984" s="2" t="str">
        <f t="shared" si="15"/>
        <v>+91-9186294187</v>
      </c>
      <c r="J984">
        <f>91-9186294278</f>
        <v>-9186294187</v>
      </c>
      <c r="K984" t="s">
        <v>84</v>
      </c>
      <c r="L984" t="s">
        <v>85</v>
      </c>
      <c r="M984">
        <v>571767</v>
      </c>
      <c r="N984" s="1">
        <v>45333</v>
      </c>
      <c r="O984" t="s">
        <v>28</v>
      </c>
      <c r="P984">
        <v>2</v>
      </c>
      <c r="Q984">
        <v>122726.24</v>
      </c>
    </row>
    <row r="985" spans="1:17" x14ac:dyDescent="0.3">
      <c r="A985" t="s">
        <v>2602</v>
      </c>
      <c r="B985" t="s">
        <v>1758</v>
      </c>
      <c r="C985" s="2" t="str">
        <f>PROPER(TRIM(Table1[[#This Row],[Gender]]))</f>
        <v>Male</v>
      </c>
      <c r="D985" t="s">
        <v>16</v>
      </c>
      <c r="E985">
        <v>19</v>
      </c>
      <c r="F985" t="s">
        <v>49</v>
      </c>
      <c r="G985" s="1">
        <v>38723</v>
      </c>
      <c r="H985" t="s">
        <v>2603</v>
      </c>
      <c r="I985" s="2" t="str">
        <f t="shared" si="15"/>
        <v>+91-7626526327</v>
      </c>
      <c r="J985">
        <f>91-7626526418</f>
        <v>-7626526327</v>
      </c>
      <c r="K985" t="s">
        <v>369</v>
      </c>
      <c r="L985" t="s">
        <v>191</v>
      </c>
      <c r="M985">
        <v>993627</v>
      </c>
      <c r="N985" s="1">
        <v>45125</v>
      </c>
      <c r="O985" t="s">
        <v>28</v>
      </c>
      <c r="P985">
        <v>7</v>
      </c>
      <c r="Q985">
        <v>296954.99</v>
      </c>
    </row>
    <row r="986" spans="1:17" x14ac:dyDescent="0.3">
      <c r="A986" t="s">
        <v>2604</v>
      </c>
      <c r="B986" t="s">
        <v>1846</v>
      </c>
      <c r="C986" s="2" t="str">
        <f>PROPER(TRIM(Table1[[#This Row],[Gender]]))</f>
        <v>Male</v>
      </c>
      <c r="D986" t="s">
        <v>16</v>
      </c>
      <c r="E986">
        <v>18</v>
      </c>
      <c r="F986" t="s">
        <v>49</v>
      </c>
      <c r="G986" s="1">
        <v>39088</v>
      </c>
      <c r="H986" t="s">
        <v>2605</v>
      </c>
      <c r="I986" s="2" t="str">
        <f t="shared" si="15"/>
        <v>+91-8048044796</v>
      </c>
      <c r="J986">
        <f>91-8048044887</f>
        <v>-8048044796</v>
      </c>
      <c r="K986" t="s">
        <v>125</v>
      </c>
      <c r="L986" t="s">
        <v>52</v>
      </c>
      <c r="M986">
        <v>726247</v>
      </c>
      <c r="N986" s="1">
        <v>45405</v>
      </c>
      <c r="O986" t="s">
        <v>35</v>
      </c>
      <c r="P986">
        <v>2</v>
      </c>
      <c r="Q986">
        <v>11977.88</v>
      </c>
    </row>
    <row r="987" spans="1:17" x14ac:dyDescent="0.3">
      <c r="A987" t="s">
        <v>2606</v>
      </c>
      <c r="B987" t="s">
        <v>278</v>
      </c>
      <c r="C987" s="2" t="str">
        <f>PROPER(TRIM(Table1[[#This Row],[Gender]]))</f>
        <v>Male</v>
      </c>
      <c r="D987" t="s">
        <v>16</v>
      </c>
      <c r="E987">
        <v>41</v>
      </c>
      <c r="F987" t="s">
        <v>38</v>
      </c>
      <c r="G987" s="1">
        <v>30693</v>
      </c>
      <c r="H987" t="s">
        <v>2607</v>
      </c>
      <c r="I987" s="2" t="str">
        <f t="shared" si="15"/>
        <v>+91-7329572151</v>
      </c>
      <c r="J987">
        <f>91-7329572242</f>
        <v>-7329572151</v>
      </c>
      <c r="K987" t="s">
        <v>165</v>
      </c>
      <c r="L987" t="s">
        <v>52</v>
      </c>
      <c r="M987">
        <v>390903</v>
      </c>
      <c r="N987" s="1">
        <v>45430</v>
      </c>
      <c r="O987" t="s">
        <v>28</v>
      </c>
      <c r="P987">
        <v>3</v>
      </c>
      <c r="Q987">
        <v>81375.98</v>
      </c>
    </row>
    <row r="988" spans="1:17" x14ac:dyDescent="0.3">
      <c r="A988" t="s">
        <v>2608</v>
      </c>
      <c r="B988" t="s">
        <v>1381</v>
      </c>
      <c r="C988" s="2" t="str">
        <f>PROPER(TRIM(Table1[[#This Row],[Gender]]))</f>
        <v>Female</v>
      </c>
      <c r="D988" t="s">
        <v>43</v>
      </c>
      <c r="E988">
        <v>36</v>
      </c>
      <c r="F988" t="s">
        <v>38</v>
      </c>
      <c r="G988" s="1">
        <v>32518</v>
      </c>
      <c r="H988" t="s">
        <v>1384</v>
      </c>
      <c r="I988" s="2" t="str">
        <f t="shared" si="15"/>
        <v>+91-8730773569</v>
      </c>
      <c r="J988">
        <f>91-8730773660</f>
        <v>-8730773569</v>
      </c>
      <c r="K988" t="s">
        <v>109</v>
      </c>
      <c r="L988" t="s">
        <v>46</v>
      </c>
      <c r="M988">
        <v>251261</v>
      </c>
      <c r="N988" s="1">
        <v>45278</v>
      </c>
      <c r="O988" t="s">
        <v>28</v>
      </c>
      <c r="P988">
        <v>7</v>
      </c>
      <c r="Q988">
        <v>192302.54</v>
      </c>
    </row>
    <row r="989" spans="1:17" x14ac:dyDescent="0.3">
      <c r="A989" t="s">
        <v>2609</v>
      </c>
      <c r="B989" t="s">
        <v>2610</v>
      </c>
      <c r="C989" s="2" t="str">
        <f>PROPER(TRIM(Table1[[#This Row],[Gender]]))</f>
        <v>Male</v>
      </c>
      <c r="D989" t="s">
        <v>16</v>
      </c>
      <c r="E989">
        <v>60</v>
      </c>
      <c r="F989" t="s">
        <v>58</v>
      </c>
      <c r="G989" s="1">
        <v>23758</v>
      </c>
      <c r="H989" t="s">
        <v>2611</v>
      </c>
      <c r="I989" s="2" t="str">
        <f t="shared" si="15"/>
        <v>+91-8150854207</v>
      </c>
      <c r="J989">
        <f>91-8150854298</f>
        <v>-8150854207</v>
      </c>
      <c r="K989" t="s">
        <v>19</v>
      </c>
      <c r="L989" t="s">
        <v>20</v>
      </c>
      <c r="M989">
        <v>537702</v>
      </c>
      <c r="N989" s="1">
        <v>45365</v>
      </c>
      <c r="O989" t="s">
        <v>35</v>
      </c>
      <c r="P989">
        <v>4</v>
      </c>
      <c r="Q989">
        <v>6848.76</v>
      </c>
    </row>
    <row r="990" spans="1:17" x14ac:dyDescent="0.3">
      <c r="A990" t="s">
        <v>2612</v>
      </c>
      <c r="B990" t="s">
        <v>2613</v>
      </c>
      <c r="C990" s="2" t="str">
        <f>PROPER(TRIM(Table1[[#This Row],[Gender]]))</f>
        <v>Female</v>
      </c>
      <c r="D990" t="s">
        <v>43</v>
      </c>
      <c r="E990">
        <v>53</v>
      </c>
      <c r="F990" t="s">
        <v>17</v>
      </c>
      <c r="G990" s="1">
        <v>26313</v>
      </c>
      <c r="H990" t="s">
        <v>2614</v>
      </c>
      <c r="I990" s="2" t="str">
        <f t="shared" si="15"/>
        <v>+91-8065289211</v>
      </c>
      <c r="J990">
        <f>91-8065289302</f>
        <v>-8065289211</v>
      </c>
      <c r="K990" t="s">
        <v>249</v>
      </c>
      <c r="L990" t="s">
        <v>34</v>
      </c>
      <c r="M990">
        <v>203869</v>
      </c>
      <c r="N990" s="1">
        <v>45240</v>
      </c>
      <c r="O990" t="s">
        <v>21</v>
      </c>
      <c r="P990">
        <v>3</v>
      </c>
      <c r="Q990">
        <v>45291.57</v>
      </c>
    </row>
    <row r="991" spans="1:17" x14ac:dyDescent="0.3">
      <c r="A991" t="s">
        <v>2615</v>
      </c>
      <c r="B991" t="s">
        <v>1908</v>
      </c>
      <c r="C991" s="2" t="str">
        <f>PROPER(TRIM(Table1[[#This Row],[Gender]]))</f>
        <v>Female</v>
      </c>
      <c r="D991" t="s">
        <v>43</v>
      </c>
      <c r="E991">
        <v>22</v>
      </c>
      <c r="F991" t="s">
        <v>49</v>
      </c>
      <c r="G991" s="1">
        <v>37628</v>
      </c>
      <c r="H991" t="s">
        <v>2616</v>
      </c>
      <c r="I991" s="2" t="str">
        <f t="shared" si="15"/>
        <v>+91-7120164771</v>
      </c>
      <c r="J991">
        <f>91-7120164862</f>
        <v>-7120164771</v>
      </c>
      <c r="K991" t="s">
        <v>331</v>
      </c>
      <c r="L991" t="s">
        <v>143</v>
      </c>
      <c r="M991">
        <v>978283</v>
      </c>
      <c r="N991" s="1">
        <v>45084</v>
      </c>
      <c r="O991" t="s">
        <v>21</v>
      </c>
      <c r="P991">
        <v>2</v>
      </c>
      <c r="Q991">
        <v>20623.990000000002</v>
      </c>
    </row>
    <row r="992" spans="1:17" x14ac:dyDescent="0.3">
      <c r="A992" t="s">
        <v>2617</v>
      </c>
      <c r="B992" t="s">
        <v>988</v>
      </c>
      <c r="C992" s="2" t="str">
        <f>PROPER(TRIM(Table1[[#This Row],[Gender]]))</f>
        <v>Male</v>
      </c>
      <c r="D992" t="s">
        <v>16</v>
      </c>
      <c r="E992">
        <v>30</v>
      </c>
      <c r="F992" t="s">
        <v>31</v>
      </c>
      <c r="G992" s="1">
        <v>34708</v>
      </c>
      <c r="H992" t="s">
        <v>2618</v>
      </c>
      <c r="I992" s="2" t="str">
        <f t="shared" si="15"/>
        <v>+91-7947814427</v>
      </c>
      <c r="J992">
        <f>91-7947814518</f>
        <v>-7947814427</v>
      </c>
      <c r="K992" t="s">
        <v>72</v>
      </c>
      <c r="L992" t="s">
        <v>34</v>
      </c>
      <c r="M992">
        <v>499478</v>
      </c>
      <c r="N992" s="1">
        <v>45408</v>
      </c>
      <c r="O992" t="s">
        <v>35</v>
      </c>
      <c r="P992">
        <v>3</v>
      </c>
      <c r="Q992">
        <v>12814.94</v>
      </c>
    </row>
    <row r="993" spans="1:17" x14ac:dyDescent="0.3">
      <c r="A993" t="s">
        <v>2619</v>
      </c>
      <c r="B993" t="s">
        <v>960</v>
      </c>
      <c r="C993" s="2" t="str">
        <f>PROPER(TRIM(Table1[[#This Row],[Gender]]))</f>
        <v>Male</v>
      </c>
      <c r="D993" t="s">
        <v>16</v>
      </c>
      <c r="E993">
        <v>37</v>
      </c>
      <c r="F993" t="s">
        <v>38</v>
      </c>
      <c r="G993" s="1">
        <v>32153</v>
      </c>
      <c r="H993" t="s">
        <v>2620</v>
      </c>
      <c r="I993" s="2" t="str">
        <f t="shared" si="15"/>
        <v>+91-8509979581</v>
      </c>
      <c r="J993">
        <f>91-8509979672</f>
        <v>-8509979581</v>
      </c>
      <c r="K993" t="s">
        <v>174</v>
      </c>
      <c r="L993" t="s">
        <v>90</v>
      </c>
      <c r="M993">
        <v>161084</v>
      </c>
      <c r="N993" s="1">
        <v>45237</v>
      </c>
      <c r="O993" t="s">
        <v>28</v>
      </c>
      <c r="P993">
        <v>6</v>
      </c>
      <c r="Q993">
        <v>118276.25</v>
      </c>
    </row>
    <row r="994" spans="1:17" x14ac:dyDescent="0.3">
      <c r="A994" t="s">
        <v>2621</v>
      </c>
      <c r="B994" t="s">
        <v>1012</v>
      </c>
      <c r="C994" s="2" t="str">
        <f>PROPER(TRIM(Table1[[#This Row],[Gender]]))</f>
        <v>Male</v>
      </c>
      <c r="D994" t="s">
        <v>16</v>
      </c>
      <c r="E994">
        <v>18</v>
      </c>
      <c r="F994" t="s">
        <v>49</v>
      </c>
      <c r="G994" s="1">
        <v>39088</v>
      </c>
      <c r="H994" t="s">
        <v>2622</v>
      </c>
      <c r="I994" s="2" t="str">
        <f t="shared" si="15"/>
        <v>+91-9982618104</v>
      </c>
      <c r="J994">
        <f>91-9982618195</f>
        <v>-9982618104</v>
      </c>
      <c r="K994" t="s">
        <v>64</v>
      </c>
      <c r="L994" t="s">
        <v>20</v>
      </c>
      <c r="M994">
        <v>770029</v>
      </c>
      <c r="N994" s="1">
        <v>45120</v>
      </c>
      <c r="O994" t="s">
        <v>28</v>
      </c>
      <c r="P994">
        <v>3</v>
      </c>
      <c r="Q994">
        <v>80672.91</v>
      </c>
    </row>
    <row r="995" spans="1:17" x14ac:dyDescent="0.3">
      <c r="A995" t="s">
        <v>2623</v>
      </c>
      <c r="B995" t="s">
        <v>1668</v>
      </c>
      <c r="C995" s="2" t="str">
        <f>PROPER(TRIM(Table1[[#This Row],[Gender]]))</f>
        <v>Male</v>
      </c>
      <c r="D995" t="s">
        <v>16</v>
      </c>
      <c r="E995">
        <v>25</v>
      </c>
      <c r="F995" t="s">
        <v>49</v>
      </c>
      <c r="G995" s="1">
        <v>36533</v>
      </c>
      <c r="H995" t="s">
        <v>2624</v>
      </c>
      <c r="I995" s="2" t="str">
        <f t="shared" si="15"/>
        <v>+91-9460086388</v>
      </c>
      <c r="J995">
        <f>91-9460086479</f>
        <v>-9460086388</v>
      </c>
      <c r="K995" t="s">
        <v>195</v>
      </c>
      <c r="L995" t="s">
        <v>102</v>
      </c>
      <c r="M995">
        <v>182729</v>
      </c>
      <c r="N995" s="1">
        <v>45219</v>
      </c>
      <c r="O995" t="s">
        <v>35</v>
      </c>
      <c r="P995">
        <v>3</v>
      </c>
      <c r="Q995">
        <v>19182.96</v>
      </c>
    </row>
    <row r="996" spans="1:17" x14ac:dyDescent="0.3">
      <c r="A996" t="s">
        <v>2625</v>
      </c>
      <c r="B996" t="s">
        <v>1691</v>
      </c>
      <c r="C996" s="2" t="str">
        <f>PROPER(TRIM(Table1[[#This Row],[Gender]]))</f>
        <v>Female</v>
      </c>
      <c r="D996" t="s">
        <v>43</v>
      </c>
      <c r="E996">
        <v>23</v>
      </c>
      <c r="F996" t="s">
        <v>49</v>
      </c>
      <c r="G996" s="1">
        <v>37263</v>
      </c>
      <c r="H996" t="s">
        <v>2626</v>
      </c>
      <c r="I996" s="2" t="str">
        <f t="shared" si="15"/>
        <v>+91-7253884727</v>
      </c>
      <c r="J996">
        <f>91-7253884818</f>
        <v>-7253884727</v>
      </c>
      <c r="K996" t="s">
        <v>195</v>
      </c>
      <c r="L996" t="s">
        <v>102</v>
      </c>
      <c r="M996">
        <v>449243</v>
      </c>
      <c r="N996" s="1">
        <v>45369</v>
      </c>
      <c r="O996" t="s">
        <v>21</v>
      </c>
      <c r="P996">
        <v>6</v>
      </c>
      <c r="Q996">
        <v>22115.7</v>
      </c>
    </row>
    <row r="997" spans="1:17" x14ac:dyDescent="0.3">
      <c r="A997" t="s">
        <v>2627</v>
      </c>
      <c r="B997" t="s">
        <v>1948</v>
      </c>
      <c r="C997" s="2" t="str">
        <f>PROPER(TRIM(Table1[[#This Row],[Gender]]))</f>
        <v>Male</v>
      </c>
      <c r="D997" t="s">
        <v>16</v>
      </c>
      <c r="E997">
        <v>36</v>
      </c>
      <c r="F997" t="s">
        <v>38</v>
      </c>
      <c r="G997" s="1">
        <v>32518</v>
      </c>
      <c r="H997" t="s">
        <v>2628</v>
      </c>
      <c r="I997" s="2" t="str">
        <f t="shared" si="15"/>
        <v>+91-7334796462</v>
      </c>
      <c r="J997">
        <f>91-7334796553</f>
        <v>-7334796462</v>
      </c>
      <c r="K997" t="s">
        <v>101</v>
      </c>
      <c r="L997" t="s">
        <v>102</v>
      </c>
      <c r="M997">
        <v>252798</v>
      </c>
      <c r="N997" s="1">
        <v>45169</v>
      </c>
      <c r="O997" t="s">
        <v>28</v>
      </c>
      <c r="P997">
        <v>4</v>
      </c>
      <c r="Q997">
        <v>91457.98</v>
      </c>
    </row>
    <row r="998" spans="1:17" x14ac:dyDescent="0.3">
      <c r="A998" t="s">
        <v>2629</v>
      </c>
      <c r="B998" t="s">
        <v>1278</v>
      </c>
      <c r="C998" s="2" t="str">
        <f>PROPER(TRIM(Table1[[#This Row],[Gender]]))</f>
        <v>Male</v>
      </c>
      <c r="D998" t="s">
        <v>16</v>
      </c>
      <c r="E998">
        <v>45</v>
      </c>
      <c r="F998" t="s">
        <v>38</v>
      </c>
      <c r="G998" s="1">
        <v>29233</v>
      </c>
      <c r="H998" t="s">
        <v>2630</v>
      </c>
      <c r="I998" s="2" t="str">
        <f t="shared" si="15"/>
        <v>+91-9363528497</v>
      </c>
      <c r="J998">
        <f>91-9363528588</f>
        <v>-9363528497</v>
      </c>
      <c r="K998" t="s">
        <v>202</v>
      </c>
      <c r="L998" t="s">
        <v>191</v>
      </c>
      <c r="M998">
        <v>870927</v>
      </c>
      <c r="N998" s="1">
        <v>45346</v>
      </c>
      <c r="O998" t="s">
        <v>28</v>
      </c>
      <c r="P998">
        <v>5</v>
      </c>
      <c r="Q998">
        <v>157422.04999999999</v>
      </c>
    </row>
    <row r="999" spans="1:17" x14ac:dyDescent="0.3">
      <c r="A999" t="s">
        <v>2631</v>
      </c>
      <c r="B999" t="s">
        <v>222</v>
      </c>
      <c r="C999" s="2" t="str">
        <f>PROPER(TRIM(Table1[[#This Row],[Gender]]))</f>
        <v>Female</v>
      </c>
      <c r="D999" t="s">
        <v>43</v>
      </c>
      <c r="E999">
        <v>20</v>
      </c>
      <c r="F999" t="s">
        <v>49</v>
      </c>
      <c r="G999" s="1">
        <v>38358</v>
      </c>
      <c r="H999" t="s">
        <v>1557</v>
      </c>
      <c r="I999" s="2" t="str">
        <f t="shared" si="15"/>
        <v>+91-7307290851</v>
      </c>
      <c r="J999">
        <f>91-7307290942</f>
        <v>-7307290851</v>
      </c>
      <c r="K999" t="s">
        <v>174</v>
      </c>
      <c r="L999" t="s">
        <v>90</v>
      </c>
      <c r="M999">
        <v>916080</v>
      </c>
      <c r="N999" s="1">
        <v>45313</v>
      </c>
      <c r="O999" t="s">
        <v>28</v>
      </c>
      <c r="P999">
        <v>5</v>
      </c>
      <c r="Q999">
        <v>374369.16</v>
      </c>
    </row>
    <row r="1000" spans="1:17" x14ac:dyDescent="0.3">
      <c r="A1000" t="s">
        <v>2632</v>
      </c>
      <c r="B1000" t="s">
        <v>1811</v>
      </c>
      <c r="C1000" s="2" t="str">
        <f>PROPER(TRIM(Table1[[#This Row],[Gender]]))</f>
        <v>Female</v>
      </c>
      <c r="D1000" t="s">
        <v>43</v>
      </c>
      <c r="E1000">
        <v>46</v>
      </c>
      <c r="F1000" t="s">
        <v>17</v>
      </c>
      <c r="G1000" s="1">
        <v>28868</v>
      </c>
      <c r="H1000" t="s">
        <v>2633</v>
      </c>
      <c r="I1000" s="2" t="str">
        <f t="shared" si="15"/>
        <v>+91-9204260930</v>
      </c>
      <c r="J1000">
        <f>91-9204261021</f>
        <v>-9204260930</v>
      </c>
      <c r="K1000" t="s">
        <v>80</v>
      </c>
      <c r="L1000" t="s">
        <v>20</v>
      </c>
      <c r="M1000">
        <v>733763</v>
      </c>
      <c r="N1000" s="1">
        <v>45283</v>
      </c>
      <c r="O1000" t="s">
        <v>35</v>
      </c>
      <c r="P1000">
        <v>0</v>
      </c>
      <c r="Q1000">
        <v>0</v>
      </c>
    </row>
    <row r="1001" spans="1:17" x14ac:dyDescent="0.3">
      <c r="A1001" t="s">
        <v>2634</v>
      </c>
      <c r="B1001" t="s">
        <v>2429</v>
      </c>
      <c r="C1001" s="2" t="str">
        <f>PROPER(TRIM(Table1[[#This Row],[Gender]]))</f>
        <v>Female</v>
      </c>
      <c r="D1001" t="s">
        <v>43</v>
      </c>
      <c r="E1001">
        <v>32</v>
      </c>
      <c r="F1001" t="s">
        <v>31</v>
      </c>
      <c r="G1001" s="1">
        <v>33978</v>
      </c>
      <c r="H1001" t="s">
        <v>2635</v>
      </c>
      <c r="I1001" s="2" t="str">
        <f t="shared" si="15"/>
        <v>+91-7315451923</v>
      </c>
      <c r="J1001">
        <f>91-7315452014</f>
        <v>-7315451923</v>
      </c>
      <c r="K1001" t="s">
        <v>117</v>
      </c>
      <c r="L1001" t="s">
        <v>52</v>
      </c>
      <c r="M1001">
        <v>936714</v>
      </c>
      <c r="N1001" s="1">
        <v>45122</v>
      </c>
      <c r="O1001" t="s">
        <v>28</v>
      </c>
      <c r="P1001">
        <v>2</v>
      </c>
      <c r="Q1001">
        <v>65438.21</v>
      </c>
    </row>
    <row r="1002" spans="1:17" x14ac:dyDescent="0.3">
      <c r="A1002" t="s">
        <v>2636</v>
      </c>
      <c r="B1002" t="s">
        <v>781</v>
      </c>
      <c r="C1002" s="2" t="str">
        <f>PROPER(TRIM(Table1[[#This Row],[Gender]]))</f>
        <v>Male</v>
      </c>
      <c r="D1002" t="s">
        <v>16</v>
      </c>
      <c r="E1002">
        <v>54</v>
      </c>
      <c r="F1002" t="s">
        <v>17</v>
      </c>
      <c r="G1002" s="1">
        <v>25948</v>
      </c>
      <c r="H1002" t="s">
        <v>2637</v>
      </c>
      <c r="I1002" s="2" t="str">
        <f t="shared" si="15"/>
        <v>+91-7067565439</v>
      </c>
      <c r="J1002">
        <f>91-7067565530</f>
        <v>-7067565439</v>
      </c>
      <c r="K1002" t="s">
        <v>202</v>
      </c>
      <c r="L1002" t="s">
        <v>191</v>
      </c>
      <c r="M1002">
        <v>475755</v>
      </c>
      <c r="N1002" s="1">
        <v>45079</v>
      </c>
      <c r="O1002" t="s">
        <v>35</v>
      </c>
      <c r="P1002">
        <v>8</v>
      </c>
      <c r="Q1002">
        <v>15121.03</v>
      </c>
    </row>
    <row r="1003" spans="1:17" x14ac:dyDescent="0.3">
      <c r="A1003" t="s">
        <v>2638</v>
      </c>
      <c r="B1003" t="s">
        <v>2639</v>
      </c>
      <c r="C1003" s="2" t="str">
        <f>PROPER(TRIM(Table1[[#This Row],[Gender]]))</f>
        <v>Female</v>
      </c>
      <c r="D1003" t="s">
        <v>43</v>
      </c>
      <c r="E1003">
        <v>42</v>
      </c>
      <c r="F1003" t="s">
        <v>38</v>
      </c>
      <c r="G1003" s="1">
        <v>30328</v>
      </c>
      <c r="H1003" t="s">
        <v>2640</v>
      </c>
      <c r="I1003" s="2" t="str">
        <f t="shared" si="15"/>
        <v>+91-7683312805</v>
      </c>
      <c r="J1003">
        <f>91-7683312896</f>
        <v>-7683312805</v>
      </c>
      <c r="K1003" t="s">
        <v>64</v>
      </c>
      <c r="L1003" t="s">
        <v>20</v>
      </c>
      <c r="M1003">
        <v>135190</v>
      </c>
      <c r="N1003" s="1">
        <v>45215</v>
      </c>
      <c r="O1003" t="s">
        <v>28</v>
      </c>
      <c r="P1003">
        <v>5</v>
      </c>
      <c r="Q1003">
        <v>90751.4</v>
      </c>
    </row>
    <row r="1004" spans="1:17" x14ac:dyDescent="0.3">
      <c r="A1004" t="s">
        <v>2641</v>
      </c>
      <c r="B1004" t="s">
        <v>298</v>
      </c>
      <c r="C1004" s="2" t="str">
        <f>PROPER(TRIM(Table1[[#This Row],[Gender]]))</f>
        <v>Male</v>
      </c>
      <c r="D1004" t="s">
        <v>16</v>
      </c>
      <c r="E1004">
        <v>36</v>
      </c>
      <c r="F1004" t="s">
        <v>38</v>
      </c>
      <c r="G1004" s="1">
        <v>32518</v>
      </c>
      <c r="H1004" t="s">
        <v>2642</v>
      </c>
      <c r="I1004" s="2" t="str">
        <f t="shared" si="15"/>
        <v>+91-7534215942</v>
      </c>
      <c r="J1004">
        <f>91-7534216033</f>
        <v>-7534215942</v>
      </c>
      <c r="K1004" t="s">
        <v>76</v>
      </c>
      <c r="L1004" t="s">
        <v>46</v>
      </c>
      <c r="M1004">
        <v>739747</v>
      </c>
      <c r="N1004" s="1">
        <v>45279</v>
      </c>
      <c r="O1004" t="s">
        <v>28</v>
      </c>
      <c r="P1004">
        <v>5</v>
      </c>
      <c r="Q1004">
        <v>246648.16</v>
      </c>
    </row>
    <row r="1005" spans="1:17" x14ac:dyDescent="0.3">
      <c r="A1005" t="s">
        <v>2643</v>
      </c>
      <c r="B1005" t="s">
        <v>2644</v>
      </c>
      <c r="C1005" s="2" t="str">
        <f>PROPER(TRIM(Table1[[#This Row],[Gender]]))</f>
        <v>Male</v>
      </c>
      <c r="D1005" t="s">
        <v>16</v>
      </c>
      <c r="E1005">
        <v>33</v>
      </c>
      <c r="F1005" t="s">
        <v>31</v>
      </c>
      <c r="G1005" s="1">
        <v>33613</v>
      </c>
      <c r="H1005" t="s">
        <v>2645</v>
      </c>
      <c r="I1005" s="2" t="str">
        <f t="shared" si="15"/>
        <v>+91-9705357906</v>
      </c>
      <c r="J1005">
        <f>91-9705357997</f>
        <v>-9705357906</v>
      </c>
      <c r="K1005" t="s">
        <v>80</v>
      </c>
      <c r="L1005" t="s">
        <v>20</v>
      </c>
      <c r="M1005">
        <v>710688</v>
      </c>
      <c r="N1005" s="1">
        <v>45223</v>
      </c>
      <c r="O1005" t="s">
        <v>21</v>
      </c>
      <c r="P1005">
        <v>4</v>
      </c>
      <c r="Q1005">
        <v>46022.7</v>
      </c>
    </row>
    <row r="1006" spans="1:17" x14ac:dyDescent="0.3">
      <c r="A1006" t="s">
        <v>2646</v>
      </c>
      <c r="B1006" t="s">
        <v>163</v>
      </c>
      <c r="C1006" s="2" t="str">
        <f>PROPER(TRIM(Table1[[#This Row],[Gender]]))</f>
        <v>Female</v>
      </c>
      <c r="D1006" t="s">
        <v>43</v>
      </c>
      <c r="E1006">
        <v>51</v>
      </c>
      <c r="F1006" t="s">
        <v>17</v>
      </c>
      <c r="G1006" s="1">
        <v>27043</v>
      </c>
      <c r="H1006" t="s">
        <v>2647</v>
      </c>
      <c r="I1006" s="2" t="str">
        <f t="shared" si="15"/>
        <v>+91-7215128858</v>
      </c>
      <c r="J1006">
        <f>91-7215128949</f>
        <v>-7215128858</v>
      </c>
      <c r="K1006" t="s">
        <v>19</v>
      </c>
      <c r="L1006" t="s">
        <v>20</v>
      </c>
      <c r="M1006">
        <v>800558</v>
      </c>
      <c r="N1006" s="1">
        <v>45133</v>
      </c>
      <c r="O1006" t="s">
        <v>35</v>
      </c>
      <c r="P1006">
        <v>4</v>
      </c>
      <c r="Q1006">
        <v>9586.0300000000007</v>
      </c>
    </row>
    <row r="1007" spans="1:17" x14ac:dyDescent="0.3">
      <c r="A1007" t="s">
        <v>2648</v>
      </c>
      <c r="B1007" t="s">
        <v>2304</v>
      </c>
      <c r="C1007" s="2" t="str">
        <f>PROPER(TRIM(Table1[[#This Row],[Gender]]))</f>
        <v>Male</v>
      </c>
      <c r="D1007" t="s">
        <v>16</v>
      </c>
      <c r="E1007">
        <v>38</v>
      </c>
      <c r="F1007" t="s">
        <v>38</v>
      </c>
      <c r="G1007" s="1">
        <v>31788</v>
      </c>
      <c r="H1007" t="s">
        <v>2649</v>
      </c>
      <c r="I1007" s="2" t="str">
        <f t="shared" si="15"/>
        <v>+91-8500889143</v>
      </c>
      <c r="J1007">
        <f>91-8500889234</f>
        <v>-8500889143</v>
      </c>
      <c r="K1007" t="s">
        <v>273</v>
      </c>
      <c r="L1007" t="s">
        <v>46</v>
      </c>
      <c r="M1007">
        <v>535902</v>
      </c>
      <c r="N1007" s="1">
        <v>45270</v>
      </c>
      <c r="O1007" t="s">
        <v>21</v>
      </c>
      <c r="P1007">
        <v>3</v>
      </c>
      <c r="Q1007">
        <v>36130.43</v>
      </c>
    </row>
    <row r="1008" spans="1:17" x14ac:dyDescent="0.3">
      <c r="A1008" t="s">
        <v>2650</v>
      </c>
      <c r="B1008" t="s">
        <v>2651</v>
      </c>
      <c r="C1008" s="2" t="str">
        <f>PROPER(TRIM(Table1[[#This Row],[Gender]]))</f>
        <v>Male</v>
      </c>
      <c r="D1008" t="s">
        <v>16</v>
      </c>
      <c r="E1008">
        <v>33</v>
      </c>
      <c r="F1008" t="s">
        <v>31</v>
      </c>
      <c r="G1008" s="1">
        <v>33613</v>
      </c>
      <c r="H1008" t="s">
        <v>2652</v>
      </c>
      <c r="I1008" s="2" t="str">
        <f t="shared" si="15"/>
        <v>+91-7259124148</v>
      </c>
      <c r="J1008">
        <f>91-7259124239</f>
        <v>-7259124148</v>
      </c>
      <c r="K1008" t="s">
        <v>84</v>
      </c>
      <c r="L1008" t="s">
        <v>85</v>
      </c>
      <c r="M1008">
        <v>205827</v>
      </c>
      <c r="N1008" s="1">
        <v>45199</v>
      </c>
      <c r="O1008" t="s">
        <v>28</v>
      </c>
      <c r="P1008">
        <v>8</v>
      </c>
      <c r="Q1008">
        <v>207267.3</v>
      </c>
    </row>
    <row r="1009" spans="1:17" x14ac:dyDescent="0.3">
      <c r="A1009" t="s">
        <v>2653</v>
      </c>
      <c r="B1009" t="s">
        <v>1935</v>
      </c>
      <c r="C1009" s="2" t="str">
        <f>PROPER(TRIM(Table1[[#This Row],[Gender]]))</f>
        <v>Female</v>
      </c>
      <c r="D1009" t="s">
        <v>43</v>
      </c>
      <c r="E1009">
        <v>25</v>
      </c>
      <c r="F1009" t="s">
        <v>49</v>
      </c>
      <c r="G1009" s="1">
        <v>36533</v>
      </c>
      <c r="H1009" t="s">
        <v>2654</v>
      </c>
      <c r="I1009" s="2" t="str">
        <f t="shared" si="15"/>
        <v>+91-7782276429</v>
      </c>
      <c r="J1009">
        <f>91-7782276520</f>
        <v>-7782276429</v>
      </c>
      <c r="K1009" t="s">
        <v>117</v>
      </c>
      <c r="L1009" t="s">
        <v>52</v>
      </c>
      <c r="M1009">
        <v>965971</v>
      </c>
      <c r="N1009" s="1">
        <v>45397</v>
      </c>
      <c r="O1009" t="s">
        <v>28</v>
      </c>
      <c r="P1009">
        <v>2</v>
      </c>
      <c r="Q1009">
        <v>139771.03</v>
      </c>
    </row>
    <row r="1010" spans="1:17" x14ac:dyDescent="0.3">
      <c r="A1010" t="s">
        <v>2655</v>
      </c>
      <c r="B1010" t="s">
        <v>2656</v>
      </c>
      <c r="C1010" s="2" t="str">
        <f>PROPER(TRIM(Table1[[#This Row],[Gender]]))</f>
        <v>Male</v>
      </c>
      <c r="D1010" t="s">
        <v>16</v>
      </c>
      <c r="E1010">
        <v>24</v>
      </c>
      <c r="F1010" t="s">
        <v>49</v>
      </c>
      <c r="G1010" s="1">
        <v>36898</v>
      </c>
      <c r="H1010" t="s">
        <v>2657</v>
      </c>
      <c r="I1010" s="2" t="str">
        <f t="shared" si="15"/>
        <v>+91-8376130383</v>
      </c>
      <c r="J1010">
        <f>91-8376130474</f>
        <v>-8376130383</v>
      </c>
      <c r="K1010" t="s">
        <v>60</v>
      </c>
      <c r="L1010" t="s">
        <v>34</v>
      </c>
      <c r="M1010">
        <v>251012</v>
      </c>
      <c r="N1010" s="1">
        <v>45408</v>
      </c>
      <c r="O1010" t="s">
        <v>21</v>
      </c>
      <c r="P1010">
        <v>4</v>
      </c>
      <c r="Q1010">
        <v>45707.05</v>
      </c>
    </row>
    <row r="1011" spans="1:17" x14ac:dyDescent="0.3">
      <c r="A1011" t="s">
        <v>2658</v>
      </c>
      <c r="B1011" t="s">
        <v>2659</v>
      </c>
      <c r="C1011" s="2" t="str">
        <f>PROPER(TRIM(Table1[[#This Row],[Gender]]))</f>
        <v>Male</v>
      </c>
      <c r="D1011" t="s">
        <v>16</v>
      </c>
      <c r="E1011">
        <v>58</v>
      </c>
      <c r="F1011" t="s">
        <v>58</v>
      </c>
      <c r="G1011" s="1">
        <v>24488</v>
      </c>
      <c r="H1011" t="s">
        <v>2660</v>
      </c>
      <c r="I1011" s="2" t="str">
        <f t="shared" si="15"/>
        <v>+91-8065388765</v>
      </c>
      <c r="J1011">
        <f>91-8065388856</f>
        <v>-8065388765</v>
      </c>
      <c r="K1011" t="s">
        <v>202</v>
      </c>
      <c r="L1011" t="s">
        <v>191</v>
      </c>
      <c r="M1011">
        <v>273770</v>
      </c>
      <c r="N1011" s="1">
        <v>45257</v>
      </c>
      <c r="O1011" t="s">
        <v>21</v>
      </c>
      <c r="P1011">
        <v>5</v>
      </c>
      <c r="Q1011">
        <v>32534.06</v>
      </c>
    </row>
    <row r="1012" spans="1:17" x14ac:dyDescent="0.3">
      <c r="A1012" t="s">
        <v>2661</v>
      </c>
      <c r="B1012" t="s">
        <v>2662</v>
      </c>
      <c r="C1012" s="2" t="str">
        <f>PROPER(TRIM(Table1[[#This Row],[Gender]]))</f>
        <v>Male</v>
      </c>
      <c r="D1012" t="s">
        <v>16</v>
      </c>
      <c r="E1012">
        <v>56</v>
      </c>
      <c r="F1012" t="s">
        <v>58</v>
      </c>
      <c r="G1012" s="1">
        <v>25218</v>
      </c>
      <c r="H1012" t="s">
        <v>2663</v>
      </c>
      <c r="I1012" s="2" t="str">
        <f t="shared" si="15"/>
        <v>+91-9383024976</v>
      </c>
      <c r="J1012">
        <f>91-9383025067</f>
        <v>-9383024976</v>
      </c>
      <c r="K1012" t="s">
        <v>109</v>
      </c>
      <c r="L1012" t="s">
        <v>46</v>
      </c>
      <c r="M1012">
        <v>847917</v>
      </c>
      <c r="N1012" s="1">
        <v>45145</v>
      </c>
      <c r="O1012" t="s">
        <v>21</v>
      </c>
      <c r="P1012">
        <v>4</v>
      </c>
      <c r="Q1012">
        <v>49963.040000000001</v>
      </c>
    </row>
    <row r="1013" spans="1:17" x14ac:dyDescent="0.3">
      <c r="A1013" t="s">
        <v>2664</v>
      </c>
      <c r="B1013" t="s">
        <v>551</v>
      </c>
      <c r="C1013" s="2" t="str">
        <f>PROPER(TRIM(Table1[[#This Row],[Gender]]))</f>
        <v>Male</v>
      </c>
      <c r="D1013" t="s">
        <v>16</v>
      </c>
      <c r="E1013">
        <v>26</v>
      </c>
      <c r="F1013" t="s">
        <v>31</v>
      </c>
      <c r="G1013" s="1">
        <v>36168</v>
      </c>
      <c r="H1013" t="s">
        <v>2665</v>
      </c>
      <c r="I1013" s="2" t="str">
        <f t="shared" si="15"/>
        <v>+91-7301983787</v>
      </c>
      <c r="J1013">
        <f>91-7301983878</f>
        <v>-7301983787</v>
      </c>
      <c r="K1013" t="s">
        <v>113</v>
      </c>
      <c r="L1013" t="s">
        <v>34</v>
      </c>
      <c r="M1013">
        <v>453785</v>
      </c>
      <c r="N1013" s="1">
        <v>45388</v>
      </c>
      <c r="O1013" t="s">
        <v>28</v>
      </c>
      <c r="P1013">
        <v>6</v>
      </c>
      <c r="Q1013">
        <v>99548.22</v>
      </c>
    </row>
    <row r="1014" spans="1:17" x14ac:dyDescent="0.3">
      <c r="A1014" t="s">
        <v>2666</v>
      </c>
      <c r="B1014" t="s">
        <v>2667</v>
      </c>
      <c r="C1014" s="2" t="str">
        <f>PROPER(TRIM(Table1[[#This Row],[Gender]]))</f>
        <v>Female</v>
      </c>
      <c r="D1014" t="s">
        <v>43</v>
      </c>
      <c r="E1014">
        <v>35</v>
      </c>
      <c r="F1014" t="s">
        <v>31</v>
      </c>
      <c r="G1014" s="1">
        <v>32883</v>
      </c>
      <c r="H1014" t="s">
        <v>2668</v>
      </c>
      <c r="I1014" s="2" t="str">
        <f t="shared" si="15"/>
        <v>+91-7709127955</v>
      </c>
      <c r="J1014">
        <f>91-7709128046</f>
        <v>-7709127955</v>
      </c>
      <c r="K1014" t="s">
        <v>154</v>
      </c>
      <c r="L1014" t="s">
        <v>46</v>
      </c>
      <c r="M1014">
        <v>963491</v>
      </c>
      <c r="N1014" s="1">
        <v>45224</v>
      </c>
      <c r="O1014" t="s">
        <v>28</v>
      </c>
      <c r="P1014">
        <v>7</v>
      </c>
      <c r="Q1014">
        <v>268502.53000000003</v>
      </c>
    </row>
    <row r="1015" spans="1:17" x14ac:dyDescent="0.3">
      <c r="A1015" t="s">
        <v>2669</v>
      </c>
      <c r="B1015" t="s">
        <v>641</v>
      </c>
      <c r="C1015" s="2" t="str">
        <f>PROPER(TRIM(Table1[[#This Row],[Gender]]))</f>
        <v>Male</v>
      </c>
      <c r="D1015" t="s">
        <v>16</v>
      </c>
      <c r="E1015">
        <v>46</v>
      </c>
      <c r="F1015" t="s">
        <v>17</v>
      </c>
      <c r="G1015" s="1">
        <v>28868</v>
      </c>
      <c r="H1015" t="s">
        <v>2670</v>
      </c>
      <c r="I1015" s="2" t="str">
        <f t="shared" si="15"/>
        <v>+91-9935973686</v>
      </c>
      <c r="J1015">
        <f>91-9935973777</f>
        <v>-9935973686</v>
      </c>
      <c r="K1015" t="s">
        <v>249</v>
      </c>
      <c r="L1015" t="s">
        <v>34</v>
      </c>
      <c r="M1015">
        <v>764976</v>
      </c>
      <c r="N1015" s="1">
        <v>45096</v>
      </c>
      <c r="O1015" t="s">
        <v>28</v>
      </c>
      <c r="P1015">
        <v>6</v>
      </c>
      <c r="Q1015">
        <v>73383.83</v>
      </c>
    </row>
    <row r="1016" spans="1:17" x14ac:dyDescent="0.3">
      <c r="A1016" t="s">
        <v>2671</v>
      </c>
      <c r="B1016" t="s">
        <v>2600</v>
      </c>
      <c r="C1016" s="2" t="str">
        <f>PROPER(TRIM(Table1[[#This Row],[Gender]]))</f>
        <v>Male</v>
      </c>
      <c r="D1016" t="s">
        <v>16</v>
      </c>
      <c r="E1016">
        <v>26</v>
      </c>
      <c r="F1016" t="s">
        <v>31</v>
      </c>
      <c r="G1016" s="1">
        <v>36168</v>
      </c>
      <c r="H1016" t="s">
        <v>2672</v>
      </c>
      <c r="I1016" s="2" t="str">
        <f t="shared" si="15"/>
        <v>+91-9984662311</v>
      </c>
      <c r="J1016">
        <f>91-9984662402</f>
        <v>-9984662311</v>
      </c>
      <c r="K1016" t="s">
        <v>94</v>
      </c>
      <c r="L1016" t="s">
        <v>20</v>
      </c>
      <c r="M1016">
        <v>305332</v>
      </c>
      <c r="N1016" s="1">
        <v>45238</v>
      </c>
      <c r="O1016" t="s">
        <v>21</v>
      </c>
      <c r="P1016">
        <v>3</v>
      </c>
      <c r="Q1016">
        <v>30694.57</v>
      </c>
    </row>
    <row r="1017" spans="1:17" x14ac:dyDescent="0.3">
      <c r="A1017" t="s">
        <v>2673</v>
      </c>
      <c r="B1017" t="s">
        <v>2674</v>
      </c>
      <c r="C1017" s="2" t="str">
        <f>PROPER(TRIM(Table1[[#This Row],[Gender]]))</f>
        <v>Female</v>
      </c>
      <c r="D1017" t="s">
        <v>43</v>
      </c>
      <c r="E1017">
        <v>29</v>
      </c>
      <c r="F1017" t="s">
        <v>31</v>
      </c>
      <c r="G1017" s="1">
        <v>35073</v>
      </c>
      <c r="H1017" t="s">
        <v>2675</v>
      </c>
      <c r="I1017" s="2" t="str">
        <f t="shared" si="15"/>
        <v>+91-7038349841</v>
      </c>
      <c r="J1017">
        <f>91-7038349932</f>
        <v>-7038349841</v>
      </c>
      <c r="K1017" t="s">
        <v>33</v>
      </c>
      <c r="L1017" t="s">
        <v>34</v>
      </c>
      <c r="M1017">
        <v>365546</v>
      </c>
      <c r="N1017" s="1">
        <v>45251</v>
      </c>
      <c r="O1017" t="s">
        <v>28</v>
      </c>
      <c r="P1017">
        <v>3</v>
      </c>
      <c r="Q1017">
        <v>51527.41</v>
      </c>
    </row>
    <row r="1018" spans="1:17" x14ac:dyDescent="0.3">
      <c r="A1018" t="s">
        <v>2676</v>
      </c>
      <c r="B1018" t="s">
        <v>949</v>
      </c>
      <c r="C1018" s="2" t="str">
        <f>PROPER(TRIM(Table1[[#This Row],[Gender]]))</f>
        <v>Male</v>
      </c>
      <c r="D1018" t="s">
        <v>16</v>
      </c>
      <c r="E1018">
        <v>52</v>
      </c>
      <c r="F1018" t="s">
        <v>17</v>
      </c>
      <c r="G1018" s="1">
        <v>26678</v>
      </c>
      <c r="H1018" t="s">
        <v>2677</v>
      </c>
      <c r="I1018" s="2" t="str">
        <f t="shared" si="15"/>
        <v>+91-8317271893</v>
      </c>
      <c r="J1018">
        <f>91-8317271984</f>
        <v>-8317271893</v>
      </c>
      <c r="K1018" t="s">
        <v>94</v>
      </c>
      <c r="L1018" t="s">
        <v>20</v>
      </c>
      <c r="M1018">
        <v>300557</v>
      </c>
      <c r="N1018" s="1">
        <v>45216</v>
      </c>
      <c r="O1018" t="s">
        <v>35</v>
      </c>
      <c r="P1018">
        <v>5</v>
      </c>
      <c r="Q1018">
        <v>5009.25</v>
      </c>
    </row>
    <row r="1019" spans="1:17" x14ac:dyDescent="0.3">
      <c r="A1019" t="s">
        <v>2678</v>
      </c>
      <c r="B1019" t="s">
        <v>2396</v>
      </c>
      <c r="C1019" s="2" t="str">
        <f>PROPER(TRIM(Table1[[#This Row],[Gender]]))</f>
        <v>Female</v>
      </c>
      <c r="D1019" t="s">
        <v>43</v>
      </c>
      <c r="E1019">
        <v>32</v>
      </c>
      <c r="F1019" t="s">
        <v>31</v>
      </c>
      <c r="G1019" s="1">
        <v>33978</v>
      </c>
      <c r="H1019" t="s">
        <v>2679</v>
      </c>
      <c r="I1019" s="2" t="str">
        <f t="shared" si="15"/>
        <v>+91-8227077726</v>
      </c>
      <c r="J1019">
        <f>91-8227077817</f>
        <v>-8227077726</v>
      </c>
      <c r="K1019" t="s">
        <v>117</v>
      </c>
      <c r="L1019" t="s">
        <v>52</v>
      </c>
      <c r="M1019">
        <v>637155</v>
      </c>
      <c r="N1019" s="1">
        <v>45216</v>
      </c>
      <c r="O1019" t="s">
        <v>28</v>
      </c>
      <c r="P1019">
        <v>7</v>
      </c>
      <c r="Q1019">
        <v>358379.19</v>
      </c>
    </row>
    <row r="1020" spans="1:17" x14ac:dyDescent="0.3">
      <c r="A1020" t="s">
        <v>2680</v>
      </c>
      <c r="B1020" t="s">
        <v>2681</v>
      </c>
      <c r="C1020" s="2" t="str">
        <f>PROPER(TRIM(Table1[[#This Row],[Gender]]))</f>
        <v>Male</v>
      </c>
      <c r="D1020" t="s">
        <v>16</v>
      </c>
      <c r="E1020">
        <v>34</v>
      </c>
      <c r="F1020" t="s">
        <v>31</v>
      </c>
      <c r="G1020" s="1">
        <v>33248</v>
      </c>
      <c r="H1020" t="s">
        <v>2682</v>
      </c>
      <c r="I1020" s="2" t="str">
        <f t="shared" si="15"/>
        <v>+91-8790068865</v>
      </c>
      <c r="J1020">
        <f>91-8790068956</f>
        <v>-8790068865</v>
      </c>
      <c r="K1020" t="s">
        <v>178</v>
      </c>
      <c r="L1020" t="s">
        <v>27</v>
      </c>
      <c r="M1020">
        <v>467452</v>
      </c>
      <c r="N1020" s="1">
        <v>45423</v>
      </c>
      <c r="O1020" t="s">
        <v>28</v>
      </c>
      <c r="P1020">
        <v>4</v>
      </c>
      <c r="Q1020">
        <v>277509.84000000003</v>
      </c>
    </row>
    <row r="1021" spans="1:17" x14ac:dyDescent="0.3">
      <c r="A1021" t="s">
        <v>2683</v>
      </c>
      <c r="B1021" t="s">
        <v>746</v>
      </c>
      <c r="C1021" s="2" t="str">
        <f>PROPER(TRIM(Table1[[#This Row],[Gender]]))</f>
        <v>Male</v>
      </c>
      <c r="D1021" t="s">
        <v>16</v>
      </c>
      <c r="E1021">
        <v>56</v>
      </c>
      <c r="F1021" t="s">
        <v>58</v>
      </c>
      <c r="G1021" s="1">
        <v>25218</v>
      </c>
      <c r="H1021" t="s">
        <v>2684</v>
      </c>
      <c r="I1021" s="2" t="str">
        <f t="shared" si="15"/>
        <v>+91-9687182542</v>
      </c>
      <c r="J1021">
        <f>91-9687182633</f>
        <v>-9687182542</v>
      </c>
      <c r="K1021" t="s">
        <v>239</v>
      </c>
      <c r="L1021" t="s">
        <v>191</v>
      </c>
      <c r="M1021">
        <v>422099</v>
      </c>
      <c r="N1021" s="1">
        <v>45314</v>
      </c>
      <c r="O1021" t="s">
        <v>28</v>
      </c>
      <c r="P1021">
        <v>9</v>
      </c>
      <c r="Q1021">
        <v>133407.47</v>
      </c>
    </row>
    <row r="1022" spans="1:17" x14ac:dyDescent="0.3">
      <c r="A1022" t="s">
        <v>2685</v>
      </c>
      <c r="B1022" t="s">
        <v>804</v>
      </c>
      <c r="C1022" s="2" t="str">
        <f>PROPER(TRIM(Table1[[#This Row],[Gender]]))</f>
        <v>Male</v>
      </c>
      <c r="D1022" t="s">
        <v>16</v>
      </c>
      <c r="E1022">
        <v>20</v>
      </c>
      <c r="F1022" t="s">
        <v>49</v>
      </c>
      <c r="G1022" s="1">
        <v>38358</v>
      </c>
      <c r="H1022" t="s">
        <v>2686</v>
      </c>
      <c r="I1022" s="2" t="str">
        <f t="shared" si="15"/>
        <v>+91-9448177895</v>
      </c>
      <c r="J1022">
        <f>91-9448177986</f>
        <v>-9448177895</v>
      </c>
      <c r="K1022" t="s">
        <v>117</v>
      </c>
      <c r="L1022" t="s">
        <v>52</v>
      </c>
      <c r="M1022">
        <v>829673</v>
      </c>
      <c r="N1022" s="1">
        <v>45170</v>
      </c>
      <c r="O1022" t="s">
        <v>28</v>
      </c>
      <c r="P1022">
        <v>6</v>
      </c>
      <c r="Q1022">
        <v>174792.57</v>
      </c>
    </row>
    <row r="1023" spans="1:17" x14ac:dyDescent="0.3">
      <c r="A1023" t="s">
        <v>2687</v>
      </c>
      <c r="B1023" t="s">
        <v>801</v>
      </c>
      <c r="C1023" s="2" t="str">
        <f>PROPER(TRIM(Table1[[#This Row],[Gender]]))</f>
        <v>Female</v>
      </c>
      <c r="D1023" t="s">
        <v>43</v>
      </c>
      <c r="E1023">
        <v>25</v>
      </c>
      <c r="F1023" t="s">
        <v>49</v>
      </c>
      <c r="G1023" s="1">
        <v>36533</v>
      </c>
      <c r="H1023" t="s">
        <v>2688</v>
      </c>
      <c r="I1023" s="2" t="str">
        <f t="shared" si="15"/>
        <v>+91-8879246035</v>
      </c>
      <c r="J1023">
        <f>91-8879246126</f>
        <v>-8879246035</v>
      </c>
      <c r="K1023" t="s">
        <v>178</v>
      </c>
      <c r="L1023" t="s">
        <v>27</v>
      </c>
      <c r="M1023">
        <v>695346</v>
      </c>
      <c r="N1023" s="1">
        <v>45103</v>
      </c>
      <c r="O1023" t="s">
        <v>35</v>
      </c>
      <c r="P1023">
        <v>0</v>
      </c>
      <c r="Q1023">
        <v>0</v>
      </c>
    </row>
    <row r="1024" spans="1:17" x14ac:dyDescent="0.3">
      <c r="A1024" t="s">
        <v>2689</v>
      </c>
      <c r="B1024" t="s">
        <v>2449</v>
      </c>
      <c r="C1024" s="2" t="str">
        <f>PROPER(TRIM(Table1[[#This Row],[Gender]]))</f>
        <v>Male</v>
      </c>
      <c r="D1024" t="s">
        <v>16</v>
      </c>
      <c r="E1024">
        <v>30</v>
      </c>
      <c r="F1024" t="s">
        <v>31</v>
      </c>
      <c r="G1024" s="1">
        <v>34708</v>
      </c>
      <c r="H1024" t="s">
        <v>2690</v>
      </c>
      <c r="I1024" s="2" t="str">
        <f t="shared" si="15"/>
        <v>+91-9587487676</v>
      </c>
      <c r="J1024">
        <f>91-9587487767</f>
        <v>-9587487676</v>
      </c>
      <c r="K1024" t="s">
        <v>580</v>
      </c>
      <c r="L1024" t="s">
        <v>85</v>
      </c>
      <c r="M1024">
        <v>622625</v>
      </c>
      <c r="N1024" s="1">
        <v>45397</v>
      </c>
      <c r="O1024" t="s">
        <v>28</v>
      </c>
      <c r="P1024">
        <v>7</v>
      </c>
      <c r="Q1024">
        <v>235339.51</v>
      </c>
    </row>
    <row r="1025" spans="1:17" x14ac:dyDescent="0.3">
      <c r="A1025" t="s">
        <v>2691</v>
      </c>
      <c r="B1025" t="s">
        <v>1051</v>
      </c>
      <c r="C1025" s="2" t="str">
        <f>PROPER(TRIM(Table1[[#This Row],[Gender]]))</f>
        <v>Male</v>
      </c>
      <c r="D1025" t="s">
        <v>16</v>
      </c>
      <c r="E1025">
        <v>62</v>
      </c>
      <c r="F1025" t="s">
        <v>58</v>
      </c>
      <c r="G1025" s="1">
        <v>23028</v>
      </c>
      <c r="H1025" t="s">
        <v>2692</v>
      </c>
      <c r="I1025" s="2" t="str">
        <f t="shared" si="15"/>
        <v>+91-8522619733</v>
      </c>
      <c r="J1025">
        <f>91-8522619824</f>
        <v>-8522619733</v>
      </c>
      <c r="K1025" t="s">
        <v>89</v>
      </c>
      <c r="L1025" t="s">
        <v>90</v>
      </c>
      <c r="M1025">
        <v>103379</v>
      </c>
      <c r="N1025" s="1">
        <v>45344</v>
      </c>
      <c r="O1025" t="s">
        <v>35</v>
      </c>
      <c r="P1025">
        <v>3</v>
      </c>
      <c r="Q1025">
        <v>4464.68</v>
      </c>
    </row>
    <row r="1026" spans="1:17" x14ac:dyDescent="0.3">
      <c r="A1026" t="s">
        <v>2693</v>
      </c>
      <c r="B1026" t="s">
        <v>823</v>
      </c>
      <c r="C1026" s="2" t="str">
        <f>PROPER(TRIM(Table1[[#This Row],[Gender]]))</f>
        <v>Female</v>
      </c>
      <c r="D1026" t="s">
        <v>43</v>
      </c>
      <c r="E1026">
        <v>50</v>
      </c>
      <c r="F1026" t="s">
        <v>17</v>
      </c>
      <c r="G1026" s="1">
        <v>27408</v>
      </c>
      <c r="H1026" t="s">
        <v>2694</v>
      </c>
      <c r="I1026" s="2" t="str">
        <f t="shared" ref="I1026:I1089" si="16">"+91"&amp;TEXT(J1026,"0000000000")</f>
        <v>+91-9721261948</v>
      </c>
      <c r="J1026">
        <f>91-9721262039</f>
        <v>-9721261948</v>
      </c>
      <c r="K1026" t="s">
        <v>138</v>
      </c>
      <c r="L1026" t="s">
        <v>90</v>
      </c>
      <c r="M1026">
        <v>387267</v>
      </c>
      <c r="N1026" s="1">
        <v>45120</v>
      </c>
      <c r="O1026" t="s">
        <v>35</v>
      </c>
      <c r="P1026">
        <v>4</v>
      </c>
      <c r="Q1026">
        <v>16075.89</v>
      </c>
    </row>
    <row r="1027" spans="1:17" x14ac:dyDescent="0.3">
      <c r="A1027" t="s">
        <v>2695</v>
      </c>
      <c r="B1027" t="s">
        <v>915</v>
      </c>
      <c r="C1027" s="2" t="str">
        <f>PROPER(TRIM(Table1[[#This Row],[Gender]]))</f>
        <v>Male</v>
      </c>
      <c r="D1027" t="s">
        <v>16</v>
      </c>
      <c r="E1027">
        <v>40</v>
      </c>
      <c r="F1027" t="s">
        <v>38</v>
      </c>
      <c r="G1027" s="1">
        <v>31058</v>
      </c>
      <c r="H1027" t="s">
        <v>2696</v>
      </c>
      <c r="I1027" s="2" t="str">
        <f t="shared" si="16"/>
        <v>+91-8409479343</v>
      </c>
      <c r="J1027">
        <f>91-8409479434</f>
        <v>-8409479343</v>
      </c>
      <c r="K1027" t="s">
        <v>202</v>
      </c>
      <c r="L1027" t="s">
        <v>191</v>
      </c>
      <c r="M1027">
        <v>931861</v>
      </c>
      <c r="N1027" s="1">
        <v>45398</v>
      </c>
      <c r="O1027" t="s">
        <v>28</v>
      </c>
      <c r="P1027">
        <v>4</v>
      </c>
      <c r="Q1027">
        <v>222329.98</v>
      </c>
    </row>
    <row r="1028" spans="1:17" x14ac:dyDescent="0.3">
      <c r="A1028" t="s">
        <v>2697</v>
      </c>
      <c r="B1028" t="s">
        <v>1900</v>
      </c>
      <c r="C1028" s="2" t="str">
        <f>PROPER(TRIM(Table1[[#This Row],[Gender]]))</f>
        <v>Female</v>
      </c>
      <c r="D1028" t="s">
        <v>43</v>
      </c>
      <c r="E1028">
        <v>45</v>
      </c>
      <c r="F1028" t="s">
        <v>38</v>
      </c>
      <c r="G1028" s="1">
        <v>29233</v>
      </c>
      <c r="H1028" t="s">
        <v>2698</v>
      </c>
      <c r="I1028" s="2" t="str">
        <f t="shared" si="16"/>
        <v>+91-9652996418</v>
      </c>
      <c r="J1028">
        <f>91-9652996509</f>
        <v>-9652996418</v>
      </c>
      <c r="K1028" t="s">
        <v>68</v>
      </c>
      <c r="L1028" t="s">
        <v>52</v>
      </c>
      <c r="M1028">
        <v>248511</v>
      </c>
      <c r="N1028" s="1">
        <v>45093</v>
      </c>
      <c r="O1028" t="s">
        <v>28</v>
      </c>
      <c r="P1028">
        <v>2</v>
      </c>
      <c r="Q1028">
        <v>65336.29</v>
      </c>
    </row>
    <row r="1029" spans="1:17" x14ac:dyDescent="0.3">
      <c r="A1029" t="s">
        <v>2699</v>
      </c>
      <c r="B1029" t="s">
        <v>1564</v>
      </c>
      <c r="C1029" s="2" t="str">
        <f>PROPER(TRIM(Table1[[#This Row],[Gender]]))</f>
        <v>Female</v>
      </c>
      <c r="D1029" t="s">
        <v>43</v>
      </c>
      <c r="E1029">
        <v>27</v>
      </c>
      <c r="F1029" t="s">
        <v>31</v>
      </c>
      <c r="G1029" s="1">
        <v>35803</v>
      </c>
      <c r="H1029" t="s">
        <v>2700</v>
      </c>
      <c r="I1029" s="2" t="str">
        <f t="shared" si="16"/>
        <v>+91-8057363414</v>
      </c>
      <c r="J1029">
        <f>91-8057363505</f>
        <v>-8057363414</v>
      </c>
      <c r="K1029" t="s">
        <v>165</v>
      </c>
      <c r="L1029" t="s">
        <v>52</v>
      </c>
      <c r="M1029">
        <v>478236</v>
      </c>
      <c r="N1029" s="1">
        <v>45402</v>
      </c>
      <c r="O1029" t="s">
        <v>21</v>
      </c>
      <c r="P1029">
        <v>2</v>
      </c>
      <c r="Q1029">
        <v>22568.6</v>
      </c>
    </row>
    <row r="1030" spans="1:17" x14ac:dyDescent="0.3">
      <c r="A1030" t="s">
        <v>2701</v>
      </c>
      <c r="B1030" t="s">
        <v>1270</v>
      </c>
      <c r="C1030" s="2" t="str">
        <f>PROPER(TRIM(Table1[[#This Row],[Gender]]))</f>
        <v>Female</v>
      </c>
      <c r="D1030" t="s">
        <v>43</v>
      </c>
      <c r="E1030">
        <v>34</v>
      </c>
      <c r="F1030" t="s">
        <v>31</v>
      </c>
      <c r="G1030" s="1">
        <v>33248</v>
      </c>
      <c r="H1030" t="s">
        <v>2702</v>
      </c>
      <c r="I1030" s="2" t="str">
        <f t="shared" si="16"/>
        <v>+91-9974546849</v>
      </c>
      <c r="J1030">
        <f>91-9974546940</f>
        <v>-9974546849</v>
      </c>
      <c r="K1030" t="s">
        <v>45</v>
      </c>
      <c r="L1030" t="s">
        <v>46</v>
      </c>
      <c r="M1030">
        <v>349418</v>
      </c>
      <c r="N1030" s="1">
        <v>45161</v>
      </c>
      <c r="O1030" t="s">
        <v>35</v>
      </c>
      <c r="P1030">
        <v>1</v>
      </c>
      <c r="Q1030">
        <v>4576.55</v>
      </c>
    </row>
    <row r="1031" spans="1:17" x14ac:dyDescent="0.3">
      <c r="A1031" t="s">
        <v>2703</v>
      </c>
      <c r="B1031" t="s">
        <v>30</v>
      </c>
      <c r="C1031" s="2" t="str">
        <f>PROPER(TRIM(Table1[[#This Row],[Gender]]))</f>
        <v>Male</v>
      </c>
      <c r="D1031" t="s">
        <v>16</v>
      </c>
      <c r="E1031">
        <v>43</v>
      </c>
      <c r="F1031" t="s">
        <v>38</v>
      </c>
      <c r="G1031" s="1">
        <v>29963</v>
      </c>
      <c r="H1031" t="s">
        <v>2704</v>
      </c>
      <c r="I1031" s="2" t="str">
        <f t="shared" si="16"/>
        <v>+91-8706753297</v>
      </c>
      <c r="J1031">
        <f>91-8706753388</f>
        <v>-8706753297</v>
      </c>
      <c r="K1031" t="s">
        <v>331</v>
      </c>
      <c r="L1031" t="s">
        <v>143</v>
      </c>
      <c r="M1031">
        <v>489005</v>
      </c>
      <c r="N1031" s="1">
        <v>45199</v>
      </c>
      <c r="O1031" t="s">
        <v>28</v>
      </c>
      <c r="P1031">
        <v>5</v>
      </c>
      <c r="Q1031">
        <v>86373.35</v>
      </c>
    </row>
    <row r="1032" spans="1:17" x14ac:dyDescent="0.3">
      <c r="A1032" t="s">
        <v>2705</v>
      </c>
      <c r="B1032" t="s">
        <v>1951</v>
      </c>
      <c r="C1032" s="2" t="str">
        <f>PROPER(TRIM(Table1[[#This Row],[Gender]]))</f>
        <v>Male</v>
      </c>
      <c r="D1032" t="s">
        <v>16</v>
      </c>
      <c r="E1032">
        <v>24</v>
      </c>
      <c r="F1032" t="s">
        <v>49</v>
      </c>
      <c r="G1032" s="1">
        <v>36898</v>
      </c>
      <c r="H1032" t="s">
        <v>1952</v>
      </c>
      <c r="I1032" s="2" t="str">
        <f t="shared" si="16"/>
        <v>+91-9990549872</v>
      </c>
      <c r="J1032">
        <f>91-9990549963</f>
        <v>-9990549872</v>
      </c>
      <c r="K1032" t="s">
        <v>580</v>
      </c>
      <c r="L1032" t="s">
        <v>85</v>
      </c>
      <c r="M1032">
        <v>410388</v>
      </c>
      <c r="N1032" s="1">
        <v>45377</v>
      </c>
      <c r="O1032" t="s">
        <v>35</v>
      </c>
      <c r="P1032">
        <v>2</v>
      </c>
      <c r="Q1032">
        <v>1069.77</v>
      </c>
    </row>
    <row r="1033" spans="1:17" x14ac:dyDescent="0.3">
      <c r="A1033" t="s">
        <v>2706</v>
      </c>
      <c r="B1033" t="s">
        <v>2707</v>
      </c>
      <c r="C1033" s="2" t="str">
        <f>PROPER(TRIM(Table1[[#This Row],[Gender]]))</f>
        <v>Male</v>
      </c>
      <c r="D1033" t="s">
        <v>16</v>
      </c>
      <c r="E1033">
        <v>20</v>
      </c>
      <c r="F1033" t="s">
        <v>49</v>
      </c>
      <c r="G1033" s="1">
        <v>38358</v>
      </c>
      <c r="H1033" t="s">
        <v>2708</v>
      </c>
      <c r="I1033" s="2" t="str">
        <f t="shared" si="16"/>
        <v>+91-9830832246</v>
      </c>
      <c r="J1033">
        <f>91-9830832337</f>
        <v>-9830832246</v>
      </c>
      <c r="K1033" t="s">
        <v>174</v>
      </c>
      <c r="L1033" t="s">
        <v>90</v>
      </c>
      <c r="M1033">
        <v>840999</v>
      </c>
      <c r="N1033" s="1">
        <v>45319</v>
      </c>
      <c r="O1033" t="s">
        <v>21</v>
      </c>
      <c r="P1033">
        <v>6</v>
      </c>
      <c r="Q1033">
        <v>29292.12</v>
      </c>
    </row>
    <row r="1034" spans="1:17" x14ac:dyDescent="0.3">
      <c r="A1034" t="s">
        <v>2709</v>
      </c>
      <c r="B1034" t="s">
        <v>1633</v>
      </c>
      <c r="C1034" s="2" t="str">
        <f>PROPER(TRIM(Table1[[#This Row],[Gender]]))</f>
        <v>Female</v>
      </c>
      <c r="D1034" t="s">
        <v>43</v>
      </c>
      <c r="E1034">
        <v>25</v>
      </c>
      <c r="F1034" t="s">
        <v>49</v>
      </c>
      <c r="G1034" s="1">
        <v>36533</v>
      </c>
      <c r="H1034" t="s">
        <v>2710</v>
      </c>
      <c r="I1034" s="2" t="str">
        <f t="shared" si="16"/>
        <v>+91-8698740091</v>
      </c>
      <c r="J1034">
        <f>91-8698740182</f>
        <v>-8698740091</v>
      </c>
      <c r="K1034" t="s">
        <v>19</v>
      </c>
      <c r="L1034" t="s">
        <v>20</v>
      </c>
      <c r="M1034">
        <v>797341</v>
      </c>
      <c r="N1034" s="1">
        <v>45409</v>
      </c>
      <c r="O1034" t="s">
        <v>28</v>
      </c>
      <c r="P1034">
        <v>10</v>
      </c>
      <c r="Q1034">
        <v>187734.31</v>
      </c>
    </row>
    <row r="1035" spans="1:17" x14ac:dyDescent="0.3">
      <c r="A1035" t="s">
        <v>2711</v>
      </c>
      <c r="B1035" t="s">
        <v>2712</v>
      </c>
      <c r="C1035" s="2" t="str">
        <f>PROPER(TRIM(Table1[[#This Row],[Gender]]))</f>
        <v>Female</v>
      </c>
      <c r="D1035" t="s">
        <v>43</v>
      </c>
      <c r="E1035">
        <v>51</v>
      </c>
      <c r="F1035" t="s">
        <v>17</v>
      </c>
      <c r="G1035" s="1">
        <v>27043</v>
      </c>
      <c r="H1035" t="s">
        <v>2713</v>
      </c>
      <c r="I1035" s="2" t="str">
        <f t="shared" si="16"/>
        <v>+91-8443093776</v>
      </c>
      <c r="J1035">
        <f>91-8443093867</f>
        <v>-8443093776</v>
      </c>
      <c r="K1035" t="s">
        <v>72</v>
      </c>
      <c r="L1035" t="s">
        <v>34</v>
      </c>
      <c r="M1035">
        <v>491061</v>
      </c>
      <c r="N1035" s="1">
        <v>45241</v>
      </c>
      <c r="O1035" t="s">
        <v>28</v>
      </c>
      <c r="P1035">
        <v>8</v>
      </c>
      <c r="Q1035">
        <v>51813.98</v>
      </c>
    </row>
    <row r="1036" spans="1:17" x14ac:dyDescent="0.3">
      <c r="A1036" t="s">
        <v>2714</v>
      </c>
      <c r="B1036" t="s">
        <v>2079</v>
      </c>
      <c r="C1036" s="2" t="str">
        <f>PROPER(TRIM(Table1[[#This Row],[Gender]]))</f>
        <v>Male</v>
      </c>
      <c r="D1036" t="s">
        <v>16</v>
      </c>
      <c r="E1036">
        <v>24</v>
      </c>
      <c r="F1036" t="s">
        <v>49</v>
      </c>
      <c r="G1036" s="1">
        <v>36898</v>
      </c>
      <c r="H1036" t="s">
        <v>2715</v>
      </c>
      <c r="I1036" s="2" t="str">
        <f t="shared" si="16"/>
        <v>+91-8116789600</v>
      </c>
      <c r="J1036">
        <f>91-8116789691</f>
        <v>-8116789600</v>
      </c>
      <c r="K1036" t="s">
        <v>84</v>
      </c>
      <c r="L1036" t="s">
        <v>85</v>
      </c>
      <c r="M1036">
        <v>498897</v>
      </c>
      <c r="N1036" s="1">
        <v>45169</v>
      </c>
      <c r="O1036" t="s">
        <v>28</v>
      </c>
      <c r="P1036">
        <v>5</v>
      </c>
      <c r="Q1036">
        <v>134354.89000000001</v>
      </c>
    </row>
    <row r="1037" spans="1:17" x14ac:dyDescent="0.3">
      <c r="A1037" t="s">
        <v>2716</v>
      </c>
      <c r="B1037" t="s">
        <v>1926</v>
      </c>
      <c r="C1037" s="2" t="str">
        <f>PROPER(TRIM(Table1[[#This Row],[Gender]]))</f>
        <v>Female</v>
      </c>
      <c r="D1037" t="s">
        <v>43</v>
      </c>
      <c r="E1037">
        <v>37</v>
      </c>
      <c r="F1037" t="s">
        <v>38</v>
      </c>
      <c r="G1037" s="1">
        <v>32153</v>
      </c>
      <c r="H1037" t="s">
        <v>2717</v>
      </c>
      <c r="I1037" s="2" t="str">
        <f t="shared" si="16"/>
        <v>+91-8517880528</v>
      </c>
      <c r="J1037">
        <f>91-8517880619</f>
        <v>-8517880528</v>
      </c>
      <c r="K1037" t="s">
        <v>161</v>
      </c>
      <c r="L1037" t="s">
        <v>102</v>
      </c>
      <c r="M1037">
        <v>432177</v>
      </c>
      <c r="N1037" s="1">
        <v>45273</v>
      </c>
      <c r="O1037" t="s">
        <v>28</v>
      </c>
      <c r="P1037">
        <v>6</v>
      </c>
      <c r="Q1037">
        <v>269440.31</v>
      </c>
    </row>
    <row r="1038" spans="1:17" x14ac:dyDescent="0.3">
      <c r="A1038" t="s">
        <v>2718</v>
      </c>
      <c r="B1038" t="s">
        <v>2147</v>
      </c>
      <c r="C1038" s="2" t="str">
        <f>PROPER(TRIM(Table1[[#This Row],[Gender]]))</f>
        <v>Female</v>
      </c>
      <c r="D1038" t="s">
        <v>43</v>
      </c>
      <c r="E1038">
        <v>34</v>
      </c>
      <c r="F1038" t="s">
        <v>31</v>
      </c>
      <c r="G1038" s="1">
        <v>33248</v>
      </c>
      <c r="H1038" t="s">
        <v>2719</v>
      </c>
      <c r="I1038" s="2" t="str">
        <f t="shared" si="16"/>
        <v>+91-8386445567</v>
      </c>
      <c r="J1038">
        <f>91-8386445658</f>
        <v>-8386445567</v>
      </c>
      <c r="K1038" t="s">
        <v>45</v>
      </c>
      <c r="L1038" t="s">
        <v>46</v>
      </c>
      <c r="M1038">
        <v>173197</v>
      </c>
      <c r="N1038" s="1">
        <v>45412</v>
      </c>
      <c r="O1038" t="s">
        <v>28</v>
      </c>
      <c r="P1038">
        <v>5</v>
      </c>
      <c r="Q1038">
        <v>268486.58</v>
      </c>
    </row>
    <row r="1039" spans="1:17" x14ac:dyDescent="0.3">
      <c r="A1039" t="s">
        <v>2720</v>
      </c>
      <c r="B1039" t="s">
        <v>2721</v>
      </c>
      <c r="C1039" s="2" t="str">
        <f>PROPER(TRIM(Table1[[#This Row],[Gender]]))</f>
        <v>Male</v>
      </c>
      <c r="D1039" t="s">
        <v>16</v>
      </c>
      <c r="E1039">
        <v>39</v>
      </c>
      <c r="F1039" t="s">
        <v>38</v>
      </c>
      <c r="G1039" s="1">
        <v>31423</v>
      </c>
      <c r="H1039" t="s">
        <v>2722</v>
      </c>
      <c r="I1039" s="2" t="str">
        <f t="shared" si="16"/>
        <v>+91-7717482367</v>
      </c>
      <c r="J1039">
        <f>91-7717482458</f>
        <v>-7717482367</v>
      </c>
      <c r="K1039" t="s">
        <v>64</v>
      </c>
      <c r="L1039" t="s">
        <v>20</v>
      </c>
      <c r="M1039">
        <v>653231</v>
      </c>
      <c r="N1039" s="1">
        <v>45264</v>
      </c>
      <c r="O1039" t="s">
        <v>28</v>
      </c>
      <c r="P1039">
        <v>5</v>
      </c>
      <c r="Q1039">
        <v>63983.77</v>
      </c>
    </row>
    <row r="1040" spans="1:17" x14ac:dyDescent="0.3">
      <c r="A1040" t="s">
        <v>2723</v>
      </c>
      <c r="B1040" t="s">
        <v>1168</v>
      </c>
      <c r="C1040" s="2" t="str">
        <f>PROPER(TRIM(Table1[[#This Row],[Gender]]))</f>
        <v>Female</v>
      </c>
      <c r="D1040" t="s">
        <v>43</v>
      </c>
      <c r="E1040">
        <v>22</v>
      </c>
      <c r="F1040" t="s">
        <v>49</v>
      </c>
      <c r="G1040" s="1">
        <v>37628</v>
      </c>
      <c r="H1040" t="s">
        <v>2724</v>
      </c>
      <c r="I1040" s="2" t="str">
        <f t="shared" si="16"/>
        <v>+91-7289545104</v>
      </c>
      <c r="J1040">
        <f>91-7289545195</f>
        <v>-7289545104</v>
      </c>
      <c r="K1040" t="s">
        <v>331</v>
      </c>
      <c r="L1040" t="s">
        <v>143</v>
      </c>
      <c r="M1040">
        <v>526245</v>
      </c>
      <c r="N1040" s="1">
        <v>45160</v>
      </c>
      <c r="O1040" t="s">
        <v>28</v>
      </c>
      <c r="P1040">
        <v>4</v>
      </c>
      <c r="Q1040">
        <v>100742.63</v>
      </c>
    </row>
    <row r="1041" spans="1:17" x14ac:dyDescent="0.3">
      <c r="A1041" t="s">
        <v>2725</v>
      </c>
      <c r="B1041" t="s">
        <v>2726</v>
      </c>
      <c r="C1041" s="2" t="str">
        <f>PROPER(TRIM(Table1[[#This Row],[Gender]]))</f>
        <v>Male</v>
      </c>
      <c r="D1041" t="s">
        <v>16</v>
      </c>
      <c r="E1041">
        <v>30</v>
      </c>
      <c r="F1041" t="s">
        <v>31</v>
      </c>
      <c r="G1041" s="1">
        <v>34708</v>
      </c>
      <c r="H1041" t="s">
        <v>2727</v>
      </c>
      <c r="I1041" s="2" t="str">
        <f t="shared" si="16"/>
        <v>+91-9275829882</v>
      </c>
      <c r="J1041">
        <f>91-9275829973</f>
        <v>-9275829882</v>
      </c>
      <c r="K1041" t="s">
        <v>125</v>
      </c>
      <c r="L1041" t="s">
        <v>52</v>
      </c>
      <c r="M1041">
        <v>575279</v>
      </c>
      <c r="N1041" s="1">
        <v>45194</v>
      </c>
      <c r="O1041" t="s">
        <v>28</v>
      </c>
      <c r="P1041">
        <v>4</v>
      </c>
      <c r="Q1041">
        <v>87789.02</v>
      </c>
    </row>
    <row r="1042" spans="1:17" x14ac:dyDescent="0.3">
      <c r="A1042" t="s">
        <v>2728</v>
      </c>
      <c r="B1042" t="s">
        <v>1916</v>
      </c>
      <c r="C1042" s="2" t="str">
        <f>PROPER(TRIM(Table1[[#This Row],[Gender]]))</f>
        <v>Male</v>
      </c>
      <c r="D1042" t="s">
        <v>16</v>
      </c>
      <c r="E1042">
        <v>24</v>
      </c>
      <c r="F1042" t="s">
        <v>49</v>
      </c>
      <c r="G1042" s="1">
        <v>36898</v>
      </c>
      <c r="H1042" t="s">
        <v>2729</v>
      </c>
      <c r="I1042" s="2" t="str">
        <f t="shared" si="16"/>
        <v>+91-9936479252</v>
      </c>
      <c r="J1042">
        <f>91-9936479343</f>
        <v>-9936479252</v>
      </c>
      <c r="K1042" t="s">
        <v>72</v>
      </c>
      <c r="L1042" t="s">
        <v>34</v>
      </c>
      <c r="M1042">
        <v>261438</v>
      </c>
      <c r="N1042" s="1">
        <v>45082</v>
      </c>
      <c r="O1042" t="s">
        <v>35</v>
      </c>
      <c r="P1042">
        <v>5</v>
      </c>
      <c r="Q1042">
        <v>15617.54</v>
      </c>
    </row>
    <row r="1043" spans="1:17" x14ac:dyDescent="0.3">
      <c r="A1043" t="s">
        <v>2730</v>
      </c>
      <c r="B1043" t="s">
        <v>133</v>
      </c>
      <c r="C1043" s="2" t="str">
        <f>PROPER(TRIM(Table1[[#This Row],[Gender]]))</f>
        <v>Male</v>
      </c>
      <c r="D1043" t="s">
        <v>16</v>
      </c>
      <c r="E1043">
        <v>39</v>
      </c>
      <c r="F1043" t="s">
        <v>38</v>
      </c>
      <c r="G1043" s="1">
        <v>31423</v>
      </c>
      <c r="H1043" t="s">
        <v>2731</v>
      </c>
      <c r="I1043" s="2" t="str">
        <f t="shared" si="16"/>
        <v>+91-7039324856</v>
      </c>
      <c r="J1043">
        <f>91-7039324947</f>
        <v>-7039324856</v>
      </c>
      <c r="K1043" t="s">
        <v>415</v>
      </c>
      <c r="L1043" t="s">
        <v>90</v>
      </c>
      <c r="M1043">
        <v>262761</v>
      </c>
      <c r="N1043" s="1">
        <v>45278</v>
      </c>
      <c r="O1043" t="s">
        <v>28</v>
      </c>
      <c r="P1043">
        <v>4</v>
      </c>
      <c r="Q1043">
        <v>330117.08</v>
      </c>
    </row>
    <row r="1044" spans="1:17" x14ac:dyDescent="0.3">
      <c r="A1044" t="s">
        <v>2732</v>
      </c>
      <c r="B1044" t="s">
        <v>1228</v>
      </c>
      <c r="C1044" s="2" t="str">
        <f>PROPER(TRIM(Table1[[#This Row],[Gender]]))</f>
        <v>Female</v>
      </c>
      <c r="D1044" t="s">
        <v>43</v>
      </c>
      <c r="E1044">
        <v>43</v>
      </c>
      <c r="F1044" t="s">
        <v>38</v>
      </c>
      <c r="G1044" s="1">
        <v>29963</v>
      </c>
      <c r="H1044" t="s">
        <v>2733</v>
      </c>
      <c r="I1044" s="2" t="str">
        <f t="shared" si="16"/>
        <v>+91-9348890750</v>
      </c>
      <c r="J1044">
        <f>91-9348890841</f>
        <v>-9348890750</v>
      </c>
      <c r="K1044" t="s">
        <v>26</v>
      </c>
      <c r="L1044" t="s">
        <v>27</v>
      </c>
      <c r="M1044">
        <v>516545</v>
      </c>
      <c r="N1044" s="1">
        <v>45246</v>
      </c>
      <c r="O1044" t="s">
        <v>28</v>
      </c>
      <c r="P1044">
        <v>6</v>
      </c>
      <c r="Q1044">
        <v>68461.97</v>
      </c>
    </row>
    <row r="1045" spans="1:17" x14ac:dyDescent="0.3">
      <c r="A1045" t="s">
        <v>2734</v>
      </c>
      <c r="B1045" t="s">
        <v>1211</v>
      </c>
      <c r="C1045" s="2" t="str">
        <f>PROPER(TRIM(Table1[[#This Row],[Gender]]))</f>
        <v>Female</v>
      </c>
      <c r="D1045" t="s">
        <v>43</v>
      </c>
      <c r="E1045">
        <v>42</v>
      </c>
      <c r="F1045" t="s">
        <v>38</v>
      </c>
      <c r="G1045" s="1">
        <v>30328</v>
      </c>
      <c r="H1045" t="s">
        <v>2735</v>
      </c>
      <c r="I1045" s="2" t="str">
        <f t="shared" si="16"/>
        <v>+91-8350340131</v>
      </c>
      <c r="J1045">
        <f>91-8350340222</f>
        <v>-8350340131</v>
      </c>
      <c r="K1045" t="s">
        <v>178</v>
      </c>
      <c r="L1045" t="s">
        <v>27</v>
      </c>
      <c r="M1045">
        <v>521798</v>
      </c>
      <c r="N1045" s="1">
        <v>45217</v>
      </c>
      <c r="O1045" t="s">
        <v>28</v>
      </c>
      <c r="P1045">
        <v>4</v>
      </c>
      <c r="Q1045">
        <v>94348.98</v>
      </c>
    </row>
    <row r="1046" spans="1:17" x14ac:dyDescent="0.3">
      <c r="A1046" t="s">
        <v>2736</v>
      </c>
      <c r="B1046" t="s">
        <v>2721</v>
      </c>
      <c r="C1046" s="2" t="str">
        <f>PROPER(TRIM(Table1[[#This Row],[Gender]]))</f>
        <v>Male</v>
      </c>
      <c r="D1046" t="s">
        <v>16</v>
      </c>
      <c r="E1046">
        <v>24</v>
      </c>
      <c r="F1046" t="s">
        <v>49</v>
      </c>
      <c r="G1046" s="1">
        <v>36898</v>
      </c>
      <c r="H1046" t="s">
        <v>2737</v>
      </c>
      <c r="I1046" s="2" t="str">
        <f t="shared" si="16"/>
        <v>+91-9490566895</v>
      </c>
      <c r="J1046">
        <f>91-9490566986</f>
        <v>-9490566895</v>
      </c>
      <c r="K1046" t="s">
        <v>94</v>
      </c>
      <c r="L1046" t="s">
        <v>20</v>
      </c>
      <c r="M1046">
        <v>994873</v>
      </c>
      <c r="N1046" s="1">
        <v>45184</v>
      </c>
      <c r="O1046" t="s">
        <v>35</v>
      </c>
      <c r="P1046">
        <v>4</v>
      </c>
      <c r="Q1046">
        <v>2908.18</v>
      </c>
    </row>
    <row r="1047" spans="1:17" x14ac:dyDescent="0.3">
      <c r="A1047" t="s">
        <v>2738</v>
      </c>
      <c r="B1047" t="s">
        <v>2739</v>
      </c>
      <c r="C1047" s="2" t="str">
        <f>PROPER(TRIM(Table1[[#This Row],[Gender]]))</f>
        <v>Female</v>
      </c>
      <c r="D1047" t="s">
        <v>43</v>
      </c>
      <c r="E1047">
        <v>24</v>
      </c>
      <c r="F1047" t="s">
        <v>49</v>
      </c>
      <c r="G1047" s="1">
        <v>36898</v>
      </c>
      <c r="H1047" t="s">
        <v>2740</v>
      </c>
      <c r="I1047" s="2" t="str">
        <f t="shared" si="16"/>
        <v>+91-8457295127</v>
      </c>
      <c r="J1047">
        <f>91-8457295218</f>
        <v>-8457295127</v>
      </c>
      <c r="K1047" t="s">
        <v>165</v>
      </c>
      <c r="L1047" t="s">
        <v>52</v>
      </c>
      <c r="M1047">
        <v>553292</v>
      </c>
      <c r="N1047" s="1">
        <v>45215</v>
      </c>
      <c r="O1047" t="s">
        <v>28</v>
      </c>
      <c r="P1047">
        <v>2</v>
      </c>
      <c r="Q1047">
        <v>128241.79</v>
      </c>
    </row>
    <row r="1048" spans="1:17" x14ac:dyDescent="0.3">
      <c r="A1048" t="s">
        <v>2741</v>
      </c>
      <c r="B1048" t="s">
        <v>222</v>
      </c>
      <c r="C1048" s="2" t="str">
        <f>PROPER(TRIM(Table1[[#This Row],[Gender]]))</f>
        <v>Female</v>
      </c>
      <c r="D1048" t="s">
        <v>43</v>
      </c>
      <c r="E1048">
        <v>21</v>
      </c>
      <c r="F1048" t="s">
        <v>49</v>
      </c>
      <c r="G1048" s="1">
        <v>37993</v>
      </c>
      <c r="H1048" t="s">
        <v>2742</v>
      </c>
      <c r="I1048" s="2" t="str">
        <f t="shared" si="16"/>
        <v>+91-8268849562</v>
      </c>
      <c r="J1048">
        <f>91-8268849653</f>
        <v>-8268849562</v>
      </c>
      <c r="K1048" t="s">
        <v>161</v>
      </c>
      <c r="L1048" t="s">
        <v>102</v>
      </c>
      <c r="M1048">
        <v>394832</v>
      </c>
      <c r="N1048" s="1">
        <v>45110</v>
      </c>
      <c r="O1048" t="s">
        <v>28</v>
      </c>
      <c r="P1048">
        <v>5</v>
      </c>
      <c r="Q1048">
        <v>64626.58</v>
      </c>
    </row>
    <row r="1049" spans="1:17" x14ac:dyDescent="0.3">
      <c r="A1049" t="s">
        <v>2743</v>
      </c>
      <c r="B1049" t="s">
        <v>718</v>
      </c>
      <c r="C1049" s="2" t="str">
        <f>PROPER(TRIM(Table1[[#This Row],[Gender]]))</f>
        <v>Female</v>
      </c>
      <c r="D1049" t="s">
        <v>43</v>
      </c>
      <c r="E1049">
        <v>35</v>
      </c>
      <c r="F1049" t="s">
        <v>31</v>
      </c>
      <c r="G1049" s="1">
        <v>32883</v>
      </c>
      <c r="H1049" t="s">
        <v>2744</v>
      </c>
      <c r="I1049" s="2" t="str">
        <f t="shared" si="16"/>
        <v>+91-8139855570</v>
      </c>
      <c r="J1049">
        <f>91-8139855661</f>
        <v>-8139855570</v>
      </c>
      <c r="K1049" t="s">
        <v>178</v>
      </c>
      <c r="L1049" t="s">
        <v>27</v>
      </c>
      <c r="M1049">
        <v>442010</v>
      </c>
      <c r="N1049" s="1">
        <v>45115</v>
      </c>
      <c r="O1049" t="s">
        <v>28</v>
      </c>
      <c r="P1049">
        <v>7</v>
      </c>
      <c r="Q1049">
        <v>218519.34</v>
      </c>
    </row>
    <row r="1050" spans="1:17" x14ac:dyDescent="0.3">
      <c r="A1050" t="s">
        <v>2745</v>
      </c>
      <c r="B1050" t="s">
        <v>2147</v>
      </c>
      <c r="C1050" s="2" t="str">
        <f>PROPER(TRIM(Table1[[#This Row],[Gender]]))</f>
        <v>Female</v>
      </c>
      <c r="D1050" t="s">
        <v>43</v>
      </c>
      <c r="E1050">
        <v>47</v>
      </c>
      <c r="F1050" t="s">
        <v>17</v>
      </c>
      <c r="G1050" s="1">
        <v>28503</v>
      </c>
      <c r="H1050" t="s">
        <v>2746</v>
      </c>
      <c r="I1050" s="2" t="str">
        <f t="shared" si="16"/>
        <v>+91-9241627180</v>
      </c>
      <c r="J1050">
        <f>91-9241627271</f>
        <v>-9241627180</v>
      </c>
      <c r="K1050" t="s">
        <v>331</v>
      </c>
      <c r="L1050" t="s">
        <v>143</v>
      </c>
      <c r="M1050">
        <v>602626</v>
      </c>
      <c r="N1050" s="1">
        <v>45113</v>
      </c>
      <c r="O1050" t="s">
        <v>21</v>
      </c>
      <c r="P1050">
        <v>4</v>
      </c>
      <c r="Q1050">
        <v>49824.52</v>
      </c>
    </row>
    <row r="1051" spans="1:17" x14ac:dyDescent="0.3">
      <c r="A1051" t="s">
        <v>2747</v>
      </c>
      <c r="B1051" t="s">
        <v>2748</v>
      </c>
      <c r="C1051" s="2" t="str">
        <f>PROPER(TRIM(Table1[[#This Row],[Gender]]))</f>
        <v>Female</v>
      </c>
      <c r="D1051" t="s">
        <v>43</v>
      </c>
      <c r="E1051">
        <v>19</v>
      </c>
      <c r="F1051" t="s">
        <v>49</v>
      </c>
      <c r="G1051" s="1">
        <v>38723</v>
      </c>
      <c r="H1051" t="s">
        <v>2749</v>
      </c>
      <c r="I1051" s="2" t="str">
        <f t="shared" si="16"/>
        <v>+91-8864017191</v>
      </c>
      <c r="J1051">
        <f>91-8864017282</f>
        <v>-8864017191</v>
      </c>
      <c r="K1051" t="s">
        <v>580</v>
      </c>
      <c r="L1051" t="s">
        <v>85</v>
      </c>
      <c r="M1051">
        <v>540127</v>
      </c>
      <c r="N1051" s="1">
        <v>45127</v>
      </c>
      <c r="O1051" t="s">
        <v>28</v>
      </c>
      <c r="P1051">
        <v>4</v>
      </c>
      <c r="Q1051">
        <v>125472.7</v>
      </c>
    </row>
    <row r="1052" spans="1:17" x14ac:dyDescent="0.3">
      <c r="A1052" t="s">
        <v>2750</v>
      </c>
      <c r="B1052" t="s">
        <v>2751</v>
      </c>
      <c r="C1052" s="2" t="str">
        <f>PROPER(TRIM(Table1[[#This Row],[Gender]]))</f>
        <v>Male</v>
      </c>
      <c r="D1052" t="s">
        <v>16</v>
      </c>
      <c r="E1052">
        <v>28</v>
      </c>
      <c r="F1052" t="s">
        <v>31</v>
      </c>
      <c r="G1052" s="1">
        <v>35438</v>
      </c>
      <c r="H1052" t="s">
        <v>2752</v>
      </c>
      <c r="I1052" s="2" t="str">
        <f t="shared" si="16"/>
        <v>+91-8013565908</v>
      </c>
      <c r="J1052">
        <f>91-8013565999</f>
        <v>-8013565908</v>
      </c>
      <c r="K1052" t="s">
        <v>19</v>
      </c>
      <c r="L1052" t="s">
        <v>20</v>
      </c>
      <c r="M1052">
        <v>243849</v>
      </c>
      <c r="N1052" s="1">
        <v>45373</v>
      </c>
      <c r="O1052" t="s">
        <v>28</v>
      </c>
      <c r="P1052">
        <v>3</v>
      </c>
      <c r="Q1052">
        <v>138745.76999999999</v>
      </c>
    </row>
    <row r="1053" spans="1:17" x14ac:dyDescent="0.3">
      <c r="A1053" t="s">
        <v>2753</v>
      </c>
      <c r="B1053" t="s">
        <v>641</v>
      </c>
      <c r="C1053" s="2" t="str">
        <f>PROPER(TRIM(Table1[[#This Row],[Gender]]))</f>
        <v>Male</v>
      </c>
      <c r="D1053" t="s">
        <v>16</v>
      </c>
      <c r="E1053">
        <v>47</v>
      </c>
      <c r="F1053" t="s">
        <v>17</v>
      </c>
      <c r="G1053" s="1">
        <v>28503</v>
      </c>
      <c r="H1053" t="s">
        <v>2754</v>
      </c>
      <c r="I1053" s="2" t="str">
        <f t="shared" si="16"/>
        <v>+91-8279757623</v>
      </c>
      <c r="J1053">
        <f>91-8279757714</f>
        <v>-8279757623</v>
      </c>
      <c r="K1053" t="s">
        <v>113</v>
      </c>
      <c r="L1053" t="s">
        <v>34</v>
      </c>
      <c r="M1053">
        <v>145230</v>
      </c>
      <c r="N1053" s="1">
        <v>45284</v>
      </c>
      <c r="O1053" t="s">
        <v>21</v>
      </c>
      <c r="P1053">
        <v>5</v>
      </c>
      <c r="Q1053">
        <v>22595.67</v>
      </c>
    </row>
    <row r="1054" spans="1:17" x14ac:dyDescent="0.3">
      <c r="A1054" t="s">
        <v>2755</v>
      </c>
      <c r="B1054" t="s">
        <v>2674</v>
      </c>
      <c r="C1054" s="2" t="str">
        <f>PROPER(TRIM(Table1[[#This Row],[Gender]]))</f>
        <v>Female</v>
      </c>
      <c r="D1054" t="s">
        <v>43</v>
      </c>
      <c r="E1054">
        <v>30</v>
      </c>
      <c r="F1054" t="s">
        <v>31</v>
      </c>
      <c r="G1054" s="1">
        <v>34708</v>
      </c>
      <c r="H1054" t="s">
        <v>2756</v>
      </c>
      <c r="I1054" s="2" t="str">
        <f t="shared" si="16"/>
        <v>+91-9328690194</v>
      </c>
      <c r="J1054">
        <f>91-9328690285</f>
        <v>-9328690194</v>
      </c>
      <c r="K1054" t="s">
        <v>117</v>
      </c>
      <c r="L1054" t="s">
        <v>52</v>
      </c>
      <c r="M1054">
        <v>282428</v>
      </c>
      <c r="N1054" s="1">
        <v>45363</v>
      </c>
      <c r="O1054" t="s">
        <v>28</v>
      </c>
      <c r="P1054">
        <v>9</v>
      </c>
      <c r="Q1054">
        <v>415820.26</v>
      </c>
    </row>
    <row r="1055" spans="1:17" x14ac:dyDescent="0.3">
      <c r="A1055" t="s">
        <v>2757</v>
      </c>
      <c r="B1055" t="s">
        <v>407</v>
      </c>
      <c r="C1055" s="2" t="str">
        <f>PROPER(TRIM(Table1[[#This Row],[Gender]]))</f>
        <v>Male</v>
      </c>
      <c r="D1055" t="s">
        <v>16</v>
      </c>
      <c r="E1055">
        <v>30</v>
      </c>
      <c r="F1055" t="s">
        <v>31</v>
      </c>
      <c r="G1055" s="1">
        <v>34708</v>
      </c>
      <c r="H1055" t="s">
        <v>2758</v>
      </c>
      <c r="I1055" s="2" t="str">
        <f t="shared" si="16"/>
        <v>+91-9076957180</v>
      </c>
      <c r="J1055">
        <f>91-9076957271</f>
        <v>-9076957180</v>
      </c>
      <c r="K1055" t="s">
        <v>76</v>
      </c>
      <c r="L1055" t="s">
        <v>46</v>
      </c>
      <c r="M1055">
        <v>486482</v>
      </c>
      <c r="N1055" s="1">
        <v>45175</v>
      </c>
      <c r="O1055" t="s">
        <v>28</v>
      </c>
      <c r="P1055">
        <v>5</v>
      </c>
      <c r="Q1055">
        <v>182596.61</v>
      </c>
    </row>
    <row r="1056" spans="1:17" x14ac:dyDescent="0.3">
      <c r="A1056" t="s">
        <v>2759</v>
      </c>
      <c r="B1056" t="s">
        <v>1862</v>
      </c>
      <c r="C1056" s="2" t="str">
        <f>PROPER(TRIM(Table1[[#This Row],[Gender]]))</f>
        <v>Female</v>
      </c>
      <c r="D1056" t="s">
        <v>43</v>
      </c>
      <c r="E1056">
        <v>33</v>
      </c>
      <c r="F1056" t="s">
        <v>31</v>
      </c>
      <c r="G1056" s="1">
        <v>33613</v>
      </c>
      <c r="H1056" t="s">
        <v>2760</v>
      </c>
      <c r="I1056" s="2" t="str">
        <f t="shared" si="16"/>
        <v>+91-7270780129</v>
      </c>
      <c r="J1056">
        <f>91-7270780220</f>
        <v>-7270780129</v>
      </c>
      <c r="K1056" t="s">
        <v>273</v>
      </c>
      <c r="L1056" t="s">
        <v>46</v>
      </c>
      <c r="M1056">
        <v>195324</v>
      </c>
      <c r="N1056" s="1">
        <v>45355</v>
      </c>
      <c r="O1056" t="s">
        <v>21</v>
      </c>
      <c r="P1056">
        <v>2</v>
      </c>
      <c r="Q1056">
        <v>21664.639999999999</v>
      </c>
    </row>
    <row r="1057" spans="1:17" x14ac:dyDescent="0.3">
      <c r="A1057" t="s">
        <v>2761</v>
      </c>
      <c r="B1057" t="s">
        <v>2762</v>
      </c>
      <c r="C1057" s="2" t="str">
        <f>PROPER(TRIM(Table1[[#This Row],[Gender]]))</f>
        <v>Male</v>
      </c>
      <c r="D1057" t="s">
        <v>16</v>
      </c>
      <c r="E1057">
        <v>43</v>
      </c>
      <c r="F1057" t="s">
        <v>38</v>
      </c>
      <c r="G1057" s="1">
        <v>29963</v>
      </c>
      <c r="H1057" t="s">
        <v>2763</v>
      </c>
      <c r="I1057" s="2" t="str">
        <f t="shared" si="16"/>
        <v>+91-9201623974</v>
      </c>
      <c r="J1057">
        <f>91-9201624065</f>
        <v>-9201623974</v>
      </c>
      <c r="K1057" t="s">
        <v>117</v>
      </c>
      <c r="L1057" t="s">
        <v>52</v>
      </c>
      <c r="M1057">
        <v>454551</v>
      </c>
      <c r="N1057" s="1">
        <v>45320</v>
      </c>
      <c r="O1057" t="s">
        <v>28</v>
      </c>
      <c r="P1057">
        <v>5</v>
      </c>
      <c r="Q1057">
        <v>332415.84999999998</v>
      </c>
    </row>
    <row r="1058" spans="1:17" x14ac:dyDescent="0.3">
      <c r="A1058" t="s">
        <v>2764</v>
      </c>
      <c r="B1058" t="s">
        <v>251</v>
      </c>
      <c r="C1058" s="2" t="str">
        <f>PROPER(TRIM(Table1[[#This Row],[Gender]]))</f>
        <v>Female</v>
      </c>
      <c r="D1058" t="s">
        <v>43</v>
      </c>
      <c r="E1058">
        <v>31</v>
      </c>
      <c r="F1058" t="s">
        <v>31</v>
      </c>
      <c r="G1058" s="1">
        <v>34343</v>
      </c>
      <c r="H1058" t="s">
        <v>2765</v>
      </c>
      <c r="I1058" s="2" t="str">
        <f t="shared" si="16"/>
        <v>+91-7954477609</v>
      </c>
      <c r="J1058">
        <f>91-7954477700</f>
        <v>-7954477609</v>
      </c>
      <c r="K1058" t="s">
        <v>178</v>
      </c>
      <c r="L1058" t="s">
        <v>27</v>
      </c>
      <c r="M1058">
        <v>740688</v>
      </c>
      <c r="N1058" s="1">
        <v>45298</v>
      </c>
      <c r="O1058" t="s">
        <v>28</v>
      </c>
      <c r="P1058">
        <v>4</v>
      </c>
      <c r="Q1058">
        <v>92687.26</v>
      </c>
    </row>
    <row r="1059" spans="1:17" x14ac:dyDescent="0.3">
      <c r="A1059" t="s">
        <v>2766</v>
      </c>
      <c r="B1059" t="s">
        <v>2162</v>
      </c>
      <c r="C1059" s="2" t="str">
        <f>PROPER(TRIM(Table1[[#This Row],[Gender]]))</f>
        <v>Male</v>
      </c>
      <c r="D1059" t="s">
        <v>16</v>
      </c>
      <c r="E1059">
        <v>28</v>
      </c>
      <c r="F1059" t="s">
        <v>31</v>
      </c>
      <c r="G1059" s="1">
        <v>35438</v>
      </c>
      <c r="H1059" t="s">
        <v>2767</v>
      </c>
      <c r="I1059" s="2" t="str">
        <f t="shared" si="16"/>
        <v>+91-7777271623</v>
      </c>
      <c r="J1059">
        <f>91-7777271714</f>
        <v>-7777271623</v>
      </c>
      <c r="K1059" t="s">
        <v>202</v>
      </c>
      <c r="L1059" t="s">
        <v>191</v>
      </c>
      <c r="M1059">
        <v>768081</v>
      </c>
      <c r="N1059" s="1">
        <v>45432</v>
      </c>
      <c r="O1059" t="s">
        <v>28</v>
      </c>
      <c r="P1059">
        <v>12</v>
      </c>
      <c r="Q1059">
        <v>264339.02</v>
      </c>
    </row>
    <row r="1060" spans="1:17" x14ac:dyDescent="0.3">
      <c r="A1060" t="s">
        <v>2768</v>
      </c>
      <c r="B1060" t="s">
        <v>333</v>
      </c>
      <c r="C1060" s="2" t="str">
        <f>PROPER(TRIM(Table1[[#This Row],[Gender]]))</f>
        <v>Female</v>
      </c>
      <c r="D1060" t="s">
        <v>43</v>
      </c>
      <c r="E1060">
        <v>36</v>
      </c>
      <c r="F1060" t="s">
        <v>38</v>
      </c>
      <c r="G1060" s="1">
        <v>32518</v>
      </c>
      <c r="H1060" t="s">
        <v>2769</v>
      </c>
      <c r="I1060" s="2" t="str">
        <f t="shared" si="16"/>
        <v>+91-9548476901</v>
      </c>
      <c r="J1060">
        <f>91-9548476992</f>
        <v>-9548476901</v>
      </c>
      <c r="K1060" t="s">
        <v>40</v>
      </c>
      <c r="L1060" t="s">
        <v>27</v>
      </c>
      <c r="M1060">
        <v>275308</v>
      </c>
      <c r="N1060" s="1">
        <v>45428</v>
      </c>
      <c r="O1060" t="s">
        <v>28</v>
      </c>
      <c r="P1060">
        <v>6</v>
      </c>
      <c r="Q1060">
        <v>94966.47</v>
      </c>
    </row>
    <row r="1061" spans="1:17" x14ac:dyDescent="0.3">
      <c r="A1061" t="s">
        <v>2770</v>
      </c>
      <c r="B1061" t="s">
        <v>2771</v>
      </c>
      <c r="C1061" s="2" t="str">
        <f>PROPER(TRIM(Table1[[#This Row],[Gender]]))</f>
        <v>Female</v>
      </c>
      <c r="D1061" t="s">
        <v>43</v>
      </c>
      <c r="E1061">
        <v>30</v>
      </c>
      <c r="F1061" t="s">
        <v>31</v>
      </c>
      <c r="G1061" s="1">
        <v>34708</v>
      </c>
      <c r="H1061" t="s">
        <v>2772</v>
      </c>
      <c r="I1061" s="2" t="str">
        <f t="shared" si="16"/>
        <v>+91-8427544765</v>
      </c>
      <c r="J1061">
        <f>91-8427544856</f>
        <v>-8427544765</v>
      </c>
      <c r="K1061" t="s">
        <v>19</v>
      </c>
      <c r="L1061" t="s">
        <v>20</v>
      </c>
      <c r="M1061">
        <v>500085</v>
      </c>
      <c r="N1061" s="1">
        <v>45140</v>
      </c>
      <c r="O1061" t="s">
        <v>28</v>
      </c>
      <c r="P1061">
        <v>7</v>
      </c>
      <c r="Q1061">
        <v>461578.79</v>
      </c>
    </row>
    <row r="1062" spans="1:17" x14ac:dyDescent="0.3">
      <c r="A1062" t="s">
        <v>2773</v>
      </c>
      <c r="B1062" t="s">
        <v>1677</v>
      </c>
      <c r="C1062" s="2" t="str">
        <f>PROPER(TRIM(Table1[[#This Row],[Gender]]))</f>
        <v>Female</v>
      </c>
      <c r="D1062" t="s">
        <v>43</v>
      </c>
      <c r="E1062">
        <v>43</v>
      </c>
      <c r="F1062" t="s">
        <v>38</v>
      </c>
      <c r="G1062" s="1">
        <v>29963</v>
      </c>
      <c r="H1062" t="s">
        <v>2774</v>
      </c>
      <c r="I1062" s="2" t="str">
        <f t="shared" si="16"/>
        <v>+91-7149807893</v>
      </c>
      <c r="J1062">
        <f>91-7149807984</f>
        <v>-7149807893</v>
      </c>
      <c r="K1062" t="s">
        <v>84</v>
      </c>
      <c r="L1062" t="s">
        <v>85</v>
      </c>
      <c r="M1062">
        <v>591888</v>
      </c>
      <c r="N1062" s="1">
        <v>45182</v>
      </c>
      <c r="O1062" t="s">
        <v>28</v>
      </c>
      <c r="P1062">
        <v>7</v>
      </c>
      <c r="Q1062">
        <v>207551.54</v>
      </c>
    </row>
    <row r="1063" spans="1:17" x14ac:dyDescent="0.3">
      <c r="A1063" t="s">
        <v>2775</v>
      </c>
      <c r="B1063" t="s">
        <v>183</v>
      </c>
      <c r="C1063" s="2" t="str">
        <f>PROPER(TRIM(Table1[[#This Row],[Gender]]))</f>
        <v>Male</v>
      </c>
      <c r="D1063" t="s">
        <v>16</v>
      </c>
      <c r="E1063">
        <v>30</v>
      </c>
      <c r="F1063" t="s">
        <v>31</v>
      </c>
      <c r="G1063" s="1">
        <v>34708</v>
      </c>
      <c r="H1063" t="s">
        <v>2776</v>
      </c>
      <c r="I1063" s="2" t="str">
        <f t="shared" si="16"/>
        <v>+91-8689146048</v>
      </c>
      <c r="J1063">
        <f>91-8689146139</f>
        <v>-8689146048</v>
      </c>
      <c r="K1063" t="s">
        <v>45</v>
      </c>
      <c r="L1063" t="s">
        <v>46</v>
      </c>
      <c r="M1063">
        <v>833053</v>
      </c>
      <c r="N1063" s="1">
        <v>45228</v>
      </c>
      <c r="O1063" t="s">
        <v>28</v>
      </c>
      <c r="P1063">
        <v>4</v>
      </c>
      <c r="Q1063">
        <v>64931.48</v>
      </c>
    </row>
    <row r="1064" spans="1:17" x14ac:dyDescent="0.3">
      <c r="A1064" t="s">
        <v>2777</v>
      </c>
      <c r="B1064" t="s">
        <v>2224</v>
      </c>
      <c r="C1064" s="2" t="str">
        <f>PROPER(TRIM(Table1[[#This Row],[Gender]]))</f>
        <v>Male</v>
      </c>
      <c r="D1064" t="s">
        <v>16</v>
      </c>
      <c r="E1064">
        <v>53</v>
      </c>
      <c r="F1064" t="s">
        <v>17</v>
      </c>
      <c r="G1064" s="1">
        <v>26313</v>
      </c>
      <c r="H1064" t="s">
        <v>2778</v>
      </c>
      <c r="I1064" s="2" t="str">
        <f t="shared" si="16"/>
        <v>+91-9834077706</v>
      </c>
      <c r="J1064">
        <f>91-9834077797</f>
        <v>-9834077706</v>
      </c>
      <c r="K1064" t="s">
        <v>84</v>
      </c>
      <c r="L1064" t="s">
        <v>85</v>
      </c>
      <c r="M1064">
        <v>838520</v>
      </c>
      <c r="N1064" s="1">
        <v>45183</v>
      </c>
      <c r="O1064" t="s">
        <v>35</v>
      </c>
      <c r="P1064">
        <v>3</v>
      </c>
      <c r="Q1064">
        <v>9256.1299999999992</v>
      </c>
    </row>
    <row r="1065" spans="1:17" x14ac:dyDescent="0.3">
      <c r="A1065" t="s">
        <v>2779</v>
      </c>
      <c r="B1065" t="s">
        <v>611</v>
      </c>
      <c r="C1065" s="2" t="str">
        <f>PROPER(TRIM(Table1[[#This Row],[Gender]]))</f>
        <v>Male</v>
      </c>
      <c r="D1065" t="s">
        <v>16</v>
      </c>
      <c r="E1065">
        <v>46</v>
      </c>
      <c r="F1065" t="s">
        <v>17</v>
      </c>
      <c r="G1065" s="1">
        <v>28868</v>
      </c>
      <c r="H1065" t="s">
        <v>2780</v>
      </c>
      <c r="I1065" s="2" t="str">
        <f t="shared" si="16"/>
        <v>+91-7110265928</v>
      </c>
      <c r="J1065">
        <f>91-7110266019</f>
        <v>-7110265928</v>
      </c>
      <c r="K1065" t="s">
        <v>331</v>
      </c>
      <c r="L1065" t="s">
        <v>143</v>
      </c>
      <c r="M1065">
        <v>713270</v>
      </c>
      <c r="N1065" s="1">
        <v>45312</v>
      </c>
      <c r="O1065" t="s">
        <v>35</v>
      </c>
      <c r="P1065">
        <v>4</v>
      </c>
      <c r="Q1065">
        <v>5834.06</v>
      </c>
    </row>
    <row r="1066" spans="1:17" x14ac:dyDescent="0.3">
      <c r="A1066" t="s">
        <v>2781</v>
      </c>
      <c r="B1066" t="s">
        <v>2782</v>
      </c>
      <c r="C1066" s="2" t="str">
        <f>PROPER(TRIM(Table1[[#This Row],[Gender]]))</f>
        <v>Female</v>
      </c>
      <c r="D1066" t="s">
        <v>43</v>
      </c>
      <c r="E1066">
        <v>49</v>
      </c>
      <c r="F1066" t="s">
        <v>17</v>
      </c>
      <c r="G1066" s="1">
        <v>27773</v>
      </c>
      <c r="H1066" t="s">
        <v>2783</v>
      </c>
      <c r="I1066" s="2" t="str">
        <f t="shared" si="16"/>
        <v>+91-9286431181</v>
      </c>
      <c r="J1066">
        <f>91-9286431272</f>
        <v>-9286431181</v>
      </c>
      <c r="K1066" t="s">
        <v>154</v>
      </c>
      <c r="L1066" t="s">
        <v>46</v>
      </c>
      <c r="M1066">
        <v>398243</v>
      </c>
      <c r="N1066" s="1">
        <v>45184</v>
      </c>
      <c r="O1066" t="s">
        <v>28</v>
      </c>
      <c r="P1066">
        <v>5</v>
      </c>
      <c r="Q1066">
        <v>116251.19</v>
      </c>
    </row>
    <row r="1067" spans="1:17" x14ac:dyDescent="0.3">
      <c r="A1067" t="s">
        <v>2784</v>
      </c>
      <c r="B1067" t="s">
        <v>2785</v>
      </c>
      <c r="C1067" s="2" t="str">
        <f>PROPER(TRIM(Table1[[#This Row],[Gender]]))</f>
        <v>Female</v>
      </c>
      <c r="D1067" t="s">
        <v>43</v>
      </c>
      <c r="E1067">
        <v>20</v>
      </c>
      <c r="F1067" t="s">
        <v>49</v>
      </c>
      <c r="G1067" s="1">
        <v>38358</v>
      </c>
      <c r="H1067" t="s">
        <v>2786</v>
      </c>
      <c r="I1067" s="2" t="str">
        <f t="shared" si="16"/>
        <v>+91-7459611373</v>
      </c>
      <c r="J1067">
        <f>91-7459611464</f>
        <v>-7459611373</v>
      </c>
      <c r="K1067" t="s">
        <v>19</v>
      </c>
      <c r="L1067" t="s">
        <v>20</v>
      </c>
      <c r="M1067">
        <v>103819</v>
      </c>
      <c r="N1067" s="1">
        <v>45388</v>
      </c>
      <c r="O1067" t="s">
        <v>35</v>
      </c>
      <c r="P1067">
        <v>2</v>
      </c>
      <c r="Q1067">
        <v>9417.3700000000008</v>
      </c>
    </row>
    <row r="1068" spans="1:17" x14ac:dyDescent="0.3">
      <c r="A1068" t="s">
        <v>2787</v>
      </c>
      <c r="B1068" t="s">
        <v>2788</v>
      </c>
      <c r="C1068" s="2" t="str">
        <f>PROPER(TRIM(Table1[[#This Row],[Gender]]))</f>
        <v>Male</v>
      </c>
      <c r="D1068" t="s">
        <v>16</v>
      </c>
      <c r="E1068">
        <v>30</v>
      </c>
      <c r="F1068" t="s">
        <v>31</v>
      </c>
      <c r="G1068" s="1">
        <v>34708</v>
      </c>
      <c r="H1068" t="s">
        <v>2789</v>
      </c>
      <c r="I1068" s="2" t="str">
        <f t="shared" si="16"/>
        <v>+91-7204902748</v>
      </c>
      <c r="J1068">
        <f>91-7204902839</f>
        <v>-7204902748</v>
      </c>
      <c r="K1068" t="s">
        <v>68</v>
      </c>
      <c r="L1068" t="s">
        <v>52</v>
      </c>
      <c r="M1068">
        <v>245436</v>
      </c>
      <c r="N1068" s="1">
        <v>45273</v>
      </c>
      <c r="O1068" t="s">
        <v>21</v>
      </c>
      <c r="P1068">
        <v>5</v>
      </c>
      <c r="Q1068">
        <v>48006.41</v>
      </c>
    </row>
    <row r="1069" spans="1:17" x14ac:dyDescent="0.3">
      <c r="A1069" t="s">
        <v>2790</v>
      </c>
      <c r="B1069" t="s">
        <v>1523</v>
      </c>
      <c r="C1069" s="2" t="str">
        <f>PROPER(TRIM(Table1[[#This Row],[Gender]]))</f>
        <v>Male</v>
      </c>
      <c r="D1069" t="s">
        <v>16</v>
      </c>
      <c r="E1069">
        <v>20</v>
      </c>
      <c r="F1069" t="s">
        <v>49</v>
      </c>
      <c r="G1069" s="1">
        <v>38358</v>
      </c>
      <c r="H1069" t="s">
        <v>2791</v>
      </c>
      <c r="I1069" s="2" t="str">
        <f t="shared" si="16"/>
        <v>+91-9640719224</v>
      </c>
      <c r="J1069">
        <f>91-9640719315</f>
        <v>-9640719224</v>
      </c>
      <c r="K1069" t="s">
        <v>154</v>
      </c>
      <c r="L1069" t="s">
        <v>46</v>
      </c>
      <c r="M1069">
        <v>904464</v>
      </c>
      <c r="N1069" s="1">
        <v>45421</v>
      </c>
      <c r="O1069" t="s">
        <v>28</v>
      </c>
      <c r="P1069">
        <v>6</v>
      </c>
      <c r="Q1069">
        <v>191770.99</v>
      </c>
    </row>
    <row r="1070" spans="1:17" x14ac:dyDescent="0.3">
      <c r="A1070" t="s">
        <v>2792</v>
      </c>
      <c r="B1070" t="s">
        <v>2793</v>
      </c>
      <c r="C1070" s="2" t="str">
        <f>PROPER(TRIM(Table1[[#This Row],[Gender]]))</f>
        <v>Male</v>
      </c>
      <c r="D1070" t="s">
        <v>16</v>
      </c>
      <c r="E1070">
        <v>24</v>
      </c>
      <c r="F1070" t="s">
        <v>49</v>
      </c>
      <c r="G1070" s="1">
        <v>36898</v>
      </c>
      <c r="H1070" t="s">
        <v>2794</v>
      </c>
      <c r="I1070" s="2" t="str">
        <f t="shared" si="16"/>
        <v>+91-9509870139</v>
      </c>
      <c r="J1070">
        <f>91-9509870230</f>
        <v>-9509870139</v>
      </c>
      <c r="K1070" t="s">
        <v>239</v>
      </c>
      <c r="L1070" t="s">
        <v>191</v>
      </c>
      <c r="M1070">
        <v>556854</v>
      </c>
      <c r="N1070" s="1">
        <v>45282</v>
      </c>
      <c r="O1070" t="s">
        <v>28</v>
      </c>
      <c r="P1070">
        <v>6</v>
      </c>
      <c r="Q1070">
        <v>189459.78</v>
      </c>
    </row>
    <row r="1071" spans="1:17" x14ac:dyDescent="0.3">
      <c r="A1071" t="s">
        <v>2795</v>
      </c>
      <c r="B1071" t="s">
        <v>2796</v>
      </c>
      <c r="C1071" s="2" t="str">
        <f>PROPER(TRIM(Table1[[#This Row],[Gender]]))</f>
        <v>Male</v>
      </c>
      <c r="D1071" t="s">
        <v>16</v>
      </c>
      <c r="E1071">
        <v>50</v>
      </c>
      <c r="F1071" t="s">
        <v>17</v>
      </c>
      <c r="G1071" s="1">
        <v>27408</v>
      </c>
      <c r="H1071" t="s">
        <v>2797</v>
      </c>
      <c r="I1071" s="2" t="str">
        <f t="shared" si="16"/>
        <v>+91-9152148082</v>
      </c>
      <c r="J1071">
        <f>91-9152148173</f>
        <v>-9152148082</v>
      </c>
      <c r="K1071" t="s">
        <v>249</v>
      </c>
      <c r="L1071" t="s">
        <v>34</v>
      </c>
      <c r="M1071">
        <v>392200</v>
      </c>
      <c r="N1071" s="1">
        <v>45272</v>
      </c>
      <c r="O1071" t="s">
        <v>35</v>
      </c>
      <c r="P1071">
        <v>7</v>
      </c>
      <c r="Q1071">
        <v>16292.12</v>
      </c>
    </row>
    <row r="1072" spans="1:17" x14ac:dyDescent="0.3">
      <c r="A1072" t="s">
        <v>2798</v>
      </c>
      <c r="B1072" t="s">
        <v>87</v>
      </c>
      <c r="C1072" s="2" t="str">
        <f>PROPER(TRIM(Table1[[#This Row],[Gender]]))</f>
        <v>Female</v>
      </c>
      <c r="D1072" t="s">
        <v>43</v>
      </c>
      <c r="E1072">
        <v>30</v>
      </c>
      <c r="F1072" t="s">
        <v>31</v>
      </c>
      <c r="G1072" s="1">
        <v>34708</v>
      </c>
      <c r="H1072" t="s">
        <v>2799</v>
      </c>
      <c r="I1072" s="2" t="str">
        <f t="shared" si="16"/>
        <v>+91-8336665877</v>
      </c>
      <c r="J1072">
        <f>91-8336665968</f>
        <v>-8336665877</v>
      </c>
      <c r="K1072" t="s">
        <v>94</v>
      </c>
      <c r="L1072" t="s">
        <v>20</v>
      </c>
      <c r="M1072">
        <v>205686</v>
      </c>
      <c r="N1072" s="1">
        <v>45176</v>
      </c>
      <c r="O1072" t="s">
        <v>28</v>
      </c>
      <c r="P1072">
        <v>6</v>
      </c>
      <c r="Q1072">
        <v>200614.09</v>
      </c>
    </row>
    <row r="1073" spans="1:17" x14ac:dyDescent="0.3">
      <c r="A1073" t="s">
        <v>2800</v>
      </c>
      <c r="B1073" t="s">
        <v>1865</v>
      </c>
      <c r="C1073" s="2" t="str">
        <f>PROPER(TRIM(Table1[[#This Row],[Gender]]))</f>
        <v>Female</v>
      </c>
      <c r="D1073" t="s">
        <v>43</v>
      </c>
      <c r="E1073">
        <v>44</v>
      </c>
      <c r="F1073" t="s">
        <v>38</v>
      </c>
      <c r="G1073" s="1">
        <v>29598</v>
      </c>
      <c r="H1073" t="s">
        <v>2801</v>
      </c>
      <c r="I1073" s="2" t="str">
        <f t="shared" si="16"/>
        <v>+91-8400024650</v>
      </c>
      <c r="J1073">
        <f>91-8400024741</f>
        <v>-8400024650</v>
      </c>
      <c r="K1073" t="s">
        <v>161</v>
      </c>
      <c r="L1073" t="s">
        <v>102</v>
      </c>
      <c r="M1073">
        <v>105668</v>
      </c>
      <c r="N1073" s="1">
        <v>45267</v>
      </c>
      <c r="O1073" t="s">
        <v>28</v>
      </c>
      <c r="P1073">
        <v>5</v>
      </c>
      <c r="Q1073">
        <v>149633.89000000001</v>
      </c>
    </row>
    <row r="1074" spans="1:17" x14ac:dyDescent="0.3">
      <c r="A1074" t="s">
        <v>2802</v>
      </c>
      <c r="B1074" t="s">
        <v>2803</v>
      </c>
      <c r="C1074" s="2" t="str">
        <f>PROPER(TRIM(Table1[[#This Row],[Gender]]))</f>
        <v>Female</v>
      </c>
      <c r="D1074" t="s">
        <v>43</v>
      </c>
      <c r="E1074">
        <v>43</v>
      </c>
      <c r="F1074" t="s">
        <v>38</v>
      </c>
      <c r="G1074" s="1">
        <v>29963</v>
      </c>
      <c r="H1074" t="s">
        <v>2804</v>
      </c>
      <c r="I1074" s="2" t="str">
        <f t="shared" si="16"/>
        <v>+91-7755934060</v>
      </c>
      <c r="J1074">
        <f>91-7755934151</f>
        <v>-7755934060</v>
      </c>
      <c r="K1074" t="s">
        <v>142</v>
      </c>
      <c r="L1074" t="s">
        <v>143</v>
      </c>
      <c r="M1074">
        <v>679738</v>
      </c>
      <c r="N1074" s="1">
        <v>45394</v>
      </c>
      <c r="O1074" t="s">
        <v>28</v>
      </c>
      <c r="P1074">
        <v>5</v>
      </c>
      <c r="Q1074">
        <v>134501.74</v>
      </c>
    </row>
    <row r="1075" spans="1:17" x14ac:dyDescent="0.3">
      <c r="A1075" t="s">
        <v>2805</v>
      </c>
      <c r="B1075" t="s">
        <v>457</v>
      </c>
      <c r="C1075" s="2" t="str">
        <f>PROPER(TRIM(Table1[[#This Row],[Gender]]))</f>
        <v>Female</v>
      </c>
      <c r="D1075" t="s">
        <v>43</v>
      </c>
      <c r="E1075">
        <v>52</v>
      </c>
      <c r="F1075" t="s">
        <v>17</v>
      </c>
      <c r="G1075" s="1">
        <v>26678</v>
      </c>
      <c r="H1075" t="s">
        <v>2806</v>
      </c>
      <c r="I1075" s="2" t="str">
        <f t="shared" si="16"/>
        <v>+91-9988503623</v>
      </c>
      <c r="J1075">
        <f>91-9988503714</f>
        <v>-9988503623</v>
      </c>
      <c r="K1075" t="s">
        <v>26</v>
      </c>
      <c r="L1075" t="s">
        <v>27</v>
      </c>
      <c r="M1075">
        <v>520746</v>
      </c>
      <c r="N1075" s="1">
        <v>45096</v>
      </c>
      <c r="O1075" t="s">
        <v>35</v>
      </c>
      <c r="P1075">
        <v>3</v>
      </c>
      <c r="Q1075">
        <v>2867.9</v>
      </c>
    </row>
    <row r="1076" spans="1:17" x14ac:dyDescent="0.3">
      <c r="A1076" t="s">
        <v>2807</v>
      </c>
      <c r="B1076" t="s">
        <v>2808</v>
      </c>
      <c r="C1076" s="2" t="str">
        <f>PROPER(TRIM(Table1[[#This Row],[Gender]]))</f>
        <v>Male</v>
      </c>
      <c r="D1076" t="s">
        <v>16</v>
      </c>
      <c r="E1076">
        <v>35</v>
      </c>
      <c r="F1076" t="s">
        <v>31</v>
      </c>
      <c r="G1076" s="1">
        <v>32883</v>
      </c>
      <c r="H1076" t="s">
        <v>2809</v>
      </c>
      <c r="I1076" s="2" t="str">
        <f t="shared" si="16"/>
        <v>+91-9050111605</v>
      </c>
      <c r="J1076">
        <f>91-9050111696</f>
        <v>-9050111605</v>
      </c>
      <c r="K1076" t="s">
        <v>33</v>
      </c>
      <c r="L1076" t="s">
        <v>34</v>
      </c>
      <c r="M1076">
        <v>761187</v>
      </c>
      <c r="N1076" s="1">
        <v>45286</v>
      </c>
      <c r="O1076" t="s">
        <v>28</v>
      </c>
      <c r="P1076">
        <v>2</v>
      </c>
      <c r="Q1076">
        <v>53681.18</v>
      </c>
    </row>
    <row r="1077" spans="1:17" x14ac:dyDescent="0.3">
      <c r="A1077" t="s">
        <v>2810</v>
      </c>
      <c r="B1077" t="s">
        <v>1951</v>
      </c>
      <c r="C1077" s="2" t="str">
        <f>PROPER(TRIM(Table1[[#This Row],[Gender]]))</f>
        <v>Male</v>
      </c>
      <c r="D1077" t="s">
        <v>16</v>
      </c>
      <c r="E1077">
        <v>72</v>
      </c>
      <c r="F1077" t="s">
        <v>24</v>
      </c>
      <c r="G1077" s="1">
        <v>19378</v>
      </c>
      <c r="H1077" t="s">
        <v>2811</v>
      </c>
      <c r="I1077" s="2" t="str">
        <f t="shared" si="16"/>
        <v>+91-8780446831</v>
      </c>
      <c r="J1077">
        <f>91-8780446922</f>
        <v>-8780446831</v>
      </c>
      <c r="K1077" t="s">
        <v>174</v>
      </c>
      <c r="L1077" t="s">
        <v>90</v>
      </c>
      <c r="M1077">
        <v>201822</v>
      </c>
      <c r="N1077" s="1">
        <v>45301</v>
      </c>
      <c r="O1077" t="s">
        <v>35</v>
      </c>
      <c r="P1077">
        <v>0</v>
      </c>
      <c r="Q1077">
        <v>0</v>
      </c>
    </row>
    <row r="1078" spans="1:17" x14ac:dyDescent="0.3">
      <c r="A1078" t="s">
        <v>2812</v>
      </c>
      <c r="B1078" t="s">
        <v>926</v>
      </c>
      <c r="C1078" s="2" t="str">
        <f>PROPER(TRIM(Table1[[#This Row],[Gender]]))</f>
        <v>Male</v>
      </c>
      <c r="D1078" t="s">
        <v>16</v>
      </c>
      <c r="E1078">
        <v>30</v>
      </c>
      <c r="F1078" t="s">
        <v>31</v>
      </c>
      <c r="G1078" s="1">
        <v>34708</v>
      </c>
      <c r="H1078" t="s">
        <v>2813</v>
      </c>
      <c r="I1078" s="2" t="str">
        <f t="shared" si="16"/>
        <v>+91-7376538940</v>
      </c>
      <c r="J1078">
        <f>91-7376539031</f>
        <v>-7376538940</v>
      </c>
      <c r="K1078" t="s">
        <v>190</v>
      </c>
      <c r="L1078" t="s">
        <v>191</v>
      </c>
      <c r="M1078">
        <v>397579</v>
      </c>
      <c r="N1078" s="1">
        <v>45312</v>
      </c>
      <c r="O1078" t="s">
        <v>28</v>
      </c>
      <c r="P1078">
        <v>4</v>
      </c>
      <c r="Q1078">
        <v>65330.39</v>
      </c>
    </row>
    <row r="1079" spans="1:17" x14ac:dyDescent="0.3">
      <c r="A1079" t="s">
        <v>2814</v>
      </c>
      <c r="B1079" t="s">
        <v>943</v>
      </c>
      <c r="C1079" s="2" t="str">
        <f>PROPER(TRIM(Table1[[#This Row],[Gender]]))</f>
        <v>Male</v>
      </c>
      <c r="D1079" t="s">
        <v>16</v>
      </c>
      <c r="E1079">
        <v>63</v>
      </c>
      <c r="F1079" t="s">
        <v>58</v>
      </c>
      <c r="G1079" s="1">
        <v>22663</v>
      </c>
      <c r="H1079" t="s">
        <v>2815</v>
      </c>
      <c r="I1079" s="2" t="str">
        <f t="shared" si="16"/>
        <v>+91-9595310182</v>
      </c>
      <c r="J1079">
        <f>91-9595310273</f>
        <v>-9595310182</v>
      </c>
      <c r="K1079" t="s">
        <v>64</v>
      </c>
      <c r="L1079" t="s">
        <v>20</v>
      </c>
      <c r="M1079">
        <v>279564</v>
      </c>
      <c r="N1079" s="1">
        <v>45379</v>
      </c>
      <c r="O1079" t="s">
        <v>35</v>
      </c>
      <c r="P1079">
        <v>5</v>
      </c>
      <c r="Q1079">
        <v>14346.57</v>
      </c>
    </row>
    <row r="1080" spans="1:17" x14ac:dyDescent="0.3">
      <c r="A1080" t="s">
        <v>2816</v>
      </c>
      <c r="B1080" t="s">
        <v>2817</v>
      </c>
      <c r="C1080" s="2" t="str">
        <f>PROPER(TRIM(Table1[[#This Row],[Gender]]))</f>
        <v>Male</v>
      </c>
      <c r="D1080" t="s">
        <v>16</v>
      </c>
      <c r="E1080">
        <v>72</v>
      </c>
      <c r="F1080" t="s">
        <v>24</v>
      </c>
      <c r="G1080" s="1">
        <v>19378</v>
      </c>
      <c r="H1080" t="s">
        <v>2818</v>
      </c>
      <c r="I1080" s="2" t="str">
        <f t="shared" si="16"/>
        <v>+91-9325154421</v>
      </c>
      <c r="J1080">
        <f>91-9325154512</f>
        <v>-9325154421</v>
      </c>
      <c r="K1080" t="s">
        <v>165</v>
      </c>
      <c r="L1080" t="s">
        <v>52</v>
      </c>
      <c r="M1080">
        <v>547260</v>
      </c>
      <c r="N1080" s="1">
        <v>45433</v>
      </c>
      <c r="O1080" t="s">
        <v>21</v>
      </c>
      <c r="P1080">
        <v>3</v>
      </c>
      <c r="Q1080">
        <v>27255.01</v>
      </c>
    </row>
    <row r="1081" spans="1:17" x14ac:dyDescent="0.3">
      <c r="A1081" t="s">
        <v>2819</v>
      </c>
      <c r="B1081" t="s">
        <v>2820</v>
      </c>
      <c r="C1081" s="2" t="str">
        <f>PROPER(TRIM(Table1[[#This Row],[Gender]]))</f>
        <v>Male</v>
      </c>
      <c r="D1081" t="s">
        <v>16</v>
      </c>
      <c r="E1081">
        <v>21</v>
      </c>
      <c r="F1081" t="s">
        <v>49</v>
      </c>
      <c r="G1081" s="1">
        <v>37993</v>
      </c>
      <c r="H1081" t="s">
        <v>2821</v>
      </c>
      <c r="I1081" s="2" t="str">
        <f t="shared" si="16"/>
        <v>+91-9303105150</v>
      </c>
      <c r="J1081">
        <f>91-9303105241</f>
        <v>-9303105150</v>
      </c>
      <c r="K1081" t="s">
        <v>195</v>
      </c>
      <c r="L1081" t="s">
        <v>102</v>
      </c>
      <c r="M1081">
        <v>764479</v>
      </c>
      <c r="N1081" s="1">
        <v>45384</v>
      </c>
      <c r="O1081" t="s">
        <v>28</v>
      </c>
      <c r="P1081">
        <v>6</v>
      </c>
      <c r="Q1081">
        <v>105179.4</v>
      </c>
    </row>
    <row r="1082" spans="1:17" x14ac:dyDescent="0.3">
      <c r="A1082" t="s">
        <v>2822</v>
      </c>
      <c r="B1082" t="s">
        <v>2345</v>
      </c>
      <c r="C1082" s="2" t="str">
        <f>PROPER(TRIM(Table1[[#This Row],[Gender]]))</f>
        <v>Female</v>
      </c>
      <c r="D1082" t="s">
        <v>43</v>
      </c>
      <c r="E1082">
        <v>32</v>
      </c>
      <c r="F1082" t="s">
        <v>31</v>
      </c>
      <c r="G1082" s="1">
        <v>33978</v>
      </c>
      <c r="H1082" t="s">
        <v>2823</v>
      </c>
      <c r="I1082" s="2" t="str">
        <f t="shared" si="16"/>
        <v>+91-7041880351</v>
      </c>
      <c r="J1082">
        <f>91-7041880442</f>
        <v>-7041880351</v>
      </c>
      <c r="K1082" t="s">
        <v>415</v>
      </c>
      <c r="L1082" t="s">
        <v>90</v>
      </c>
      <c r="M1082">
        <v>412616</v>
      </c>
      <c r="N1082" s="1">
        <v>45365</v>
      </c>
      <c r="O1082" t="s">
        <v>28</v>
      </c>
      <c r="P1082">
        <v>6</v>
      </c>
      <c r="Q1082">
        <v>123729.53</v>
      </c>
    </row>
    <row r="1083" spans="1:17" x14ac:dyDescent="0.3">
      <c r="A1083" t="s">
        <v>2824</v>
      </c>
      <c r="B1083" t="s">
        <v>163</v>
      </c>
      <c r="C1083" s="2" t="str">
        <f>PROPER(TRIM(Table1[[#This Row],[Gender]]))</f>
        <v>Female</v>
      </c>
      <c r="D1083" t="s">
        <v>43</v>
      </c>
      <c r="E1083">
        <v>20</v>
      </c>
      <c r="F1083" t="s">
        <v>49</v>
      </c>
      <c r="G1083" s="1">
        <v>38358</v>
      </c>
      <c r="H1083" t="s">
        <v>2825</v>
      </c>
      <c r="I1083" s="2" t="str">
        <f t="shared" si="16"/>
        <v>+91-7745850999</v>
      </c>
      <c r="J1083">
        <f>91-7745851090</f>
        <v>-7745850999</v>
      </c>
      <c r="K1083" t="s">
        <v>178</v>
      </c>
      <c r="L1083" t="s">
        <v>27</v>
      </c>
      <c r="M1083">
        <v>502651</v>
      </c>
      <c r="N1083" s="1">
        <v>45195</v>
      </c>
      <c r="O1083" t="s">
        <v>28</v>
      </c>
      <c r="P1083">
        <v>4</v>
      </c>
      <c r="Q1083">
        <v>144127.21</v>
      </c>
    </row>
    <row r="1084" spans="1:17" x14ac:dyDescent="0.3">
      <c r="A1084" t="s">
        <v>2826</v>
      </c>
      <c r="B1084" t="s">
        <v>484</v>
      </c>
      <c r="C1084" s="2" t="str">
        <f>PROPER(TRIM(Table1[[#This Row],[Gender]]))</f>
        <v>Male</v>
      </c>
      <c r="D1084" t="s">
        <v>16</v>
      </c>
      <c r="E1084">
        <v>32</v>
      </c>
      <c r="F1084" t="s">
        <v>31</v>
      </c>
      <c r="G1084" s="1">
        <v>33978</v>
      </c>
      <c r="H1084" t="s">
        <v>2827</v>
      </c>
      <c r="I1084" s="2" t="str">
        <f t="shared" si="16"/>
        <v>+91-8127506220</v>
      </c>
      <c r="J1084">
        <f>91-8127506311</f>
        <v>-8127506220</v>
      </c>
      <c r="K1084" t="s">
        <v>19</v>
      </c>
      <c r="L1084" t="s">
        <v>20</v>
      </c>
      <c r="M1084">
        <v>444837</v>
      </c>
      <c r="N1084" s="1">
        <v>45116</v>
      </c>
      <c r="O1084" t="s">
        <v>28</v>
      </c>
      <c r="P1084">
        <v>4</v>
      </c>
      <c r="Q1084">
        <v>134090.14000000001</v>
      </c>
    </row>
    <row r="1085" spans="1:17" x14ac:dyDescent="0.3">
      <c r="A1085" t="s">
        <v>2828</v>
      </c>
      <c r="B1085" t="s">
        <v>560</v>
      </c>
      <c r="C1085" s="2" t="str">
        <f>PROPER(TRIM(Table1[[#This Row],[Gender]]))</f>
        <v>Male</v>
      </c>
      <c r="D1085" t="s">
        <v>16</v>
      </c>
      <c r="E1085">
        <v>40</v>
      </c>
      <c r="F1085" t="s">
        <v>38</v>
      </c>
      <c r="G1085" s="1">
        <v>31058</v>
      </c>
      <c r="H1085" t="s">
        <v>2829</v>
      </c>
      <c r="I1085" s="2" t="str">
        <f t="shared" si="16"/>
        <v>+91-7665591537</v>
      </c>
      <c r="J1085">
        <f>91-7665591628</f>
        <v>-7665591537</v>
      </c>
      <c r="K1085" t="s">
        <v>113</v>
      </c>
      <c r="L1085" t="s">
        <v>34</v>
      </c>
      <c r="M1085">
        <v>507040</v>
      </c>
      <c r="N1085" s="1">
        <v>45319</v>
      </c>
      <c r="O1085" t="s">
        <v>28</v>
      </c>
      <c r="P1085">
        <v>6</v>
      </c>
      <c r="Q1085">
        <v>98964.59</v>
      </c>
    </row>
    <row r="1086" spans="1:17" x14ac:dyDescent="0.3">
      <c r="A1086" t="s">
        <v>2830</v>
      </c>
      <c r="B1086" t="s">
        <v>2831</v>
      </c>
      <c r="C1086" s="2" t="str">
        <f>PROPER(TRIM(Table1[[#This Row],[Gender]]))</f>
        <v>Male</v>
      </c>
      <c r="D1086" t="s">
        <v>16</v>
      </c>
      <c r="E1086">
        <v>19</v>
      </c>
      <c r="F1086" t="s">
        <v>49</v>
      </c>
      <c r="G1086" s="1">
        <v>38723</v>
      </c>
      <c r="H1086" t="s">
        <v>2832</v>
      </c>
      <c r="I1086" s="2" t="str">
        <f t="shared" si="16"/>
        <v>+91-9072727726</v>
      </c>
      <c r="J1086">
        <f>91-9072727817</f>
        <v>-9072727726</v>
      </c>
      <c r="K1086" t="s">
        <v>84</v>
      </c>
      <c r="L1086" t="s">
        <v>85</v>
      </c>
      <c r="M1086">
        <v>291022</v>
      </c>
      <c r="N1086" s="1">
        <v>45130</v>
      </c>
      <c r="O1086" t="s">
        <v>28</v>
      </c>
      <c r="P1086">
        <v>8</v>
      </c>
      <c r="Q1086">
        <v>180610.29</v>
      </c>
    </row>
    <row r="1087" spans="1:17" x14ac:dyDescent="0.3">
      <c r="A1087" t="s">
        <v>2833</v>
      </c>
      <c r="B1087" t="s">
        <v>2834</v>
      </c>
      <c r="C1087" s="2" t="str">
        <f>PROPER(TRIM(Table1[[#This Row],[Gender]]))</f>
        <v>Male</v>
      </c>
      <c r="D1087" t="s">
        <v>16</v>
      </c>
      <c r="E1087">
        <v>50</v>
      </c>
      <c r="F1087" t="s">
        <v>17</v>
      </c>
      <c r="G1087" s="1">
        <v>27408</v>
      </c>
      <c r="H1087" t="s">
        <v>2835</v>
      </c>
      <c r="I1087" s="2" t="str">
        <f t="shared" si="16"/>
        <v>+91-8145481147</v>
      </c>
      <c r="J1087">
        <f>91-8145481238</f>
        <v>-8145481147</v>
      </c>
      <c r="K1087" t="s">
        <v>72</v>
      </c>
      <c r="L1087" t="s">
        <v>34</v>
      </c>
      <c r="M1087">
        <v>193515</v>
      </c>
      <c r="N1087" s="1">
        <v>45204</v>
      </c>
      <c r="O1087" t="s">
        <v>21</v>
      </c>
      <c r="P1087">
        <v>7</v>
      </c>
      <c r="Q1087">
        <v>34073.06</v>
      </c>
    </row>
    <row r="1088" spans="1:17" x14ac:dyDescent="0.3">
      <c r="A1088" t="s">
        <v>2836</v>
      </c>
      <c r="B1088" t="s">
        <v>2837</v>
      </c>
      <c r="C1088" s="2" t="str">
        <f>PROPER(TRIM(Table1[[#This Row],[Gender]]))</f>
        <v>Male</v>
      </c>
      <c r="D1088" t="s">
        <v>16</v>
      </c>
      <c r="E1088">
        <v>19</v>
      </c>
      <c r="F1088" t="s">
        <v>49</v>
      </c>
      <c r="G1088" s="1">
        <v>38723</v>
      </c>
      <c r="H1088" t="s">
        <v>2838</v>
      </c>
      <c r="I1088" s="2" t="str">
        <f t="shared" si="16"/>
        <v>+91-7918394374</v>
      </c>
      <c r="J1088">
        <f>91-7918394465</f>
        <v>-7918394374</v>
      </c>
      <c r="K1088" t="s">
        <v>64</v>
      </c>
      <c r="L1088" t="s">
        <v>20</v>
      </c>
      <c r="M1088">
        <v>486091</v>
      </c>
      <c r="N1088" s="1">
        <v>45249</v>
      </c>
      <c r="O1088" t="s">
        <v>28</v>
      </c>
      <c r="P1088">
        <v>7</v>
      </c>
      <c r="Q1088">
        <v>107951.42</v>
      </c>
    </row>
    <row r="1089" spans="1:17" x14ac:dyDescent="0.3">
      <c r="A1089" t="s">
        <v>2839</v>
      </c>
      <c r="B1089" t="s">
        <v>966</v>
      </c>
      <c r="C1089" s="2" t="str">
        <f>PROPER(TRIM(Table1[[#This Row],[Gender]]))</f>
        <v>Female</v>
      </c>
      <c r="D1089" t="s">
        <v>43</v>
      </c>
      <c r="E1089">
        <v>28</v>
      </c>
      <c r="F1089" t="s">
        <v>31</v>
      </c>
      <c r="G1089" s="1">
        <v>35438</v>
      </c>
      <c r="H1089" t="s">
        <v>2840</v>
      </c>
      <c r="I1089" s="2" t="str">
        <f t="shared" si="16"/>
        <v>+91-8177382768</v>
      </c>
      <c r="J1089">
        <f>91-8177382859</f>
        <v>-8177382768</v>
      </c>
      <c r="K1089" t="s">
        <v>195</v>
      </c>
      <c r="L1089" t="s">
        <v>102</v>
      </c>
      <c r="M1089">
        <v>528435</v>
      </c>
      <c r="N1089" s="1">
        <v>45235</v>
      </c>
      <c r="O1089" t="s">
        <v>35</v>
      </c>
      <c r="P1089">
        <v>0</v>
      </c>
      <c r="Q1089">
        <v>0</v>
      </c>
    </row>
    <row r="1090" spans="1:17" x14ac:dyDescent="0.3">
      <c r="A1090" t="s">
        <v>2841</v>
      </c>
      <c r="B1090" t="s">
        <v>339</v>
      </c>
      <c r="C1090" s="2" t="str">
        <f>PROPER(TRIM(Table1[[#This Row],[Gender]]))</f>
        <v>Female</v>
      </c>
      <c r="D1090" t="s">
        <v>43</v>
      </c>
      <c r="E1090">
        <v>30</v>
      </c>
      <c r="F1090" t="s">
        <v>31</v>
      </c>
      <c r="G1090" s="1">
        <v>34708</v>
      </c>
      <c r="H1090" t="s">
        <v>2842</v>
      </c>
      <c r="I1090" s="2" t="str">
        <f t="shared" ref="I1090:I1153" si="17">"+91"&amp;TEXT(J1090,"0000000000")</f>
        <v>+91-7336753421</v>
      </c>
      <c r="J1090">
        <f>91-7336753512</f>
        <v>-7336753421</v>
      </c>
      <c r="K1090" t="s">
        <v>40</v>
      </c>
      <c r="L1090" t="s">
        <v>27</v>
      </c>
      <c r="M1090">
        <v>807145</v>
      </c>
      <c r="N1090" s="1">
        <v>45215</v>
      </c>
      <c r="O1090" t="s">
        <v>28</v>
      </c>
      <c r="P1090">
        <v>4</v>
      </c>
      <c r="Q1090">
        <v>124527.08</v>
      </c>
    </row>
    <row r="1091" spans="1:17" x14ac:dyDescent="0.3">
      <c r="A1091" t="s">
        <v>2843</v>
      </c>
      <c r="B1091" t="s">
        <v>1499</v>
      </c>
      <c r="C1091" s="2" t="str">
        <f>PROPER(TRIM(Table1[[#This Row],[Gender]]))</f>
        <v>Male</v>
      </c>
      <c r="D1091" t="s">
        <v>16</v>
      </c>
      <c r="E1091">
        <v>32</v>
      </c>
      <c r="F1091" t="s">
        <v>31</v>
      </c>
      <c r="G1091" s="1">
        <v>33978</v>
      </c>
      <c r="H1091" t="s">
        <v>2844</v>
      </c>
      <c r="I1091" s="2" t="str">
        <f t="shared" si="17"/>
        <v>+91-9257844649</v>
      </c>
      <c r="J1091">
        <f>91-9257844740</f>
        <v>-9257844649</v>
      </c>
      <c r="K1091" t="s">
        <v>125</v>
      </c>
      <c r="L1091" t="s">
        <v>52</v>
      </c>
      <c r="M1091">
        <v>177124</v>
      </c>
      <c r="N1091" s="1">
        <v>45096</v>
      </c>
      <c r="O1091" t="s">
        <v>28</v>
      </c>
      <c r="P1091">
        <v>10</v>
      </c>
      <c r="Q1091">
        <v>223205.93</v>
      </c>
    </row>
    <row r="1092" spans="1:17" x14ac:dyDescent="0.3">
      <c r="A1092" t="s">
        <v>2845</v>
      </c>
      <c r="B1092" t="s">
        <v>213</v>
      </c>
      <c r="C1092" s="2" t="str">
        <f>PROPER(TRIM(Table1[[#This Row],[Gender]]))</f>
        <v>Female</v>
      </c>
      <c r="D1092" t="s">
        <v>43</v>
      </c>
      <c r="E1092">
        <v>25</v>
      </c>
      <c r="F1092" t="s">
        <v>49</v>
      </c>
      <c r="G1092" s="1">
        <v>36533</v>
      </c>
      <c r="H1092" t="s">
        <v>2846</v>
      </c>
      <c r="I1092" s="2" t="str">
        <f t="shared" si="17"/>
        <v>+91-8139106650</v>
      </c>
      <c r="J1092">
        <f>91-8139106741</f>
        <v>-8139106650</v>
      </c>
      <c r="K1092" t="s">
        <v>76</v>
      </c>
      <c r="L1092" t="s">
        <v>46</v>
      </c>
      <c r="M1092">
        <v>833353</v>
      </c>
      <c r="N1092" s="1">
        <v>45346</v>
      </c>
      <c r="O1092" t="s">
        <v>35</v>
      </c>
      <c r="P1092">
        <v>3</v>
      </c>
      <c r="Q1092">
        <v>15322.06</v>
      </c>
    </row>
    <row r="1093" spans="1:17" x14ac:dyDescent="0.3">
      <c r="A1093" t="s">
        <v>2847</v>
      </c>
      <c r="B1093" t="s">
        <v>2848</v>
      </c>
      <c r="C1093" s="2" t="str">
        <f>PROPER(TRIM(Table1[[#This Row],[Gender]]))</f>
        <v>Male</v>
      </c>
      <c r="D1093" t="s">
        <v>16</v>
      </c>
      <c r="E1093">
        <v>32</v>
      </c>
      <c r="F1093" t="s">
        <v>31</v>
      </c>
      <c r="G1093" s="1">
        <v>33978</v>
      </c>
      <c r="H1093" t="s">
        <v>2849</v>
      </c>
      <c r="I1093" s="2" t="str">
        <f t="shared" si="17"/>
        <v>+91-7542334478</v>
      </c>
      <c r="J1093">
        <f>91-7542334569</f>
        <v>-7542334478</v>
      </c>
      <c r="K1093" t="s">
        <v>202</v>
      </c>
      <c r="L1093" t="s">
        <v>191</v>
      </c>
      <c r="M1093">
        <v>845061</v>
      </c>
      <c r="N1093" s="1">
        <v>45115</v>
      </c>
      <c r="O1093" t="s">
        <v>28</v>
      </c>
      <c r="P1093">
        <v>6</v>
      </c>
      <c r="Q1093">
        <v>160107.22</v>
      </c>
    </row>
    <row r="1094" spans="1:17" x14ac:dyDescent="0.3">
      <c r="A1094" t="s">
        <v>2850</v>
      </c>
      <c r="B1094" t="s">
        <v>633</v>
      </c>
      <c r="C1094" s="2" t="str">
        <f>PROPER(TRIM(Table1[[#This Row],[Gender]]))</f>
        <v>Female</v>
      </c>
      <c r="D1094" t="s">
        <v>43</v>
      </c>
      <c r="E1094">
        <v>23</v>
      </c>
      <c r="F1094" t="s">
        <v>49</v>
      </c>
      <c r="G1094" s="1">
        <v>37263</v>
      </c>
      <c r="H1094" t="s">
        <v>2851</v>
      </c>
      <c r="I1094" s="2" t="str">
        <f t="shared" si="17"/>
        <v>+91-8150081415</v>
      </c>
      <c r="J1094">
        <f>91-8150081506</f>
        <v>-8150081415</v>
      </c>
      <c r="K1094" t="s">
        <v>72</v>
      </c>
      <c r="L1094" t="s">
        <v>34</v>
      </c>
      <c r="M1094">
        <v>621084</v>
      </c>
      <c r="N1094" s="1">
        <v>45438</v>
      </c>
      <c r="O1094" t="s">
        <v>28</v>
      </c>
      <c r="P1094">
        <v>7</v>
      </c>
      <c r="Q1094">
        <v>223909.41</v>
      </c>
    </row>
    <row r="1095" spans="1:17" x14ac:dyDescent="0.3">
      <c r="A1095" t="s">
        <v>2852</v>
      </c>
      <c r="B1095" t="s">
        <v>2853</v>
      </c>
      <c r="C1095" s="2" t="str">
        <f>PROPER(TRIM(Table1[[#This Row],[Gender]]))</f>
        <v>Male</v>
      </c>
      <c r="D1095" t="s">
        <v>16</v>
      </c>
      <c r="E1095">
        <v>29</v>
      </c>
      <c r="F1095" t="s">
        <v>31</v>
      </c>
      <c r="G1095" s="1">
        <v>35073</v>
      </c>
      <c r="H1095" t="s">
        <v>2854</v>
      </c>
      <c r="I1095" s="2" t="str">
        <f t="shared" si="17"/>
        <v>+91-7936608491</v>
      </c>
      <c r="J1095">
        <f>91-7936608582</f>
        <v>-7936608491</v>
      </c>
      <c r="K1095" t="s">
        <v>64</v>
      </c>
      <c r="L1095" t="s">
        <v>20</v>
      </c>
      <c r="M1095">
        <v>557949</v>
      </c>
      <c r="N1095" s="1">
        <v>45393</v>
      </c>
      <c r="O1095" t="s">
        <v>28</v>
      </c>
      <c r="P1095">
        <v>5</v>
      </c>
      <c r="Q1095">
        <v>58402.78</v>
      </c>
    </row>
    <row r="1096" spans="1:17" x14ac:dyDescent="0.3">
      <c r="A1096" t="s">
        <v>2855</v>
      </c>
      <c r="B1096" t="s">
        <v>1731</v>
      </c>
      <c r="C1096" s="2" t="str">
        <f>PROPER(TRIM(Table1[[#This Row],[Gender]]))</f>
        <v>Male</v>
      </c>
      <c r="D1096" t="s">
        <v>16</v>
      </c>
      <c r="E1096">
        <v>23</v>
      </c>
      <c r="F1096" t="s">
        <v>49</v>
      </c>
      <c r="G1096" s="1">
        <v>37263</v>
      </c>
      <c r="H1096" t="s">
        <v>1873</v>
      </c>
      <c r="I1096" s="2" t="str">
        <f t="shared" si="17"/>
        <v>+91-8392544689</v>
      </c>
      <c r="J1096">
        <f>91-8392544780</f>
        <v>-8392544689</v>
      </c>
      <c r="K1096" t="s">
        <v>109</v>
      </c>
      <c r="L1096" t="s">
        <v>46</v>
      </c>
      <c r="M1096">
        <v>197537</v>
      </c>
      <c r="N1096" s="1">
        <v>45391</v>
      </c>
      <c r="O1096" t="s">
        <v>35</v>
      </c>
      <c r="P1096">
        <v>2</v>
      </c>
      <c r="Q1096">
        <v>7620.46</v>
      </c>
    </row>
    <row r="1097" spans="1:17" x14ac:dyDescent="0.3">
      <c r="A1097" t="s">
        <v>2856</v>
      </c>
      <c r="B1097" t="s">
        <v>433</v>
      </c>
      <c r="C1097" s="2" t="str">
        <f>PROPER(TRIM(Table1[[#This Row],[Gender]]))</f>
        <v>Female</v>
      </c>
      <c r="D1097" t="s">
        <v>43</v>
      </c>
      <c r="E1097">
        <v>34</v>
      </c>
      <c r="F1097" t="s">
        <v>31</v>
      </c>
      <c r="G1097" s="1">
        <v>33248</v>
      </c>
      <c r="H1097" t="s">
        <v>2857</v>
      </c>
      <c r="I1097" s="2" t="str">
        <f t="shared" si="17"/>
        <v>+91-7082456034</v>
      </c>
      <c r="J1097">
        <f>91-7082456125</f>
        <v>-7082456034</v>
      </c>
      <c r="K1097" t="s">
        <v>84</v>
      </c>
      <c r="L1097" t="s">
        <v>85</v>
      </c>
      <c r="M1097">
        <v>878582</v>
      </c>
      <c r="N1097" s="1">
        <v>45283</v>
      </c>
      <c r="O1097" t="s">
        <v>28</v>
      </c>
      <c r="P1097">
        <v>12</v>
      </c>
      <c r="Q1097">
        <v>444117.11</v>
      </c>
    </row>
    <row r="1098" spans="1:17" x14ac:dyDescent="0.3">
      <c r="A1098" t="s">
        <v>2858</v>
      </c>
      <c r="B1098" t="s">
        <v>2859</v>
      </c>
      <c r="C1098" s="2" t="str">
        <f>PROPER(TRIM(Table1[[#This Row],[Gender]]))</f>
        <v>Female</v>
      </c>
      <c r="D1098" t="s">
        <v>43</v>
      </c>
      <c r="E1098">
        <v>35</v>
      </c>
      <c r="F1098" t="s">
        <v>31</v>
      </c>
      <c r="G1098" s="1">
        <v>32883</v>
      </c>
      <c r="H1098" t="s">
        <v>2860</v>
      </c>
      <c r="I1098" s="2" t="str">
        <f t="shared" si="17"/>
        <v>+91-8108721770</v>
      </c>
      <c r="J1098">
        <f>91-8108721861</f>
        <v>-8108721770</v>
      </c>
      <c r="K1098" t="s">
        <v>40</v>
      </c>
      <c r="L1098" t="s">
        <v>27</v>
      </c>
      <c r="M1098">
        <v>267550</v>
      </c>
      <c r="N1098" s="1">
        <v>45250</v>
      </c>
      <c r="O1098" t="s">
        <v>28</v>
      </c>
      <c r="P1098">
        <v>4</v>
      </c>
      <c r="Q1098">
        <v>213593.61</v>
      </c>
    </row>
    <row r="1099" spans="1:17" x14ac:dyDescent="0.3">
      <c r="A1099" t="s">
        <v>2861</v>
      </c>
      <c r="B1099" t="s">
        <v>1908</v>
      </c>
      <c r="C1099" s="2" t="str">
        <f>PROPER(TRIM(Table1[[#This Row],[Gender]]))</f>
        <v>Female</v>
      </c>
      <c r="D1099" t="s">
        <v>43</v>
      </c>
      <c r="E1099">
        <v>29</v>
      </c>
      <c r="F1099" t="s">
        <v>31</v>
      </c>
      <c r="G1099" s="1">
        <v>35073</v>
      </c>
      <c r="H1099" t="s">
        <v>2862</v>
      </c>
      <c r="I1099" s="2" t="str">
        <f t="shared" si="17"/>
        <v>+91-9198883020</v>
      </c>
      <c r="J1099">
        <f>91-9198883111</f>
        <v>-9198883020</v>
      </c>
      <c r="K1099" t="s">
        <v>165</v>
      </c>
      <c r="L1099" t="s">
        <v>52</v>
      </c>
      <c r="M1099">
        <v>407019</v>
      </c>
      <c r="N1099" s="1">
        <v>45251</v>
      </c>
      <c r="O1099" t="s">
        <v>21</v>
      </c>
      <c r="P1099">
        <v>3</v>
      </c>
      <c r="Q1099">
        <v>36545.69</v>
      </c>
    </row>
    <row r="1100" spans="1:17" x14ac:dyDescent="0.3">
      <c r="A1100" t="s">
        <v>2863</v>
      </c>
      <c r="B1100" t="s">
        <v>2864</v>
      </c>
      <c r="C1100" s="2" t="str">
        <f>PROPER(TRIM(Table1[[#This Row],[Gender]]))</f>
        <v>Male</v>
      </c>
      <c r="D1100" t="s">
        <v>16</v>
      </c>
      <c r="E1100">
        <v>34</v>
      </c>
      <c r="F1100" t="s">
        <v>31</v>
      </c>
      <c r="G1100" s="1">
        <v>33248</v>
      </c>
      <c r="H1100" t="s">
        <v>2865</v>
      </c>
      <c r="I1100" s="2" t="str">
        <f t="shared" si="17"/>
        <v>+91-7476585761</v>
      </c>
      <c r="J1100">
        <f>91-7476585852</f>
        <v>-7476585761</v>
      </c>
      <c r="K1100" t="s">
        <v>273</v>
      </c>
      <c r="L1100" t="s">
        <v>46</v>
      </c>
      <c r="M1100">
        <v>991440</v>
      </c>
      <c r="N1100" s="1">
        <v>45268</v>
      </c>
      <c r="O1100" t="s">
        <v>28</v>
      </c>
      <c r="P1100">
        <v>7</v>
      </c>
      <c r="Q1100">
        <v>186717.07</v>
      </c>
    </row>
    <row r="1101" spans="1:17" x14ac:dyDescent="0.3">
      <c r="A1101" t="s">
        <v>2866</v>
      </c>
      <c r="B1101" t="s">
        <v>145</v>
      </c>
      <c r="C1101" s="2" t="str">
        <f>PROPER(TRIM(Table1[[#This Row],[Gender]]))</f>
        <v>Female</v>
      </c>
      <c r="D1101" t="s">
        <v>43</v>
      </c>
      <c r="E1101">
        <v>18</v>
      </c>
      <c r="F1101" t="s">
        <v>49</v>
      </c>
      <c r="G1101" s="1">
        <v>39088</v>
      </c>
      <c r="H1101" t="s">
        <v>2867</v>
      </c>
      <c r="I1101" s="2" t="str">
        <f t="shared" si="17"/>
        <v>+91-8252727048</v>
      </c>
      <c r="J1101">
        <f>91-8252727139</f>
        <v>-8252727048</v>
      </c>
      <c r="K1101" t="s">
        <v>94</v>
      </c>
      <c r="L1101" t="s">
        <v>20</v>
      </c>
      <c r="M1101">
        <v>998788</v>
      </c>
      <c r="N1101" s="1">
        <v>45187</v>
      </c>
      <c r="O1101" t="s">
        <v>35</v>
      </c>
      <c r="P1101">
        <v>3</v>
      </c>
      <c r="Q1101">
        <v>15683.69</v>
      </c>
    </row>
    <row r="1102" spans="1:17" x14ac:dyDescent="0.3">
      <c r="A1102" t="s">
        <v>2868</v>
      </c>
      <c r="B1102" t="s">
        <v>868</v>
      </c>
      <c r="C1102" s="2" t="str">
        <f>PROPER(TRIM(Table1[[#This Row],[Gender]]))</f>
        <v>Female</v>
      </c>
      <c r="D1102" t="s">
        <v>43</v>
      </c>
      <c r="E1102">
        <v>68</v>
      </c>
      <c r="F1102" t="s">
        <v>24</v>
      </c>
      <c r="G1102" s="1">
        <v>20838</v>
      </c>
      <c r="H1102" t="s">
        <v>2869</v>
      </c>
      <c r="I1102" s="2" t="str">
        <f t="shared" si="17"/>
        <v>+91-9337242508</v>
      </c>
      <c r="J1102">
        <f>91-9337242599</f>
        <v>-9337242508</v>
      </c>
      <c r="K1102" t="s">
        <v>80</v>
      </c>
      <c r="L1102" t="s">
        <v>20</v>
      </c>
      <c r="M1102">
        <v>404137</v>
      </c>
      <c r="N1102" s="1">
        <v>45227</v>
      </c>
      <c r="O1102" t="s">
        <v>35</v>
      </c>
      <c r="P1102">
        <v>4</v>
      </c>
      <c r="Q1102">
        <v>12581.83</v>
      </c>
    </row>
    <row r="1103" spans="1:17" x14ac:dyDescent="0.3">
      <c r="A1103" t="s">
        <v>2870</v>
      </c>
      <c r="B1103" t="s">
        <v>2871</v>
      </c>
      <c r="C1103" s="2" t="str">
        <f>PROPER(TRIM(Table1[[#This Row],[Gender]]))</f>
        <v>Male</v>
      </c>
      <c r="D1103" t="s">
        <v>16</v>
      </c>
      <c r="E1103">
        <v>41</v>
      </c>
      <c r="F1103" t="s">
        <v>38</v>
      </c>
      <c r="G1103" s="1">
        <v>30693</v>
      </c>
      <c r="H1103" t="s">
        <v>2872</v>
      </c>
      <c r="I1103" s="2" t="str">
        <f t="shared" si="17"/>
        <v>+91-8504309057</v>
      </c>
      <c r="J1103">
        <f>91-8504309148</f>
        <v>-8504309057</v>
      </c>
      <c r="K1103" t="s">
        <v>121</v>
      </c>
      <c r="L1103" t="s">
        <v>85</v>
      </c>
      <c r="M1103">
        <v>592933</v>
      </c>
      <c r="N1103" s="1">
        <v>45273</v>
      </c>
      <c r="O1103" t="s">
        <v>28</v>
      </c>
      <c r="P1103">
        <v>9</v>
      </c>
      <c r="Q1103">
        <v>141981.53</v>
      </c>
    </row>
    <row r="1104" spans="1:17" x14ac:dyDescent="0.3">
      <c r="A1104" t="s">
        <v>2873</v>
      </c>
      <c r="B1104" t="s">
        <v>2489</v>
      </c>
      <c r="C1104" s="2" t="str">
        <f>PROPER(TRIM(Table1[[#This Row],[Gender]]))</f>
        <v>Male</v>
      </c>
      <c r="D1104" t="s">
        <v>16</v>
      </c>
      <c r="E1104">
        <v>30</v>
      </c>
      <c r="F1104" t="s">
        <v>31</v>
      </c>
      <c r="G1104" s="1">
        <v>34708</v>
      </c>
      <c r="H1104" t="s">
        <v>2874</v>
      </c>
      <c r="I1104" s="2" t="str">
        <f t="shared" si="17"/>
        <v>+91-7997729046</v>
      </c>
      <c r="J1104">
        <f>91-7997729137</f>
        <v>-7997729046</v>
      </c>
      <c r="K1104" t="s">
        <v>45</v>
      </c>
      <c r="L1104" t="s">
        <v>46</v>
      </c>
      <c r="M1104">
        <v>264369</v>
      </c>
      <c r="N1104" s="1">
        <v>45228</v>
      </c>
      <c r="O1104" t="s">
        <v>28</v>
      </c>
      <c r="P1104">
        <v>5</v>
      </c>
      <c r="Q1104">
        <v>63790.11</v>
      </c>
    </row>
    <row r="1105" spans="1:17" x14ac:dyDescent="0.3">
      <c r="A1105" t="s">
        <v>2875</v>
      </c>
      <c r="B1105" t="s">
        <v>1611</v>
      </c>
      <c r="C1105" s="2" t="str">
        <f>PROPER(TRIM(Table1[[#This Row],[Gender]]))</f>
        <v>Female</v>
      </c>
      <c r="D1105" t="s">
        <v>43</v>
      </c>
      <c r="E1105">
        <v>36</v>
      </c>
      <c r="F1105" t="s">
        <v>38</v>
      </c>
      <c r="G1105" s="1">
        <v>32518</v>
      </c>
      <c r="H1105" t="s">
        <v>2876</v>
      </c>
      <c r="I1105" s="2" t="str">
        <f t="shared" si="17"/>
        <v>+91-9575176944</v>
      </c>
      <c r="J1105">
        <f>91-9575177035</f>
        <v>-9575176944</v>
      </c>
      <c r="K1105" t="s">
        <v>202</v>
      </c>
      <c r="L1105" t="s">
        <v>191</v>
      </c>
      <c r="M1105">
        <v>551065</v>
      </c>
      <c r="N1105" s="1">
        <v>45231</v>
      </c>
      <c r="O1105" t="s">
        <v>28</v>
      </c>
      <c r="P1105">
        <v>9</v>
      </c>
      <c r="Q1105">
        <v>335686.79</v>
      </c>
    </row>
    <row r="1106" spans="1:17" x14ac:dyDescent="0.3">
      <c r="A1106" t="s">
        <v>2877</v>
      </c>
      <c r="B1106" t="s">
        <v>625</v>
      </c>
      <c r="C1106" s="2" t="str">
        <f>PROPER(TRIM(Table1[[#This Row],[Gender]]))</f>
        <v>Female</v>
      </c>
      <c r="D1106" t="s">
        <v>43</v>
      </c>
      <c r="E1106">
        <v>30</v>
      </c>
      <c r="F1106" t="s">
        <v>31</v>
      </c>
      <c r="G1106" s="1">
        <v>34708</v>
      </c>
      <c r="H1106" t="s">
        <v>2878</v>
      </c>
      <c r="I1106" s="2" t="str">
        <f t="shared" si="17"/>
        <v>+91-9936249841</v>
      </c>
      <c r="J1106">
        <f>91-9936249932</f>
        <v>-9936249841</v>
      </c>
      <c r="K1106" t="s">
        <v>202</v>
      </c>
      <c r="L1106" t="s">
        <v>191</v>
      </c>
      <c r="M1106">
        <v>410851</v>
      </c>
      <c r="N1106" s="1">
        <v>45316</v>
      </c>
      <c r="O1106" t="s">
        <v>28</v>
      </c>
      <c r="P1106">
        <v>7</v>
      </c>
      <c r="Q1106">
        <v>301194.78999999998</v>
      </c>
    </row>
    <row r="1107" spans="1:17" x14ac:dyDescent="0.3">
      <c r="A1107" t="s">
        <v>2879</v>
      </c>
      <c r="B1107" t="s">
        <v>180</v>
      </c>
      <c r="C1107" s="2" t="str">
        <f>PROPER(TRIM(Table1[[#This Row],[Gender]]))</f>
        <v>Female</v>
      </c>
      <c r="D1107" t="s">
        <v>43</v>
      </c>
      <c r="E1107">
        <v>59</v>
      </c>
      <c r="F1107" t="s">
        <v>58</v>
      </c>
      <c r="G1107" s="1">
        <v>24123</v>
      </c>
      <c r="H1107" t="s">
        <v>2880</v>
      </c>
      <c r="I1107" s="2" t="str">
        <f t="shared" si="17"/>
        <v>+91-8704708896</v>
      </c>
      <c r="J1107">
        <f>91-8704708987</f>
        <v>-8704708896</v>
      </c>
      <c r="K1107" t="s">
        <v>142</v>
      </c>
      <c r="L1107" t="s">
        <v>143</v>
      </c>
      <c r="M1107">
        <v>637378</v>
      </c>
      <c r="N1107" s="1">
        <v>45182</v>
      </c>
      <c r="O1107" t="s">
        <v>28</v>
      </c>
      <c r="P1107">
        <v>4</v>
      </c>
      <c r="Q1107">
        <v>71310.649999999994</v>
      </c>
    </row>
    <row r="1108" spans="1:17" x14ac:dyDescent="0.3">
      <c r="A1108" t="s">
        <v>2881</v>
      </c>
      <c r="B1108" t="s">
        <v>2127</v>
      </c>
      <c r="C1108" s="2" t="str">
        <f>PROPER(TRIM(Table1[[#This Row],[Gender]]))</f>
        <v>Male</v>
      </c>
      <c r="D1108" t="s">
        <v>16</v>
      </c>
      <c r="E1108">
        <v>63</v>
      </c>
      <c r="F1108" t="s">
        <v>58</v>
      </c>
      <c r="G1108" s="1">
        <v>22663</v>
      </c>
      <c r="H1108" t="s">
        <v>2882</v>
      </c>
      <c r="I1108" s="2" t="str">
        <f t="shared" si="17"/>
        <v>+91-9188399037</v>
      </c>
      <c r="J1108">
        <f>91-9188399128</f>
        <v>-9188399037</v>
      </c>
      <c r="K1108" t="s">
        <v>113</v>
      </c>
      <c r="L1108" t="s">
        <v>34</v>
      </c>
      <c r="M1108">
        <v>630645</v>
      </c>
      <c r="N1108" s="1">
        <v>45169</v>
      </c>
      <c r="O1108" t="s">
        <v>28</v>
      </c>
      <c r="P1108">
        <v>5</v>
      </c>
      <c r="Q1108">
        <v>62618.78</v>
      </c>
    </row>
    <row r="1109" spans="1:17" x14ac:dyDescent="0.3">
      <c r="A1109" t="s">
        <v>2883</v>
      </c>
      <c r="B1109" t="s">
        <v>2518</v>
      </c>
      <c r="C1109" s="2" t="str">
        <f>PROPER(TRIM(Table1[[#This Row],[Gender]]))</f>
        <v>Male</v>
      </c>
      <c r="D1109" t="s">
        <v>16</v>
      </c>
      <c r="E1109">
        <v>74</v>
      </c>
      <c r="F1109" t="s">
        <v>24</v>
      </c>
      <c r="G1109" s="1">
        <v>18648</v>
      </c>
      <c r="H1109" t="s">
        <v>2884</v>
      </c>
      <c r="I1109" s="2" t="str">
        <f t="shared" si="17"/>
        <v>+91-7849785385</v>
      </c>
      <c r="J1109">
        <f>91-7849785476</f>
        <v>-7849785385</v>
      </c>
      <c r="K1109" t="s">
        <v>40</v>
      </c>
      <c r="L1109" t="s">
        <v>27</v>
      </c>
      <c r="M1109">
        <v>187753</v>
      </c>
      <c r="N1109" s="1">
        <v>45197</v>
      </c>
      <c r="O1109" t="s">
        <v>28</v>
      </c>
      <c r="P1109">
        <v>9</v>
      </c>
      <c r="Q1109">
        <v>57823.69</v>
      </c>
    </row>
    <row r="1110" spans="1:17" x14ac:dyDescent="0.3">
      <c r="A1110" t="s">
        <v>2885</v>
      </c>
      <c r="B1110" t="s">
        <v>1028</v>
      </c>
      <c r="C1110" s="2" t="str">
        <f>PROPER(TRIM(Table1[[#This Row],[Gender]]))</f>
        <v>Male</v>
      </c>
      <c r="D1110" t="s">
        <v>16</v>
      </c>
      <c r="E1110">
        <v>22</v>
      </c>
      <c r="F1110" t="s">
        <v>49</v>
      </c>
      <c r="G1110" s="1">
        <v>37628</v>
      </c>
      <c r="H1110" t="s">
        <v>2886</v>
      </c>
      <c r="I1110" s="2" t="str">
        <f t="shared" si="17"/>
        <v>+91-7352414752</v>
      </c>
      <c r="J1110">
        <f>91-7352414843</f>
        <v>-7352414752</v>
      </c>
      <c r="K1110" t="s">
        <v>580</v>
      </c>
      <c r="L1110" t="s">
        <v>85</v>
      </c>
      <c r="M1110">
        <v>304096</v>
      </c>
      <c r="N1110" s="1">
        <v>45339</v>
      </c>
      <c r="O1110" t="s">
        <v>28</v>
      </c>
      <c r="P1110">
        <v>6</v>
      </c>
      <c r="Q1110">
        <v>65738.929999999993</v>
      </c>
    </row>
    <row r="1111" spans="1:17" x14ac:dyDescent="0.3">
      <c r="A1111" t="s">
        <v>2887</v>
      </c>
      <c r="B1111" t="s">
        <v>611</v>
      </c>
      <c r="C1111" s="2" t="str">
        <f>PROPER(TRIM(Table1[[#This Row],[Gender]]))</f>
        <v>Male</v>
      </c>
      <c r="D1111" t="s">
        <v>16</v>
      </c>
      <c r="E1111">
        <v>20</v>
      </c>
      <c r="F1111" t="s">
        <v>49</v>
      </c>
      <c r="G1111" s="1">
        <v>38358</v>
      </c>
      <c r="H1111" t="s">
        <v>2888</v>
      </c>
      <c r="I1111" s="2" t="str">
        <f t="shared" si="17"/>
        <v>+91-9358141009</v>
      </c>
      <c r="J1111">
        <f>91-9358141100</f>
        <v>-9358141009</v>
      </c>
      <c r="K1111" t="s">
        <v>113</v>
      </c>
      <c r="L1111" t="s">
        <v>34</v>
      </c>
      <c r="M1111">
        <v>614744</v>
      </c>
      <c r="N1111" s="1">
        <v>45163</v>
      </c>
      <c r="O1111" t="s">
        <v>28</v>
      </c>
      <c r="P1111">
        <v>7</v>
      </c>
      <c r="Q1111">
        <v>426297.43</v>
      </c>
    </row>
    <row r="1112" spans="1:17" x14ac:dyDescent="0.3">
      <c r="A1112" t="s">
        <v>2889</v>
      </c>
      <c r="B1112" t="s">
        <v>2890</v>
      </c>
      <c r="C1112" s="2" t="str">
        <f>PROPER(TRIM(Table1[[#This Row],[Gender]]))</f>
        <v>Female</v>
      </c>
      <c r="D1112" t="s">
        <v>43</v>
      </c>
      <c r="E1112">
        <v>26</v>
      </c>
      <c r="F1112" t="s">
        <v>31</v>
      </c>
      <c r="G1112" s="1">
        <v>36168</v>
      </c>
      <c r="H1112" t="s">
        <v>2891</v>
      </c>
      <c r="I1112" s="2" t="str">
        <f t="shared" si="17"/>
        <v>+91-8570199026</v>
      </c>
      <c r="J1112">
        <f>91-8570199117</f>
        <v>-8570199026</v>
      </c>
      <c r="K1112" t="s">
        <v>94</v>
      </c>
      <c r="L1112" t="s">
        <v>20</v>
      </c>
      <c r="M1112">
        <v>152032</v>
      </c>
      <c r="N1112" s="1">
        <v>45309</v>
      </c>
      <c r="O1112" t="s">
        <v>21</v>
      </c>
      <c r="P1112">
        <v>1</v>
      </c>
      <c r="Q1112">
        <v>32453.52</v>
      </c>
    </row>
    <row r="1113" spans="1:17" x14ac:dyDescent="0.3">
      <c r="A1113" t="s">
        <v>2892</v>
      </c>
      <c r="B1113" t="s">
        <v>762</v>
      </c>
      <c r="C1113" s="2" t="str">
        <f>PROPER(TRIM(Table1[[#This Row],[Gender]]))</f>
        <v>Male</v>
      </c>
      <c r="D1113" t="s">
        <v>16</v>
      </c>
      <c r="E1113">
        <v>33</v>
      </c>
      <c r="F1113" t="s">
        <v>31</v>
      </c>
      <c r="G1113" s="1">
        <v>33613</v>
      </c>
      <c r="H1113" t="s">
        <v>2893</v>
      </c>
      <c r="I1113" s="2" t="str">
        <f t="shared" si="17"/>
        <v>+91-9540562059</v>
      </c>
      <c r="J1113">
        <f>91-9540562150</f>
        <v>-9540562059</v>
      </c>
      <c r="K1113" t="s">
        <v>89</v>
      </c>
      <c r="L1113" t="s">
        <v>90</v>
      </c>
      <c r="M1113">
        <v>765801</v>
      </c>
      <c r="N1113" s="1">
        <v>45156</v>
      </c>
      <c r="O1113" t="s">
        <v>28</v>
      </c>
      <c r="P1113">
        <v>6</v>
      </c>
      <c r="Q1113">
        <v>131266.07</v>
      </c>
    </row>
    <row r="1114" spans="1:17" x14ac:dyDescent="0.3">
      <c r="A1114" t="s">
        <v>2894</v>
      </c>
      <c r="B1114" t="s">
        <v>2399</v>
      </c>
      <c r="C1114" s="2" t="str">
        <f>PROPER(TRIM(Table1[[#This Row],[Gender]]))</f>
        <v>Male</v>
      </c>
      <c r="D1114" t="s">
        <v>16</v>
      </c>
      <c r="E1114">
        <v>32</v>
      </c>
      <c r="F1114" t="s">
        <v>31</v>
      </c>
      <c r="G1114" s="1">
        <v>33978</v>
      </c>
      <c r="H1114" t="s">
        <v>2895</v>
      </c>
      <c r="I1114" s="2" t="str">
        <f t="shared" si="17"/>
        <v>+91-7727433259</v>
      </c>
      <c r="J1114">
        <f>91-7727433350</f>
        <v>-7727433259</v>
      </c>
      <c r="K1114" t="s">
        <v>26</v>
      </c>
      <c r="L1114" t="s">
        <v>27</v>
      </c>
      <c r="M1114">
        <v>404261</v>
      </c>
      <c r="N1114" s="1">
        <v>45165</v>
      </c>
      <c r="O1114" t="s">
        <v>35</v>
      </c>
      <c r="P1114">
        <v>3</v>
      </c>
      <c r="Q1114">
        <v>18935.689999999999</v>
      </c>
    </row>
    <row r="1115" spans="1:17" x14ac:dyDescent="0.3">
      <c r="A1115" t="s">
        <v>2896</v>
      </c>
      <c r="B1115" t="s">
        <v>454</v>
      </c>
      <c r="C1115" s="2" t="str">
        <f>PROPER(TRIM(Table1[[#This Row],[Gender]]))</f>
        <v>Male</v>
      </c>
      <c r="D1115" t="s">
        <v>16</v>
      </c>
      <c r="E1115">
        <v>18</v>
      </c>
      <c r="F1115" t="s">
        <v>49</v>
      </c>
      <c r="G1115" s="1">
        <v>39088</v>
      </c>
      <c r="H1115" t="s">
        <v>2897</v>
      </c>
      <c r="I1115" s="2" t="str">
        <f t="shared" si="17"/>
        <v>+91-8201050935</v>
      </c>
      <c r="J1115">
        <f>91-8201051026</f>
        <v>-8201050935</v>
      </c>
      <c r="K1115" t="s">
        <v>117</v>
      </c>
      <c r="L1115" t="s">
        <v>52</v>
      </c>
      <c r="M1115">
        <v>394403</v>
      </c>
      <c r="N1115" s="1">
        <v>45192</v>
      </c>
      <c r="O1115" t="s">
        <v>28</v>
      </c>
      <c r="P1115">
        <v>4</v>
      </c>
      <c r="Q1115">
        <v>203041.76</v>
      </c>
    </row>
    <row r="1116" spans="1:17" x14ac:dyDescent="0.3">
      <c r="A1116" t="s">
        <v>2898</v>
      </c>
      <c r="B1116" t="s">
        <v>2899</v>
      </c>
      <c r="C1116" s="2" t="str">
        <f>PROPER(TRIM(Table1[[#This Row],[Gender]]))</f>
        <v>Female</v>
      </c>
      <c r="D1116" t="s">
        <v>43</v>
      </c>
      <c r="E1116">
        <v>30</v>
      </c>
      <c r="F1116" t="s">
        <v>31</v>
      </c>
      <c r="G1116" s="1">
        <v>34708</v>
      </c>
      <c r="H1116" t="s">
        <v>2900</v>
      </c>
      <c r="I1116" s="2" t="str">
        <f t="shared" si="17"/>
        <v>+91-9651596835</v>
      </c>
      <c r="J1116">
        <f>91-9651596926</f>
        <v>-9651596835</v>
      </c>
      <c r="K1116" t="s">
        <v>109</v>
      </c>
      <c r="L1116" t="s">
        <v>46</v>
      </c>
      <c r="M1116">
        <v>389488</v>
      </c>
      <c r="N1116" s="1">
        <v>45377</v>
      </c>
      <c r="O1116" t="s">
        <v>28</v>
      </c>
      <c r="P1116">
        <v>6</v>
      </c>
      <c r="Q1116">
        <v>109237.51</v>
      </c>
    </row>
    <row r="1117" spans="1:17" x14ac:dyDescent="0.3">
      <c r="A1117" t="s">
        <v>2901</v>
      </c>
      <c r="B1117" t="s">
        <v>611</v>
      </c>
      <c r="C1117" s="2" t="str">
        <f>PROPER(TRIM(Table1[[#This Row],[Gender]]))</f>
        <v>Male</v>
      </c>
      <c r="D1117" t="s">
        <v>16</v>
      </c>
      <c r="E1117">
        <v>25</v>
      </c>
      <c r="F1117" t="s">
        <v>49</v>
      </c>
      <c r="G1117" s="1">
        <v>36533</v>
      </c>
      <c r="H1117" t="s">
        <v>2902</v>
      </c>
      <c r="I1117" s="2" t="str">
        <f t="shared" si="17"/>
        <v>+91-9733686822</v>
      </c>
      <c r="J1117">
        <f>91-9733686913</f>
        <v>-9733686822</v>
      </c>
      <c r="K1117" t="s">
        <v>117</v>
      </c>
      <c r="L1117" t="s">
        <v>52</v>
      </c>
      <c r="M1117">
        <v>990859</v>
      </c>
      <c r="N1117" s="1">
        <v>45267</v>
      </c>
      <c r="O1117" t="s">
        <v>28</v>
      </c>
      <c r="P1117">
        <v>3</v>
      </c>
      <c r="Q1117">
        <v>243019.14</v>
      </c>
    </row>
    <row r="1118" spans="1:17" x14ac:dyDescent="0.3">
      <c r="A1118" t="s">
        <v>2903</v>
      </c>
      <c r="B1118" t="s">
        <v>2061</v>
      </c>
      <c r="C1118" s="2" t="str">
        <f>PROPER(TRIM(Table1[[#This Row],[Gender]]))</f>
        <v>Female</v>
      </c>
      <c r="D1118" t="s">
        <v>43</v>
      </c>
      <c r="E1118">
        <v>21</v>
      </c>
      <c r="F1118" t="s">
        <v>49</v>
      </c>
      <c r="G1118" s="1">
        <v>37993</v>
      </c>
      <c r="H1118" t="s">
        <v>2904</v>
      </c>
      <c r="I1118" s="2" t="str">
        <f t="shared" si="17"/>
        <v>+91-8033192233</v>
      </c>
      <c r="J1118">
        <f>91-8033192324</f>
        <v>-8033192233</v>
      </c>
      <c r="K1118" t="s">
        <v>273</v>
      </c>
      <c r="L1118" t="s">
        <v>46</v>
      </c>
      <c r="M1118">
        <v>424612</v>
      </c>
      <c r="N1118" s="1">
        <v>45359</v>
      </c>
      <c r="O1118" t="s">
        <v>28</v>
      </c>
      <c r="P1118">
        <v>6</v>
      </c>
      <c r="Q1118">
        <v>60456.47</v>
      </c>
    </row>
    <row r="1119" spans="1:17" x14ac:dyDescent="0.3">
      <c r="A1119" t="s">
        <v>2905</v>
      </c>
      <c r="B1119" t="s">
        <v>798</v>
      </c>
      <c r="C1119" s="2" t="str">
        <f>PROPER(TRIM(Table1[[#This Row],[Gender]]))</f>
        <v>Female</v>
      </c>
      <c r="D1119" t="s">
        <v>43</v>
      </c>
      <c r="E1119">
        <v>24</v>
      </c>
      <c r="F1119" t="s">
        <v>49</v>
      </c>
      <c r="G1119" s="1">
        <v>36898</v>
      </c>
      <c r="H1119" t="s">
        <v>2906</v>
      </c>
      <c r="I1119" s="2" t="str">
        <f t="shared" si="17"/>
        <v>+91-8198854072</v>
      </c>
      <c r="J1119">
        <f>91-8198854163</f>
        <v>-8198854072</v>
      </c>
      <c r="K1119" t="s">
        <v>195</v>
      </c>
      <c r="L1119" t="s">
        <v>102</v>
      </c>
      <c r="M1119">
        <v>520999</v>
      </c>
      <c r="N1119" s="1">
        <v>45442</v>
      </c>
      <c r="O1119" t="s">
        <v>28</v>
      </c>
      <c r="P1119">
        <v>7</v>
      </c>
      <c r="Q1119">
        <v>92854.98</v>
      </c>
    </row>
    <row r="1120" spans="1:17" x14ac:dyDescent="0.3">
      <c r="A1120" t="s">
        <v>2907</v>
      </c>
      <c r="B1120" t="s">
        <v>2908</v>
      </c>
      <c r="C1120" s="2" t="str">
        <f>PROPER(TRIM(Table1[[#This Row],[Gender]]))</f>
        <v>Female</v>
      </c>
      <c r="D1120" t="s">
        <v>43</v>
      </c>
      <c r="E1120">
        <v>38</v>
      </c>
      <c r="F1120" t="s">
        <v>38</v>
      </c>
      <c r="G1120" s="1">
        <v>31788</v>
      </c>
      <c r="H1120" t="s">
        <v>2909</v>
      </c>
      <c r="I1120" s="2" t="str">
        <f t="shared" si="17"/>
        <v>+91-8999033165</v>
      </c>
      <c r="J1120">
        <f>91-8999033256</f>
        <v>-8999033165</v>
      </c>
      <c r="K1120" t="s">
        <v>19</v>
      </c>
      <c r="L1120" t="s">
        <v>20</v>
      </c>
      <c r="M1120">
        <v>553833</v>
      </c>
      <c r="N1120" s="1">
        <v>45382</v>
      </c>
      <c r="O1120" t="s">
        <v>28</v>
      </c>
      <c r="P1120">
        <v>4</v>
      </c>
      <c r="Q1120">
        <v>79792.929999999993</v>
      </c>
    </row>
    <row r="1121" spans="1:17" x14ac:dyDescent="0.3">
      <c r="A1121" t="s">
        <v>2910</v>
      </c>
      <c r="B1121" t="s">
        <v>2911</v>
      </c>
      <c r="C1121" s="2" t="str">
        <f>PROPER(TRIM(Table1[[#This Row],[Gender]]))</f>
        <v>Female</v>
      </c>
      <c r="D1121" t="s">
        <v>43</v>
      </c>
      <c r="E1121">
        <v>24</v>
      </c>
      <c r="F1121" t="s">
        <v>49</v>
      </c>
      <c r="G1121" s="1">
        <v>36898</v>
      </c>
      <c r="H1121" t="s">
        <v>2912</v>
      </c>
      <c r="I1121" s="2" t="str">
        <f t="shared" si="17"/>
        <v>+91-7956481895</v>
      </c>
      <c r="J1121">
        <f>91-7956481986</f>
        <v>-7956481895</v>
      </c>
      <c r="K1121" t="s">
        <v>142</v>
      </c>
      <c r="L1121" t="s">
        <v>143</v>
      </c>
      <c r="M1121">
        <v>860442</v>
      </c>
      <c r="N1121" s="1">
        <v>45240</v>
      </c>
      <c r="O1121" t="s">
        <v>28</v>
      </c>
      <c r="P1121">
        <v>7</v>
      </c>
      <c r="Q1121">
        <v>155709.85</v>
      </c>
    </row>
    <row r="1122" spans="1:17" x14ac:dyDescent="0.3">
      <c r="A1122" t="s">
        <v>2913</v>
      </c>
      <c r="B1122" t="s">
        <v>831</v>
      </c>
      <c r="C1122" s="2" t="str">
        <f>PROPER(TRIM(Table1[[#This Row],[Gender]]))</f>
        <v>Male</v>
      </c>
      <c r="D1122" t="s">
        <v>16</v>
      </c>
      <c r="E1122">
        <v>33</v>
      </c>
      <c r="F1122" t="s">
        <v>31</v>
      </c>
      <c r="G1122" s="1">
        <v>33613</v>
      </c>
      <c r="H1122" t="s">
        <v>2914</v>
      </c>
      <c r="I1122" s="2" t="str">
        <f t="shared" si="17"/>
        <v>+91-9092186876</v>
      </c>
      <c r="J1122">
        <f>91-9092186967</f>
        <v>-9092186876</v>
      </c>
      <c r="K1122" t="s">
        <v>415</v>
      </c>
      <c r="L1122" t="s">
        <v>90</v>
      </c>
      <c r="M1122">
        <v>481962</v>
      </c>
      <c r="N1122" s="1">
        <v>45155</v>
      </c>
      <c r="O1122" t="s">
        <v>28</v>
      </c>
      <c r="P1122">
        <v>5</v>
      </c>
      <c r="Q1122">
        <v>74052.539999999994</v>
      </c>
    </row>
    <row r="1123" spans="1:17" x14ac:dyDescent="0.3">
      <c r="A1123" t="s">
        <v>2915</v>
      </c>
      <c r="B1123" t="s">
        <v>1816</v>
      </c>
      <c r="C1123" s="2" t="str">
        <f>PROPER(TRIM(Table1[[#This Row],[Gender]]))</f>
        <v>Female</v>
      </c>
      <c r="D1123" t="s">
        <v>43</v>
      </c>
      <c r="E1123">
        <v>50</v>
      </c>
      <c r="F1123" t="s">
        <v>17</v>
      </c>
      <c r="G1123" s="1">
        <v>27408</v>
      </c>
      <c r="H1123" t="s">
        <v>2916</v>
      </c>
      <c r="I1123" s="2" t="str">
        <f t="shared" si="17"/>
        <v>+91-7563624305</v>
      </c>
      <c r="J1123">
        <f>91-7563624396</f>
        <v>-7563624305</v>
      </c>
      <c r="K1123" t="s">
        <v>249</v>
      </c>
      <c r="L1123" t="s">
        <v>34</v>
      </c>
      <c r="M1123">
        <v>449378</v>
      </c>
      <c r="N1123" s="1">
        <v>45138</v>
      </c>
      <c r="O1123" t="s">
        <v>21</v>
      </c>
      <c r="P1123">
        <v>9</v>
      </c>
      <c r="Q1123">
        <v>47177.03</v>
      </c>
    </row>
    <row r="1124" spans="1:17" x14ac:dyDescent="0.3">
      <c r="A1124" t="s">
        <v>2917</v>
      </c>
      <c r="B1124" t="s">
        <v>814</v>
      </c>
      <c r="C1124" s="2" t="str">
        <f>PROPER(TRIM(Table1[[#This Row],[Gender]]))</f>
        <v>Male</v>
      </c>
      <c r="D1124" t="s">
        <v>16</v>
      </c>
      <c r="E1124">
        <v>31</v>
      </c>
      <c r="F1124" t="s">
        <v>31</v>
      </c>
      <c r="G1124" s="1">
        <v>34343</v>
      </c>
      <c r="H1124" t="s">
        <v>2918</v>
      </c>
      <c r="I1124" s="2" t="str">
        <f t="shared" si="17"/>
        <v>+91-8372027146</v>
      </c>
      <c r="J1124">
        <f>91-8372027237</f>
        <v>-8372027146</v>
      </c>
      <c r="K1124" t="s">
        <v>138</v>
      </c>
      <c r="L1124" t="s">
        <v>90</v>
      </c>
      <c r="M1124">
        <v>755468</v>
      </c>
      <c r="N1124" s="1">
        <v>45341</v>
      </c>
      <c r="O1124" t="s">
        <v>28</v>
      </c>
      <c r="P1124">
        <v>5</v>
      </c>
      <c r="Q1124">
        <v>79597.72</v>
      </c>
    </row>
    <row r="1125" spans="1:17" x14ac:dyDescent="0.3">
      <c r="A1125" t="s">
        <v>2919</v>
      </c>
      <c r="B1125" t="s">
        <v>395</v>
      </c>
      <c r="C1125" s="2" t="str">
        <f>PROPER(TRIM(Table1[[#This Row],[Gender]]))</f>
        <v>Female</v>
      </c>
      <c r="D1125" t="s">
        <v>43</v>
      </c>
      <c r="E1125">
        <v>23</v>
      </c>
      <c r="F1125" t="s">
        <v>49</v>
      </c>
      <c r="G1125" s="1">
        <v>37263</v>
      </c>
      <c r="H1125" t="s">
        <v>2920</v>
      </c>
      <c r="I1125" s="2" t="str">
        <f t="shared" si="17"/>
        <v>+91-8929525725</v>
      </c>
      <c r="J1125">
        <f>91-8929525816</f>
        <v>-8929525725</v>
      </c>
      <c r="K1125" t="s">
        <v>89</v>
      </c>
      <c r="L1125" t="s">
        <v>90</v>
      </c>
      <c r="M1125">
        <v>742080</v>
      </c>
      <c r="N1125" s="1">
        <v>45170</v>
      </c>
      <c r="O1125" t="s">
        <v>21</v>
      </c>
      <c r="P1125">
        <v>4</v>
      </c>
      <c r="Q1125">
        <v>39062.050000000003</v>
      </c>
    </row>
    <row r="1126" spans="1:17" x14ac:dyDescent="0.3">
      <c r="A1126" t="s">
        <v>2921</v>
      </c>
      <c r="B1126" t="s">
        <v>2922</v>
      </c>
      <c r="C1126" s="2" t="str">
        <f>PROPER(TRIM(Table1[[#This Row],[Gender]]))</f>
        <v>Female</v>
      </c>
      <c r="D1126" t="s">
        <v>43</v>
      </c>
      <c r="E1126">
        <v>29</v>
      </c>
      <c r="F1126" t="s">
        <v>31</v>
      </c>
      <c r="G1126" s="1">
        <v>35073</v>
      </c>
      <c r="H1126" t="s">
        <v>2923</v>
      </c>
      <c r="I1126" s="2" t="str">
        <f t="shared" si="17"/>
        <v>+91-8907089364</v>
      </c>
      <c r="J1126">
        <f>91-8907089455</f>
        <v>-8907089364</v>
      </c>
      <c r="K1126" t="s">
        <v>161</v>
      </c>
      <c r="L1126" t="s">
        <v>102</v>
      </c>
      <c r="M1126">
        <v>513782</v>
      </c>
      <c r="N1126" s="1">
        <v>45270</v>
      </c>
      <c r="O1126" t="s">
        <v>21</v>
      </c>
      <c r="P1126">
        <v>3</v>
      </c>
      <c r="Q1126">
        <v>32153.48</v>
      </c>
    </row>
    <row r="1127" spans="1:17" x14ac:dyDescent="0.3">
      <c r="A1127" t="s">
        <v>2924</v>
      </c>
      <c r="B1127" t="s">
        <v>2033</v>
      </c>
      <c r="C1127" s="2" t="str">
        <f>PROPER(TRIM(Table1[[#This Row],[Gender]]))</f>
        <v>Female</v>
      </c>
      <c r="D1127" t="s">
        <v>43</v>
      </c>
      <c r="E1127">
        <v>32</v>
      </c>
      <c r="F1127" t="s">
        <v>31</v>
      </c>
      <c r="G1127" s="1">
        <v>33978</v>
      </c>
      <c r="H1127" t="s">
        <v>2925</v>
      </c>
      <c r="I1127" s="2" t="str">
        <f t="shared" si="17"/>
        <v>+91-7844117504</v>
      </c>
      <c r="J1127">
        <f>91-7844117595</f>
        <v>-7844117504</v>
      </c>
      <c r="K1127" t="s">
        <v>580</v>
      </c>
      <c r="L1127" t="s">
        <v>85</v>
      </c>
      <c r="M1127">
        <v>733308</v>
      </c>
      <c r="N1127" s="1">
        <v>45200</v>
      </c>
      <c r="O1127" t="s">
        <v>28</v>
      </c>
      <c r="P1127">
        <v>5</v>
      </c>
      <c r="Q1127">
        <v>284829.26</v>
      </c>
    </row>
    <row r="1128" spans="1:17" x14ac:dyDescent="0.3">
      <c r="A1128" t="s">
        <v>2926</v>
      </c>
      <c r="B1128" t="s">
        <v>2927</v>
      </c>
      <c r="C1128" s="2" t="str">
        <f>PROPER(TRIM(Table1[[#This Row],[Gender]]))</f>
        <v>Male</v>
      </c>
      <c r="D1128" t="s">
        <v>16</v>
      </c>
      <c r="E1128">
        <v>29</v>
      </c>
      <c r="F1128" t="s">
        <v>31</v>
      </c>
      <c r="G1128" s="1">
        <v>35073</v>
      </c>
      <c r="H1128" t="s">
        <v>2928</v>
      </c>
      <c r="I1128" s="2" t="str">
        <f t="shared" si="17"/>
        <v>+91-7076033481</v>
      </c>
      <c r="J1128">
        <f>91-7076033572</f>
        <v>-7076033481</v>
      </c>
      <c r="K1128" t="s">
        <v>154</v>
      </c>
      <c r="L1128" t="s">
        <v>46</v>
      </c>
      <c r="M1128">
        <v>662487</v>
      </c>
      <c r="N1128" s="1">
        <v>45425</v>
      </c>
      <c r="O1128" t="s">
        <v>28</v>
      </c>
      <c r="P1128">
        <v>5</v>
      </c>
      <c r="Q1128">
        <v>116009.68</v>
      </c>
    </row>
    <row r="1129" spans="1:17" x14ac:dyDescent="0.3">
      <c r="A1129" t="s">
        <v>2929</v>
      </c>
      <c r="B1129" t="s">
        <v>1311</v>
      </c>
      <c r="C1129" s="2" t="str">
        <f>PROPER(TRIM(Table1[[#This Row],[Gender]]))</f>
        <v>Female</v>
      </c>
      <c r="D1129" t="s">
        <v>43</v>
      </c>
      <c r="E1129">
        <v>19</v>
      </c>
      <c r="F1129" t="s">
        <v>49</v>
      </c>
      <c r="G1129" s="1">
        <v>38723</v>
      </c>
      <c r="H1129" t="s">
        <v>2930</v>
      </c>
      <c r="I1129" s="2" t="str">
        <f t="shared" si="17"/>
        <v>+91-8878853775</v>
      </c>
      <c r="J1129">
        <f>91-8878853866</f>
        <v>-8878853775</v>
      </c>
      <c r="K1129" t="s">
        <v>64</v>
      </c>
      <c r="L1129" t="s">
        <v>20</v>
      </c>
      <c r="M1129">
        <v>235074</v>
      </c>
      <c r="N1129" s="1">
        <v>45327</v>
      </c>
      <c r="O1129" t="s">
        <v>28</v>
      </c>
      <c r="P1129">
        <v>12</v>
      </c>
      <c r="Q1129">
        <v>255805.36</v>
      </c>
    </row>
    <row r="1130" spans="1:17" x14ac:dyDescent="0.3">
      <c r="A1130" t="s">
        <v>2931</v>
      </c>
      <c r="B1130" t="s">
        <v>2932</v>
      </c>
      <c r="C1130" s="2" t="str">
        <f>PROPER(TRIM(Table1[[#This Row],[Gender]]))</f>
        <v>Female</v>
      </c>
      <c r="D1130" t="s">
        <v>43</v>
      </c>
      <c r="E1130">
        <v>34</v>
      </c>
      <c r="F1130" t="s">
        <v>31</v>
      </c>
      <c r="G1130" s="1">
        <v>33248</v>
      </c>
      <c r="H1130" t="s">
        <v>2933</v>
      </c>
      <c r="I1130" s="2" t="str">
        <f t="shared" si="17"/>
        <v>+91-7999175343</v>
      </c>
      <c r="J1130">
        <f>91-7999175434</f>
        <v>-7999175343</v>
      </c>
      <c r="K1130" t="s">
        <v>190</v>
      </c>
      <c r="L1130" t="s">
        <v>191</v>
      </c>
      <c r="M1130">
        <v>948250</v>
      </c>
      <c r="N1130" s="1">
        <v>45318</v>
      </c>
      <c r="O1130" t="s">
        <v>28</v>
      </c>
      <c r="P1130">
        <v>7</v>
      </c>
      <c r="Q1130">
        <v>51640.98</v>
      </c>
    </row>
    <row r="1131" spans="1:17" x14ac:dyDescent="0.3">
      <c r="A1131" t="s">
        <v>2934</v>
      </c>
      <c r="B1131" t="s">
        <v>159</v>
      </c>
      <c r="C1131" s="2" t="str">
        <f>PROPER(TRIM(Table1[[#This Row],[Gender]]))</f>
        <v>Female</v>
      </c>
      <c r="D1131" t="s">
        <v>43</v>
      </c>
      <c r="E1131">
        <v>20</v>
      </c>
      <c r="F1131" t="s">
        <v>49</v>
      </c>
      <c r="G1131" s="1">
        <v>38358</v>
      </c>
      <c r="H1131" t="s">
        <v>2935</v>
      </c>
      <c r="I1131" s="2" t="str">
        <f t="shared" si="17"/>
        <v>+91-9366116287</v>
      </c>
      <c r="J1131">
        <f>91-9366116378</f>
        <v>-9366116287</v>
      </c>
      <c r="K1131" t="s">
        <v>101</v>
      </c>
      <c r="L1131" t="s">
        <v>102</v>
      </c>
      <c r="M1131">
        <v>267151</v>
      </c>
      <c r="N1131" s="1">
        <v>45254</v>
      </c>
      <c r="O1131" t="s">
        <v>28</v>
      </c>
      <c r="P1131">
        <v>7</v>
      </c>
      <c r="Q1131">
        <v>127595.72</v>
      </c>
    </row>
    <row r="1132" spans="1:17" x14ac:dyDescent="0.3">
      <c r="A1132" t="s">
        <v>2936</v>
      </c>
      <c r="B1132" t="s">
        <v>2108</v>
      </c>
      <c r="C1132" s="2" t="str">
        <f>PROPER(TRIM(Table1[[#This Row],[Gender]]))</f>
        <v>Male</v>
      </c>
      <c r="D1132" t="s">
        <v>16</v>
      </c>
      <c r="E1132">
        <v>60</v>
      </c>
      <c r="F1132" t="s">
        <v>58</v>
      </c>
      <c r="G1132" s="1">
        <v>23758</v>
      </c>
      <c r="H1132" t="s">
        <v>2937</v>
      </c>
      <c r="I1132" s="2" t="str">
        <f t="shared" si="17"/>
        <v>+91-8604781616</v>
      </c>
      <c r="J1132">
        <f>91-8604781707</f>
        <v>-8604781616</v>
      </c>
      <c r="K1132" t="s">
        <v>117</v>
      </c>
      <c r="L1132" t="s">
        <v>52</v>
      </c>
      <c r="M1132">
        <v>482846</v>
      </c>
      <c r="N1132" s="1">
        <v>45302</v>
      </c>
      <c r="O1132" t="s">
        <v>35</v>
      </c>
      <c r="P1132">
        <v>5</v>
      </c>
      <c r="Q1132">
        <v>6942.17</v>
      </c>
    </row>
    <row r="1133" spans="1:17" x14ac:dyDescent="0.3">
      <c r="A1133" t="s">
        <v>2938</v>
      </c>
      <c r="B1133" t="s">
        <v>1932</v>
      </c>
      <c r="C1133" s="2" t="str">
        <f>PROPER(TRIM(Table1[[#This Row],[Gender]]))</f>
        <v>Female</v>
      </c>
      <c r="D1133" t="s">
        <v>43</v>
      </c>
      <c r="E1133">
        <v>28</v>
      </c>
      <c r="F1133" t="s">
        <v>31</v>
      </c>
      <c r="G1133" s="1">
        <v>35438</v>
      </c>
      <c r="H1133" t="s">
        <v>2939</v>
      </c>
      <c r="I1133" s="2" t="str">
        <f t="shared" si="17"/>
        <v>+91-8559889824</v>
      </c>
      <c r="J1133">
        <f>91-8559889915</f>
        <v>-8559889824</v>
      </c>
      <c r="K1133" t="s">
        <v>195</v>
      </c>
      <c r="L1133" t="s">
        <v>102</v>
      </c>
      <c r="M1133">
        <v>119552</v>
      </c>
      <c r="N1133" s="1">
        <v>45177</v>
      </c>
      <c r="O1133" t="s">
        <v>28</v>
      </c>
      <c r="P1133">
        <v>4</v>
      </c>
      <c r="Q1133">
        <v>60978.86</v>
      </c>
    </row>
    <row r="1134" spans="1:17" x14ac:dyDescent="0.3">
      <c r="A1134" t="s">
        <v>2940</v>
      </c>
      <c r="B1134" t="s">
        <v>1485</v>
      </c>
      <c r="C1134" s="2" t="str">
        <f>PROPER(TRIM(Table1[[#This Row],[Gender]]))</f>
        <v>Female</v>
      </c>
      <c r="D1134" t="s">
        <v>43</v>
      </c>
      <c r="E1134">
        <v>61</v>
      </c>
      <c r="F1134" t="s">
        <v>58</v>
      </c>
      <c r="G1134" s="1">
        <v>23393</v>
      </c>
      <c r="H1134" t="s">
        <v>2941</v>
      </c>
      <c r="I1134" s="2" t="str">
        <f t="shared" si="17"/>
        <v>+91-9734437022</v>
      </c>
      <c r="J1134">
        <f>91-9734437113</f>
        <v>-9734437022</v>
      </c>
      <c r="K1134" t="s">
        <v>190</v>
      </c>
      <c r="L1134" t="s">
        <v>191</v>
      </c>
      <c r="M1134">
        <v>114798</v>
      </c>
      <c r="N1134" s="1">
        <v>45395</v>
      </c>
      <c r="O1134" t="s">
        <v>28</v>
      </c>
      <c r="P1134">
        <v>12</v>
      </c>
      <c r="Q1134">
        <v>66638.78</v>
      </c>
    </row>
    <row r="1135" spans="1:17" x14ac:dyDescent="0.3">
      <c r="A1135" t="s">
        <v>2942</v>
      </c>
      <c r="B1135" t="s">
        <v>498</v>
      </c>
      <c r="C1135" s="2" t="str">
        <f>PROPER(TRIM(Table1[[#This Row],[Gender]]))</f>
        <v>Female</v>
      </c>
      <c r="D1135" t="s">
        <v>43</v>
      </c>
      <c r="E1135">
        <v>18</v>
      </c>
      <c r="F1135" t="s">
        <v>49</v>
      </c>
      <c r="G1135" s="1">
        <v>39088</v>
      </c>
      <c r="H1135" t="s">
        <v>2943</v>
      </c>
      <c r="I1135" s="2" t="str">
        <f t="shared" si="17"/>
        <v>+91-8638418802</v>
      </c>
      <c r="J1135">
        <f>91-8638418893</f>
        <v>-8638418802</v>
      </c>
      <c r="K1135" t="s">
        <v>161</v>
      </c>
      <c r="L1135" t="s">
        <v>102</v>
      </c>
      <c r="M1135">
        <v>221862</v>
      </c>
      <c r="N1135" s="1">
        <v>45370</v>
      </c>
      <c r="O1135" t="s">
        <v>28</v>
      </c>
      <c r="P1135">
        <v>4</v>
      </c>
      <c r="Q1135">
        <v>109926.16</v>
      </c>
    </row>
    <row r="1136" spans="1:17" x14ac:dyDescent="0.3">
      <c r="A1136" t="s">
        <v>2944</v>
      </c>
      <c r="B1136" t="s">
        <v>2945</v>
      </c>
      <c r="C1136" s="2" t="str">
        <f>PROPER(TRIM(Table1[[#This Row],[Gender]]))</f>
        <v>Female</v>
      </c>
      <c r="D1136" t="s">
        <v>43</v>
      </c>
      <c r="E1136">
        <v>31</v>
      </c>
      <c r="F1136" t="s">
        <v>31</v>
      </c>
      <c r="G1136" s="1">
        <v>34343</v>
      </c>
      <c r="H1136" t="s">
        <v>2946</v>
      </c>
      <c r="I1136" s="2" t="str">
        <f t="shared" si="17"/>
        <v>+91-7292551044</v>
      </c>
      <c r="J1136">
        <f>91-7292551135</f>
        <v>-7292551044</v>
      </c>
      <c r="K1136" t="s">
        <v>174</v>
      </c>
      <c r="L1136" t="s">
        <v>90</v>
      </c>
      <c r="M1136">
        <v>349489</v>
      </c>
      <c r="N1136" s="1">
        <v>45130</v>
      </c>
      <c r="O1136" t="s">
        <v>28</v>
      </c>
      <c r="P1136">
        <v>7</v>
      </c>
      <c r="Q1136">
        <v>396175.42</v>
      </c>
    </row>
    <row r="1137" spans="1:17" x14ac:dyDescent="0.3">
      <c r="A1137" t="s">
        <v>2947</v>
      </c>
      <c r="B1137" t="s">
        <v>2948</v>
      </c>
      <c r="C1137" s="2" t="str">
        <f>PROPER(TRIM(Table1[[#This Row],[Gender]]))</f>
        <v>Male</v>
      </c>
      <c r="D1137" t="s">
        <v>16</v>
      </c>
      <c r="E1137">
        <v>31</v>
      </c>
      <c r="F1137" t="s">
        <v>31</v>
      </c>
      <c r="G1137" s="1">
        <v>34343</v>
      </c>
      <c r="H1137" t="s">
        <v>2949</v>
      </c>
      <c r="I1137" s="2" t="str">
        <f t="shared" si="17"/>
        <v>+91-9885651622</v>
      </c>
      <c r="J1137">
        <f>91-9885651713</f>
        <v>-9885651622</v>
      </c>
      <c r="K1137" t="s">
        <v>45</v>
      </c>
      <c r="L1137" t="s">
        <v>46</v>
      </c>
      <c r="M1137">
        <v>767701</v>
      </c>
      <c r="N1137" s="1">
        <v>45116</v>
      </c>
      <c r="O1137" t="s">
        <v>28</v>
      </c>
      <c r="P1137">
        <v>5</v>
      </c>
      <c r="Q1137">
        <v>158532.68</v>
      </c>
    </row>
    <row r="1138" spans="1:17" x14ac:dyDescent="0.3">
      <c r="A1138" t="s">
        <v>2950</v>
      </c>
      <c r="B1138" t="s">
        <v>2951</v>
      </c>
      <c r="C1138" s="2" t="str">
        <f>PROPER(TRIM(Table1[[#This Row],[Gender]]))</f>
        <v>Male</v>
      </c>
      <c r="D1138" t="s">
        <v>16</v>
      </c>
      <c r="E1138">
        <v>68</v>
      </c>
      <c r="F1138" t="s">
        <v>24</v>
      </c>
      <c r="G1138" s="1">
        <v>20838</v>
      </c>
      <c r="H1138" t="s">
        <v>2952</v>
      </c>
      <c r="I1138" s="2" t="str">
        <f t="shared" si="17"/>
        <v>+91-9523836130</v>
      </c>
      <c r="J1138">
        <f>91-9523836221</f>
        <v>-9523836130</v>
      </c>
      <c r="K1138" t="s">
        <v>64</v>
      </c>
      <c r="L1138" t="s">
        <v>20</v>
      </c>
      <c r="M1138">
        <v>761286</v>
      </c>
      <c r="N1138" s="1">
        <v>45192</v>
      </c>
      <c r="O1138" t="s">
        <v>28</v>
      </c>
      <c r="P1138">
        <v>5</v>
      </c>
      <c r="Q1138">
        <v>103984.9</v>
      </c>
    </row>
    <row r="1139" spans="1:17" x14ac:dyDescent="0.3">
      <c r="A1139" t="s">
        <v>2953</v>
      </c>
      <c r="B1139" t="s">
        <v>2954</v>
      </c>
      <c r="C1139" s="2" t="str">
        <f>PROPER(TRIM(Table1[[#This Row],[Gender]]))</f>
        <v>Female</v>
      </c>
      <c r="D1139" t="s">
        <v>43</v>
      </c>
      <c r="E1139">
        <v>24</v>
      </c>
      <c r="F1139" t="s">
        <v>49</v>
      </c>
      <c r="G1139" s="1">
        <v>36898</v>
      </c>
      <c r="H1139" t="s">
        <v>2955</v>
      </c>
      <c r="I1139" s="2" t="str">
        <f t="shared" si="17"/>
        <v>+91-7174516203</v>
      </c>
      <c r="J1139">
        <f>91-7174516294</f>
        <v>-7174516203</v>
      </c>
      <c r="K1139" t="s">
        <v>580</v>
      </c>
      <c r="L1139" t="s">
        <v>85</v>
      </c>
      <c r="M1139">
        <v>657070</v>
      </c>
      <c r="N1139" s="1">
        <v>45178</v>
      </c>
      <c r="O1139" t="s">
        <v>28</v>
      </c>
      <c r="P1139">
        <v>5</v>
      </c>
      <c r="Q1139">
        <v>139295.96</v>
      </c>
    </row>
    <row r="1140" spans="1:17" x14ac:dyDescent="0.3">
      <c r="A1140" t="s">
        <v>2956</v>
      </c>
      <c r="B1140" t="s">
        <v>599</v>
      </c>
      <c r="C1140" s="2" t="str">
        <f>PROPER(TRIM(Table1[[#This Row],[Gender]]))</f>
        <v>Male</v>
      </c>
      <c r="D1140" t="s">
        <v>16</v>
      </c>
      <c r="E1140">
        <v>37</v>
      </c>
      <c r="F1140" t="s">
        <v>38</v>
      </c>
      <c r="G1140" s="1">
        <v>32153</v>
      </c>
      <c r="H1140" t="s">
        <v>2957</v>
      </c>
      <c r="I1140" s="2" t="str">
        <f t="shared" si="17"/>
        <v>+91-9318540903</v>
      </c>
      <c r="J1140">
        <f>91-9318540994</f>
        <v>-9318540903</v>
      </c>
      <c r="K1140" t="s">
        <v>369</v>
      </c>
      <c r="L1140" t="s">
        <v>191</v>
      </c>
      <c r="M1140">
        <v>380133</v>
      </c>
      <c r="N1140" s="1">
        <v>45390</v>
      </c>
      <c r="O1140" t="s">
        <v>28</v>
      </c>
      <c r="P1140">
        <v>2</v>
      </c>
      <c r="Q1140">
        <v>62296.84</v>
      </c>
    </row>
    <row r="1141" spans="1:17" x14ac:dyDescent="0.3">
      <c r="A1141" t="s">
        <v>2958</v>
      </c>
      <c r="B1141" t="s">
        <v>1184</v>
      </c>
      <c r="C1141" s="2" t="str">
        <f>PROPER(TRIM(Table1[[#This Row],[Gender]]))</f>
        <v>Male</v>
      </c>
      <c r="D1141" t="s">
        <v>16</v>
      </c>
      <c r="E1141">
        <v>57</v>
      </c>
      <c r="F1141" t="s">
        <v>58</v>
      </c>
      <c r="G1141" s="1">
        <v>24853</v>
      </c>
      <c r="H1141" t="s">
        <v>2959</v>
      </c>
      <c r="I1141" s="2" t="str">
        <f t="shared" si="17"/>
        <v>+91-7245179003</v>
      </c>
      <c r="J1141">
        <f>91-7245179094</f>
        <v>-7245179003</v>
      </c>
      <c r="K1141" t="s">
        <v>580</v>
      </c>
      <c r="L1141" t="s">
        <v>85</v>
      </c>
      <c r="M1141">
        <v>989299</v>
      </c>
      <c r="N1141" s="1">
        <v>45226</v>
      </c>
      <c r="O1141" t="s">
        <v>35</v>
      </c>
      <c r="P1141">
        <v>5</v>
      </c>
      <c r="Q1141">
        <v>17510.099999999999</v>
      </c>
    </row>
    <row r="1142" spans="1:17" x14ac:dyDescent="0.3">
      <c r="A1142" t="s">
        <v>2960</v>
      </c>
      <c r="B1142" t="s">
        <v>1239</v>
      </c>
      <c r="C1142" s="2" t="str">
        <f>PROPER(TRIM(Table1[[#This Row],[Gender]]))</f>
        <v>Female</v>
      </c>
      <c r="D1142" t="s">
        <v>43</v>
      </c>
      <c r="E1142">
        <v>30</v>
      </c>
      <c r="F1142" t="s">
        <v>31</v>
      </c>
      <c r="G1142" s="1">
        <v>34708</v>
      </c>
      <c r="H1142" t="s">
        <v>2961</v>
      </c>
      <c r="I1142" s="2" t="str">
        <f t="shared" si="17"/>
        <v>+91-8661004049</v>
      </c>
      <c r="J1142">
        <f>91-8661004140</f>
        <v>-8661004049</v>
      </c>
      <c r="K1142" t="s">
        <v>147</v>
      </c>
      <c r="L1142" t="s">
        <v>143</v>
      </c>
      <c r="M1142">
        <v>953130</v>
      </c>
      <c r="N1142" s="1">
        <v>45354</v>
      </c>
      <c r="O1142" t="s">
        <v>28</v>
      </c>
      <c r="P1142">
        <v>11</v>
      </c>
      <c r="Q1142">
        <v>284352.01</v>
      </c>
    </row>
    <row r="1143" spans="1:17" x14ac:dyDescent="0.3">
      <c r="A1143" t="s">
        <v>2962</v>
      </c>
      <c r="B1143" t="s">
        <v>207</v>
      </c>
      <c r="C1143" s="2" t="str">
        <f>PROPER(TRIM(Table1[[#This Row],[Gender]]))</f>
        <v>Female</v>
      </c>
      <c r="D1143" t="s">
        <v>43</v>
      </c>
      <c r="E1143">
        <v>59</v>
      </c>
      <c r="F1143" t="s">
        <v>58</v>
      </c>
      <c r="G1143" s="1">
        <v>24123</v>
      </c>
      <c r="H1143" t="s">
        <v>2963</v>
      </c>
      <c r="I1143" s="2" t="str">
        <f t="shared" si="17"/>
        <v>+91-8007065509</v>
      </c>
      <c r="J1143">
        <f>91-8007065600</f>
        <v>-8007065509</v>
      </c>
      <c r="K1143" t="s">
        <v>273</v>
      </c>
      <c r="L1143" t="s">
        <v>46</v>
      </c>
      <c r="M1143">
        <v>447680</v>
      </c>
      <c r="N1143" s="1">
        <v>45166</v>
      </c>
      <c r="O1143" t="s">
        <v>21</v>
      </c>
      <c r="P1143">
        <v>4</v>
      </c>
      <c r="Q1143">
        <v>22693.64</v>
      </c>
    </row>
    <row r="1144" spans="1:17" x14ac:dyDescent="0.3">
      <c r="A1144" t="s">
        <v>2964</v>
      </c>
      <c r="B1144" t="s">
        <v>2965</v>
      </c>
      <c r="C1144" s="2" t="str">
        <f>PROPER(TRIM(Table1[[#This Row],[Gender]]))</f>
        <v>Female</v>
      </c>
      <c r="D1144" t="s">
        <v>43</v>
      </c>
      <c r="E1144">
        <v>21</v>
      </c>
      <c r="F1144" t="s">
        <v>49</v>
      </c>
      <c r="G1144" s="1">
        <v>37993</v>
      </c>
      <c r="H1144" t="s">
        <v>2966</v>
      </c>
      <c r="I1144" s="2" t="str">
        <f t="shared" si="17"/>
        <v>+91-9714790239</v>
      </c>
      <c r="J1144">
        <f>91-9714790330</f>
        <v>-9714790239</v>
      </c>
      <c r="K1144" t="s">
        <v>109</v>
      </c>
      <c r="L1144" t="s">
        <v>46</v>
      </c>
      <c r="M1144">
        <v>972295</v>
      </c>
      <c r="N1144" s="1">
        <v>45152</v>
      </c>
      <c r="O1144" t="s">
        <v>28</v>
      </c>
      <c r="P1144">
        <v>5</v>
      </c>
      <c r="Q1144">
        <v>138538.07999999999</v>
      </c>
    </row>
    <row r="1145" spans="1:17" x14ac:dyDescent="0.3">
      <c r="A1145" t="s">
        <v>2967</v>
      </c>
      <c r="B1145" t="s">
        <v>1713</v>
      </c>
      <c r="C1145" s="2" t="str">
        <f>PROPER(TRIM(Table1[[#This Row],[Gender]]))</f>
        <v>Female</v>
      </c>
      <c r="D1145" t="s">
        <v>43</v>
      </c>
      <c r="E1145">
        <v>35</v>
      </c>
      <c r="F1145" t="s">
        <v>31</v>
      </c>
      <c r="G1145" s="1">
        <v>32883</v>
      </c>
      <c r="H1145" t="s">
        <v>2968</v>
      </c>
      <c r="I1145" s="2" t="str">
        <f t="shared" si="17"/>
        <v>+91-8316645599</v>
      </c>
      <c r="J1145">
        <f>91-8316645690</f>
        <v>-8316645599</v>
      </c>
      <c r="K1145" t="s">
        <v>45</v>
      </c>
      <c r="L1145" t="s">
        <v>46</v>
      </c>
      <c r="M1145">
        <v>392663</v>
      </c>
      <c r="N1145" s="1">
        <v>45231</v>
      </c>
      <c r="O1145" t="s">
        <v>28</v>
      </c>
      <c r="P1145">
        <v>6</v>
      </c>
      <c r="Q1145">
        <v>119209.64</v>
      </c>
    </row>
    <row r="1146" spans="1:17" x14ac:dyDescent="0.3">
      <c r="A1146" t="s">
        <v>2969</v>
      </c>
      <c r="B1146" t="s">
        <v>1474</v>
      </c>
      <c r="C1146" s="2" t="str">
        <f>PROPER(TRIM(Table1[[#This Row],[Gender]]))</f>
        <v>Female</v>
      </c>
      <c r="D1146" t="s">
        <v>43</v>
      </c>
      <c r="E1146">
        <v>25</v>
      </c>
      <c r="F1146" t="s">
        <v>49</v>
      </c>
      <c r="G1146" s="1">
        <v>36533</v>
      </c>
      <c r="H1146" t="s">
        <v>2970</v>
      </c>
      <c r="I1146" s="2" t="str">
        <f t="shared" si="17"/>
        <v>+91-7691462506</v>
      </c>
      <c r="J1146">
        <f>91-7691462597</f>
        <v>-7691462506</v>
      </c>
      <c r="K1146" t="s">
        <v>249</v>
      </c>
      <c r="L1146" t="s">
        <v>34</v>
      </c>
      <c r="M1146">
        <v>396097</v>
      </c>
      <c r="N1146" s="1">
        <v>45225</v>
      </c>
      <c r="O1146" t="s">
        <v>28</v>
      </c>
      <c r="P1146">
        <v>7</v>
      </c>
      <c r="Q1146">
        <v>158311.25</v>
      </c>
    </row>
    <row r="1147" spans="1:17" x14ac:dyDescent="0.3">
      <c r="A1147" t="s">
        <v>2971</v>
      </c>
      <c r="B1147" t="s">
        <v>865</v>
      </c>
      <c r="C1147" s="2" t="str">
        <f>PROPER(TRIM(Table1[[#This Row],[Gender]]))</f>
        <v>Male</v>
      </c>
      <c r="D1147" t="s">
        <v>16</v>
      </c>
      <c r="E1147">
        <v>38</v>
      </c>
      <c r="F1147" t="s">
        <v>38</v>
      </c>
      <c r="G1147" s="1">
        <v>31788</v>
      </c>
      <c r="H1147" t="s">
        <v>2972</v>
      </c>
      <c r="I1147" s="2" t="str">
        <f t="shared" si="17"/>
        <v>+91-8471450024</v>
      </c>
      <c r="J1147">
        <f>91-8471450115</f>
        <v>-8471450024</v>
      </c>
      <c r="K1147" t="s">
        <v>147</v>
      </c>
      <c r="L1147" t="s">
        <v>143</v>
      </c>
      <c r="M1147">
        <v>426711</v>
      </c>
      <c r="N1147" s="1">
        <v>45351</v>
      </c>
      <c r="O1147" t="s">
        <v>28</v>
      </c>
      <c r="P1147">
        <v>3</v>
      </c>
      <c r="Q1147">
        <v>67140.19</v>
      </c>
    </row>
    <row r="1148" spans="1:17" x14ac:dyDescent="0.3">
      <c r="A1148" t="s">
        <v>2973</v>
      </c>
      <c r="B1148" t="s">
        <v>2974</v>
      </c>
      <c r="C1148" s="2" t="str">
        <f>PROPER(TRIM(Table1[[#This Row],[Gender]]))</f>
        <v>Male</v>
      </c>
      <c r="D1148" t="s">
        <v>16</v>
      </c>
      <c r="E1148">
        <v>31</v>
      </c>
      <c r="F1148" t="s">
        <v>31</v>
      </c>
      <c r="G1148" s="1">
        <v>34343</v>
      </c>
      <c r="H1148" t="s">
        <v>2975</v>
      </c>
      <c r="I1148" s="2" t="str">
        <f t="shared" si="17"/>
        <v>+91-9354300652</v>
      </c>
      <c r="J1148">
        <f>91-9354300743</f>
        <v>-9354300652</v>
      </c>
      <c r="K1148" t="s">
        <v>178</v>
      </c>
      <c r="L1148" t="s">
        <v>27</v>
      </c>
      <c r="M1148">
        <v>217387</v>
      </c>
      <c r="N1148" s="1">
        <v>45212</v>
      </c>
      <c r="O1148" t="s">
        <v>28</v>
      </c>
      <c r="P1148">
        <v>7</v>
      </c>
      <c r="Q1148">
        <v>126192.11</v>
      </c>
    </row>
    <row r="1149" spans="1:17" x14ac:dyDescent="0.3">
      <c r="A1149" t="s">
        <v>2976</v>
      </c>
      <c r="B1149" t="s">
        <v>2977</v>
      </c>
      <c r="C1149" s="2" t="str">
        <f>PROPER(TRIM(Table1[[#This Row],[Gender]]))</f>
        <v>Female</v>
      </c>
      <c r="D1149" t="s">
        <v>43</v>
      </c>
      <c r="E1149">
        <v>41</v>
      </c>
      <c r="F1149" t="s">
        <v>38</v>
      </c>
      <c r="G1149" s="1">
        <v>30693</v>
      </c>
      <c r="H1149" t="s">
        <v>2978</v>
      </c>
      <c r="I1149" s="2" t="str">
        <f t="shared" si="17"/>
        <v>+91-9035011853</v>
      </c>
      <c r="J1149">
        <f>91-9035011944</f>
        <v>-9035011853</v>
      </c>
      <c r="K1149" t="s">
        <v>138</v>
      </c>
      <c r="L1149" t="s">
        <v>90</v>
      </c>
      <c r="M1149">
        <v>190897</v>
      </c>
      <c r="N1149" s="1">
        <v>45186</v>
      </c>
      <c r="O1149" t="s">
        <v>28</v>
      </c>
      <c r="P1149">
        <v>3</v>
      </c>
      <c r="Q1149">
        <v>54598.38</v>
      </c>
    </row>
    <row r="1150" spans="1:17" x14ac:dyDescent="0.3">
      <c r="A1150" t="s">
        <v>2979</v>
      </c>
      <c r="B1150" t="s">
        <v>442</v>
      </c>
      <c r="C1150" s="2" t="str">
        <f>PROPER(TRIM(Table1[[#This Row],[Gender]]))</f>
        <v>Male</v>
      </c>
      <c r="D1150" t="s">
        <v>16</v>
      </c>
      <c r="E1150">
        <v>48</v>
      </c>
      <c r="F1150" t="s">
        <v>17</v>
      </c>
      <c r="G1150" s="1">
        <v>28138</v>
      </c>
      <c r="H1150" t="s">
        <v>2980</v>
      </c>
      <c r="I1150" s="2" t="str">
        <f t="shared" si="17"/>
        <v>+91-9598455182</v>
      </c>
      <c r="J1150">
        <f>91-9598455273</f>
        <v>-9598455182</v>
      </c>
      <c r="K1150" t="s">
        <v>94</v>
      </c>
      <c r="L1150" t="s">
        <v>20</v>
      </c>
      <c r="M1150">
        <v>478447</v>
      </c>
      <c r="N1150" s="1">
        <v>45106</v>
      </c>
      <c r="O1150" t="s">
        <v>28</v>
      </c>
      <c r="P1150">
        <v>8</v>
      </c>
      <c r="Q1150">
        <v>53671.35</v>
      </c>
    </row>
    <row r="1151" spans="1:17" x14ac:dyDescent="0.3">
      <c r="A1151" t="s">
        <v>2981</v>
      </c>
      <c r="B1151" t="s">
        <v>167</v>
      </c>
      <c r="C1151" s="2" t="str">
        <f>PROPER(TRIM(Table1[[#This Row],[Gender]]))</f>
        <v>Female</v>
      </c>
      <c r="D1151" t="s">
        <v>43</v>
      </c>
      <c r="E1151">
        <v>35</v>
      </c>
      <c r="F1151" t="s">
        <v>31</v>
      </c>
      <c r="G1151" s="1">
        <v>32883</v>
      </c>
      <c r="H1151" t="s">
        <v>2982</v>
      </c>
      <c r="I1151" s="2" t="str">
        <f t="shared" si="17"/>
        <v>+91-9013800717</v>
      </c>
      <c r="J1151">
        <f>91-9013800808</f>
        <v>-9013800717</v>
      </c>
      <c r="K1151" t="s">
        <v>19</v>
      </c>
      <c r="L1151" t="s">
        <v>20</v>
      </c>
      <c r="M1151">
        <v>375589</v>
      </c>
      <c r="N1151" s="1">
        <v>45132</v>
      </c>
      <c r="O1151" t="s">
        <v>28</v>
      </c>
      <c r="P1151">
        <v>4</v>
      </c>
      <c r="Q1151">
        <v>125189.56</v>
      </c>
    </row>
    <row r="1152" spans="1:17" x14ac:dyDescent="0.3">
      <c r="A1152" t="s">
        <v>2983</v>
      </c>
      <c r="B1152" t="s">
        <v>2984</v>
      </c>
      <c r="C1152" s="2" t="str">
        <f>PROPER(TRIM(Table1[[#This Row],[Gender]]))</f>
        <v>Female</v>
      </c>
      <c r="D1152" t="s">
        <v>43</v>
      </c>
      <c r="E1152">
        <v>18</v>
      </c>
      <c r="F1152" t="s">
        <v>49</v>
      </c>
      <c r="G1152" s="1">
        <v>39088</v>
      </c>
      <c r="H1152" t="s">
        <v>2985</v>
      </c>
      <c r="I1152" s="2" t="str">
        <f t="shared" si="17"/>
        <v>+91-8885030143</v>
      </c>
      <c r="J1152">
        <f>91-8885030234</f>
        <v>-8885030143</v>
      </c>
      <c r="K1152" t="s">
        <v>60</v>
      </c>
      <c r="L1152" t="s">
        <v>34</v>
      </c>
      <c r="M1152">
        <v>895386</v>
      </c>
      <c r="N1152" s="1">
        <v>45157</v>
      </c>
      <c r="O1152" t="s">
        <v>35</v>
      </c>
      <c r="P1152">
        <v>1</v>
      </c>
      <c r="Q1152">
        <v>815.63</v>
      </c>
    </row>
    <row r="1153" spans="1:17" x14ac:dyDescent="0.3">
      <c r="A1153" t="s">
        <v>2986</v>
      </c>
      <c r="B1153" t="s">
        <v>1839</v>
      </c>
      <c r="C1153" s="2" t="str">
        <f>PROPER(TRIM(Table1[[#This Row],[Gender]]))</f>
        <v>Male</v>
      </c>
      <c r="D1153" t="s">
        <v>16</v>
      </c>
      <c r="E1153">
        <v>24</v>
      </c>
      <c r="F1153" t="s">
        <v>49</v>
      </c>
      <c r="G1153" s="1">
        <v>36898</v>
      </c>
      <c r="H1153" t="s">
        <v>2987</v>
      </c>
      <c r="I1153" s="2" t="str">
        <f t="shared" si="17"/>
        <v>+91-7697359014</v>
      </c>
      <c r="J1153">
        <f>91-7697359105</f>
        <v>-7697359014</v>
      </c>
      <c r="K1153" t="s">
        <v>190</v>
      </c>
      <c r="L1153" t="s">
        <v>191</v>
      </c>
      <c r="M1153">
        <v>810993</v>
      </c>
      <c r="N1153" s="1">
        <v>45244</v>
      </c>
      <c r="O1153" t="s">
        <v>28</v>
      </c>
      <c r="P1153">
        <v>6</v>
      </c>
      <c r="Q1153">
        <v>167355.97</v>
      </c>
    </row>
    <row r="1154" spans="1:17" x14ac:dyDescent="0.3">
      <c r="A1154" t="s">
        <v>2988</v>
      </c>
      <c r="B1154" t="s">
        <v>2989</v>
      </c>
      <c r="C1154" s="2" t="str">
        <f>PROPER(TRIM(Table1[[#This Row],[Gender]]))</f>
        <v>Female</v>
      </c>
      <c r="D1154" t="s">
        <v>43</v>
      </c>
      <c r="E1154">
        <v>18</v>
      </c>
      <c r="F1154" t="s">
        <v>49</v>
      </c>
      <c r="G1154" s="1">
        <v>39088</v>
      </c>
      <c r="H1154" t="s">
        <v>2990</v>
      </c>
      <c r="I1154" s="2" t="str">
        <f t="shared" ref="I1154:I1217" si="18">"+91"&amp;TEXT(J1154,"0000000000")</f>
        <v>+91-8617799959</v>
      </c>
      <c r="J1154">
        <f>91-8617800050</f>
        <v>-8617799959</v>
      </c>
      <c r="K1154" t="s">
        <v>113</v>
      </c>
      <c r="L1154" t="s">
        <v>34</v>
      </c>
      <c r="M1154">
        <v>561588</v>
      </c>
      <c r="N1154" s="1">
        <v>45293</v>
      </c>
      <c r="O1154" t="s">
        <v>28</v>
      </c>
      <c r="P1154">
        <v>6</v>
      </c>
      <c r="Q1154">
        <v>73124.759999999995</v>
      </c>
    </row>
    <row r="1155" spans="1:17" x14ac:dyDescent="0.3">
      <c r="A1155" t="s">
        <v>2991</v>
      </c>
      <c r="B1155" t="s">
        <v>1962</v>
      </c>
      <c r="C1155" s="2" t="str">
        <f>PROPER(TRIM(Table1[[#This Row],[Gender]]))</f>
        <v>Female</v>
      </c>
      <c r="D1155" t="s">
        <v>43</v>
      </c>
      <c r="E1155">
        <v>42</v>
      </c>
      <c r="F1155" t="s">
        <v>38</v>
      </c>
      <c r="G1155" s="1">
        <v>30328</v>
      </c>
      <c r="H1155" t="s">
        <v>2992</v>
      </c>
      <c r="I1155" s="2" t="str">
        <f t="shared" si="18"/>
        <v>+91-7771164951</v>
      </c>
      <c r="J1155">
        <f>91-7771165042</f>
        <v>-7771164951</v>
      </c>
      <c r="K1155" t="s">
        <v>142</v>
      </c>
      <c r="L1155" t="s">
        <v>143</v>
      </c>
      <c r="M1155">
        <v>568459</v>
      </c>
      <c r="N1155" s="1">
        <v>45090</v>
      </c>
      <c r="O1155" t="s">
        <v>28</v>
      </c>
      <c r="P1155">
        <v>5</v>
      </c>
      <c r="Q1155">
        <v>65516.23</v>
      </c>
    </row>
    <row r="1156" spans="1:17" x14ac:dyDescent="0.3">
      <c r="A1156" t="s">
        <v>2993</v>
      </c>
      <c r="B1156" t="s">
        <v>2994</v>
      </c>
      <c r="C1156" s="2" t="str">
        <f>PROPER(TRIM(Table1[[#This Row],[Gender]]))</f>
        <v>Female</v>
      </c>
      <c r="D1156" t="s">
        <v>43</v>
      </c>
      <c r="E1156">
        <v>45</v>
      </c>
      <c r="F1156" t="s">
        <v>38</v>
      </c>
      <c r="G1156" s="1">
        <v>29233</v>
      </c>
      <c r="H1156" t="s">
        <v>2995</v>
      </c>
      <c r="I1156" s="2" t="str">
        <f t="shared" si="18"/>
        <v>+91-8472696089</v>
      </c>
      <c r="J1156">
        <f>91-8472696180</f>
        <v>-8472696089</v>
      </c>
      <c r="K1156" t="s">
        <v>101</v>
      </c>
      <c r="L1156" t="s">
        <v>102</v>
      </c>
      <c r="M1156">
        <v>359244</v>
      </c>
      <c r="N1156" s="1">
        <v>45098</v>
      </c>
      <c r="O1156" t="s">
        <v>28</v>
      </c>
      <c r="P1156">
        <v>6</v>
      </c>
      <c r="Q1156">
        <v>248539.68</v>
      </c>
    </row>
    <row r="1157" spans="1:17" x14ac:dyDescent="0.3">
      <c r="A1157" t="s">
        <v>2996</v>
      </c>
      <c r="B1157" t="s">
        <v>1109</v>
      </c>
      <c r="C1157" s="2" t="str">
        <f>PROPER(TRIM(Table1[[#This Row],[Gender]]))</f>
        <v>Male</v>
      </c>
      <c r="D1157" t="s">
        <v>16</v>
      </c>
      <c r="E1157">
        <v>33</v>
      </c>
      <c r="F1157" t="s">
        <v>31</v>
      </c>
      <c r="G1157" s="1">
        <v>33613</v>
      </c>
      <c r="H1157" t="s">
        <v>2997</v>
      </c>
      <c r="I1157" s="2" t="str">
        <f t="shared" si="18"/>
        <v>+91-9758507831</v>
      </c>
      <c r="J1157">
        <f>91-9758507922</f>
        <v>-9758507831</v>
      </c>
      <c r="K1157" t="s">
        <v>174</v>
      </c>
      <c r="L1157" t="s">
        <v>90</v>
      </c>
      <c r="M1157">
        <v>256824</v>
      </c>
      <c r="N1157" s="1">
        <v>45422</v>
      </c>
      <c r="O1157" t="s">
        <v>28</v>
      </c>
      <c r="P1157">
        <v>3</v>
      </c>
      <c r="Q1157">
        <v>173469.84</v>
      </c>
    </row>
    <row r="1158" spans="1:17" x14ac:dyDescent="0.3">
      <c r="A1158" t="s">
        <v>2998</v>
      </c>
      <c r="B1158" t="s">
        <v>2999</v>
      </c>
      <c r="C1158" s="2" t="str">
        <f>PROPER(TRIM(Table1[[#This Row],[Gender]]))</f>
        <v>Female</v>
      </c>
      <c r="D1158" t="s">
        <v>43</v>
      </c>
      <c r="E1158">
        <v>38</v>
      </c>
      <c r="F1158" t="s">
        <v>38</v>
      </c>
      <c r="G1158" s="1">
        <v>31788</v>
      </c>
      <c r="H1158" t="s">
        <v>3000</v>
      </c>
      <c r="I1158" s="2" t="str">
        <f t="shared" si="18"/>
        <v>+91-9104186708</v>
      </c>
      <c r="J1158">
        <f>91-9104186799</f>
        <v>-9104186708</v>
      </c>
      <c r="K1158" t="s">
        <v>331</v>
      </c>
      <c r="L1158" t="s">
        <v>143</v>
      </c>
      <c r="M1158">
        <v>982465</v>
      </c>
      <c r="N1158" s="1">
        <v>45403</v>
      </c>
      <c r="O1158" t="s">
        <v>28</v>
      </c>
      <c r="P1158">
        <v>3</v>
      </c>
      <c r="Q1158">
        <v>103150.3</v>
      </c>
    </row>
    <row r="1159" spans="1:17" x14ac:dyDescent="0.3">
      <c r="A1159" t="s">
        <v>3001</v>
      </c>
      <c r="B1159" t="s">
        <v>890</v>
      </c>
      <c r="C1159" s="2" t="str">
        <f>PROPER(TRIM(Table1[[#This Row],[Gender]]))</f>
        <v>Female</v>
      </c>
      <c r="D1159" t="s">
        <v>43</v>
      </c>
      <c r="E1159">
        <v>31</v>
      </c>
      <c r="F1159" t="s">
        <v>31</v>
      </c>
      <c r="G1159" s="1">
        <v>34343</v>
      </c>
      <c r="H1159" t="s">
        <v>3002</v>
      </c>
      <c r="I1159" s="2" t="str">
        <f t="shared" si="18"/>
        <v>+91-8785173010</v>
      </c>
      <c r="J1159">
        <f>91-8785173101</f>
        <v>-8785173010</v>
      </c>
      <c r="K1159" t="s">
        <v>33</v>
      </c>
      <c r="L1159" t="s">
        <v>34</v>
      </c>
      <c r="M1159">
        <v>694749</v>
      </c>
      <c r="N1159" s="1">
        <v>45102</v>
      </c>
      <c r="O1159" t="s">
        <v>28</v>
      </c>
      <c r="P1159">
        <v>5</v>
      </c>
      <c r="Q1159">
        <v>205851.23</v>
      </c>
    </row>
    <row r="1160" spans="1:17" x14ac:dyDescent="0.3">
      <c r="A1160" t="s">
        <v>3003</v>
      </c>
      <c r="B1160" t="s">
        <v>152</v>
      </c>
      <c r="C1160" s="2" t="str">
        <f>PROPER(TRIM(Table1[[#This Row],[Gender]]))</f>
        <v>Male</v>
      </c>
      <c r="D1160" t="s">
        <v>16</v>
      </c>
      <c r="E1160">
        <v>44</v>
      </c>
      <c r="F1160" t="s">
        <v>38</v>
      </c>
      <c r="G1160" s="1">
        <v>29598</v>
      </c>
      <c r="H1160" t="s">
        <v>153</v>
      </c>
      <c r="I1160" s="2" t="str">
        <f t="shared" si="18"/>
        <v>+91-7666957605</v>
      </c>
      <c r="J1160">
        <f>91-7666957696</f>
        <v>-7666957605</v>
      </c>
      <c r="K1160" t="s">
        <v>121</v>
      </c>
      <c r="L1160" t="s">
        <v>85</v>
      </c>
      <c r="M1160">
        <v>836075</v>
      </c>
      <c r="N1160" s="1">
        <v>45139</v>
      </c>
      <c r="O1160" t="s">
        <v>28</v>
      </c>
      <c r="P1160">
        <v>8</v>
      </c>
      <c r="Q1160">
        <v>81126.73</v>
      </c>
    </row>
    <row r="1161" spans="1:17" x14ac:dyDescent="0.3">
      <c r="A1161" t="s">
        <v>3004</v>
      </c>
      <c r="B1161" t="s">
        <v>3005</v>
      </c>
      <c r="C1161" s="2" t="str">
        <f>PROPER(TRIM(Table1[[#This Row],[Gender]]))</f>
        <v>Male</v>
      </c>
      <c r="D1161" t="s">
        <v>16</v>
      </c>
      <c r="E1161">
        <v>48</v>
      </c>
      <c r="F1161" t="s">
        <v>17</v>
      </c>
      <c r="G1161" s="1">
        <v>28138</v>
      </c>
      <c r="H1161" t="s">
        <v>3006</v>
      </c>
      <c r="I1161" s="2" t="str">
        <f t="shared" si="18"/>
        <v>+91-7567629173</v>
      </c>
      <c r="J1161">
        <f>91-7567629264</f>
        <v>-7567629173</v>
      </c>
      <c r="K1161" t="s">
        <v>101</v>
      </c>
      <c r="L1161" t="s">
        <v>102</v>
      </c>
      <c r="M1161">
        <v>110092</v>
      </c>
      <c r="N1161" s="1">
        <v>45317</v>
      </c>
      <c r="O1161" t="s">
        <v>21</v>
      </c>
      <c r="P1161">
        <v>5</v>
      </c>
      <c r="Q1161">
        <v>39639.620000000003</v>
      </c>
    </row>
    <row r="1162" spans="1:17" x14ac:dyDescent="0.3">
      <c r="A1162" t="s">
        <v>3007</v>
      </c>
      <c r="B1162" t="s">
        <v>1600</v>
      </c>
      <c r="C1162" s="2" t="str">
        <f>PROPER(TRIM(Table1[[#This Row],[Gender]]))</f>
        <v>Male</v>
      </c>
      <c r="D1162" t="s">
        <v>16</v>
      </c>
      <c r="E1162">
        <v>25</v>
      </c>
      <c r="F1162" t="s">
        <v>49</v>
      </c>
      <c r="G1162" s="1">
        <v>36533</v>
      </c>
      <c r="H1162" t="s">
        <v>3008</v>
      </c>
      <c r="I1162" s="2" t="str">
        <f t="shared" si="18"/>
        <v>+91-9437080283</v>
      </c>
      <c r="J1162">
        <f>91-9437080374</f>
        <v>-9437080283</v>
      </c>
      <c r="K1162" t="s">
        <v>109</v>
      </c>
      <c r="L1162" t="s">
        <v>46</v>
      </c>
      <c r="M1162">
        <v>278249</v>
      </c>
      <c r="N1162" s="1">
        <v>45167</v>
      </c>
      <c r="O1162" t="s">
        <v>28</v>
      </c>
      <c r="P1162">
        <v>4</v>
      </c>
      <c r="Q1162">
        <v>116206.76</v>
      </c>
    </row>
    <row r="1163" spans="1:17" x14ac:dyDescent="0.3">
      <c r="A1163" t="s">
        <v>3009</v>
      </c>
      <c r="B1163" t="s">
        <v>795</v>
      </c>
      <c r="C1163" s="2" t="str">
        <f>PROPER(TRIM(Table1[[#This Row],[Gender]]))</f>
        <v>Male</v>
      </c>
      <c r="D1163" t="s">
        <v>16</v>
      </c>
      <c r="E1163">
        <v>49</v>
      </c>
      <c r="F1163" t="s">
        <v>17</v>
      </c>
      <c r="G1163" s="1">
        <v>27773</v>
      </c>
      <c r="H1163" t="s">
        <v>3010</v>
      </c>
      <c r="I1163" s="2" t="str">
        <f t="shared" si="18"/>
        <v>+91-9146371530</v>
      </c>
      <c r="J1163">
        <f>91-9146371621</f>
        <v>-9146371530</v>
      </c>
      <c r="K1163" t="s">
        <v>161</v>
      </c>
      <c r="L1163" t="s">
        <v>102</v>
      </c>
      <c r="M1163">
        <v>238234</v>
      </c>
      <c r="N1163" s="1">
        <v>45109</v>
      </c>
      <c r="O1163" t="s">
        <v>21</v>
      </c>
      <c r="P1163">
        <v>5</v>
      </c>
      <c r="Q1163">
        <v>46831.07</v>
      </c>
    </row>
    <row r="1164" spans="1:17" x14ac:dyDescent="0.3">
      <c r="A1164" t="s">
        <v>3011</v>
      </c>
      <c r="B1164" t="s">
        <v>991</v>
      </c>
      <c r="C1164" s="2" t="str">
        <f>PROPER(TRIM(Table1[[#This Row],[Gender]]))</f>
        <v>Female</v>
      </c>
      <c r="D1164" t="s">
        <v>43</v>
      </c>
      <c r="E1164">
        <v>22</v>
      </c>
      <c r="F1164" t="s">
        <v>49</v>
      </c>
      <c r="G1164" s="1">
        <v>37628</v>
      </c>
      <c r="H1164" t="s">
        <v>3012</v>
      </c>
      <c r="I1164" s="2" t="str">
        <f t="shared" si="18"/>
        <v>+91-9154361287</v>
      </c>
      <c r="J1164">
        <f>91-9154361378</f>
        <v>-9154361287</v>
      </c>
      <c r="K1164" t="s">
        <v>174</v>
      </c>
      <c r="L1164" t="s">
        <v>90</v>
      </c>
      <c r="M1164">
        <v>160297</v>
      </c>
      <c r="N1164" s="1">
        <v>45113</v>
      </c>
      <c r="O1164" t="s">
        <v>28</v>
      </c>
      <c r="P1164">
        <v>5</v>
      </c>
      <c r="Q1164">
        <v>182532.57</v>
      </c>
    </row>
    <row r="1165" spans="1:17" x14ac:dyDescent="0.3">
      <c r="A1165" t="s">
        <v>3013</v>
      </c>
      <c r="B1165" t="s">
        <v>2859</v>
      </c>
      <c r="C1165" s="2" t="str">
        <f>PROPER(TRIM(Table1[[#This Row],[Gender]]))</f>
        <v>Female</v>
      </c>
      <c r="D1165" t="s">
        <v>43</v>
      </c>
      <c r="E1165">
        <v>36</v>
      </c>
      <c r="F1165" t="s">
        <v>38</v>
      </c>
      <c r="G1165" s="1">
        <v>32518</v>
      </c>
      <c r="H1165" t="s">
        <v>3014</v>
      </c>
      <c r="I1165" s="2" t="str">
        <f t="shared" si="18"/>
        <v>+91-7697863490</v>
      </c>
      <c r="J1165">
        <f>91-7697863581</f>
        <v>-7697863490</v>
      </c>
      <c r="K1165" t="s">
        <v>202</v>
      </c>
      <c r="L1165" t="s">
        <v>191</v>
      </c>
      <c r="M1165">
        <v>390558</v>
      </c>
      <c r="N1165" s="1">
        <v>45278</v>
      </c>
      <c r="O1165" t="s">
        <v>28</v>
      </c>
      <c r="P1165">
        <v>2</v>
      </c>
      <c r="Q1165">
        <v>98066.65</v>
      </c>
    </row>
    <row r="1166" spans="1:17" x14ac:dyDescent="0.3">
      <c r="A1166" t="s">
        <v>3015</v>
      </c>
      <c r="B1166" t="s">
        <v>3016</v>
      </c>
      <c r="C1166" s="2" t="str">
        <f>PROPER(TRIM(Table1[[#This Row],[Gender]]))</f>
        <v>Male</v>
      </c>
      <c r="D1166" t="s">
        <v>16</v>
      </c>
      <c r="E1166">
        <v>18</v>
      </c>
      <c r="F1166" t="s">
        <v>49</v>
      </c>
      <c r="G1166" s="1">
        <v>39088</v>
      </c>
      <c r="H1166" t="s">
        <v>3017</v>
      </c>
      <c r="I1166" s="2" t="str">
        <f t="shared" si="18"/>
        <v>+91-8198988718</v>
      </c>
      <c r="J1166">
        <f>91-8198988809</f>
        <v>-8198988718</v>
      </c>
      <c r="K1166" t="s">
        <v>202</v>
      </c>
      <c r="L1166" t="s">
        <v>191</v>
      </c>
      <c r="M1166">
        <v>719453</v>
      </c>
      <c r="N1166" s="1">
        <v>45356</v>
      </c>
      <c r="O1166" t="s">
        <v>35</v>
      </c>
      <c r="P1166">
        <v>5</v>
      </c>
      <c r="Q1166">
        <v>14954.04</v>
      </c>
    </row>
    <row r="1167" spans="1:17" x14ac:dyDescent="0.3">
      <c r="A1167" t="s">
        <v>3018</v>
      </c>
      <c r="B1167" t="s">
        <v>1058</v>
      </c>
      <c r="C1167" s="2" t="str">
        <f>PROPER(TRIM(Table1[[#This Row],[Gender]]))</f>
        <v>Male</v>
      </c>
      <c r="D1167" t="s">
        <v>16</v>
      </c>
      <c r="E1167">
        <v>23</v>
      </c>
      <c r="F1167" t="s">
        <v>49</v>
      </c>
      <c r="G1167" s="1">
        <v>37263</v>
      </c>
      <c r="H1167" t="s">
        <v>3019</v>
      </c>
      <c r="I1167" s="2" t="str">
        <f t="shared" si="18"/>
        <v>+91-9202339714</v>
      </c>
      <c r="J1167">
        <f>91-9202339805</f>
        <v>-9202339714</v>
      </c>
      <c r="K1167" t="s">
        <v>40</v>
      </c>
      <c r="L1167" t="s">
        <v>27</v>
      </c>
      <c r="M1167">
        <v>947736</v>
      </c>
      <c r="N1167" s="1">
        <v>45277</v>
      </c>
      <c r="O1167" t="s">
        <v>35</v>
      </c>
      <c r="P1167">
        <v>3</v>
      </c>
      <c r="Q1167">
        <v>1526.24</v>
      </c>
    </row>
    <row r="1168" spans="1:17" x14ac:dyDescent="0.3">
      <c r="A1168" t="s">
        <v>3020</v>
      </c>
      <c r="B1168" t="s">
        <v>740</v>
      </c>
      <c r="C1168" s="2" t="str">
        <f>PROPER(TRIM(Table1[[#This Row],[Gender]]))</f>
        <v>Male</v>
      </c>
      <c r="D1168" t="s">
        <v>16</v>
      </c>
      <c r="E1168">
        <v>23</v>
      </c>
      <c r="F1168" t="s">
        <v>49</v>
      </c>
      <c r="G1168" s="1">
        <v>37263</v>
      </c>
      <c r="H1168" t="s">
        <v>3021</v>
      </c>
      <c r="I1168" s="2" t="str">
        <f t="shared" si="18"/>
        <v>+91-9603005701</v>
      </c>
      <c r="J1168">
        <f>91-9603005792</f>
        <v>-9603005701</v>
      </c>
      <c r="K1168" t="s">
        <v>109</v>
      </c>
      <c r="L1168" t="s">
        <v>46</v>
      </c>
      <c r="M1168">
        <v>291894</v>
      </c>
      <c r="N1168" s="1">
        <v>45317</v>
      </c>
      <c r="O1168" t="s">
        <v>28</v>
      </c>
      <c r="P1168">
        <v>4</v>
      </c>
      <c r="Q1168">
        <v>221552.52</v>
      </c>
    </row>
    <row r="1169" spans="1:17" x14ac:dyDescent="0.3">
      <c r="A1169" t="s">
        <v>3022</v>
      </c>
      <c r="B1169" t="s">
        <v>1554</v>
      </c>
      <c r="C1169" s="2" t="str">
        <f>PROPER(TRIM(Table1[[#This Row],[Gender]]))</f>
        <v>Female</v>
      </c>
      <c r="D1169" t="s">
        <v>43</v>
      </c>
      <c r="E1169">
        <v>27</v>
      </c>
      <c r="F1169" t="s">
        <v>31</v>
      </c>
      <c r="G1169" s="1">
        <v>35803</v>
      </c>
      <c r="H1169" t="s">
        <v>3023</v>
      </c>
      <c r="I1169" s="2" t="str">
        <f t="shared" si="18"/>
        <v>+91-7391478239</v>
      </c>
      <c r="J1169">
        <f>91-7391478330</f>
        <v>-7391478239</v>
      </c>
      <c r="K1169" t="s">
        <v>26</v>
      </c>
      <c r="L1169" t="s">
        <v>27</v>
      </c>
      <c r="M1169">
        <v>755454</v>
      </c>
      <c r="N1169" s="1">
        <v>45371</v>
      </c>
      <c r="O1169" t="s">
        <v>28</v>
      </c>
      <c r="P1169">
        <v>8</v>
      </c>
      <c r="Q1169">
        <v>178123.54</v>
      </c>
    </row>
    <row r="1170" spans="1:17" x14ac:dyDescent="0.3">
      <c r="A1170" t="s">
        <v>3024</v>
      </c>
      <c r="B1170" t="s">
        <v>3025</v>
      </c>
      <c r="C1170" s="2" t="str">
        <f>PROPER(TRIM(Table1[[#This Row],[Gender]]))</f>
        <v>Female</v>
      </c>
      <c r="D1170" t="s">
        <v>43</v>
      </c>
      <c r="E1170">
        <v>23</v>
      </c>
      <c r="F1170" t="s">
        <v>49</v>
      </c>
      <c r="G1170" s="1">
        <v>37263</v>
      </c>
      <c r="H1170" t="s">
        <v>3026</v>
      </c>
      <c r="I1170" s="2" t="str">
        <f t="shared" si="18"/>
        <v>+91-9362929168</v>
      </c>
      <c r="J1170">
        <f>91-9362929259</f>
        <v>-9362929168</v>
      </c>
      <c r="K1170" t="s">
        <v>580</v>
      </c>
      <c r="L1170" t="s">
        <v>85</v>
      </c>
      <c r="M1170">
        <v>801547</v>
      </c>
      <c r="N1170" s="1">
        <v>45322</v>
      </c>
      <c r="O1170" t="s">
        <v>28</v>
      </c>
      <c r="P1170">
        <v>3</v>
      </c>
      <c r="Q1170">
        <v>132868.09</v>
      </c>
    </row>
    <row r="1171" spans="1:17" x14ac:dyDescent="0.3">
      <c r="A1171" t="s">
        <v>3027</v>
      </c>
      <c r="B1171" t="s">
        <v>737</v>
      </c>
      <c r="C1171" s="2" t="str">
        <f>PROPER(TRIM(Table1[[#This Row],[Gender]]))</f>
        <v>Male</v>
      </c>
      <c r="D1171" t="s">
        <v>16</v>
      </c>
      <c r="E1171">
        <v>26</v>
      </c>
      <c r="F1171" t="s">
        <v>31</v>
      </c>
      <c r="G1171" s="1">
        <v>36168</v>
      </c>
      <c r="H1171" t="s">
        <v>3028</v>
      </c>
      <c r="I1171" s="2" t="str">
        <f t="shared" si="18"/>
        <v>+91-7590603891</v>
      </c>
      <c r="J1171">
        <f>91-7590603982</f>
        <v>-7590603891</v>
      </c>
      <c r="K1171" t="s">
        <v>195</v>
      </c>
      <c r="L1171" t="s">
        <v>102</v>
      </c>
      <c r="M1171">
        <v>595445</v>
      </c>
      <c r="N1171" s="1">
        <v>45155</v>
      </c>
      <c r="O1171" t="s">
        <v>35</v>
      </c>
      <c r="P1171">
        <v>1</v>
      </c>
      <c r="Q1171">
        <v>18454.82</v>
      </c>
    </row>
    <row r="1172" spans="1:17" x14ac:dyDescent="0.3">
      <c r="A1172" t="s">
        <v>3029</v>
      </c>
      <c r="B1172" t="s">
        <v>1400</v>
      </c>
      <c r="C1172" s="2" t="str">
        <f>PROPER(TRIM(Table1[[#This Row],[Gender]]))</f>
        <v>Male</v>
      </c>
      <c r="D1172" t="s">
        <v>16</v>
      </c>
      <c r="E1172">
        <v>55</v>
      </c>
      <c r="F1172" t="s">
        <v>17</v>
      </c>
      <c r="G1172" s="1">
        <v>25583</v>
      </c>
      <c r="H1172" t="s">
        <v>3030</v>
      </c>
      <c r="I1172" s="2" t="str">
        <f t="shared" si="18"/>
        <v>+91-8289551619</v>
      </c>
      <c r="J1172">
        <f>91-8289551710</f>
        <v>-8289551619</v>
      </c>
      <c r="K1172" t="s">
        <v>113</v>
      </c>
      <c r="L1172" t="s">
        <v>34</v>
      </c>
      <c r="M1172">
        <v>309663</v>
      </c>
      <c r="N1172" s="1">
        <v>45442</v>
      </c>
      <c r="O1172" t="s">
        <v>35</v>
      </c>
      <c r="P1172">
        <v>3</v>
      </c>
      <c r="Q1172">
        <v>4611.05</v>
      </c>
    </row>
    <row r="1173" spans="1:17" x14ac:dyDescent="0.3">
      <c r="A1173" t="s">
        <v>3031</v>
      </c>
      <c r="B1173" t="s">
        <v>915</v>
      </c>
      <c r="C1173" s="2" t="str">
        <f>PROPER(TRIM(Table1[[#This Row],[Gender]]))</f>
        <v>Male</v>
      </c>
      <c r="D1173" t="s">
        <v>16</v>
      </c>
      <c r="E1173">
        <v>37</v>
      </c>
      <c r="F1173" t="s">
        <v>38</v>
      </c>
      <c r="G1173" s="1">
        <v>32153</v>
      </c>
      <c r="H1173" t="s">
        <v>3032</v>
      </c>
      <c r="I1173" s="2" t="str">
        <f t="shared" si="18"/>
        <v>+91-8387838026</v>
      </c>
      <c r="J1173">
        <f>91-8387838117</f>
        <v>-8387838026</v>
      </c>
      <c r="K1173" t="s">
        <v>109</v>
      </c>
      <c r="L1173" t="s">
        <v>46</v>
      </c>
      <c r="M1173">
        <v>622787</v>
      </c>
      <c r="N1173" s="1">
        <v>45166</v>
      </c>
      <c r="O1173" t="s">
        <v>28</v>
      </c>
      <c r="P1173">
        <v>5</v>
      </c>
      <c r="Q1173">
        <v>52614.27</v>
      </c>
    </row>
    <row r="1174" spans="1:17" x14ac:dyDescent="0.3">
      <c r="A1174" t="s">
        <v>3033</v>
      </c>
      <c r="B1174" t="s">
        <v>176</v>
      </c>
      <c r="C1174" s="2" t="str">
        <f>PROPER(TRIM(Table1[[#This Row],[Gender]]))</f>
        <v>Female</v>
      </c>
      <c r="D1174" t="s">
        <v>43</v>
      </c>
      <c r="E1174">
        <v>39</v>
      </c>
      <c r="F1174" t="s">
        <v>38</v>
      </c>
      <c r="G1174" s="1">
        <v>31423</v>
      </c>
      <c r="H1174" t="s">
        <v>3034</v>
      </c>
      <c r="I1174" s="2" t="str">
        <f t="shared" si="18"/>
        <v>+91-8556633373</v>
      </c>
      <c r="J1174">
        <f>91-8556633464</f>
        <v>-8556633373</v>
      </c>
      <c r="K1174" t="s">
        <v>415</v>
      </c>
      <c r="L1174" t="s">
        <v>90</v>
      </c>
      <c r="M1174">
        <v>845555</v>
      </c>
      <c r="N1174" s="1">
        <v>45326</v>
      </c>
      <c r="O1174" t="s">
        <v>28</v>
      </c>
      <c r="P1174">
        <v>6</v>
      </c>
      <c r="Q1174">
        <v>188385.89</v>
      </c>
    </row>
    <row r="1175" spans="1:17" x14ac:dyDescent="0.3">
      <c r="A1175" t="s">
        <v>3035</v>
      </c>
      <c r="B1175" t="s">
        <v>244</v>
      </c>
      <c r="C1175" s="2" t="str">
        <f>PROPER(TRIM(Table1[[#This Row],[Gender]]))</f>
        <v>Male</v>
      </c>
      <c r="D1175" t="s">
        <v>16</v>
      </c>
      <c r="E1175">
        <v>27</v>
      </c>
      <c r="F1175" t="s">
        <v>31</v>
      </c>
      <c r="G1175" s="1">
        <v>35803</v>
      </c>
      <c r="H1175" t="s">
        <v>3036</v>
      </c>
      <c r="I1175" s="2" t="str">
        <f t="shared" si="18"/>
        <v>+91-7975696047</v>
      </c>
      <c r="J1175">
        <f>91-7975696138</f>
        <v>-7975696047</v>
      </c>
      <c r="K1175" t="s">
        <v>138</v>
      </c>
      <c r="L1175" t="s">
        <v>90</v>
      </c>
      <c r="M1175">
        <v>115509</v>
      </c>
      <c r="N1175" s="1">
        <v>45290</v>
      </c>
      <c r="O1175" t="s">
        <v>28</v>
      </c>
      <c r="P1175">
        <v>5</v>
      </c>
      <c r="Q1175">
        <v>149350.63</v>
      </c>
    </row>
    <row r="1176" spans="1:17" x14ac:dyDescent="0.3">
      <c r="A1176" t="s">
        <v>3037</v>
      </c>
      <c r="B1176" t="s">
        <v>3038</v>
      </c>
      <c r="C1176" s="2" t="str">
        <f>PROPER(TRIM(Table1[[#This Row],[Gender]]))</f>
        <v>Female</v>
      </c>
      <c r="D1176" t="s">
        <v>43</v>
      </c>
      <c r="E1176">
        <v>44</v>
      </c>
      <c r="F1176" t="s">
        <v>38</v>
      </c>
      <c r="G1176" s="1">
        <v>29598</v>
      </c>
      <c r="H1176" t="s">
        <v>3039</v>
      </c>
      <c r="I1176" s="2" t="str">
        <f t="shared" si="18"/>
        <v>+91-8906797700</v>
      </c>
      <c r="J1176">
        <f>91-8906797791</f>
        <v>-8906797700</v>
      </c>
      <c r="K1176" t="s">
        <v>369</v>
      </c>
      <c r="L1176" t="s">
        <v>191</v>
      </c>
      <c r="M1176">
        <v>978454</v>
      </c>
      <c r="N1176" s="1">
        <v>45238</v>
      </c>
      <c r="O1176" t="s">
        <v>35</v>
      </c>
      <c r="P1176">
        <v>1</v>
      </c>
      <c r="Q1176">
        <v>4238.68</v>
      </c>
    </row>
    <row r="1177" spans="1:17" x14ac:dyDescent="0.3">
      <c r="A1177" t="s">
        <v>3040</v>
      </c>
      <c r="B1177" t="s">
        <v>3041</v>
      </c>
      <c r="C1177" s="2" t="str">
        <f>PROPER(TRIM(Table1[[#This Row],[Gender]]))</f>
        <v>Male</v>
      </c>
      <c r="D1177" t="s">
        <v>16</v>
      </c>
      <c r="E1177">
        <v>38</v>
      </c>
      <c r="F1177" t="s">
        <v>38</v>
      </c>
      <c r="G1177" s="1">
        <v>31788</v>
      </c>
      <c r="H1177" t="s">
        <v>3042</v>
      </c>
      <c r="I1177" s="2" t="str">
        <f t="shared" si="18"/>
        <v>+91-7737263549</v>
      </c>
      <c r="J1177">
        <f>91-7737263640</f>
        <v>-7737263549</v>
      </c>
      <c r="K1177" t="s">
        <v>64</v>
      </c>
      <c r="L1177" t="s">
        <v>20</v>
      </c>
      <c r="M1177">
        <v>582458</v>
      </c>
      <c r="N1177" s="1">
        <v>45354</v>
      </c>
      <c r="O1177" t="s">
        <v>28</v>
      </c>
      <c r="P1177">
        <v>2</v>
      </c>
      <c r="Q1177">
        <v>105343.28</v>
      </c>
    </row>
    <row r="1178" spans="1:17" x14ac:dyDescent="0.3">
      <c r="A1178" t="s">
        <v>3043</v>
      </c>
      <c r="B1178" t="s">
        <v>1694</v>
      </c>
      <c r="C1178" s="2" t="str">
        <f>PROPER(TRIM(Table1[[#This Row],[Gender]]))</f>
        <v>Female</v>
      </c>
      <c r="D1178" t="s">
        <v>43</v>
      </c>
      <c r="E1178">
        <v>18</v>
      </c>
      <c r="F1178" t="s">
        <v>49</v>
      </c>
      <c r="G1178" s="1">
        <v>39088</v>
      </c>
      <c r="H1178" t="s">
        <v>3044</v>
      </c>
      <c r="I1178" s="2" t="str">
        <f t="shared" si="18"/>
        <v>+91-8207042152</v>
      </c>
      <c r="J1178">
        <f>91-8207042243</f>
        <v>-8207042152</v>
      </c>
      <c r="K1178" t="s">
        <v>45</v>
      </c>
      <c r="L1178" t="s">
        <v>46</v>
      </c>
      <c r="M1178">
        <v>848988</v>
      </c>
      <c r="N1178" s="1">
        <v>45244</v>
      </c>
      <c r="O1178" t="s">
        <v>28</v>
      </c>
      <c r="P1178">
        <v>10</v>
      </c>
      <c r="Q1178">
        <v>551858.79</v>
      </c>
    </row>
    <row r="1179" spans="1:17" x14ac:dyDescent="0.3">
      <c r="A1179" t="s">
        <v>3045</v>
      </c>
      <c r="B1179" t="s">
        <v>3046</v>
      </c>
      <c r="C1179" s="2" t="str">
        <f>PROPER(TRIM(Table1[[#This Row],[Gender]]))</f>
        <v>Female</v>
      </c>
      <c r="D1179" t="s">
        <v>43</v>
      </c>
      <c r="E1179">
        <v>34</v>
      </c>
      <c r="F1179" t="s">
        <v>31</v>
      </c>
      <c r="G1179" s="1">
        <v>33248</v>
      </c>
      <c r="H1179" t="s">
        <v>3047</v>
      </c>
      <c r="I1179" s="2" t="str">
        <f t="shared" si="18"/>
        <v>+91-7661261226</v>
      </c>
      <c r="J1179">
        <f>91-7661261317</f>
        <v>-7661261226</v>
      </c>
      <c r="K1179" t="s">
        <v>68</v>
      </c>
      <c r="L1179" t="s">
        <v>52</v>
      </c>
      <c r="M1179">
        <v>132700</v>
      </c>
      <c r="N1179" s="1">
        <v>45171</v>
      </c>
      <c r="O1179" t="s">
        <v>28</v>
      </c>
      <c r="P1179">
        <v>5</v>
      </c>
      <c r="Q1179">
        <v>209181.42</v>
      </c>
    </row>
    <row r="1180" spans="1:17" x14ac:dyDescent="0.3">
      <c r="A1180" t="s">
        <v>3048</v>
      </c>
      <c r="B1180" t="s">
        <v>278</v>
      </c>
      <c r="C1180" s="2" t="str">
        <f>PROPER(TRIM(Table1[[#This Row],[Gender]]))</f>
        <v>Male</v>
      </c>
      <c r="D1180" t="s">
        <v>16</v>
      </c>
      <c r="E1180">
        <v>37</v>
      </c>
      <c r="F1180" t="s">
        <v>38</v>
      </c>
      <c r="G1180" s="1">
        <v>32153</v>
      </c>
      <c r="H1180" t="s">
        <v>3049</v>
      </c>
      <c r="I1180" s="2" t="str">
        <f t="shared" si="18"/>
        <v>+91-7166768144</v>
      </c>
      <c r="J1180">
        <f>91-7166768235</f>
        <v>-7166768144</v>
      </c>
      <c r="K1180" t="s">
        <v>121</v>
      </c>
      <c r="L1180" t="s">
        <v>85</v>
      </c>
      <c r="M1180">
        <v>340364</v>
      </c>
      <c r="N1180" s="1">
        <v>45114</v>
      </c>
      <c r="O1180" t="s">
        <v>35</v>
      </c>
      <c r="P1180">
        <v>3</v>
      </c>
      <c r="Q1180">
        <v>16014.56</v>
      </c>
    </row>
    <row r="1181" spans="1:17" x14ac:dyDescent="0.3">
      <c r="A1181" t="s">
        <v>3050</v>
      </c>
      <c r="B1181" t="s">
        <v>127</v>
      </c>
      <c r="C1181" s="2" t="str">
        <f>PROPER(TRIM(Table1[[#This Row],[Gender]]))</f>
        <v>Male</v>
      </c>
      <c r="D1181" t="s">
        <v>16</v>
      </c>
      <c r="E1181">
        <v>39</v>
      </c>
      <c r="F1181" t="s">
        <v>38</v>
      </c>
      <c r="G1181" s="1">
        <v>31423</v>
      </c>
      <c r="H1181" t="s">
        <v>3051</v>
      </c>
      <c r="I1181" s="2" t="str">
        <f t="shared" si="18"/>
        <v>+91-7238457122</v>
      </c>
      <c r="J1181">
        <f>91-7238457213</f>
        <v>-7238457122</v>
      </c>
      <c r="K1181" t="s">
        <v>154</v>
      </c>
      <c r="L1181" t="s">
        <v>46</v>
      </c>
      <c r="M1181">
        <v>647968</v>
      </c>
      <c r="N1181" s="1">
        <v>45361</v>
      </c>
      <c r="O1181" t="s">
        <v>28</v>
      </c>
      <c r="P1181">
        <v>3</v>
      </c>
      <c r="Q1181">
        <v>151035.04999999999</v>
      </c>
    </row>
    <row r="1182" spans="1:17" x14ac:dyDescent="0.3">
      <c r="A1182" t="s">
        <v>3052</v>
      </c>
      <c r="B1182" t="s">
        <v>3053</v>
      </c>
      <c r="C1182" s="2" t="str">
        <f>PROPER(TRIM(Table1[[#This Row],[Gender]]))</f>
        <v>Male</v>
      </c>
      <c r="D1182" t="s">
        <v>16</v>
      </c>
      <c r="E1182">
        <v>18</v>
      </c>
      <c r="F1182" t="s">
        <v>49</v>
      </c>
      <c r="G1182" s="1">
        <v>39088</v>
      </c>
      <c r="H1182" t="s">
        <v>3054</v>
      </c>
      <c r="I1182" s="2" t="str">
        <f t="shared" si="18"/>
        <v>+91-9616649528</v>
      </c>
      <c r="J1182">
        <f>91-9616649619</f>
        <v>-9616649528</v>
      </c>
      <c r="K1182" t="s">
        <v>369</v>
      </c>
      <c r="L1182" t="s">
        <v>191</v>
      </c>
      <c r="M1182">
        <v>178371</v>
      </c>
      <c r="N1182" s="1">
        <v>45100</v>
      </c>
      <c r="O1182" t="s">
        <v>28</v>
      </c>
      <c r="P1182">
        <v>3</v>
      </c>
      <c r="Q1182">
        <v>58763.839999999997</v>
      </c>
    </row>
    <row r="1183" spans="1:17" x14ac:dyDescent="0.3">
      <c r="A1183" t="s">
        <v>3055</v>
      </c>
      <c r="B1183" t="s">
        <v>1437</v>
      </c>
      <c r="C1183" s="2" t="str">
        <f>PROPER(TRIM(Table1[[#This Row],[Gender]]))</f>
        <v>Female</v>
      </c>
      <c r="D1183" t="s">
        <v>43</v>
      </c>
      <c r="E1183">
        <v>31</v>
      </c>
      <c r="F1183" t="s">
        <v>31</v>
      </c>
      <c r="G1183" s="1">
        <v>34343</v>
      </c>
      <c r="H1183" t="s">
        <v>3056</v>
      </c>
      <c r="I1183" s="2" t="str">
        <f t="shared" si="18"/>
        <v>+91-7705058655</v>
      </c>
      <c r="J1183">
        <f>91-7705058746</f>
        <v>-7705058655</v>
      </c>
      <c r="K1183" t="s">
        <v>80</v>
      </c>
      <c r="L1183" t="s">
        <v>20</v>
      </c>
      <c r="M1183">
        <v>629989</v>
      </c>
      <c r="N1183" s="1">
        <v>45344</v>
      </c>
      <c r="O1183" t="s">
        <v>28</v>
      </c>
      <c r="P1183">
        <v>5</v>
      </c>
      <c r="Q1183">
        <v>76711.34</v>
      </c>
    </row>
    <row r="1184" spans="1:17" x14ac:dyDescent="0.3">
      <c r="A1184" t="s">
        <v>3057</v>
      </c>
      <c r="B1184" t="s">
        <v>1668</v>
      </c>
      <c r="C1184" s="2" t="str">
        <f>PROPER(TRIM(Table1[[#This Row],[Gender]]))</f>
        <v>Male</v>
      </c>
      <c r="D1184" t="s">
        <v>16</v>
      </c>
      <c r="E1184">
        <v>22</v>
      </c>
      <c r="F1184" t="s">
        <v>49</v>
      </c>
      <c r="G1184" s="1">
        <v>37628</v>
      </c>
      <c r="H1184" t="s">
        <v>3058</v>
      </c>
      <c r="I1184" s="2" t="str">
        <f t="shared" si="18"/>
        <v>+91-9939526933</v>
      </c>
      <c r="J1184">
        <f>91-9939527024</f>
        <v>-9939526933</v>
      </c>
      <c r="K1184" t="s">
        <v>138</v>
      </c>
      <c r="L1184" t="s">
        <v>90</v>
      </c>
      <c r="M1184">
        <v>860456</v>
      </c>
      <c r="N1184" s="1">
        <v>45192</v>
      </c>
      <c r="O1184" t="s">
        <v>28</v>
      </c>
      <c r="P1184">
        <v>4</v>
      </c>
      <c r="Q1184">
        <v>58777.74</v>
      </c>
    </row>
    <row r="1185" spans="1:17" x14ac:dyDescent="0.3">
      <c r="A1185" t="s">
        <v>3059</v>
      </c>
      <c r="B1185" t="s">
        <v>3060</v>
      </c>
      <c r="C1185" s="2" t="str">
        <f>PROPER(TRIM(Table1[[#This Row],[Gender]]))</f>
        <v>Male</v>
      </c>
      <c r="D1185" t="s">
        <v>16</v>
      </c>
      <c r="E1185">
        <v>42</v>
      </c>
      <c r="F1185" t="s">
        <v>38</v>
      </c>
      <c r="G1185" s="1">
        <v>30328</v>
      </c>
      <c r="H1185" t="s">
        <v>3061</v>
      </c>
      <c r="I1185" s="2" t="str">
        <f t="shared" si="18"/>
        <v>+91-9570311231</v>
      </c>
      <c r="J1185">
        <f>91-9570311322</f>
        <v>-9570311231</v>
      </c>
      <c r="K1185" t="s">
        <v>40</v>
      </c>
      <c r="L1185" t="s">
        <v>27</v>
      </c>
      <c r="M1185">
        <v>299324</v>
      </c>
      <c r="N1185" s="1">
        <v>45161</v>
      </c>
      <c r="O1185" t="s">
        <v>28</v>
      </c>
      <c r="P1185">
        <v>6</v>
      </c>
      <c r="Q1185">
        <v>357379</v>
      </c>
    </row>
    <row r="1186" spans="1:17" x14ac:dyDescent="0.3">
      <c r="A1186" t="s">
        <v>3062</v>
      </c>
      <c r="B1186" t="s">
        <v>3063</v>
      </c>
      <c r="C1186" s="2" t="str">
        <f>PROPER(TRIM(Table1[[#This Row],[Gender]]))</f>
        <v>Female</v>
      </c>
      <c r="D1186" t="s">
        <v>43</v>
      </c>
      <c r="E1186">
        <v>41</v>
      </c>
      <c r="F1186" t="s">
        <v>38</v>
      </c>
      <c r="G1186" s="1">
        <v>30693</v>
      </c>
      <c r="H1186" t="s">
        <v>3064</v>
      </c>
      <c r="I1186" s="2" t="str">
        <f t="shared" si="18"/>
        <v>+91-9572883173</v>
      </c>
      <c r="J1186">
        <f>91-9572883264</f>
        <v>-9572883173</v>
      </c>
      <c r="K1186" t="s">
        <v>45</v>
      </c>
      <c r="L1186" t="s">
        <v>46</v>
      </c>
      <c r="M1186">
        <v>590489</v>
      </c>
      <c r="N1186" s="1">
        <v>45218</v>
      </c>
      <c r="O1186" t="s">
        <v>28</v>
      </c>
      <c r="P1186">
        <v>7</v>
      </c>
      <c r="Q1186">
        <v>152252.09</v>
      </c>
    </row>
    <row r="1187" spans="1:17" x14ac:dyDescent="0.3">
      <c r="A1187" t="s">
        <v>3065</v>
      </c>
      <c r="B1187" t="s">
        <v>1228</v>
      </c>
      <c r="C1187" s="2" t="str">
        <f>PROPER(TRIM(Table1[[#This Row],[Gender]]))</f>
        <v>Female</v>
      </c>
      <c r="D1187" t="s">
        <v>43</v>
      </c>
      <c r="E1187">
        <v>40</v>
      </c>
      <c r="F1187" t="s">
        <v>38</v>
      </c>
      <c r="G1187" s="1">
        <v>31058</v>
      </c>
      <c r="H1187" t="s">
        <v>3066</v>
      </c>
      <c r="I1187" s="2" t="str">
        <f t="shared" si="18"/>
        <v>+91-8775427882</v>
      </c>
      <c r="J1187">
        <f>91-8775427973</f>
        <v>-8775427882</v>
      </c>
      <c r="K1187" t="s">
        <v>331</v>
      </c>
      <c r="L1187" t="s">
        <v>143</v>
      </c>
      <c r="M1187">
        <v>696126</v>
      </c>
      <c r="N1187" s="1">
        <v>45407</v>
      </c>
      <c r="O1187" t="s">
        <v>28</v>
      </c>
      <c r="P1187">
        <v>6</v>
      </c>
      <c r="Q1187">
        <v>83490.53</v>
      </c>
    </row>
    <row r="1188" spans="1:17" x14ac:dyDescent="0.3">
      <c r="A1188" t="s">
        <v>3067</v>
      </c>
      <c r="B1188" t="s">
        <v>683</v>
      </c>
      <c r="C1188" s="2" t="str">
        <f>PROPER(TRIM(Table1[[#This Row],[Gender]]))</f>
        <v>Female</v>
      </c>
      <c r="D1188" t="s">
        <v>43</v>
      </c>
      <c r="E1188">
        <v>20</v>
      </c>
      <c r="F1188" t="s">
        <v>49</v>
      </c>
      <c r="G1188" s="1">
        <v>38358</v>
      </c>
      <c r="H1188" t="s">
        <v>3068</v>
      </c>
      <c r="I1188" s="2" t="str">
        <f t="shared" si="18"/>
        <v>+91-9715994426</v>
      </c>
      <c r="J1188">
        <f>91-9715994517</f>
        <v>-9715994426</v>
      </c>
      <c r="K1188" t="s">
        <v>113</v>
      </c>
      <c r="L1188" t="s">
        <v>34</v>
      </c>
      <c r="M1188">
        <v>836325</v>
      </c>
      <c r="N1188" s="1">
        <v>45358</v>
      </c>
      <c r="O1188" t="s">
        <v>21</v>
      </c>
      <c r="P1188">
        <v>7</v>
      </c>
      <c r="Q1188">
        <v>28575.3</v>
      </c>
    </row>
    <row r="1189" spans="1:17" x14ac:dyDescent="0.3">
      <c r="A1189" t="s">
        <v>3069</v>
      </c>
      <c r="B1189" t="s">
        <v>513</v>
      </c>
      <c r="C1189" s="2" t="str">
        <f>PROPER(TRIM(Table1[[#This Row],[Gender]]))</f>
        <v>Female</v>
      </c>
      <c r="D1189" t="s">
        <v>43</v>
      </c>
      <c r="E1189">
        <v>28</v>
      </c>
      <c r="F1189" t="s">
        <v>31</v>
      </c>
      <c r="G1189" s="1">
        <v>35438</v>
      </c>
      <c r="H1189" t="s">
        <v>3070</v>
      </c>
      <c r="I1189" s="2" t="str">
        <f t="shared" si="18"/>
        <v>+91-9767356079</v>
      </c>
      <c r="J1189">
        <f>91-9767356170</f>
        <v>-9767356079</v>
      </c>
      <c r="K1189" t="s">
        <v>60</v>
      </c>
      <c r="L1189" t="s">
        <v>34</v>
      </c>
      <c r="M1189">
        <v>992331</v>
      </c>
      <c r="N1189" s="1">
        <v>45381</v>
      </c>
      <c r="O1189" t="s">
        <v>28</v>
      </c>
      <c r="P1189">
        <v>4</v>
      </c>
      <c r="Q1189">
        <v>53734.44</v>
      </c>
    </row>
    <row r="1190" spans="1:17" x14ac:dyDescent="0.3">
      <c r="A1190" t="s">
        <v>3071</v>
      </c>
      <c r="B1190" t="s">
        <v>3072</v>
      </c>
      <c r="C1190" s="2" t="str">
        <f>PROPER(TRIM(Table1[[#This Row],[Gender]]))</f>
        <v>Male</v>
      </c>
      <c r="D1190" t="s">
        <v>16</v>
      </c>
      <c r="E1190">
        <v>32</v>
      </c>
      <c r="F1190" t="s">
        <v>31</v>
      </c>
      <c r="G1190" s="1">
        <v>33978</v>
      </c>
      <c r="H1190" t="s">
        <v>3073</v>
      </c>
      <c r="I1190" s="2" t="str">
        <f t="shared" si="18"/>
        <v>+91-9827841833</v>
      </c>
      <c r="J1190">
        <f>91-9827841924</f>
        <v>-9827841833</v>
      </c>
      <c r="K1190" t="s">
        <v>113</v>
      </c>
      <c r="L1190" t="s">
        <v>34</v>
      </c>
      <c r="M1190">
        <v>108025</v>
      </c>
      <c r="N1190" s="1">
        <v>45350</v>
      </c>
      <c r="O1190" t="s">
        <v>28</v>
      </c>
      <c r="P1190">
        <v>6</v>
      </c>
      <c r="Q1190">
        <v>133371.01999999999</v>
      </c>
    </row>
    <row r="1191" spans="1:17" x14ac:dyDescent="0.3">
      <c r="A1191" t="s">
        <v>3074</v>
      </c>
      <c r="B1191" t="s">
        <v>972</v>
      </c>
      <c r="C1191" s="2" t="str">
        <f>PROPER(TRIM(Table1[[#This Row],[Gender]]))</f>
        <v>Male</v>
      </c>
      <c r="D1191" t="s">
        <v>16</v>
      </c>
      <c r="E1191">
        <v>23</v>
      </c>
      <c r="F1191" t="s">
        <v>49</v>
      </c>
      <c r="G1191" s="1">
        <v>37263</v>
      </c>
      <c r="H1191" t="s">
        <v>3075</v>
      </c>
      <c r="I1191" s="2" t="str">
        <f t="shared" si="18"/>
        <v>+91-9607496738</v>
      </c>
      <c r="J1191">
        <f>91-9607496829</f>
        <v>-9607496738</v>
      </c>
      <c r="K1191" t="s">
        <v>239</v>
      </c>
      <c r="L1191" t="s">
        <v>191</v>
      </c>
      <c r="M1191">
        <v>129284</v>
      </c>
      <c r="N1191" s="1">
        <v>45301</v>
      </c>
      <c r="O1191" t="s">
        <v>35</v>
      </c>
      <c r="P1191">
        <v>3</v>
      </c>
      <c r="Q1191">
        <v>16222.96</v>
      </c>
    </row>
    <row r="1192" spans="1:17" x14ac:dyDescent="0.3">
      <c r="A1192" t="s">
        <v>3076</v>
      </c>
      <c r="B1192" t="s">
        <v>2038</v>
      </c>
      <c r="C1192" s="2" t="str">
        <f>PROPER(TRIM(Table1[[#This Row],[Gender]]))</f>
        <v>Female</v>
      </c>
      <c r="D1192" t="s">
        <v>43</v>
      </c>
      <c r="E1192">
        <v>25</v>
      </c>
      <c r="F1192" t="s">
        <v>49</v>
      </c>
      <c r="G1192" s="1">
        <v>36533</v>
      </c>
      <c r="H1192" t="s">
        <v>3077</v>
      </c>
      <c r="I1192" s="2" t="str">
        <f t="shared" si="18"/>
        <v>+91-8481123874</v>
      </c>
      <c r="J1192">
        <f>91-8481123965</f>
        <v>-8481123874</v>
      </c>
      <c r="K1192" t="s">
        <v>40</v>
      </c>
      <c r="L1192" t="s">
        <v>27</v>
      </c>
      <c r="M1192">
        <v>338648</v>
      </c>
      <c r="N1192" s="1">
        <v>45364</v>
      </c>
      <c r="O1192" t="s">
        <v>28</v>
      </c>
      <c r="P1192">
        <v>8</v>
      </c>
      <c r="Q1192">
        <v>121406.85</v>
      </c>
    </row>
    <row r="1193" spans="1:17" x14ac:dyDescent="0.3">
      <c r="A1193" t="s">
        <v>3078</v>
      </c>
      <c r="B1193" t="s">
        <v>2239</v>
      </c>
      <c r="C1193" s="2" t="str">
        <f>PROPER(TRIM(Table1[[#This Row],[Gender]]))</f>
        <v>Male</v>
      </c>
      <c r="D1193" t="s">
        <v>16</v>
      </c>
      <c r="E1193">
        <v>41</v>
      </c>
      <c r="F1193" t="s">
        <v>38</v>
      </c>
      <c r="G1193" s="1">
        <v>30693</v>
      </c>
      <c r="H1193" t="s">
        <v>3079</v>
      </c>
      <c r="I1193" s="2" t="str">
        <f t="shared" si="18"/>
        <v>+91-7669405454</v>
      </c>
      <c r="J1193">
        <f>91-7669405545</f>
        <v>-7669405454</v>
      </c>
      <c r="K1193" t="s">
        <v>51</v>
      </c>
      <c r="L1193" t="s">
        <v>52</v>
      </c>
      <c r="M1193">
        <v>957760</v>
      </c>
      <c r="N1193" s="1">
        <v>45149</v>
      </c>
      <c r="O1193" t="s">
        <v>28</v>
      </c>
      <c r="P1193">
        <v>11</v>
      </c>
      <c r="Q1193">
        <v>368410.17</v>
      </c>
    </row>
    <row r="1194" spans="1:17" x14ac:dyDescent="0.3">
      <c r="A1194" t="s">
        <v>3080</v>
      </c>
      <c r="B1194" t="s">
        <v>265</v>
      </c>
      <c r="C1194" s="2" t="str">
        <f>PROPER(TRIM(Table1[[#This Row],[Gender]]))</f>
        <v>Female</v>
      </c>
      <c r="D1194" t="s">
        <v>43</v>
      </c>
      <c r="E1194">
        <v>32</v>
      </c>
      <c r="F1194" t="s">
        <v>31</v>
      </c>
      <c r="G1194" s="1">
        <v>33978</v>
      </c>
      <c r="H1194" t="s">
        <v>3081</v>
      </c>
      <c r="I1194" s="2" t="str">
        <f t="shared" si="18"/>
        <v>+91-9311423719</v>
      </c>
      <c r="J1194">
        <f>91-9311423810</f>
        <v>-9311423719</v>
      </c>
      <c r="K1194" t="s">
        <v>33</v>
      </c>
      <c r="L1194" t="s">
        <v>34</v>
      </c>
      <c r="M1194">
        <v>452015</v>
      </c>
      <c r="N1194" s="1">
        <v>45280</v>
      </c>
      <c r="O1194" t="s">
        <v>28</v>
      </c>
      <c r="P1194">
        <v>6</v>
      </c>
      <c r="Q1194">
        <v>200797.58</v>
      </c>
    </row>
    <row r="1195" spans="1:17" x14ac:dyDescent="0.3">
      <c r="A1195" t="s">
        <v>3082</v>
      </c>
      <c r="B1195" t="s">
        <v>3083</v>
      </c>
      <c r="C1195" s="2" t="str">
        <f>PROPER(TRIM(Table1[[#This Row],[Gender]]))</f>
        <v>Male</v>
      </c>
      <c r="D1195" t="s">
        <v>16</v>
      </c>
      <c r="E1195">
        <v>31</v>
      </c>
      <c r="F1195" t="s">
        <v>31</v>
      </c>
      <c r="G1195" s="1">
        <v>34343</v>
      </c>
      <c r="H1195" t="s">
        <v>3084</v>
      </c>
      <c r="I1195" s="2" t="str">
        <f t="shared" si="18"/>
        <v>+91-7025333634</v>
      </c>
      <c r="J1195">
        <f>91-7025333725</f>
        <v>-7025333634</v>
      </c>
      <c r="K1195" t="s">
        <v>109</v>
      </c>
      <c r="L1195" t="s">
        <v>46</v>
      </c>
      <c r="M1195">
        <v>410517</v>
      </c>
      <c r="N1195" s="1">
        <v>45176</v>
      </c>
      <c r="O1195" t="s">
        <v>28</v>
      </c>
      <c r="P1195">
        <v>5</v>
      </c>
      <c r="Q1195">
        <v>399737.52</v>
      </c>
    </row>
    <row r="1196" spans="1:17" x14ac:dyDescent="0.3">
      <c r="A1196" t="s">
        <v>3085</v>
      </c>
      <c r="B1196" t="s">
        <v>336</v>
      </c>
      <c r="C1196" s="2" t="str">
        <f>PROPER(TRIM(Table1[[#This Row],[Gender]]))</f>
        <v>Male</v>
      </c>
      <c r="D1196" t="s">
        <v>16</v>
      </c>
      <c r="E1196">
        <v>33</v>
      </c>
      <c r="F1196" t="s">
        <v>31</v>
      </c>
      <c r="G1196" s="1">
        <v>33613</v>
      </c>
      <c r="H1196" t="s">
        <v>337</v>
      </c>
      <c r="I1196" s="2" t="str">
        <f t="shared" si="18"/>
        <v>+91-9146084017</v>
      </c>
      <c r="J1196">
        <f>91-9146084108</f>
        <v>-9146084017</v>
      </c>
      <c r="K1196" t="s">
        <v>239</v>
      </c>
      <c r="L1196" t="s">
        <v>191</v>
      </c>
      <c r="M1196">
        <v>420919</v>
      </c>
      <c r="N1196" s="1">
        <v>45227</v>
      </c>
      <c r="O1196" t="s">
        <v>28</v>
      </c>
      <c r="P1196">
        <v>6</v>
      </c>
      <c r="Q1196">
        <v>92569.65</v>
      </c>
    </row>
    <row r="1197" spans="1:17" x14ac:dyDescent="0.3">
      <c r="A1197" t="s">
        <v>3086</v>
      </c>
      <c r="B1197" t="s">
        <v>2259</v>
      </c>
      <c r="C1197" s="2" t="str">
        <f>PROPER(TRIM(Table1[[#This Row],[Gender]]))</f>
        <v>Female</v>
      </c>
      <c r="D1197" t="s">
        <v>43</v>
      </c>
      <c r="E1197">
        <v>31</v>
      </c>
      <c r="F1197" t="s">
        <v>31</v>
      </c>
      <c r="G1197" s="1">
        <v>34343</v>
      </c>
      <c r="H1197" t="s">
        <v>3087</v>
      </c>
      <c r="I1197" s="2" t="str">
        <f t="shared" si="18"/>
        <v>+91-7160594808</v>
      </c>
      <c r="J1197">
        <f>91-7160594899</f>
        <v>-7160594808</v>
      </c>
      <c r="K1197" t="s">
        <v>195</v>
      </c>
      <c r="L1197" t="s">
        <v>102</v>
      </c>
      <c r="M1197">
        <v>460420</v>
      </c>
      <c r="N1197" s="1">
        <v>45372</v>
      </c>
      <c r="O1197" t="s">
        <v>21</v>
      </c>
      <c r="P1197">
        <v>3</v>
      </c>
      <c r="Q1197">
        <v>20578.53</v>
      </c>
    </row>
    <row r="1198" spans="1:17" x14ac:dyDescent="0.3">
      <c r="A1198" t="s">
        <v>3088</v>
      </c>
      <c r="B1198" t="s">
        <v>1885</v>
      </c>
      <c r="C1198" s="2" t="str">
        <f>PROPER(TRIM(Table1[[#This Row],[Gender]]))</f>
        <v>Male</v>
      </c>
      <c r="D1198" t="s">
        <v>16</v>
      </c>
      <c r="E1198">
        <v>24</v>
      </c>
      <c r="F1198" t="s">
        <v>49</v>
      </c>
      <c r="G1198" s="1">
        <v>36898</v>
      </c>
      <c r="H1198" t="s">
        <v>3089</v>
      </c>
      <c r="I1198" s="2" t="str">
        <f t="shared" si="18"/>
        <v>+91-9072333693</v>
      </c>
      <c r="J1198">
        <f>91-9072333784</f>
        <v>-9072333693</v>
      </c>
      <c r="K1198" t="s">
        <v>154</v>
      </c>
      <c r="L1198" t="s">
        <v>46</v>
      </c>
      <c r="M1198">
        <v>408835</v>
      </c>
      <c r="N1198" s="1">
        <v>45226</v>
      </c>
      <c r="O1198" t="s">
        <v>28</v>
      </c>
      <c r="P1198">
        <v>6</v>
      </c>
      <c r="Q1198">
        <v>116599.46</v>
      </c>
    </row>
    <row r="1199" spans="1:17" x14ac:dyDescent="0.3">
      <c r="A1199" t="s">
        <v>3090</v>
      </c>
      <c r="B1199" t="s">
        <v>940</v>
      </c>
      <c r="C1199" s="2" t="str">
        <f>PROPER(TRIM(Table1[[#This Row],[Gender]]))</f>
        <v>Male</v>
      </c>
      <c r="D1199" t="s">
        <v>16</v>
      </c>
      <c r="E1199">
        <v>30</v>
      </c>
      <c r="F1199" t="s">
        <v>31</v>
      </c>
      <c r="G1199" s="1">
        <v>34708</v>
      </c>
      <c r="H1199" t="s">
        <v>2133</v>
      </c>
      <c r="I1199" s="2" t="str">
        <f t="shared" si="18"/>
        <v>+91-9848538215</v>
      </c>
      <c r="J1199">
        <f>91-9848538306</f>
        <v>-9848538215</v>
      </c>
      <c r="K1199" t="s">
        <v>117</v>
      </c>
      <c r="L1199" t="s">
        <v>52</v>
      </c>
      <c r="M1199">
        <v>688372</v>
      </c>
      <c r="N1199" s="1">
        <v>45372</v>
      </c>
      <c r="O1199" t="s">
        <v>28</v>
      </c>
      <c r="P1199">
        <v>5</v>
      </c>
      <c r="Q1199">
        <v>190286.68</v>
      </c>
    </row>
    <row r="1200" spans="1:17" x14ac:dyDescent="0.3">
      <c r="A1200" t="s">
        <v>3091</v>
      </c>
      <c r="B1200" t="s">
        <v>104</v>
      </c>
      <c r="C1200" s="2" t="str">
        <f>PROPER(TRIM(Table1[[#This Row],[Gender]]))</f>
        <v>Female</v>
      </c>
      <c r="D1200" t="s">
        <v>43</v>
      </c>
      <c r="E1200">
        <v>35</v>
      </c>
      <c r="F1200" t="s">
        <v>31</v>
      </c>
      <c r="G1200" s="1">
        <v>32883</v>
      </c>
      <c r="H1200" t="s">
        <v>3092</v>
      </c>
      <c r="I1200" s="2" t="str">
        <f t="shared" si="18"/>
        <v>+91-8967767797</v>
      </c>
      <c r="J1200">
        <f>91-8967767888</f>
        <v>-8967767797</v>
      </c>
      <c r="K1200" t="s">
        <v>40</v>
      </c>
      <c r="L1200" t="s">
        <v>27</v>
      </c>
      <c r="M1200">
        <v>282572</v>
      </c>
      <c r="N1200" s="1">
        <v>45285</v>
      </c>
      <c r="O1200" t="s">
        <v>28</v>
      </c>
      <c r="P1200">
        <v>4</v>
      </c>
      <c r="Q1200">
        <v>153271.78</v>
      </c>
    </row>
    <row r="1201" spans="1:17" x14ac:dyDescent="0.3">
      <c r="A1201" t="s">
        <v>3093</v>
      </c>
      <c r="B1201" t="s">
        <v>3094</v>
      </c>
      <c r="C1201" s="2" t="str">
        <f>PROPER(TRIM(Table1[[#This Row],[Gender]]))</f>
        <v>Female</v>
      </c>
      <c r="D1201" t="s">
        <v>43</v>
      </c>
      <c r="E1201">
        <v>23</v>
      </c>
      <c r="F1201" t="s">
        <v>49</v>
      </c>
      <c r="G1201" s="1">
        <v>37263</v>
      </c>
      <c r="H1201" t="s">
        <v>3095</v>
      </c>
      <c r="I1201" s="2" t="str">
        <f t="shared" si="18"/>
        <v>+91-7296104645</v>
      </c>
      <c r="J1201">
        <f>91-7296104736</f>
        <v>-7296104645</v>
      </c>
      <c r="K1201" t="s">
        <v>109</v>
      </c>
      <c r="L1201" t="s">
        <v>46</v>
      </c>
      <c r="M1201">
        <v>149674</v>
      </c>
      <c r="N1201" s="1">
        <v>45325</v>
      </c>
      <c r="O1201" t="s">
        <v>21</v>
      </c>
      <c r="P1201">
        <v>2</v>
      </c>
      <c r="Q1201">
        <v>38849.25</v>
      </c>
    </row>
    <row r="1202" spans="1:17" x14ac:dyDescent="0.3">
      <c r="A1202" t="s">
        <v>3096</v>
      </c>
      <c r="B1202" t="s">
        <v>2027</v>
      </c>
      <c r="C1202" s="2" t="str">
        <f>PROPER(TRIM(Table1[[#This Row],[Gender]]))</f>
        <v>Female</v>
      </c>
      <c r="D1202" t="s">
        <v>43</v>
      </c>
      <c r="E1202">
        <v>18</v>
      </c>
      <c r="F1202" t="s">
        <v>49</v>
      </c>
      <c r="G1202" s="1">
        <v>39088</v>
      </c>
      <c r="H1202" t="s">
        <v>3097</v>
      </c>
      <c r="I1202" s="2" t="str">
        <f t="shared" si="18"/>
        <v>+91-9236295426</v>
      </c>
      <c r="J1202">
        <f>91-9236295517</f>
        <v>-9236295426</v>
      </c>
      <c r="K1202" t="s">
        <v>68</v>
      </c>
      <c r="L1202" t="s">
        <v>52</v>
      </c>
      <c r="M1202">
        <v>249325</v>
      </c>
      <c r="N1202" s="1">
        <v>45288</v>
      </c>
      <c r="O1202" t="s">
        <v>28</v>
      </c>
      <c r="P1202">
        <v>11</v>
      </c>
      <c r="Q1202">
        <v>526027.55000000005</v>
      </c>
    </row>
    <row r="1203" spans="1:17" x14ac:dyDescent="0.3">
      <c r="A1203" t="s">
        <v>3098</v>
      </c>
      <c r="B1203" t="s">
        <v>1152</v>
      </c>
      <c r="C1203" s="2" t="str">
        <f>PROPER(TRIM(Table1[[#This Row],[Gender]]))</f>
        <v>Male</v>
      </c>
      <c r="D1203" t="s">
        <v>16</v>
      </c>
      <c r="E1203">
        <v>27</v>
      </c>
      <c r="F1203" t="s">
        <v>31</v>
      </c>
      <c r="G1203" s="1">
        <v>35803</v>
      </c>
      <c r="H1203" t="s">
        <v>3099</v>
      </c>
      <c r="I1203" s="2" t="str">
        <f t="shared" si="18"/>
        <v>+91-9249412714</v>
      </c>
      <c r="J1203">
        <f>91-9249412805</f>
        <v>-9249412714</v>
      </c>
      <c r="K1203" t="s">
        <v>33</v>
      </c>
      <c r="L1203" t="s">
        <v>34</v>
      </c>
      <c r="M1203">
        <v>400493</v>
      </c>
      <c r="N1203" s="1">
        <v>45116</v>
      </c>
      <c r="O1203" t="s">
        <v>28</v>
      </c>
      <c r="P1203">
        <v>8</v>
      </c>
      <c r="Q1203">
        <v>268195.84000000003</v>
      </c>
    </row>
    <row r="1204" spans="1:17" x14ac:dyDescent="0.3">
      <c r="A1204" t="s">
        <v>3100</v>
      </c>
      <c r="B1204" t="s">
        <v>1617</v>
      </c>
      <c r="C1204" s="2" t="str">
        <f>PROPER(TRIM(Table1[[#This Row],[Gender]]))</f>
        <v>Female</v>
      </c>
      <c r="D1204" t="s">
        <v>43</v>
      </c>
      <c r="E1204">
        <v>23</v>
      </c>
      <c r="F1204" t="s">
        <v>49</v>
      </c>
      <c r="G1204" s="1">
        <v>37263</v>
      </c>
      <c r="H1204" t="s">
        <v>3101</v>
      </c>
      <c r="I1204" s="2" t="str">
        <f t="shared" si="18"/>
        <v>+91-7395169445</v>
      </c>
      <c r="J1204">
        <f>91-7395169536</f>
        <v>-7395169445</v>
      </c>
      <c r="K1204" t="s">
        <v>138</v>
      </c>
      <c r="L1204" t="s">
        <v>90</v>
      </c>
      <c r="M1204">
        <v>724269</v>
      </c>
      <c r="N1204" s="1">
        <v>45336</v>
      </c>
      <c r="O1204" t="s">
        <v>21</v>
      </c>
      <c r="P1204">
        <v>3</v>
      </c>
      <c r="Q1204">
        <v>34796.519999999997</v>
      </c>
    </row>
    <row r="1205" spans="1:17" x14ac:dyDescent="0.3">
      <c r="A1205" t="s">
        <v>3102</v>
      </c>
      <c r="B1205" t="s">
        <v>3103</v>
      </c>
      <c r="C1205" s="2" t="str">
        <f>PROPER(TRIM(Table1[[#This Row],[Gender]]))</f>
        <v>Male</v>
      </c>
      <c r="D1205" t="s">
        <v>16</v>
      </c>
      <c r="E1205">
        <v>21</v>
      </c>
      <c r="F1205" t="s">
        <v>49</v>
      </c>
      <c r="G1205" s="1">
        <v>37993</v>
      </c>
      <c r="H1205" t="s">
        <v>3104</v>
      </c>
      <c r="I1205" s="2" t="str">
        <f t="shared" si="18"/>
        <v>+91-8463265067</v>
      </c>
      <c r="J1205">
        <f>91-8463265158</f>
        <v>-8463265067</v>
      </c>
      <c r="K1205" t="s">
        <v>165</v>
      </c>
      <c r="L1205" t="s">
        <v>52</v>
      </c>
      <c r="M1205">
        <v>231944</v>
      </c>
      <c r="N1205" s="1">
        <v>45391</v>
      </c>
      <c r="O1205" t="s">
        <v>35</v>
      </c>
      <c r="P1205">
        <v>2</v>
      </c>
      <c r="Q1205">
        <v>3087.22</v>
      </c>
    </row>
    <row r="1206" spans="1:17" x14ac:dyDescent="0.3">
      <c r="A1206" t="s">
        <v>3105</v>
      </c>
      <c r="B1206" t="s">
        <v>2049</v>
      </c>
      <c r="C1206" s="2" t="str">
        <f>PROPER(TRIM(Table1[[#This Row],[Gender]]))</f>
        <v>Female</v>
      </c>
      <c r="D1206" t="s">
        <v>43</v>
      </c>
      <c r="E1206">
        <v>34</v>
      </c>
      <c r="F1206" t="s">
        <v>31</v>
      </c>
      <c r="G1206" s="1">
        <v>33248</v>
      </c>
      <c r="H1206" t="s">
        <v>3106</v>
      </c>
      <c r="I1206" s="2" t="str">
        <f t="shared" si="18"/>
        <v>+91-9275567471</v>
      </c>
      <c r="J1206">
        <f>91-9275567562</f>
        <v>-9275567471</v>
      </c>
      <c r="K1206" t="s">
        <v>40</v>
      </c>
      <c r="L1206" t="s">
        <v>27</v>
      </c>
      <c r="M1206">
        <v>848866</v>
      </c>
      <c r="N1206" s="1">
        <v>45368</v>
      </c>
      <c r="O1206" t="s">
        <v>28</v>
      </c>
      <c r="P1206">
        <v>3</v>
      </c>
      <c r="Q1206">
        <v>96117.02</v>
      </c>
    </row>
    <row r="1207" spans="1:17" x14ac:dyDescent="0.3">
      <c r="A1207" t="s">
        <v>3107</v>
      </c>
      <c r="B1207" t="s">
        <v>1708</v>
      </c>
      <c r="C1207" s="2" t="str">
        <f>PROPER(TRIM(Table1[[#This Row],[Gender]]))</f>
        <v>Female</v>
      </c>
      <c r="D1207" t="s">
        <v>43</v>
      </c>
      <c r="E1207">
        <v>33</v>
      </c>
      <c r="F1207" t="s">
        <v>31</v>
      </c>
      <c r="G1207" s="1">
        <v>33613</v>
      </c>
      <c r="H1207" t="s">
        <v>3108</v>
      </c>
      <c r="I1207" s="2" t="str">
        <f t="shared" si="18"/>
        <v>+91-8353664376</v>
      </c>
      <c r="J1207">
        <f>91-8353664467</f>
        <v>-8353664376</v>
      </c>
      <c r="K1207" t="s">
        <v>89</v>
      </c>
      <c r="L1207" t="s">
        <v>90</v>
      </c>
      <c r="M1207">
        <v>604210</v>
      </c>
      <c r="N1207" s="1">
        <v>45408</v>
      </c>
      <c r="O1207" t="s">
        <v>28</v>
      </c>
      <c r="P1207">
        <v>6</v>
      </c>
      <c r="Q1207">
        <v>348404.29</v>
      </c>
    </row>
    <row r="1208" spans="1:17" x14ac:dyDescent="0.3">
      <c r="A1208" t="s">
        <v>3109</v>
      </c>
      <c r="B1208" t="s">
        <v>868</v>
      </c>
      <c r="C1208" s="2" t="str">
        <f>PROPER(TRIM(Table1[[#This Row],[Gender]]))</f>
        <v>Female</v>
      </c>
      <c r="D1208" t="s">
        <v>43</v>
      </c>
      <c r="E1208">
        <v>29</v>
      </c>
      <c r="F1208" t="s">
        <v>31</v>
      </c>
      <c r="G1208" s="1">
        <v>35073</v>
      </c>
      <c r="H1208" t="s">
        <v>3110</v>
      </c>
      <c r="I1208" s="2" t="str">
        <f t="shared" si="18"/>
        <v>+91-9333539014</v>
      </c>
      <c r="J1208">
        <f>91-9333539105</f>
        <v>-9333539014</v>
      </c>
      <c r="K1208" t="s">
        <v>80</v>
      </c>
      <c r="L1208" t="s">
        <v>20</v>
      </c>
      <c r="M1208">
        <v>266348</v>
      </c>
      <c r="N1208" s="1">
        <v>45177</v>
      </c>
      <c r="O1208" t="s">
        <v>21</v>
      </c>
      <c r="P1208">
        <v>4</v>
      </c>
      <c r="Q1208">
        <v>27079.86</v>
      </c>
    </row>
    <row r="1209" spans="1:17" x14ac:dyDescent="0.3">
      <c r="A1209" t="s">
        <v>3111</v>
      </c>
      <c r="B1209" t="s">
        <v>1865</v>
      </c>
      <c r="C1209" s="2" t="str">
        <f>PROPER(TRIM(Table1[[#This Row],[Gender]]))</f>
        <v>Female</v>
      </c>
      <c r="D1209" t="s">
        <v>43</v>
      </c>
      <c r="E1209">
        <v>25</v>
      </c>
      <c r="F1209" t="s">
        <v>49</v>
      </c>
      <c r="G1209" s="1">
        <v>36533</v>
      </c>
      <c r="H1209" t="s">
        <v>3112</v>
      </c>
      <c r="I1209" s="2" t="str">
        <f t="shared" si="18"/>
        <v>+91-9957164032</v>
      </c>
      <c r="J1209">
        <f>91-9957164123</f>
        <v>-9957164032</v>
      </c>
      <c r="K1209" t="s">
        <v>101</v>
      </c>
      <c r="L1209" t="s">
        <v>102</v>
      </c>
      <c r="M1209">
        <v>883066</v>
      </c>
      <c r="N1209" s="1">
        <v>45084</v>
      </c>
      <c r="O1209" t="s">
        <v>28</v>
      </c>
      <c r="P1209">
        <v>9</v>
      </c>
      <c r="Q1209">
        <v>162050.16</v>
      </c>
    </row>
    <row r="1210" spans="1:17" x14ac:dyDescent="0.3">
      <c r="A1210" t="s">
        <v>3113</v>
      </c>
      <c r="B1210" t="s">
        <v>1043</v>
      </c>
      <c r="C1210" s="2" t="str">
        <f>PROPER(TRIM(Table1[[#This Row],[Gender]]))</f>
        <v>Female</v>
      </c>
      <c r="D1210" t="s">
        <v>43</v>
      </c>
      <c r="E1210">
        <v>32</v>
      </c>
      <c r="F1210" t="s">
        <v>31</v>
      </c>
      <c r="G1210" s="1">
        <v>33978</v>
      </c>
      <c r="H1210" t="s">
        <v>3114</v>
      </c>
      <c r="I1210" s="2" t="str">
        <f t="shared" si="18"/>
        <v>+91-7706596421</v>
      </c>
      <c r="J1210">
        <f>91-7706596512</f>
        <v>-7706596421</v>
      </c>
      <c r="K1210" t="s">
        <v>195</v>
      </c>
      <c r="L1210" t="s">
        <v>102</v>
      </c>
      <c r="M1210">
        <v>273005</v>
      </c>
      <c r="N1210" s="1">
        <v>45140</v>
      </c>
      <c r="O1210" t="s">
        <v>28</v>
      </c>
      <c r="P1210">
        <v>7</v>
      </c>
      <c r="Q1210">
        <v>386077.28</v>
      </c>
    </row>
    <row r="1211" spans="1:17" x14ac:dyDescent="0.3">
      <c r="A1211" t="s">
        <v>3115</v>
      </c>
      <c r="B1211" t="s">
        <v>1297</v>
      </c>
      <c r="C1211" s="2" t="str">
        <f>PROPER(TRIM(Table1[[#This Row],[Gender]]))</f>
        <v>Male</v>
      </c>
      <c r="D1211" t="s">
        <v>16</v>
      </c>
      <c r="E1211">
        <v>29</v>
      </c>
      <c r="F1211" t="s">
        <v>31</v>
      </c>
      <c r="G1211" s="1">
        <v>35073</v>
      </c>
      <c r="H1211" t="s">
        <v>3116</v>
      </c>
      <c r="I1211" s="2" t="str">
        <f t="shared" si="18"/>
        <v>+91-7634506187</v>
      </c>
      <c r="J1211">
        <f>91-7634506278</f>
        <v>-7634506187</v>
      </c>
      <c r="K1211" t="s">
        <v>64</v>
      </c>
      <c r="L1211" t="s">
        <v>20</v>
      </c>
      <c r="M1211">
        <v>398486</v>
      </c>
      <c r="N1211" s="1">
        <v>45287</v>
      </c>
      <c r="O1211" t="s">
        <v>21</v>
      </c>
      <c r="P1211">
        <v>4</v>
      </c>
      <c r="Q1211">
        <v>21496.37</v>
      </c>
    </row>
    <row r="1212" spans="1:17" x14ac:dyDescent="0.3">
      <c r="A1212" t="s">
        <v>3117</v>
      </c>
      <c r="B1212" t="s">
        <v>1474</v>
      </c>
      <c r="C1212" s="2" t="str">
        <f>PROPER(TRIM(Table1[[#This Row],[Gender]]))</f>
        <v>Female</v>
      </c>
      <c r="D1212" t="s">
        <v>43</v>
      </c>
      <c r="E1212">
        <v>33</v>
      </c>
      <c r="F1212" t="s">
        <v>31</v>
      </c>
      <c r="G1212" s="1">
        <v>33613</v>
      </c>
      <c r="H1212" t="s">
        <v>3118</v>
      </c>
      <c r="I1212" s="2" t="str">
        <f t="shared" si="18"/>
        <v>+91-8975014242</v>
      </c>
      <c r="J1212">
        <f>91-8975014333</f>
        <v>-8975014242</v>
      </c>
      <c r="K1212" t="s">
        <v>202</v>
      </c>
      <c r="L1212" t="s">
        <v>191</v>
      </c>
      <c r="M1212">
        <v>110539</v>
      </c>
      <c r="N1212" s="1">
        <v>45197</v>
      </c>
      <c r="O1212" t="s">
        <v>28</v>
      </c>
      <c r="P1212">
        <v>5</v>
      </c>
      <c r="Q1212">
        <v>154040.49</v>
      </c>
    </row>
    <row r="1213" spans="1:17" x14ac:dyDescent="0.3">
      <c r="A1213" t="s">
        <v>3119</v>
      </c>
      <c r="B1213" t="s">
        <v>3120</v>
      </c>
      <c r="C1213" s="2" t="str">
        <f>PROPER(TRIM(Table1[[#This Row],[Gender]]))</f>
        <v>Female</v>
      </c>
      <c r="D1213" t="s">
        <v>43</v>
      </c>
      <c r="E1213">
        <v>55</v>
      </c>
      <c r="F1213" t="s">
        <v>17</v>
      </c>
      <c r="G1213" s="1">
        <v>25583</v>
      </c>
      <c r="H1213" t="s">
        <v>3121</v>
      </c>
      <c r="I1213" s="2" t="str">
        <f t="shared" si="18"/>
        <v>+91-9523482042</v>
      </c>
      <c r="J1213">
        <f>91-9523482133</f>
        <v>-9523482042</v>
      </c>
      <c r="K1213" t="s">
        <v>165</v>
      </c>
      <c r="L1213" t="s">
        <v>52</v>
      </c>
      <c r="M1213">
        <v>136554</v>
      </c>
      <c r="N1213" s="1">
        <v>45280</v>
      </c>
      <c r="O1213" t="s">
        <v>21</v>
      </c>
      <c r="P1213">
        <v>4</v>
      </c>
      <c r="Q1213">
        <v>36378.550000000003</v>
      </c>
    </row>
    <row r="1214" spans="1:17" x14ac:dyDescent="0.3">
      <c r="A1214" t="s">
        <v>3122</v>
      </c>
      <c r="B1214" t="s">
        <v>1913</v>
      </c>
      <c r="C1214" s="2" t="str">
        <f>PROPER(TRIM(Table1[[#This Row],[Gender]]))</f>
        <v>Female</v>
      </c>
      <c r="D1214" t="s">
        <v>43</v>
      </c>
      <c r="E1214">
        <v>53</v>
      </c>
      <c r="F1214" t="s">
        <v>17</v>
      </c>
      <c r="G1214" s="1">
        <v>26313</v>
      </c>
      <c r="H1214" t="s">
        <v>1914</v>
      </c>
      <c r="I1214" s="2" t="str">
        <f t="shared" si="18"/>
        <v>+91-7884805618</v>
      </c>
      <c r="J1214">
        <f>91-7884805709</f>
        <v>-7884805618</v>
      </c>
      <c r="K1214" t="s">
        <v>89</v>
      </c>
      <c r="L1214" t="s">
        <v>90</v>
      </c>
      <c r="M1214">
        <v>971746</v>
      </c>
      <c r="N1214" s="1">
        <v>45314</v>
      </c>
      <c r="O1214" t="s">
        <v>35</v>
      </c>
      <c r="P1214">
        <v>4</v>
      </c>
      <c r="Q1214">
        <v>10428.33</v>
      </c>
    </row>
    <row r="1215" spans="1:17" x14ac:dyDescent="0.3">
      <c r="A1215" t="s">
        <v>3123</v>
      </c>
      <c r="B1215" t="s">
        <v>3124</v>
      </c>
      <c r="C1215" s="2" t="str">
        <f>PROPER(TRIM(Table1[[#This Row],[Gender]]))</f>
        <v>Female</v>
      </c>
      <c r="D1215" t="s">
        <v>43</v>
      </c>
      <c r="E1215">
        <v>61</v>
      </c>
      <c r="F1215" t="s">
        <v>58</v>
      </c>
      <c r="G1215" s="1">
        <v>23393</v>
      </c>
      <c r="H1215" t="s">
        <v>3125</v>
      </c>
      <c r="I1215" s="2" t="str">
        <f t="shared" si="18"/>
        <v>+91-8553288639</v>
      </c>
      <c r="J1215">
        <f>91-8553288730</f>
        <v>-8553288639</v>
      </c>
      <c r="K1215" t="s">
        <v>19</v>
      </c>
      <c r="L1215" t="s">
        <v>20</v>
      </c>
      <c r="M1215">
        <v>454228</v>
      </c>
      <c r="N1215" s="1">
        <v>45359</v>
      </c>
      <c r="O1215" t="s">
        <v>21</v>
      </c>
      <c r="P1215">
        <v>4</v>
      </c>
      <c r="Q1215">
        <v>34715.31</v>
      </c>
    </row>
    <row r="1216" spans="1:17" x14ac:dyDescent="0.3">
      <c r="A1216" t="s">
        <v>3126</v>
      </c>
      <c r="B1216" t="s">
        <v>3127</v>
      </c>
      <c r="C1216" s="2" t="str">
        <f>PROPER(TRIM(Table1[[#This Row],[Gender]]))</f>
        <v>Male</v>
      </c>
      <c r="D1216" t="s">
        <v>16</v>
      </c>
      <c r="E1216">
        <v>34</v>
      </c>
      <c r="F1216" t="s">
        <v>31</v>
      </c>
      <c r="G1216" s="1">
        <v>33248</v>
      </c>
      <c r="H1216" t="s">
        <v>3128</v>
      </c>
      <c r="I1216" s="2" t="str">
        <f t="shared" si="18"/>
        <v>+91-8710254632</v>
      </c>
      <c r="J1216">
        <f>91-8710254723</f>
        <v>-8710254632</v>
      </c>
      <c r="K1216" t="s">
        <v>580</v>
      </c>
      <c r="L1216" t="s">
        <v>85</v>
      </c>
      <c r="M1216">
        <v>701977</v>
      </c>
      <c r="N1216" s="1">
        <v>45438</v>
      </c>
      <c r="O1216" t="s">
        <v>28</v>
      </c>
      <c r="P1216">
        <v>4</v>
      </c>
      <c r="Q1216">
        <v>150495.81</v>
      </c>
    </row>
    <row r="1217" spans="1:17" x14ac:dyDescent="0.3">
      <c r="A1217" t="s">
        <v>3129</v>
      </c>
      <c r="B1217" t="s">
        <v>1236</v>
      </c>
      <c r="C1217" s="2" t="str">
        <f>PROPER(TRIM(Table1[[#This Row],[Gender]]))</f>
        <v>Male</v>
      </c>
      <c r="D1217" t="s">
        <v>16</v>
      </c>
      <c r="E1217">
        <v>43</v>
      </c>
      <c r="F1217" t="s">
        <v>38</v>
      </c>
      <c r="G1217" s="1">
        <v>29963</v>
      </c>
      <c r="H1217" t="s">
        <v>3130</v>
      </c>
      <c r="I1217" s="2" t="str">
        <f t="shared" si="18"/>
        <v>+91-7614771570</v>
      </c>
      <c r="J1217">
        <f>91-7614771661</f>
        <v>-7614771570</v>
      </c>
      <c r="K1217" t="s">
        <v>45</v>
      </c>
      <c r="L1217" t="s">
        <v>46</v>
      </c>
      <c r="M1217">
        <v>229147</v>
      </c>
      <c r="N1217" s="1">
        <v>45275</v>
      </c>
      <c r="O1217" t="s">
        <v>35</v>
      </c>
      <c r="P1217">
        <v>3</v>
      </c>
      <c r="Q1217">
        <v>18655.759999999998</v>
      </c>
    </row>
    <row r="1218" spans="1:17" x14ac:dyDescent="0.3">
      <c r="A1218" t="s">
        <v>3131</v>
      </c>
      <c r="B1218" t="s">
        <v>807</v>
      </c>
      <c r="C1218" s="2" t="str">
        <f>PROPER(TRIM(Table1[[#This Row],[Gender]]))</f>
        <v>Male</v>
      </c>
      <c r="D1218" t="s">
        <v>16</v>
      </c>
      <c r="E1218">
        <v>59</v>
      </c>
      <c r="F1218" t="s">
        <v>58</v>
      </c>
      <c r="G1218" s="1">
        <v>24123</v>
      </c>
      <c r="H1218" t="s">
        <v>3132</v>
      </c>
      <c r="I1218" s="2" t="str">
        <f t="shared" ref="I1218:I1281" si="19">"+91"&amp;TEXT(J1218,"0000000000")</f>
        <v>+91-8438861618</v>
      </c>
      <c r="J1218">
        <f>91-8438861709</f>
        <v>-8438861618</v>
      </c>
      <c r="K1218" t="s">
        <v>178</v>
      </c>
      <c r="L1218" t="s">
        <v>27</v>
      </c>
      <c r="M1218">
        <v>807696</v>
      </c>
      <c r="N1218" s="1">
        <v>45269</v>
      </c>
      <c r="O1218" t="s">
        <v>35</v>
      </c>
      <c r="P1218">
        <v>5</v>
      </c>
      <c r="Q1218">
        <v>11054.17</v>
      </c>
    </row>
    <row r="1219" spans="1:17" x14ac:dyDescent="0.3">
      <c r="A1219" t="s">
        <v>3133</v>
      </c>
      <c r="B1219" t="s">
        <v>1551</v>
      </c>
      <c r="C1219" s="2" t="str">
        <f>PROPER(TRIM(Table1[[#This Row],[Gender]]))</f>
        <v>Female</v>
      </c>
      <c r="D1219" t="s">
        <v>43</v>
      </c>
      <c r="E1219">
        <v>51</v>
      </c>
      <c r="F1219" t="s">
        <v>17</v>
      </c>
      <c r="G1219" s="1">
        <v>27043</v>
      </c>
      <c r="H1219" t="s">
        <v>3134</v>
      </c>
      <c r="I1219" s="2" t="str">
        <f t="shared" si="19"/>
        <v>+91-8537594959</v>
      </c>
      <c r="J1219">
        <f>91-8537595050</f>
        <v>-8537594959</v>
      </c>
      <c r="K1219" t="s">
        <v>72</v>
      </c>
      <c r="L1219" t="s">
        <v>34</v>
      </c>
      <c r="M1219">
        <v>629561</v>
      </c>
      <c r="N1219" s="1">
        <v>45159</v>
      </c>
      <c r="O1219" t="s">
        <v>28</v>
      </c>
      <c r="P1219">
        <v>6</v>
      </c>
      <c r="Q1219">
        <v>71785.5</v>
      </c>
    </row>
    <row r="1220" spans="1:17" x14ac:dyDescent="0.3">
      <c r="A1220" t="s">
        <v>3135</v>
      </c>
      <c r="B1220" t="s">
        <v>2213</v>
      </c>
      <c r="C1220" s="2" t="str">
        <f>PROPER(TRIM(Table1[[#This Row],[Gender]]))</f>
        <v>Male</v>
      </c>
      <c r="D1220" t="s">
        <v>16</v>
      </c>
      <c r="E1220">
        <v>38</v>
      </c>
      <c r="F1220" t="s">
        <v>38</v>
      </c>
      <c r="G1220" s="1">
        <v>31788</v>
      </c>
      <c r="H1220" t="s">
        <v>3136</v>
      </c>
      <c r="I1220" s="2" t="str">
        <f t="shared" si="19"/>
        <v>+91-9535805516</v>
      </c>
      <c r="J1220">
        <f>91-9535805607</f>
        <v>-9535805516</v>
      </c>
      <c r="K1220" t="s">
        <v>178</v>
      </c>
      <c r="L1220" t="s">
        <v>27</v>
      </c>
      <c r="M1220">
        <v>532790</v>
      </c>
      <c r="N1220" s="1">
        <v>45323</v>
      </c>
      <c r="O1220" t="s">
        <v>28</v>
      </c>
      <c r="P1220">
        <v>10</v>
      </c>
      <c r="Q1220">
        <v>392025.14</v>
      </c>
    </row>
    <row r="1221" spans="1:17" x14ac:dyDescent="0.3">
      <c r="A1221" t="s">
        <v>3137</v>
      </c>
      <c r="B1221" t="s">
        <v>149</v>
      </c>
      <c r="C1221" s="2" t="str">
        <f>PROPER(TRIM(Table1[[#This Row],[Gender]]))</f>
        <v>Male</v>
      </c>
      <c r="D1221" t="s">
        <v>16</v>
      </c>
      <c r="E1221">
        <v>53</v>
      </c>
      <c r="F1221" t="s">
        <v>17</v>
      </c>
      <c r="G1221" s="1">
        <v>26313</v>
      </c>
      <c r="H1221" t="s">
        <v>3138</v>
      </c>
      <c r="I1221" s="2" t="str">
        <f t="shared" si="19"/>
        <v>+91-7400922408</v>
      </c>
      <c r="J1221">
        <f>91-7400922499</f>
        <v>-7400922408</v>
      </c>
      <c r="K1221" t="s">
        <v>101</v>
      </c>
      <c r="L1221" t="s">
        <v>102</v>
      </c>
      <c r="M1221">
        <v>664497</v>
      </c>
      <c r="N1221" s="1">
        <v>45430</v>
      </c>
      <c r="O1221" t="s">
        <v>28</v>
      </c>
      <c r="P1221">
        <v>5</v>
      </c>
      <c r="Q1221">
        <v>121807.43</v>
      </c>
    </row>
    <row r="1222" spans="1:17" x14ac:dyDescent="0.3">
      <c r="A1222" t="s">
        <v>3139</v>
      </c>
      <c r="B1222" t="s">
        <v>3140</v>
      </c>
      <c r="C1222" s="2" t="str">
        <f>PROPER(TRIM(Table1[[#This Row],[Gender]]))</f>
        <v>Female</v>
      </c>
      <c r="D1222" t="s">
        <v>43</v>
      </c>
      <c r="E1222">
        <v>45</v>
      </c>
      <c r="F1222" t="s">
        <v>38</v>
      </c>
      <c r="G1222" s="1">
        <v>29233</v>
      </c>
      <c r="H1222" t="s">
        <v>3141</v>
      </c>
      <c r="I1222" s="2" t="str">
        <f t="shared" si="19"/>
        <v>+91-8809406415</v>
      </c>
      <c r="J1222">
        <f>91-8809406506</f>
        <v>-8809406415</v>
      </c>
      <c r="K1222" t="s">
        <v>415</v>
      </c>
      <c r="L1222" t="s">
        <v>90</v>
      </c>
      <c r="M1222">
        <v>884908</v>
      </c>
      <c r="N1222" s="1">
        <v>45227</v>
      </c>
      <c r="O1222" t="s">
        <v>28</v>
      </c>
      <c r="P1222">
        <v>5</v>
      </c>
      <c r="Q1222">
        <v>130616.4</v>
      </c>
    </row>
    <row r="1223" spans="1:17" x14ac:dyDescent="0.3">
      <c r="A1223" t="s">
        <v>3142</v>
      </c>
      <c r="B1223" t="s">
        <v>2432</v>
      </c>
      <c r="C1223" s="2" t="str">
        <f>PROPER(TRIM(Table1[[#This Row],[Gender]]))</f>
        <v>Male</v>
      </c>
      <c r="D1223" t="s">
        <v>16</v>
      </c>
      <c r="E1223">
        <v>50</v>
      </c>
      <c r="F1223" t="s">
        <v>17</v>
      </c>
      <c r="G1223" s="1">
        <v>27408</v>
      </c>
      <c r="H1223" t="s">
        <v>3143</v>
      </c>
      <c r="I1223" s="2" t="str">
        <f t="shared" si="19"/>
        <v>+91-8423579214</v>
      </c>
      <c r="J1223">
        <f>91-8423579305</f>
        <v>-8423579214</v>
      </c>
      <c r="K1223" t="s">
        <v>60</v>
      </c>
      <c r="L1223" t="s">
        <v>34</v>
      </c>
      <c r="M1223">
        <v>380448</v>
      </c>
      <c r="N1223" s="1">
        <v>45216</v>
      </c>
      <c r="O1223" t="s">
        <v>21</v>
      </c>
      <c r="P1223">
        <v>2</v>
      </c>
      <c r="Q1223">
        <v>40919.269999999997</v>
      </c>
    </row>
    <row r="1224" spans="1:17" x14ac:dyDescent="0.3">
      <c r="A1224" t="s">
        <v>3144</v>
      </c>
      <c r="B1224" t="s">
        <v>1248</v>
      </c>
      <c r="C1224" s="2" t="str">
        <f>PROPER(TRIM(Table1[[#This Row],[Gender]]))</f>
        <v>Female</v>
      </c>
      <c r="D1224" t="s">
        <v>43</v>
      </c>
      <c r="E1224">
        <v>46</v>
      </c>
      <c r="F1224" t="s">
        <v>17</v>
      </c>
      <c r="G1224" s="1">
        <v>28868</v>
      </c>
      <c r="H1224" t="s">
        <v>3145</v>
      </c>
      <c r="I1224" s="2" t="str">
        <f t="shared" si="19"/>
        <v>+91-8329158513</v>
      </c>
      <c r="J1224">
        <f>91-8329158604</f>
        <v>-8329158513</v>
      </c>
      <c r="K1224" t="s">
        <v>26</v>
      </c>
      <c r="L1224" t="s">
        <v>27</v>
      </c>
      <c r="M1224">
        <v>140598</v>
      </c>
      <c r="N1224" s="1">
        <v>45432</v>
      </c>
      <c r="O1224" t="s">
        <v>35</v>
      </c>
      <c r="P1224">
        <v>4</v>
      </c>
      <c r="Q1224">
        <v>5510.87</v>
      </c>
    </row>
    <row r="1225" spans="1:17" x14ac:dyDescent="0.3">
      <c r="A1225" t="s">
        <v>3146</v>
      </c>
      <c r="B1225" t="s">
        <v>3147</v>
      </c>
      <c r="C1225" s="2" t="str">
        <f>PROPER(TRIM(Table1[[#This Row],[Gender]]))</f>
        <v>Male</v>
      </c>
      <c r="D1225" t="s">
        <v>16</v>
      </c>
      <c r="E1225">
        <v>35</v>
      </c>
      <c r="F1225" t="s">
        <v>31</v>
      </c>
      <c r="G1225" s="1">
        <v>32883</v>
      </c>
      <c r="H1225" t="s">
        <v>3148</v>
      </c>
      <c r="I1225" s="2" t="str">
        <f t="shared" si="19"/>
        <v>+91-7822429186</v>
      </c>
      <c r="J1225">
        <f>91-7822429277</f>
        <v>-7822429186</v>
      </c>
      <c r="K1225" t="s">
        <v>19</v>
      </c>
      <c r="L1225" t="s">
        <v>20</v>
      </c>
      <c r="M1225">
        <v>133336</v>
      </c>
      <c r="N1225" s="1">
        <v>45163</v>
      </c>
      <c r="O1225" t="s">
        <v>28</v>
      </c>
      <c r="P1225">
        <v>6</v>
      </c>
      <c r="Q1225">
        <v>178703.14</v>
      </c>
    </row>
    <row r="1226" spans="1:17" x14ac:dyDescent="0.3">
      <c r="A1226" t="s">
        <v>3149</v>
      </c>
      <c r="B1226" t="s">
        <v>3150</v>
      </c>
      <c r="C1226" s="2" t="str">
        <f>PROPER(TRIM(Table1[[#This Row],[Gender]]))</f>
        <v>Female</v>
      </c>
      <c r="D1226" t="s">
        <v>43</v>
      </c>
      <c r="E1226">
        <v>33</v>
      </c>
      <c r="F1226" t="s">
        <v>31</v>
      </c>
      <c r="G1226" s="1">
        <v>33613</v>
      </c>
      <c r="H1226" t="s">
        <v>3151</v>
      </c>
      <c r="I1226" s="2" t="str">
        <f t="shared" si="19"/>
        <v>+91-8126763249</v>
      </c>
      <c r="J1226">
        <f>91-8126763340</f>
        <v>-8126763249</v>
      </c>
      <c r="K1226" t="s">
        <v>415</v>
      </c>
      <c r="L1226" t="s">
        <v>90</v>
      </c>
      <c r="M1226">
        <v>261412</v>
      </c>
      <c r="N1226" s="1">
        <v>45330</v>
      </c>
      <c r="O1226" t="s">
        <v>28</v>
      </c>
      <c r="P1226">
        <v>5</v>
      </c>
      <c r="Q1226">
        <v>172559.79</v>
      </c>
    </row>
    <row r="1227" spans="1:17" x14ac:dyDescent="0.3">
      <c r="A1227" t="s">
        <v>3152</v>
      </c>
      <c r="B1227" t="s">
        <v>3153</v>
      </c>
      <c r="C1227" s="2" t="str">
        <f>PROPER(TRIM(Table1[[#This Row],[Gender]]))</f>
        <v>Male</v>
      </c>
      <c r="D1227" t="s">
        <v>16</v>
      </c>
      <c r="E1227">
        <v>26</v>
      </c>
      <c r="F1227" t="s">
        <v>31</v>
      </c>
      <c r="G1227" s="1">
        <v>36168</v>
      </c>
      <c r="H1227" t="s">
        <v>3154</v>
      </c>
      <c r="I1227" s="2" t="str">
        <f t="shared" si="19"/>
        <v>+91-9632069328</v>
      </c>
      <c r="J1227">
        <f>91-9632069419</f>
        <v>-9632069328</v>
      </c>
      <c r="K1227" t="s">
        <v>415</v>
      </c>
      <c r="L1227" t="s">
        <v>90</v>
      </c>
      <c r="M1227">
        <v>584081</v>
      </c>
      <c r="N1227" s="1">
        <v>45363</v>
      </c>
      <c r="O1227" t="s">
        <v>21</v>
      </c>
      <c r="P1227">
        <v>2</v>
      </c>
      <c r="Q1227">
        <v>29065.45</v>
      </c>
    </row>
    <row r="1228" spans="1:17" x14ac:dyDescent="0.3">
      <c r="A1228" t="s">
        <v>3155</v>
      </c>
      <c r="B1228" t="s">
        <v>675</v>
      </c>
      <c r="C1228" s="2" t="str">
        <f>PROPER(TRIM(Table1[[#This Row],[Gender]]))</f>
        <v>Male</v>
      </c>
      <c r="D1228" t="s">
        <v>16</v>
      </c>
      <c r="E1228">
        <v>18</v>
      </c>
      <c r="F1228" t="s">
        <v>49</v>
      </c>
      <c r="G1228" s="1">
        <v>39088</v>
      </c>
      <c r="H1228" t="s">
        <v>3156</v>
      </c>
      <c r="I1228" s="2" t="str">
        <f t="shared" si="19"/>
        <v>+91-8746519255</v>
      </c>
      <c r="J1228">
        <f>91-8746519346</f>
        <v>-8746519255</v>
      </c>
      <c r="K1228" t="s">
        <v>273</v>
      </c>
      <c r="L1228" t="s">
        <v>46</v>
      </c>
      <c r="M1228">
        <v>508765</v>
      </c>
      <c r="N1228" s="1">
        <v>45097</v>
      </c>
      <c r="O1228" t="s">
        <v>28</v>
      </c>
      <c r="P1228">
        <v>4</v>
      </c>
      <c r="Q1228">
        <v>51541.65</v>
      </c>
    </row>
    <row r="1229" spans="1:17" x14ac:dyDescent="0.3">
      <c r="A1229" t="s">
        <v>3157</v>
      </c>
      <c r="B1229" t="s">
        <v>1668</v>
      </c>
      <c r="C1229" s="2" t="str">
        <f>PROPER(TRIM(Table1[[#This Row],[Gender]]))</f>
        <v>Male</v>
      </c>
      <c r="D1229" t="s">
        <v>16</v>
      </c>
      <c r="E1229">
        <v>64</v>
      </c>
      <c r="F1229" t="s">
        <v>58</v>
      </c>
      <c r="G1229" s="1">
        <v>22298</v>
      </c>
      <c r="H1229" t="s">
        <v>3158</v>
      </c>
      <c r="I1229" s="2" t="str">
        <f t="shared" si="19"/>
        <v>+91-8986129001</v>
      </c>
      <c r="J1229">
        <f>91-8986129092</f>
        <v>-8986129001</v>
      </c>
      <c r="K1229" t="s">
        <v>80</v>
      </c>
      <c r="L1229" t="s">
        <v>20</v>
      </c>
      <c r="M1229">
        <v>374240</v>
      </c>
      <c r="N1229" s="1">
        <v>45291</v>
      </c>
      <c r="O1229" t="s">
        <v>21</v>
      </c>
      <c r="P1229">
        <v>6</v>
      </c>
      <c r="Q1229">
        <v>45884.86</v>
      </c>
    </row>
    <row r="1230" spans="1:17" x14ac:dyDescent="0.3">
      <c r="A1230" t="s">
        <v>3159</v>
      </c>
      <c r="B1230" t="s">
        <v>2130</v>
      </c>
      <c r="C1230" s="2" t="str">
        <f>PROPER(TRIM(Table1[[#This Row],[Gender]]))</f>
        <v>Female</v>
      </c>
      <c r="D1230" t="s">
        <v>43</v>
      </c>
      <c r="E1230">
        <v>29</v>
      </c>
      <c r="F1230" t="s">
        <v>31</v>
      </c>
      <c r="G1230" s="1">
        <v>35073</v>
      </c>
      <c r="H1230" t="s">
        <v>3160</v>
      </c>
      <c r="I1230" s="2" t="str">
        <f t="shared" si="19"/>
        <v>+91-7247509169</v>
      </c>
      <c r="J1230">
        <f>91-7247509260</f>
        <v>-7247509169</v>
      </c>
      <c r="K1230" t="s">
        <v>190</v>
      </c>
      <c r="L1230" t="s">
        <v>191</v>
      </c>
      <c r="M1230">
        <v>529020</v>
      </c>
      <c r="N1230" s="1">
        <v>45174</v>
      </c>
      <c r="O1230" t="s">
        <v>28</v>
      </c>
      <c r="P1230">
        <v>5</v>
      </c>
      <c r="Q1230">
        <v>103724.66</v>
      </c>
    </row>
    <row r="1231" spans="1:17" x14ac:dyDescent="0.3">
      <c r="A1231" t="s">
        <v>3161</v>
      </c>
      <c r="B1231" t="s">
        <v>2739</v>
      </c>
      <c r="C1231" s="2" t="str">
        <f>PROPER(TRIM(Table1[[#This Row],[Gender]]))</f>
        <v>Female</v>
      </c>
      <c r="D1231" t="s">
        <v>43</v>
      </c>
      <c r="E1231">
        <v>32</v>
      </c>
      <c r="F1231" t="s">
        <v>31</v>
      </c>
      <c r="G1231" s="1">
        <v>33978</v>
      </c>
      <c r="H1231" t="s">
        <v>3162</v>
      </c>
      <c r="I1231" s="2" t="str">
        <f t="shared" si="19"/>
        <v>+91-9631607207</v>
      </c>
      <c r="J1231">
        <f>91-9631607298</f>
        <v>-9631607207</v>
      </c>
      <c r="K1231" t="s">
        <v>147</v>
      </c>
      <c r="L1231" t="s">
        <v>143</v>
      </c>
      <c r="M1231">
        <v>637736</v>
      </c>
      <c r="N1231" s="1">
        <v>45259</v>
      </c>
      <c r="O1231" t="s">
        <v>28</v>
      </c>
      <c r="P1231">
        <v>5</v>
      </c>
      <c r="Q1231">
        <v>110966.33</v>
      </c>
    </row>
    <row r="1232" spans="1:17" x14ac:dyDescent="0.3">
      <c r="A1232" t="s">
        <v>3163</v>
      </c>
      <c r="B1232" t="s">
        <v>3041</v>
      </c>
      <c r="C1232" s="2" t="str">
        <f>PROPER(TRIM(Table1[[#This Row],[Gender]]))</f>
        <v>Male</v>
      </c>
      <c r="D1232" t="s">
        <v>16</v>
      </c>
      <c r="E1232">
        <v>48</v>
      </c>
      <c r="F1232" t="s">
        <v>17</v>
      </c>
      <c r="G1232" s="1">
        <v>28138</v>
      </c>
      <c r="H1232" t="s">
        <v>3042</v>
      </c>
      <c r="I1232" s="2" t="str">
        <f t="shared" si="19"/>
        <v>+91-9841310371</v>
      </c>
      <c r="J1232">
        <f>91-9841310462</f>
        <v>-9841310371</v>
      </c>
      <c r="K1232" t="s">
        <v>273</v>
      </c>
      <c r="L1232" t="s">
        <v>46</v>
      </c>
      <c r="M1232">
        <v>688397</v>
      </c>
      <c r="N1232" s="1">
        <v>45340</v>
      </c>
      <c r="O1232" t="s">
        <v>28</v>
      </c>
      <c r="P1232">
        <v>5</v>
      </c>
      <c r="Q1232">
        <v>50287.93</v>
      </c>
    </row>
    <row r="1233" spans="1:17" x14ac:dyDescent="0.3">
      <c r="A1233" t="s">
        <v>3164</v>
      </c>
      <c r="B1233" t="s">
        <v>3165</v>
      </c>
      <c r="C1233" s="2" t="str">
        <f>PROPER(TRIM(Table1[[#This Row],[Gender]]))</f>
        <v>Male</v>
      </c>
      <c r="D1233" t="s">
        <v>16</v>
      </c>
      <c r="E1233">
        <v>25</v>
      </c>
      <c r="F1233" t="s">
        <v>49</v>
      </c>
      <c r="G1233" s="1">
        <v>36533</v>
      </c>
      <c r="H1233" t="s">
        <v>3166</v>
      </c>
      <c r="I1233" s="2" t="str">
        <f t="shared" si="19"/>
        <v>+91-9107721608</v>
      </c>
      <c r="J1233">
        <f>91-9107721699</f>
        <v>-9107721608</v>
      </c>
      <c r="K1233" t="s">
        <v>202</v>
      </c>
      <c r="L1233" t="s">
        <v>191</v>
      </c>
      <c r="M1233">
        <v>226351</v>
      </c>
      <c r="N1233" s="1">
        <v>45344</v>
      </c>
      <c r="O1233" t="s">
        <v>28</v>
      </c>
      <c r="P1233">
        <v>7</v>
      </c>
      <c r="Q1233">
        <v>164760.71</v>
      </c>
    </row>
    <row r="1234" spans="1:17" x14ac:dyDescent="0.3">
      <c r="A1234" t="s">
        <v>3167</v>
      </c>
      <c r="B1234" t="s">
        <v>2785</v>
      </c>
      <c r="C1234" s="2" t="str">
        <f>PROPER(TRIM(Table1[[#This Row],[Gender]]))</f>
        <v>Female</v>
      </c>
      <c r="D1234" t="s">
        <v>43</v>
      </c>
      <c r="E1234">
        <v>51</v>
      </c>
      <c r="F1234" t="s">
        <v>17</v>
      </c>
      <c r="G1234" s="1">
        <v>27043</v>
      </c>
      <c r="H1234" t="s">
        <v>3168</v>
      </c>
      <c r="I1234" s="2" t="str">
        <f t="shared" si="19"/>
        <v>+91-7984496912</v>
      </c>
      <c r="J1234">
        <f>91-7984497003</f>
        <v>-7984496912</v>
      </c>
      <c r="K1234" t="s">
        <v>249</v>
      </c>
      <c r="L1234" t="s">
        <v>34</v>
      </c>
      <c r="M1234">
        <v>480759</v>
      </c>
      <c r="N1234" s="1">
        <v>45389</v>
      </c>
      <c r="O1234" t="s">
        <v>21</v>
      </c>
      <c r="P1234">
        <v>8</v>
      </c>
      <c r="Q1234">
        <v>37101.25</v>
      </c>
    </row>
    <row r="1235" spans="1:17" x14ac:dyDescent="0.3">
      <c r="A1235" t="s">
        <v>3169</v>
      </c>
      <c r="B1235" t="s">
        <v>140</v>
      </c>
      <c r="C1235" s="2" t="str">
        <f>PROPER(TRIM(Table1[[#This Row],[Gender]]))</f>
        <v>Female</v>
      </c>
      <c r="D1235" t="s">
        <v>43</v>
      </c>
      <c r="E1235">
        <v>22</v>
      </c>
      <c r="F1235" t="s">
        <v>49</v>
      </c>
      <c r="G1235" s="1">
        <v>37628</v>
      </c>
      <c r="H1235" t="s">
        <v>3170</v>
      </c>
      <c r="I1235" s="2" t="str">
        <f t="shared" si="19"/>
        <v>+91-9176394112</v>
      </c>
      <c r="J1235">
        <f>91-9176394203</f>
        <v>-9176394112</v>
      </c>
      <c r="K1235" t="s">
        <v>154</v>
      </c>
      <c r="L1235" t="s">
        <v>46</v>
      </c>
      <c r="M1235">
        <v>644901</v>
      </c>
      <c r="N1235" s="1">
        <v>45347</v>
      </c>
      <c r="O1235" t="s">
        <v>28</v>
      </c>
      <c r="P1235">
        <v>9</v>
      </c>
      <c r="Q1235">
        <v>163279.71</v>
      </c>
    </row>
    <row r="1236" spans="1:17" x14ac:dyDescent="0.3">
      <c r="A1236" t="s">
        <v>3171</v>
      </c>
      <c r="B1236" t="s">
        <v>1109</v>
      </c>
      <c r="C1236" s="2" t="str">
        <f>PROPER(TRIM(Table1[[#This Row],[Gender]]))</f>
        <v>Male</v>
      </c>
      <c r="D1236" t="s">
        <v>16</v>
      </c>
      <c r="E1236">
        <v>21</v>
      </c>
      <c r="F1236" t="s">
        <v>49</v>
      </c>
      <c r="G1236" s="1">
        <v>37993</v>
      </c>
      <c r="H1236" t="s">
        <v>3172</v>
      </c>
      <c r="I1236" s="2" t="str">
        <f t="shared" si="19"/>
        <v>+91-9609027872</v>
      </c>
      <c r="J1236">
        <f>91-9609027963</f>
        <v>-9609027872</v>
      </c>
      <c r="K1236" t="s">
        <v>19</v>
      </c>
      <c r="L1236" t="s">
        <v>20</v>
      </c>
      <c r="M1236">
        <v>779052</v>
      </c>
      <c r="N1236" s="1">
        <v>45198</v>
      </c>
      <c r="O1236" t="s">
        <v>28</v>
      </c>
      <c r="P1236">
        <v>7</v>
      </c>
      <c r="Q1236">
        <v>107919.01</v>
      </c>
    </row>
    <row r="1237" spans="1:17" x14ac:dyDescent="0.3">
      <c r="A1237" t="s">
        <v>3173</v>
      </c>
      <c r="B1237" t="s">
        <v>3174</v>
      </c>
      <c r="C1237" s="2" t="str">
        <f>PROPER(TRIM(Table1[[#This Row],[Gender]]))</f>
        <v>Male</v>
      </c>
      <c r="D1237" t="s">
        <v>16</v>
      </c>
      <c r="E1237">
        <v>40</v>
      </c>
      <c r="F1237" t="s">
        <v>38</v>
      </c>
      <c r="G1237" s="1">
        <v>31058</v>
      </c>
      <c r="H1237" t="s">
        <v>3175</v>
      </c>
      <c r="I1237" s="2" t="str">
        <f t="shared" si="19"/>
        <v>+91-7882312589</v>
      </c>
      <c r="J1237">
        <f>91-7882312680</f>
        <v>-7882312589</v>
      </c>
      <c r="K1237" t="s">
        <v>369</v>
      </c>
      <c r="L1237" t="s">
        <v>191</v>
      </c>
      <c r="M1237">
        <v>630385</v>
      </c>
      <c r="N1237" s="1">
        <v>45300</v>
      </c>
      <c r="O1237" t="s">
        <v>28</v>
      </c>
      <c r="P1237">
        <v>6</v>
      </c>
      <c r="Q1237">
        <v>258537.7</v>
      </c>
    </row>
    <row r="1238" spans="1:17" x14ac:dyDescent="0.3">
      <c r="A1238" t="s">
        <v>3176</v>
      </c>
      <c r="B1238" t="s">
        <v>3177</v>
      </c>
      <c r="C1238" s="2" t="str">
        <f>PROPER(TRIM(Table1[[#This Row],[Gender]]))</f>
        <v>Female</v>
      </c>
      <c r="D1238" t="s">
        <v>43</v>
      </c>
      <c r="E1238">
        <v>31</v>
      </c>
      <c r="F1238" t="s">
        <v>31</v>
      </c>
      <c r="G1238" s="1">
        <v>34343</v>
      </c>
      <c r="H1238" t="s">
        <v>3178</v>
      </c>
      <c r="I1238" s="2" t="str">
        <f t="shared" si="19"/>
        <v>+91-9714697078</v>
      </c>
      <c r="J1238">
        <f>91-9714697169</f>
        <v>-9714697078</v>
      </c>
      <c r="K1238" t="s">
        <v>142</v>
      </c>
      <c r="L1238" t="s">
        <v>143</v>
      </c>
      <c r="M1238">
        <v>680983</v>
      </c>
      <c r="N1238" s="1">
        <v>45140</v>
      </c>
      <c r="O1238" t="s">
        <v>21</v>
      </c>
      <c r="P1238">
        <v>6</v>
      </c>
      <c r="Q1238">
        <v>34076.21</v>
      </c>
    </row>
    <row r="1239" spans="1:17" x14ac:dyDescent="0.3">
      <c r="A1239" t="s">
        <v>3179</v>
      </c>
      <c r="B1239" t="s">
        <v>1617</v>
      </c>
      <c r="C1239" s="2" t="str">
        <f>PROPER(TRIM(Table1[[#This Row],[Gender]]))</f>
        <v>Female</v>
      </c>
      <c r="D1239" t="s">
        <v>43</v>
      </c>
      <c r="E1239">
        <v>29</v>
      </c>
      <c r="F1239" t="s">
        <v>31</v>
      </c>
      <c r="G1239" s="1">
        <v>35073</v>
      </c>
      <c r="H1239" t="s">
        <v>3180</v>
      </c>
      <c r="I1239" s="2" t="str">
        <f t="shared" si="19"/>
        <v>+91-9463786835</v>
      </c>
      <c r="J1239">
        <f>91-9463786926</f>
        <v>-9463786835</v>
      </c>
      <c r="K1239" t="s">
        <v>33</v>
      </c>
      <c r="L1239" t="s">
        <v>34</v>
      </c>
      <c r="M1239">
        <v>835229</v>
      </c>
      <c r="N1239" s="1">
        <v>45171</v>
      </c>
      <c r="O1239" t="s">
        <v>28</v>
      </c>
      <c r="P1239">
        <v>2</v>
      </c>
      <c r="Q1239">
        <v>86713.2</v>
      </c>
    </row>
    <row r="1240" spans="1:17" x14ac:dyDescent="0.3">
      <c r="A1240" t="s">
        <v>3181</v>
      </c>
      <c r="B1240" t="s">
        <v>228</v>
      </c>
      <c r="C1240" s="2" t="str">
        <f>PROPER(TRIM(Table1[[#This Row],[Gender]]))</f>
        <v>Female</v>
      </c>
      <c r="D1240" t="s">
        <v>43</v>
      </c>
      <c r="E1240">
        <v>35</v>
      </c>
      <c r="F1240" t="s">
        <v>31</v>
      </c>
      <c r="G1240" s="1">
        <v>32883</v>
      </c>
      <c r="H1240" t="s">
        <v>3182</v>
      </c>
      <c r="I1240" s="2" t="str">
        <f t="shared" si="19"/>
        <v>+91-7408963290</v>
      </c>
      <c r="J1240">
        <f>91-7408963381</f>
        <v>-7408963290</v>
      </c>
      <c r="K1240" t="s">
        <v>101</v>
      </c>
      <c r="L1240" t="s">
        <v>102</v>
      </c>
      <c r="M1240">
        <v>588134</v>
      </c>
      <c r="N1240" s="1">
        <v>45268</v>
      </c>
      <c r="O1240" t="s">
        <v>28</v>
      </c>
      <c r="P1240">
        <v>4</v>
      </c>
      <c r="Q1240">
        <v>71297.94</v>
      </c>
    </row>
    <row r="1241" spans="1:17" x14ac:dyDescent="0.3">
      <c r="A1241" t="s">
        <v>3183</v>
      </c>
      <c r="B1241" t="s">
        <v>1184</v>
      </c>
      <c r="C1241" s="2" t="str">
        <f>PROPER(TRIM(Table1[[#This Row],[Gender]]))</f>
        <v>Male</v>
      </c>
      <c r="D1241" t="s">
        <v>16</v>
      </c>
      <c r="E1241">
        <v>33</v>
      </c>
      <c r="F1241" t="s">
        <v>31</v>
      </c>
      <c r="G1241" s="1">
        <v>33613</v>
      </c>
      <c r="H1241" t="s">
        <v>3184</v>
      </c>
      <c r="I1241" s="2" t="str">
        <f t="shared" si="19"/>
        <v>+91-9871047461</v>
      </c>
      <c r="J1241">
        <f>91-9871047552</f>
        <v>-9871047461</v>
      </c>
      <c r="K1241" t="s">
        <v>109</v>
      </c>
      <c r="L1241" t="s">
        <v>46</v>
      </c>
      <c r="M1241">
        <v>687112</v>
      </c>
      <c r="N1241" s="1">
        <v>45398</v>
      </c>
      <c r="O1241" t="s">
        <v>28</v>
      </c>
      <c r="P1241">
        <v>4</v>
      </c>
      <c r="Q1241">
        <v>70670.5</v>
      </c>
    </row>
    <row r="1242" spans="1:17" x14ac:dyDescent="0.3">
      <c r="A1242" t="s">
        <v>3185</v>
      </c>
      <c r="B1242" t="s">
        <v>1200</v>
      </c>
      <c r="C1242" s="2" t="str">
        <f>PROPER(TRIM(Table1[[#This Row],[Gender]]))</f>
        <v>Male</v>
      </c>
      <c r="D1242" t="s">
        <v>16</v>
      </c>
      <c r="E1242">
        <v>20</v>
      </c>
      <c r="F1242" t="s">
        <v>49</v>
      </c>
      <c r="G1242" s="1">
        <v>38358</v>
      </c>
      <c r="H1242" t="s">
        <v>3186</v>
      </c>
      <c r="I1242" s="2" t="str">
        <f t="shared" si="19"/>
        <v>+91-7394234397</v>
      </c>
      <c r="J1242">
        <f>91-7394234488</f>
        <v>-7394234397</v>
      </c>
      <c r="K1242" t="s">
        <v>113</v>
      </c>
      <c r="L1242" t="s">
        <v>34</v>
      </c>
      <c r="M1242">
        <v>639551</v>
      </c>
      <c r="N1242" s="1">
        <v>45276</v>
      </c>
      <c r="O1242" t="s">
        <v>28</v>
      </c>
      <c r="P1242">
        <v>7</v>
      </c>
      <c r="Q1242">
        <v>201310.07</v>
      </c>
    </row>
    <row r="1243" spans="1:17" x14ac:dyDescent="0.3">
      <c r="A1243" t="s">
        <v>3187</v>
      </c>
      <c r="B1243" t="s">
        <v>540</v>
      </c>
      <c r="C1243" s="2" t="str">
        <f>PROPER(TRIM(Table1[[#This Row],[Gender]]))</f>
        <v>Female</v>
      </c>
      <c r="D1243" t="s">
        <v>43</v>
      </c>
      <c r="E1243">
        <v>25</v>
      </c>
      <c r="F1243" t="s">
        <v>49</v>
      </c>
      <c r="G1243" s="1">
        <v>36533</v>
      </c>
      <c r="H1243" t="s">
        <v>541</v>
      </c>
      <c r="I1243" s="2" t="str">
        <f t="shared" si="19"/>
        <v>+91-7645956577</v>
      </c>
      <c r="J1243">
        <f>91-7645956668</f>
        <v>-7645956577</v>
      </c>
      <c r="K1243" t="s">
        <v>195</v>
      </c>
      <c r="L1243" t="s">
        <v>102</v>
      </c>
      <c r="M1243">
        <v>364300</v>
      </c>
      <c r="N1243" s="1">
        <v>45395</v>
      </c>
      <c r="O1243" t="s">
        <v>35</v>
      </c>
      <c r="P1243">
        <v>2</v>
      </c>
      <c r="Q1243">
        <v>1097.3</v>
      </c>
    </row>
    <row r="1244" spans="1:17" x14ac:dyDescent="0.3">
      <c r="A1244" t="s">
        <v>3188</v>
      </c>
      <c r="B1244" t="s">
        <v>251</v>
      </c>
      <c r="C1244" s="2" t="str">
        <f>PROPER(TRIM(Table1[[#This Row],[Gender]]))</f>
        <v>Female</v>
      </c>
      <c r="D1244" t="s">
        <v>43</v>
      </c>
      <c r="E1244">
        <v>33</v>
      </c>
      <c r="F1244" t="s">
        <v>31</v>
      </c>
      <c r="G1244" s="1">
        <v>33613</v>
      </c>
      <c r="H1244" t="s">
        <v>3189</v>
      </c>
      <c r="I1244" s="2" t="str">
        <f t="shared" si="19"/>
        <v>+91-9197437278</v>
      </c>
      <c r="J1244">
        <f>91-9197437369</f>
        <v>-9197437278</v>
      </c>
      <c r="K1244" t="s">
        <v>117</v>
      </c>
      <c r="L1244" t="s">
        <v>52</v>
      </c>
      <c r="M1244">
        <v>715354</v>
      </c>
      <c r="N1244" s="1">
        <v>45311</v>
      </c>
      <c r="O1244" t="s">
        <v>28</v>
      </c>
      <c r="P1244">
        <v>8</v>
      </c>
      <c r="Q1244">
        <v>222405.71</v>
      </c>
    </row>
    <row r="1245" spans="1:17" x14ac:dyDescent="0.3">
      <c r="A1245" t="s">
        <v>3190</v>
      </c>
      <c r="B1245" t="s">
        <v>501</v>
      </c>
      <c r="C1245" s="2" t="str">
        <f>PROPER(TRIM(Table1[[#This Row],[Gender]]))</f>
        <v>Male</v>
      </c>
      <c r="D1245" t="s">
        <v>16</v>
      </c>
      <c r="E1245">
        <v>23</v>
      </c>
      <c r="F1245" t="s">
        <v>49</v>
      </c>
      <c r="G1245" s="1">
        <v>37263</v>
      </c>
      <c r="H1245" t="s">
        <v>502</v>
      </c>
      <c r="I1245" s="2" t="str">
        <f t="shared" si="19"/>
        <v>+91-7395537176</v>
      </c>
      <c r="J1245">
        <f>91-7395537267</f>
        <v>-7395537176</v>
      </c>
      <c r="K1245" t="s">
        <v>19</v>
      </c>
      <c r="L1245" t="s">
        <v>20</v>
      </c>
      <c r="M1245">
        <v>229957</v>
      </c>
      <c r="N1245" s="1">
        <v>45221</v>
      </c>
      <c r="O1245" t="s">
        <v>21</v>
      </c>
      <c r="P1245">
        <v>4</v>
      </c>
      <c r="Q1245">
        <v>35129.730000000003</v>
      </c>
    </row>
    <row r="1246" spans="1:17" x14ac:dyDescent="0.3">
      <c r="A1246" t="s">
        <v>3191</v>
      </c>
      <c r="B1246" t="s">
        <v>1133</v>
      </c>
      <c r="C1246" s="2" t="str">
        <f>PROPER(TRIM(Table1[[#This Row],[Gender]]))</f>
        <v>Female</v>
      </c>
      <c r="D1246" t="s">
        <v>43</v>
      </c>
      <c r="E1246">
        <v>21</v>
      </c>
      <c r="F1246" t="s">
        <v>49</v>
      </c>
      <c r="G1246" s="1">
        <v>37993</v>
      </c>
      <c r="H1246" t="s">
        <v>3192</v>
      </c>
      <c r="I1246" s="2" t="str">
        <f t="shared" si="19"/>
        <v>+91-7445933627</v>
      </c>
      <c r="J1246">
        <f>91-7445933718</f>
        <v>-7445933627</v>
      </c>
      <c r="K1246" t="s">
        <v>195</v>
      </c>
      <c r="L1246" t="s">
        <v>102</v>
      </c>
      <c r="M1246">
        <v>292581</v>
      </c>
      <c r="N1246" s="1">
        <v>45298</v>
      </c>
      <c r="O1246" t="s">
        <v>28</v>
      </c>
      <c r="P1246">
        <v>6</v>
      </c>
      <c r="Q1246">
        <v>223869.35</v>
      </c>
    </row>
    <row r="1247" spans="1:17" x14ac:dyDescent="0.3">
      <c r="A1247" t="s">
        <v>3193</v>
      </c>
      <c r="B1247" t="s">
        <v>1778</v>
      </c>
      <c r="C1247" s="2" t="str">
        <f>PROPER(TRIM(Table1[[#This Row],[Gender]]))</f>
        <v>Female</v>
      </c>
      <c r="D1247" t="s">
        <v>43</v>
      </c>
      <c r="E1247">
        <v>49</v>
      </c>
      <c r="F1247" t="s">
        <v>17</v>
      </c>
      <c r="G1247" s="1">
        <v>27773</v>
      </c>
      <c r="H1247" t="s">
        <v>3194</v>
      </c>
      <c r="I1247" s="2" t="str">
        <f t="shared" si="19"/>
        <v>+91-7083363151</v>
      </c>
      <c r="J1247">
        <f>91-7083363242</f>
        <v>-7083363151</v>
      </c>
      <c r="K1247" t="s">
        <v>51</v>
      </c>
      <c r="L1247" t="s">
        <v>52</v>
      </c>
      <c r="M1247">
        <v>704451</v>
      </c>
      <c r="N1247" s="1">
        <v>45402</v>
      </c>
      <c r="O1247" t="s">
        <v>35</v>
      </c>
      <c r="P1247">
        <v>5</v>
      </c>
      <c r="Q1247">
        <v>9066.4699999999993</v>
      </c>
    </row>
    <row r="1248" spans="1:17" x14ac:dyDescent="0.3">
      <c r="A1248" t="s">
        <v>3195</v>
      </c>
      <c r="B1248" t="s">
        <v>1381</v>
      </c>
      <c r="C1248" s="2" t="str">
        <f>PROPER(TRIM(Table1[[#This Row],[Gender]]))</f>
        <v>Female</v>
      </c>
      <c r="D1248" t="s">
        <v>43</v>
      </c>
      <c r="E1248">
        <v>33</v>
      </c>
      <c r="F1248" t="s">
        <v>31</v>
      </c>
      <c r="G1248" s="1">
        <v>33613</v>
      </c>
      <c r="H1248" t="s">
        <v>3196</v>
      </c>
      <c r="I1248" s="2" t="str">
        <f t="shared" si="19"/>
        <v>+91-7472845714</v>
      </c>
      <c r="J1248">
        <f>91-7472845805</f>
        <v>-7472845714</v>
      </c>
      <c r="K1248" t="s">
        <v>76</v>
      </c>
      <c r="L1248" t="s">
        <v>46</v>
      </c>
      <c r="M1248">
        <v>326101</v>
      </c>
      <c r="N1248" s="1">
        <v>45408</v>
      </c>
      <c r="O1248" t="s">
        <v>28</v>
      </c>
      <c r="P1248">
        <v>7</v>
      </c>
      <c r="Q1248">
        <v>239253.6</v>
      </c>
    </row>
    <row r="1249" spans="1:17" x14ac:dyDescent="0.3">
      <c r="A1249" t="s">
        <v>3197</v>
      </c>
      <c r="B1249" t="s">
        <v>2190</v>
      </c>
      <c r="C1249" s="2" t="str">
        <f>PROPER(TRIM(Table1[[#This Row],[Gender]]))</f>
        <v>Male</v>
      </c>
      <c r="D1249" t="s">
        <v>16</v>
      </c>
      <c r="E1249">
        <v>58</v>
      </c>
      <c r="F1249" t="s">
        <v>58</v>
      </c>
      <c r="G1249" s="1">
        <v>24488</v>
      </c>
      <c r="H1249" t="s">
        <v>3198</v>
      </c>
      <c r="I1249" s="2" t="str">
        <f t="shared" si="19"/>
        <v>+91-9406504279</v>
      </c>
      <c r="J1249">
        <f>91-9406504370</f>
        <v>-9406504279</v>
      </c>
      <c r="K1249" t="s">
        <v>202</v>
      </c>
      <c r="L1249" t="s">
        <v>191</v>
      </c>
      <c r="M1249">
        <v>396692</v>
      </c>
      <c r="N1249" s="1">
        <v>45277</v>
      </c>
      <c r="O1249" t="s">
        <v>21</v>
      </c>
      <c r="P1249">
        <v>7</v>
      </c>
      <c r="Q1249">
        <v>47990.49</v>
      </c>
    </row>
    <row r="1250" spans="1:17" x14ac:dyDescent="0.3">
      <c r="A1250" t="s">
        <v>3199</v>
      </c>
      <c r="B1250" t="s">
        <v>231</v>
      </c>
      <c r="C1250" s="2" t="str">
        <f>PROPER(TRIM(Table1[[#This Row],[Gender]]))</f>
        <v>Male</v>
      </c>
      <c r="D1250" t="s">
        <v>16</v>
      </c>
      <c r="E1250">
        <v>32</v>
      </c>
      <c r="F1250" t="s">
        <v>31</v>
      </c>
      <c r="G1250" s="1">
        <v>33978</v>
      </c>
      <c r="H1250" t="s">
        <v>3200</v>
      </c>
      <c r="I1250" s="2" t="str">
        <f t="shared" si="19"/>
        <v>+91-7137825256</v>
      </c>
      <c r="J1250">
        <f>91-7137825347</f>
        <v>-7137825256</v>
      </c>
      <c r="K1250" t="s">
        <v>331</v>
      </c>
      <c r="L1250" t="s">
        <v>143</v>
      </c>
      <c r="M1250">
        <v>304104</v>
      </c>
      <c r="N1250" s="1">
        <v>45154</v>
      </c>
      <c r="O1250" t="s">
        <v>28</v>
      </c>
      <c r="P1250">
        <v>7</v>
      </c>
      <c r="Q1250">
        <v>149630.31</v>
      </c>
    </row>
    <row r="1251" spans="1:17" x14ac:dyDescent="0.3">
      <c r="A1251" t="s">
        <v>3201</v>
      </c>
      <c r="B1251" t="s">
        <v>734</v>
      </c>
      <c r="C1251" s="2" t="str">
        <f>PROPER(TRIM(Table1[[#This Row],[Gender]]))</f>
        <v>Female</v>
      </c>
      <c r="D1251" t="s">
        <v>43</v>
      </c>
      <c r="E1251">
        <v>27</v>
      </c>
      <c r="F1251" t="s">
        <v>31</v>
      </c>
      <c r="G1251" s="1">
        <v>35803</v>
      </c>
      <c r="H1251" t="s">
        <v>3202</v>
      </c>
      <c r="I1251" s="2" t="str">
        <f t="shared" si="19"/>
        <v>+91-7371781372</v>
      </c>
      <c r="J1251">
        <f>91-7371781463</f>
        <v>-7371781372</v>
      </c>
      <c r="K1251" t="s">
        <v>51</v>
      </c>
      <c r="L1251" t="s">
        <v>52</v>
      </c>
      <c r="M1251">
        <v>908742</v>
      </c>
      <c r="N1251" s="1">
        <v>45335</v>
      </c>
      <c r="O1251" t="s">
        <v>28</v>
      </c>
      <c r="P1251">
        <v>6</v>
      </c>
      <c r="Q1251">
        <v>203368.99</v>
      </c>
    </row>
    <row r="1252" spans="1:17" x14ac:dyDescent="0.3">
      <c r="A1252" t="s">
        <v>3203</v>
      </c>
      <c r="B1252" t="s">
        <v>478</v>
      </c>
      <c r="C1252" s="2" t="str">
        <f>PROPER(TRIM(Table1[[#This Row],[Gender]]))</f>
        <v>Male</v>
      </c>
      <c r="D1252" t="s">
        <v>16</v>
      </c>
      <c r="E1252">
        <v>22</v>
      </c>
      <c r="F1252" t="s">
        <v>49</v>
      </c>
      <c r="G1252" s="1">
        <v>37628</v>
      </c>
      <c r="H1252" t="s">
        <v>479</v>
      </c>
      <c r="I1252" s="2" t="str">
        <f t="shared" si="19"/>
        <v>+91-8003627630</v>
      </c>
      <c r="J1252">
        <f>91-8003627721</f>
        <v>-8003627630</v>
      </c>
      <c r="K1252" t="s">
        <v>415</v>
      </c>
      <c r="L1252" t="s">
        <v>90</v>
      </c>
      <c r="M1252">
        <v>915332</v>
      </c>
      <c r="N1252" s="1">
        <v>45160</v>
      </c>
      <c r="O1252" t="s">
        <v>28</v>
      </c>
      <c r="P1252">
        <v>10</v>
      </c>
      <c r="Q1252">
        <v>555849.44999999995</v>
      </c>
    </row>
    <row r="1253" spans="1:17" x14ac:dyDescent="0.3">
      <c r="A1253" t="s">
        <v>3204</v>
      </c>
      <c r="B1253" t="s">
        <v>2831</v>
      </c>
      <c r="C1253" s="2" t="str">
        <f>PROPER(TRIM(Table1[[#This Row],[Gender]]))</f>
        <v>Male</v>
      </c>
      <c r="D1253" t="s">
        <v>16</v>
      </c>
      <c r="E1253">
        <v>24</v>
      </c>
      <c r="F1253" t="s">
        <v>49</v>
      </c>
      <c r="G1253" s="1">
        <v>36898</v>
      </c>
      <c r="H1253" t="s">
        <v>3205</v>
      </c>
      <c r="I1253" s="2" t="str">
        <f t="shared" si="19"/>
        <v>+91-9891992065</v>
      </c>
      <c r="J1253">
        <f>91-9891992156</f>
        <v>-9891992065</v>
      </c>
      <c r="K1253" t="s">
        <v>331</v>
      </c>
      <c r="L1253" t="s">
        <v>143</v>
      </c>
      <c r="M1253">
        <v>123736</v>
      </c>
      <c r="N1253" s="1">
        <v>45413</v>
      </c>
      <c r="O1253" t="s">
        <v>28</v>
      </c>
      <c r="P1253">
        <v>7</v>
      </c>
      <c r="Q1253">
        <v>134993.19</v>
      </c>
    </row>
    <row r="1254" spans="1:17" x14ac:dyDescent="0.3">
      <c r="A1254" t="s">
        <v>3206</v>
      </c>
      <c r="B1254" t="s">
        <v>2989</v>
      </c>
      <c r="C1254" s="2" t="str">
        <f>PROPER(TRIM(Table1[[#This Row],[Gender]]))</f>
        <v>Female</v>
      </c>
      <c r="D1254" t="s">
        <v>43</v>
      </c>
      <c r="E1254">
        <v>35</v>
      </c>
      <c r="F1254" t="s">
        <v>31</v>
      </c>
      <c r="G1254" s="1">
        <v>32883</v>
      </c>
      <c r="H1254" t="s">
        <v>3207</v>
      </c>
      <c r="I1254" s="2" t="str">
        <f t="shared" si="19"/>
        <v>+91-9199608197</v>
      </c>
      <c r="J1254">
        <f>91-9199608288</f>
        <v>-9199608197</v>
      </c>
      <c r="K1254" t="s">
        <v>239</v>
      </c>
      <c r="L1254" t="s">
        <v>191</v>
      </c>
      <c r="M1254">
        <v>847962</v>
      </c>
      <c r="N1254" s="1">
        <v>45430</v>
      </c>
      <c r="O1254" t="s">
        <v>28</v>
      </c>
      <c r="P1254">
        <v>4</v>
      </c>
      <c r="Q1254">
        <v>148201.64000000001</v>
      </c>
    </row>
    <row r="1255" spans="1:17" x14ac:dyDescent="0.3">
      <c r="A1255" t="s">
        <v>3208</v>
      </c>
      <c r="B1255" t="s">
        <v>1980</v>
      </c>
      <c r="C1255" s="2" t="str">
        <f>PROPER(TRIM(Table1[[#This Row],[Gender]]))</f>
        <v>Male</v>
      </c>
      <c r="D1255" t="s">
        <v>16</v>
      </c>
      <c r="E1255">
        <v>43</v>
      </c>
      <c r="F1255" t="s">
        <v>38</v>
      </c>
      <c r="G1255" s="1">
        <v>29963</v>
      </c>
      <c r="H1255" t="s">
        <v>2382</v>
      </c>
      <c r="I1255" s="2" t="str">
        <f t="shared" si="19"/>
        <v>+91-9755365395</v>
      </c>
      <c r="J1255">
        <f>91-9755365486</f>
        <v>-9755365395</v>
      </c>
      <c r="K1255" t="s">
        <v>68</v>
      </c>
      <c r="L1255" t="s">
        <v>52</v>
      </c>
      <c r="M1255">
        <v>860682</v>
      </c>
      <c r="N1255" s="1">
        <v>45422</v>
      </c>
      <c r="O1255" t="s">
        <v>28</v>
      </c>
      <c r="P1255">
        <v>2</v>
      </c>
      <c r="Q1255">
        <v>109731.1</v>
      </c>
    </row>
    <row r="1256" spans="1:17" x14ac:dyDescent="0.3">
      <c r="A1256" t="s">
        <v>3209</v>
      </c>
      <c r="B1256" t="s">
        <v>1741</v>
      </c>
      <c r="C1256" s="2" t="str">
        <f>PROPER(TRIM(Table1[[#This Row],[Gender]]))</f>
        <v>Female</v>
      </c>
      <c r="D1256" t="s">
        <v>43</v>
      </c>
      <c r="E1256">
        <v>19</v>
      </c>
      <c r="F1256" t="s">
        <v>49</v>
      </c>
      <c r="G1256" s="1">
        <v>38723</v>
      </c>
      <c r="H1256" t="s">
        <v>3210</v>
      </c>
      <c r="I1256" s="2" t="str">
        <f t="shared" si="19"/>
        <v>+91-9784721874</v>
      </c>
      <c r="J1256">
        <f>91-9784721965</f>
        <v>-9784721874</v>
      </c>
      <c r="K1256" t="s">
        <v>138</v>
      </c>
      <c r="L1256" t="s">
        <v>90</v>
      </c>
      <c r="M1256">
        <v>560930</v>
      </c>
      <c r="N1256" s="1">
        <v>45348</v>
      </c>
      <c r="O1256" t="s">
        <v>28</v>
      </c>
      <c r="P1256">
        <v>10</v>
      </c>
      <c r="Q1256">
        <v>88550.37</v>
      </c>
    </row>
    <row r="1257" spans="1:17" x14ac:dyDescent="0.3">
      <c r="A1257" t="s">
        <v>3211</v>
      </c>
      <c r="B1257" t="s">
        <v>1046</v>
      </c>
      <c r="C1257" s="2" t="str">
        <f>PROPER(TRIM(Table1[[#This Row],[Gender]]))</f>
        <v>Female</v>
      </c>
      <c r="D1257" t="s">
        <v>43</v>
      </c>
      <c r="E1257">
        <v>50</v>
      </c>
      <c r="F1257" t="s">
        <v>17</v>
      </c>
      <c r="G1257" s="1">
        <v>27408</v>
      </c>
      <c r="H1257" t="s">
        <v>1047</v>
      </c>
      <c r="I1257" s="2" t="str">
        <f t="shared" si="19"/>
        <v>+91-7174957827</v>
      </c>
      <c r="J1257">
        <f>91-7174957918</f>
        <v>-7174957827</v>
      </c>
      <c r="K1257" t="s">
        <v>33</v>
      </c>
      <c r="L1257" t="s">
        <v>34</v>
      </c>
      <c r="M1257">
        <v>234592</v>
      </c>
      <c r="N1257" s="1">
        <v>45377</v>
      </c>
      <c r="O1257" t="s">
        <v>35</v>
      </c>
      <c r="P1257">
        <v>2</v>
      </c>
      <c r="Q1257">
        <v>5554.9</v>
      </c>
    </row>
    <row r="1258" spans="1:17" x14ac:dyDescent="0.3">
      <c r="A1258" t="s">
        <v>3212</v>
      </c>
      <c r="B1258" t="s">
        <v>1862</v>
      </c>
      <c r="C1258" s="2" t="str">
        <f>PROPER(TRIM(Table1[[#This Row],[Gender]]))</f>
        <v>Female</v>
      </c>
      <c r="D1258" t="s">
        <v>43</v>
      </c>
      <c r="E1258">
        <v>24</v>
      </c>
      <c r="F1258" t="s">
        <v>49</v>
      </c>
      <c r="G1258" s="1">
        <v>36898</v>
      </c>
      <c r="H1258" t="s">
        <v>3213</v>
      </c>
      <c r="I1258" s="2" t="str">
        <f t="shared" si="19"/>
        <v>+91-8554980940</v>
      </c>
      <c r="J1258">
        <f>91-8554981031</f>
        <v>-8554980940</v>
      </c>
      <c r="K1258" t="s">
        <v>138</v>
      </c>
      <c r="L1258" t="s">
        <v>90</v>
      </c>
      <c r="M1258">
        <v>607345</v>
      </c>
      <c r="N1258" s="1">
        <v>45220</v>
      </c>
      <c r="O1258" t="s">
        <v>28</v>
      </c>
      <c r="P1258">
        <v>4</v>
      </c>
      <c r="Q1258">
        <v>80094.36</v>
      </c>
    </row>
    <row r="1259" spans="1:17" x14ac:dyDescent="0.3">
      <c r="A1259" t="s">
        <v>3214</v>
      </c>
      <c r="B1259" t="s">
        <v>3215</v>
      </c>
      <c r="C1259" s="2" t="str">
        <f>PROPER(TRIM(Table1[[#This Row],[Gender]]))</f>
        <v>Male</v>
      </c>
      <c r="D1259" t="s">
        <v>16</v>
      </c>
      <c r="E1259">
        <v>39</v>
      </c>
      <c r="F1259" t="s">
        <v>38</v>
      </c>
      <c r="G1259" s="1">
        <v>31423</v>
      </c>
      <c r="H1259" t="s">
        <v>3216</v>
      </c>
      <c r="I1259" s="2" t="str">
        <f t="shared" si="19"/>
        <v>+91-9758440635</v>
      </c>
      <c r="J1259">
        <f>91-9758440726</f>
        <v>-9758440635</v>
      </c>
      <c r="K1259" t="s">
        <v>40</v>
      </c>
      <c r="L1259" t="s">
        <v>27</v>
      </c>
      <c r="M1259">
        <v>511449</v>
      </c>
      <c r="N1259" s="1">
        <v>45372</v>
      </c>
      <c r="O1259" t="s">
        <v>28</v>
      </c>
      <c r="P1259">
        <v>5</v>
      </c>
      <c r="Q1259">
        <v>178088.91</v>
      </c>
    </row>
    <row r="1260" spans="1:17" x14ac:dyDescent="0.3">
      <c r="A1260" t="s">
        <v>3217</v>
      </c>
      <c r="B1260" t="s">
        <v>746</v>
      </c>
      <c r="C1260" s="2" t="str">
        <f>PROPER(TRIM(Table1[[#This Row],[Gender]]))</f>
        <v>Male</v>
      </c>
      <c r="D1260" t="s">
        <v>16</v>
      </c>
      <c r="E1260">
        <v>33</v>
      </c>
      <c r="F1260" t="s">
        <v>31</v>
      </c>
      <c r="G1260" s="1">
        <v>33613</v>
      </c>
      <c r="H1260" t="s">
        <v>747</v>
      </c>
      <c r="I1260" s="2" t="str">
        <f t="shared" si="19"/>
        <v>+91-7610990648</v>
      </c>
      <c r="J1260">
        <f>91-7610990739</f>
        <v>-7610990648</v>
      </c>
      <c r="K1260" t="s">
        <v>174</v>
      </c>
      <c r="L1260" t="s">
        <v>90</v>
      </c>
      <c r="M1260">
        <v>437127</v>
      </c>
      <c r="N1260" s="1">
        <v>45198</v>
      </c>
      <c r="O1260" t="s">
        <v>21</v>
      </c>
      <c r="P1260">
        <v>4</v>
      </c>
      <c r="Q1260">
        <v>32905.99</v>
      </c>
    </row>
    <row r="1261" spans="1:17" x14ac:dyDescent="0.3">
      <c r="A1261" t="s">
        <v>3218</v>
      </c>
      <c r="B1261" t="s">
        <v>3219</v>
      </c>
      <c r="C1261" s="2" t="str">
        <f>PROPER(TRIM(Table1[[#This Row],[Gender]]))</f>
        <v>Male</v>
      </c>
      <c r="D1261" t="s">
        <v>16</v>
      </c>
      <c r="E1261">
        <v>18</v>
      </c>
      <c r="F1261" t="s">
        <v>49</v>
      </c>
      <c r="G1261" s="1">
        <v>39088</v>
      </c>
      <c r="H1261" t="s">
        <v>3220</v>
      </c>
      <c r="I1261" s="2" t="str">
        <f t="shared" si="19"/>
        <v>+91-7067057223</v>
      </c>
      <c r="J1261">
        <f>91-7067057314</f>
        <v>-7067057223</v>
      </c>
      <c r="K1261" t="s">
        <v>178</v>
      </c>
      <c r="L1261" t="s">
        <v>27</v>
      </c>
      <c r="M1261">
        <v>525886</v>
      </c>
      <c r="N1261" s="1">
        <v>45224</v>
      </c>
      <c r="O1261" t="s">
        <v>21</v>
      </c>
      <c r="P1261">
        <v>6</v>
      </c>
      <c r="Q1261">
        <v>20541.28</v>
      </c>
    </row>
    <row r="1262" spans="1:17" x14ac:dyDescent="0.3">
      <c r="A1262" t="s">
        <v>3221</v>
      </c>
      <c r="B1262" t="s">
        <v>1375</v>
      </c>
      <c r="C1262" s="2" t="str">
        <f>PROPER(TRIM(Table1[[#This Row],[Gender]]))</f>
        <v>Female</v>
      </c>
      <c r="D1262" t="s">
        <v>43</v>
      </c>
      <c r="E1262">
        <v>33</v>
      </c>
      <c r="F1262" t="s">
        <v>31</v>
      </c>
      <c r="G1262" s="1">
        <v>33613</v>
      </c>
      <c r="H1262" t="s">
        <v>3222</v>
      </c>
      <c r="I1262" s="2" t="str">
        <f t="shared" si="19"/>
        <v>+91-8785153492</v>
      </c>
      <c r="J1262">
        <f>91-8785153583</f>
        <v>-8785153492</v>
      </c>
      <c r="K1262" t="s">
        <v>51</v>
      </c>
      <c r="L1262" t="s">
        <v>52</v>
      </c>
      <c r="M1262">
        <v>264743</v>
      </c>
      <c r="N1262" s="1">
        <v>45232</v>
      </c>
      <c r="O1262" t="s">
        <v>28</v>
      </c>
      <c r="P1262">
        <v>8</v>
      </c>
      <c r="Q1262">
        <v>284597.03999999998</v>
      </c>
    </row>
    <row r="1263" spans="1:17" x14ac:dyDescent="0.3">
      <c r="A1263" t="s">
        <v>3223</v>
      </c>
      <c r="B1263" t="s">
        <v>172</v>
      </c>
      <c r="C1263" s="2" t="str">
        <f>PROPER(TRIM(Table1[[#This Row],[Gender]]))</f>
        <v>Male</v>
      </c>
      <c r="D1263" t="s">
        <v>16</v>
      </c>
      <c r="E1263">
        <v>21</v>
      </c>
      <c r="F1263" t="s">
        <v>49</v>
      </c>
      <c r="G1263" s="1">
        <v>37993</v>
      </c>
      <c r="H1263" t="s">
        <v>3224</v>
      </c>
      <c r="I1263" s="2" t="str">
        <f t="shared" si="19"/>
        <v>+91-7831923836</v>
      </c>
      <c r="J1263">
        <f>91-7831923927</f>
        <v>-7831923836</v>
      </c>
      <c r="K1263" t="s">
        <v>51</v>
      </c>
      <c r="L1263" t="s">
        <v>52</v>
      </c>
      <c r="M1263">
        <v>186169</v>
      </c>
      <c r="N1263" s="1">
        <v>45288</v>
      </c>
      <c r="O1263" t="s">
        <v>21</v>
      </c>
      <c r="P1263">
        <v>4</v>
      </c>
      <c r="Q1263">
        <v>33794.949999999997</v>
      </c>
    </row>
    <row r="1264" spans="1:17" x14ac:dyDescent="0.3">
      <c r="A1264" t="s">
        <v>3225</v>
      </c>
      <c r="B1264" t="s">
        <v>1411</v>
      </c>
      <c r="C1264" s="2" t="str">
        <f>PROPER(TRIM(Table1[[#This Row],[Gender]]))</f>
        <v>Male</v>
      </c>
      <c r="D1264" t="s">
        <v>16</v>
      </c>
      <c r="E1264">
        <v>27</v>
      </c>
      <c r="F1264" t="s">
        <v>31</v>
      </c>
      <c r="G1264" s="1">
        <v>35803</v>
      </c>
      <c r="H1264" t="s">
        <v>1459</v>
      </c>
      <c r="I1264" s="2" t="str">
        <f t="shared" si="19"/>
        <v>+91-8460234058</v>
      </c>
      <c r="J1264">
        <f>91-8460234149</f>
        <v>-8460234058</v>
      </c>
      <c r="K1264" t="s">
        <v>249</v>
      </c>
      <c r="L1264" t="s">
        <v>34</v>
      </c>
      <c r="M1264">
        <v>759517</v>
      </c>
      <c r="N1264" s="1">
        <v>45426</v>
      </c>
      <c r="O1264" t="s">
        <v>28</v>
      </c>
      <c r="P1264">
        <v>6</v>
      </c>
      <c r="Q1264">
        <v>160657.99</v>
      </c>
    </row>
    <row r="1265" spans="1:17" x14ac:dyDescent="0.3">
      <c r="A1265" t="s">
        <v>3226</v>
      </c>
      <c r="B1265" t="s">
        <v>3227</v>
      </c>
      <c r="C1265" s="2" t="str">
        <f>PROPER(TRIM(Table1[[#This Row],[Gender]]))</f>
        <v>Female</v>
      </c>
      <c r="D1265" t="s">
        <v>43</v>
      </c>
      <c r="E1265">
        <v>31</v>
      </c>
      <c r="F1265" t="s">
        <v>31</v>
      </c>
      <c r="G1265" s="1">
        <v>34343</v>
      </c>
      <c r="H1265" t="s">
        <v>3228</v>
      </c>
      <c r="I1265" s="2" t="str">
        <f t="shared" si="19"/>
        <v>+91-9127599057</v>
      </c>
      <c r="J1265">
        <f>91-9127599148</f>
        <v>-9127599057</v>
      </c>
      <c r="K1265" t="s">
        <v>249</v>
      </c>
      <c r="L1265" t="s">
        <v>34</v>
      </c>
      <c r="M1265">
        <v>567159</v>
      </c>
      <c r="N1265" s="1">
        <v>45329</v>
      </c>
      <c r="O1265" t="s">
        <v>28</v>
      </c>
      <c r="P1265">
        <v>6</v>
      </c>
      <c r="Q1265">
        <v>108097.27</v>
      </c>
    </row>
    <row r="1266" spans="1:17" x14ac:dyDescent="0.3">
      <c r="A1266" t="s">
        <v>3229</v>
      </c>
      <c r="B1266" t="s">
        <v>3230</v>
      </c>
      <c r="C1266" s="2" t="str">
        <f>PROPER(TRIM(Table1[[#This Row],[Gender]]))</f>
        <v>Male</v>
      </c>
      <c r="D1266" t="s">
        <v>16</v>
      </c>
      <c r="E1266">
        <v>26</v>
      </c>
      <c r="F1266" t="s">
        <v>31</v>
      </c>
      <c r="G1266" s="1">
        <v>36168</v>
      </c>
      <c r="H1266" t="s">
        <v>3231</v>
      </c>
      <c r="I1266" s="2" t="str">
        <f t="shared" si="19"/>
        <v>+91-7592600826</v>
      </c>
      <c r="J1266">
        <f>91-7592600917</f>
        <v>-7592600826</v>
      </c>
      <c r="K1266" t="s">
        <v>76</v>
      </c>
      <c r="L1266" t="s">
        <v>46</v>
      </c>
      <c r="M1266">
        <v>733214</v>
      </c>
      <c r="N1266" s="1">
        <v>45095</v>
      </c>
      <c r="O1266" t="s">
        <v>28</v>
      </c>
      <c r="P1266">
        <v>3</v>
      </c>
      <c r="Q1266">
        <v>117504.36</v>
      </c>
    </row>
    <row r="1267" spans="1:17" x14ac:dyDescent="0.3">
      <c r="A1267" t="s">
        <v>3232</v>
      </c>
      <c r="B1267" t="s">
        <v>3233</v>
      </c>
      <c r="C1267" s="2" t="str">
        <f>PROPER(TRIM(Table1[[#This Row],[Gender]]))</f>
        <v>Female</v>
      </c>
      <c r="D1267" t="s">
        <v>43</v>
      </c>
      <c r="E1267">
        <v>32</v>
      </c>
      <c r="F1267" t="s">
        <v>31</v>
      </c>
      <c r="G1267" s="1">
        <v>33978</v>
      </c>
      <c r="H1267" t="s">
        <v>3234</v>
      </c>
      <c r="I1267" s="2" t="str">
        <f t="shared" si="19"/>
        <v>+91-9834422590</v>
      </c>
      <c r="J1267">
        <f>91-9834422681</f>
        <v>-9834422590</v>
      </c>
      <c r="K1267" t="s">
        <v>68</v>
      </c>
      <c r="L1267" t="s">
        <v>52</v>
      </c>
      <c r="M1267">
        <v>586995</v>
      </c>
      <c r="N1267" s="1">
        <v>45130</v>
      </c>
      <c r="O1267" t="s">
        <v>28</v>
      </c>
      <c r="P1267">
        <v>4</v>
      </c>
      <c r="Q1267">
        <v>147243.95000000001</v>
      </c>
    </row>
    <row r="1268" spans="1:17" x14ac:dyDescent="0.3">
      <c r="A1268" t="s">
        <v>3235</v>
      </c>
      <c r="B1268" t="s">
        <v>364</v>
      </c>
      <c r="C1268" s="2" t="str">
        <f>PROPER(TRIM(Table1[[#This Row],[Gender]]))</f>
        <v>Female</v>
      </c>
      <c r="D1268" t="s">
        <v>43</v>
      </c>
      <c r="E1268">
        <v>27</v>
      </c>
      <c r="F1268" t="s">
        <v>31</v>
      </c>
      <c r="G1268" s="1">
        <v>35803</v>
      </c>
      <c r="H1268" t="s">
        <v>3236</v>
      </c>
      <c r="I1268" s="2" t="str">
        <f t="shared" si="19"/>
        <v>+91-8169624606</v>
      </c>
      <c r="J1268">
        <f>91-8169624697</f>
        <v>-8169624606</v>
      </c>
      <c r="K1268" t="s">
        <v>84</v>
      </c>
      <c r="L1268" t="s">
        <v>85</v>
      </c>
      <c r="M1268">
        <v>110614</v>
      </c>
      <c r="N1268" s="1">
        <v>45265</v>
      </c>
      <c r="O1268" t="s">
        <v>21</v>
      </c>
      <c r="P1268">
        <v>4</v>
      </c>
      <c r="Q1268">
        <v>36197.760000000002</v>
      </c>
    </row>
    <row r="1269" spans="1:17" x14ac:dyDescent="0.3">
      <c r="A1269" t="s">
        <v>3237</v>
      </c>
      <c r="B1269" t="s">
        <v>3238</v>
      </c>
      <c r="C1269" s="2" t="str">
        <f>PROPER(TRIM(Table1[[#This Row],[Gender]]))</f>
        <v>Male</v>
      </c>
      <c r="D1269" t="s">
        <v>16</v>
      </c>
      <c r="E1269">
        <v>44</v>
      </c>
      <c r="F1269" t="s">
        <v>38</v>
      </c>
      <c r="G1269" s="1">
        <v>29598</v>
      </c>
      <c r="H1269" t="s">
        <v>3239</v>
      </c>
      <c r="I1269" s="2" t="str">
        <f t="shared" si="19"/>
        <v>+91-8062988935</v>
      </c>
      <c r="J1269">
        <f>91-8062989026</f>
        <v>-8062988935</v>
      </c>
      <c r="K1269" t="s">
        <v>415</v>
      </c>
      <c r="L1269" t="s">
        <v>90</v>
      </c>
      <c r="M1269">
        <v>708362</v>
      </c>
      <c r="N1269" s="1">
        <v>45275</v>
      </c>
      <c r="O1269" t="s">
        <v>28</v>
      </c>
      <c r="P1269">
        <v>5</v>
      </c>
      <c r="Q1269">
        <v>271643.23</v>
      </c>
    </row>
    <row r="1270" spans="1:17" x14ac:dyDescent="0.3">
      <c r="A1270" t="s">
        <v>3240</v>
      </c>
      <c r="B1270" t="s">
        <v>425</v>
      </c>
      <c r="C1270" s="2" t="str">
        <f>PROPER(TRIM(Table1[[#This Row],[Gender]]))</f>
        <v>Male</v>
      </c>
      <c r="D1270" t="s">
        <v>16</v>
      </c>
      <c r="E1270">
        <v>48</v>
      </c>
      <c r="F1270" t="s">
        <v>17</v>
      </c>
      <c r="G1270" s="1">
        <v>28138</v>
      </c>
      <c r="H1270" t="s">
        <v>3241</v>
      </c>
      <c r="I1270" s="2" t="str">
        <f t="shared" si="19"/>
        <v>+91-8261103174</v>
      </c>
      <c r="J1270">
        <f>91-8261103265</f>
        <v>-8261103174</v>
      </c>
      <c r="K1270" t="s">
        <v>249</v>
      </c>
      <c r="L1270" t="s">
        <v>34</v>
      </c>
      <c r="M1270">
        <v>164536</v>
      </c>
      <c r="N1270" s="1">
        <v>45220</v>
      </c>
      <c r="O1270" t="s">
        <v>28</v>
      </c>
      <c r="P1270">
        <v>6</v>
      </c>
      <c r="Q1270">
        <v>58633.07</v>
      </c>
    </row>
    <row r="1271" spans="1:17" x14ac:dyDescent="0.3">
      <c r="A1271" t="s">
        <v>3242</v>
      </c>
      <c r="B1271" t="s">
        <v>911</v>
      </c>
      <c r="C1271" s="2" t="str">
        <f>PROPER(TRIM(Table1[[#This Row],[Gender]]))</f>
        <v>Male</v>
      </c>
      <c r="D1271" t="s">
        <v>16</v>
      </c>
      <c r="E1271">
        <v>26</v>
      </c>
      <c r="F1271" t="s">
        <v>31</v>
      </c>
      <c r="G1271" s="1">
        <v>36168</v>
      </c>
      <c r="H1271" t="s">
        <v>3243</v>
      </c>
      <c r="I1271" s="2" t="str">
        <f t="shared" si="19"/>
        <v>+91-8154779665</v>
      </c>
      <c r="J1271">
        <f>91-8154779756</f>
        <v>-8154779665</v>
      </c>
      <c r="K1271" t="s">
        <v>121</v>
      </c>
      <c r="L1271" t="s">
        <v>85</v>
      </c>
      <c r="M1271">
        <v>351082</v>
      </c>
      <c r="N1271" s="1">
        <v>45106</v>
      </c>
      <c r="O1271" t="s">
        <v>28</v>
      </c>
      <c r="P1271">
        <v>7</v>
      </c>
      <c r="Q1271">
        <v>72366.41</v>
      </c>
    </row>
    <row r="1272" spans="1:17" x14ac:dyDescent="0.3">
      <c r="A1272" t="s">
        <v>3244</v>
      </c>
      <c r="B1272" t="s">
        <v>614</v>
      </c>
      <c r="C1272" s="2" t="str">
        <f>PROPER(TRIM(Table1[[#This Row],[Gender]]))</f>
        <v>Male</v>
      </c>
      <c r="D1272" t="s">
        <v>16</v>
      </c>
      <c r="E1272">
        <v>35</v>
      </c>
      <c r="F1272" t="s">
        <v>31</v>
      </c>
      <c r="G1272" s="1">
        <v>32883</v>
      </c>
      <c r="H1272" t="s">
        <v>3245</v>
      </c>
      <c r="I1272" s="2" t="str">
        <f t="shared" si="19"/>
        <v>+91-7135041838</v>
      </c>
      <c r="J1272">
        <f>91-7135041929</f>
        <v>-7135041838</v>
      </c>
      <c r="K1272" t="s">
        <v>331</v>
      </c>
      <c r="L1272" t="s">
        <v>143</v>
      </c>
      <c r="M1272">
        <v>115172</v>
      </c>
      <c r="N1272" s="1">
        <v>45321</v>
      </c>
      <c r="O1272" t="s">
        <v>28</v>
      </c>
      <c r="P1272">
        <v>8</v>
      </c>
      <c r="Q1272">
        <v>329267.46999999997</v>
      </c>
    </row>
    <row r="1273" spans="1:17" x14ac:dyDescent="0.3">
      <c r="A1273" t="s">
        <v>3246</v>
      </c>
      <c r="B1273" t="s">
        <v>1211</v>
      </c>
      <c r="C1273" s="2" t="str">
        <f>PROPER(TRIM(Table1[[#This Row],[Gender]]))</f>
        <v>Female</v>
      </c>
      <c r="D1273" t="s">
        <v>43</v>
      </c>
      <c r="E1273">
        <v>56</v>
      </c>
      <c r="F1273" t="s">
        <v>58</v>
      </c>
      <c r="G1273" s="1">
        <v>25218</v>
      </c>
      <c r="H1273" t="s">
        <v>3247</v>
      </c>
      <c r="I1273" s="2" t="str">
        <f t="shared" si="19"/>
        <v>+91-8086494869</v>
      </c>
      <c r="J1273">
        <f>91-8086494960</f>
        <v>-8086494869</v>
      </c>
      <c r="K1273" t="s">
        <v>45</v>
      </c>
      <c r="L1273" t="s">
        <v>46</v>
      </c>
      <c r="M1273">
        <v>230671</v>
      </c>
      <c r="N1273" s="1">
        <v>45368</v>
      </c>
      <c r="O1273" t="s">
        <v>28</v>
      </c>
      <c r="P1273">
        <v>5</v>
      </c>
      <c r="Q1273">
        <v>74412.33</v>
      </c>
    </row>
    <row r="1274" spans="1:17" x14ac:dyDescent="0.3">
      <c r="A1274" t="s">
        <v>3248</v>
      </c>
      <c r="B1274" t="s">
        <v>1548</v>
      </c>
      <c r="C1274" s="2" t="str">
        <f>PROPER(TRIM(Table1[[#This Row],[Gender]]))</f>
        <v>Male</v>
      </c>
      <c r="D1274" t="s">
        <v>16</v>
      </c>
      <c r="E1274">
        <v>20</v>
      </c>
      <c r="F1274" t="s">
        <v>49</v>
      </c>
      <c r="G1274" s="1">
        <v>38358</v>
      </c>
      <c r="H1274" t="s">
        <v>3249</v>
      </c>
      <c r="I1274" s="2" t="str">
        <f t="shared" si="19"/>
        <v>+91-9306272303</v>
      </c>
      <c r="J1274">
        <f>91-9306272394</f>
        <v>-9306272303</v>
      </c>
      <c r="K1274" t="s">
        <v>165</v>
      </c>
      <c r="L1274" t="s">
        <v>52</v>
      </c>
      <c r="M1274">
        <v>858084</v>
      </c>
      <c r="N1274" s="1">
        <v>45236</v>
      </c>
      <c r="O1274" t="s">
        <v>28</v>
      </c>
      <c r="P1274">
        <v>1</v>
      </c>
      <c r="Q1274">
        <v>53209.1</v>
      </c>
    </row>
    <row r="1275" spans="1:17" x14ac:dyDescent="0.3">
      <c r="A1275" t="s">
        <v>3250</v>
      </c>
      <c r="B1275" t="s">
        <v>814</v>
      </c>
      <c r="C1275" s="2" t="str">
        <f>PROPER(TRIM(Table1[[#This Row],[Gender]]))</f>
        <v>Male</v>
      </c>
      <c r="D1275" t="s">
        <v>16</v>
      </c>
      <c r="E1275">
        <v>30</v>
      </c>
      <c r="F1275" t="s">
        <v>31</v>
      </c>
      <c r="G1275" s="1">
        <v>34708</v>
      </c>
      <c r="H1275" t="s">
        <v>3251</v>
      </c>
      <c r="I1275" s="2" t="str">
        <f t="shared" si="19"/>
        <v>+91-9416109599</v>
      </c>
      <c r="J1275">
        <f>91-9416109690</f>
        <v>-9416109599</v>
      </c>
      <c r="K1275" t="s">
        <v>147</v>
      </c>
      <c r="L1275" t="s">
        <v>143</v>
      </c>
      <c r="M1275">
        <v>187986</v>
      </c>
      <c r="N1275" s="1">
        <v>45108</v>
      </c>
      <c r="O1275" t="s">
        <v>28</v>
      </c>
      <c r="P1275">
        <v>10</v>
      </c>
      <c r="Q1275">
        <v>364603.88</v>
      </c>
    </row>
    <row r="1276" spans="1:17" x14ac:dyDescent="0.3">
      <c r="A1276" t="s">
        <v>3252</v>
      </c>
      <c r="B1276" t="s">
        <v>584</v>
      </c>
      <c r="C1276" s="2" t="str">
        <f>PROPER(TRIM(Table1[[#This Row],[Gender]]))</f>
        <v>Male</v>
      </c>
      <c r="D1276" t="s">
        <v>16</v>
      </c>
      <c r="E1276">
        <v>20</v>
      </c>
      <c r="F1276" t="s">
        <v>49</v>
      </c>
      <c r="G1276" s="1">
        <v>38358</v>
      </c>
      <c r="H1276" t="s">
        <v>3253</v>
      </c>
      <c r="I1276" s="2" t="str">
        <f t="shared" si="19"/>
        <v>+91-7128640522</v>
      </c>
      <c r="J1276">
        <f>91-7128640613</f>
        <v>-7128640522</v>
      </c>
      <c r="K1276" t="s">
        <v>26</v>
      </c>
      <c r="L1276" t="s">
        <v>27</v>
      </c>
      <c r="M1276">
        <v>411552</v>
      </c>
      <c r="N1276" s="1">
        <v>45382</v>
      </c>
      <c r="O1276" t="s">
        <v>21</v>
      </c>
      <c r="P1276">
        <v>3</v>
      </c>
      <c r="Q1276">
        <v>34997.67</v>
      </c>
    </row>
    <row r="1277" spans="1:17" x14ac:dyDescent="0.3">
      <c r="A1277" t="s">
        <v>3254</v>
      </c>
      <c r="B1277" t="s">
        <v>3255</v>
      </c>
      <c r="C1277" s="2" t="str">
        <f>PROPER(TRIM(Table1[[#This Row],[Gender]]))</f>
        <v>Female</v>
      </c>
      <c r="D1277" t="s">
        <v>43</v>
      </c>
      <c r="E1277">
        <v>43</v>
      </c>
      <c r="F1277" t="s">
        <v>38</v>
      </c>
      <c r="G1277" s="1">
        <v>29963</v>
      </c>
      <c r="H1277" t="s">
        <v>3256</v>
      </c>
      <c r="I1277" s="2" t="str">
        <f t="shared" si="19"/>
        <v>+91-7765885910</v>
      </c>
      <c r="J1277">
        <f>91-7765886001</f>
        <v>-7765885910</v>
      </c>
      <c r="K1277" t="s">
        <v>80</v>
      </c>
      <c r="L1277" t="s">
        <v>20</v>
      </c>
      <c r="M1277">
        <v>920844</v>
      </c>
      <c r="N1277" s="1">
        <v>45271</v>
      </c>
      <c r="O1277" t="s">
        <v>28</v>
      </c>
      <c r="P1277">
        <v>4</v>
      </c>
      <c r="Q1277">
        <v>276768.06</v>
      </c>
    </row>
    <row r="1278" spans="1:17" x14ac:dyDescent="0.3">
      <c r="A1278" t="s">
        <v>3257</v>
      </c>
      <c r="B1278" t="s">
        <v>1811</v>
      </c>
      <c r="C1278" s="2" t="str">
        <f>PROPER(TRIM(Table1[[#This Row],[Gender]]))</f>
        <v>Female</v>
      </c>
      <c r="D1278" t="s">
        <v>43</v>
      </c>
      <c r="E1278">
        <v>25</v>
      </c>
      <c r="F1278" t="s">
        <v>49</v>
      </c>
      <c r="G1278" s="1">
        <v>36533</v>
      </c>
      <c r="H1278" t="s">
        <v>3258</v>
      </c>
      <c r="I1278" s="2" t="str">
        <f t="shared" si="19"/>
        <v>+91-7382877748</v>
      </c>
      <c r="J1278">
        <f>91-7382877839</f>
        <v>-7382877748</v>
      </c>
      <c r="K1278" t="s">
        <v>68</v>
      </c>
      <c r="L1278" t="s">
        <v>52</v>
      </c>
      <c r="M1278">
        <v>226887</v>
      </c>
      <c r="N1278" s="1">
        <v>45279</v>
      </c>
      <c r="O1278" t="s">
        <v>35</v>
      </c>
      <c r="P1278">
        <v>4</v>
      </c>
      <c r="Q1278">
        <v>4521.33</v>
      </c>
    </row>
    <row r="1279" spans="1:17" x14ac:dyDescent="0.3">
      <c r="A1279" t="s">
        <v>3259</v>
      </c>
      <c r="B1279" t="s">
        <v>3260</v>
      </c>
      <c r="C1279" s="2" t="str">
        <f>PROPER(TRIM(Table1[[#This Row],[Gender]]))</f>
        <v>Male</v>
      </c>
      <c r="D1279" t="s">
        <v>16</v>
      </c>
      <c r="E1279">
        <v>25</v>
      </c>
      <c r="F1279" t="s">
        <v>49</v>
      </c>
      <c r="G1279" s="1">
        <v>36533</v>
      </c>
      <c r="H1279" t="s">
        <v>3261</v>
      </c>
      <c r="I1279" s="2" t="str">
        <f t="shared" si="19"/>
        <v>+91-8933459186</v>
      </c>
      <c r="J1279">
        <f>91-8933459277</f>
        <v>-8933459186</v>
      </c>
      <c r="K1279" t="s">
        <v>76</v>
      </c>
      <c r="L1279" t="s">
        <v>46</v>
      </c>
      <c r="M1279">
        <v>168910</v>
      </c>
      <c r="N1279" s="1">
        <v>45363</v>
      </c>
      <c r="O1279" t="s">
        <v>28</v>
      </c>
      <c r="P1279">
        <v>5</v>
      </c>
      <c r="Q1279">
        <v>567602.23</v>
      </c>
    </row>
    <row r="1280" spans="1:17" x14ac:dyDescent="0.3">
      <c r="A1280" t="s">
        <v>3262</v>
      </c>
      <c r="B1280" t="s">
        <v>1986</v>
      </c>
      <c r="C1280" s="2" t="str">
        <f>PROPER(TRIM(Table1[[#This Row],[Gender]]))</f>
        <v>Male</v>
      </c>
      <c r="D1280" t="s">
        <v>16</v>
      </c>
      <c r="E1280">
        <v>44</v>
      </c>
      <c r="F1280" t="s">
        <v>38</v>
      </c>
      <c r="G1280" s="1">
        <v>29598</v>
      </c>
      <c r="H1280" t="s">
        <v>3263</v>
      </c>
      <c r="I1280" s="2" t="str">
        <f t="shared" si="19"/>
        <v>+91-8912383887</v>
      </c>
      <c r="J1280">
        <f>91-8912383978</f>
        <v>-8912383887</v>
      </c>
      <c r="K1280" t="s">
        <v>121</v>
      </c>
      <c r="L1280" t="s">
        <v>85</v>
      </c>
      <c r="M1280">
        <v>619742</v>
      </c>
      <c r="N1280" s="1">
        <v>45092</v>
      </c>
      <c r="O1280" t="s">
        <v>28</v>
      </c>
      <c r="P1280">
        <v>5</v>
      </c>
      <c r="Q1280">
        <v>267390.90999999997</v>
      </c>
    </row>
    <row r="1281" spans="1:17" x14ac:dyDescent="0.3">
      <c r="A1281" t="s">
        <v>3264</v>
      </c>
      <c r="B1281" t="s">
        <v>315</v>
      </c>
      <c r="C1281" s="2" t="str">
        <f>PROPER(TRIM(Table1[[#This Row],[Gender]]))</f>
        <v>Female</v>
      </c>
      <c r="D1281" t="s">
        <v>43</v>
      </c>
      <c r="E1281">
        <v>37</v>
      </c>
      <c r="F1281" t="s">
        <v>38</v>
      </c>
      <c r="G1281" s="1">
        <v>32153</v>
      </c>
      <c r="H1281" t="s">
        <v>3265</v>
      </c>
      <c r="I1281" s="2" t="str">
        <f t="shared" si="19"/>
        <v>+91-7757039572</v>
      </c>
      <c r="J1281">
        <f>91-7757039663</f>
        <v>-7757039572</v>
      </c>
      <c r="K1281" t="s">
        <v>239</v>
      </c>
      <c r="L1281" t="s">
        <v>191</v>
      </c>
      <c r="M1281">
        <v>668822</v>
      </c>
      <c r="N1281" s="1">
        <v>45124</v>
      </c>
      <c r="O1281" t="s">
        <v>28</v>
      </c>
      <c r="P1281">
        <v>4</v>
      </c>
      <c r="Q1281">
        <v>181554.68</v>
      </c>
    </row>
    <row r="1282" spans="1:17" x14ac:dyDescent="0.3">
      <c r="A1282" t="s">
        <v>3266</v>
      </c>
      <c r="B1282" t="s">
        <v>3267</v>
      </c>
      <c r="C1282" s="2" t="str">
        <f>PROPER(TRIM(Table1[[#This Row],[Gender]]))</f>
        <v>Male</v>
      </c>
      <c r="D1282" t="s">
        <v>16</v>
      </c>
      <c r="E1282">
        <v>47</v>
      </c>
      <c r="F1282" t="s">
        <v>17</v>
      </c>
      <c r="G1282" s="1">
        <v>28503</v>
      </c>
      <c r="H1282" t="s">
        <v>3268</v>
      </c>
      <c r="I1282" s="2" t="str">
        <f t="shared" ref="I1282:I1345" si="20">"+91"&amp;TEXT(J1282,"0000000000")</f>
        <v>+91-7256377308</v>
      </c>
      <c r="J1282">
        <f>91-7256377399</f>
        <v>-7256377308</v>
      </c>
      <c r="K1282" t="s">
        <v>147</v>
      </c>
      <c r="L1282" t="s">
        <v>143</v>
      </c>
      <c r="M1282">
        <v>711098</v>
      </c>
      <c r="N1282" s="1">
        <v>45406</v>
      </c>
      <c r="O1282" t="s">
        <v>21</v>
      </c>
      <c r="P1282">
        <v>3</v>
      </c>
      <c r="Q1282">
        <v>35590.720000000001</v>
      </c>
    </row>
    <row r="1283" spans="1:17" x14ac:dyDescent="0.3">
      <c r="A1283" t="s">
        <v>3269</v>
      </c>
      <c r="B1283" t="s">
        <v>1362</v>
      </c>
      <c r="C1283" s="2" t="str">
        <f>PROPER(TRIM(Table1[[#This Row],[Gender]]))</f>
        <v>Female</v>
      </c>
      <c r="D1283" t="s">
        <v>43</v>
      </c>
      <c r="E1283">
        <v>33</v>
      </c>
      <c r="F1283" t="s">
        <v>31</v>
      </c>
      <c r="G1283" s="1">
        <v>33613</v>
      </c>
      <c r="H1283" t="s">
        <v>3270</v>
      </c>
      <c r="I1283" s="2" t="str">
        <f t="shared" si="20"/>
        <v>+91-8963753199</v>
      </c>
      <c r="J1283">
        <f>91-8963753290</f>
        <v>-8963753199</v>
      </c>
      <c r="K1283" t="s">
        <v>369</v>
      </c>
      <c r="L1283" t="s">
        <v>191</v>
      </c>
      <c r="M1283">
        <v>461819</v>
      </c>
      <c r="N1283" s="1">
        <v>45121</v>
      </c>
      <c r="O1283" t="s">
        <v>28</v>
      </c>
      <c r="P1283">
        <v>4</v>
      </c>
      <c r="Q1283">
        <v>116451.85</v>
      </c>
    </row>
    <row r="1284" spans="1:17" x14ac:dyDescent="0.3">
      <c r="A1284" t="s">
        <v>3271</v>
      </c>
      <c r="B1284" t="s">
        <v>1564</v>
      </c>
      <c r="C1284" s="2" t="str">
        <f>PROPER(TRIM(Table1[[#This Row],[Gender]]))</f>
        <v>Female</v>
      </c>
      <c r="D1284" t="s">
        <v>43</v>
      </c>
      <c r="E1284">
        <v>29</v>
      </c>
      <c r="F1284" t="s">
        <v>31</v>
      </c>
      <c r="G1284" s="1">
        <v>35073</v>
      </c>
      <c r="H1284" t="s">
        <v>3272</v>
      </c>
      <c r="I1284" s="2" t="str">
        <f t="shared" si="20"/>
        <v>+91-8212694568</v>
      </c>
      <c r="J1284">
        <f>91-8212694659</f>
        <v>-8212694568</v>
      </c>
      <c r="K1284" t="s">
        <v>174</v>
      </c>
      <c r="L1284" t="s">
        <v>90</v>
      </c>
      <c r="M1284">
        <v>174238</v>
      </c>
      <c r="N1284" s="1">
        <v>45425</v>
      </c>
      <c r="O1284" t="s">
        <v>28</v>
      </c>
      <c r="P1284">
        <v>5</v>
      </c>
      <c r="Q1284">
        <v>64920.49</v>
      </c>
    </row>
    <row r="1285" spans="1:17" x14ac:dyDescent="0.3">
      <c r="A1285" t="s">
        <v>3273</v>
      </c>
      <c r="B1285" t="s">
        <v>848</v>
      </c>
      <c r="C1285" s="2" t="str">
        <f>PROPER(TRIM(Table1[[#This Row],[Gender]]))</f>
        <v>Female</v>
      </c>
      <c r="D1285" t="s">
        <v>43</v>
      </c>
      <c r="E1285">
        <v>43</v>
      </c>
      <c r="F1285" t="s">
        <v>38</v>
      </c>
      <c r="G1285" s="1">
        <v>29963</v>
      </c>
      <c r="H1285" t="s">
        <v>3274</v>
      </c>
      <c r="I1285" s="2" t="str">
        <f t="shared" si="20"/>
        <v>+91-8286690659</v>
      </c>
      <c r="J1285">
        <f>91-8286690750</f>
        <v>-8286690659</v>
      </c>
      <c r="K1285" t="s">
        <v>125</v>
      </c>
      <c r="L1285" t="s">
        <v>52</v>
      </c>
      <c r="M1285">
        <v>784764</v>
      </c>
      <c r="N1285" s="1">
        <v>45408</v>
      </c>
      <c r="O1285" t="s">
        <v>28</v>
      </c>
      <c r="P1285">
        <v>9</v>
      </c>
      <c r="Q1285">
        <v>170313.44</v>
      </c>
    </row>
    <row r="1286" spans="1:17" x14ac:dyDescent="0.3">
      <c r="A1286" t="s">
        <v>3275</v>
      </c>
      <c r="B1286" t="s">
        <v>3276</v>
      </c>
      <c r="C1286" s="2" t="str">
        <f>PROPER(TRIM(Table1[[#This Row],[Gender]]))</f>
        <v>Male</v>
      </c>
      <c r="D1286" t="s">
        <v>16</v>
      </c>
      <c r="E1286">
        <v>27</v>
      </c>
      <c r="F1286" t="s">
        <v>31</v>
      </c>
      <c r="G1286" s="1">
        <v>35803</v>
      </c>
      <c r="H1286" t="s">
        <v>3277</v>
      </c>
      <c r="I1286" s="2" t="str">
        <f t="shared" si="20"/>
        <v>+91-9072263664</v>
      </c>
      <c r="J1286">
        <f>91-9072263755</f>
        <v>-9072263664</v>
      </c>
      <c r="K1286" t="s">
        <v>165</v>
      </c>
      <c r="L1286" t="s">
        <v>52</v>
      </c>
      <c r="M1286">
        <v>834432</v>
      </c>
      <c r="N1286" s="1">
        <v>45161</v>
      </c>
      <c r="O1286" t="s">
        <v>28</v>
      </c>
      <c r="P1286">
        <v>5</v>
      </c>
      <c r="Q1286">
        <v>201048.94</v>
      </c>
    </row>
    <row r="1287" spans="1:17" x14ac:dyDescent="0.3">
      <c r="A1287" t="s">
        <v>3278</v>
      </c>
      <c r="B1287" t="s">
        <v>3279</v>
      </c>
      <c r="C1287" s="2" t="str">
        <f>PROPER(TRIM(Table1[[#This Row],[Gender]]))</f>
        <v>Male</v>
      </c>
      <c r="D1287" t="s">
        <v>16</v>
      </c>
      <c r="E1287">
        <v>28</v>
      </c>
      <c r="F1287" t="s">
        <v>31</v>
      </c>
      <c r="G1287" s="1">
        <v>35438</v>
      </c>
      <c r="H1287" t="s">
        <v>3280</v>
      </c>
      <c r="I1287" s="2" t="str">
        <f t="shared" si="20"/>
        <v>+91-7560380800</v>
      </c>
      <c r="J1287">
        <f>91-7560380891</f>
        <v>-7560380800</v>
      </c>
      <c r="K1287" t="s">
        <v>40</v>
      </c>
      <c r="L1287" t="s">
        <v>27</v>
      </c>
      <c r="M1287">
        <v>942862</v>
      </c>
      <c r="N1287" s="1">
        <v>45349</v>
      </c>
      <c r="O1287" t="s">
        <v>28</v>
      </c>
      <c r="P1287">
        <v>5</v>
      </c>
      <c r="Q1287">
        <v>77755.38</v>
      </c>
    </row>
    <row r="1288" spans="1:17" x14ac:dyDescent="0.3">
      <c r="A1288" t="s">
        <v>3281</v>
      </c>
      <c r="B1288" t="s">
        <v>2021</v>
      </c>
      <c r="C1288" s="2" t="str">
        <f>PROPER(TRIM(Table1[[#This Row],[Gender]]))</f>
        <v>Male</v>
      </c>
      <c r="D1288" t="s">
        <v>16</v>
      </c>
      <c r="E1288">
        <v>21</v>
      </c>
      <c r="F1288" t="s">
        <v>49</v>
      </c>
      <c r="G1288" s="1">
        <v>37993</v>
      </c>
      <c r="H1288" t="s">
        <v>3282</v>
      </c>
      <c r="I1288" s="2" t="str">
        <f t="shared" si="20"/>
        <v>+91-9817091946</v>
      </c>
      <c r="J1288">
        <f>91-9817092037</f>
        <v>-9817091946</v>
      </c>
      <c r="K1288" t="s">
        <v>190</v>
      </c>
      <c r="L1288" t="s">
        <v>191</v>
      </c>
      <c r="M1288">
        <v>620396</v>
      </c>
      <c r="N1288" s="1">
        <v>45084</v>
      </c>
      <c r="O1288" t="s">
        <v>21</v>
      </c>
      <c r="P1288">
        <v>3</v>
      </c>
      <c r="Q1288">
        <v>43937.25</v>
      </c>
    </row>
    <row r="1289" spans="1:17" x14ac:dyDescent="0.3">
      <c r="A1289" t="s">
        <v>3283</v>
      </c>
      <c r="B1289" t="s">
        <v>2150</v>
      </c>
      <c r="C1289" s="2" t="str">
        <f>PROPER(TRIM(Table1[[#This Row],[Gender]]))</f>
        <v>Female</v>
      </c>
      <c r="D1289" t="s">
        <v>43</v>
      </c>
      <c r="E1289">
        <v>44</v>
      </c>
      <c r="F1289" t="s">
        <v>38</v>
      </c>
      <c r="G1289" s="1">
        <v>29598</v>
      </c>
      <c r="H1289" t="s">
        <v>3284</v>
      </c>
      <c r="I1289" s="2" t="str">
        <f t="shared" si="20"/>
        <v>+91-7601150194</v>
      </c>
      <c r="J1289">
        <f>91-7601150285</f>
        <v>-7601150194</v>
      </c>
      <c r="K1289" t="s">
        <v>68</v>
      </c>
      <c r="L1289" t="s">
        <v>52</v>
      </c>
      <c r="M1289">
        <v>543564</v>
      </c>
      <c r="N1289" s="1">
        <v>45349</v>
      </c>
      <c r="O1289" t="s">
        <v>28</v>
      </c>
      <c r="P1289">
        <v>4</v>
      </c>
      <c r="Q1289">
        <v>89204.2</v>
      </c>
    </row>
    <row r="1290" spans="1:17" x14ac:dyDescent="0.3">
      <c r="A1290" t="s">
        <v>3285</v>
      </c>
      <c r="B1290" t="s">
        <v>149</v>
      </c>
      <c r="C1290" s="2" t="str">
        <f>PROPER(TRIM(Table1[[#This Row],[Gender]]))</f>
        <v>Male</v>
      </c>
      <c r="D1290" t="s">
        <v>16</v>
      </c>
      <c r="E1290">
        <v>49</v>
      </c>
      <c r="F1290" t="s">
        <v>17</v>
      </c>
      <c r="G1290" s="1">
        <v>27773</v>
      </c>
      <c r="H1290" t="s">
        <v>3286</v>
      </c>
      <c r="I1290" s="2" t="str">
        <f t="shared" si="20"/>
        <v>+91-9035660200</v>
      </c>
      <c r="J1290">
        <f>91-9035660291</f>
        <v>-9035660200</v>
      </c>
      <c r="K1290" t="s">
        <v>415</v>
      </c>
      <c r="L1290" t="s">
        <v>90</v>
      </c>
      <c r="M1290">
        <v>691818</v>
      </c>
      <c r="N1290" s="1">
        <v>45142</v>
      </c>
      <c r="O1290" t="s">
        <v>21</v>
      </c>
      <c r="P1290">
        <v>5</v>
      </c>
      <c r="Q1290">
        <v>37200.61</v>
      </c>
    </row>
    <row r="1291" spans="1:17" x14ac:dyDescent="0.3">
      <c r="A1291" t="s">
        <v>3287</v>
      </c>
      <c r="B1291" t="s">
        <v>1561</v>
      </c>
      <c r="C1291" s="2" t="str">
        <f>PROPER(TRIM(Table1[[#This Row],[Gender]]))</f>
        <v>Female</v>
      </c>
      <c r="D1291" t="s">
        <v>43</v>
      </c>
      <c r="E1291">
        <v>35</v>
      </c>
      <c r="F1291" t="s">
        <v>31</v>
      </c>
      <c r="G1291" s="1">
        <v>32883</v>
      </c>
      <c r="H1291" t="s">
        <v>3288</v>
      </c>
      <c r="I1291" s="2" t="str">
        <f t="shared" si="20"/>
        <v>+91-8868464932</v>
      </c>
      <c r="J1291">
        <f>91-8868465023</f>
        <v>-8868464932</v>
      </c>
      <c r="K1291" t="s">
        <v>125</v>
      </c>
      <c r="L1291" t="s">
        <v>52</v>
      </c>
      <c r="M1291">
        <v>339504</v>
      </c>
      <c r="N1291" s="1">
        <v>45098</v>
      </c>
      <c r="O1291" t="s">
        <v>21</v>
      </c>
      <c r="P1291">
        <v>5</v>
      </c>
      <c r="Q1291">
        <v>39843.269999999997</v>
      </c>
    </row>
    <row r="1292" spans="1:17" x14ac:dyDescent="0.3">
      <c r="A1292" t="s">
        <v>3289</v>
      </c>
      <c r="B1292" t="s">
        <v>3290</v>
      </c>
      <c r="C1292" s="2" t="str">
        <f>PROPER(TRIM(Table1[[#This Row],[Gender]]))</f>
        <v>Male</v>
      </c>
      <c r="D1292" t="s">
        <v>16</v>
      </c>
      <c r="E1292">
        <v>19</v>
      </c>
      <c r="F1292" t="s">
        <v>49</v>
      </c>
      <c r="G1292" s="1">
        <v>38723</v>
      </c>
      <c r="H1292" t="s">
        <v>3291</v>
      </c>
      <c r="I1292" s="2" t="str">
        <f t="shared" si="20"/>
        <v>+91-9814661164</v>
      </c>
      <c r="J1292">
        <f>91-9814661255</f>
        <v>-9814661164</v>
      </c>
      <c r="K1292" t="s">
        <v>117</v>
      </c>
      <c r="L1292" t="s">
        <v>52</v>
      </c>
      <c r="M1292">
        <v>102309</v>
      </c>
      <c r="N1292" s="1">
        <v>45141</v>
      </c>
      <c r="O1292" t="s">
        <v>28</v>
      </c>
      <c r="P1292">
        <v>3</v>
      </c>
      <c r="Q1292">
        <v>60643.37</v>
      </c>
    </row>
    <row r="1293" spans="1:17" x14ac:dyDescent="0.3">
      <c r="A1293" t="s">
        <v>3292</v>
      </c>
      <c r="B1293" t="s">
        <v>686</v>
      </c>
      <c r="C1293" s="2" t="str">
        <f>PROPER(TRIM(Table1[[#This Row],[Gender]]))</f>
        <v>Male</v>
      </c>
      <c r="D1293" t="s">
        <v>16</v>
      </c>
      <c r="E1293">
        <v>18</v>
      </c>
      <c r="F1293" t="s">
        <v>49</v>
      </c>
      <c r="G1293" s="1">
        <v>39088</v>
      </c>
      <c r="H1293" t="s">
        <v>3293</v>
      </c>
      <c r="I1293" s="2" t="str">
        <f t="shared" si="20"/>
        <v>+91-8109808902</v>
      </c>
      <c r="J1293">
        <f>91-8109808993</f>
        <v>-8109808902</v>
      </c>
      <c r="K1293" t="s">
        <v>64</v>
      </c>
      <c r="L1293" t="s">
        <v>20</v>
      </c>
      <c r="M1293">
        <v>140117</v>
      </c>
      <c r="N1293" s="1">
        <v>45349</v>
      </c>
      <c r="O1293" t="s">
        <v>28</v>
      </c>
      <c r="P1293">
        <v>4</v>
      </c>
      <c r="Q1293">
        <v>65172.69</v>
      </c>
    </row>
    <row r="1294" spans="1:17" x14ac:dyDescent="0.3">
      <c r="A1294" t="s">
        <v>3294</v>
      </c>
      <c r="B1294" t="s">
        <v>1022</v>
      </c>
      <c r="C1294" s="2" t="str">
        <f>PROPER(TRIM(Table1[[#This Row],[Gender]]))</f>
        <v>Female</v>
      </c>
      <c r="D1294" t="s">
        <v>43</v>
      </c>
      <c r="E1294">
        <v>18</v>
      </c>
      <c r="F1294" t="s">
        <v>49</v>
      </c>
      <c r="G1294" s="1">
        <v>39088</v>
      </c>
      <c r="H1294" t="s">
        <v>3295</v>
      </c>
      <c r="I1294" s="2" t="str">
        <f t="shared" si="20"/>
        <v>+91-8064402909</v>
      </c>
      <c r="J1294">
        <f>91-8064403000</f>
        <v>-8064402909</v>
      </c>
      <c r="K1294" t="s">
        <v>121</v>
      </c>
      <c r="L1294" t="s">
        <v>85</v>
      </c>
      <c r="M1294">
        <v>609291</v>
      </c>
      <c r="N1294" s="1">
        <v>45079</v>
      </c>
      <c r="O1294" t="s">
        <v>28</v>
      </c>
      <c r="P1294">
        <v>6</v>
      </c>
      <c r="Q1294">
        <v>108198.51</v>
      </c>
    </row>
    <row r="1295" spans="1:17" x14ac:dyDescent="0.3">
      <c r="A1295" t="s">
        <v>3296</v>
      </c>
      <c r="B1295" t="s">
        <v>3297</v>
      </c>
      <c r="C1295" s="2" t="str">
        <f>PROPER(TRIM(Table1[[#This Row],[Gender]]))</f>
        <v>Female</v>
      </c>
      <c r="D1295" t="s">
        <v>43</v>
      </c>
      <c r="E1295">
        <v>30</v>
      </c>
      <c r="F1295" t="s">
        <v>31</v>
      </c>
      <c r="G1295" s="1">
        <v>34708</v>
      </c>
      <c r="H1295" t="s">
        <v>3298</v>
      </c>
      <c r="I1295" s="2" t="str">
        <f t="shared" si="20"/>
        <v>+91-9459608249</v>
      </c>
      <c r="J1295">
        <f>91-9459608340</f>
        <v>-9459608249</v>
      </c>
      <c r="K1295" t="s">
        <v>138</v>
      </c>
      <c r="L1295" t="s">
        <v>90</v>
      </c>
      <c r="M1295">
        <v>134667</v>
      </c>
      <c r="N1295" s="1">
        <v>45204</v>
      </c>
      <c r="O1295" t="s">
        <v>28</v>
      </c>
      <c r="P1295">
        <v>9</v>
      </c>
      <c r="Q1295">
        <v>532707.24</v>
      </c>
    </row>
    <row r="1296" spans="1:17" x14ac:dyDescent="0.3">
      <c r="A1296" t="s">
        <v>3299</v>
      </c>
      <c r="B1296" t="s">
        <v>957</v>
      </c>
      <c r="C1296" s="2" t="str">
        <f>PROPER(TRIM(Table1[[#This Row],[Gender]]))</f>
        <v>Female</v>
      </c>
      <c r="D1296" t="s">
        <v>43</v>
      </c>
      <c r="E1296">
        <v>42</v>
      </c>
      <c r="F1296" t="s">
        <v>38</v>
      </c>
      <c r="G1296" s="1">
        <v>30328</v>
      </c>
      <c r="H1296" t="s">
        <v>3300</v>
      </c>
      <c r="I1296" s="2" t="str">
        <f t="shared" si="20"/>
        <v>+91-7282134819</v>
      </c>
      <c r="J1296">
        <f>91-7282134910</f>
        <v>-7282134819</v>
      </c>
      <c r="K1296" t="s">
        <v>121</v>
      </c>
      <c r="L1296" t="s">
        <v>85</v>
      </c>
      <c r="M1296">
        <v>562966</v>
      </c>
      <c r="N1296" s="1">
        <v>45408</v>
      </c>
      <c r="O1296" t="s">
        <v>28</v>
      </c>
      <c r="P1296">
        <v>5</v>
      </c>
      <c r="Q1296">
        <v>67602.679999999993</v>
      </c>
    </row>
    <row r="1297" spans="1:17" x14ac:dyDescent="0.3">
      <c r="A1297" t="s">
        <v>3301</v>
      </c>
      <c r="B1297" t="s">
        <v>692</v>
      </c>
      <c r="C1297" s="2" t="str">
        <f>PROPER(TRIM(Table1[[#This Row],[Gender]]))</f>
        <v>Male</v>
      </c>
      <c r="D1297" t="s">
        <v>16</v>
      </c>
      <c r="E1297">
        <v>47</v>
      </c>
      <c r="F1297" t="s">
        <v>17</v>
      </c>
      <c r="G1297" s="1">
        <v>28503</v>
      </c>
      <c r="H1297" t="s">
        <v>3302</v>
      </c>
      <c r="I1297" s="2" t="str">
        <f t="shared" si="20"/>
        <v>+91-7478528317</v>
      </c>
      <c r="J1297">
        <f>91-7478528408</f>
        <v>-7478528317</v>
      </c>
      <c r="K1297" t="s">
        <v>33</v>
      </c>
      <c r="L1297" t="s">
        <v>34</v>
      </c>
      <c r="M1297">
        <v>529413</v>
      </c>
      <c r="N1297" s="1">
        <v>45423</v>
      </c>
      <c r="O1297" t="s">
        <v>35</v>
      </c>
      <c r="P1297">
        <v>6</v>
      </c>
      <c r="Q1297">
        <v>15671.21</v>
      </c>
    </row>
    <row r="1298" spans="1:17" x14ac:dyDescent="0.3">
      <c r="A1298" t="s">
        <v>3303</v>
      </c>
      <c r="B1298" t="s">
        <v>1781</v>
      </c>
      <c r="C1298" s="2" t="str">
        <f>PROPER(TRIM(Table1[[#This Row],[Gender]]))</f>
        <v>Male</v>
      </c>
      <c r="D1298" t="s">
        <v>16</v>
      </c>
      <c r="E1298">
        <v>55</v>
      </c>
      <c r="F1298" t="s">
        <v>17</v>
      </c>
      <c r="G1298" s="1">
        <v>25583</v>
      </c>
      <c r="H1298" t="s">
        <v>3304</v>
      </c>
      <c r="I1298" s="2" t="str">
        <f t="shared" si="20"/>
        <v>+91-9028932791</v>
      </c>
      <c r="J1298">
        <f>91-9028932882</f>
        <v>-9028932791</v>
      </c>
      <c r="K1298" t="s">
        <v>331</v>
      </c>
      <c r="L1298" t="s">
        <v>143</v>
      </c>
      <c r="M1298">
        <v>858031</v>
      </c>
      <c r="N1298" s="1">
        <v>45341</v>
      </c>
      <c r="O1298" t="s">
        <v>35</v>
      </c>
      <c r="P1298">
        <v>4</v>
      </c>
      <c r="Q1298">
        <v>5714.66</v>
      </c>
    </row>
    <row r="1299" spans="1:17" x14ac:dyDescent="0.3">
      <c r="A1299" t="s">
        <v>3305</v>
      </c>
      <c r="B1299" t="s">
        <v>3306</v>
      </c>
      <c r="C1299" s="2" t="str">
        <f>PROPER(TRIM(Table1[[#This Row],[Gender]]))</f>
        <v>Male</v>
      </c>
      <c r="D1299" t="s">
        <v>16</v>
      </c>
      <c r="E1299">
        <v>35</v>
      </c>
      <c r="F1299" t="s">
        <v>31</v>
      </c>
      <c r="G1299" s="1">
        <v>32883</v>
      </c>
      <c r="H1299" t="s">
        <v>3307</v>
      </c>
      <c r="I1299" s="2" t="str">
        <f t="shared" si="20"/>
        <v>+91-7775062041</v>
      </c>
      <c r="J1299">
        <f>91-7775062132</f>
        <v>-7775062041</v>
      </c>
      <c r="K1299" t="s">
        <v>45</v>
      </c>
      <c r="L1299" t="s">
        <v>46</v>
      </c>
      <c r="M1299">
        <v>758295</v>
      </c>
      <c r="N1299" s="1">
        <v>45222</v>
      </c>
      <c r="O1299" t="s">
        <v>35</v>
      </c>
      <c r="P1299">
        <v>2</v>
      </c>
      <c r="Q1299">
        <v>14883.43</v>
      </c>
    </row>
    <row r="1300" spans="1:17" x14ac:dyDescent="0.3">
      <c r="A1300" t="s">
        <v>3308</v>
      </c>
      <c r="B1300" t="s">
        <v>622</v>
      </c>
      <c r="C1300" s="2" t="str">
        <f>PROPER(TRIM(Table1[[#This Row],[Gender]]))</f>
        <v>Female</v>
      </c>
      <c r="D1300" t="s">
        <v>43</v>
      </c>
      <c r="E1300">
        <v>36</v>
      </c>
      <c r="F1300" t="s">
        <v>38</v>
      </c>
      <c r="G1300" s="1">
        <v>32518</v>
      </c>
      <c r="H1300" t="s">
        <v>623</v>
      </c>
      <c r="I1300" s="2" t="str">
        <f t="shared" si="20"/>
        <v>+91-7714288167</v>
      </c>
      <c r="J1300">
        <f>91-7714288258</f>
        <v>-7714288167</v>
      </c>
      <c r="K1300" t="s">
        <v>369</v>
      </c>
      <c r="L1300" t="s">
        <v>191</v>
      </c>
      <c r="M1300">
        <v>442722</v>
      </c>
      <c r="N1300" s="1">
        <v>45308</v>
      </c>
      <c r="O1300" t="s">
        <v>35</v>
      </c>
      <c r="P1300">
        <v>2</v>
      </c>
      <c r="Q1300">
        <v>8986.93</v>
      </c>
    </row>
    <row r="1301" spans="1:17" x14ac:dyDescent="0.3">
      <c r="A1301" t="s">
        <v>3309</v>
      </c>
      <c r="B1301" t="s">
        <v>1588</v>
      </c>
      <c r="C1301" s="2" t="str">
        <f>PROPER(TRIM(Table1[[#This Row],[Gender]]))</f>
        <v>Female</v>
      </c>
      <c r="D1301" t="s">
        <v>43</v>
      </c>
      <c r="E1301">
        <v>23</v>
      </c>
      <c r="F1301" t="s">
        <v>49</v>
      </c>
      <c r="G1301" s="1">
        <v>37263</v>
      </c>
      <c r="H1301" t="s">
        <v>3310</v>
      </c>
      <c r="I1301" s="2" t="str">
        <f t="shared" si="20"/>
        <v>+91-9409440192</v>
      </c>
      <c r="J1301">
        <f>91-9409440283</f>
        <v>-9409440192</v>
      </c>
      <c r="K1301" t="s">
        <v>121</v>
      </c>
      <c r="L1301" t="s">
        <v>85</v>
      </c>
      <c r="M1301">
        <v>280440</v>
      </c>
      <c r="N1301" s="1">
        <v>45406</v>
      </c>
      <c r="O1301" t="s">
        <v>28</v>
      </c>
      <c r="P1301">
        <v>3</v>
      </c>
      <c r="Q1301">
        <v>69181.990000000005</v>
      </c>
    </row>
    <row r="1302" spans="1:17" x14ac:dyDescent="0.3">
      <c r="A1302" t="s">
        <v>3311</v>
      </c>
      <c r="B1302" t="s">
        <v>3312</v>
      </c>
      <c r="C1302" s="2" t="str">
        <f>PROPER(TRIM(Table1[[#This Row],[Gender]]))</f>
        <v>Male</v>
      </c>
      <c r="D1302" t="s">
        <v>16</v>
      </c>
      <c r="E1302">
        <v>36</v>
      </c>
      <c r="F1302" t="s">
        <v>38</v>
      </c>
      <c r="G1302" s="1">
        <v>32518</v>
      </c>
      <c r="H1302" t="s">
        <v>3313</v>
      </c>
      <c r="I1302" s="2" t="str">
        <f t="shared" si="20"/>
        <v>+91-7995120352</v>
      </c>
      <c r="J1302">
        <f>91-7995120443</f>
        <v>-7995120352</v>
      </c>
      <c r="K1302" t="s">
        <v>161</v>
      </c>
      <c r="L1302" t="s">
        <v>102</v>
      </c>
      <c r="M1302">
        <v>213831</v>
      </c>
      <c r="N1302" s="1">
        <v>45168</v>
      </c>
      <c r="O1302" t="s">
        <v>28</v>
      </c>
      <c r="P1302">
        <v>1</v>
      </c>
      <c r="Q1302">
        <v>97547.18</v>
      </c>
    </row>
    <row r="1303" spans="1:17" x14ac:dyDescent="0.3">
      <c r="A1303" t="s">
        <v>3314</v>
      </c>
      <c r="B1303" t="s">
        <v>759</v>
      </c>
      <c r="C1303" s="2" t="str">
        <f>PROPER(TRIM(Table1[[#This Row],[Gender]]))</f>
        <v>Female</v>
      </c>
      <c r="D1303" t="s">
        <v>43</v>
      </c>
      <c r="E1303">
        <v>41</v>
      </c>
      <c r="F1303" t="s">
        <v>38</v>
      </c>
      <c r="G1303" s="1">
        <v>30693</v>
      </c>
      <c r="H1303" t="s">
        <v>3315</v>
      </c>
      <c r="I1303" s="2" t="str">
        <f t="shared" si="20"/>
        <v>+91-8915110902</v>
      </c>
      <c r="J1303">
        <f>91-8915110993</f>
        <v>-8915110902</v>
      </c>
      <c r="K1303" t="s">
        <v>165</v>
      </c>
      <c r="L1303" t="s">
        <v>52</v>
      </c>
      <c r="M1303">
        <v>235610</v>
      </c>
      <c r="N1303" s="1">
        <v>45359</v>
      </c>
      <c r="O1303" t="s">
        <v>21</v>
      </c>
      <c r="P1303">
        <v>6</v>
      </c>
      <c r="Q1303">
        <v>44786.78</v>
      </c>
    </row>
    <row r="1304" spans="1:17" x14ac:dyDescent="0.3">
      <c r="A1304" t="s">
        <v>3316</v>
      </c>
      <c r="B1304" t="s">
        <v>501</v>
      </c>
      <c r="C1304" s="2" t="str">
        <f>PROPER(TRIM(Table1[[#This Row],[Gender]]))</f>
        <v>Male</v>
      </c>
      <c r="D1304" t="s">
        <v>16</v>
      </c>
      <c r="E1304">
        <v>29</v>
      </c>
      <c r="F1304" t="s">
        <v>31</v>
      </c>
      <c r="G1304" s="1">
        <v>35073</v>
      </c>
      <c r="H1304" t="s">
        <v>3317</v>
      </c>
      <c r="I1304" s="2" t="str">
        <f t="shared" si="20"/>
        <v>+91-8400626179</v>
      </c>
      <c r="J1304">
        <f>91-8400626270</f>
        <v>-8400626179</v>
      </c>
      <c r="K1304" t="s">
        <v>415</v>
      </c>
      <c r="L1304" t="s">
        <v>90</v>
      </c>
      <c r="M1304">
        <v>571589</v>
      </c>
      <c r="N1304" s="1">
        <v>45195</v>
      </c>
      <c r="O1304" t="s">
        <v>28</v>
      </c>
      <c r="P1304">
        <v>6</v>
      </c>
      <c r="Q1304">
        <v>140995.17000000001</v>
      </c>
    </row>
    <row r="1305" spans="1:17" x14ac:dyDescent="0.3">
      <c r="A1305" t="s">
        <v>3318</v>
      </c>
      <c r="B1305" t="s">
        <v>2820</v>
      </c>
      <c r="C1305" s="2" t="str">
        <f>PROPER(TRIM(Table1[[#This Row],[Gender]]))</f>
        <v>Male</v>
      </c>
      <c r="D1305" t="s">
        <v>16</v>
      </c>
      <c r="E1305">
        <v>42</v>
      </c>
      <c r="F1305" t="s">
        <v>38</v>
      </c>
      <c r="G1305" s="1">
        <v>30328</v>
      </c>
      <c r="H1305" t="s">
        <v>3319</v>
      </c>
      <c r="I1305" s="2" t="str">
        <f t="shared" si="20"/>
        <v>+91-7513929263</v>
      </c>
      <c r="J1305">
        <f>91-7513929354</f>
        <v>-7513929263</v>
      </c>
      <c r="K1305" t="s">
        <v>249</v>
      </c>
      <c r="L1305" t="s">
        <v>34</v>
      </c>
      <c r="M1305">
        <v>237866</v>
      </c>
      <c r="N1305" s="1">
        <v>45155</v>
      </c>
      <c r="O1305" t="s">
        <v>28</v>
      </c>
      <c r="P1305">
        <v>4</v>
      </c>
      <c r="Q1305">
        <v>127987.36</v>
      </c>
    </row>
    <row r="1306" spans="1:17" x14ac:dyDescent="0.3">
      <c r="A1306" t="s">
        <v>3320</v>
      </c>
      <c r="B1306" t="s">
        <v>1375</v>
      </c>
      <c r="C1306" s="2" t="str">
        <f>PROPER(TRIM(Table1[[#This Row],[Gender]]))</f>
        <v>Female</v>
      </c>
      <c r="D1306" t="s">
        <v>43</v>
      </c>
      <c r="E1306">
        <v>42</v>
      </c>
      <c r="F1306" t="s">
        <v>38</v>
      </c>
      <c r="G1306" s="1">
        <v>30328</v>
      </c>
      <c r="H1306" t="s">
        <v>3321</v>
      </c>
      <c r="I1306" s="2" t="str">
        <f t="shared" si="20"/>
        <v>+91-9486810762</v>
      </c>
      <c r="J1306">
        <f>91-9486810853</f>
        <v>-9486810762</v>
      </c>
      <c r="K1306" t="s">
        <v>80</v>
      </c>
      <c r="L1306" t="s">
        <v>20</v>
      </c>
      <c r="M1306">
        <v>377845</v>
      </c>
      <c r="N1306" s="1">
        <v>45339</v>
      </c>
      <c r="O1306" t="s">
        <v>28</v>
      </c>
      <c r="P1306">
        <v>5</v>
      </c>
      <c r="Q1306">
        <v>69402.95</v>
      </c>
    </row>
    <row r="1307" spans="1:17" x14ac:dyDescent="0.3">
      <c r="A1307" t="s">
        <v>3322</v>
      </c>
      <c r="B1307" t="s">
        <v>507</v>
      </c>
      <c r="C1307" s="2" t="str">
        <f>PROPER(TRIM(Table1[[#This Row],[Gender]]))</f>
        <v>Male</v>
      </c>
      <c r="D1307" t="s">
        <v>16</v>
      </c>
      <c r="E1307">
        <v>50</v>
      </c>
      <c r="F1307" t="s">
        <v>17</v>
      </c>
      <c r="G1307" s="1">
        <v>27408</v>
      </c>
      <c r="H1307" t="s">
        <v>3323</v>
      </c>
      <c r="I1307" s="2" t="str">
        <f t="shared" si="20"/>
        <v>+91-9294869050</v>
      </c>
      <c r="J1307">
        <f>91-9294869141</f>
        <v>-9294869050</v>
      </c>
      <c r="K1307" t="s">
        <v>154</v>
      </c>
      <c r="L1307" t="s">
        <v>46</v>
      </c>
      <c r="M1307">
        <v>432556</v>
      </c>
      <c r="N1307" s="1">
        <v>45233</v>
      </c>
      <c r="O1307" t="s">
        <v>28</v>
      </c>
      <c r="P1307">
        <v>7</v>
      </c>
      <c r="Q1307">
        <v>55635.51</v>
      </c>
    </row>
    <row r="1308" spans="1:17" x14ac:dyDescent="0.3">
      <c r="A1308" t="s">
        <v>3324</v>
      </c>
      <c r="B1308" t="s">
        <v>48</v>
      </c>
      <c r="C1308" s="2" t="str">
        <f>PROPER(TRIM(Table1[[#This Row],[Gender]]))</f>
        <v>Female</v>
      </c>
      <c r="D1308" t="s">
        <v>43</v>
      </c>
      <c r="E1308">
        <v>28</v>
      </c>
      <c r="F1308" t="s">
        <v>31</v>
      </c>
      <c r="G1308" s="1">
        <v>35438</v>
      </c>
      <c r="H1308" t="s">
        <v>3325</v>
      </c>
      <c r="I1308" s="2" t="str">
        <f t="shared" si="20"/>
        <v>+91-7578466014</v>
      </c>
      <c r="J1308">
        <f>91-7578466105</f>
        <v>-7578466014</v>
      </c>
      <c r="K1308" t="s">
        <v>174</v>
      </c>
      <c r="L1308" t="s">
        <v>90</v>
      </c>
      <c r="M1308">
        <v>295054</v>
      </c>
      <c r="N1308" s="1">
        <v>45269</v>
      </c>
      <c r="O1308" t="s">
        <v>28</v>
      </c>
      <c r="P1308">
        <v>3</v>
      </c>
      <c r="Q1308">
        <v>83527.14</v>
      </c>
    </row>
    <row r="1309" spans="1:17" x14ac:dyDescent="0.3">
      <c r="A1309" t="s">
        <v>3326</v>
      </c>
      <c r="B1309" t="s">
        <v>463</v>
      </c>
      <c r="C1309" s="2" t="str">
        <f>PROPER(TRIM(Table1[[#This Row],[Gender]]))</f>
        <v>Female</v>
      </c>
      <c r="D1309" t="s">
        <v>43</v>
      </c>
      <c r="E1309">
        <v>53</v>
      </c>
      <c r="F1309" t="s">
        <v>17</v>
      </c>
      <c r="G1309" s="1">
        <v>26313</v>
      </c>
      <c r="H1309" t="s">
        <v>464</v>
      </c>
      <c r="I1309" s="2" t="str">
        <f t="shared" si="20"/>
        <v>+91-9739227194</v>
      </c>
      <c r="J1309">
        <f>91-9739227285</f>
        <v>-9739227194</v>
      </c>
      <c r="K1309" t="s">
        <v>76</v>
      </c>
      <c r="L1309" t="s">
        <v>46</v>
      </c>
      <c r="M1309">
        <v>832779</v>
      </c>
      <c r="N1309" s="1">
        <v>45203</v>
      </c>
      <c r="O1309" t="s">
        <v>21</v>
      </c>
      <c r="P1309">
        <v>4</v>
      </c>
      <c r="Q1309">
        <v>33324.17</v>
      </c>
    </row>
    <row r="1310" spans="1:17" x14ac:dyDescent="0.3">
      <c r="A1310" t="s">
        <v>3327</v>
      </c>
      <c r="B1310" t="s">
        <v>669</v>
      </c>
      <c r="C1310" s="2" t="str">
        <f>PROPER(TRIM(Table1[[#This Row],[Gender]]))</f>
        <v>Female</v>
      </c>
      <c r="D1310" t="s">
        <v>43</v>
      </c>
      <c r="E1310">
        <v>43</v>
      </c>
      <c r="F1310" t="s">
        <v>38</v>
      </c>
      <c r="G1310" s="1">
        <v>29963</v>
      </c>
      <c r="H1310" t="s">
        <v>3328</v>
      </c>
      <c r="I1310" s="2" t="str">
        <f t="shared" si="20"/>
        <v>+91-9818065200</v>
      </c>
      <c r="J1310">
        <f>91-9818065291</f>
        <v>-9818065200</v>
      </c>
      <c r="K1310" t="s">
        <v>80</v>
      </c>
      <c r="L1310" t="s">
        <v>20</v>
      </c>
      <c r="M1310">
        <v>968537</v>
      </c>
      <c r="N1310" s="1">
        <v>45215</v>
      </c>
      <c r="O1310" t="s">
        <v>28</v>
      </c>
      <c r="P1310">
        <v>5</v>
      </c>
      <c r="Q1310">
        <v>250196.66</v>
      </c>
    </row>
    <row r="1311" spans="1:17" x14ac:dyDescent="0.3">
      <c r="A1311" t="s">
        <v>3329</v>
      </c>
      <c r="B1311" t="s">
        <v>1245</v>
      </c>
      <c r="C1311" s="2" t="str">
        <f>PROPER(TRIM(Table1[[#This Row],[Gender]]))</f>
        <v>Female</v>
      </c>
      <c r="D1311" t="s">
        <v>43</v>
      </c>
      <c r="E1311">
        <v>40</v>
      </c>
      <c r="F1311" t="s">
        <v>38</v>
      </c>
      <c r="G1311" s="1">
        <v>31058</v>
      </c>
      <c r="H1311" t="s">
        <v>3330</v>
      </c>
      <c r="I1311" s="2" t="str">
        <f t="shared" si="20"/>
        <v>+91-9744990283</v>
      </c>
      <c r="J1311">
        <f>91-9744990374</f>
        <v>-9744990283</v>
      </c>
      <c r="K1311" t="s">
        <v>109</v>
      </c>
      <c r="L1311" t="s">
        <v>46</v>
      </c>
      <c r="M1311">
        <v>690795</v>
      </c>
      <c r="N1311" s="1">
        <v>45187</v>
      </c>
      <c r="O1311" t="s">
        <v>28</v>
      </c>
      <c r="P1311">
        <v>6</v>
      </c>
      <c r="Q1311">
        <v>120438.15</v>
      </c>
    </row>
    <row r="1312" spans="1:17" x14ac:dyDescent="0.3">
      <c r="A1312" t="s">
        <v>3331</v>
      </c>
      <c r="B1312" t="s">
        <v>1849</v>
      </c>
      <c r="C1312" s="2" t="str">
        <f>PROPER(TRIM(Table1[[#This Row],[Gender]]))</f>
        <v>Male</v>
      </c>
      <c r="D1312" t="s">
        <v>16</v>
      </c>
      <c r="E1312">
        <v>20</v>
      </c>
      <c r="F1312" t="s">
        <v>49</v>
      </c>
      <c r="G1312" s="1">
        <v>38358</v>
      </c>
      <c r="H1312" t="s">
        <v>3332</v>
      </c>
      <c r="I1312" s="2" t="str">
        <f t="shared" si="20"/>
        <v>+91-9191086790</v>
      </c>
      <c r="J1312">
        <f>91-9191086881</f>
        <v>-9191086790</v>
      </c>
      <c r="K1312" t="s">
        <v>273</v>
      </c>
      <c r="L1312" t="s">
        <v>46</v>
      </c>
      <c r="M1312">
        <v>703392</v>
      </c>
      <c r="N1312" s="1">
        <v>45385</v>
      </c>
      <c r="O1312" t="s">
        <v>28</v>
      </c>
      <c r="P1312">
        <v>7</v>
      </c>
      <c r="Q1312">
        <v>133363.20000000001</v>
      </c>
    </row>
    <row r="1313" spans="1:17" x14ac:dyDescent="0.3">
      <c r="A1313" t="s">
        <v>3333</v>
      </c>
      <c r="B1313" t="s">
        <v>2043</v>
      </c>
      <c r="C1313" s="2" t="str">
        <f>PROPER(TRIM(Table1[[#This Row],[Gender]]))</f>
        <v>Female</v>
      </c>
      <c r="D1313" t="s">
        <v>43</v>
      </c>
      <c r="E1313">
        <v>27</v>
      </c>
      <c r="F1313" t="s">
        <v>31</v>
      </c>
      <c r="G1313" s="1">
        <v>35803</v>
      </c>
      <c r="H1313" t="s">
        <v>3334</v>
      </c>
      <c r="I1313" s="2" t="str">
        <f t="shared" si="20"/>
        <v>+91-8934455194</v>
      </c>
      <c r="J1313">
        <f>91-8934455285</f>
        <v>-8934455194</v>
      </c>
      <c r="K1313" t="s">
        <v>249</v>
      </c>
      <c r="L1313" t="s">
        <v>34</v>
      </c>
      <c r="M1313">
        <v>482616</v>
      </c>
      <c r="N1313" s="1">
        <v>45345</v>
      </c>
      <c r="O1313" t="s">
        <v>28</v>
      </c>
      <c r="P1313">
        <v>5</v>
      </c>
      <c r="Q1313">
        <v>268169.31</v>
      </c>
    </row>
    <row r="1314" spans="1:17" x14ac:dyDescent="0.3">
      <c r="A1314" t="s">
        <v>3335</v>
      </c>
      <c r="B1314" t="s">
        <v>1591</v>
      </c>
      <c r="C1314" s="2" t="str">
        <f>PROPER(TRIM(Table1[[#This Row],[Gender]]))</f>
        <v>Female</v>
      </c>
      <c r="D1314" t="s">
        <v>43</v>
      </c>
      <c r="E1314">
        <v>23</v>
      </c>
      <c r="F1314" t="s">
        <v>49</v>
      </c>
      <c r="G1314" s="1">
        <v>37263</v>
      </c>
      <c r="H1314" t="s">
        <v>3336</v>
      </c>
      <c r="I1314" s="2" t="str">
        <f t="shared" si="20"/>
        <v>+91-7033859762</v>
      </c>
      <c r="J1314">
        <f>91-7033859853</f>
        <v>-7033859762</v>
      </c>
      <c r="K1314" t="s">
        <v>19</v>
      </c>
      <c r="L1314" t="s">
        <v>20</v>
      </c>
      <c r="M1314">
        <v>961800</v>
      </c>
      <c r="N1314" s="1">
        <v>45433</v>
      </c>
      <c r="O1314" t="s">
        <v>28</v>
      </c>
      <c r="P1314">
        <v>8</v>
      </c>
      <c r="Q1314">
        <v>77692.66</v>
      </c>
    </row>
    <row r="1315" spans="1:17" x14ac:dyDescent="0.3">
      <c r="A1315" t="s">
        <v>3337</v>
      </c>
      <c r="B1315" t="s">
        <v>3338</v>
      </c>
      <c r="C1315" s="2" t="str">
        <f>PROPER(TRIM(Table1[[#This Row],[Gender]]))</f>
        <v>Male</v>
      </c>
      <c r="D1315" t="s">
        <v>16</v>
      </c>
      <c r="E1315">
        <v>20</v>
      </c>
      <c r="F1315" t="s">
        <v>49</v>
      </c>
      <c r="G1315" s="1">
        <v>38358</v>
      </c>
      <c r="H1315" t="s">
        <v>3339</v>
      </c>
      <c r="I1315" s="2" t="str">
        <f t="shared" si="20"/>
        <v>+91-8094367192</v>
      </c>
      <c r="J1315">
        <f>91-8094367283</f>
        <v>-8094367192</v>
      </c>
      <c r="K1315" t="s">
        <v>239</v>
      </c>
      <c r="L1315" t="s">
        <v>191</v>
      </c>
      <c r="M1315">
        <v>910566</v>
      </c>
      <c r="N1315" s="1">
        <v>45293</v>
      </c>
      <c r="O1315" t="s">
        <v>28</v>
      </c>
      <c r="P1315">
        <v>6</v>
      </c>
      <c r="Q1315">
        <v>103334.13</v>
      </c>
    </row>
    <row r="1316" spans="1:17" x14ac:dyDescent="0.3">
      <c r="A1316" t="s">
        <v>3340</v>
      </c>
      <c r="B1316" t="s">
        <v>2021</v>
      </c>
      <c r="C1316" s="2" t="str">
        <f>PROPER(TRIM(Table1[[#This Row],[Gender]]))</f>
        <v>Male</v>
      </c>
      <c r="D1316" t="s">
        <v>16</v>
      </c>
      <c r="E1316">
        <v>28</v>
      </c>
      <c r="F1316" t="s">
        <v>31</v>
      </c>
      <c r="G1316" s="1">
        <v>35438</v>
      </c>
      <c r="H1316" t="s">
        <v>3341</v>
      </c>
      <c r="I1316" s="2" t="str">
        <f t="shared" si="20"/>
        <v>+91-9270641696</v>
      </c>
      <c r="J1316">
        <f>91-9270641787</f>
        <v>-9270641696</v>
      </c>
      <c r="K1316" t="s">
        <v>142</v>
      </c>
      <c r="L1316" t="s">
        <v>143</v>
      </c>
      <c r="M1316">
        <v>730487</v>
      </c>
      <c r="N1316" s="1">
        <v>45099</v>
      </c>
      <c r="O1316" t="s">
        <v>28</v>
      </c>
      <c r="P1316">
        <v>8</v>
      </c>
      <c r="Q1316">
        <v>231801.11</v>
      </c>
    </row>
    <row r="1317" spans="1:17" x14ac:dyDescent="0.3">
      <c r="A1317" t="s">
        <v>3342</v>
      </c>
      <c r="B1317" t="s">
        <v>2994</v>
      </c>
      <c r="C1317" s="2" t="str">
        <f>PROPER(TRIM(Table1[[#This Row],[Gender]]))</f>
        <v>Female</v>
      </c>
      <c r="D1317" t="s">
        <v>43</v>
      </c>
      <c r="E1317">
        <v>23</v>
      </c>
      <c r="F1317" t="s">
        <v>49</v>
      </c>
      <c r="G1317" s="1">
        <v>37263</v>
      </c>
      <c r="H1317" t="s">
        <v>3343</v>
      </c>
      <c r="I1317" s="2" t="str">
        <f t="shared" si="20"/>
        <v>+91-8408154624</v>
      </c>
      <c r="J1317">
        <f>91-8408154715</f>
        <v>-8408154624</v>
      </c>
      <c r="K1317" t="s">
        <v>369</v>
      </c>
      <c r="L1317" t="s">
        <v>191</v>
      </c>
      <c r="M1317">
        <v>265705</v>
      </c>
      <c r="N1317" s="1">
        <v>45207</v>
      </c>
      <c r="O1317" t="s">
        <v>28</v>
      </c>
      <c r="P1317">
        <v>6</v>
      </c>
      <c r="Q1317">
        <v>119516.79</v>
      </c>
    </row>
    <row r="1318" spans="1:17" x14ac:dyDescent="0.3">
      <c r="A1318" t="s">
        <v>3344</v>
      </c>
      <c r="B1318" t="s">
        <v>3038</v>
      </c>
      <c r="C1318" s="2" t="str">
        <f>PROPER(TRIM(Table1[[#This Row],[Gender]]))</f>
        <v>Female</v>
      </c>
      <c r="D1318" t="s">
        <v>43</v>
      </c>
      <c r="E1318">
        <v>25</v>
      </c>
      <c r="F1318" t="s">
        <v>49</v>
      </c>
      <c r="G1318" s="1">
        <v>36533</v>
      </c>
      <c r="H1318" t="s">
        <v>3345</v>
      </c>
      <c r="I1318" s="2" t="str">
        <f t="shared" si="20"/>
        <v>+91-9567101792</v>
      </c>
      <c r="J1318">
        <f>91-9567101883</f>
        <v>-9567101792</v>
      </c>
      <c r="K1318" t="s">
        <v>89</v>
      </c>
      <c r="L1318" t="s">
        <v>90</v>
      </c>
      <c r="M1318">
        <v>819253</v>
      </c>
      <c r="N1318" s="1">
        <v>45288</v>
      </c>
      <c r="O1318" t="s">
        <v>28</v>
      </c>
      <c r="P1318">
        <v>5</v>
      </c>
      <c r="Q1318">
        <v>87091.4</v>
      </c>
    </row>
    <row r="1319" spans="1:17" x14ac:dyDescent="0.3">
      <c r="A1319" t="s">
        <v>3346</v>
      </c>
      <c r="B1319" t="s">
        <v>602</v>
      </c>
      <c r="C1319" s="2" t="str">
        <f>PROPER(TRIM(Table1[[#This Row],[Gender]]))</f>
        <v>Female</v>
      </c>
      <c r="D1319" t="s">
        <v>43</v>
      </c>
      <c r="E1319">
        <v>28</v>
      </c>
      <c r="F1319" t="s">
        <v>31</v>
      </c>
      <c r="G1319" s="1">
        <v>35438</v>
      </c>
      <c r="H1319" t="s">
        <v>3347</v>
      </c>
      <c r="I1319" s="2" t="str">
        <f t="shared" si="20"/>
        <v>+91-8490944833</v>
      </c>
      <c r="J1319">
        <f>91-8490944924</f>
        <v>-8490944833</v>
      </c>
      <c r="K1319" t="s">
        <v>60</v>
      </c>
      <c r="L1319" t="s">
        <v>34</v>
      </c>
      <c r="M1319">
        <v>215829</v>
      </c>
      <c r="N1319" s="1">
        <v>45276</v>
      </c>
      <c r="O1319" t="s">
        <v>28</v>
      </c>
      <c r="P1319">
        <v>5</v>
      </c>
      <c r="Q1319">
        <v>111641.9</v>
      </c>
    </row>
    <row r="1320" spans="1:17" x14ac:dyDescent="0.3">
      <c r="A1320" t="s">
        <v>3348</v>
      </c>
      <c r="B1320" t="s">
        <v>3349</v>
      </c>
      <c r="C1320" s="2" t="str">
        <f>PROPER(TRIM(Table1[[#This Row],[Gender]]))</f>
        <v>Male</v>
      </c>
      <c r="D1320" t="s">
        <v>16</v>
      </c>
      <c r="E1320">
        <v>27</v>
      </c>
      <c r="F1320" t="s">
        <v>31</v>
      </c>
      <c r="G1320" s="1">
        <v>35803</v>
      </c>
      <c r="H1320" t="s">
        <v>3350</v>
      </c>
      <c r="I1320" s="2" t="str">
        <f t="shared" si="20"/>
        <v>+91-9608249419</v>
      </c>
      <c r="J1320">
        <f>91-9608249510</f>
        <v>-9608249419</v>
      </c>
      <c r="K1320" t="s">
        <v>125</v>
      </c>
      <c r="L1320" t="s">
        <v>52</v>
      </c>
      <c r="M1320">
        <v>173221</v>
      </c>
      <c r="N1320" s="1">
        <v>45427</v>
      </c>
      <c r="O1320" t="s">
        <v>28</v>
      </c>
      <c r="P1320">
        <v>8</v>
      </c>
      <c r="Q1320">
        <v>128614.86</v>
      </c>
    </row>
    <row r="1321" spans="1:17" x14ac:dyDescent="0.3">
      <c r="A1321" t="s">
        <v>3351</v>
      </c>
      <c r="B1321" t="s">
        <v>436</v>
      </c>
      <c r="C1321" s="2" t="str">
        <f>PROPER(TRIM(Table1[[#This Row],[Gender]]))</f>
        <v>Male</v>
      </c>
      <c r="D1321" t="s">
        <v>16</v>
      </c>
      <c r="E1321">
        <v>24</v>
      </c>
      <c r="F1321" t="s">
        <v>49</v>
      </c>
      <c r="G1321" s="1">
        <v>36898</v>
      </c>
      <c r="H1321" t="s">
        <v>3352</v>
      </c>
      <c r="I1321" s="2" t="str">
        <f t="shared" si="20"/>
        <v>+91-7854750583</v>
      </c>
      <c r="J1321">
        <f>91-7854750674</f>
        <v>-7854750583</v>
      </c>
      <c r="K1321" t="s">
        <v>68</v>
      </c>
      <c r="L1321" t="s">
        <v>52</v>
      </c>
      <c r="M1321">
        <v>373287</v>
      </c>
      <c r="N1321" s="1">
        <v>45322</v>
      </c>
      <c r="O1321" t="s">
        <v>28</v>
      </c>
      <c r="P1321">
        <v>8</v>
      </c>
      <c r="Q1321">
        <v>228392.35</v>
      </c>
    </row>
    <row r="1322" spans="1:17" x14ac:dyDescent="0.3">
      <c r="A1322" t="s">
        <v>3353</v>
      </c>
      <c r="B1322" t="s">
        <v>219</v>
      </c>
      <c r="C1322" s="2" t="str">
        <f>PROPER(TRIM(Table1[[#This Row],[Gender]]))</f>
        <v>Female</v>
      </c>
      <c r="D1322" t="s">
        <v>43</v>
      </c>
      <c r="E1322">
        <v>18</v>
      </c>
      <c r="F1322" t="s">
        <v>49</v>
      </c>
      <c r="G1322" s="1">
        <v>39088</v>
      </c>
      <c r="H1322" t="s">
        <v>3354</v>
      </c>
      <c r="I1322" s="2" t="str">
        <f t="shared" si="20"/>
        <v>+91-9263135380</v>
      </c>
      <c r="J1322">
        <f>91-9263135471</f>
        <v>-9263135380</v>
      </c>
      <c r="K1322" t="s">
        <v>60</v>
      </c>
      <c r="L1322" t="s">
        <v>34</v>
      </c>
      <c r="M1322">
        <v>531184</v>
      </c>
      <c r="N1322" s="1">
        <v>45238</v>
      </c>
      <c r="O1322" t="s">
        <v>28</v>
      </c>
      <c r="P1322">
        <v>3</v>
      </c>
      <c r="Q1322">
        <v>154111.28</v>
      </c>
    </row>
    <row r="1323" spans="1:17" x14ac:dyDescent="0.3">
      <c r="A1323" t="s">
        <v>3355</v>
      </c>
      <c r="B1323" t="s">
        <v>3356</v>
      </c>
      <c r="C1323" s="2" t="str">
        <f>PROPER(TRIM(Table1[[#This Row],[Gender]]))</f>
        <v>Male</v>
      </c>
      <c r="D1323" t="s">
        <v>16</v>
      </c>
      <c r="E1323">
        <v>37</v>
      </c>
      <c r="F1323" t="s">
        <v>38</v>
      </c>
      <c r="G1323" s="1">
        <v>32153</v>
      </c>
      <c r="H1323" t="s">
        <v>3357</v>
      </c>
      <c r="I1323" s="2" t="str">
        <f t="shared" si="20"/>
        <v>+91-9422822847</v>
      </c>
      <c r="J1323">
        <f>91-9422822938</f>
        <v>-9422822847</v>
      </c>
      <c r="K1323" t="s">
        <v>84</v>
      </c>
      <c r="L1323" t="s">
        <v>85</v>
      </c>
      <c r="M1323">
        <v>340081</v>
      </c>
      <c r="N1323" s="1">
        <v>45083</v>
      </c>
      <c r="O1323" t="s">
        <v>28</v>
      </c>
      <c r="P1323">
        <v>3</v>
      </c>
      <c r="Q1323">
        <v>227705.8</v>
      </c>
    </row>
    <row r="1324" spans="1:17" x14ac:dyDescent="0.3">
      <c r="A1324" t="s">
        <v>3358</v>
      </c>
      <c r="B1324" t="s">
        <v>1803</v>
      </c>
      <c r="C1324" s="2" t="str">
        <f>PROPER(TRIM(Table1[[#This Row],[Gender]]))</f>
        <v>Female</v>
      </c>
      <c r="D1324" t="s">
        <v>43</v>
      </c>
      <c r="E1324">
        <v>44</v>
      </c>
      <c r="F1324" t="s">
        <v>38</v>
      </c>
      <c r="G1324" s="1">
        <v>29598</v>
      </c>
      <c r="H1324" t="s">
        <v>3359</v>
      </c>
      <c r="I1324" s="2" t="str">
        <f t="shared" si="20"/>
        <v>+91-9138941386</v>
      </c>
      <c r="J1324">
        <f>91-9138941477</f>
        <v>-9138941386</v>
      </c>
      <c r="K1324" t="s">
        <v>154</v>
      </c>
      <c r="L1324" t="s">
        <v>46</v>
      </c>
      <c r="M1324">
        <v>955105</v>
      </c>
      <c r="N1324" s="1">
        <v>45409</v>
      </c>
      <c r="O1324" t="s">
        <v>28</v>
      </c>
      <c r="P1324">
        <v>5</v>
      </c>
      <c r="Q1324">
        <v>212011.31</v>
      </c>
    </row>
    <row r="1325" spans="1:17" x14ac:dyDescent="0.3">
      <c r="A1325" t="s">
        <v>3360</v>
      </c>
      <c r="B1325" t="s">
        <v>2038</v>
      </c>
      <c r="C1325" s="2" t="str">
        <f>PROPER(TRIM(Table1[[#This Row],[Gender]]))</f>
        <v>Female</v>
      </c>
      <c r="D1325" t="s">
        <v>43</v>
      </c>
      <c r="E1325">
        <v>18</v>
      </c>
      <c r="F1325" t="s">
        <v>49</v>
      </c>
      <c r="G1325" s="1">
        <v>39088</v>
      </c>
      <c r="H1325" t="s">
        <v>3361</v>
      </c>
      <c r="I1325" s="2" t="str">
        <f t="shared" si="20"/>
        <v>+91-9368794910</v>
      </c>
      <c r="J1325">
        <f>91-9368795001</f>
        <v>-9368794910</v>
      </c>
      <c r="K1325" t="s">
        <v>51</v>
      </c>
      <c r="L1325" t="s">
        <v>52</v>
      </c>
      <c r="M1325">
        <v>807696</v>
      </c>
      <c r="N1325" s="1">
        <v>45403</v>
      </c>
      <c r="O1325" t="s">
        <v>35</v>
      </c>
      <c r="P1325">
        <v>2</v>
      </c>
      <c r="Q1325">
        <v>17739.48</v>
      </c>
    </row>
    <row r="1326" spans="1:17" x14ac:dyDescent="0.3">
      <c r="A1326" t="s">
        <v>3362</v>
      </c>
      <c r="B1326" t="s">
        <v>3363</v>
      </c>
      <c r="C1326" s="2" t="str">
        <f>PROPER(TRIM(Table1[[#This Row],[Gender]]))</f>
        <v>Female</v>
      </c>
      <c r="D1326" t="s">
        <v>43</v>
      </c>
      <c r="E1326">
        <v>38</v>
      </c>
      <c r="F1326" t="s">
        <v>38</v>
      </c>
      <c r="G1326" s="1">
        <v>31788</v>
      </c>
      <c r="H1326" t="s">
        <v>3364</v>
      </c>
      <c r="I1326" s="2" t="str">
        <f t="shared" si="20"/>
        <v>+91-9047098562</v>
      </c>
      <c r="J1326">
        <f>91-9047098653</f>
        <v>-9047098562</v>
      </c>
      <c r="K1326" t="s">
        <v>273</v>
      </c>
      <c r="L1326" t="s">
        <v>46</v>
      </c>
      <c r="M1326">
        <v>204212</v>
      </c>
      <c r="N1326" s="1">
        <v>45439</v>
      </c>
      <c r="O1326" t="s">
        <v>21</v>
      </c>
      <c r="P1326">
        <v>5</v>
      </c>
      <c r="Q1326">
        <v>47934.5</v>
      </c>
    </row>
    <row r="1327" spans="1:17" x14ac:dyDescent="0.3">
      <c r="A1327" t="s">
        <v>3365</v>
      </c>
      <c r="B1327" t="s">
        <v>96</v>
      </c>
      <c r="C1327" s="2" t="str">
        <f>PROPER(TRIM(Table1[[#This Row],[Gender]]))</f>
        <v>Female</v>
      </c>
      <c r="D1327" t="s">
        <v>43</v>
      </c>
      <c r="E1327">
        <v>19</v>
      </c>
      <c r="F1327" t="s">
        <v>49</v>
      </c>
      <c r="G1327" s="1">
        <v>38723</v>
      </c>
      <c r="H1327" t="s">
        <v>3366</v>
      </c>
      <c r="I1327" s="2" t="str">
        <f t="shared" si="20"/>
        <v>+91-7649236069</v>
      </c>
      <c r="J1327">
        <f>91-7649236160</f>
        <v>-7649236069</v>
      </c>
      <c r="K1327" t="s">
        <v>40</v>
      </c>
      <c r="L1327" t="s">
        <v>27</v>
      </c>
      <c r="M1327">
        <v>250504</v>
      </c>
      <c r="N1327" s="1">
        <v>45316</v>
      </c>
      <c r="O1327" t="s">
        <v>21</v>
      </c>
      <c r="P1327">
        <v>3</v>
      </c>
      <c r="Q1327">
        <v>49962.27</v>
      </c>
    </row>
    <row r="1328" spans="1:17" x14ac:dyDescent="0.3">
      <c r="A1328" t="s">
        <v>3367</v>
      </c>
      <c r="B1328" t="s">
        <v>1668</v>
      </c>
      <c r="C1328" s="2" t="str">
        <f>PROPER(TRIM(Table1[[#This Row],[Gender]]))</f>
        <v>Male</v>
      </c>
      <c r="D1328" t="s">
        <v>16</v>
      </c>
      <c r="E1328">
        <v>37</v>
      </c>
      <c r="F1328" t="s">
        <v>38</v>
      </c>
      <c r="G1328" s="1">
        <v>32153</v>
      </c>
      <c r="H1328" t="s">
        <v>3058</v>
      </c>
      <c r="I1328" s="2" t="str">
        <f t="shared" si="20"/>
        <v>+91-8610692369</v>
      </c>
      <c r="J1328">
        <f>91-8610692460</f>
        <v>-8610692369</v>
      </c>
      <c r="K1328" t="s">
        <v>147</v>
      </c>
      <c r="L1328" t="s">
        <v>143</v>
      </c>
      <c r="M1328">
        <v>690802</v>
      </c>
      <c r="N1328" s="1">
        <v>45372</v>
      </c>
      <c r="O1328" t="s">
        <v>28</v>
      </c>
      <c r="P1328">
        <v>6</v>
      </c>
      <c r="Q1328">
        <v>290056.96999999997</v>
      </c>
    </row>
    <row r="1329" spans="1:17" x14ac:dyDescent="0.3">
      <c r="A1329" t="s">
        <v>3368</v>
      </c>
      <c r="B1329" t="s">
        <v>37</v>
      </c>
      <c r="C1329" s="2" t="str">
        <f>PROPER(TRIM(Table1[[#This Row],[Gender]]))</f>
        <v>Male</v>
      </c>
      <c r="D1329" t="s">
        <v>16</v>
      </c>
      <c r="E1329">
        <v>44</v>
      </c>
      <c r="F1329" t="s">
        <v>38</v>
      </c>
      <c r="G1329" s="1">
        <v>29598</v>
      </c>
      <c r="H1329" t="s">
        <v>3369</v>
      </c>
      <c r="I1329" s="2" t="str">
        <f t="shared" si="20"/>
        <v>+91-7450992006</v>
      </c>
      <c r="J1329">
        <f>91-7450992097</f>
        <v>-7450992006</v>
      </c>
      <c r="K1329" t="s">
        <v>154</v>
      </c>
      <c r="L1329" t="s">
        <v>46</v>
      </c>
      <c r="M1329">
        <v>337723</v>
      </c>
      <c r="N1329" s="1">
        <v>45389</v>
      </c>
      <c r="O1329" t="s">
        <v>35</v>
      </c>
      <c r="P1329">
        <v>5</v>
      </c>
      <c r="Q1329">
        <v>8790.07</v>
      </c>
    </row>
    <row r="1330" spans="1:17" x14ac:dyDescent="0.3">
      <c r="A1330" t="s">
        <v>3370</v>
      </c>
      <c r="B1330" t="s">
        <v>3371</v>
      </c>
      <c r="C1330" s="2" t="str">
        <f>PROPER(TRIM(Table1[[#This Row],[Gender]]))</f>
        <v>Female</v>
      </c>
      <c r="D1330" t="s">
        <v>43</v>
      </c>
      <c r="E1330">
        <v>27</v>
      </c>
      <c r="F1330" t="s">
        <v>31</v>
      </c>
      <c r="G1330" s="1">
        <v>35803</v>
      </c>
      <c r="H1330" t="s">
        <v>3372</v>
      </c>
      <c r="I1330" s="2" t="str">
        <f t="shared" si="20"/>
        <v>+91-9613023839</v>
      </c>
      <c r="J1330">
        <f>91-9613023930</f>
        <v>-9613023839</v>
      </c>
      <c r="K1330" t="s">
        <v>125</v>
      </c>
      <c r="L1330" t="s">
        <v>52</v>
      </c>
      <c r="M1330">
        <v>273553</v>
      </c>
      <c r="N1330" s="1">
        <v>45172</v>
      </c>
      <c r="O1330" t="s">
        <v>28</v>
      </c>
      <c r="P1330">
        <v>4</v>
      </c>
      <c r="Q1330">
        <v>82588.19</v>
      </c>
    </row>
    <row r="1331" spans="1:17" x14ac:dyDescent="0.3">
      <c r="A1331" t="s">
        <v>3373</v>
      </c>
      <c r="B1331" t="s">
        <v>1400</v>
      </c>
      <c r="C1331" s="2" t="str">
        <f>PROPER(TRIM(Table1[[#This Row],[Gender]]))</f>
        <v>Male</v>
      </c>
      <c r="D1331" t="s">
        <v>16</v>
      </c>
      <c r="E1331">
        <v>29</v>
      </c>
      <c r="F1331" t="s">
        <v>31</v>
      </c>
      <c r="G1331" s="1">
        <v>35073</v>
      </c>
      <c r="H1331" t="s">
        <v>3374</v>
      </c>
      <c r="I1331" s="2" t="str">
        <f t="shared" si="20"/>
        <v>+91-8858872099</v>
      </c>
      <c r="J1331">
        <f>91-8858872190</f>
        <v>-8858872099</v>
      </c>
      <c r="K1331" t="s">
        <v>154</v>
      </c>
      <c r="L1331" t="s">
        <v>46</v>
      </c>
      <c r="M1331">
        <v>303183</v>
      </c>
      <c r="N1331" s="1">
        <v>45154</v>
      </c>
      <c r="O1331" t="s">
        <v>28</v>
      </c>
      <c r="P1331">
        <v>6</v>
      </c>
      <c r="Q1331">
        <v>192865.02</v>
      </c>
    </row>
    <row r="1332" spans="1:17" x14ac:dyDescent="0.3">
      <c r="A1332" t="s">
        <v>3375</v>
      </c>
      <c r="B1332" t="s">
        <v>718</v>
      </c>
      <c r="C1332" s="2" t="str">
        <f>PROPER(TRIM(Table1[[#This Row],[Gender]]))</f>
        <v>Female</v>
      </c>
      <c r="D1332" t="s">
        <v>43</v>
      </c>
      <c r="E1332">
        <v>31</v>
      </c>
      <c r="F1332" t="s">
        <v>31</v>
      </c>
      <c r="G1332" s="1">
        <v>34343</v>
      </c>
      <c r="H1332" t="s">
        <v>3376</v>
      </c>
      <c r="I1332" s="2" t="str">
        <f t="shared" si="20"/>
        <v>+91-9491772729</v>
      </c>
      <c r="J1332">
        <f>91-9491772820</f>
        <v>-9491772729</v>
      </c>
      <c r="K1332" t="s">
        <v>161</v>
      </c>
      <c r="L1332" t="s">
        <v>102</v>
      </c>
      <c r="M1332">
        <v>776552</v>
      </c>
      <c r="N1332" s="1">
        <v>45307</v>
      </c>
      <c r="O1332" t="s">
        <v>28</v>
      </c>
      <c r="P1332">
        <v>5</v>
      </c>
      <c r="Q1332">
        <v>196580.22</v>
      </c>
    </row>
    <row r="1333" spans="1:17" x14ac:dyDescent="0.3">
      <c r="A1333" t="s">
        <v>3377</v>
      </c>
      <c r="B1333" t="s">
        <v>2351</v>
      </c>
      <c r="C1333" s="2" t="str">
        <f>PROPER(TRIM(Table1[[#This Row],[Gender]]))</f>
        <v>Female</v>
      </c>
      <c r="D1333" t="s">
        <v>43</v>
      </c>
      <c r="E1333">
        <v>22</v>
      </c>
      <c r="F1333" t="s">
        <v>49</v>
      </c>
      <c r="G1333" s="1">
        <v>37628</v>
      </c>
      <c r="H1333" t="s">
        <v>3378</v>
      </c>
      <c r="I1333" s="2" t="str">
        <f t="shared" si="20"/>
        <v>+91-9079492343</v>
      </c>
      <c r="J1333">
        <f>91-9079492434</f>
        <v>-9079492343</v>
      </c>
      <c r="K1333" t="s">
        <v>202</v>
      </c>
      <c r="L1333" t="s">
        <v>191</v>
      </c>
      <c r="M1333">
        <v>995665</v>
      </c>
      <c r="N1333" s="1">
        <v>45441</v>
      </c>
      <c r="O1333" t="s">
        <v>28</v>
      </c>
      <c r="P1333">
        <v>11</v>
      </c>
      <c r="Q1333">
        <v>296691.34000000003</v>
      </c>
    </row>
    <row r="1334" spans="1:17" x14ac:dyDescent="0.3">
      <c r="A1334" t="s">
        <v>3379</v>
      </c>
      <c r="B1334" t="s">
        <v>1178</v>
      </c>
      <c r="C1334" s="2" t="str">
        <f>PROPER(TRIM(Table1[[#This Row],[Gender]]))</f>
        <v>Female</v>
      </c>
      <c r="D1334" t="s">
        <v>43</v>
      </c>
      <c r="E1334">
        <v>64</v>
      </c>
      <c r="F1334" t="s">
        <v>58</v>
      </c>
      <c r="G1334" s="1">
        <v>22298</v>
      </c>
      <c r="H1334" t="s">
        <v>3380</v>
      </c>
      <c r="I1334" s="2" t="str">
        <f t="shared" si="20"/>
        <v>+91-7315630132</v>
      </c>
      <c r="J1334">
        <f>91-7315630223</f>
        <v>-7315630132</v>
      </c>
      <c r="K1334" t="s">
        <v>113</v>
      </c>
      <c r="L1334" t="s">
        <v>34</v>
      </c>
      <c r="M1334">
        <v>950553</v>
      </c>
      <c r="N1334" s="1">
        <v>45295</v>
      </c>
      <c r="O1334" t="s">
        <v>35</v>
      </c>
      <c r="P1334">
        <v>3</v>
      </c>
      <c r="Q1334">
        <v>2808.21</v>
      </c>
    </row>
    <row r="1335" spans="1:17" x14ac:dyDescent="0.3">
      <c r="A1335" t="s">
        <v>3381</v>
      </c>
      <c r="B1335" t="s">
        <v>1239</v>
      </c>
      <c r="C1335" s="2" t="str">
        <f>PROPER(TRIM(Table1[[#This Row],[Gender]]))</f>
        <v>Female</v>
      </c>
      <c r="D1335" t="s">
        <v>43</v>
      </c>
      <c r="E1335">
        <v>20</v>
      </c>
      <c r="F1335" t="s">
        <v>49</v>
      </c>
      <c r="G1335" s="1">
        <v>38358</v>
      </c>
      <c r="H1335" t="s">
        <v>3382</v>
      </c>
      <c r="I1335" s="2" t="str">
        <f t="shared" si="20"/>
        <v>+91-8715556388</v>
      </c>
      <c r="J1335">
        <f>91-8715556479</f>
        <v>-8715556388</v>
      </c>
      <c r="K1335" t="s">
        <v>369</v>
      </c>
      <c r="L1335" t="s">
        <v>191</v>
      </c>
      <c r="M1335">
        <v>870778</v>
      </c>
      <c r="N1335" s="1">
        <v>45257</v>
      </c>
      <c r="O1335" t="s">
        <v>35</v>
      </c>
      <c r="P1335">
        <v>3</v>
      </c>
      <c r="Q1335">
        <v>3348.08</v>
      </c>
    </row>
    <row r="1336" spans="1:17" x14ac:dyDescent="0.3">
      <c r="A1336" t="s">
        <v>3383</v>
      </c>
      <c r="B1336" t="s">
        <v>644</v>
      </c>
      <c r="C1336" s="2" t="str">
        <f>PROPER(TRIM(Table1[[#This Row],[Gender]]))</f>
        <v>Female</v>
      </c>
      <c r="D1336" t="s">
        <v>43</v>
      </c>
      <c r="E1336">
        <v>59</v>
      </c>
      <c r="F1336" t="s">
        <v>58</v>
      </c>
      <c r="G1336" s="1">
        <v>24123</v>
      </c>
      <c r="H1336" t="s">
        <v>3384</v>
      </c>
      <c r="I1336" s="2" t="str">
        <f t="shared" si="20"/>
        <v>+91-9270184076</v>
      </c>
      <c r="J1336">
        <f>91-9270184167</f>
        <v>-9270184076</v>
      </c>
      <c r="K1336" t="s">
        <v>19</v>
      </c>
      <c r="L1336" t="s">
        <v>20</v>
      </c>
      <c r="M1336">
        <v>955085</v>
      </c>
      <c r="N1336" s="1">
        <v>45373</v>
      </c>
      <c r="O1336" t="s">
        <v>21</v>
      </c>
      <c r="P1336">
        <v>4</v>
      </c>
      <c r="Q1336">
        <v>39308.04</v>
      </c>
    </row>
    <row r="1337" spans="1:17" x14ac:dyDescent="0.3">
      <c r="A1337" t="s">
        <v>3385</v>
      </c>
      <c r="B1337" t="s">
        <v>3386</v>
      </c>
      <c r="C1337" s="2" t="str">
        <f>PROPER(TRIM(Table1[[#This Row],[Gender]]))</f>
        <v>Female</v>
      </c>
      <c r="D1337" t="s">
        <v>43</v>
      </c>
      <c r="E1337">
        <v>72</v>
      </c>
      <c r="F1337" t="s">
        <v>24</v>
      </c>
      <c r="G1337" s="1">
        <v>19378</v>
      </c>
      <c r="H1337" t="s">
        <v>3387</v>
      </c>
      <c r="I1337" s="2" t="str">
        <f t="shared" si="20"/>
        <v>+91-8914917740</v>
      </c>
      <c r="J1337">
        <f>91-8914917831</f>
        <v>-8914917740</v>
      </c>
      <c r="K1337" t="s">
        <v>161</v>
      </c>
      <c r="L1337" t="s">
        <v>102</v>
      </c>
      <c r="M1337">
        <v>893475</v>
      </c>
      <c r="N1337" s="1">
        <v>45376</v>
      </c>
      <c r="O1337" t="s">
        <v>35</v>
      </c>
      <c r="P1337">
        <v>4</v>
      </c>
      <c r="Q1337">
        <v>13147.07</v>
      </c>
    </row>
    <row r="1338" spans="1:17" x14ac:dyDescent="0.3">
      <c r="A1338" t="s">
        <v>3388</v>
      </c>
      <c r="B1338" t="s">
        <v>2199</v>
      </c>
      <c r="C1338" s="2" t="str">
        <f>PROPER(TRIM(Table1[[#This Row],[Gender]]))</f>
        <v>Female</v>
      </c>
      <c r="D1338" t="s">
        <v>43</v>
      </c>
      <c r="E1338">
        <v>21</v>
      </c>
      <c r="F1338" t="s">
        <v>49</v>
      </c>
      <c r="G1338" s="1">
        <v>37993</v>
      </c>
      <c r="H1338" t="s">
        <v>3389</v>
      </c>
      <c r="I1338" s="2" t="str">
        <f t="shared" si="20"/>
        <v>+91-9131440783</v>
      </c>
      <c r="J1338">
        <f>91-9131440874</f>
        <v>-9131440783</v>
      </c>
      <c r="K1338" t="s">
        <v>369</v>
      </c>
      <c r="L1338" t="s">
        <v>191</v>
      </c>
      <c r="M1338">
        <v>174610</v>
      </c>
      <c r="N1338" s="1">
        <v>45335</v>
      </c>
      <c r="O1338" t="s">
        <v>28</v>
      </c>
      <c r="P1338">
        <v>9</v>
      </c>
      <c r="Q1338">
        <v>506402.15</v>
      </c>
    </row>
    <row r="1339" spans="1:17" x14ac:dyDescent="0.3">
      <c r="A1339" t="s">
        <v>3390</v>
      </c>
      <c r="B1339" t="s">
        <v>3391</v>
      </c>
      <c r="C1339" s="2" t="str">
        <f>PROPER(TRIM(Table1[[#This Row],[Gender]]))</f>
        <v>Female</v>
      </c>
      <c r="D1339" t="s">
        <v>43</v>
      </c>
      <c r="E1339">
        <v>26</v>
      </c>
      <c r="F1339" t="s">
        <v>31</v>
      </c>
      <c r="G1339" s="1">
        <v>36168</v>
      </c>
      <c r="H1339" t="s">
        <v>3392</v>
      </c>
      <c r="I1339" s="2" t="str">
        <f t="shared" si="20"/>
        <v>+91-8477083397</v>
      </c>
      <c r="J1339">
        <f>91-8477083488</f>
        <v>-8477083397</v>
      </c>
      <c r="K1339" t="s">
        <v>26</v>
      </c>
      <c r="L1339" t="s">
        <v>27</v>
      </c>
      <c r="M1339">
        <v>379427</v>
      </c>
      <c r="N1339" s="1">
        <v>45200</v>
      </c>
      <c r="O1339" t="s">
        <v>28</v>
      </c>
      <c r="P1339">
        <v>5</v>
      </c>
      <c r="Q1339">
        <v>79869.42</v>
      </c>
    </row>
    <row r="1340" spans="1:17" x14ac:dyDescent="0.3">
      <c r="A1340" t="s">
        <v>3393</v>
      </c>
      <c r="B1340" t="s">
        <v>2038</v>
      </c>
      <c r="C1340" s="2" t="str">
        <f>PROPER(TRIM(Table1[[#This Row],[Gender]]))</f>
        <v>Female</v>
      </c>
      <c r="D1340" t="s">
        <v>43</v>
      </c>
      <c r="E1340">
        <v>37</v>
      </c>
      <c r="F1340" t="s">
        <v>38</v>
      </c>
      <c r="G1340" s="1">
        <v>32153</v>
      </c>
      <c r="H1340" t="s">
        <v>3394</v>
      </c>
      <c r="I1340" s="2" t="str">
        <f t="shared" si="20"/>
        <v>+91-8138014813</v>
      </c>
      <c r="J1340">
        <f>91-8138014904</f>
        <v>-8138014813</v>
      </c>
      <c r="K1340" t="s">
        <v>72</v>
      </c>
      <c r="L1340" t="s">
        <v>34</v>
      </c>
      <c r="M1340">
        <v>466190</v>
      </c>
      <c r="N1340" s="1">
        <v>45135</v>
      </c>
      <c r="O1340" t="s">
        <v>28</v>
      </c>
      <c r="P1340">
        <v>7</v>
      </c>
      <c r="Q1340">
        <v>364504.4</v>
      </c>
    </row>
    <row r="1341" spans="1:17" x14ac:dyDescent="0.3">
      <c r="A1341" t="s">
        <v>3395</v>
      </c>
      <c r="B1341" t="s">
        <v>145</v>
      </c>
      <c r="C1341" s="2" t="str">
        <f>PROPER(TRIM(Table1[[#This Row],[Gender]]))</f>
        <v>Female</v>
      </c>
      <c r="D1341" t="s">
        <v>43</v>
      </c>
      <c r="E1341">
        <v>55</v>
      </c>
      <c r="F1341" t="s">
        <v>17</v>
      </c>
      <c r="G1341" s="1">
        <v>25583</v>
      </c>
      <c r="H1341" t="s">
        <v>3396</v>
      </c>
      <c r="I1341" s="2" t="str">
        <f t="shared" si="20"/>
        <v>+91-7508716356</v>
      </c>
      <c r="J1341">
        <f>91-7508716447</f>
        <v>-7508716356</v>
      </c>
      <c r="K1341" t="s">
        <v>580</v>
      </c>
      <c r="L1341" t="s">
        <v>85</v>
      </c>
      <c r="M1341">
        <v>286476</v>
      </c>
      <c r="N1341" s="1">
        <v>45295</v>
      </c>
      <c r="O1341" t="s">
        <v>28</v>
      </c>
      <c r="P1341">
        <v>11</v>
      </c>
      <c r="Q1341">
        <v>111694.35</v>
      </c>
    </row>
    <row r="1342" spans="1:17" x14ac:dyDescent="0.3">
      <c r="A1342" t="s">
        <v>3397</v>
      </c>
      <c r="B1342" t="s">
        <v>3398</v>
      </c>
      <c r="C1342" s="2" t="str">
        <f>PROPER(TRIM(Table1[[#This Row],[Gender]]))</f>
        <v>Male</v>
      </c>
      <c r="D1342" t="s">
        <v>16</v>
      </c>
      <c r="E1342">
        <v>24</v>
      </c>
      <c r="F1342" t="s">
        <v>49</v>
      </c>
      <c r="G1342" s="1">
        <v>36898</v>
      </c>
      <c r="H1342" t="s">
        <v>3399</v>
      </c>
      <c r="I1342" s="2" t="str">
        <f t="shared" si="20"/>
        <v>+91-7368301445</v>
      </c>
      <c r="J1342">
        <f>91-7368301536</f>
        <v>-7368301445</v>
      </c>
      <c r="K1342" t="s">
        <v>121</v>
      </c>
      <c r="L1342" t="s">
        <v>85</v>
      </c>
      <c r="M1342">
        <v>700987</v>
      </c>
      <c r="N1342" s="1">
        <v>45112</v>
      </c>
      <c r="O1342" t="s">
        <v>28</v>
      </c>
      <c r="P1342">
        <v>7</v>
      </c>
      <c r="Q1342">
        <v>123161.27</v>
      </c>
    </row>
    <row r="1343" spans="1:17" x14ac:dyDescent="0.3">
      <c r="A1343" t="s">
        <v>3400</v>
      </c>
      <c r="B1343" t="s">
        <v>856</v>
      </c>
      <c r="C1343" s="2" t="str">
        <f>PROPER(TRIM(Table1[[#This Row],[Gender]]))</f>
        <v>Female</v>
      </c>
      <c r="D1343" t="s">
        <v>43</v>
      </c>
      <c r="E1343">
        <v>30</v>
      </c>
      <c r="F1343" t="s">
        <v>31</v>
      </c>
      <c r="G1343" s="1">
        <v>34708</v>
      </c>
      <c r="H1343" t="s">
        <v>3401</v>
      </c>
      <c r="I1343" s="2" t="str">
        <f t="shared" si="20"/>
        <v>+91-9215094091</v>
      </c>
      <c r="J1343">
        <f>91-9215094182</f>
        <v>-9215094091</v>
      </c>
      <c r="K1343" t="s">
        <v>161</v>
      </c>
      <c r="L1343" t="s">
        <v>102</v>
      </c>
      <c r="M1343">
        <v>713794</v>
      </c>
      <c r="N1343" s="1">
        <v>45360</v>
      </c>
      <c r="O1343" t="s">
        <v>21</v>
      </c>
      <c r="P1343">
        <v>5</v>
      </c>
      <c r="Q1343">
        <v>25410.75</v>
      </c>
    </row>
    <row r="1344" spans="1:17" x14ac:dyDescent="0.3">
      <c r="A1344" t="s">
        <v>3402</v>
      </c>
      <c r="B1344" t="s">
        <v>2024</v>
      </c>
      <c r="C1344" s="2" t="str">
        <f>PROPER(TRIM(Table1[[#This Row],[Gender]]))</f>
        <v>Female</v>
      </c>
      <c r="D1344" t="s">
        <v>43</v>
      </c>
      <c r="E1344">
        <v>20</v>
      </c>
      <c r="F1344" t="s">
        <v>49</v>
      </c>
      <c r="G1344" s="1">
        <v>38358</v>
      </c>
      <c r="H1344" t="s">
        <v>3403</v>
      </c>
      <c r="I1344" s="2" t="str">
        <f t="shared" si="20"/>
        <v>+91-8264798586</v>
      </c>
      <c r="J1344">
        <f>91-8264798677</f>
        <v>-8264798586</v>
      </c>
      <c r="K1344" t="s">
        <v>68</v>
      </c>
      <c r="L1344" t="s">
        <v>52</v>
      </c>
      <c r="M1344">
        <v>612291</v>
      </c>
      <c r="N1344" s="1">
        <v>45374</v>
      </c>
      <c r="O1344" t="s">
        <v>21</v>
      </c>
      <c r="P1344">
        <v>6</v>
      </c>
      <c r="Q1344">
        <v>46290.3</v>
      </c>
    </row>
    <row r="1345" spans="1:17" x14ac:dyDescent="0.3">
      <c r="A1345" t="s">
        <v>3404</v>
      </c>
      <c r="B1345" t="s">
        <v>647</v>
      </c>
      <c r="C1345" s="2" t="str">
        <f>PROPER(TRIM(Table1[[#This Row],[Gender]]))</f>
        <v>Male</v>
      </c>
      <c r="D1345" t="s">
        <v>16</v>
      </c>
      <c r="E1345">
        <v>51</v>
      </c>
      <c r="F1345" t="s">
        <v>17</v>
      </c>
      <c r="G1345" s="1">
        <v>27043</v>
      </c>
      <c r="H1345" t="s">
        <v>3405</v>
      </c>
      <c r="I1345" s="2" t="str">
        <f t="shared" si="20"/>
        <v>+91-9142460041</v>
      </c>
      <c r="J1345">
        <f>91-9142460132</f>
        <v>-9142460041</v>
      </c>
      <c r="K1345" t="s">
        <v>80</v>
      </c>
      <c r="L1345" t="s">
        <v>20</v>
      </c>
      <c r="M1345">
        <v>627745</v>
      </c>
      <c r="N1345" s="1">
        <v>45120</v>
      </c>
      <c r="O1345" t="s">
        <v>35</v>
      </c>
      <c r="P1345">
        <v>2</v>
      </c>
      <c r="Q1345">
        <v>3433.48</v>
      </c>
    </row>
    <row r="1346" spans="1:17" x14ac:dyDescent="0.3">
      <c r="A1346" t="s">
        <v>3406</v>
      </c>
      <c r="B1346" t="s">
        <v>1136</v>
      </c>
      <c r="C1346" s="2" t="str">
        <f>PROPER(TRIM(Table1[[#This Row],[Gender]]))</f>
        <v>Male</v>
      </c>
      <c r="D1346" t="s">
        <v>16</v>
      </c>
      <c r="E1346">
        <v>65</v>
      </c>
      <c r="F1346" t="s">
        <v>58</v>
      </c>
      <c r="G1346" s="1">
        <v>21933</v>
      </c>
      <c r="H1346" t="s">
        <v>3407</v>
      </c>
      <c r="I1346" s="2" t="str">
        <f t="shared" ref="I1346:I1409" si="21">"+91"&amp;TEXT(J1346,"0000000000")</f>
        <v>+91-8702326416</v>
      </c>
      <c r="J1346">
        <f>91-8702326507</f>
        <v>-8702326416</v>
      </c>
      <c r="K1346" t="s">
        <v>117</v>
      </c>
      <c r="L1346" t="s">
        <v>52</v>
      </c>
      <c r="M1346">
        <v>705692</v>
      </c>
      <c r="N1346" s="1">
        <v>45285</v>
      </c>
      <c r="O1346" t="s">
        <v>35</v>
      </c>
      <c r="P1346">
        <v>1</v>
      </c>
      <c r="Q1346">
        <v>2363.34</v>
      </c>
    </row>
    <row r="1347" spans="1:17" x14ac:dyDescent="0.3">
      <c r="A1347" t="s">
        <v>3408</v>
      </c>
      <c r="B1347" t="s">
        <v>342</v>
      </c>
      <c r="C1347" s="2" t="str">
        <f>PROPER(TRIM(Table1[[#This Row],[Gender]]))</f>
        <v>Male</v>
      </c>
      <c r="D1347" t="s">
        <v>16</v>
      </c>
      <c r="E1347">
        <v>44</v>
      </c>
      <c r="F1347" t="s">
        <v>38</v>
      </c>
      <c r="G1347" s="1">
        <v>29598</v>
      </c>
      <c r="H1347" t="s">
        <v>3409</v>
      </c>
      <c r="I1347" s="2" t="str">
        <f t="shared" si="21"/>
        <v>+91-7717356601</v>
      </c>
      <c r="J1347">
        <f>91-7717356692</f>
        <v>-7717356601</v>
      </c>
      <c r="K1347" t="s">
        <v>121</v>
      </c>
      <c r="L1347" t="s">
        <v>85</v>
      </c>
      <c r="M1347">
        <v>873199</v>
      </c>
      <c r="N1347" s="1">
        <v>45116</v>
      </c>
      <c r="O1347" t="s">
        <v>35</v>
      </c>
      <c r="P1347">
        <v>0</v>
      </c>
      <c r="Q1347">
        <v>0</v>
      </c>
    </row>
    <row r="1348" spans="1:17" x14ac:dyDescent="0.3">
      <c r="A1348" t="s">
        <v>3410</v>
      </c>
      <c r="B1348" t="s">
        <v>1181</v>
      </c>
      <c r="C1348" s="2" t="str">
        <f>PROPER(TRIM(Table1[[#This Row],[Gender]]))</f>
        <v>Male</v>
      </c>
      <c r="D1348" t="s">
        <v>16</v>
      </c>
      <c r="E1348">
        <v>39</v>
      </c>
      <c r="F1348" t="s">
        <v>38</v>
      </c>
      <c r="G1348" s="1">
        <v>31423</v>
      </c>
      <c r="H1348" t="s">
        <v>3411</v>
      </c>
      <c r="I1348" s="2" t="str">
        <f t="shared" si="21"/>
        <v>+91-9544886359</v>
      </c>
      <c r="J1348">
        <f>91-9544886450</f>
        <v>-9544886359</v>
      </c>
      <c r="K1348" t="s">
        <v>142</v>
      </c>
      <c r="L1348" t="s">
        <v>143</v>
      </c>
      <c r="M1348">
        <v>637900</v>
      </c>
      <c r="N1348" s="1">
        <v>45246</v>
      </c>
      <c r="O1348" t="s">
        <v>35</v>
      </c>
      <c r="P1348">
        <v>2</v>
      </c>
      <c r="Q1348">
        <v>8592.65</v>
      </c>
    </row>
    <row r="1349" spans="1:17" x14ac:dyDescent="0.3">
      <c r="A1349" t="s">
        <v>3412</v>
      </c>
      <c r="B1349" t="s">
        <v>428</v>
      </c>
      <c r="C1349" s="2" t="str">
        <f>PROPER(TRIM(Table1[[#This Row],[Gender]]))</f>
        <v>Male</v>
      </c>
      <c r="D1349" t="s">
        <v>16</v>
      </c>
      <c r="E1349">
        <v>35</v>
      </c>
      <c r="F1349" t="s">
        <v>31</v>
      </c>
      <c r="G1349" s="1">
        <v>32883</v>
      </c>
      <c r="H1349" t="s">
        <v>3413</v>
      </c>
      <c r="I1349" s="2" t="str">
        <f t="shared" si="21"/>
        <v>+91-8901109224</v>
      </c>
      <c r="J1349">
        <f>91-8901109315</f>
        <v>-8901109224</v>
      </c>
      <c r="K1349" t="s">
        <v>125</v>
      </c>
      <c r="L1349" t="s">
        <v>52</v>
      </c>
      <c r="M1349">
        <v>791963</v>
      </c>
      <c r="N1349" s="1">
        <v>45407</v>
      </c>
      <c r="O1349" t="s">
        <v>28</v>
      </c>
      <c r="P1349">
        <v>6</v>
      </c>
      <c r="Q1349">
        <v>121494.96</v>
      </c>
    </row>
    <row r="1350" spans="1:17" x14ac:dyDescent="0.3">
      <c r="A1350" t="s">
        <v>3414</v>
      </c>
      <c r="B1350" t="s">
        <v>836</v>
      </c>
      <c r="C1350" s="2" t="str">
        <f>PROPER(TRIM(Table1[[#This Row],[Gender]]))</f>
        <v>Female</v>
      </c>
      <c r="D1350" t="s">
        <v>43</v>
      </c>
      <c r="E1350">
        <v>22</v>
      </c>
      <c r="F1350" t="s">
        <v>49</v>
      </c>
      <c r="G1350" s="1">
        <v>37628</v>
      </c>
      <c r="H1350" t="s">
        <v>1653</v>
      </c>
      <c r="I1350" s="2" t="str">
        <f t="shared" si="21"/>
        <v>+91-9817116132</v>
      </c>
      <c r="J1350">
        <f>91-9817116223</f>
        <v>-9817116132</v>
      </c>
      <c r="K1350" t="s">
        <v>239</v>
      </c>
      <c r="L1350" t="s">
        <v>191</v>
      </c>
      <c r="M1350">
        <v>432736</v>
      </c>
      <c r="N1350" s="1">
        <v>45421</v>
      </c>
      <c r="O1350" t="s">
        <v>28</v>
      </c>
      <c r="P1350">
        <v>5</v>
      </c>
      <c r="Q1350">
        <v>200700.73</v>
      </c>
    </row>
    <row r="1351" spans="1:17" x14ac:dyDescent="0.3">
      <c r="A1351" t="s">
        <v>3415</v>
      </c>
      <c r="B1351" t="s">
        <v>1784</v>
      </c>
      <c r="C1351" s="2" t="str">
        <f>PROPER(TRIM(Table1[[#This Row],[Gender]]))</f>
        <v>Female</v>
      </c>
      <c r="D1351" t="s">
        <v>43</v>
      </c>
      <c r="E1351">
        <v>20</v>
      </c>
      <c r="F1351" t="s">
        <v>49</v>
      </c>
      <c r="G1351" s="1">
        <v>38358</v>
      </c>
      <c r="H1351" t="s">
        <v>3416</v>
      </c>
      <c r="I1351" s="2" t="str">
        <f t="shared" si="21"/>
        <v>+91-8113179760</v>
      </c>
      <c r="J1351">
        <f>91-8113179851</f>
        <v>-8113179760</v>
      </c>
      <c r="K1351" t="s">
        <v>72</v>
      </c>
      <c r="L1351" t="s">
        <v>34</v>
      </c>
      <c r="M1351">
        <v>302046</v>
      </c>
      <c r="N1351" s="1">
        <v>45381</v>
      </c>
      <c r="O1351" t="s">
        <v>35</v>
      </c>
      <c r="P1351">
        <v>1</v>
      </c>
      <c r="Q1351">
        <v>8354.44</v>
      </c>
    </row>
    <row r="1352" spans="1:17" x14ac:dyDescent="0.3">
      <c r="A1352" t="s">
        <v>3417</v>
      </c>
      <c r="B1352" t="s">
        <v>321</v>
      </c>
      <c r="C1352" s="2" t="str">
        <f>PROPER(TRIM(Table1[[#This Row],[Gender]]))</f>
        <v>Female</v>
      </c>
      <c r="D1352" t="s">
        <v>43</v>
      </c>
      <c r="E1352">
        <v>33</v>
      </c>
      <c r="F1352" t="s">
        <v>31</v>
      </c>
      <c r="G1352" s="1">
        <v>33613</v>
      </c>
      <c r="H1352" t="s">
        <v>1122</v>
      </c>
      <c r="I1352" s="2" t="str">
        <f t="shared" si="21"/>
        <v>+91-9461115917</v>
      </c>
      <c r="J1352">
        <f>91-9461116008</f>
        <v>-9461115917</v>
      </c>
      <c r="K1352" t="s">
        <v>72</v>
      </c>
      <c r="L1352" t="s">
        <v>34</v>
      </c>
      <c r="M1352">
        <v>881147</v>
      </c>
      <c r="N1352" s="1">
        <v>45379</v>
      </c>
      <c r="O1352" t="s">
        <v>28</v>
      </c>
      <c r="P1352">
        <v>7</v>
      </c>
      <c r="Q1352">
        <v>155664.32000000001</v>
      </c>
    </row>
    <row r="1353" spans="1:17" x14ac:dyDescent="0.3">
      <c r="A1353" t="s">
        <v>3418</v>
      </c>
      <c r="B1353" t="s">
        <v>1485</v>
      </c>
      <c r="C1353" s="2" t="str">
        <f>PROPER(TRIM(Table1[[#This Row],[Gender]]))</f>
        <v>Female</v>
      </c>
      <c r="D1353" t="s">
        <v>43</v>
      </c>
      <c r="E1353">
        <v>25</v>
      </c>
      <c r="F1353" t="s">
        <v>49</v>
      </c>
      <c r="G1353" s="1">
        <v>36533</v>
      </c>
      <c r="H1353" t="s">
        <v>3419</v>
      </c>
      <c r="I1353" s="2" t="str">
        <f t="shared" si="21"/>
        <v>+91-8081781193</v>
      </c>
      <c r="J1353">
        <f>91-8081781284</f>
        <v>-8081781193</v>
      </c>
      <c r="K1353" t="s">
        <v>369</v>
      </c>
      <c r="L1353" t="s">
        <v>191</v>
      </c>
      <c r="M1353">
        <v>684491</v>
      </c>
      <c r="N1353" s="1">
        <v>45256</v>
      </c>
      <c r="O1353" t="s">
        <v>28</v>
      </c>
      <c r="P1353">
        <v>8</v>
      </c>
      <c r="Q1353">
        <v>172232.04</v>
      </c>
    </row>
    <row r="1354" spans="1:17" x14ac:dyDescent="0.3">
      <c r="A1354" t="s">
        <v>3420</v>
      </c>
      <c r="B1354" t="s">
        <v>180</v>
      </c>
      <c r="C1354" s="2" t="str">
        <f>PROPER(TRIM(Table1[[#This Row],[Gender]]))</f>
        <v>Female</v>
      </c>
      <c r="D1354" t="s">
        <v>43</v>
      </c>
      <c r="E1354">
        <v>31</v>
      </c>
      <c r="F1354" t="s">
        <v>31</v>
      </c>
      <c r="G1354" s="1">
        <v>34343</v>
      </c>
      <c r="H1354" t="s">
        <v>3421</v>
      </c>
      <c r="I1354" s="2" t="str">
        <f t="shared" si="21"/>
        <v>+91-9683706408</v>
      </c>
      <c r="J1354">
        <f>91-9683706499</f>
        <v>-9683706408</v>
      </c>
      <c r="K1354" t="s">
        <v>273</v>
      </c>
      <c r="L1354" t="s">
        <v>46</v>
      </c>
      <c r="M1354">
        <v>629058</v>
      </c>
      <c r="N1354" s="1">
        <v>45405</v>
      </c>
      <c r="O1354" t="s">
        <v>35</v>
      </c>
      <c r="P1354">
        <v>2</v>
      </c>
      <c r="Q1354">
        <v>16655.38</v>
      </c>
    </row>
    <row r="1355" spans="1:17" x14ac:dyDescent="0.3">
      <c r="A1355" t="s">
        <v>3422</v>
      </c>
      <c r="B1355" t="s">
        <v>1316</v>
      </c>
      <c r="C1355" s="2" t="str">
        <f>PROPER(TRIM(Table1[[#This Row],[Gender]]))</f>
        <v>Female</v>
      </c>
      <c r="D1355" t="s">
        <v>43</v>
      </c>
      <c r="E1355">
        <v>42</v>
      </c>
      <c r="F1355" t="s">
        <v>38</v>
      </c>
      <c r="G1355" s="1">
        <v>30328</v>
      </c>
      <c r="H1355" t="s">
        <v>3423</v>
      </c>
      <c r="I1355" s="2" t="str">
        <f t="shared" si="21"/>
        <v>+91-8924221113</v>
      </c>
      <c r="J1355">
        <f>91-8924221204</f>
        <v>-8924221113</v>
      </c>
      <c r="K1355" t="s">
        <v>249</v>
      </c>
      <c r="L1355" t="s">
        <v>34</v>
      </c>
      <c r="M1355">
        <v>742686</v>
      </c>
      <c r="N1355" s="1">
        <v>45127</v>
      </c>
      <c r="O1355" t="s">
        <v>35</v>
      </c>
      <c r="P1355">
        <v>2</v>
      </c>
      <c r="Q1355">
        <v>2686.61</v>
      </c>
    </row>
    <row r="1356" spans="1:17" x14ac:dyDescent="0.3">
      <c r="A1356" t="s">
        <v>3424</v>
      </c>
      <c r="B1356" t="s">
        <v>1414</v>
      </c>
      <c r="C1356" s="2" t="str">
        <f>PROPER(TRIM(Table1[[#This Row],[Gender]]))</f>
        <v>Male</v>
      </c>
      <c r="D1356" t="s">
        <v>16</v>
      </c>
      <c r="E1356">
        <v>49</v>
      </c>
      <c r="F1356" t="s">
        <v>17</v>
      </c>
      <c r="G1356" s="1">
        <v>27773</v>
      </c>
      <c r="H1356" t="s">
        <v>3425</v>
      </c>
      <c r="I1356" s="2" t="str">
        <f t="shared" si="21"/>
        <v>+91-9622009658</v>
      </c>
      <c r="J1356">
        <f>91-9622009749</f>
        <v>-9622009658</v>
      </c>
      <c r="K1356" t="s">
        <v>154</v>
      </c>
      <c r="L1356" t="s">
        <v>46</v>
      </c>
      <c r="M1356">
        <v>858282</v>
      </c>
      <c r="N1356" s="1">
        <v>45420</v>
      </c>
      <c r="O1356" t="s">
        <v>21</v>
      </c>
      <c r="P1356">
        <v>5</v>
      </c>
      <c r="Q1356">
        <v>28063.43</v>
      </c>
    </row>
    <row r="1357" spans="1:17" x14ac:dyDescent="0.3">
      <c r="A1357" t="s">
        <v>3426</v>
      </c>
      <c r="B1357" t="s">
        <v>42</v>
      </c>
      <c r="C1357" s="2" t="str">
        <f>PROPER(TRIM(Table1[[#This Row],[Gender]]))</f>
        <v>Female</v>
      </c>
      <c r="D1357" t="s">
        <v>43</v>
      </c>
      <c r="E1357">
        <v>33</v>
      </c>
      <c r="F1357" t="s">
        <v>31</v>
      </c>
      <c r="G1357" s="1">
        <v>33613</v>
      </c>
      <c r="H1357" t="s">
        <v>3427</v>
      </c>
      <c r="I1357" s="2" t="str">
        <f t="shared" si="21"/>
        <v>+91-7398988957</v>
      </c>
      <c r="J1357">
        <f>91-7398989048</f>
        <v>-7398988957</v>
      </c>
      <c r="K1357" t="s">
        <v>113</v>
      </c>
      <c r="L1357" t="s">
        <v>34</v>
      </c>
      <c r="M1357">
        <v>183674</v>
      </c>
      <c r="N1357" s="1">
        <v>45387</v>
      </c>
      <c r="O1357" t="s">
        <v>28</v>
      </c>
      <c r="P1357">
        <v>8</v>
      </c>
      <c r="Q1357">
        <v>308107</v>
      </c>
    </row>
    <row r="1358" spans="1:17" x14ac:dyDescent="0.3">
      <c r="A1358" t="s">
        <v>3428</v>
      </c>
      <c r="B1358" t="s">
        <v>915</v>
      </c>
      <c r="C1358" s="2" t="str">
        <f>PROPER(TRIM(Table1[[#This Row],[Gender]]))</f>
        <v>Male</v>
      </c>
      <c r="D1358" t="s">
        <v>16</v>
      </c>
      <c r="E1358">
        <v>31</v>
      </c>
      <c r="F1358" t="s">
        <v>31</v>
      </c>
      <c r="G1358" s="1">
        <v>34343</v>
      </c>
      <c r="H1358" t="s">
        <v>3429</v>
      </c>
      <c r="I1358" s="2" t="str">
        <f t="shared" si="21"/>
        <v>+91-8744798680</v>
      </c>
      <c r="J1358">
        <f>91-8744798771</f>
        <v>-8744798680</v>
      </c>
      <c r="K1358" t="s">
        <v>147</v>
      </c>
      <c r="L1358" t="s">
        <v>143</v>
      </c>
      <c r="M1358">
        <v>416365</v>
      </c>
      <c r="N1358" s="1">
        <v>45248</v>
      </c>
      <c r="O1358" t="s">
        <v>28</v>
      </c>
      <c r="P1358">
        <v>3</v>
      </c>
      <c r="Q1358">
        <v>141692.9</v>
      </c>
    </row>
    <row r="1359" spans="1:17" x14ac:dyDescent="0.3">
      <c r="A1359" t="s">
        <v>3430</v>
      </c>
      <c r="B1359" t="s">
        <v>1701</v>
      </c>
      <c r="C1359" s="2" t="str">
        <f>PROPER(TRIM(Table1[[#This Row],[Gender]]))</f>
        <v>Male</v>
      </c>
      <c r="D1359" t="s">
        <v>16</v>
      </c>
      <c r="E1359">
        <v>22</v>
      </c>
      <c r="F1359" t="s">
        <v>49</v>
      </c>
      <c r="G1359" s="1">
        <v>37628</v>
      </c>
      <c r="H1359" t="s">
        <v>3431</v>
      </c>
      <c r="I1359" s="2" t="str">
        <f t="shared" si="21"/>
        <v>+91-7502494849</v>
      </c>
      <c r="J1359">
        <f>91-7502494940</f>
        <v>-7502494849</v>
      </c>
      <c r="K1359" t="s">
        <v>369</v>
      </c>
      <c r="L1359" t="s">
        <v>191</v>
      </c>
      <c r="M1359">
        <v>677091</v>
      </c>
      <c r="N1359" s="1">
        <v>45366</v>
      </c>
      <c r="O1359" t="s">
        <v>35</v>
      </c>
      <c r="P1359">
        <v>4</v>
      </c>
      <c r="Q1359">
        <v>16750.439999999999</v>
      </c>
    </row>
    <row r="1360" spans="1:17" x14ac:dyDescent="0.3">
      <c r="A1360" t="s">
        <v>3432</v>
      </c>
      <c r="B1360" t="s">
        <v>795</v>
      </c>
      <c r="C1360" s="2" t="str">
        <f>PROPER(TRIM(Table1[[#This Row],[Gender]]))</f>
        <v>Male</v>
      </c>
      <c r="D1360" t="s">
        <v>16</v>
      </c>
      <c r="E1360">
        <v>46</v>
      </c>
      <c r="F1360" t="s">
        <v>17</v>
      </c>
      <c r="G1360" s="1">
        <v>28868</v>
      </c>
      <c r="H1360" t="s">
        <v>3433</v>
      </c>
      <c r="I1360" s="2" t="str">
        <f t="shared" si="21"/>
        <v>+91-9074472172</v>
      </c>
      <c r="J1360">
        <f>91-9074472263</f>
        <v>-9074472172</v>
      </c>
      <c r="K1360" t="s">
        <v>125</v>
      </c>
      <c r="L1360" t="s">
        <v>52</v>
      </c>
      <c r="M1360">
        <v>182945</v>
      </c>
      <c r="N1360" s="1">
        <v>45364</v>
      </c>
      <c r="O1360" t="s">
        <v>21</v>
      </c>
      <c r="P1360">
        <v>5</v>
      </c>
      <c r="Q1360">
        <v>35983.129999999997</v>
      </c>
    </row>
    <row r="1361" spans="1:17" x14ac:dyDescent="0.3">
      <c r="A1361" t="s">
        <v>3434</v>
      </c>
      <c r="B1361" t="s">
        <v>1025</v>
      </c>
      <c r="C1361" s="2" t="str">
        <f>PROPER(TRIM(Table1[[#This Row],[Gender]]))</f>
        <v>Female</v>
      </c>
      <c r="D1361" t="s">
        <v>43</v>
      </c>
      <c r="E1361">
        <v>32</v>
      </c>
      <c r="F1361" t="s">
        <v>31</v>
      </c>
      <c r="G1361" s="1">
        <v>33978</v>
      </c>
      <c r="H1361" t="s">
        <v>3435</v>
      </c>
      <c r="I1361" s="2" t="str">
        <f t="shared" si="21"/>
        <v>+91-7343436695</v>
      </c>
      <c r="J1361">
        <f>91-7343436786</f>
        <v>-7343436695</v>
      </c>
      <c r="K1361" t="s">
        <v>84</v>
      </c>
      <c r="L1361" t="s">
        <v>85</v>
      </c>
      <c r="M1361">
        <v>516811</v>
      </c>
      <c r="N1361" s="1">
        <v>45342</v>
      </c>
      <c r="O1361" t="s">
        <v>28</v>
      </c>
      <c r="P1361">
        <v>6</v>
      </c>
      <c r="Q1361">
        <v>180151.42</v>
      </c>
    </row>
    <row r="1362" spans="1:17" x14ac:dyDescent="0.3">
      <c r="A1362" t="s">
        <v>3436</v>
      </c>
      <c r="B1362" t="s">
        <v>826</v>
      </c>
      <c r="C1362" s="2" t="str">
        <f>PROPER(TRIM(Table1[[#This Row],[Gender]]))</f>
        <v>Female</v>
      </c>
      <c r="D1362" t="s">
        <v>43</v>
      </c>
      <c r="E1362">
        <v>64</v>
      </c>
      <c r="F1362" t="s">
        <v>58</v>
      </c>
      <c r="G1362" s="1">
        <v>22298</v>
      </c>
      <c r="H1362" t="s">
        <v>3437</v>
      </c>
      <c r="I1362" s="2" t="str">
        <f t="shared" si="21"/>
        <v>+91-7000533186</v>
      </c>
      <c r="J1362">
        <f>91-7000533277</f>
        <v>-7000533186</v>
      </c>
      <c r="K1362" t="s">
        <v>89</v>
      </c>
      <c r="L1362" t="s">
        <v>90</v>
      </c>
      <c r="M1362">
        <v>375754</v>
      </c>
      <c r="N1362" s="1">
        <v>45431</v>
      </c>
      <c r="O1362" t="s">
        <v>21</v>
      </c>
      <c r="P1362">
        <v>9</v>
      </c>
      <c r="Q1362">
        <v>48725.599999999999</v>
      </c>
    </row>
    <row r="1363" spans="1:17" x14ac:dyDescent="0.3">
      <c r="A1363" t="s">
        <v>3438</v>
      </c>
      <c r="B1363" t="s">
        <v>570</v>
      </c>
      <c r="C1363" s="2" t="str">
        <f>PROPER(TRIM(Table1[[#This Row],[Gender]]))</f>
        <v>Male</v>
      </c>
      <c r="D1363" t="s">
        <v>16</v>
      </c>
      <c r="E1363">
        <v>38</v>
      </c>
      <c r="F1363" t="s">
        <v>38</v>
      </c>
      <c r="G1363" s="1">
        <v>31788</v>
      </c>
      <c r="H1363" t="s">
        <v>3439</v>
      </c>
      <c r="I1363" s="2" t="str">
        <f t="shared" si="21"/>
        <v>+91-7768414306</v>
      </c>
      <c r="J1363">
        <f>91-7768414397</f>
        <v>-7768414306</v>
      </c>
      <c r="K1363" t="s">
        <v>190</v>
      </c>
      <c r="L1363" t="s">
        <v>191</v>
      </c>
      <c r="M1363">
        <v>704230</v>
      </c>
      <c r="N1363" s="1">
        <v>45342</v>
      </c>
      <c r="O1363" t="s">
        <v>28</v>
      </c>
      <c r="P1363">
        <v>10</v>
      </c>
      <c r="Q1363">
        <v>308347.7</v>
      </c>
    </row>
    <row r="1364" spans="1:17" x14ac:dyDescent="0.3">
      <c r="A1364" t="s">
        <v>3440</v>
      </c>
      <c r="B1364" t="s">
        <v>1022</v>
      </c>
      <c r="C1364" s="2" t="str">
        <f>PROPER(TRIM(Table1[[#This Row],[Gender]]))</f>
        <v>Female</v>
      </c>
      <c r="D1364" t="s">
        <v>43</v>
      </c>
      <c r="E1364">
        <v>30</v>
      </c>
      <c r="F1364" t="s">
        <v>31</v>
      </c>
      <c r="G1364" s="1">
        <v>34708</v>
      </c>
      <c r="H1364" t="s">
        <v>3441</v>
      </c>
      <c r="I1364" s="2" t="str">
        <f t="shared" si="21"/>
        <v>+91-8882386692</v>
      </c>
      <c r="J1364">
        <f>91-8882386783</f>
        <v>-8882386692</v>
      </c>
      <c r="K1364" t="s">
        <v>68</v>
      </c>
      <c r="L1364" t="s">
        <v>52</v>
      </c>
      <c r="M1364">
        <v>568858</v>
      </c>
      <c r="N1364" s="1">
        <v>45330</v>
      </c>
      <c r="O1364" t="s">
        <v>28</v>
      </c>
      <c r="P1364">
        <v>2</v>
      </c>
      <c r="Q1364">
        <v>124876.63</v>
      </c>
    </row>
    <row r="1365" spans="1:17" x14ac:dyDescent="0.3">
      <c r="A1365" t="s">
        <v>3442</v>
      </c>
      <c r="B1365" t="s">
        <v>1485</v>
      </c>
      <c r="C1365" s="2" t="str">
        <f>PROPER(TRIM(Table1[[#This Row],[Gender]]))</f>
        <v>Female</v>
      </c>
      <c r="D1365" t="s">
        <v>43</v>
      </c>
      <c r="E1365">
        <v>32</v>
      </c>
      <c r="F1365" t="s">
        <v>31</v>
      </c>
      <c r="G1365" s="1">
        <v>33978</v>
      </c>
      <c r="H1365" t="s">
        <v>2941</v>
      </c>
      <c r="I1365" s="2" t="str">
        <f t="shared" si="21"/>
        <v>+91-8845769327</v>
      </c>
      <c r="J1365">
        <f>91-8845769418</f>
        <v>-8845769327</v>
      </c>
      <c r="K1365" t="s">
        <v>19</v>
      </c>
      <c r="L1365" t="s">
        <v>20</v>
      </c>
      <c r="M1365">
        <v>967475</v>
      </c>
      <c r="N1365" s="1">
        <v>45174</v>
      </c>
      <c r="O1365" t="s">
        <v>28</v>
      </c>
      <c r="P1365">
        <v>4</v>
      </c>
      <c r="Q1365">
        <v>140075.62</v>
      </c>
    </row>
    <row r="1366" spans="1:17" x14ac:dyDescent="0.3">
      <c r="A1366" t="s">
        <v>3443</v>
      </c>
      <c r="B1366" t="s">
        <v>247</v>
      </c>
      <c r="C1366" s="2" t="str">
        <f>PROPER(TRIM(Table1[[#This Row],[Gender]]))</f>
        <v>Female</v>
      </c>
      <c r="D1366" t="s">
        <v>43</v>
      </c>
      <c r="E1366">
        <v>39</v>
      </c>
      <c r="F1366" t="s">
        <v>38</v>
      </c>
      <c r="G1366" s="1">
        <v>31423</v>
      </c>
      <c r="H1366" t="s">
        <v>3444</v>
      </c>
      <c r="I1366" s="2" t="str">
        <f t="shared" si="21"/>
        <v>+91-9773744803</v>
      </c>
      <c r="J1366">
        <f>91-9773744894</f>
        <v>-9773744803</v>
      </c>
      <c r="K1366" t="s">
        <v>165</v>
      </c>
      <c r="L1366" t="s">
        <v>52</v>
      </c>
      <c r="M1366">
        <v>376253</v>
      </c>
      <c r="N1366" s="1">
        <v>45426</v>
      </c>
      <c r="O1366" t="s">
        <v>21</v>
      </c>
      <c r="P1366">
        <v>2</v>
      </c>
      <c r="Q1366">
        <v>43134.42</v>
      </c>
    </row>
    <row r="1367" spans="1:17" x14ac:dyDescent="0.3">
      <c r="A1367" t="s">
        <v>3445</v>
      </c>
      <c r="B1367" t="s">
        <v>1408</v>
      </c>
      <c r="C1367" s="2" t="str">
        <f>PROPER(TRIM(Table1[[#This Row],[Gender]]))</f>
        <v>Male</v>
      </c>
      <c r="D1367" t="s">
        <v>16</v>
      </c>
      <c r="E1367">
        <v>40</v>
      </c>
      <c r="F1367" t="s">
        <v>38</v>
      </c>
      <c r="G1367" s="1">
        <v>31058</v>
      </c>
      <c r="H1367" t="s">
        <v>3446</v>
      </c>
      <c r="I1367" s="2" t="str">
        <f t="shared" si="21"/>
        <v>+91-8055120214</v>
      </c>
      <c r="J1367">
        <f>91-8055120305</f>
        <v>-8055120214</v>
      </c>
      <c r="K1367" t="s">
        <v>64</v>
      </c>
      <c r="L1367" t="s">
        <v>20</v>
      </c>
      <c r="M1367">
        <v>858007</v>
      </c>
      <c r="N1367" s="1">
        <v>45414</v>
      </c>
      <c r="O1367" t="s">
        <v>28</v>
      </c>
      <c r="P1367">
        <v>8</v>
      </c>
      <c r="Q1367">
        <v>433013.61</v>
      </c>
    </row>
    <row r="1368" spans="1:17" x14ac:dyDescent="0.3">
      <c r="A1368" t="s">
        <v>3447</v>
      </c>
      <c r="B1368" t="s">
        <v>3448</v>
      </c>
      <c r="C1368" s="2" t="str">
        <f>PROPER(TRIM(Table1[[#This Row],[Gender]]))</f>
        <v>Female</v>
      </c>
      <c r="D1368" t="s">
        <v>43</v>
      </c>
      <c r="E1368">
        <v>31</v>
      </c>
      <c r="F1368" t="s">
        <v>31</v>
      </c>
      <c r="G1368" s="1">
        <v>34343</v>
      </c>
      <c r="H1368" t="s">
        <v>3449</v>
      </c>
      <c r="I1368" s="2" t="str">
        <f t="shared" si="21"/>
        <v>+91-7064123388</v>
      </c>
      <c r="J1368">
        <f>91-7064123479</f>
        <v>-7064123388</v>
      </c>
      <c r="K1368" t="s">
        <v>190</v>
      </c>
      <c r="L1368" t="s">
        <v>191</v>
      </c>
      <c r="M1368">
        <v>362636</v>
      </c>
      <c r="N1368" s="1">
        <v>45360</v>
      </c>
      <c r="O1368" t="s">
        <v>28</v>
      </c>
      <c r="P1368">
        <v>3</v>
      </c>
      <c r="Q1368">
        <v>112018.43</v>
      </c>
    </row>
    <row r="1369" spans="1:17" x14ac:dyDescent="0.3">
      <c r="A1369" t="s">
        <v>3450</v>
      </c>
      <c r="B1369" t="s">
        <v>2415</v>
      </c>
      <c r="C1369" s="2" t="str">
        <f>PROPER(TRIM(Table1[[#This Row],[Gender]]))</f>
        <v>Female</v>
      </c>
      <c r="D1369" t="s">
        <v>43</v>
      </c>
      <c r="E1369">
        <v>22</v>
      </c>
      <c r="F1369" t="s">
        <v>49</v>
      </c>
      <c r="G1369" s="1">
        <v>37628</v>
      </c>
      <c r="H1369" t="s">
        <v>3451</v>
      </c>
      <c r="I1369" s="2" t="str">
        <f t="shared" si="21"/>
        <v>+91-9534414780</v>
      </c>
      <c r="J1369">
        <f>91-9534414871</f>
        <v>-9534414780</v>
      </c>
      <c r="K1369" t="s">
        <v>72</v>
      </c>
      <c r="L1369" t="s">
        <v>34</v>
      </c>
      <c r="M1369">
        <v>612797</v>
      </c>
      <c r="N1369" s="1">
        <v>45361</v>
      </c>
      <c r="O1369" t="s">
        <v>35</v>
      </c>
      <c r="P1369">
        <v>4</v>
      </c>
      <c r="Q1369">
        <v>13865.32</v>
      </c>
    </row>
    <row r="1370" spans="1:17" x14ac:dyDescent="0.3">
      <c r="A1370" t="s">
        <v>3452</v>
      </c>
      <c r="B1370" t="s">
        <v>3453</v>
      </c>
      <c r="C1370" s="2" t="str">
        <f>PROPER(TRIM(Table1[[#This Row],[Gender]]))</f>
        <v>Female</v>
      </c>
      <c r="D1370" t="s">
        <v>43</v>
      </c>
      <c r="E1370">
        <v>41</v>
      </c>
      <c r="F1370" t="s">
        <v>38</v>
      </c>
      <c r="G1370" s="1">
        <v>30693</v>
      </c>
      <c r="H1370" t="s">
        <v>3454</v>
      </c>
      <c r="I1370" s="2" t="str">
        <f t="shared" si="21"/>
        <v>+91-7216026678</v>
      </c>
      <c r="J1370">
        <f>91-7216026769</f>
        <v>-7216026678</v>
      </c>
      <c r="K1370" t="s">
        <v>147</v>
      </c>
      <c r="L1370" t="s">
        <v>143</v>
      </c>
      <c r="M1370">
        <v>481273</v>
      </c>
      <c r="N1370" s="1">
        <v>45221</v>
      </c>
      <c r="O1370" t="s">
        <v>21</v>
      </c>
      <c r="P1370">
        <v>2</v>
      </c>
      <c r="Q1370">
        <v>21244.67</v>
      </c>
    </row>
    <row r="1371" spans="1:17" x14ac:dyDescent="0.3">
      <c r="A1371" t="s">
        <v>3455</v>
      </c>
      <c r="B1371" t="s">
        <v>1405</v>
      </c>
      <c r="C1371" s="2" t="str">
        <f>PROPER(TRIM(Table1[[#This Row],[Gender]]))</f>
        <v>Male</v>
      </c>
      <c r="D1371" t="s">
        <v>16</v>
      </c>
      <c r="E1371">
        <v>32</v>
      </c>
      <c r="F1371" t="s">
        <v>31</v>
      </c>
      <c r="G1371" s="1">
        <v>33978</v>
      </c>
      <c r="H1371" t="s">
        <v>3456</v>
      </c>
      <c r="I1371" s="2" t="str">
        <f t="shared" si="21"/>
        <v>+91-7478157290</v>
      </c>
      <c r="J1371">
        <f>91-7478157381</f>
        <v>-7478157290</v>
      </c>
      <c r="K1371" t="s">
        <v>195</v>
      </c>
      <c r="L1371" t="s">
        <v>102</v>
      </c>
      <c r="M1371">
        <v>275617</v>
      </c>
      <c r="N1371" s="1">
        <v>45253</v>
      </c>
      <c r="O1371" t="s">
        <v>28</v>
      </c>
      <c r="P1371">
        <v>8</v>
      </c>
      <c r="Q1371">
        <v>298222.93</v>
      </c>
    </row>
    <row r="1372" spans="1:17" x14ac:dyDescent="0.3">
      <c r="A1372" t="s">
        <v>3457</v>
      </c>
      <c r="B1372" t="s">
        <v>3458</v>
      </c>
      <c r="C1372" s="2" t="str">
        <f>PROPER(TRIM(Table1[[#This Row],[Gender]]))</f>
        <v>Male</v>
      </c>
      <c r="D1372" t="s">
        <v>16</v>
      </c>
      <c r="E1372">
        <v>31</v>
      </c>
      <c r="F1372" t="s">
        <v>31</v>
      </c>
      <c r="G1372" s="1">
        <v>34343</v>
      </c>
      <c r="H1372" t="s">
        <v>3459</v>
      </c>
      <c r="I1372" s="2" t="str">
        <f t="shared" si="21"/>
        <v>+91-9702679687</v>
      </c>
      <c r="J1372">
        <f>91-9702679778</f>
        <v>-9702679687</v>
      </c>
      <c r="K1372" t="s">
        <v>154</v>
      </c>
      <c r="L1372" t="s">
        <v>46</v>
      </c>
      <c r="M1372">
        <v>436776</v>
      </c>
      <c r="N1372" s="1">
        <v>45150</v>
      </c>
      <c r="O1372" t="s">
        <v>28</v>
      </c>
      <c r="P1372">
        <v>4</v>
      </c>
      <c r="Q1372">
        <v>136637.29999999999</v>
      </c>
    </row>
    <row r="1373" spans="1:17" x14ac:dyDescent="0.3">
      <c r="A1373" t="s">
        <v>3460</v>
      </c>
      <c r="B1373" t="s">
        <v>3461</v>
      </c>
      <c r="C1373" s="2" t="str">
        <f>PROPER(TRIM(Table1[[#This Row],[Gender]]))</f>
        <v>Female</v>
      </c>
      <c r="D1373" t="s">
        <v>43</v>
      </c>
      <c r="E1373">
        <v>37</v>
      </c>
      <c r="F1373" t="s">
        <v>38</v>
      </c>
      <c r="G1373" s="1">
        <v>32153</v>
      </c>
      <c r="H1373" t="s">
        <v>3462</v>
      </c>
      <c r="I1373" s="2" t="str">
        <f t="shared" si="21"/>
        <v>+91-8540926626</v>
      </c>
      <c r="J1373">
        <f>91-8540926717</f>
        <v>-8540926626</v>
      </c>
      <c r="K1373" t="s">
        <v>51</v>
      </c>
      <c r="L1373" t="s">
        <v>52</v>
      </c>
      <c r="M1373">
        <v>194311</v>
      </c>
      <c r="N1373" s="1">
        <v>45371</v>
      </c>
      <c r="O1373" t="s">
        <v>28</v>
      </c>
      <c r="P1373">
        <v>7</v>
      </c>
      <c r="Q1373">
        <v>445033.75</v>
      </c>
    </row>
    <row r="1374" spans="1:17" x14ac:dyDescent="0.3">
      <c r="A1374" t="s">
        <v>3463</v>
      </c>
      <c r="B1374" t="s">
        <v>3464</v>
      </c>
      <c r="C1374" s="2" t="str">
        <f>PROPER(TRIM(Table1[[#This Row],[Gender]]))</f>
        <v>Female</v>
      </c>
      <c r="D1374" t="s">
        <v>43</v>
      </c>
      <c r="E1374">
        <v>40</v>
      </c>
      <c r="F1374" t="s">
        <v>38</v>
      </c>
      <c r="G1374" s="1">
        <v>31058</v>
      </c>
      <c r="H1374" t="s">
        <v>3465</v>
      </c>
      <c r="I1374" s="2" t="str">
        <f t="shared" si="21"/>
        <v>+91-9094278933</v>
      </c>
      <c r="J1374">
        <f>91-9094279024</f>
        <v>-9094278933</v>
      </c>
      <c r="K1374" t="s">
        <v>33</v>
      </c>
      <c r="L1374" t="s">
        <v>34</v>
      </c>
      <c r="M1374">
        <v>621410</v>
      </c>
      <c r="N1374" s="1">
        <v>45422</v>
      </c>
      <c r="O1374" t="s">
        <v>28</v>
      </c>
      <c r="P1374">
        <v>8</v>
      </c>
      <c r="Q1374">
        <v>206475.03</v>
      </c>
    </row>
    <row r="1375" spans="1:17" x14ac:dyDescent="0.3">
      <c r="A1375" t="s">
        <v>3466</v>
      </c>
      <c r="B1375" t="s">
        <v>2639</v>
      </c>
      <c r="C1375" s="2" t="str">
        <f>PROPER(TRIM(Table1[[#This Row],[Gender]]))</f>
        <v>Female</v>
      </c>
      <c r="D1375" t="s">
        <v>43</v>
      </c>
      <c r="E1375">
        <v>32</v>
      </c>
      <c r="F1375" t="s">
        <v>31</v>
      </c>
      <c r="G1375" s="1">
        <v>33978</v>
      </c>
      <c r="H1375" t="s">
        <v>3467</v>
      </c>
      <c r="I1375" s="2" t="str">
        <f t="shared" si="21"/>
        <v>+91-7969315453</v>
      </c>
      <c r="J1375">
        <f>91-7969315544</f>
        <v>-7969315453</v>
      </c>
      <c r="K1375" t="s">
        <v>113</v>
      </c>
      <c r="L1375" t="s">
        <v>34</v>
      </c>
      <c r="M1375">
        <v>377500</v>
      </c>
      <c r="N1375" s="1">
        <v>45266</v>
      </c>
      <c r="O1375" t="s">
        <v>28</v>
      </c>
      <c r="P1375">
        <v>5</v>
      </c>
      <c r="Q1375">
        <v>66980.44</v>
      </c>
    </row>
    <row r="1376" spans="1:17" x14ac:dyDescent="0.3">
      <c r="A1376" t="s">
        <v>3468</v>
      </c>
      <c r="B1376" t="s">
        <v>1784</v>
      </c>
      <c r="C1376" s="2" t="str">
        <f>PROPER(TRIM(Table1[[#This Row],[Gender]]))</f>
        <v>Female</v>
      </c>
      <c r="D1376" t="s">
        <v>43</v>
      </c>
      <c r="E1376">
        <v>20</v>
      </c>
      <c r="F1376" t="s">
        <v>49</v>
      </c>
      <c r="G1376" s="1">
        <v>38358</v>
      </c>
      <c r="H1376" t="s">
        <v>3469</v>
      </c>
      <c r="I1376" s="2" t="str">
        <f t="shared" si="21"/>
        <v>+91-7043621896</v>
      </c>
      <c r="J1376">
        <f>91-7043621987</f>
        <v>-7043621896</v>
      </c>
      <c r="K1376" t="s">
        <v>72</v>
      </c>
      <c r="L1376" t="s">
        <v>34</v>
      </c>
      <c r="M1376">
        <v>572487</v>
      </c>
      <c r="N1376" s="1">
        <v>45247</v>
      </c>
      <c r="O1376" t="s">
        <v>21</v>
      </c>
      <c r="P1376">
        <v>4</v>
      </c>
      <c r="Q1376">
        <v>36975.300000000003</v>
      </c>
    </row>
    <row r="1377" spans="1:17" x14ac:dyDescent="0.3">
      <c r="A1377" t="s">
        <v>3470</v>
      </c>
      <c r="B1377" t="s">
        <v>3471</v>
      </c>
      <c r="C1377" s="2" t="str">
        <f>PROPER(TRIM(Table1[[#This Row],[Gender]]))</f>
        <v>Male</v>
      </c>
      <c r="D1377" t="s">
        <v>16</v>
      </c>
      <c r="E1377">
        <v>24</v>
      </c>
      <c r="F1377" t="s">
        <v>49</v>
      </c>
      <c r="G1377" s="1">
        <v>36898</v>
      </c>
      <c r="H1377" t="s">
        <v>3472</v>
      </c>
      <c r="I1377" s="2" t="str">
        <f t="shared" si="21"/>
        <v>+91-8266291579</v>
      </c>
      <c r="J1377">
        <f>91-8266291670</f>
        <v>-8266291579</v>
      </c>
      <c r="K1377" t="s">
        <v>125</v>
      </c>
      <c r="L1377" t="s">
        <v>52</v>
      </c>
      <c r="M1377">
        <v>612670</v>
      </c>
      <c r="N1377" s="1">
        <v>45080</v>
      </c>
      <c r="O1377" t="s">
        <v>35</v>
      </c>
      <c r="P1377">
        <v>2</v>
      </c>
      <c r="Q1377">
        <v>973.61</v>
      </c>
    </row>
    <row r="1378" spans="1:17" x14ac:dyDescent="0.3">
      <c r="A1378" t="s">
        <v>3473</v>
      </c>
      <c r="B1378" t="s">
        <v>3474</v>
      </c>
      <c r="C1378" s="2" t="str">
        <f>PROPER(TRIM(Table1[[#This Row],[Gender]]))</f>
        <v>Female</v>
      </c>
      <c r="D1378" t="s">
        <v>43</v>
      </c>
      <c r="E1378">
        <v>61</v>
      </c>
      <c r="F1378" t="s">
        <v>58</v>
      </c>
      <c r="G1378" s="1">
        <v>23393</v>
      </c>
      <c r="H1378" t="s">
        <v>3475</v>
      </c>
      <c r="I1378" s="2" t="str">
        <f t="shared" si="21"/>
        <v>+91-8540128208</v>
      </c>
      <c r="J1378">
        <f>91-8540128299</f>
        <v>-8540128208</v>
      </c>
      <c r="K1378" t="s">
        <v>178</v>
      </c>
      <c r="L1378" t="s">
        <v>27</v>
      </c>
      <c r="M1378">
        <v>328909</v>
      </c>
      <c r="N1378" s="1">
        <v>45263</v>
      </c>
      <c r="O1378" t="s">
        <v>28</v>
      </c>
      <c r="P1378">
        <v>6</v>
      </c>
      <c r="Q1378">
        <v>54732.03</v>
      </c>
    </row>
    <row r="1379" spans="1:17" x14ac:dyDescent="0.3">
      <c r="A1379" t="s">
        <v>3476</v>
      </c>
      <c r="B1379" t="s">
        <v>3477</v>
      </c>
      <c r="C1379" s="2" t="str">
        <f>PROPER(TRIM(Table1[[#This Row],[Gender]]))</f>
        <v>Female</v>
      </c>
      <c r="D1379" t="s">
        <v>43</v>
      </c>
      <c r="E1379">
        <v>34</v>
      </c>
      <c r="F1379" t="s">
        <v>31</v>
      </c>
      <c r="G1379" s="1">
        <v>33248</v>
      </c>
      <c r="H1379" t="s">
        <v>3478</v>
      </c>
      <c r="I1379" s="2" t="str">
        <f t="shared" si="21"/>
        <v>+91-7635952901</v>
      </c>
      <c r="J1379">
        <f>91-7635952992</f>
        <v>-7635952901</v>
      </c>
      <c r="K1379" t="s">
        <v>109</v>
      </c>
      <c r="L1379" t="s">
        <v>46</v>
      </c>
      <c r="M1379">
        <v>475266</v>
      </c>
      <c r="N1379" s="1">
        <v>45248</v>
      </c>
      <c r="O1379" t="s">
        <v>28</v>
      </c>
      <c r="P1379">
        <v>7</v>
      </c>
      <c r="Q1379">
        <v>255025.76</v>
      </c>
    </row>
    <row r="1380" spans="1:17" x14ac:dyDescent="0.3">
      <c r="A1380" t="s">
        <v>3479</v>
      </c>
      <c r="B1380" t="s">
        <v>1073</v>
      </c>
      <c r="C1380" s="2" t="str">
        <f>PROPER(TRIM(Table1[[#This Row],[Gender]]))</f>
        <v>Female</v>
      </c>
      <c r="D1380" t="s">
        <v>43</v>
      </c>
      <c r="E1380">
        <v>23</v>
      </c>
      <c r="F1380" t="s">
        <v>49</v>
      </c>
      <c r="G1380" s="1">
        <v>37263</v>
      </c>
      <c r="H1380" t="s">
        <v>3480</v>
      </c>
      <c r="I1380" s="2" t="str">
        <f t="shared" si="21"/>
        <v>+91-7806452762</v>
      </c>
      <c r="J1380">
        <f>91-7806452853</f>
        <v>-7806452762</v>
      </c>
      <c r="K1380" t="s">
        <v>19</v>
      </c>
      <c r="L1380" t="s">
        <v>20</v>
      </c>
      <c r="M1380">
        <v>725738</v>
      </c>
      <c r="N1380" s="1">
        <v>45159</v>
      </c>
      <c r="O1380" t="s">
        <v>35</v>
      </c>
      <c r="P1380">
        <v>2</v>
      </c>
      <c r="Q1380">
        <v>3552</v>
      </c>
    </row>
    <row r="1381" spans="1:17" x14ac:dyDescent="0.3">
      <c r="A1381" t="s">
        <v>3481</v>
      </c>
      <c r="B1381" t="s">
        <v>1330</v>
      </c>
      <c r="C1381" s="2" t="str">
        <f>PROPER(TRIM(Table1[[#This Row],[Gender]]))</f>
        <v>Male</v>
      </c>
      <c r="D1381" t="s">
        <v>16</v>
      </c>
      <c r="E1381">
        <v>49</v>
      </c>
      <c r="F1381" t="s">
        <v>17</v>
      </c>
      <c r="G1381" s="1">
        <v>27773</v>
      </c>
      <c r="H1381" t="s">
        <v>3482</v>
      </c>
      <c r="I1381" s="2" t="str">
        <f t="shared" si="21"/>
        <v>+91-7353552766</v>
      </c>
      <c r="J1381">
        <f>91-7353552857</f>
        <v>-7353552766</v>
      </c>
      <c r="K1381" t="s">
        <v>101</v>
      </c>
      <c r="L1381" t="s">
        <v>102</v>
      </c>
      <c r="M1381">
        <v>954672</v>
      </c>
      <c r="N1381" s="1">
        <v>45341</v>
      </c>
      <c r="O1381" t="s">
        <v>35</v>
      </c>
      <c r="P1381">
        <v>7</v>
      </c>
      <c r="Q1381">
        <v>15237.45</v>
      </c>
    </row>
    <row r="1382" spans="1:17" x14ac:dyDescent="0.3">
      <c r="A1382" t="s">
        <v>3483</v>
      </c>
      <c r="B1382" t="s">
        <v>3484</v>
      </c>
      <c r="C1382" s="2" t="str">
        <f>PROPER(TRIM(Table1[[#This Row],[Gender]]))</f>
        <v>Female</v>
      </c>
      <c r="D1382" t="s">
        <v>43</v>
      </c>
      <c r="E1382">
        <v>21</v>
      </c>
      <c r="F1382" t="s">
        <v>49</v>
      </c>
      <c r="G1382" s="1">
        <v>37993</v>
      </c>
      <c r="H1382" t="s">
        <v>3485</v>
      </c>
      <c r="I1382" s="2" t="str">
        <f t="shared" si="21"/>
        <v>+91-9529849248</v>
      </c>
      <c r="J1382">
        <f>91-9529849339</f>
        <v>-9529849248</v>
      </c>
      <c r="K1382" t="s">
        <v>142</v>
      </c>
      <c r="L1382" t="s">
        <v>143</v>
      </c>
      <c r="M1382">
        <v>353484</v>
      </c>
      <c r="N1382" s="1">
        <v>45361</v>
      </c>
      <c r="O1382" t="s">
        <v>35</v>
      </c>
      <c r="P1382">
        <v>1</v>
      </c>
      <c r="Q1382">
        <v>2615.4</v>
      </c>
    </row>
    <row r="1383" spans="1:17" x14ac:dyDescent="0.3">
      <c r="A1383" t="s">
        <v>3486</v>
      </c>
      <c r="B1383" t="s">
        <v>3487</v>
      </c>
      <c r="C1383" s="2" t="str">
        <f>PROPER(TRIM(Table1[[#This Row],[Gender]]))</f>
        <v>Male</v>
      </c>
      <c r="D1383" t="s">
        <v>16</v>
      </c>
      <c r="E1383">
        <v>50</v>
      </c>
      <c r="F1383" t="s">
        <v>17</v>
      </c>
      <c r="G1383" s="1">
        <v>27408</v>
      </c>
      <c r="H1383" t="s">
        <v>3488</v>
      </c>
      <c r="I1383" s="2" t="str">
        <f t="shared" si="21"/>
        <v>+91-7429501175</v>
      </c>
      <c r="J1383">
        <f>91-7429501266</f>
        <v>-7429501175</v>
      </c>
      <c r="K1383" t="s">
        <v>415</v>
      </c>
      <c r="L1383" t="s">
        <v>90</v>
      </c>
      <c r="M1383">
        <v>364624</v>
      </c>
      <c r="N1383" s="1">
        <v>45261</v>
      </c>
      <c r="O1383" t="s">
        <v>28</v>
      </c>
      <c r="P1383">
        <v>7</v>
      </c>
      <c r="Q1383">
        <v>50831.32</v>
      </c>
    </row>
    <row r="1384" spans="1:17" x14ac:dyDescent="0.3">
      <c r="A1384" t="s">
        <v>3489</v>
      </c>
      <c r="B1384" t="s">
        <v>2994</v>
      </c>
      <c r="C1384" s="2" t="str">
        <f>PROPER(TRIM(Table1[[#This Row],[Gender]]))</f>
        <v>Female</v>
      </c>
      <c r="D1384" t="s">
        <v>43</v>
      </c>
      <c r="E1384">
        <v>40</v>
      </c>
      <c r="F1384" t="s">
        <v>38</v>
      </c>
      <c r="G1384" s="1">
        <v>31058</v>
      </c>
      <c r="H1384" t="s">
        <v>3490</v>
      </c>
      <c r="I1384" s="2" t="str">
        <f t="shared" si="21"/>
        <v>+91-7863095510</v>
      </c>
      <c r="J1384">
        <f>91-7863095601</f>
        <v>-7863095510</v>
      </c>
      <c r="K1384" t="s">
        <v>40</v>
      </c>
      <c r="L1384" t="s">
        <v>27</v>
      </c>
      <c r="M1384">
        <v>411186</v>
      </c>
      <c r="N1384" s="1">
        <v>45373</v>
      </c>
      <c r="O1384" t="s">
        <v>35</v>
      </c>
      <c r="P1384">
        <v>4</v>
      </c>
      <c r="Q1384">
        <v>5051.5600000000004</v>
      </c>
    </row>
    <row r="1385" spans="1:17" x14ac:dyDescent="0.3">
      <c r="A1385" t="s">
        <v>3491</v>
      </c>
      <c r="B1385" t="s">
        <v>1778</v>
      </c>
      <c r="C1385" s="2" t="str">
        <f>PROPER(TRIM(Table1[[#This Row],[Gender]]))</f>
        <v>Female</v>
      </c>
      <c r="D1385" t="s">
        <v>43</v>
      </c>
      <c r="E1385">
        <v>27</v>
      </c>
      <c r="F1385" t="s">
        <v>31</v>
      </c>
      <c r="G1385" s="1">
        <v>35803</v>
      </c>
      <c r="H1385" t="s">
        <v>3492</v>
      </c>
      <c r="I1385" s="2" t="str">
        <f t="shared" si="21"/>
        <v>+91-8100607289</v>
      </c>
      <c r="J1385">
        <f>91-8100607380</f>
        <v>-8100607289</v>
      </c>
      <c r="K1385" t="s">
        <v>121</v>
      </c>
      <c r="L1385" t="s">
        <v>85</v>
      </c>
      <c r="M1385">
        <v>577376</v>
      </c>
      <c r="N1385" s="1">
        <v>45091</v>
      </c>
      <c r="O1385" t="s">
        <v>21</v>
      </c>
      <c r="P1385">
        <v>3</v>
      </c>
      <c r="Q1385">
        <v>40796.58</v>
      </c>
    </row>
    <row r="1386" spans="1:17" x14ac:dyDescent="0.3">
      <c r="A1386" t="s">
        <v>3493</v>
      </c>
      <c r="B1386" t="s">
        <v>176</v>
      </c>
      <c r="C1386" s="2" t="str">
        <f>PROPER(TRIM(Table1[[#This Row],[Gender]]))</f>
        <v>Female</v>
      </c>
      <c r="D1386" t="s">
        <v>43</v>
      </c>
      <c r="E1386">
        <v>38</v>
      </c>
      <c r="F1386" t="s">
        <v>38</v>
      </c>
      <c r="G1386" s="1">
        <v>31788</v>
      </c>
      <c r="H1386" t="s">
        <v>3494</v>
      </c>
      <c r="I1386" s="2" t="str">
        <f t="shared" si="21"/>
        <v>+91-9845288556</v>
      </c>
      <c r="J1386">
        <f>91-9845288647</f>
        <v>-9845288556</v>
      </c>
      <c r="K1386" t="s">
        <v>202</v>
      </c>
      <c r="L1386" t="s">
        <v>191</v>
      </c>
      <c r="M1386">
        <v>678777</v>
      </c>
      <c r="N1386" s="1">
        <v>45341</v>
      </c>
      <c r="O1386" t="s">
        <v>28</v>
      </c>
      <c r="P1386">
        <v>7</v>
      </c>
      <c r="Q1386">
        <v>119477.34</v>
      </c>
    </row>
    <row r="1387" spans="1:17" x14ac:dyDescent="0.3">
      <c r="A1387" t="s">
        <v>3495</v>
      </c>
      <c r="B1387" t="s">
        <v>3230</v>
      </c>
      <c r="C1387" s="2" t="str">
        <f>PROPER(TRIM(Table1[[#This Row],[Gender]]))</f>
        <v>Male</v>
      </c>
      <c r="D1387" t="s">
        <v>16</v>
      </c>
      <c r="E1387">
        <v>23</v>
      </c>
      <c r="F1387" t="s">
        <v>49</v>
      </c>
      <c r="G1387" s="1">
        <v>37263</v>
      </c>
      <c r="H1387" t="s">
        <v>3496</v>
      </c>
      <c r="I1387" s="2" t="str">
        <f t="shared" si="21"/>
        <v>+91-7901868986</v>
      </c>
      <c r="J1387">
        <f>91-7901869077</f>
        <v>-7901868986</v>
      </c>
      <c r="K1387" t="s">
        <v>76</v>
      </c>
      <c r="L1387" t="s">
        <v>46</v>
      </c>
      <c r="M1387">
        <v>527501</v>
      </c>
      <c r="N1387" s="1">
        <v>45218</v>
      </c>
      <c r="O1387" t="s">
        <v>21</v>
      </c>
      <c r="P1387">
        <v>6</v>
      </c>
      <c r="Q1387">
        <v>35250.94</v>
      </c>
    </row>
    <row r="1388" spans="1:17" x14ac:dyDescent="0.3">
      <c r="A1388" t="s">
        <v>3497</v>
      </c>
      <c r="B1388" t="s">
        <v>2848</v>
      </c>
      <c r="C1388" s="2" t="str">
        <f>PROPER(TRIM(Table1[[#This Row],[Gender]]))</f>
        <v>Male</v>
      </c>
      <c r="D1388" t="s">
        <v>16</v>
      </c>
      <c r="E1388">
        <v>33</v>
      </c>
      <c r="F1388" t="s">
        <v>31</v>
      </c>
      <c r="G1388" s="1">
        <v>33613</v>
      </c>
      <c r="H1388" t="s">
        <v>2849</v>
      </c>
      <c r="I1388" s="2" t="str">
        <f t="shared" si="21"/>
        <v>+91-9091485538</v>
      </c>
      <c r="J1388">
        <f>91-9091485629</f>
        <v>-9091485538</v>
      </c>
      <c r="K1388" t="s">
        <v>45</v>
      </c>
      <c r="L1388" t="s">
        <v>46</v>
      </c>
      <c r="M1388">
        <v>969349</v>
      </c>
      <c r="N1388" s="1">
        <v>45258</v>
      </c>
      <c r="O1388" t="s">
        <v>21</v>
      </c>
      <c r="P1388">
        <v>3</v>
      </c>
      <c r="Q1388">
        <v>30603.9</v>
      </c>
    </row>
    <row r="1389" spans="1:17" x14ac:dyDescent="0.3">
      <c r="A1389" t="s">
        <v>3498</v>
      </c>
      <c r="B1389" t="s">
        <v>1025</v>
      </c>
      <c r="C1389" s="2" t="str">
        <f>PROPER(TRIM(Table1[[#This Row],[Gender]]))</f>
        <v>Female</v>
      </c>
      <c r="D1389" t="s">
        <v>43</v>
      </c>
      <c r="E1389">
        <v>33</v>
      </c>
      <c r="F1389" t="s">
        <v>31</v>
      </c>
      <c r="G1389" s="1">
        <v>33613</v>
      </c>
      <c r="H1389" t="s">
        <v>3435</v>
      </c>
      <c r="I1389" s="2" t="str">
        <f t="shared" si="21"/>
        <v>+91-8346733816</v>
      </c>
      <c r="J1389">
        <f>91-8346733907</f>
        <v>-8346733816</v>
      </c>
      <c r="K1389" t="s">
        <v>64</v>
      </c>
      <c r="L1389" t="s">
        <v>20</v>
      </c>
      <c r="M1389">
        <v>678625</v>
      </c>
      <c r="N1389" s="1">
        <v>45223</v>
      </c>
      <c r="O1389" t="s">
        <v>28</v>
      </c>
      <c r="P1389">
        <v>4</v>
      </c>
      <c r="Q1389">
        <v>110492.42</v>
      </c>
    </row>
    <row r="1390" spans="1:17" x14ac:dyDescent="0.3">
      <c r="A1390" t="s">
        <v>3499</v>
      </c>
      <c r="B1390" t="s">
        <v>3500</v>
      </c>
      <c r="C1390" s="2" t="str">
        <f>PROPER(TRIM(Table1[[#This Row],[Gender]]))</f>
        <v>Female</v>
      </c>
      <c r="D1390" t="s">
        <v>43</v>
      </c>
      <c r="E1390">
        <v>19</v>
      </c>
      <c r="F1390" t="s">
        <v>49</v>
      </c>
      <c r="G1390" s="1">
        <v>38723</v>
      </c>
      <c r="H1390" t="s">
        <v>3501</v>
      </c>
      <c r="I1390" s="2" t="str">
        <f t="shared" si="21"/>
        <v>+91-9079965047</v>
      </c>
      <c r="J1390">
        <f>91-9079965138</f>
        <v>-9079965047</v>
      </c>
      <c r="K1390" t="s">
        <v>64</v>
      </c>
      <c r="L1390" t="s">
        <v>20</v>
      </c>
      <c r="M1390">
        <v>130560</v>
      </c>
      <c r="N1390" s="1">
        <v>45403</v>
      </c>
      <c r="O1390" t="s">
        <v>28</v>
      </c>
      <c r="P1390">
        <v>4</v>
      </c>
      <c r="Q1390">
        <v>60845.82</v>
      </c>
    </row>
    <row r="1391" spans="1:17" x14ac:dyDescent="0.3">
      <c r="A1391" t="s">
        <v>3502</v>
      </c>
      <c r="B1391" t="s">
        <v>781</v>
      </c>
      <c r="C1391" s="2" t="str">
        <f>PROPER(TRIM(Table1[[#This Row],[Gender]]))</f>
        <v>Male</v>
      </c>
      <c r="D1391" t="s">
        <v>16</v>
      </c>
      <c r="E1391">
        <v>37</v>
      </c>
      <c r="F1391" t="s">
        <v>38</v>
      </c>
      <c r="G1391" s="1">
        <v>32153</v>
      </c>
      <c r="H1391" t="s">
        <v>3503</v>
      </c>
      <c r="I1391" s="2" t="str">
        <f t="shared" si="21"/>
        <v>+91-8245364006</v>
      </c>
      <c r="J1391">
        <f>91-8245364097</f>
        <v>-8245364006</v>
      </c>
      <c r="K1391" t="s">
        <v>142</v>
      </c>
      <c r="L1391" t="s">
        <v>143</v>
      </c>
      <c r="M1391">
        <v>364076</v>
      </c>
      <c r="N1391" s="1">
        <v>45310</v>
      </c>
      <c r="O1391" t="s">
        <v>35</v>
      </c>
      <c r="P1391">
        <v>1</v>
      </c>
      <c r="Q1391">
        <v>754.34</v>
      </c>
    </row>
    <row r="1392" spans="1:17" x14ac:dyDescent="0.3">
      <c r="A1392" t="s">
        <v>3504</v>
      </c>
      <c r="B1392" t="s">
        <v>278</v>
      </c>
      <c r="C1392" s="2" t="str">
        <f>PROPER(TRIM(Table1[[#This Row],[Gender]]))</f>
        <v>Male</v>
      </c>
      <c r="D1392" t="s">
        <v>16</v>
      </c>
      <c r="E1392">
        <v>21</v>
      </c>
      <c r="F1392" t="s">
        <v>49</v>
      </c>
      <c r="G1392" s="1">
        <v>37993</v>
      </c>
      <c r="H1392" t="s">
        <v>3505</v>
      </c>
      <c r="I1392" s="2" t="str">
        <f t="shared" si="21"/>
        <v>+91-8759508673</v>
      </c>
      <c r="J1392">
        <f>91-8759508764</f>
        <v>-8759508673</v>
      </c>
      <c r="K1392" t="s">
        <v>165</v>
      </c>
      <c r="L1392" t="s">
        <v>52</v>
      </c>
      <c r="M1392">
        <v>405841</v>
      </c>
      <c r="N1392" s="1">
        <v>45333</v>
      </c>
      <c r="O1392" t="s">
        <v>35</v>
      </c>
      <c r="P1392">
        <v>5</v>
      </c>
      <c r="Q1392">
        <v>14082.78</v>
      </c>
    </row>
    <row r="1393" spans="1:17" x14ac:dyDescent="0.3">
      <c r="A1393" t="s">
        <v>3506</v>
      </c>
      <c r="B1393" t="s">
        <v>62</v>
      </c>
      <c r="C1393" s="2" t="str">
        <f>PROPER(TRIM(Table1[[#This Row],[Gender]]))</f>
        <v>Female</v>
      </c>
      <c r="D1393" t="s">
        <v>43</v>
      </c>
      <c r="E1393">
        <v>33</v>
      </c>
      <c r="F1393" t="s">
        <v>31</v>
      </c>
      <c r="G1393" s="1">
        <v>33613</v>
      </c>
      <c r="H1393" t="s">
        <v>3507</v>
      </c>
      <c r="I1393" s="2" t="str">
        <f t="shared" si="21"/>
        <v>+91-9105350308</v>
      </c>
      <c r="J1393">
        <f>91-9105350399</f>
        <v>-9105350308</v>
      </c>
      <c r="K1393" t="s">
        <v>154</v>
      </c>
      <c r="L1393" t="s">
        <v>46</v>
      </c>
      <c r="M1393">
        <v>101674</v>
      </c>
      <c r="N1393" s="1">
        <v>45348</v>
      </c>
      <c r="O1393" t="s">
        <v>28</v>
      </c>
      <c r="P1393">
        <v>6</v>
      </c>
      <c r="Q1393">
        <v>448212.62</v>
      </c>
    </row>
    <row r="1394" spans="1:17" x14ac:dyDescent="0.3">
      <c r="A1394" t="s">
        <v>3508</v>
      </c>
      <c r="B1394" t="s">
        <v>1449</v>
      </c>
      <c r="C1394" s="2" t="str">
        <f>PROPER(TRIM(Table1[[#This Row],[Gender]]))</f>
        <v>Female</v>
      </c>
      <c r="D1394" t="s">
        <v>43</v>
      </c>
      <c r="E1394">
        <v>36</v>
      </c>
      <c r="F1394" t="s">
        <v>38</v>
      </c>
      <c r="G1394" s="1">
        <v>32518</v>
      </c>
      <c r="H1394" t="s">
        <v>3509</v>
      </c>
      <c r="I1394" s="2" t="str">
        <f t="shared" si="21"/>
        <v>+91-8611323806</v>
      </c>
      <c r="J1394">
        <f>91-8611323897</f>
        <v>-8611323806</v>
      </c>
      <c r="K1394" t="s">
        <v>147</v>
      </c>
      <c r="L1394" t="s">
        <v>143</v>
      </c>
      <c r="M1394">
        <v>330933</v>
      </c>
      <c r="N1394" s="1">
        <v>45251</v>
      </c>
      <c r="O1394" t="s">
        <v>28</v>
      </c>
      <c r="P1394">
        <v>2</v>
      </c>
      <c r="Q1394">
        <v>51189.18</v>
      </c>
    </row>
    <row r="1395" spans="1:17" x14ac:dyDescent="0.3">
      <c r="A1395" t="s">
        <v>3510</v>
      </c>
      <c r="B1395" t="s">
        <v>2000</v>
      </c>
      <c r="C1395" s="2" t="str">
        <f>PROPER(TRIM(Table1[[#This Row],[Gender]]))</f>
        <v>Male</v>
      </c>
      <c r="D1395" t="s">
        <v>16</v>
      </c>
      <c r="E1395">
        <v>54</v>
      </c>
      <c r="F1395" t="s">
        <v>17</v>
      </c>
      <c r="G1395" s="1">
        <v>25948</v>
      </c>
      <c r="H1395" t="s">
        <v>3511</v>
      </c>
      <c r="I1395" s="2" t="str">
        <f t="shared" si="21"/>
        <v>+91-8630496238</v>
      </c>
      <c r="J1395">
        <f>91-8630496329</f>
        <v>-8630496238</v>
      </c>
      <c r="K1395" t="s">
        <v>580</v>
      </c>
      <c r="L1395" t="s">
        <v>85</v>
      </c>
      <c r="M1395">
        <v>508110</v>
      </c>
      <c r="N1395" s="1">
        <v>45351</v>
      </c>
      <c r="O1395" t="s">
        <v>21</v>
      </c>
      <c r="P1395">
        <v>6</v>
      </c>
      <c r="Q1395">
        <v>42314.06</v>
      </c>
    </row>
    <row r="1396" spans="1:17" x14ac:dyDescent="0.3">
      <c r="A1396" t="s">
        <v>3512</v>
      </c>
      <c r="B1396" t="s">
        <v>2372</v>
      </c>
      <c r="C1396" s="2" t="str">
        <f>PROPER(TRIM(Table1[[#This Row],[Gender]]))</f>
        <v>Female</v>
      </c>
      <c r="D1396" t="s">
        <v>43</v>
      </c>
      <c r="E1396">
        <v>32</v>
      </c>
      <c r="F1396" t="s">
        <v>31</v>
      </c>
      <c r="G1396" s="1">
        <v>33978</v>
      </c>
      <c r="H1396" t="s">
        <v>2373</v>
      </c>
      <c r="I1396" s="2" t="str">
        <f t="shared" si="21"/>
        <v>+91-8369593075</v>
      </c>
      <c r="J1396">
        <f>91-8369593166</f>
        <v>-8369593075</v>
      </c>
      <c r="K1396" t="s">
        <v>101</v>
      </c>
      <c r="L1396" t="s">
        <v>102</v>
      </c>
      <c r="M1396">
        <v>395690</v>
      </c>
      <c r="N1396" s="1">
        <v>45094</v>
      </c>
      <c r="O1396" t="s">
        <v>28</v>
      </c>
      <c r="P1396">
        <v>5</v>
      </c>
      <c r="Q1396">
        <v>57727.43</v>
      </c>
    </row>
    <row r="1397" spans="1:17" x14ac:dyDescent="0.3">
      <c r="A1397" t="s">
        <v>3513</v>
      </c>
      <c r="B1397" t="s">
        <v>3514</v>
      </c>
      <c r="C1397" s="2" t="str">
        <f>PROPER(TRIM(Table1[[#This Row],[Gender]]))</f>
        <v>Male</v>
      </c>
      <c r="D1397" t="s">
        <v>16</v>
      </c>
      <c r="E1397">
        <v>50</v>
      </c>
      <c r="F1397" t="s">
        <v>17</v>
      </c>
      <c r="G1397" s="1">
        <v>27408</v>
      </c>
      <c r="H1397" t="s">
        <v>3515</v>
      </c>
      <c r="I1397" s="2" t="str">
        <f t="shared" si="21"/>
        <v>+91-8289101520</v>
      </c>
      <c r="J1397">
        <f>91-8289101611</f>
        <v>-8289101520</v>
      </c>
      <c r="K1397" t="s">
        <v>239</v>
      </c>
      <c r="L1397" t="s">
        <v>191</v>
      </c>
      <c r="M1397">
        <v>291686</v>
      </c>
      <c r="N1397" s="1">
        <v>45118</v>
      </c>
      <c r="O1397" t="s">
        <v>35</v>
      </c>
      <c r="P1397">
        <v>1</v>
      </c>
      <c r="Q1397">
        <v>16529.63</v>
      </c>
    </row>
    <row r="1398" spans="1:17" x14ac:dyDescent="0.3">
      <c r="A1398" t="s">
        <v>3516</v>
      </c>
      <c r="B1398" t="s">
        <v>1359</v>
      </c>
      <c r="C1398" s="2" t="str">
        <f>PROPER(TRIM(Table1[[#This Row],[Gender]]))</f>
        <v>Female</v>
      </c>
      <c r="D1398" t="s">
        <v>43</v>
      </c>
      <c r="E1398">
        <v>26</v>
      </c>
      <c r="F1398" t="s">
        <v>31</v>
      </c>
      <c r="G1398" s="1">
        <v>36168</v>
      </c>
      <c r="H1398" t="s">
        <v>3517</v>
      </c>
      <c r="I1398" s="2" t="str">
        <f t="shared" si="21"/>
        <v>+91-7626437905</v>
      </c>
      <c r="J1398">
        <f>91-7626437996</f>
        <v>-7626437905</v>
      </c>
      <c r="K1398" t="s">
        <v>195</v>
      </c>
      <c r="L1398" t="s">
        <v>102</v>
      </c>
      <c r="M1398">
        <v>691098</v>
      </c>
      <c r="N1398" s="1">
        <v>45432</v>
      </c>
      <c r="O1398" t="s">
        <v>28</v>
      </c>
      <c r="P1398">
        <v>6</v>
      </c>
      <c r="Q1398">
        <v>153654.37</v>
      </c>
    </row>
    <row r="1399" spans="1:17" x14ac:dyDescent="0.3">
      <c r="A1399" t="s">
        <v>3518</v>
      </c>
      <c r="B1399" t="s">
        <v>680</v>
      </c>
      <c r="C1399" s="2" t="str">
        <f>PROPER(TRIM(Table1[[#This Row],[Gender]]))</f>
        <v>Female</v>
      </c>
      <c r="D1399" t="s">
        <v>43</v>
      </c>
      <c r="E1399">
        <v>58</v>
      </c>
      <c r="F1399" t="s">
        <v>58</v>
      </c>
      <c r="G1399" s="1">
        <v>24488</v>
      </c>
      <c r="H1399" t="s">
        <v>3519</v>
      </c>
      <c r="I1399" s="2" t="str">
        <f t="shared" si="21"/>
        <v>+91-7263075902</v>
      </c>
      <c r="J1399">
        <f>91-7263075993</f>
        <v>-7263075902</v>
      </c>
      <c r="K1399" t="s">
        <v>117</v>
      </c>
      <c r="L1399" t="s">
        <v>52</v>
      </c>
      <c r="M1399">
        <v>800897</v>
      </c>
      <c r="N1399" s="1">
        <v>45401</v>
      </c>
      <c r="O1399" t="s">
        <v>35</v>
      </c>
      <c r="P1399">
        <v>3</v>
      </c>
      <c r="Q1399">
        <v>4627.29</v>
      </c>
    </row>
    <row r="1400" spans="1:17" x14ac:dyDescent="0.3">
      <c r="A1400" t="s">
        <v>3520</v>
      </c>
      <c r="B1400" t="s">
        <v>3521</v>
      </c>
      <c r="C1400" s="2" t="str">
        <f>PROPER(TRIM(Table1[[#This Row],[Gender]]))</f>
        <v>Female</v>
      </c>
      <c r="D1400" t="s">
        <v>43</v>
      </c>
      <c r="E1400">
        <v>23</v>
      </c>
      <c r="F1400" t="s">
        <v>49</v>
      </c>
      <c r="G1400" s="1">
        <v>37263</v>
      </c>
      <c r="H1400" t="s">
        <v>3522</v>
      </c>
      <c r="I1400" s="2" t="str">
        <f t="shared" si="21"/>
        <v>+91-9593646292</v>
      </c>
      <c r="J1400">
        <f>91-9593646383</f>
        <v>-9593646292</v>
      </c>
      <c r="K1400" t="s">
        <v>154</v>
      </c>
      <c r="L1400" t="s">
        <v>46</v>
      </c>
      <c r="M1400">
        <v>379668</v>
      </c>
      <c r="N1400" s="1">
        <v>45439</v>
      </c>
      <c r="O1400" t="s">
        <v>21</v>
      </c>
      <c r="P1400">
        <v>3</v>
      </c>
      <c r="Q1400">
        <v>32365.29</v>
      </c>
    </row>
    <row r="1401" spans="1:17" x14ac:dyDescent="0.3">
      <c r="A1401" t="s">
        <v>3523</v>
      </c>
      <c r="B1401" t="s">
        <v>183</v>
      </c>
      <c r="C1401" s="2" t="str">
        <f>PROPER(TRIM(Table1[[#This Row],[Gender]]))</f>
        <v>Male</v>
      </c>
      <c r="D1401" t="s">
        <v>16</v>
      </c>
      <c r="E1401">
        <v>35</v>
      </c>
      <c r="F1401" t="s">
        <v>31</v>
      </c>
      <c r="G1401" s="1">
        <v>32883</v>
      </c>
      <c r="H1401" t="s">
        <v>3524</v>
      </c>
      <c r="I1401" s="2" t="str">
        <f t="shared" si="21"/>
        <v>+91-9296911639</v>
      </c>
      <c r="J1401">
        <f>91-9296911730</f>
        <v>-9296911639</v>
      </c>
      <c r="K1401" t="s">
        <v>113</v>
      </c>
      <c r="L1401" t="s">
        <v>34</v>
      </c>
      <c r="M1401">
        <v>236512</v>
      </c>
      <c r="N1401" s="1">
        <v>45340</v>
      </c>
      <c r="O1401" t="s">
        <v>28</v>
      </c>
      <c r="P1401">
        <v>7</v>
      </c>
      <c r="Q1401">
        <v>261199.41</v>
      </c>
    </row>
    <row r="1402" spans="1:17" x14ac:dyDescent="0.3">
      <c r="A1402" t="s">
        <v>3525</v>
      </c>
      <c r="B1402" t="s">
        <v>2739</v>
      </c>
      <c r="C1402" s="2" t="str">
        <f>PROPER(TRIM(Table1[[#This Row],[Gender]]))</f>
        <v>Female</v>
      </c>
      <c r="D1402" t="s">
        <v>43</v>
      </c>
      <c r="E1402">
        <v>53</v>
      </c>
      <c r="F1402" t="s">
        <v>17</v>
      </c>
      <c r="G1402" s="1">
        <v>26313</v>
      </c>
      <c r="H1402" t="s">
        <v>3526</v>
      </c>
      <c r="I1402" s="2" t="str">
        <f t="shared" si="21"/>
        <v>+91-8715140054</v>
      </c>
      <c r="J1402">
        <f>91-8715140145</f>
        <v>-8715140054</v>
      </c>
      <c r="K1402" t="s">
        <v>239</v>
      </c>
      <c r="L1402" t="s">
        <v>191</v>
      </c>
      <c r="M1402">
        <v>993196</v>
      </c>
      <c r="N1402" s="1">
        <v>45205</v>
      </c>
      <c r="O1402" t="s">
        <v>21</v>
      </c>
      <c r="P1402">
        <v>6</v>
      </c>
      <c r="Q1402">
        <v>29135.68</v>
      </c>
    </row>
    <row r="1403" spans="1:17" x14ac:dyDescent="0.3">
      <c r="A1403" t="s">
        <v>3527</v>
      </c>
      <c r="B1403" t="s">
        <v>140</v>
      </c>
      <c r="C1403" s="2" t="str">
        <f>PROPER(TRIM(Table1[[#This Row],[Gender]]))</f>
        <v>Female</v>
      </c>
      <c r="D1403" t="s">
        <v>43</v>
      </c>
      <c r="E1403">
        <v>33</v>
      </c>
      <c r="F1403" t="s">
        <v>31</v>
      </c>
      <c r="G1403" s="1">
        <v>33613</v>
      </c>
      <c r="H1403" t="s">
        <v>3528</v>
      </c>
      <c r="I1403" s="2" t="str">
        <f t="shared" si="21"/>
        <v>+91-8622535537</v>
      </c>
      <c r="J1403">
        <f>91-8622535628</f>
        <v>-8622535537</v>
      </c>
      <c r="K1403" t="s">
        <v>121</v>
      </c>
      <c r="L1403" t="s">
        <v>85</v>
      </c>
      <c r="M1403">
        <v>327685</v>
      </c>
      <c r="N1403" s="1">
        <v>45435</v>
      </c>
      <c r="O1403" t="s">
        <v>28</v>
      </c>
      <c r="P1403">
        <v>7</v>
      </c>
      <c r="Q1403">
        <v>186035.67</v>
      </c>
    </row>
    <row r="1404" spans="1:17" x14ac:dyDescent="0.3">
      <c r="A1404" t="s">
        <v>3529</v>
      </c>
      <c r="B1404" t="s">
        <v>389</v>
      </c>
      <c r="C1404" s="2" t="str">
        <f>PROPER(TRIM(Table1[[#This Row],[Gender]]))</f>
        <v>Female</v>
      </c>
      <c r="D1404" t="s">
        <v>43</v>
      </c>
      <c r="E1404">
        <v>36</v>
      </c>
      <c r="F1404" t="s">
        <v>38</v>
      </c>
      <c r="G1404" s="1">
        <v>32518</v>
      </c>
      <c r="H1404" t="s">
        <v>3530</v>
      </c>
      <c r="I1404" s="2" t="str">
        <f t="shared" si="21"/>
        <v>+91-8682362242</v>
      </c>
      <c r="J1404">
        <f>91-8682362333</f>
        <v>-8682362242</v>
      </c>
      <c r="K1404" t="s">
        <v>331</v>
      </c>
      <c r="L1404" t="s">
        <v>143</v>
      </c>
      <c r="M1404">
        <v>453207</v>
      </c>
      <c r="N1404" s="1">
        <v>45355</v>
      </c>
      <c r="O1404" t="s">
        <v>28</v>
      </c>
      <c r="P1404">
        <v>8</v>
      </c>
      <c r="Q1404">
        <v>291735.78000000003</v>
      </c>
    </row>
    <row r="1405" spans="1:17" x14ac:dyDescent="0.3">
      <c r="A1405" t="s">
        <v>3531</v>
      </c>
      <c r="B1405" t="s">
        <v>484</v>
      </c>
      <c r="C1405" s="2" t="str">
        <f>PROPER(TRIM(Table1[[#This Row],[Gender]]))</f>
        <v>Male</v>
      </c>
      <c r="D1405" t="s">
        <v>16</v>
      </c>
      <c r="E1405">
        <v>52</v>
      </c>
      <c r="F1405" t="s">
        <v>17</v>
      </c>
      <c r="G1405" s="1">
        <v>26678</v>
      </c>
      <c r="H1405" t="s">
        <v>3532</v>
      </c>
      <c r="I1405" s="2" t="str">
        <f t="shared" si="21"/>
        <v>+91-8224323351</v>
      </c>
      <c r="J1405">
        <f>91-8224323442</f>
        <v>-8224323351</v>
      </c>
      <c r="K1405" t="s">
        <v>113</v>
      </c>
      <c r="L1405" t="s">
        <v>34</v>
      </c>
      <c r="M1405">
        <v>740648</v>
      </c>
      <c r="N1405" s="1">
        <v>45280</v>
      </c>
      <c r="O1405" t="s">
        <v>28</v>
      </c>
      <c r="P1405">
        <v>6</v>
      </c>
      <c r="Q1405">
        <v>81351.78</v>
      </c>
    </row>
    <row r="1406" spans="1:17" x14ac:dyDescent="0.3">
      <c r="A1406" t="s">
        <v>3533</v>
      </c>
      <c r="B1406" t="s">
        <v>2974</v>
      </c>
      <c r="C1406" s="2" t="str">
        <f>PROPER(TRIM(Table1[[#This Row],[Gender]]))</f>
        <v>Male</v>
      </c>
      <c r="D1406" t="s">
        <v>16</v>
      </c>
      <c r="E1406">
        <v>61</v>
      </c>
      <c r="F1406" t="s">
        <v>58</v>
      </c>
      <c r="G1406" s="1">
        <v>23393</v>
      </c>
      <c r="H1406" t="s">
        <v>3534</v>
      </c>
      <c r="I1406" s="2" t="str">
        <f t="shared" si="21"/>
        <v>+91-8477981402</v>
      </c>
      <c r="J1406">
        <f>91-8477981493</f>
        <v>-8477981402</v>
      </c>
      <c r="K1406" t="s">
        <v>190</v>
      </c>
      <c r="L1406" t="s">
        <v>191</v>
      </c>
      <c r="M1406">
        <v>924888</v>
      </c>
      <c r="N1406" s="1">
        <v>45301</v>
      </c>
      <c r="O1406" t="s">
        <v>21</v>
      </c>
      <c r="P1406">
        <v>5</v>
      </c>
      <c r="Q1406">
        <v>31184.9</v>
      </c>
    </row>
    <row r="1407" spans="1:17" x14ac:dyDescent="0.3">
      <c r="A1407" t="s">
        <v>3535</v>
      </c>
      <c r="B1407" t="s">
        <v>752</v>
      </c>
      <c r="C1407" s="2" t="str">
        <f>PROPER(TRIM(Table1[[#This Row],[Gender]]))</f>
        <v>Male</v>
      </c>
      <c r="D1407" t="s">
        <v>16</v>
      </c>
      <c r="E1407">
        <v>18</v>
      </c>
      <c r="F1407" t="s">
        <v>49</v>
      </c>
      <c r="G1407" s="1">
        <v>39088</v>
      </c>
      <c r="H1407" t="s">
        <v>3536</v>
      </c>
      <c r="I1407" s="2" t="str">
        <f t="shared" si="21"/>
        <v>+91-7259916585</v>
      </c>
      <c r="J1407">
        <f>91-7259916676</f>
        <v>-7259916585</v>
      </c>
      <c r="K1407" t="s">
        <v>40</v>
      </c>
      <c r="L1407" t="s">
        <v>27</v>
      </c>
      <c r="M1407">
        <v>227622</v>
      </c>
      <c r="N1407" s="1">
        <v>45422</v>
      </c>
      <c r="O1407" t="s">
        <v>28</v>
      </c>
      <c r="P1407">
        <v>1</v>
      </c>
      <c r="Q1407">
        <v>51387.15</v>
      </c>
    </row>
    <row r="1408" spans="1:17" x14ac:dyDescent="0.3">
      <c r="A1408" t="s">
        <v>3537</v>
      </c>
      <c r="B1408" t="s">
        <v>1256</v>
      </c>
      <c r="C1408" s="2" t="str">
        <f>PROPER(TRIM(Table1[[#This Row],[Gender]]))</f>
        <v>Male</v>
      </c>
      <c r="D1408" t="s">
        <v>16</v>
      </c>
      <c r="E1408">
        <v>44</v>
      </c>
      <c r="F1408" t="s">
        <v>38</v>
      </c>
      <c r="G1408" s="1">
        <v>29598</v>
      </c>
      <c r="H1408" t="s">
        <v>3538</v>
      </c>
      <c r="I1408" s="2" t="str">
        <f t="shared" si="21"/>
        <v>+91-8887385825</v>
      </c>
      <c r="J1408">
        <f>91-8887385916</f>
        <v>-8887385825</v>
      </c>
      <c r="K1408" t="s">
        <v>113</v>
      </c>
      <c r="L1408" t="s">
        <v>34</v>
      </c>
      <c r="M1408">
        <v>868435</v>
      </c>
      <c r="N1408" s="1">
        <v>45289</v>
      </c>
      <c r="O1408" t="s">
        <v>28</v>
      </c>
      <c r="P1408">
        <v>2</v>
      </c>
      <c r="Q1408">
        <v>93411.43</v>
      </c>
    </row>
    <row r="1409" spans="1:17" x14ac:dyDescent="0.3">
      <c r="A1409" t="s">
        <v>3539</v>
      </c>
      <c r="B1409" t="s">
        <v>1236</v>
      </c>
      <c r="C1409" s="2" t="str">
        <f>PROPER(TRIM(Table1[[#This Row],[Gender]]))</f>
        <v>Male</v>
      </c>
      <c r="D1409" t="s">
        <v>16</v>
      </c>
      <c r="E1409">
        <v>61</v>
      </c>
      <c r="F1409" t="s">
        <v>58</v>
      </c>
      <c r="G1409" s="1">
        <v>23393</v>
      </c>
      <c r="H1409" t="s">
        <v>1237</v>
      </c>
      <c r="I1409" s="2" t="str">
        <f t="shared" si="21"/>
        <v>+91-7155508465</v>
      </c>
      <c r="J1409">
        <f>91-7155508556</f>
        <v>-7155508465</v>
      </c>
      <c r="K1409" t="s">
        <v>84</v>
      </c>
      <c r="L1409" t="s">
        <v>85</v>
      </c>
      <c r="M1409">
        <v>579453</v>
      </c>
      <c r="N1409" s="1">
        <v>45229</v>
      </c>
      <c r="O1409" t="s">
        <v>21</v>
      </c>
      <c r="P1409">
        <v>7</v>
      </c>
      <c r="Q1409">
        <v>41578.839999999997</v>
      </c>
    </row>
    <row r="1410" spans="1:17" x14ac:dyDescent="0.3">
      <c r="A1410" t="s">
        <v>3540</v>
      </c>
      <c r="B1410" t="s">
        <v>3541</v>
      </c>
      <c r="C1410" s="2" t="str">
        <f>PROPER(TRIM(Table1[[#This Row],[Gender]]))</f>
        <v>Female</v>
      </c>
      <c r="D1410" t="s">
        <v>43</v>
      </c>
      <c r="E1410">
        <v>23</v>
      </c>
      <c r="F1410" t="s">
        <v>49</v>
      </c>
      <c r="G1410" s="1">
        <v>37263</v>
      </c>
      <c r="H1410" t="s">
        <v>3542</v>
      </c>
      <c r="I1410" s="2" t="str">
        <f t="shared" ref="I1410:I1473" si="22">"+91"&amp;TEXT(J1410,"0000000000")</f>
        <v>+91-9125047649</v>
      </c>
      <c r="J1410">
        <f>91-9125047740</f>
        <v>-9125047649</v>
      </c>
      <c r="K1410" t="s">
        <v>121</v>
      </c>
      <c r="L1410" t="s">
        <v>85</v>
      </c>
      <c r="M1410">
        <v>234130</v>
      </c>
      <c r="N1410" s="1">
        <v>45265</v>
      </c>
      <c r="O1410" t="s">
        <v>28</v>
      </c>
      <c r="P1410">
        <v>3</v>
      </c>
      <c r="Q1410">
        <v>134612.60999999999</v>
      </c>
    </row>
    <row r="1411" spans="1:17" x14ac:dyDescent="0.3">
      <c r="A1411" t="s">
        <v>3543</v>
      </c>
      <c r="B1411" t="s">
        <v>3544</v>
      </c>
      <c r="C1411" s="2" t="str">
        <f>PROPER(TRIM(Table1[[#This Row],[Gender]]))</f>
        <v>Male</v>
      </c>
      <c r="D1411" t="s">
        <v>16</v>
      </c>
      <c r="E1411">
        <v>35</v>
      </c>
      <c r="F1411" t="s">
        <v>31</v>
      </c>
      <c r="G1411" s="1">
        <v>32883</v>
      </c>
      <c r="H1411" t="s">
        <v>3545</v>
      </c>
      <c r="I1411" s="2" t="str">
        <f t="shared" si="22"/>
        <v>+91-7844131922</v>
      </c>
      <c r="J1411">
        <f>91-7844132013</f>
        <v>-7844131922</v>
      </c>
      <c r="K1411" t="s">
        <v>165</v>
      </c>
      <c r="L1411" t="s">
        <v>52</v>
      </c>
      <c r="M1411">
        <v>987247</v>
      </c>
      <c r="N1411" s="1">
        <v>45377</v>
      </c>
      <c r="O1411" t="s">
        <v>28</v>
      </c>
      <c r="P1411">
        <v>5</v>
      </c>
      <c r="Q1411">
        <v>143588.14000000001</v>
      </c>
    </row>
    <row r="1412" spans="1:17" x14ac:dyDescent="0.3">
      <c r="A1412" t="s">
        <v>3546</v>
      </c>
      <c r="B1412" t="s">
        <v>37</v>
      </c>
      <c r="C1412" s="2" t="str">
        <f>PROPER(TRIM(Table1[[#This Row],[Gender]]))</f>
        <v>Male</v>
      </c>
      <c r="D1412" t="s">
        <v>16</v>
      </c>
      <c r="E1412">
        <v>50</v>
      </c>
      <c r="F1412" t="s">
        <v>17</v>
      </c>
      <c r="G1412" s="1">
        <v>27408</v>
      </c>
      <c r="H1412" t="s">
        <v>3547</v>
      </c>
      <c r="I1412" s="2" t="str">
        <f t="shared" si="22"/>
        <v>+91-7486775338</v>
      </c>
      <c r="J1412">
        <f>91-7486775429</f>
        <v>-7486775338</v>
      </c>
      <c r="K1412" t="s">
        <v>113</v>
      </c>
      <c r="L1412" t="s">
        <v>34</v>
      </c>
      <c r="M1412">
        <v>905441</v>
      </c>
      <c r="N1412" s="1">
        <v>45402</v>
      </c>
      <c r="O1412" t="s">
        <v>28</v>
      </c>
      <c r="P1412">
        <v>12</v>
      </c>
      <c r="Q1412">
        <v>192592.7</v>
      </c>
    </row>
    <row r="1413" spans="1:17" x14ac:dyDescent="0.3">
      <c r="A1413" t="s">
        <v>3548</v>
      </c>
      <c r="B1413" t="s">
        <v>3549</v>
      </c>
      <c r="C1413" s="2" t="str">
        <f>PROPER(TRIM(Table1[[#This Row],[Gender]]))</f>
        <v>Female</v>
      </c>
      <c r="D1413" t="s">
        <v>43</v>
      </c>
      <c r="E1413">
        <v>27</v>
      </c>
      <c r="F1413" t="s">
        <v>31</v>
      </c>
      <c r="G1413" s="1">
        <v>35803</v>
      </c>
      <c r="H1413" t="s">
        <v>3550</v>
      </c>
      <c r="I1413" s="2" t="str">
        <f t="shared" si="22"/>
        <v>+91-9205354371</v>
      </c>
      <c r="J1413">
        <f>91-9205354462</f>
        <v>-9205354371</v>
      </c>
      <c r="K1413" t="s">
        <v>249</v>
      </c>
      <c r="L1413" t="s">
        <v>34</v>
      </c>
      <c r="M1413">
        <v>823488</v>
      </c>
      <c r="N1413" s="1">
        <v>45349</v>
      </c>
      <c r="O1413" t="s">
        <v>21</v>
      </c>
      <c r="P1413">
        <v>4</v>
      </c>
      <c r="Q1413">
        <v>26394.639999999999</v>
      </c>
    </row>
    <row r="1414" spans="1:17" x14ac:dyDescent="0.3">
      <c r="A1414" t="s">
        <v>3551</v>
      </c>
      <c r="B1414" t="s">
        <v>3552</v>
      </c>
      <c r="C1414" s="2" t="str">
        <f>PROPER(TRIM(Table1[[#This Row],[Gender]]))</f>
        <v>Male</v>
      </c>
      <c r="D1414" t="s">
        <v>16</v>
      </c>
      <c r="E1414">
        <v>34</v>
      </c>
      <c r="F1414" t="s">
        <v>31</v>
      </c>
      <c r="G1414" s="1">
        <v>33248</v>
      </c>
      <c r="H1414" t="s">
        <v>3553</v>
      </c>
      <c r="I1414" s="2" t="str">
        <f t="shared" si="22"/>
        <v>+91-7270301992</v>
      </c>
      <c r="J1414">
        <f>91-7270302083</f>
        <v>-7270301992</v>
      </c>
      <c r="K1414" t="s">
        <v>51</v>
      </c>
      <c r="L1414" t="s">
        <v>52</v>
      </c>
      <c r="M1414">
        <v>475475</v>
      </c>
      <c r="N1414" s="1">
        <v>45128</v>
      </c>
      <c r="O1414" t="s">
        <v>28</v>
      </c>
      <c r="P1414">
        <v>4</v>
      </c>
      <c r="Q1414">
        <v>141342.67000000001</v>
      </c>
    </row>
    <row r="1415" spans="1:17" x14ac:dyDescent="0.3">
      <c r="A1415" t="s">
        <v>3554</v>
      </c>
      <c r="B1415" t="s">
        <v>2994</v>
      </c>
      <c r="C1415" s="2" t="str">
        <f>PROPER(TRIM(Table1[[#This Row],[Gender]]))</f>
        <v>Female</v>
      </c>
      <c r="D1415" t="s">
        <v>43</v>
      </c>
      <c r="E1415">
        <v>57</v>
      </c>
      <c r="F1415" t="s">
        <v>58</v>
      </c>
      <c r="G1415" s="1">
        <v>24853</v>
      </c>
      <c r="H1415" t="s">
        <v>3555</v>
      </c>
      <c r="I1415" s="2" t="str">
        <f t="shared" si="22"/>
        <v>+91-8316931298</v>
      </c>
      <c r="J1415">
        <f>91-8316931389</f>
        <v>-8316931298</v>
      </c>
      <c r="K1415" t="s">
        <v>94</v>
      </c>
      <c r="L1415" t="s">
        <v>20</v>
      </c>
      <c r="M1415">
        <v>621164</v>
      </c>
      <c r="N1415" s="1">
        <v>45129</v>
      </c>
      <c r="O1415" t="s">
        <v>28</v>
      </c>
      <c r="P1415">
        <v>4</v>
      </c>
      <c r="Q1415">
        <v>98972.36</v>
      </c>
    </row>
    <row r="1416" spans="1:17" x14ac:dyDescent="0.3">
      <c r="A1416" t="s">
        <v>3556</v>
      </c>
      <c r="B1416" t="s">
        <v>3557</v>
      </c>
      <c r="C1416" s="2" t="str">
        <f>PROPER(TRIM(Table1[[#This Row],[Gender]]))</f>
        <v>Male</v>
      </c>
      <c r="D1416" t="s">
        <v>16</v>
      </c>
      <c r="E1416">
        <v>40</v>
      </c>
      <c r="F1416" t="s">
        <v>38</v>
      </c>
      <c r="G1416" s="1">
        <v>31058</v>
      </c>
      <c r="H1416" t="s">
        <v>3558</v>
      </c>
      <c r="I1416" s="2" t="str">
        <f t="shared" si="22"/>
        <v>+91-8151563745</v>
      </c>
      <c r="J1416">
        <f>91-8151563836</f>
        <v>-8151563745</v>
      </c>
      <c r="K1416" t="s">
        <v>64</v>
      </c>
      <c r="L1416" t="s">
        <v>20</v>
      </c>
      <c r="M1416">
        <v>520043</v>
      </c>
      <c r="N1416" s="1">
        <v>45348</v>
      </c>
      <c r="O1416" t="s">
        <v>28</v>
      </c>
      <c r="P1416">
        <v>7</v>
      </c>
      <c r="Q1416">
        <v>219447.1</v>
      </c>
    </row>
    <row r="1417" spans="1:17" x14ac:dyDescent="0.3">
      <c r="A1417" t="s">
        <v>3559</v>
      </c>
      <c r="B1417" t="s">
        <v>3560</v>
      </c>
      <c r="C1417" s="2" t="str">
        <f>PROPER(TRIM(Table1[[#This Row],[Gender]]))</f>
        <v>Female</v>
      </c>
      <c r="D1417" t="s">
        <v>43</v>
      </c>
      <c r="E1417">
        <v>41</v>
      </c>
      <c r="F1417" t="s">
        <v>38</v>
      </c>
      <c r="G1417" s="1">
        <v>30693</v>
      </c>
      <c r="H1417" t="s">
        <v>3561</v>
      </c>
      <c r="I1417" s="2" t="str">
        <f t="shared" si="22"/>
        <v>+91-7699559477</v>
      </c>
      <c r="J1417">
        <f>91-7699559568</f>
        <v>-7699559477</v>
      </c>
      <c r="K1417" t="s">
        <v>26</v>
      </c>
      <c r="L1417" t="s">
        <v>27</v>
      </c>
      <c r="M1417">
        <v>417653</v>
      </c>
      <c r="N1417" s="1">
        <v>45297</v>
      </c>
      <c r="O1417" t="s">
        <v>28</v>
      </c>
      <c r="P1417">
        <v>6</v>
      </c>
      <c r="Q1417">
        <v>188312.9</v>
      </c>
    </row>
    <row r="1418" spans="1:17" x14ac:dyDescent="0.3">
      <c r="A1418" t="s">
        <v>3562</v>
      </c>
      <c r="B1418" t="s">
        <v>352</v>
      </c>
      <c r="C1418" s="2" t="str">
        <f>PROPER(TRIM(Table1[[#This Row],[Gender]]))</f>
        <v>Male</v>
      </c>
      <c r="D1418" t="s">
        <v>16</v>
      </c>
      <c r="E1418">
        <v>38</v>
      </c>
      <c r="F1418" t="s">
        <v>38</v>
      </c>
      <c r="G1418" s="1">
        <v>31788</v>
      </c>
      <c r="H1418" t="s">
        <v>3563</v>
      </c>
      <c r="I1418" s="2" t="str">
        <f t="shared" si="22"/>
        <v>+91-7307570839</v>
      </c>
      <c r="J1418">
        <f>91-7307570930</f>
        <v>-7307570839</v>
      </c>
      <c r="K1418" t="s">
        <v>154</v>
      </c>
      <c r="L1418" t="s">
        <v>46</v>
      </c>
      <c r="M1418">
        <v>394996</v>
      </c>
      <c r="N1418" s="1">
        <v>45320</v>
      </c>
      <c r="O1418" t="s">
        <v>28</v>
      </c>
      <c r="P1418">
        <v>7</v>
      </c>
      <c r="Q1418">
        <v>220101.18</v>
      </c>
    </row>
    <row r="1419" spans="1:17" x14ac:dyDescent="0.3">
      <c r="A1419" t="s">
        <v>3564</v>
      </c>
      <c r="B1419" t="s">
        <v>773</v>
      </c>
      <c r="C1419" s="2" t="str">
        <f>PROPER(TRIM(Table1[[#This Row],[Gender]]))</f>
        <v>Female</v>
      </c>
      <c r="D1419" t="s">
        <v>43</v>
      </c>
      <c r="E1419">
        <v>43</v>
      </c>
      <c r="F1419" t="s">
        <v>38</v>
      </c>
      <c r="G1419" s="1">
        <v>29963</v>
      </c>
      <c r="H1419" t="s">
        <v>3565</v>
      </c>
      <c r="I1419" s="2" t="str">
        <f t="shared" si="22"/>
        <v>+91-7111745321</v>
      </c>
      <c r="J1419">
        <f>91-7111745412</f>
        <v>-7111745321</v>
      </c>
      <c r="K1419" t="s">
        <v>239</v>
      </c>
      <c r="L1419" t="s">
        <v>191</v>
      </c>
      <c r="M1419">
        <v>547114</v>
      </c>
      <c r="N1419" s="1">
        <v>45283</v>
      </c>
      <c r="O1419" t="s">
        <v>28</v>
      </c>
      <c r="P1419">
        <v>3</v>
      </c>
      <c r="Q1419">
        <v>61908.75</v>
      </c>
    </row>
    <row r="1420" spans="1:17" x14ac:dyDescent="0.3">
      <c r="A1420" t="s">
        <v>3566</v>
      </c>
      <c r="B1420" t="s">
        <v>3025</v>
      </c>
      <c r="C1420" s="2" t="str">
        <f>PROPER(TRIM(Table1[[#This Row],[Gender]]))</f>
        <v>Female</v>
      </c>
      <c r="D1420" t="s">
        <v>43</v>
      </c>
      <c r="E1420">
        <v>39</v>
      </c>
      <c r="F1420" t="s">
        <v>38</v>
      </c>
      <c r="G1420" s="1">
        <v>31423</v>
      </c>
      <c r="H1420" t="s">
        <v>3567</v>
      </c>
      <c r="I1420" s="2" t="str">
        <f t="shared" si="22"/>
        <v>+91-7682632721</v>
      </c>
      <c r="J1420">
        <f>91-7682632812</f>
        <v>-7682632721</v>
      </c>
      <c r="K1420" t="s">
        <v>580</v>
      </c>
      <c r="L1420" t="s">
        <v>85</v>
      </c>
      <c r="M1420">
        <v>512084</v>
      </c>
      <c r="N1420" s="1">
        <v>45129</v>
      </c>
      <c r="O1420" t="s">
        <v>35</v>
      </c>
      <c r="P1420">
        <v>0</v>
      </c>
      <c r="Q1420">
        <v>0</v>
      </c>
    </row>
    <row r="1421" spans="1:17" x14ac:dyDescent="0.3">
      <c r="A1421" t="s">
        <v>3568</v>
      </c>
      <c r="B1421" t="s">
        <v>862</v>
      </c>
      <c r="C1421" s="2" t="str">
        <f>PROPER(TRIM(Table1[[#This Row],[Gender]]))</f>
        <v>Male</v>
      </c>
      <c r="D1421" t="s">
        <v>16</v>
      </c>
      <c r="E1421">
        <v>19</v>
      </c>
      <c r="F1421" t="s">
        <v>49</v>
      </c>
      <c r="G1421" s="1">
        <v>38723</v>
      </c>
      <c r="H1421" t="s">
        <v>3569</v>
      </c>
      <c r="I1421" s="2" t="str">
        <f t="shared" si="22"/>
        <v>+91-9887721886</v>
      </c>
      <c r="J1421">
        <f>91-9887721977</f>
        <v>-9887721886</v>
      </c>
      <c r="K1421" t="s">
        <v>113</v>
      </c>
      <c r="L1421" t="s">
        <v>34</v>
      </c>
      <c r="M1421">
        <v>489289</v>
      </c>
      <c r="N1421" s="1">
        <v>45168</v>
      </c>
      <c r="O1421" t="s">
        <v>28</v>
      </c>
      <c r="P1421">
        <v>5</v>
      </c>
      <c r="Q1421">
        <v>153160.29</v>
      </c>
    </row>
    <row r="1422" spans="1:17" x14ac:dyDescent="0.3">
      <c r="A1422" t="s">
        <v>3570</v>
      </c>
      <c r="B1422" t="s">
        <v>759</v>
      </c>
      <c r="C1422" s="2" t="str">
        <f>PROPER(TRIM(Table1[[#This Row],[Gender]]))</f>
        <v>Female</v>
      </c>
      <c r="D1422" t="s">
        <v>43</v>
      </c>
      <c r="E1422">
        <v>20</v>
      </c>
      <c r="F1422" t="s">
        <v>49</v>
      </c>
      <c r="G1422" s="1">
        <v>38358</v>
      </c>
      <c r="H1422" t="s">
        <v>3571</v>
      </c>
      <c r="I1422" s="2" t="str">
        <f t="shared" si="22"/>
        <v>+91-7001778232</v>
      </c>
      <c r="J1422">
        <f>91-7001778323</f>
        <v>-7001778232</v>
      </c>
      <c r="K1422" t="s">
        <v>165</v>
      </c>
      <c r="L1422" t="s">
        <v>52</v>
      </c>
      <c r="M1422">
        <v>914891</v>
      </c>
      <c r="N1422" s="1">
        <v>45361</v>
      </c>
      <c r="O1422" t="s">
        <v>28</v>
      </c>
      <c r="P1422">
        <v>6</v>
      </c>
      <c r="Q1422">
        <v>120901.64</v>
      </c>
    </row>
    <row r="1423" spans="1:17" x14ac:dyDescent="0.3">
      <c r="A1423" t="s">
        <v>3572</v>
      </c>
      <c r="B1423" t="s">
        <v>3573</v>
      </c>
      <c r="C1423" s="2" t="str">
        <f>PROPER(TRIM(Table1[[#This Row],[Gender]]))</f>
        <v>Male</v>
      </c>
      <c r="D1423" t="s">
        <v>16</v>
      </c>
      <c r="E1423">
        <v>30</v>
      </c>
      <c r="F1423" t="s">
        <v>31</v>
      </c>
      <c r="G1423" s="1">
        <v>34708</v>
      </c>
      <c r="H1423" t="s">
        <v>3574</v>
      </c>
      <c r="I1423" s="2" t="str">
        <f t="shared" si="22"/>
        <v>+91-9528442989</v>
      </c>
      <c r="J1423">
        <f>91-9528443080</f>
        <v>-9528442989</v>
      </c>
      <c r="K1423" t="s">
        <v>415</v>
      </c>
      <c r="L1423" t="s">
        <v>90</v>
      </c>
      <c r="M1423">
        <v>742364</v>
      </c>
      <c r="N1423" s="1">
        <v>45323</v>
      </c>
      <c r="O1423" t="s">
        <v>28</v>
      </c>
      <c r="P1423">
        <v>4</v>
      </c>
      <c r="Q1423">
        <v>209731.94</v>
      </c>
    </row>
    <row r="1424" spans="1:17" x14ac:dyDescent="0.3">
      <c r="A1424" t="s">
        <v>3575</v>
      </c>
      <c r="B1424" t="s">
        <v>1124</v>
      </c>
      <c r="C1424" s="2" t="str">
        <f>PROPER(TRIM(Table1[[#This Row],[Gender]]))</f>
        <v>Female</v>
      </c>
      <c r="D1424" t="s">
        <v>43</v>
      </c>
      <c r="E1424">
        <v>21</v>
      </c>
      <c r="F1424" t="s">
        <v>49</v>
      </c>
      <c r="G1424" s="1">
        <v>37993</v>
      </c>
      <c r="H1424" t="s">
        <v>3576</v>
      </c>
      <c r="I1424" s="2" t="str">
        <f t="shared" si="22"/>
        <v>+91-7161024658</v>
      </c>
      <c r="J1424">
        <f>91-7161024749</f>
        <v>-7161024658</v>
      </c>
      <c r="K1424" t="s">
        <v>109</v>
      </c>
      <c r="L1424" t="s">
        <v>46</v>
      </c>
      <c r="M1424">
        <v>657883</v>
      </c>
      <c r="N1424" s="1">
        <v>45192</v>
      </c>
      <c r="O1424" t="s">
        <v>35</v>
      </c>
      <c r="P1424">
        <v>4</v>
      </c>
      <c r="Q1424">
        <v>8359.66</v>
      </c>
    </row>
    <row r="1425" spans="1:17" x14ac:dyDescent="0.3">
      <c r="A1425" t="s">
        <v>3577</v>
      </c>
      <c r="B1425" t="s">
        <v>543</v>
      </c>
      <c r="C1425" s="2" t="str">
        <f>PROPER(TRIM(Table1[[#This Row],[Gender]]))</f>
        <v>Female</v>
      </c>
      <c r="D1425" t="s">
        <v>43</v>
      </c>
      <c r="E1425">
        <v>21</v>
      </c>
      <c r="F1425" t="s">
        <v>49</v>
      </c>
      <c r="G1425" s="1">
        <v>37993</v>
      </c>
      <c r="H1425" t="s">
        <v>3578</v>
      </c>
      <c r="I1425" s="2" t="str">
        <f t="shared" si="22"/>
        <v>+91-9708252186</v>
      </c>
      <c r="J1425">
        <f>91-9708252277</f>
        <v>-9708252186</v>
      </c>
      <c r="K1425" t="s">
        <v>202</v>
      </c>
      <c r="L1425" t="s">
        <v>191</v>
      </c>
      <c r="M1425">
        <v>396114</v>
      </c>
      <c r="N1425" s="1">
        <v>45089</v>
      </c>
      <c r="O1425" t="s">
        <v>21</v>
      </c>
      <c r="P1425">
        <v>3</v>
      </c>
      <c r="Q1425">
        <v>23292.33</v>
      </c>
    </row>
    <row r="1426" spans="1:17" x14ac:dyDescent="0.3">
      <c r="A1426" t="s">
        <v>3579</v>
      </c>
      <c r="B1426" t="s">
        <v>3580</v>
      </c>
      <c r="C1426" s="2" t="str">
        <f>PROPER(TRIM(Table1[[#This Row],[Gender]]))</f>
        <v>Male</v>
      </c>
      <c r="D1426" t="s">
        <v>16</v>
      </c>
      <c r="E1426">
        <v>70</v>
      </c>
      <c r="F1426" t="s">
        <v>24</v>
      </c>
      <c r="G1426" s="1">
        <v>20108</v>
      </c>
      <c r="H1426" t="s">
        <v>3581</v>
      </c>
      <c r="I1426" s="2" t="str">
        <f t="shared" si="22"/>
        <v>+91-7387155024</v>
      </c>
      <c r="J1426">
        <f>91-7387155115</f>
        <v>-7387155024</v>
      </c>
      <c r="K1426" t="s">
        <v>80</v>
      </c>
      <c r="L1426" t="s">
        <v>20</v>
      </c>
      <c r="M1426">
        <v>297042</v>
      </c>
      <c r="N1426" s="1">
        <v>45266</v>
      </c>
      <c r="O1426" t="s">
        <v>21</v>
      </c>
      <c r="P1426">
        <v>3</v>
      </c>
      <c r="Q1426">
        <v>24618.16</v>
      </c>
    </row>
    <row r="1427" spans="1:17" x14ac:dyDescent="0.3">
      <c r="A1427" t="s">
        <v>3582</v>
      </c>
      <c r="B1427" t="s">
        <v>1265</v>
      </c>
      <c r="C1427" s="2" t="str">
        <f>PROPER(TRIM(Table1[[#This Row],[Gender]]))</f>
        <v>Female</v>
      </c>
      <c r="D1427" t="s">
        <v>43</v>
      </c>
      <c r="E1427">
        <v>31</v>
      </c>
      <c r="F1427" t="s">
        <v>31</v>
      </c>
      <c r="G1427" s="1">
        <v>34343</v>
      </c>
      <c r="H1427" t="s">
        <v>3583</v>
      </c>
      <c r="I1427" s="2" t="str">
        <f t="shared" si="22"/>
        <v>+91-8702028819</v>
      </c>
      <c r="J1427">
        <f>91-8702028910</f>
        <v>-8702028819</v>
      </c>
      <c r="K1427" t="s">
        <v>415</v>
      </c>
      <c r="L1427" t="s">
        <v>90</v>
      </c>
      <c r="M1427">
        <v>546159</v>
      </c>
      <c r="N1427" s="1">
        <v>45417</v>
      </c>
      <c r="O1427" t="s">
        <v>28</v>
      </c>
      <c r="P1427">
        <v>7</v>
      </c>
      <c r="Q1427">
        <v>155774.76</v>
      </c>
    </row>
    <row r="1428" spans="1:17" x14ac:dyDescent="0.3">
      <c r="A1428" t="s">
        <v>3584</v>
      </c>
      <c r="B1428" t="s">
        <v>2118</v>
      </c>
      <c r="C1428" s="2" t="str">
        <f>PROPER(TRIM(Table1[[#This Row],[Gender]]))</f>
        <v>Female</v>
      </c>
      <c r="D1428" t="s">
        <v>43</v>
      </c>
      <c r="E1428">
        <v>40</v>
      </c>
      <c r="F1428" t="s">
        <v>38</v>
      </c>
      <c r="G1428" s="1">
        <v>31058</v>
      </c>
      <c r="H1428" t="s">
        <v>3585</v>
      </c>
      <c r="I1428" s="2" t="str">
        <f t="shared" si="22"/>
        <v>+91-9032665759</v>
      </c>
      <c r="J1428">
        <f>91-9032665850</f>
        <v>-9032665759</v>
      </c>
      <c r="K1428" t="s">
        <v>190</v>
      </c>
      <c r="L1428" t="s">
        <v>191</v>
      </c>
      <c r="M1428">
        <v>375935</v>
      </c>
      <c r="N1428" s="1">
        <v>45419</v>
      </c>
      <c r="O1428" t="s">
        <v>28</v>
      </c>
      <c r="P1428">
        <v>2</v>
      </c>
      <c r="Q1428">
        <v>97870.62</v>
      </c>
    </row>
    <row r="1429" spans="1:17" x14ac:dyDescent="0.3">
      <c r="A1429" t="s">
        <v>3586</v>
      </c>
      <c r="B1429" t="s">
        <v>1722</v>
      </c>
      <c r="C1429" s="2" t="str">
        <f>PROPER(TRIM(Table1[[#This Row],[Gender]]))</f>
        <v>Female</v>
      </c>
      <c r="D1429" t="s">
        <v>43</v>
      </c>
      <c r="E1429">
        <v>68</v>
      </c>
      <c r="F1429" t="s">
        <v>24</v>
      </c>
      <c r="G1429" s="1">
        <v>20838</v>
      </c>
      <c r="H1429" t="s">
        <v>3587</v>
      </c>
      <c r="I1429" s="2" t="str">
        <f t="shared" si="22"/>
        <v>+91-8235331311</v>
      </c>
      <c r="J1429">
        <f>91-8235331402</f>
        <v>-8235331311</v>
      </c>
      <c r="K1429" t="s">
        <v>101</v>
      </c>
      <c r="L1429" t="s">
        <v>102</v>
      </c>
      <c r="M1429">
        <v>743766</v>
      </c>
      <c r="N1429" s="1">
        <v>45302</v>
      </c>
      <c r="O1429" t="s">
        <v>21</v>
      </c>
      <c r="P1429">
        <v>6</v>
      </c>
      <c r="Q1429">
        <v>36065.89</v>
      </c>
    </row>
    <row r="1430" spans="1:17" x14ac:dyDescent="0.3">
      <c r="A1430" t="s">
        <v>3588</v>
      </c>
      <c r="B1430" t="s">
        <v>3589</v>
      </c>
      <c r="C1430" s="2" t="str">
        <f>PROPER(TRIM(Table1[[#This Row],[Gender]]))</f>
        <v>Male</v>
      </c>
      <c r="D1430" t="s">
        <v>16</v>
      </c>
      <c r="E1430">
        <v>27</v>
      </c>
      <c r="F1430" t="s">
        <v>31</v>
      </c>
      <c r="G1430" s="1">
        <v>35803</v>
      </c>
      <c r="H1430" t="s">
        <v>3590</v>
      </c>
      <c r="I1430" s="2" t="str">
        <f t="shared" si="22"/>
        <v>+91-8315846217</v>
      </c>
      <c r="J1430">
        <f>91-8315846308</f>
        <v>-8315846217</v>
      </c>
      <c r="K1430" t="s">
        <v>138</v>
      </c>
      <c r="L1430" t="s">
        <v>90</v>
      </c>
      <c r="M1430">
        <v>998120</v>
      </c>
      <c r="N1430" s="1">
        <v>45117</v>
      </c>
      <c r="O1430" t="s">
        <v>28</v>
      </c>
      <c r="P1430">
        <v>4</v>
      </c>
      <c r="Q1430">
        <v>168904.07</v>
      </c>
    </row>
    <row r="1431" spans="1:17" x14ac:dyDescent="0.3">
      <c r="A1431" t="s">
        <v>3591</v>
      </c>
      <c r="B1431" t="s">
        <v>1270</v>
      </c>
      <c r="C1431" s="2" t="str">
        <f>PROPER(TRIM(Table1[[#This Row],[Gender]]))</f>
        <v>Female</v>
      </c>
      <c r="D1431" t="s">
        <v>43</v>
      </c>
      <c r="E1431">
        <v>47</v>
      </c>
      <c r="F1431" t="s">
        <v>17</v>
      </c>
      <c r="G1431" s="1">
        <v>28503</v>
      </c>
      <c r="H1431" t="s">
        <v>3592</v>
      </c>
      <c r="I1431" s="2" t="str">
        <f t="shared" si="22"/>
        <v>+91-7900592964</v>
      </c>
      <c r="J1431">
        <f>91-7900593055</f>
        <v>-7900592964</v>
      </c>
      <c r="K1431" t="s">
        <v>138</v>
      </c>
      <c r="L1431" t="s">
        <v>90</v>
      </c>
      <c r="M1431">
        <v>708114</v>
      </c>
      <c r="N1431" s="1">
        <v>45290</v>
      </c>
      <c r="O1431" t="s">
        <v>35</v>
      </c>
      <c r="P1431">
        <v>5</v>
      </c>
      <c r="Q1431">
        <v>16914.59</v>
      </c>
    </row>
    <row r="1432" spans="1:17" x14ac:dyDescent="0.3">
      <c r="A1432" t="s">
        <v>3593</v>
      </c>
      <c r="B1432" t="s">
        <v>1147</v>
      </c>
      <c r="C1432" s="2" t="str">
        <f>PROPER(TRIM(Table1[[#This Row],[Gender]]))</f>
        <v>Male</v>
      </c>
      <c r="D1432" t="s">
        <v>16</v>
      </c>
      <c r="E1432">
        <v>42</v>
      </c>
      <c r="F1432" t="s">
        <v>38</v>
      </c>
      <c r="G1432" s="1">
        <v>30328</v>
      </c>
      <c r="H1432" t="s">
        <v>3594</v>
      </c>
      <c r="I1432" s="2" t="str">
        <f t="shared" si="22"/>
        <v>+91-8634940052</v>
      </c>
      <c r="J1432">
        <f>91-8634940143</f>
        <v>-8634940052</v>
      </c>
      <c r="K1432" t="s">
        <v>33</v>
      </c>
      <c r="L1432" t="s">
        <v>34</v>
      </c>
      <c r="M1432">
        <v>242287</v>
      </c>
      <c r="N1432" s="1">
        <v>45222</v>
      </c>
      <c r="O1432" t="s">
        <v>28</v>
      </c>
      <c r="P1432">
        <v>5</v>
      </c>
      <c r="Q1432">
        <v>110576.59</v>
      </c>
    </row>
    <row r="1433" spans="1:17" x14ac:dyDescent="0.3">
      <c r="A1433" t="s">
        <v>3595</v>
      </c>
      <c r="B1433" t="s">
        <v>1600</v>
      </c>
      <c r="C1433" s="2" t="str">
        <f>PROPER(TRIM(Table1[[#This Row],[Gender]]))</f>
        <v>Male</v>
      </c>
      <c r="D1433" t="s">
        <v>16</v>
      </c>
      <c r="E1433">
        <v>30</v>
      </c>
      <c r="F1433" t="s">
        <v>31</v>
      </c>
      <c r="G1433" s="1">
        <v>34708</v>
      </c>
      <c r="H1433" t="s">
        <v>3596</v>
      </c>
      <c r="I1433" s="2" t="str">
        <f t="shared" si="22"/>
        <v>+91-7384542615</v>
      </c>
      <c r="J1433">
        <f>91-7384542706</f>
        <v>-7384542615</v>
      </c>
      <c r="K1433" t="s">
        <v>80</v>
      </c>
      <c r="L1433" t="s">
        <v>20</v>
      </c>
      <c r="M1433">
        <v>181389</v>
      </c>
      <c r="N1433" s="1">
        <v>45104</v>
      </c>
      <c r="O1433" t="s">
        <v>28</v>
      </c>
      <c r="P1433">
        <v>6</v>
      </c>
      <c r="Q1433">
        <v>61018.99</v>
      </c>
    </row>
    <row r="1434" spans="1:17" x14ac:dyDescent="0.3">
      <c r="A1434" t="s">
        <v>3597</v>
      </c>
      <c r="B1434" t="s">
        <v>1178</v>
      </c>
      <c r="C1434" s="2" t="str">
        <f>PROPER(TRIM(Table1[[#This Row],[Gender]]))</f>
        <v>Female</v>
      </c>
      <c r="D1434" t="s">
        <v>43</v>
      </c>
      <c r="E1434">
        <v>22</v>
      </c>
      <c r="F1434" t="s">
        <v>49</v>
      </c>
      <c r="G1434" s="1">
        <v>37628</v>
      </c>
      <c r="H1434" t="s">
        <v>3598</v>
      </c>
      <c r="I1434" s="2" t="str">
        <f t="shared" si="22"/>
        <v>+91-9655551120</v>
      </c>
      <c r="J1434">
        <f>91-9655551211</f>
        <v>-9655551120</v>
      </c>
      <c r="K1434" t="s">
        <v>45</v>
      </c>
      <c r="L1434" t="s">
        <v>46</v>
      </c>
      <c r="M1434">
        <v>774365</v>
      </c>
      <c r="N1434" s="1">
        <v>45361</v>
      </c>
      <c r="O1434" t="s">
        <v>28</v>
      </c>
      <c r="P1434">
        <v>4</v>
      </c>
      <c r="Q1434">
        <v>64744</v>
      </c>
    </row>
    <row r="1435" spans="1:17" x14ac:dyDescent="0.3">
      <c r="A1435" t="s">
        <v>3599</v>
      </c>
      <c r="B1435" t="s">
        <v>638</v>
      </c>
      <c r="C1435" s="2" t="str">
        <f>PROPER(TRIM(Table1[[#This Row],[Gender]]))</f>
        <v>Female</v>
      </c>
      <c r="D1435" t="s">
        <v>43</v>
      </c>
      <c r="E1435">
        <v>42</v>
      </c>
      <c r="F1435" t="s">
        <v>38</v>
      </c>
      <c r="G1435" s="1">
        <v>30328</v>
      </c>
      <c r="H1435" t="s">
        <v>3600</v>
      </c>
      <c r="I1435" s="2" t="str">
        <f t="shared" si="22"/>
        <v>+91-7967338024</v>
      </c>
      <c r="J1435">
        <f>91-7967338115</f>
        <v>-7967338024</v>
      </c>
      <c r="K1435" t="s">
        <v>121</v>
      </c>
      <c r="L1435" t="s">
        <v>85</v>
      </c>
      <c r="M1435">
        <v>728346</v>
      </c>
      <c r="N1435" s="1">
        <v>45398</v>
      </c>
      <c r="O1435" t="s">
        <v>28</v>
      </c>
      <c r="P1435">
        <v>4</v>
      </c>
      <c r="Q1435">
        <v>177879.8</v>
      </c>
    </row>
    <row r="1436" spans="1:17" x14ac:dyDescent="0.3">
      <c r="A1436" t="s">
        <v>3601</v>
      </c>
      <c r="B1436" t="s">
        <v>1400</v>
      </c>
      <c r="C1436" s="2" t="str">
        <f>PROPER(TRIM(Table1[[#This Row],[Gender]]))</f>
        <v>Male</v>
      </c>
      <c r="D1436" t="s">
        <v>16</v>
      </c>
      <c r="E1436">
        <v>64</v>
      </c>
      <c r="F1436" t="s">
        <v>58</v>
      </c>
      <c r="G1436" s="1">
        <v>22298</v>
      </c>
      <c r="H1436" t="s">
        <v>3602</v>
      </c>
      <c r="I1436" s="2" t="str">
        <f t="shared" si="22"/>
        <v>+91-8396337668</v>
      </c>
      <c r="J1436">
        <f>91-8396337759</f>
        <v>-8396337668</v>
      </c>
      <c r="K1436" t="s">
        <v>40</v>
      </c>
      <c r="L1436" t="s">
        <v>27</v>
      </c>
      <c r="M1436">
        <v>362936</v>
      </c>
      <c r="N1436" s="1">
        <v>45098</v>
      </c>
      <c r="O1436" t="s">
        <v>21</v>
      </c>
      <c r="P1436">
        <v>5</v>
      </c>
      <c r="Q1436">
        <v>38279.07</v>
      </c>
    </row>
    <row r="1437" spans="1:17" x14ac:dyDescent="0.3">
      <c r="A1437" t="s">
        <v>3603</v>
      </c>
      <c r="B1437" t="s">
        <v>1603</v>
      </c>
      <c r="C1437" s="2" t="str">
        <f>PROPER(TRIM(Table1[[#This Row],[Gender]]))</f>
        <v>Female</v>
      </c>
      <c r="D1437" t="s">
        <v>43</v>
      </c>
      <c r="E1437">
        <v>27</v>
      </c>
      <c r="F1437" t="s">
        <v>31</v>
      </c>
      <c r="G1437" s="1">
        <v>35803</v>
      </c>
      <c r="H1437" t="s">
        <v>3604</v>
      </c>
      <c r="I1437" s="2" t="str">
        <f t="shared" si="22"/>
        <v>+91-7852926603</v>
      </c>
      <c r="J1437">
        <f>91-7852926694</f>
        <v>-7852926603</v>
      </c>
      <c r="K1437" t="s">
        <v>125</v>
      </c>
      <c r="L1437" t="s">
        <v>52</v>
      </c>
      <c r="M1437">
        <v>911771</v>
      </c>
      <c r="N1437" s="1">
        <v>45377</v>
      </c>
      <c r="O1437" t="s">
        <v>21</v>
      </c>
      <c r="P1437">
        <v>5</v>
      </c>
      <c r="Q1437">
        <v>34495.75</v>
      </c>
    </row>
    <row r="1438" spans="1:17" x14ac:dyDescent="0.3">
      <c r="A1438" t="s">
        <v>3605</v>
      </c>
      <c r="B1438" t="s">
        <v>2033</v>
      </c>
      <c r="C1438" s="2" t="str">
        <f>PROPER(TRIM(Table1[[#This Row],[Gender]]))</f>
        <v>Female</v>
      </c>
      <c r="D1438" t="s">
        <v>43</v>
      </c>
      <c r="E1438">
        <v>62</v>
      </c>
      <c r="F1438" t="s">
        <v>58</v>
      </c>
      <c r="G1438" s="1">
        <v>23028</v>
      </c>
      <c r="H1438" t="s">
        <v>2274</v>
      </c>
      <c r="I1438" s="2" t="str">
        <f t="shared" si="22"/>
        <v>+91-9243633716</v>
      </c>
      <c r="J1438">
        <f>91-9243633807</f>
        <v>-9243633716</v>
      </c>
      <c r="K1438" t="s">
        <v>51</v>
      </c>
      <c r="L1438" t="s">
        <v>52</v>
      </c>
      <c r="M1438">
        <v>842828</v>
      </c>
      <c r="N1438" s="1">
        <v>45103</v>
      </c>
      <c r="O1438" t="s">
        <v>35</v>
      </c>
      <c r="P1438">
        <v>5</v>
      </c>
      <c r="Q1438">
        <v>6833.98</v>
      </c>
    </row>
    <row r="1439" spans="1:17" x14ac:dyDescent="0.3">
      <c r="A1439" t="s">
        <v>3606</v>
      </c>
      <c r="B1439" t="s">
        <v>3560</v>
      </c>
      <c r="C1439" s="2" t="str">
        <f>PROPER(TRIM(Table1[[#This Row],[Gender]]))</f>
        <v>Female</v>
      </c>
      <c r="D1439" t="s">
        <v>43</v>
      </c>
      <c r="E1439">
        <v>20</v>
      </c>
      <c r="F1439" t="s">
        <v>49</v>
      </c>
      <c r="G1439" s="1">
        <v>38358</v>
      </c>
      <c r="H1439" t="s">
        <v>3607</v>
      </c>
      <c r="I1439" s="2" t="str">
        <f t="shared" si="22"/>
        <v>+91-8384698477</v>
      </c>
      <c r="J1439">
        <f>91-8384698568</f>
        <v>-8384698477</v>
      </c>
      <c r="K1439" t="s">
        <v>195</v>
      </c>
      <c r="L1439" t="s">
        <v>102</v>
      </c>
      <c r="M1439">
        <v>961786</v>
      </c>
      <c r="N1439" s="1">
        <v>45187</v>
      </c>
      <c r="O1439" t="s">
        <v>21</v>
      </c>
      <c r="P1439">
        <v>6</v>
      </c>
      <c r="Q1439">
        <v>24201.68</v>
      </c>
    </row>
    <row r="1440" spans="1:17" x14ac:dyDescent="0.3">
      <c r="A1440" t="s">
        <v>3608</v>
      </c>
      <c r="B1440" t="s">
        <v>3127</v>
      </c>
      <c r="C1440" s="2" t="str">
        <f>PROPER(TRIM(Table1[[#This Row],[Gender]]))</f>
        <v>Male</v>
      </c>
      <c r="D1440" t="s">
        <v>16</v>
      </c>
      <c r="E1440">
        <v>62</v>
      </c>
      <c r="F1440" t="s">
        <v>58</v>
      </c>
      <c r="G1440" s="1">
        <v>23028</v>
      </c>
      <c r="H1440" t="s">
        <v>3609</v>
      </c>
      <c r="I1440" s="2" t="str">
        <f t="shared" si="22"/>
        <v>+91-9201633919</v>
      </c>
      <c r="J1440">
        <f>91-9201634010</f>
        <v>-9201633919</v>
      </c>
      <c r="K1440" t="s">
        <v>64</v>
      </c>
      <c r="L1440" t="s">
        <v>20</v>
      </c>
      <c r="M1440">
        <v>108413</v>
      </c>
      <c r="N1440" s="1">
        <v>45327</v>
      </c>
      <c r="O1440" t="s">
        <v>21</v>
      </c>
      <c r="P1440">
        <v>4</v>
      </c>
      <c r="Q1440">
        <v>47946.26</v>
      </c>
    </row>
    <row r="1441" spans="1:17" x14ac:dyDescent="0.3">
      <c r="A1441" t="s">
        <v>3610</v>
      </c>
      <c r="B1441" t="s">
        <v>2224</v>
      </c>
      <c r="C1441" s="2" t="str">
        <f>PROPER(TRIM(Table1[[#This Row],[Gender]]))</f>
        <v>Male</v>
      </c>
      <c r="D1441" t="s">
        <v>16</v>
      </c>
      <c r="E1441">
        <v>59</v>
      </c>
      <c r="F1441" t="s">
        <v>58</v>
      </c>
      <c r="G1441" s="1">
        <v>24123</v>
      </c>
      <c r="H1441" t="s">
        <v>3611</v>
      </c>
      <c r="I1441" s="2" t="str">
        <f t="shared" si="22"/>
        <v>+91-7546860078</v>
      </c>
      <c r="J1441">
        <f>91-7546860169</f>
        <v>-7546860078</v>
      </c>
      <c r="K1441" t="s">
        <v>273</v>
      </c>
      <c r="L1441" t="s">
        <v>46</v>
      </c>
      <c r="M1441">
        <v>878341</v>
      </c>
      <c r="N1441" s="1">
        <v>45096</v>
      </c>
      <c r="O1441" t="s">
        <v>21</v>
      </c>
      <c r="P1441">
        <v>3</v>
      </c>
      <c r="Q1441">
        <v>31860.2</v>
      </c>
    </row>
    <row r="1442" spans="1:17" x14ac:dyDescent="0.3">
      <c r="A1442" t="s">
        <v>3612</v>
      </c>
      <c r="B1442" t="s">
        <v>644</v>
      </c>
      <c r="C1442" s="2" t="str">
        <f>PROPER(TRIM(Table1[[#This Row],[Gender]]))</f>
        <v>Female</v>
      </c>
      <c r="D1442" t="s">
        <v>43</v>
      </c>
      <c r="E1442">
        <v>29</v>
      </c>
      <c r="F1442" t="s">
        <v>31</v>
      </c>
      <c r="G1442" s="1">
        <v>35073</v>
      </c>
      <c r="H1442" t="s">
        <v>3613</v>
      </c>
      <c r="I1442" s="2" t="str">
        <f t="shared" si="22"/>
        <v>+91-8270412605</v>
      </c>
      <c r="J1442">
        <f>91-8270412696</f>
        <v>-8270412605</v>
      </c>
      <c r="K1442" t="s">
        <v>154</v>
      </c>
      <c r="L1442" t="s">
        <v>46</v>
      </c>
      <c r="M1442">
        <v>468840</v>
      </c>
      <c r="N1442" s="1">
        <v>45132</v>
      </c>
      <c r="O1442" t="s">
        <v>28</v>
      </c>
      <c r="P1442">
        <v>7</v>
      </c>
      <c r="Q1442">
        <v>394345.76</v>
      </c>
    </row>
    <row r="1443" spans="1:17" x14ac:dyDescent="0.3">
      <c r="A1443" t="s">
        <v>3614</v>
      </c>
      <c r="B1443" t="s">
        <v>3615</v>
      </c>
      <c r="C1443" s="2" t="str">
        <f>PROPER(TRIM(Table1[[#This Row],[Gender]]))</f>
        <v>Female</v>
      </c>
      <c r="D1443" t="s">
        <v>43</v>
      </c>
      <c r="E1443">
        <v>19</v>
      </c>
      <c r="F1443" t="s">
        <v>49</v>
      </c>
      <c r="G1443" s="1">
        <v>38723</v>
      </c>
      <c r="H1443" t="s">
        <v>3616</v>
      </c>
      <c r="I1443" s="2" t="str">
        <f t="shared" si="22"/>
        <v>+91-7055410113</v>
      </c>
      <c r="J1443">
        <f>91-7055410204</f>
        <v>-7055410113</v>
      </c>
      <c r="K1443" t="s">
        <v>72</v>
      </c>
      <c r="L1443" t="s">
        <v>34</v>
      </c>
      <c r="M1443">
        <v>908195</v>
      </c>
      <c r="N1443" s="1">
        <v>45426</v>
      </c>
      <c r="O1443" t="s">
        <v>35</v>
      </c>
      <c r="P1443">
        <v>3</v>
      </c>
      <c r="Q1443">
        <v>9788.3700000000008</v>
      </c>
    </row>
    <row r="1444" spans="1:17" x14ac:dyDescent="0.3">
      <c r="A1444" t="s">
        <v>3617</v>
      </c>
      <c r="B1444" t="s">
        <v>1236</v>
      </c>
      <c r="C1444" s="2" t="str">
        <f>PROPER(TRIM(Table1[[#This Row],[Gender]]))</f>
        <v>Male</v>
      </c>
      <c r="D1444" t="s">
        <v>16</v>
      </c>
      <c r="E1444">
        <v>58</v>
      </c>
      <c r="F1444" t="s">
        <v>58</v>
      </c>
      <c r="G1444" s="1">
        <v>24488</v>
      </c>
      <c r="H1444" t="s">
        <v>1237</v>
      </c>
      <c r="I1444" s="2" t="str">
        <f t="shared" si="22"/>
        <v>+91-8850451153</v>
      </c>
      <c r="J1444">
        <f>91-8850451244</f>
        <v>-8850451153</v>
      </c>
      <c r="K1444" t="s">
        <v>273</v>
      </c>
      <c r="L1444" t="s">
        <v>46</v>
      </c>
      <c r="M1444">
        <v>720692</v>
      </c>
      <c r="N1444" s="1">
        <v>45129</v>
      </c>
      <c r="O1444" t="s">
        <v>35</v>
      </c>
      <c r="P1444">
        <v>5</v>
      </c>
      <c r="Q1444">
        <v>13642.32</v>
      </c>
    </row>
    <row r="1445" spans="1:17" x14ac:dyDescent="0.3">
      <c r="A1445" t="s">
        <v>3618</v>
      </c>
      <c r="B1445" t="s">
        <v>1216</v>
      </c>
      <c r="C1445" s="2" t="str">
        <f>PROPER(TRIM(Table1[[#This Row],[Gender]]))</f>
        <v>Female</v>
      </c>
      <c r="D1445" t="s">
        <v>43</v>
      </c>
      <c r="E1445">
        <v>52</v>
      </c>
      <c r="F1445" t="s">
        <v>17</v>
      </c>
      <c r="G1445" s="1">
        <v>26678</v>
      </c>
      <c r="H1445" t="s">
        <v>3619</v>
      </c>
      <c r="I1445" s="2" t="str">
        <f t="shared" si="22"/>
        <v>+91-9235025453</v>
      </c>
      <c r="J1445">
        <f>91-9235025544</f>
        <v>-9235025453</v>
      </c>
      <c r="K1445" t="s">
        <v>80</v>
      </c>
      <c r="L1445" t="s">
        <v>20</v>
      </c>
      <c r="M1445">
        <v>171624</v>
      </c>
      <c r="N1445" s="1">
        <v>45245</v>
      </c>
      <c r="O1445" t="s">
        <v>21</v>
      </c>
      <c r="P1445">
        <v>3</v>
      </c>
      <c r="Q1445">
        <v>37094.519999999997</v>
      </c>
    </row>
    <row r="1446" spans="1:17" x14ac:dyDescent="0.3">
      <c r="A1446" t="s">
        <v>3620</v>
      </c>
      <c r="B1446" t="s">
        <v>1787</v>
      </c>
      <c r="C1446" s="2" t="str">
        <f>PROPER(TRIM(Table1[[#This Row],[Gender]]))</f>
        <v>Male</v>
      </c>
      <c r="D1446" t="s">
        <v>16</v>
      </c>
      <c r="E1446">
        <v>61</v>
      </c>
      <c r="F1446" t="s">
        <v>58</v>
      </c>
      <c r="G1446" s="1">
        <v>23393</v>
      </c>
      <c r="H1446" t="s">
        <v>3621</v>
      </c>
      <c r="I1446" s="2" t="str">
        <f t="shared" si="22"/>
        <v>+91-8465339114</v>
      </c>
      <c r="J1446">
        <f>91-8465339205</f>
        <v>-8465339114</v>
      </c>
      <c r="K1446" t="s">
        <v>415</v>
      </c>
      <c r="L1446" t="s">
        <v>90</v>
      </c>
      <c r="M1446">
        <v>113223</v>
      </c>
      <c r="N1446" s="1">
        <v>45089</v>
      </c>
      <c r="O1446" t="s">
        <v>28</v>
      </c>
      <c r="P1446">
        <v>7</v>
      </c>
      <c r="Q1446">
        <v>55833.26</v>
      </c>
    </row>
    <row r="1447" spans="1:17" x14ac:dyDescent="0.3">
      <c r="A1447" t="s">
        <v>3622</v>
      </c>
      <c r="B1447" t="s">
        <v>1644</v>
      </c>
      <c r="C1447" s="2" t="str">
        <f>PROPER(TRIM(Table1[[#This Row],[Gender]]))</f>
        <v>Male</v>
      </c>
      <c r="D1447" t="s">
        <v>16</v>
      </c>
      <c r="E1447">
        <v>33</v>
      </c>
      <c r="F1447" t="s">
        <v>31</v>
      </c>
      <c r="G1447" s="1">
        <v>33613</v>
      </c>
      <c r="H1447" t="s">
        <v>3623</v>
      </c>
      <c r="I1447" s="2" t="str">
        <f t="shared" si="22"/>
        <v>+91-9383641983</v>
      </c>
      <c r="J1447">
        <f>91-9383642074</f>
        <v>-9383641983</v>
      </c>
      <c r="K1447" t="s">
        <v>273</v>
      </c>
      <c r="L1447" t="s">
        <v>46</v>
      </c>
      <c r="M1447">
        <v>499495</v>
      </c>
      <c r="N1447" s="1">
        <v>45231</v>
      </c>
      <c r="O1447" t="s">
        <v>21</v>
      </c>
      <c r="P1447">
        <v>4</v>
      </c>
      <c r="Q1447">
        <v>33492.300000000003</v>
      </c>
    </row>
    <row r="1448" spans="1:17" x14ac:dyDescent="0.3">
      <c r="A1448" t="s">
        <v>3624</v>
      </c>
      <c r="B1448" t="s">
        <v>3625</v>
      </c>
      <c r="C1448" s="2" t="str">
        <f>PROPER(TRIM(Table1[[#This Row],[Gender]]))</f>
        <v>Female</v>
      </c>
      <c r="D1448" t="s">
        <v>43</v>
      </c>
      <c r="E1448">
        <v>34</v>
      </c>
      <c r="F1448" t="s">
        <v>31</v>
      </c>
      <c r="G1448" s="1">
        <v>33248</v>
      </c>
      <c r="H1448" t="s">
        <v>3626</v>
      </c>
      <c r="I1448" s="2" t="str">
        <f t="shared" si="22"/>
        <v>+91-9412099209</v>
      </c>
      <c r="J1448">
        <f>91-9412099300</f>
        <v>-9412099209</v>
      </c>
      <c r="K1448" t="s">
        <v>113</v>
      </c>
      <c r="L1448" t="s">
        <v>34</v>
      </c>
      <c r="M1448">
        <v>483893</v>
      </c>
      <c r="N1448" s="1">
        <v>45375</v>
      </c>
      <c r="O1448" t="s">
        <v>28</v>
      </c>
      <c r="P1448">
        <v>5</v>
      </c>
      <c r="Q1448">
        <v>238160.16</v>
      </c>
    </row>
    <row r="1449" spans="1:17" x14ac:dyDescent="0.3">
      <c r="A1449" t="s">
        <v>3627</v>
      </c>
      <c r="B1449" t="s">
        <v>364</v>
      </c>
      <c r="C1449" s="2" t="str">
        <f>PROPER(TRIM(Table1[[#This Row],[Gender]]))</f>
        <v>Female</v>
      </c>
      <c r="D1449" t="s">
        <v>43</v>
      </c>
      <c r="E1449">
        <v>31</v>
      </c>
      <c r="F1449" t="s">
        <v>31</v>
      </c>
      <c r="G1449" s="1">
        <v>34343</v>
      </c>
      <c r="H1449" t="s">
        <v>3628</v>
      </c>
      <c r="I1449" s="2" t="str">
        <f t="shared" si="22"/>
        <v>+91-9483435738</v>
      </c>
      <c r="J1449">
        <f>91-9483435829</f>
        <v>-9483435738</v>
      </c>
      <c r="K1449" t="s">
        <v>202</v>
      </c>
      <c r="L1449" t="s">
        <v>191</v>
      </c>
      <c r="M1449">
        <v>494003</v>
      </c>
      <c r="N1449" s="1">
        <v>45129</v>
      </c>
      <c r="O1449" t="s">
        <v>21</v>
      </c>
      <c r="P1449">
        <v>2</v>
      </c>
      <c r="Q1449">
        <v>25125.9</v>
      </c>
    </row>
    <row r="1450" spans="1:17" x14ac:dyDescent="0.3">
      <c r="A1450" t="s">
        <v>3629</v>
      </c>
      <c r="B1450" t="s">
        <v>2721</v>
      </c>
      <c r="C1450" s="2" t="str">
        <f>PROPER(TRIM(Table1[[#This Row],[Gender]]))</f>
        <v>Male</v>
      </c>
      <c r="D1450" t="s">
        <v>16</v>
      </c>
      <c r="E1450">
        <v>28</v>
      </c>
      <c r="F1450" t="s">
        <v>31</v>
      </c>
      <c r="G1450" s="1">
        <v>35438</v>
      </c>
      <c r="H1450" t="s">
        <v>3630</v>
      </c>
      <c r="I1450" s="2" t="str">
        <f t="shared" si="22"/>
        <v>+91-9799358938</v>
      </c>
      <c r="J1450">
        <f>91-9799359029</f>
        <v>-9799358938</v>
      </c>
      <c r="K1450" t="s">
        <v>80</v>
      </c>
      <c r="L1450" t="s">
        <v>20</v>
      </c>
      <c r="M1450">
        <v>375498</v>
      </c>
      <c r="N1450" s="1">
        <v>45145</v>
      </c>
      <c r="O1450" t="s">
        <v>28</v>
      </c>
      <c r="P1450">
        <v>5</v>
      </c>
      <c r="Q1450">
        <v>53741.03</v>
      </c>
    </row>
    <row r="1451" spans="1:17" x14ac:dyDescent="0.3">
      <c r="A1451" t="s">
        <v>3631</v>
      </c>
      <c r="B1451" t="s">
        <v>1885</v>
      </c>
      <c r="C1451" s="2" t="str">
        <f>PROPER(TRIM(Table1[[#This Row],[Gender]]))</f>
        <v>Male</v>
      </c>
      <c r="D1451" t="s">
        <v>16</v>
      </c>
      <c r="E1451">
        <v>31</v>
      </c>
      <c r="F1451" t="s">
        <v>31</v>
      </c>
      <c r="G1451" s="1">
        <v>34343</v>
      </c>
      <c r="H1451" t="s">
        <v>3632</v>
      </c>
      <c r="I1451" s="2" t="str">
        <f t="shared" si="22"/>
        <v>+91-7895082688</v>
      </c>
      <c r="J1451">
        <f>91-7895082779</f>
        <v>-7895082688</v>
      </c>
      <c r="K1451" t="s">
        <v>60</v>
      </c>
      <c r="L1451" t="s">
        <v>34</v>
      </c>
      <c r="M1451">
        <v>100888</v>
      </c>
      <c r="N1451" s="1">
        <v>45247</v>
      </c>
      <c r="O1451" t="s">
        <v>28</v>
      </c>
      <c r="P1451">
        <v>6</v>
      </c>
      <c r="Q1451">
        <v>196611.04</v>
      </c>
    </row>
    <row r="1452" spans="1:17" x14ac:dyDescent="0.3">
      <c r="A1452" t="s">
        <v>3633</v>
      </c>
      <c r="B1452" t="s">
        <v>460</v>
      </c>
      <c r="C1452" s="2" t="str">
        <f>PROPER(TRIM(Table1[[#This Row],[Gender]]))</f>
        <v>Male</v>
      </c>
      <c r="D1452" t="s">
        <v>16</v>
      </c>
      <c r="E1452">
        <v>21</v>
      </c>
      <c r="F1452" t="s">
        <v>49</v>
      </c>
      <c r="G1452" s="1">
        <v>37993</v>
      </c>
      <c r="H1452" t="s">
        <v>3634</v>
      </c>
      <c r="I1452" s="2" t="str">
        <f t="shared" si="22"/>
        <v>+91-9972644410</v>
      </c>
      <c r="J1452">
        <f>91-9972644501</f>
        <v>-9972644410</v>
      </c>
      <c r="K1452" t="s">
        <v>84</v>
      </c>
      <c r="L1452" t="s">
        <v>85</v>
      </c>
      <c r="M1452">
        <v>511824</v>
      </c>
      <c r="N1452" s="1">
        <v>45219</v>
      </c>
      <c r="O1452" t="s">
        <v>28</v>
      </c>
      <c r="P1452">
        <v>8</v>
      </c>
      <c r="Q1452">
        <v>279737.57</v>
      </c>
    </row>
    <row r="1453" spans="1:17" x14ac:dyDescent="0.3">
      <c r="A1453" t="s">
        <v>3635</v>
      </c>
      <c r="B1453" t="s">
        <v>2899</v>
      </c>
      <c r="C1453" s="2" t="str">
        <f>PROPER(TRIM(Table1[[#This Row],[Gender]]))</f>
        <v>Female</v>
      </c>
      <c r="D1453" t="s">
        <v>43</v>
      </c>
      <c r="E1453">
        <v>19</v>
      </c>
      <c r="F1453" t="s">
        <v>49</v>
      </c>
      <c r="G1453" s="1">
        <v>38723</v>
      </c>
      <c r="H1453" t="s">
        <v>3636</v>
      </c>
      <c r="I1453" s="2" t="str">
        <f t="shared" si="22"/>
        <v>+91-9233955008</v>
      </c>
      <c r="J1453">
        <f>91-9233955099</f>
        <v>-9233955008</v>
      </c>
      <c r="K1453" t="s">
        <v>154</v>
      </c>
      <c r="L1453" t="s">
        <v>46</v>
      </c>
      <c r="M1453">
        <v>959957</v>
      </c>
      <c r="N1453" s="1">
        <v>45158</v>
      </c>
      <c r="O1453" t="s">
        <v>28</v>
      </c>
      <c r="P1453">
        <v>3</v>
      </c>
      <c r="Q1453">
        <v>64474.55</v>
      </c>
    </row>
    <row r="1454" spans="1:17" x14ac:dyDescent="0.3">
      <c r="A1454" t="s">
        <v>3637</v>
      </c>
      <c r="B1454" t="s">
        <v>119</v>
      </c>
      <c r="C1454" s="2" t="str">
        <f>PROPER(TRIM(Table1[[#This Row],[Gender]]))</f>
        <v>Male</v>
      </c>
      <c r="D1454" t="s">
        <v>16</v>
      </c>
      <c r="E1454">
        <v>58</v>
      </c>
      <c r="F1454" t="s">
        <v>58</v>
      </c>
      <c r="G1454" s="1">
        <v>24488</v>
      </c>
      <c r="H1454" t="s">
        <v>120</v>
      </c>
      <c r="I1454" s="2" t="str">
        <f t="shared" si="22"/>
        <v>+91-7384156027</v>
      </c>
      <c r="J1454">
        <f>91-7384156118</f>
        <v>-7384156027</v>
      </c>
      <c r="K1454" t="s">
        <v>331</v>
      </c>
      <c r="L1454" t="s">
        <v>143</v>
      </c>
      <c r="M1454">
        <v>447470</v>
      </c>
      <c r="N1454" s="1">
        <v>45263</v>
      </c>
      <c r="O1454" t="s">
        <v>21</v>
      </c>
      <c r="P1454">
        <v>4</v>
      </c>
      <c r="Q1454">
        <v>26116.12</v>
      </c>
    </row>
    <row r="1455" spans="1:17" x14ac:dyDescent="0.3">
      <c r="A1455" t="s">
        <v>3638</v>
      </c>
      <c r="B1455" t="s">
        <v>1256</v>
      </c>
      <c r="C1455" s="2" t="str">
        <f>PROPER(TRIM(Table1[[#This Row],[Gender]]))</f>
        <v>Male</v>
      </c>
      <c r="D1455" t="s">
        <v>16</v>
      </c>
      <c r="E1455">
        <v>40</v>
      </c>
      <c r="F1455" t="s">
        <v>38</v>
      </c>
      <c r="G1455" s="1">
        <v>31058</v>
      </c>
      <c r="H1455" t="s">
        <v>3639</v>
      </c>
      <c r="I1455" s="2" t="str">
        <f t="shared" si="22"/>
        <v>+91-9928611926</v>
      </c>
      <c r="J1455">
        <f>91-9928612017</f>
        <v>-9928611926</v>
      </c>
      <c r="K1455" t="s">
        <v>26</v>
      </c>
      <c r="L1455" t="s">
        <v>27</v>
      </c>
      <c r="M1455">
        <v>608258</v>
      </c>
      <c r="N1455" s="1">
        <v>45340</v>
      </c>
      <c r="O1455" t="s">
        <v>28</v>
      </c>
      <c r="P1455">
        <v>5</v>
      </c>
      <c r="Q1455">
        <v>102145.63</v>
      </c>
    </row>
    <row r="1456" spans="1:17" x14ac:dyDescent="0.3">
      <c r="A1456" t="s">
        <v>3640</v>
      </c>
      <c r="B1456" t="s">
        <v>469</v>
      </c>
      <c r="C1456" s="2" t="str">
        <f>PROPER(TRIM(Table1[[#This Row],[Gender]]))</f>
        <v>Male</v>
      </c>
      <c r="D1456" t="s">
        <v>16</v>
      </c>
      <c r="E1456">
        <v>18</v>
      </c>
      <c r="F1456" t="s">
        <v>49</v>
      </c>
      <c r="G1456" s="1">
        <v>39088</v>
      </c>
      <c r="H1456" t="s">
        <v>3641</v>
      </c>
      <c r="I1456" s="2" t="str">
        <f t="shared" si="22"/>
        <v>+91-7868857657</v>
      </c>
      <c r="J1456">
        <f>91-7868857748</f>
        <v>-7868857657</v>
      </c>
      <c r="K1456" t="s">
        <v>273</v>
      </c>
      <c r="L1456" t="s">
        <v>46</v>
      </c>
      <c r="M1456">
        <v>419040</v>
      </c>
      <c r="N1456" s="1">
        <v>45150</v>
      </c>
      <c r="O1456" t="s">
        <v>28</v>
      </c>
      <c r="P1456">
        <v>11</v>
      </c>
      <c r="Q1456">
        <v>388874.91</v>
      </c>
    </row>
    <row r="1457" spans="1:17" x14ac:dyDescent="0.3">
      <c r="A1457" t="s">
        <v>3642</v>
      </c>
      <c r="B1457" t="s">
        <v>1242</v>
      </c>
      <c r="C1457" s="2" t="str">
        <f>PROPER(TRIM(Table1[[#This Row],[Gender]]))</f>
        <v>Female</v>
      </c>
      <c r="D1457" t="s">
        <v>43</v>
      </c>
      <c r="E1457">
        <v>37</v>
      </c>
      <c r="F1457" t="s">
        <v>38</v>
      </c>
      <c r="G1457" s="1">
        <v>32153</v>
      </c>
      <c r="H1457" t="s">
        <v>3643</v>
      </c>
      <c r="I1457" s="2" t="str">
        <f t="shared" si="22"/>
        <v>+91-8435229925</v>
      </c>
      <c r="J1457">
        <f>91-8435230016</f>
        <v>-8435229925</v>
      </c>
      <c r="K1457" t="s">
        <v>33</v>
      </c>
      <c r="L1457" t="s">
        <v>34</v>
      </c>
      <c r="M1457">
        <v>953107</v>
      </c>
      <c r="N1457" s="1">
        <v>45168</v>
      </c>
      <c r="O1457" t="s">
        <v>28</v>
      </c>
      <c r="P1457">
        <v>7</v>
      </c>
      <c r="Q1457">
        <v>460900.07</v>
      </c>
    </row>
    <row r="1458" spans="1:17" x14ac:dyDescent="0.3">
      <c r="A1458" t="s">
        <v>3644</v>
      </c>
      <c r="B1458" t="s">
        <v>3645</v>
      </c>
      <c r="C1458" s="2" t="str">
        <f>PROPER(TRIM(Table1[[#This Row],[Gender]]))</f>
        <v>Male</v>
      </c>
      <c r="D1458" t="s">
        <v>16</v>
      </c>
      <c r="E1458">
        <v>19</v>
      </c>
      <c r="F1458" t="s">
        <v>49</v>
      </c>
      <c r="G1458" s="1">
        <v>38723</v>
      </c>
      <c r="H1458" t="s">
        <v>3646</v>
      </c>
      <c r="I1458" s="2" t="str">
        <f t="shared" si="22"/>
        <v>+91-7600533573</v>
      </c>
      <c r="J1458">
        <f>91-7600533664</f>
        <v>-7600533573</v>
      </c>
      <c r="K1458" t="s">
        <v>174</v>
      </c>
      <c r="L1458" t="s">
        <v>90</v>
      </c>
      <c r="M1458">
        <v>577357</v>
      </c>
      <c r="N1458" s="1">
        <v>45106</v>
      </c>
      <c r="O1458" t="s">
        <v>28</v>
      </c>
      <c r="P1458">
        <v>4</v>
      </c>
      <c r="Q1458">
        <v>312196.02</v>
      </c>
    </row>
    <row r="1459" spans="1:17" x14ac:dyDescent="0.3">
      <c r="A1459" t="s">
        <v>3647</v>
      </c>
      <c r="B1459" t="s">
        <v>3648</v>
      </c>
      <c r="C1459" s="2" t="str">
        <f>PROPER(TRIM(Table1[[#This Row],[Gender]]))</f>
        <v>Male</v>
      </c>
      <c r="D1459" t="s">
        <v>16</v>
      </c>
      <c r="E1459">
        <v>19</v>
      </c>
      <c r="F1459" t="s">
        <v>49</v>
      </c>
      <c r="G1459" s="1">
        <v>38723</v>
      </c>
      <c r="H1459" t="s">
        <v>3649</v>
      </c>
      <c r="I1459" s="2" t="str">
        <f t="shared" si="22"/>
        <v>+91-8088814260</v>
      </c>
      <c r="J1459">
        <f>91-8088814351</f>
        <v>-8088814260</v>
      </c>
      <c r="K1459" t="s">
        <v>84</v>
      </c>
      <c r="L1459" t="s">
        <v>85</v>
      </c>
      <c r="M1459">
        <v>115240</v>
      </c>
      <c r="N1459" s="1">
        <v>45200</v>
      </c>
      <c r="O1459" t="s">
        <v>28</v>
      </c>
      <c r="P1459">
        <v>4</v>
      </c>
      <c r="Q1459">
        <v>105191.91</v>
      </c>
    </row>
    <row r="1460" spans="1:17" x14ac:dyDescent="0.3">
      <c r="A1460" t="s">
        <v>3650</v>
      </c>
      <c r="B1460" t="s">
        <v>1722</v>
      </c>
      <c r="C1460" s="2" t="str">
        <f>PROPER(TRIM(Table1[[#This Row],[Gender]]))</f>
        <v>Female</v>
      </c>
      <c r="D1460" t="s">
        <v>43</v>
      </c>
      <c r="E1460">
        <v>25</v>
      </c>
      <c r="F1460" t="s">
        <v>49</v>
      </c>
      <c r="G1460" s="1">
        <v>36533</v>
      </c>
      <c r="H1460" t="s">
        <v>3651</v>
      </c>
      <c r="I1460" s="2" t="str">
        <f t="shared" si="22"/>
        <v>+91-8721552893</v>
      </c>
      <c r="J1460">
        <f>91-8721552984</f>
        <v>-8721552893</v>
      </c>
      <c r="K1460" t="s">
        <v>249</v>
      </c>
      <c r="L1460" t="s">
        <v>34</v>
      </c>
      <c r="M1460">
        <v>993635</v>
      </c>
      <c r="N1460" s="1">
        <v>45229</v>
      </c>
      <c r="O1460" t="s">
        <v>21</v>
      </c>
      <c r="P1460">
        <v>4</v>
      </c>
      <c r="Q1460">
        <v>22144.86</v>
      </c>
    </row>
    <row r="1461" spans="1:17" x14ac:dyDescent="0.3">
      <c r="A1461" t="s">
        <v>3652</v>
      </c>
      <c r="B1461" t="s">
        <v>1929</v>
      </c>
      <c r="C1461" s="2" t="str">
        <f>PROPER(TRIM(Table1[[#This Row],[Gender]]))</f>
        <v>Female</v>
      </c>
      <c r="D1461" t="s">
        <v>43</v>
      </c>
      <c r="E1461">
        <v>37</v>
      </c>
      <c r="F1461" t="s">
        <v>38</v>
      </c>
      <c r="G1461" s="1">
        <v>32153</v>
      </c>
      <c r="H1461" t="s">
        <v>3653</v>
      </c>
      <c r="I1461" s="2" t="str">
        <f t="shared" si="22"/>
        <v>+91-7789969132</v>
      </c>
      <c r="J1461">
        <f>91-7789969223</f>
        <v>-7789969132</v>
      </c>
      <c r="K1461" t="s">
        <v>89</v>
      </c>
      <c r="L1461" t="s">
        <v>90</v>
      </c>
      <c r="M1461">
        <v>708297</v>
      </c>
      <c r="N1461" s="1">
        <v>45289</v>
      </c>
      <c r="O1461" t="s">
        <v>28</v>
      </c>
      <c r="P1461">
        <v>5</v>
      </c>
      <c r="Q1461">
        <v>66823.88</v>
      </c>
    </row>
    <row r="1462" spans="1:17" x14ac:dyDescent="0.3">
      <c r="A1462" t="s">
        <v>3654</v>
      </c>
      <c r="B1462" t="s">
        <v>501</v>
      </c>
      <c r="C1462" s="2" t="str">
        <f>PROPER(TRIM(Table1[[#This Row],[Gender]]))</f>
        <v>Male</v>
      </c>
      <c r="D1462" t="s">
        <v>16</v>
      </c>
      <c r="E1462">
        <v>30</v>
      </c>
      <c r="F1462" t="s">
        <v>31</v>
      </c>
      <c r="G1462" s="1">
        <v>34708</v>
      </c>
      <c r="H1462" t="s">
        <v>678</v>
      </c>
      <c r="I1462" s="2" t="str">
        <f t="shared" si="22"/>
        <v>+91-9964471239</v>
      </c>
      <c r="J1462">
        <f>91-9964471330</f>
        <v>-9964471239</v>
      </c>
      <c r="K1462" t="s">
        <v>415</v>
      </c>
      <c r="L1462" t="s">
        <v>90</v>
      </c>
      <c r="M1462">
        <v>941528</v>
      </c>
      <c r="N1462" s="1">
        <v>45108</v>
      </c>
      <c r="O1462" t="s">
        <v>28</v>
      </c>
      <c r="P1462">
        <v>7</v>
      </c>
      <c r="Q1462">
        <v>66591.06</v>
      </c>
    </row>
    <row r="1463" spans="1:17" x14ac:dyDescent="0.3">
      <c r="A1463" t="s">
        <v>3655</v>
      </c>
      <c r="B1463" t="s">
        <v>1611</v>
      </c>
      <c r="C1463" s="2" t="str">
        <f>PROPER(TRIM(Table1[[#This Row],[Gender]]))</f>
        <v>Female</v>
      </c>
      <c r="D1463" t="s">
        <v>43</v>
      </c>
      <c r="E1463">
        <v>34</v>
      </c>
      <c r="F1463" t="s">
        <v>31</v>
      </c>
      <c r="G1463" s="1">
        <v>33248</v>
      </c>
      <c r="H1463" t="s">
        <v>3656</v>
      </c>
      <c r="I1463" s="2" t="str">
        <f t="shared" si="22"/>
        <v>+91-8169787957</v>
      </c>
      <c r="J1463">
        <f>91-8169788048</f>
        <v>-8169787957</v>
      </c>
      <c r="K1463" t="s">
        <v>580</v>
      </c>
      <c r="L1463" t="s">
        <v>85</v>
      </c>
      <c r="M1463">
        <v>844993</v>
      </c>
      <c r="N1463" s="1">
        <v>45129</v>
      </c>
      <c r="O1463" t="s">
        <v>28</v>
      </c>
      <c r="P1463">
        <v>5</v>
      </c>
      <c r="Q1463">
        <v>97012.19</v>
      </c>
    </row>
    <row r="1464" spans="1:17" x14ac:dyDescent="0.3">
      <c r="A1464" t="s">
        <v>3657</v>
      </c>
      <c r="B1464" t="s">
        <v>557</v>
      </c>
      <c r="C1464" s="2" t="str">
        <f>PROPER(TRIM(Table1[[#This Row],[Gender]]))</f>
        <v>Male</v>
      </c>
      <c r="D1464" t="s">
        <v>16</v>
      </c>
      <c r="E1464">
        <v>43</v>
      </c>
      <c r="F1464" t="s">
        <v>38</v>
      </c>
      <c r="G1464" s="1">
        <v>29963</v>
      </c>
      <c r="H1464" t="s">
        <v>3658</v>
      </c>
      <c r="I1464" s="2" t="str">
        <f t="shared" si="22"/>
        <v>+91-8887529109</v>
      </c>
      <c r="J1464">
        <f>91-8887529200</f>
        <v>-8887529109</v>
      </c>
      <c r="K1464" t="s">
        <v>19</v>
      </c>
      <c r="L1464" t="s">
        <v>20</v>
      </c>
      <c r="M1464">
        <v>890295</v>
      </c>
      <c r="N1464" s="1">
        <v>45198</v>
      </c>
      <c r="O1464" t="s">
        <v>28</v>
      </c>
      <c r="P1464">
        <v>6</v>
      </c>
      <c r="Q1464">
        <v>143861.6</v>
      </c>
    </row>
    <row r="1465" spans="1:17" x14ac:dyDescent="0.3">
      <c r="A1465" t="s">
        <v>3659</v>
      </c>
      <c r="B1465" t="s">
        <v>2038</v>
      </c>
      <c r="C1465" s="2" t="str">
        <f>PROPER(TRIM(Table1[[#This Row],[Gender]]))</f>
        <v>Female</v>
      </c>
      <c r="D1465" t="s">
        <v>43</v>
      </c>
      <c r="E1465">
        <v>28</v>
      </c>
      <c r="F1465" t="s">
        <v>31</v>
      </c>
      <c r="G1465" s="1">
        <v>35438</v>
      </c>
      <c r="H1465" t="s">
        <v>3660</v>
      </c>
      <c r="I1465" s="2" t="str">
        <f t="shared" si="22"/>
        <v>+91-7175290649</v>
      </c>
      <c r="J1465">
        <f>91-7175290740</f>
        <v>-7175290649</v>
      </c>
      <c r="K1465" t="s">
        <v>89</v>
      </c>
      <c r="L1465" t="s">
        <v>90</v>
      </c>
      <c r="M1465">
        <v>225641</v>
      </c>
      <c r="N1465" s="1">
        <v>45310</v>
      </c>
      <c r="O1465" t="s">
        <v>35</v>
      </c>
      <c r="P1465">
        <v>1</v>
      </c>
      <c r="Q1465">
        <v>4665.8</v>
      </c>
    </row>
    <row r="1466" spans="1:17" x14ac:dyDescent="0.3">
      <c r="A1466" t="s">
        <v>3661</v>
      </c>
      <c r="B1466" t="s">
        <v>710</v>
      </c>
      <c r="C1466" s="2" t="str">
        <f>PROPER(TRIM(Table1[[#This Row],[Gender]]))</f>
        <v>Male</v>
      </c>
      <c r="D1466" t="s">
        <v>16</v>
      </c>
      <c r="E1466">
        <v>35</v>
      </c>
      <c r="F1466" t="s">
        <v>31</v>
      </c>
      <c r="G1466" s="1">
        <v>32883</v>
      </c>
      <c r="H1466" t="s">
        <v>3662</v>
      </c>
      <c r="I1466" s="2" t="str">
        <f t="shared" si="22"/>
        <v>+91-7796949461</v>
      </c>
      <c r="J1466">
        <f>91-7796949552</f>
        <v>-7796949461</v>
      </c>
      <c r="K1466" t="s">
        <v>40</v>
      </c>
      <c r="L1466" t="s">
        <v>27</v>
      </c>
      <c r="M1466">
        <v>126861</v>
      </c>
      <c r="N1466" s="1">
        <v>45436</v>
      </c>
      <c r="O1466" t="s">
        <v>21</v>
      </c>
      <c r="P1466">
        <v>3</v>
      </c>
      <c r="Q1466">
        <v>43300.62</v>
      </c>
    </row>
    <row r="1467" spans="1:17" x14ac:dyDescent="0.3">
      <c r="A1467" t="s">
        <v>3663</v>
      </c>
      <c r="B1467" t="s">
        <v>823</v>
      </c>
      <c r="C1467" s="2" t="str">
        <f>PROPER(TRIM(Table1[[#This Row],[Gender]]))</f>
        <v>Female</v>
      </c>
      <c r="D1467" t="s">
        <v>43</v>
      </c>
      <c r="E1467">
        <v>20</v>
      </c>
      <c r="F1467" t="s">
        <v>49</v>
      </c>
      <c r="G1467" s="1">
        <v>38358</v>
      </c>
      <c r="H1467" t="s">
        <v>3664</v>
      </c>
      <c r="I1467" s="2" t="str">
        <f t="shared" si="22"/>
        <v>+91-7287829357</v>
      </c>
      <c r="J1467">
        <f>91-7287829448</f>
        <v>-7287829357</v>
      </c>
      <c r="K1467" t="s">
        <v>174</v>
      </c>
      <c r="L1467" t="s">
        <v>90</v>
      </c>
      <c r="M1467">
        <v>870826</v>
      </c>
      <c r="N1467" s="1">
        <v>45098</v>
      </c>
      <c r="O1467" t="s">
        <v>28</v>
      </c>
      <c r="P1467">
        <v>5</v>
      </c>
      <c r="Q1467">
        <v>89962.82</v>
      </c>
    </row>
    <row r="1468" spans="1:17" x14ac:dyDescent="0.3">
      <c r="A1468" t="s">
        <v>3665</v>
      </c>
      <c r="B1468" t="s">
        <v>1588</v>
      </c>
      <c r="C1468" s="2" t="str">
        <f>PROPER(TRIM(Table1[[#This Row],[Gender]]))</f>
        <v>Female</v>
      </c>
      <c r="D1468" t="s">
        <v>43</v>
      </c>
      <c r="E1468">
        <v>25</v>
      </c>
      <c r="F1468" t="s">
        <v>49</v>
      </c>
      <c r="G1468" s="1">
        <v>36533</v>
      </c>
      <c r="H1468" t="s">
        <v>3666</v>
      </c>
      <c r="I1468" s="2" t="str">
        <f t="shared" si="22"/>
        <v>+91-9904061850</v>
      </c>
      <c r="J1468">
        <f>91-9904061941</f>
        <v>-9904061850</v>
      </c>
      <c r="K1468" t="s">
        <v>33</v>
      </c>
      <c r="L1468" t="s">
        <v>34</v>
      </c>
      <c r="M1468">
        <v>293689</v>
      </c>
      <c r="N1468" s="1">
        <v>45410</v>
      </c>
      <c r="O1468" t="s">
        <v>28</v>
      </c>
      <c r="P1468">
        <v>7</v>
      </c>
      <c r="Q1468">
        <v>149177.94</v>
      </c>
    </row>
    <row r="1469" spans="1:17" x14ac:dyDescent="0.3">
      <c r="A1469" t="s">
        <v>3667</v>
      </c>
      <c r="B1469" t="s">
        <v>2429</v>
      </c>
      <c r="C1469" s="2" t="str">
        <f>PROPER(TRIM(Table1[[#This Row],[Gender]]))</f>
        <v>Female</v>
      </c>
      <c r="D1469" t="s">
        <v>43</v>
      </c>
      <c r="E1469">
        <v>32</v>
      </c>
      <c r="F1469" t="s">
        <v>31</v>
      </c>
      <c r="G1469" s="1">
        <v>33978</v>
      </c>
      <c r="H1469" t="s">
        <v>3668</v>
      </c>
      <c r="I1469" s="2" t="str">
        <f t="shared" si="22"/>
        <v>+91-9067078574</v>
      </c>
      <c r="J1469">
        <f>91-9067078665</f>
        <v>-9067078574</v>
      </c>
      <c r="K1469" t="s">
        <v>68</v>
      </c>
      <c r="L1469" t="s">
        <v>52</v>
      </c>
      <c r="M1469">
        <v>244188</v>
      </c>
      <c r="N1469" s="1">
        <v>45132</v>
      </c>
      <c r="O1469" t="s">
        <v>28</v>
      </c>
      <c r="P1469">
        <v>4</v>
      </c>
      <c r="Q1469">
        <v>103322.8</v>
      </c>
    </row>
    <row r="1470" spans="1:17" x14ac:dyDescent="0.3">
      <c r="A1470" t="s">
        <v>3669</v>
      </c>
      <c r="B1470" t="s">
        <v>3670</v>
      </c>
      <c r="C1470" s="2" t="str">
        <f>PROPER(TRIM(Table1[[#This Row],[Gender]]))</f>
        <v>Male</v>
      </c>
      <c r="D1470" t="s">
        <v>16</v>
      </c>
      <c r="E1470">
        <v>27</v>
      </c>
      <c r="F1470" t="s">
        <v>31</v>
      </c>
      <c r="G1470" s="1">
        <v>35803</v>
      </c>
      <c r="H1470" t="s">
        <v>3671</v>
      </c>
      <c r="I1470" s="2" t="str">
        <f t="shared" si="22"/>
        <v>+91-8926757574</v>
      </c>
      <c r="J1470">
        <f>91-8926757665</f>
        <v>-8926757574</v>
      </c>
      <c r="K1470" t="s">
        <v>101</v>
      </c>
      <c r="L1470" t="s">
        <v>102</v>
      </c>
      <c r="M1470">
        <v>104857</v>
      </c>
      <c r="N1470" s="1">
        <v>45242</v>
      </c>
      <c r="O1470" t="s">
        <v>28</v>
      </c>
      <c r="P1470">
        <v>5</v>
      </c>
      <c r="Q1470">
        <v>218144.78</v>
      </c>
    </row>
    <row r="1471" spans="1:17" x14ac:dyDescent="0.3">
      <c r="A1471" t="s">
        <v>3672</v>
      </c>
      <c r="B1471" t="s">
        <v>1663</v>
      </c>
      <c r="C1471" s="2" t="str">
        <f>PROPER(TRIM(Table1[[#This Row],[Gender]]))</f>
        <v>Female</v>
      </c>
      <c r="D1471" t="s">
        <v>43</v>
      </c>
      <c r="E1471">
        <v>21</v>
      </c>
      <c r="F1471" t="s">
        <v>49</v>
      </c>
      <c r="G1471" s="1">
        <v>37993</v>
      </c>
      <c r="H1471" t="s">
        <v>3673</v>
      </c>
      <c r="I1471" s="2" t="str">
        <f t="shared" si="22"/>
        <v>+91-7248756279</v>
      </c>
      <c r="J1471">
        <f>91-7248756370</f>
        <v>-7248756279</v>
      </c>
      <c r="K1471" t="s">
        <v>195</v>
      </c>
      <c r="L1471" t="s">
        <v>102</v>
      </c>
      <c r="M1471">
        <v>345103</v>
      </c>
      <c r="N1471" s="1">
        <v>45242</v>
      </c>
      <c r="O1471" t="s">
        <v>28</v>
      </c>
      <c r="P1471">
        <v>7</v>
      </c>
      <c r="Q1471">
        <v>125501.47</v>
      </c>
    </row>
    <row r="1472" spans="1:17" x14ac:dyDescent="0.3">
      <c r="A1472" t="s">
        <v>3674</v>
      </c>
      <c r="B1472" t="s">
        <v>675</v>
      </c>
      <c r="C1472" s="2" t="str">
        <f>PROPER(TRIM(Table1[[#This Row],[Gender]]))</f>
        <v>Male</v>
      </c>
      <c r="D1472" t="s">
        <v>16</v>
      </c>
      <c r="E1472">
        <v>25</v>
      </c>
      <c r="F1472" t="s">
        <v>49</v>
      </c>
      <c r="G1472" s="1">
        <v>36533</v>
      </c>
      <c r="H1472" t="s">
        <v>3675</v>
      </c>
      <c r="I1472" s="2" t="str">
        <f t="shared" si="22"/>
        <v>+91-7551803537</v>
      </c>
      <c r="J1472">
        <f>91-7551803628</f>
        <v>-7551803537</v>
      </c>
      <c r="K1472" t="s">
        <v>26</v>
      </c>
      <c r="L1472" t="s">
        <v>27</v>
      </c>
      <c r="M1472">
        <v>289537</v>
      </c>
      <c r="N1472" s="1">
        <v>45241</v>
      </c>
      <c r="O1472" t="s">
        <v>28</v>
      </c>
      <c r="P1472">
        <v>7</v>
      </c>
      <c r="Q1472">
        <v>225893.11</v>
      </c>
    </row>
    <row r="1473" spans="1:17" x14ac:dyDescent="0.3">
      <c r="A1473" t="s">
        <v>3676</v>
      </c>
      <c r="B1473" t="s">
        <v>1502</v>
      </c>
      <c r="C1473" s="2" t="str">
        <f>PROPER(TRIM(Table1[[#This Row],[Gender]]))</f>
        <v>Female</v>
      </c>
      <c r="D1473" t="s">
        <v>43</v>
      </c>
      <c r="E1473">
        <v>43</v>
      </c>
      <c r="F1473" t="s">
        <v>38</v>
      </c>
      <c r="G1473" s="1">
        <v>29963</v>
      </c>
      <c r="H1473" t="s">
        <v>3677</v>
      </c>
      <c r="I1473" s="2" t="str">
        <f t="shared" si="22"/>
        <v>+91-8422943350</v>
      </c>
      <c r="J1473">
        <f>91-8422943441</f>
        <v>-8422943350</v>
      </c>
      <c r="K1473" t="s">
        <v>138</v>
      </c>
      <c r="L1473" t="s">
        <v>90</v>
      </c>
      <c r="M1473">
        <v>621052</v>
      </c>
      <c r="N1473" s="1">
        <v>45134</v>
      </c>
      <c r="O1473" t="s">
        <v>28</v>
      </c>
      <c r="P1473">
        <v>5</v>
      </c>
      <c r="Q1473">
        <v>524700.93000000005</v>
      </c>
    </row>
    <row r="1474" spans="1:17" x14ac:dyDescent="0.3">
      <c r="A1474" t="s">
        <v>3678</v>
      </c>
      <c r="B1474" t="s">
        <v>1109</v>
      </c>
      <c r="C1474" s="2" t="str">
        <f>PROPER(TRIM(Table1[[#This Row],[Gender]]))</f>
        <v>Male</v>
      </c>
      <c r="D1474" t="s">
        <v>16</v>
      </c>
      <c r="E1474">
        <v>31</v>
      </c>
      <c r="F1474" t="s">
        <v>31</v>
      </c>
      <c r="G1474" s="1">
        <v>34343</v>
      </c>
      <c r="H1474" t="s">
        <v>3679</v>
      </c>
      <c r="I1474" s="2" t="str">
        <f t="shared" ref="I1474:I1537" si="23">"+91"&amp;TEXT(J1474,"0000000000")</f>
        <v>+91-7868947464</v>
      </c>
      <c r="J1474">
        <f>91-7868947555</f>
        <v>-7868947464</v>
      </c>
      <c r="K1474" t="s">
        <v>19</v>
      </c>
      <c r="L1474" t="s">
        <v>20</v>
      </c>
      <c r="M1474">
        <v>336870</v>
      </c>
      <c r="N1474" s="1">
        <v>45437</v>
      </c>
      <c r="O1474" t="s">
        <v>21</v>
      </c>
      <c r="P1474">
        <v>6</v>
      </c>
      <c r="Q1474">
        <v>45787.85</v>
      </c>
    </row>
    <row r="1475" spans="1:17" x14ac:dyDescent="0.3">
      <c r="A1475" t="s">
        <v>3680</v>
      </c>
      <c r="B1475" t="s">
        <v>1929</v>
      </c>
      <c r="C1475" s="2" t="str">
        <f>PROPER(TRIM(Table1[[#This Row],[Gender]]))</f>
        <v>Female</v>
      </c>
      <c r="D1475" t="s">
        <v>43</v>
      </c>
      <c r="E1475">
        <v>45</v>
      </c>
      <c r="F1475" t="s">
        <v>38</v>
      </c>
      <c r="G1475" s="1">
        <v>29233</v>
      </c>
      <c r="H1475" t="s">
        <v>3681</v>
      </c>
      <c r="I1475" s="2" t="str">
        <f t="shared" si="23"/>
        <v>+91-9341233420</v>
      </c>
      <c r="J1475">
        <f>91-9341233511</f>
        <v>-9341233420</v>
      </c>
      <c r="K1475" t="s">
        <v>580</v>
      </c>
      <c r="L1475" t="s">
        <v>85</v>
      </c>
      <c r="M1475">
        <v>921711</v>
      </c>
      <c r="N1475" s="1">
        <v>45260</v>
      </c>
      <c r="O1475" t="s">
        <v>28</v>
      </c>
      <c r="P1475">
        <v>7</v>
      </c>
      <c r="Q1475">
        <v>147575.84</v>
      </c>
    </row>
    <row r="1476" spans="1:17" x14ac:dyDescent="0.3">
      <c r="A1476" t="s">
        <v>3682</v>
      </c>
      <c r="B1476" t="s">
        <v>104</v>
      </c>
      <c r="C1476" s="2" t="str">
        <f>PROPER(TRIM(Table1[[#This Row],[Gender]]))</f>
        <v>Female</v>
      </c>
      <c r="D1476" t="s">
        <v>43</v>
      </c>
      <c r="E1476">
        <v>34</v>
      </c>
      <c r="F1476" t="s">
        <v>31</v>
      </c>
      <c r="G1476" s="1">
        <v>33248</v>
      </c>
      <c r="H1476" t="s">
        <v>3683</v>
      </c>
      <c r="I1476" s="2" t="str">
        <f t="shared" si="23"/>
        <v>+91-8027694089</v>
      </c>
      <c r="J1476">
        <f>91-8027694180</f>
        <v>-8027694089</v>
      </c>
      <c r="K1476" t="s">
        <v>142</v>
      </c>
      <c r="L1476" t="s">
        <v>143</v>
      </c>
      <c r="M1476">
        <v>819689</v>
      </c>
      <c r="N1476" s="1">
        <v>45155</v>
      </c>
      <c r="O1476" t="s">
        <v>21</v>
      </c>
      <c r="P1476">
        <v>1</v>
      </c>
      <c r="Q1476">
        <v>24086.65</v>
      </c>
    </row>
    <row r="1477" spans="1:17" x14ac:dyDescent="0.3">
      <c r="A1477" t="s">
        <v>3684</v>
      </c>
      <c r="B1477" t="s">
        <v>1152</v>
      </c>
      <c r="C1477" s="2" t="str">
        <f>PROPER(TRIM(Table1[[#This Row],[Gender]]))</f>
        <v>Male</v>
      </c>
      <c r="D1477" t="s">
        <v>16</v>
      </c>
      <c r="E1477">
        <v>44</v>
      </c>
      <c r="F1477" t="s">
        <v>38</v>
      </c>
      <c r="G1477" s="1">
        <v>29598</v>
      </c>
      <c r="H1477" t="s">
        <v>3099</v>
      </c>
      <c r="I1477" s="2" t="str">
        <f t="shared" si="23"/>
        <v>+91-9918865296</v>
      </c>
      <c r="J1477">
        <f>91-9918865387</f>
        <v>-9918865296</v>
      </c>
      <c r="K1477" t="s">
        <v>72</v>
      </c>
      <c r="L1477" t="s">
        <v>34</v>
      </c>
      <c r="M1477">
        <v>941076</v>
      </c>
      <c r="N1477" s="1">
        <v>45302</v>
      </c>
      <c r="O1477" t="s">
        <v>28</v>
      </c>
      <c r="P1477">
        <v>5</v>
      </c>
      <c r="Q1477">
        <v>159238.76</v>
      </c>
    </row>
    <row r="1478" spans="1:17" x14ac:dyDescent="0.3">
      <c r="A1478" t="s">
        <v>3685</v>
      </c>
      <c r="B1478" t="s">
        <v>3557</v>
      </c>
      <c r="C1478" s="2" t="str">
        <f>PROPER(TRIM(Table1[[#This Row],[Gender]]))</f>
        <v>Male</v>
      </c>
      <c r="D1478" t="s">
        <v>16</v>
      </c>
      <c r="E1478">
        <v>52</v>
      </c>
      <c r="F1478" t="s">
        <v>17</v>
      </c>
      <c r="G1478" s="1">
        <v>26678</v>
      </c>
      <c r="H1478" t="s">
        <v>3686</v>
      </c>
      <c r="I1478" s="2" t="str">
        <f t="shared" si="23"/>
        <v>+91-8833487148</v>
      </c>
      <c r="J1478">
        <f>91-8833487239</f>
        <v>-8833487148</v>
      </c>
      <c r="K1478" t="s">
        <v>154</v>
      </c>
      <c r="L1478" t="s">
        <v>46</v>
      </c>
      <c r="M1478">
        <v>994784</v>
      </c>
      <c r="N1478" s="1">
        <v>45273</v>
      </c>
      <c r="O1478" t="s">
        <v>28</v>
      </c>
      <c r="P1478">
        <v>5</v>
      </c>
      <c r="Q1478">
        <v>51886.8</v>
      </c>
    </row>
    <row r="1479" spans="1:17" x14ac:dyDescent="0.3">
      <c r="A1479" t="s">
        <v>3687</v>
      </c>
      <c r="B1479" t="s">
        <v>321</v>
      </c>
      <c r="C1479" s="2" t="str">
        <f>PROPER(TRIM(Table1[[#This Row],[Gender]]))</f>
        <v>Female</v>
      </c>
      <c r="D1479" t="s">
        <v>43</v>
      </c>
      <c r="E1479">
        <v>22</v>
      </c>
      <c r="F1479" t="s">
        <v>49</v>
      </c>
      <c r="G1479" s="1">
        <v>37628</v>
      </c>
      <c r="H1479" t="s">
        <v>1122</v>
      </c>
      <c r="I1479" s="2" t="str">
        <f t="shared" si="23"/>
        <v>+91-9493976026</v>
      </c>
      <c r="J1479">
        <f>91-9493976117</f>
        <v>-9493976026</v>
      </c>
      <c r="K1479" t="s">
        <v>76</v>
      </c>
      <c r="L1479" t="s">
        <v>46</v>
      </c>
      <c r="M1479">
        <v>714027</v>
      </c>
      <c r="N1479" s="1">
        <v>45187</v>
      </c>
      <c r="O1479" t="s">
        <v>28</v>
      </c>
      <c r="P1479">
        <v>6</v>
      </c>
      <c r="Q1479">
        <v>167208.73000000001</v>
      </c>
    </row>
    <row r="1480" spans="1:17" x14ac:dyDescent="0.3">
      <c r="A1480" t="s">
        <v>3688</v>
      </c>
      <c r="B1480" t="s">
        <v>2613</v>
      </c>
      <c r="C1480" s="2" t="str">
        <f>PROPER(TRIM(Table1[[#This Row],[Gender]]))</f>
        <v>Female</v>
      </c>
      <c r="D1480" t="s">
        <v>43</v>
      </c>
      <c r="E1480">
        <v>28</v>
      </c>
      <c r="F1480" t="s">
        <v>31</v>
      </c>
      <c r="G1480" s="1">
        <v>35438</v>
      </c>
      <c r="H1480" t="s">
        <v>3689</v>
      </c>
      <c r="I1480" s="2" t="str">
        <f t="shared" si="23"/>
        <v>+91-9137820709</v>
      </c>
      <c r="J1480">
        <f>91-9137820800</f>
        <v>-9137820709</v>
      </c>
      <c r="K1480" t="s">
        <v>94</v>
      </c>
      <c r="L1480" t="s">
        <v>20</v>
      </c>
      <c r="M1480">
        <v>142846</v>
      </c>
      <c r="N1480" s="1">
        <v>45314</v>
      </c>
      <c r="O1480" t="s">
        <v>28</v>
      </c>
      <c r="P1480">
        <v>6</v>
      </c>
      <c r="Q1480">
        <v>160007.44</v>
      </c>
    </row>
    <row r="1481" spans="1:17" x14ac:dyDescent="0.3">
      <c r="A1481" t="s">
        <v>3690</v>
      </c>
      <c r="B1481" t="s">
        <v>3147</v>
      </c>
      <c r="C1481" s="2" t="str">
        <f>PROPER(TRIM(Table1[[#This Row],[Gender]]))</f>
        <v>Male</v>
      </c>
      <c r="D1481" t="s">
        <v>16</v>
      </c>
      <c r="E1481">
        <v>28</v>
      </c>
      <c r="F1481" t="s">
        <v>31</v>
      </c>
      <c r="G1481" s="1">
        <v>35438</v>
      </c>
      <c r="H1481" t="s">
        <v>3691</v>
      </c>
      <c r="I1481" s="2" t="str">
        <f t="shared" si="23"/>
        <v>+91-8938145081</v>
      </c>
      <c r="J1481">
        <f>91-8938145172</f>
        <v>-8938145081</v>
      </c>
      <c r="K1481" t="s">
        <v>101</v>
      </c>
      <c r="L1481" t="s">
        <v>102</v>
      </c>
      <c r="M1481">
        <v>685063</v>
      </c>
      <c r="N1481" s="1">
        <v>45399</v>
      </c>
      <c r="O1481" t="s">
        <v>28</v>
      </c>
      <c r="P1481">
        <v>6</v>
      </c>
      <c r="Q1481">
        <v>349713.1</v>
      </c>
    </row>
    <row r="1482" spans="1:17" x14ac:dyDescent="0.3">
      <c r="A1482" t="s">
        <v>3692</v>
      </c>
      <c r="B1482" t="s">
        <v>3693</v>
      </c>
      <c r="C1482" s="2" t="str">
        <f>PROPER(TRIM(Table1[[#This Row],[Gender]]))</f>
        <v>Female</v>
      </c>
      <c r="D1482" t="s">
        <v>43</v>
      </c>
      <c r="E1482">
        <v>21</v>
      </c>
      <c r="F1482" t="s">
        <v>49</v>
      </c>
      <c r="G1482" s="1">
        <v>37993</v>
      </c>
      <c r="H1482" t="s">
        <v>3694</v>
      </c>
      <c r="I1482" s="2" t="str">
        <f t="shared" si="23"/>
        <v>+91-9544783194</v>
      </c>
      <c r="J1482">
        <f>91-9544783285</f>
        <v>-9544783194</v>
      </c>
      <c r="K1482" t="s">
        <v>51</v>
      </c>
      <c r="L1482" t="s">
        <v>52</v>
      </c>
      <c r="M1482">
        <v>121856</v>
      </c>
      <c r="N1482" s="1">
        <v>45176</v>
      </c>
      <c r="O1482" t="s">
        <v>28</v>
      </c>
      <c r="P1482">
        <v>4</v>
      </c>
      <c r="Q1482">
        <v>74886.77</v>
      </c>
    </row>
    <row r="1483" spans="1:17" x14ac:dyDescent="0.3">
      <c r="A1483" t="s">
        <v>3695</v>
      </c>
      <c r="B1483" t="s">
        <v>3696</v>
      </c>
      <c r="C1483" s="2" t="str">
        <f>PROPER(TRIM(Table1[[#This Row],[Gender]]))</f>
        <v>Male</v>
      </c>
      <c r="D1483" t="s">
        <v>16</v>
      </c>
      <c r="E1483">
        <v>27</v>
      </c>
      <c r="F1483" t="s">
        <v>31</v>
      </c>
      <c r="G1483" s="1">
        <v>35803</v>
      </c>
      <c r="H1483" t="s">
        <v>3697</v>
      </c>
      <c r="I1483" s="2" t="str">
        <f t="shared" si="23"/>
        <v>+91-7428871612</v>
      </c>
      <c r="J1483">
        <f>91-7428871703</f>
        <v>-7428871612</v>
      </c>
      <c r="K1483" t="s">
        <v>26</v>
      </c>
      <c r="L1483" t="s">
        <v>27</v>
      </c>
      <c r="M1483">
        <v>630473</v>
      </c>
      <c r="N1483" s="1">
        <v>45272</v>
      </c>
      <c r="O1483" t="s">
        <v>28</v>
      </c>
      <c r="P1483">
        <v>4</v>
      </c>
      <c r="Q1483">
        <v>107682.98</v>
      </c>
    </row>
    <row r="1484" spans="1:17" x14ac:dyDescent="0.3">
      <c r="A1484" t="s">
        <v>3698</v>
      </c>
      <c r="B1484" t="s">
        <v>884</v>
      </c>
      <c r="C1484" s="2" t="str">
        <f>PROPER(TRIM(Table1[[#This Row],[Gender]]))</f>
        <v>Male</v>
      </c>
      <c r="D1484" t="s">
        <v>16</v>
      </c>
      <c r="E1484">
        <v>48</v>
      </c>
      <c r="F1484" t="s">
        <v>17</v>
      </c>
      <c r="G1484" s="1">
        <v>28138</v>
      </c>
      <c r="H1484" t="s">
        <v>3699</v>
      </c>
      <c r="I1484" s="2" t="str">
        <f t="shared" si="23"/>
        <v>+91-7072861764</v>
      </c>
      <c r="J1484">
        <f>91-7072861855</f>
        <v>-7072861764</v>
      </c>
      <c r="K1484" t="s">
        <v>113</v>
      </c>
      <c r="L1484" t="s">
        <v>34</v>
      </c>
      <c r="M1484">
        <v>707845</v>
      </c>
      <c r="N1484" s="1">
        <v>45390</v>
      </c>
      <c r="O1484" t="s">
        <v>35</v>
      </c>
      <c r="P1484">
        <v>5</v>
      </c>
      <c r="Q1484">
        <v>18177.259999999998</v>
      </c>
    </row>
    <row r="1485" spans="1:17" x14ac:dyDescent="0.3">
      <c r="A1485" t="s">
        <v>3700</v>
      </c>
      <c r="B1485" t="s">
        <v>1025</v>
      </c>
      <c r="C1485" s="2" t="str">
        <f>PROPER(TRIM(Table1[[#This Row],[Gender]]))</f>
        <v>Female</v>
      </c>
      <c r="D1485" t="s">
        <v>43</v>
      </c>
      <c r="E1485">
        <v>55</v>
      </c>
      <c r="F1485" t="s">
        <v>17</v>
      </c>
      <c r="G1485" s="1">
        <v>25583</v>
      </c>
      <c r="H1485" t="s">
        <v>3701</v>
      </c>
      <c r="I1485" s="2" t="str">
        <f t="shared" si="23"/>
        <v>+91-9567878854</v>
      </c>
      <c r="J1485">
        <f>91-9567878945</f>
        <v>-9567878854</v>
      </c>
      <c r="K1485" t="s">
        <v>40</v>
      </c>
      <c r="L1485" t="s">
        <v>27</v>
      </c>
      <c r="M1485">
        <v>733623</v>
      </c>
      <c r="N1485" s="1">
        <v>45167</v>
      </c>
      <c r="O1485" t="s">
        <v>28</v>
      </c>
      <c r="P1485">
        <v>4</v>
      </c>
      <c r="Q1485">
        <v>106544.82</v>
      </c>
    </row>
    <row r="1486" spans="1:17" x14ac:dyDescent="0.3">
      <c r="A1486" t="s">
        <v>3702</v>
      </c>
      <c r="B1486" t="s">
        <v>1103</v>
      </c>
      <c r="C1486" s="2" t="str">
        <f>PROPER(TRIM(Table1[[#This Row],[Gender]]))</f>
        <v>Female</v>
      </c>
      <c r="D1486" t="s">
        <v>43</v>
      </c>
      <c r="E1486">
        <v>21</v>
      </c>
      <c r="F1486" t="s">
        <v>49</v>
      </c>
      <c r="G1486" s="1">
        <v>37993</v>
      </c>
      <c r="H1486" t="s">
        <v>3703</v>
      </c>
      <c r="I1486" s="2" t="str">
        <f t="shared" si="23"/>
        <v>+91-9590424681</v>
      </c>
      <c r="J1486">
        <f>91-9590424772</f>
        <v>-9590424681</v>
      </c>
      <c r="K1486" t="s">
        <v>60</v>
      </c>
      <c r="L1486" t="s">
        <v>34</v>
      </c>
      <c r="M1486">
        <v>881071</v>
      </c>
      <c r="N1486" s="1">
        <v>45192</v>
      </c>
      <c r="O1486" t="s">
        <v>28</v>
      </c>
      <c r="P1486">
        <v>3</v>
      </c>
      <c r="Q1486">
        <v>90814.49</v>
      </c>
    </row>
    <row r="1487" spans="1:17" x14ac:dyDescent="0.3">
      <c r="A1487" t="s">
        <v>3704</v>
      </c>
      <c r="B1487" t="s">
        <v>3705</v>
      </c>
      <c r="C1487" s="2" t="str">
        <f>PROPER(TRIM(Table1[[#This Row],[Gender]]))</f>
        <v>Male</v>
      </c>
      <c r="D1487" t="s">
        <v>16</v>
      </c>
      <c r="E1487">
        <v>52</v>
      </c>
      <c r="F1487" t="s">
        <v>17</v>
      </c>
      <c r="G1487" s="1">
        <v>26678</v>
      </c>
      <c r="H1487" t="s">
        <v>3706</v>
      </c>
      <c r="I1487" s="2" t="str">
        <f t="shared" si="23"/>
        <v>+91-7775843984</v>
      </c>
      <c r="J1487">
        <f>91-7775844075</f>
        <v>-7775843984</v>
      </c>
      <c r="K1487" t="s">
        <v>80</v>
      </c>
      <c r="L1487" t="s">
        <v>20</v>
      </c>
      <c r="M1487">
        <v>751553</v>
      </c>
      <c r="N1487" s="1">
        <v>45090</v>
      </c>
      <c r="O1487" t="s">
        <v>35</v>
      </c>
      <c r="P1487">
        <v>3</v>
      </c>
      <c r="Q1487">
        <v>3936</v>
      </c>
    </row>
    <row r="1488" spans="1:17" x14ac:dyDescent="0.3">
      <c r="A1488" t="s">
        <v>3707</v>
      </c>
      <c r="B1488" t="s">
        <v>998</v>
      </c>
      <c r="C1488" s="2" t="str">
        <f>PROPER(TRIM(Table1[[#This Row],[Gender]]))</f>
        <v>Female</v>
      </c>
      <c r="D1488" t="s">
        <v>43</v>
      </c>
      <c r="E1488">
        <v>43</v>
      </c>
      <c r="F1488" t="s">
        <v>38</v>
      </c>
      <c r="G1488" s="1">
        <v>29963</v>
      </c>
      <c r="H1488" t="s">
        <v>3708</v>
      </c>
      <c r="I1488" s="2" t="str">
        <f t="shared" si="23"/>
        <v>+91-9841709202</v>
      </c>
      <c r="J1488">
        <f>91-9841709293</f>
        <v>-9841709202</v>
      </c>
      <c r="K1488" t="s">
        <v>64</v>
      </c>
      <c r="L1488" t="s">
        <v>20</v>
      </c>
      <c r="M1488">
        <v>110851</v>
      </c>
      <c r="N1488" s="1">
        <v>45178</v>
      </c>
      <c r="O1488" t="s">
        <v>28</v>
      </c>
      <c r="P1488">
        <v>8</v>
      </c>
      <c r="Q1488">
        <v>174974.66</v>
      </c>
    </row>
    <row r="1489" spans="1:17" x14ac:dyDescent="0.3">
      <c r="A1489" t="s">
        <v>3709</v>
      </c>
      <c r="B1489" t="s">
        <v>1683</v>
      </c>
      <c r="C1489" s="2" t="str">
        <f>PROPER(TRIM(Table1[[#This Row],[Gender]]))</f>
        <v>Male</v>
      </c>
      <c r="D1489" t="s">
        <v>16</v>
      </c>
      <c r="E1489">
        <v>23</v>
      </c>
      <c r="F1489" t="s">
        <v>49</v>
      </c>
      <c r="G1489" s="1">
        <v>37263</v>
      </c>
      <c r="H1489" t="s">
        <v>3710</v>
      </c>
      <c r="I1489" s="2" t="str">
        <f t="shared" si="23"/>
        <v>+91-7569263779</v>
      </c>
      <c r="J1489">
        <f>91-7569263870</f>
        <v>-7569263779</v>
      </c>
      <c r="K1489" t="s">
        <v>121</v>
      </c>
      <c r="L1489" t="s">
        <v>85</v>
      </c>
      <c r="M1489">
        <v>868248</v>
      </c>
      <c r="N1489" s="1">
        <v>45357</v>
      </c>
      <c r="O1489" t="s">
        <v>28</v>
      </c>
      <c r="P1489">
        <v>4</v>
      </c>
      <c r="Q1489">
        <v>208948.1</v>
      </c>
    </row>
    <row r="1490" spans="1:17" x14ac:dyDescent="0.3">
      <c r="A1490" t="s">
        <v>3711</v>
      </c>
      <c r="B1490" t="s">
        <v>554</v>
      </c>
      <c r="C1490" s="2" t="str">
        <f>PROPER(TRIM(Table1[[#This Row],[Gender]]))</f>
        <v>Male</v>
      </c>
      <c r="D1490" t="s">
        <v>16</v>
      </c>
      <c r="E1490">
        <v>42</v>
      </c>
      <c r="F1490" t="s">
        <v>38</v>
      </c>
      <c r="G1490" s="1">
        <v>30328</v>
      </c>
      <c r="H1490" t="s">
        <v>3712</v>
      </c>
      <c r="I1490" s="2" t="str">
        <f t="shared" si="23"/>
        <v>+91-7038212104</v>
      </c>
      <c r="J1490">
        <f>91-7038212195</f>
        <v>-7038212104</v>
      </c>
      <c r="K1490" t="s">
        <v>33</v>
      </c>
      <c r="L1490" t="s">
        <v>34</v>
      </c>
      <c r="M1490">
        <v>483086</v>
      </c>
      <c r="N1490" s="1">
        <v>45292</v>
      </c>
      <c r="O1490" t="s">
        <v>28</v>
      </c>
      <c r="P1490">
        <v>4</v>
      </c>
      <c r="Q1490">
        <v>178296.14</v>
      </c>
    </row>
    <row r="1491" spans="1:17" x14ac:dyDescent="0.3">
      <c r="A1491" t="s">
        <v>3713</v>
      </c>
      <c r="B1491" t="s">
        <v>918</v>
      </c>
      <c r="C1491" s="2" t="str">
        <f>PROPER(TRIM(Table1[[#This Row],[Gender]]))</f>
        <v>Male</v>
      </c>
      <c r="D1491" t="s">
        <v>16</v>
      </c>
      <c r="E1491">
        <v>25</v>
      </c>
      <c r="F1491" t="s">
        <v>49</v>
      </c>
      <c r="G1491" s="1">
        <v>36533</v>
      </c>
      <c r="H1491" t="s">
        <v>919</v>
      </c>
      <c r="I1491" s="2" t="str">
        <f t="shared" si="23"/>
        <v>+91-9411290500</v>
      </c>
      <c r="J1491">
        <f>91-9411290591</f>
        <v>-9411290500</v>
      </c>
      <c r="K1491" t="s">
        <v>51</v>
      </c>
      <c r="L1491" t="s">
        <v>52</v>
      </c>
      <c r="M1491">
        <v>403879</v>
      </c>
      <c r="N1491" s="1">
        <v>45225</v>
      </c>
      <c r="O1491" t="s">
        <v>28</v>
      </c>
      <c r="P1491">
        <v>3</v>
      </c>
      <c r="Q1491">
        <v>50138.11</v>
      </c>
    </row>
    <row r="1492" spans="1:17" x14ac:dyDescent="0.3">
      <c r="A1492" t="s">
        <v>3714</v>
      </c>
      <c r="B1492" t="s">
        <v>271</v>
      </c>
      <c r="C1492" s="2" t="str">
        <f>PROPER(TRIM(Table1[[#This Row],[Gender]]))</f>
        <v>Male</v>
      </c>
      <c r="D1492" t="s">
        <v>16</v>
      </c>
      <c r="E1492">
        <v>29</v>
      </c>
      <c r="F1492" t="s">
        <v>31</v>
      </c>
      <c r="G1492" s="1">
        <v>35073</v>
      </c>
      <c r="H1492" t="s">
        <v>3715</v>
      </c>
      <c r="I1492" s="2" t="str">
        <f t="shared" si="23"/>
        <v>+91-9585605346</v>
      </c>
      <c r="J1492">
        <f>91-9585605437</f>
        <v>-9585605346</v>
      </c>
      <c r="K1492" t="s">
        <v>178</v>
      </c>
      <c r="L1492" t="s">
        <v>27</v>
      </c>
      <c r="M1492">
        <v>143046</v>
      </c>
      <c r="N1492" s="1">
        <v>45377</v>
      </c>
      <c r="O1492" t="s">
        <v>28</v>
      </c>
      <c r="P1492">
        <v>3</v>
      </c>
      <c r="Q1492">
        <v>114026.13</v>
      </c>
    </row>
    <row r="1493" spans="1:17" x14ac:dyDescent="0.3">
      <c r="A1493" t="s">
        <v>3716</v>
      </c>
      <c r="B1493" t="s">
        <v>778</v>
      </c>
      <c r="C1493" s="2" t="str">
        <f>PROPER(TRIM(Table1[[#This Row],[Gender]]))</f>
        <v>Female</v>
      </c>
      <c r="D1493" t="s">
        <v>43</v>
      </c>
      <c r="E1493">
        <v>27</v>
      </c>
      <c r="F1493" t="s">
        <v>31</v>
      </c>
      <c r="G1493" s="1">
        <v>35803</v>
      </c>
      <c r="H1493" t="s">
        <v>3717</v>
      </c>
      <c r="I1493" s="2" t="str">
        <f t="shared" si="23"/>
        <v>+91-8694019370</v>
      </c>
      <c r="J1493">
        <f>91-8694019461</f>
        <v>-8694019370</v>
      </c>
      <c r="K1493" t="s">
        <v>249</v>
      </c>
      <c r="L1493" t="s">
        <v>34</v>
      </c>
      <c r="M1493">
        <v>303174</v>
      </c>
      <c r="N1493" s="1">
        <v>45213</v>
      </c>
      <c r="O1493" t="s">
        <v>28</v>
      </c>
      <c r="P1493">
        <v>6</v>
      </c>
      <c r="Q1493">
        <v>54148.05</v>
      </c>
    </row>
    <row r="1494" spans="1:17" x14ac:dyDescent="0.3">
      <c r="A1494" t="s">
        <v>3718</v>
      </c>
      <c r="B1494" t="s">
        <v>3615</v>
      </c>
      <c r="C1494" s="2" t="str">
        <f>PROPER(TRIM(Table1[[#This Row],[Gender]]))</f>
        <v>Female</v>
      </c>
      <c r="D1494" t="s">
        <v>43</v>
      </c>
      <c r="E1494">
        <v>32</v>
      </c>
      <c r="F1494" t="s">
        <v>31</v>
      </c>
      <c r="G1494" s="1">
        <v>33978</v>
      </c>
      <c r="H1494" t="s">
        <v>3719</v>
      </c>
      <c r="I1494" s="2" t="str">
        <f t="shared" si="23"/>
        <v>+91-9457970984</v>
      </c>
      <c r="J1494">
        <f>91-9457971075</f>
        <v>-9457970984</v>
      </c>
      <c r="K1494" t="s">
        <v>121</v>
      </c>
      <c r="L1494" t="s">
        <v>85</v>
      </c>
      <c r="M1494">
        <v>927778</v>
      </c>
      <c r="N1494" s="1">
        <v>45253</v>
      </c>
      <c r="O1494" t="s">
        <v>28</v>
      </c>
      <c r="P1494">
        <v>7</v>
      </c>
      <c r="Q1494">
        <v>437152.31</v>
      </c>
    </row>
    <row r="1495" spans="1:17" x14ac:dyDescent="0.3">
      <c r="A1495" t="s">
        <v>3720</v>
      </c>
      <c r="B1495" t="s">
        <v>1278</v>
      </c>
      <c r="C1495" s="2" t="str">
        <f>PROPER(TRIM(Table1[[#This Row],[Gender]]))</f>
        <v>Male</v>
      </c>
      <c r="D1495" t="s">
        <v>16</v>
      </c>
      <c r="E1495">
        <v>49</v>
      </c>
      <c r="F1495" t="s">
        <v>17</v>
      </c>
      <c r="G1495" s="1">
        <v>27773</v>
      </c>
      <c r="H1495" t="s">
        <v>1279</v>
      </c>
      <c r="I1495" s="2" t="str">
        <f t="shared" si="23"/>
        <v>+91-8565110838</v>
      </c>
      <c r="J1495">
        <f>91-8565110929</f>
        <v>-8565110838</v>
      </c>
      <c r="K1495" t="s">
        <v>109</v>
      </c>
      <c r="L1495" t="s">
        <v>46</v>
      </c>
      <c r="M1495">
        <v>297185</v>
      </c>
      <c r="N1495" s="1">
        <v>45142</v>
      </c>
      <c r="O1495" t="s">
        <v>35</v>
      </c>
      <c r="P1495">
        <v>2</v>
      </c>
      <c r="Q1495">
        <v>1074.19</v>
      </c>
    </row>
    <row r="1496" spans="1:17" x14ac:dyDescent="0.3">
      <c r="A1496" t="s">
        <v>3721</v>
      </c>
      <c r="B1496" t="s">
        <v>3722</v>
      </c>
      <c r="C1496" s="2" t="str">
        <f>PROPER(TRIM(Table1[[#This Row],[Gender]]))</f>
        <v>Male</v>
      </c>
      <c r="D1496" t="s">
        <v>16</v>
      </c>
      <c r="E1496">
        <v>25</v>
      </c>
      <c r="F1496" t="s">
        <v>49</v>
      </c>
      <c r="G1496" s="1">
        <v>36533</v>
      </c>
      <c r="H1496" t="s">
        <v>3723</v>
      </c>
      <c r="I1496" s="2" t="str">
        <f t="shared" si="23"/>
        <v>+91-9180689511</v>
      </c>
      <c r="J1496">
        <f>91-9180689602</f>
        <v>-9180689511</v>
      </c>
      <c r="K1496" t="s">
        <v>142</v>
      </c>
      <c r="L1496" t="s">
        <v>143</v>
      </c>
      <c r="M1496">
        <v>447277</v>
      </c>
      <c r="N1496" s="1">
        <v>45191</v>
      </c>
      <c r="O1496" t="s">
        <v>21</v>
      </c>
      <c r="P1496">
        <v>1</v>
      </c>
      <c r="Q1496">
        <v>31777.56</v>
      </c>
    </row>
    <row r="1497" spans="1:17" x14ac:dyDescent="0.3">
      <c r="A1497" t="s">
        <v>3724</v>
      </c>
      <c r="B1497" t="s">
        <v>204</v>
      </c>
      <c r="C1497" s="2" t="str">
        <f>PROPER(TRIM(Table1[[#This Row],[Gender]]))</f>
        <v>Female</v>
      </c>
      <c r="D1497" t="s">
        <v>43</v>
      </c>
      <c r="E1497">
        <v>35</v>
      </c>
      <c r="F1497" t="s">
        <v>31</v>
      </c>
      <c r="G1497" s="1">
        <v>32883</v>
      </c>
      <c r="H1497" t="s">
        <v>3725</v>
      </c>
      <c r="I1497" s="2" t="str">
        <f t="shared" si="23"/>
        <v>+91-7694883923</v>
      </c>
      <c r="J1497">
        <f>91-7694884014</f>
        <v>-7694883923</v>
      </c>
      <c r="K1497" t="s">
        <v>51</v>
      </c>
      <c r="L1497" t="s">
        <v>52</v>
      </c>
      <c r="M1497">
        <v>697476</v>
      </c>
      <c r="N1497" s="1">
        <v>45081</v>
      </c>
      <c r="O1497" t="s">
        <v>28</v>
      </c>
      <c r="P1497">
        <v>5</v>
      </c>
      <c r="Q1497">
        <v>103535.58</v>
      </c>
    </row>
    <row r="1498" spans="1:17" x14ac:dyDescent="0.3">
      <c r="A1498" t="s">
        <v>3726</v>
      </c>
      <c r="B1498" t="s">
        <v>2239</v>
      </c>
      <c r="C1498" s="2" t="str">
        <f>PROPER(TRIM(Table1[[#This Row],[Gender]]))</f>
        <v>Male</v>
      </c>
      <c r="D1498" t="s">
        <v>16</v>
      </c>
      <c r="E1498">
        <v>27</v>
      </c>
      <c r="F1498" t="s">
        <v>31</v>
      </c>
      <c r="G1498" s="1">
        <v>35803</v>
      </c>
      <c r="H1498" t="s">
        <v>3727</v>
      </c>
      <c r="I1498" s="2" t="str">
        <f t="shared" si="23"/>
        <v>+91-9701950882</v>
      </c>
      <c r="J1498">
        <f>91-9701950973</f>
        <v>-9701950882</v>
      </c>
      <c r="K1498" t="s">
        <v>51</v>
      </c>
      <c r="L1498" t="s">
        <v>52</v>
      </c>
      <c r="M1498">
        <v>930113</v>
      </c>
      <c r="N1498" s="1">
        <v>45376</v>
      </c>
      <c r="O1498" t="s">
        <v>28</v>
      </c>
      <c r="P1498">
        <v>7</v>
      </c>
      <c r="Q1498">
        <v>192621.96</v>
      </c>
    </row>
    <row r="1499" spans="1:17" x14ac:dyDescent="0.3">
      <c r="A1499" t="s">
        <v>3728</v>
      </c>
      <c r="B1499" t="s">
        <v>1734</v>
      </c>
      <c r="C1499" s="2" t="str">
        <f>PROPER(TRIM(Table1[[#This Row],[Gender]]))</f>
        <v>Female</v>
      </c>
      <c r="D1499" t="s">
        <v>43</v>
      </c>
      <c r="E1499">
        <v>40</v>
      </c>
      <c r="F1499" t="s">
        <v>38</v>
      </c>
      <c r="G1499" s="1">
        <v>31058</v>
      </c>
      <c r="H1499" t="s">
        <v>3729</v>
      </c>
      <c r="I1499" s="2" t="str">
        <f t="shared" si="23"/>
        <v>+91-8561691819</v>
      </c>
      <c r="J1499">
        <f>91-8561691910</f>
        <v>-8561691819</v>
      </c>
      <c r="K1499" t="s">
        <v>40</v>
      </c>
      <c r="L1499" t="s">
        <v>27</v>
      </c>
      <c r="M1499">
        <v>628507</v>
      </c>
      <c r="N1499" s="1">
        <v>45389</v>
      </c>
      <c r="O1499" t="s">
        <v>28</v>
      </c>
      <c r="P1499">
        <v>10</v>
      </c>
      <c r="Q1499">
        <v>417355.85</v>
      </c>
    </row>
    <row r="1500" spans="1:17" x14ac:dyDescent="0.3">
      <c r="A1500" t="s">
        <v>3730</v>
      </c>
      <c r="B1500" t="s">
        <v>3267</v>
      </c>
      <c r="C1500" s="2" t="str">
        <f>PROPER(TRIM(Table1[[#This Row],[Gender]]))</f>
        <v>Male</v>
      </c>
      <c r="D1500" t="s">
        <v>16</v>
      </c>
      <c r="E1500">
        <v>26</v>
      </c>
      <c r="F1500" t="s">
        <v>31</v>
      </c>
      <c r="G1500" s="1">
        <v>36168</v>
      </c>
      <c r="H1500" t="s">
        <v>3731</v>
      </c>
      <c r="I1500" s="2" t="str">
        <f t="shared" si="23"/>
        <v>+91-7269768385</v>
      </c>
      <c r="J1500">
        <f>91-7269768476</f>
        <v>-7269768385</v>
      </c>
      <c r="K1500" t="s">
        <v>64</v>
      </c>
      <c r="L1500" t="s">
        <v>20</v>
      </c>
      <c r="M1500">
        <v>832860</v>
      </c>
      <c r="N1500" s="1">
        <v>45385</v>
      </c>
      <c r="O1500" t="s">
        <v>28</v>
      </c>
      <c r="P1500">
        <v>4</v>
      </c>
      <c r="Q1500">
        <v>85699.45</v>
      </c>
    </row>
    <row r="1501" spans="1:17" x14ac:dyDescent="0.3">
      <c r="A1501" t="s">
        <v>3732</v>
      </c>
      <c r="B1501" t="s">
        <v>2410</v>
      </c>
      <c r="C1501" s="2" t="str">
        <f>PROPER(TRIM(Table1[[#This Row],[Gender]]))</f>
        <v>Female</v>
      </c>
      <c r="D1501" t="s">
        <v>43</v>
      </c>
      <c r="E1501">
        <v>19</v>
      </c>
      <c r="F1501" t="s">
        <v>49</v>
      </c>
      <c r="G1501" s="1">
        <v>38723</v>
      </c>
      <c r="H1501" t="s">
        <v>3733</v>
      </c>
      <c r="I1501" s="2" t="str">
        <f t="shared" si="23"/>
        <v>+91-9026229223</v>
      </c>
      <c r="J1501">
        <f>91-9026229314</f>
        <v>-9026229223</v>
      </c>
      <c r="K1501" t="s">
        <v>174</v>
      </c>
      <c r="L1501" t="s">
        <v>90</v>
      </c>
      <c r="M1501">
        <v>190104</v>
      </c>
      <c r="N1501" s="1">
        <v>45211</v>
      </c>
      <c r="O1501" t="s">
        <v>28</v>
      </c>
      <c r="P1501">
        <v>4</v>
      </c>
      <c r="Q1501">
        <v>356938.22</v>
      </c>
    </row>
    <row r="1502" spans="1:17" x14ac:dyDescent="0.3">
      <c r="A1502" t="s">
        <v>3734</v>
      </c>
      <c r="B1502" t="s">
        <v>3735</v>
      </c>
      <c r="C1502" s="2" t="str">
        <f>PROPER(TRIM(Table1[[#This Row],[Gender]]))</f>
        <v>Female</v>
      </c>
      <c r="D1502" t="s">
        <v>43</v>
      </c>
      <c r="E1502">
        <v>20</v>
      </c>
      <c r="F1502" t="s">
        <v>49</v>
      </c>
      <c r="G1502" s="1">
        <v>38358</v>
      </c>
      <c r="H1502" t="s">
        <v>3736</v>
      </c>
      <c r="I1502" s="2" t="str">
        <f t="shared" si="23"/>
        <v>+91-8210000611</v>
      </c>
      <c r="J1502">
        <f>91-8210000702</f>
        <v>-8210000611</v>
      </c>
      <c r="K1502" t="s">
        <v>94</v>
      </c>
      <c r="L1502" t="s">
        <v>20</v>
      </c>
      <c r="M1502">
        <v>187863</v>
      </c>
      <c r="N1502" s="1">
        <v>45382</v>
      </c>
      <c r="O1502" t="s">
        <v>28</v>
      </c>
      <c r="P1502">
        <v>4</v>
      </c>
      <c r="Q1502">
        <v>111133.71</v>
      </c>
    </row>
    <row r="1503" spans="1:17" x14ac:dyDescent="0.3">
      <c r="A1503" t="s">
        <v>3737</v>
      </c>
      <c r="B1503" t="s">
        <v>380</v>
      </c>
      <c r="C1503" s="2" t="str">
        <f>PROPER(TRIM(Table1[[#This Row],[Gender]]))</f>
        <v>Male</v>
      </c>
      <c r="D1503" t="s">
        <v>16</v>
      </c>
      <c r="E1503">
        <v>43</v>
      </c>
      <c r="F1503" t="s">
        <v>38</v>
      </c>
      <c r="G1503" s="1">
        <v>29963</v>
      </c>
      <c r="H1503" t="s">
        <v>3738</v>
      </c>
      <c r="I1503" s="2" t="str">
        <f t="shared" si="23"/>
        <v>+91-9669745193</v>
      </c>
      <c r="J1503">
        <f>91-9669745284</f>
        <v>-9669745193</v>
      </c>
      <c r="K1503" t="s">
        <v>580</v>
      </c>
      <c r="L1503" t="s">
        <v>85</v>
      </c>
      <c r="M1503">
        <v>294883</v>
      </c>
      <c r="N1503" s="1">
        <v>45277</v>
      </c>
      <c r="O1503" t="s">
        <v>28</v>
      </c>
      <c r="P1503">
        <v>5</v>
      </c>
      <c r="Q1503">
        <v>377840.36</v>
      </c>
    </row>
    <row r="1504" spans="1:17" x14ac:dyDescent="0.3">
      <c r="A1504" t="s">
        <v>3739</v>
      </c>
      <c r="B1504" t="s">
        <v>321</v>
      </c>
      <c r="C1504" s="2" t="str">
        <f>PROPER(TRIM(Table1[[#This Row],[Gender]]))</f>
        <v>Female</v>
      </c>
      <c r="D1504" t="s">
        <v>43</v>
      </c>
      <c r="E1504">
        <v>22</v>
      </c>
      <c r="F1504" t="s">
        <v>49</v>
      </c>
      <c r="G1504" s="1">
        <v>37628</v>
      </c>
      <c r="H1504" t="s">
        <v>3740</v>
      </c>
      <c r="I1504" s="2" t="str">
        <f t="shared" si="23"/>
        <v>+91-7449675457</v>
      </c>
      <c r="J1504">
        <f>91-7449675548</f>
        <v>-7449675457</v>
      </c>
      <c r="K1504" t="s">
        <v>161</v>
      </c>
      <c r="L1504" t="s">
        <v>102</v>
      </c>
      <c r="M1504">
        <v>456763</v>
      </c>
      <c r="N1504" s="1">
        <v>45084</v>
      </c>
      <c r="O1504" t="s">
        <v>28</v>
      </c>
      <c r="P1504">
        <v>7</v>
      </c>
      <c r="Q1504">
        <v>142369.87</v>
      </c>
    </row>
    <row r="1505" spans="1:17" x14ac:dyDescent="0.3">
      <c r="A1505" t="s">
        <v>3741</v>
      </c>
      <c r="B1505" t="s">
        <v>1405</v>
      </c>
      <c r="C1505" s="2" t="str">
        <f>PROPER(TRIM(Table1[[#This Row],[Gender]]))</f>
        <v>Male</v>
      </c>
      <c r="D1505" t="s">
        <v>16</v>
      </c>
      <c r="E1505">
        <v>47</v>
      </c>
      <c r="F1505" t="s">
        <v>17</v>
      </c>
      <c r="G1505" s="1">
        <v>28503</v>
      </c>
      <c r="H1505" t="s">
        <v>3742</v>
      </c>
      <c r="I1505" s="2" t="str">
        <f t="shared" si="23"/>
        <v>+91-8141840997</v>
      </c>
      <c r="J1505">
        <f>91-8141841088</f>
        <v>-8141840997</v>
      </c>
      <c r="K1505" t="s">
        <v>109</v>
      </c>
      <c r="L1505" t="s">
        <v>46</v>
      </c>
      <c r="M1505">
        <v>210706</v>
      </c>
      <c r="N1505" s="1">
        <v>45134</v>
      </c>
      <c r="O1505" t="s">
        <v>35</v>
      </c>
      <c r="P1505">
        <v>3</v>
      </c>
      <c r="Q1505">
        <v>3920.91</v>
      </c>
    </row>
    <row r="1506" spans="1:17" x14ac:dyDescent="0.3">
      <c r="A1506" t="s">
        <v>3743</v>
      </c>
      <c r="B1506" t="s">
        <v>3744</v>
      </c>
      <c r="C1506" s="2" t="str">
        <f>PROPER(TRIM(Table1[[#This Row],[Gender]]))</f>
        <v>Female</v>
      </c>
      <c r="D1506" t="s">
        <v>43</v>
      </c>
      <c r="E1506">
        <v>46</v>
      </c>
      <c r="F1506" t="s">
        <v>17</v>
      </c>
      <c r="G1506" s="1">
        <v>28868</v>
      </c>
      <c r="H1506" t="s">
        <v>3745</v>
      </c>
      <c r="I1506" s="2" t="str">
        <f t="shared" si="23"/>
        <v>+91-8588007325</v>
      </c>
      <c r="J1506">
        <f>91-8588007416</f>
        <v>-8588007325</v>
      </c>
      <c r="K1506" t="s">
        <v>76</v>
      </c>
      <c r="L1506" t="s">
        <v>46</v>
      </c>
      <c r="M1506">
        <v>439745</v>
      </c>
      <c r="N1506" s="1">
        <v>45217</v>
      </c>
      <c r="O1506" t="s">
        <v>35</v>
      </c>
      <c r="P1506">
        <v>4</v>
      </c>
      <c r="Q1506">
        <v>6354.82</v>
      </c>
    </row>
    <row r="1507" spans="1:17" x14ac:dyDescent="0.3">
      <c r="A1507" t="s">
        <v>3746</v>
      </c>
      <c r="B1507" t="s">
        <v>3747</v>
      </c>
      <c r="C1507" s="2" t="str">
        <f>PROPER(TRIM(Table1[[#This Row],[Gender]]))</f>
        <v>Female</v>
      </c>
      <c r="D1507" t="s">
        <v>43</v>
      </c>
      <c r="E1507">
        <v>70</v>
      </c>
      <c r="F1507" t="s">
        <v>24</v>
      </c>
      <c r="G1507" s="1">
        <v>20108</v>
      </c>
      <c r="H1507" t="s">
        <v>3748</v>
      </c>
      <c r="I1507" s="2" t="str">
        <f t="shared" si="23"/>
        <v>+91-8570515007</v>
      </c>
      <c r="J1507">
        <f>91-8570515098</f>
        <v>-8570515007</v>
      </c>
      <c r="K1507" t="s">
        <v>415</v>
      </c>
      <c r="L1507" t="s">
        <v>90</v>
      </c>
      <c r="M1507">
        <v>421597</v>
      </c>
      <c r="N1507" s="1">
        <v>45432</v>
      </c>
      <c r="O1507" t="s">
        <v>35</v>
      </c>
      <c r="P1507">
        <v>3</v>
      </c>
      <c r="Q1507">
        <v>13690.16</v>
      </c>
    </row>
    <row r="1508" spans="1:17" x14ac:dyDescent="0.3">
      <c r="A1508" t="s">
        <v>3749</v>
      </c>
      <c r="B1508" t="s">
        <v>587</v>
      </c>
      <c r="C1508" s="2" t="str">
        <f>PROPER(TRIM(Table1[[#This Row],[Gender]]))</f>
        <v>Female</v>
      </c>
      <c r="D1508" t="s">
        <v>43</v>
      </c>
      <c r="E1508">
        <v>32</v>
      </c>
      <c r="F1508" t="s">
        <v>31</v>
      </c>
      <c r="G1508" s="1">
        <v>33978</v>
      </c>
      <c r="H1508" t="s">
        <v>3750</v>
      </c>
      <c r="I1508" s="2" t="str">
        <f t="shared" si="23"/>
        <v>+91-9450957302</v>
      </c>
      <c r="J1508">
        <f>91-9450957393</f>
        <v>-9450957302</v>
      </c>
      <c r="K1508" t="s">
        <v>161</v>
      </c>
      <c r="L1508" t="s">
        <v>102</v>
      </c>
      <c r="M1508">
        <v>129845</v>
      </c>
      <c r="N1508" s="1">
        <v>45396</v>
      </c>
      <c r="O1508" t="s">
        <v>28</v>
      </c>
      <c r="P1508">
        <v>7</v>
      </c>
      <c r="Q1508">
        <v>336677.76</v>
      </c>
    </row>
    <row r="1509" spans="1:17" x14ac:dyDescent="0.3">
      <c r="A1509" t="s">
        <v>3751</v>
      </c>
      <c r="B1509" t="s">
        <v>3752</v>
      </c>
      <c r="C1509" s="2" t="str">
        <f>PROPER(TRIM(Table1[[#This Row],[Gender]]))</f>
        <v>Male</v>
      </c>
      <c r="D1509" t="s">
        <v>16</v>
      </c>
      <c r="E1509">
        <v>33</v>
      </c>
      <c r="F1509" t="s">
        <v>31</v>
      </c>
      <c r="G1509" s="1">
        <v>33613</v>
      </c>
      <c r="H1509" t="s">
        <v>3753</v>
      </c>
      <c r="I1509" s="2" t="str">
        <f t="shared" si="23"/>
        <v>+91-7727260603</v>
      </c>
      <c r="J1509">
        <f>91-7727260694</f>
        <v>-7727260603</v>
      </c>
      <c r="K1509" t="s">
        <v>109</v>
      </c>
      <c r="L1509" t="s">
        <v>46</v>
      </c>
      <c r="M1509">
        <v>424253</v>
      </c>
      <c r="N1509" s="1">
        <v>45276</v>
      </c>
      <c r="O1509" t="s">
        <v>28</v>
      </c>
      <c r="P1509">
        <v>5</v>
      </c>
      <c r="Q1509">
        <v>178033.1</v>
      </c>
    </row>
    <row r="1510" spans="1:17" x14ac:dyDescent="0.3">
      <c r="A1510" t="s">
        <v>3754</v>
      </c>
      <c r="B1510" t="s">
        <v>3645</v>
      </c>
      <c r="C1510" s="2" t="str">
        <f>PROPER(TRIM(Table1[[#This Row],[Gender]]))</f>
        <v>Male</v>
      </c>
      <c r="D1510" t="s">
        <v>16</v>
      </c>
      <c r="E1510">
        <v>65</v>
      </c>
      <c r="F1510" t="s">
        <v>58</v>
      </c>
      <c r="G1510" s="1">
        <v>21933</v>
      </c>
      <c r="H1510" t="s">
        <v>3755</v>
      </c>
      <c r="I1510" s="2" t="str">
        <f t="shared" si="23"/>
        <v>+91-8533748575</v>
      </c>
      <c r="J1510">
        <f>91-8533748666</f>
        <v>-8533748575</v>
      </c>
      <c r="K1510" t="s">
        <v>72</v>
      </c>
      <c r="L1510" t="s">
        <v>34</v>
      </c>
      <c r="M1510">
        <v>884472</v>
      </c>
      <c r="N1510" s="1">
        <v>45331</v>
      </c>
      <c r="O1510" t="s">
        <v>35</v>
      </c>
      <c r="P1510">
        <v>2</v>
      </c>
      <c r="Q1510">
        <v>12488.48</v>
      </c>
    </row>
    <row r="1511" spans="1:17" x14ac:dyDescent="0.3">
      <c r="A1511" t="s">
        <v>3756</v>
      </c>
      <c r="B1511" t="s">
        <v>327</v>
      </c>
      <c r="C1511" s="2" t="str">
        <f>PROPER(TRIM(Table1[[#This Row],[Gender]]))</f>
        <v>Male</v>
      </c>
      <c r="D1511" t="s">
        <v>16</v>
      </c>
      <c r="E1511">
        <v>51</v>
      </c>
      <c r="F1511" t="s">
        <v>17</v>
      </c>
      <c r="G1511" s="1">
        <v>27043</v>
      </c>
      <c r="H1511" t="s">
        <v>3757</v>
      </c>
      <c r="I1511" s="2" t="str">
        <f t="shared" si="23"/>
        <v>+91-7821360260</v>
      </c>
      <c r="J1511">
        <f>91-7821360351</f>
        <v>-7821360260</v>
      </c>
      <c r="K1511" t="s">
        <v>89</v>
      </c>
      <c r="L1511" t="s">
        <v>90</v>
      </c>
      <c r="M1511">
        <v>609058</v>
      </c>
      <c r="N1511" s="1">
        <v>45190</v>
      </c>
      <c r="O1511" t="s">
        <v>21</v>
      </c>
      <c r="P1511">
        <v>3</v>
      </c>
      <c r="Q1511">
        <v>31527.32</v>
      </c>
    </row>
    <row r="1512" spans="1:17" x14ac:dyDescent="0.3">
      <c r="A1512" t="s">
        <v>3758</v>
      </c>
      <c r="B1512" t="s">
        <v>1370</v>
      </c>
      <c r="C1512" s="2" t="str">
        <f>PROPER(TRIM(Table1[[#This Row],[Gender]]))</f>
        <v>Male</v>
      </c>
      <c r="D1512" t="s">
        <v>16</v>
      </c>
      <c r="E1512">
        <v>23</v>
      </c>
      <c r="F1512" t="s">
        <v>49</v>
      </c>
      <c r="G1512" s="1">
        <v>37263</v>
      </c>
      <c r="H1512" t="s">
        <v>3759</v>
      </c>
      <c r="I1512" s="2" t="str">
        <f t="shared" si="23"/>
        <v>+91-8280761442</v>
      </c>
      <c r="J1512">
        <f>91-8280761533</f>
        <v>-8280761442</v>
      </c>
      <c r="K1512" t="s">
        <v>121</v>
      </c>
      <c r="L1512" t="s">
        <v>85</v>
      </c>
      <c r="M1512">
        <v>567728</v>
      </c>
      <c r="N1512" s="1">
        <v>45304</v>
      </c>
      <c r="O1512" t="s">
        <v>28</v>
      </c>
      <c r="P1512">
        <v>10</v>
      </c>
      <c r="Q1512">
        <v>429787.02</v>
      </c>
    </row>
    <row r="1513" spans="1:17" x14ac:dyDescent="0.3">
      <c r="A1513" t="s">
        <v>3760</v>
      </c>
      <c r="B1513" t="s">
        <v>3544</v>
      </c>
      <c r="C1513" s="2" t="str">
        <f>PROPER(TRIM(Table1[[#This Row],[Gender]]))</f>
        <v>Male</v>
      </c>
      <c r="D1513" t="s">
        <v>16</v>
      </c>
      <c r="E1513">
        <v>52</v>
      </c>
      <c r="F1513" t="s">
        <v>17</v>
      </c>
      <c r="G1513" s="1">
        <v>26678</v>
      </c>
      <c r="H1513" t="s">
        <v>3761</v>
      </c>
      <c r="I1513" s="2" t="str">
        <f t="shared" si="23"/>
        <v>+91-8789609038</v>
      </c>
      <c r="J1513">
        <f>91-8789609129</f>
        <v>-8789609038</v>
      </c>
      <c r="K1513" t="s">
        <v>33</v>
      </c>
      <c r="L1513" t="s">
        <v>34</v>
      </c>
      <c r="M1513">
        <v>398066</v>
      </c>
      <c r="N1513" s="1">
        <v>45415</v>
      </c>
      <c r="O1513" t="s">
        <v>21</v>
      </c>
      <c r="P1513">
        <v>3</v>
      </c>
      <c r="Q1513">
        <v>29828.99</v>
      </c>
    </row>
    <row r="1514" spans="1:17" x14ac:dyDescent="0.3">
      <c r="A1514" t="s">
        <v>3762</v>
      </c>
      <c r="B1514" t="s">
        <v>1028</v>
      </c>
      <c r="C1514" s="2" t="str">
        <f>PROPER(TRIM(Table1[[#This Row],[Gender]]))</f>
        <v>Male</v>
      </c>
      <c r="D1514" t="s">
        <v>16</v>
      </c>
      <c r="E1514">
        <v>49</v>
      </c>
      <c r="F1514" t="s">
        <v>17</v>
      </c>
      <c r="G1514" s="1">
        <v>27773</v>
      </c>
      <c r="H1514" t="s">
        <v>1056</v>
      </c>
      <c r="I1514" s="2" t="str">
        <f t="shared" si="23"/>
        <v>+91-7040710862</v>
      </c>
      <c r="J1514">
        <f>91-7040710953</f>
        <v>-7040710862</v>
      </c>
      <c r="K1514" t="s">
        <v>45</v>
      </c>
      <c r="L1514" t="s">
        <v>46</v>
      </c>
      <c r="M1514">
        <v>517612</v>
      </c>
      <c r="N1514" s="1">
        <v>45255</v>
      </c>
      <c r="O1514" t="s">
        <v>35</v>
      </c>
      <c r="P1514">
        <v>2</v>
      </c>
      <c r="Q1514">
        <v>3719.44</v>
      </c>
    </row>
    <row r="1515" spans="1:17" x14ac:dyDescent="0.3">
      <c r="A1515" t="s">
        <v>3763</v>
      </c>
      <c r="B1515" t="s">
        <v>3747</v>
      </c>
      <c r="C1515" s="2" t="str">
        <f>PROPER(TRIM(Table1[[#This Row],[Gender]]))</f>
        <v>Female</v>
      </c>
      <c r="D1515" t="s">
        <v>43</v>
      </c>
      <c r="E1515">
        <v>47</v>
      </c>
      <c r="F1515" t="s">
        <v>17</v>
      </c>
      <c r="G1515" s="1">
        <v>28503</v>
      </c>
      <c r="H1515" t="s">
        <v>3764</v>
      </c>
      <c r="I1515" s="2" t="str">
        <f t="shared" si="23"/>
        <v>+91-8432694290</v>
      </c>
      <c r="J1515">
        <f>91-8432694381</f>
        <v>-8432694290</v>
      </c>
      <c r="K1515" t="s">
        <v>60</v>
      </c>
      <c r="L1515" t="s">
        <v>34</v>
      </c>
      <c r="M1515">
        <v>647126</v>
      </c>
      <c r="N1515" s="1">
        <v>45087</v>
      </c>
      <c r="O1515" t="s">
        <v>28</v>
      </c>
      <c r="P1515">
        <v>9</v>
      </c>
      <c r="Q1515">
        <v>93535.42</v>
      </c>
    </row>
    <row r="1516" spans="1:17" x14ac:dyDescent="0.3">
      <c r="A1516" t="s">
        <v>3765</v>
      </c>
      <c r="B1516" t="s">
        <v>1787</v>
      </c>
      <c r="C1516" s="2" t="str">
        <f>PROPER(TRIM(Table1[[#This Row],[Gender]]))</f>
        <v>Male</v>
      </c>
      <c r="D1516" t="s">
        <v>16</v>
      </c>
      <c r="E1516">
        <v>49</v>
      </c>
      <c r="F1516" t="s">
        <v>17</v>
      </c>
      <c r="G1516" s="1">
        <v>27773</v>
      </c>
      <c r="H1516" t="s">
        <v>3766</v>
      </c>
      <c r="I1516" s="2" t="str">
        <f t="shared" si="23"/>
        <v>+91-9324609480</v>
      </c>
      <c r="J1516">
        <f>91-9324609571</f>
        <v>-9324609480</v>
      </c>
      <c r="K1516" t="s">
        <v>580</v>
      </c>
      <c r="L1516" t="s">
        <v>85</v>
      </c>
      <c r="M1516">
        <v>556799</v>
      </c>
      <c r="N1516" s="1">
        <v>45118</v>
      </c>
      <c r="O1516" t="s">
        <v>28</v>
      </c>
      <c r="P1516">
        <v>11</v>
      </c>
      <c r="Q1516">
        <v>141418.28</v>
      </c>
    </row>
    <row r="1517" spans="1:17" x14ac:dyDescent="0.3">
      <c r="A1517" t="s">
        <v>3767</v>
      </c>
      <c r="B1517" t="s">
        <v>1663</v>
      </c>
      <c r="C1517" s="2" t="str">
        <f>PROPER(TRIM(Table1[[#This Row],[Gender]]))</f>
        <v>Female</v>
      </c>
      <c r="D1517" t="s">
        <v>43</v>
      </c>
      <c r="E1517">
        <v>31</v>
      </c>
      <c r="F1517" t="s">
        <v>31</v>
      </c>
      <c r="G1517" s="1">
        <v>34343</v>
      </c>
      <c r="H1517" t="s">
        <v>3768</v>
      </c>
      <c r="I1517" s="2" t="str">
        <f t="shared" si="23"/>
        <v>+91-9840222218</v>
      </c>
      <c r="J1517">
        <f>91-9840222309</f>
        <v>-9840222218</v>
      </c>
      <c r="K1517" t="s">
        <v>26</v>
      </c>
      <c r="L1517" t="s">
        <v>27</v>
      </c>
      <c r="M1517">
        <v>282712</v>
      </c>
      <c r="N1517" s="1">
        <v>45408</v>
      </c>
      <c r="O1517" t="s">
        <v>28</v>
      </c>
      <c r="P1517">
        <v>5</v>
      </c>
      <c r="Q1517">
        <v>89496.45</v>
      </c>
    </row>
    <row r="1518" spans="1:17" x14ac:dyDescent="0.3">
      <c r="A1518" t="s">
        <v>3769</v>
      </c>
      <c r="B1518" t="s">
        <v>1178</v>
      </c>
      <c r="C1518" s="2" t="str">
        <f>PROPER(TRIM(Table1[[#This Row],[Gender]]))</f>
        <v>Female</v>
      </c>
      <c r="D1518" t="s">
        <v>43</v>
      </c>
      <c r="E1518">
        <v>27</v>
      </c>
      <c r="F1518" t="s">
        <v>31</v>
      </c>
      <c r="G1518" s="1">
        <v>35803</v>
      </c>
      <c r="H1518" t="s">
        <v>3770</v>
      </c>
      <c r="I1518" s="2" t="str">
        <f t="shared" si="23"/>
        <v>+91-7424960316</v>
      </c>
      <c r="J1518">
        <f>91-7424960407</f>
        <v>-7424960316</v>
      </c>
      <c r="K1518" t="s">
        <v>64</v>
      </c>
      <c r="L1518" t="s">
        <v>20</v>
      </c>
      <c r="M1518">
        <v>467706</v>
      </c>
      <c r="N1518" s="1">
        <v>45425</v>
      </c>
      <c r="O1518" t="s">
        <v>35</v>
      </c>
      <c r="P1518">
        <v>3</v>
      </c>
      <c r="Q1518">
        <v>15263.05</v>
      </c>
    </row>
    <row r="1519" spans="1:17" x14ac:dyDescent="0.3">
      <c r="A1519" t="s">
        <v>3771</v>
      </c>
      <c r="B1519" t="s">
        <v>845</v>
      </c>
      <c r="C1519" s="2" t="str">
        <f>PROPER(TRIM(Table1[[#This Row],[Gender]]))</f>
        <v>Male</v>
      </c>
      <c r="D1519" t="s">
        <v>16</v>
      </c>
      <c r="E1519">
        <v>55</v>
      </c>
      <c r="F1519" t="s">
        <v>17</v>
      </c>
      <c r="G1519" s="1">
        <v>25583</v>
      </c>
      <c r="H1519" t="s">
        <v>3772</v>
      </c>
      <c r="I1519" s="2" t="str">
        <f t="shared" si="23"/>
        <v>+91-7405794291</v>
      </c>
      <c r="J1519">
        <f>91-7405794382</f>
        <v>-7405794291</v>
      </c>
      <c r="K1519" t="s">
        <v>109</v>
      </c>
      <c r="L1519" t="s">
        <v>46</v>
      </c>
      <c r="M1519">
        <v>813509</v>
      </c>
      <c r="N1519" s="1">
        <v>45283</v>
      </c>
      <c r="O1519" t="s">
        <v>21</v>
      </c>
      <c r="P1519">
        <v>5</v>
      </c>
      <c r="Q1519">
        <v>29039.95</v>
      </c>
    </row>
    <row r="1520" spans="1:17" x14ac:dyDescent="0.3">
      <c r="A1520" t="s">
        <v>3773</v>
      </c>
      <c r="B1520" t="s">
        <v>82</v>
      </c>
      <c r="C1520" s="2" t="str">
        <f>PROPER(TRIM(Table1[[#This Row],[Gender]]))</f>
        <v>Female</v>
      </c>
      <c r="D1520" t="s">
        <v>43</v>
      </c>
      <c r="E1520">
        <v>19</v>
      </c>
      <c r="F1520" t="s">
        <v>49</v>
      </c>
      <c r="G1520" s="1">
        <v>38723</v>
      </c>
      <c r="H1520" t="s">
        <v>3774</v>
      </c>
      <c r="I1520" s="2" t="str">
        <f t="shared" si="23"/>
        <v>+91-9538176134</v>
      </c>
      <c r="J1520">
        <f>91-9538176225</f>
        <v>-9538176134</v>
      </c>
      <c r="K1520" t="s">
        <v>331</v>
      </c>
      <c r="L1520" t="s">
        <v>143</v>
      </c>
      <c r="M1520">
        <v>822007</v>
      </c>
      <c r="N1520" s="1">
        <v>45387</v>
      </c>
      <c r="O1520" t="s">
        <v>28</v>
      </c>
      <c r="P1520">
        <v>5</v>
      </c>
      <c r="Q1520">
        <v>195112.45</v>
      </c>
    </row>
    <row r="1521" spans="1:17" x14ac:dyDescent="0.3">
      <c r="A1521" t="s">
        <v>3775</v>
      </c>
      <c r="B1521" t="s">
        <v>2817</v>
      </c>
      <c r="C1521" s="2" t="str">
        <f>PROPER(TRIM(Table1[[#This Row],[Gender]]))</f>
        <v>Male</v>
      </c>
      <c r="D1521" t="s">
        <v>16</v>
      </c>
      <c r="E1521">
        <v>29</v>
      </c>
      <c r="F1521" t="s">
        <v>31</v>
      </c>
      <c r="G1521" s="1">
        <v>35073</v>
      </c>
      <c r="H1521" t="s">
        <v>3776</v>
      </c>
      <c r="I1521" s="2" t="str">
        <f t="shared" si="23"/>
        <v>+91-8349800720</v>
      </c>
      <c r="J1521">
        <f>91-8349800811</f>
        <v>-8349800720</v>
      </c>
      <c r="K1521" t="s">
        <v>161</v>
      </c>
      <c r="L1521" t="s">
        <v>102</v>
      </c>
      <c r="M1521">
        <v>904284</v>
      </c>
      <c r="N1521" s="1">
        <v>45268</v>
      </c>
      <c r="O1521" t="s">
        <v>28</v>
      </c>
      <c r="P1521">
        <v>7</v>
      </c>
      <c r="Q1521">
        <v>418590.99</v>
      </c>
    </row>
    <row r="1522" spans="1:17" x14ac:dyDescent="0.3">
      <c r="A1522" t="s">
        <v>3777</v>
      </c>
      <c r="B1522" t="s">
        <v>3778</v>
      </c>
      <c r="C1522" s="2" t="str">
        <f>PROPER(TRIM(Table1[[#This Row],[Gender]]))</f>
        <v>Female</v>
      </c>
      <c r="D1522" t="s">
        <v>43</v>
      </c>
      <c r="E1522">
        <v>20</v>
      </c>
      <c r="F1522" t="s">
        <v>49</v>
      </c>
      <c r="G1522" s="1">
        <v>38358</v>
      </c>
      <c r="H1522" t="s">
        <v>3779</v>
      </c>
      <c r="I1522" s="2" t="str">
        <f t="shared" si="23"/>
        <v>+91-7595215506</v>
      </c>
      <c r="J1522">
        <f>91-7595215597</f>
        <v>-7595215506</v>
      </c>
      <c r="K1522" t="s">
        <v>113</v>
      </c>
      <c r="L1522" t="s">
        <v>34</v>
      </c>
      <c r="M1522">
        <v>163256</v>
      </c>
      <c r="N1522" s="1">
        <v>45204</v>
      </c>
      <c r="O1522" t="s">
        <v>28</v>
      </c>
      <c r="P1522">
        <v>7</v>
      </c>
      <c r="Q1522">
        <v>55677.53</v>
      </c>
    </row>
    <row r="1523" spans="1:17" x14ac:dyDescent="0.3">
      <c r="A1523" t="s">
        <v>3780</v>
      </c>
      <c r="B1523" t="s">
        <v>593</v>
      </c>
      <c r="C1523" s="2" t="str">
        <f>PROPER(TRIM(Table1[[#This Row],[Gender]]))</f>
        <v>Female</v>
      </c>
      <c r="D1523" t="s">
        <v>43</v>
      </c>
      <c r="E1523">
        <v>39</v>
      </c>
      <c r="F1523" t="s">
        <v>38</v>
      </c>
      <c r="G1523" s="1">
        <v>31423</v>
      </c>
      <c r="H1523" t="s">
        <v>3781</v>
      </c>
      <c r="I1523" s="2" t="str">
        <f t="shared" si="23"/>
        <v>+91-7952970718</v>
      </c>
      <c r="J1523">
        <f>91-7952970809</f>
        <v>-7952970718</v>
      </c>
      <c r="K1523" t="s">
        <v>60</v>
      </c>
      <c r="L1523" t="s">
        <v>34</v>
      </c>
      <c r="M1523">
        <v>949657</v>
      </c>
      <c r="N1523" s="1">
        <v>45315</v>
      </c>
      <c r="O1523" t="s">
        <v>28</v>
      </c>
      <c r="P1523">
        <v>4</v>
      </c>
      <c r="Q1523">
        <v>98152.95</v>
      </c>
    </row>
    <row r="1524" spans="1:17" x14ac:dyDescent="0.3">
      <c r="A1524" t="s">
        <v>3782</v>
      </c>
      <c r="B1524" t="s">
        <v>3783</v>
      </c>
      <c r="C1524" s="2" t="str">
        <f>PROPER(TRIM(Table1[[#This Row],[Gender]]))</f>
        <v>Male</v>
      </c>
      <c r="D1524" t="s">
        <v>16</v>
      </c>
      <c r="E1524">
        <v>32</v>
      </c>
      <c r="F1524" t="s">
        <v>31</v>
      </c>
      <c r="G1524" s="1">
        <v>33978</v>
      </c>
      <c r="H1524" t="s">
        <v>3784</v>
      </c>
      <c r="I1524" s="2" t="str">
        <f t="shared" si="23"/>
        <v>+91-8769588103</v>
      </c>
      <c r="J1524">
        <f>91-8769588194</f>
        <v>-8769588103</v>
      </c>
      <c r="K1524" t="s">
        <v>580</v>
      </c>
      <c r="L1524" t="s">
        <v>85</v>
      </c>
      <c r="M1524">
        <v>857686</v>
      </c>
      <c r="N1524" s="1">
        <v>45378</v>
      </c>
      <c r="O1524" t="s">
        <v>28</v>
      </c>
      <c r="P1524">
        <v>4</v>
      </c>
      <c r="Q1524">
        <v>131090.87</v>
      </c>
    </row>
    <row r="1525" spans="1:17" x14ac:dyDescent="0.3">
      <c r="A1525" t="s">
        <v>3785</v>
      </c>
      <c r="B1525" t="s">
        <v>1405</v>
      </c>
      <c r="C1525" s="2" t="str">
        <f>PROPER(TRIM(Table1[[#This Row],[Gender]]))</f>
        <v>Male</v>
      </c>
      <c r="D1525" t="s">
        <v>16</v>
      </c>
      <c r="E1525">
        <v>40</v>
      </c>
      <c r="F1525" t="s">
        <v>38</v>
      </c>
      <c r="G1525" s="1">
        <v>31058</v>
      </c>
      <c r="H1525" t="s">
        <v>3456</v>
      </c>
      <c r="I1525" s="2" t="str">
        <f t="shared" si="23"/>
        <v>+91-7465156134</v>
      </c>
      <c r="J1525">
        <f>91-7465156225</f>
        <v>-7465156134</v>
      </c>
      <c r="K1525" t="s">
        <v>273</v>
      </c>
      <c r="L1525" t="s">
        <v>46</v>
      </c>
      <c r="M1525">
        <v>181132</v>
      </c>
      <c r="N1525" s="1">
        <v>45090</v>
      </c>
      <c r="O1525" t="s">
        <v>28</v>
      </c>
      <c r="P1525">
        <v>7</v>
      </c>
      <c r="Q1525">
        <v>172408.2</v>
      </c>
    </row>
    <row r="1526" spans="1:17" x14ac:dyDescent="0.3">
      <c r="A1526" t="s">
        <v>3786</v>
      </c>
      <c r="B1526" t="s">
        <v>1078</v>
      </c>
      <c r="C1526" s="2" t="str">
        <f>PROPER(TRIM(Table1[[#This Row],[Gender]]))</f>
        <v>Female</v>
      </c>
      <c r="D1526" t="s">
        <v>43</v>
      </c>
      <c r="E1526">
        <v>28</v>
      </c>
      <c r="F1526" t="s">
        <v>31</v>
      </c>
      <c r="G1526" s="1">
        <v>35438</v>
      </c>
      <c r="H1526" t="s">
        <v>3787</v>
      </c>
      <c r="I1526" s="2" t="str">
        <f t="shared" si="23"/>
        <v>+91-8021173603</v>
      </c>
      <c r="J1526">
        <f>91-8021173694</f>
        <v>-8021173603</v>
      </c>
      <c r="K1526" t="s">
        <v>239</v>
      </c>
      <c r="L1526" t="s">
        <v>191</v>
      </c>
      <c r="M1526">
        <v>149666</v>
      </c>
      <c r="N1526" s="1">
        <v>45266</v>
      </c>
      <c r="O1526" t="s">
        <v>28</v>
      </c>
      <c r="P1526">
        <v>7</v>
      </c>
      <c r="Q1526">
        <v>150127.41</v>
      </c>
    </row>
    <row r="1527" spans="1:17" x14ac:dyDescent="0.3">
      <c r="A1527" t="s">
        <v>3788</v>
      </c>
      <c r="B1527" t="s">
        <v>3789</v>
      </c>
      <c r="C1527" s="2" t="str">
        <f>PROPER(TRIM(Table1[[#This Row],[Gender]]))</f>
        <v>Male</v>
      </c>
      <c r="D1527" t="s">
        <v>16</v>
      </c>
      <c r="E1527">
        <v>36</v>
      </c>
      <c r="F1527" t="s">
        <v>38</v>
      </c>
      <c r="G1527" s="1">
        <v>32518</v>
      </c>
      <c r="H1527" t="s">
        <v>3790</v>
      </c>
      <c r="I1527" s="2" t="str">
        <f t="shared" si="23"/>
        <v>+91-9109676391</v>
      </c>
      <c r="J1527">
        <f>91-9109676482</f>
        <v>-9109676391</v>
      </c>
      <c r="K1527" t="s">
        <v>125</v>
      </c>
      <c r="L1527" t="s">
        <v>52</v>
      </c>
      <c r="M1527">
        <v>222860</v>
      </c>
      <c r="N1527" s="1">
        <v>45418</v>
      </c>
      <c r="O1527" t="s">
        <v>28</v>
      </c>
      <c r="P1527">
        <v>7</v>
      </c>
      <c r="Q1527">
        <v>491911.4</v>
      </c>
    </row>
    <row r="1528" spans="1:17" x14ac:dyDescent="0.3">
      <c r="A1528" t="s">
        <v>3791</v>
      </c>
      <c r="B1528" t="s">
        <v>1356</v>
      </c>
      <c r="C1528" s="2" t="str">
        <f>PROPER(TRIM(Table1[[#This Row],[Gender]]))</f>
        <v>Female</v>
      </c>
      <c r="D1528" t="s">
        <v>43</v>
      </c>
      <c r="E1528">
        <v>33</v>
      </c>
      <c r="F1528" t="s">
        <v>31</v>
      </c>
      <c r="G1528" s="1">
        <v>33613</v>
      </c>
      <c r="H1528" t="s">
        <v>3792</v>
      </c>
      <c r="I1528" s="2" t="str">
        <f t="shared" si="23"/>
        <v>+91-8885388465</v>
      </c>
      <c r="J1528">
        <f>91-8885388556</f>
        <v>-8885388465</v>
      </c>
      <c r="K1528" t="s">
        <v>369</v>
      </c>
      <c r="L1528" t="s">
        <v>191</v>
      </c>
      <c r="M1528">
        <v>176087</v>
      </c>
      <c r="N1528" s="1">
        <v>45086</v>
      </c>
      <c r="O1528" t="s">
        <v>28</v>
      </c>
      <c r="P1528">
        <v>4</v>
      </c>
      <c r="Q1528">
        <v>100407.12</v>
      </c>
    </row>
    <row r="1529" spans="1:17" x14ac:dyDescent="0.3">
      <c r="A1529" t="s">
        <v>3793</v>
      </c>
      <c r="B1529" t="s">
        <v>781</v>
      </c>
      <c r="C1529" s="2" t="str">
        <f>PROPER(TRIM(Table1[[#This Row],[Gender]]))</f>
        <v>Male</v>
      </c>
      <c r="D1529" t="s">
        <v>16</v>
      </c>
      <c r="E1529">
        <v>58</v>
      </c>
      <c r="F1529" t="s">
        <v>58</v>
      </c>
      <c r="G1529" s="1">
        <v>24488</v>
      </c>
      <c r="H1529" t="s">
        <v>3794</v>
      </c>
      <c r="I1529" s="2" t="str">
        <f t="shared" si="23"/>
        <v>+91-8358174786</v>
      </c>
      <c r="J1529">
        <f>91-8358174877</f>
        <v>-8358174786</v>
      </c>
      <c r="K1529" t="s">
        <v>121</v>
      </c>
      <c r="L1529" t="s">
        <v>85</v>
      </c>
      <c r="M1529">
        <v>928329</v>
      </c>
      <c r="N1529" s="1">
        <v>45308</v>
      </c>
      <c r="O1529" t="s">
        <v>35</v>
      </c>
      <c r="P1529">
        <v>4</v>
      </c>
      <c r="Q1529">
        <v>5982.22</v>
      </c>
    </row>
    <row r="1530" spans="1:17" x14ac:dyDescent="0.3">
      <c r="A1530" t="s">
        <v>3795</v>
      </c>
      <c r="B1530" t="s">
        <v>1970</v>
      </c>
      <c r="C1530" s="2" t="str">
        <f>PROPER(TRIM(Table1[[#This Row],[Gender]]))</f>
        <v>Female</v>
      </c>
      <c r="D1530" t="s">
        <v>43</v>
      </c>
      <c r="E1530">
        <v>22</v>
      </c>
      <c r="F1530" t="s">
        <v>49</v>
      </c>
      <c r="G1530" s="1">
        <v>37628</v>
      </c>
      <c r="H1530" t="s">
        <v>3796</v>
      </c>
      <c r="I1530" s="2" t="str">
        <f t="shared" si="23"/>
        <v>+91-8037479425</v>
      </c>
      <c r="J1530">
        <f>91-8037479516</f>
        <v>-8037479425</v>
      </c>
      <c r="K1530" t="s">
        <v>125</v>
      </c>
      <c r="L1530" t="s">
        <v>52</v>
      </c>
      <c r="M1530">
        <v>230841</v>
      </c>
      <c r="N1530" s="1">
        <v>45106</v>
      </c>
      <c r="O1530" t="s">
        <v>35</v>
      </c>
      <c r="P1530">
        <v>5</v>
      </c>
      <c r="Q1530">
        <v>16264.85</v>
      </c>
    </row>
    <row r="1531" spans="1:17" x14ac:dyDescent="0.3">
      <c r="A1531" t="s">
        <v>3797</v>
      </c>
      <c r="B1531" t="s">
        <v>3557</v>
      </c>
      <c r="C1531" s="2" t="str">
        <f>PROPER(TRIM(Table1[[#This Row],[Gender]]))</f>
        <v>Male</v>
      </c>
      <c r="D1531" t="s">
        <v>16</v>
      </c>
      <c r="E1531">
        <v>36</v>
      </c>
      <c r="F1531" t="s">
        <v>38</v>
      </c>
      <c r="G1531" s="1">
        <v>32518</v>
      </c>
      <c r="H1531" t="s">
        <v>3798</v>
      </c>
      <c r="I1531" s="2" t="str">
        <f t="shared" si="23"/>
        <v>+91-8280715457</v>
      </c>
      <c r="J1531">
        <f>91-8280715548</f>
        <v>-8280715457</v>
      </c>
      <c r="K1531" t="s">
        <v>369</v>
      </c>
      <c r="L1531" t="s">
        <v>191</v>
      </c>
      <c r="M1531">
        <v>973942</v>
      </c>
      <c r="N1531" s="1">
        <v>45333</v>
      </c>
      <c r="O1531" t="s">
        <v>28</v>
      </c>
      <c r="P1531">
        <v>8</v>
      </c>
      <c r="Q1531">
        <v>175913.51</v>
      </c>
    </row>
    <row r="1532" spans="1:17" x14ac:dyDescent="0.3">
      <c r="A1532" t="s">
        <v>3799</v>
      </c>
      <c r="B1532" t="s">
        <v>1245</v>
      </c>
      <c r="C1532" s="2" t="str">
        <f>PROPER(TRIM(Table1[[#This Row],[Gender]]))</f>
        <v>Female</v>
      </c>
      <c r="D1532" t="s">
        <v>43</v>
      </c>
      <c r="E1532">
        <v>24</v>
      </c>
      <c r="F1532" t="s">
        <v>49</v>
      </c>
      <c r="G1532" s="1">
        <v>36898</v>
      </c>
      <c r="H1532" t="s">
        <v>2343</v>
      </c>
      <c r="I1532" s="2" t="str">
        <f t="shared" si="23"/>
        <v>+91-7786104865</v>
      </c>
      <c r="J1532">
        <f>91-7786104956</f>
        <v>-7786104865</v>
      </c>
      <c r="K1532" t="s">
        <v>64</v>
      </c>
      <c r="L1532" t="s">
        <v>20</v>
      </c>
      <c r="M1532">
        <v>676037</v>
      </c>
      <c r="N1532" s="1">
        <v>45254</v>
      </c>
      <c r="O1532" t="s">
        <v>35</v>
      </c>
      <c r="P1532">
        <v>1</v>
      </c>
      <c r="Q1532">
        <v>1125.55</v>
      </c>
    </row>
    <row r="1533" spans="1:17" x14ac:dyDescent="0.3">
      <c r="A1533" t="s">
        <v>3800</v>
      </c>
      <c r="B1533" t="s">
        <v>130</v>
      </c>
      <c r="C1533" s="2" t="str">
        <f>PROPER(TRIM(Table1[[#This Row],[Gender]]))</f>
        <v>Male</v>
      </c>
      <c r="D1533" t="s">
        <v>16</v>
      </c>
      <c r="E1533">
        <v>22</v>
      </c>
      <c r="F1533" t="s">
        <v>49</v>
      </c>
      <c r="G1533" s="1">
        <v>37628</v>
      </c>
      <c r="H1533" t="s">
        <v>131</v>
      </c>
      <c r="I1533" s="2" t="str">
        <f t="shared" si="23"/>
        <v>+91-8105641844</v>
      </c>
      <c r="J1533">
        <f>91-8105641935</f>
        <v>-8105641844</v>
      </c>
      <c r="K1533" t="s">
        <v>121</v>
      </c>
      <c r="L1533" t="s">
        <v>85</v>
      </c>
      <c r="M1533">
        <v>122068</v>
      </c>
      <c r="N1533" s="1">
        <v>45406</v>
      </c>
      <c r="O1533" t="s">
        <v>28</v>
      </c>
      <c r="P1533">
        <v>4</v>
      </c>
      <c r="Q1533">
        <v>116961.43</v>
      </c>
    </row>
    <row r="1534" spans="1:17" x14ac:dyDescent="0.3">
      <c r="A1534" t="s">
        <v>3801</v>
      </c>
      <c r="B1534" t="s">
        <v>30</v>
      </c>
      <c r="C1534" s="2" t="str">
        <f>PROPER(TRIM(Table1[[#This Row],[Gender]]))</f>
        <v>Male</v>
      </c>
      <c r="D1534" t="s">
        <v>16</v>
      </c>
      <c r="E1534">
        <v>35</v>
      </c>
      <c r="F1534" t="s">
        <v>31</v>
      </c>
      <c r="G1534" s="1">
        <v>32883</v>
      </c>
      <c r="H1534" t="s">
        <v>3802</v>
      </c>
      <c r="I1534" s="2" t="str">
        <f t="shared" si="23"/>
        <v>+91-8510707483</v>
      </c>
      <c r="J1534">
        <f>91-8510707574</f>
        <v>-8510707483</v>
      </c>
      <c r="K1534" t="s">
        <v>138</v>
      </c>
      <c r="L1534" t="s">
        <v>90</v>
      </c>
      <c r="M1534">
        <v>453250</v>
      </c>
      <c r="N1534" s="1">
        <v>45374</v>
      </c>
      <c r="O1534" t="s">
        <v>28</v>
      </c>
      <c r="P1534">
        <v>8</v>
      </c>
      <c r="Q1534">
        <v>306140.17</v>
      </c>
    </row>
    <row r="1535" spans="1:17" x14ac:dyDescent="0.3">
      <c r="A1535" t="s">
        <v>3803</v>
      </c>
      <c r="B1535" t="s">
        <v>608</v>
      </c>
      <c r="C1535" s="2" t="str">
        <f>PROPER(TRIM(Table1[[#This Row],[Gender]]))</f>
        <v>Female</v>
      </c>
      <c r="D1535" t="s">
        <v>43</v>
      </c>
      <c r="E1535">
        <v>33</v>
      </c>
      <c r="F1535" t="s">
        <v>31</v>
      </c>
      <c r="G1535" s="1">
        <v>33613</v>
      </c>
      <c r="H1535" t="s">
        <v>3804</v>
      </c>
      <c r="I1535" s="2" t="str">
        <f t="shared" si="23"/>
        <v>+91-9634640950</v>
      </c>
      <c r="J1535">
        <f>91-9634641041</f>
        <v>-9634640950</v>
      </c>
      <c r="K1535" t="s">
        <v>89</v>
      </c>
      <c r="L1535" t="s">
        <v>90</v>
      </c>
      <c r="M1535">
        <v>641998</v>
      </c>
      <c r="N1535" s="1">
        <v>45106</v>
      </c>
      <c r="O1535" t="s">
        <v>28</v>
      </c>
      <c r="P1535">
        <v>7</v>
      </c>
      <c r="Q1535">
        <v>76045.899999999994</v>
      </c>
    </row>
    <row r="1536" spans="1:17" x14ac:dyDescent="0.3">
      <c r="A1536" t="s">
        <v>3805</v>
      </c>
      <c r="B1536" t="s">
        <v>2061</v>
      </c>
      <c r="C1536" s="2" t="str">
        <f>PROPER(TRIM(Table1[[#This Row],[Gender]]))</f>
        <v>Female</v>
      </c>
      <c r="D1536" t="s">
        <v>43</v>
      </c>
      <c r="E1536">
        <v>32</v>
      </c>
      <c r="F1536" t="s">
        <v>31</v>
      </c>
      <c r="G1536" s="1">
        <v>33978</v>
      </c>
      <c r="H1536" t="s">
        <v>3806</v>
      </c>
      <c r="I1536" s="2" t="str">
        <f t="shared" si="23"/>
        <v>+91-7355046726</v>
      </c>
      <c r="J1536">
        <f>91-7355046817</f>
        <v>-7355046726</v>
      </c>
      <c r="K1536" t="s">
        <v>40</v>
      </c>
      <c r="L1536" t="s">
        <v>27</v>
      </c>
      <c r="M1536">
        <v>367420</v>
      </c>
      <c r="N1536" s="1">
        <v>45300</v>
      </c>
      <c r="O1536" t="s">
        <v>28</v>
      </c>
      <c r="P1536">
        <v>4</v>
      </c>
      <c r="Q1536">
        <v>69656.460000000006</v>
      </c>
    </row>
    <row r="1537" spans="1:17" x14ac:dyDescent="0.3">
      <c r="A1537" t="s">
        <v>3807</v>
      </c>
      <c r="B1537" t="s">
        <v>3808</v>
      </c>
      <c r="C1537" s="2" t="str">
        <f>PROPER(TRIM(Table1[[#This Row],[Gender]]))</f>
        <v>Male</v>
      </c>
      <c r="D1537" t="s">
        <v>16</v>
      </c>
      <c r="E1537">
        <v>30</v>
      </c>
      <c r="F1537" t="s">
        <v>31</v>
      </c>
      <c r="G1537" s="1">
        <v>34708</v>
      </c>
      <c r="H1537" t="s">
        <v>3809</v>
      </c>
      <c r="I1537" s="2" t="str">
        <f t="shared" si="23"/>
        <v>+91-7637340278</v>
      </c>
      <c r="J1537">
        <f>91-7637340369</f>
        <v>-7637340278</v>
      </c>
      <c r="K1537" t="s">
        <v>154</v>
      </c>
      <c r="L1537" t="s">
        <v>46</v>
      </c>
      <c r="M1537">
        <v>646095</v>
      </c>
      <c r="N1537" s="1">
        <v>45259</v>
      </c>
      <c r="O1537" t="s">
        <v>28</v>
      </c>
      <c r="P1537">
        <v>4</v>
      </c>
      <c r="Q1537">
        <v>70659.33</v>
      </c>
    </row>
    <row r="1538" spans="1:17" x14ac:dyDescent="0.3">
      <c r="A1538" t="s">
        <v>3810</v>
      </c>
      <c r="B1538" t="s">
        <v>3811</v>
      </c>
      <c r="C1538" s="2" t="str">
        <f>PROPER(TRIM(Table1[[#This Row],[Gender]]))</f>
        <v>Female</v>
      </c>
      <c r="D1538" t="s">
        <v>43</v>
      </c>
      <c r="E1538">
        <v>43</v>
      </c>
      <c r="F1538" t="s">
        <v>38</v>
      </c>
      <c r="G1538" s="1">
        <v>29963</v>
      </c>
      <c r="H1538" t="s">
        <v>3812</v>
      </c>
      <c r="I1538" s="2" t="str">
        <f t="shared" ref="I1538:I1601" si="24">"+91"&amp;TEXT(J1538,"0000000000")</f>
        <v>+91-8533531384</v>
      </c>
      <c r="J1538">
        <f>91-8533531475</f>
        <v>-8533531384</v>
      </c>
      <c r="K1538" t="s">
        <v>580</v>
      </c>
      <c r="L1538" t="s">
        <v>85</v>
      </c>
      <c r="M1538">
        <v>802045</v>
      </c>
      <c r="N1538" s="1">
        <v>45426</v>
      </c>
      <c r="O1538" t="s">
        <v>28</v>
      </c>
      <c r="P1538">
        <v>6</v>
      </c>
      <c r="Q1538">
        <v>348735.15</v>
      </c>
    </row>
    <row r="1539" spans="1:17" x14ac:dyDescent="0.3">
      <c r="A1539" t="s">
        <v>3813</v>
      </c>
      <c r="B1539" t="s">
        <v>2304</v>
      </c>
      <c r="C1539" s="2" t="str">
        <f>PROPER(TRIM(Table1[[#This Row],[Gender]]))</f>
        <v>Male</v>
      </c>
      <c r="D1539" t="s">
        <v>16</v>
      </c>
      <c r="E1539">
        <v>43</v>
      </c>
      <c r="F1539" t="s">
        <v>38</v>
      </c>
      <c r="G1539" s="1">
        <v>29963</v>
      </c>
      <c r="H1539" t="s">
        <v>3814</v>
      </c>
      <c r="I1539" s="2" t="str">
        <f t="shared" si="24"/>
        <v>+91-8072270599</v>
      </c>
      <c r="J1539">
        <f>91-8072270690</f>
        <v>-8072270599</v>
      </c>
      <c r="K1539" t="s">
        <v>40</v>
      </c>
      <c r="L1539" t="s">
        <v>27</v>
      </c>
      <c r="M1539">
        <v>383945</v>
      </c>
      <c r="N1539" s="1">
        <v>45328</v>
      </c>
      <c r="O1539" t="s">
        <v>28</v>
      </c>
      <c r="P1539">
        <v>4</v>
      </c>
      <c r="Q1539">
        <v>137549.03</v>
      </c>
    </row>
    <row r="1540" spans="1:17" x14ac:dyDescent="0.3">
      <c r="A1540" t="s">
        <v>3815</v>
      </c>
      <c r="B1540" t="s">
        <v>1173</v>
      </c>
      <c r="C1540" s="2" t="str">
        <f>PROPER(TRIM(Table1[[#This Row],[Gender]]))</f>
        <v>Female</v>
      </c>
      <c r="D1540" t="s">
        <v>43</v>
      </c>
      <c r="E1540">
        <v>29</v>
      </c>
      <c r="F1540" t="s">
        <v>31</v>
      </c>
      <c r="G1540" s="1">
        <v>35073</v>
      </c>
      <c r="H1540" t="s">
        <v>3816</v>
      </c>
      <c r="I1540" s="2" t="str">
        <f t="shared" si="24"/>
        <v>+91-8630080286</v>
      </c>
      <c r="J1540">
        <f>91-8630080377</f>
        <v>-8630080286</v>
      </c>
      <c r="K1540" t="s">
        <v>109</v>
      </c>
      <c r="L1540" t="s">
        <v>46</v>
      </c>
      <c r="M1540">
        <v>595053</v>
      </c>
      <c r="N1540" s="1">
        <v>45353</v>
      </c>
      <c r="O1540" t="s">
        <v>28</v>
      </c>
      <c r="P1540">
        <v>3</v>
      </c>
      <c r="Q1540">
        <v>114251.23</v>
      </c>
    </row>
    <row r="1541" spans="1:17" x14ac:dyDescent="0.3">
      <c r="A1541" t="s">
        <v>3817</v>
      </c>
      <c r="B1541" t="s">
        <v>1663</v>
      </c>
      <c r="C1541" s="2" t="str">
        <f>PROPER(TRIM(Table1[[#This Row],[Gender]]))</f>
        <v>Female</v>
      </c>
      <c r="D1541" t="s">
        <v>43</v>
      </c>
      <c r="E1541">
        <v>37</v>
      </c>
      <c r="F1541" t="s">
        <v>38</v>
      </c>
      <c r="G1541" s="1">
        <v>32153</v>
      </c>
      <c r="H1541" t="s">
        <v>3818</v>
      </c>
      <c r="I1541" s="2" t="str">
        <f t="shared" si="24"/>
        <v>+91-9292698792</v>
      </c>
      <c r="J1541">
        <f>91-9292698883</f>
        <v>-9292698792</v>
      </c>
      <c r="K1541" t="s">
        <v>94</v>
      </c>
      <c r="L1541" t="s">
        <v>20</v>
      </c>
      <c r="M1541">
        <v>952310</v>
      </c>
      <c r="N1541" s="1">
        <v>45132</v>
      </c>
      <c r="O1541" t="s">
        <v>28</v>
      </c>
      <c r="P1541">
        <v>8</v>
      </c>
      <c r="Q1541">
        <v>107094.68</v>
      </c>
    </row>
    <row r="1542" spans="1:17" x14ac:dyDescent="0.3">
      <c r="A1542" t="s">
        <v>3819</v>
      </c>
      <c r="B1542" t="s">
        <v>2038</v>
      </c>
      <c r="C1542" s="2" t="str">
        <f>PROPER(TRIM(Table1[[#This Row],[Gender]]))</f>
        <v>Female</v>
      </c>
      <c r="D1542" t="s">
        <v>43</v>
      </c>
      <c r="E1542">
        <v>37</v>
      </c>
      <c r="F1542" t="s">
        <v>38</v>
      </c>
      <c r="G1542" s="1">
        <v>32153</v>
      </c>
      <c r="H1542" t="s">
        <v>3820</v>
      </c>
      <c r="I1542" s="2" t="str">
        <f t="shared" si="24"/>
        <v>+91-8478484028</v>
      </c>
      <c r="J1542">
        <f>91-8478484119</f>
        <v>-8478484028</v>
      </c>
      <c r="K1542" t="s">
        <v>249</v>
      </c>
      <c r="L1542" t="s">
        <v>34</v>
      </c>
      <c r="M1542">
        <v>416298</v>
      </c>
      <c r="N1542" s="1">
        <v>45212</v>
      </c>
      <c r="O1542" t="s">
        <v>35</v>
      </c>
      <c r="P1542">
        <v>4</v>
      </c>
      <c r="Q1542">
        <v>15932.21</v>
      </c>
    </row>
    <row r="1543" spans="1:17" x14ac:dyDescent="0.3">
      <c r="A1543" t="s">
        <v>3821</v>
      </c>
      <c r="B1543" t="s">
        <v>1617</v>
      </c>
      <c r="C1543" s="2" t="str">
        <f>PROPER(TRIM(Table1[[#This Row],[Gender]]))</f>
        <v>Female</v>
      </c>
      <c r="D1543" t="s">
        <v>43</v>
      </c>
      <c r="E1543">
        <v>33</v>
      </c>
      <c r="F1543" t="s">
        <v>31</v>
      </c>
      <c r="G1543" s="1">
        <v>33613</v>
      </c>
      <c r="H1543" t="s">
        <v>3822</v>
      </c>
      <c r="I1543" s="2" t="str">
        <f t="shared" si="24"/>
        <v>+91-9350274680</v>
      </c>
      <c r="J1543">
        <f>91-9350274771</f>
        <v>-9350274680</v>
      </c>
      <c r="K1543" t="s">
        <v>174</v>
      </c>
      <c r="L1543" t="s">
        <v>90</v>
      </c>
      <c r="M1543">
        <v>361218</v>
      </c>
      <c r="N1543" s="1">
        <v>45191</v>
      </c>
      <c r="O1543" t="s">
        <v>28</v>
      </c>
      <c r="P1543">
        <v>9</v>
      </c>
      <c r="Q1543">
        <v>331430.45</v>
      </c>
    </row>
    <row r="1544" spans="1:17" x14ac:dyDescent="0.3">
      <c r="A1544" t="s">
        <v>3823</v>
      </c>
      <c r="B1544" t="s">
        <v>599</v>
      </c>
      <c r="C1544" s="2" t="str">
        <f>PROPER(TRIM(Table1[[#This Row],[Gender]]))</f>
        <v>Male</v>
      </c>
      <c r="D1544" t="s">
        <v>16</v>
      </c>
      <c r="E1544">
        <v>19</v>
      </c>
      <c r="F1544" t="s">
        <v>49</v>
      </c>
      <c r="G1544" s="1">
        <v>38723</v>
      </c>
      <c r="H1544" t="s">
        <v>3824</v>
      </c>
      <c r="I1544" s="2" t="str">
        <f t="shared" si="24"/>
        <v>+91-8817485156</v>
      </c>
      <c r="J1544">
        <f>91-8817485247</f>
        <v>-8817485156</v>
      </c>
      <c r="K1544" t="s">
        <v>109</v>
      </c>
      <c r="L1544" t="s">
        <v>46</v>
      </c>
      <c r="M1544">
        <v>542782</v>
      </c>
      <c r="N1544" s="1">
        <v>45167</v>
      </c>
      <c r="O1544" t="s">
        <v>28</v>
      </c>
      <c r="P1544">
        <v>4</v>
      </c>
      <c r="Q1544">
        <v>71227.149999999994</v>
      </c>
    </row>
    <row r="1545" spans="1:17" x14ac:dyDescent="0.3">
      <c r="A1545" t="s">
        <v>3825</v>
      </c>
      <c r="B1545" t="s">
        <v>3826</v>
      </c>
      <c r="C1545" s="2" t="str">
        <f>PROPER(TRIM(Table1[[#This Row],[Gender]]))</f>
        <v>Male</v>
      </c>
      <c r="D1545" t="s">
        <v>16</v>
      </c>
      <c r="E1545">
        <v>28</v>
      </c>
      <c r="F1545" t="s">
        <v>31</v>
      </c>
      <c r="G1545" s="1">
        <v>35438</v>
      </c>
      <c r="H1545" t="s">
        <v>3827</v>
      </c>
      <c r="I1545" s="2" t="str">
        <f t="shared" si="24"/>
        <v>+91-9941788141</v>
      </c>
      <c r="J1545">
        <f>91-9941788232</f>
        <v>-9941788141</v>
      </c>
      <c r="K1545" t="s">
        <v>80</v>
      </c>
      <c r="L1545" t="s">
        <v>20</v>
      </c>
      <c r="M1545">
        <v>138003</v>
      </c>
      <c r="N1545" s="1">
        <v>45080</v>
      </c>
      <c r="O1545" t="s">
        <v>28</v>
      </c>
      <c r="P1545">
        <v>6</v>
      </c>
      <c r="Q1545">
        <v>58549.89</v>
      </c>
    </row>
    <row r="1546" spans="1:17" x14ac:dyDescent="0.3">
      <c r="A1546" t="s">
        <v>3828</v>
      </c>
      <c r="B1546" t="s">
        <v>3829</v>
      </c>
      <c r="C1546" s="2" t="str">
        <f>PROPER(TRIM(Table1[[#This Row],[Gender]]))</f>
        <v>Female</v>
      </c>
      <c r="D1546" t="s">
        <v>43</v>
      </c>
      <c r="E1546">
        <v>23</v>
      </c>
      <c r="F1546" t="s">
        <v>49</v>
      </c>
      <c r="G1546" s="1">
        <v>37263</v>
      </c>
      <c r="H1546" t="s">
        <v>3830</v>
      </c>
      <c r="I1546" s="2" t="str">
        <f t="shared" si="24"/>
        <v>+91-8150038912</v>
      </c>
      <c r="J1546">
        <f>91-8150039003</f>
        <v>-8150038912</v>
      </c>
      <c r="K1546" t="s">
        <v>161</v>
      </c>
      <c r="L1546" t="s">
        <v>102</v>
      </c>
      <c r="M1546">
        <v>752136</v>
      </c>
      <c r="N1546" s="1">
        <v>45086</v>
      </c>
      <c r="O1546" t="s">
        <v>28</v>
      </c>
      <c r="P1546">
        <v>6</v>
      </c>
      <c r="Q1546">
        <v>239127.49</v>
      </c>
    </row>
    <row r="1547" spans="1:17" x14ac:dyDescent="0.3">
      <c r="A1547" t="s">
        <v>3831</v>
      </c>
      <c r="B1547" t="s">
        <v>1225</v>
      </c>
      <c r="C1547" s="2" t="str">
        <f>PROPER(TRIM(Table1[[#This Row],[Gender]]))</f>
        <v>Female</v>
      </c>
      <c r="D1547" t="s">
        <v>43</v>
      </c>
      <c r="E1547">
        <v>19</v>
      </c>
      <c r="F1547" t="s">
        <v>49</v>
      </c>
      <c r="G1547" s="1">
        <v>38723</v>
      </c>
      <c r="H1547" t="s">
        <v>3832</v>
      </c>
      <c r="I1547" s="2" t="str">
        <f t="shared" si="24"/>
        <v>+91-7851376653</v>
      </c>
      <c r="J1547">
        <f>91-7851376744</f>
        <v>-7851376653</v>
      </c>
      <c r="K1547" t="s">
        <v>94</v>
      </c>
      <c r="L1547" t="s">
        <v>20</v>
      </c>
      <c r="M1547">
        <v>180753</v>
      </c>
      <c r="N1547" s="1">
        <v>45198</v>
      </c>
      <c r="O1547" t="s">
        <v>28</v>
      </c>
      <c r="P1547">
        <v>6</v>
      </c>
      <c r="Q1547">
        <v>87968.49</v>
      </c>
    </row>
    <row r="1548" spans="1:17" x14ac:dyDescent="0.3">
      <c r="A1548" t="s">
        <v>3833</v>
      </c>
      <c r="B1548" t="s">
        <v>3500</v>
      </c>
      <c r="C1548" s="2" t="str">
        <f>PROPER(TRIM(Table1[[#This Row],[Gender]]))</f>
        <v>Female</v>
      </c>
      <c r="D1548" t="s">
        <v>43</v>
      </c>
      <c r="E1548">
        <v>19</v>
      </c>
      <c r="F1548" t="s">
        <v>49</v>
      </c>
      <c r="G1548" s="1">
        <v>38723</v>
      </c>
      <c r="H1548" t="s">
        <v>3834</v>
      </c>
      <c r="I1548" s="2" t="str">
        <f t="shared" si="24"/>
        <v>+91-7826706987</v>
      </c>
      <c r="J1548">
        <f>91-7826707078</f>
        <v>-7826706987</v>
      </c>
      <c r="K1548" t="s">
        <v>249</v>
      </c>
      <c r="L1548" t="s">
        <v>34</v>
      </c>
      <c r="M1548">
        <v>461021</v>
      </c>
      <c r="N1548" s="1">
        <v>45091</v>
      </c>
      <c r="O1548" t="s">
        <v>28</v>
      </c>
      <c r="P1548">
        <v>3</v>
      </c>
      <c r="Q1548">
        <v>132496.82</v>
      </c>
    </row>
    <row r="1549" spans="1:17" x14ac:dyDescent="0.3">
      <c r="A1549" t="s">
        <v>3835</v>
      </c>
      <c r="B1549" t="s">
        <v>3836</v>
      </c>
      <c r="C1549" s="2" t="str">
        <f>PROPER(TRIM(Table1[[#This Row],[Gender]]))</f>
        <v>Male</v>
      </c>
      <c r="D1549" t="s">
        <v>16</v>
      </c>
      <c r="E1549">
        <v>27</v>
      </c>
      <c r="F1549" t="s">
        <v>31</v>
      </c>
      <c r="G1549" s="1">
        <v>35803</v>
      </c>
      <c r="H1549" t="s">
        <v>3837</v>
      </c>
      <c r="I1549" s="2" t="str">
        <f t="shared" si="24"/>
        <v>+91-7491372941</v>
      </c>
      <c r="J1549">
        <f>91-7491373032</f>
        <v>-7491372941</v>
      </c>
      <c r="K1549" t="s">
        <v>51</v>
      </c>
      <c r="L1549" t="s">
        <v>52</v>
      </c>
      <c r="M1549">
        <v>377644</v>
      </c>
      <c r="N1549" s="1">
        <v>45182</v>
      </c>
      <c r="O1549" t="s">
        <v>28</v>
      </c>
      <c r="P1549">
        <v>5</v>
      </c>
      <c r="Q1549">
        <v>150140.12</v>
      </c>
    </row>
    <row r="1550" spans="1:17" x14ac:dyDescent="0.3">
      <c r="A1550" t="s">
        <v>3838</v>
      </c>
      <c r="B1550" t="s">
        <v>3839</v>
      </c>
      <c r="C1550" s="2" t="str">
        <f>PROPER(TRIM(Table1[[#This Row],[Gender]]))</f>
        <v>Male</v>
      </c>
      <c r="D1550" t="s">
        <v>16</v>
      </c>
      <c r="E1550">
        <v>45</v>
      </c>
      <c r="F1550" t="s">
        <v>38</v>
      </c>
      <c r="G1550" s="1">
        <v>29233</v>
      </c>
      <c r="H1550" t="s">
        <v>3840</v>
      </c>
      <c r="I1550" s="2" t="str">
        <f t="shared" si="24"/>
        <v>+91-7510919244</v>
      </c>
      <c r="J1550">
        <f>91-7510919335</f>
        <v>-7510919244</v>
      </c>
      <c r="K1550" t="s">
        <v>72</v>
      </c>
      <c r="L1550" t="s">
        <v>34</v>
      </c>
      <c r="M1550">
        <v>133329</v>
      </c>
      <c r="N1550" s="1">
        <v>45286</v>
      </c>
      <c r="O1550" t="s">
        <v>28</v>
      </c>
      <c r="P1550">
        <v>5</v>
      </c>
      <c r="Q1550">
        <v>239962.94</v>
      </c>
    </row>
    <row r="1551" spans="1:17" x14ac:dyDescent="0.3">
      <c r="A1551" t="s">
        <v>3841</v>
      </c>
      <c r="B1551" t="s">
        <v>3842</v>
      </c>
      <c r="C1551" s="2" t="str">
        <f>PROPER(TRIM(Table1[[#This Row],[Gender]]))</f>
        <v>Female</v>
      </c>
      <c r="D1551" t="s">
        <v>43</v>
      </c>
      <c r="E1551">
        <v>25</v>
      </c>
      <c r="F1551" t="s">
        <v>49</v>
      </c>
      <c r="G1551" s="1">
        <v>36533</v>
      </c>
      <c r="H1551" t="s">
        <v>3843</v>
      </c>
      <c r="I1551" s="2" t="str">
        <f t="shared" si="24"/>
        <v>+91-8149784393</v>
      </c>
      <c r="J1551">
        <f>91-8149784484</f>
        <v>-8149784393</v>
      </c>
      <c r="K1551" t="s">
        <v>84</v>
      </c>
      <c r="L1551" t="s">
        <v>85</v>
      </c>
      <c r="M1551">
        <v>634184</v>
      </c>
      <c r="N1551" s="1">
        <v>45426</v>
      </c>
      <c r="O1551" t="s">
        <v>28</v>
      </c>
      <c r="P1551">
        <v>4</v>
      </c>
      <c r="Q1551">
        <v>127856.98</v>
      </c>
    </row>
    <row r="1552" spans="1:17" x14ac:dyDescent="0.3">
      <c r="A1552" t="s">
        <v>3844</v>
      </c>
      <c r="B1552" t="s">
        <v>3845</v>
      </c>
      <c r="C1552" s="2" t="str">
        <f>PROPER(TRIM(Table1[[#This Row],[Gender]]))</f>
        <v>Female</v>
      </c>
      <c r="D1552" t="s">
        <v>43</v>
      </c>
      <c r="E1552">
        <v>24</v>
      </c>
      <c r="F1552" t="s">
        <v>49</v>
      </c>
      <c r="G1552" s="1">
        <v>36898</v>
      </c>
      <c r="H1552" t="s">
        <v>3846</v>
      </c>
      <c r="I1552" s="2" t="str">
        <f t="shared" si="24"/>
        <v>+91-8603612809</v>
      </c>
      <c r="J1552">
        <f>91-8603612900</f>
        <v>-8603612809</v>
      </c>
      <c r="K1552" t="s">
        <v>89</v>
      </c>
      <c r="L1552" t="s">
        <v>90</v>
      </c>
      <c r="M1552">
        <v>860850</v>
      </c>
      <c r="N1552" s="1">
        <v>45129</v>
      </c>
      <c r="O1552" t="s">
        <v>28</v>
      </c>
      <c r="P1552">
        <v>6</v>
      </c>
      <c r="Q1552">
        <v>323679.05</v>
      </c>
    </row>
    <row r="1553" spans="1:17" x14ac:dyDescent="0.3">
      <c r="A1553" t="s">
        <v>3847</v>
      </c>
      <c r="B1553" t="s">
        <v>534</v>
      </c>
      <c r="C1553" s="2" t="str">
        <f>PROPER(TRIM(Table1[[#This Row],[Gender]]))</f>
        <v>Female</v>
      </c>
      <c r="D1553" t="s">
        <v>43</v>
      </c>
      <c r="E1553">
        <v>34</v>
      </c>
      <c r="F1553" t="s">
        <v>31</v>
      </c>
      <c r="G1553" s="1">
        <v>33248</v>
      </c>
      <c r="H1553" t="s">
        <v>3848</v>
      </c>
      <c r="I1553" s="2" t="str">
        <f t="shared" si="24"/>
        <v>+91-9594646427</v>
      </c>
      <c r="J1553">
        <f>91-9594646518</f>
        <v>-9594646427</v>
      </c>
      <c r="K1553" t="s">
        <v>161</v>
      </c>
      <c r="L1553" t="s">
        <v>102</v>
      </c>
      <c r="M1553">
        <v>597784</v>
      </c>
      <c r="N1553" s="1">
        <v>45230</v>
      </c>
      <c r="O1553" t="s">
        <v>28</v>
      </c>
      <c r="P1553">
        <v>3</v>
      </c>
      <c r="Q1553">
        <v>84107.46</v>
      </c>
    </row>
    <row r="1554" spans="1:17" x14ac:dyDescent="0.3">
      <c r="A1554" t="s">
        <v>3849</v>
      </c>
      <c r="B1554" t="s">
        <v>853</v>
      </c>
      <c r="C1554" s="2" t="str">
        <f>PROPER(TRIM(Table1[[#This Row],[Gender]]))</f>
        <v>Male</v>
      </c>
      <c r="D1554" t="s">
        <v>16</v>
      </c>
      <c r="E1554">
        <v>65</v>
      </c>
      <c r="F1554" t="s">
        <v>58</v>
      </c>
      <c r="G1554" s="1">
        <v>21933</v>
      </c>
      <c r="H1554" t="s">
        <v>3850</v>
      </c>
      <c r="I1554" s="2" t="str">
        <f t="shared" si="24"/>
        <v>+91-7937493173</v>
      </c>
      <c r="J1554">
        <f>91-7937493264</f>
        <v>-7937493173</v>
      </c>
      <c r="K1554" t="s">
        <v>273</v>
      </c>
      <c r="L1554" t="s">
        <v>46</v>
      </c>
      <c r="M1554">
        <v>515597</v>
      </c>
      <c r="N1554" s="1">
        <v>45241</v>
      </c>
      <c r="O1554" t="s">
        <v>28</v>
      </c>
      <c r="P1554">
        <v>7</v>
      </c>
      <c r="Q1554">
        <v>84953.79</v>
      </c>
    </row>
    <row r="1555" spans="1:17" x14ac:dyDescent="0.3">
      <c r="A1555" t="s">
        <v>3851</v>
      </c>
      <c r="B1555" t="s">
        <v>729</v>
      </c>
      <c r="C1555" s="2" t="str">
        <f>PROPER(TRIM(Table1[[#This Row],[Gender]]))</f>
        <v>Male</v>
      </c>
      <c r="D1555" t="s">
        <v>16</v>
      </c>
      <c r="E1555">
        <v>45</v>
      </c>
      <c r="F1555" t="s">
        <v>38</v>
      </c>
      <c r="G1555" s="1">
        <v>29233</v>
      </c>
      <c r="H1555" t="s">
        <v>2480</v>
      </c>
      <c r="I1555" s="2" t="str">
        <f t="shared" si="24"/>
        <v>+91-9477464746</v>
      </c>
      <c r="J1555">
        <f>91-9477464837</f>
        <v>-9477464746</v>
      </c>
      <c r="K1555" t="s">
        <v>33</v>
      </c>
      <c r="L1555" t="s">
        <v>34</v>
      </c>
      <c r="M1555">
        <v>334416</v>
      </c>
      <c r="N1555" s="1">
        <v>45346</v>
      </c>
      <c r="O1555" t="s">
        <v>28</v>
      </c>
      <c r="P1555">
        <v>7</v>
      </c>
      <c r="Q1555">
        <v>476066.32</v>
      </c>
    </row>
    <row r="1556" spans="1:17" x14ac:dyDescent="0.3">
      <c r="A1556" t="s">
        <v>3852</v>
      </c>
      <c r="B1556" t="s">
        <v>2221</v>
      </c>
      <c r="C1556" s="2" t="str">
        <f>PROPER(TRIM(Table1[[#This Row],[Gender]]))</f>
        <v>Male</v>
      </c>
      <c r="D1556" t="s">
        <v>16</v>
      </c>
      <c r="E1556">
        <v>47</v>
      </c>
      <c r="F1556" t="s">
        <v>17</v>
      </c>
      <c r="G1556" s="1">
        <v>28503</v>
      </c>
      <c r="H1556" t="s">
        <v>3853</v>
      </c>
      <c r="I1556" s="2" t="str">
        <f t="shared" si="24"/>
        <v>+91-9980200514</v>
      </c>
      <c r="J1556">
        <f>91-9980200605</f>
        <v>-9980200514</v>
      </c>
      <c r="K1556" t="s">
        <v>239</v>
      </c>
      <c r="L1556" t="s">
        <v>191</v>
      </c>
      <c r="M1556">
        <v>384410</v>
      </c>
      <c r="N1556" s="1">
        <v>45161</v>
      </c>
      <c r="O1556" t="s">
        <v>28</v>
      </c>
      <c r="P1556">
        <v>5</v>
      </c>
      <c r="Q1556">
        <v>57427.74</v>
      </c>
    </row>
    <row r="1557" spans="1:17" x14ac:dyDescent="0.3">
      <c r="A1557" t="s">
        <v>3854</v>
      </c>
      <c r="B1557" t="s">
        <v>1405</v>
      </c>
      <c r="C1557" s="2" t="str">
        <f>PROPER(TRIM(Table1[[#This Row],[Gender]]))</f>
        <v>Male</v>
      </c>
      <c r="D1557" t="s">
        <v>16</v>
      </c>
      <c r="E1557">
        <v>24</v>
      </c>
      <c r="F1557" t="s">
        <v>49</v>
      </c>
      <c r="G1557" s="1">
        <v>36898</v>
      </c>
      <c r="H1557" t="s">
        <v>3855</v>
      </c>
      <c r="I1557" s="2" t="str">
        <f t="shared" si="24"/>
        <v>+91-7610144225</v>
      </c>
      <c r="J1557">
        <f>91-7610144316</f>
        <v>-7610144225</v>
      </c>
      <c r="K1557" t="s">
        <v>273</v>
      </c>
      <c r="L1557" t="s">
        <v>46</v>
      </c>
      <c r="M1557">
        <v>790409</v>
      </c>
      <c r="N1557" s="1">
        <v>45440</v>
      </c>
      <c r="O1557" t="s">
        <v>21</v>
      </c>
      <c r="P1557">
        <v>3</v>
      </c>
      <c r="Q1557">
        <v>47243.67</v>
      </c>
    </row>
    <row r="1558" spans="1:17" x14ac:dyDescent="0.3">
      <c r="A1558" t="s">
        <v>3856</v>
      </c>
      <c r="B1558" t="s">
        <v>3103</v>
      </c>
      <c r="C1558" s="2" t="str">
        <f>PROPER(TRIM(Table1[[#This Row],[Gender]]))</f>
        <v>Male</v>
      </c>
      <c r="D1558" t="s">
        <v>16</v>
      </c>
      <c r="E1558">
        <v>58</v>
      </c>
      <c r="F1558" t="s">
        <v>58</v>
      </c>
      <c r="G1558" s="1">
        <v>24488</v>
      </c>
      <c r="H1558" t="s">
        <v>3857</v>
      </c>
      <c r="I1558" s="2" t="str">
        <f t="shared" si="24"/>
        <v>+91-9944514051</v>
      </c>
      <c r="J1558">
        <f>91-9944514142</f>
        <v>-9944514051</v>
      </c>
      <c r="K1558" t="s">
        <v>117</v>
      </c>
      <c r="L1558" t="s">
        <v>52</v>
      </c>
      <c r="M1558">
        <v>960803</v>
      </c>
      <c r="N1558" s="1">
        <v>45341</v>
      </c>
      <c r="O1558" t="s">
        <v>35</v>
      </c>
      <c r="P1558">
        <v>1</v>
      </c>
      <c r="Q1558">
        <v>305.22000000000003</v>
      </c>
    </row>
    <row r="1559" spans="1:17" x14ac:dyDescent="0.3">
      <c r="A1559" t="s">
        <v>3858</v>
      </c>
      <c r="B1559" t="s">
        <v>3859</v>
      </c>
      <c r="C1559" s="2" t="str">
        <f>PROPER(TRIM(Table1[[#This Row],[Gender]]))</f>
        <v>Male</v>
      </c>
      <c r="D1559" t="s">
        <v>16</v>
      </c>
      <c r="E1559">
        <v>30</v>
      </c>
      <c r="F1559" t="s">
        <v>31</v>
      </c>
      <c r="G1559" s="1">
        <v>34708</v>
      </c>
      <c r="H1559" t="s">
        <v>3860</v>
      </c>
      <c r="I1559" s="2" t="str">
        <f t="shared" si="24"/>
        <v>+91-7249720938</v>
      </c>
      <c r="J1559">
        <f>91-7249721029</f>
        <v>-7249720938</v>
      </c>
      <c r="K1559" t="s">
        <v>45</v>
      </c>
      <c r="L1559" t="s">
        <v>46</v>
      </c>
      <c r="M1559">
        <v>740201</v>
      </c>
      <c r="N1559" s="1">
        <v>45147</v>
      </c>
      <c r="O1559" t="s">
        <v>28</v>
      </c>
      <c r="P1559">
        <v>7</v>
      </c>
      <c r="Q1559">
        <v>86276.73</v>
      </c>
    </row>
    <row r="1560" spans="1:17" x14ac:dyDescent="0.3">
      <c r="A1560" t="s">
        <v>3861</v>
      </c>
      <c r="B1560" t="s">
        <v>3862</v>
      </c>
      <c r="C1560" s="2" t="str">
        <f>PROPER(TRIM(Table1[[#This Row],[Gender]]))</f>
        <v>Male</v>
      </c>
      <c r="D1560" t="s">
        <v>16</v>
      </c>
      <c r="E1560">
        <v>29</v>
      </c>
      <c r="F1560" t="s">
        <v>31</v>
      </c>
      <c r="G1560" s="1">
        <v>35073</v>
      </c>
      <c r="H1560" t="s">
        <v>3863</v>
      </c>
      <c r="I1560" s="2" t="str">
        <f t="shared" si="24"/>
        <v>+91-9702702487</v>
      </c>
      <c r="J1560">
        <f>91-9702702578</f>
        <v>-9702702487</v>
      </c>
      <c r="K1560" t="s">
        <v>89</v>
      </c>
      <c r="L1560" t="s">
        <v>90</v>
      </c>
      <c r="M1560">
        <v>600421</v>
      </c>
      <c r="N1560" s="1">
        <v>45384</v>
      </c>
      <c r="O1560" t="s">
        <v>28</v>
      </c>
      <c r="P1560">
        <v>12</v>
      </c>
      <c r="Q1560">
        <v>274004.71999999997</v>
      </c>
    </row>
    <row r="1561" spans="1:17" x14ac:dyDescent="0.3">
      <c r="A1561" t="s">
        <v>3864</v>
      </c>
      <c r="B1561" t="s">
        <v>42</v>
      </c>
      <c r="C1561" s="2" t="str">
        <f>PROPER(TRIM(Table1[[#This Row],[Gender]]))</f>
        <v>Female</v>
      </c>
      <c r="D1561" t="s">
        <v>43</v>
      </c>
      <c r="E1561">
        <v>27</v>
      </c>
      <c r="F1561" t="s">
        <v>31</v>
      </c>
      <c r="G1561" s="1">
        <v>35803</v>
      </c>
      <c r="H1561" t="s">
        <v>3865</v>
      </c>
      <c r="I1561" s="2" t="str">
        <f t="shared" si="24"/>
        <v>+91-9127851458</v>
      </c>
      <c r="J1561">
        <f>91-9127851549</f>
        <v>-9127851458</v>
      </c>
      <c r="K1561" t="s">
        <v>33</v>
      </c>
      <c r="L1561" t="s">
        <v>34</v>
      </c>
      <c r="M1561">
        <v>773433</v>
      </c>
      <c r="N1561" s="1">
        <v>45156</v>
      </c>
      <c r="O1561" t="s">
        <v>28</v>
      </c>
      <c r="P1561">
        <v>5</v>
      </c>
      <c r="Q1561">
        <v>147102.26</v>
      </c>
    </row>
    <row r="1562" spans="1:17" x14ac:dyDescent="0.3">
      <c r="A1562" t="s">
        <v>3866</v>
      </c>
      <c r="B1562" t="s">
        <v>1040</v>
      </c>
      <c r="C1562" s="2" t="str">
        <f>PROPER(TRIM(Table1[[#This Row],[Gender]]))</f>
        <v>Male</v>
      </c>
      <c r="D1562" t="s">
        <v>16</v>
      </c>
      <c r="E1562">
        <v>39</v>
      </c>
      <c r="F1562" t="s">
        <v>38</v>
      </c>
      <c r="G1562" s="1">
        <v>31423</v>
      </c>
      <c r="H1562" t="s">
        <v>3867</v>
      </c>
      <c r="I1562" s="2" t="str">
        <f t="shared" si="24"/>
        <v>+91-9053533088</v>
      </c>
      <c r="J1562">
        <f>91-9053533179</f>
        <v>-9053533088</v>
      </c>
      <c r="K1562" t="s">
        <v>101</v>
      </c>
      <c r="L1562" t="s">
        <v>102</v>
      </c>
      <c r="M1562">
        <v>391559</v>
      </c>
      <c r="N1562" s="1">
        <v>45387</v>
      </c>
      <c r="O1562" t="s">
        <v>28</v>
      </c>
      <c r="P1562">
        <v>5</v>
      </c>
      <c r="Q1562">
        <v>382706.43</v>
      </c>
    </row>
    <row r="1563" spans="1:17" x14ac:dyDescent="0.3">
      <c r="A1563" t="s">
        <v>3868</v>
      </c>
      <c r="B1563" t="s">
        <v>1395</v>
      </c>
      <c r="C1563" s="2" t="str">
        <f>PROPER(TRIM(Table1[[#This Row],[Gender]]))</f>
        <v>Male</v>
      </c>
      <c r="D1563" t="s">
        <v>16</v>
      </c>
      <c r="E1563">
        <v>44</v>
      </c>
      <c r="F1563" t="s">
        <v>38</v>
      </c>
      <c r="G1563" s="1">
        <v>29598</v>
      </c>
      <c r="H1563" t="s">
        <v>3869</v>
      </c>
      <c r="I1563" s="2" t="str">
        <f t="shared" si="24"/>
        <v>+91-7265945631</v>
      </c>
      <c r="J1563">
        <f>91-7265945722</f>
        <v>-7265945631</v>
      </c>
      <c r="K1563" t="s">
        <v>109</v>
      </c>
      <c r="L1563" t="s">
        <v>46</v>
      </c>
      <c r="M1563">
        <v>982435</v>
      </c>
      <c r="N1563" s="1">
        <v>45145</v>
      </c>
      <c r="O1563" t="s">
        <v>28</v>
      </c>
      <c r="P1563">
        <v>9</v>
      </c>
      <c r="Q1563">
        <v>143065.06</v>
      </c>
    </row>
    <row r="1564" spans="1:17" x14ac:dyDescent="0.3">
      <c r="A1564" t="s">
        <v>3870</v>
      </c>
      <c r="B1564" t="s">
        <v>1932</v>
      </c>
      <c r="C1564" s="2" t="str">
        <f>PROPER(TRIM(Table1[[#This Row],[Gender]]))</f>
        <v>Female</v>
      </c>
      <c r="D1564" t="s">
        <v>43</v>
      </c>
      <c r="E1564">
        <v>33</v>
      </c>
      <c r="F1564" t="s">
        <v>31</v>
      </c>
      <c r="G1564" s="1">
        <v>33613</v>
      </c>
      <c r="H1564" t="s">
        <v>3871</v>
      </c>
      <c r="I1564" s="2" t="str">
        <f t="shared" si="24"/>
        <v>+91-9265397039</v>
      </c>
      <c r="J1564">
        <f>91-9265397130</f>
        <v>-9265397039</v>
      </c>
      <c r="K1564" t="s">
        <v>33</v>
      </c>
      <c r="L1564" t="s">
        <v>34</v>
      </c>
      <c r="M1564">
        <v>607776</v>
      </c>
      <c r="N1564" s="1">
        <v>45335</v>
      </c>
      <c r="O1564" t="s">
        <v>28</v>
      </c>
      <c r="P1564">
        <v>6</v>
      </c>
      <c r="Q1564">
        <v>58048.03</v>
      </c>
    </row>
    <row r="1565" spans="1:17" x14ac:dyDescent="0.3">
      <c r="A1565" t="s">
        <v>3872</v>
      </c>
      <c r="B1565" t="s">
        <v>658</v>
      </c>
      <c r="C1565" s="2" t="str">
        <f>PROPER(TRIM(Table1[[#This Row],[Gender]]))</f>
        <v>Male</v>
      </c>
      <c r="D1565" t="s">
        <v>16</v>
      </c>
      <c r="E1565">
        <v>20</v>
      </c>
      <c r="F1565" t="s">
        <v>49</v>
      </c>
      <c r="G1565" s="1">
        <v>38358</v>
      </c>
      <c r="H1565" t="s">
        <v>659</v>
      </c>
      <c r="I1565" s="2" t="str">
        <f t="shared" si="24"/>
        <v>+91-7845747891</v>
      </c>
      <c r="J1565">
        <f>91-7845747982</f>
        <v>-7845747891</v>
      </c>
      <c r="K1565" t="s">
        <v>94</v>
      </c>
      <c r="L1565" t="s">
        <v>20</v>
      </c>
      <c r="M1565">
        <v>111204</v>
      </c>
      <c r="N1565" s="1">
        <v>45336</v>
      </c>
      <c r="O1565" t="s">
        <v>28</v>
      </c>
      <c r="P1565">
        <v>2</v>
      </c>
      <c r="Q1565">
        <v>143907.4</v>
      </c>
    </row>
    <row r="1566" spans="1:17" x14ac:dyDescent="0.3">
      <c r="A1566" t="s">
        <v>3873</v>
      </c>
      <c r="B1566" t="s">
        <v>321</v>
      </c>
      <c r="C1566" s="2" t="str">
        <f>PROPER(TRIM(Table1[[#This Row],[Gender]]))</f>
        <v>Female</v>
      </c>
      <c r="D1566" t="s">
        <v>43</v>
      </c>
      <c r="E1566">
        <v>19</v>
      </c>
      <c r="F1566" t="s">
        <v>49</v>
      </c>
      <c r="G1566" s="1">
        <v>38723</v>
      </c>
      <c r="H1566" t="s">
        <v>3874</v>
      </c>
      <c r="I1566" s="2" t="str">
        <f t="shared" si="24"/>
        <v>+91-9579379841</v>
      </c>
      <c r="J1566">
        <f>91-9579379932</f>
        <v>-9579379841</v>
      </c>
      <c r="K1566" t="s">
        <v>580</v>
      </c>
      <c r="L1566" t="s">
        <v>85</v>
      </c>
      <c r="M1566">
        <v>859781</v>
      </c>
      <c r="N1566" s="1">
        <v>45420</v>
      </c>
      <c r="O1566" t="s">
        <v>28</v>
      </c>
      <c r="P1566">
        <v>7</v>
      </c>
      <c r="Q1566">
        <v>496623.37</v>
      </c>
    </row>
    <row r="1567" spans="1:17" x14ac:dyDescent="0.3">
      <c r="A1567" t="s">
        <v>3875</v>
      </c>
      <c r="B1567" t="s">
        <v>644</v>
      </c>
      <c r="C1567" s="2" t="str">
        <f>PROPER(TRIM(Table1[[#This Row],[Gender]]))</f>
        <v>Female</v>
      </c>
      <c r="D1567" t="s">
        <v>43</v>
      </c>
      <c r="E1567">
        <v>32</v>
      </c>
      <c r="F1567" t="s">
        <v>31</v>
      </c>
      <c r="G1567" s="1">
        <v>33978</v>
      </c>
      <c r="H1567" t="s">
        <v>3876</v>
      </c>
      <c r="I1567" s="2" t="str">
        <f t="shared" si="24"/>
        <v>+91-8564479879</v>
      </c>
      <c r="J1567">
        <f>91-8564479970</f>
        <v>-8564479879</v>
      </c>
      <c r="K1567" t="s">
        <v>147</v>
      </c>
      <c r="L1567" t="s">
        <v>143</v>
      </c>
      <c r="M1567">
        <v>461053</v>
      </c>
      <c r="N1567" s="1">
        <v>45145</v>
      </c>
      <c r="O1567" t="s">
        <v>28</v>
      </c>
      <c r="P1567">
        <v>6</v>
      </c>
      <c r="Q1567">
        <v>298567.96999999997</v>
      </c>
    </row>
    <row r="1568" spans="1:17" x14ac:dyDescent="0.3">
      <c r="A1568" t="s">
        <v>3877</v>
      </c>
      <c r="B1568" t="s">
        <v>932</v>
      </c>
      <c r="C1568" s="2" t="str">
        <f>PROPER(TRIM(Table1[[#This Row],[Gender]]))</f>
        <v>Female</v>
      </c>
      <c r="D1568" t="s">
        <v>43</v>
      </c>
      <c r="E1568">
        <v>63</v>
      </c>
      <c r="F1568" t="s">
        <v>58</v>
      </c>
      <c r="G1568" s="1">
        <v>22663</v>
      </c>
      <c r="H1568" t="s">
        <v>3878</v>
      </c>
      <c r="I1568" s="2" t="str">
        <f t="shared" si="24"/>
        <v>+91-9818026461</v>
      </c>
      <c r="J1568">
        <f>91-9818026552</f>
        <v>-9818026461</v>
      </c>
      <c r="K1568" t="s">
        <v>142</v>
      </c>
      <c r="L1568" t="s">
        <v>143</v>
      </c>
      <c r="M1568">
        <v>348778</v>
      </c>
      <c r="N1568" s="1">
        <v>45157</v>
      </c>
      <c r="O1568" t="s">
        <v>28</v>
      </c>
      <c r="P1568">
        <v>6</v>
      </c>
      <c r="Q1568">
        <v>73118.600000000006</v>
      </c>
    </row>
    <row r="1569" spans="1:17" x14ac:dyDescent="0.3">
      <c r="A1569" t="s">
        <v>3879</v>
      </c>
      <c r="B1569" t="s">
        <v>3648</v>
      </c>
      <c r="C1569" s="2" t="str">
        <f>PROPER(TRIM(Table1[[#This Row],[Gender]]))</f>
        <v>Male</v>
      </c>
      <c r="D1569" t="s">
        <v>16</v>
      </c>
      <c r="E1569">
        <v>25</v>
      </c>
      <c r="F1569" t="s">
        <v>49</v>
      </c>
      <c r="G1569" s="1">
        <v>36533</v>
      </c>
      <c r="H1569" t="s">
        <v>3880</v>
      </c>
      <c r="I1569" s="2" t="str">
        <f t="shared" si="24"/>
        <v>+91-8185593418</v>
      </c>
      <c r="J1569">
        <f>91-8185593509</f>
        <v>-8185593418</v>
      </c>
      <c r="K1569" t="s">
        <v>249</v>
      </c>
      <c r="L1569" t="s">
        <v>34</v>
      </c>
      <c r="M1569">
        <v>783274</v>
      </c>
      <c r="N1569" s="1">
        <v>45231</v>
      </c>
      <c r="O1569" t="s">
        <v>28</v>
      </c>
      <c r="P1569">
        <v>9</v>
      </c>
      <c r="Q1569">
        <v>104444.75</v>
      </c>
    </row>
    <row r="1570" spans="1:17" x14ac:dyDescent="0.3">
      <c r="A1570" t="s">
        <v>3881</v>
      </c>
      <c r="B1570" t="s">
        <v>1270</v>
      </c>
      <c r="C1570" s="2" t="str">
        <f>PROPER(TRIM(Table1[[#This Row],[Gender]]))</f>
        <v>Female</v>
      </c>
      <c r="D1570" t="s">
        <v>43</v>
      </c>
      <c r="E1570">
        <v>37</v>
      </c>
      <c r="F1570" t="s">
        <v>38</v>
      </c>
      <c r="G1570" s="1">
        <v>32153</v>
      </c>
      <c r="H1570" t="s">
        <v>3882</v>
      </c>
      <c r="I1570" s="2" t="str">
        <f t="shared" si="24"/>
        <v>+91-7025748883</v>
      </c>
      <c r="J1570">
        <f>91-7025748974</f>
        <v>-7025748883</v>
      </c>
      <c r="K1570" t="s">
        <v>84</v>
      </c>
      <c r="L1570" t="s">
        <v>85</v>
      </c>
      <c r="M1570">
        <v>297988</v>
      </c>
      <c r="N1570" s="1">
        <v>45308</v>
      </c>
      <c r="O1570" t="s">
        <v>28</v>
      </c>
      <c r="P1570">
        <v>5</v>
      </c>
      <c r="Q1570">
        <v>109015.17</v>
      </c>
    </row>
    <row r="1571" spans="1:17" x14ac:dyDescent="0.3">
      <c r="A1571" t="s">
        <v>3883</v>
      </c>
      <c r="B1571" t="s">
        <v>713</v>
      </c>
      <c r="C1571" s="2" t="str">
        <f>PROPER(TRIM(Table1[[#This Row],[Gender]]))</f>
        <v>Male</v>
      </c>
      <c r="D1571" t="s">
        <v>16</v>
      </c>
      <c r="E1571">
        <v>31</v>
      </c>
      <c r="F1571" t="s">
        <v>31</v>
      </c>
      <c r="G1571" s="1">
        <v>34343</v>
      </c>
      <c r="H1571" t="s">
        <v>3884</v>
      </c>
      <c r="I1571" s="2" t="str">
        <f t="shared" si="24"/>
        <v>+91-8854098843</v>
      </c>
      <c r="J1571">
        <f>91-8854098934</f>
        <v>-8854098843</v>
      </c>
      <c r="K1571" t="s">
        <v>80</v>
      </c>
      <c r="L1571" t="s">
        <v>20</v>
      </c>
      <c r="M1571">
        <v>285751</v>
      </c>
      <c r="N1571" s="1">
        <v>45419</v>
      </c>
      <c r="O1571" t="s">
        <v>28</v>
      </c>
      <c r="P1571">
        <v>7</v>
      </c>
      <c r="Q1571">
        <v>338351.78</v>
      </c>
    </row>
    <row r="1572" spans="1:17" x14ac:dyDescent="0.3">
      <c r="A1572" t="s">
        <v>3885</v>
      </c>
      <c r="B1572" t="s">
        <v>3267</v>
      </c>
      <c r="C1572" s="2" t="str">
        <f>PROPER(TRIM(Table1[[#This Row],[Gender]]))</f>
        <v>Male</v>
      </c>
      <c r="D1572" t="s">
        <v>16</v>
      </c>
      <c r="E1572">
        <v>46</v>
      </c>
      <c r="F1572" t="s">
        <v>17</v>
      </c>
      <c r="G1572" s="1">
        <v>28868</v>
      </c>
      <c r="H1572" t="s">
        <v>3886</v>
      </c>
      <c r="I1572" s="2" t="str">
        <f t="shared" si="24"/>
        <v>+91-8060855274</v>
      </c>
      <c r="J1572">
        <f>91-8060855365</f>
        <v>-8060855274</v>
      </c>
      <c r="K1572" t="s">
        <v>68</v>
      </c>
      <c r="L1572" t="s">
        <v>52</v>
      </c>
      <c r="M1572">
        <v>128340</v>
      </c>
      <c r="N1572" s="1">
        <v>45363</v>
      </c>
      <c r="O1572" t="s">
        <v>21</v>
      </c>
      <c r="P1572">
        <v>7</v>
      </c>
      <c r="Q1572">
        <v>45598.65</v>
      </c>
    </row>
    <row r="1573" spans="1:17" x14ac:dyDescent="0.3">
      <c r="A1573" t="s">
        <v>3887</v>
      </c>
      <c r="B1573" t="s">
        <v>295</v>
      </c>
      <c r="C1573" s="2" t="str">
        <f>PROPER(TRIM(Table1[[#This Row],[Gender]]))</f>
        <v>Male</v>
      </c>
      <c r="D1573" t="s">
        <v>16</v>
      </c>
      <c r="E1573">
        <v>36</v>
      </c>
      <c r="F1573" t="s">
        <v>38</v>
      </c>
      <c r="G1573" s="1">
        <v>32518</v>
      </c>
      <c r="H1573" t="s">
        <v>3888</v>
      </c>
      <c r="I1573" s="2" t="str">
        <f t="shared" si="24"/>
        <v>+91-8385758157</v>
      </c>
      <c r="J1573">
        <f>91-8385758248</f>
        <v>-8385758157</v>
      </c>
      <c r="K1573" t="s">
        <v>142</v>
      </c>
      <c r="L1573" t="s">
        <v>143</v>
      </c>
      <c r="M1573">
        <v>169157</v>
      </c>
      <c r="N1573" s="1">
        <v>45328</v>
      </c>
      <c r="O1573" t="s">
        <v>28</v>
      </c>
      <c r="P1573">
        <v>7</v>
      </c>
      <c r="Q1573">
        <v>230911.85</v>
      </c>
    </row>
    <row r="1574" spans="1:17" x14ac:dyDescent="0.3">
      <c r="A1574" t="s">
        <v>3889</v>
      </c>
      <c r="B1574" t="s">
        <v>1846</v>
      </c>
      <c r="C1574" s="2" t="str">
        <f>PROPER(TRIM(Table1[[#This Row],[Gender]]))</f>
        <v>Male</v>
      </c>
      <c r="D1574" t="s">
        <v>16</v>
      </c>
      <c r="E1574">
        <v>55</v>
      </c>
      <c r="F1574" t="s">
        <v>17</v>
      </c>
      <c r="G1574" s="1">
        <v>25583</v>
      </c>
      <c r="H1574" t="s">
        <v>3890</v>
      </c>
      <c r="I1574" s="2" t="str">
        <f t="shared" si="24"/>
        <v>+91-7418559156</v>
      </c>
      <c r="J1574">
        <f>91-7418559247</f>
        <v>-7418559156</v>
      </c>
      <c r="K1574" t="s">
        <v>580</v>
      </c>
      <c r="L1574" t="s">
        <v>85</v>
      </c>
      <c r="M1574">
        <v>281754</v>
      </c>
      <c r="N1574" s="1">
        <v>45118</v>
      </c>
      <c r="O1574" t="s">
        <v>28</v>
      </c>
      <c r="P1574">
        <v>5</v>
      </c>
      <c r="Q1574">
        <v>62196.69</v>
      </c>
    </row>
    <row r="1575" spans="1:17" x14ac:dyDescent="0.3">
      <c r="A1575" t="s">
        <v>3891</v>
      </c>
      <c r="B1575" t="s">
        <v>1728</v>
      </c>
      <c r="C1575" s="2" t="str">
        <f>PROPER(TRIM(Table1[[#This Row],[Gender]]))</f>
        <v>Male</v>
      </c>
      <c r="D1575" t="s">
        <v>16</v>
      </c>
      <c r="E1575">
        <v>28</v>
      </c>
      <c r="F1575" t="s">
        <v>31</v>
      </c>
      <c r="G1575" s="1">
        <v>35438</v>
      </c>
      <c r="H1575" t="s">
        <v>3892</v>
      </c>
      <c r="I1575" s="2" t="str">
        <f t="shared" si="24"/>
        <v>+91-8611636145</v>
      </c>
      <c r="J1575">
        <f>91-8611636236</f>
        <v>-8611636145</v>
      </c>
      <c r="K1575" t="s">
        <v>138</v>
      </c>
      <c r="L1575" t="s">
        <v>90</v>
      </c>
      <c r="M1575">
        <v>232298</v>
      </c>
      <c r="N1575" s="1">
        <v>45101</v>
      </c>
      <c r="O1575" t="s">
        <v>21</v>
      </c>
      <c r="P1575">
        <v>5</v>
      </c>
      <c r="Q1575">
        <v>36569.07</v>
      </c>
    </row>
    <row r="1576" spans="1:17" x14ac:dyDescent="0.3">
      <c r="A1576" t="s">
        <v>3893</v>
      </c>
      <c r="B1576" t="s">
        <v>1124</v>
      </c>
      <c r="C1576" s="2" t="str">
        <f>PROPER(TRIM(Table1[[#This Row],[Gender]]))</f>
        <v>Female</v>
      </c>
      <c r="D1576" t="s">
        <v>43</v>
      </c>
      <c r="E1576">
        <v>27</v>
      </c>
      <c r="F1576" t="s">
        <v>31</v>
      </c>
      <c r="G1576" s="1">
        <v>35803</v>
      </c>
      <c r="H1576" t="s">
        <v>3894</v>
      </c>
      <c r="I1576" s="2" t="str">
        <f t="shared" si="24"/>
        <v>+91-7124505457</v>
      </c>
      <c r="J1576">
        <f>91-7124505548</f>
        <v>-7124505457</v>
      </c>
      <c r="K1576" t="s">
        <v>202</v>
      </c>
      <c r="L1576" t="s">
        <v>191</v>
      </c>
      <c r="M1576">
        <v>170866</v>
      </c>
      <c r="N1576" s="1">
        <v>45159</v>
      </c>
      <c r="O1576" t="s">
        <v>21</v>
      </c>
      <c r="P1576">
        <v>2</v>
      </c>
      <c r="Q1576">
        <v>36620.269999999997</v>
      </c>
    </row>
    <row r="1577" spans="1:17" x14ac:dyDescent="0.3">
      <c r="A1577" t="s">
        <v>3895</v>
      </c>
      <c r="B1577" t="s">
        <v>2010</v>
      </c>
      <c r="C1577" s="2" t="str">
        <f>PROPER(TRIM(Table1[[#This Row],[Gender]]))</f>
        <v>Male</v>
      </c>
      <c r="D1577" t="s">
        <v>16</v>
      </c>
      <c r="E1577">
        <v>19</v>
      </c>
      <c r="F1577" t="s">
        <v>49</v>
      </c>
      <c r="G1577" s="1">
        <v>38723</v>
      </c>
      <c r="H1577" t="s">
        <v>3896</v>
      </c>
      <c r="I1577" s="2" t="str">
        <f t="shared" si="24"/>
        <v>+91-9673821212</v>
      </c>
      <c r="J1577">
        <f>91-9673821303</f>
        <v>-9673821212</v>
      </c>
      <c r="K1577" t="s">
        <v>165</v>
      </c>
      <c r="L1577" t="s">
        <v>52</v>
      </c>
      <c r="M1577">
        <v>420415</v>
      </c>
      <c r="N1577" s="1">
        <v>45128</v>
      </c>
      <c r="O1577" t="s">
        <v>28</v>
      </c>
      <c r="P1577">
        <v>7</v>
      </c>
      <c r="Q1577">
        <v>272330.14</v>
      </c>
    </row>
    <row r="1578" spans="1:17" x14ac:dyDescent="0.3">
      <c r="A1578" t="s">
        <v>3897</v>
      </c>
      <c r="B1578" t="s">
        <v>3898</v>
      </c>
      <c r="C1578" s="2" t="str">
        <f>PROPER(TRIM(Table1[[#This Row],[Gender]]))</f>
        <v>Male</v>
      </c>
      <c r="D1578" t="s">
        <v>16</v>
      </c>
      <c r="E1578">
        <v>18</v>
      </c>
      <c r="F1578" t="s">
        <v>49</v>
      </c>
      <c r="G1578" s="1">
        <v>39088</v>
      </c>
      <c r="H1578" t="s">
        <v>3899</v>
      </c>
      <c r="I1578" s="2" t="str">
        <f t="shared" si="24"/>
        <v>+91-9181169896</v>
      </c>
      <c r="J1578">
        <f>91-9181169987</f>
        <v>-9181169896</v>
      </c>
      <c r="K1578" t="s">
        <v>101</v>
      </c>
      <c r="L1578" t="s">
        <v>102</v>
      </c>
      <c r="M1578">
        <v>273384</v>
      </c>
      <c r="N1578" s="1">
        <v>45185</v>
      </c>
      <c r="O1578" t="s">
        <v>35</v>
      </c>
      <c r="P1578">
        <v>0</v>
      </c>
      <c r="Q1578">
        <v>0</v>
      </c>
    </row>
    <row r="1579" spans="1:17" x14ac:dyDescent="0.3">
      <c r="A1579" t="s">
        <v>3900</v>
      </c>
      <c r="B1579" t="s">
        <v>3901</v>
      </c>
      <c r="C1579" s="2" t="str">
        <f>PROPER(TRIM(Table1[[#This Row],[Gender]]))</f>
        <v>Male</v>
      </c>
      <c r="D1579" t="s">
        <v>16</v>
      </c>
      <c r="E1579">
        <v>47</v>
      </c>
      <c r="F1579" t="s">
        <v>17</v>
      </c>
      <c r="G1579" s="1">
        <v>28503</v>
      </c>
      <c r="H1579" t="s">
        <v>3902</v>
      </c>
      <c r="I1579" s="2" t="str">
        <f t="shared" si="24"/>
        <v>+91-8335343679</v>
      </c>
      <c r="J1579">
        <f>91-8335343770</f>
        <v>-8335343679</v>
      </c>
      <c r="K1579" t="s">
        <v>415</v>
      </c>
      <c r="L1579" t="s">
        <v>90</v>
      </c>
      <c r="M1579">
        <v>176837</v>
      </c>
      <c r="N1579" s="1">
        <v>45389</v>
      </c>
      <c r="O1579" t="s">
        <v>35</v>
      </c>
      <c r="P1579">
        <v>4</v>
      </c>
      <c r="Q1579">
        <v>17787.740000000002</v>
      </c>
    </row>
    <row r="1580" spans="1:17" x14ac:dyDescent="0.3">
      <c r="A1580" t="s">
        <v>3903</v>
      </c>
      <c r="B1580" t="s">
        <v>1161</v>
      </c>
      <c r="C1580" s="2" t="str">
        <f>PROPER(TRIM(Table1[[#This Row],[Gender]]))</f>
        <v>Male</v>
      </c>
      <c r="D1580" t="s">
        <v>16</v>
      </c>
      <c r="E1580">
        <v>35</v>
      </c>
      <c r="F1580" t="s">
        <v>31</v>
      </c>
      <c r="G1580" s="1">
        <v>32883</v>
      </c>
      <c r="H1580" t="s">
        <v>3904</v>
      </c>
      <c r="I1580" s="2" t="str">
        <f t="shared" si="24"/>
        <v>+91-7391635280</v>
      </c>
      <c r="J1580">
        <f>91-7391635371</f>
        <v>-7391635280</v>
      </c>
      <c r="K1580" t="s">
        <v>80</v>
      </c>
      <c r="L1580" t="s">
        <v>20</v>
      </c>
      <c r="M1580">
        <v>684450</v>
      </c>
      <c r="N1580" s="1">
        <v>45109</v>
      </c>
      <c r="O1580" t="s">
        <v>28</v>
      </c>
      <c r="P1580">
        <v>6</v>
      </c>
      <c r="Q1580">
        <v>95652.27</v>
      </c>
    </row>
    <row r="1581" spans="1:17" x14ac:dyDescent="0.3">
      <c r="A1581" t="s">
        <v>3905</v>
      </c>
      <c r="B1581" t="s">
        <v>2726</v>
      </c>
      <c r="C1581" s="2" t="str">
        <f>PROPER(TRIM(Table1[[#This Row],[Gender]]))</f>
        <v>Male</v>
      </c>
      <c r="D1581" t="s">
        <v>16</v>
      </c>
      <c r="E1581">
        <v>39</v>
      </c>
      <c r="F1581" t="s">
        <v>38</v>
      </c>
      <c r="G1581" s="1">
        <v>31423</v>
      </c>
      <c r="H1581" t="s">
        <v>3906</v>
      </c>
      <c r="I1581" s="2" t="str">
        <f t="shared" si="24"/>
        <v>+91-9734238841</v>
      </c>
      <c r="J1581">
        <f>91-9734238932</f>
        <v>-9734238841</v>
      </c>
      <c r="K1581" t="s">
        <v>72</v>
      </c>
      <c r="L1581" t="s">
        <v>34</v>
      </c>
      <c r="M1581">
        <v>499824</v>
      </c>
      <c r="N1581" s="1">
        <v>45157</v>
      </c>
      <c r="O1581" t="s">
        <v>28</v>
      </c>
      <c r="P1581">
        <v>4</v>
      </c>
      <c r="Q1581">
        <v>282388.64</v>
      </c>
    </row>
    <row r="1582" spans="1:17" x14ac:dyDescent="0.3">
      <c r="A1582" t="s">
        <v>3907</v>
      </c>
      <c r="B1582" t="s">
        <v>2473</v>
      </c>
      <c r="C1582" s="2" t="str">
        <f>PROPER(TRIM(Table1[[#This Row],[Gender]]))</f>
        <v>Female</v>
      </c>
      <c r="D1582" t="s">
        <v>43</v>
      </c>
      <c r="E1582">
        <v>21</v>
      </c>
      <c r="F1582" t="s">
        <v>49</v>
      </c>
      <c r="G1582" s="1">
        <v>37993</v>
      </c>
      <c r="H1582" t="s">
        <v>3908</v>
      </c>
      <c r="I1582" s="2" t="str">
        <f t="shared" si="24"/>
        <v>+91-8081628091</v>
      </c>
      <c r="J1582">
        <f>91-8081628182</f>
        <v>-8081628091</v>
      </c>
      <c r="K1582" t="s">
        <v>64</v>
      </c>
      <c r="L1582" t="s">
        <v>20</v>
      </c>
      <c r="M1582">
        <v>117956</v>
      </c>
      <c r="N1582" s="1">
        <v>45234</v>
      </c>
      <c r="O1582" t="s">
        <v>35</v>
      </c>
      <c r="P1582">
        <v>4</v>
      </c>
      <c r="Q1582">
        <v>16789.240000000002</v>
      </c>
    </row>
    <row r="1583" spans="1:17" x14ac:dyDescent="0.3">
      <c r="A1583" t="s">
        <v>3909</v>
      </c>
      <c r="B1583" t="s">
        <v>2304</v>
      </c>
      <c r="C1583" s="2" t="str">
        <f>PROPER(TRIM(Table1[[#This Row],[Gender]]))</f>
        <v>Male</v>
      </c>
      <c r="D1583" t="s">
        <v>16</v>
      </c>
      <c r="E1583">
        <v>35</v>
      </c>
      <c r="F1583" t="s">
        <v>31</v>
      </c>
      <c r="G1583" s="1">
        <v>32883</v>
      </c>
      <c r="H1583" t="s">
        <v>3910</v>
      </c>
      <c r="I1583" s="2" t="str">
        <f t="shared" si="24"/>
        <v>+91-8568657130</v>
      </c>
      <c r="J1583">
        <f>91-8568657221</f>
        <v>-8568657130</v>
      </c>
      <c r="K1583" t="s">
        <v>121</v>
      </c>
      <c r="L1583" t="s">
        <v>85</v>
      </c>
      <c r="M1583">
        <v>263822</v>
      </c>
      <c r="N1583" s="1">
        <v>45436</v>
      </c>
      <c r="O1583" t="s">
        <v>28</v>
      </c>
      <c r="P1583">
        <v>4</v>
      </c>
      <c r="Q1583">
        <v>61695.03</v>
      </c>
    </row>
    <row r="1584" spans="1:17" x14ac:dyDescent="0.3">
      <c r="A1584" t="s">
        <v>3911</v>
      </c>
      <c r="B1584" t="s">
        <v>2426</v>
      </c>
      <c r="C1584" s="2" t="str">
        <f>PROPER(TRIM(Table1[[#This Row],[Gender]]))</f>
        <v>Male</v>
      </c>
      <c r="D1584" t="s">
        <v>16</v>
      </c>
      <c r="E1584">
        <v>70</v>
      </c>
      <c r="F1584" t="s">
        <v>24</v>
      </c>
      <c r="G1584" s="1">
        <v>20108</v>
      </c>
      <c r="H1584" t="s">
        <v>3912</v>
      </c>
      <c r="I1584" s="2" t="str">
        <f t="shared" si="24"/>
        <v>+91-9965387970</v>
      </c>
      <c r="J1584">
        <f>91-9965388061</f>
        <v>-9965387970</v>
      </c>
      <c r="K1584" t="s">
        <v>138</v>
      </c>
      <c r="L1584" t="s">
        <v>90</v>
      </c>
      <c r="M1584">
        <v>276144</v>
      </c>
      <c r="N1584" s="1">
        <v>45125</v>
      </c>
      <c r="O1584" t="s">
        <v>28</v>
      </c>
      <c r="P1584">
        <v>5</v>
      </c>
      <c r="Q1584">
        <v>69363.91</v>
      </c>
    </row>
    <row r="1585" spans="1:17" x14ac:dyDescent="0.3">
      <c r="A1585" t="s">
        <v>3913</v>
      </c>
      <c r="B1585" t="s">
        <v>633</v>
      </c>
      <c r="C1585" s="2" t="str">
        <f>PROPER(TRIM(Table1[[#This Row],[Gender]]))</f>
        <v>Female</v>
      </c>
      <c r="D1585" t="s">
        <v>43</v>
      </c>
      <c r="E1585">
        <v>22</v>
      </c>
      <c r="F1585" t="s">
        <v>49</v>
      </c>
      <c r="G1585" s="1">
        <v>37628</v>
      </c>
      <c r="H1585" t="s">
        <v>2851</v>
      </c>
      <c r="I1585" s="2" t="str">
        <f t="shared" si="24"/>
        <v>+91-8088751447</v>
      </c>
      <c r="J1585">
        <f>91-8088751538</f>
        <v>-8088751447</v>
      </c>
      <c r="K1585" t="s">
        <v>89</v>
      </c>
      <c r="L1585" t="s">
        <v>90</v>
      </c>
      <c r="M1585">
        <v>409445</v>
      </c>
      <c r="N1585" s="1">
        <v>45252</v>
      </c>
      <c r="O1585" t="s">
        <v>28</v>
      </c>
      <c r="P1585">
        <v>6</v>
      </c>
      <c r="Q1585">
        <v>103982.52</v>
      </c>
    </row>
    <row r="1586" spans="1:17" x14ac:dyDescent="0.3">
      <c r="A1586" t="s">
        <v>3914</v>
      </c>
      <c r="B1586" t="s">
        <v>3915</v>
      </c>
      <c r="C1586" s="2" t="str">
        <f>PROPER(TRIM(Table1[[#This Row],[Gender]]))</f>
        <v>Female</v>
      </c>
      <c r="D1586" t="s">
        <v>43</v>
      </c>
      <c r="E1586">
        <v>20</v>
      </c>
      <c r="F1586" t="s">
        <v>49</v>
      </c>
      <c r="G1586" s="1">
        <v>38358</v>
      </c>
      <c r="H1586" t="s">
        <v>3916</v>
      </c>
      <c r="I1586" s="2" t="str">
        <f t="shared" si="24"/>
        <v>+91-9396086390</v>
      </c>
      <c r="J1586">
        <f>91-9396086481</f>
        <v>-9396086390</v>
      </c>
      <c r="K1586" t="s">
        <v>331</v>
      </c>
      <c r="L1586" t="s">
        <v>143</v>
      </c>
      <c r="M1586">
        <v>473725</v>
      </c>
      <c r="N1586" s="1">
        <v>45244</v>
      </c>
      <c r="O1586" t="s">
        <v>28</v>
      </c>
      <c r="P1586">
        <v>6</v>
      </c>
      <c r="Q1586">
        <v>173576.73</v>
      </c>
    </row>
    <row r="1587" spans="1:17" x14ac:dyDescent="0.3">
      <c r="A1587" t="s">
        <v>3917</v>
      </c>
      <c r="B1587" t="s">
        <v>422</v>
      </c>
      <c r="C1587" s="2" t="str">
        <f>PROPER(TRIM(Table1[[#This Row],[Gender]]))</f>
        <v>Male</v>
      </c>
      <c r="D1587" t="s">
        <v>16</v>
      </c>
      <c r="E1587">
        <v>39</v>
      </c>
      <c r="F1587" t="s">
        <v>38</v>
      </c>
      <c r="G1587" s="1">
        <v>31423</v>
      </c>
      <c r="H1587" t="s">
        <v>3918</v>
      </c>
      <c r="I1587" s="2" t="str">
        <f t="shared" si="24"/>
        <v>+91-7813293159</v>
      </c>
      <c r="J1587">
        <f>91-7813293250</f>
        <v>-7813293159</v>
      </c>
      <c r="K1587" t="s">
        <v>142</v>
      </c>
      <c r="L1587" t="s">
        <v>143</v>
      </c>
      <c r="M1587">
        <v>355741</v>
      </c>
      <c r="N1587" s="1">
        <v>45276</v>
      </c>
      <c r="O1587" t="s">
        <v>21</v>
      </c>
      <c r="P1587">
        <v>2</v>
      </c>
      <c r="Q1587">
        <v>37868.949999999997</v>
      </c>
    </row>
    <row r="1588" spans="1:17" x14ac:dyDescent="0.3">
      <c r="A1588" t="s">
        <v>3919</v>
      </c>
      <c r="B1588" t="s">
        <v>3920</v>
      </c>
      <c r="C1588" s="2" t="str">
        <f>PROPER(TRIM(Table1[[#This Row],[Gender]]))</f>
        <v>Male</v>
      </c>
      <c r="D1588" t="s">
        <v>16</v>
      </c>
      <c r="E1588">
        <v>24</v>
      </c>
      <c r="F1588" t="s">
        <v>49</v>
      </c>
      <c r="G1588" s="1">
        <v>36898</v>
      </c>
      <c r="H1588" t="s">
        <v>3921</v>
      </c>
      <c r="I1588" s="2" t="str">
        <f t="shared" si="24"/>
        <v>+91-7224830982</v>
      </c>
      <c r="J1588">
        <f>91-7224831073</f>
        <v>-7224830982</v>
      </c>
      <c r="K1588" t="s">
        <v>249</v>
      </c>
      <c r="L1588" t="s">
        <v>34</v>
      </c>
      <c r="M1588">
        <v>230592</v>
      </c>
      <c r="N1588" s="1">
        <v>45228</v>
      </c>
      <c r="O1588" t="s">
        <v>35</v>
      </c>
      <c r="P1588">
        <v>5</v>
      </c>
      <c r="Q1588">
        <v>17745.61</v>
      </c>
    </row>
    <row r="1589" spans="1:17" x14ac:dyDescent="0.3">
      <c r="A1589" t="s">
        <v>3922</v>
      </c>
      <c r="B1589" t="s">
        <v>513</v>
      </c>
      <c r="C1589" s="2" t="str">
        <f>PROPER(TRIM(Table1[[#This Row],[Gender]]))</f>
        <v>Female</v>
      </c>
      <c r="D1589" t="s">
        <v>43</v>
      </c>
      <c r="E1589">
        <v>53</v>
      </c>
      <c r="F1589" t="s">
        <v>17</v>
      </c>
      <c r="G1589" s="1">
        <v>26313</v>
      </c>
      <c r="H1589" t="s">
        <v>514</v>
      </c>
      <c r="I1589" s="2" t="str">
        <f t="shared" si="24"/>
        <v>+91-7847011917</v>
      </c>
      <c r="J1589">
        <f>91-7847012008</f>
        <v>-7847011917</v>
      </c>
      <c r="K1589" t="s">
        <v>68</v>
      </c>
      <c r="L1589" t="s">
        <v>52</v>
      </c>
      <c r="M1589">
        <v>709660</v>
      </c>
      <c r="N1589" s="1">
        <v>45132</v>
      </c>
      <c r="O1589" t="s">
        <v>35</v>
      </c>
      <c r="P1589">
        <v>2</v>
      </c>
      <c r="Q1589">
        <v>16263.45</v>
      </c>
    </row>
    <row r="1590" spans="1:17" x14ac:dyDescent="0.3">
      <c r="A1590" t="s">
        <v>3923</v>
      </c>
      <c r="B1590" t="s">
        <v>2003</v>
      </c>
      <c r="C1590" s="2" t="str">
        <f>PROPER(TRIM(Table1[[#This Row],[Gender]]))</f>
        <v>Male</v>
      </c>
      <c r="D1590" t="s">
        <v>16</v>
      </c>
      <c r="E1590">
        <v>19</v>
      </c>
      <c r="F1590" t="s">
        <v>49</v>
      </c>
      <c r="G1590" s="1">
        <v>38723</v>
      </c>
      <c r="H1590" t="s">
        <v>3924</v>
      </c>
      <c r="I1590" s="2" t="str">
        <f t="shared" si="24"/>
        <v>+91-9319147881</v>
      </c>
      <c r="J1590">
        <f>91-9319147972</f>
        <v>-9319147881</v>
      </c>
      <c r="K1590" t="s">
        <v>72</v>
      </c>
      <c r="L1590" t="s">
        <v>34</v>
      </c>
      <c r="M1590">
        <v>656428</v>
      </c>
      <c r="N1590" s="1">
        <v>45121</v>
      </c>
      <c r="O1590" t="s">
        <v>28</v>
      </c>
      <c r="P1590">
        <v>4</v>
      </c>
      <c r="Q1590">
        <v>150810.04999999999</v>
      </c>
    </row>
    <row r="1591" spans="1:17" x14ac:dyDescent="0.3">
      <c r="A1591" t="s">
        <v>3925</v>
      </c>
      <c r="B1591" t="s">
        <v>1181</v>
      </c>
      <c r="C1591" s="2" t="str">
        <f>PROPER(TRIM(Table1[[#This Row],[Gender]]))</f>
        <v>Male</v>
      </c>
      <c r="D1591" t="s">
        <v>16</v>
      </c>
      <c r="E1591">
        <v>30</v>
      </c>
      <c r="F1591" t="s">
        <v>31</v>
      </c>
      <c r="G1591" s="1">
        <v>34708</v>
      </c>
      <c r="H1591" t="s">
        <v>3926</v>
      </c>
      <c r="I1591" s="2" t="str">
        <f t="shared" si="24"/>
        <v>+91-8872475798</v>
      </c>
      <c r="J1591">
        <f>91-8872475889</f>
        <v>-8872475798</v>
      </c>
      <c r="K1591" t="s">
        <v>138</v>
      </c>
      <c r="L1591" t="s">
        <v>90</v>
      </c>
      <c r="M1591">
        <v>184987</v>
      </c>
      <c r="N1591" s="1">
        <v>45361</v>
      </c>
      <c r="O1591" t="s">
        <v>28</v>
      </c>
      <c r="P1591">
        <v>6</v>
      </c>
      <c r="Q1591">
        <v>149416.91</v>
      </c>
    </row>
    <row r="1592" spans="1:17" x14ac:dyDescent="0.3">
      <c r="A1592" t="s">
        <v>3927</v>
      </c>
      <c r="B1592" t="s">
        <v>1846</v>
      </c>
      <c r="C1592" s="2" t="str">
        <f>PROPER(TRIM(Table1[[#This Row],[Gender]]))</f>
        <v>Male</v>
      </c>
      <c r="D1592" t="s">
        <v>16</v>
      </c>
      <c r="E1592">
        <v>28</v>
      </c>
      <c r="F1592" t="s">
        <v>31</v>
      </c>
      <c r="G1592" s="1">
        <v>35438</v>
      </c>
      <c r="H1592" t="s">
        <v>3928</v>
      </c>
      <c r="I1592" s="2" t="str">
        <f t="shared" si="24"/>
        <v>+91-7265137881</v>
      </c>
      <c r="J1592">
        <f>91-7265137972</f>
        <v>-7265137881</v>
      </c>
      <c r="K1592" t="s">
        <v>369</v>
      </c>
      <c r="L1592" t="s">
        <v>191</v>
      </c>
      <c r="M1592">
        <v>606707</v>
      </c>
      <c r="N1592" s="1">
        <v>45217</v>
      </c>
      <c r="O1592" t="s">
        <v>28</v>
      </c>
      <c r="P1592">
        <v>7</v>
      </c>
      <c r="Q1592">
        <v>226176.62</v>
      </c>
    </row>
    <row r="1593" spans="1:17" x14ac:dyDescent="0.3">
      <c r="A1593" t="s">
        <v>3929</v>
      </c>
      <c r="B1593" t="s">
        <v>887</v>
      </c>
      <c r="C1593" s="2" t="str">
        <f>PROPER(TRIM(Table1[[#This Row],[Gender]]))</f>
        <v>Female</v>
      </c>
      <c r="D1593" t="s">
        <v>43</v>
      </c>
      <c r="E1593">
        <v>23</v>
      </c>
      <c r="F1593" t="s">
        <v>49</v>
      </c>
      <c r="G1593" s="1">
        <v>37263</v>
      </c>
      <c r="H1593" t="s">
        <v>3930</v>
      </c>
      <c r="I1593" s="2" t="str">
        <f t="shared" si="24"/>
        <v>+91-8817786352</v>
      </c>
      <c r="J1593">
        <f>91-8817786443</f>
        <v>-8817786352</v>
      </c>
      <c r="K1593" t="s">
        <v>113</v>
      </c>
      <c r="L1593" t="s">
        <v>34</v>
      </c>
      <c r="M1593">
        <v>266684</v>
      </c>
      <c r="N1593" s="1">
        <v>45294</v>
      </c>
      <c r="O1593" t="s">
        <v>28</v>
      </c>
      <c r="P1593">
        <v>4</v>
      </c>
      <c r="Q1593">
        <v>108088.99</v>
      </c>
    </row>
    <row r="1594" spans="1:17" x14ac:dyDescent="0.3">
      <c r="A1594" t="s">
        <v>3931</v>
      </c>
      <c r="B1594" t="s">
        <v>3932</v>
      </c>
      <c r="C1594" s="2" t="str">
        <f>PROPER(TRIM(Table1[[#This Row],[Gender]]))</f>
        <v>Male</v>
      </c>
      <c r="D1594" t="s">
        <v>16</v>
      </c>
      <c r="E1594">
        <v>40</v>
      </c>
      <c r="F1594" t="s">
        <v>38</v>
      </c>
      <c r="G1594" s="1">
        <v>31058</v>
      </c>
      <c r="H1594" t="s">
        <v>3933</v>
      </c>
      <c r="I1594" s="2" t="str">
        <f t="shared" si="24"/>
        <v>+91-8393776987</v>
      </c>
      <c r="J1594">
        <f>91-8393777078</f>
        <v>-8393776987</v>
      </c>
      <c r="K1594" t="s">
        <v>239</v>
      </c>
      <c r="L1594" t="s">
        <v>191</v>
      </c>
      <c r="M1594">
        <v>666233</v>
      </c>
      <c r="N1594" s="1">
        <v>45255</v>
      </c>
      <c r="O1594" t="s">
        <v>28</v>
      </c>
      <c r="P1594">
        <v>4</v>
      </c>
      <c r="Q1594">
        <v>88881.7</v>
      </c>
    </row>
    <row r="1595" spans="1:17" x14ac:dyDescent="0.3">
      <c r="A1595" t="s">
        <v>3934</v>
      </c>
      <c r="B1595" t="s">
        <v>1248</v>
      </c>
      <c r="C1595" s="2" t="str">
        <f>PROPER(TRIM(Table1[[#This Row],[Gender]]))</f>
        <v>Female</v>
      </c>
      <c r="D1595" t="s">
        <v>43</v>
      </c>
      <c r="E1595">
        <v>63</v>
      </c>
      <c r="F1595" t="s">
        <v>58</v>
      </c>
      <c r="G1595" s="1">
        <v>22663</v>
      </c>
      <c r="H1595" t="s">
        <v>3935</v>
      </c>
      <c r="I1595" s="2" t="str">
        <f t="shared" si="24"/>
        <v>+91-8606871581</v>
      </c>
      <c r="J1595">
        <f>91-8606871672</f>
        <v>-8606871581</v>
      </c>
      <c r="K1595" t="s">
        <v>40</v>
      </c>
      <c r="L1595" t="s">
        <v>27</v>
      </c>
      <c r="M1595">
        <v>301519</v>
      </c>
      <c r="N1595" s="1">
        <v>45276</v>
      </c>
      <c r="O1595" t="s">
        <v>21</v>
      </c>
      <c r="P1595">
        <v>4</v>
      </c>
      <c r="Q1595">
        <v>44112.13</v>
      </c>
    </row>
    <row r="1596" spans="1:17" x14ac:dyDescent="0.3">
      <c r="A1596" t="s">
        <v>3936</v>
      </c>
      <c r="B1596" t="s">
        <v>3937</v>
      </c>
      <c r="C1596" s="2" t="str">
        <f>PROPER(TRIM(Table1[[#This Row],[Gender]]))</f>
        <v>Female</v>
      </c>
      <c r="D1596" t="s">
        <v>43</v>
      </c>
      <c r="E1596">
        <v>26</v>
      </c>
      <c r="F1596" t="s">
        <v>31</v>
      </c>
      <c r="G1596" s="1">
        <v>36168</v>
      </c>
      <c r="H1596" t="s">
        <v>3938</v>
      </c>
      <c r="I1596" s="2" t="str">
        <f t="shared" si="24"/>
        <v>+91-7376142198</v>
      </c>
      <c r="J1596">
        <f>91-7376142289</f>
        <v>-7376142198</v>
      </c>
      <c r="K1596" t="s">
        <v>80</v>
      </c>
      <c r="L1596" t="s">
        <v>20</v>
      </c>
      <c r="M1596">
        <v>580329</v>
      </c>
      <c r="N1596" s="1">
        <v>45343</v>
      </c>
      <c r="O1596" t="s">
        <v>28</v>
      </c>
      <c r="P1596">
        <v>8</v>
      </c>
      <c r="Q1596">
        <v>214734.48</v>
      </c>
    </row>
    <row r="1597" spans="1:17" x14ac:dyDescent="0.3">
      <c r="A1597" t="s">
        <v>3939</v>
      </c>
      <c r="B1597" t="s">
        <v>167</v>
      </c>
      <c r="C1597" s="2" t="str">
        <f>PROPER(TRIM(Table1[[#This Row],[Gender]]))</f>
        <v>Female</v>
      </c>
      <c r="D1597" t="s">
        <v>43</v>
      </c>
      <c r="E1597">
        <v>24</v>
      </c>
      <c r="F1597" t="s">
        <v>49</v>
      </c>
      <c r="G1597" s="1">
        <v>36898</v>
      </c>
      <c r="H1597" t="s">
        <v>2453</v>
      </c>
      <c r="I1597" s="2" t="str">
        <f t="shared" si="24"/>
        <v>+91-7610467767</v>
      </c>
      <c r="J1597">
        <f>91-7610467858</f>
        <v>-7610467767</v>
      </c>
      <c r="K1597" t="s">
        <v>80</v>
      </c>
      <c r="L1597" t="s">
        <v>20</v>
      </c>
      <c r="M1597">
        <v>495134</v>
      </c>
      <c r="N1597" s="1">
        <v>45240</v>
      </c>
      <c r="O1597" t="s">
        <v>28</v>
      </c>
      <c r="P1597">
        <v>3</v>
      </c>
      <c r="Q1597">
        <v>68335.86</v>
      </c>
    </row>
    <row r="1598" spans="1:17" x14ac:dyDescent="0.3">
      <c r="A1598" t="s">
        <v>3940</v>
      </c>
      <c r="B1598" t="s">
        <v>1986</v>
      </c>
      <c r="C1598" s="2" t="str">
        <f>PROPER(TRIM(Table1[[#This Row],[Gender]]))</f>
        <v>Male</v>
      </c>
      <c r="D1598" t="s">
        <v>16</v>
      </c>
      <c r="E1598">
        <v>25</v>
      </c>
      <c r="F1598" t="s">
        <v>49</v>
      </c>
      <c r="G1598" s="1">
        <v>36533</v>
      </c>
      <c r="H1598" t="s">
        <v>3941</v>
      </c>
      <c r="I1598" s="2" t="str">
        <f t="shared" si="24"/>
        <v>+91-9300806041</v>
      </c>
      <c r="J1598">
        <f>91-9300806132</f>
        <v>-9300806041</v>
      </c>
      <c r="K1598" t="s">
        <v>161</v>
      </c>
      <c r="L1598" t="s">
        <v>102</v>
      </c>
      <c r="M1598">
        <v>184712</v>
      </c>
      <c r="N1598" s="1">
        <v>45309</v>
      </c>
      <c r="O1598" t="s">
        <v>35</v>
      </c>
      <c r="P1598">
        <v>2</v>
      </c>
      <c r="Q1598">
        <v>7373.31</v>
      </c>
    </row>
    <row r="1599" spans="1:17" x14ac:dyDescent="0.3">
      <c r="A1599" t="s">
        <v>3942</v>
      </c>
      <c r="B1599" t="s">
        <v>3836</v>
      </c>
      <c r="C1599" s="2" t="str">
        <f>PROPER(TRIM(Table1[[#This Row],[Gender]]))</f>
        <v>Male</v>
      </c>
      <c r="D1599" t="s">
        <v>16</v>
      </c>
      <c r="E1599">
        <v>52</v>
      </c>
      <c r="F1599" t="s">
        <v>17</v>
      </c>
      <c r="G1599" s="1">
        <v>26678</v>
      </c>
      <c r="H1599" t="s">
        <v>3943</v>
      </c>
      <c r="I1599" s="2" t="str">
        <f t="shared" si="24"/>
        <v>+91-7503319918</v>
      </c>
      <c r="J1599">
        <f>91-7503320009</f>
        <v>-7503319918</v>
      </c>
      <c r="K1599" t="s">
        <v>239</v>
      </c>
      <c r="L1599" t="s">
        <v>191</v>
      </c>
      <c r="M1599">
        <v>522389</v>
      </c>
      <c r="N1599" s="1">
        <v>45240</v>
      </c>
      <c r="O1599" t="s">
        <v>35</v>
      </c>
      <c r="P1599">
        <v>4</v>
      </c>
      <c r="Q1599">
        <v>6744.77</v>
      </c>
    </row>
    <row r="1600" spans="1:17" x14ac:dyDescent="0.3">
      <c r="A1600" t="s">
        <v>3944</v>
      </c>
      <c r="B1600" t="s">
        <v>1862</v>
      </c>
      <c r="C1600" s="2" t="str">
        <f>PROPER(TRIM(Table1[[#This Row],[Gender]]))</f>
        <v>Female</v>
      </c>
      <c r="D1600" t="s">
        <v>43</v>
      </c>
      <c r="E1600">
        <v>46</v>
      </c>
      <c r="F1600" t="s">
        <v>17</v>
      </c>
      <c r="G1600" s="1">
        <v>28868</v>
      </c>
      <c r="H1600" t="s">
        <v>3945</v>
      </c>
      <c r="I1600" s="2" t="str">
        <f t="shared" si="24"/>
        <v>+91-7564226197</v>
      </c>
      <c r="J1600">
        <f>91-7564226288</f>
        <v>-7564226197</v>
      </c>
      <c r="K1600" t="s">
        <v>40</v>
      </c>
      <c r="L1600" t="s">
        <v>27</v>
      </c>
      <c r="M1600">
        <v>826038</v>
      </c>
      <c r="N1600" s="1">
        <v>45391</v>
      </c>
      <c r="O1600" t="s">
        <v>35</v>
      </c>
      <c r="P1600">
        <v>4</v>
      </c>
      <c r="Q1600">
        <v>7340.6</v>
      </c>
    </row>
    <row r="1601" spans="1:17" x14ac:dyDescent="0.3">
      <c r="A1601" t="s">
        <v>3946</v>
      </c>
      <c r="B1601" t="s">
        <v>504</v>
      </c>
      <c r="C1601" s="2" t="str">
        <f>PROPER(TRIM(Table1[[#This Row],[Gender]]))</f>
        <v>Male</v>
      </c>
      <c r="D1601" t="s">
        <v>16</v>
      </c>
      <c r="E1601">
        <v>44</v>
      </c>
      <c r="F1601" t="s">
        <v>38</v>
      </c>
      <c r="G1601" s="1">
        <v>29598</v>
      </c>
      <c r="H1601" t="s">
        <v>3947</v>
      </c>
      <c r="I1601" s="2" t="str">
        <f t="shared" si="24"/>
        <v>+91-7297320321</v>
      </c>
      <c r="J1601">
        <f>91-7297320412</f>
        <v>-7297320321</v>
      </c>
      <c r="K1601" t="s">
        <v>190</v>
      </c>
      <c r="L1601" t="s">
        <v>191</v>
      </c>
      <c r="M1601">
        <v>157599</v>
      </c>
      <c r="N1601" s="1">
        <v>45342</v>
      </c>
      <c r="O1601" t="s">
        <v>28</v>
      </c>
      <c r="P1601">
        <v>7</v>
      </c>
      <c r="Q1601">
        <v>241428.49</v>
      </c>
    </row>
    <row r="1602" spans="1:17" x14ac:dyDescent="0.3">
      <c r="A1602" t="s">
        <v>3948</v>
      </c>
      <c r="B1602" t="s">
        <v>3949</v>
      </c>
      <c r="C1602" s="2" t="str">
        <f>PROPER(TRIM(Table1[[#This Row],[Gender]]))</f>
        <v>Female</v>
      </c>
      <c r="D1602" t="s">
        <v>43</v>
      </c>
      <c r="E1602">
        <v>24</v>
      </c>
      <c r="F1602" t="s">
        <v>49</v>
      </c>
      <c r="G1602" s="1">
        <v>36898</v>
      </c>
      <c r="H1602" t="s">
        <v>3950</v>
      </c>
      <c r="I1602" s="2" t="str">
        <f t="shared" ref="I1602:I1665" si="25">"+91"&amp;TEXT(J1602,"0000000000")</f>
        <v>+91-9266744345</v>
      </c>
      <c r="J1602">
        <f>91-9266744436</f>
        <v>-9266744345</v>
      </c>
      <c r="K1602" t="s">
        <v>94</v>
      </c>
      <c r="L1602" t="s">
        <v>20</v>
      </c>
      <c r="M1602">
        <v>885910</v>
      </c>
      <c r="N1602" s="1">
        <v>45089</v>
      </c>
      <c r="O1602" t="s">
        <v>28</v>
      </c>
      <c r="P1602">
        <v>5</v>
      </c>
      <c r="Q1602">
        <v>84319.94</v>
      </c>
    </row>
    <row r="1603" spans="1:17" x14ac:dyDescent="0.3">
      <c r="A1603" t="s">
        <v>3951</v>
      </c>
      <c r="B1603" t="s">
        <v>498</v>
      </c>
      <c r="C1603" s="2" t="str">
        <f>PROPER(TRIM(Table1[[#This Row],[Gender]]))</f>
        <v>Female</v>
      </c>
      <c r="D1603" t="s">
        <v>43</v>
      </c>
      <c r="E1603">
        <v>18</v>
      </c>
      <c r="F1603" t="s">
        <v>49</v>
      </c>
      <c r="G1603" s="1">
        <v>39088</v>
      </c>
      <c r="H1603" t="s">
        <v>3952</v>
      </c>
      <c r="I1603" s="2" t="str">
        <f t="shared" si="25"/>
        <v>+91-8167850624</v>
      </c>
      <c r="J1603">
        <f>91-8167850715</f>
        <v>-8167850624</v>
      </c>
      <c r="K1603" t="s">
        <v>121</v>
      </c>
      <c r="L1603" t="s">
        <v>85</v>
      </c>
      <c r="M1603">
        <v>456454</v>
      </c>
      <c r="N1603" s="1">
        <v>45218</v>
      </c>
      <c r="O1603" t="s">
        <v>28</v>
      </c>
      <c r="P1603">
        <v>4</v>
      </c>
      <c r="Q1603">
        <v>121599.11</v>
      </c>
    </row>
    <row r="1604" spans="1:17" x14ac:dyDescent="0.3">
      <c r="A1604" t="s">
        <v>3953</v>
      </c>
      <c r="B1604" t="s">
        <v>3954</v>
      </c>
      <c r="C1604" s="2" t="str">
        <f>PROPER(TRIM(Table1[[#This Row],[Gender]]))</f>
        <v>Male</v>
      </c>
      <c r="D1604" t="s">
        <v>16</v>
      </c>
      <c r="E1604">
        <v>37</v>
      </c>
      <c r="F1604" t="s">
        <v>38</v>
      </c>
      <c r="G1604" s="1">
        <v>32153</v>
      </c>
      <c r="H1604" t="s">
        <v>3955</v>
      </c>
      <c r="I1604" s="2" t="str">
        <f t="shared" si="25"/>
        <v>+91-7247618702</v>
      </c>
      <c r="J1604">
        <f>91-7247618793</f>
        <v>-7247618702</v>
      </c>
      <c r="K1604" t="s">
        <v>80</v>
      </c>
      <c r="L1604" t="s">
        <v>20</v>
      </c>
      <c r="M1604">
        <v>934508</v>
      </c>
      <c r="N1604" s="1">
        <v>45329</v>
      </c>
      <c r="O1604" t="s">
        <v>28</v>
      </c>
      <c r="P1604">
        <v>4</v>
      </c>
      <c r="Q1604">
        <v>201374.1</v>
      </c>
    </row>
    <row r="1605" spans="1:17" x14ac:dyDescent="0.3">
      <c r="A1605" t="s">
        <v>3956</v>
      </c>
      <c r="B1605" t="s">
        <v>3808</v>
      </c>
      <c r="C1605" s="2" t="str">
        <f>PROPER(TRIM(Table1[[#This Row],[Gender]]))</f>
        <v>Male</v>
      </c>
      <c r="D1605" t="s">
        <v>16</v>
      </c>
      <c r="E1605">
        <v>27</v>
      </c>
      <c r="F1605" t="s">
        <v>31</v>
      </c>
      <c r="G1605" s="1">
        <v>35803</v>
      </c>
      <c r="H1605" t="s">
        <v>3957</v>
      </c>
      <c r="I1605" s="2" t="str">
        <f t="shared" si="25"/>
        <v>+91-9089781012</v>
      </c>
      <c r="J1605">
        <f>91-9089781103</f>
        <v>-9089781012</v>
      </c>
      <c r="K1605" t="s">
        <v>331</v>
      </c>
      <c r="L1605" t="s">
        <v>143</v>
      </c>
      <c r="M1605">
        <v>816052</v>
      </c>
      <c r="N1605" s="1">
        <v>45103</v>
      </c>
      <c r="O1605" t="s">
        <v>28</v>
      </c>
      <c r="P1605">
        <v>6</v>
      </c>
      <c r="Q1605">
        <v>176484.33</v>
      </c>
    </row>
    <row r="1606" spans="1:17" x14ac:dyDescent="0.3">
      <c r="A1606" t="s">
        <v>3958</v>
      </c>
      <c r="B1606" t="s">
        <v>82</v>
      </c>
      <c r="C1606" s="2" t="str">
        <f>PROPER(TRIM(Table1[[#This Row],[Gender]]))</f>
        <v>Female</v>
      </c>
      <c r="D1606" t="s">
        <v>43</v>
      </c>
      <c r="E1606">
        <v>26</v>
      </c>
      <c r="F1606" t="s">
        <v>31</v>
      </c>
      <c r="G1606" s="1">
        <v>36168</v>
      </c>
      <c r="H1606" t="s">
        <v>3774</v>
      </c>
      <c r="I1606" s="2" t="str">
        <f t="shared" si="25"/>
        <v>+91-8667805221</v>
      </c>
      <c r="J1606">
        <f>91-8667805312</f>
        <v>-8667805221</v>
      </c>
      <c r="K1606" t="s">
        <v>138</v>
      </c>
      <c r="L1606" t="s">
        <v>90</v>
      </c>
      <c r="M1606">
        <v>292382</v>
      </c>
      <c r="N1606" s="1">
        <v>45357</v>
      </c>
      <c r="O1606" t="s">
        <v>28</v>
      </c>
      <c r="P1606">
        <v>3</v>
      </c>
      <c r="Q1606">
        <v>139500.76999999999</v>
      </c>
    </row>
    <row r="1607" spans="1:17" x14ac:dyDescent="0.3">
      <c r="A1607" t="s">
        <v>3959</v>
      </c>
      <c r="B1607" t="s">
        <v>862</v>
      </c>
      <c r="C1607" s="2" t="str">
        <f>PROPER(TRIM(Table1[[#This Row],[Gender]]))</f>
        <v>Male</v>
      </c>
      <c r="D1607" t="s">
        <v>16</v>
      </c>
      <c r="E1607">
        <v>33</v>
      </c>
      <c r="F1607" t="s">
        <v>31</v>
      </c>
      <c r="G1607" s="1">
        <v>33613</v>
      </c>
      <c r="H1607" t="s">
        <v>3960</v>
      </c>
      <c r="I1607" s="2" t="str">
        <f t="shared" si="25"/>
        <v>+91-8741246451</v>
      </c>
      <c r="J1607">
        <f>91-8741246542</f>
        <v>-8741246451</v>
      </c>
      <c r="K1607" t="s">
        <v>60</v>
      </c>
      <c r="L1607" t="s">
        <v>34</v>
      </c>
      <c r="M1607">
        <v>144492</v>
      </c>
      <c r="N1607" s="1">
        <v>45403</v>
      </c>
      <c r="O1607" t="s">
        <v>28</v>
      </c>
      <c r="P1607">
        <v>7</v>
      </c>
      <c r="Q1607">
        <v>82075.05</v>
      </c>
    </row>
    <row r="1608" spans="1:17" x14ac:dyDescent="0.3">
      <c r="A1608" t="s">
        <v>3961</v>
      </c>
      <c r="B1608" t="s">
        <v>3962</v>
      </c>
      <c r="C1608" s="2" t="str">
        <f>PROPER(TRIM(Table1[[#This Row],[Gender]]))</f>
        <v>Male</v>
      </c>
      <c r="D1608" t="s">
        <v>16</v>
      </c>
      <c r="E1608">
        <v>49</v>
      </c>
      <c r="F1608" t="s">
        <v>17</v>
      </c>
      <c r="G1608" s="1">
        <v>27773</v>
      </c>
      <c r="H1608" t="s">
        <v>3963</v>
      </c>
      <c r="I1608" s="2" t="str">
        <f t="shared" si="25"/>
        <v>+91-9125083983</v>
      </c>
      <c r="J1608">
        <f>91-9125084074</f>
        <v>-9125083983</v>
      </c>
      <c r="K1608" t="s">
        <v>331</v>
      </c>
      <c r="L1608" t="s">
        <v>143</v>
      </c>
      <c r="M1608">
        <v>657470</v>
      </c>
      <c r="N1608" s="1">
        <v>45243</v>
      </c>
      <c r="O1608" t="s">
        <v>28</v>
      </c>
      <c r="P1608">
        <v>7</v>
      </c>
      <c r="Q1608">
        <v>54935.16</v>
      </c>
    </row>
    <row r="1609" spans="1:17" x14ac:dyDescent="0.3">
      <c r="A1609" t="s">
        <v>3964</v>
      </c>
      <c r="B1609" t="s">
        <v>1708</v>
      </c>
      <c r="C1609" s="2" t="str">
        <f>PROPER(TRIM(Table1[[#This Row],[Gender]]))</f>
        <v>Female</v>
      </c>
      <c r="D1609" t="s">
        <v>43</v>
      </c>
      <c r="E1609">
        <v>43</v>
      </c>
      <c r="F1609" t="s">
        <v>38</v>
      </c>
      <c r="G1609" s="1">
        <v>29963</v>
      </c>
      <c r="H1609" t="s">
        <v>3965</v>
      </c>
      <c r="I1609" s="2" t="str">
        <f t="shared" si="25"/>
        <v>+91-8072199575</v>
      </c>
      <c r="J1609">
        <f>91-8072199666</f>
        <v>-8072199575</v>
      </c>
      <c r="K1609" t="s">
        <v>161</v>
      </c>
      <c r="L1609" t="s">
        <v>102</v>
      </c>
      <c r="M1609">
        <v>537106</v>
      </c>
      <c r="N1609" s="1">
        <v>45387</v>
      </c>
      <c r="O1609" t="s">
        <v>28</v>
      </c>
      <c r="P1609">
        <v>7</v>
      </c>
      <c r="Q1609">
        <v>171254.29</v>
      </c>
    </row>
    <row r="1610" spans="1:17" x14ac:dyDescent="0.3">
      <c r="A1610" t="s">
        <v>3966</v>
      </c>
      <c r="B1610" t="s">
        <v>364</v>
      </c>
      <c r="C1610" s="2" t="str">
        <f>PROPER(TRIM(Table1[[#This Row],[Gender]]))</f>
        <v>Female</v>
      </c>
      <c r="D1610" t="s">
        <v>43</v>
      </c>
      <c r="E1610">
        <v>35</v>
      </c>
      <c r="F1610" t="s">
        <v>31</v>
      </c>
      <c r="G1610" s="1">
        <v>32883</v>
      </c>
      <c r="H1610" t="s">
        <v>3967</v>
      </c>
      <c r="I1610" s="2" t="str">
        <f t="shared" si="25"/>
        <v>+91-9446933702</v>
      </c>
      <c r="J1610">
        <f>91-9446933793</f>
        <v>-9446933702</v>
      </c>
      <c r="K1610" t="s">
        <v>202</v>
      </c>
      <c r="L1610" t="s">
        <v>191</v>
      </c>
      <c r="M1610">
        <v>622422</v>
      </c>
      <c r="N1610" s="1">
        <v>45133</v>
      </c>
      <c r="O1610" t="s">
        <v>28</v>
      </c>
      <c r="P1610">
        <v>7</v>
      </c>
      <c r="Q1610">
        <v>157967.97</v>
      </c>
    </row>
    <row r="1611" spans="1:17" x14ac:dyDescent="0.3">
      <c r="A1611" t="s">
        <v>3968</v>
      </c>
      <c r="B1611" t="s">
        <v>333</v>
      </c>
      <c r="C1611" s="2" t="str">
        <f>PROPER(TRIM(Table1[[#This Row],[Gender]]))</f>
        <v>Female</v>
      </c>
      <c r="D1611" t="s">
        <v>43</v>
      </c>
      <c r="E1611">
        <v>45</v>
      </c>
      <c r="F1611" t="s">
        <v>38</v>
      </c>
      <c r="G1611" s="1">
        <v>29233</v>
      </c>
      <c r="H1611" t="s">
        <v>334</v>
      </c>
      <c r="I1611" s="2" t="str">
        <f t="shared" si="25"/>
        <v>+91-7135668734</v>
      </c>
      <c r="J1611">
        <f>91-7135668825</f>
        <v>-7135668734</v>
      </c>
      <c r="K1611" t="s">
        <v>161</v>
      </c>
      <c r="L1611" t="s">
        <v>102</v>
      </c>
      <c r="M1611">
        <v>334311</v>
      </c>
      <c r="N1611" s="1">
        <v>45187</v>
      </c>
      <c r="O1611" t="s">
        <v>28</v>
      </c>
      <c r="P1611">
        <v>5</v>
      </c>
      <c r="Q1611">
        <v>239492.5</v>
      </c>
    </row>
    <row r="1612" spans="1:17" x14ac:dyDescent="0.3">
      <c r="A1612" t="s">
        <v>3969</v>
      </c>
      <c r="B1612" t="s">
        <v>1765</v>
      </c>
      <c r="C1612" s="2" t="str">
        <f>PROPER(TRIM(Table1[[#This Row],[Gender]]))</f>
        <v>Female</v>
      </c>
      <c r="D1612" t="s">
        <v>43</v>
      </c>
      <c r="E1612">
        <v>32</v>
      </c>
      <c r="F1612" t="s">
        <v>31</v>
      </c>
      <c r="G1612" s="1">
        <v>33978</v>
      </c>
      <c r="H1612" t="s">
        <v>3970</v>
      </c>
      <c r="I1612" s="2" t="str">
        <f t="shared" si="25"/>
        <v>+91-8254748950</v>
      </c>
      <c r="J1612">
        <f>91-8254749041</f>
        <v>-8254748950</v>
      </c>
      <c r="K1612" t="s">
        <v>142</v>
      </c>
      <c r="L1612" t="s">
        <v>143</v>
      </c>
      <c r="M1612">
        <v>236402</v>
      </c>
      <c r="N1612" s="1">
        <v>45371</v>
      </c>
      <c r="O1612" t="s">
        <v>28</v>
      </c>
      <c r="P1612">
        <v>7</v>
      </c>
      <c r="Q1612">
        <v>189098.99</v>
      </c>
    </row>
    <row r="1613" spans="1:17" x14ac:dyDescent="0.3">
      <c r="A1613" t="s">
        <v>3971</v>
      </c>
      <c r="B1613" t="s">
        <v>2061</v>
      </c>
      <c r="C1613" s="2" t="str">
        <f>PROPER(TRIM(Table1[[#This Row],[Gender]]))</f>
        <v>Female</v>
      </c>
      <c r="D1613" t="s">
        <v>43</v>
      </c>
      <c r="E1613">
        <v>22</v>
      </c>
      <c r="F1613" t="s">
        <v>49</v>
      </c>
      <c r="G1613" s="1">
        <v>37628</v>
      </c>
      <c r="H1613" t="s">
        <v>3972</v>
      </c>
      <c r="I1613" s="2" t="str">
        <f t="shared" si="25"/>
        <v>+91-9456167963</v>
      </c>
      <c r="J1613">
        <f>91-9456168054</f>
        <v>-9456167963</v>
      </c>
      <c r="K1613" t="s">
        <v>154</v>
      </c>
      <c r="L1613" t="s">
        <v>46</v>
      </c>
      <c r="M1613">
        <v>300436</v>
      </c>
      <c r="N1613" s="1">
        <v>45237</v>
      </c>
      <c r="O1613" t="s">
        <v>28</v>
      </c>
      <c r="P1613">
        <v>7</v>
      </c>
      <c r="Q1613">
        <v>86982.2</v>
      </c>
    </row>
    <row r="1614" spans="1:17" x14ac:dyDescent="0.3">
      <c r="A1614" t="s">
        <v>3973</v>
      </c>
      <c r="B1614" t="s">
        <v>2999</v>
      </c>
      <c r="C1614" s="2" t="str">
        <f>PROPER(TRIM(Table1[[#This Row],[Gender]]))</f>
        <v>Female</v>
      </c>
      <c r="D1614" t="s">
        <v>43</v>
      </c>
      <c r="E1614">
        <v>55</v>
      </c>
      <c r="F1614" t="s">
        <v>17</v>
      </c>
      <c r="G1614" s="1">
        <v>25583</v>
      </c>
      <c r="H1614" t="s">
        <v>3974</v>
      </c>
      <c r="I1614" s="2" t="str">
        <f t="shared" si="25"/>
        <v>+91-7058715141</v>
      </c>
      <c r="J1614">
        <f>91-7058715232</f>
        <v>-7058715141</v>
      </c>
      <c r="K1614" t="s">
        <v>195</v>
      </c>
      <c r="L1614" t="s">
        <v>102</v>
      </c>
      <c r="M1614">
        <v>795367</v>
      </c>
      <c r="N1614" s="1">
        <v>45103</v>
      </c>
      <c r="O1614" t="s">
        <v>28</v>
      </c>
      <c r="P1614">
        <v>8</v>
      </c>
      <c r="Q1614">
        <v>84699.63</v>
      </c>
    </row>
    <row r="1615" spans="1:17" x14ac:dyDescent="0.3">
      <c r="A1615" t="s">
        <v>3975</v>
      </c>
      <c r="B1615" t="s">
        <v>926</v>
      </c>
      <c r="C1615" s="2" t="str">
        <f>PROPER(TRIM(Table1[[#This Row],[Gender]]))</f>
        <v>Male</v>
      </c>
      <c r="D1615" t="s">
        <v>16</v>
      </c>
      <c r="E1615">
        <v>27</v>
      </c>
      <c r="F1615" t="s">
        <v>31</v>
      </c>
      <c r="G1615" s="1">
        <v>35803</v>
      </c>
      <c r="H1615" t="s">
        <v>3976</v>
      </c>
      <c r="I1615" s="2" t="str">
        <f t="shared" si="25"/>
        <v>+91-8922829371</v>
      </c>
      <c r="J1615">
        <f>91-8922829462</f>
        <v>-8922829371</v>
      </c>
      <c r="K1615" t="s">
        <v>101</v>
      </c>
      <c r="L1615" t="s">
        <v>102</v>
      </c>
      <c r="M1615">
        <v>657898</v>
      </c>
      <c r="N1615" s="1">
        <v>45265</v>
      </c>
      <c r="O1615" t="s">
        <v>28</v>
      </c>
      <c r="P1615">
        <v>4</v>
      </c>
      <c r="Q1615">
        <v>92546.66</v>
      </c>
    </row>
    <row r="1616" spans="1:17" x14ac:dyDescent="0.3">
      <c r="A1616" t="s">
        <v>3977</v>
      </c>
      <c r="B1616" t="s">
        <v>498</v>
      </c>
      <c r="C1616" s="2" t="str">
        <f>PROPER(TRIM(Table1[[#This Row],[Gender]]))</f>
        <v>Female</v>
      </c>
      <c r="D1616" t="s">
        <v>43</v>
      </c>
      <c r="E1616">
        <v>38</v>
      </c>
      <c r="F1616" t="s">
        <v>38</v>
      </c>
      <c r="G1616" s="1">
        <v>31788</v>
      </c>
      <c r="H1616" t="s">
        <v>3978</v>
      </c>
      <c r="I1616" s="2" t="str">
        <f t="shared" si="25"/>
        <v>+91-9350565143</v>
      </c>
      <c r="J1616">
        <f>91-9350565234</f>
        <v>-9350565143</v>
      </c>
      <c r="K1616" t="s">
        <v>161</v>
      </c>
      <c r="L1616" t="s">
        <v>102</v>
      </c>
      <c r="M1616">
        <v>859903</v>
      </c>
      <c r="N1616" s="1">
        <v>45103</v>
      </c>
      <c r="O1616" t="s">
        <v>28</v>
      </c>
      <c r="P1616">
        <v>8</v>
      </c>
      <c r="Q1616">
        <v>541288.55000000005</v>
      </c>
    </row>
    <row r="1617" spans="1:17" x14ac:dyDescent="0.3">
      <c r="A1617" t="s">
        <v>3979</v>
      </c>
      <c r="B1617" t="s">
        <v>265</v>
      </c>
      <c r="C1617" s="2" t="str">
        <f>PROPER(TRIM(Table1[[#This Row],[Gender]]))</f>
        <v>Female</v>
      </c>
      <c r="D1617" t="s">
        <v>43</v>
      </c>
      <c r="E1617">
        <v>22</v>
      </c>
      <c r="F1617" t="s">
        <v>49</v>
      </c>
      <c r="G1617" s="1">
        <v>37628</v>
      </c>
      <c r="H1617" t="s">
        <v>3980</v>
      </c>
      <c r="I1617" s="2" t="str">
        <f t="shared" si="25"/>
        <v>+91-7759555397</v>
      </c>
      <c r="J1617">
        <f>91-7759555488</f>
        <v>-7759555397</v>
      </c>
      <c r="K1617" t="s">
        <v>369</v>
      </c>
      <c r="L1617" t="s">
        <v>191</v>
      </c>
      <c r="M1617">
        <v>231533</v>
      </c>
      <c r="N1617" s="1">
        <v>45402</v>
      </c>
      <c r="O1617" t="s">
        <v>21</v>
      </c>
      <c r="P1617">
        <v>8</v>
      </c>
      <c r="Q1617">
        <v>34095.43</v>
      </c>
    </row>
    <row r="1618" spans="1:17" x14ac:dyDescent="0.3">
      <c r="A1618" t="s">
        <v>3981</v>
      </c>
      <c r="B1618" t="s">
        <v>247</v>
      </c>
      <c r="C1618" s="2" t="str">
        <f>PROPER(TRIM(Table1[[#This Row],[Gender]]))</f>
        <v>Female</v>
      </c>
      <c r="D1618" t="s">
        <v>43</v>
      </c>
      <c r="E1618">
        <v>23</v>
      </c>
      <c r="F1618" t="s">
        <v>49</v>
      </c>
      <c r="G1618" s="1">
        <v>37263</v>
      </c>
      <c r="H1618" t="s">
        <v>3982</v>
      </c>
      <c r="I1618" s="2" t="str">
        <f t="shared" si="25"/>
        <v>+91-8311233937</v>
      </c>
      <c r="J1618">
        <f>91-8311234028</f>
        <v>-8311233937</v>
      </c>
      <c r="K1618" t="s">
        <v>113</v>
      </c>
      <c r="L1618" t="s">
        <v>34</v>
      </c>
      <c r="M1618">
        <v>203845</v>
      </c>
      <c r="N1618" s="1">
        <v>45306</v>
      </c>
      <c r="O1618" t="s">
        <v>28</v>
      </c>
      <c r="P1618">
        <v>6</v>
      </c>
      <c r="Q1618">
        <v>191987.1</v>
      </c>
    </row>
    <row r="1619" spans="1:17" x14ac:dyDescent="0.3">
      <c r="A1619" t="s">
        <v>3983</v>
      </c>
      <c r="B1619" t="s">
        <v>3371</v>
      </c>
      <c r="C1619" s="2" t="str">
        <f>PROPER(TRIM(Table1[[#This Row],[Gender]]))</f>
        <v>Female</v>
      </c>
      <c r="D1619" t="s">
        <v>43</v>
      </c>
      <c r="E1619">
        <v>45</v>
      </c>
      <c r="F1619" t="s">
        <v>38</v>
      </c>
      <c r="G1619" s="1">
        <v>29233</v>
      </c>
      <c r="H1619" t="s">
        <v>3984</v>
      </c>
      <c r="I1619" s="2" t="str">
        <f t="shared" si="25"/>
        <v>+91-7942361381</v>
      </c>
      <c r="J1619">
        <f>91-7942361472</f>
        <v>-7942361381</v>
      </c>
      <c r="K1619" t="s">
        <v>147</v>
      </c>
      <c r="L1619" t="s">
        <v>143</v>
      </c>
      <c r="M1619">
        <v>590213</v>
      </c>
      <c r="N1619" s="1">
        <v>45132</v>
      </c>
      <c r="O1619" t="s">
        <v>28</v>
      </c>
      <c r="P1619">
        <v>5</v>
      </c>
      <c r="Q1619">
        <v>197231.23</v>
      </c>
    </row>
    <row r="1620" spans="1:17" x14ac:dyDescent="0.3">
      <c r="A1620" t="s">
        <v>3985</v>
      </c>
      <c r="B1620" t="s">
        <v>439</v>
      </c>
      <c r="C1620" s="2" t="str">
        <f>PROPER(TRIM(Table1[[#This Row],[Gender]]))</f>
        <v>Male</v>
      </c>
      <c r="D1620" t="s">
        <v>16</v>
      </c>
      <c r="E1620">
        <v>42</v>
      </c>
      <c r="F1620" t="s">
        <v>38</v>
      </c>
      <c r="G1620" s="1">
        <v>30328</v>
      </c>
      <c r="H1620" t="s">
        <v>3986</v>
      </c>
      <c r="I1620" s="2" t="str">
        <f t="shared" si="25"/>
        <v>+91-7833367884</v>
      </c>
      <c r="J1620">
        <f>91-7833367975</f>
        <v>-7833367884</v>
      </c>
      <c r="K1620" t="s">
        <v>40</v>
      </c>
      <c r="L1620" t="s">
        <v>27</v>
      </c>
      <c r="M1620">
        <v>670357</v>
      </c>
      <c r="N1620" s="1">
        <v>45115</v>
      </c>
      <c r="O1620" t="s">
        <v>28</v>
      </c>
      <c r="P1620">
        <v>7</v>
      </c>
      <c r="Q1620">
        <v>243271.99</v>
      </c>
    </row>
    <row r="1621" spans="1:17" x14ac:dyDescent="0.3">
      <c r="A1621" t="s">
        <v>3987</v>
      </c>
      <c r="B1621" t="s">
        <v>3988</v>
      </c>
      <c r="C1621" s="2" t="str">
        <f>PROPER(TRIM(Table1[[#This Row],[Gender]]))</f>
        <v>Female</v>
      </c>
      <c r="D1621" t="s">
        <v>43</v>
      </c>
      <c r="E1621">
        <v>44</v>
      </c>
      <c r="F1621" t="s">
        <v>38</v>
      </c>
      <c r="G1621" s="1">
        <v>29598</v>
      </c>
      <c r="H1621" t="s">
        <v>3989</v>
      </c>
      <c r="I1621" s="2" t="str">
        <f t="shared" si="25"/>
        <v>+91-8724861002</v>
      </c>
      <c r="J1621">
        <f>91-8724861093</f>
        <v>-8724861002</v>
      </c>
      <c r="K1621" t="s">
        <v>89</v>
      </c>
      <c r="L1621" t="s">
        <v>90</v>
      </c>
      <c r="M1621">
        <v>968093</v>
      </c>
      <c r="N1621" s="1">
        <v>45135</v>
      </c>
      <c r="O1621" t="s">
        <v>35</v>
      </c>
      <c r="P1621">
        <v>2</v>
      </c>
      <c r="Q1621">
        <v>2056.7199999999998</v>
      </c>
    </row>
    <row r="1622" spans="1:17" x14ac:dyDescent="0.3">
      <c r="A1622" t="s">
        <v>3990</v>
      </c>
      <c r="B1622" t="s">
        <v>2351</v>
      </c>
      <c r="C1622" s="2" t="str">
        <f>PROPER(TRIM(Table1[[#This Row],[Gender]]))</f>
        <v>Female</v>
      </c>
      <c r="D1622" t="s">
        <v>43</v>
      </c>
      <c r="E1622">
        <v>35</v>
      </c>
      <c r="F1622" t="s">
        <v>31</v>
      </c>
      <c r="G1622" s="1">
        <v>32883</v>
      </c>
      <c r="H1622" t="s">
        <v>2352</v>
      </c>
      <c r="I1622" s="2" t="str">
        <f t="shared" si="25"/>
        <v>+91-7536752462</v>
      </c>
      <c r="J1622">
        <f>91-7536752553</f>
        <v>-7536752462</v>
      </c>
      <c r="K1622" t="s">
        <v>202</v>
      </c>
      <c r="L1622" t="s">
        <v>191</v>
      </c>
      <c r="M1622">
        <v>887535</v>
      </c>
      <c r="N1622" s="1">
        <v>45338</v>
      </c>
      <c r="O1622" t="s">
        <v>28</v>
      </c>
      <c r="P1622">
        <v>5</v>
      </c>
      <c r="Q1622">
        <v>81896.84</v>
      </c>
    </row>
    <row r="1623" spans="1:17" x14ac:dyDescent="0.3">
      <c r="A1623" t="s">
        <v>3991</v>
      </c>
      <c r="B1623" t="s">
        <v>2965</v>
      </c>
      <c r="C1623" s="2" t="str">
        <f>PROPER(TRIM(Table1[[#This Row],[Gender]]))</f>
        <v>Female</v>
      </c>
      <c r="D1623" t="s">
        <v>43</v>
      </c>
      <c r="E1623">
        <v>54</v>
      </c>
      <c r="F1623" t="s">
        <v>17</v>
      </c>
      <c r="G1623" s="1">
        <v>25948</v>
      </c>
      <c r="H1623" t="s">
        <v>3992</v>
      </c>
      <c r="I1623" s="2" t="str">
        <f t="shared" si="25"/>
        <v>+91-8728598167</v>
      </c>
      <c r="J1623">
        <f>91-8728598258</f>
        <v>-8728598167</v>
      </c>
      <c r="K1623" t="s">
        <v>33</v>
      </c>
      <c r="L1623" t="s">
        <v>34</v>
      </c>
      <c r="M1623">
        <v>647684</v>
      </c>
      <c r="N1623" s="1">
        <v>45277</v>
      </c>
      <c r="O1623" t="s">
        <v>28</v>
      </c>
      <c r="P1623">
        <v>7</v>
      </c>
      <c r="Q1623">
        <v>89266.73</v>
      </c>
    </row>
    <row r="1624" spans="1:17" x14ac:dyDescent="0.3">
      <c r="A1624" t="s">
        <v>3993</v>
      </c>
      <c r="B1624" t="s">
        <v>3994</v>
      </c>
      <c r="C1624" s="2" t="str">
        <f>PROPER(TRIM(Table1[[#This Row],[Gender]]))</f>
        <v>Female</v>
      </c>
      <c r="D1624" t="s">
        <v>43</v>
      </c>
      <c r="E1624">
        <v>20</v>
      </c>
      <c r="F1624" t="s">
        <v>49</v>
      </c>
      <c r="G1624" s="1">
        <v>38358</v>
      </c>
      <c r="H1624" t="s">
        <v>3995</v>
      </c>
      <c r="I1624" s="2" t="str">
        <f t="shared" si="25"/>
        <v>+91-7007922437</v>
      </c>
      <c r="J1624">
        <f>91-7007922528</f>
        <v>-7007922437</v>
      </c>
      <c r="K1624" t="s">
        <v>40</v>
      </c>
      <c r="L1624" t="s">
        <v>27</v>
      </c>
      <c r="M1624">
        <v>388175</v>
      </c>
      <c r="N1624" s="1">
        <v>45219</v>
      </c>
      <c r="O1624" t="s">
        <v>35</v>
      </c>
      <c r="P1624">
        <v>1</v>
      </c>
      <c r="Q1624">
        <v>8354.44</v>
      </c>
    </row>
    <row r="1625" spans="1:17" x14ac:dyDescent="0.3">
      <c r="A1625" t="s">
        <v>3996</v>
      </c>
      <c r="B1625" t="s">
        <v>493</v>
      </c>
      <c r="C1625" s="2" t="str">
        <f>PROPER(TRIM(Table1[[#This Row],[Gender]]))</f>
        <v>Female</v>
      </c>
      <c r="D1625" t="s">
        <v>43</v>
      </c>
      <c r="E1625">
        <v>44</v>
      </c>
      <c r="F1625" t="s">
        <v>38</v>
      </c>
      <c r="G1625" s="1">
        <v>29598</v>
      </c>
      <c r="H1625" t="s">
        <v>3997</v>
      </c>
      <c r="I1625" s="2" t="str">
        <f t="shared" si="25"/>
        <v>+91-8826452544</v>
      </c>
      <c r="J1625">
        <f>91-8826452635</f>
        <v>-8826452544</v>
      </c>
      <c r="K1625" t="s">
        <v>239</v>
      </c>
      <c r="L1625" t="s">
        <v>191</v>
      </c>
      <c r="M1625">
        <v>350805</v>
      </c>
      <c r="N1625" s="1">
        <v>45119</v>
      </c>
      <c r="O1625" t="s">
        <v>28</v>
      </c>
      <c r="P1625">
        <v>4</v>
      </c>
      <c r="Q1625">
        <v>97831.63</v>
      </c>
    </row>
    <row r="1626" spans="1:17" x14ac:dyDescent="0.3">
      <c r="A1626" t="s">
        <v>3998</v>
      </c>
      <c r="B1626" t="s">
        <v>540</v>
      </c>
      <c r="C1626" s="2" t="str">
        <f>PROPER(TRIM(Table1[[#This Row],[Gender]]))</f>
        <v>Female</v>
      </c>
      <c r="D1626" t="s">
        <v>43</v>
      </c>
      <c r="E1626">
        <v>32</v>
      </c>
      <c r="F1626" t="s">
        <v>31</v>
      </c>
      <c r="G1626" s="1">
        <v>33978</v>
      </c>
      <c r="H1626" t="s">
        <v>3999</v>
      </c>
      <c r="I1626" s="2" t="str">
        <f t="shared" si="25"/>
        <v>+91-7856097949</v>
      </c>
      <c r="J1626">
        <f>91-7856098040</f>
        <v>-7856097949</v>
      </c>
      <c r="K1626" t="s">
        <v>101</v>
      </c>
      <c r="L1626" t="s">
        <v>102</v>
      </c>
      <c r="M1626">
        <v>144157</v>
      </c>
      <c r="N1626" s="1">
        <v>45093</v>
      </c>
      <c r="O1626" t="s">
        <v>28</v>
      </c>
      <c r="P1626">
        <v>6</v>
      </c>
      <c r="Q1626">
        <v>109537.5</v>
      </c>
    </row>
    <row r="1627" spans="1:17" x14ac:dyDescent="0.3">
      <c r="A1627" t="s">
        <v>4000</v>
      </c>
      <c r="B1627" t="s">
        <v>507</v>
      </c>
      <c r="C1627" s="2" t="str">
        <f>PROPER(TRIM(Table1[[#This Row],[Gender]]))</f>
        <v>Male</v>
      </c>
      <c r="D1627" t="s">
        <v>16</v>
      </c>
      <c r="E1627">
        <v>48</v>
      </c>
      <c r="F1627" t="s">
        <v>17</v>
      </c>
      <c r="G1627" s="1">
        <v>28138</v>
      </c>
      <c r="H1627" t="s">
        <v>4001</v>
      </c>
      <c r="I1627" s="2" t="str">
        <f t="shared" si="25"/>
        <v>+91-7267803905</v>
      </c>
      <c r="J1627">
        <f>91-7267803996</f>
        <v>-7267803905</v>
      </c>
      <c r="K1627" t="s">
        <v>580</v>
      </c>
      <c r="L1627" t="s">
        <v>85</v>
      </c>
      <c r="M1627">
        <v>966325</v>
      </c>
      <c r="N1627" s="1">
        <v>45298</v>
      </c>
      <c r="O1627" t="s">
        <v>28</v>
      </c>
      <c r="P1627">
        <v>8</v>
      </c>
      <c r="Q1627">
        <v>58199.58</v>
      </c>
    </row>
    <row r="1628" spans="1:17" x14ac:dyDescent="0.3">
      <c r="A1628" t="s">
        <v>4002</v>
      </c>
      <c r="B1628" t="s">
        <v>410</v>
      </c>
      <c r="C1628" s="2" t="str">
        <f>PROPER(TRIM(Table1[[#This Row],[Gender]]))</f>
        <v>Male</v>
      </c>
      <c r="D1628" t="s">
        <v>16</v>
      </c>
      <c r="E1628">
        <v>25</v>
      </c>
      <c r="F1628" t="s">
        <v>49</v>
      </c>
      <c r="G1628" s="1">
        <v>36533</v>
      </c>
      <c r="H1628" t="s">
        <v>4003</v>
      </c>
      <c r="I1628" s="2" t="str">
        <f t="shared" si="25"/>
        <v>+91-7750269162</v>
      </c>
      <c r="J1628">
        <f>91-7750269253</f>
        <v>-7750269162</v>
      </c>
      <c r="K1628" t="s">
        <v>415</v>
      </c>
      <c r="L1628" t="s">
        <v>90</v>
      </c>
      <c r="M1628">
        <v>128366</v>
      </c>
      <c r="N1628" s="1">
        <v>45218</v>
      </c>
      <c r="O1628" t="s">
        <v>28</v>
      </c>
      <c r="P1628">
        <v>9</v>
      </c>
      <c r="Q1628">
        <v>327937.32</v>
      </c>
    </row>
    <row r="1629" spans="1:17" x14ac:dyDescent="0.3">
      <c r="A1629" t="s">
        <v>4004</v>
      </c>
      <c r="B1629" t="s">
        <v>359</v>
      </c>
      <c r="C1629" s="2" t="str">
        <f>PROPER(TRIM(Table1[[#This Row],[Gender]]))</f>
        <v>Male</v>
      </c>
      <c r="D1629" t="s">
        <v>16</v>
      </c>
      <c r="E1629">
        <v>23</v>
      </c>
      <c r="F1629" t="s">
        <v>49</v>
      </c>
      <c r="G1629" s="1">
        <v>37263</v>
      </c>
      <c r="H1629" t="s">
        <v>4005</v>
      </c>
      <c r="I1629" s="2" t="str">
        <f t="shared" si="25"/>
        <v>+91-8552036935</v>
      </c>
      <c r="J1629">
        <f>91-8552037026</f>
        <v>-8552036935</v>
      </c>
      <c r="K1629" t="s">
        <v>40</v>
      </c>
      <c r="L1629" t="s">
        <v>27</v>
      </c>
      <c r="M1629">
        <v>944229</v>
      </c>
      <c r="N1629" s="1">
        <v>45416</v>
      </c>
      <c r="O1629" t="s">
        <v>28</v>
      </c>
      <c r="P1629">
        <v>4</v>
      </c>
      <c r="Q1629">
        <v>163633.78</v>
      </c>
    </row>
    <row r="1630" spans="1:17" x14ac:dyDescent="0.3">
      <c r="A1630" t="s">
        <v>4006</v>
      </c>
      <c r="B1630" t="s">
        <v>560</v>
      </c>
      <c r="C1630" s="2" t="str">
        <f>PROPER(TRIM(Table1[[#This Row],[Gender]]))</f>
        <v>Male</v>
      </c>
      <c r="D1630" t="s">
        <v>16</v>
      </c>
      <c r="E1630">
        <v>32</v>
      </c>
      <c r="F1630" t="s">
        <v>31</v>
      </c>
      <c r="G1630" s="1">
        <v>33978</v>
      </c>
      <c r="H1630" t="s">
        <v>4007</v>
      </c>
      <c r="I1630" s="2" t="str">
        <f t="shared" si="25"/>
        <v>+91-9371402206</v>
      </c>
      <c r="J1630">
        <f>91-9371402297</f>
        <v>-9371402206</v>
      </c>
      <c r="K1630" t="s">
        <v>138</v>
      </c>
      <c r="L1630" t="s">
        <v>90</v>
      </c>
      <c r="M1630">
        <v>800036</v>
      </c>
      <c r="N1630" s="1">
        <v>45245</v>
      </c>
      <c r="O1630" t="s">
        <v>28</v>
      </c>
      <c r="P1630">
        <v>5</v>
      </c>
      <c r="Q1630">
        <v>227394.93</v>
      </c>
    </row>
    <row r="1631" spans="1:17" x14ac:dyDescent="0.3">
      <c r="A1631" t="s">
        <v>4008</v>
      </c>
      <c r="B1631" t="s">
        <v>2594</v>
      </c>
      <c r="C1631" s="2" t="str">
        <f>PROPER(TRIM(Table1[[#This Row],[Gender]]))</f>
        <v>Female</v>
      </c>
      <c r="D1631" t="s">
        <v>43</v>
      </c>
      <c r="E1631">
        <v>29</v>
      </c>
      <c r="F1631" t="s">
        <v>31</v>
      </c>
      <c r="G1631" s="1">
        <v>35073</v>
      </c>
      <c r="H1631" t="s">
        <v>4009</v>
      </c>
      <c r="I1631" s="2" t="str">
        <f t="shared" si="25"/>
        <v>+91-8022509847</v>
      </c>
      <c r="J1631">
        <f>91-8022509938</f>
        <v>-8022509847</v>
      </c>
      <c r="K1631" t="s">
        <v>178</v>
      </c>
      <c r="L1631" t="s">
        <v>27</v>
      </c>
      <c r="M1631">
        <v>957943</v>
      </c>
      <c r="N1631" s="1">
        <v>45368</v>
      </c>
      <c r="O1631" t="s">
        <v>28</v>
      </c>
      <c r="P1631">
        <v>5</v>
      </c>
      <c r="Q1631">
        <v>127708.99</v>
      </c>
    </row>
    <row r="1632" spans="1:17" x14ac:dyDescent="0.3">
      <c r="A1632" t="s">
        <v>4010</v>
      </c>
      <c r="B1632" t="s">
        <v>2587</v>
      </c>
      <c r="C1632" s="2" t="str">
        <f>PROPER(TRIM(Table1[[#This Row],[Gender]]))</f>
        <v>Female</v>
      </c>
      <c r="D1632" t="s">
        <v>43</v>
      </c>
      <c r="E1632">
        <v>38</v>
      </c>
      <c r="F1632" t="s">
        <v>38</v>
      </c>
      <c r="G1632" s="1">
        <v>31788</v>
      </c>
      <c r="H1632" t="s">
        <v>4011</v>
      </c>
      <c r="I1632" s="2" t="str">
        <f t="shared" si="25"/>
        <v>+91-8666435748</v>
      </c>
      <c r="J1632">
        <f>91-8666435839</f>
        <v>-8666435748</v>
      </c>
      <c r="K1632" t="s">
        <v>331</v>
      </c>
      <c r="L1632" t="s">
        <v>143</v>
      </c>
      <c r="M1632">
        <v>216954</v>
      </c>
      <c r="N1632" s="1">
        <v>45109</v>
      </c>
      <c r="O1632" t="s">
        <v>35</v>
      </c>
      <c r="P1632">
        <v>2</v>
      </c>
      <c r="Q1632">
        <v>2385.86</v>
      </c>
    </row>
    <row r="1633" spans="1:17" x14ac:dyDescent="0.3">
      <c r="A1633" t="s">
        <v>4012</v>
      </c>
      <c r="B1633" t="s">
        <v>2651</v>
      </c>
      <c r="C1633" s="2" t="str">
        <f>PROPER(TRIM(Table1[[#This Row],[Gender]]))</f>
        <v>Male</v>
      </c>
      <c r="D1633" t="s">
        <v>16</v>
      </c>
      <c r="E1633">
        <v>21</v>
      </c>
      <c r="F1633" t="s">
        <v>49</v>
      </c>
      <c r="G1633" s="1">
        <v>37993</v>
      </c>
      <c r="H1633" t="s">
        <v>4013</v>
      </c>
      <c r="I1633" s="2" t="str">
        <f t="shared" si="25"/>
        <v>+91-8642120200</v>
      </c>
      <c r="J1633">
        <f>91-8642120291</f>
        <v>-8642120200</v>
      </c>
      <c r="K1633" t="s">
        <v>76</v>
      </c>
      <c r="L1633" t="s">
        <v>46</v>
      </c>
      <c r="M1633">
        <v>176970</v>
      </c>
      <c r="N1633" s="1">
        <v>45401</v>
      </c>
      <c r="O1633" t="s">
        <v>21</v>
      </c>
      <c r="P1633">
        <v>3</v>
      </c>
      <c r="Q1633">
        <v>24318.55</v>
      </c>
    </row>
    <row r="1634" spans="1:17" x14ac:dyDescent="0.3">
      <c r="A1634" t="s">
        <v>4014</v>
      </c>
      <c r="B1634" t="s">
        <v>237</v>
      </c>
      <c r="C1634" s="2" t="str">
        <f>PROPER(TRIM(Table1[[#This Row],[Gender]]))</f>
        <v>Female</v>
      </c>
      <c r="D1634" t="s">
        <v>43</v>
      </c>
      <c r="E1634">
        <v>35</v>
      </c>
      <c r="F1634" t="s">
        <v>31</v>
      </c>
      <c r="G1634" s="1">
        <v>32883</v>
      </c>
      <c r="H1634" t="s">
        <v>4015</v>
      </c>
      <c r="I1634" s="2" t="str">
        <f t="shared" si="25"/>
        <v>+91-9360883453</v>
      </c>
      <c r="J1634">
        <f>91-9360883544</f>
        <v>-9360883453</v>
      </c>
      <c r="K1634" t="s">
        <v>72</v>
      </c>
      <c r="L1634" t="s">
        <v>34</v>
      </c>
      <c r="M1634">
        <v>772826</v>
      </c>
      <c r="N1634" s="1">
        <v>45377</v>
      </c>
      <c r="O1634" t="s">
        <v>28</v>
      </c>
      <c r="P1634">
        <v>5</v>
      </c>
      <c r="Q1634">
        <v>95705.36</v>
      </c>
    </row>
    <row r="1635" spans="1:17" x14ac:dyDescent="0.3">
      <c r="A1635" t="s">
        <v>4016</v>
      </c>
      <c r="B1635" t="s">
        <v>207</v>
      </c>
      <c r="C1635" s="2" t="str">
        <f>PROPER(TRIM(Table1[[#This Row],[Gender]]))</f>
        <v>Female</v>
      </c>
      <c r="D1635" t="s">
        <v>43</v>
      </c>
      <c r="E1635">
        <v>45</v>
      </c>
      <c r="F1635" t="s">
        <v>38</v>
      </c>
      <c r="G1635" s="1">
        <v>29233</v>
      </c>
      <c r="H1635" t="s">
        <v>4017</v>
      </c>
      <c r="I1635" s="2" t="str">
        <f t="shared" si="25"/>
        <v>+91-7642032254</v>
      </c>
      <c r="J1635">
        <f>91-7642032345</f>
        <v>-7642032254</v>
      </c>
      <c r="K1635" t="s">
        <v>101</v>
      </c>
      <c r="L1635" t="s">
        <v>102</v>
      </c>
      <c r="M1635">
        <v>500686</v>
      </c>
      <c r="N1635" s="1">
        <v>45338</v>
      </c>
      <c r="O1635" t="s">
        <v>35</v>
      </c>
      <c r="P1635">
        <v>1</v>
      </c>
      <c r="Q1635">
        <v>2620.19</v>
      </c>
    </row>
    <row r="1636" spans="1:17" x14ac:dyDescent="0.3">
      <c r="A1636" t="s">
        <v>4018</v>
      </c>
      <c r="B1636" t="s">
        <v>1378</v>
      </c>
      <c r="C1636" s="2" t="str">
        <f>PROPER(TRIM(Table1[[#This Row],[Gender]]))</f>
        <v>Male</v>
      </c>
      <c r="D1636" t="s">
        <v>16</v>
      </c>
      <c r="E1636">
        <v>26</v>
      </c>
      <c r="F1636" t="s">
        <v>31</v>
      </c>
      <c r="G1636" s="1">
        <v>36168</v>
      </c>
      <c r="H1636" t="s">
        <v>4019</v>
      </c>
      <c r="I1636" s="2" t="str">
        <f t="shared" si="25"/>
        <v>+91-9889027855</v>
      </c>
      <c r="J1636">
        <f>91-9889027946</f>
        <v>-9889027855</v>
      </c>
      <c r="K1636" t="s">
        <v>154</v>
      </c>
      <c r="L1636" t="s">
        <v>46</v>
      </c>
      <c r="M1636">
        <v>415342</v>
      </c>
      <c r="N1636" s="1">
        <v>45297</v>
      </c>
      <c r="O1636" t="s">
        <v>28</v>
      </c>
      <c r="P1636">
        <v>3</v>
      </c>
      <c r="Q1636">
        <v>74542.52</v>
      </c>
    </row>
    <row r="1637" spans="1:17" x14ac:dyDescent="0.3">
      <c r="A1637" t="s">
        <v>4020</v>
      </c>
      <c r="B1637" t="s">
        <v>159</v>
      </c>
      <c r="C1637" s="2" t="str">
        <f>PROPER(TRIM(Table1[[#This Row],[Gender]]))</f>
        <v>Female</v>
      </c>
      <c r="D1637" t="s">
        <v>43</v>
      </c>
      <c r="E1637">
        <v>31</v>
      </c>
      <c r="F1637" t="s">
        <v>31</v>
      </c>
      <c r="G1637" s="1">
        <v>34343</v>
      </c>
      <c r="H1637" t="s">
        <v>4021</v>
      </c>
      <c r="I1637" s="2" t="str">
        <f t="shared" si="25"/>
        <v>+91-8221816895</v>
      </c>
      <c r="J1637">
        <f>91-8221816986</f>
        <v>-8221816895</v>
      </c>
      <c r="K1637" t="s">
        <v>94</v>
      </c>
      <c r="L1637" t="s">
        <v>20</v>
      </c>
      <c r="M1637">
        <v>512593</v>
      </c>
      <c r="N1637" s="1">
        <v>45192</v>
      </c>
      <c r="O1637" t="s">
        <v>28</v>
      </c>
      <c r="P1637">
        <v>2</v>
      </c>
      <c r="Q1637">
        <v>264520.52</v>
      </c>
    </row>
    <row r="1638" spans="1:17" x14ac:dyDescent="0.3">
      <c r="A1638" t="s">
        <v>4022</v>
      </c>
      <c r="B1638" t="s">
        <v>422</v>
      </c>
      <c r="C1638" s="2" t="str">
        <f>PROPER(TRIM(Table1[[#This Row],[Gender]]))</f>
        <v>Male</v>
      </c>
      <c r="D1638" t="s">
        <v>16</v>
      </c>
      <c r="E1638">
        <v>19</v>
      </c>
      <c r="F1638" t="s">
        <v>49</v>
      </c>
      <c r="G1638" s="1">
        <v>38723</v>
      </c>
      <c r="H1638" t="s">
        <v>4023</v>
      </c>
      <c r="I1638" s="2" t="str">
        <f t="shared" si="25"/>
        <v>+91-7242405219</v>
      </c>
      <c r="J1638">
        <f>91-7242405310</f>
        <v>-7242405219</v>
      </c>
      <c r="K1638" t="s">
        <v>273</v>
      </c>
      <c r="L1638" t="s">
        <v>46</v>
      </c>
      <c r="M1638">
        <v>727625</v>
      </c>
      <c r="N1638" s="1">
        <v>45181</v>
      </c>
      <c r="O1638" t="s">
        <v>28</v>
      </c>
      <c r="P1638">
        <v>6</v>
      </c>
      <c r="Q1638">
        <v>147448.18</v>
      </c>
    </row>
    <row r="1639" spans="1:17" x14ac:dyDescent="0.3">
      <c r="A1639" t="s">
        <v>4024</v>
      </c>
      <c r="B1639" t="s">
        <v>2994</v>
      </c>
      <c r="C1639" s="2" t="str">
        <f>PROPER(TRIM(Table1[[#This Row],[Gender]]))</f>
        <v>Female</v>
      </c>
      <c r="D1639" t="s">
        <v>43</v>
      </c>
      <c r="E1639">
        <v>20</v>
      </c>
      <c r="F1639" t="s">
        <v>49</v>
      </c>
      <c r="G1639" s="1">
        <v>38358</v>
      </c>
      <c r="H1639" t="s">
        <v>4025</v>
      </c>
      <c r="I1639" s="2" t="str">
        <f t="shared" si="25"/>
        <v>+91-8657628043</v>
      </c>
      <c r="J1639">
        <f>91-8657628134</f>
        <v>-8657628043</v>
      </c>
      <c r="K1639" t="s">
        <v>80</v>
      </c>
      <c r="L1639" t="s">
        <v>20</v>
      </c>
      <c r="M1639">
        <v>457886</v>
      </c>
      <c r="N1639" s="1">
        <v>45234</v>
      </c>
      <c r="O1639" t="s">
        <v>35</v>
      </c>
      <c r="P1639">
        <v>6</v>
      </c>
      <c r="Q1639">
        <v>16621.830000000002</v>
      </c>
    </row>
    <row r="1640" spans="1:17" x14ac:dyDescent="0.3">
      <c r="A1640" t="s">
        <v>4026</v>
      </c>
      <c r="B1640" t="s">
        <v>2674</v>
      </c>
      <c r="C1640" s="2" t="str">
        <f>PROPER(TRIM(Table1[[#This Row],[Gender]]))</f>
        <v>Female</v>
      </c>
      <c r="D1640" t="s">
        <v>43</v>
      </c>
      <c r="E1640">
        <v>37</v>
      </c>
      <c r="F1640" t="s">
        <v>38</v>
      </c>
      <c r="G1640" s="1">
        <v>32153</v>
      </c>
      <c r="H1640" t="s">
        <v>4027</v>
      </c>
      <c r="I1640" s="2" t="str">
        <f t="shared" si="25"/>
        <v>+91-7901063901</v>
      </c>
      <c r="J1640">
        <f>91-7901063992</f>
        <v>-7901063901</v>
      </c>
      <c r="K1640" t="s">
        <v>26</v>
      </c>
      <c r="L1640" t="s">
        <v>27</v>
      </c>
      <c r="M1640">
        <v>524302</v>
      </c>
      <c r="N1640" s="1">
        <v>45094</v>
      </c>
      <c r="O1640" t="s">
        <v>35</v>
      </c>
      <c r="P1640">
        <v>4</v>
      </c>
      <c r="Q1640">
        <v>2988.9</v>
      </c>
    </row>
    <row r="1641" spans="1:17" x14ac:dyDescent="0.3">
      <c r="A1641" t="s">
        <v>4028</v>
      </c>
      <c r="B1641" t="s">
        <v>445</v>
      </c>
      <c r="C1641" s="2" t="str">
        <f>PROPER(TRIM(Table1[[#This Row],[Gender]]))</f>
        <v>Male</v>
      </c>
      <c r="D1641" t="s">
        <v>16</v>
      </c>
      <c r="E1641">
        <v>19</v>
      </c>
      <c r="F1641" t="s">
        <v>49</v>
      </c>
      <c r="G1641" s="1">
        <v>38723</v>
      </c>
      <c r="H1641" t="s">
        <v>4029</v>
      </c>
      <c r="I1641" s="2" t="str">
        <f t="shared" si="25"/>
        <v>+91-9224294445</v>
      </c>
      <c r="J1641">
        <f>91-9224294536</f>
        <v>-9224294445</v>
      </c>
      <c r="K1641" t="s">
        <v>40</v>
      </c>
      <c r="L1641" t="s">
        <v>27</v>
      </c>
      <c r="M1641">
        <v>576564</v>
      </c>
      <c r="N1641" s="1">
        <v>45156</v>
      </c>
      <c r="O1641" t="s">
        <v>28</v>
      </c>
      <c r="P1641">
        <v>4</v>
      </c>
      <c r="Q1641">
        <v>232171.46</v>
      </c>
    </row>
    <row r="1642" spans="1:17" x14ac:dyDescent="0.3">
      <c r="A1642" t="s">
        <v>4030</v>
      </c>
      <c r="B1642" t="s">
        <v>1989</v>
      </c>
      <c r="C1642" s="2" t="str">
        <f>PROPER(TRIM(Table1[[#This Row],[Gender]]))</f>
        <v>Female</v>
      </c>
      <c r="D1642" t="s">
        <v>43</v>
      </c>
      <c r="E1642">
        <v>60</v>
      </c>
      <c r="F1642" t="s">
        <v>58</v>
      </c>
      <c r="G1642" s="1">
        <v>23758</v>
      </c>
      <c r="H1642" t="s">
        <v>1990</v>
      </c>
      <c r="I1642" s="2" t="str">
        <f t="shared" si="25"/>
        <v>+91-9707802979</v>
      </c>
      <c r="J1642">
        <f>91-9707803070</f>
        <v>-9707802979</v>
      </c>
      <c r="K1642" t="s">
        <v>174</v>
      </c>
      <c r="L1642" t="s">
        <v>90</v>
      </c>
      <c r="M1642">
        <v>142577</v>
      </c>
      <c r="N1642" s="1">
        <v>45378</v>
      </c>
      <c r="O1642" t="s">
        <v>21</v>
      </c>
      <c r="P1642">
        <v>7</v>
      </c>
      <c r="Q1642">
        <v>26020.54</v>
      </c>
    </row>
    <row r="1643" spans="1:17" x14ac:dyDescent="0.3">
      <c r="A1643" t="s">
        <v>4031</v>
      </c>
      <c r="B1643" t="s">
        <v>1283</v>
      </c>
      <c r="C1643" s="2" t="str">
        <f>PROPER(TRIM(Table1[[#This Row],[Gender]]))</f>
        <v>Female</v>
      </c>
      <c r="D1643" t="s">
        <v>43</v>
      </c>
      <c r="E1643">
        <v>45</v>
      </c>
      <c r="F1643" t="s">
        <v>38</v>
      </c>
      <c r="G1643" s="1">
        <v>29233</v>
      </c>
      <c r="H1643" t="s">
        <v>4032</v>
      </c>
      <c r="I1643" s="2" t="str">
        <f t="shared" si="25"/>
        <v>+91-7994275137</v>
      </c>
      <c r="J1643">
        <f>91-7994275228</f>
        <v>-7994275137</v>
      </c>
      <c r="K1643" t="s">
        <v>26</v>
      </c>
      <c r="L1643" t="s">
        <v>27</v>
      </c>
      <c r="M1643">
        <v>658875</v>
      </c>
      <c r="N1643" s="1">
        <v>45214</v>
      </c>
      <c r="O1643" t="s">
        <v>28</v>
      </c>
      <c r="P1643">
        <v>5</v>
      </c>
      <c r="Q1643">
        <v>278094.96000000002</v>
      </c>
    </row>
    <row r="1644" spans="1:17" x14ac:dyDescent="0.3">
      <c r="A1644" t="s">
        <v>4033</v>
      </c>
      <c r="B1644" t="s">
        <v>4034</v>
      </c>
      <c r="C1644" s="2" t="str">
        <f>PROPER(TRIM(Table1[[#This Row],[Gender]]))</f>
        <v>Female</v>
      </c>
      <c r="D1644" t="s">
        <v>43</v>
      </c>
      <c r="E1644">
        <v>38</v>
      </c>
      <c r="F1644" t="s">
        <v>38</v>
      </c>
      <c r="G1644" s="1">
        <v>31788</v>
      </c>
      <c r="H1644" t="s">
        <v>4035</v>
      </c>
      <c r="I1644" s="2" t="str">
        <f t="shared" si="25"/>
        <v>+91-8227169951</v>
      </c>
      <c r="J1644">
        <f>91-8227170042</f>
        <v>-8227169951</v>
      </c>
      <c r="K1644" t="s">
        <v>33</v>
      </c>
      <c r="L1644" t="s">
        <v>34</v>
      </c>
      <c r="M1644">
        <v>185495</v>
      </c>
      <c r="N1644" s="1">
        <v>45321</v>
      </c>
      <c r="O1644" t="s">
        <v>28</v>
      </c>
      <c r="P1644">
        <v>4</v>
      </c>
      <c r="Q1644">
        <v>114601.23</v>
      </c>
    </row>
    <row r="1645" spans="1:17" x14ac:dyDescent="0.3">
      <c r="A1645" t="s">
        <v>4036</v>
      </c>
      <c r="B1645" t="s">
        <v>4037</v>
      </c>
      <c r="C1645" s="2" t="str">
        <f>PROPER(TRIM(Table1[[#This Row],[Gender]]))</f>
        <v>Female</v>
      </c>
      <c r="D1645" t="s">
        <v>43</v>
      </c>
      <c r="E1645">
        <v>28</v>
      </c>
      <c r="F1645" t="s">
        <v>31</v>
      </c>
      <c r="G1645" s="1">
        <v>35438</v>
      </c>
      <c r="H1645" t="s">
        <v>4038</v>
      </c>
      <c r="I1645" s="2" t="str">
        <f t="shared" si="25"/>
        <v>+91-8865096897</v>
      </c>
      <c r="J1645">
        <f>91-8865096988</f>
        <v>-8865096897</v>
      </c>
      <c r="K1645" t="s">
        <v>174</v>
      </c>
      <c r="L1645" t="s">
        <v>90</v>
      </c>
      <c r="M1645">
        <v>430718</v>
      </c>
      <c r="N1645" s="1">
        <v>45222</v>
      </c>
      <c r="O1645" t="s">
        <v>28</v>
      </c>
      <c r="P1645">
        <v>9</v>
      </c>
      <c r="Q1645">
        <v>270862.06</v>
      </c>
    </row>
    <row r="1646" spans="1:17" x14ac:dyDescent="0.3">
      <c r="A1646" t="s">
        <v>4039</v>
      </c>
      <c r="B1646" t="s">
        <v>1591</v>
      </c>
      <c r="C1646" s="2" t="str">
        <f>PROPER(TRIM(Table1[[#This Row],[Gender]]))</f>
        <v>Female</v>
      </c>
      <c r="D1646" t="s">
        <v>43</v>
      </c>
      <c r="E1646">
        <v>22</v>
      </c>
      <c r="F1646" t="s">
        <v>49</v>
      </c>
      <c r="G1646" s="1">
        <v>37628</v>
      </c>
      <c r="H1646" t="s">
        <v>3336</v>
      </c>
      <c r="I1646" s="2" t="str">
        <f t="shared" si="25"/>
        <v>+91-8820711273</v>
      </c>
      <c r="J1646">
        <f>91-8820711364</f>
        <v>-8820711273</v>
      </c>
      <c r="K1646" t="s">
        <v>101</v>
      </c>
      <c r="L1646" t="s">
        <v>102</v>
      </c>
      <c r="M1646">
        <v>135943</v>
      </c>
      <c r="N1646" s="1">
        <v>45349</v>
      </c>
      <c r="O1646" t="s">
        <v>21</v>
      </c>
      <c r="P1646">
        <v>6</v>
      </c>
      <c r="Q1646">
        <v>41028.89</v>
      </c>
    </row>
    <row r="1647" spans="1:17" x14ac:dyDescent="0.3">
      <c r="A1647" t="s">
        <v>4040</v>
      </c>
      <c r="B1647" t="s">
        <v>257</v>
      </c>
      <c r="C1647" s="2" t="str">
        <f>PROPER(TRIM(Table1[[#This Row],[Gender]]))</f>
        <v>Male</v>
      </c>
      <c r="D1647" t="s">
        <v>16</v>
      </c>
      <c r="E1647">
        <v>58</v>
      </c>
      <c r="F1647" t="s">
        <v>58</v>
      </c>
      <c r="G1647" s="1">
        <v>24488</v>
      </c>
      <c r="H1647" t="s">
        <v>4041</v>
      </c>
      <c r="I1647" s="2" t="str">
        <f t="shared" si="25"/>
        <v>+91-7284594290</v>
      </c>
      <c r="J1647">
        <f>91-7284594381</f>
        <v>-7284594290</v>
      </c>
      <c r="K1647" t="s">
        <v>202</v>
      </c>
      <c r="L1647" t="s">
        <v>191</v>
      </c>
      <c r="M1647">
        <v>608509</v>
      </c>
      <c r="N1647" s="1">
        <v>45177</v>
      </c>
      <c r="O1647" t="s">
        <v>28</v>
      </c>
      <c r="P1647">
        <v>6</v>
      </c>
      <c r="Q1647">
        <v>100872.88</v>
      </c>
    </row>
    <row r="1648" spans="1:17" x14ac:dyDescent="0.3">
      <c r="A1648" t="s">
        <v>4042</v>
      </c>
      <c r="B1648" t="s">
        <v>2024</v>
      </c>
      <c r="C1648" s="2" t="str">
        <f>PROPER(TRIM(Table1[[#This Row],[Gender]]))</f>
        <v>Female</v>
      </c>
      <c r="D1648" t="s">
        <v>43</v>
      </c>
      <c r="E1648">
        <v>65</v>
      </c>
      <c r="F1648" t="s">
        <v>58</v>
      </c>
      <c r="G1648" s="1">
        <v>21933</v>
      </c>
      <c r="H1648" t="s">
        <v>4043</v>
      </c>
      <c r="I1648" s="2" t="str">
        <f t="shared" si="25"/>
        <v>+91-7462010095</v>
      </c>
      <c r="J1648">
        <f>91-7462010186</f>
        <v>-7462010095</v>
      </c>
      <c r="K1648" t="s">
        <v>142</v>
      </c>
      <c r="L1648" t="s">
        <v>143</v>
      </c>
      <c r="M1648">
        <v>236348</v>
      </c>
      <c r="N1648" s="1">
        <v>45101</v>
      </c>
      <c r="O1648" t="s">
        <v>28</v>
      </c>
      <c r="P1648">
        <v>7</v>
      </c>
      <c r="Q1648">
        <v>99887.25</v>
      </c>
    </row>
    <row r="1649" spans="1:17" x14ac:dyDescent="0.3">
      <c r="A1649" t="s">
        <v>4044</v>
      </c>
      <c r="B1649" t="s">
        <v>4045</v>
      </c>
      <c r="C1649" s="2" t="str">
        <f>PROPER(TRIM(Table1[[#This Row],[Gender]]))</f>
        <v>Female</v>
      </c>
      <c r="D1649" t="s">
        <v>43</v>
      </c>
      <c r="E1649">
        <v>65</v>
      </c>
      <c r="F1649" t="s">
        <v>58</v>
      </c>
      <c r="G1649" s="1">
        <v>21933</v>
      </c>
      <c r="H1649" t="s">
        <v>4046</v>
      </c>
      <c r="I1649" s="2" t="str">
        <f t="shared" si="25"/>
        <v>+91-9101478294</v>
      </c>
      <c r="J1649">
        <f>91-9101478385</f>
        <v>-9101478294</v>
      </c>
      <c r="K1649" t="s">
        <v>113</v>
      </c>
      <c r="L1649" t="s">
        <v>34</v>
      </c>
      <c r="M1649">
        <v>942623</v>
      </c>
      <c r="N1649" s="1">
        <v>45347</v>
      </c>
      <c r="O1649" t="s">
        <v>35</v>
      </c>
      <c r="P1649">
        <v>4</v>
      </c>
      <c r="Q1649">
        <v>6253.45</v>
      </c>
    </row>
    <row r="1650" spans="1:17" x14ac:dyDescent="0.3">
      <c r="A1650" t="s">
        <v>4047</v>
      </c>
      <c r="B1650" t="s">
        <v>1474</v>
      </c>
      <c r="C1650" s="2" t="str">
        <f>PROPER(TRIM(Table1[[#This Row],[Gender]]))</f>
        <v>Female</v>
      </c>
      <c r="D1650" t="s">
        <v>43</v>
      </c>
      <c r="E1650">
        <v>34</v>
      </c>
      <c r="F1650" t="s">
        <v>31</v>
      </c>
      <c r="G1650" s="1">
        <v>33248</v>
      </c>
      <c r="H1650" t="s">
        <v>4048</v>
      </c>
      <c r="I1650" s="2" t="str">
        <f t="shared" si="25"/>
        <v>+91-8231080014</v>
      </c>
      <c r="J1650">
        <f>91-8231080105</f>
        <v>-8231080014</v>
      </c>
      <c r="K1650" t="s">
        <v>109</v>
      </c>
      <c r="L1650" t="s">
        <v>46</v>
      </c>
      <c r="M1650">
        <v>114411</v>
      </c>
      <c r="N1650" s="1">
        <v>45319</v>
      </c>
      <c r="O1650" t="s">
        <v>28</v>
      </c>
      <c r="P1650">
        <v>4</v>
      </c>
      <c r="Q1650">
        <v>317647.35999999999</v>
      </c>
    </row>
    <row r="1651" spans="1:17" x14ac:dyDescent="0.3">
      <c r="A1651" t="s">
        <v>4049</v>
      </c>
      <c r="B1651" t="s">
        <v>4050</v>
      </c>
      <c r="C1651" s="2" t="str">
        <f>PROPER(TRIM(Table1[[#This Row],[Gender]]))</f>
        <v>Male</v>
      </c>
      <c r="D1651" t="s">
        <v>16</v>
      </c>
      <c r="E1651">
        <v>27</v>
      </c>
      <c r="F1651" t="s">
        <v>31</v>
      </c>
      <c r="G1651" s="1">
        <v>35803</v>
      </c>
      <c r="H1651" t="s">
        <v>4051</v>
      </c>
      <c r="I1651" s="2" t="str">
        <f t="shared" si="25"/>
        <v>+91-9677208879</v>
      </c>
      <c r="J1651">
        <f>91-9677208970</f>
        <v>-9677208879</v>
      </c>
      <c r="K1651" t="s">
        <v>121</v>
      </c>
      <c r="L1651" t="s">
        <v>85</v>
      </c>
      <c r="M1651">
        <v>680691</v>
      </c>
      <c r="N1651" s="1">
        <v>45242</v>
      </c>
      <c r="O1651" t="s">
        <v>28</v>
      </c>
      <c r="P1651">
        <v>3</v>
      </c>
      <c r="Q1651">
        <v>273847.65000000002</v>
      </c>
    </row>
    <row r="1652" spans="1:17" x14ac:dyDescent="0.3">
      <c r="A1652" t="s">
        <v>4052</v>
      </c>
      <c r="B1652" t="s">
        <v>1236</v>
      </c>
      <c r="C1652" s="2" t="str">
        <f>PROPER(TRIM(Table1[[#This Row],[Gender]]))</f>
        <v>Male</v>
      </c>
      <c r="D1652" t="s">
        <v>16</v>
      </c>
      <c r="E1652">
        <v>27</v>
      </c>
      <c r="F1652" t="s">
        <v>31</v>
      </c>
      <c r="G1652" s="1">
        <v>35803</v>
      </c>
      <c r="H1652" t="s">
        <v>4053</v>
      </c>
      <c r="I1652" s="2" t="str">
        <f t="shared" si="25"/>
        <v>+91-8551040626</v>
      </c>
      <c r="J1652">
        <f>91-8551040717</f>
        <v>-8551040626</v>
      </c>
      <c r="K1652" t="s">
        <v>26</v>
      </c>
      <c r="L1652" t="s">
        <v>27</v>
      </c>
      <c r="M1652">
        <v>113251</v>
      </c>
      <c r="N1652" s="1">
        <v>45286</v>
      </c>
      <c r="O1652" t="s">
        <v>21</v>
      </c>
      <c r="P1652">
        <v>3</v>
      </c>
      <c r="Q1652">
        <v>45332.95</v>
      </c>
    </row>
    <row r="1653" spans="1:17" x14ac:dyDescent="0.3">
      <c r="A1653" t="s">
        <v>4054</v>
      </c>
      <c r="B1653" t="s">
        <v>2348</v>
      </c>
      <c r="C1653" s="2" t="str">
        <f>PROPER(TRIM(Table1[[#This Row],[Gender]]))</f>
        <v>Male</v>
      </c>
      <c r="D1653" t="s">
        <v>16</v>
      </c>
      <c r="E1653">
        <v>22</v>
      </c>
      <c r="F1653" t="s">
        <v>49</v>
      </c>
      <c r="G1653" s="1">
        <v>37628</v>
      </c>
      <c r="H1653" t="s">
        <v>4055</v>
      </c>
      <c r="I1653" s="2" t="str">
        <f t="shared" si="25"/>
        <v>+91-7976395331</v>
      </c>
      <c r="J1653">
        <f>91-7976395422</f>
        <v>-7976395331</v>
      </c>
      <c r="K1653" t="s">
        <v>125</v>
      </c>
      <c r="L1653" t="s">
        <v>52</v>
      </c>
      <c r="M1653">
        <v>745693</v>
      </c>
      <c r="N1653" s="1">
        <v>45313</v>
      </c>
      <c r="O1653" t="s">
        <v>28</v>
      </c>
      <c r="P1653">
        <v>8</v>
      </c>
      <c r="Q1653">
        <v>85552.46</v>
      </c>
    </row>
    <row r="1654" spans="1:17" x14ac:dyDescent="0.3">
      <c r="A1654" t="s">
        <v>4056</v>
      </c>
      <c r="B1654" t="s">
        <v>2613</v>
      </c>
      <c r="C1654" s="2" t="str">
        <f>PROPER(TRIM(Table1[[#This Row],[Gender]]))</f>
        <v>Female</v>
      </c>
      <c r="D1654" t="s">
        <v>43</v>
      </c>
      <c r="E1654">
        <v>40</v>
      </c>
      <c r="F1654" t="s">
        <v>38</v>
      </c>
      <c r="G1654" s="1">
        <v>31058</v>
      </c>
      <c r="H1654" t="s">
        <v>4057</v>
      </c>
      <c r="I1654" s="2" t="str">
        <f t="shared" si="25"/>
        <v>+91-9256191975</v>
      </c>
      <c r="J1654">
        <f>91-9256192066</f>
        <v>-9256191975</v>
      </c>
      <c r="K1654" t="s">
        <v>161</v>
      </c>
      <c r="L1654" t="s">
        <v>102</v>
      </c>
      <c r="M1654">
        <v>974276</v>
      </c>
      <c r="N1654" s="1">
        <v>45303</v>
      </c>
      <c r="O1654" t="s">
        <v>21</v>
      </c>
      <c r="P1654">
        <v>3</v>
      </c>
      <c r="Q1654">
        <v>34882.699999999997</v>
      </c>
    </row>
    <row r="1655" spans="1:17" x14ac:dyDescent="0.3">
      <c r="A1655" t="s">
        <v>4058</v>
      </c>
      <c r="B1655" t="s">
        <v>4059</v>
      </c>
      <c r="C1655" s="2" t="str">
        <f>PROPER(TRIM(Table1[[#This Row],[Gender]]))</f>
        <v>Male</v>
      </c>
      <c r="D1655" t="s">
        <v>16</v>
      </c>
      <c r="E1655">
        <v>37</v>
      </c>
      <c r="F1655" t="s">
        <v>38</v>
      </c>
      <c r="G1655" s="1">
        <v>32153</v>
      </c>
      <c r="H1655" t="s">
        <v>4060</v>
      </c>
      <c r="I1655" s="2" t="str">
        <f t="shared" si="25"/>
        <v>+91-8897452206</v>
      </c>
      <c r="J1655">
        <f>91-8897452297</f>
        <v>-8897452206</v>
      </c>
      <c r="K1655" t="s">
        <v>117</v>
      </c>
      <c r="L1655" t="s">
        <v>52</v>
      </c>
      <c r="M1655">
        <v>193781</v>
      </c>
      <c r="N1655" s="1">
        <v>45248</v>
      </c>
      <c r="O1655" t="s">
        <v>28</v>
      </c>
      <c r="P1655">
        <v>7</v>
      </c>
      <c r="Q1655">
        <v>234277.03</v>
      </c>
    </row>
    <row r="1656" spans="1:17" x14ac:dyDescent="0.3">
      <c r="A1656" t="s">
        <v>4061</v>
      </c>
      <c r="B1656" t="s">
        <v>1995</v>
      </c>
      <c r="C1656" s="2" t="str">
        <f>PROPER(TRIM(Table1[[#This Row],[Gender]]))</f>
        <v>Male</v>
      </c>
      <c r="D1656" t="s">
        <v>16</v>
      </c>
      <c r="E1656">
        <v>48</v>
      </c>
      <c r="F1656" t="s">
        <v>17</v>
      </c>
      <c r="G1656" s="1">
        <v>28138</v>
      </c>
      <c r="H1656" t="s">
        <v>4062</v>
      </c>
      <c r="I1656" s="2" t="str">
        <f t="shared" si="25"/>
        <v>+91-8734582423</v>
      </c>
      <c r="J1656">
        <f>91-8734582514</f>
        <v>-8734582423</v>
      </c>
      <c r="K1656" t="s">
        <v>45</v>
      </c>
      <c r="L1656" t="s">
        <v>46</v>
      </c>
      <c r="M1656">
        <v>457038</v>
      </c>
      <c r="N1656" s="1">
        <v>45423</v>
      </c>
      <c r="O1656" t="s">
        <v>28</v>
      </c>
      <c r="P1656">
        <v>7</v>
      </c>
      <c r="Q1656">
        <v>90560.57</v>
      </c>
    </row>
    <row r="1657" spans="1:17" x14ac:dyDescent="0.3">
      <c r="A1657" t="s">
        <v>4063</v>
      </c>
      <c r="B1657" t="s">
        <v>3783</v>
      </c>
      <c r="C1657" s="2" t="str">
        <f>PROPER(TRIM(Table1[[#This Row],[Gender]]))</f>
        <v>Male</v>
      </c>
      <c r="D1657" t="s">
        <v>16</v>
      </c>
      <c r="E1657">
        <v>34</v>
      </c>
      <c r="F1657" t="s">
        <v>31</v>
      </c>
      <c r="G1657" s="1">
        <v>33248</v>
      </c>
      <c r="H1657" t="s">
        <v>4064</v>
      </c>
      <c r="I1657" s="2" t="str">
        <f t="shared" si="25"/>
        <v>+91-8979922860</v>
      </c>
      <c r="J1657">
        <f>91-8979922951</f>
        <v>-8979922860</v>
      </c>
      <c r="K1657" t="s">
        <v>121</v>
      </c>
      <c r="L1657" t="s">
        <v>85</v>
      </c>
      <c r="M1657">
        <v>614788</v>
      </c>
      <c r="N1657" s="1">
        <v>45088</v>
      </c>
      <c r="O1657" t="s">
        <v>28</v>
      </c>
      <c r="P1657">
        <v>7</v>
      </c>
      <c r="Q1657">
        <v>131237.9</v>
      </c>
    </row>
    <row r="1658" spans="1:17" x14ac:dyDescent="0.3">
      <c r="A1658" t="s">
        <v>4065</v>
      </c>
      <c r="B1658" t="s">
        <v>1297</v>
      </c>
      <c r="C1658" s="2" t="str">
        <f>PROPER(TRIM(Table1[[#This Row],[Gender]]))</f>
        <v>Male</v>
      </c>
      <c r="D1658" t="s">
        <v>16</v>
      </c>
      <c r="E1658">
        <v>22</v>
      </c>
      <c r="F1658" t="s">
        <v>49</v>
      </c>
      <c r="G1658" s="1">
        <v>37628</v>
      </c>
      <c r="H1658" t="s">
        <v>3116</v>
      </c>
      <c r="I1658" s="2" t="str">
        <f t="shared" si="25"/>
        <v>+91-9445249954</v>
      </c>
      <c r="J1658">
        <f>91-9445250045</f>
        <v>-9445249954</v>
      </c>
      <c r="K1658" t="s">
        <v>195</v>
      </c>
      <c r="L1658" t="s">
        <v>102</v>
      </c>
      <c r="M1658">
        <v>194884</v>
      </c>
      <c r="N1658" s="1">
        <v>45308</v>
      </c>
      <c r="O1658" t="s">
        <v>28</v>
      </c>
      <c r="P1658">
        <v>7</v>
      </c>
      <c r="Q1658">
        <v>63513.919999999998</v>
      </c>
    </row>
    <row r="1659" spans="1:17" x14ac:dyDescent="0.3">
      <c r="A1659" t="s">
        <v>4066</v>
      </c>
      <c r="B1659" t="s">
        <v>3580</v>
      </c>
      <c r="C1659" s="2" t="str">
        <f>PROPER(TRIM(Table1[[#This Row],[Gender]]))</f>
        <v>Male</v>
      </c>
      <c r="D1659" t="s">
        <v>16</v>
      </c>
      <c r="E1659">
        <v>33</v>
      </c>
      <c r="F1659" t="s">
        <v>31</v>
      </c>
      <c r="G1659" s="1">
        <v>33613</v>
      </c>
      <c r="H1659" t="s">
        <v>4067</v>
      </c>
      <c r="I1659" s="2" t="str">
        <f t="shared" si="25"/>
        <v>+91-9246307997</v>
      </c>
      <c r="J1659">
        <f>91-9246308088</f>
        <v>-9246307997</v>
      </c>
      <c r="K1659" t="s">
        <v>64</v>
      </c>
      <c r="L1659" t="s">
        <v>20</v>
      </c>
      <c r="M1659">
        <v>125231</v>
      </c>
      <c r="N1659" s="1">
        <v>45281</v>
      </c>
      <c r="O1659" t="s">
        <v>28</v>
      </c>
      <c r="P1659">
        <v>5</v>
      </c>
      <c r="Q1659">
        <v>245384.72</v>
      </c>
    </row>
    <row r="1660" spans="1:17" x14ac:dyDescent="0.3">
      <c r="A1660" t="s">
        <v>4068</v>
      </c>
      <c r="B1660" t="s">
        <v>2137</v>
      </c>
      <c r="C1660" s="2" t="str">
        <f>PROPER(TRIM(Table1[[#This Row],[Gender]]))</f>
        <v>Female</v>
      </c>
      <c r="D1660" t="s">
        <v>43</v>
      </c>
      <c r="E1660">
        <v>20</v>
      </c>
      <c r="F1660" t="s">
        <v>49</v>
      </c>
      <c r="G1660" s="1">
        <v>38358</v>
      </c>
      <c r="H1660" t="s">
        <v>4069</v>
      </c>
      <c r="I1660" s="2" t="str">
        <f t="shared" si="25"/>
        <v>+91-9552700796</v>
      </c>
      <c r="J1660">
        <f>91-9552700887</f>
        <v>-9552700796</v>
      </c>
      <c r="K1660" t="s">
        <v>101</v>
      </c>
      <c r="L1660" t="s">
        <v>102</v>
      </c>
      <c r="M1660">
        <v>555316</v>
      </c>
      <c r="N1660" s="1">
        <v>45305</v>
      </c>
      <c r="O1660" t="s">
        <v>28</v>
      </c>
      <c r="P1660">
        <v>5</v>
      </c>
      <c r="Q1660">
        <v>224945.17</v>
      </c>
    </row>
    <row r="1661" spans="1:17" x14ac:dyDescent="0.3">
      <c r="A1661" t="s">
        <v>4070</v>
      </c>
      <c r="B1661" t="s">
        <v>551</v>
      </c>
      <c r="C1661" s="2" t="str">
        <f>PROPER(TRIM(Table1[[#This Row],[Gender]]))</f>
        <v>Male</v>
      </c>
      <c r="D1661" t="s">
        <v>16</v>
      </c>
      <c r="E1661">
        <v>26</v>
      </c>
      <c r="F1661" t="s">
        <v>31</v>
      </c>
      <c r="G1661" s="1">
        <v>36168</v>
      </c>
      <c r="H1661" t="s">
        <v>4071</v>
      </c>
      <c r="I1661" s="2" t="str">
        <f t="shared" si="25"/>
        <v>+91-8936845413</v>
      </c>
      <c r="J1661">
        <f>91-8936845504</f>
        <v>-8936845413</v>
      </c>
      <c r="K1661" t="s">
        <v>26</v>
      </c>
      <c r="L1661" t="s">
        <v>27</v>
      </c>
      <c r="M1661">
        <v>115677</v>
      </c>
      <c r="N1661" s="1">
        <v>45284</v>
      </c>
      <c r="O1661" t="s">
        <v>28</v>
      </c>
      <c r="P1661">
        <v>6</v>
      </c>
      <c r="Q1661">
        <v>185117.67</v>
      </c>
    </row>
    <row r="1662" spans="1:17" x14ac:dyDescent="0.3">
      <c r="A1662" t="s">
        <v>4072</v>
      </c>
      <c r="B1662" t="s">
        <v>3778</v>
      </c>
      <c r="C1662" s="2" t="str">
        <f>PROPER(TRIM(Table1[[#This Row],[Gender]]))</f>
        <v>Female</v>
      </c>
      <c r="D1662" t="s">
        <v>43</v>
      </c>
      <c r="E1662">
        <v>42</v>
      </c>
      <c r="F1662" t="s">
        <v>38</v>
      </c>
      <c r="G1662" s="1">
        <v>30328</v>
      </c>
      <c r="H1662" t="s">
        <v>4073</v>
      </c>
      <c r="I1662" s="2" t="str">
        <f t="shared" si="25"/>
        <v>+91-9708184630</v>
      </c>
      <c r="J1662">
        <f>91-9708184721</f>
        <v>-9708184630</v>
      </c>
      <c r="K1662" t="s">
        <v>161</v>
      </c>
      <c r="L1662" t="s">
        <v>102</v>
      </c>
      <c r="M1662">
        <v>472018</v>
      </c>
      <c r="N1662" s="1">
        <v>45298</v>
      </c>
      <c r="O1662" t="s">
        <v>35</v>
      </c>
      <c r="P1662">
        <v>2</v>
      </c>
      <c r="Q1662">
        <v>10137.51</v>
      </c>
    </row>
    <row r="1663" spans="1:17" x14ac:dyDescent="0.3">
      <c r="A1663" t="s">
        <v>4074</v>
      </c>
      <c r="B1663" t="s">
        <v>1800</v>
      </c>
      <c r="C1663" s="2" t="str">
        <f>PROPER(TRIM(Table1[[#This Row],[Gender]]))</f>
        <v>Female</v>
      </c>
      <c r="D1663" t="s">
        <v>43</v>
      </c>
      <c r="E1663">
        <v>28</v>
      </c>
      <c r="F1663" t="s">
        <v>31</v>
      </c>
      <c r="G1663" s="1">
        <v>35438</v>
      </c>
      <c r="H1663" t="s">
        <v>4075</v>
      </c>
      <c r="I1663" s="2" t="str">
        <f t="shared" si="25"/>
        <v>+91-8762666867</v>
      </c>
      <c r="J1663">
        <f>91-8762666958</f>
        <v>-8762666867</v>
      </c>
      <c r="K1663" t="s">
        <v>125</v>
      </c>
      <c r="L1663" t="s">
        <v>52</v>
      </c>
      <c r="M1663">
        <v>512978</v>
      </c>
      <c r="N1663" s="1">
        <v>45178</v>
      </c>
      <c r="O1663" t="s">
        <v>28</v>
      </c>
      <c r="P1663">
        <v>5</v>
      </c>
      <c r="Q1663">
        <v>139250.93</v>
      </c>
    </row>
    <row r="1664" spans="1:17" x14ac:dyDescent="0.3">
      <c r="A1664" t="s">
        <v>4076</v>
      </c>
      <c r="B1664" t="s">
        <v>4077</v>
      </c>
      <c r="C1664" s="2" t="str">
        <f>PROPER(TRIM(Table1[[#This Row],[Gender]]))</f>
        <v>Female</v>
      </c>
      <c r="D1664" t="s">
        <v>43</v>
      </c>
      <c r="E1664">
        <v>46</v>
      </c>
      <c r="F1664" t="s">
        <v>17</v>
      </c>
      <c r="G1664" s="1">
        <v>28868</v>
      </c>
      <c r="H1664" t="s">
        <v>4078</v>
      </c>
      <c r="I1664" s="2" t="str">
        <f t="shared" si="25"/>
        <v>+91-8300733079</v>
      </c>
      <c r="J1664">
        <f>91-8300733170</f>
        <v>-8300733079</v>
      </c>
      <c r="K1664" t="s">
        <v>138</v>
      </c>
      <c r="L1664" t="s">
        <v>90</v>
      </c>
      <c r="M1664">
        <v>347943</v>
      </c>
      <c r="N1664" s="1">
        <v>45277</v>
      </c>
      <c r="O1664" t="s">
        <v>35</v>
      </c>
      <c r="P1664">
        <v>3</v>
      </c>
      <c r="Q1664">
        <v>8034.47</v>
      </c>
    </row>
    <row r="1665" spans="1:17" x14ac:dyDescent="0.3">
      <c r="A1665" t="s">
        <v>4079</v>
      </c>
      <c r="B1665" t="s">
        <v>4080</v>
      </c>
      <c r="C1665" s="2" t="str">
        <f>PROPER(TRIM(Table1[[#This Row],[Gender]]))</f>
        <v>Male</v>
      </c>
      <c r="D1665" t="s">
        <v>16</v>
      </c>
      <c r="E1665">
        <v>40</v>
      </c>
      <c r="F1665" t="s">
        <v>38</v>
      </c>
      <c r="G1665" s="1">
        <v>31058</v>
      </c>
      <c r="H1665" t="s">
        <v>4081</v>
      </c>
      <c r="I1665" s="2" t="str">
        <f t="shared" si="25"/>
        <v>+91-8217011171</v>
      </c>
      <c r="J1665">
        <f>91-8217011262</f>
        <v>-8217011171</v>
      </c>
      <c r="K1665" t="s">
        <v>113</v>
      </c>
      <c r="L1665" t="s">
        <v>34</v>
      </c>
      <c r="M1665">
        <v>552826</v>
      </c>
      <c r="N1665" s="1">
        <v>45386</v>
      </c>
      <c r="O1665" t="s">
        <v>28</v>
      </c>
      <c r="P1665">
        <v>5</v>
      </c>
      <c r="Q1665">
        <v>268670.49</v>
      </c>
    </row>
    <row r="1666" spans="1:17" x14ac:dyDescent="0.3">
      <c r="A1666" t="s">
        <v>4082</v>
      </c>
      <c r="B1666" t="s">
        <v>1686</v>
      </c>
      <c r="C1666" s="2" t="str">
        <f>PROPER(TRIM(Table1[[#This Row],[Gender]]))</f>
        <v>Female</v>
      </c>
      <c r="D1666" t="s">
        <v>43</v>
      </c>
      <c r="E1666">
        <v>28</v>
      </c>
      <c r="F1666" t="s">
        <v>31</v>
      </c>
      <c r="G1666" s="1">
        <v>35438</v>
      </c>
      <c r="H1666" t="s">
        <v>4083</v>
      </c>
      <c r="I1666" s="2" t="str">
        <f t="shared" ref="I1666:I1729" si="26">"+91"&amp;TEXT(J1666,"0000000000")</f>
        <v>+91-7889196271</v>
      </c>
      <c r="J1666">
        <f>91-7889196362</f>
        <v>-7889196271</v>
      </c>
      <c r="K1666" t="s">
        <v>174</v>
      </c>
      <c r="L1666" t="s">
        <v>90</v>
      </c>
      <c r="M1666">
        <v>122718</v>
      </c>
      <c r="N1666" s="1">
        <v>45276</v>
      </c>
      <c r="O1666" t="s">
        <v>28</v>
      </c>
      <c r="P1666">
        <v>6</v>
      </c>
      <c r="Q1666">
        <v>147226.76999999999</v>
      </c>
    </row>
    <row r="1667" spans="1:17" x14ac:dyDescent="0.3">
      <c r="A1667" t="s">
        <v>4084</v>
      </c>
      <c r="B1667" t="s">
        <v>4085</v>
      </c>
      <c r="C1667" s="2" t="str">
        <f>PROPER(TRIM(Table1[[#This Row],[Gender]]))</f>
        <v>Female</v>
      </c>
      <c r="D1667" t="s">
        <v>43</v>
      </c>
      <c r="E1667">
        <v>23</v>
      </c>
      <c r="F1667" t="s">
        <v>49</v>
      </c>
      <c r="G1667" s="1">
        <v>37263</v>
      </c>
      <c r="H1667" t="s">
        <v>4086</v>
      </c>
      <c r="I1667" s="2" t="str">
        <f t="shared" si="26"/>
        <v>+91-7991002663</v>
      </c>
      <c r="J1667">
        <f>91-7991002754</f>
        <v>-7991002663</v>
      </c>
      <c r="K1667" t="s">
        <v>195</v>
      </c>
      <c r="L1667" t="s">
        <v>102</v>
      </c>
      <c r="M1667">
        <v>758748</v>
      </c>
      <c r="N1667" s="1">
        <v>45100</v>
      </c>
      <c r="O1667" t="s">
        <v>28</v>
      </c>
      <c r="P1667">
        <v>6</v>
      </c>
      <c r="Q1667">
        <v>128966.46</v>
      </c>
    </row>
    <row r="1668" spans="1:17" x14ac:dyDescent="0.3">
      <c r="A1668" t="s">
        <v>4087</v>
      </c>
      <c r="B1668" t="s">
        <v>1510</v>
      </c>
      <c r="C1668" s="2" t="str">
        <f>PROPER(TRIM(Table1[[#This Row],[Gender]]))</f>
        <v>Male</v>
      </c>
      <c r="D1668" t="s">
        <v>16</v>
      </c>
      <c r="E1668">
        <v>27</v>
      </c>
      <c r="F1668" t="s">
        <v>31</v>
      </c>
      <c r="G1668" s="1">
        <v>35803</v>
      </c>
      <c r="H1668" t="s">
        <v>4088</v>
      </c>
      <c r="I1668" s="2" t="str">
        <f t="shared" si="26"/>
        <v>+91-7378973656</v>
      </c>
      <c r="J1668">
        <f>91-7378973747</f>
        <v>-7378973656</v>
      </c>
      <c r="K1668" t="s">
        <v>117</v>
      </c>
      <c r="L1668" t="s">
        <v>52</v>
      </c>
      <c r="M1668">
        <v>874023</v>
      </c>
      <c r="N1668" s="1">
        <v>45408</v>
      </c>
      <c r="O1668" t="s">
        <v>28</v>
      </c>
      <c r="P1668">
        <v>7</v>
      </c>
      <c r="Q1668">
        <v>115914.34</v>
      </c>
    </row>
    <row r="1669" spans="1:17" x14ac:dyDescent="0.3">
      <c r="A1669" t="s">
        <v>4089</v>
      </c>
      <c r="B1669" t="s">
        <v>3063</v>
      </c>
      <c r="C1669" s="2" t="str">
        <f>PROPER(TRIM(Table1[[#This Row],[Gender]]))</f>
        <v>Female</v>
      </c>
      <c r="D1669" t="s">
        <v>43</v>
      </c>
      <c r="E1669">
        <v>43</v>
      </c>
      <c r="F1669" t="s">
        <v>38</v>
      </c>
      <c r="G1669" s="1">
        <v>29963</v>
      </c>
      <c r="H1669" t="s">
        <v>4090</v>
      </c>
      <c r="I1669" s="2" t="str">
        <f t="shared" si="26"/>
        <v>+91-7713350183</v>
      </c>
      <c r="J1669">
        <f>91-7713350274</f>
        <v>-7713350183</v>
      </c>
      <c r="K1669" t="s">
        <v>109</v>
      </c>
      <c r="L1669" t="s">
        <v>46</v>
      </c>
      <c r="M1669">
        <v>459688</v>
      </c>
      <c r="N1669" s="1">
        <v>45153</v>
      </c>
      <c r="O1669" t="s">
        <v>28</v>
      </c>
      <c r="P1669">
        <v>6</v>
      </c>
      <c r="Q1669">
        <v>64659.22</v>
      </c>
    </row>
    <row r="1670" spans="1:17" x14ac:dyDescent="0.3">
      <c r="A1670" t="s">
        <v>4091</v>
      </c>
      <c r="B1670" t="s">
        <v>371</v>
      </c>
      <c r="C1670" s="2" t="str">
        <f>PROPER(TRIM(Table1[[#This Row],[Gender]]))</f>
        <v>Female</v>
      </c>
      <c r="D1670" t="s">
        <v>43</v>
      </c>
      <c r="E1670">
        <v>50</v>
      </c>
      <c r="F1670" t="s">
        <v>17</v>
      </c>
      <c r="G1670" s="1">
        <v>27408</v>
      </c>
      <c r="H1670" t="s">
        <v>4092</v>
      </c>
      <c r="I1670" s="2" t="str">
        <f t="shared" si="26"/>
        <v>+91-8346111355</v>
      </c>
      <c r="J1670">
        <f>91-8346111446</f>
        <v>-8346111355</v>
      </c>
      <c r="K1670" t="s">
        <v>76</v>
      </c>
      <c r="L1670" t="s">
        <v>46</v>
      </c>
      <c r="M1670">
        <v>534708</v>
      </c>
      <c r="N1670" s="1">
        <v>45154</v>
      </c>
      <c r="O1670" t="s">
        <v>28</v>
      </c>
      <c r="P1670">
        <v>4</v>
      </c>
      <c r="Q1670">
        <v>124761.72</v>
      </c>
    </row>
    <row r="1671" spans="1:17" x14ac:dyDescent="0.3">
      <c r="A1671" t="s">
        <v>4093</v>
      </c>
      <c r="B1671" t="s">
        <v>2137</v>
      </c>
      <c r="C1671" s="2" t="str">
        <f>PROPER(TRIM(Table1[[#This Row],[Gender]]))</f>
        <v>Female</v>
      </c>
      <c r="D1671" t="s">
        <v>43</v>
      </c>
      <c r="E1671">
        <v>30</v>
      </c>
      <c r="F1671" t="s">
        <v>31</v>
      </c>
      <c r="G1671" s="1">
        <v>34708</v>
      </c>
      <c r="H1671" t="s">
        <v>4094</v>
      </c>
      <c r="I1671" s="2" t="str">
        <f t="shared" si="26"/>
        <v>+91-8184544353</v>
      </c>
      <c r="J1671">
        <f>91-8184544444</f>
        <v>-8184544353</v>
      </c>
      <c r="K1671" t="s">
        <v>161</v>
      </c>
      <c r="L1671" t="s">
        <v>102</v>
      </c>
      <c r="M1671">
        <v>751547</v>
      </c>
      <c r="N1671" s="1">
        <v>45218</v>
      </c>
      <c r="O1671" t="s">
        <v>28</v>
      </c>
      <c r="P1671">
        <v>3</v>
      </c>
      <c r="Q1671">
        <v>108583.08</v>
      </c>
    </row>
    <row r="1672" spans="1:17" x14ac:dyDescent="0.3">
      <c r="A1672" t="s">
        <v>4095</v>
      </c>
      <c r="B1672" t="s">
        <v>887</v>
      </c>
      <c r="C1672" s="2" t="str">
        <f>PROPER(TRIM(Table1[[#This Row],[Gender]]))</f>
        <v>Female</v>
      </c>
      <c r="D1672" t="s">
        <v>43</v>
      </c>
      <c r="E1672">
        <v>30</v>
      </c>
      <c r="F1672" t="s">
        <v>31</v>
      </c>
      <c r="G1672" s="1">
        <v>34708</v>
      </c>
      <c r="H1672" t="s">
        <v>4096</v>
      </c>
      <c r="I1672" s="2" t="str">
        <f t="shared" si="26"/>
        <v>+91-9099422595</v>
      </c>
      <c r="J1672">
        <f>91-9099422686</f>
        <v>-9099422595</v>
      </c>
      <c r="K1672" t="s">
        <v>84</v>
      </c>
      <c r="L1672" t="s">
        <v>85</v>
      </c>
      <c r="M1672">
        <v>812953</v>
      </c>
      <c r="N1672" s="1">
        <v>45261</v>
      </c>
      <c r="O1672" t="s">
        <v>28</v>
      </c>
      <c r="P1672">
        <v>5</v>
      </c>
      <c r="Q1672">
        <v>87331.49</v>
      </c>
    </row>
    <row r="1673" spans="1:17" x14ac:dyDescent="0.3">
      <c r="A1673" t="s">
        <v>4097</v>
      </c>
      <c r="B1673" t="s">
        <v>4098</v>
      </c>
      <c r="C1673" s="2" t="str">
        <f>PROPER(TRIM(Table1[[#This Row],[Gender]]))</f>
        <v>Male</v>
      </c>
      <c r="D1673" t="s">
        <v>16</v>
      </c>
      <c r="E1673">
        <v>24</v>
      </c>
      <c r="F1673" t="s">
        <v>49</v>
      </c>
      <c r="G1673" s="1">
        <v>36898</v>
      </c>
      <c r="H1673" t="s">
        <v>4099</v>
      </c>
      <c r="I1673" s="2" t="str">
        <f t="shared" si="26"/>
        <v>+91-9897230282</v>
      </c>
      <c r="J1673">
        <f>91-9897230373</f>
        <v>-9897230282</v>
      </c>
      <c r="K1673" t="s">
        <v>174</v>
      </c>
      <c r="L1673" t="s">
        <v>90</v>
      </c>
      <c r="M1673">
        <v>531504</v>
      </c>
      <c r="N1673" s="1">
        <v>45386</v>
      </c>
      <c r="O1673" t="s">
        <v>28</v>
      </c>
      <c r="P1673">
        <v>8</v>
      </c>
      <c r="Q1673">
        <v>241661.2</v>
      </c>
    </row>
    <row r="1674" spans="1:17" x14ac:dyDescent="0.3">
      <c r="A1674" t="s">
        <v>4100</v>
      </c>
      <c r="B1674" t="s">
        <v>1367</v>
      </c>
      <c r="C1674" s="2" t="str">
        <f>PROPER(TRIM(Table1[[#This Row],[Gender]]))</f>
        <v>Female</v>
      </c>
      <c r="D1674" t="s">
        <v>43</v>
      </c>
      <c r="E1674">
        <v>21</v>
      </c>
      <c r="F1674" t="s">
        <v>49</v>
      </c>
      <c r="G1674" s="1">
        <v>37993</v>
      </c>
      <c r="H1674" t="s">
        <v>4101</v>
      </c>
      <c r="I1674" s="2" t="str">
        <f t="shared" si="26"/>
        <v>+91-8610608157</v>
      </c>
      <c r="J1674">
        <f>91-8610608248</f>
        <v>-8610608157</v>
      </c>
      <c r="K1674" t="s">
        <v>239</v>
      </c>
      <c r="L1674" t="s">
        <v>191</v>
      </c>
      <c r="M1674">
        <v>904341</v>
      </c>
      <c r="N1674" s="1">
        <v>45408</v>
      </c>
      <c r="O1674" t="s">
        <v>28</v>
      </c>
      <c r="P1674">
        <v>11</v>
      </c>
      <c r="Q1674">
        <v>279998.73</v>
      </c>
    </row>
    <row r="1675" spans="1:17" x14ac:dyDescent="0.3">
      <c r="A1675" t="s">
        <v>4102</v>
      </c>
      <c r="B1675" t="s">
        <v>1811</v>
      </c>
      <c r="C1675" s="2" t="str">
        <f>PROPER(TRIM(Table1[[#This Row],[Gender]]))</f>
        <v>Female</v>
      </c>
      <c r="D1675" t="s">
        <v>43</v>
      </c>
      <c r="E1675">
        <v>24</v>
      </c>
      <c r="F1675" t="s">
        <v>49</v>
      </c>
      <c r="G1675" s="1">
        <v>36898</v>
      </c>
      <c r="H1675" t="s">
        <v>1812</v>
      </c>
      <c r="I1675" s="2" t="str">
        <f t="shared" si="26"/>
        <v>+91-8634574741</v>
      </c>
      <c r="J1675">
        <f>91-8634574832</f>
        <v>-8634574741</v>
      </c>
      <c r="K1675" t="s">
        <v>178</v>
      </c>
      <c r="L1675" t="s">
        <v>27</v>
      </c>
      <c r="M1675">
        <v>604968</v>
      </c>
      <c r="N1675" s="1">
        <v>45114</v>
      </c>
      <c r="O1675" t="s">
        <v>28</v>
      </c>
      <c r="P1675">
        <v>4</v>
      </c>
      <c r="Q1675">
        <v>179682.74</v>
      </c>
    </row>
    <row r="1676" spans="1:17" x14ac:dyDescent="0.3">
      <c r="A1676" t="s">
        <v>4103</v>
      </c>
      <c r="B1676" t="s">
        <v>3147</v>
      </c>
      <c r="C1676" s="2" t="str">
        <f>PROPER(TRIM(Table1[[#This Row],[Gender]]))</f>
        <v>Male</v>
      </c>
      <c r="D1676" t="s">
        <v>16</v>
      </c>
      <c r="E1676">
        <v>54</v>
      </c>
      <c r="F1676" t="s">
        <v>17</v>
      </c>
      <c r="G1676" s="1">
        <v>25948</v>
      </c>
      <c r="H1676" t="s">
        <v>4104</v>
      </c>
      <c r="I1676" s="2" t="str">
        <f t="shared" si="26"/>
        <v>+91-7076529202</v>
      </c>
      <c r="J1676">
        <f>91-7076529293</f>
        <v>-7076529202</v>
      </c>
      <c r="K1676" t="s">
        <v>89</v>
      </c>
      <c r="L1676" t="s">
        <v>90</v>
      </c>
      <c r="M1676">
        <v>274603</v>
      </c>
      <c r="N1676" s="1">
        <v>45138</v>
      </c>
      <c r="O1676" t="s">
        <v>21</v>
      </c>
      <c r="P1676">
        <v>6</v>
      </c>
      <c r="Q1676">
        <v>40089.26</v>
      </c>
    </row>
    <row r="1677" spans="1:17" x14ac:dyDescent="0.3">
      <c r="A1677" t="s">
        <v>4105</v>
      </c>
      <c r="B1677" t="s">
        <v>1242</v>
      </c>
      <c r="C1677" s="2" t="str">
        <f>PROPER(TRIM(Table1[[#This Row],[Gender]]))</f>
        <v>Female</v>
      </c>
      <c r="D1677" t="s">
        <v>43</v>
      </c>
      <c r="E1677">
        <v>20</v>
      </c>
      <c r="F1677" t="s">
        <v>49</v>
      </c>
      <c r="G1677" s="1">
        <v>38358</v>
      </c>
      <c r="H1677" t="s">
        <v>4106</v>
      </c>
      <c r="I1677" s="2" t="str">
        <f t="shared" si="26"/>
        <v>+91-9369670748</v>
      </c>
      <c r="J1677">
        <f>91-9369670839</f>
        <v>-9369670748</v>
      </c>
      <c r="K1677" t="s">
        <v>76</v>
      </c>
      <c r="L1677" t="s">
        <v>46</v>
      </c>
      <c r="M1677">
        <v>585649</v>
      </c>
      <c r="N1677" s="1">
        <v>45109</v>
      </c>
      <c r="O1677" t="s">
        <v>21</v>
      </c>
      <c r="P1677">
        <v>5</v>
      </c>
      <c r="Q1677">
        <v>42014.68</v>
      </c>
    </row>
    <row r="1678" spans="1:17" x14ac:dyDescent="0.3">
      <c r="A1678" t="s">
        <v>4107</v>
      </c>
      <c r="B1678" t="s">
        <v>884</v>
      </c>
      <c r="C1678" s="2" t="str">
        <f>PROPER(TRIM(Table1[[#This Row],[Gender]]))</f>
        <v>Male</v>
      </c>
      <c r="D1678" t="s">
        <v>16</v>
      </c>
      <c r="E1678">
        <v>30</v>
      </c>
      <c r="F1678" t="s">
        <v>31</v>
      </c>
      <c r="G1678" s="1">
        <v>34708</v>
      </c>
      <c r="H1678" t="s">
        <v>885</v>
      </c>
      <c r="I1678" s="2" t="str">
        <f t="shared" si="26"/>
        <v>+91-7099578867</v>
      </c>
      <c r="J1678">
        <f>91-7099578958</f>
        <v>-7099578867</v>
      </c>
      <c r="K1678" t="s">
        <v>26</v>
      </c>
      <c r="L1678" t="s">
        <v>27</v>
      </c>
      <c r="M1678">
        <v>792596</v>
      </c>
      <c r="N1678" s="1">
        <v>45435</v>
      </c>
      <c r="O1678" t="s">
        <v>28</v>
      </c>
      <c r="P1678">
        <v>6</v>
      </c>
      <c r="Q1678">
        <v>155837.67000000001</v>
      </c>
    </row>
    <row r="1679" spans="1:17" x14ac:dyDescent="0.3">
      <c r="A1679" t="s">
        <v>4108</v>
      </c>
      <c r="B1679" t="s">
        <v>1040</v>
      </c>
      <c r="C1679" s="2" t="str">
        <f>PROPER(TRIM(Table1[[#This Row],[Gender]]))</f>
        <v>Male</v>
      </c>
      <c r="D1679" t="s">
        <v>16</v>
      </c>
      <c r="E1679">
        <v>22</v>
      </c>
      <c r="F1679" t="s">
        <v>49</v>
      </c>
      <c r="G1679" s="1">
        <v>37628</v>
      </c>
      <c r="H1679" t="s">
        <v>4109</v>
      </c>
      <c r="I1679" s="2" t="str">
        <f t="shared" si="26"/>
        <v>+91-7089041549</v>
      </c>
      <c r="J1679">
        <f>91-7089041640</f>
        <v>-7089041549</v>
      </c>
      <c r="K1679" t="s">
        <v>60</v>
      </c>
      <c r="L1679" t="s">
        <v>34</v>
      </c>
      <c r="M1679">
        <v>514510</v>
      </c>
      <c r="N1679" s="1">
        <v>45145</v>
      </c>
      <c r="O1679" t="s">
        <v>21</v>
      </c>
      <c r="P1679">
        <v>6</v>
      </c>
      <c r="Q1679">
        <v>49696.62</v>
      </c>
    </row>
    <row r="1680" spans="1:17" x14ac:dyDescent="0.3">
      <c r="A1680" t="s">
        <v>4110</v>
      </c>
      <c r="B1680" t="s">
        <v>3016</v>
      </c>
      <c r="C1680" s="2" t="str">
        <f>PROPER(TRIM(Table1[[#This Row],[Gender]]))</f>
        <v>Male</v>
      </c>
      <c r="D1680" t="s">
        <v>16</v>
      </c>
      <c r="E1680">
        <v>23</v>
      </c>
      <c r="F1680" t="s">
        <v>49</v>
      </c>
      <c r="G1680" s="1">
        <v>37263</v>
      </c>
      <c r="H1680" t="s">
        <v>4111</v>
      </c>
      <c r="I1680" s="2" t="str">
        <f t="shared" si="26"/>
        <v>+91-8947270910</v>
      </c>
      <c r="J1680">
        <f>91-8947271001</f>
        <v>-8947270910</v>
      </c>
      <c r="K1680" t="s">
        <v>369</v>
      </c>
      <c r="L1680" t="s">
        <v>191</v>
      </c>
      <c r="M1680">
        <v>242110</v>
      </c>
      <c r="N1680" s="1">
        <v>45254</v>
      </c>
      <c r="O1680" t="s">
        <v>28</v>
      </c>
      <c r="P1680">
        <v>5</v>
      </c>
      <c r="Q1680">
        <v>72038.95</v>
      </c>
    </row>
    <row r="1681" spans="1:17" x14ac:dyDescent="0.3">
      <c r="A1681" t="s">
        <v>4112</v>
      </c>
      <c r="B1681" t="s">
        <v>1741</v>
      </c>
      <c r="C1681" s="2" t="str">
        <f>PROPER(TRIM(Table1[[#This Row],[Gender]]))</f>
        <v>Female</v>
      </c>
      <c r="D1681" t="s">
        <v>43</v>
      </c>
      <c r="E1681">
        <v>28</v>
      </c>
      <c r="F1681" t="s">
        <v>31</v>
      </c>
      <c r="G1681" s="1">
        <v>35438</v>
      </c>
      <c r="H1681" t="s">
        <v>4113</v>
      </c>
      <c r="I1681" s="2" t="str">
        <f t="shared" si="26"/>
        <v>+91-9652078842</v>
      </c>
      <c r="J1681">
        <f>91-9652078933</f>
        <v>-9652078842</v>
      </c>
      <c r="K1681" t="s">
        <v>60</v>
      </c>
      <c r="L1681" t="s">
        <v>34</v>
      </c>
      <c r="M1681">
        <v>924636</v>
      </c>
      <c r="N1681" s="1">
        <v>45365</v>
      </c>
      <c r="O1681" t="s">
        <v>28</v>
      </c>
      <c r="P1681">
        <v>7</v>
      </c>
      <c r="Q1681">
        <v>264029.18</v>
      </c>
    </row>
    <row r="1682" spans="1:17" x14ac:dyDescent="0.3">
      <c r="A1682" t="s">
        <v>4114</v>
      </c>
      <c r="B1682" t="s">
        <v>454</v>
      </c>
      <c r="C1682" s="2" t="str">
        <f>PROPER(TRIM(Table1[[#This Row],[Gender]]))</f>
        <v>Male</v>
      </c>
      <c r="D1682" t="s">
        <v>16</v>
      </c>
      <c r="E1682">
        <v>24</v>
      </c>
      <c r="F1682" t="s">
        <v>49</v>
      </c>
      <c r="G1682" s="1">
        <v>36898</v>
      </c>
      <c r="H1682" t="s">
        <v>4115</v>
      </c>
      <c r="I1682" s="2" t="str">
        <f t="shared" si="26"/>
        <v>+91-7964050008</v>
      </c>
      <c r="J1682">
        <f>91-7964050099</f>
        <v>-7964050008</v>
      </c>
      <c r="K1682" t="s">
        <v>51</v>
      </c>
      <c r="L1682" t="s">
        <v>52</v>
      </c>
      <c r="M1682">
        <v>107752</v>
      </c>
      <c r="N1682" s="1">
        <v>45270</v>
      </c>
      <c r="O1682" t="s">
        <v>28</v>
      </c>
      <c r="P1682">
        <v>1</v>
      </c>
      <c r="Q1682">
        <v>66794.13</v>
      </c>
    </row>
    <row r="1683" spans="1:17" x14ac:dyDescent="0.3">
      <c r="A1683" t="s">
        <v>4116</v>
      </c>
      <c r="B1683" t="s">
        <v>1908</v>
      </c>
      <c r="C1683" s="2" t="str">
        <f>PROPER(TRIM(Table1[[#This Row],[Gender]]))</f>
        <v>Female</v>
      </c>
      <c r="D1683" t="s">
        <v>43</v>
      </c>
      <c r="E1683">
        <v>53</v>
      </c>
      <c r="F1683" t="s">
        <v>17</v>
      </c>
      <c r="G1683" s="1">
        <v>26313</v>
      </c>
      <c r="H1683" t="s">
        <v>2862</v>
      </c>
      <c r="I1683" s="2" t="str">
        <f t="shared" si="26"/>
        <v>+91-9922094897</v>
      </c>
      <c r="J1683">
        <f>91-9922094988</f>
        <v>-9922094897</v>
      </c>
      <c r="K1683" t="s">
        <v>45</v>
      </c>
      <c r="L1683" t="s">
        <v>46</v>
      </c>
      <c r="M1683">
        <v>303323</v>
      </c>
      <c r="N1683" s="1">
        <v>45400</v>
      </c>
      <c r="O1683" t="s">
        <v>28</v>
      </c>
      <c r="P1683">
        <v>4</v>
      </c>
      <c r="Q1683">
        <v>52086.71</v>
      </c>
    </row>
    <row r="1684" spans="1:17" x14ac:dyDescent="0.3">
      <c r="A1684" t="s">
        <v>4117</v>
      </c>
      <c r="B1684" t="s">
        <v>4118</v>
      </c>
      <c r="C1684" s="2" t="str">
        <f>PROPER(TRIM(Table1[[#This Row],[Gender]]))</f>
        <v>Male</v>
      </c>
      <c r="D1684" t="s">
        <v>16</v>
      </c>
      <c r="E1684">
        <v>23</v>
      </c>
      <c r="F1684" t="s">
        <v>49</v>
      </c>
      <c r="G1684" s="1">
        <v>37263</v>
      </c>
      <c r="H1684" t="s">
        <v>4119</v>
      </c>
      <c r="I1684" s="2" t="str">
        <f t="shared" si="26"/>
        <v>+91-9018530723</v>
      </c>
      <c r="J1684">
        <f>91-9018530814</f>
        <v>-9018530723</v>
      </c>
      <c r="K1684" t="s">
        <v>195</v>
      </c>
      <c r="L1684" t="s">
        <v>102</v>
      </c>
      <c r="M1684">
        <v>801374</v>
      </c>
      <c r="N1684" s="1">
        <v>45111</v>
      </c>
      <c r="O1684" t="s">
        <v>28</v>
      </c>
      <c r="P1684">
        <v>10</v>
      </c>
      <c r="Q1684">
        <v>223612.21</v>
      </c>
    </row>
    <row r="1685" spans="1:17" x14ac:dyDescent="0.3">
      <c r="A1685" t="s">
        <v>4120</v>
      </c>
      <c r="B1685" t="s">
        <v>145</v>
      </c>
      <c r="C1685" s="2" t="str">
        <f>PROPER(TRIM(Table1[[#This Row],[Gender]]))</f>
        <v>Female</v>
      </c>
      <c r="D1685" t="s">
        <v>43</v>
      </c>
      <c r="E1685">
        <v>41</v>
      </c>
      <c r="F1685" t="s">
        <v>38</v>
      </c>
      <c r="G1685" s="1">
        <v>30693</v>
      </c>
      <c r="H1685" t="s">
        <v>3396</v>
      </c>
      <c r="I1685" s="2" t="str">
        <f t="shared" si="26"/>
        <v>+91-8700492987</v>
      </c>
      <c r="J1685">
        <f>91-8700493078</f>
        <v>-8700492987</v>
      </c>
      <c r="K1685" t="s">
        <v>72</v>
      </c>
      <c r="L1685" t="s">
        <v>34</v>
      </c>
      <c r="M1685">
        <v>227036</v>
      </c>
      <c r="N1685" s="1">
        <v>45248</v>
      </c>
      <c r="O1685" t="s">
        <v>28</v>
      </c>
      <c r="P1685">
        <v>4</v>
      </c>
      <c r="Q1685">
        <v>70827.14</v>
      </c>
    </row>
    <row r="1686" spans="1:17" x14ac:dyDescent="0.3">
      <c r="A1686" t="s">
        <v>4121</v>
      </c>
      <c r="B1686" t="s">
        <v>2667</v>
      </c>
      <c r="C1686" s="2" t="str">
        <f>PROPER(TRIM(Table1[[#This Row],[Gender]]))</f>
        <v>Female</v>
      </c>
      <c r="D1686" t="s">
        <v>43</v>
      </c>
      <c r="E1686">
        <v>49</v>
      </c>
      <c r="F1686" t="s">
        <v>17</v>
      </c>
      <c r="G1686" s="1">
        <v>27773</v>
      </c>
      <c r="H1686" t="s">
        <v>4122</v>
      </c>
      <c r="I1686" s="2" t="str">
        <f t="shared" si="26"/>
        <v>+91-7726231625</v>
      </c>
      <c r="J1686">
        <f>91-7726231716</f>
        <v>-7726231625</v>
      </c>
      <c r="K1686" t="s">
        <v>138</v>
      </c>
      <c r="L1686" t="s">
        <v>90</v>
      </c>
      <c r="M1686">
        <v>320707</v>
      </c>
      <c r="N1686" s="1">
        <v>45092</v>
      </c>
      <c r="O1686" t="s">
        <v>28</v>
      </c>
      <c r="P1686">
        <v>8</v>
      </c>
      <c r="Q1686">
        <v>140947.9</v>
      </c>
    </row>
    <row r="1687" spans="1:17" x14ac:dyDescent="0.3">
      <c r="A1687" t="s">
        <v>4123</v>
      </c>
      <c r="B1687" t="s">
        <v>3552</v>
      </c>
      <c r="C1687" s="2" t="str">
        <f>PROPER(TRIM(Table1[[#This Row],[Gender]]))</f>
        <v>Male</v>
      </c>
      <c r="D1687" t="s">
        <v>16</v>
      </c>
      <c r="E1687">
        <v>34</v>
      </c>
      <c r="F1687" t="s">
        <v>31</v>
      </c>
      <c r="G1687" s="1">
        <v>33248</v>
      </c>
      <c r="H1687" t="s">
        <v>4124</v>
      </c>
      <c r="I1687" s="2" t="str">
        <f t="shared" si="26"/>
        <v>+91-7777033617</v>
      </c>
      <c r="J1687">
        <f>91-7777033708</f>
        <v>-7777033617</v>
      </c>
      <c r="K1687" t="s">
        <v>60</v>
      </c>
      <c r="L1687" t="s">
        <v>34</v>
      </c>
      <c r="M1687">
        <v>882750</v>
      </c>
      <c r="N1687" s="1">
        <v>45135</v>
      </c>
      <c r="O1687" t="s">
        <v>21</v>
      </c>
      <c r="P1687">
        <v>3</v>
      </c>
      <c r="Q1687">
        <v>24583.34</v>
      </c>
    </row>
    <row r="1688" spans="1:17" x14ac:dyDescent="0.3">
      <c r="A1688" t="s">
        <v>4125</v>
      </c>
      <c r="B1688" t="s">
        <v>638</v>
      </c>
      <c r="C1688" s="2" t="str">
        <f>PROPER(TRIM(Table1[[#This Row],[Gender]]))</f>
        <v>Female</v>
      </c>
      <c r="D1688" t="s">
        <v>43</v>
      </c>
      <c r="E1688">
        <v>21</v>
      </c>
      <c r="F1688" t="s">
        <v>49</v>
      </c>
      <c r="G1688" s="1">
        <v>37993</v>
      </c>
      <c r="H1688" t="s">
        <v>4126</v>
      </c>
      <c r="I1688" s="2" t="str">
        <f t="shared" si="26"/>
        <v>+91-8218686628</v>
      </c>
      <c r="J1688">
        <f>91-8218686719</f>
        <v>-8218686628</v>
      </c>
      <c r="K1688" t="s">
        <v>147</v>
      </c>
      <c r="L1688" t="s">
        <v>143</v>
      </c>
      <c r="M1688">
        <v>372926</v>
      </c>
      <c r="N1688" s="1">
        <v>45241</v>
      </c>
      <c r="O1688" t="s">
        <v>28</v>
      </c>
      <c r="P1688">
        <v>6</v>
      </c>
      <c r="Q1688">
        <v>214738.52</v>
      </c>
    </row>
    <row r="1689" spans="1:17" x14ac:dyDescent="0.3">
      <c r="A1689" t="s">
        <v>4127</v>
      </c>
      <c r="B1689" t="s">
        <v>686</v>
      </c>
      <c r="C1689" s="2" t="str">
        <f>PROPER(TRIM(Table1[[#This Row],[Gender]]))</f>
        <v>Male</v>
      </c>
      <c r="D1689" t="s">
        <v>16</v>
      </c>
      <c r="E1689">
        <v>21</v>
      </c>
      <c r="F1689" t="s">
        <v>49</v>
      </c>
      <c r="G1689" s="1">
        <v>37993</v>
      </c>
      <c r="H1689" t="s">
        <v>4128</v>
      </c>
      <c r="I1689" s="2" t="str">
        <f t="shared" si="26"/>
        <v>+91-7527654996</v>
      </c>
      <c r="J1689">
        <f>91-7527655087</f>
        <v>-7527654996</v>
      </c>
      <c r="K1689" t="s">
        <v>178</v>
      </c>
      <c r="L1689" t="s">
        <v>27</v>
      </c>
      <c r="M1689">
        <v>316633</v>
      </c>
      <c r="N1689" s="1">
        <v>45195</v>
      </c>
      <c r="O1689" t="s">
        <v>35</v>
      </c>
      <c r="P1689">
        <v>4</v>
      </c>
      <c r="Q1689">
        <v>8092.01</v>
      </c>
    </row>
    <row r="1690" spans="1:17" x14ac:dyDescent="0.3">
      <c r="A1690" t="s">
        <v>4129</v>
      </c>
      <c r="B1690" t="s">
        <v>1992</v>
      </c>
      <c r="C1690" s="2" t="str">
        <f>PROPER(TRIM(Table1[[#This Row],[Gender]]))</f>
        <v>Female</v>
      </c>
      <c r="D1690" t="s">
        <v>43</v>
      </c>
      <c r="E1690">
        <v>60</v>
      </c>
      <c r="F1690" t="s">
        <v>58</v>
      </c>
      <c r="G1690" s="1">
        <v>23758</v>
      </c>
      <c r="H1690" t="s">
        <v>4130</v>
      </c>
      <c r="I1690" s="2" t="str">
        <f t="shared" si="26"/>
        <v>+91-8319761691</v>
      </c>
      <c r="J1690">
        <f>91-8319761782</f>
        <v>-8319761691</v>
      </c>
      <c r="K1690" t="s">
        <v>147</v>
      </c>
      <c r="L1690" t="s">
        <v>143</v>
      </c>
      <c r="M1690">
        <v>907595</v>
      </c>
      <c r="N1690" s="1">
        <v>45247</v>
      </c>
      <c r="O1690" t="s">
        <v>21</v>
      </c>
      <c r="P1690">
        <v>5</v>
      </c>
      <c r="Q1690">
        <v>47802.01</v>
      </c>
    </row>
    <row r="1691" spans="1:17" x14ac:dyDescent="0.3">
      <c r="A1691" t="s">
        <v>4131</v>
      </c>
      <c r="B1691" t="s">
        <v>193</v>
      </c>
      <c r="C1691" s="2" t="str">
        <f>PROPER(TRIM(Table1[[#This Row],[Gender]]))</f>
        <v>Male</v>
      </c>
      <c r="D1691" t="s">
        <v>16</v>
      </c>
      <c r="E1691">
        <v>38</v>
      </c>
      <c r="F1691" t="s">
        <v>38</v>
      </c>
      <c r="G1691" s="1">
        <v>31788</v>
      </c>
      <c r="H1691" t="s">
        <v>1010</v>
      </c>
      <c r="I1691" s="2" t="str">
        <f t="shared" si="26"/>
        <v>+91-9685590631</v>
      </c>
      <c r="J1691">
        <f>91-9685590722</f>
        <v>-9685590631</v>
      </c>
      <c r="K1691" t="s">
        <v>249</v>
      </c>
      <c r="L1691" t="s">
        <v>34</v>
      </c>
      <c r="M1691">
        <v>665950</v>
      </c>
      <c r="N1691" s="1">
        <v>45204</v>
      </c>
      <c r="O1691" t="s">
        <v>28</v>
      </c>
      <c r="P1691">
        <v>4</v>
      </c>
      <c r="Q1691">
        <v>64119.19</v>
      </c>
    </row>
    <row r="1692" spans="1:17" x14ac:dyDescent="0.3">
      <c r="A1692" t="s">
        <v>4132</v>
      </c>
      <c r="B1692" t="s">
        <v>4133</v>
      </c>
      <c r="C1692" s="2" t="str">
        <f>PROPER(TRIM(Table1[[#This Row],[Gender]]))</f>
        <v>Male</v>
      </c>
      <c r="D1692" t="s">
        <v>16</v>
      </c>
      <c r="E1692">
        <v>20</v>
      </c>
      <c r="F1692" t="s">
        <v>49</v>
      </c>
      <c r="G1692" s="1">
        <v>38358</v>
      </c>
      <c r="H1692" t="s">
        <v>4134</v>
      </c>
      <c r="I1692" s="2" t="str">
        <f t="shared" si="26"/>
        <v>+91-7311063522</v>
      </c>
      <c r="J1692">
        <f>91-7311063613</f>
        <v>-7311063522</v>
      </c>
      <c r="K1692" t="s">
        <v>195</v>
      </c>
      <c r="L1692" t="s">
        <v>102</v>
      </c>
      <c r="M1692">
        <v>524609</v>
      </c>
      <c r="N1692" s="1">
        <v>45237</v>
      </c>
      <c r="O1692" t="s">
        <v>28</v>
      </c>
      <c r="P1692">
        <v>6</v>
      </c>
      <c r="Q1692">
        <v>100486.24</v>
      </c>
    </row>
    <row r="1693" spans="1:17" x14ac:dyDescent="0.3">
      <c r="A1693" t="s">
        <v>4135</v>
      </c>
      <c r="B1693" t="s">
        <v>2908</v>
      </c>
      <c r="C1693" s="2" t="str">
        <f>PROPER(TRIM(Table1[[#This Row],[Gender]]))</f>
        <v>Female</v>
      </c>
      <c r="D1693" t="s">
        <v>43</v>
      </c>
      <c r="E1693">
        <v>41</v>
      </c>
      <c r="F1693" t="s">
        <v>38</v>
      </c>
      <c r="G1693" s="1">
        <v>30693</v>
      </c>
      <c r="H1693" t="s">
        <v>4136</v>
      </c>
      <c r="I1693" s="2" t="str">
        <f t="shared" si="26"/>
        <v>+91-9654263966</v>
      </c>
      <c r="J1693">
        <f>91-9654264057</f>
        <v>-9654263966</v>
      </c>
      <c r="K1693" t="s">
        <v>19</v>
      </c>
      <c r="L1693" t="s">
        <v>20</v>
      </c>
      <c r="M1693">
        <v>809680</v>
      </c>
      <c r="N1693" s="1">
        <v>45168</v>
      </c>
      <c r="O1693" t="s">
        <v>21</v>
      </c>
      <c r="P1693">
        <v>3</v>
      </c>
      <c r="Q1693">
        <v>43024.82</v>
      </c>
    </row>
    <row r="1694" spans="1:17" x14ac:dyDescent="0.3">
      <c r="A1694" t="s">
        <v>4137</v>
      </c>
      <c r="B1694" t="s">
        <v>1330</v>
      </c>
      <c r="C1694" s="2" t="str">
        <f>PROPER(TRIM(Table1[[#This Row],[Gender]]))</f>
        <v>Male</v>
      </c>
      <c r="D1694" t="s">
        <v>16</v>
      </c>
      <c r="E1694">
        <v>21</v>
      </c>
      <c r="F1694" t="s">
        <v>49</v>
      </c>
      <c r="G1694" s="1">
        <v>37993</v>
      </c>
      <c r="H1694" t="s">
        <v>3482</v>
      </c>
      <c r="I1694" s="2" t="str">
        <f t="shared" si="26"/>
        <v>+91-9314998453</v>
      </c>
      <c r="J1694">
        <f>91-9314998544</f>
        <v>-9314998453</v>
      </c>
      <c r="K1694" t="s">
        <v>68</v>
      </c>
      <c r="L1694" t="s">
        <v>52</v>
      </c>
      <c r="M1694">
        <v>357358</v>
      </c>
      <c r="N1694" s="1">
        <v>45388</v>
      </c>
      <c r="O1694" t="s">
        <v>21</v>
      </c>
      <c r="P1694">
        <v>6</v>
      </c>
      <c r="Q1694">
        <v>36554.93</v>
      </c>
    </row>
    <row r="1695" spans="1:17" x14ac:dyDescent="0.3">
      <c r="A1695" t="s">
        <v>4138</v>
      </c>
      <c r="B1695" t="s">
        <v>3920</v>
      </c>
      <c r="C1695" s="2" t="str">
        <f>PROPER(TRIM(Table1[[#This Row],[Gender]]))</f>
        <v>Male</v>
      </c>
      <c r="D1695" t="s">
        <v>16</v>
      </c>
      <c r="E1695">
        <v>28</v>
      </c>
      <c r="F1695" t="s">
        <v>31</v>
      </c>
      <c r="G1695" s="1">
        <v>35438</v>
      </c>
      <c r="H1695" t="s">
        <v>4139</v>
      </c>
      <c r="I1695" s="2" t="str">
        <f t="shared" si="26"/>
        <v>+91-7451650186</v>
      </c>
      <c r="J1695">
        <f>91-7451650277</f>
        <v>-7451650186</v>
      </c>
      <c r="K1695" t="s">
        <v>239</v>
      </c>
      <c r="L1695" t="s">
        <v>191</v>
      </c>
      <c r="M1695">
        <v>897758</v>
      </c>
      <c r="N1695" s="1">
        <v>45255</v>
      </c>
      <c r="O1695" t="s">
        <v>28</v>
      </c>
      <c r="P1695">
        <v>3</v>
      </c>
      <c r="Q1695">
        <v>107834.99</v>
      </c>
    </row>
    <row r="1696" spans="1:17" x14ac:dyDescent="0.3">
      <c r="A1696" t="s">
        <v>4140</v>
      </c>
      <c r="B1696" t="s">
        <v>908</v>
      </c>
      <c r="C1696" s="2" t="str">
        <f>PROPER(TRIM(Table1[[#This Row],[Gender]]))</f>
        <v>Female</v>
      </c>
      <c r="D1696" t="s">
        <v>43</v>
      </c>
      <c r="E1696">
        <v>46</v>
      </c>
      <c r="F1696" t="s">
        <v>17</v>
      </c>
      <c r="G1696" s="1">
        <v>28868</v>
      </c>
      <c r="H1696" t="s">
        <v>2463</v>
      </c>
      <c r="I1696" s="2" t="str">
        <f t="shared" si="26"/>
        <v>+91-7233910906</v>
      </c>
      <c r="J1696">
        <f>91-7233910997</f>
        <v>-7233910906</v>
      </c>
      <c r="K1696" t="s">
        <v>165</v>
      </c>
      <c r="L1696" t="s">
        <v>52</v>
      </c>
      <c r="M1696">
        <v>970188</v>
      </c>
      <c r="N1696" s="1">
        <v>45078</v>
      </c>
      <c r="O1696" t="s">
        <v>28</v>
      </c>
      <c r="P1696">
        <v>6</v>
      </c>
      <c r="Q1696">
        <v>94914.87</v>
      </c>
    </row>
    <row r="1697" spans="1:17" x14ac:dyDescent="0.3">
      <c r="A1697" t="s">
        <v>4141</v>
      </c>
      <c r="B1697" t="s">
        <v>1811</v>
      </c>
      <c r="C1697" s="2" t="str">
        <f>PROPER(TRIM(Table1[[#This Row],[Gender]]))</f>
        <v>Female</v>
      </c>
      <c r="D1697" t="s">
        <v>43</v>
      </c>
      <c r="E1697">
        <v>30</v>
      </c>
      <c r="F1697" t="s">
        <v>31</v>
      </c>
      <c r="G1697" s="1">
        <v>34708</v>
      </c>
      <c r="H1697" t="s">
        <v>4142</v>
      </c>
      <c r="I1697" s="2" t="str">
        <f t="shared" si="26"/>
        <v>+91-7633046061</v>
      </c>
      <c r="J1697">
        <f>91-7633046152</f>
        <v>-7633046061</v>
      </c>
      <c r="K1697" t="s">
        <v>273</v>
      </c>
      <c r="L1697" t="s">
        <v>46</v>
      </c>
      <c r="M1697">
        <v>915520</v>
      </c>
      <c r="N1697" s="1">
        <v>45119</v>
      </c>
      <c r="O1697" t="s">
        <v>28</v>
      </c>
      <c r="P1697">
        <v>6</v>
      </c>
      <c r="Q1697">
        <v>203592.16</v>
      </c>
    </row>
    <row r="1698" spans="1:17" x14ac:dyDescent="0.3">
      <c r="A1698" t="s">
        <v>4143</v>
      </c>
      <c r="B1698" t="s">
        <v>2712</v>
      </c>
      <c r="C1698" s="2" t="str">
        <f>PROPER(TRIM(Table1[[#This Row],[Gender]]))</f>
        <v>Female</v>
      </c>
      <c r="D1698" t="s">
        <v>43</v>
      </c>
      <c r="E1698">
        <v>27</v>
      </c>
      <c r="F1698" t="s">
        <v>31</v>
      </c>
      <c r="G1698" s="1">
        <v>35803</v>
      </c>
      <c r="H1698" t="s">
        <v>4144</v>
      </c>
      <c r="I1698" s="2" t="str">
        <f t="shared" si="26"/>
        <v>+91-8350463138</v>
      </c>
      <c r="J1698">
        <f>91-8350463229</f>
        <v>-8350463138</v>
      </c>
      <c r="K1698" t="s">
        <v>195</v>
      </c>
      <c r="L1698" t="s">
        <v>102</v>
      </c>
      <c r="M1698">
        <v>120593</v>
      </c>
      <c r="N1698" s="1">
        <v>45296</v>
      </c>
      <c r="O1698" t="s">
        <v>35</v>
      </c>
      <c r="P1698">
        <v>1</v>
      </c>
      <c r="Q1698">
        <v>9508.7800000000007</v>
      </c>
    </row>
    <row r="1699" spans="1:17" x14ac:dyDescent="0.3">
      <c r="A1699" t="s">
        <v>4145</v>
      </c>
      <c r="B1699" t="s">
        <v>439</v>
      </c>
      <c r="C1699" s="2" t="str">
        <f>PROPER(TRIM(Table1[[#This Row],[Gender]]))</f>
        <v>Male</v>
      </c>
      <c r="D1699" t="s">
        <v>16</v>
      </c>
      <c r="E1699">
        <v>25</v>
      </c>
      <c r="F1699" t="s">
        <v>49</v>
      </c>
      <c r="G1699" s="1">
        <v>36533</v>
      </c>
      <c r="H1699" t="s">
        <v>3986</v>
      </c>
      <c r="I1699" s="2" t="str">
        <f t="shared" si="26"/>
        <v>+91-7073016594</v>
      </c>
      <c r="J1699">
        <f>91-7073016685</f>
        <v>-7073016594</v>
      </c>
      <c r="K1699" t="s">
        <v>51</v>
      </c>
      <c r="L1699" t="s">
        <v>52</v>
      </c>
      <c r="M1699">
        <v>380136</v>
      </c>
      <c r="N1699" s="1">
        <v>45136</v>
      </c>
      <c r="O1699" t="s">
        <v>21</v>
      </c>
      <c r="P1699">
        <v>4</v>
      </c>
      <c r="Q1699">
        <v>37925.769999999997</v>
      </c>
    </row>
    <row r="1700" spans="1:17" x14ac:dyDescent="0.3">
      <c r="A1700" t="s">
        <v>4146</v>
      </c>
      <c r="B1700" t="s">
        <v>4147</v>
      </c>
      <c r="C1700" s="2" t="str">
        <f>PROPER(TRIM(Table1[[#This Row],[Gender]]))</f>
        <v>Female</v>
      </c>
      <c r="D1700" t="s">
        <v>43</v>
      </c>
      <c r="E1700">
        <v>34</v>
      </c>
      <c r="F1700" t="s">
        <v>31</v>
      </c>
      <c r="G1700" s="1">
        <v>33248</v>
      </c>
      <c r="H1700" t="s">
        <v>4148</v>
      </c>
      <c r="I1700" s="2" t="str">
        <f t="shared" si="26"/>
        <v>+91-9118891907</v>
      </c>
      <c r="J1700">
        <f>91-9118891998</f>
        <v>-9118891907</v>
      </c>
      <c r="K1700" t="s">
        <v>190</v>
      </c>
      <c r="L1700" t="s">
        <v>191</v>
      </c>
      <c r="M1700">
        <v>928216</v>
      </c>
      <c r="N1700" s="1">
        <v>45137</v>
      </c>
      <c r="O1700" t="s">
        <v>28</v>
      </c>
      <c r="P1700">
        <v>9</v>
      </c>
      <c r="Q1700">
        <v>162944.91</v>
      </c>
    </row>
    <row r="1701" spans="1:17" x14ac:dyDescent="0.3">
      <c r="A1701" t="s">
        <v>4149</v>
      </c>
      <c r="B1701" t="s">
        <v>4150</v>
      </c>
      <c r="C1701" s="2" t="str">
        <f>PROPER(TRIM(Table1[[#This Row],[Gender]]))</f>
        <v>Male</v>
      </c>
      <c r="D1701" t="s">
        <v>16</v>
      </c>
      <c r="E1701">
        <v>54</v>
      </c>
      <c r="F1701" t="s">
        <v>17</v>
      </c>
      <c r="G1701" s="1">
        <v>25948</v>
      </c>
      <c r="H1701" t="s">
        <v>4151</v>
      </c>
      <c r="I1701" s="2" t="str">
        <f t="shared" si="26"/>
        <v>+91-9299889207</v>
      </c>
      <c r="J1701">
        <f>91-9299889298</f>
        <v>-9299889207</v>
      </c>
      <c r="K1701" t="s">
        <v>138</v>
      </c>
      <c r="L1701" t="s">
        <v>90</v>
      </c>
      <c r="M1701">
        <v>991471</v>
      </c>
      <c r="N1701" s="1">
        <v>45434</v>
      </c>
      <c r="O1701" t="s">
        <v>28</v>
      </c>
      <c r="P1701">
        <v>6</v>
      </c>
      <c r="Q1701">
        <v>69274.509999999995</v>
      </c>
    </row>
    <row r="1702" spans="1:17" x14ac:dyDescent="0.3">
      <c r="A1702" t="s">
        <v>4152</v>
      </c>
      <c r="B1702" t="s">
        <v>1152</v>
      </c>
      <c r="C1702" s="2" t="str">
        <f>PROPER(TRIM(Table1[[#This Row],[Gender]]))</f>
        <v>Male</v>
      </c>
      <c r="D1702" t="s">
        <v>16</v>
      </c>
      <c r="E1702">
        <v>27</v>
      </c>
      <c r="F1702" t="s">
        <v>31</v>
      </c>
      <c r="G1702" s="1">
        <v>35803</v>
      </c>
      <c r="H1702" t="s">
        <v>4153</v>
      </c>
      <c r="I1702" s="2" t="str">
        <f t="shared" si="26"/>
        <v>+91-8376758525</v>
      </c>
      <c r="J1702">
        <f>91-8376758616</f>
        <v>-8376758525</v>
      </c>
      <c r="K1702" t="s">
        <v>580</v>
      </c>
      <c r="L1702" t="s">
        <v>85</v>
      </c>
      <c r="M1702">
        <v>415307</v>
      </c>
      <c r="N1702" s="1">
        <v>45115</v>
      </c>
      <c r="O1702" t="s">
        <v>28</v>
      </c>
      <c r="P1702">
        <v>2</v>
      </c>
      <c r="Q1702">
        <v>118307.8</v>
      </c>
    </row>
    <row r="1703" spans="1:17" x14ac:dyDescent="0.3">
      <c r="A1703" t="s">
        <v>4154</v>
      </c>
      <c r="B1703" t="s">
        <v>3255</v>
      </c>
      <c r="C1703" s="2" t="str">
        <f>PROPER(TRIM(Table1[[#This Row],[Gender]]))</f>
        <v>Female</v>
      </c>
      <c r="D1703" t="s">
        <v>43</v>
      </c>
      <c r="E1703">
        <v>26</v>
      </c>
      <c r="F1703" t="s">
        <v>31</v>
      </c>
      <c r="G1703" s="1">
        <v>36168</v>
      </c>
      <c r="H1703" t="s">
        <v>4155</v>
      </c>
      <c r="I1703" s="2" t="str">
        <f t="shared" si="26"/>
        <v>+91-7807825492</v>
      </c>
      <c r="J1703">
        <f>91-7807825583</f>
        <v>-7807825492</v>
      </c>
      <c r="K1703" t="s">
        <v>125</v>
      </c>
      <c r="L1703" t="s">
        <v>52</v>
      </c>
      <c r="M1703">
        <v>625778</v>
      </c>
      <c r="N1703" s="1">
        <v>45286</v>
      </c>
      <c r="O1703" t="s">
        <v>28</v>
      </c>
      <c r="P1703">
        <v>12</v>
      </c>
      <c r="Q1703">
        <v>339455.1</v>
      </c>
    </row>
    <row r="1704" spans="1:17" x14ac:dyDescent="0.3">
      <c r="A1704" t="s">
        <v>4156</v>
      </c>
      <c r="B1704" t="s">
        <v>4157</v>
      </c>
      <c r="C1704" s="2" t="str">
        <f>PROPER(TRIM(Table1[[#This Row],[Gender]]))</f>
        <v>Female</v>
      </c>
      <c r="D1704" t="s">
        <v>43</v>
      </c>
      <c r="E1704">
        <v>41</v>
      </c>
      <c r="F1704" t="s">
        <v>38</v>
      </c>
      <c r="G1704" s="1">
        <v>30693</v>
      </c>
      <c r="H1704" t="s">
        <v>4158</v>
      </c>
      <c r="I1704" s="2" t="str">
        <f t="shared" si="26"/>
        <v>+91-8886691583</v>
      </c>
      <c r="J1704">
        <f>91-8886691674</f>
        <v>-8886691583</v>
      </c>
      <c r="K1704" t="s">
        <v>72</v>
      </c>
      <c r="L1704" t="s">
        <v>34</v>
      </c>
      <c r="M1704">
        <v>205209</v>
      </c>
      <c r="N1704" s="1">
        <v>45339</v>
      </c>
      <c r="O1704" t="s">
        <v>21</v>
      </c>
      <c r="P1704">
        <v>4</v>
      </c>
      <c r="Q1704">
        <v>31866.36</v>
      </c>
    </row>
    <row r="1705" spans="1:17" x14ac:dyDescent="0.3">
      <c r="A1705" t="s">
        <v>4159</v>
      </c>
      <c r="B1705" t="s">
        <v>401</v>
      </c>
      <c r="C1705" s="2" t="str">
        <f>PROPER(TRIM(Table1[[#This Row],[Gender]]))</f>
        <v>Male</v>
      </c>
      <c r="D1705" t="s">
        <v>16</v>
      </c>
      <c r="E1705">
        <v>20</v>
      </c>
      <c r="F1705" t="s">
        <v>49</v>
      </c>
      <c r="G1705" s="1">
        <v>38358</v>
      </c>
      <c r="H1705" t="s">
        <v>4160</v>
      </c>
      <c r="I1705" s="2" t="str">
        <f t="shared" si="26"/>
        <v>+91-7922737210</v>
      </c>
      <c r="J1705">
        <f>91-7922737301</f>
        <v>-7922737210</v>
      </c>
      <c r="K1705" t="s">
        <v>68</v>
      </c>
      <c r="L1705" t="s">
        <v>52</v>
      </c>
      <c r="M1705">
        <v>151024</v>
      </c>
      <c r="N1705" s="1">
        <v>45081</v>
      </c>
      <c r="O1705" t="s">
        <v>28</v>
      </c>
      <c r="P1705">
        <v>1</v>
      </c>
      <c r="Q1705">
        <v>52683.85</v>
      </c>
    </row>
    <row r="1706" spans="1:17" x14ac:dyDescent="0.3">
      <c r="A1706" t="s">
        <v>4161</v>
      </c>
      <c r="B1706" t="s">
        <v>633</v>
      </c>
      <c r="C1706" s="2" t="str">
        <f>PROPER(TRIM(Table1[[#This Row],[Gender]]))</f>
        <v>Female</v>
      </c>
      <c r="D1706" t="s">
        <v>43</v>
      </c>
      <c r="E1706">
        <v>30</v>
      </c>
      <c r="F1706" t="s">
        <v>31</v>
      </c>
      <c r="G1706" s="1">
        <v>34708</v>
      </c>
      <c r="H1706" t="s">
        <v>4162</v>
      </c>
      <c r="I1706" s="2" t="str">
        <f t="shared" si="26"/>
        <v>+91-9719287204</v>
      </c>
      <c r="J1706">
        <f>91-9719287295</f>
        <v>-9719287204</v>
      </c>
      <c r="K1706" t="s">
        <v>94</v>
      </c>
      <c r="L1706" t="s">
        <v>20</v>
      </c>
      <c r="M1706">
        <v>561667</v>
      </c>
      <c r="N1706" s="1">
        <v>45440</v>
      </c>
      <c r="O1706" t="s">
        <v>28</v>
      </c>
      <c r="P1706">
        <v>4</v>
      </c>
      <c r="Q1706">
        <v>113181.58</v>
      </c>
    </row>
    <row r="1707" spans="1:17" x14ac:dyDescent="0.3">
      <c r="A1707" t="s">
        <v>4163</v>
      </c>
      <c r="B1707" t="s">
        <v>398</v>
      </c>
      <c r="C1707" s="2" t="str">
        <f>PROPER(TRIM(Table1[[#This Row],[Gender]]))</f>
        <v>Male</v>
      </c>
      <c r="D1707" t="s">
        <v>16</v>
      </c>
      <c r="E1707">
        <v>18</v>
      </c>
      <c r="F1707" t="s">
        <v>49</v>
      </c>
      <c r="G1707" s="1">
        <v>39088</v>
      </c>
      <c r="H1707" t="s">
        <v>4164</v>
      </c>
      <c r="I1707" s="2" t="str">
        <f t="shared" si="26"/>
        <v>+91-8023448404</v>
      </c>
      <c r="J1707">
        <f>91-8023448495</f>
        <v>-8023448404</v>
      </c>
      <c r="K1707" t="s">
        <v>113</v>
      </c>
      <c r="L1707" t="s">
        <v>34</v>
      </c>
      <c r="M1707">
        <v>785649</v>
      </c>
      <c r="N1707" s="1">
        <v>45296</v>
      </c>
      <c r="O1707" t="s">
        <v>28</v>
      </c>
      <c r="P1707">
        <v>9</v>
      </c>
      <c r="Q1707">
        <v>272180.7</v>
      </c>
    </row>
    <row r="1708" spans="1:17" x14ac:dyDescent="0.3">
      <c r="A1708" t="s">
        <v>4165</v>
      </c>
      <c r="B1708" t="s">
        <v>1741</v>
      </c>
      <c r="C1708" s="2" t="str">
        <f>PROPER(TRIM(Table1[[#This Row],[Gender]]))</f>
        <v>Female</v>
      </c>
      <c r="D1708" t="s">
        <v>43</v>
      </c>
      <c r="E1708">
        <v>22</v>
      </c>
      <c r="F1708" t="s">
        <v>49</v>
      </c>
      <c r="G1708" s="1">
        <v>37628</v>
      </c>
      <c r="H1708" t="s">
        <v>4166</v>
      </c>
      <c r="I1708" s="2" t="str">
        <f t="shared" si="26"/>
        <v>+91-8400112037</v>
      </c>
      <c r="J1708">
        <f>91-8400112128</f>
        <v>-8400112037</v>
      </c>
      <c r="K1708" t="s">
        <v>101</v>
      </c>
      <c r="L1708" t="s">
        <v>102</v>
      </c>
      <c r="M1708">
        <v>654792</v>
      </c>
      <c r="N1708" s="1">
        <v>45104</v>
      </c>
      <c r="O1708" t="s">
        <v>35</v>
      </c>
      <c r="P1708">
        <v>4</v>
      </c>
      <c r="Q1708">
        <v>10221.61</v>
      </c>
    </row>
    <row r="1709" spans="1:17" x14ac:dyDescent="0.3">
      <c r="A1709" t="s">
        <v>4167</v>
      </c>
      <c r="B1709" t="s">
        <v>3580</v>
      </c>
      <c r="C1709" s="2" t="str">
        <f>PROPER(TRIM(Table1[[#This Row],[Gender]]))</f>
        <v>Male</v>
      </c>
      <c r="D1709" t="s">
        <v>16</v>
      </c>
      <c r="E1709">
        <v>29</v>
      </c>
      <c r="F1709" t="s">
        <v>31</v>
      </c>
      <c r="G1709" s="1">
        <v>35073</v>
      </c>
      <c r="H1709" t="s">
        <v>4168</v>
      </c>
      <c r="I1709" s="2" t="str">
        <f t="shared" si="26"/>
        <v>+91-7020582918</v>
      </c>
      <c r="J1709">
        <f>91-7020583009</f>
        <v>-7020582918</v>
      </c>
      <c r="K1709" t="s">
        <v>165</v>
      </c>
      <c r="L1709" t="s">
        <v>52</v>
      </c>
      <c r="M1709">
        <v>332414</v>
      </c>
      <c r="N1709" s="1">
        <v>45137</v>
      </c>
      <c r="O1709" t="s">
        <v>28</v>
      </c>
      <c r="P1709">
        <v>6</v>
      </c>
      <c r="Q1709">
        <v>157488.35</v>
      </c>
    </row>
    <row r="1710" spans="1:17" x14ac:dyDescent="0.3">
      <c r="A1710" t="s">
        <v>4169</v>
      </c>
      <c r="B1710" t="s">
        <v>2363</v>
      </c>
      <c r="C1710" s="2" t="str">
        <f>PROPER(TRIM(Table1[[#This Row],[Gender]]))</f>
        <v>Male</v>
      </c>
      <c r="D1710" t="s">
        <v>16</v>
      </c>
      <c r="E1710">
        <v>22</v>
      </c>
      <c r="F1710" t="s">
        <v>49</v>
      </c>
      <c r="G1710" s="1">
        <v>37628</v>
      </c>
      <c r="H1710" t="s">
        <v>4170</v>
      </c>
      <c r="I1710" s="2" t="str">
        <f t="shared" si="26"/>
        <v>+91-7783393205</v>
      </c>
      <c r="J1710">
        <f>91-7783393296</f>
        <v>-7783393205</v>
      </c>
      <c r="K1710" t="s">
        <v>94</v>
      </c>
      <c r="L1710" t="s">
        <v>20</v>
      </c>
      <c r="M1710">
        <v>759570</v>
      </c>
      <c r="N1710" s="1">
        <v>45351</v>
      </c>
      <c r="O1710" t="s">
        <v>28</v>
      </c>
      <c r="P1710">
        <v>5</v>
      </c>
      <c r="Q1710">
        <v>237039.3</v>
      </c>
    </row>
    <row r="1711" spans="1:17" x14ac:dyDescent="0.3">
      <c r="A1711" t="s">
        <v>4171</v>
      </c>
      <c r="B1711" t="s">
        <v>1037</v>
      </c>
      <c r="C1711" s="2" t="str">
        <f>PROPER(TRIM(Table1[[#This Row],[Gender]]))</f>
        <v>Male</v>
      </c>
      <c r="D1711" t="s">
        <v>16</v>
      </c>
      <c r="E1711">
        <v>25</v>
      </c>
      <c r="F1711" t="s">
        <v>49</v>
      </c>
      <c r="G1711" s="1">
        <v>36533</v>
      </c>
      <c r="H1711" t="s">
        <v>4172</v>
      </c>
      <c r="I1711" s="2" t="str">
        <f t="shared" si="26"/>
        <v>+91-7054523287</v>
      </c>
      <c r="J1711">
        <f>91-7054523378</f>
        <v>-7054523287</v>
      </c>
      <c r="K1711" t="s">
        <v>89</v>
      </c>
      <c r="L1711" t="s">
        <v>90</v>
      </c>
      <c r="M1711">
        <v>562299</v>
      </c>
      <c r="N1711" s="1">
        <v>45118</v>
      </c>
      <c r="O1711" t="s">
        <v>28</v>
      </c>
      <c r="P1711">
        <v>9</v>
      </c>
      <c r="Q1711">
        <v>190735.61</v>
      </c>
    </row>
    <row r="1712" spans="1:17" x14ac:dyDescent="0.3">
      <c r="A1712" t="s">
        <v>4173</v>
      </c>
      <c r="B1712" t="s">
        <v>1499</v>
      </c>
      <c r="C1712" s="2" t="str">
        <f>PROPER(TRIM(Table1[[#This Row],[Gender]]))</f>
        <v>Male</v>
      </c>
      <c r="D1712" t="s">
        <v>16</v>
      </c>
      <c r="E1712">
        <v>45</v>
      </c>
      <c r="F1712" t="s">
        <v>38</v>
      </c>
      <c r="G1712" s="1">
        <v>29233</v>
      </c>
      <c r="H1712" t="s">
        <v>4174</v>
      </c>
      <c r="I1712" s="2" t="str">
        <f t="shared" si="26"/>
        <v>+91-8854259840</v>
      </c>
      <c r="J1712">
        <f>91-8854259931</f>
        <v>-8854259840</v>
      </c>
      <c r="K1712" t="s">
        <v>138</v>
      </c>
      <c r="L1712" t="s">
        <v>90</v>
      </c>
      <c r="M1712">
        <v>681011</v>
      </c>
      <c r="N1712" s="1">
        <v>45211</v>
      </c>
      <c r="O1712" t="s">
        <v>28</v>
      </c>
      <c r="P1712">
        <v>9</v>
      </c>
      <c r="Q1712">
        <v>210892.05</v>
      </c>
    </row>
    <row r="1713" spans="1:17" x14ac:dyDescent="0.3">
      <c r="A1713" t="s">
        <v>4175</v>
      </c>
      <c r="B1713" t="s">
        <v>2288</v>
      </c>
      <c r="C1713" s="2" t="str">
        <f>PROPER(TRIM(Table1[[#This Row],[Gender]]))</f>
        <v>Male</v>
      </c>
      <c r="D1713" t="s">
        <v>16</v>
      </c>
      <c r="E1713">
        <v>45</v>
      </c>
      <c r="F1713" t="s">
        <v>38</v>
      </c>
      <c r="G1713" s="1">
        <v>29233</v>
      </c>
      <c r="H1713" t="s">
        <v>4176</v>
      </c>
      <c r="I1713" s="2" t="str">
        <f t="shared" si="26"/>
        <v>+91-9046922508</v>
      </c>
      <c r="J1713">
        <f>91-9046922599</f>
        <v>-9046922508</v>
      </c>
      <c r="K1713" t="s">
        <v>331</v>
      </c>
      <c r="L1713" t="s">
        <v>143</v>
      </c>
      <c r="M1713">
        <v>952803</v>
      </c>
      <c r="N1713" s="1">
        <v>45284</v>
      </c>
      <c r="O1713" t="s">
        <v>28</v>
      </c>
      <c r="P1713">
        <v>6</v>
      </c>
      <c r="Q1713">
        <v>185012.88</v>
      </c>
    </row>
    <row r="1714" spans="1:17" x14ac:dyDescent="0.3">
      <c r="A1714" t="s">
        <v>4177</v>
      </c>
      <c r="B1714" t="s">
        <v>4178</v>
      </c>
      <c r="C1714" s="2" t="str">
        <f>PROPER(TRIM(Table1[[#This Row],[Gender]]))</f>
        <v>Male</v>
      </c>
      <c r="D1714" t="s">
        <v>16</v>
      </c>
      <c r="E1714">
        <v>54</v>
      </c>
      <c r="F1714" t="s">
        <v>17</v>
      </c>
      <c r="G1714" s="1">
        <v>25948</v>
      </c>
      <c r="H1714" t="s">
        <v>4179</v>
      </c>
      <c r="I1714" s="2" t="str">
        <f t="shared" si="26"/>
        <v>+91-9922044817</v>
      </c>
      <c r="J1714">
        <f>91-9922044908</f>
        <v>-9922044817</v>
      </c>
      <c r="K1714" t="s">
        <v>331</v>
      </c>
      <c r="L1714" t="s">
        <v>143</v>
      </c>
      <c r="M1714">
        <v>364087</v>
      </c>
      <c r="N1714" s="1">
        <v>45312</v>
      </c>
      <c r="O1714" t="s">
        <v>35</v>
      </c>
      <c r="P1714">
        <v>2</v>
      </c>
      <c r="Q1714">
        <v>3513.97</v>
      </c>
    </row>
    <row r="1715" spans="1:17" x14ac:dyDescent="0.3">
      <c r="A1715" t="s">
        <v>4180</v>
      </c>
      <c r="B1715" t="s">
        <v>1337</v>
      </c>
      <c r="C1715" s="2" t="str">
        <f>PROPER(TRIM(Table1[[#This Row],[Gender]]))</f>
        <v>Female</v>
      </c>
      <c r="D1715" t="s">
        <v>43</v>
      </c>
      <c r="E1715">
        <v>20</v>
      </c>
      <c r="F1715" t="s">
        <v>49</v>
      </c>
      <c r="G1715" s="1">
        <v>38358</v>
      </c>
      <c r="H1715" t="s">
        <v>4181</v>
      </c>
      <c r="I1715" s="2" t="str">
        <f t="shared" si="26"/>
        <v>+91-7658127607</v>
      </c>
      <c r="J1715">
        <f>91-7658127698</f>
        <v>-7658127607</v>
      </c>
      <c r="K1715" t="s">
        <v>80</v>
      </c>
      <c r="L1715" t="s">
        <v>20</v>
      </c>
      <c r="M1715">
        <v>373455</v>
      </c>
      <c r="N1715" s="1">
        <v>45284</v>
      </c>
      <c r="O1715" t="s">
        <v>28</v>
      </c>
      <c r="P1715">
        <v>5</v>
      </c>
      <c r="Q1715">
        <v>409506.68</v>
      </c>
    </row>
    <row r="1716" spans="1:17" x14ac:dyDescent="0.3">
      <c r="A1716" t="s">
        <v>4182</v>
      </c>
      <c r="B1716" t="s">
        <v>2387</v>
      </c>
      <c r="C1716" s="2" t="str">
        <f>PROPER(TRIM(Table1[[#This Row],[Gender]]))</f>
        <v>Male</v>
      </c>
      <c r="D1716" t="s">
        <v>16</v>
      </c>
      <c r="E1716">
        <v>34</v>
      </c>
      <c r="F1716" t="s">
        <v>31</v>
      </c>
      <c r="G1716" s="1">
        <v>33248</v>
      </c>
      <c r="H1716" t="s">
        <v>4183</v>
      </c>
      <c r="I1716" s="2" t="str">
        <f t="shared" si="26"/>
        <v>+91-7864027281</v>
      </c>
      <c r="J1716">
        <f>91-7864027372</f>
        <v>-7864027281</v>
      </c>
      <c r="K1716" t="s">
        <v>190</v>
      </c>
      <c r="L1716" t="s">
        <v>191</v>
      </c>
      <c r="M1716">
        <v>107645</v>
      </c>
      <c r="N1716" s="1">
        <v>45296</v>
      </c>
      <c r="O1716" t="s">
        <v>28</v>
      </c>
      <c r="P1716">
        <v>5</v>
      </c>
      <c r="Q1716">
        <v>117525.09</v>
      </c>
    </row>
    <row r="1717" spans="1:17" x14ac:dyDescent="0.3">
      <c r="A1717" t="s">
        <v>4184</v>
      </c>
      <c r="B1717" t="s">
        <v>389</v>
      </c>
      <c r="C1717" s="2" t="str">
        <f>PROPER(TRIM(Table1[[#This Row],[Gender]]))</f>
        <v>Female</v>
      </c>
      <c r="D1717" t="s">
        <v>43</v>
      </c>
      <c r="E1717">
        <v>74</v>
      </c>
      <c r="F1717" t="s">
        <v>24</v>
      </c>
      <c r="G1717" s="1">
        <v>18648</v>
      </c>
      <c r="H1717" t="s">
        <v>4185</v>
      </c>
      <c r="I1717" s="2" t="str">
        <f t="shared" si="26"/>
        <v>+91-9878114749</v>
      </c>
      <c r="J1717">
        <f>91-9878114840</f>
        <v>-9878114749</v>
      </c>
      <c r="K1717" t="s">
        <v>117</v>
      </c>
      <c r="L1717" t="s">
        <v>52</v>
      </c>
      <c r="M1717">
        <v>793147</v>
      </c>
      <c r="N1717" s="1">
        <v>45136</v>
      </c>
      <c r="O1717" t="s">
        <v>35</v>
      </c>
      <c r="P1717">
        <v>6</v>
      </c>
      <c r="Q1717">
        <v>6404.97</v>
      </c>
    </row>
    <row r="1718" spans="1:17" x14ac:dyDescent="0.3">
      <c r="A1718" t="s">
        <v>4186</v>
      </c>
      <c r="B1718" t="s">
        <v>3267</v>
      </c>
      <c r="C1718" s="2" t="str">
        <f>PROPER(TRIM(Table1[[#This Row],[Gender]]))</f>
        <v>Male</v>
      </c>
      <c r="D1718" t="s">
        <v>16</v>
      </c>
      <c r="E1718">
        <v>32</v>
      </c>
      <c r="F1718" t="s">
        <v>31</v>
      </c>
      <c r="G1718" s="1">
        <v>33978</v>
      </c>
      <c r="H1718" t="s">
        <v>4187</v>
      </c>
      <c r="I1718" s="2" t="str">
        <f t="shared" si="26"/>
        <v>+91-9352915612</v>
      </c>
      <c r="J1718">
        <f>91-9352915703</f>
        <v>-9352915612</v>
      </c>
      <c r="K1718" t="s">
        <v>51</v>
      </c>
      <c r="L1718" t="s">
        <v>52</v>
      </c>
      <c r="M1718">
        <v>691473</v>
      </c>
      <c r="N1718" s="1">
        <v>45238</v>
      </c>
      <c r="O1718" t="s">
        <v>28</v>
      </c>
      <c r="P1718">
        <v>4</v>
      </c>
      <c r="Q1718">
        <v>190451.71</v>
      </c>
    </row>
    <row r="1719" spans="1:17" x14ac:dyDescent="0.3">
      <c r="A1719" t="s">
        <v>4188</v>
      </c>
      <c r="B1719" t="s">
        <v>703</v>
      </c>
      <c r="C1719" s="2" t="str">
        <f>PROPER(TRIM(Table1[[#This Row],[Gender]]))</f>
        <v>Female</v>
      </c>
      <c r="D1719" t="s">
        <v>43</v>
      </c>
      <c r="E1719">
        <v>34</v>
      </c>
      <c r="F1719" t="s">
        <v>31</v>
      </c>
      <c r="G1719" s="1">
        <v>33248</v>
      </c>
      <c r="H1719" t="s">
        <v>704</v>
      </c>
      <c r="I1719" s="2" t="str">
        <f t="shared" si="26"/>
        <v>+91-7565692024</v>
      </c>
      <c r="J1719">
        <f>91-7565692115</f>
        <v>-7565692024</v>
      </c>
      <c r="K1719" t="s">
        <v>80</v>
      </c>
      <c r="L1719" t="s">
        <v>20</v>
      </c>
      <c r="M1719">
        <v>176860</v>
      </c>
      <c r="N1719" s="1">
        <v>45362</v>
      </c>
      <c r="O1719" t="s">
        <v>21</v>
      </c>
      <c r="P1719">
        <v>2</v>
      </c>
      <c r="Q1719">
        <v>28025.93</v>
      </c>
    </row>
    <row r="1720" spans="1:17" x14ac:dyDescent="0.3">
      <c r="A1720" t="s">
        <v>4189</v>
      </c>
      <c r="B1720" t="s">
        <v>475</v>
      </c>
      <c r="C1720" s="2" t="str">
        <f>PROPER(TRIM(Table1[[#This Row],[Gender]]))</f>
        <v>Female</v>
      </c>
      <c r="D1720" t="s">
        <v>43</v>
      </c>
      <c r="E1720">
        <v>22</v>
      </c>
      <c r="F1720" t="s">
        <v>49</v>
      </c>
      <c r="G1720" s="1">
        <v>37628</v>
      </c>
      <c r="H1720" t="s">
        <v>4190</v>
      </c>
      <c r="I1720" s="2" t="str">
        <f t="shared" si="26"/>
        <v>+91-8948070264</v>
      </c>
      <c r="J1720">
        <f>91-8948070355</f>
        <v>-8948070264</v>
      </c>
      <c r="K1720" t="s">
        <v>76</v>
      </c>
      <c r="L1720" t="s">
        <v>46</v>
      </c>
      <c r="M1720">
        <v>461893</v>
      </c>
      <c r="N1720" s="1">
        <v>45431</v>
      </c>
      <c r="O1720" t="s">
        <v>28</v>
      </c>
      <c r="P1720">
        <v>9</v>
      </c>
      <c r="Q1720">
        <v>278627.28999999998</v>
      </c>
    </row>
    <row r="1721" spans="1:17" x14ac:dyDescent="0.3">
      <c r="A1721" t="s">
        <v>4191</v>
      </c>
      <c r="B1721" t="s">
        <v>2788</v>
      </c>
      <c r="C1721" s="2" t="str">
        <f>PROPER(TRIM(Table1[[#This Row],[Gender]]))</f>
        <v>Male</v>
      </c>
      <c r="D1721" t="s">
        <v>16</v>
      </c>
      <c r="E1721">
        <v>51</v>
      </c>
      <c r="F1721" t="s">
        <v>17</v>
      </c>
      <c r="G1721" s="1">
        <v>27043</v>
      </c>
      <c r="H1721" t="s">
        <v>4192</v>
      </c>
      <c r="I1721" s="2" t="str">
        <f t="shared" si="26"/>
        <v>+91-9271596894</v>
      </c>
      <c r="J1721">
        <f>91-9271596985</f>
        <v>-9271596894</v>
      </c>
      <c r="K1721" t="s">
        <v>113</v>
      </c>
      <c r="L1721" t="s">
        <v>34</v>
      </c>
      <c r="M1721">
        <v>333404</v>
      </c>
      <c r="N1721" s="1">
        <v>45215</v>
      </c>
      <c r="O1721" t="s">
        <v>35</v>
      </c>
      <c r="P1721">
        <v>4</v>
      </c>
      <c r="Q1721">
        <v>4218.8599999999997</v>
      </c>
    </row>
    <row r="1722" spans="1:17" x14ac:dyDescent="0.3">
      <c r="A1722" t="s">
        <v>4193</v>
      </c>
      <c r="B1722" t="s">
        <v>721</v>
      </c>
      <c r="C1722" s="2" t="str">
        <f>PROPER(TRIM(Table1[[#This Row],[Gender]]))</f>
        <v>Male</v>
      </c>
      <c r="D1722" t="s">
        <v>16</v>
      </c>
      <c r="E1722">
        <v>33</v>
      </c>
      <c r="F1722" t="s">
        <v>31</v>
      </c>
      <c r="G1722" s="1">
        <v>33613</v>
      </c>
      <c r="H1722" t="s">
        <v>4194</v>
      </c>
      <c r="I1722" s="2" t="str">
        <f t="shared" si="26"/>
        <v>+91-7451242315</v>
      </c>
      <c r="J1722">
        <f>91-7451242406</f>
        <v>-7451242315</v>
      </c>
      <c r="K1722" t="s">
        <v>89</v>
      </c>
      <c r="L1722" t="s">
        <v>90</v>
      </c>
      <c r="M1722">
        <v>528511</v>
      </c>
      <c r="N1722" s="1">
        <v>45442</v>
      </c>
      <c r="O1722" t="s">
        <v>28</v>
      </c>
      <c r="P1722">
        <v>3</v>
      </c>
      <c r="Q1722">
        <v>108189.52</v>
      </c>
    </row>
    <row r="1723" spans="1:17" x14ac:dyDescent="0.3">
      <c r="A1723" t="s">
        <v>4195</v>
      </c>
      <c r="B1723" t="s">
        <v>107</v>
      </c>
      <c r="C1723" s="2" t="str">
        <f>PROPER(TRIM(Table1[[#This Row],[Gender]]))</f>
        <v>Female</v>
      </c>
      <c r="D1723" t="s">
        <v>43</v>
      </c>
      <c r="E1723">
        <v>34</v>
      </c>
      <c r="F1723" t="s">
        <v>31</v>
      </c>
      <c r="G1723" s="1">
        <v>33248</v>
      </c>
      <c r="H1723" t="s">
        <v>4196</v>
      </c>
      <c r="I1723" s="2" t="str">
        <f t="shared" si="26"/>
        <v>+91-8094081894</v>
      </c>
      <c r="J1723">
        <f>91-8094081985</f>
        <v>-8094081894</v>
      </c>
      <c r="K1723" t="s">
        <v>202</v>
      </c>
      <c r="L1723" t="s">
        <v>191</v>
      </c>
      <c r="M1723">
        <v>922005</v>
      </c>
      <c r="N1723" s="1">
        <v>45147</v>
      </c>
      <c r="O1723" t="s">
        <v>28</v>
      </c>
      <c r="P1723">
        <v>6</v>
      </c>
      <c r="Q1723">
        <v>150226.25</v>
      </c>
    </row>
    <row r="1724" spans="1:17" x14ac:dyDescent="0.3">
      <c r="A1724" t="s">
        <v>4197</v>
      </c>
      <c r="B1724" t="s">
        <v>422</v>
      </c>
      <c r="C1724" s="2" t="str">
        <f>PROPER(TRIM(Table1[[#This Row],[Gender]]))</f>
        <v>Male</v>
      </c>
      <c r="D1724" t="s">
        <v>16</v>
      </c>
      <c r="E1724">
        <v>43</v>
      </c>
      <c r="F1724" t="s">
        <v>38</v>
      </c>
      <c r="G1724" s="1">
        <v>29963</v>
      </c>
      <c r="H1724" t="s">
        <v>4198</v>
      </c>
      <c r="I1724" s="2" t="str">
        <f t="shared" si="26"/>
        <v>+91-8786567394</v>
      </c>
      <c r="J1724">
        <f>91-8786567485</f>
        <v>-8786567394</v>
      </c>
      <c r="K1724" t="s">
        <v>195</v>
      </c>
      <c r="L1724" t="s">
        <v>102</v>
      </c>
      <c r="M1724">
        <v>117117</v>
      </c>
      <c r="N1724" s="1">
        <v>45161</v>
      </c>
      <c r="O1724" t="s">
        <v>28</v>
      </c>
      <c r="P1724">
        <v>3</v>
      </c>
      <c r="Q1724">
        <v>107801.55</v>
      </c>
    </row>
    <row r="1725" spans="1:17" x14ac:dyDescent="0.3">
      <c r="A1725" t="s">
        <v>4199</v>
      </c>
      <c r="B1725" t="s">
        <v>1708</v>
      </c>
      <c r="C1725" s="2" t="str">
        <f>PROPER(TRIM(Table1[[#This Row],[Gender]]))</f>
        <v>Female</v>
      </c>
      <c r="D1725" t="s">
        <v>43</v>
      </c>
      <c r="E1725">
        <v>30</v>
      </c>
      <c r="F1725" t="s">
        <v>31</v>
      </c>
      <c r="G1725" s="1">
        <v>34708</v>
      </c>
      <c r="H1725" t="s">
        <v>1709</v>
      </c>
      <c r="I1725" s="2" t="str">
        <f t="shared" si="26"/>
        <v>+91-9564371695</v>
      </c>
      <c r="J1725">
        <f>91-9564371786</f>
        <v>-9564371695</v>
      </c>
      <c r="K1725" t="s">
        <v>239</v>
      </c>
      <c r="L1725" t="s">
        <v>191</v>
      </c>
      <c r="M1725">
        <v>812300</v>
      </c>
      <c r="N1725" s="1">
        <v>45426</v>
      </c>
      <c r="O1725" t="s">
        <v>28</v>
      </c>
      <c r="P1725">
        <v>3</v>
      </c>
      <c r="Q1725">
        <v>54203.93</v>
      </c>
    </row>
    <row r="1726" spans="1:17" x14ac:dyDescent="0.3">
      <c r="A1726" t="s">
        <v>4200</v>
      </c>
      <c r="B1726" t="s">
        <v>442</v>
      </c>
      <c r="C1726" s="2" t="str">
        <f>PROPER(TRIM(Table1[[#This Row],[Gender]]))</f>
        <v>Male</v>
      </c>
      <c r="D1726" t="s">
        <v>16</v>
      </c>
      <c r="E1726">
        <v>58</v>
      </c>
      <c r="F1726" t="s">
        <v>58</v>
      </c>
      <c r="G1726" s="1">
        <v>24488</v>
      </c>
      <c r="H1726" t="s">
        <v>4201</v>
      </c>
      <c r="I1726" s="2" t="str">
        <f t="shared" si="26"/>
        <v>+91-8665146133</v>
      </c>
      <c r="J1726">
        <f>91-8665146224</f>
        <v>-8665146133</v>
      </c>
      <c r="K1726" t="s">
        <v>72</v>
      </c>
      <c r="L1726" t="s">
        <v>34</v>
      </c>
      <c r="M1726">
        <v>102529</v>
      </c>
      <c r="N1726" s="1">
        <v>45121</v>
      </c>
      <c r="O1726" t="s">
        <v>35</v>
      </c>
      <c r="P1726">
        <v>6</v>
      </c>
      <c r="Q1726">
        <v>14515.54</v>
      </c>
    </row>
    <row r="1727" spans="1:17" x14ac:dyDescent="0.3">
      <c r="A1727" t="s">
        <v>4202</v>
      </c>
      <c r="B1727" t="s">
        <v>3025</v>
      </c>
      <c r="C1727" s="2" t="str">
        <f>PROPER(TRIM(Table1[[#This Row],[Gender]]))</f>
        <v>Female</v>
      </c>
      <c r="D1727" t="s">
        <v>43</v>
      </c>
      <c r="E1727">
        <v>35</v>
      </c>
      <c r="F1727" t="s">
        <v>31</v>
      </c>
      <c r="G1727" s="1">
        <v>32883</v>
      </c>
      <c r="H1727" t="s">
        <v>4203</v>
      </c>
      <c r="I1727" s="2" t="str">
        <f t="shared" si="26"/>
        <v>+91-9098522568</v>
      </c>
      <c r="J1727">
        <f>91-9098522659</f>
        <v>-9098522568</v>
      </c>
      <c r="K1727" t="s">
        <v>64</v>
      </c>
      <c r="L1727" t="s">
        <v>20</v>
      </c>
      <c r="M1727">
        <v>144128</v>
      </c>
      <c r="N1727" s="1">
        <v>45201</v>
      </c>
      <c r="O1727" t="s">
        <v>28</v>
      </c>
      <c r="P1727">
        <v>11</v>
      </c>
      <c r="Q1727">
        <v>222349.22</v>
      </c>
    </row>
    <row r="1728" spans="1:17" x14ac:dyDescent="0.3">
      <c r="A1728" t="s">
        <v>4204</v>
      </c>
      <c r="B1728" t="s">
        <v>74</v>
      </c>
      <c r="C1728" s="2" t="str">
        <f>PROPER(TRIM(Table1[[#This Row],[Gender]]))</f>
        <v>Male</v>
      </c>
      <c r="D1728" t="s">
        <v>16</v>
      </c>
      <c r="E1728">
        <v>54</v>
      </c>
      <c r="F1728" t="s">
        <v>17</v>
      </c>
      <c r="G1728" s="1">
        <v>25948</v>
      </c>
      <c r="H1728" t="s">
        <v>1737</v>
      </c>
      <c r="I1728" s="2" t="str">
        <f t="shared" si="26"/>
        <v>+91-8620482448</v>
      </c>
      <c r="J1728">
        <f>91-8620482539</f>
        <v>-8620482448</v>
      </c>
      <c r="K1728" t="s">
        <v>101</v>
      </c>
      <c r="L1728" t="s">
        <v>102</v>
      </c>
      <c r="M1728">
        <v>233438</v>
      </c>
      <c r="N1728" s="1">
        <v>45153</v>
      </c>
      <c r="O1728" t="s">
        <v>35</v>
      </c>
      <c r="P1728">
        <v>2</v>
      </c>
      <c r="Q1728">
        <v>4876.3900000000003</v>
      </c>
    </row>
    <row r="1729" spans="1:17" x14ac:dyDescent="0.3">
      <c r="A1729" t="s">
        <v>4205</v>
      </c>
      <c r="B1729" t="s">
        <v>2245</v>
      </c>
      <c r="C1729" s="2" t="str">
        <f>PROPER(TRIM(Table1[[#This Row],[Gender]]))</f>
        <v>Female</v>
      </c>
      <c r="D1729" t="s">
        <v>43</v>
      </c>
      <c r="E1729">
        <v>26</v>
      </c>
      <c r="F1729" t="s">
        <v>31</v>
      </c>
      <c r="G1729" s="1">
        <v>36168</v>
      </c>
      <c r="H1729" t="s">
        <v>4206</v>
      </c>
      <c r="I1729" s="2" t="str">
        <f t="shared" si="26"/>
        <v>+91-9015986551</v>
      </c>
      <c r="J1729">
        <f>91-9015986642</f>
        <v>-9015986551</v>
      </c>
      <c r="K1729" t="s">
        <v>147</v>
      </c>
      <c r="L1729" t="s">
        <v>143</v>
      </c>
      <c r="M1729">
        <v>866508</v>
      </c>
      <c r="N1729" s="1">
        <v>45147</v>
      </c>
      <c r="O1729" t="s">
        <v>35</v>
      </c>
      <c r="P1729">
        <v>3</v>
      </c>
      <c r="Q1729">
        <v>13255.47</v>
      </c>
    </row>
    <row r="1730" spans="1:17" x14ac:dyDescent="0.3">
      <c r="A1730" t="s">
        <v>4207</v>
      </c>
      <c r="B1730" t="s">
        <v>935</v>
      </c>
      <c r="C1730" s="2" t="str">
        <f>PROPER(TRIM(Table1[[#This Row],[Gender]]))</f>
        <v>Female</v>
      </c>
      <c r="D1730" t="s">
        <v>43</v>
      </c>
      <c r="E1730">
        <v>27</v>
      </c>
      <c r="F1730" t="s">
        <v>31</v>
      </c>
      <c r="G1730" s="1">
        <v>35803</v>
      </c>
      <c r="H1730" t="s">
        <v>4208</v>
      </c>
      <c r="I1730" s="2" t="str">
        <f t="shared" ref="I1730:I1793" si="27">"+91"&amp;TEXT(J1730,"0000000000")</f>
        <v>+91-7343286419</v>
      </c>
      <c r="J1730">
        <f>91-7343286510</f>
        <v>-7343286419</v>
      </c>
      <c r="K1730" t="s">
        <v>121</v>
      </c>
      <c r="L1730" t="s">
        <v>85</v>
      </c>
      <c r="M1730">
        <v>895817</v>
      </c>
      <c r="N1730" s="1">
        <v>45128</v>
      </c>
      <c r="O1730" t="s">
        <v>28</v>
      </c>
      <c r="P1730">
        <v>6</v>
      </c>
      <c r="Q1730">
        <v>110032.07</v>
      </c>
    </row>
    <row r="1731" spans="1:17" x14ac:dyDescent="0.3">
      <c r="A1731" t="s">
        <v>4209</v>
      </c>
      <c r="B1731" t="s">
        <v>3025</v>
      </c>
      <c r="C1731" s="2" t="str">
        <f>PROPER(TRIM(Table1[[#This Row],[Gender]]))</f>
        <v>Female</v>
      </c>
      <c r="D1731" t="s">
        <v>43</v>
      </c>
      <c r="E1731">
        <v>22</v>
      </c>
      <c r="F1731" t="s">
        <v>49</v>
      </c>
      <c r="G1731" s="1">
        <v>37628</v>
      </c>
      <c r="H1731" t="s">
        <v>4210</v>
      </c>
      <c r="I1731" s="2" t="str">
        <f t="shared" si="27"/>
        <v>+91-8282325641</v>
      </c>
      <c r="J1731">
        <f>91-8282325732</f>
        <v>-8282325641</v>
      </c>
      <c r="K1731" t="s">
        <v>580</v>
      </c>
      <c r="L1731" t="s">
        <v>85</v>
      </c>
      <c r="M1731">
        <v>529353</v>
      </c>
      <c r="N1731" s="1">
        <v>45142</v>
      </c>
      <c r="O1731" t="s">
        <v>28</v>
      </c>
      <c r="P1731">
        <v>10</v>
      </c>
      <c r="Q1731">
        <v>113090.54</v>
      </c>
    </row>
    <row r="1732" spans="1:17" x14ac:dyDescent="0.3">
      <c r="A1732" t="s">
        <v>4211</v>
      </c>
      <c r="B1732" t="s">
        <v>1620</v>
      </c>
      <c r="C1732" s="2" t="str">
        <f>PROPER(TRIM(Table1[[#This Row],[Gender]]))</f>
        <v>Male</v>
      </c>
      <c r="D1732" t="s">
        <v>16</v>
      </c>
      <c r="E1732">
        <v>54</v>
      </c>
      <c r="F1732" t="s">
        <v>17</v>
      </c>
      <c r="G1732" s="1">
        <v>25948</v>
      </c>
      <c r="H1732" t="s">
        <v>4212</v>
      </c>
      <c r="I1732" s="2" t="str">
        <f t="shared" si="27"/>
        <v>+91-9438441106</v>
      </c>
      <c r="J1732">
        <f>91-9438441197</f>
        <v>-9438441106</v>
      </c>
      <c r="K1732" t="s">
        <v>40</v>
      </c>
      <c r="L1732" t="s">
        <v>27</v>
      </c>
      <c r="M1732">
        <v>502669</v>
      </c>
      <c r="N1732" s="1">
        <v>45283</v>
      </c>
      <c r="O1732" t="s">
        <v>28</v>
      </c>
      <c r="P1732">
        <v>4</v>
      </c>
      <c r="Q1732">
        <v>52860.14</v>
      </c>
    </row>
    <row r="1733" spans="1:17" x14ac:dyDescent="0.3">
      <c r="A1733" t="s">
        <v>4213</v>
      </c>
      <c r="B1733" t="s">
        <v>1913</v>
      </c>
      <c r="C1733" s="2" t="str">
        <f>PROPER(TRIM(Table1[[#This Row],[Gender]]))</f>
        <v>Female</v>
      </c>
      <c r="D1733" t="s">
        <v>43</v>
      </c>
      <c r="E1733">
        <v>47</v>
      </c>
      <c r="F1733" t="s">
        <v>17</v>
      </c>
      <c r="G1733" s="1">
        <v>28503</v>
      </c>
      <c r="H1733" t="s">
        <v>4214</v>
      </c>
      <c r="I1733" s="2" t="str">
        <f t="shared" si="27"/>
        <v>+91-9260957862</v>
      </c>
      <c r="J1733">
        <f>91-9260957953</f>
        <v>-9260957862</v>
      </c>
      <c r="K1733" t="s">
        <v>147</v>
      </c>
      <c r="L1733" t="s">
        <v>143</v>
      </c>
      <c r="M1733">
        <v>503671</v>
      </c>
      <c r="N1733" s="1">
        <v>45108</v>
      </c>
      <c r="O1733" t="s">
        <v>28</v>
      </c>
      <c r="P1733">
        <v>7</v>
      </c>
      <c r="Q1733">
        <v>121324.44</v>
      </c>
    </row>
    <row r="1734" spans="1:17" x14ac:dyDescent="0.3">
      <c r="A1734" t="s">
        <v>4215</v>
      </c>
      <c r="B1734" t="s">
        <v>675</v>
      </c>
      <c r="C1734" s="2" t="str">
        <f>PROPER(TRIM(Table1[[#This Row],[Gender]]))</f>
        <v>Male</v>
      </c>
      <c r="D1734" t="s">
        <v>16</v>
      </c>
      <c r="E1734">
        <v>21</v>
      </c>
      <c r="F1734" t="s">
        <v>49</v>
      </c>
      <c r="G1734" s="1">
        <v>37993</v>
      </c>
      <c r="H1734" t="s">
        <v>4216</v>
      </c>
      <c r="I1734" s="2" t="str">
        <f t="shared" si="27"/>
        <v>+91-8052495961</v>
      </c>
      <c r="J1734">
        <f>91-8052496052</f>
        <v>-8052495961</v>
      </c>
      <c r="K1734" t="s">
        <v>147</v>
      </c>
      <c r="L1734" t="s">
        <v>143</v>
      </c>
      <c r="M1734">
        <v>162733</v>
      </c>
      <c r="N1734" s="1">
        <v>45104</v>
      </c>
      <c r="O1734" t="s">
        <v>28</v>
      </c>
      <c r="P1734">
        <v>9</v>
      </c>
      <c r="Q1734">
        <v>250617.38</v>
      </c>
    </row>
    <row r="1735" spans="1:17" x14ac:dyDescent="0.3">
      <c r="A1735" t="s">
        <v>4217</v>
      </c>
      <c r="B1735" t="s">
        <v>200</v>
      </c>
      <c r="C1735" s="2" t="str">
        <f>PROPER(TRIM(Table1[[#This Row],[Gender]]))</f>
        <v>Female</v>
      </c>
      <c r="D1735" t="s">
        <v>43</v>
      </c>
      <c r="E1735">
        <v>25</v>
      </c>
      <c r="F1735" t="s">
        <v>49</v>
      </c>
      <c r="G1735" s="1">
        <v>36533</v>
      </c>
      <c r="H1735" t="s">
        <v>4218</v>
      </c>
      <c r="I1735" s="2" t="str">
        <f t="shared" si="27"/>
        <v>+91-9368888293</v>
      </c>
      <c r="J1735">
        <f>91-9368888384</f>
        <v>-9368888293</v>
      </c>
      <c r="K1735" t="s">
        <v>178</v>
      </c>
      <c r="L1735" t="s">
        <v>27</v>
      </c>
      <c r="M1735">
        <v>994723</v>
      </c>
      <c r="N1735" s="1">
        <v>45337</v>
      </c>
      <c r="O1735" t="s">
        <v>28</v>
      </c>
      <c r="P1735">
        <v>3</v>
      </c>
      <c r="Q1735">
        <v>69433.31</v>
      </c>
    </row>
    <row r="1736" spans="1:17" x14ac:dyDescent="0.3">
      <c r="A1736" t="s">
        <v>4219</v>
      </c>
      <c r="B1736" t="s">
        <v>4220</v>
      </c>
      <c r="C1736" s="2" t="str">
        <f>PROPER(TRIM(Table1[[#This Row],[Gender]]))</f>
        <v>Male</v>
      </c>
      <c r="D1736" t="s">
        <v>16</v>
      </c>
      <c r="E1736">
        <v>28</v>
      </c>
      <c r="F1736" t="s">
        <v>31</v>
      </c>
      <c r="G1736" s="1">
        <v>35438</v>
      </c>
      <c r="H1736" t="s">
        <v>4221</v>
      </c>
      <c r="I1736" s="2" t="str">
        <f t="shared" si="27"/>
        <v>+91-8707069974</v>
      </c>
      <c r="J1736">
        <f>91-8707070065</f>
        <v>-8707069974</v>
      </c>
      <c r="K1736" t="s">
        <v>142</v>
      </c>
      <c r="L1736" t="s">
        <v>143</v>
      </c>
      <c r="M1736">
        <v>812296</v>
      </c>
      <c r="N1736" s="1">
        <v>45187</v>
      </c>
      <c r="O1736" t="s">
        <v>28</v>
      </c>
      <c r="P1736">
        <v>6</v>
      </c>
      <c r="Q1736">
        <v>117692.02</v>
      </c>
    </row>
    <row r="1737" spans="1:17" x14ac:dyDescent="0.3">
      <c r="A1737" t="s">
        <v>4222</v>
      </c>
      <c r="B1737" t="s">
        <v>721</v>
      </c>
      <c r="C1737" s="2" t="str">
        <f>PROPER(TRIM(Table1[[#This Row],[Gender]]))</f>
        <v>Male</v>
      </c>
      <c r="D1737" t="s">
        <v>16</v>
      </c>
      <c r="E1737">
        <v>21</v>
      </c>
      <c r="F1737" t="s">
        <v>49</v>
      </c>
      <c r="G1737" s="1">
        <v>37993</v>
      </c>
      <c r="H1737" t="s">
        <v>4223</v>
      </c>
      <c r="I1737" s="2" t="str">
        <f t="shared" si="27"/>
        <v>+91-8319799998</v>
      </c>
      <c r="J1737">
        <f>91-8319800089</f>
        <v>-8319799998</v>
      </c>
      <c r="K1737" t="s">
        <v>101</v>
      </c>
      <c r="L1737" t="s">
        <v>102</v>
      </c>
      <c r="M1737">
        <v>777143</v>
      </c>
      <c r="N1737" s="1">
        <v>45164</v>
      </c>
      <c r="O1737" t="s">
        <v>28</v>
      </c>
      <c r="P1737">
        <v>6</v>
      </c>
      <c r="Q1737">
        <v>68309.710000000006</v>
      </c>
    </row>
    <row r="1738" spans="1:17" x14ac:dyDescent="0.3">
      <c r="A1738" t="s">
        <v>4224</v>
      </c>
      <c r="B1738" t="s">
        <v>487</v>
      </c>
      <c r="C1738" s="2" t="str">
        <f>PROPER(TRIM(Table1[[#This Row],[Gender]]))</f>
        <v>Female</v>
      </c>
      <c r="D1738" t="s">
        <v>43</v>
      </c>
      <c r="E1738">
        <v>28</v>
      </c>
      <c r="F1738" t="s">
        <v>31</v>
      </c>
      <c r="G1738" s="1">
        <v>35438</v>
      </c>
      <c r="H1738" t="s">
        <v>4225</v>
      </c>
      <c r="I1738" s="2" t="str">
        <f t="shared" si="27"/>
        <v>+91-9367116758</v>
      </c>
      <c r="J1738">
        <f>91-9367116849</f>
        <v>-9367116758</v>
      </c>
      <c r="K1738" t="s">
        <v>138</v>
      </c>
      <c r="L1738" t="s">
        <v>90</v>
      </c>
      <c r="M1738">
        <v>367901</v>
      </c>
      <c r="N1738" s="1">
        <v>45251</v>
      </c>
      <c r="O1738" t="s">
        <v>28</v>
      </c>
      <c r="P1738">
        <v>6</v>
      </c>
      <c r="Q1738">
        <v>418081.9</v>
      </c>
    </row>
    <row r="1739" spans="1:17" x14ac:dyDescent="0.3">
      <c r="A1739" t="s">
        <v>4226</v>
      </c>
      <c r="B1739" t="s">
        <v>3371</v>
      </c>
      <c r="C1739" s="2" t="str">
        <f>PROPER(TRIM(Table1[[#This Row],[Gender]]))</f>
        <v>Female</v>
      </c>
      <c r="D1739" t="s">
        <v>43</v>
      </c>
      <c r="E1739">
        <v>18</v>
      </c>
      <c r="F1739" t="s">
        <v>49</v>
      </c>
      <c r="G1739" s="1">
        <v>39088</v>
      </c>
      <c r="H1739" t="s">
        <v>4227</v>
      </c>
      <c r="I1739" s="2" t="str">
        <f t="shared" si="27"/>
        <v>+91-9346968822</v>
      </c>
      <c r="J1739">
        <f>91-9346968913</f>
        <v>-9346968822</v>
      </c>
      <c r="K1739" t="s">
        <v>64</v>
      </c>
      <c r="L1739" t="s">
        <v>20</v>
      </c>
      <c r="M1739">
        <v>927339</v>
      </c>
      <c r="N1739" s="1">
        <v>45207</v>
      </c>
      <c r="O1739" t="s">
        <v>28</v>
      </c>
      <c r="P1739">
        <v>6</v>
      </c>
      <c r="Q1739">
        <v>150413.29</v>
      </c>
    </row>
    <row r="1740" spans="1:17" x14ac:dyDescent="0.3">
      <c r="A1740" t="s">
        <v>4228</v>
      </c>
      <c r="B1740" t="s">
        <v>781</v>
      </c>
      <c r="C1740" s="2" t="str">
        <f>PROPER(TRIM(Table1[[#This Row],[Gender]]))</f>
        <v>Male</v>
      </c>
      <c r="D1740" t="s">
        <v>16</v>
      </c>
      <c r="E1740">
        <v>36</v>
      </c>
      <c r="F1740" t="s">
        <v>38</v>
      </c>
      <c r="G1740" s="1">
        <v>32518</v>
      </c>
      <c r="H1740" t="s">
        <v>4229</v>
      </c>
      <c r="I1740" s="2" t="str">
        <f t="shared" si="27"/>
        <v>+91-9030285528</v>
      </c>
      <c r="J1740">
        <f>91-9030285619</f>
        <v>-9030285528</v>
      </c>
      <c r="K1740" t="s">
        <v>142</v>
      </c>
      <c r="L1740" t="s">
        <v>143</v>
      </c>
      <c r="M1740">
        <v>560055</v>
      </c>
      <c r="N1740" s="1">
        <v>45258</v>
      </c>
      <c r="O1740" t="s">
        <v>28</v>
      </c>
      <c r="P1740">
        <v>7</v>
      </c>
      <c r="Q1740">
        <v>78054.89</v>
      </c>
    </row>
    <row r="1741" spans="1:17" x14ac:dyDescent="0.3">
      <c r="A1741" t="s">
        <v>4230</v>
      </c>
      <c r="B1741" t="s">
        <v>4231</v>
      </c>
      <c r="C1741" s="2" t="str">
        <f>PROPER(TRIM(Table1[[#This Row],[Gender]]))</f>
        <v>Male</v>
      </c>
      <c r="D1741" t="s">
        <v>16</v>
      </c>
      <c r="E1741">
        <v>25</v>
      </c>
      <c r="F1741" t="s">
        <v>49</v>
      </c>
      <c r="G1741" s="1">
        <v>36533</v>
      </c>
      <c r="H1741" t="s">
        <v>4232</v>
      </c>
      <c r="I1741" s="2" t="str">
        <f t="shared" si="27"/>
        <v>+91-9236497205</v>
      </c>
      <c r="J1741">
        <f>91-9236497296</f>
        <v>-9236497205</v>
      </c>
      <c r="K1741" t="s">
        <v>273</v>
      </c>
      <c r="L1741" t="s">
        <v>46</v>
      </c>
      <c r="M1741">
        <v>652183</v>
      </c>
      <c r="N1741" s="1">
        <v>45308</v>
      </c>
      <c r="O1741" t="s">
        <v>21</v>
      </c>
      <c r="P1741">
        <v>7</v>
      </c>
      <c r="Q1741">
        <v>24699.21</v>
      </c>
    </row>
    <row r="1742" spans="1:17" x14ac:dyDescent="0.3">
      <c r="A1742" t="s">
        <v>4233</v>
      </c>
      <c r="B1742" t="s">
        <v>2449</v>
      </c>
      <c r="C1742" s="2" t="str">
        <f>PROPER(TRIM(Table1[[#This Row],[Gender]]))</f>
        <v>Male</v>
      </c>
      <c r="D1742" t="s">
        <v>16</v>
      </c>
      <c r="E1742">
        <v>48</v>
      </c>
      <c r="F1742" t="s">
        <v>17</v>
      </c>
      <c r="G1742" s="1">
        <v>28138</v>
      </c>
      <c r="H1742" t="s">
        <v>2467</v>
      </c>
      <c r="I1742" s="2" t="str">
        <f t="shared" si="27"/>
        <v>+91-9959670515</v>
      </c>
      <c r="J1742">
        <f>91-9959670606</f>
        <v>-9959670515</v>
      </c>
      <c r="K1742" t="s">
        <v>161</v>
      </c>
      <c r="L1742" t="s">
        <v>102</v>
      </c>
      <c r="M1742">
        <v>158588</v>
      </c>
      <c r="N1742" s="1">
        <v>45332</v>
      </c>
      <c r="O1742" t="s">
        <v>21</v>
      </c>
      <c r="P1742">
        <v>3</v>
      </c>
      <c r="Q1742">
        <v>37233.300000000003</v>
      </c>
    </row>
    <row r="1743" spans="1:17" x14ac:dyDescent="0.3">
      <c r="A1743" t="s">
        <v>4234</v>
      </c>
      <c r="B1743" t="s">
        <v>2911</v>
      </c>
      <c r="C1743" s="2" t="str">
        <f>PROPER(TRIM(Table1[[#This Row],[Gender]]))</f>
        <v>Female</v>
      </c>
      <c r="D1743" t="s">
        <v>43</v>
      </c>
      <c r="E1743">
        <v>19</v>
      </c>
      <c r="F1743" t="s">
        <v>49</v>
      </c>
      <c r="G1743" s="1">
        <v>38723</v>
      </c>
      <c r="H1743" t="s">
        <v>4235</v>
      </c>
      <c r="I1743" s="2" t="str">
        <f t="shared" si="27"/>
        <v>+91-9765460413</v>
      </c>
      <c r="J1743">
        <f>91-9765460504</f>
        <v>-9765460413</v>
      </c>
      <c r="K1743" t="s">
        <v>80</v>
      </c>
      <c r="L1743" t="s">
        <v>20</v>
      </c>
      <c r="M1743">
        <v>381435</v>
      </c>
      <c r="N1743" s="1">
        <v>45418</v>
      </c>
      <c r="O1743" t="s">
        <v>28</v>
      </c>
      <c r="P1743">
        <v>4</v>
      </c>
      <c r="Q1743">
        <v>147969.59</v>
      </c>
    </row>
    <row r="1744" spans="1:17" x14ac:dyDescent="0.3">
      <c r="A1744" t="s">
        <v>4236</v>
      </c>
      <c r="B1744" t="s">
        <v>525</v>
      </c>
      <c r="C1744" s="2" t="str">
        <f>PROPER(TRIM(Table1[[#This Row],[Gender]]))</f>
        <v>Female</v>
      </c>
      <c r="D1744" t="s">
        <v>43</v>
      </c>
      <c r="E1744">
        <v>29</v>
      </c>
      <c r="F1744" t="s">
        <v>31</v>
      </c>
      <c r="G1744" s="1">
        <v>35073</v>
      </c>
      <c r="H1744" t="s">
        <v>4237</v>
      </c>
      <c r="I1744" s="2" t="str">
        <f t="shared" si="27"/>
        <v>+91-9177599902</v>
      </c>
      <c r="J1744">
        <f>91-9177599993</f>
        <v>-9177599902</v>
      </c>
      <c r="K1744" t="s">
        <v>72</v>
      </c>
      <c r="L1744" t="s">
        <v>34</v>
      </c>
      <c r="M1744">
        <v>944150</v>
      </c>
      <c r="N1744" s="1">
        <v>45174</v>
      </c>
      <c r="O1744" t="s">
        <v>28</v>
      </c>
      <c r="P1744">
        <v>4</v>
      </c>
      <c r="Q1744">
        <v>166576.07</v>
      </c>
    </row>
    <row r="1745" spans="1:17" x14ac:dyDescent="0.3">
      <c r="A1745" t="s">
        <v>4238</v>
      </c>
      <c r="B1745" t="s">
        <v>3487</v>
      </c>
      <c r="C1745" s="2" t="str">
        <f>PROPER(TRIM(Table1[[#This Row],[Gender]]))</f>
        <v>Male</v>
      </c>
      <c r="D1745" t="s">
        <v>16</v>
      </c>
      <c r="E1745">
        <v>43</v>
      </c>
      <c r="F1745" t="s">
        <v>38</v>
      </c>
      <c r="G1745" s="1">
        <v>29963</v>
      </c>
      <c r="H1745" t="s">
        <v>4239</v>
      </c>
      <c r="I1745" s="2" t="str">
        <f t="shared" si="27"/>
        <v>+91-9922091909</v>
      </c>
      <c r="J1745">
        <f>91-9922092000</f>
        <v>-9922091909</v>
      </c>
      <c r="K1745" t="s">
        <v>331</v>
      </c>
      <c r="L1745" t="s">
        <v>143</v>
      </c>
      <c r="M1745">
        <v>581010</v>
      </c>
      <c r="N1745" s="1">
        <v>45214</v>
      </c>
      <c r="O1745" t="s">
        <v>28</v>
      </c>
      <c r="P1745">
        <v>6</v>
      </c>
      <c r="Q1745">
        <v>125765.45</v>
      </c>
    </row>
    <row r="1746" spans="1:17" x14ac:dyDescent="0.3">
      <c r="A1746" t="s">
        <v>4240</v>
      </c>
      <c r="B1746" t="s">
        <v>2785</v>
      </c>
      <c r="C1746" s="2" t="str">
        <f>PROPER(TRIM(Table1[[#This Row],[Gender]]))</f>
        <v>Female</v>
      </c>
      <c r="D1746" t="s">
        <v>43</v>
      </c>
      <c r="E1746">
        <v>34</v>
      </c>
      <c r="F1746" t="s">
        <v>31</v>
      </c>
      <c r="G1746" s="1">
        <v>33248</v>
      </c>
      <c r="H1746" t="s">
        <v>4241</v>
      </c>
      <c r="I1746" s="2" t="str">
        <f t="shared" si="27"/>
        <v>+91-9767452911</v>
      </c>
      <c r="J1746">
        <f>91-9767453002</f>
        <v>-9767452911</v>
      </c>
      <c r="K1746" t="s">
        <v>64</v>
      </c>
      <c r="L1746" t="s">
        <v>20</v>
      </c>
      <c r="M1746">
        <v>194688</v>
      </c>
      <c r="N1746" s="1">
        <v>45301</v>
      </c>
      <c r="O1746" t="s">
        <v>21</v>
      </c>
      <c r="P1746">
        <v>3</v>
      </c>
      <c r="Q1746">
        <v>39398.15</v>
      </c>
    </row>
    <row r="1747" spans="1:17" x14ac:dyDescent="0.3">
      <c r="A1747" t="s">
        <v>4242</v>
      </c>
      <c r="B1747" t="s">
        <v>2674</v>
      </c>
      <c r="C1747" s="2" t="str">
        <f>PROPER(TRIM(Table1[[#This Row],[Gender]]))</f>
        <v>Female</v>
      </c>
      <c r="D1747" t="s">
        <v>43</v>
      </c>
      <c r="E1747">
        <v>33</v>
      </c>
      <c r="F1747" t="s">
        <v>31</v>
      </c>
      <c r="G1747" s="1">
        <v>33613</v>
      </c>
      <c r="H1747" t="s">
        <v>4243</v>
      </c>
      <c r="I1747" s="2" t="str">
        <f t="shared" si="27"/>
        <v>+91-9068868026</v>
      </c>
      <c r="J1747">
        <f>91-9068868117</f>
        <v>-9068868026</v>
      </c>
      <c r="K1747" t="s">
        <v>202</v>
      </c>
      <c r="L1747" t="s">
        <v>191</v>
      </c>
      <c r="M1747">
        <v>864253</v>
      </c>
      <c r="N1747" s="1">
        <v>45296</v>
      </c>
      <c r="O1747" t="s">
        <v>28</v>
      </c>
      <c r="P1747">
        <v>8</v>
      </c>
      <c r="Q1747">
        <v>151788.54</v>
      </c>
    </row>
    <row r="1748" spans="1:17" x14ac:dyDescent="0.3">
      <c r="A1748" t="s">
        <v>4244</v>
      </c>
      <c r="B1748" t="s">
        <v>295</v>
      </c>
      <c r="C1748" s="2" t="str">
        <f>PROPER(TRIM(Table1[[#This Row],[Gender]]))</f>
        <v>Male</v>
      </c>
      <c r="D1748" t="s">
        <v>16</v>
      </c>
      <c r="E1748">
        <v>26</v>
      </c>
      <c r="F1748" t="s">
        <v>31</v>
      </c>
      <c r="G1748" s="1">
        <v>36168</v>
      </c>
      <c r="H1748" t="s">
        <v>4245</v>
      </c>
      <c r="I1748" s="2" t="str">
        <f t="shared" si="27"/>
        <v>+91-7841908006</v>
      </c>
      <c r="J1748">
        <f>91-7841908097</f>
        <v>-7841908006</v>
      </c>
      <c r="K1748" t="s">
        <v>121</v>
      </c>
      <c r="L1748" t="s">
        <v>85</v>
      </c>
      <c r="M1748">
        <v>603843</v>
      </c>
      <c r="N1748" s="1">
        <v>45367</v>
      </c>
      <c r="O1748" t="s">
        <v>28</v>
      </c>
      <c r="P1748">
        <v>8</v>
      </c>
      <c r="Q1748">
        <v>316373.75</v>
      </c>
    </row>
    <row r="1749" spans="1:17" x14ac:dyDescent="0.3">
      <c r="A1749" t="s">
        <v>4246</v>
      </c>
      <c r="B1749" t="s">
        <v>352</v>
      </c>
      <c r="C1749" s="2" t="str">
        <f>PROPER(TRIM(Table1[[#This Row],[Gender]]))</f>
        <v>Male</v>
      </c>
      <c r="D1749" t="s">
        <v>16</v>
      </c>
      <c r="E1749">
        <v>21</v>
      </c>
      <c r="F1749" t="s">
        <v>49</v>
      </c>
      <c r="G1749" s="1">
        <v>37993</v>
      </c>
      <c r="H1749" t="s">
        <v>4247</v>
      </c>
      <c r="I1749" s="2" t="str">
        <f t="shared" si="27"/>
        <v>+91-9175014841</v>
      </c>
      <c r="J1749">
        <f>91-9175014932</f>
        <v>-9175014841</v>
      </c>
      <c r="K1749" t="s">
        <v>174</v>
      </c>
      <c r="L1749" t="s">
        <v>90</v>
      </c>
      <c r="M1749">
        <v>213708</v>
      </c>
      <c r="N1749" s="1">
        <v>45189</v>
      </c>
      <c r="O1749" t="s">
        <v>28</v>
      </c>
      <c r="P1749">
        <v>5</v>
      </c>
      <c r="Q1749">
        <v>147024.38</v>
      </c>
    </row>
    <row r="1750" spans="1:17" x14ac:dyDescent="0.3">
      <c r="A1750" t="s">
        <v>4248</v>
      </c>
      <c r="B1750" t="s">
        <v>4249</v>
      </c>
      <c r="C1750" s="2" t="str">
        <f>PROPER(TRIM(Table1[[#This Row],[Gender]]))</f>
        <v>Male</v>
      </c>
      <c r="D1750" t="s">
        <v>16</v>
      </c>
      <c r="E1750">
        <v>27</v>
      </c>
      <c r="F1750" t="s">
        <v>31</v>
      </c>
      <c r="G1750" s="1">
        <v>35803</v>
      </c>
      <c r="H1750" t="s">
        <v>4250</v>
      </c>
      <c r="I1750" s="2" t="str">
        <f t="shared" si="27"/>
        <v>+91-7277658138</v>
      </c>
      <c r="J1750">
        <f>91-7277658229</f>
        <v>-7277658138</v>
      </c>
      <c r="K1750" t="s">
        <v>76</v>
      </c>
      <c r="L1750" t="s">
        <v>46</v>
      </c>
      <c r="M1750">
        <v>370192</v>
      </c>
      <c r="N1750" s="1">
        <v>45139</v>
      </c>
      <c r="O1750" t="s">
        <v>28</v>
      </c>
      <c r="P1750">
        <v>7</v>
      </c>
      <c r="Q1750">
        <v>147439.17000000001</v>
      </c>
    </row>
    <row r="1751" spans="1:17" x14ac:dyDescent="0.3">
      <c r="A1751" t="s">
        <v>4251</v>
      </c>
      <c r="B1751" t="s">
        <v>554</v>
      </c>
      <c r="C1751" s="2" t="str">
        <f>PROPER(TRIM(Table1[[#This Row],[Gender]]))</f>
        <v>Male</v>
      </c>
      <c r="D1751" t="s">
        <v>16</v>
      </c>
      <c r="E1751">
        <v>49</v>
      </c>
      <c r="F1751" t="s">
        <v>17</v>
      </c>
      <c r="G1751" s="1">
        <v>27773</v>
      </c>
      <c r="H1751" t="s">
        <v>4252</v>
      </c>
      <c r="I1751" s="2" t="str">
        <f t="shared" si="27"/>
        <v>+91-7669941071</v>
      </c>
      <c r="J1751">
        <f>91-7669941162</f>
        <v>-7669941071</v>
      </c>
      <c r="K1751" t="s">
        <v>239</v>
      </c>
      <c r="L1751" t="s">
        <v>191</v>
      </c>
      <c r="M1751">
        <v>307432</v>
      </c>
      <c r="N1751" s="1">
        <v>45196</v>
      </c>
      <c r="O1751" t="s">
        <v>21</v>
      </c>
      <c r="P1751">
        <v>2</v>
      </c>
      <c r="Q1751">
        <v>26130.9</v>
      </c>
    </row>
    <row r="1752" spans="1:17" x14ac:dyDescent="0.3">
      <c r="A1752" t="s">
        <v>4253</v>
      </c>
      <c r="B1752" t="s">
        <v>4231</v>
      </c>
      <c r="C1752" s="2" t="str">
        <f>PROPER(TRIM(Table1[[#This Row],[Gender]]))</f>
        <v>Male</v>
      </c>
      <c r="D1752" t="s">
        <v>16</v>
      </c>
      <c r="E1752">
        <v>65</v>
      </c>
      <c r="F1752" t="s">
        <v>58</v>
      </c>
      <c r="G1752" s="1">
        <v>21933</v>
      </c>
      <c r="H1752" t="s">
        <v>4254</v>
      </c>
      <c r="I1752" s="2" t="str">
        <f t="shared" si="27"/>
        <v>+91-9434691640</v>
      </c>
      <c r="J1752">
        <f>91-9434691731</f>
        <v>-9434691640</v>
      </c>
      <c r="K1752" t="s">
        <v>125</v>
      </c>
      <c r="L1752" t="s">
        <v>52</v>
      </c>
      <c r="M1752">
        <v>335320</v>
      </c>
      <c r="N1752" s="1">
        <v>45245</v>
      </c>
      <c r="O1752" t="s">
        <v>28</v>
      </c>
      <c r="P1752">
        <v>3</v>
      </c>
      <c r="Q1752">
        <v>58058.35</v>
      </c>
    </row>
    <row r="1753" spans="1:17" x14ac:dyDescent="0.3">
      <c r="A1753" t="s">
        <v>4255</v>
      </c>
      <c r="B1753" t="s">
        <v>2280</v>
      </c>
      <c r="C1753" s="2" t="str">
        <f>PROPER(TRIM(Table1[[#This Row],[Gender]]))</f>
        <v>Female</v>
      </c>
      <c r="D1753" t="s">
        <v>43</v>
      </c>
      <c r="E1753">
        <v>19</v>
      </c>
      <c r="F1753" t="s">
        <v>49</v>
      </c>
      <c r="G1753" s="1">
        <v>38723</v>
      </c>
      <c r="H1753" t="s">
        <v>2281</v>
      </c>
      <c r="I1753" s="2" t="str">
        <f t="shared" si="27"/>
        <v>+91-8145265779</v>
      </c>
      <c r="J1753">
        <f>91-8145265870</f>
        <v>-8145265779</v>
      </c>
      <c r="K1753" t="s">
        <v>249</v>
      </c>
      <c r="L1753" t="s">
        <v>34</v>
      </c>
      <c r="M1753">
        <v>263828</v>
      </c>
      <c r="N1753" s="1">
        <v>45264</v>
      </c>
      <c r="O1753" t="s">
        <v>28</v>
      </c>
      <c r="P1753">
        <v>6</v>
      </c>
      <c r="Q1753">
        <v>118530.48</v>
      </c>
    </row>
    <row r="1754" spans="1:17" x14ac:dyDescent="0.3">
      <c r="A1754" t="s">
        <v>4256</v>
      </c>
      <c r="B1754" t="s">
        <v>1316</v>
      </c>
      <c r="C1754" s="2" t="str">
        <f>PROPER(TRIM(Table1[[#This Row],[Gender]]))</f>
        <v>Female</v>
      </c>
      <c r="D1754" t="s">
        <v>43</v>
      </c>
      <c r="E1754">
        <v>24</v>
      </c>
      <c r="F1754" t="s">
        <v>49</v>
      </c>
      <c r="G1754" s="1">
        <v>36898</v>
      </c>
      <c r="H1754" t="s">
        <v>4257</v>
      </c>
      <c r="I1754" s="2" t="str">
        <f t="shared" si="27"/>
        <v>+91-8613129993</v>
      </c>
      <c r="J1754">
        <f>91-8613130084</f>
        <v>-8613129993</v>
      </c>
      <c r="K1754" t="s">
        <v>51</v>
      </c>
      <c r="L1754" t="s">
        <v>52</v>
      </c>
      <c r="M1754">
        <v>193305</v>
      </c>
      <c r="N1754" s="1">
        <v>45089</v>
      </c>
      <c r="O1754" t="s">
        <v>28</v>
      </c>
      <c r="P1754">
        <v>3</v>
      </c>
      <c r="Q1754">
        <v>67202.8</v>
      </c>
    </row>
    <row r="1755" spans="1:17" x14ac:dyDescent="0.3">
      <c r="A1755" t="s">
        <v>4258</v>
      </c>
      <c r="B1755" t="s">
        <v>234</v>
      </c>
      <c r="C1755" s="2" t="str">
        <f>PROPER(TRIM(Table1[[#This Row],[Gender]]))</f>
        <v>Female</v>
      </c>
      <c r="D1755" t="s">
        <v>43</v>
      </c>
      <c r="E1755">
        <v>43</v>
      </c>
      <c r="F1755" t="s">
        <v>38</v>
      </c>
      <c r="G1755" s="1">
        <v>29963</v>
      </c>
      <c r="H1755" t="s">
        <v>4259</v>
      </c>
      <c r="I1755" s="2" t="str">
        <f t="shared" si="27"/>
        <v>+91-8579444526</v>
      </c>
      <c r="J1755">
        <f>91-8579444617</f>
        <v>-8579444526</v>
      </c>
      <c r="K1755" t="s">
        <v>33</v>
      </c>
      <c r="L1755" t="s">
        <v>34</v>
      </c>
      <c r="M1755">
        <v>250808</v>
      </c>
      <c r="N1755" s="1">
        <v>45374</v>
      </c>
      <c r="O1755" t="s">
        <v>28</v>
      </c>
      <c r="P1755">
        <v>1</v>
      </c>
      <c r="Q1755">
        <v>119541.39</v>
      </c>
    </row>
    <row r="1756" spans="1:17" x14ac:dyDescent="0.3">
      <c r="A1756" t="s">
        <v>4260</v>
      </c>
      <c r="B1756" t="s">
        <v>1073</v>
      </c>
      <c r="C1756" s="2" t="str">
        <f>PROPER(TRIM(Table1[[#This Row],[Gender]]))</f>
        <v>Female</v>
      </c>
      <c r="D1756" t="s">
        <v>43</v>
      </c>
      <c r="E1756">
        <v>29</v>
      </c>
      <c r="F1756" t="s">
        <v>31</v>
      </c>
      <c r="G1756" s="1">
        <v>35073</v>
      </c>
      <c r="H1756" t="s">
        <v>4261</v>
      </c>
      <c r="I1756" s="2" t="str">
        <f t="shared" si="27"/>
        <v>+91-9105630036</v>
      </c>
      <c r="J1756">
        <f>91-9105630127</f>
        <v>-9105630036</v>
      </c>
      <c r="K1756" t="s">
        <v>117</v>
      </c>
      <c r="L1756" t="s">
        <v>52</v>
      </c>
      <c r="M1756">
        <v>935567</v>
      </c>
      <c r="N1756" s="1">
        <v>45331</v>
      </c>
      <c r="O1756" t="s">
        <v>28</v>
      </c>
      <c r="P1756">
        <v>7</v>
      </c>
      <c r="Q1756">
        <v>116361.1</v>
      </c>
    </row>
    <row r="1757" spans="1:17" x14ac:dyDescent="0.3">
      <c r="A1757" t="s">
        <v>4262</v>
      </c>
      <c r="B1757" t="s">
        <v>4263</v>
      </c>
      <c r="C1757" s="2" t="str">
        <f>PROPER(TRIM(Table1[[#This Row],[Gender]]))</f>
        <v>Female</v>
      </c>
      <c r="D1757" t="s">
        <v>43</v>
      </c>
      <c r="E1757">
        <v>22</v>
      </c>
      <c r="F1757" t="s">
        <v>49</v>
      </c>
      <c r="G1757" s="1">
        <v>37628</v>
      </c>
      <c r="H1757" t="s">
        <v>4264</v>
      </c>
      <c r="I1757" s="2" t="str">
        <f t="shared" si="27"/>
        <v>+91-8789840623</v>
      </c>
      <c r="J1757">
        <f>91-8789840714</f>
        <v>-8789840623</v>
      </c>
      <c r="K1757" t="s">
        <v>154</v>
      </c>
      <c r="L1757" t="s">
        <v>46</v>
      </c>
      <c r="M1757">
        <v>138432</v>
      </c>
      <c r="N1757" s="1">
        <v>45374</v>
      </c>
      <c r="O1757" t="s">
        <v>28</v>
      </c>
      <c r="P1757">
        <v>6</v>
      </c>
      <c r="Q1757">
        <v>265208.65999999997</v>
      </c>
    </row>
    <row r="1758" spans="1:17" x14ac:dyDescent="0.3">
      <c r="A1758" t="s">
        <v>4265</v>
      </c>
      <c r="B1758" t="s">
        <v>4266</v>
      </c>
      <c r="C1758" s="2" t="str">
        <f>PROPER(TRIM(Table1[[#This Row],[Gender]]))</f>
        <v>Male</v>
      </c>
      <c r="D1758" t="s">
        <v>16</v>
      </c>
      <c r="E1758">
        <v>21</v>
      </c>
      <c r="F1758" t="s">
        <v>49</v>
      </c>
      <c r="G1758" s="1">
        <v>37993</v>
      </c>
      <c r="H1758" t="s">
        <v>4267</v>
      </c>
      <c r="I1758" s="2" t="str">
        <f t="shared" si="27"/>
        <v>+91-9837327604</v>
      </c>
      <c r="J1758">
        <f>91-9837327695</f>
        <v>-9837327604</v>
      </c>
      <c r="K1758" t="s">
        <v>68</v>
      </c>
      <c r="L1758" t="s">
        <v>52</v>
      </c>
      <c r="M1758">
        <v>415740</v>
      </c>
      <c r="N1758" s="1">
        <v>45329</v>
      </c>
      <c r="O1758" t="s">
        <v>28</v>
      </c>
      <c r="P1758">
        <v>5</v>
      </c>
      <c r="Q1758">
        <v>348562.54</v>
      </c>
    </row>
    <row r="1759" spans="1:17" x14ac:dyDescent="0.3">
      <c r="A1759" t="s">
        <v>4268</v>
      </c>
      <c r="B1759" t="s">
        <v>3859</v>
      </c>
      <c r="C1759" s="2" t="str">
        <f>PROPER(TRIM(Table1[[#This Row],[Gender]]))</f>
        <v>Male</v>
      </c>
      <c r="D1759" t="s">
        <v>16</v>
      </c>
      <c r="E1759">
        <v>51</v>
      </c>
      <c r="F1759" t="s">
        <v>17</v>
      </c>
      <c r="G1759" s="1">
        <v>27043</v>
      </c>
      <c r="H1759" t="s">
        <v>4269</v>
      </c>
      <c r="I1759" s="2" t="str">
        <f t="shared" si="27"/>
        <v>+91-7147329629</v>
      </c>
      <c r="J1759">
        <f>91-7147329720</f>
        <v>-7147329629</v>
      </c>
      <c r="K1759" t="s">
        <v>94</v>
      </c>
      <c r="L1759" t="s">
        <v>20</v>
      </c>
      <c r="M1759">
        <v>933038</v>
      </c>
      <c r="N1759" s="1">
        <v>45133</v>
      </c>
      <c r="O1759" t="s">
        <v>21</v>
      </c>
      <c r="P1759">
        <v>7</v>
      </c>
      <c r="Q1759">
        <v>38644.910000000003</v>
      </c>
    </row>
    <row r="1760" spans="1:17" x14ac:dyDescent="0.3">
      <c r="A1760" t="s">
        <v>4270</v>
      </c>
      <c r="B1760" t="s">
        <v>1655</v>
      </c>
      <c r="C1760" s="2" t="str">
        <f>PROPER(TRIM(Table1[[#This Row],[Gender]]))</f>
        <v>Female</v>
      </c>
      <c r="D1760" t="s">
        <v>43</v>
      </c>
      <c r="E1760">
        <v>27</v>
      </c>
      <c r="F1760" t="s">
        <v>31</v>
      </c>
      <c r="G1760" s="1">
        <v>35803</v>
      </c>
      <c r="H1760" t="s">
        <v>4271</v>
      </c>
      <c r="I1760" s="2" t="str">
        <f t="shared" si="27"/>
        <v>+91-9771266288</v>
      </c>
      <c r="J1760">
        <f>91-9771266379</f>
        <v>-9771266288</v>
      </c>
      <c r="K1760" t="s">
        <v>202</v>
      </c>
      <c r="L1760" t="s">
        <v>191</v>
      </c>
      <c r="M1760">
        <v>420518</v>
      </c>
      <c r="N1760" s="1">
        <v>45121</v>
      </c>
      <c r="O1760" t="s">
        <v>28</v>
      </c>
      <c r="P1760">
        <v>7</v>
      </c>
      <c r="Q1760">
        <v>196998.14</v>
      </c>
    </row>
    <row r="1761" spans="1:17" x14ac:dyDescent="0.3">
      <c r="A1761" t="s">
        <v>4272</v>
      </c>
      <c r="B1761" t="s">
        <v>216</v>
      </c>
      <c r="C1761" s="2" t="str">
        <f>PROPER(TRIM(Table1[[#This Row],[Gender]]))</f>
        <v>Female</v>
      </c>
      <c r="D1761" t="s">
        <v>43</v>
      </c>
      <c r="E1761">
        <v>34</v>
      </c>
      <c r="F1761" t="s">
        <v>31</v>
      </c>
      <c r="G1761" s="1">
        <v>33248</v>
      </c>
      <c r="H1761" t="s">
        <v>4273</v>
      </c>
      <c r="I1761" s="2" t="str">
        <f t="shared" si="27"/>
        <v>+91-7582645304</v>
      </c>
      <c r="J1761">
        <f>91-7582645395</f>
        <v>-7582645304</v>
      </c>
      <c r="K1761" t="s">
        <v>138</v>
      </c>
      <c r="L1761" t="s">
        <v>90</v>
      </c>
      <c r="M1761">
        <v>484599</v>
      </c>
      <c r="N1761" s="1">
        <v>45190</v>
      </c>
      <c r="O1761" t="s">
        <v>35</v>
      </c>
      <c r="P1761">
        <v>1</v>
      </c>
      <c r="Q1761">
        <v>6777.07</v>
      </c>
    </row>
    <row r="1762" spans="1:17" x14ac:dyDescent="0.3">
      <c r="A1762" t="s">
        <v>4274</v>
      </c>
      <c r="B1762" t="s">
        <v>3060</v>
      </c>
      <c r="C1762" s="2" t="str">
        <f>PROPER(TRIM(Table1[[#This Row],[Gender]]))</f>
        <v>Male</v>
      </c>
      <c r="D1762" t="s">
        <v>16</v>
      </c>
      <c r="E1762">
        <v>36</v>
      </c>
      <c r="F1762" t="s">
        <v>38</v>
      </c>
      <c r="G1762" s="1">
        <v>32518</v>
      </c>
      <c r="H1762" t="s">
        <v>4275</v>
      </c>
      <c r="I1762" s="2" t="str">
        <f t="shared" si="27"/>
        <v>+91-8173504086</v>
      </c>
      <c r="J1762">
        <f>91-8173504177</f>
        <v>-8173504086</v>
      </c>
      <c r="K1762" t="s">
        <v>60</v>
      </c>
      <c r="L1762" t="s">
        <v>34</v>
      </c>
      <c r="M1762">
        <v>932136</v>
      </c>
      <c r="N1762" s="1">
        <v>45207</v>
      </c>
      <c r="O1762" t="s">
        <v>28</v>
      </c>
      <c r="P1762">
        <v>3</v>
      </c>
      <c r="Q1762">
        <v>71458</v>
      </c>
    </row>
    <row r="1763" spans="1:17" x14ac:dyDescent="0.3">
      <c r="A1763" t="s">
        <v>4276</v>
      </c>
      <c r="B1763" t="s">
        <v>1908</v>
      </c>
      <c r="C1763" s="2" t="str">
        <f>PROPER(TRIM(Table1[[#This Row],[Gender]]))</f>
        <v>Female</v>
      </c>
      <c r="D1763" t="s">
        <v>43</v>
      </c>
      <c r="E1763">
        <v>40</v>
      </c>
      <c r="F1763" t="s">
        <v>38</v>
      </c>
      <c r="G1763" s="1">
        <v>31058</v>
      </c>
      <c r="H1763" t="s">
        <v>4277</v>
      </c>
      <c r="I1763" s="2" t="str">
        <f t="shared" si="27"/>
        <v>+91-9537162424</v>
      </c>
      <c r="J1763">
        <f>91-9537162515</f>
        <v>-9537162424</v>
      </c>
      <c r="K1763" t="s">
        <v>45</v>
      </c>
      <c r="L1763" t="s">
        <v>46</v>
      </c>
      <c r="M1763">
        <v>372395</v>
      </c>
      <c r="N1763" s="1">
        <v>45082</v>
      </c>
      <c r="O1763" t="s">
        <v>21</v>
      </c>
      <c r="P1763">
        <v>6</v>
      </c>
      <c r="Q1763">
        <v>48466.97</v>
      </c>
    </row>
    <row r="1764" spans="1:17" x14ac:dyDescent="0.3">
      <c r="A1764" t="s">
        <v>4278</v>
      </c>
      <c r="B1764" t="s">
        <v>2024</v>
      </c>
      <c r="C1764" s="2" t="str">
        <f>PROPER(TRIM(Table1[[#This Row],[Gender]]))</f>
        <v>Female</v>
      </c>
      <c r="D1764" t="s">
        <v>43</v>
      </c>
      <c r="E1764">
        <v>30</v>
      </c>
      <c r="F1764" t="s">
        <v>31</v>
      </c>
      <c r="G1764" s="1">
        <v>34708</v>
      </c>
      <c r="H1764" t="s">
        <v>4279</v>
      </c>
      <c r="I1764" s="2" t="str">
        <f t="shared" si="27"/>
        <v>+91-7408295983</v>
      </c>
      <c r="J1764">
        <f>91-7408296074</f>
        <v>-7408295983</v>
      </c>
      <c r="K1764" t="s">
        <v>89</v>
      </c>
      <c r="L1764" t="s">
        <v>90</v>
      </c>
      <c r="M1764">
        <v>546708</v>
      </c>
      <c r="N1764" s="1">
        <v>45433</v>
      </c>
      <c r="O1764" t="s">
        <v>28</v>
      </c>
      <c r="P1764">
        <v>6</v>
      </c>
      <c r="Q1764">
        <v>108174.69</v>
      </c>
    </row>
    <row r="1765" spans="1:17" x14ac:dyDescent="0.3">
      <c r="A1765" t="s">
        <v>4280</v>
      </c>
      <c r="B1765" t="s">
        <v>3363</v>
      </c>
      <c r="C1765" s="2" t="str">
        <f>PROPER(TRIM(Table1[[#This Row],[Gender]]))</f>
        <v>Female</v>
      </c>
      <c r="D1765" t="s">
        <v>43</v>
      </c>
      <c r="E1765">
        <v>25</v>
      </c>
      <c r="F1765" t="s">
        <v>49</v>
      </c>
      <c r="G1765" s="1">
        <v>36533</v>
      </c>
      <c r="H1765" t="s">
        <v>4281</v>
      </c>
      <c r="I1765" s="2" t="str">
        <f t="shared" si="27"/>
        <v>+91-7546510148</v>
      </c>
      <c r="J1765">
        <f>91-7546510239</f>
        <v>-7546510148</v>
      </c>
      <c r="K1765" t="s">
        <v>161</v>
      </c>
      <c r="L1765" t="s">
        <v>102</v>
      </c>
      <c r="M1765">
        <v>284924</v>
      </c>
      <c r="N1765" s="1">
        <v>45133</v>
      </c>
      <c r="O1765" t="s">
        <v>28</v>
      </c>
      <c r="P1765">
        <v>6</v>
      </c>
      <c r="Q1765">
        <v>235496.62</v>
      </c>
    </row>
    <row r="1766" spans="1:17" x14ac:dyDescent="0.3">
      <c r="A1766" t="s">
        <v>4282</v>
      </c>
      <c r="B1766" t="s">
        <v>1004</v>
      </c>
      <c r="C1766" s="2" t="str">
        <f>PROPER(TRIM(Table1[[#This Row],[Gender]]))</f>
        <v>Female</v>
      </c>
      <c r="D1766" t="s">
        <v>43</v>
      </c>
      <c r="E1766">
        <v>30</v>
      </c>
      <c r="F1766" t="s">
        <v>31</v>
      </c>
      <c r="G1766" s="1">
        <v>34708</v>
      </c>
      <c r="H1766" t="s">
        <v>4283</v>
      </c>
      <c r="I1766" s="2" t="str">
        <f t="shared" si="27"/>
        <v>+91-8323873414</v>
      </c>
      <c r="J1766">
        <f>91-8323873505</f>
        <v>-8323873414</v>
      </c>
      <c r="K1766" t="s">
        <v>60</v>
      </c>
      <c r="L1766" t="s">
        <v>34</v>
      </c>
      <c r="M1766">
        <v>551931</v>
      </c>
      <c r="N1766" s="1">
        <v>45294</v>
      </c>
      <c r="O1766" t="s">
        <v>28</v>
      </c>
      <c r="P1766">
        <v>10</v>
      </c>
      <c r="Q1766">
        <v>264554.32</v>
      </c>
    </row>
    <row r="1767" spans="1:17" x14ac:dyDescent="0.3">
      <c r="A1767" t="s">
        <v>4284</v>
      </c>
      <c r="B1767" t="s">
        <v>172</v>
      </c>
      <c r="C1767" s="2" t="str">
        <f>PROPER(TRIM(Table1[[#This Row],[Gender]]))</f>
        <v>Male</v>
      </c>
      <c r="D1767" t="s">
        <v>16</v>
      </c>
      <c r="E1767">
        <v>19</v>
      </c>
      <c r="F1767" t="s">
        <v>49</v>
      </c>
      <c r="G1767" s="1">
        <v>38723</v>
      </c>
      <c r="H1767" t="s">
        <v>4285</v>
      </c>
      <c r="I1767" s="2" t="str">
        <f t="shared" si="27"/>
        <v>+91-8754524776</v>
      </c>
      <c r="J1767">
        <f>91-8754524867</f>
        <v>-8754524776</v>
      </c>
      <c r="K1767" t="s">
        <v>51</v>
      </c>
      <c r="L1767" t="s">
        <v>52</v>
      </c>
      <c r="M1767">
        <v>525290</v>
      </c>
      <c r="N1767" s="1">
        <v>45422</v>
      </c>
      <c r="O1767" t="s">
        <v>28</v>
      </c>
      <c r="P1767">
        <v>3</v>
      </c>
      <c r="Q1767">
        <v>103002.72</v>
      </c>
    </row>
    <row r="1768" spans="1:17" x14ac:dyDescent="0.3">
      <c r="A1768" t="s">
        <v>4286</v>
      </c>
      <c r="B1768" t="s">
        <v>1046</v>
      </c>
      <c r="C1768" s="2" t="str">
        <f>PROPER(TRIM(Table1[[#This Row],[Gender]]))</f>
        <v>Female</v>
      </c>
      <c r="D1768" t="s">
        <v>43</v>
      </c>
      <c r="E1768">
        <v>34</v>
      </c>
      <c r="F1768" t="s">
        <v>31</v>
      </c>
      <c r="G1768" s="1">
        <v>33248</v>
      </c>
      <c r="H1768" t="s">
        <v>4287</v>
      </c>
      <c r="I1768" s="2" t="str">
        <f t="shared" si="27"/>
        <v>+91-9430575565</v>
      </c>
      <c r="J1768">
        <f>91-9430575656</f>
        <v>-9430575565</v>
      </c>
      <c r="K1768" t="s">
        <v>125</v>
      </c>
      <c r="L1768" t="s">
        <v>52</v>
      </c>
      <c r="M1768">
        <v>776836</v>
      </c>
      <c r="N1768" s="1">
        <v>45147</v>
      </c>
      <c r="O1768" t="s">
        <v>28</v>
      </c>
      <c r="P1768">
        <v>6</v>
      </c>
      <c r="Q1768">
        <v>270351.24</v>
      </c>
    </row>
    <row r="1769" spans="1:17" x14ac:dyDescent="0.3">
      <c r="A1769" t="s">
        <v>4288</v>
      </c>
      <c r="B1769" t="s">
        <v>2259</v>
      </c>
      <c r="C1769" s="2" t="str">
        <f>PROPER(TRIM(Table1[[#This Row],[Gender]]))</f>
        <v>Female</v>
      </c>
      <c r="D1769" t="s">
        <v>43</v>
      </c>
      <c r="E1769">
        <v>32</v>
      </c>
      <c r="F1769" t="s">
        <v>31</v>
      </c>
      <c r="G1769" s="1">
        <v>33978</v>
      </c>
      <c r="H1769" t="s">
        <v>4289</v>
      </c>
      <c r="I1769" s="2" t="str">
        <f t="shared" si="27"/>
        <v>+91-7094305218</v>
      </c>
      <c r="J1769">
        <f>91-7094305309</f>
        <v>-7094305218</v>
      </c>
      <c r="K1769" t="s">
        <v>273</v>
      </c>
      <c r="L1769" t="s">
        <v>46</v>
      </c>
      <c r="M1769">
        <v>307768</v>
      </c>
      <c r="N1769" s="1">
        <v>45338</v>
      </c>
      <c r="O1769" t="s">
        <v>21</v>
      </c>
      <c r="P1769">
        <v>3</v>
      </c>
      <c r="Q1769">
        <v>26494.2</v>
      </c>
    </row>
    <row r="1770" spans="1:17" x14ac:dyDescent="0.3">
      <c r="A1770" t="s">
        <v>4290</v>
      </c>
      <c r="B1770" t="s">
        <v>4291</v>
      </c>
      <c r="C1770" s="2" t="str">
        <f>PROPER(TRIM(Table1[[#This Row],[Gender]]))</f>
        <v>Female</v>
      </c>
      <c r="D1770" t="s">
        <v>43</v>
      </c>
      <c r="E1770">
        <v>31</v>
      </c>
      <c r="F1770" t="s">
        <v>31</v>
      </c>
      <c r="G1770" s="1">
        <v>34343</v>
      </c>
      <c r="H1770" t="s">
        <v>4292</v>
      </c>
      <c r="I1770" s="2" t="str">
        <f t="shared" si="27"/>
        <v>+91-7702600876</v>
      </c>
      <c r="J1770">
        <f>91-7702600967</f>
        <v>-7702600876</v>
      </c>
      <c r="K1770" t="s">
        <v>72</v>
      </c>
      <c r="L1770" t="s">
        <v>34</v>
      </c>
      <c r="M1770">
        <v>353332</v>
      </c>
      <c r="N1770" s="1">
        <v>45347</v>
      </c>
      <c r="O1770" t="s">
        <v>28</v>
      </c>
      <c r="P1770">
        <v>5</v>
      </c>
      <c r="Q1770">
        <v>126190.7</v>
      </c>
    </row>
    <row r="1771" spans="1:17" x14ac:dyDescent="0.3">
      <c r="A1771" t="s">
        <v>4293</v>
      </c>
      <c r="B1771" t="s">
        <v>4291</v>
      </c>
      <c r="C1771" s="2" t="str">
        <f>PROPER(TRIM(Table1[[#This Row],[Gender]]))</f>
        <v>Female</v>
      </c>
      <c r="D1771" t="s">
        <v>43</v>
      </c>
      <c r="E1771">
        <v>28</v>
      </c>
      <c r="F1771" t="s">
        <v>31</v>
      </c>
      <c r="G1771" s="1">
        <v>35438</v>
      </c>
      <c r="H1771" t="s">
        <v>4294</v>
      </c>
      <c r="I1771" s="2" t="str">
        <f t="shared" si="27"/>
        <v>+91-8573927224</v>
      </c>
      <c r="J1771">
        <f>91-8573927315</f>
        <v>-8573927224</v>
      </c>
      <c r="K1771" t="s">
        <v>19</v>
      </c>
      <c r="L1771" t="s">
        <v>20</v>
      </c>
      <c r="M1771">
        <v>115112</v>
      </c>
      <c r="N1771" s="1">
        <v>45225</v>
      </c>
      <c r="O1771" t="s">
        <v>28</v>
      </c>
      <c r="P1771">
        <v>5</v>
      </c>
      <c r="Q1771">
        <v>78095.11</v>
      </c>
    </row>
    <row r="1772" spans="1:17" x14ac:dyDescent="0.3">
      <c r="A1772" t="s">
        <v>4295</v>
      </c>
      <c r="B1772" t="s">
        <v>4296</v>
      </c>
      <c r="C1772" s="2" t="str">
        <f>PROPER(TRIM(Table1[[#This Row],[Gender]]))</f>
        <v>Male</v>
      </c>
      <c r="D1772" t="s">
        <v>16</v>
      </c>
      <c r="E1772">
        <v>36</v>
      </c>
      <c r="F1772" t="s">
        <v>38</v>
      </c>
      <c r="G1772" s="1">
        <v>32518</v>
      </c>
      <c r="H1772" t="s">
        <v>4297</v>
      </c>
      <c r="I1772" s="2" t="str">
        <f t="shared" si="27"/>
        <v>+91-9580451988</v>
      </c>
      <c r="J1772">
        <f>91-9580452079</f>
        <v>-9580451988</v>
      </c>
      <c r="K1772" t="s">
        <v>142</v>
      </c>
      <c r="L1772" t="s">
        <v>143</v>
      </c>
      <c r="M1772">
        <v>979345</v>
      </c>
      <c r="N1772" s="1">
        <v>45384</v>
      </c>
      <c r="O1772" t="s">
        <v>28</v>
      </c>
      <c r="P1772">
        <v>5</v>
      </c>
      <c r="Q1772">
        <v>278146.61</v>
      </c>
    </row>
    <row r="1773" spans="1:17" x14ac:dyDescent="0.3">
      <c r="A1773" t="s">
        <v>4298</v>
      </c>
      <c r="B1773" t="s">
        <v>1133</v>
      </c>
      <c r="C1773" s="2" t="str">
        <f>PROPER(TRIM(Table1[[#This Row],[Gender]]))</f>
        <v>Female</v>
      </c>
      <c r="D1773" t="s">
        <v>43</v>
      </c>
      <c r="E1773">
        <v>21</v>
      </c>
      <c r="F1773" t="s">
        <v>49</v>
      </c>
      <c r="G1773" s="1">
        <v>37993</v>
      </c>
      <c r="H1773" t="s">
        <v>1134</v>
      </c>
      <c r="I1773" s="2" t="str">
        <f t="shared" si="27"/>
        <v>+91-9841062332</v>
      </c>
      <c r="J1773">
        <f>91-9841062423</f>
        <v>-9841062332</v>
      </c>
      <c r="K1773" t="s">
        <v>142</v>
      </c>
      <c r="L1773" t="s">
        <v>143</v>
      </c>
      <c r="M1773">
        <v>509343</v>
      </c>
      <c r="N1773" s="1">
        <v>45247</v>
      </c>
      <c r="O1773" t="s">
        <v>28</v>
      </c>
      <c r="P1773">
        <v>10</v>
      </c>
      <c r="Q1773">
        <v>316622.89</v>
      </c>
    </row>
    <row r="1774" spans="1:17" x14ac:dyDescent="0.3">
      <c r="A1774" t="s">
        <v>4299</v>
      </c>
      <c r="B1774" t="s">
        <v>2597</v>
      </c>
      <c r="C1774" s="2" t="str">
        <f>PROPER(TRIM(Table1[[#This Row],[Gender]]))</f>
        <v>Female</v>
      </c>
      <c r="D1774" t="s">
        <v>43</v>
      </c>
      <c r="E1774">
        <v>31</v>
      </c>
      <c r="F1774" t="s">
        <v>31</v>
      </c>
      <c r="G1774" s="1">
        <v>34343</v>
      </c>
      <c r="H1774" t="s">
        <v>4300</v>
      </c>
      <c r="I1774" s="2" t="str">
        <f t="shared" si="27"/>
        <v>+91-8637867622</v>
      </c>
      <c r="J1774">
        <f>91-8637867713</f>
        <v>-8637867622</v>
      </c>
      <c r="K1774" t="s">
        <v>331</v>
      </c>
      <c r="L1774" t="s">
        <v>143</v>
      </c>
      <c r="M1774">
        <v>711950</v>
      </c>
      <c r="N1774" s="1">
        <v>45435</v>
      </c>
      <c r="O1774" t="s">
        <v>28</v>
      </c>
      <c r="P1774">
        <v>5</v>
      </c>
      <c r="Q1774">
        <v>182983.21</v>
      </c>
    </row>
    <row r="1775" spans="1:17" x14ac:dyDescent="0.3">
      <c r="A1775" t="s">
        <v>4301</v>
      </c>
      <c r="B1775" t="s">
        <v>3233</v>
      </c>
      <c r="C1775" s="2" t="str">
        <f>PROPER(TRIM(Table1[[#This Row],[Gender]]))</f>
        <v>Female</v>
      </c>
      <c r="D1775" t="s">
        <v>43</v>
      </c>
      <c r="E1775">
        <v>19</v>
      </c>
      <c r="F1775" t="s">
        <v>49</v>
      </c>
      <c r="G1775" s="1">
        <v>38723</v>
      </c>
      <c r="H1775" t="s">
        <v>4302</v>
      </c>
      <c r="I1775" s="2" t="str">
        <f t="shared" si="27"/>
        <v>+91-9296933191</v>
      </c>
      <c r="J1775">
        <f>91-9296933282</f>
        <v>-9296933191</v>
      </c>
      <c r="K1775" t="s">
        <v>121</v>
      </c>
      <c r="L1775" t="s">
        <v>85</v>
      </c>
      <c r="M1775">
        <v>999935</v>
      </c>
      <c r="N1775" s="1">
        <v>45328</v>
      </c>
      <c r="O1775" t="s">
        <v>28</v>
      </c>
      <c r="P1775">
        <v>8</v>
      </c>
      <c r="Q1775">
        <v>160643.04999999999</v>
      </c>
    </row>
    <row r="1776" spans="1:17" x14ac:dyDescent="0.3">
      <c r="A1776" t="s">
        <v>4303</v>
      </c>
      <c r="B1776" t="s">
        <v>3306</v>
      </c>
      <c r="C1776" s="2" t="str">
        <f>PROPER(TRIM(Table1[[#This Row],[Gender]]))</f>
        <v>Male</v>
      </c>
      <c r="D1776" t="s">
        <v>16</v>
      </c>
      <c r="E1776">
        <v>55</v>
      </c>
      <c r="F1776" t="s">
        <v>17</v>
      </c>
      <c r="G1776" s="1">
        <v>25583</v>
      </c>
      <c r="H1776" t="s">
        <v>4304</v>
      </c>
      <c r="I1776" s="2" t="str">
        <f t="shared" si="27"/>
        <v>+91-7375521204</v>
      </c>
      <c r="J1776">
        <f>91-7375521295</f>
        <v>-7375521204</v>
      </c>
      <c r="K1776" t="s">
        <v>84</v>
      </c>
      <c r="L1776" t="s">
        <v>85</v>
      </c>
      <c r="M1776">
        <v>352855</v>
      </c>
      <c r="N1776" s="1">
        <v>45329</v>
      </c>
      <c r="O1776" t="s">
        <v>28</v>
      </c>
      <c r="P1776">
        <v>6</v>
      </c>
      <c r="Q1776">
        <v>66989.34</v>
      </c>
    </row>
    <row r="1777" spans="1:17" x14ac:dyDescent="0.3">
      <c r="A1777" t="s">
        <v>4305</v>
      </c>
      <c r="B1777" t="s">
        <v>2681</v>
      </c>
      <c r="C1777" s="2" t="str">
        <f>PROPER(TRIM(Table1[[#This Row],[Gender]]))</f>
        <v>Male</v>
      </c>
      <c r="D1777" t="s">
        <v>16</v>
      </c>
      <c r="E1777">
        <v>20</v>
      </c>
      <c r="F1777" t="s">
        <v>49</v>
      </c>
      <c r="G1777" s="1">
        <v>38358</v>
      </c>
      <c r="H1777" t="s">
        <v>4306</v>
      </c>
      <c r="I1777" s="2" t="str">
        <f t="shared" si="27"/>
        <v>+91-8864567328</v>
      </c>
      <c r="J1777">
        <f>91-8864567419</f>
        <v>-8864567328</v>
      </c>
      <c r="K1777" t="s">
        <v>142</v>
      </c>
      <c r="L1777" t="s">
        <v>143</v>
      </c>
      <c r="M1777">
        <v>993434</v>
      </c>
      <c r="N1777" s="1">
        <v>45391</v>
      </c>
      <c r="O1777" t="s">
        <v>28</v>
      </c>
      <c r="P1777">
        <v>6</v>
      </c>
      <c r="Q1777">
        <v>86441.24</v>
      </c>
    </row>
    <row r="1778" spans="1:17" x14ac:dyDescent="0.3">
      <c r="A1778" t="s">
        <v>4307</v>
      </c>
      <c r="B1778" t="s">
        <v>145</v>
      </c>
      <c r="C1778" s="2" t="str">
        <f>PROPER(TRIM(Table1[[#This Row],[Gender]]))</f>
        <v>Female</v>
      </c>
      <c r="D1778" t="s">
        <v>43</v>
      </c>
      <c r="E1778">
        <v>58</v>
      </c>
      <c r="F1778" t="s">
        <v>58</v>
      </c>
      <c r="G1778" s="1">
        <v>24488</v>
      </c>
      <c r="H1778" t="s">
        <v>4308</v>
      </c>
      <c r="I1778" s="2" t="str">
        <f t="shared" si="27"/>
        <v>+91-8828246266</v>
      </c>
      <c r="J1778">
        <f>91-8828246357</f>
        <v>-8828246266</v>
      </c>
      <c r="K1778" t="s">
        <v>202</v>
      </c>
      <c r="L1778" t="s">
        <v>191</v>
      </c>
      <c r="M1778">
        <v>411638</v>
      </c>
      <c r="N1778" s="1">
        <v>45085</v>
      </c>
      <c r="O1778" t="s">
        <v>35</v>
      </c>
      <c r="P1778">
        <v>2</v>
      </c>
      <c r="Q1778">
        <v>917.47</v>
      </c>
    </row>
    <row r="1779" spans="1:17" x14ac:dyDescent="0.3">
      <c r="A1779" t="s">
        <v>4309</v>
      </c>
      <c r="B1779" t="s">
        <v>107</v>
      </c>
      <c r="C1779" s="2" t="str">
        <f>PROPER(TRIM(Table1[[#This Row],[Gender]]))</f>
        <v>Female</v>
      </c>
      <c r="D1779" t="s">
        <v>43</v>
      </c>
      <c r="E1779">
        <v>48</v>
      </c>
      <c r="F1779" t="s">
        <v>17</v>
      </c>
      <c r="G1779" s="1">
        <v>28138</v>
      </c>
      <c r="H1779" t="s">
        <v>4310</v>
      </c>
      <c r="I1779" s="2" t="str">
        <f t="shared" si="27"/>
        <v>+91-8298968030</v>
      </c>
      <c r="J1779">
        <f>91-8298968121</f>
        <v>-8298968030</v>
      </c>
      <c r="K1779" t="s">
        <v>138</v>
      </c>
      <c r="L1779" t="s">
        <v>90</v>
      </c>
      <c r="M1779">
        <v>268421</v>
      </c>
      <c r="N1779" s="1">
        <v>45294</v>
      </c>
      <c r="O1779" t="s">
        <v>21</v>
      </c>
      <c r="P1779">
        <v>7</v>
      </c>
      <c r="Q1779">
        <v>45804.52</v>
      </c>
    </row>
    <row r="1780" spans="1:17" x14ac:dyDescent="0.3">
      <c r="A1780" t="s">
        <v>4311</v>
      </c>
      <c r="B1780" t="s">
        <v>1778</v>
      </c>
      <c r="C1780" s="2" t="str">
        <f>PROPER(TRIM(Table1[[#This Row],[Gender]]))</f>
        <v>Female</v>
      </c>
      <c r="D1780" t="s">
        <v>43</v>
      </c>
      <c r="E1780">
        <v>42</v>
      </c>
      <c r="F1780" t="s">
        <v>38</v>
      </c>
      <c r="G1780" s="1">
        <v>30328</v>
      </c>
      <c r="H1780" t="s">
        <v>4312</v>
      </c>
      <c r="I1780" s="2" t="str">
        <f t="shared" si="27"/>
        <v>+91-7041143387</v>
      </c>
      <c r="J1780">
        <f>91-7041143478</f>
        <v>-7041143387</v>
      </c>
      <c r="K1780" t="s">
        <v>178</v>
      </c>
      <c r="L1780" t="s">
        <v>27</v>
      </c>
      <c r="M1780">
        <v>874896</v>
      </c>
      <c r="N1780" s="1">
        <v>45305</v>
      </c>
      <c r="O1780" t="s">
        <v>28</v>
      </c>
      <c r="P1780">
        <v>7</v>
      </c>
      <c r="Q1780">
        <v>101960.58</v>
      </c>
    </row>
    <row r="1781" spans="1:17" x14ac:dyDescent="0.3">
      <c r="A1781" t="s">
        <v>4313</v>
      </c>
      <c r="B1781" t="s">
        <v>1980</v>
      </c>
      <c r="C1781" s="2" t="str">
        <f>PROPER(TRIM(Table1[[#This Row],[Gender]]))</f>
        <v>Male</v>
      </c>
      <c r="D1781" t="s">
        <v>16</v>
      </c>
      <c r="E1781">
        <v>18</v>
      </c>
      <c r="F1781" t="s">
        <v>49</v>
      </c>
      <c r="G1781" s="1">
        <v>39088</v>
      </c>
      <c r="H1781" t="s">
        <v>4314</v>
      </c>
      <c r="I1781" s="2" t="str">
        <f t="shared" si="27"/>
        <v>+91-7346724873</v>
      </c>
      <c r="J1781">
        <f>91-7346724964</f>
        <v>-7346724873</v>
      </c>
      <c r="K1781" t="s">
        <v>33</v>
      </c>
      <c r="L1781" t="s">
        <v>34</v>
      </c>
      <c r="M1781">
        <v>903154</v>
      </c>
      <c r="N1781" s="1">
        <v>45340</v>
      </c>
      <c r="O1781" t="s">
        <v>21</v>
      </c>
      <c r="P1781">
        <v>5</v>
      </c>
      <c r="Q1781">
        <v>31495.89</v>
      </c>
    </row>
    <row r="1782" spans="1:17" x14ac:dyDescent="0.3">
      <c r="A1782" t="s">
        <v>4315</v>
      </c>
      <c r="B1782" t="s">
        <v>2817</v>
      </c>
      <c r="C1782" s="2" t="str">
        <f>PROPER(TRIM(Table1[[#This Row],[Gender]]))</f>
        <v>Male</v>
      </c>
      <c r="D1782" t="s">
        <v>16</v>
      </c>
      <c r="E1782">
        <v>22</v>
      </c>
      <c r="F1782" t="s">
        <v>49</v>
      </c>
      <c r="G1782" s="1">
        <v>37628</v>
      </c>
      <c r="H1782" t="s">
        <v>4316</v>
      </c>
      <c r="I1782" s="2" t="str">
        <f t="shared" si="27"/>
        <v>+91-9091626094</v>
      </c>
      <c r="J1782">
        <f>91-9091626185</f>
        <v>-9091626094</v>
      </c>
      <c r="K1782" t="s">
        <v>415</v>
      </c>
      <c r="L1782" t="s">
        <v>90</v>
      </c>
      <c r="M1782">
        <v>432007</v>
      </c>
      <c r="N1782" s="1">
        <v>45129</v>
      </c>
      <c r="O1782" t="s">
        <v>28</v>
      </c>
      <c r="P1782">
        <v>4</v>
      </c>
      <c r="Q1782">
        <v>166857.14000000001</v>
      </c>
    </row>
    <row r="1783" spans="1:17" x14ac:dyDescent="0.3">
      <c r="A1783" t="s">
        <v>4317</v>
      </c>
      <c r="B1783" t="s">
        <v>1816</v>
      </c>
      <c r="C1783" s="2" t="str">
        <f>PROPER(TRIM(Table1[[#This Row],[Gender]]))</f>
        <v>Female</v>
      </c>
      <c r="D1783" t="s">
        <v>43</v>
      </c>
      <c r="E1783">
        <v>34</v>
      </c>
      <c r="F1783" t="s">
        <v>31</v>
      </c>
      <c r="G1783" s="1">
        <v>33248</v>
      </c>
      <c r="H1783" t="s">
        <v>4318</v>
      </c>
      <c r="I1783" s="2" t="str">
        <f t="shared" si="27"/>
        <v>+91-8147040173</v>
      </c>
      <c r="J1783">
        <f>91-8147040264</f>
        <v>-8147040173</v>
      </c>
      <c r="K1783" t="s">
        <v>154</v>
      </c>
      <c r="L1783" t="s">
        <v>46</v>
      </c>
      <c r="M1783">
        <v>772523</v>
      </c>
      <c r="N1783" s="1">
        <v>45379</v>
      </c>
      <c r="O1783" t="s">
        <v>35</v>
      </c>
      <c r="P1783">
        <v>2</v>
      </c>
      <c r="Q1783">
        <v>14375.98</v>
      </c>
    </row>
    <row r="1784" spans="1:17" x14ac:dyDescent="0.3">
      <c r="A1784" t="s">
        <v>4319</v>
      </c>
      <c r="B1784" t="s">
        <v>1507</v>
      </c>
      <c r="C1784" s="2" t="str">
        <f>PROPER(TRIM(Table1[[#This Row],[Gender]]))</f>
        <v>Female</v>
      </c>
      <c r="D1784" t="s">
        <v>43</v>
      </c>
      <c r="E1784">
        <v>30</v>
      </c>
      <c r="F1784" t="s">
        <v>31</v>
      </c>
      <c r="G1784" s="1">
        <v>34708</v>
      </c>
      <c r="H1784" t="s">
        <v>4320</v>
      </c>
      <c r="I1784" s="2" t="str">
        <f t="shared" si="27"/>
        <v>+91-9352373465</v>
      </c>
      <c r="J1784">
        <f>91-9352373556</f>
        <v>-9352373465</v>
      </c>
      <c r="K1784" t="s">
        <v>68</v>
      </c>
      <c r="L1784" t="s">
        <v>52</v>
      </c>
      <c r="M1784">
        <v>970965</v>
      </c>
      <c r="N1784" s="1">
        <v>45193</v>
      </c>
      <c r="O1784" t="s">
        <v>28</v>
      </c>
      <c r="P1784">
        <v>3</v>
      </c>
      <c r="Q1784">
        <v>158398.67000000001</v>
      </c>
    </row>
    <row r="1785" spans="1:17" x14ac:dyDescent="0.3">
      <c r="A1785" t="s">
        <v>4321</v>
      </c>
      <c r="B1785" t="s">
        <v>957</v>
      </c>
      <c r="C1785" s="2" t="str">
        <f>PROPER(TRIM(Table1[[#This Row],[Gender]]))</f>
        <v>Female</v>
      </c>
      <c r="D1785" t="s">
        <v>43</v>
      </c>
      <c r="E1785">
        <v>36</v>
      </c>
      <c r="F1785" t="s">
        <v>38</v>
      </c>
      <c r="G1785" s="1">
        <v>32518</v>
      </c>
      <c r="H1785" t="s">
        <v>4322</v>
      </c>
      <c r="I1785" s="2" t="str">
        <f t="shared" si="27"/>
        <v>+91-9519603256</v>
      </c>
      <c r="J1785">
        <f>91-9519603347</f>
        <v>-9519603256</v>
      </c>
      <c r="K1785" t="s">
        <v>331</v>
      </c>
      <c r="L1785" t="s">
        <v>143</v>
      </c>
      <c r="M1785">
        <v>747775</v>
      </c>
      <c r="N1785" s="1">
        <v>45160</v>
      </c>
      <c r="O1785" t="s">
        <v>28</v>
      </c>
      <c r="P1785">
        <v>5</v>
      </c>
      <c r="Q1785">
        <v>89712.66</v>
      </c>
    </row>
    <row r="1786" spans="1:17" x14ac:dyDescent="0.3">
      <c r="A1786" t="s">
        <v>4323</v>
      </c>
      <c r="B1786" t="s">
        <v>115</v>
      </c>
      <c r="C1786" s="2" t="str">
        <f>PROPER(TRIM(Table1[[#This Row],[Gender]]))</f>
        <v>Male</v>
      </c>
      <c r="D1786" t="s">
        <v>16</v>
      </c>
      <c r="E1786">
        <v>23</v>
      </c>
      <c r="F1786" t="s">
        <v>49</v>
      </c>
      <c r="G1786" s="1">
        <v>37263</v>
      </c>
      <c r="H1786" t="s">
        <v>4324</v>
      </c>
      <c r="I1786" s="2" t="str">
        <f t="shared" si="27"/>
        <v>+91-7246794103</v>
      </c>
      <c r="J1786">
        <f>91-7246794194</f>
        <v>-7246794103</v>
      </c>
      <c r="K1786" t="s">
        <v>94</v>
      </c>
      <c r="L1786" t="s">
        <v>20</v>
      </c>
      <c r="M1786">
        <v>639846</v>
      </c>
      <c r="N1786" s="1">
        <v>45316</v>
      </c>
      <c r="O1786" t="s">
        <v>28</v>
      </c>
      <c r="P1786">
        <v>7</v>
      </c>
      <c r="Q1786">
        <v>189511.8</v>
      </c>
    </row>
    <row r="1787" spans="1:17" x14ac:dyDescent="0.3">
      <c r="A1787" t="s">
        <v>4325</v>
      </c>
      <c r="B1787" t="s">
        <v>1251</v>
      </c>
      <c r="C1787" s="2" t="str">
        <f>PROPER(TRIM(Table1[[#This Row],[Gender]]))</f>
        <v>Male</v>
      </c>
      <c r="D1787" t="s">
        <v>16</v>
      </c>
      <c r="E1787">
        <v>32</v>
      </c>
      <c r="F1787" t="s">
        <v>31</v>
      </c>
      <c r="G1787" s="1">
        <v>33978</v>
      </c>
      <c r="H1787" t="s">
        <v>4326</v>
      </c>
      <c r="I1787" s="2" t="str">
        <f t="shared" si="27"/>
        <v>+91-9549892878</v>
      </c>
      <c r="J1787">
        <f>91-9549892969</f>
        <v>-9549892878</v>
      </c>
      <c r="K1787" t="s">
        <v>113</v>
      </c>
      <c r="L1787" t="s">
        <v>34</v>
      </c>
      <c r="M1787">
        <v>367093</v>
      </c>
      <c r="N1787" s="1">
        <v>45087</v>
      </c>
      <c r="O1787" t="s">
        <v>28</v>
      </c>
      <c r="P1787">
        <v>6</v>
      </c>
      <c r="Q1787">
        <v>115288.23</v>
      </c>
    </row>
    <row r="1788" spans="1:17" x14ac:dyDescent="0.3">
      <c r="A1788" t="s">
        <v>4327</v>
      </c>
      <c r="B1788" t="s">
        <v>3005</v>
      </c>
      <c r="C1788" s="2" t="str">
        <f>PROPER(TRIM(Table1[[#This Row],[Gender]]))</f>
        <v>Male</v>
      </c>
      <c r="D1788" t="s">
        <v>16</v>
      </c>
      <c r="E1788">
        <v>36</v>
      </c>
      <c r="F1788" t="s">
        <v>38</v>
      </c>
      <c r="G1788" s="1">
        <v>32518</v>
      </c>
      <c r="H1788" t="s">
        <v>4328</v>
      </c>
      <c r="I1788" s="2" t="str">
        <f t="shared" si="27"/>
        <v>+91-7176477422</v>
      </c>
      <c r="J1788">
        <f>91-7176477513</f>
        <v>-7176477422</v>
      </c>
      <c r="K1788" t="s">
        <v>580</v>
      </c>
      <c r="L1788" t="s">
        <v>85</v>
      </c>
      <c r="M1788">
        <v>974512</v>
      </c>
      <c r="N1788" s="1">
        <v>45200</v>
      </c>
      <c r="O1788" t="s">
        <v>21</v>
      </c>
      <c r="P1788">
        <v>3</v>
      </c>
      <c r="Q1788">
        <v>44883.95</v>
      </c>
    </row>
    <row r="1789" spans="1:17" x14ac:dyDescent="0.3">
      <c r="A1789" t="s">
        <v>4329</v>
      </c>
      <c r="B1789" t="s">
        <v>1124</v>
      </c>
      <c r="C1789" s="2" t="str">
        <f>PROPER(TRIM(Table1[[#This Row],[Gender]]))</f>
        <v>Female</v>
      </c>
      <c r="D1789" t="s">
        <v>43</v>
      </c>
      <c r="E1789">
        <v>32</v>
      </c>
      <c r="F1789" t="s">
        <v>31</v>
      </c>
      <c r="G1789" s="1">
        <v>33978</v>
      </c>
      <c r="H1789" t="s">
        <v>4330</v>
      </c>
      <c r="I1789" s="2" t="str">
        <f t="shared" si="27"/>
        <v>+91-7495135143</v>
      </c>
      <c r="J1789">
        <f>91-7495135234</f>
        <v>-7495135143</v>
      </c>
      <c r="K1789" t="s">
        <v>72</v>
      </c>
      <c r="L1789" t="s">
        <v>34</v>
      </c>
      <c r="M1789">
        <v>702880</v>
      </c>
      <c r="N1789" s="1">
        <v>45341</v>
      </c>
      <c r="O1789" t="s">
        <v>28</v>
      </c>
      <c r="P1789">
        <v>2</v>
      </c>
      <c r="Q1789">
        <v>59169.56</v>
      </c>
    </row>
    <row r="1790" spans="1:17" x14ac:dyDescent="0.3">
      <c r="A1790" t="s">
        <v>4331</v>
      </c>
      <c r="B1790" t="s">
        <v>3083</v>
      </c>
      <c r="C1790" s="2" t="str">
        <f>PROPER(TRIM(Table1[[#This Row],[Gender]]))</f>
        <v>Male</v>
      </c>
      <c r="D1790" t="s">
        <v>16</v>
      </c>
      <c r="E1790">
        <v>34</v>
      </c>
      <c r="F1790" t="s">
        <v>31</v>
      </c>
      <c r="G1790" s="1">
        <v>33248</v>
      </c>
      <c r="H1790" t="s">
        <v>4332</v>
      </c>
      <c r="I1790" s="2" t="str">
        <f t="shared" si="27"/>
        <v>+91-7940242276</v>
      </c>
      <c r="J1790">
        <f>91-7940242367</f>
        <v>-7940242276</v>
      </c>
      <c r="K1790" t="s">
        <v>80</v>
      </c>
      <c r="L1790" t="s">
        <v>20</v>
      </c>
      <c r="M1790">
        <v>629780</v>
      </c>
      <c r="N1790" s="1">
        <v>45289</v>
      </c>
      <c r="O1790" t="s">
        <v>35</v>
      </c>
      <c r="P1790">
        <v>1</v>
      </c>
      <c r="Q1790">
        <v>8080.52</v>
      </c>
    </row>
    <row r="1791" spans="1:17" x14ac:dyDescent="0.3">
      <c r="A1791" t="s">
        <v>4333</v>
      </c>
      <c r="B1791" t="s">
        <v>1713</v>
      </c>
      <c r="C1791" s="2" t="str">
        <f>PROPER(TRIM(Table1[[#This Row],[Gender]]))</f>
        <v>Female</v>
      </c>
      <c r="D1791" t="s">
        <v>43</v>
      </c>
      <c r="E1791">
        <v>52</v>
      </c>
      <c r="F1791" t="s">
        <v>17</v>
      </c>
      <c r="G1791" s="1">
        <v>26678</v>
      </c>
      <c r="H1791" t="s">
        <v>2968</v>
      </c>
      <c r="I1791" s="2" t="str">
        <f t="shared" si="27"/>
        <v>+91-7102378147</v>
      </c>
      <c r="J1791">
        <f>91-7102378238</f>
        <v>-7102378147</v>
      </c>
      <c r="K1791" t="s">
        <v>113</v>
      </c>
      <c r="L1791" t="s">
        <v>34</v>
      </c>
      <c r="M1791">
        <v>158029</v>
      </c>
      <c r="N1791" s="1">
        <v>45408</v>
      </c>
      <c r="O1791" t="s">
        <v>28</v>
      </c>
      <c r="P1791">
        <v>5</v>
      </c>
      <c r="Q1791">
        <v>73393.320000000007</v>
      </c>
    </row>
    <row r="1792" spans="1:17" x14ac:dyDescent="0.3">
      <c r="A1792" t="s">
        <v>4334</v>
      </c>
      <c r="B1792" t="s">
        <v>1408</v>
      </c>
      <c r="C1792" s="2" t="str">
        <f>PROPER(TRIM(Table1[[#This Row],[Gender]]))</f>
        <v>Male</v>
      </c>
      <c r="D1792" t="s">
        <v>16</v>
      </c>
      <c r="E1792">
        <v>30</v>
      </c>
      <c r="F1792" t="s">
        <v>31</v>
      </c>
      <c r="G1792" s="1">
        <v>34708</v>
      </c>
      <c r="H1792" t="s">
        <v>4335</v>
      </c>
      <c r="I1792" s="2" t="str">
        <f t="shared" si="27"/>
        <v>+91-9932093192</v>
      </c>
      <c r="J1792">
        <f>91-9932093283</f>
        <v>-9932093192</v>
      </c>
      <c r="K1792" t="s">
        <v>113</v>
      </c>
      <c r="L1792" t="s">
        <v>34</v>
      </c>
      <c r="M1792">
        <v>314832</v>
      </c>
      <c r="N1792" s="1">
        <v>45387</v>
      </c>
      <c r="O1792" t="s">
        <v>28</v>
      </c>
      <c r="P1792">
        <v>6</v>
      </c>
      <c r="Q1792">
        <v>95961.87</v>
      </c>
    </row>
    <row r="1793" spans="1:17" x14ac:dyDescent="0.3">
      <c r="A1793" t="s">
        <v>4336</v>
      </c>
      <c r="B1793" t="s">
        <v>2429</v>
      </c>
      <c r="C1793" s="2" t="str">
        <f>PROPER(TRIM(Table1[[#This Row],[Gender]]))</f>
        <v>Female</v>
      </c>
      <c r="D1793" t="s">
        <v>43</v>
      </c>
      <c r="E1793">
        <v>38</v>
      </c>
      <c r="F1793" t="s">
        <v>38</v>
      </c>
      <c r="G1793" s="1">
        <v>31788</v>
      </c>
      <c r="H1793" t="s">
        <v>4337</v>
      </c>
      <c r="I1793" s="2" t="str">
        <f t="shared" si="27"/>
        <v>+91-7791995946</v>
      </c>
      <c r="J1793">
        <f>91-7791996037</f>
        <v>-7791995946</v>
      </c>
      <c r="K1793" t="s">
        <v>45</v>
      </c>
      <c r="L1793" t="s">
        <v>46</v>
      </c>
      <c r="M1793">
        <v>449189</v>
      </c>
      <c r="N1793" s="1">
        <v>45157</v>
      </c>
      <c r="O1793" t="s">
        <v>28</v>
      </c>
      <c r="P1793">
        <v>5</v>
      </c>
      <c r="Q1793">
        <v>130155.31</v>
      </c>
    </row>
    <row r="1794" spans="1:17" x14ac:dyDescent="0.3">
      <c r="A1794" t="s">
        <v>4338</v>
      </c>
      <c r="B1794" t="s">
        <v>698</v>
      </c>
      <c r="C1794" s="2" t="str">
        <f>PROPER(TRIM(Table1[[#This Row],[Gender]]))</f>
        <v>Female</v>
      </c>
      <c r="D1794" t="s">
        <v>43</v>
      </c>
      <c r="E1794">
        <v>39</v>
      </c>
      <c r="F1794" t="s">
        <v>38</v>
      </c>
      <c r="G1794" s="1">
        <v>31423</v>
      </c>
      <c r="H1794" t="s">
        <v>4339</v>
      </c>
      <c r="I1794" s="2" t="str">
        <f t="shared" ref="I1794:I1857" si="28">"+91"&amp;TEXT(J1794,"0000000000")</f>
        <v>+91-9402538909</v>
      </c>
      <c r="J1794">
        <f>91-9402539000</f>
        <v>-9402538909</v>
      </c>
      <c r="K1794" t="s">
        <v>178</v>
      </c>
      <c r="L1794" t="s">
        <v>27</v>
      </c>
      <c r="M1794">
        <v>104798</v>
      </c>
      <c r="N1794" s="1">
        <v>45155</v>
      </c>
      <c r="O1794" t="s">
        <v>28</v>
      </c>
      <c r="P1794">
        <v>8</v>
      </c>
      <c r="Q1794">
        <v>356044.62</v>
      </c>
    </row>
    <row r="1795" spans="1:17" x14ac:dyDescent="0.3">
      <c r="A1795" t="s">
        <v>4340</v>
      </c>
      <c r="B1795" t="s">
        <v>484</v>
      </c>
      <c r="C1795" s="2" t="str">
        <f>PROPER(TRIM(Table1[[#This Row],[Gender]]))</f>
        <v>Male</v>
      </c>
      <c r="D1795" t="s">
        <v>16</v>
      </c>
      <c r="E1795">
        <v>50</v>
      </c>
      <c r="F1795" t="s">
        <v>17</v>
      </c>
      <c r="G1795" s="1">
        <v>27408</v>
      </c>
      <c r="H1795" t="s">
        <v>3532</v>
      </c>
      <c r="I1795" s="2" t="str">
        <f t="shared" si="28"/>
        <v>+91-9079503871</v>
      </c>
      <c r="J1795">
        <f>91-9079503962</f>
        <v>-9079503871</v>
      </c>
      <c r="K1795" t="s">
        <v>33</v>
      </c>
      <c r="L1795" t="s">
        <v>34</v>
      </c>
      <c r="M1795">
        <v>286445</v>
      </c>
      <c r="N1795" s="1">
        <v>45163</v>
      </c>
      <c r="O1795" t="s">
        <v>35</v>
      </c>
      <c r="P1795">
        <v>2</v>
      </c>
      <c r="Q1795">
        <v>4927.6499999999996</v>
      </c>
    </row>
    <row r="1796" spans="1:17" x14ac:dyDescent="0.3">
      <c r="A1796" t="s">
        <v>4341</v>
      </c>
      <c r="B1796" t="s">
        <v>820</v>
      </c>
      <c r="C1796" s="2" t="str">
        <f>PROPER(TRIM(Table1[[#This Row],[Gender]]))</f>
        <v>Male</v>
      </c>
      <c r="D1796" t="s">
        <v>16</v>
      </c>
      <c r="E1796">
        <v>44</v>
      </c>
      <c r="F1796" t="s">
        <v>38</v>
      </c>
      <c r="G1796" s="1">
        <v>29598</v>
      </c>
      <c r="H1796" t="s">
        <v>4342</v>
      </c>
      <c r="I1796" s="2" t="str">
        <f t="shared" si="28"/>
        <v>+91-9962622633</v>
      </c>
      <c r="J1796">
        <f>91-9962622724</f>
        <v>-9962622633</v>
      </c>
      <c r="K1796" t="s">
        <v>60</v>
      </c>
      <c r="L1796" t="s">
        <v>34</v>
      </c>
      <c r="M1796">
        <v>265800</v>
      </c>
      <c r="N1796" s="1">
        <v>45119</v>
      </c>
      <c r="O1796" t="s">
        <v>28</v>
      </c>
      <c r="P1796">
        <v>3</v>
      </c>
      <c r="Q1796">
        <v>130209.31</v>
      </c>
    </row>
    <row r="1797" spans="1:17" x14ac:dyDescent="0.3">
      <c r="A1797" t="s">
        <v>4343</v>
      </c>
      <c r="B1797" t="s">
        <v>289</v>
      </c>
      <c r="C1797" s="2" t="str">
        <f>PROPER(TRIM(Table1[[#This Row],[Gender]]))</f>
        <v>Male</v>
      </c>
      <c r="D1797" t="s">
        <v>16</v>
      </c>
      <c r="E1797">
        <v>20</v>
      </c>
      <c r="F1797" t="s">
        <v>49</v>
      </c>
      <c r="G1797" s="1">
        <v>38358</v>
      </c>
      <c r="H1797" t="s">
        <v>4344</v>
      </c>
      <c r="I1797" s="2" t="str">
        <f t="shared" si="28"/>
        <v>+91-9186190384</v>
      </c>
      <c r="J1797">
        <f>91-9186190475</f>
        <v>-9186190384</v>
      </c>
      <c r="K1797" t="s">
        <v>33</v>
      </c>
      <c r="L1797" t="s">
        <v>34</v>
      </c>
      <c r="M1797">
        <v>822865</v>
      </c>
      <c r="N1797" s="1">
        <v>45352</v>
      </c>
      <c r="O1797" t="s">
        <v>35</v>
      </c>
      <c r="P1797">
        <v>4</v>
      </c>
      <c r="Q1797">
        <v>6501.59</v>
      </c>
    </row>
    <row r="1798" spans="1:17" x14ac:dyDescent="0.3">
      <c r="A1798" t="s">
        <v>4345</v>
      </c>
      <c r="B1798" t="s">
        <v>2406</v>
      </c>
      <c r="C1798" s="2" t="str">
        <f>PROPER(TRIM(Table1[[#This Row],[Gender]]))</f>
        <v>Female</v>
      </c>
      <c r="D1798" t="s">
        <v>43</v>
      </c>
      <c r="E1798">
        <v>39</v>
      </c>
      <c r="F1798" t="s">
        <v>38</v>
      </c>
      <c r="G1798" s="1">
        <v>31423</v>
      </c>
      <c r="H1798" t="s">
        <v>4346</v>
      </c>
      <c r="I1798" s="2" t="str">
        <f t="shared" si="28"/>
        <v>+91-7971242360</v>
      </c>
      <c r="J1798">
        <f>91-7971242451</f>
        <v>-7971242360</v>
      </c>
      <c r="K1798" t="s">
        <v>51</v>
      </c>
      <c r="L1798" t="s">
        <v>52</v>
      </c>
      <c r="M1798">
        <v>736342</v>
      </c>
      <c r="N1798" s="1">
        <v>45175</v>
      </c>
      <c r="O1798" t="s">
        <v>28</v>
      </c>
      <c r="P1798">
        <v>7</v>
      </c>
      <c r="Q1798">
        <v>408613.59</v>
      </c>
    </row>
    <row r="1799" spans="1:17" x14ac:dyDescent="0.3">
      <c r="A1799" t="s">
        <v>4347</v>
      </c>
      <c r="B1799" t="s">
        <v>686</v>
      </c>
      <c r="C1799" s="2" t="str">
        <f>PROPER(TRIM(Table1[[#This Row],[Gender]]))</f>
        <v>Male</v>
      </c>
      <c r="D1799" t="s">
        <v>16</v>
      </c>
      <c r="E1799">
        <v>21</v>
      </c>
      <c r="F1799" t="s">
        <v>49</v>
      </c>
      <c r="G1799" s="1">
        <v>37993</v>
      </c>
      <c r="H1799" t="s">
        <v>4348</v>
      </c>
      <c r="I1799" s="2" t="str">
        <f t="shared" si="28"/>
        <v>+91-7844211359</v>
      </c>
      <c r="J1799">
        <f>91-7844211450</f>
        <v>-7844211359</v>
      </c>
      <c r="K1799" t="s">
        <v>19</v>
      </c>
      <c r="L1799" t="s">
        <v>20</v>
      </c>
      <c r="M1799">
        <v>279496</v>
      </c>
      <c r="N1799" s="1">
        <v>45084</v>
      </c>
      <c r="O1799" t="s">
        <v>28</v>
      </c>
      <c r="P1799">
        <v>9</v>
      </c>
      <c r="Q1799">
        <v>248827.93</v>
      </c>
    </row>
    <row r="1800" spans="1:17" x14ac:dyDescent="0.3">
      <c r="A1800" t="s">
        <v>4349</v>
      </c>
      <c r="B1800" t="s">
        <v>3580</v>
      </c>
      <c r="C1800" s="2" t="str">
        <f>PROPER(TRIM(Table1[[#This Row],[Gender]]))</f>
        <v>Male</v>
      </c>
      <c r="D1800" t="s">
        <v>16</v>
      </c>
      <c r="E1800">
        <v>41</v>
      </c>
      <c r="F1800" t="s">
        <v>38</v>
      </c>
      <c r="G1800" s="1">
        <v>30693</v>
      </c>
      <c r="H1800" t="s">
        <v>4067</v>
      </c>
      <c r="I1800" s="2" t="str">
        <f t="shared" si="28"/>
        <v>+91-7691229444</v>
      </c>
      <c r="J1800">
        <f>91-7691229535</f>
        <v>-7691229444</v>
      </c>
      <c r="K1800" t="s">
        <v>249</v>
      </c>
      <c r="L1800" t="s">
        <v>34</v>
      </c>
      <c r="M1800">
        <v>287888</v>
      </c>
      <c r="N1800" s="1">
        <v>45333</v>
      </c>
      <c r="O1800" t="s">
        <v>28</v>
      </c>
      <c r="P1800">
        <v>5</v>
      </c>
      <c r="Q1800">
        <v>208250.23</v>
      </c>
    </row>
    <row r="1801" spans="1:17" x14ac:dyDescent="0.3">
      <c r="A1801" t="s">
        <v>4350</v>
      </c>
      <c r="B1801" t="s">
        <v>653</v>
      </c>
      <c r="C1801" s="2" t="str">
        <f>PROPER(TRIM(Table1[[#This Row],[Gender]]))</f>
        <v>Male</v>
      </c>
      <c r="D1801" t="s">
        <v>16</v>
      </c>
      <c r="E1801">
        <v>34</v>
      </c>
      <c r="F1801" t="s">
        <v>31</v>
      </c>
      <c r="G1801" s="1">
        <v>33248</v>
      </c>
      <c r="H1801" t="s">
        <v>4351</v>
      </c>
      <c r="I1801" s="2" t="str">
        <f t="shared" si="28"/>
        <v>+91-9775155001</v>
      </c>
      <c r="J1801">
        <f>91-9775155092</f>
        <v>-9775155001</v>
      </c>
      <c r="K1801" t="s">
        <v>84</v>
      </c>
      <c r="L1801" t="s">
        <v>85</v>
      </c>
      <c r="M1801">
        <v>889830</v>
      </c>
      <c r="N1801" s="1">
        <v>45137</v>
      </c>
      <c r="O1801" t="s">
        <v>21</v>
      </c>
      <c r="P1801">
        <v>4</v>
      </c>
      <c r="Q1801">
        <v>43492.1</v>
      </c>
    </row>
    <row r="1802" spans="1:17" x14ac:dyDescent="0.3">
      <c r="A1802" t="s">
        <v>4352</v>
      </c>
      <c r="B1802" t="s">
        <v>4353</v>
      </c>
      <c r="C1802" s="2" t="str">
        <f>PROPER(TRIM(Table1[[#This Row],[Gender]]))</f>
        <v>Male</v>
      </c>
      <c r="D1802" t="s">
        <v>16</v>
      </c>
      <c r="E1802">
        <v>32</v>
      </c>
      <c r="F1802" t="s">
        <v>31</v>
      </c>
      <c r="G1802" s="1">
        <v>33978</v>
      </c>
      <c r="H1802" t="s">
        <v>4354</v>
      </c>
      <c r="I1802" s="2" t="str">
        <f t="shared" si="28"/>
        <v>+91-7263576824</v>
      </c>
      <c r="J1802">
        <f>91-7263576915</f>
        <v>-7263576824</v>
      </c>
      <c r="K1802" t="s">
        <v>178</v>
      </c>
      <c r="L1802" t="s">
        <v>27</v>
      </c>
      <c r="M1802">
        <v>922185</v>
      </c>
      <c r="N1802" s="1">
        <v>45274</v>
      </c>
      <c r="O1802" t="s">
        <v>28</v>
      </c>
      <c r="P1802">
        <v>7</v>
      </c>
      <c r="Q1802">
        <v>82906.09</v>
      </c>
    </row>
    <row r="1803" spans="1:17" x14ac:dyDescent="0.3">
      <c r="A1803" t="s">
        <v>4355</v>
      </c>
      <c r="B1803" t="s">
        <v>528</v>
      </c>
      <c r="C1803" s="2" t="str">
        <f>PROPER(TRIM(Table1[[#This Row],[Gender]]))</f>
        <v>Female</v>
      </c>
      <c r="D1803" t="s">
        <v>43</v>
      </c>
      <c r="E1803">
        <v>62</v>
      </c>
      <c r="F1803" t="s">
        <v>58</v>
      </c>
      <c r="G1803" s="1">
        <v>23028</v>
      </c>
      <c r="H1803" t="s">
        <v>4356</v>
      </c>
      <c r="I1803" s="2" t="str">
        <f t="shared" si="28"/>
        <v>+91-8830737842</v>
      </c>
      <c r="J1803">
        <f>91-8830737933</f>
        <v>-8830737842</v>
      </c>
      <c r="K1803" t="s">
        <v>178</v>
      </c>
      <c r="L1803" t="s">
        <v>27</v>
      </c>
      <c r="M1803">
        <v>905258</v>
      </c>
      <c r="N1803" s="1">
        <v>45345</v>
      </c>
      <c r="O1803" t="s">
        <v>35</v>
      </c>
      <c r="P1803">
        <v>0</v>
      </c>
      <c r="Q1803">
        <v>0</v>
      </c>
    </row>
    <row r="1804" spans="1:17" x14ac:dyDescent="0.3">
      <c r="A1804" t="s">
        <v>4357</v>
      </c>
      <c r="B1804" t="s">
        <v>2932</v>
      </c>
      <c r="C1804" s="2" t="str">
        <f>PROPER(TRIM(Table1[[#This Row],[Gender]]))</f>
        <v>Female</v>
      </c>
      <c r="D1804" t="s">
        <v>43</v>
      </c>
      <c r="E1804">
        <v>62</v>
      </c>
      <c r="F1804" t="s">
        <v>58</v>
      </c>
      <c r="G1804" s="1">
        <v>23028</v>
      </c>
      <c r="H1804" t="s">
        <v>4358</v>
      </c>
      <c r="I1804" s="2" t="str">
        <f t="shared" si="28"/>
        <v>+91-9785828776</v>
      </c>
      <c r="J1804">
        <f>91-9785828867</f>
        <v>-9785828776</v>
      </c>
      <c r="K1804" t="s">
        <v>109</v>
      </c>
      <c r="L1804" t="s">
        <v>46</v>
      </c>
      <c r="M1804">
        <v>275236</v>
      </c>
      <c r="N1804" s="1">
        <v>45250</v>
      </c>
      <c r="O1804" t="s">
        <v>28</v>
      </c>
      <c r="P1804">
        <v>4</v>
      </c>
      <c r="Q1804">
        <v>65835.02</v>
      </c>
    </row>
    <row r="1805" spans="1:17" x14ac:dyDescent="0.3">
      <c r="A1805" t="s">
        <v>4359</v>
      </c>
      <c r="B1805" t="s">
        <v>2667</v>
      </c>
      <c r="C1805" s="2" t="str">
        <f>PROPER(TRIM(Table1[[#This Row],[Gender]]))</f>
        <v>Female</v>
      </c>
      <c r="D1805" t="s">
        <v>43</v>
      </c>
      <c r="E1805">
        <v>30</v>
      </c>
      <c r="F1805" t="s">
        <v>31</v>
      </c>
      <c r="G1805" s="1">
        <v>34708</v>
      </c>
      <c r="H1805" t="s">
        <v>4360</v>
      </c>
      <c r="I1805" s="2" t="str">
        <f t="shared" si="28"/>
        <v>+91-9827248050</v>
      </c>
      <c r="J1805">
        <f>91-9827248141</f>
        <v>-9827248050</v>
      </c>
      <c r="K1805" t="s">
        <v>101</v>
      </c>
      <c r="L1805" t="s">
        <v>102</v>
      </c>
      <c r="M1805">
        <v>561587</v>
      </c>
      <c r="N1805" s="1">
        <v>45304</v>
      </c>
      <c r="O1805" t="s">
        <v>28</v>
      </c>
      <c r="P1805">
        <v>6</v>
      </c>
      <c r="Q1805">
        <v>138524.82</v>
      </c>
    </row>
    <row r="1806" spans="1:17" x14ac:dyDescent="0.3">
      <c r="A1806" t="s">
        <v>4361</v>
      </c>
      <c r="B1806" t="s">
        <v>2182</v>
      </c>
      <c r="C1806" s="2" t="str">
        <f>PROPER(TRIM(Table1[[#This Row],[Gender]]))</f>
        <v>Male</v>
      </c>
      <c r="D1806" t="s">
        <v>16</v>
      </c>
      <c r="E1806">
        <v>30</v>
      </c>
      <c r="F1806" t="s">
        <v>31</v>
      </c>
      <c r="G1806" s="1">
        <v>34708</v>
      </c>
      <c r="H1806" t="s">
        <v>4362</v>
      </c>
      <c r="I1806" s="2" t="str">
        <f t="shared" si="28"/>
        <v>+91-8885016797</v>
      </c>
      <c r="J1806">
        <f>91-8885016888</f>
        <v>-8885016797</v>
      </c>
      <c r="K1806" t="s">
        <v>84</v>
      </c>
      <c r="L1806" t="s">
        <v>85</v>
      </c>
      <c r="M1806">
        <v>984590</v>
      </c>
      <c r="N1806" s="1">
        <v>45126</v>
      </c>
      <c r="O1806" t="s">
        <v>28</v>
      </c>
      <c r="P1806">
        <v>3</v>
      </c>
      <c r="Q1806">
        <v>128753.05</v>
      </c>
    </row>
    <row r="1807" spans="1:17" x14ac:dyDescent="0.3">
      <c r="A1807" t="s">
        <v>4363</v>
      </c>
      <c r="B1807" t="s">
        <v>2613</v>
      </c>
      <c r="C1807" s="2" t="str">
        <f>PROPER(TRIM(Table1[[#This Row],[Gender]]))</f>
        <v>Female</v>
      </c>
      <c r="D1807" t="s">
        <v>43</v>
      </c>
      <c r="E1807">
        <v>29</v>
      </c>
      <c r="F1807" t="s">
        <v>31</v>
      </c>
      <c r="G1807" s="1">
        <v>35073</v>
      </c>
      <c r="H1807" t="s">
        <v>4364</v>
      </c>
      <c r="I1807" s="2" t="str">
        <f t="shared" si="28"/>
        <v>+91-7372264519</v>
      </c>
      <c r="J1807">
        <f>91-7372264610</f>
        <v>-7372264519</v>
      </c>
      <c r="K1807" t="s">
        <v>178</v>
      </c>
      <c r="L1807" t="s">
        <v>27</v>
      </c>
      <c r="M1807">
        <v>348097</v>
      </c>
      <c r="N1807" s="1">
        <v>45106</v>
      </c>
      <c r="O1807" t="s">
        <v>21</v>
      </c>
      <c r="P1807">
        <v>2</v>
      </c>
      <c r="Q1807">
        <v>42299.79</v>
      </c>
    </row>
    <row r="1808" spans="1:17" x14ac:dyDescent="0.3">
      <c r="A1808" t="s">
        <v>4365</v>
      </c>
      <c r="B1808" t="s">
        <v>3025</v>
      </c>
      <c r="C1808" s="2" t="str">
        <f>PROPER(TRIM(Table1[[#This Row],[Gender]]))</f>
        <v>Female</v>
      </c>
      <c r="D1808" t="s">
        <v>43</v>
      </c>
      <c r="E1808">
        <v>19</v>
      </c>
      <c r="F1808" t="s">
        <v>49</v>
      </c>
      <c r="G1808" s="1">
        <v>38723</v>
      </c>
      <c r="H1808" t="s">
        <v>4366</v>
      </c>
      <c r="I1808" s="2" t="str">
        <f t="shared" si="28"/>
        <v>+91-8320690409</v>
      </c>
      <c r="J1808">
        <f>91-8320690500</f>
        <v>-8320690409</v>
      </c>
      <c r="K1808" t="s">
        <v>239</v>
      </c>
      <c r="L1808" t="s">
        <v>191</v>
      </c>
      <c r="M1808">
        <v>615417</v>
      </c>
      <c r="N1808" s="1">
        <v>45104</v>
      </c>
      <c r="O1808" t="s">
        <v>35</v>
      </c>
      <c r="P1808">
        <v>3</v>
      </c>
      <c r="Q1808">
        <v>4374.74</v>
      </c>
    </row>
    <row r="1809" spans="1:17" x14ac:dyDescent="0.3">
      <c r="A1809" t="s">
        <v>4367</v>
      </c>
      <c r="B1809" t="s">
        <v>1178</v>
      </c>
      <c r="C1809" s="2" t="str">
        <f>PROPER(TRIM(Table1[[#This Row],[Gender]]))</f>
        <v>Female</v>
      </c>
      <c r="D1809" t="s">
        <v>43</v>
      </c>
      <c r="E1809">
        <v>30</v>
      </c>
      <c r="F1809" t="s">
        <v>31</v>
      </c>
      <c r="G1809" s="1">
        <v>34708</v>
      </c>
      <c r="H1809" t="s">
        <v>3598</v>
      </c>
      <c r="I1809" s="2" t="str">
        <f t="shared" si="28"/>
        <v>+91-8832901381</v>
      </c>
      <c r="J1809">
        <f>91-8832901472</f>
        <v>-8832901381</v>
      </c>
      <c r="K1809" t="s">
        <v>72</v>
      </c>
      <c r="L1809" t="s">
        <v>34</v>
      </c>
      <c r="M1809">
        <v>239909</v>
      </c>
      <c r="N1809" s="1">
        <v>45370</v>
      </c>
      <c r="O1809" t="s">
        <v>28</v>
      </c>
      <c r="P1809">
        <v>4</v>
      </c>
      <c r="Q1809">
        <v>52297.14</v>
      </c>
    </row>
    <row r="1810" spans="1:17" x14ac:dyDescent="0.3">
      <c r="A1810" t="s">
        <v>4368</v>
      </c>
      <c r="B1810" t="s">
        <v>683</v>
      </c>
      <c r="C1810" s="2" t="str">
        <f>PROPER(TRIM(Table1[[#This Row],[Gender]]))</f>
        <v>Female</v>
      </c>
      <c r="D1810" t="s">
        <v>43</v>
      </c>
      <c r="E1810">
        <v>37</v>
      </c>
      <c r="F1810" t="s">
        <v>38</v>
      </c>
      <c r="G1810" s="1">
        <v>32153</v>
      </c>
      <c r="H1810" t="s">
        <v>4369</v>
      </c>
      <c r="I1810" s="2" t="str">
        <f t="shared" si="28"/>
        <v>+91-9963305659</v>
      </c>
      <c r="J1810">
        <f>91-9963305750</f>
        <v>-9963305659</v>
      </c>
      <c r="K1810" t="s">
        <v>369</v>
      </c>
      <c r="L1810" t="s">
        <v>191</v>
      </c>
      <c r="M1810">
        <v>986901</v>
      </c>
      <c r="N1810" s="1">
        <v>45108</v>
      </c>
      <c r="O1810" t="s">
        <v>35</v>
      </c>
      <c r="P1810">
        <v>4</v>
      </c>
      <c r="Q1810">
        <v>18057.16</v>
      </c>
    </row>
    <row r="1811" spans="1:17" x14ac:dyDescent="0.3">
      <c r="A1811" t="s">
        <v>4370</v>
      </c>
      <c r="B1811" t="s">
        <v>2748</v>
      </c>
      <c r="C1811" s="2" t="str">
        <f>PROPER(TRIM(Table1[[#This Row],[Gender]]))</f>
        <v>Female</v>
      </c>
      <c r="D1811" t="s">
        <v>43</v>
      </c>
      <c r="E1811">
        <v>19</v>
      </c>
      <c r="F1811" t="s">
        <v>49</v>
      </c>
      <c r="G1811" s="1">
        <v>38723</v>
      </c>
      <c r="H1811" t="s">
        <v>4371</v>
      </c>
      <c r="I1811" s="2" t="str">
        <f t="shared" si="28"/>
        <v>+91-9061112004</v>
      </c>
      <c r="J1811">
        <f>91-9061112095</f>
        <v>-9061112004</v>
      </c>
      <c r="K1811" t="s">
        <v>369</v>
      </c>
      <c r="L1811" t="s">
        <v>191</v>
      </c>
      <c r="M1811">
        <v>990720</v>
      </c>
      <c r="N1811" s="1">
        <v>45165</v>
      </c>
      <c r="O1811" t="s">
        <v>21</v>
      </c>
      <c r="P1811">
        <v>5</v>
      </c>
      <c r="Q1811">
        <v>24326.720000000001</v>
      </c>
    </row>
    <row r="1812" spans="1:17" x14ac:dyDescent="0.3">
      <c r="A1812" t="s">
        <v>4372</v>
      </c>
      <c r="B1812" t="s">
        <v>2130</v>
      </c>
      <c r="C1812" s="2" t="str">
        <f>PROPER(TRIM(Table1[[#This Row],[Gender]]))</f>
        <v>Female</v>
      </c>
      <c r="D1812" t="s">
        <v>43</v>
      </c>
      <c r="E1812">
        <v>35</v>
      </c>
      <c r="F1812" t="s">
        <v>31</v>
      </c>
      <c r="G1812" s="1">
        <v>32883</v>
      </c>
      <c r="H1812" t="s">
        <v>4373</v>
      </c>
      <c r="I1812" s="2" t="str">
        <f t="shared" si="28"/>
        <v>+91-9691034237</v>
      </c>
      <c r="J1812">
        <f>91-9691034328</f>
        <v>-9691034237</v>
      </c>
      <c r="K1812" t="s">
        <v>202</v>
      </c>
      <c r="L1812" t="s">
        <v>191</v>
      </c>
      <c r="M1812">
        <v>145714</v>
      </c>
      <c r="N1812" s="1">
        <v>45249</v>
      </c>
      <c r="O1812" t="s">
        <v>28</v>
      </c>
      <c r="P1812">
        <v>4</v>
      </c>
      <c r="Q1812">
        <v>130355.96</v>
      </c>
    </row>
    <row r="1813" spans="1:17" x14ac:dyDescent="0.3">
      <c r="A1813" t="s">
        <v>4374</v>
      </c>
      <c r="B1813" t="s">
        <v>2049</v>
      </c>
      <c r="C1813" s="2" t="str">
        <f>PROPER(TRIM(Table1[[#This Row],[Gender]]))</f>
        <v>Female</v>
      </c>
      <c r="D1813" t="s">
        <v>43</v>
      </c>
      <c r="E1813">
        <v>23</v>
      </c>
      <c r="F1813" t="s">
        <v>49</v>
      </c>
      <c r="G1813" s="1">
        <v>37263</v>
      </c>
      <c r="H1813" t="s">
        <v>4375</v>
      </c>
      <c r="I1813" s="2" t="str">
        <f t="shared" si="28"/>
        <v>+91-7264480955</v>
      </c>
      <c r="J1813">
        <f>91-7264481046</f>
        <v>-7264480955</v>
      </c>
      <c r="K1813" t="s">
        <v>40</v>
      </c>
      <c r="L1813" t="s">
        <v>27</v>
      </c>
      <c r="M1813">
        <v>277712</v>
      </c>
      <c r="N1813" s="1">
        <v>45360</v>
      </c>
      <c r="O1813" t="s">
        <v>35</v>
      </c>
      <c r="P1813">
        <v>2</v>
      </c>
      <c r="Q1813">
        <v>5171.5200000000004</v>
      </c>
    </row>
    <row r="1814" spans="1:17" x14ac:dyDescent="0.3">
      <c r="A1814" t="s">
        <v>4376</v>
      </c>
      <c r="B1814" t="s">
        <v>3580</v>
      </c>
      <c r="C1814" s="2" t="str">
        <f>PROPER(TRIM(Table1[[#This Row],[Gender]]))</f>
        <v>Male</v>
      </c>
      <c r="D1814" t="s">
        <v>16</v>
      </c>
      <c r="E1814">
        <v>24</v>
      </c>
      <c r="F1814" t="s">
        <v>49</v>
      </c>
      <c r="G1814" s="1">
        <v>36898</v>
      </c>
      <c r="H1814" t="s">
        <v>4377</v>
      </c>
      <c r="I1814" s="2" t="str">
        <f t="shared" si="28"/>
        <v>+91-7825167281</v>
      </c>
      <c r="J1814">
        <f>91-7825167372</f>
        <v>-7825167281</v>
      </c>
      <c r="K1814" t="s">
        <v>19</v>
      </c>
      <c r="L1814" t="s">
        <v>20</v>
      </c>
      <c r="M1814">
        <v>138586</v>
      </c>
      <c r="N1814" s="1">
        <v>45150</v>
      </c>
      <c r="O1814" t="s">
        <v>28</v>
      </c>
      <c r="P1814">
        <v>5</v>
      </c>
      <c r="Q1814">
        <v>311886.53999999998</v>
      </c>
    </row>
    <row r="1815" spans="1:17" x14ac:dyDescent="0.3">
      <c r="A1815" t="s">
        <v>4378</v>
      </c>
      <c r="B1815" t="s">
        <v>845</v>
      </c>
      <c r="C1815" s="2" t="str">
        <f>PROPER(TRIM(Table1[[#This Row],[Gender]]))</f>
        <v>Male</v>
      </c>
      <c r="D1815" t="s">
        <v>16</v>
      </c>
      <c r="E1815">
        <v>24</v>
      </c>
      <c r="F1815" t="s">
        <v>49</v>
      </c>
      <c r="G1815" s="1">
        <v>36898</v>
      </c>
      <c r="H1815" t="s">
        <v>4379</v>
      </c>
      <c r="I1815" s="2" t="str">
        <f t="shared" si="28"/>
        <v>+91-7400987247</v>
      </c>
      <c r="J1815">
        <f>91-7400987338</f>
        <v>-7400987247</v>
      </c>
      <c r="K1815" t="s">
        <v>369</v>
      </c>
      <c r="L1815" t="s">
        <v>191</v>
      </c>
      <c r="M1815">
        <v>987689</v>
      </c>
      <c r="N1815" s="1">
        <v>45403</v>
      </c>
      <c r="O1815" t="s">
        <v>28</v>
      </c>
      <c r="P1815">
        <v>8</v>
      </c>
      <c r="Q1815">
        <v>308621.21999999997</v>
      </c>
    </row>
    <row r="1816" spans="1:17" x14ac:dyDescent="0.3">
      <c r="A1816" t="s">
        <v>4380</v>
      </c>
      <c r="B1816" t="s">
        <v>1892</v>
      </c>
      <c r="C1816" s="2" t="str">
        <f>PROPER(TRIM(Table1[[#This Row],[Gender]]))</f>
        <v>Male</v>
      </c>
      <c r="D1816" t="s">
        <v>16</v>
      </c>
      <c r="E1816">
        <v>33</v>
      </c>
      <c r="F1816" t="s">
        <v>31</v>
      </c>
      <c r="G1816" s="1">
        <v>33613</v>
      </c>
      <c r="H1816" t="s">
        <v>4381</v>
      </c>
      <c r="I1816" s="2" t="str">
        <f t="shared" si="28"/>
        <v>+91-7570368731</v>
      </c>
      <c r="J1816">
        <f>91-7570368822</f>
        <v>-7570368731</v>
      </c>
      <c r="K1816" t="s">
        <v>147</v>
      </c>
      <c r="L1816" t="s">
        <v>143</v>
      </c>
      <c r="M1816">
        <v>359748</v>
      </c>
      <c r="N1816" s="1">
        <v>45085</v>
      </c>
      <c r="O1816" t="s">
        <v>28</v>
      </c>
      <c r="P1816">
        <v>7</v>
      </c>
      <c r="Q1816">
        <v>319257.59999999998</v>
      </c>
    </row>
    <row r="1817" spans="1:17" x14ac:dyDescent="0.3">
      <c r="A1817" t="s">
        <v>4382</v>
      </c>
      <c r="B1817" t="s">
        <v>949</v>
      </c>
      <c r="C1817" s="2" t="str">
        <f>PROPER(TRIM(Table1[[#This Row],[Gender]]))</f>
        <v>Male</v>
      </c>
      <c r="D1817" t="s">
        <v>16</v>
      </c>
      <c r="E1817">
        <v>42</v>
      </c>
      <c r="F1817" t="s">
        <v>38</v>
      </c>
      <c r="G1817" s="1">
        <v>30328</v>
      </c>
      <c r="H1817" t="s">
        <v>4383</v>
      </c>
      <c r="I1817" s="2" t="str">
        <f t="shared" si="28"/>
        <v>+91-9194897401</v>
      </c>
      <c r="J1817">
        <f>91-9194897492</f>
        <v>-9194897401</v>
      </c>
      <c r="K1817" t="s">
        <v>33</v>
      </c>
      <c r="L1817" t="s">
        <v>34</v>
      </c>
      <c r="M1817">
        <v>772546</v>
      </c>
      <c r="N1817" s="1">
        <v>45124</v>
      </c>
      <c r="O1817" t="s">
        <v>28</v>
      </c>
      <c r="P1817">
        <v>6</v>
      </c>
      <c r="Q1817">
        <v>225731.84</v>
      </c>
    </row>
    <row r="1818" spans="1:17" x14ac:dyDescent="0.3">
      <c r="A1818" t="s">
        <v>4384</v>
      </c>
      <c r="B1818" t="s">
        <v>3783</v>
      </c>
      <c r="C1818" s="2" t="str">
        <f>PROPER(TRIM(Table1[[#This Row],[Gender]]))</f>
        <v>Male</v>
      </c>
      <c r="D1818" t="s">
        <v>16</v>
      </c>
      <c r="E1818">
        <v>32</v>
      </c>
      <c r="F1818" t="s">
        <v>31</v>
      </c>
      <c r="G1818" s="1">
        <v>33978</v>
      </c>
      <c r="H1818" t="s">
        <v>4385</v>
      </c>
      <c r="I1818" s="2" t="str">
        <f t="shared" si="28"/>
        <v>+91-8763647109</v>
      </c>
      <c r="J1818">
        <f>91-8763647200</f>
        <v>-8763647109</v>
      </c>
      <c r="K1818" t="s">
        <v>165</v>
      </c>
      <c r="L1818" t="s">
        <v>52</v>
      </c>
      <c r="M1818">
        <v>290535</v>
      </c>
      <c r="N1818" s="1">
        <v>45405</v>
      </c>
      <c r="O1818" t="s">
        <v>21</v>
      </c>
      <c r="P1818">
        <v>5</v>
      </c>
      <c r="Q1818">
        <v>47397.33</v>
      </c>
    </row>
    <row r="1819" spans="1:17" x14ac:dyDescent="0.3">
      <c r="A1819" t="s">
        <v>4386</v>
      </c>
      <c r="B1819" t="s">
        <v>4387</v>
      </c>
      <c r="C1819" s="2" t="str">
        <f>PROPER(TRIM(Table1[[#This Row],[Gender]]))</f>
        <v>Male</v>
      </c>
      <c r="D1819" t="s">
        <v>16</v>
      </c>
      <c r="E1819">
        <v>32</v>
      </c>
      <c r="F1819" t="s">
        <v>31</v>
      </c>
      <c r="G1819" s="1">
        <v>33978</v>
      </c>
      <c r="H1819" t="s">
        <v>4388</v>
      </c>
      <c r="I1819" s="2" t="str">
        <f t="shared" si="28"/>
        <v>+91-9563089595</v>
      </c>
      <c r="J1819">
        <f>91-9563089686</f>
        <v>-9563089595</v>
      </c>
      <c r="K1819" t="s">
        <v>580</v>
      </c>
      <c r="L1819" t="s">
        <v>85</v>
      </c>
      <c r="M1819">
        <v>610850</v>
      </c>
      <c r="N1819" s="1">
        <v>45209</v>
      </c>
      <c r="O1819" t="s">
        <v>28</v>
      </c>
      <c r="P1819">
        <v>3</v>
      </c>
      <c r="Q1819">
        <v>106568.08</v>
      </c>
    </row>
    <row r="1820" spans="1:17" x14ac:dyDescent="0.3">
      <c r="A1820" t="s">
        <v>4389</v>
      </c>
      <c r="B1820" t="s">
        <v>4390</v>
      </c>
      <c r="C1820" s="2" t="str">
        <f>PROPER(TRIM(Table1[[#This Row],[Gender]]))</f>
        <v>Female</v>
      </c>
      <c r="D1820" t="s">
        <v>43</v>
      </c>
      <c r="E1820">
        <v>40</v>
      </c>
      <c r="F1820" t="s">
        <v>38</v>
      </c>
      <c r="G1820" s="1">
        <v>31058</v>
      </c>
      <c r="H1820" t="s">
        <v>4391</v>
      </c>
      <c r="I1820" s="2" t="str">
        <f t="shared" si="28"/>
        <v>+91-7363688741</v>
      </c>
      <c r="J1820">
        <f>91-7363688832</f>
        <v>-7363688741</v>
      </c>
      <c r="K1820" t="s">
        <v>113</v>
      </c>
      <c r="L1820" t="s">
        <v>34</v>
      </c>
      <c r="M1820">
        <v>835136</v>
      </c>
      <c r="N1820" s="1">
        <v>45341</v>
      </c>
      <c r="O1820" t="s">
        <v>28</v>
      </c>
      <c r="P1820">
        <v>3</v>
      </c>
      <c r="Q1820">
        <v>154190.82999999999</v>
      </c>
    </row>
    <row r="1821" spans="1:17" x14ac:dyDescent="0.3">
      <c r="A1821" t="s">
        <v>4392</v>
      </c>
      <c r="B1821" t="s">
        <v>1935</v>
      </c>
      <c r="C1821" s="2" t="str">
        <f>PROPER(TRIM(Table1[[#This Row],[Gender]]))</f>
        <v>Female</v>
      </c>
      <c r="D1821" t="s">
        <v>43</v>
      </c>
      <c r="E1821">
        <v>27</v>
      </c>
      <c r="F1821" t="s">
        <v>31</v>
      </c>
      <c r="G1821" s="1">
        <v>35803</v>
      </c>
      <c r="H1821" t="s">
        <v>4393</v>
      </c>
      <c r="I1821" s="2" t="str">
        <f t="shared" si="28"/>
        <v>+91-9949631180</v>
      </c>
      <c r="J1821">
        <f>91-9949631271</f>
        <v>-9949631180</v>
      </c>
      <c r="K1821" t="s">
        <v>89</v>
      </c>
      <c r="L1821" t="s">
        <v>90</v>
      </c>
      <c r="M1821">
        <v>532085</v>
      </c>
      <c r="N1821" s="1">
        <v>45178</v>
      </c>
      <c r="O1821" t="s">
        <v>28</v>
      </c>
      <c r="P1821">
        <v>2</v>
      </c>
      <c r="Q1821">
        <v>78189.55</v>
      </c>
    </row>
    <row r="1822" spans="1:17" x14ac:dyDescent="0.3">
      <c r="A1822" t="s">
        <v>4394</v>
      </c>
      <c r="B1822" t="s">
        <v>1677</v>
      </c>
      <c r="C1822" s="2" t="str">
        <f>PROPER(TRIM(Table1[[#This Row],[Gender]]))</f>
        <v>Female</v>
      </c>
      <c r="D1822" t="s">
        <v>43</v>
      </c>
      <c r="E1822">
        <v>21</v>
      </c>
      <c r="F1822" t="s">
        <v>49</v>
      </c>
      <c r="G1822" s="1">
        <v>37993</v>
      </c>
      <c r="H1822" t="s">
        <v>4395</v>
      </c>
      <c r="I1822" s="2" t="str">
        <f t="shared" si="28"/>
        <v>+91-8068077658</v>
      </c>
      <c r="J1822">
        <f>91-8068077749</f>
        <v>-8068077658</v>
      </c>
      <c r="K1822" t="s">
        <v>109</v>
      </c>
      <c r="L1822" t="s">
        <v>46</v>
      </c>
      <c r="M1822">
        <v>120772</v>
      </c>
      <c r="N1822" s="1">
        <v>45129</v>
      </c>
      <c r="O1822" t="s">
        <v>35</v>
      </c>
      <c r="P1822">
        <v>4</v>
      </c>
      <c r="Q1822">
        <v>16589.59</v>
      </c>
    </row>
    <row r="1823" spans="1:17" x14ac:dyDescent="0.3">
      <c r="A1823" t="s">
        <v>4396</v>
      </c>
      <c r="B1823" t="s">
        <v>159</v>
      </c>
      <c r="C1823" s="2" t="str">
        <f>PROPER(TRIM(Table1[[#This Row],[Gender]]))</f>
        <v>Female</v>
      </c>
      <c r="D1823" t="s">
        <v>43</v>
      </c>
      <c r="E1823">
        <v>24</v>
      </c>
      <c r="F1823" t="s">
        <v>49</v>
      </c>
      <c r="G1823" s="1">
        <v>36898</v>
      </c>
      <c r="H1823" t="s">
        <v>701</v>
      </c>
      <c r="I1823" s="2" t="str">
        <f t="shared" si="28"/>
        <v>+91-7608996378</v>
      </c>
      <c r="J1823">
        <f>91-7608996469</f>
        <v>-7608996378</v>
      </c>
      <c r="K1823" t="s">
        <v>249</v>
      </c>
      <c r="L1823" t="s">
        <v>34</v>
      </c>
      <c r="M1823">
        <v>901277</v>
      </c>
      <c r="N1823" s="1">
        <v>45310</v>
      </c>
      <c r="O1823" t="s">
        <v>21</v>
      </c>
      <c r="P1823">
        <v>4</v>
      </c>
      <c r="Q1823">
        <v>45603.29</v>
      </c>
    </row>
    <row r="1824" spans="1:17" x14ac:dyDescent="0.3">
      <c r="A1824" t="s">
        <v>4397</v>
      </c>
      <c r="B1824" t="s">
        <v>123</v>
      </c>
      <c r="C1824" s="2" t="str">
        <f>PROPER(TRIM(Table1[[#This Row],[Gender]]))</f>
        <v>Male</v>
      </c>
      <c r="D1824" t="s">
        <v>16</v>
      </c>
      <c r="E1824">
        <v>53</v>
      </c>
      <c r="F1824" t="s">
        <v>17</v>
      </c>
      <c r="G1824" s="1">
        <v>26313</v>
      </c>
      <c r="H1824" t="s">
        <v>4398</v>
      </c>
      <c r="I1824" s="2" t="str">
        <f t="shared" si="28"/>
        <v>+91-7524683735</v>
      </c>
      <c r="J1824">
        <f>91-7524683826</f>
        <v>-7524683735</v>
      </c>
      <c r="K1824" t="s">
        <v>161</v>
      </c>
      <c r="L1824" t="s">
        <v>102</v>
      </c>
      <c r="M1824">
        <v>583177</v>
      </c>
      <c r="N1824" s="1">
        <v>45114</v>
      </c>
      <c r="O1824" t="s">
        <v>35</v>
      </c>
      <c r="P1824">
        <v>7</v>
      </c>
      <c r="Q1824">
        <v>17109.72</v>
      </c>
    </row>
    <row r="1825" spans="1:17" x14ac:dyDescent="0.3">
      <c r="A1825" t="s">
        <v>4399</v>
      </c>
      <c r="B1825" t="s">
        <v>4080</v>
      </c>
      <c r="C1825" s="2" t="str">
        <f>PROPER(TRIM(Table1[[#This Row],[Gender]]))</f>
        <v>Male</v>
      </c>
      <c r="D1825" t="s">
        <v>16</v>
      </c>
      <c r="E1825">
        <v>25</v>
      </c>
      <c r="F1825" t="s">
        <v>49</v>
      </c>
      <c r="G1825" s="1">
        <v>36533</v>
      </c>
      <c r="H1825" t="s">
        <v>4400</v>
      </c>
      <c r="I1825" s="2" t="str">
        <f t="shared" si="28"/>
        <v>+91-8201783691</v>
      </c>
      <c r="J1825">
        <f>91-8201783782</f>
        <v>-8201783691</v>
      </c>
      <c r="K1825" t="s">
        <v>45</v>
      </c>
      <c r="L1825" t="s">
        <v>46</v>
      </c>
      <c r="M1825">
        <v>333052</v>
      </c>
      <c r="N1825" s="1">
        <v>45326</v>
      </c>
      <c r="O1825" t="s">
        <v>28</v>
      </c>
      <c r="P1825">
        <v>4</v>
      </c>
      <c r="Q1825">
        <v>82047.48</v>
      </c>
    </row>
    <row r="1826" spans="1:17" x14ac:dyDescent="0.3">
      <c r="A1826" t="s">
        <v>4401</v>
      </c>
      <c r="B1826" t="s">
        <v>4402</v>
      </c>
      <c r="C1826" s="2" t="str">
        <f>PROPER(TRIM(Table1[[#This Row],[Gender]]))</f>
        <v>Male</v>
      </c>
      <c r="D1826" t="s">
        <v>16</v>
      </c>
      <c r="E1826">
        <v>28</v>
      </c>
      <c r="F1826" t="s">
        <v>31</v>
      </c>
      <c r="G1826" s="1">
        <v>35438</v>
      </c>
      <c r="H1826" t="s">
        <v>4403</v>
      </c>
      <c r="I1826" s="2" t="str">
        <f t="shared" si="28"/>
        <v>+91-9126157053</v>
      </c>
      <c r="J1826">
        <f>91-9126157144</f>
        <v>-9126157053</v>
      </c>
      <c r="K1826" t="s">
        <v>369</v>
      </c>
      <c r="L1826" t="s">
        <v>191</v>
      </c>
      <c r="M1826">
        <v>503156</v>
      </c>
      <c r="N1826" s="1">
        <v>45291</v>
      </c>
      <c r="O1826" t="s">
        <v>28</v>
      </c>
      <c r="P1826">
        <v>7</v>
      </c>
      <c r="Q1826">
        <v>101579.41</v>
      </c>
    </row>
    <row r="1827" spans="1:17" x14ac:dyDescent="0.3">
      <c r="A1827" t="s">
        <v>4404</v>
      </c>
      <c r="B1827" t="s">
        <v>943</v>
      </c>
      <c r="C1827" s="2" t="str">
        <f>PROPER(TRIM(Table1[[#This Row],[Gender]]))</f>
        <v>Male</v>
      </c>
      <c r="D1827" t="s">
        <v>16</v>
      </c>
      <c r="E1827">
        <v>32</v>
      </c>
      <c r="F1827" t="s">
        <v>31</v>
      </c>
      <c r="G1827" s="1">
        <v>33978</v>
      </c>
      <c r="H1827" t="s">
        <v>4405</v>
      </c>
      <c r="I1827" s="2" t="str">
        <f t="shared" si="28"/>
        <v>+91-8469051656</v>
      </c>
      <c r="J1827">
        <f>91-8469051747</f>
        <v>-8469051656</v>
      </c>
      <c r="K1827" t="s">
        <v>64</v>
      </c>
      <c r="L1827" t="s">
        <v>20</v>
      </c>
      <c r="M1827">
        <v>126366</v>
      </c>
      <c r="N1827" s="1">
        <v>45108</v>
      </c>
      <c r="O1827" t="s">
        <v>28</v>
      </c>
      <c r="P1827">
        <v>8</v>
      </c>
      <c r="Q1827">
        <v>275059.33</v>
      </c>
    </row>
    <row r="1828" spans="1:17" x14ac:dyDescent="0.3">
      <c r="A1828" t="s">
        <v>4406</v>
      </c>
      <c r="B1828" t="s">
        <v>3842</v>
      </c>
      <c r="C1828" s="2" t="str">
        <f>PROPER(TRIM(Table1[[#This Row],[Gender]]))</f>
        <v>Female</v>
      </c>
      <c r="D1828" t="s">
        <v>43</v>
      </c>
      <c r="E1828">
        <v>34</v>
      </c>
      <c r="F1828" t="s">
        <v>31</v>
      </c>
      <c r="G1828" s="1">
        <v>33248</v>
      </c>
      <c r="H1828" t="s">
        <v>4407</v>
      </c>
      <c r="I1828" s="2" t="str">
        <f t="shared" si="28"/>
        <v>+91-7712096054</v>
      </c>
      <c r="J1828">
        <f>91-7712096145</f>
        <v>-7712096054</v>
      </c>
      <c r="K1828" t="s">
        <v>101</v>
      </c>
      <c r="L1828" t="s">
        <v>102</v>
      </c>
      <c r="M1828">
        <v>437342</v>
      </c>
      <c r="N1828" s="1">
        <v>45142</v>
      </c>
      <c r="O1828" t="s">
        <v>28</v>
      </c>
      <c r="P1828">
        <v>4</v>
      </c>
      <c r="Q1828">
        <v>69194.97</v>
      </c>
    </row>
    <row r="1829" spans="1:17" x14ac:dyDescent="0.3">
      <c r="A1829" t="s">
        <v>4408</v>
      </c>
      <c r="B1829" t="s">
        <v>2871</v>
      </c>
      <c r="C1829" s="2" t="str">
        <f>PROPER(TRIM(Table1[[#This Row],[Gender]]))</f>
        <v>Male</v>
      </c>
      <c r="D1829" t="s">
        <v>16</v>
      </c>
      <c r="E1829">
        <v>48</v>
      </c>
      <c r="F1829" t="s">
        <v>17</v>
      </c>
      <c r="G1829" s="1">
        <v>28138</v>
      </c>
      <c r="H1829" t="s">
        <v>4409</v>
      </c>
      <c r="I1829" s="2" t="str">
        <f t="shared" si="28"/>
        <v>+91-8484898959</v>
      </c>
      <c r="J1829">
        <f>91-8484899050</f>
        <v>-8484898959</v>
      </c>
      <c r="K1829" t="s">
        <v>239</v>
      </c>
      <c r="L1829" t="s">
        <v>191</v>
      </c>
      <c r="M1829">
        <v>446246</v>
      </c>
      <c r="N1829" s="1">
        <v>45220</v>
      </c>
      <c r="O1829" t="s">
        <v>28</v>
      </c>
      <c r="P1829">
        <v>8</v>
      </c>
      <c r="Q1829">
        <v>60744.68</v>
      </c>
    </row>
    <row r="1830" spans="1:17" x14ac:dyDescent="0.3">
      <c r="A1830" t="s">
        <v>4410</v>
      </c>
      <c r="B1830" t="s">
        <v>915</v>
      </c>
      <c r="C1830" s="2" t="str">
        <f>PROPER(TRIM(Table1[[#This Row],[Gender]]))</f>
        <v>Male</v>
      </c>
      <c r="D1830" t="s">
        <v>16</v>
      </c>
      <c r="E1830">
        <v>35</v>
      </c>
      <c r="F1830" t="s">
        <v>31</v>
      </c>
      <c r="G1830" s="1">
        <v>32883</v>
      </c>
      <c r="H1830" t="s">
        <v>4411</v>
      </c>
      <c r="I1830" s="2" t="str">
        <f t="shared" si="28"/>
        <v>+91-7779557085</v>
      </c>
      <c r="J1830">
        <f>91-7779557176</f>
        <v>-7779557085</v>
      </c>
      <c r="K1830" t="s">
        <v>80</v>
      </c>
      <c r="L1830" t="s">
        <v>20</v>
      </c>
      <c r="M1830">
        <v>622849</v>
      </c>
      <c r="N1830" s="1">
        <v>45354</v>
      </c>
      <c r="O1830" t="s">
        <v>28</v>
      </c>
      <c r="P1830">
        <v>9</v>
      </c>
      <c r="Q1830">
        <v>201131.32</v>
      </c>
    </row>
    <row r="1831" spans="1:17" x14ac:dyDescent="0.3">
      <c r="A1831" t="s">
        <v>4412</v>
      </c>
      <c r="B1831" t="s">
        <v>4413</v>
      </c>
      <c r="C1831" s="2" t="str">
        <f>PROPER(TRIM(Table1[[#This Row],[Gender]]))</f>
        <v>Male</v>
      </c>
      <c r="D1831" t="s">
        <v>16</v>
      </c>
      <c r="E1831">
        <v>39</v>
      </c>
      <c r="F1831" t="s">
        <v>38</v>
      </c>
      <c r="G1831" s="1">
        <v>31423</v>
      </c>
      <c r="H1831" t="s">
        <v>4414</v>
      </c>
      <c r="I1831" s="2" t="str">
        <f t="shared" si="28"/>
        <v>+91-9980792531</v>
      </c>
      <c r="J1831">
        <f>91-9980792622</f>
        <v>-9980792531</v>
      </c>
      <c r="K1831" t="s">
        <v>190</v>
      </c>
      <c r="L1831" t="s">
        <v>191</v>
      </c>
      <c r="M1831">
        <v>557510</v>
      </c>
      <c r="N1831" s="1">
        <v>45305</v>
      </c>
      <c r="O1831" t="s">
        <v>28</v>
      </c>
      <c r="P1831">
        <v>5</v>
      </c>
      <c r="Q1831">
        <v>89390.53</v>
      </c>
    </row>
    <row r="1832" spans="1:17" x14ac:dyDescent="0.3">
      <c r="A1832" t="s">
        <v>4415</v>
      </c>
      <c r="B1832" t="s">
        <v>546</v>
      </c>
      <c r="C1832" s="2" t="str">
        <f>PROPER(TRIM(Table1[[#This Row],[Gender]]))</f>
        <v>Female</v>
      </c>
      <c r="D1832" t="s">
        <v>43</v>
      </c>
      <c r="E1832">
        <v>21</v>
      </c>
      <c r="F1832" t="s">
        <v>49</v>
      </c>
      <c r="G1832" s="1">
        <v>37993</v>
      </c>
      <c r="H1832" t="s">
        <v>1031</v>
      </c>
      <c r="I1832" s="2" t="str">
        <f t="shared" si="28"/>
        <v>+91-9199938498</v>
      </c>
      <c r="J1832">
        <f>91-9199938589</f>
        <v>-9199938498</v>
      </c>
      <c r="K1832" t="s">
        <v>125</v>
      </c>
      <c r="L1832" t="s">
        <v>52</v>
      </c>
      <c r="M1832">
        <v>844268</v>
      </c>
      <c r="N1832" s="1">
        <v>45285</v>
      </c>
      <c r="O1832" t="s">
        <v>35</v>
      </c>
      <c r="P1832">
        <v>4</v>
      </c>
      <c r="Q1832">
        <v>10037.049999999999</v>
      </c>
    </row>
    <row r="1833" spans="1:17" x14ac:dyDescent="0.3">
      <c r="A1833" t="s">
        <v>4416</v>
      </c>
      <c r="B1833" t="s">
        <v>633</v>
      </c>
      <c r="C1833" s="2" t="str">
        <f>PROPER(TRIM(Table1[[#This Row],[Gender]]))</f>
        <v>Female</v>
      </c>
      <c r="D1833" t="s">
        <v>43</v>
      </c>
      <c r="E1833">
        <v>43</v>
      </c>
      <c r="F1833" t="s">
        <v>38</v>
      </c>
      <c r="G1833" s="1">
        <v>29963</v>
      </c>
      <c r="H1833" t="s">
        <v>4417</v>
      </c>
      <c r="I1833" s="2" t="str">
        <f t="shared" si="28"/>
        <v>+91-8299262288</v>
      </c>
      <c r="J1833">
        <f>91-8299262379</f>
        <v>-8299262288</v>
      </c>
      <c r="K1833" t="s">
        <v>147</v>
      </c>
      <c r="L1833" t="s">
        <v>143</v>
      </c>
      <c r="M1833">
        <v>368864</v>
      </c>
      <c r="N1833" s="1">
        <v>45179</v>
      </c>
      <c r="O1833" t="s">
        <v>21</v>
      </c>
      <c r="P1833">
        <v>2</v>
      </c>
      <c r="Q1833">
        <v>28824.63</v>
      </c>
    </row>
    <row r="1834" spans="1:17" x14ac:dyDescent="0.3">
      <c r="A1834" t="s">
        <v>4418</v>
      </c>
      <c r="B1834" t="s">
        <v>537</v>
      </c>
      <c r="C1834" s="2" t="str">
        <f>PROPER(TRIM(Table1[[#This Row],[Gender]]))</f>
        <v>Female</v>
      </c>
      <c r="D1834" t="s">
        <v>43</v>
      </c>
      <c r="E1834">
        <v>28</v>
      </c>
      <c r="F1834" t="s">
        <v>31</v>
      </c>
      <c r="G1834" s="1">
        <v>35438</v>
      </c>
      <c r="H1834" t="s">
        <v>4419</v>
      </c>
      <c r="I1834" s="2" t="str">
        <f t="shared" si="28"/>
        <v>+91-7972209514</v>
      </c>
      <c r="J1834">
        <f>91-7972209605</f>
        <v>-7972209514</v>
      </c>
      <c r="K1834" t="s">
        <v>19</v>
      </c>
      <c r="L1834" t="s">
        <v>20</v>
      </c>
      <c r="M1834">
        <v>253526</v>
      </c>
      <c r="N1834" s="1">
        <v>45433</v>
      </c>
      <c r="O1834" t="s">
        <v>28</v>
      </c>
      <c r="P1834">
        <v>6</v>
      </c>
      <c r="Q1834">
        <v>142927.07</v>
      </c>
    </row>
    <row r="1835" spans="1:17" x14ac:dyDescent="0.3">
      <c r="A1835" t="s">
        <v>4420</v>
      </c>
      <c r="B1835" t="s">
        <v>1051</v>
      </c>
      <c r="C1835" s="2" t="str">
        <f>PROPER(TRIM(Table1[[#This Row],[Gender]]))</f>
        <v>Male</v>
      </c>
      <c r="D1835" t="s">
        <v>16</v>
      </c>
      <c r="E1835">
        <v>30</v>
      </c>
      <c r="F1835" t="s">
        <v>31</v>
      </c>
      <c r="G1835" s="1">
        <v>34708</v>
      </c>
      <c r="H1835" t="s">
        <v>4421</v>
      </c>
      <c r="I1835" s="2" t="str">
        <f t="shared" si="28"/>
        <v>+91-9307712301</v>
      </c>
      <c r="J1835">
        <f>91-9307712392</f>
        <v>-9307712301</v>
      </c>
      <c r="K1835" t="s">
        <v>68</v>
      </c>
      <c r="L1835" t="s">
        <v>52</v>
      </c>
      <c r="M1835">
        <v>126673</v>
      </c>
      <c r="N1835" s="1">
        <v>45150</v>
      </c>
      <c r="O1835" t="s">
        <v>28</v>
      </c>
      <c r="P1835">
        <v>6</v>
      </c>
      <c r="Q1835">
        <v>84909.71</v>
      </c>
    </row>
    <row r="1836" spans="1:17" x14ac:dyDescent="0.3">
      <c r="A1836" t="s">
        <v>4422</v>
      </c>
      <c r="B1836" t="s">
        <v>4423</v>
      </c>
      <c r="C1836" s="2" t="str">
        <f>PROPER(TRIM(Table1[[#This Row],[Gender]]))</f>
        <v>Male</v>
      </c>
      <c r="D1836" t="s">
        <v>16</v>
      </c>
      <c r="E1836">
        <v>26</v>
      </c>
      <c r="F1836" t="s">
        <v>31</v>
      </c>
      <c r="G1836" s="1">
        <v>36168</v>
      </c>
      <c r="H1836" t="s">
        <v>4424</v>
      </c>
      <c r="I1836" s="2" t="str">
        <f t="shared" si="28"/>
        <v>+91-8833824439</v>
      </c>
      <c r="J1836">
        <f>91-8833824530</f>
        <v>-8833824439</v>
      </c>
      <c r="K1836" t="s">
        <v>76</v>
      </c>
      <c r="L1836" t="s">
        <v>46</v>
      </c>
      <c r="M1836">
        <v>602743</v>
      </c>
      <c r="N1836" s="1">
        <v>45248</v>
      </c>
      <c r="O1836" t="s">
        <v>28</v>
      </c>
      <c r="P1836">
        <v>5</v>
      </c>
      <c r="Q1836">
        <v>84215.679999999993</v>
      </c>
    </row>
    <row r="1837" spans="1:17" x14ac:dyDescent="0.3">
      <c r="A1837" t="s">
        <v>4425</v>
      </c>
      <c r="B1837" t="s">
        <v>2372</v>
      </c>
      <c r="C1837" s="2" t="str">
        <f>PROPER(TRIM(Table1[[#This Row],[Gender]]))</f>
        <v>Female</v>
      </c>
      <c r="D1837" t="s">
        <v>43</v>
      </c>
      <c r="E1837">
        <v>32</v>
      </c>
      <c r="F1837" t="s">
        <v>31</v>
      </c>
      <c r="G1837" s="1">
        <v>33978</v>
      </c>
      <c r="H1837" t="s">
        <v>4426</v>
      </c>
      <c r="I1837" s="2" t="str">
        <f t="shared" si="28"/>
        <v>+91-7838453563</v>
      </c>
      <c r="J1837">
        <f>91-7838453654</f>
        <v>-7838453563</v>
      </c>
      <c r="K1837" t="s">
        <v>76</v>
      </c>
      <c r="L1837" t="s">
        <v>46</v>
      </c>
      <c r="M1837">
        <v>945933</v>
      </c>
      <c r="N1837" s="1">
        <v>45401</v>
      </c>
      <c r="O1837" t="s">
        <v>28</v>
      </c>
      <c r="P1837">
        <v>4</v>
      </c>
      <c r="Q1837">
        <v>84977.54</v>
      </c>
    </row>
    <row r="1838" spans="1:17" x14ac:dyDescent="0.3">
      <c r="A1838" t="s">
        <v>4427</v>
      </c>
      <c r="B1838" t="s">
        <v>1926</v>
      </c>
      <c r="C1838" s="2" t="str">
        <f>PROPER(TRIM(Table1[[#This Row],[Gender]]))</f>
        <v>Female</v>
      </c>
      <c r="D1838" t="s">
        <v>43</v>
      </c>
      <c r="E1838">
        <v>61</v>
      </c>
      <c r="F1838" t="s">
        <v>58</v>
      </c>
      <c r="G1838" s="1">
        <v>23393</v>
      </c>
      <c r="H1838" t="s">
        <v>4428</v>
      </c>
      <c r="I1838" s="2" t="str">
        <f t="shared" si="28"/>
        <v>+91-7796122385</v>
      </c>
      <c r="J1838">
        <f>91-7796122476</f>
        <v>-7796122385</v>
      </c>
      <c r="K1838" t="s">
        <v>273</v>
      </c>
      <c r="L1838" t="s">
        <v>46</v>
      </c>
      <c r="M1838">
        <v>154819</v>
      </c>
      <c r="N1838" s="1">
        <v>45228</v>
      </c>
      <c r="O1838" t="s">
        <v>28</v>
      </c>
      <c r="P1838">
        <v>2</v>
      </c>
      <c r="Q1838">
        <v>66378.149999999994</v>
      </c>
    </row>
    <row r="1839" spans="1:17" x14ac:dyDescent="0.3">
      <c r="A1839" t="s">
        <v>4429</v>
      </c>
      <c r="B1839" t="s">
        <v>839</v>
      </c>
      <c r="C1839" s="2" t="str">
        <f>PROPER(TRIM(Table1[[#This Row],[Gender]]))</f>
        <v>Male</v>
      </c>
      <c r="D1839" t="s">
        <v>16</v>
      </c>
      <c r="E1839">
        <v>31</v>
      </c>
      <c r="F1839" t="s">
        <v>31</v>
      </c>
      <c r="G1839" s="1">
        <v>34343</v>
      </c>
      <c r="H1839" t="s">
        <v>4430</v>
      </c>
      <c r="I1839" s="2" t="str">
        <f t="shared" si="28"/>
        <v>+91-7612863882</v>
      </c>
      <c r="J1839">
        <f>91-7612863973</f>
        <v>-7612863882</v>
      </c>
      <c r="K1839" t="s">
        <v>113</v>
      </c>
      <c r="L1839" t="s">
        <v>34</v>
      </c>
      <c r="M1839">
        <v>752976</v>
      </c>
      <c r="N1839" s="1">
        <v>45136</v>
      </c>
      <c r="O1839" t="s">
        <v>28</v>
      </c>
      <c r="P1839">
        <v>3</v>
      </c>
      <c r="Q1839">
        <v>136961.87</v>
      </c>
    </row>
    <row r="1840" spans="1:17" x14ac:dyDescent="0.3">
      <c r="A1840" t="s">
        <v>4431</v>
      </c>
      <c r="B1840" t="s">
        <v>140</v>
      </c>
      <c r="C1840" s="2" t="str">
        <f>PROPER(TRIM(Table1[[#This Row],[Gender]]))</f>
        <v>Female</v>
      </c>
      <c r="D1840" t="s">
        <v>43</v>
      </c>
      <c r="E1840">
        <v>24</v>
      </c>
      <c r="F1840" t="s">
        <v>49</v>
      </c>
      <c r="G1840" s="1">
        <v>36898</v>
      </c>
      <c r="H1840" t="s">
        <v>4432</v>
      </c>
      <c r="I1840" s="2" t="str">
        <f t="shared" si="28"/>
        <v>+91-7717630911</v>
      </c>
      <c r="J1840">
        <f>91-7717631002</f>
        <v>-7717630911</v>
      </c>
      <c r="K1840" t="s">
        <v>249</v>
      </c>
      <c r="L1840" t="s">
        <v>34</v>
      </c>
      <c r="M1840">
        <v>238414</v>
      </c>
      <c r="N1840" s="1">
        <v>45268</v>
      </c>
      <c r="O1840" t="s">
        <v>28</v>
      </c>
      <c r="P1840">
        <v>7</v>
      </c>
      <c r="Q1840">
        <v>161958.47</v>
      </c>
    </row>
    <row r="1841" spans="1:17" x14ac:dyDescent="0.3">
      <c r="A1841" t="s">
        <v>4433</v>
      </c>
      <c r="B1841" t="s">
        <v>2410</v>
      </c>
      <c r="C1841" s="2" t="str">
        <f>PROPER(TRIM(Table1[[#This Row],[Gender]]))</f>
        <v>Female</v>
      </c>
      <c r="D1841" t="s">
        <v>43</v>
      </c>
      <c r="E1841">
        <v>25</v>
      </c>
      <c r="F1841" t="s">
        <v>49</v>
      </c>
      <c r="G1841" s="1">
        <v>36533</v>
      </c>
      <c r="H1841" t="s">
        <v>3733</v>
      </c>
      <c r="I1841" s="2" t="str">
        <f t="shared" si="28"/>
        <v>+91-7304827544</v>
      </c>
      <c r="J1841">
        <f>91-7304827635</f>
        <v>-7304827544</v>
      </c>
      <c r="K1841" t="s">
        <v>249</v>
      </c>
      <c r="L1841" t="s">
        <v>34</v>
      </c>
      <c r="M1841">
        <v>208629</v>
      </c>
      <c r="N1841" s="1">
        <v>45328</v>
      </c>
      <c r="O1841" t="s">
        <v>28</v>
      </c>
      <c r="P1841">
        <v>4</v>
      </c>
      <c r="Q1841">
        <v>180256.23</v>
      </c>
    </row>
    <row r="1842" spans="1:17" x14ac:dyDescent="0.3">
      <c r="A1842" t="s">
        <v>4434</v>
      </c>
      <c r="B1842" t="s">
        <v>1929</v>
      </c>
      <c r="C1842" s="2" t="str">
        <f>PROPER(TRIM(Table1[[#This Row],[Gender]]))</f>
        <v>Female</v>
      </c>
      <c r="D1842" t="s">
        <v>43</v>
      </c>
      <c r="E1842">
        <v>28</v>
      </c>
      <c r="F1842" t="s">
        <v>31</v>
      </c>
      <c r="G1842" s="1">
        <v>35438</v>
      </c>
      <c r="H1842" t="s">
        <v>4435</v>
      </c>
      <c r="I1842" s="2" t="str">
        <f t="shared" si="28"/>
        <v>+91-9069767947</v>
      </c>
      <c r="J1842">
        <f>91-9069768038</f>
        <v>-9069767947</v>
      </c>
      <c r="K1842" t="s">
        <v>89</v>
      </c>
      <c r="L1842" t="s">
        <v>90</v>
      </c>
      <c r="M1842">
        <v>577147</v>
      </c>
      <c r="N1842" s="1">
        <v>45155</v>
      </c>
      <c r="O1842" t="s">
        <v>28</v>
      </c>
      <c r="P1842">
        <v>7</v>
      </c>
      <c r="Q1842">
        <v>368921.21</v>
      </c>
    </row>
    <row r="1843" spans="1:17" x14ac:dyDescent="0.3">
      <c r="A1843" t="s">
        <v>4436</v>
      </c>
      <c r="B1843" t="s">
        <v>23</v>
      </c>
      <c r="C1843" s="2" t="str">
        <f>PROPER(TRIM(Table1[[#This Row],[Gender]]))</f>
        <v>Male</v>
      </c>
      <c r="D1843" t="s">
        <v>16</v>
      </c>
      <c r="E1843">
        <v>53</v>
      </c>
      <c r="F1843" t="s">
        <v>17</v>
      </c>
      <c r="G1843" s="1">
        <v>26313</v>
      </c>
      <c r="H1843" t="s">
        <v>4437</v>
      </c>
      <c r="I1843" s="2" t="str">
        <f t="shared" si="28"/>
        <v>+91-7247788419</v>
      </c>
      <c r="J1843">
        <f>91-7247788510</f>
        <v>-7247788419</v>
      </c>
      <c r="K1843" t="s">
        <v>147</v>
      </c>
      <c r="L1843" t="s">
        <v>143</v>
      </c>
      <c r="M1843">
        <v>464727</v>
      </c>
      <c r="N1843" s="1">
        <v>45092</v>
      </c>
      <c r="O1843" t="s">
        <v>28</v>
      </c>
      <c r="P1843">
        <v>5</v>
      </c>
      <c r="Q1843">
        <v>58355.31</v>
      </c>
    </row>
    <row r="1844" spans="1:17" x14ac:dyDescent="0.3">
      <c r="A1844" t="s">
        <v>4438</v>
      </c>
      <c r="B1844" t="s">
        <v>4439</v>
      </c>
      <c r="C1844" s="2" t="str">
        <f>PROPER(TRIM(Table1[[#This Row],[Gender]]))</f>
        <v>Male</v>
      </c>
      <c r="D1844" t="s">
        <v>16</v>
      </c>
      <c r="E1844">
        <v>32</v>
      </c>
      <c r="F1844" t="s">
        <v>31</v>
      </c>
      <c r="G1844" s="1">
        <v>33978</v>
      </c>
      <c r="H1844" t="s">
        <v>4440</v>
      </c>
      <c r="I1844" s="2" t="str">
        <f t="shared" si="28"/>
        <v>+91-9875864541</v>
      </c>
      <c r="J1844">
        <f>91-9875864632</f>
        <v>-9875864541</v>
      </c>
      <c r="K1844" t="s">
        <v>138</v>
      </c>
      <c r="L1844" t="s">
        <v>90</v>
      </c>
      <c r="M1844">
        <v>873981</v>
      </c>
      <c r="N1844" s="1">
        <v>45196</v>
      </c>
      <c r="O1844" t="s">
        <v>28</v>
      </c>
      <c r="P1844">
        <v>3</v>
      </c>
      <c r="Q1844">
        <v>62273.56</v>
      </c>
    </row>
    <row r="1845" spans="1:17" x14ac:dyDescent="0.3">
      <c r="A1845" t="s">
        <v>4441</v>
      </c>
      <c r="B1845" t="s">
        <v>222</v>
      </c>
      <c r="C1845" s="2" t="str">
        <f>PROPER(TRIM(Table1[[#This Row],[Gender]]))</f>
        <v>Female</v>
      </c>
      <c r="D1845" t="s">
        <v>43</v>
      </c>
      <c r="E1845">
        <v>55</v>
      </c>
      <c r="F1845" t="s">
        <v>17</v>
      </c>
      <c r="G1845" s="1">
        <v>25583</v>
      </c>
      <c r="H1845" t="s">
        <v>4442</v>
      </c>
      <c r="I1845" s="2" t="str">
        <f t="shared" si="28"/>
        <v>+91-8500046943</v>
      </c>
      <c r="J1845">
        <f>91-8500047034</f>
        <v>-8500046943</v>
      </c>
      <c r="K1845" t="s">
        <v>138</v>
      </c>
      <c r="L1845" t="s">
        <v>90</v>
      </c>
      <c r="M1845">
        <v>807515</v>
      </c>
      <c r="N1845" s="1">
        <v>45163</v>
      </c>
      <c r="O1845" t="s">
        <v>35</v>
      </c>
      <c r="P1845">
        <v>4</v>
      </c>
      <c r="Q1845">
        <v>10053.93</v>
      </c>
    </row>
    <row r="1846" spans="1:17" x14ac:dyDescent="0.3">
      <c r="A1846" t="s">
        <v>4443</v>
      </c>
      <c r="B1846" t="s">
        <v>3255</v>
      </c>
      <c r="C1846" s="2" t="str">
        <f>PROPER(TRIM(Table1[[#This Row],[Gender]]))</f>
        <v>Female</v>
      </c>
      <c r="D1846" t="s">
        <v>43</v>
      </c>
      <c r="E1846">
        <v>27</v>
      </c>
      <c r="F1846" t="s">
        <v>31</v>
      </c>
      <c r="G1846" s="1">
        <v>35803</v>
      </c>
      <c r="H1846" t="s">
        <v>4444</v>
      </c>
      <c r="I1846" s="2" t="str">
        <f t="shared" si="28"/>
        <v>+91-7207018439</v>
      </c>
      <c r="J1846">
        <f>91-7207018530</f>
        <v>-7207018439</v>
      </c>
      <c r="K1846" t="s">
        <v>174</v>
      </c>
      <c r="L1846" t="s">
        <v>90</v>
      </c>
      <c r="M1846">
        <v>901489</v>
      </c>
      <c r="N1846" s="1">
        <v>45168</v>
      </c>
      <c r="O1846" t="s">
        <v>21</v>
      </c>
      <c r="P1846">
        <v>4</v>
      </c>
      <c r="Q1846">
        <v>43272.03</v>
      </c>
    </row>
    <row r="1847" spans="1:17" x14ac:dyDescent="0.3">
      <c r="A1847" t="s">
        <v>4445</v>
      </c>
      <c r="B1847" t="s">
        <v>2948</v>
      </c>
      <c r="C1847" s="2" t="str">
        <f>PROPER(TRIM(Table1[[#This Row],[Gender]]))</f>
        <v>Male</v>
      </c>
      <c r="D1847" t="s">
        <v>16</v>
      </c>
      <c r="E1847">
        <v>35</v>
      </c>
      <c r="F1847" t="s">
        <v>31</v>
      </c>
      <c r="G1847" s="1">
        <v>32883</v>
      </c>
      <c r="H1847" t="s">
        <v>4446</v>
      </c>
      <c r="I1847" s="2" t="str">
        <f t="shared" si="28"/>
        <v>+91-8898867490</v>
      </c>
      <c r="J1847">
        <f>91-8898867581</f>
        <v>-8898867490</v>
      </c>
      <c r="K1847" t="s">
        <v>68</v>
      </c>
      <c r="L1847" t="s">
        <v>52</v>
      </c>
      <c r="M1847">
        <v>991022</v>
      </c>
      <c r="N1847" s="1">
        <v>45278</v>
      </c>
      <c r="O1847" t="s">
        <v>28</v>
      </c>
      <c r="P1847">
        <v>5</v>
      </c>
      <c r="Q1847">
        <v>251168.74</v>
      </c>
    </row>
    <row r="1848" spans="1:17" x14ac:dyDescent="0.3">
      <c r="A1848" t="s">
        <v>4447</v>
      </c>
      <c r="B1848" t="s">
        <v>2213</v>
      </c>
      <c r="C1848" s="2" t="str">
        <f>PROPER(TRIM(Table1[[#This Row],[Gender]]))</f>
        <v>Male</v>
      </c>
      <c r="D1848" t="s">
        <v>16</v>
      </c>
      <c r="E1848">
        <v>48</v>
      </c>
      <c r="F1848" t="s">
        <v>17</v>
      </c>
      <c r="G1848" s="1">
        <v>28138</v>
      </c>
      <c r="H1848" t="s">
        <v>4448</v>
      </c>
      <c r="I1848" s="2" t="str">
        <f t="shared" si="28"/>
        <v>+91-8431416988</v>
      </c>
      <c r="J1848">
        <f>91-8431417079</f>
        <v>-8431416988</v>
      </c>
      <c r="K1848" t="s">
        <v>33</v>
      </c>
      <c r="L1848" t="s">
        <v>34</v>
      </c>
      <c r="M1848">
        <v>674181</v>
      </c>
      <c r="N1848" s="1">
        <v>45149</v>
      </c>
      <c r="O1848" t="s">
        <v>28</v>
      </c>
      <c r="P1848">
        <v>5</v>
      </c>
      <c r="Q1848">
        <v>120557.31</v>
      </c>
    </row>
    <row r="1849" spans="1:17" x14ac:dyDescent="0.3">
      <c r="A1849" t="s">
        <v>4449</v>
      </c>
      <c r="B1849" t="s">
        <v>4450</v>
      </c>
      <c r="C1849" s="2" t="str">
        <f>PROPER(TRIM(Table1[[#This Row],[Gender]]))</f>
        <v>Male</v>
      </c>
      <c r="D1849" t="s">
        <v>16</v>
      </c>
      <c r="E1849">
        <v>28</v>
      </c>
      <c r="F1849" t="s">
        <v>31</v>
      </c>
      <c r="G1849" s="1">
        <v>35438</v>
      </c>
      <c r="H1849" t="s">
        <v>4451</v>
      </c>
      <c r="I1849" s="2" t="str">
        <f t="shared" si="28"/>
        <v>+91-8978922573</v>
      </c>
      <c r="J1849">
        <f>91-8978922664</f>
        <v>-8978922573</v>
      </c>
      <c r="K1849" t="s">
        <v>174</v>
      </c>
      <c r="L1849" t="s">
        <v>90</v>
      </c>
      <c r="M1849">
        <v>493506</v>
      </c>
      <c r="N1849" s="1">
        <v>45241</v>
      </c>
      <c r="O1849" t="s">
        <v>28</v>
      </c>
      <c r="P1849">
        <v>6</v>
      </c>
      <c r="Q1849">
        <v>286728.61</v>
      </c>
    </row>
    <row r="1850" spans="1:17" x14ac:dyDescent="0.3">
      <c r="A1850" t="s">
        <v>4452</v>
      </c>
      <c r="B1850" t="s">
        <v>4453</v>
      </c>
      <c r="C1850" s="2" t="str">
        <f>PROPER(TRIM(Table1[[#This Row],[Gender]]))</f>
        <v>Male</v>
      </c>
      <c r="D1850" t="s">
        <v>16</v>
      </c>
      <c r="E1850">
        <v>35</v>
      </c>
      <c r="F1850" t="s">
        <v>31</v>
      </c>
      <c r="G1850" s="1">
        <v>32883</v>
      </c>
      <c r="H1850" t="s">
        <v>4454</v>
      </c>
      <c r="I1850" s="2" t="str">
        <f t="shared" si="28"/>
        <v>+91-9374172399</v>
      </c>
      <c r="J1850">
        <f>91-9374172490</f>
        <v>-9374172399</v>
      </c>
      <c r="K1850" t="s">
        <v>147</v>
      </c>
      <c r="L1850" t="s">
        <v>143</v>
      </c>
      <c r="M1850">
        <v>134344</v>
      </c>
      <c r="N1850" s="1">
        <v>45438</v>
      </c>
      <c r="O1850" t="s">
        <v>28</v>
      </c>
      <c r="P1850">
        <v>5</v>
      </c>
      <c r="Q1850">
        <v>133734.96</v>
      </c>
    </row>
    <row r="1851" spans="1:17" x14ac:dyDescent="0.3">
      <c r="A1851" t="s">
        <v>4455</v>
      </c>
      <c r="B1851" t="s">
        <v>1694</v>
      </c>
      <c r="C1851" s="2" t="str">
        <f>PROPER(TRIM(Table1[[#This Row],[Gender]]))</f>
        <v>Female</v>
      </c>
      <c r="D1851" t="s">
        <v>43</v>
      </c>
      <c r="E1851">
        <v>23</v>
      </c>
      <c r="F1851" t="s">
        <v>49</v>
      </c>
      <c r="G1851" s="1">
        <v>37263</v>
      </c>
      <c r="H1851" t="s">
        <v>4456</v>
      </c>
      <c r="I1851" s="2" t="str">
        <f t="shared" si="28"/>
        <v>+91-7033802448</v>
      </c>
      <c r="J1851">
        <f>91-7033802539</f>
        <v>-7033802448</v>
      </c>
      <c r="K1851" t="s">
        <v>154</v>
      </c>
      <c r="L1851" t="s">
        <v>46</v>
      </c>
      <c r="M1851">
        <v>292463</v>
      </c>
      <c r="N1851" s="1">
        <v>45230</v>
      </c>
      <c r="O1851" t="s">
        <v>21</v>
      </c>
      <c r="P1851">
        <v>6</v>
      </c>
      <c r="Q1851">
        <v>22010.39</v>
      </c>
    </row>
    <row r="1852" spans="1:17" x14ac:dyDescent="0.3">
      <c r="A1852" t="s">
        <v>4457</v>
      </c>
      <c r="B1852" t="s">
        <v>244</v>
      </c>
      <c r="C1852" s="2" t="str">
        <f>PROPER(TRIM(Table1[[#This Row],[Gender]]))</f>
        <v>Male</v>
      </c>
      <c r="D1852" t="s">
        <v>16</v>
      </c>
      <c r="E1852">
        <v>60</v>
      </c>
      <c r="F1852" t="s">
        <v>58</v>
      </c>
      <c r="G1852" s="1">
        <v>23758</v>
      </c>
      <c r="H1852" t="s">
        <v>4458</v>
      </c>
      <c r="I1852" s="2" t="str">
        <f t="shared" si="28"/>
        <v>+91-8146448062</v>
      </c>
      <c r="J1852">
        <f>91-8146448153</f>
        <v>-8146448062</v>
      </c>
      <c r="K1852" t="s">
        <v>202</v>
      </c>
      <c r="L1852" t="s">
        <v>191</v>
      </c>
      <c r="M1852">
        <v>413014</v>
      </c>
      <c r="N1852" s="1">
        <v>45150</v>
      </c>
      <c r="O1852" t="s">
        <v>28</v>
      </c>
      <c r="P1852">
        <v>6</v>
      </c>
      <c r="Q1852">
        <v>148183.99</v>
      </c>
    </row>
    <row r="1853" spans="1:17" x14ac:dyDescent="0.3">
      <c r="A1853" t="s">
        <v>4459</v>
      </c>
      <c r="B1853" t="s">
        <v>3477</v>
      </c>
      <c r="C1853" s="2" t="str">
        <f>PROPER(TRIM(Table1[[#This Row],[Gender]]))</f>
        <v>Female</v>
      </c>
      <c r="D1853" t="s">
        <v>43</v>
      </c>
      <c r="E1853">
        <v>68</v>
      </c>
      <c r="F1853" t="s">
        <v>24</v>
      </c>
      <c r="G1853" s="1">
        <v>20838</v>
      </c>
      <c r="H1853" t="s">
        <v>4460</v>
      </c>
      <c r="I1853" s="2" t="str">
        <f t="shared" si="28"/>
        <v>+91-9074015201</v>
      </c>
      <c r="J1853">
        <f>91-9074015292</f>
        <v>-9074015201</v>
      </c>
      <c r="K1853" t="s">
        <v>64</v>
      </c>
      <c r="L1853" t="s">
        <v>20</v>
      </c>
      <c r="M1853">
        <v>843303</v>
      </c>
      <c r="N1853" s="1">
        <v>45366</v>
      </c>
      <c r="O1853" t="s">
        <v>28</v>
      </c>
      <c r="P1853">
        <v>7</v>
      </c>
      <c r="Q1853">
        <v>97983.46</v>
      </c>
    </row>
    <row r="1854" spans="1:17" x14ac:dyDescent="0.3">
      <c r="A1854" t="s">
        <v>4461</v>
      </c>
      <c r="B1854" t="s">
        <v>4462</v>
      </c>
      <c r="C1854" s="2" t="str">
        <f>PROPER(TRIM(Table1[[#This Row],[Gender]]))</f>
        <v>Male</v>
      </c>
      <c r="D1854" t="s">
        <v>16</v>
      </c>
      <c r="E1854">
        <v>34</v>
      </c>
      <c r="F1854" t="s">
        <v>31</v>
      </c>
      <c r="G1854" s="1">
        <v>33248</v>
      </c>
      <c r="H1854" t="s">
        <v>4463</v>
      </c>
      <c r="I1854" s="2" t="str">
        <f t="shared" si="28"/>
        <v>+91-9421863293</v>
      </c>
      <c r="J1854">
        <f>91-9421863384</f>
        <v>-9421863293</v>
      </c>
      <c r="K1854" t="s">
        <v>161</v>
      </c>
      <c r="L1854" t="s">
        <v>102</v>
      </c>
      <c r="M1854">
        <v>736586</v>
      </c>
      <c r="N1854" s="1">
        <v>45330</v>
      </c>
      <c r="O1854" t="s">
        <v>28</v>
      </c>
      <c r="P1854">
        <v>7</v>
      </c>
      <c r="Q1854">
        <v>91259.51</v>
      </c>
    </row>
    <row r="1855" spans="1:17" x14ac:dyDescent="0.3">
      <c r="A1855" t="s">
        <v>4464</v>
      </c>
      <c r="B1855" t="s">
        <v>295</v>
      </c>
      <c r="C1855" s="2" t="str">
        <f>PROPER(TRIM(Table1[[#This Row],[Gender]]))</f>
        <v>Male</v>
      </c>
      <c r="D1855" t="s">
        <v>16</v>
      </c>
      <c r="E1855">
        <v>46</v>
      </c>
      <c r="F1855" t="s">
        <v>17</v>
      </c>
      <c r="G1855" s="1">
        <v>28868</v>
      </c>
      <c r="H1855" t="s">
        <v>4465</v>
      </c>
      <c r="I1855" s="2" t="str">
        <f t="shared" si="28"/>
        <v>+91-9762961341</v>
      </c>
      <c r="J1855">
        <f>91-9762961432</f>
        <v>-9762961341</v>
      </c>
      <c r="K1855" t="s">
        <v>190</v>
      </c>
      <c r="L1855" t="s">
        <v>191</v>
      </c>
      <c r="M1855">
        <v>247832</v>
      </c>
      <c r="N1855" s="1">
        <v>45078</v>
      </c>
      <c r="O1855" t="s">
        <v>21</v>
      </c>
      <c r="P1855">
        <v>3</v>
      </c>
      <c r="Q1855">
        <v>24358.69</v>
      </c>
    </row>
    <row r="1856" spans="1:17" x14ac:dyDescent="0.3">
      <c r="A1856" t="s">
        <v>4466</v>
      </c>
      <c r="B1856" t="s">
        <v>1900</v>
      </c>
      <c r="C1856" s="2" t="str">
        <f>PROPER(TRIM(Table1[[#This Row],[Gender]]))</f>
        <v>Female</v>
      </c>
      <c r="D1856" t="s">
        <v>43</v>
      </c>
      <c r="E1856">
        <v>45</v>
      </c>
      <c r="F1856" t="s">
        <v>38</v>
      </c>
      <c r="G1856" s="1">
        <v>29233</v>
      </c>
      <c r="H1856" t="s">
        <v>4467</v>
      </c>
      <c r="I1856" s="2" t="str">
        <f t="shared" si="28"/>
        <v>+91-9540940426</v>
      </c>
      <c r="J1856">
        <f>91-9540940517</f>
        <v>-9540940426</v>
      </c>
      <c r="K1856" t="s">
        <v>45</v>
      </c>
      <c r="L1856" t="s">
        <v>46</v>
      </c>
      <c r="M1856">
        <v>471673</v>
      </c>
      <c r="N1856" s="1">
        <v>45350</v>
      </c>
      <c r="O1856" t="s">
        <v>28</v>
      </c>
      <c r="P1856">
        <v>7</v>
      </c>
      <c r="Q1856">
        <v>110693.91</v>
      </c>
    </row>
    <row r="1857" spans="1:17" x14ac:dyDescent="0.3">
      <c r="A1857" t="s">
        <v>4468</v>
      </c>
      <c r="B1857" t="s">
        <v>1248</v>
      </c>
      <c r="C1857" s="2" t="str">
        <f>PROPER(TRIM(Table1[[#This Row],[Gender]]))</f>
        <v>Female</v>
      </c>
      <c r="D1857" t="s">
        <v>43</v>
      </c>
      <c r="E1857">
        <v>34</v>
      </c>
      <c r="F1857" t="s">
        <v>31</v>
      </c>
      <c r="G1857" s="1">
        <v>33248</v>
      </c>
      <c r="H1857" t="s">
        <v>4469</v>
      </c>
      <c r="I1857" s="2" t="str">
        <f t="shared" si="28"/>
        <v>+91-8164466321</v>
      </c>
      <c r="J1857">
        <f>91-8164466412</f>
        <v>-8164466321</v>
      </c>
      <c r="K1857" t="s">
        <v>33</v>
      </c>
      <c r="L1857" t="s">
        <v>34</v>
      </c>
      <c r="M1857">
        <v>481952</v>
      </c>
      <c r="N1857" s="1">
        <v>45313</v>
      </c>
      <c r="O1857" t="s">
        <v>28</v>
      </c>
      <c r="P1857">
        <v>4</v>
      </c>
      <c r="Q1857">
        <v>87886.52</v>
      </c>
    </row>
    <row r="1858" spans="1:17" x14ac:dyDescent="0.3">
      <c r="A1858" t="s">
        <v>4470</v>
      </c>
      <c r="B1858" t="s">
        <v>4471</v>
      </c>
      <c r="C1858" s="2" t="str">
        <f>PROPER(TRIM(Table1[[#This Row],[Gender]]))</f>
        <v>Male</v>
      </c>
      <c r="D1858" t="s">
        <v>16</v>
      </c>
      <c r="E1858">
        <v>34</v>
      </c>
      <c r="F1858" t="s">
        <v>31</v>
      </c>
      <c r="G1858" s="1">
        <v>33248</v>
      </c>
      <c r="H1858" t="s">
        <v>4472</v>
      </c>
      <c r="I1858" s="2" t="str">
        <f t="shared" ref="I1858:I1921" si="29">"+91"&amp;TEXT(J1858,"0000000000")</f>
        <v>+91-7276856257</v>
      </c>
      <c r="J1858">
        <f>91-7276856348</f>
        <v>-7276856257</v>
      </c>
      <c r="K1858" t="s">
        <v>273</v>
      </c>
      <c r="L1858" t="s">
        <v>46</v>
      </c>
      <c r="M1858">
        <v>802396</v>
      </c>
      <c r="N1858" s="1">
        <v>45211</v>
      </c>
      <c r="O1858" t="s">
        <v>28</v>
      </c>
      <c r="P1858">
        <v>7</v>
      </c>
      <c r="Q1858">
        <v>325372.84999999998</v>
      </c>
    </row>
    <row r="1859" spans="1:17" x14ac:dyDescent="0.3">
      <c r="A1859" t="s">
        <v>4473</v>
      </c>
      <c r="B1859" t="s">
        <v>853</v>
      </c>
      <c r="C1859" s="2" t="str">
        <f>PROPER(TRIM(Table1[[#This Row],[Gender]]))</f>
        <v>Male</v>
      </c>
      <c r="D1859" t="s">
        <v>16</v>
      </c>
      <c r="E1859">
        <v>39</v>
      </c>
      <c r="F1859" t="s">
        <v>38</v>
      </c>
      <c r="G1859" s="1">
        <v>31423</v>
      </c>
      <c r="H1859" t="s">
        <v>4474</v>
      </c>
      <c r="I1859" s="2" t="str">
        <f t="shared" si="29"/>
        <v>+91-7681847798</v>
      </c>
      <c r="J1859">
        <f>91-7681847889</f>
        <v>-7681847798</v>
      </c>
      <c r="K1859" t="s">
        <v>80</v>
      </c>
      <c r="L1859" t="s">
        <v>20</v>
      </c>
      <c r="M1859">
        <v>688451</v>
      </c>
      <c r="N1859" s="1">
        <v>45311</v>
      </c>
      <c r="O1859" t="s">
        <v>28</v>
      </c>
      <c r="P1859">
        <v>4</v>
      </c>
      <c r="Q1859">
        <v>131505.20000000001</v>
      </c>
    </row>
    <row r="1860" spans="1:17" x14ac:dyDescent="0.3">
      <c r="A1860" t="s">
        <v>4475</v>
      </c>
      <c r="B1860" t="s">
        <v>4476</v>
      </c>
      <c r="C1860" s="2" t="str">
        <f>PROPER(TRIM(Table1[[#This Row],[Gender]]))</f>
        <v>Male</v>
      </c>
      <c r="D1860" t="s">
        <v>16</v>
      </c>
      <c r="E1860">
        <v>43</v>
      </c>
      <c r="F1860" t="s">
        <v>38</v>
      </c>
      <c r="G1860" s="1">
        <v>29963</v>
      </c>
      <c r="H1860" t="s">
        <v>4477</v>
      </c>
      <c r="I1860" s="2" t="str">
        <f t="shared" si="29"/>
        <v>+91-8621320641</v>
      </c>
      <c r="J1860">
        <f>91-8621320732</f>
        <v>-8621320641</v>
      </c>
      <c r="K1860" t="s">
        <v>68</v>
      </c>
      <c r="L1860" t="s">
        <v>52</v>
      </c>
      <c r="M1860">
        <v>788858</v>
      </c>
      <c r="N1860" s="1">
        <v>45144</v>
      </c>
      <c r="O1860" t="s">
        <v>28</v>
      </c>
      <c r="P1860">
        <v>5</v>
      </c>
      <c r="Q1860">
        <v>209378.54</v>
      </c>
    </row>
    <row r="1861" spans="1:17" x14ac:dyDescent="0.3">
      <c r="A1861" t="s">
        <v>4478</v>
      </c>
      <c r="B1861" t="s">
        <v>3549</v>
      </c>
      <c r="C1861" s="2" t="str">
        <f>PROPER(TRIM(Table1[[#This Row],[Gender]]))</f>
        <v>Female</v>
      </c>
      <c r="D1861" t="s">
        <v>43</v>
      </c>
      <c r="E1861">
        <v>75</v>
      </c>
      <c r="F1861" t="s">
        <v>24</v>
      </c>
      <c r="G1861" s="1">
        <v>18283</v>
      </c>
      <c r="H1861" t="s">
        <v>4479</v>
      </c>
      <c r="I1861" s="2" t="str">
        <f t="shared" si="29"/>
        <v>+91-8147087269</v>
      </c>
      <c r="J1861">
        <f>91-8147087360</f>
        <v>-8147087269</v>
      </c>
      <c r="K1861" t="s">
        <v>60</v>
      </c>
      <c r="L1861" t="s">
        <v>34</v>
      </c>
      <c r="M1861">
        <v>532468</v>
      </c>
      <c r="N1861" s="1">
        <v>45203</v>
      </c>
      <c r="O1861" t="s">
        <v>35</v>
      </c>
      <c r="P1861">
        <v>1</v>
      </c>
      <c r="Q1861">
        <v>1718.56</v>
      </c>
    </row>
    <row r="1862" spans="1:17" x14ac:dyDescent="0.3">
      <c r="A1862" t="s">
        <v>4480</v>
      </c>
      <c r="B1862" t="s">
        <v>1133</v>
      </c>
      <c r="C1862" s="2" t="str">
        <f>PROPER(TRIM(Table1[[#This Row],[Gender]]))</f>
        <v>Female</v>
      </c>
      <c r="D1862" t="s">
        <v>43</v>
      </c>
      <c r="E1862">
        <v>25</v>
      </c>
      <c r="F1862" t="s">
        <v>49</v>
      </c>
      <c r="G1862" s="1">
        <v>36533</v>
      </c>
      <c r="H1862" t="s">
        <v>4481</v>
      </c>
      <c r="I1862" s="2" t="str">
        <f t="shared" si="29"/>
        <v>+91-7548738844</v>
      </c>
      <c r="J1862">
        <f>91-7548738935</f>
        <v>-7548738844</v>
      </c>
      <c r="K1862" t="s">
        <v>64</v>
      </c>
      <c r="L1862" t="s">
        <v>20</v>
      </c>
      <c r="M1862">
        <v>148450</v>
      </c>
      <c r="N1862" s="1">
        <v>45359</v>
      </c>
      <c r="O1862" t="s">
        <v>28</v>
      </c>
      <c r="P1862">
        <v>4</v>
      </c>
      <c r="Q1862">
        <v>111198.51</v>
      </c>
    </row>
    <row r="1863" spans="1:17" x14ac:dyDescent="0.3">
      <c r="A1863" t="s">
        <v>4482</v>
      </c>
      <c r="B1863" t="s">
        <v>1701</v>
      </c>
      <c r="C1863" s="2" t="str">
        <f>PROPER(TRIM(Table1[[#This Row],[Gender]]))</f>
        <v>Male</v>
      </c>
      <c r="D1863" t="s">
        <v>16</v>
      </c>
      <c r="E1863">
        <v>44</v>
      </c>
      <c r="F1863" t="s">
        <v>38</v>
      </c>
      <c r="G1863" s="1">
        <v>29598</v>
      </c>
      <c r="H1863" t="s">
        <v>4483</v>
      </c>
      <c r="I1863" s="2" t="str">
        <f t="shared" si="29"/>
        <v>+91-9391807986</v>
      </c>
      <c r="J1863">
        <f>91-9391808077</f>
        <v>-9391807986</v>
      </c>
      <c r="K1863" t="s">
        <v>195</v>
      </c>
      <c r="L1863" t="s">
        <v>102</v>
      </c>
      <c r="M1863">
        <v>557191</v>
      </c>
      <c r="N1863" s="1">
        <v>45430</v>
      </c>
      <c r="O1863" t="s">
        <v>28</v>
      </c>
      <c r="P1863">
        <v>3</v>
      </c>
      <c r="Q1863">
        <v>68237.64</v>
      </c>
    </row>
    <row r="1864" spans="1:17" x14ac:dyDescent="0.3">
      <c r="A1864" t="s">
        <v>4484</v>
      </c>
      <c r="B1864" t="s">
        <v>1765</v>
      </c>
      <c r="C1864" s="2" t="str">
        <f>PROPER(TRIM(Table1[[#This Row],[Gender]]))</f>
        <v>Female</v>
      </c>
      <c r="D1864" t="s">
        <v>43</v>
      </c>
      <c r="E1864">
        <v>31</v>
      </c>
      <c r="F1864" t="s">
        <v>31</v>
      </c>
      <c r="G1864" s="1">
        <v>34343</v>
      </c>
      <c r="H1864" t="s">
        <v>4485</v>
      </c>
      <c r="I1864" s="2" t="str">
        <f t="shared" si="29"/>
        <v>+91-9243121666</v>
      </c>
      <c r="J1864">
        <f>91-9243121757</f>
        <v>-9243121666</v>
      </c>
      <c r="K1864" t="s">
        <v>117</v>
      </c>
      <c r="L1864" t="s">
        <v>52</v>
      </c>
      <c r="M1864">
        <v>143027</v>
      </c>
      <c r="N1864" s="1">
        <v>45080</v>
      </c>
      <c r="O1864" t="s">
        <v>28</v>
      </c>
      <c r="P1864">
        <v>2</v>
      </c>
      <c r="Q1864">
        <v>50527.09</v>
      </c>
    </row>
    <row r="1865" spans="1:17" x14ac:dyDescent="0.3">
      <c r="A1865" t="s">
        <v>4486</v>
      </c>
      <c r="B1865" t="s">
        <v>784</v>
      </c>
      <c r="C1865" s="2" t="str">
        <f>PROPER(TRIM(Table1[[#This Row],[Gender]]))</f>
        <v>Male</v>
      </c>
      <c r="D1865" t="s">
        <v>16</v>
      </c>
      <c r="E1865">
        <v>50</v>
      </c>
      <c r="F1865" t="s">
        <v>17</v>
      </c>
      <c r="G1865" s="1">
        <v>27408</v>
      </c>
      <c r="H1865" t="s">
        <v>4487</v>
      </c>
      <c r="I1865" s="2" t="str">
        <f t="shared" si="29"/>
        <v>+91-8884763107</v>
      </c>
      <c r="J1865">
        <f>91-8884763198</f>
        <v>-8884763107</v>
      </c>
      <c r="K1865" t="s">
        <v>19</v>
      </c>
      <c r="L1865" t="s">
        <v>20</v>
      </c>
      <c r="M1865">
        <v>377312</v>
      </c>
      <c r="N1865" s="1">
        <v>45259</v>
      </c>
      <c r="O1865" t="s">
        <v>21</v>
      </c>
      <c r="P1865">
        <v>4</v>
      </c>
      <c r="Q1865">
        <v>46017.13</v>
      </c>
    </row>
    <row r="1866" spans="1:17" x14ac:dyDescent="0.3">
      <c r="A1866" t="s">
        <v>4488</v>
      </c>
      <c r="B1866" t="s">
        <v>425</v>
      </c>
      <c r="C1866" s="2" t="str">
        <f>PROPER(TRIM(Table1[[#This Row],[Gender]]))</f>
        <v>Male</v>
      </c>
      <c r="D1866" t="s">
        <v>16</v>
      </c>
      <c r="E1866">
        <v>23</v>
      </c>
      <c r="F1866" t="s">
        <v>49</v>
      </c>
      <c r="G1866" s="1">
        <v>37263</v>
      </c>
      <c r="H1866" t="s">
        <v>4489</v>
      </c>
      <c r="I1866" s="2" t="str">
        <f t="shared" si="29"/>
        <v>+91-9435582130</v>
      </c>
      <c r="J1866">
        <f>91-9435582221</f>
        <v>-9435582130</v>
      </c>
      <c r="K1866" t="s">
        <v>80</v>
      </c>
      <c r="L1866" t="s">
        <v>20</v>
      </c>
      <c r="M1866">
        <v>773874</v>
      </c>
      <c r="N1866" s="1">
        <v>45122</v>
      </c>
      <c r="O1866" t="s">
        <v>28</v>
      </c>
      <c r="P1866">
        <v>8</v>
      </c>
      <c r="Q1866">
        <v>179954.28</v>
      </c>
    </row>
    <row r="1867" spans="1:17" x14ac:dyDescent="0.3">
      <c r="A1867" t="s">
        <v>4490</v>
      </c>
      <c r="B1867" t="s">
        <v>4491</v>
      </c>
      <c r="C1867" s="2" t="str">
        <f>PROPER(TRIM(Table1[[#This Row],[Gender]]))</f>
        <v>Female</v>
      </c>
      <c r="D1867" t="s">
        <v>43</v>
      </c>
      <c r="E1867">
        <v>41</v>
      </c>
      <c r="F1867" t="s">
        <v>38</v>
      </c>
      <c r="G1867" s="1">
        <v>30693</v>
      </c>
      <c r="H1867" t="s">
        <v>4492</v>
      </c>
      <c r="I1867" s="2" t="str">
        <f t="shared" si="29"/>
        <v>+91-8941537277</v>
      </c>
      <c r="J1867">
        <f>91-8941537368</f>
        <v>-8941537277</v>
      </c>
      <c r="K1867" t="s">
        <v>331</v>
      </c>
      <c r="L1867" t="s">
        <v>143</v>
      </c>
      <c r="M1867">
        <v>593191</v>
      </c>
      <c r="N1867" s="1">
        <v>45108</v>
      </c>
      <c r="O1867" t="s">
        <v>28</v>
      </c>
      <c r="P1867">
        <v>4</v>
      </c>
      <c r="Q1867">
        <v>95567.77</v>
      </c>
    </row>
    <row r="1868" spans="1:17" x14ac:dyDescent="0.3">
      <c r="A1868" t="s">
        <v>4493</v>
      </c>
      <c r="B1868" t="s">
        <v>4494</v>
      </c>
      <c r="C1868" s="2" t="str">
        <f>PROPER(TRIM(Table1[[#This Row],[Gender]]))</f>
        <v>Male</v>
      </c>
      <c r="D1868" t="s">
        <v>16</v>
      </c>
      <c r="E1868">
        <v>18</v>
      </c>
      <c r="F1868" t="s">
        <v>49</v>
      </c>
      <c r="G1868" s="1">
        <v>39088</v>
      </c>
      <c r="H1868" t="s">
        <v>4495</v>
      </c>
      <c r="I1868" s="2" t="str">
        <f t="shared" si="29"/>
        <v>+91-7221673904</v>
      </c>
      <c r="J1868">
        <f>91-7221673995</f>
        <v>-7221673904</v>
      </c>
      <c r="K1868" t="s">
        <v>147</v>
      </c>
      <c r="L1868" t="s">
        <v>143</v>
      </c>
      <c r="M1868">
        <v>272813</v>
      </c>
      <c r="N1868" s="1">
        <v>45340</v>
      </c>
      <c r="O1868" t="s">
        <v>28</v>
      </c>
      <c r="P1868">
        <v>6</v>
      </c>
      <c r="Q1868">
        <v>112031.85</v>
      </c>
    </row>
    <row r="1869" spans="1:17" x14ac:dyDescent="0.3">
      <c r="A1869" t="s">
        <v>4496</v>
      </c>
      <c r="B1869" t="s">
        <v>1103</v>
      </c>
      <c r="C1869" s="2" t="str">
        <f>PROPER(TRIM(Table1[[#This Row],[Gender]]))</f>
        <v>Female</v>
      </c>
      <c r="D1869" t="s">
        <v>43</v>
      </c>
      <c r="E1869">
        <v>35</v>
      </c>
      <c r="F1869" t="s">
        <v>31</v>
      </c>
      <c r="G1869" s="1">
        <v>32883</v>
      </c>
      <c r="H1869" t="s">
        <v>4497</v>
      </c>
      <c r="I1869" s="2" t="str">
        <f t="shared" si="29"/>
        <v>+91-8577769165</v>
      </c>
      <c r="J1869">
        <f>91-8577769256</f>
        <v>-8577769165</v>
      </c>
      <c r="K1869" t="s">
        <v>64</v>
      </c>
      <c r="L1869" t="s">
        <v>20</v>
      </c>
      <c r="M1869">
        <v>356775</v>
      </c>
      <c r="N1869" s="1">
        <v>45284</v>
      </c>
      <c r="O1869" t="s">
        <v>28</v>
      </c>
      <c r="P1869">
        <v>11</v>
      </c>
      <c r="Q1869">
        <v>491891.28</v>
      </c>
    </row>
    <row r="1870" spans="1:17" x14ac:dyDescent="0.3">
      <c r="A1870" t="s">
        <v>4498</v>
      </c>
      <c r="B1870" t="s">
        <v>439</v>
      </c>
      <c r="C1870" s="2" t="str">
        <f>PROPER(TRIM(Table1[[#This Row],[Gender]]))</f>
        <v>Male</v>
      </c>
      <c r="D1870" t="s">
        <v>16</v>
      </c>
      <c r="E1870">
        <v>38</v>
      </c>
      <c r="F1870" t="s">
        <v>38</v>
      </c>
      <c r="G1870" s="1">
        <v>31788</v>
      </c>
      <c r="H1870" t="s">
        <v>4499</v>
      </c>
      <c r="I1870" s="2" t="str">
        <f t="shared" si="29"/>
        <v>+91-8013171799</v>
      </c>
      <c r="J1870">
        <f>91-8013171890</f>
        <v>-8013171799</v>
      </c>
      <c r="K1870" t="s">
        <v>117</v>
      </c>
      <c r="L1870" t="s">
        <v>52</v>
      </c>
      <c r="M1870">
        <v>729014</v>
      </c>
      <c r="N1870" s="1">
        <v>45215</v>
      </c>
      <c r="O1870" t="s">
        <v>28</v>
      </c>
      <c r="P1870">
        <v>9</v>
      </c>
      <c r="Q1870">
        <v>74120.47</v>
      </c>
    </row>
    <row r="1871" spans="1:17" x14ac:dyDescent="0.3">
      <c r="A1871" t="s">
        <v>4500</v>
      </c>
      <c r="B1871" t="s">
        <v>1986</v>
      </c>
      <c r="C1871" s="2" t="str">
        <f>PROPER(TRIM(Table1[[#This Row],[Gender]]))</f>
        <v>Male</v>
      </c>
      <c r="D1871" t="s">
        <v>16</v>
      </c>
      <c r="E1871">
        <v>48</v>
      </c>
      <c r="F1871" t="s">
        <v>17</v>
      </c>
      <c r="G1871" s="1">
        <v>28138</v>
      </c>
      <c r="H1871" t="s">
        <v>4501</v>
      </c>
      <c r="I1871" s="2" t="str">
        <f t="shared" si="29"/>
        <v>+91-7615741561</v>
      </c>
      <c r="J1871">
        <f>91-7615741652</f>
        <v>-7615741561</v>
      </c>
      <c r="K1871" t="s">
        <v>60</v>
      </c>
      <c r="L1871" t="s">
        <v>34</v>
      </c>
      <c r="M1871">
        <v>498058</v>
      </c>
      <c r="N1871" s="1">
        <v>45189</v>
      </c>
      <c r="O1871" t="s">
        <v>28</v>
      </c>
      <c r="P1871">
        <v>4</v>
      </c>
      <c r="Q1871">
        <v>123876.55</v>
      </c>
    </row>
    <row r="1872" spans="1:17" x14ac:dyDescent="0.3">
      <c r="A1872" t="s">
        <v>4502</v>
      </c>
      <c r="B1872" t="s">
        <v>1765</v>
      </c>
      <c r="C1872" s="2" t="str">
        <f>PROPER(TRIM(Table1[[#This Row],[Gender]]))</f>
        <v>Female</v>
      </c>
      <c r="D1872" t="s">
        <v>43</v>
      </c>
      <c r="E1872">
        <v>39</v>
      </c>
      <c r="F1872" t="s">
        <v>38</v>
      </c>
      <c r="G1872" s="1">
        <v>31423</v>
      </c>
      <c r="H1872" t="s">
        <v>4503</v>
      </c>
      <c r="I1872" s="2" t="str">
        <f t="shared" si="29"/>
        <v>+91-8806741808</v>
      </c>
      <c r="J1872">
        <f>91-8806741899</f>
        <v>-8806741808</v>
      </c>
      <c r="K1872" t="s">
        <v>202</v>
      </c>
      <c r="L1872" t="s">
        <v>191</v>
      </c>
      <c r="M1872">
        <v>876747</v>
      </c>
      <c r="N1872" s="1">
        <v>45407</v>
      </c>
      <c r="O1872" t="s">
        <v>28</v>
      </c>
      <c r="P1872">
        <v>5</v>
      </c>
      <c r="Q1872">
        <v>111813.38</v>
      </c>
    </row>
    <row r="1873" spans="1:17" x14ac:dyDescent="0.3">
      <c r="A1873" t="s">
        <v>4504</v>
      </c>
      <c r="B1873" t="s">
        <v>1701</v>
      </c>
      <c r="C1873" s="2" t="str">
        <f>PROPER(TRIM(Table1[[#This Row],[Gender]]))</f>
        <v>Male</v>
      </c>
      <c r="D1873" t="s">
        <v>16</v>
      </c>
      <c r="E1873">
        <v>46</v>
      </c>
      <c r="F1873" t="s">
        <v>17</v>
      </c>
      <c r="G1873" s="1">
        <v>28868</v>
      </c>
      <c r="H1873" t="s">
        <v>4505</v>
      </c>
      <c r="I1873" s="2" t="str">
        <f t="shared" si="29"/>
        <v>+91-9207269978</v>
      </c>
      <c r="J1873">
        <f>91-9207270069</f>
        <v>-9207269978</v>
      </c>
      <c r="K1873" t="s">
        <v>190</v>
      </c>
      <c r="L1873" t="s">
        <v>191</v>
      </c>
      <c r="M1873">
        <v>195459</v>
      </c>
      <c r="N1873" s="1">
        <v>45308</v>
      </c>
      <c r="O1873" t="s">
        <v>21</v>
      </c>
      <c r="P1873">
        <v>3</v>
      </c>
      <c r="Q1873">
        <v>31447.4</v>
      </c>
    </row>
    <row r="1874" spans="1:17" x14ac:dyDescent="0.3">
      <c r="A1874" t="s">
        <v>4506</v>
      </c>
      <c r="B1874" t="s">
        <v>321</v>
      </c>
      <c r="C1874" s="2" t="str">
        <f>PROPER(TRIM(Table1[[#This Row],[Gender]]))</f>
        <v>Female</v>
      </c>
      <c r="D1874" t="s">
        <v>43</v>
      </c>
      <c r="E1874">
        <v>24</v>
      </c>
      <c r="F1874" t="s">
        <v>49</v>
      </c>
      <c r="G1874" s="1">
        <v>36898</v>
      </c>
      <c r="H1874" t="s">
        <v>4507</v>
      </c>
      <c r="I1874" s="2" t="str">
        <f t="shared" si="29"/>
        <v>+91-8652662526</v>
      </c>
      <c r="J1874">
        <f>91-8652662617</f>
        <v>-8652662526</v>
      </c>
      <c r="K1874" t="s">
        <v>202</v>
      </c>
      <c r="L1874" t="s">
        <v>191</v>
      </c>
      <c r="M1874">
        <v>427023</v>
      </c>
      <c r="N1874" s="1">
        <v>45381</v>
      </c>
      <c r="O1874" t="s">
        <v>28</v>
      </c>
      <c r="P1874">
        <v>5</v>
      </c>
      <c r="Q1874">
        <v>226296.15</v>
      </c>
    </row>
    <row r="1875" spans="1:17" x14ac:dyDescent="0.3">
      <c r="A1875" t="s">
        <v>4508</v>
      </c>
      <c r="B1875" t="s">
        <v>1827</v>
      </c>
      <c r="C1875" s="2" t="str">
        <f>PROPER(TRIM(Table1[[#This Row],[Gender]]))</f>
        <v>Male</v>
      </c>
      <c r="D1875" t="s">
        <v>16</v>
      </c>
      <c r="E1875">
        <v>29</v>
      </c>
      <c r="F1875" t="s">
        <v>31</v>
      </c>
      <c r="G1875" s="1">
        <v>35073</v>
      </c>
      <c r="H1875" t="s">
        <v>4509</v>
      </c>
      <c r="I1875" s="2" t="str">
        <f t="shared" si="29"/>
        <v>+91-8780421473</v>
      </c>
      <c r="J1875">
        <f>91-8780421564</f>
        <v>-8780421473</v>
      </c>
      <c r="K1875" t="s">
        <v>369</v>
      </c>
      <c r="L1875" t="s">
        <v>191</v>
      </c>
      <c r="M1875">
        <v>905068</v>
      </c>
      <c r="N1875" s="1">
        <v>45234</v>
      </c>
      <c r="O1875" t="s">
        <v>28</v>
      </c>
      <c r="P1875">
        <v>9</v>
      </c>
      <c r="Q1875">
        <v>168780.32</v>
      </c>
    </row>
    <row r="1876" spans="1:17" x14ac:dyDescent="0.3">
      <c r="A1876" t="s">
        <v>4510</v>
      </c>
      <c r="B1876" t="s">
        <v>333</v>
      </c>
      <c r="C1876" s="2" t="str">
        <f>PROPER(TRIM(Table1[[#This Row],[Gender]]))</f>
        <v>Female</v>
      </c>
      <c r="D1876" t="s">
        <v>43</v>
      </c>
      <c r="E1876">
        <v>24</v>
      </c>
      <c r="F1876" t="s">
        <v>49</v>
      </c>
      <c r="G1876" s="1">
        <v>36898</v>
      </c>
      <c r="H1876" t="s">
        <v>4511</v>
      </c>
      <c r="I1876" s="2" t="str">
        <f t="shared" si="29"/>
        <v>+91-8995410063</v>
      </c>
      <c r="J1876">
        <f>91-8995410154</f>
        <v>-8995410063</v>
      </c>
      <c r="K1876" t="s">
        <v>239</v>
      </c>
      <c r="L1876" t="s">
        <v>191</v>
      </c>
      <c r="M1876">
        <v>726689</v>
      </c>
      <c r="N1876" s="1">
        <v>45232</v>
      </c>
      <c r="O1876" t="s">
        <v>28</v>
      </c>
      <c r="P1876">
        <v>5</v>
      </c>
      <c r="Q1876">
        <v>65246.43</v>
      </c>
    </row>
    <row r="1877" spans="1:17" x14ac:dyDescent="0.3">
      <c r="A1877" t="s">
        <v>4512</v>
      </c>
      <c r="B1877" t="s">
        <v>998</v>
      </c>
      <c r="C1877" s="2" t="str">
        <f>PROPER(TRIM(Table1[[#This Row],[Gender]]))</f>
        <v>Female</v>
      </c>
      <c r="D1877" t="s">
        <v>43</v>
      </c>
      <c r="E1877">
        <v>36</v>
      </c>
      <c r="F1877" t="s">
        <v>38</v>
      </c>
      <c r="G1877" s="1">
        <v>32518</v>
      </c>
      <c r="H1877" t="s">
        <v>4513</v>
      </c>
      <c r="I1877" s="2" t="str">
        <f t="shared" si="29"/>
        <v>+91-9564688252</v>
      </c>
      <c r="J1877">
        <f>91-9564688343</f>
        <v>-9564688252</v>
      </c>
      <c r="K1877" t="s">
        <v>174</v>
      </c>
      <c r="L1877" t="s">
        <v>90</v>
      </c>
      <c r="M1877">
        <v>568353</v>
      </c>
      <c r="N1877" s="1">
        <v>45311</v>
      </c>
      <c r="O1877" t="s">
        <v>28</v>
      </c>
      <c r="P1877">
        <v>6</v>
      </c>
      <c r="Q1877">
        <v>127188.29</v>
      </c>
    </row>
    <row r="1878" spans="1:17" x14ac:dyDescent="0.3">
      <c r="A1878" t="s">
        <v>4514</v>
      </c>
      <c r="B1878" t="s">
        <v>3937</v>
      </c>
      <c r="C1878" s="2" t="str">
        <f>PROPER(TRIM(Table1[[#This Row],[Gender]]))</f>
        <v>Female</v>
      </c>
      <c r="D1878" t="s">
        <v>43</v>
      </c>
      <c r="E1878">
        <v>22</v>
      </c>
      <c r="F1878" t="s">
        <v>49</v>
      </c>
      <c r="G1878" s="1">
        <v>37628</v>
      </c>
      <c r="H1878" t="s">
        <v>4515</v>
      </c>
      <c r="I1878" s="2" t="str">
        <f t="shared" si="29"/>
        <v>+91-7260677932</v>
      </c>
      <c r="J1878">
        <f>91-7260678023</f>
        <v>-7260677932</v>
      </c>
      <c r="K1878" t="s">
        <v>580</v>
      </c>
      <c r="L1878" t="s">
        <v>85</v>
      </c>
      <c r="M1878">
        <v>666569</v>
      </c>
      <c r="N1878" s="1">
        <v>45248</v>
      </c>
      <c r="O1878" t="s">
        <v>28</v>
      </c>
      <c r="P1878">
        <v>3</v>
      </c>
      <c r="Q1878">
        <v>150888.01999999999</v>
      </c>
    </row>
    <row r="1879" spans="1:17" x14ac:dyDescent="0.3">
      <c r="A1879" t="s">
        <v>4516</v>
      </c>
      <c r="B1879" t="s">
        <v>534</v>
      </c>
      <c r="C1879" s="2" t="str">
        <f>PROPER(TRIM(Table1[[#This Row],[Gender]]))</f>
        <v>Female</v>
      </c>
      <c r="D1879" t="s">
        <v>43</v>
      </c>
      <c r="E1879">
        <v>19</v>
      </c>
      <c r="F1879" t="s">
        <v>49</v>
      </c>
      <c r="G1879" s="1">
        <v>38723</v>
      </c>
      <c r="H1879" t="s">
        <v>4517</v>
      </c>
      <c r="I1879" s="2" t="str">
        <f t="shared" si="29"/>
        <v>+91-7472009318</v>
      </c>
      <c r="J1879">
        <f>91-7472009409</f>
        <v>-7472009318</v>
      </c>
      <c r="K1879" t="s">
        <v>202</v>
      </c>
      <c r="L1879" t="s">
        <v>191</v>
      </c>
      <c r="M1879">
        <v>224687</v>
      </c>
      <c r="N1879" s="1">
        <v>45183</v>
      </c>
      <c r="O1879" t="s">
        <v>28</v>
      </c>
      <c r="P1879">
        <v>4</v>
      </c>
      <c r="Q1879">
        <v>117383.29</v>
      </c>
    </row>
    <row r="1880" spans="1:17" x14ac:dyDescent="0.3">
      <c r="A1880" t="s">
        <v>4518</v>
      </c>
      <c r="B1880" t="s">
        <v>1929</v>
      </c>
      <c r="C1880" s="2" t="str">
        <f>PROPER(TRIM(Table1[[#This Row],[Gender]]))</f>
        <v>Female</v>
      </c>
      <c r="D1880" t="s">
        <v>43</v>
      </c>
      <c r="E1880">
        <v>22</v>
      </c>
      <c r="F1880" t="s">
        <v>49</v>
      </c>
      <c r="G1880" s="1">
        <v>37628</v>
      </c>
      <c r="H1880" t="s">
        <v>4519</v>
      </c>
      <c r="I1880" s="2" t="str">
        <f t="shared" si="29"/>
        <v>+91-8779844105</v>
      </c>
      <c r="J1880">
        <f>91-8779844196</f>
        <v>-8779844105</v>
      </c>
      <c r="K1880" t="s">
        <v>68</v>
      </c>
      <c r="L1880" t="s">
        <v>52</v>
      </c>
      <c r="M1880">
        <v>723738</v>
      </c>
      <c r="N1880" s="1">
        <v>45183</v>
      </c>
      <c r="O1880" t="s">
        <v>28</v>
      </c>
      <c r="P1880">
        <v>8</v>
      </c>
      <c r="Q1880">
        <v>313171.96999999997</v>
      </c>
    </row>
    <row r="1881" spans="1:17" x14ac:dyDescent="0.3">
      <c r="A1881" t="s">
        <v>4520</v>
      </c>
      <c r="B1881" t="s">
        <v>1319</v>
      </c>
      <c r="C1881" s="2" t="str">
        <f>PROPER(TRIM(Table1[[#This Row],[Gender]]))</f>
        <v>Male</v>
      </c>
      <c r="D1881" t="s">
        <v>16</v>
      </c>
      <c r="E1881">
        <v>22</v>
      </c>
      <c r="F1881" t="s">
        <v>49</v>
      </c>
      <c r="G1881" s="1">
        <v>37628</v>
      </c>
      <c r="H1881" t="s">
        <v>4521</v>
      </c>
      <c r="I1881" s="2" t="str">
        <f t="shared" si="29"/>
        <v>+91-9217064215</v>
      </c>
      <c r="J1881">
        <f>91-9217064306</f>
        <v>-9217064215</v>
      </c>
      <c r="K1881" t="s">
        <v>40</v>
      </c>
      <c r="L1881" t="s">
        <v>27</v>
      </c>
      <c r="M1881">
        <v>542254</v>
      </c>
      <c r="N1881" s="1">
        <v>45374</v>
      </c>
      <c r="O1881" t="s">
        <v>28</v>
      </c>
      <c r="P1881">
        <v>5</v>
      </c>
      <c r="Q1881">
        <v>217112.6</v>
      </c>
    </row>
    <row r="1882" spans="1:17" x14ac:dyDescent="0.3">
      <c r="A1882" t="s">
        <v>4522</v>
      </c>
      <c r="B1882" t="s">
        <v>1808</v>
      </c>
      <c r="C1882" s="2" t="str">
        <f>PROPER(TRIM(Table1[[#This Row],[Gender]]))</f>
        <v>Female</v>
      </c>
      <c r="D1882" t="s">
        <v>43</v>
      </c>
      <c r="E1882">
        <v>35</v>
      </c>
      <c r="F1882" t="s">
        <v>31</v>
      </c>
      <c r="G1882" s="1">
        <v>32883</v>
      </c>
      <c r="H1882" t="s">
        <v>4523</v>
      </c>
      <c r="I1882" s="2" t="str">
        <f t="shared" si="29"/>
        <v>+91-9992552829</v>
      </c>
      <c r="J1882">
        <f>91-9992552920</f>
        <v>-9992552829</v>
      </c>
      <c r="K1882" t="s">
        <v>101</v>
      </c>
      <c r="L1882" t="s">
        <v>102</v>
      </c>
      <c r="M1882">
        <v>189180</v>
      </c>
      <c r="N1882" s="1">
        <v>45350</v>
      </c>
      <c r="O1882" t="s">
        <v>28</v>
      </c>
      <c r="P1882">
        <v>7</v>
      </c>
      <c r="Q1882">
        <v>491739.74</v>
      </c>
    </row>
    <row r="1883" spans="1:17" x14ac:dyDescent="0.3">
      <c r="A1883" t="s">
        <v>4524</v>
      </c>
      <c r="B1883" t="s">
        <v>422</v>
      </c>
      <c r="C1883" s="2" t="str">
        <f>PROPER(TRIM(Table1[[#This Row],[Gender]]))</f>
        <v>Male</v>
      </c>
      <c r="D1883" t="s">
        <v>16</v>
      </c>
      <c r="E1883">
        <v>28</v>
      </c>
      <c r="F1883" t="s">
        <v>31</v>
      </c>
      <c r="G1883" s="1">
        <v>35438</v>
      </c>
      <c r="H1883" t="s">
        <v>4525</v>
      </c>
      <c r="I1883" s="2" t="str">
        <f t="shared" si="29"/>
        <v>+91-8658856805</v>
      </c>
      <c r="J1883">
        <f>91-8658856896</f>
        <v>-8658856805</v>
      </c>
      <c r="K1883" t="s">
        <v>121</v>
      </c>
      <c r="L1883" t="s">
        <v>85</v>
      </c>
      <c r="M1883">
        <v>223643</v>
      </c>
      <c r="N1883" s="1">
        <v>45137</v>
      </c>
      <c r="O1883" t="s">
        <v>28</v>
      </c>
      <c r="P1883">
        <v>5</v>
      </c>
      <c r="Q1883">
        <v>181708.4</v>
      </c>
    </row>
    <row r="1884" spans="1:17" x14ac:dyDescent="0.3">
      <c r="A1884" t="s">
        <v>4526</v>
      </c>
      <c r="B1884" t="s">
        <v>484</v>
      </c>
      <c r="C1884" s="2" t="str">
        <f>PROPER(TRIM(Table1[[#This Row],[Gender]]))</f>
        <v>Male</v>
      </c>
      <c r="D1884" t="s">
        <v>16</v>
      </c>
      <c r="E1884">
        <v>26</v>
      </c>
      <c r="F1884" t="s">
        <v>31</v>
      </c>
      <c r="G1884" s="1">
        <v>36168</v>
      </c>
      <c r="H1884" t="s">
        <v>3532</v>
      </c>
      <c r="I1884" s="2" t="str">
        <f t="shared" si="29"/>
        <v>+91-9967391666</v>
      </c>
      <c r="J1884">
        <f>91-9967391757</f>
        <v>-9967391666</v>
      </c>
      <c r="K1884" t="s">
        <v>19</v>
      </c>
      <c r="L1884" t="s">
        <v>20</v>
      </c>
      <c r="M1884">
        <v>893006</v>
      </c>
      <c r="N1884" s="1">
        <v>45320</v>
      </c>
      <c r="O1884" t="s">
        <v>28</v>
      </c>
      <c r="P1884">
        <v>6</v>
      </c>
      <c r="Q1884">
        <v>168443.43</v>
      </c>
    </row>
    <row r="1885" spans="1:17" x14ac:dyDescent="0.3">
      <c r="A1885" t="s">
        <v>4527</v>
      </c>
      <c r="B1885" t="s">
        <v>4528</v>
      </c>
      <c r="C1885" s="2" t="str">
        <f>PROPER(TRIM(Table1[[#This Row],[Gender]]))</f>
        <v>Female</v>
      </c>
      <c r="D1885" t="s">
        <v>43</v>
      </c>
      <c r="E1885">
        <v>46</v>
      </c>
      <c r="F1885" t="s">
        <v>17</v>
      </c>
      <c r="G1885" s="1">
        <v>28868</v>
      </c>
      <c r="H1885" t="s">
        <v>4529</v>
      </c>
      <c r="I1885" s="2" t="str">
        <f t="shared" si="29"/>
        <v>+91-7454940580</v>
      </c>
      <c r="J1885">
        <f>91-7454940671</f>
        <v>-7454940580</v>
      </c>
      <c r="K1885" t="s">
        <v>109</v>
      </c>
      <c r="L1885" t="s">
        <v>46</v>
      </c>
      <c r="M1885">
        <v>222590</v>
      </c>
      <c r="N1885" s="1">
        <v>45139</v>
      </c>
      <c r="O1885" t="s">
        <v>21</v>
      </c>
      <c r="P1885">
        <v>3</v>
      </c>
      <c r="Q1885">
        <v>27843.32</v>
      </c>
    </row>
    <row r="1886" spans="1:17" x14ac:dyDescent="0.3">
      <c r="A1886" t="s">
        <v>4530</v>
      </c>
      <c r="B1886" t="s">
        <v>3625</v>
      </c>
      <c r="C1886" s="2" t="str">
        <f>PROPER(TRIM(Table1[[#This Row],[Gender]]))</f>
        <v>Female</v>
      </c>
      <c r="D1886" t="s">
        <v>43</v>
      </c>
      <c r="E1886">
        <v>30</v>
      </c>
      <c r="F1886" t="s">
        <v>31</v>
      </c>
      <c r="G1886" s="1">
        <v>34708</v>
      </c>
      <c r="H1886" t="s">
        <v>4531</v>
      </c>
      <c r="I1886" s="2" t="str">
        <f t="shared" si="29"/>
        <v>+91-9335232903</v>
      </c>
      <c r="J1886">
        <f>91-9335232994</f>
        <v>-9335232903</v>
      </c>
      <c r="K1886" t="s">
        <v>415</v>
      </c>
      <c r="L1886" t="s">
        <v>90</v>
      </c>
      <c r="M1886">
        <v>489906</v>
      </c>
      <c r="N1886" s="1">
        <v>45204</v>
      </c>
      <c r="O1886" t="s">
        <v>28</v>
      </c>
      <c r="P1886">
        <v>4</v>
      </c>
      <c r="Q1886">
        <v>221908.57</v>
      </c>
    </row>
    <row r="1887" spans="1:17" x14ac:dyDescent="0.3">
      <c r="A1887" t="s">
        <v>4532</v>
      </c>
      <c r="B1887" t="s">
        <v>1655</v>
      </c>
      <c r="C1887" s="2" t="str">
        <f>PROPER(TRIM(Table1[[#This Row],[Gender]]))</f>
        <v>Female</v>
      </c>
      <c r="D1887" t="s">
        <v>43</v>
      </c>
      <c r="E1887">
        <v>21</v>
      </c>
      <c r="F1887" t="s">
        <v>49</v>
      </c>
      <c r="G1887" s="1">
        <v>37993</v>
      </c>
      <c r="H1887" t="s">
        <v>4533</v>
      </c>
      <c r="I1887" s="2" t="str">
        <f t="shared" si="29"/>
        <v>+91-7427824660</v>
      </c>
      <c r="J1887">
        <f>91-7427824751</f>
        <v>-7427824660</v>
      </c>
      <c r="K1887" t="s">
        <v>147</v>
      </c>
      <c r="L1887" t="s">
        <v>143</v>
      </c>
      <c r="M1887">
        <v>296018</v>
      </c>
      <c r="N1887" s="1">
        <v>45422</v>
      </c>
      <c r="O1887" t="s">
        <v>21</v>
      </c>
      <c r="P1887">
        <v>3</v>
      </c>
      <c r="Q1887">
        <v>28147.63</v>
      </c>
    </row>
    <row r="1888" spans="1:17" x14ac:dyDescent="0.3">
      <c r="A1888" t="s">
        <v>4534</v>
      </c>
      <c r="B1888" t="s">
        <v>3391</v>
      </c>
      <c r="C1888" s="2" t="str">
        <f>PROPER(TRIM(Table1[[#This Row],[Gender]]))</f>
        <v>Female</v>
      </c>
      <c r="D1888" t="s">
        <v>43</v>
      </c>
      <c r="E1888">
        <v>41</v>
      </c>
      <c r="F1888" t="s">
        <v>38</v>
      </c>
      <c r="G1888" s="1">
        <v>30693</v>
      </c>
      <c r="H1888" t="s">
        <v>4535</v>
      </c>
      <c r="I1888" s="2" t="str">
        <f t="shared" si="29"/>
        <v>+91-8147864483</v>
      </c>
      <c r="J1888">
        <f>91-8147864574</f>
        <v>-8147864483</v>
      </c>
      <c r="K1888" t="s">
        <v>580</v>
      </c>
      <c r="L1888" t="s">
        <v>85</v>
      </c>
      <c r="M1888">
        <v>465035</v>
      </c>
      <c r="N1888" s="1">
        <v>45131</v>
      </c>
      <c r="O1888" t="s">
        <v>21</v>
      </c>
      <c r="P1888">
        <v>4</v>
      </c>
      <c r="Q1888">
        <v>34560.6</v>
      </c>
    </row>
    <row r="1889" spans="1:17" x14ac:dyDescent="0.3">
      <c r="A1889" t="s">
        <v>4536</v>
      </c>
      <c r="B1889" t="s">
        <v>1636</v>
      </c>
      <c r="C1889" s="2" t="str">
        <f>PROPER(TRIM(Table1[[#This Row],[Gender]]))</f>
        <v>Male</v>
      </c>
      <c r="D1889" t="s">
        <v>16</v>
      </c>
      <c r="E1889">
        <v>33</v>
      </c>
      <c r="F1889" t="s">
        <v>31</v>
      </c>
      <c r="G1889" s="1">
        <v>33613</v>
      </c>
      <c r="H1889" t="s">
        <v>4537</v>
      </c>
      <c r="I1889" s="2" t="str">
        <f t="shared" si="29"/>
        <v>+91-9010217695</v>
      </c>
      <c r="J1889">
        <f>91-9010217786</f>
        <v>-9010217695</v>
      </c>
      <c r="K1889" t="s">
        <v>33</v>
      </c>
      <c r="L1889" t="s">
        <v>34</v>
      </c>
      <c r="M1889">
        <v>959457</v>
      </c>
      <c r="N1889" s="1">
        <v>45099</v>
      </c>
      <c r="O1889" t="s">
        <v>21</v>
      </c>
      <c r="P1889">
        <v>2</v>
      </c>
      <c r="Q1889">
        <v>33206.18</v>
      </c>
    </row>
    <row r="1890" spans="1:17" x14ac:dyDescent="0.3">
      <c r="A1890" t="s">
        <v>4538</v>
      </c>
      <c r="B1890" t="s">
        <v>798</v>
      </c>
      <c r="C1890" s="2" t="str">
        <f>PROPER(TRIM(Table1[[#This Row],[Gender]]))</f>
        <v>Female</v>
      </c>
      <c r="D1890" t="s">
        <v>43</v>
      </c>
      <c r="E1890">
        <v>59</v>
      </c>
      <c r="F1890" t="s">
        <v>58</v>
      </c>
      <c r="G1890" s="1">
        <v>24123</v>
      </c>
      <c r="H1890" t="s">
        <v>4539</v>
      </c>
      <c r="I1890" s="2" t="str">
        <f t="shared" si="29"/>
        <v>+91-8630261116</v>
      </c>
      <c r="J1890">
        <f>91-8630261207</f>
        <v>-8630261116</v>
      </c>
      <c r="K1890" t="s">
        <v>51</v>
      </c>
      <c r="L1890" t="s">
        <v>52</v>
      </c>
      <c r="M1890">
        <v>818627</v>
      </c>
      <c r="N1890" s="1">
        <v>45118</v>
      </c>
      <c r="O1890" t="s">
        <v>35</v>
      </c>
      <c r="P1890">
        <v>3</v>
      </c>
      <c r="Q1890">
        <v>5033.78</v>
      </c>
    </row>
    <row r="1891" spans="1:17" x14ac:dyDescent="0.3">
      <c r="A1891" t="s">
        <v>4540</v>
      </c>
      <c r="B1891" t="s">
        <v>4541</v>
      </c>
      <c r="C1891" s="2" t="str">
        <f>PROPER(TRIM(Table1[[#This Row],[Gender]]))</f>
        <v>Male</v>
      </c>
      <c r="D1891" t="s">
        <v>16</v>
      </c>
      <c r="E1891">
        <v>35</v>
      </c>
      <c r="F1891" t="s">
        <v>31</v>
      </c>
      <c r="G1891" s="1">
        <v>32883</v>
      </c>
      <c r="H1891" t="s">
        <v>4542</v>
      </c>
      <c r="I1891" s="2" t="str">
        <f t="shared" si="29"/>
        <v>+91-7591698067</v>
      </c>
      <c r="J1891">
        <f>91-7591698158</f>
        <v>-7591698067</v>
      </c>
      <c r="K1891" t="s">
        <v>195</v>
      </c>
      <c r="L1891" t="s">
        <v>102</v>
      </c>
      <c r="M1891">
        <v>749404</v>
      </c>
      <c r="N1891" s="1">
        <v>45374</v>
      </c>
      <c r="O1891" t="s">
        <v>28</v>
      </c>
      <c r="P1891">
        <v>2</v>
      </c>
      <c r="Q1891">
        <v>87543.12</v>
      </c>
    </row>
    <row r="1892" spans="1:17" x14ac:dyDescent="0.3">
      <c r="A1892" t="s">
        <v>4543</v>
      </c>
      <c r="B1892" t="s">
        <v>213</v>
      </c>
      <c r="C1892" s="2" t="str">
        <f>PROPER(TRIM(Table1[[#This Row],[Gender]]))</f>
        <v>Female</v>
      </c>
      <c r="D1892" t="s">
        <v>43</v>
      </c>
      <c r="E1892">
        <v>28</v>
      </c>
      <c r="F1892" t="s">
        <v>31</v>
      </c>
      <c r="G1892" s="1">
        <v>35438</v>
      </c>
      <c r="H1892" t="s">
        <v>4544</v>
      </c>
      <c r="I1892" s="2" t="str">
        <f t="shared" si="29"/>
        <v>+91-7581890204</v>
      </c>
      <c r="J1892">
        <f>91-7581890295</f>
        <v>-7581890204</v>
      </c>
      <c r="K1892" t="s">
        <v>101</v>
      </c>
      <c r="L1892" t="s">
        <v>102</v>
      </c>
      <c r="M1892">
        <v>733337</v>
      </c>
      <c r="N1892" s="1">
        <v>45333</v>
      </c>
      <c r="O1892" t="s">
        <v>28</v>
      </c>
      <c r="P1892">
        <v>6</v>
      </c>
      <c r="Q1892">
        <v>391344.49</v>
      </c>
    </row>
    <row r="1893" spans="1:17" x14ac:dyDescent="0.3">
      <c r="A1893" t="s">
        <v>4545</v>
      </c>
      <c r="B1893" t="s">
        <v>2330</v>
      </c>
      <c r="C1893" s="2" t="str">
        <f>PROPER(TRIM(Table1[[#This Row],[Gender]]))</f>
        <v>Female</v>
      </c>
      <c r="D1893" t="s">
        <v>43</v>
      </c>
      <c r="E1893">
        <v>41</v>
      </c>
      <c r="F1893" t="s">
        <v>38</v>
      </c>
      <c r="G1893" s="1">
        <v>30693</v>
      </c>
      <c r="H1893" t="s">
        <v>4546</v>
      </c>
      <c r="I1893" s="2" t="str">
        <f t="shared" si="29"/>
        <v>+91-7721629565</v>
      </c>
      <c r="J1893">
        <f>91-7721629656</f>
        <v>-7721629565</v>
      </c>
      <c r="K1893" t="s">
        <v>89</v>
      </c>
      <c r="L1893" t="s">
        <v>90</v>
      </c>
      <c r="M1893">
        <v>408966</v>
      </c>
      <c r="N1893" s="1">
        <v>45253</v>
      </c>
      <c r="O1893" t="s">
        <v>28</v>
      </c>
      <c r="P1893">
        <v>6</v>
      </c>
      <c r="Q1893">
        <v>155630.63</v>
      </c>
    </row>
    <row r="1894" spans="1:17" x14ac:dyDescent="0.3">
      <c r="A1894" t="s">
        <v>4547</v>
      </c>
      <c r="B1894" t="s">
        <v>856</v>
      </c>
      <c r="C1894" s="2" t="str">
        <f>PROPER(TRIM(Table1[[#This Row],[Gender]]))</f>
        <v>Female</v>
      </c>
      <c r="D1894" t="s">
        <v>43</v>
      </c>
      <c r="E1894">
        <v>39</v>
      </c>
      <c r="F1894" t="s">
        <v>38</v>
      </c>
      <c r="G1894" s="1">
        <v>31423</v>
      </c>
      <c r="H1894" t="s">
        <v>4548</v>
      </c>
      <c r="I1894" s="2" t="str">
        <f t="shared" si="29"/>
        <v>+91-7371949544</v>
      </c>
      <c r="J1894">
        <f>91-7371949635</f>
        <v>-7371949544</v>
      </c>
      <c r="K1894" t="s">
        <v>174</v>
      </c>
      <c r="L1894" t="s">
        <v>90</v>
      </c>
      <c r="M1894">
        <v>174463</v>
      </c>
      <c r="N1894" s="1">
        <v>45260</v>
      </c>
      <c r="O1894" t="s">
        <v>28</v>
      </c>
      <c r="P1894">
        <v>7</v>
      </c>
      <c r="Q1894">
        <v>163973.34</v>
      </c>
    </row>
    <row r="1895" spans="1:17" x14ac:dyDescent="0.3">
      <c r="A1895" t="s">
        <v>4549</v>
      </c>
      <c r="B1895" t="s">
        <v>3267</v>
      </c>
      <c r="C1895" s="2" t="str">
        <f>PROPER(TRIM(Table1[[#This Row],[Gender]]))</f>
        <v>Male</v>
      </c>
      <c r="D1895" t="s">
        <v>16</v>
      </c>
      <c r="E1895">
        <v>72</v>
      </c>
      <c r="F1895" t="s">
        <v>24</v>
      </c>
      <c r="G1895" s="1">
        <v>19378</v>
      </c>
      <c r="H1895" t="s">
        <v>4550</v>
      </c>
      <c r="I1895" s="2" t="str">
        <f t="shared" si="29"/>
        <v>+91-8117278035</v>
      </c>
      <c r="J1895">
        <f>91-8117278126</f>
        <v>-8117278035</v>
      </c>
      <c r="K1895" t="s">
        <v>174</v>
      </c>
      <c r="L1895" t="s">
        <v>90</v>
      </c>
      <c r="M1895">
        <v>243277</v>
      </c>
      <c r="N1895" s="1">
        <v>45344</v>
      </c>
      <c r="O1895" t="s">
        <v>35</v>
      </c>
      <c r="P1895">
        <v>3</v>
      </c>
      <c r="Q1895">
        <v>4030.08</v>
      </c>
    </row>
    <row r="1896" spans="1:17" x14ac:dyDescent="0.3">
      <c r="A1896" t="s">
        <v>4551</v>
      </c>
      <c r="B1896" t="s">
        <v>4552</v>
      </c>
      <c r="C1896" s="2" t="str">
        <f>PROPER(TRIM(Table1[[#This Row],[Gender]]))</f>
        <v>Male</v>
      </c>
      <c r="D1896" t="s">
        <v>16</v>
      </c>
      <c r="E1896">
        <v>29</v>
      </c>
      <c r="F1896" t="s">
        <v>31</v>
      </c>
      <c r="G1896" s="1">
        <v>35073</v>
      </c>
      <c r="H1896" t="s">
        <v>4553</v>
      </c>
      <c r="I1896" s="2" t="str">
        <f t="shared" si="29"/>
        <v>+91-8948270009</v>
      </c>
      <c r="J1896">
        <f>91-8948270100</f>
        <v>-8948270009</v>
      </c>
      <c r="K1896" t="s">
        <v>64</v>
      </c>
      <c r="L1896" t="s">
        <v>20</v>
      </c>
      <c r="M1896">
        <v>322374</v>
      </c>
      <c r="N1896" s="1">
        <v>45311</v>
      </c>
      <c r="O1896" t="s">
        <v>28</v>
      </c>
      <c r="P1896">
        <v>7</v>
      </c>
      <c r="Q1896">
        <v>358298.28</v>
      </c>
    </row>
    <row r="1897" spans="1:17" x14ac:dyDescent="0.3">
      <c r="A1897" t="s">
        <v>4554</v>
      </c>
      <c r="B1897" t="s">
        <v>2785</v>
      </c>
      <c r="C1897" s="2" t="str">
        <f>PROPER(TRIM(Table1[[#This Row],[Gender]]))</f>
        <v>Female</v>
      </c>
      <c r="D1897" t="s">
        <v>43</v>
      </c>
      <c r="E1897">
        <v>20</v>
      </c>
      <c r="F1897" t="s">
        <v>49</v>
      </c>
      <c r="G1897" s="1">
        <v>38358</v>
      </c>
      <c r="H1897" t="s">
        <v>4555</v>
      </c>
      <c r="I1897" s="2" t="str">
        <f t="shared" si="29"/>
        <v>+91-9890935935</v>
      </c>
      <c r="J1897">
        <f>91-9890936026</f>
        <v>-9890935935</v>
      </c>
      <c r="K1897" t="s">
        <v>72</v>
      </c>
      <c r="L1897" t="s">
        <v>34</v>
      </c>
      <c r="M1897">
        <v>716011</v>
      </c>
      <c r="N1897" s="1">
        <v>45180</v>
      </c>
      <c r="O1897" t="s">
        <v>28</v>
      </c>
      <c r="P1897">
        <v>3</v>
      </c>
      <c r="Q1897">
        <v>66316.160000000003</v>
      </c>
    </row>
    <row r="1898" spans="1:17" x14ac:dyDescent="0.3">
      <c r="A1898" t="s">
        <v>4556</v>
      </c>
      <c r="B1898" t="s">
        <v>321</v>
      </c>
      <c r="C1898" s="2" t="str">
        <f>PROPER(TRIM(Table1[[#This Row],[Gender]]))</f>
        <v>Female</v>
      </c>
      <c r="D1898" t="s">
        <v>43</v>
      </c>
      <c r="E1898">
        <v>28</v>
      </c>
      <c r="F1898" t="s">
        <v>31</v>
      </c>
      <c r="G1898" s="1">
        <v>35438</v>
      </c>
      <c r="H1898" t="s">
        <v>4557</v>
      </c>
      <c r="I1898" s="2" t="str">
        <f t="shared" si="29"/>
        <v>+91-7338625179</v>
      </c>
      <c r="J1898">
        <f>91-7338625270</f>
        <v>-7338625179</v>
      </c>
      <c r="K1898" t="s">
        <v>113</v>
      </c>
      <c r="L1898" t="s">
        <v>34</v>
      </c>
      <c r="M1898">
        <v>990161</v>
      </c>
      <c r="N1898" s="1">
        <v>45276</v>
      </c>
      <c r="O1898" t="s">
        <v>28</v>
      </c>
      <c r="P1898">
        <v>4</v>
      </c>
      <c r="Q1898">
        <v>222320.38</v>
      </c>
    </row>
    <row r="1899" spans="1:17" x14ac:dyDescent="0.3">
      <c r="A1899" t="s">
        <v>4558</v>
      </c>
      <c r="B1899" t="s">
        <v>2600</v>
      </c>
      <c r="C1899" s="2" t="str">
        <f>PROPER(TRIM(Table1[[#This Row],[Gender]]))</f>
        <v>Male</v>
      </c>
      <c r="D1899" t="s">
        <v>16</v>
      </c>
      <c r="E1899">
        <v>24</v>
      </c>
      <c r="F1899" t="s">
        <v>49</v>
      </c>
      <c r="G1899" s="1">
        <v>36898</v>
      </c>
      <c r="H1899" t="s">
        <v>4559</v>
      </c>
      <c r="I1899" s="2" t="str">
        <f t="shared" si="29"/>
        <v>+91-7442445646</v>
      </c>
      <c r="J1899">
        <f>91-7442445737</f>
        <v>-7442445646</v>
      </c>
      <c r="K1899" t="s">
        <v>68</v>
      </c>
      <c r="L1899" t="s">
        <v>52</v>
      </c>
      <c r="M1899">
        <v>232206</v>
      </c>
      <c r="N1899" s="1">
        <v>45098</v>
      </c>
      <c r="O1899" t="s">
        <v>28</v>
      </c>
      <c r="P1899">
        <v>3</v>
      </c>
      <c r="Q1899">
        <v>94930.47</v>
      </c>
    </row>
    <row r="1900" spans="1:17" x14ac:dyDescent="0.3">
      <c r="A1900" t="s">
        <v>4560</v>
      </c>
      <c r="B1900" t="s">
        <v>1932</v>
      </c>
      <c r="C1900" s="2" t="str">
        <f>PROPER(TRIM(Table1[[#This Row],[Gender]]))</f>
        <v>Female</v>
      </c>
      <c r="D1900" t="s">
        <v>43</v>
      </c>
      <c r="E1900">
        <v>20</v>
      </c>
      <c r="F1900" t="s">
        <v>49</v>
      </c>
      <c r="G1900" s="1">
        <v>38358</v>
      </c>
      <c r="H1900" t="s">
        <v>4561</v>
      </c>
      <c r="I1900" s="2" t="str">
        <f t="shared" si="29"/>
        <v>+91-9471978138</v>
      </c>
      <c r="J1900">
        <f>91-9471978229</f>
        <v>-9471978138</v>
      </c>
      <c r="K1900" t="s">
        <v>64</v>
      </c>
      <c r="L1900" t="s">
        <v>20</v>
      </c>
      <c r="M1900">
        <v>920611</v>
      </c>
      <c r="N1900" s="1">
        <v>45260</v>
      </c>
      <c r="O1900" t="s">
        <v>28</v>
      </c>
      <c r="P1900">
        <v>4</v>
      </c>
      <c r="Q1900">
        <v>303511.28000000003</v>
      </c>
    </row>
    <row r="1901" spans="1:17" x14ac:dyDescent="0.3">
      <c r="A1901" t="s">
        <v>4562</v>
      </c>
      <c r="B1901" t="s">
        <v>3744</v>
      </c>
      <c r="C1901" s="2" t="str">
        <f>PROPER(TRIM(Table1[[#This Row],[Gender]]))</f>
        <v>Female</v>
      </c>
      <c r="D1901" t="s">
        <v>43</v>
      </c>
      <c r="E1901">
        <v>54</v>
      </c>
      <c r="F1901" t="s">
        <v>17</v>
      </c>
      <c r="G1901" s="1">
        <v>25948</v>
      </c>
      <c r="H1901" t="s">
        <v>4563</v>
      </c>
      <c r="I1901" s="2" t="str">
        <f t="shared" si="29"/>
        <v>+91-8537440238</v>
      </c>
      <c r="J1901">
        <f>91-8537440329</f>
        <v>-8537440238</v>
      </c>
      <c r="K1901" t="s">
        <v>113</v>
      </c>
      <c r="L1901" t="s">
        <v>34</v>
      </c>
      <c r="M1901">
        <v>747872</v>
      </c>
      <c r="N1901" s="1">
        <v>45215</v>
      </c>
      <c r="O1901" t="s">
        <v>21</v>
      </c>
      <c r="P1901">
        <v>3</v>
      </c>
      <c r="Q1901">
        <v>47353.42</v>
      </c>
    </row>
    <row r="1902" spans="1:17" x14ac:dyDescent="0.3">
      <c r="A1902" t="s">
        <v>4564</v>
      </c>
      <c r="B1902" t="s">
        <v>991</v>
      </c>
      <c r="C1902" s="2" t="str">
        <f>PROPER(TRIM(Table1[[#This Row],[Gender]]))</f>
        <v>Female</v>
      </c>
      <c r="D1902" t="s">
        <v>43</v>
      </c>
      <c r="E1902">
        <v>34</v>
      </c>
      <c r="F1902" t="s">
        <v>31</v>
      </c>
      <c r="G1902" s="1">
        <v>33248</v>
      </c>
      <c r="H1902" t="s">
        <v>1806</v>
      </c>
      <c r="I1902" s="2" t="str">
        <f t="shared" si="29"/>
        <v>+91-7554955570</v>
      </c>
      <c r="J1902">
        <f>91-7554955661</f>
        <v>-7554955570</v>
      </c>
      <c r="K1902" t="s">
        <v>202</v>
      </c>
      <c r="L1902" t="s">
        <v>191</v>
      </c>
      <c r="M1902">
        <v>968250</v>
      </c>
      <c r="N1902" s="1">
        <v>45265</v>
      </c>
      <c r="O1902" t="s">
        <v>28</v>
      </c>
      <c r="P1902">
        <v>6</v>
      </c>
      <c r="Q1902">
        <v>119185.4</v>
      </c>
    </row>
    <row r="1903" spans="1:17" x14ac:dyDescent="0.3">
      <c r="A1903" t="s">
        <v>4565</v>
      </c>
      <c r="B1903" t="s">
        <v>3484</v>
      </c>
      <c r="C1903" s="2" t="str">
        <f>PROPER(TRIM(Table1[[#This Row],[Gender]]))</f>
        <v>Female</v>
      </c>
      <c r="D1903" t="s">
        <v>43</v>
      </c>
      <c r="E1903">
        <v>31</v>
      </c>
      <c r="F1903" t="s">
        <v>31</v>
      </c>
      <c r="G1903" s="1">
        <v>34343</v>
      </c>
      <c r="H1903" t="s">
        <v>4566</v>
      </c>
      <c r="I1903" s="2" t="str">
        <f t="shared" si="29"/>
        <v>+91-8756793534</v>
      </c>
      <c r="J1903">
        <f>91-8756793625</f>
        <v>-8756793534</v>
      </c>
      <c r="K1903" t="s">
        <v>45</v>
      </c>
      <c r="L1903" t="s">
        <v>46</v>
      </c>
      <c r="M1903">
        <v>694689</v>
      </c>
      <c r="N1903" s="1">
        <v>45336</v>
      </c>
      <c r="O1903" t="s">
        <v>28</v>
      </c>
      <c r="P1903">
        <v>4</v>
      </c>
      <c r="Q1903">
        <v>216884.15</v>
      </c>
    </row>
    <row r="1904" spans="1:17" x14ac:dyDescent="0.3">
      <c r="A1904" t="s">
        <v>4567</v>
      </c>
      <c r="B1904" t="s">
        <v>3937</v>
      </c>
      <c r="C1904" s="2" t="str">
        <f>PROPER(TRIM(Table1[[#This Row],[Gender]]))</f>
        <v>Female</v>
      </c>
      <c r="D1904" t="s">
        <v>43</v>
      </c>
      <c r="E1904">
        <v>23</v>
      </c>
      <c r="F1904" t="s">
        <v>49</v>
      </c>
      <c r="G1904" s="1">
        <v>37263</v>
      </c>
      <c r="H1904" t="s">
        <v>4568</v>
      </c>
      <c r="I1904" s="2" t="str">
        <f t="shared" si="29"/>
        <v>+91-8704514405</v>
      </c>
      <c r="J1904">
        <f>91-8704514496</f>
        <v>-8704514405</v>
      </c>
      <c r="K1904" t="s">
        <v>331</v>
      </c>
      <c r="L1904" t="s">
        <v>143</v>
      </c>
      <c r="M1904">
        <v>196255</v>
      </c>
      <c r="N1904" s="1">
        <v>45173</v>
      </c>
      <c r="O1904" t="s">
        <v>28</v>
      </c>
      <c r="P1904">
        <v>5</v>
      </c>
      <c r="Q1904">
        <v>168463.01</v>
      </c>
    </row>
    <row r="1905" spans="1:17" x14ac:dyDescent="0.3">
      <c r="A1905" t="s">
        <v>4569</v>
      </c>
      <c r="B1905" t="s">
        <v>3836</v>
      </c>
      <c r="C1905" s="2" t="str">
        <f>PROPER(TRIM(Table1[[#This Row],[Gender]]))</f>
        <v>Male</v>
      </c>
      <c r="D1905" t="s">
        <v>16</v>
      </c>
      <c r="E1905">
        <v>59</v>
      </c>
      <c r="F1905" t="s">
        <v>58</v>
      </c>
      <c r="G1905" s="1">
        <v>24123</v>
      </c>
      <c r="H1905" t="s">
        <v>3943</v>
      </c>
      <c r="I1905" s="2" t="str">
        <f t="shared" si="29"/>
        <v>+91-8494603277</v>
      </c>
      <c r="J1905">
        <f>91-8494603368</f>
        <v>-8494603277</v>
      </c>
      <c r="K1905" t="s">
        <v>331</v>
      </c>
      <c r="L1905" t="s">
        <v>143</v>
      </c>
      <c r="M1905">
        <v>478815</v>
      </c>
      <c r="N1905" s="1">
        <v>45353</v>
      </c>
      <c r="O1905" t="s">
        <v>28</v>
      </c>
      <c r="P1905">
        <v>4</v>
      </c>
      <c r="Q1905">
        <v>61042.1</v>
      </c>
    </row>
    <row r="1906" spans="1:17" x14ac:dyDescent="0.3">
      <c r="A1906" t="s">
        <v>4570</v>
      </c>
      <c r="B1906" t="s">
        <v>4571</v>
      </c>
      <c r="C1906" s="2" t="str">
        <f>PROPER(TRIM(Table1[[#This Row],[Gender]]))</f>
        <v>Female</v>
      </c>
      <c r="D1906" t="s">
        <v>43</v>
      </c>
      <c r="E1906">
        <v>22</v>
      </c>
      <c r="F1906" t="s">
        <v>49</v>
      </c>
      <c r="G1906" s="1">
        <v>37628</v>
      </c>
      <c r="H1906" t="s">
        <v>4572</v>
      </c>
      <c r="I1906" s="2" t="str">
        <f t="shared" si="29"/>
        <v>+91-7805588861</v>
      </c>
      <c r="J1906">
        <f>91-7805588952</f>
        <v>-7805588861</v>
      </c>
      <c r="K1906" t="s">
        <v>154</v>
      </c>
      <c r="L1906" t="s">
        <v>46</v>
      </c>
      <c r="M1906">
        <v>579341</v>
      </c>
      <c r="N1906" s="1">
        <v>45231</v>
      </c>
      <c r="O1906" t="s">
        <v>28</v>
      </c>
      <c r="P1906">
        <v>6</v>
      </c>
      <c r="Q1906">
        <v>54791.88</v>
      </c>
    </row>
    <row r="1907" spans="1:17" x14ac:dyDescent="0.3">
      <c r="A1907" t="s">
        <v>4573</v>
      </c>
      <c r="B1907" t="s">
        <v>3988</v>
      </c>
      <c r="C1907" s="2" t="str">
        <f>PROPER(TRIM(Table1[[#This Row],[Gender]]))</f>
        <v>Female</v>
      </c>
      <c r="D1907" t="s">
        <v>43</v>
      </c>
      <c r="E1907">
        <v>45</v>
      </c>
      <c r="F1907" t="s">
        <v>38</v>
      </c>
      <c r="G1907" s="1">
        <v>29233</v>
      </c>
      <c r="H1907" t="s">
        <v>4574</v>
      </c>
      <c r="I1907" s="2" t="str">
        <f t="shared" si="29"/>
        <v>+91-7863231367</v>
      </c>
      <c r="J1907">
        <f>91-7863231458</f>
        <v>-7863231367</v>
      </c>
      <c r="K1907" t="s">
        <v>60</v>
      </c>
      <c r="L1907" t="s">
        <v>34</v>
      </c>
      <c r="M1907">
        <v>244038</v>
      </c>
      <c r="N1907" s="1">
        <v>45213</v>
      </c>
      <c r="O1907" t="s">
        <v>21</v>
      </c>
      <c r="P1907">
        <v>4</v>
      </c>
      <c r="Q1907">
        <v>36139.879999999997</v>
      </c>
    </row>
    <row r="1908" spans="1:17" x14ac:dyDescent="0.3">
      <c r="A1908" t="s">
        <v>4575</v>
      </c>
      <c r="B1908" t="s">
        <v>1330</v>
      </c>
      <c r="C1908" s="2" t="str">
        <f>PROPER(TRIM(Table1[[#This Row],[Gender]]))</f>
        <v>Male</v>
      </c>
      <c r="D1908" t="s">
        <v>16</v>
      </c>
      <c r="E1908">
        <v>22</v>
      </c>
      <c r="F1908" t="s">
        <v>49</v>
      </c>
      <c r="G1908" s="1">
        <v>37628</v>
      </c>
      <c r="H1908" t="s">
        <v>4576</v>
      </c>
      <c r="I1908" s="2" t="str">
        <f t="shared" si="29"/>
        <v>+91-7111286082</v>
      </c>
      <c r="J1908">
        <f>91-7111286173</f>
        <v>-7111286082</v>
      </c>
      <c r="K1908" t="s">
        <v>125</v>
      </c>
      <c r="L1908" t="s">
        <v>52</v>
      </c>
      <c r="M1908">
        <v>468398</v>
      </c>
      <c r="N1908" s="1">
        <v>45142</v>
      </c>
      <c r="O1908" t="s">
        <v>35</v>
      </c>
      <c r="P1908">
        <v>2</v>
      </c>
      <c r="Q1908">
        <v>2321.3200000000002</v>
      </c>
    </row>
    <row r="1909" spans="1:17" x14ac:dyDescent="0.3">
      <c r="A1909" t="s">
        <v>4577</v>
      </c>
      <c r="B1909" t="s">
        <v>1888</v>
      </c>
      <c r="C1909" s="2" t="str">
        <f>PROPER(TRIM(Table1[[#This Row],[Gender]]))</f>
        <v>Female</v>
      </c>
      <c r="D1909" t="s">
        <v>43</v>
      </c>
      <c r="E1909">
        <v>34</v>
      </c>
      <c r="F1909" t="s">
        <v>31</v>
      </c>
      <c r="G1909" s="1">
        <v>33248</v>
      </c>
      <c r="H1909" t="s">
        <v>4578</v>
      </c>
      <c r="I1909" s="2" t="str">
        <f t="shared" si="29"/>
        <v>+91-8685294809</v>
      </c>
      <c r="J1909">
        <f>91-8685294900</f>
        <v>-8685294809</v>
      </c>
      <c r="K1909" t="s">
        <v>33</v>
      </c>
      <c r="L1909" t="s">
        <v>34</v>
      </c>
      <c r="M1909">
        <v>599150</v>
      </c>
      <c r="N1909" s="1">
        <v>45423</v>
      </c>
      <c r="O1909" t="s">
        <v>28</v>
      </c>
      <c r="P1909">
        <v>4</v>
      </c>
      <c r="Q1909">
        <v>94690.22</v>
      </c>
    </row>
    <row r="1910" spans="1:17" x14ac:dyDescent="0.3">
      <c r="A1910" t="s">
        <v>4579</v>
      </c>
      <c r="B1910" t="s">
        <v>2525</v>
      </c>
      <c r="C1910" s="2" t="str">
        <f>PROPER(TRIM(Table1[[#This Row],[Gender]]))</f>
        <v>Male</v>
      </c>
      <c r="D1910" t="s">
        <v>16</v>
      </c>
      <c r="E1910">
        <v>30</v>
      </c>
      <c r="F1910" t="s">
        <v>31</v>
      </c>
      <c r="G1910" s="1">
        <v>34708</v>
      </c>
      <c r="H1910" t="s">
        <v>4580</v>
      </c>
      <c r="I1910" s="2" t="str">
        <f t="shared" si="29"/>
        <v>+91-8889580358</v>
      </c>
      <c r="J1910">
        <f>91-8889580449</f>
        <v>-8889580358</v>
      </c>
      <c r="K1910" t="s">
        <v>80</v>
      </c>
      <c r="L1910" t="s">
        <v>20</v>
      </c>
      <c r="M1910">
        <v>485436</v>
      </c>
      <c r="N1910" s="1">
        <v>45349</v>
      </c>
      <c r="O1910" t="s">
        <v>28</v>
      </c>
      <c r="P1910">
        <v>4</v>
      </c>
      <c r="Q1910">
        <v>92201.81</v>
      </c>
    </row>
    <row r="1911" spans="1:17" x14ac:dyDescent="0.3">
      <c r="A1911" t="s">
        <v>4581</v>
      </c>
      <c r="B1911" t="s">
        <v>4582</v>
      </c>
      <c r="C1911" s="2" t="str">
        <f>PROPER(TRIM(Table1[[#This Row],[Gender]]))</f>
        <v>Male</v>
      </c>
      <c r="D1911" t="s">
        <v>16</v>
      </c>
      <c r="E1911">
        <v>47</v>
      </c>
      <c r="F1911" t="s">
        <v>17</v>
      </c>
      <c r="G1911" s="1">
        <v>28503</v>
      </c>
      <c r="H1911" t="s">
        <v>4583</v>
      </c>
      <c r="I1911" s="2" t="str">
        <f t="shared" si="29"/>
        <v>+91-8943215552</v>
      </c>
      <c r="J1911">
        <f>91-8943215643</f>
        <v>-8943215552</v>
      </c>
      <c r="K1911" t="s">
        <v>19</v>
      </c>
      <c r="L1911" t="s">
        <v>20</v>
      </c>
      <c r="M1911">
        <v>463321</v>
      </c>
      <c r="N1911" s="1">
        <v>45336</v>
      </c>
      <c r="O1911" t="s">
        <v>35</v>
      </c>
      <c r="P1911">
        <v>3</v>
      </c>
      <c r="Q1911">
        <v>15486.46</v>
      </c>
    </row>
    <row r="1912" spans="1:17" x14ac:dyDescent="0.3">
      <c r="A1912" t="s">
        <v>4584</v>
      </c>
      <c r="B1912" t="s">
        <v>966</v>
      </c>
      <c r="C1912" s="2" t="str">
        <f>PROPER(TRIM(Table1[[#This Row],[Gender]]))</f>
        <v>Female</v>
      </c>
      <c r="D1912" t="s">
        <v>43</v>
      </c>
      <c r="E1912">
        <v>29</v>
      </c>
      <c r="F1912" t="s">
        <v>31</v>
      </c>
      <c r="G1912" s="1">
        <v>35073</v>
      </c>
      <c r="H1912" t="s">
        <v>967</v>
      </c>
      <c r="I1912" s="2" t="str">
        <f t="shared" si="29"/>
        <v>+91-7940305957</v>
      </c>
      <c r="J1912">
        <f>91-7940306048</f>
        <v>-7940305957</v>
      </c>
      <c r="K1912" t="s">
        <v>51</v>
      </c>
      <c r="L1912" t="s">
        <v>52</v>
      </c>
      <c r="M1912">
        <v>410629</v>
      </c>
      <c r="N1912" s="1">
        <v>45292</v>
      </c>
      <c r="O1912" t="s">
        <v>28</v>
      </c>
      <c r="P1912">
        <v>8</v>
      </c>
      <c r="Q1912">
        <v>275225.45</v>
      </c>
    </row>
    <row r="1913" spans="1:17" x14ac:dyDescent="0.3">
      <c r="A1913" t="s">
        <v>4585</v>
      </c>
      <c r="B1913" t="s">
        <v>2610</v>
      </c>
      <c r="C1913" s="2" t="str">
        <f>PROPER(TRIM(Table1[[#This Row],[Gender]]))</f>
        <v>Male</v>
      </c>
      <c r="D1913" t="s">
        <v>16</v>
      </c>
      <c r="E1913">
        <v>51</v>
      </c>
      <c r="F1913" t="s">
        <v>17</v>
      </c>
      <c r="G1913" s="1">
        <v>27043</v>
      </c>
      <c r="H1913" t="s">
        <v>4586</v>
      </c>
      <c r="I1913" s="2" t="str">
        <f t="shared" si="29"/>
        <v>+91-9660297076</v>
      </c>
      <c r="J1913">
        <f>91-9660297167</f>
        <v>-9660297076</v>
      </c>
      <c r="K1913" t="s">
        <v>178</v>
      </c>
      <c r="L1913" t="s">
        <v>27</v>
      </c>
      <c r="M1913">
        <v>274296</v>
      </c>
      <c r="N1913" s="1">
        <v>45287</v>
      </c>
      <c r="O1913" t="s">
        <v>21</v>
      </c>
      <c r="P1913">
        <v>7</v>
      </c>
      <c r="Q1913">
        <v>42575.8</v>
      </c>
    </row>
    <row r="1914" spans="1:17" x14ac:dyDescent="0.3">
      <c r="A1914" t="s">
        <v>4587</v>
      </c>
      <c r="B1914" t="s">
        <v>2242</v>
      </c>
      <c r="C1914" s="2" t="str">
        <f>PROPER(TRIM(Table1[[#This Row],[Gender]]))</f>
        <v>Female</v>
      </c>
      <c r="D1914" t="s">
        <v>43</v>
      </c>
      <c r="E1914">
        <v>28</v>
      </c>
      <c r="F1914" t="s">
        <v>31</v>
      </c>
      <c r="G1914" s="1">
        <v>35438</v>
      </c>
      <c r="H1914" t="s">
        <v>4588</v>
      </c>
      <c r="I1914" s="2" t="str">
        <f t="shared" si="29"/>
        <v>+91-8387078047</v>
      </c>
      <c r="J1914">
        <f>91-8387078138</f>
        <v>-8387078047</v>
      </c>
      <c r="K1914" t="s">
        <v>80</v>
      </c>
      <c r="L1914" t="s">
        <v>20</v>
      </c>
      <c r="M1914">
        <v>409033</v>
      </c>
      <c r="N1914" s="1">
        <v>45204</v>
      </c>
      <c r="O1914" t="s">
        <v>28</v>
      </c>
      <c r="P1914">
        <v>4</v>
      </c>
      <c r="Q1914">
        <v>63596.27</v>
      </c>
    </row>
    <row r="1915" spans="1:17" x14ac:dyDescent="0.3">
      <c r="A1915" t="s">
        <v>4589</v>
      </c>
      <c r="B1915" t="s">
        <v>295</v>
      </c>
      <c r="C1915" s="2" t="str">
        <f>PROPER(TRIM(Table1[[#This Row],[Gender]]))</f>
        <v>Male</v>
      </c>
      <c r="D1915" t="s">
        <v>16</v>
      </c>
      <c r="E1915">
        <v>24</v>
      </c>
      <c r="F1915" t="s">
        <v>49</v>
      </c>
      <c r="G1915" s="1">
        <v>36898</v>
      </c>
      <c r="H1915" t="s">
        <v>4590</v>
      </c>
      <c r="I1915" s="2" t="str">
        <f t="shared" si="29"/>
        <v>+91-8221283680</v>
      </c>
      <c r="J1915">
        <f>91-8221283771</f>
        <v>-8221283680</v>
      </c>
      <c r="K1915" t="s">
        <v>113</v>
      </c>
      <c r="L1915" t="s">
        <v>34</v>
      </c>
      <c r="M1915">
        <v>660468</v>
      </c>
      <c r="N1915" s="1">
        <v>45236</v>
      </c>
      <c r="O1915" t="s">
        <v>35</v>
      </c>
      <c r="P1915">
        <v>1</v>
      </c>
      <c r="Q1915">
        <v>1947.06</v>
      </c>
    </row>
    <row r="1916" spans="1:17" x14ac:dyDescent="0.3">
      <c r="A1916" t="s">
        <v>4591</v>
      </c>
      <c r="B1916" t="s">
        <v>4133</v>
      </c>
      <c r="C1916" s="2" t="str">
        <f>PROPER(TRIM(Table1[[#This Row],[Gender]]))</f>
        <v>Male</v>
      </c>
      <c r="D1916" t="s">
        <v>16</v>
      </c>
      <c r="E1916">
        <v>52</v>
      </c>
      <c r="F1916" t="s">
        <v>17</v>
      </c>
      <c r="G1916" s="1">
        <v>26678</v>
      </c>
      <c r="H1916" t="s">
        <v>4592</v>
      </c>
      <c r="I1916" s="2" t="str">
        <f t="shared" si="29"/>
        <v>+91-8102991758</v>
      </c>
      <c r="J1916">
        <f>91-8102991849</f>
        <v>-8102991758</v>
      </c>
      <c r="K1916" t="s">
        <v>249</v>
      </c>
      <c r="L1916" t="s">
        <v>34</v>
      </c>
      <c r="M1916">
        <v>192168</v>
      </c>
      <c r="N1916" s="1">
        <v>45185</v>
      </c>
      <c r="O1916" t="s">
        <v>21</v>
      </c>
      <c r="P1916">
        <v>3</v>
      </c>
      <c r="Q1916">
        <v>26851.67</v>
      </c>
    </row>
    <row r="1917" spans="1:17" x14ac:dyDescent="0.3">
      <c r="A1917" t="s">
        <v>4593</v>
      </c>
      <c r="B1917" t="s">
        <v>957</v>
      </c>
      <c r="C1917" s="2" t="str">
        <f>PROPER(TRIM(Table1[[#This Row],[Gender]]))</f>
        <v>Female</v>
      </c>
      <c r="D1917" t="s">
        <v>43</v>
      </c>
      <c r="E1917">
        <v>22</v>
      </c>
      <c r="F1917" t="s">
        <v>49</v>
      </c>
      <c r="G1917" s="1">
        <v>37628</v>
      </c>
      <c r="H1917" t="s">
        <v>4594</v>
      </c>
      <c r="I1917" s="2" t="str">
        <f t="shared" si="29"/>
        <v>+91-9044517812</v>
      </c>
      <c r="J1917">
        <f>91-9044517903</f>
        <v>-9044517812</v>
      </c>
      <c r="K1917" t="s">
        <v>89</v>
      </c>
      <c r="L1917" t="s">
        <v>90</v>
      </c>
      <c r="M1917">
        <v>330444</v>
      </c>
      <c r="N1917" s="1">
        <v>45319</v>
      </c>
      <c r="O1917" t="s">
        <v>21</v>
      </c>
      <c r="P1917">
        <v>1</v>
      </c>
      <c r="Q1917">
        <v>46813.85</v>
      </c>
    </row>
    <row r="1918" spans="1:17" x14ac:dyDescent="0.3">
      <c r="A1918" t="s">
        <v>4595</v>
      </c>
      <c r="B1918" t="s">
        <v>4402</v>
      </c>
      <c r="C1918" s="2" t="str">
        <f>PROPER(TRIM(Table1[[#This Row],[Gender]]))</f>
        <v>Male</v>
      </c>
      <c r="D1918" t="s">
        <v>16</v>
      </c>
      <c r="E1918">
        <v>37</v>
      </c>
      <c r="F1918" t="s">
        <v>38</v>
      </c>
      <c r="G1918" s="1">
        <v>32153</v>
      </c>
      <c r="H1918" t="s">
        <v>4596</v>
      </c>
      <c r="I1918" s="2" t="str">
        <f t="shared" si="29"/>
        <v>+91-8426523587</v>
      </c>
      <c r="J1918">
        <f>91-8426523678</f>
        <v>-8426523587</v>
      </c>
      <c r="K1918" t="s">
        <v>84</v>
      </c>
      <c r="L1918" t="s">
        <v>85</v>
      </c>
      <c r="M1918">
        <v>336887</v>
      </c>
      <c r="N1918" s="1">
        <v>45390</v>
      </c>
      <c r="O1918" t="s">
        <v>28</v>
      </c>
      <c r="P1918">
        <v>8</v>
      </c>
      <c r="Q1918">
        <v>136338.21</v>
      </c>
    </row>
    <row r="1919" spans="1:17" x14ac:dyDescent="0.3">
      <c r="A1919" t="s">
        <v>4597</v>
      </c>
      <c r="B1919" t="s">
        <v>949</v>
      </c>
      <c r="C1919" s="2" t="str">
        <f>PROPER(TRIM(Table1[[#This Row],[Gender]]))</f>
        <v>Male</v>
      </c>
      <c r="D1919" t="s">
        <v>16</v>
      </c>
      <c r="E1919">
        <v>22</v>
      </c>
      <c r="F1919" t="s">
        <v>49</v>
      </c>
      <c r="G1919" s="1">
        <v>37628</v>
      </c>
      <c r="H1919" t="s">
        <v>4598</v>
      </c>
      <c r="I1919" s="2" t="str">
        <f t="shared" si="29"/>
        <v>+91-8524758067</v>
      </c>
      <c r="J1919">
        <f>91-8524758158</f>
        <v>-8524758067</v>
      </c>
      <c r="K1919" t="s">
        <v>165</v>
      </c>
      <c r="L1919" t="s">
        <v>52</v>
      </c>
      <c r="M1919">
        <v>769184</v>
      </c>
      <c r="N1919" s="1">
        <v>45132</v>
      </c>
      <c r="O1919" t="s">
        <v>28</v>
      </c>
      <c r="P1919">
        <v>5</v>
      </c>
      <c r="Q1919">
        <v>132471.75</v>
      </c>
    </row>
    <row r="1920" spans="1:17" x14ac:dyDescent="0.3">
      <c r="A1920" t="s">
        <v>4599</v>
      </c>
      <c r="B1920" t="s">
        <v>3471</v>
      </c>
      <c r="C1920" s="2" t="str">
        <f>PROPER(TRIM(Table1[[#This Row],[Gender]]))</f>
        <v>Male</v>
      </c>
      <c r="D1920" t="s">
        <v>16</v>
      </c>
      <c r="E1920">
        <v>32</v>
      </c>
      <c r="F1920" t="s">
        <v>31</v>
      </c>
      <c r="G1920" s="1">
        <v>33978</v>
      </c>
      <c r="H1920" t="s">
        <v>4600</v>
      </c>
      <c r="I1920" s="2" t="str">
        <f t="shared" si="29"/>
        <v>+91-8817639134</v>
      </c>
      <c r="J1920">
        <f>91-8817639225</f>
        <v>-8817639134</v>
      </c>
      <c r="K1920" t="s">
        <v>117</v>
      </c>
      <c r="L1920" t="s">
        <v>52</v>
      </c>
      <c r="M1920">
        <v>965025</v>
      </c>
      <c r="N1920" s="1">
        <v>45291</v>
      </c>
      <c r="O1920" t="s">
        <v>35</v>
      </c>
      <c r="P1920">
        <v>2</v>
      </c>
      <c r="Q1920">
        <v>4050.17</v>
      </c>
    </row>
    <row r="1921" spans="1:17" x14ac:dyDescent="0.3">
      <c r="A1921" t="s">
        <v>4601</v>
      </c>
      <c r="B1921" t="s">
        <v>534</v>
      </c>
      <c r="C1921" s="2" t="str">
        <f>PROPER(TRIM(Table1[[#This Row],[Gender]]))</f>
        <v>Female</v>
      </c>
      <c r="D1921" t="s">
        <v>43</v>
      </c>
      <c r="E1921">
        <v>25</v>
      </c>
      <c r="F1921" t="s">
        <v>49</v>
      </c>
      <c r="G1921" s="1">
        <v>36533</v>
      </c>
      <c r="H1921" t="s">
        <v>4602</v>
      </c>
      <c r="I1921" s="2" t="str">
        <f t="shared" si="29"/>
        <v>+91-9218084041</v>
      </c>
      <c r="J1921">
        <f>91-9218084132</f>
        <v>-9218084041</v>
      </c>
      <c r="K1921" t="s">
        <v>154</v>
      </c>
      <c r="L1921" t="s">
        <v>46</v>
      </c>
      <c r="M1921">
        <v>937549</v>
      </c>
      <c r="N1921" s="1">
        <v>45347</v>
      </c>
      <c r="O1921" t="s">
        <v>28</v>
      </c>
      <c r="P1921">
        <v>6</v>
      </c>
      <c r="Q1921">
        <v>271174.02</v>
      </c>
    </row>
    <row r="1922" spans="1:17" x14ac:dyDescent="0.3">
      <c r="A1922" t="s">
        <v>4603</v>
      </c>
      <c r="B1922" t="s">
        <v>1405</v>
      </c>
      <c r="C1922" s="2" t="str">
        <f>PROPER(TRIM(Table1[[#This Row],[Gender]]))</f>
        <v>Male</v>
      </c>
      <c r="D1922" t="s">
        <v>16</v>
      </c>
      <c r="E1922">
        <v>30</v>
      </c>
      <c r="F1922" t="s">
        <v>31</v>
      </c>
      <c r="G1922" s="1">
        <v>34708</v>
      </c>
      <c r="H1922" t="s">
        <v>4604</v>
      </c>
      <c r="I1922" s="2" t="str">
        <f t="shared" ref="I1922:I1985" si="30">"+91"&amp;TEXT(J1922,"0000000000")</f>
        <v>+91-9884196664</v>
      </c>
      <c r="J1922">
        <f>91-9884196755</f>
        <v>-9884196664</v>
      </c>
      <c r="K1922" t="s">
        <v>147</v>
      </c>
      <c r="L1922" t="s">
        <v>143</v>
      </c>
      <c r="M1922">
        <v>850842</v>
      </c>
      <c r="N1922" s="1">
        <v>45114</v>
      </c>
      <c r="O1922" t="s">
        <v>28</v>
      </c>
      <c r="P1922">
        <v>4</v>
      </c>
      <c r="Q1922">
        <v>206637.12</v>
      </c>
    </row>
    <row r="1923" spans="1:17" x14ac:dyDescent="0.3">
      <c r="A1923" t="s">
        <v>4605</v>
      </c>
      <c r="B1923" t="s">
        <v>868</v>
      </c>
      <c r="C1923" s="2" t="str">
        <f>PROPER(TRIM(Table1[[#This Row],[Gender]]))</f>
        <v>Female</v>
      </c>
      <c r="D1923" t="s">
        <v>43</v>
      </c>
      <c r="E1923">
        <v>37</v>
      </c>
      <c r="F1923" t="s">
        <v>38</v>
      </c>
      <c r="G1923" s="1">
        <v>32153</v>
      </c>
      <c r="H1923" t="s">
        <v>869</v>
      </c>
      <c r="I1923" s="2" t="str">
        <f t="shared" si="30"/>
        <v>+91-7587466103</v>
      </c>
      <c r="J1923">
        <f>91-7587466194</f>
        <v>-7587466103</v>
      </c>
      <c r="K1923" t="s">
        <v>174</v>
      </c>
      <c r="L1923" t="s">
        <v>90</v>
      </c>
      <c r="M1923">
        <v>716513</v>
      </c>
      <c r="N1923" s="1">
        <v>45219</v>
      </c>
      <c r="O1923" t="s">
        <v>28</v>
      </c>
      <c r="P1923">
        <v>8</v>
      </c>
      <c r="Q1923">
        <v>97519.46</v>
      </c>
    </row>
    <row r="1924" spans="1:17" x14ac:dyDescent="0.3">
      <c r="A1924" t="s">
        <v>4606</v>
      </c>
      <c r="B1924" t="s">
        <v>1803</v>
      </c>
      <c r="C1924" s="2" t="str">
        <f>PROPER(TRIM(Table1[[#This Row],[Gender]]))</f>
        <v>Female</v>
      </c>
      <c r="D1924" t="s">
        <v>43</v>
      </c>
      <c r="E1924">
        <v>37</v>
      </c>
      <c r="F1924" t="s">
        <v>38</v>
      </c>
      <c r="G1924" s="1">
        <v>32153</v>
      </c>
      <c r="H1924" t="s">
        <v>4607</v>
      </c>
      <c r="I1924" s="2" t="str">
        <f t="shared" si="30"/>
        <v>+91-8408534553</v>
      </c>
      <c r="J1924">
        <f>91-8408534644</f>
        <v>-8408534553</v>
      </c>
      <c r="K1924" t="s">
        <v>101</v>
      </c>
      <c r="L1924" t="s">
        <v>102</v>
      </c>
      <c r="M1924">
        <v>863674</v>
      </c>
      <c r="N1924" s="1">
        <v>45149</v>
      </c>
      <c r="O1924" t="s">
        <v>28</v>
      </c>
      <c r="P1924">
        <v>7</v>
      </c>
      <c r="Q1924">
        <v>70557.91</v>
      </c>
    </row>
    <row r="1925" spans="1:17" x14ac:dyDescent="0.3">
      <c r="A1925" t="s">
        <v>4608</v>
      </c>
      <c r="B1925" t="s">
        <v>625</v>
      </c>
      <c r="C1925" s="2" t="str">
        <f>PROPER(TRIM(Table1[[#This Row],[Gender]]))</f>
        <v>Female</v>
      </c>
      <c r="D1925" t="s">
        <v>43</v>
      </c>
      <c r="E1925">
        <v>19</v>
      </c>
      <c r="F1925" t="s">
        <v>49</v>
      </c>
      <c r="G1925" s="1">
        <v>38723</v>
      </c>
      <c r="H1925" t="s">
        <v>4609</v>
      </c>
      <c r="I1925" s="2" t="str">
        <f t="shared" si="30"/>
        <v>+91-8114889623</v>
      </c>
      <c r="J1925">
        <f>91-8114889714</f>
        <v>-8114889623</v>
      </c>
      <c r="K1925" t="s">
        <v>109</v>
      </c>
      <c r="L1925" t="s">
        <v>46</v>
      </c>
      <c r="M1925">
        <v>554734</v>
      </c>
      <c r="N1925" s="1">
        <v>45423</v>
      </c>
      <c r="O1925" t="s">
        <v>28</v>
      </c>
      <c r="P1925">
        <v>10</v>
      </c>
      <c r="Q1925">
        <v>260954.4</v>
      </c>
    </row>
    <row r="1926" spans="1:17" x14ac:dyDescent="0.3">
      <c r="A1926" t="s">
        <v>4610</v>
      </c>
      <c r="B1926" t="s">
        <v>4390</v>
      </c>
      <c r="C1926" s="2" t="str">
        <f>PROPER(TRIM(Table1[[#This Row],[Gender]]))</f>
        <v>Female</v>
      </c>
      <c r="D1926" t="s">
        <v>43</v>
      </c>
      <c r="E1926">
        <v>31</v>
      </c>
      <c r="F1926" t="s">
        <v>31</v>
      </c>
      <c r="G1926" s="1">
        <v>34343</v>
      </c>
      <c r="H1926" t="s">
        <v>4611</v>
      </c>
      <c r="I1926" s="2" t="str">
        <f t="shared" si="30"/>
        <v>+91-7675763551</v>
      </c>
      <c r="J1926">
        <f>91-7675763642</f>
        <v>-7675763551</v>
      </c>
      <c r="K1926" t="s">
        <v>142</v>
      </c>
      <c r="L1926" t="s">
        <v>143</v>
      </c>
      <c r="M1926">
        <v>416715</v>
      </c>
      <c r="N1926" s="1">
        <v>45192</v>
      </c>
      <c r="O1926" t="s">
        <v>28</v>
      </c>
      <c r="P1926">
        <v>1</v>
      </c>
      <c r="Q1926">
        <v>185459.01</v>
      </c>
    </row>
    <row r="1927" spans="1:17" x14ac:dyDescent="0.3">
      <c r="A1927" t="s">
        <v>4612</v>
      </c>
      <c r="B1927" t="s">
        <v>4613</v>
      </c>
      <c r="C1927" s="2" t="str">
        <f>PROPER(TRIM(Table1[[#This Row],[Gender]]))</f>
        <v>Male</v>
      </c>
      <c r="D1927" t="s">
        <v>16</v>
      </c>
      <c r="E1927">
        <v>32</v>
      </c>
      <c r="F1927" t="s">
        <v>31</v>
      </c>
      <c r="G1927" s="1">
        <v>33978</v>
      </c>
      <c r="H1927" t="s">
        <v>4614</v>
      </c>
      <c r="I1927" s="2" t="str">
        <f t="shared" si="30"/>
        <v>+91-9011864305</v>
      </c>
      <c r="J1927">
        <f>91-9011864396</f>
        <v>-9011864305</v>
      </c>
      <c r="K1927" t="s">
        <v>195</v>
      </c>
      <c r="L1927" t="s">
        <v>102</v>
      </c>
      <c r="M1927">
        <v>299499</v>
      </c>
      <c r="N1927" s="1">
        <v>45244</v>
      </c>
      <c r="O1927" t="s">
        <v>28</v>
      </c>
      <c r="P1927">
        <v>5</v>
      </c>
      <c r="Q1927">
        <v>157034.85</v>
      </c>
    </row>
    <row r="1928" spans="1:17" x14ac:dyDescent="0.3">
      <c r="A1928" t="s">
        <v>4615</v>
      </c>
      <c r="B1928" t="s">
        <v>2999</v>
      </c>
      <c r="C1928" s="2" t="str">
        <f>PROPER(TRIM(Table1[[#This Row],[Gender]]))</f>
        <v>Female</v>
      </c>
      <c r="D1928" t="s">
        <v>43</v>
      </c>
      <c r="E1928">
        <v>44</v>
      </c>
      <c r="F1928" t="s">
        <v>38</v>
      </c>
      <c r="G1928" s="1">
        <v>29598</v>
      </c>
      <c r="H1928" t="s">
        <v>4616</v>
      </c>
      <c r="I1928" s="2" t="str">
        <f t="shared" si="30"/>
        <v>+91-9880817342</v>
      </c>
      <c r="J1928">
        <f>91-9880817433</f>
        <v>-9880817342</v>
      </c>
      <c r="K1928" t="s">
        <v>415</v>
      </c>
      <c r="L1928" t="s">
        <v>90</v>
      </c>
      <c r="M1928">
        <v>802591</v>
      </c>
      <c r="N1928" s="1">
        <v>45398</v>
      </c>
      <c r="O1928" t="s">
        <v>28</v>
      </c>
      <c r="P1928">
        <v>5</v>
      </c>
      <c r="Q1928">
        <v>115027.77</v>
      </c>
    </row>
    <row r="1929" spans="1:17" x14ac:dyDescent="0.3">
      <c r="A1929" t="s">
        <v>4617</v>
      </c>
      <c r="B1929" t="s">
        <v>946</v>
      </c>
      <c r="C1929" s="2" t="str">
        <f>PROPER(TRIM(Table1[[#This Row],[Gender]]))</f>
        <v>Female</v>
      </c>
      <c r="D1929" t="s">
        <v>43</v>
      </c>
      <c r="E1929">
        <v>24</v>
      </c>
      <c r="F1929" t="s">
        <v>49</v>
      </c>
      <c r="G1929" s="1">
        <v>36898</v>
      </c>
      <c r="H1929" t="s">
        <v>4618</v>
      </c>
      <c r="I1929" s="2" t="str">
        <f t="shared" si="30"/>
        <v>+91-9080397853</v>
      </c>
      <c r="J1929">
        <f>91-9080397944</f>
        <v>-9080397853</v>
      </c>
      <c r="K1929" t="s">
        <v>76</v>
      </c>
      <c r="L1929" t="s">
        <v>46</v>
      </c>
      <c r="M1929">
        <v>496515</v>
      </c>
      <c r="N1929" s="1">
        <v>45137</v>
      </c>
      <c r="O1929" t="s">
        <v>28</v>
      </c>
      <c r="P1929">
        <v>5</v>
      </c>
      <c r="Q1929">
        <v>111169.57</v>
      </c>
    </row>
    <row r="1930" spans="1:17" x14ac:dyDescent="0.3">
      <c r="A1930" t="s">
        <v>4619</v>
      </c>
      <c r="B1930" t="s">
        <v>2999</v>
      </c>
      <c r="C1930" s="2" t="str">
        <f>PROPER(TRIM(Table1[[#This Row],[Gender]]))</f>
        <v>Female</v>
      </c>
      <c r="D1930" t="s">
        <v>43</v>
      </c>
      <c r="E1930">
        <v>37</v>
      </c>
      <c r="F1930" t="s">
        <v>38</v>
      </c>
      <c r="G1930" s="1">
        <v>32153</v>
      </c>
      <c r="H1930" t="s">
        <v>3000</v>
      </c>
      <c r="I1930" s="2" t="str">
        <f t="shared" si="30"/>
        <v>+91-7534981901</v>
      </c>
      <c r="J1930">
        <f>91-7534981992</f>
        <v>-7534981901</v>
      </c>
      <c r="K1930" t="s">
        <v>89</v>
      </c>
      <c r="L1930" t="s">
        <v>90</v>
      </c>
      <c r="M1930">
        <v>447702</v>
      </c>
      <c r="N1930" s="1">
        <v>45403</v>
      </c>
      <c r="O1930" t="s">
        <v>28</v>
      </c>
      <c r="P1930">
        <v>7</v>
      </c>
      <c r="Q1930">
        <v>126102.92</v>
      </c>
    </row>
    <row r="1931" spans="1:17" x14ac:dyDescent="0.3">
      <c r="A1931" t="s">
        <v>4620</v>
      </c>
      <c r="B1931" t="s">
        <v>1956</v>
      </c>
      <c r="C1931" s="2" t="str">
        <f>PROPER(TRIM(Table1[[#This Row],[Gender]]))</f>
        <v>Female</v>
      </c>
      <c r="D1931" t="s">
        <v>43</v>
      </c>
      <c r="E1931">
        <v>23</v>
      </c>
      <c r="F1931" t="s">
        <v>49</v>
      </c>
      <c r="G1931" s="1">
        <v>37263</v>
      </c>
      <c r="H1931" t="s">
        <v>4621</v>
      </c>
      <c r="I1931" s="2" t="str">
        <f t="shared" si="30"/>
        <v>+91-9415723965</v>
      </c>
      <c r="J1931">
        <f>91-9415724056</f>
        <v>-9415723965</v>
      </c>
      <c r="K1931" t="s">
        <v>40</v>
      </c>
      <c r="L1931" t="s">
        <v>27</v>
      </c>
      <c r="M1931">
        <v>512573</v>
      </c>
      <c r="N1931" s="1">
        <v>45286</v>
      </c>
      <c r="O1931" t="s">
        <v>35</v>
      </c>
      <c r="P1931">
        <v>2</v>
      </c>
      <c r="Q1931">
        <v>1701.58</v>
      </c>
    </row>
    <row r="1932" spans="1:17" x14ac:dyDescent="0.3">
      <c r="A1932" t="s">
        <v>4622</v>
      </c>
      <c r="B1932" t="s">
        <v>1533</v>
      </c>
      <c r="C1932" s="2" t="str">
        <f>PROPER(TRIM(Table1[[#This Row],[Gender]]))</f>
        <v>Male</v>
      </c>
      <c r="D1932" t="s">
        <v>16</v>
      </c>
      <c r="E1932">
        <v>39</v>
      </c>
      <c r="F1932" t="s">
        <v>38</v>
      </c>
      <c r="G1932" s="1">
        <v>31423</v>
      </c>
      <c r="H1932" t="s">
        <v>4623</v>
      </c>
      <c r="I1932" s="2" t="str">
        <f t="shared" si="30"/>
        <v>+91-8434904056</v>
      </c>
      <c r="J1932">
        <f>91-8434904147</f>
        <v>-8434904056</v>
      </c>
      <c r="K1932" t="s">
        <v>64</v>
      </c>
      <c r="L1932" t="s">
        <v>20</v>
      </c>
      <c r="M1932">
        <v>378419</v>
      </c>
      <c r="N1932" s="1">
        <v>45113</v>
      </c>
      <c r="O1932" t="s">
        <v>28</v>
      </c>
      <c r="P1932">
        <v>3</v>
      </c>
      <c r="Q1932">
        <v>174654.91</v>
      </c>
    </row>
    <row r="1933" spans="1:17" x14ac:dyDescent="0.3">
      <c r="A1933" t="s">
        <v>4624</v>
      </c>
      <c r="B1933" t="s">
        <v>1677</v>
      </c>
      <c r="C1933" s="2" t="str">
        <f>PROPER(TRIM(Table1[[#This Row],[Gender]]))</f>
        <v>Female</v>
      </c>
      <c r="D1933" t="s">
        <v>43</v>
      </c>
      <c r="E1933">
        <v>22</v>
      </c>
      <c r="F1933" t="s">
        <v>49</v>
      </c>
      <c r="G1933" s="1">
        <v>37628</v>
      </c>
      <c r="H1933" t="s">
        <v>4625</v>
      </c>
      <c r="I1933" s="2" t="str">
        <f t="shared" si="30"/>
        <v>+91-9795934743</v>
      </c>
      <c r="J1933">
        <f>91-9795934834</f>
        <v>-9795934743</v>
      </c>
      <c r="K1933" t="s">
        <v>161</v>
      </c>
      <c r="L1933" t="s">
        <v>102</v>
      </c>
      <c r="M1933">
        <v>650690</v>
      </c>
      <c r="N1933" s="1">
        <v>45374</v>
      </c>
      <c r="O1933" t="s">
        <v>28</v>
      </c>
      <c r="P1933">
        <v>2</v>
      </c>
      <c r="Q1933">
        <v>125397.28</v>
      </c>
    </row>
    <row r="1934" spans="1:17" x14ac:dyDescent="0.3">
      <c r="A1934" t="s">
        <v>4626</v>
      </c>
      <c r="B1934" t="s">
        <v>884</v>
      </c>
      <c r="C1934" s="2" t="str">
        <f>PROPER(TRIM(Table1[[#This Row],[Gender]]))</f>
        <v>Male</v>
      </c>
      <c r="D1934" t="s">
        <v>16</v>
      </c>
      <c r="E1934">
        <v>40</v>
      </c>
      <c r="F1934" t="s">
        <v>38</v>
      </c>
      <c r="G1934" s="1">
        <v>31058</v>
      </c>
      <c r="H1934" t="s">
        <v>4627</v>
      </c>
      <c r="I1934" s="2" t="str">
        <f t="shared" si="30"/>
        <v>+91-8345481966</v>
      </c>
      <c r="J1934">
        <f>91-8345482057</f>
        <v>-8345481966</v>
      </c>
      <c r="K1934" t="s">
        <v>26</v>
      </c>
      <c r="L1934" t="s">
        <v>27</v>
      </c>
      <c r="M1934">
        <v>439541</v>
      </c>
      <c r="N1934" s="1">
        <v>45182</v>
      </c>
      <c r="O1934" t="s">
        <v>35</v>
      </c>
      <c r="P1934">
        <v>2</v>
      </c>
      <c r="Q1934">
        <v>19880.04</v>
      </c>
    </row>
    <row r="1935" spans="1:17" x14ac:dyDescent="0.3">
      <c r="A1935" t="s">
        <v>4628</v>
      </c>
      <c r="B1935" t="s">
        <v>4266</v>
      </c>
      <c r="C1935" s="2" t="str">
        <f>PROPER(TRIM(Table1[[#This Row],[Gender]]))</f>
        <v>Male</v>
      </c>
      <c r="D1935" t="s">
        <v>16</v>
      </c>
      <c r="E1935">
        <v>37</v>
      </c>
      <c r="F1935" t="s">
        <v>38</v>
      </c>
      <c r="G1935" s="1">
        <v>32153</v>
      </c>
      <c r="H1935" t="s">
        <v>4629</v>
      </c>
      <c r="I1935" s="2" t="str">
        <f t="shared" si="30"/>
        <v>+91-7334379103</v>
      </c>
      <c r="J1935">
        <f>91-7334379194</f>
        <v>-7334379103</v>
      </c>
      <c r="K1935" t="s">
        <v>190</v>
      </c>
      <c r="L1935" t="s">
        <v>191</v>
      </c>
      <c r="M1935">
        <v>483038</v>
      </c>
      <c r="N1935" s="1">
        <v>45243</v>
      </c>
      <c r="O1935" t="s">
        <v>28</v>
      </c>
      <c r="P1935">
        <v>7</v>
      </c>
      <c r="Q1935">
        <v>400865.8</v>
      </c>
    </row>
    <row r="1936" spans="1:17" x14ac:dyDescent="0.3">
      <c r="A1936" t="s">
        <v>4630</v>
      </c>
      <c r="B1936" t="s">
        <v>342</v>
      </c>
      <c r="C1936" s="2" t="str">
        <f>PROPER(TRIM(Table1[[#This Row],[Gender]]))</f>
        <v>Male</v>
      </c>
      <c r="D1936" t="s">
        <v>16</v>
      </c>
      <c r="E1936">
        <v>30</v>
      </c>
      <c r="F1936" t="s">
        <v>31</v>
      </c>
      <c r="G1936" s="1">
        <v>34708</v>
      </c>
      <c r="H1936" t="s">
        <v>4631</v>
      </c>
      <c r="I1936" s="2" t="str">
        <f t="shared" si="30"/>
        <v>+91-8850500199</v>
      </c>
      <c r="J1936">
        <f>91-8850500290</f>
        <v>-8850500199</v>
      </c>
      <c r="K1936" t="s">
        <v>113</v>
      </c>
      <c r="L1936" t="s">
        <v>34</v>
      </c>
      <c r="M1936">
        <v>246762</v>
      </c>
      <c r="N1936" s="1">
        <v>45223</v>
      </c>
      <c r="O1936" t="s">
        <v>28</v>
      </c>
      <c r="P1936">
        <v>3</v>
      </c>
      <c r="Q1936">
        <v>87218.66</v>
      </c>
    </row>
    <row r="1937" spans="1:17" x14ac:dyDescent="0.3">
      <c r="A1937" t="s">
        <v>4632</v>
      </c>
      <c r="B1937" t="s">
        <v>472</v>
      </c>
      <c r="C1937" s="2" t="str">
        <f>PROPER(TRIM(Table1[[#This Row],[Gender]]))</f>
        <v>Male</v>
      </c>
      <c r="D1937" t="s">
        <v>16</v>
      </c>
      <c r="E1937">
        <v>49</v>
      </c>
      <c r="F1937" t="s">
        <v>17</v>
      </c>
      <c r="G1937" s="1">
        <v>27773</v>
      </c>
      <c r="H1937" t="s">
        <v>1567</v>
      </c>
      <c r="I1937" s="2" t="str">
        <f t="shared" si="30"/>
        <v>+91-9289466569</v>
      </c>
      <c r="J1937">
        <f>91-9289466660</f>
        <v>-9289466569</v>
      </c>
      <c r="K1937" t="s">
        <v>60</v>
      </c>
      <c r="L1937" t="s">
        <v>34</v>
      </c>
      <c r="M1937">
        <v>467822</v>
      </c>
      <c r="N1937" s="1">
        <v>45147</v>
      </c>
      <c r="O1937" t="s">
        <v>21</v>
      </c>
      <c r="P1937">
        <v>6</v>
      </c>
      <c r="Q1937">
        <v>35237.300000000003</v>
      </c>
    </row>
    <row r="1938" spans="1:17" x14ac:dyDescent="0.3">
      <c r="A1938" t="s">
        <v>4633</v>
      </c>
      <c r="B1938" t="s">
        <v>2587</v>
      </c>
      <c r="C1938" s="2" t="str">
        <f>PROPER(TRIM(Table1[[#This Row],[Gender]]))</f>
        <v>Female</v>
      </c>
      <c r="D1938" t="s">
        <v>43</v>
      </c>
      <c r="E1938">
        <v>35</v>
      </c>
      <c r="F1938" t="s">
        <v>31</v>
      </c>
      <c r="G1938" s="1">
        <v>32883</v>
      </c>
      <c r="H1938" t="s">
        <v>4634</v>
      </c>
      <c r="I1938" s="2" t="str">
        <f t="shared" si="30"/>
        <v>+91-9881714461</v>
      </c>
      <c r="J1938">
        <f>91-9881714552</f>
        <v>-9881714461</v>
      </c>
      <c r="K1938" t="s">
        <v>26</v>
      </c>
      <c r="L1938" t="s">
        <v>27</v>
      </c>
      <c r="M1938">
        <v>633890</v>
      </c>
      <c r="N1938" s="1">
        <v>45343</v>
      </c>
      <c r="O1938" t="s">
        <v>35</v>
      </c>
      <c r="P1938">
        <v>1</v>
      </c>
      <c r="Q1938">
        <v>16088.17</v>
      </c>
    </row>
    <row r="1939" spans="1:17" x14ac:dyDescent="0.3">
      <c r="A1939" t="s">
        <v>4635</v>
      </c>
      <c r="B1939" t="s">
        <v>3103</v>
      </c>
      <c r="C1939" s="2" t="str">
        <f>PROPER(TRIM(Table1[[#This Row],[Gender]]))</f>
        <v>Male</v>
      </c>
      <c r="D1939" t="s">
        <v>16</v>
      </c>
      <c r="E1939">
        <v>45</v>
      </c>
      <c r="F1939" t="s">
        <v>38</v>
      </c>
      <c r="G1939" s="1">
        <v>29233</v>
      </c>
      <c r="H1939" t="s">
        <v>4636</v>
      </c>
      <c r="I1939" s="2" t="str">
        <f t="shared" si="30"/>
        <v>+91-9004926165</v>
      </c>
      <c r="J1939">
        <f>91-9004926256</f>
        <v>-9004926165</v>
      </c>
      <c r="K1939" t="s">
        <v>68</v>
      </c>
      <c r="L1939" t="s">
        <v>52</v>
      </c>
      <c r="M1939">
        <v>209440</v>
      </c>
      <c r="N1939" s="1">
        <v>45430</v>
      </c>
      <c r="O1939" t="s">
        <v>28</v>
      </c>
      <c r="P1939">
        <v>4</v>
      </c>
      <c r="Q1939">
        <v>57925.52</v>
      </c>
    </row>
    <row r="1940" spans="1:17" x14ac:dyDescent="0.3">
      <c r="A1940" t="s">
        <v>4637</v>
      </c>
      <c r="B1940" t="s">
        <v>4638</v>
      </c>
      <c r="C1940" s="2" t="str">
        <f>PROPER(TRIM(Table1[[#This Row],[Gender]]))</f>
        <v>Male</v>
      </c>
      <c r="D1940" t="s">
        <v>16</v>
      </c>
      <c r="E1940">
        <v>33</v>
      </c>
      <c r="F1940" t="s">
        <v>31</v>
      </c>
      <c r="G1940" s="1">
        <v>33613</v>
      </c>
      <c r="H1940" t="s">
        <v>4639</v>
      </c>
      <c r="I1940" s="2" t="str">
        <f t="shared" si="30"/>
        <v>+91-9090480742</v>
      </c>
      <c r="J1940">
        <f>91-9090480833</f>
        <v>-9090480742</v>
      </c>
      <c r="K1940" t="s">
        <v>202</v>
      </c>
      <c r="L1940" t="s">
        <v>191</v>
      </c>
      <c r="M1940">
        <v>288569</v>
      </c>
      <c r="N1940" s="1">
        <v>45371</v>
      </c>
      <c r="O1940" t="s">
        <v>28</v>
      </c>
      <c r="P1940">
        <v>5</v>
      </c>
      <c r="Q1940">
        <v>148855.1</v>
      </c>
    </row>
    <row r="1941" spans="1:17" x14ac:dyDescent="0.3">
      <c r="A1941" t="s">
        <v>4640</v>
      </c>
      <c r="B1941" t="s">
        <v>251</v>
      </c>
      <c r="C1941" s="2" t="str">
        <f>PROPER(TRIM(Table1[[#This Row],[Gender]]))</f>
        <v>Female</v>
      </c>
      <c r="D1941" t="s">
        <v>43</v>
      </c>
      <c r="E1941">
        <v>28</v>
      </c>
      <c r="F1941" t="s">
        <v>31</v>
      </c>
      <c r="G1941" s="1">
        <v>35438</v>
      </c>
      <c r="H1941" t="s">
        <v>4641</v>
      </c>
      <c r="I1941" s="2" t="str">
        <f t="shared" si="30"/>
        <v>+91-7173885211</v>
      </c>
      <c r="J1941">
        <f>91-7173885302</f>
        <v>-7173885211</v>
      </c>
      <c r="K1941" t="s">
        <v>190</v>
      </c>
      <c r="L1941" t="s">
        <v>191</v>
      </c>
      <c r="M1941">
        <v>790906</v>
      </c>
      <c r="N1941" s="1">
        <v>45185</v>
      </c>
      <c r="O1941" t="s">
        <v>28</v>
      </c>
      <c r="P1941">
        <v>2</v>
      </c>
      <c r="Q1941">
        <v>306810.65000000002</v>
      </c>
    </row>
    <row r="1942" spans="1:17" x14ac:dyDescent="0.3">
      <c r="A1942" t="s">
        <v>4642</v>
      </c>
      <c r="B1942" t="s">
        <v>836</v>
      </c>
      <c r="C1942" s="2" t="str">
        <f>PROPER(TRIM(Table1[[#This Row],[Gender]]))</f>
        <v>Female</v>
      </c>
      <c r="D1942" t="s">
        <v>43</v>
      </c>
      <c r="E1942">
        <v>21</v>
      </c>
      <c r="F1942" t="s">
        <v>49</v>
      </c>
      <c r="G1942" s="1">
        <v>37993</v>
      </c>
      <c r="H1942" t="s">
        <v>4643</v>
      </c>
      <c r="I1942" s="2" t="str">
        <f t="shared" si="30"/>
        <v>+91-7068654508</v>
      </c>
      <c r="J1942">
        <f>91-7068654599</f>
        <v>-7068654508</v>
      </c>
      <c r="K1942" t="s">
        <v>142</v>
      </c>
      <c r="L1942" t="s">
        <v>143</v>
      </c>
      <c r="M1942">
        <v>628391</v>
      </c>
      <c r="N1942" s="1">
        <v>45105</v>
      </c>
      <c r="O1942" t="s">
        <v>28</v>
      </c>
      <c r="P1942">
        <v>7</v>
      </c>
      <c r="Q1942">
        <v>96201.54</v>
      </c>
    </row>
    <row r="1943" spans="1:17" x14ac:dyDescent="0.3">
      <c r="A1943" t="s">
        <v>4644</v>
      </c>
      <c r="B1943" t="s">
        <v>4613</v>
      </c>
      <c r="C1943" s="2" t="str">
        <f>PROPER(TRIM(Table1[[#This Row],[Gender]]))</f>
        <v>Male</v>
      </c>
      <c r="D1943" t="s">
        <v>16</v>
      </c>
      <c r="E1943">
        <v>23</v>
      </c>
      <c r="F1943" t="s">
        <v>49</v>
      </c>
      <c r="G1943" s="1">
        <v>37263</v>
      </c>
      <c r="H1943" t="s">
        <v>4645</v>
      </c>
      <c r="I1943" s="2" t="str">
        <f t="shared" si="30"/>
        <v>+91-7273282055</v>
      </c>
      <c r="J1943">
        <f>91-7273282146</f>
        <v>-7273282055</v>
      </c>
      <c r="K1943" t="s">
        <v>580</v>
      </c>
      <c r="L1943" t="s">
        <v>85</v>
      </c>
      <c r="M1943">
        <v>234746</v>
      </c>
      <c r="N1943" s="1">
        <v>45078</v>
      </c>
      <c r="O1943" t="s">
        <v>28</v>
      </c>
      <c r="P1943">
        <v>8</v>
      </c>
      <c r="Q1943">
        <v>438273.43</v>
      </c>
    </row>
    <row r="1944" spans="1:17" x14ac:dyDescent="0.3">
      <c r="A1944" t="s">
        <v>4646</v>
      </c>
      <c r="B1944" t="s">
        <v>4647</v>
      </c>
      <c r="C1944" s="2" t="str">
        <f>PROPER(TRIM(Table1[[#This Row],[Gender]]))</f>
        <v>Male</v>
      </c>
      <c r="D1944" t="s">
        <v>16</v>
      </c>
      <c r="E1944">
        <v>24</v>
      </c>
      <c r="F1944" t="s">
        <v>49</v>
      </c>
      <c r="G1944" s="1">
        <v>36898</v>
      </c>
      <c r="H1944" t="s">
        <v>4648</v>
      </c>
      <c r="I1944" s="2" t="str">
        <f t="shared" si="30"/>
        <v>+91-9389951571</v>
      </c>
      <c r="J1944">
        <f>91-9389951662</f>
        <v>-9389951571</v>
      </c>
      <c r="K1944" t="s">
        <v>138</v>
      </c>
      <c r="L1944" t="s">
        <v>90</v>
      </c>
      <c r="M1944">
        <v>913050</v>
      </c>
      <c r="N1944" s="1">
        <v>45333</v>
      </c>
      <c r="O1944" t="s">
        <v>35</v>
      </c>
      <c r="P1944">
        <v>0</v>
      </c>
      <c r="Q1944">
        <v>0</v>
      </c>
    </row>
    <row r="1945" spans="1:17" x14ac:dyDescent="0.3">
      <c r="A1945" t="s">
        <v>4649</v>
      </c>
      <c r="B1945" t="s">
        <v>2304</v>
      </c>
      <c r="C1945" s="2" t="str">
        <f>PROPER(TRIM(Table1[[#This Row],[Gender]]))</f>
        <v>Male</v>
      </c>
      <c r="D1945" t="s">
        <v>16</v>
      </c>
      <c r="E1945">
        <v>25</v>
      </c>
      <c r="F1945" t="s">
        <v>49</v>
      </c>
      <c r="G1945" s="1">
        <v>36533</v>
      </c>
      <c r="H1945" t="s">
        <v>4650</v>
      </c>
      <c r="I1945" s="2" t="str">
        <f t="shared" si="30"/>
        <v>+91-8173540824</v>
      </c>
      <c r="J1945">
        <f>91-8173540915</f>
        <v>-8173540824</v>
      </c>
      <c r="K1945" t="s">
        <v>45</v>
      </c>
      <c r="L1945" t="s">
        <v>46</v>
      </c>
      <c r="M1945">
        <v>245813</v>
      </c>
      <c r="N1945" s="1">
        <v>45400</v>
      </c>
      <c r="O1945" t="s">
        <v>28</v>
      </c>
      <c r="P1945">
        <v>4</v>
      </c>
      <c r="Q1945">
        <v>86172.62</v>
      </c>
    </row>
    <row r="1946" spans="1:17" x14ac:dyDescent="0.3">
      <c r="A1946" t="s">
        <v>4651</v>
      </c>
      <c r="B1946" t="s">
        <v>2387</v>
      </c>
      <c r="C1946" s="2" t="str">
        <f>PROPER(TRIM(Table1[[#This Row],[Gender]]))</f>
        <v>Male</v>
      </c>
      <c r="D1946" t="s">
        <v>16</v>
      </c>
      <c r="E1946">
        <v>24</v>
      </c>
      <c r="F1946" t="s">
        <v>49</v>
      </c>
      <c r="G1946" s="1">
        <v>36898</v>
      </c>
      <c r="H1946" t="s">
        <v>4652</v>
      </c>
      <c r="I1946" s="2" t="str">
        <f t="shared" si="30"/>
        <v>+91-9342731782</v>
      </c>
      <c r="J1946">
        <f>91-9342731873</f>
        <v>-9342731782</v>
      </c>
      <c r="K1946" t="s">
        <v>117</v>
      </c>
      <c r="L1946" t="s">
        <v>52</v>
      </c>
      <c r="M1946">
        <v>377589</v>
      </c>
      <c r="N1946" s="1">
        <v>45169</v>
      </c>
      <c r="O1946" t="s">
        <v>28</v>
      </c>
      <c r="P1946">
        <v>7</v>
      </c>
      <c r="Q1946">
        <v>95973.47</v>
      </c>
    </row>
    <row r="1947" spans="1:17" x14ac:dyDescent="0.3">
      <c r="A1947" t="s">
        <v>4653</v>
      </c>
      <c r="B1947" t="s">
        <v>3147</v>
      </c>
      <c r="C1947" s="2" t="str">
        <f>PROPER(TRIM(Table1[[#This Row],[Gender]]))</f>
        <v>Male</v>
      </c>
      <c r="D1947" t="s">
        <v>16</v>
      </c>
      <c r="E1947">
        <v>34</v>
      </c>
      <c r="F1947" t="s">
        <v>31</v>
      </c>
      <c r="G1947" s="1">
        <v>33248</v>
      </c>
      <c r="H1947" t="s">
        <v>3691</v>
      </c>
      <c r="I1947" s="2" t="str">
        <f t="shared" si="30"/>
        <v>+91-8205429590</v>
      </c>
      <c r="J1947">
        <f>91-8205429681</f>
        <v>-8205429590</v>
      </c>
      <c r="K1947" t="s">
        <v>142</v>
      </c>
      <c r="L1947" t="s">
        <v>143</v>
      </c>
      <c r="M1947">
        <v>206566</v>
      </c>
      <c r="N1947" s="1">
        <v>45140</v>
      </c>
      <c r="O1947" t="s">
        <v>21</v>
      </c>
      <c r="P1947">
        <v>3</v>
      </c>
      <c r="Q1947">
        <v>28526.01</v>
      </c>
    </row>
    <row r="1948" spans="1:17" x14ac:dyDescent="0.3">
      <c r="A1948" t="s">
        <v>4654</v>
      </c>
      <c r="B1948" t="s">
        <v>87</v>
      </c>
      <c r="C1948" s="2" t="str">
        <f>PROPER(TRIM(Table1[[#This Row],[Gender]]))</f>
        <v>Female</v>
      </c>
      <c r="D1948" t="s">
        <v>43</v>
      </c>
      <c r="E1948">
        <v>50</v>
      </c>
      <c r="F1948" t="s">
        <v>17</v>
      </c>
      <c r="G1948" s="1">
        <v>27408</v>
      </c>
      <c r="H1948" t="s">
        <v>4655</v>
      </c>
      <c r="I1948" s="2" t="str">
        <f t="shared" si="30"/>
        <v>+91-8536045042</v>
      </c>
      <c r="J1948">
        <f>91-8536045133</f>
        <v>-8536045042</v>
      </c>
      <c r="K1948" t="s">
        <v>580</v>
      </c>
      <c r="L1948" t="s">
        <v>85</v>
      </c>
      <c r="M1948">
        <v>224467</v>
      </c>
      <c r="N1948" s="1">
        <v>45323</v>
      </c>
      <c r="O1948" t="s">
        <v>28</v>
      </c>
      <c r="P1948">
        <v>8</v>
      </c>
      <c r="Q1948">
        <v>95901.34</v>
      </c>
    </row>
    <row r="1949" spans="1:17" x14ac:dyDescent="0.3">
      <c r="A1949" t="s">
        <v>4656</v>
      </c>
      <c r="B1949" t="s">
        <v>359</v>
      </c>
      <c r="C1949" s="2" t="str">
        <f>PROPER(TRIM(Table1[[#This Row],[Gender]]))</f>
        <v>Male</v>
      </c>
      <c r="D1949" t="s">
        <v>16</v>
      </c>
      <c r="E1949">
        <v>26</v>
      </c>
      <c r="F1949" t="s">
        <v>31</v>
      </c>
      <c r="G1949" s="1">
        <v>36168</v>
      </c>
      <c r="H1949" t="s">
        <v>4657</v>
      </c>
      <c r="I1949" s="2" t="str">
        <f t="shared" si="30"/>
        <v>+91-8848106772</v>
      </c>
      <c r="J1949">
        <f>91-8848106863</f>
        <v>-8848106772</v>
      </c>
      <c r="K1949" t="s">
        <v>19</v>
      </c>
      <c r="L1949" t="s">
        <v>20</v>
      </c>
      <c r="M1949">
        <v>976191</v>
      </c>
      <c r="N1949" s="1">
        <v>45370</v>
      </c>
      <c r="O1949" t="s">
        <v>28</v>
      </c>
      <c r="P1949">
        <v>9</v>
      </c>
      <c r="Q1949">
        <v>260039.9</v>
      </c>
    </row>
    <row r="1950" spans="1:17" x14ac:dyDescent="0.3">
      <c r="A1950" t="s">
        <v>4658</v>
      </c>
      <c r="B1950" t="s">
        <v>1378</v>
      </c>
      <c r="C1950" s="2" t="str">
        <f>PROPER(TRIM(Table1[[#This Row],[Gender]]))</f>
        <v>Male</v>
      </c>
      <c r="D1950" t="s">
        <v>16</v>
      </c>
      <c r="E1950">
        <v>29</v>
      </c>
      <c r="F1950" t="s">
        <v>31</v>
      </c>
      <c r="G1950" s="1">
        <v>35073</v>
      </c>
      <c r="H1950" t="s">
        <v>1379</v>
      </c>
      <c r="I1950" s="2" t="str">
        <f t="shared" si="30"/>
        <v>+91-8260564633</v>
      </c>
      <c r="J1950">
        <f>91-8260564724</f>
        <v>-8260564633</v>
      </c>
      <c r="K1950" t="s">
        <v>19</v>
      </c>
      <c r="L1950" t="s">
        <v>20</v>
      </c>
      <c r="M1950">
        <v>494892</v>
      </c>
      <c r="N1950" s="1">
        <v>45362</v>
      </c>
      <c r="O1950" t="s">
        <v>28</v>
      </c>
      <c r="P1950">
        <v>5</v>
      </c>
      <c r="Q1950">
        <v>76460.03</v>
      </c>
    </row>
    <row r="1951" spans="1:17" x14ac:dyDescent="0.3">
      <c r="A1951" t="s">
        <v>4659</v>
      </c>
      <c r="B1951" t="s">
        <v>119</v>
      </c>
      <c r="C1951" s="2" t="str">
        <f>PROPER(TRIM(Table1[[#This Row],[Gender]]))</f>
        <v>Male</v>
      </c>
      <c r="D1951" t="s">
        <v>16</v>
      </c>
      <c r="E1951">
        <v>33</v>
      </c>
      <c r="F1951" t="s">
        <v>31</v>
      </c>
      <c r="G1951" s="1">
        <v>33613</v>
      </c>
      <c r="H1951" t="s">
        <v>4660</v>
      </c>
      <c r="I1951" s="2" t="str">
        <f t="shared" si="30"/>
        <v>+91-9686859933</v>
      </c>
      <c r="J1951">
        <f>91-9686860024</f>
        <v>-9686859933</v>
      </c>
      <c r="K1951" t="s">
        <v>125</v>
      </c>
      <c r="L1951" t="s">
        <v>52</v>
      </c>
      <c r="M1951">
        <v>418366</v>
      </c>
      <c r="N1951" s="1">
        <v>45410</v>
      </c>
      <c r="O1951" t="s">
        <v>28</v>
      </c>
      <c r="P1951">
        <v>12</v>
      </c>
      <c r="Q1951">
        <v>314794.75</v>
      </c>
    </row>
    <row r="1952" spans="1:17" x14ac:dyDescent="0.3">
      <c r="A1952" t="s">
        <v>4661</v>
      </c>
      <c r="B1952" t="s">
        <v>943</v>
      </c>
      <c r="C1952" s="2" t="str">
        <f>PROPER(TRIM(Table1[[#This Row],[Gender]]))</f>
        <v>Male</v>
      </c>
      <c r="D1952" t="s">
        <v>16</v>
      </c>
      <c r="E1952">
        <v>37</v>
      </c>
      <c r="F1952" t="s">
        <v>38</v>
      </c>
      <c r="G1952" s="1">
        <v>32153</v>
      </c>
      <c r="H1952" t="s">
        <v>4662</v>
      </c>
      <c r="I1952" s="2" t="str">
        <f t="shared" si="30"/>
        <v>+91-9216793959</v>
      </c>
      <c r="J1952">
        <f>91-9216794050</f>
        <v>-9216793959</v>
      </c>
      <c r="K1952" t="s">
        <v>195</v>
      </c>
      <c r="L1952" t="s">
        <v>102</v>
      </c>
      <c r="M1952">
        <v>239337</v>
      </c>
      <c r="N1952" s="1">
        <v>45274</v>
      </c>
      <c r="O1952" t="s">
        <v>28</v>
      </c>
      <c r="P1952">
        <v>6</v>
      </c>
      <c r="Q1952">
        <v>107894.17</v>
      </c>
    </row>
    <row r="1953" spans="1:17" x14ac:dyDescent="0.3">
      <c r="A1953" t="s">
        <v>4663</v>
      </c>
      <c r="B1953" t="s">
        <v>3954</v>
      </c>
      <c r="C1953" s="2" t="str">
        <f>PROPER(TRIM(Table1[[#This Row],[Gender]]))</f>
        <v>Male</v>
      </c>
      <c r="D1953" t="s">
        <v>16</v>
      </c>
      <c r="E1953">
        <v>50</v>
      </c>
      <c r="F1953" t="s">
        <v>17</v>
      </c>
      <c r="G1953" s="1">
        <v>27408</v>
      </c>
      <c r="H1953" t="s">
        <v>4664</v>
      </c>
      <c r="I1953" s="2" t="str">
        <f t="shared" si="30"/>
        <v>+91-9976215229</v>
      </c>
      <c r="J1953">
        <f>91-9976215320</f>
        <v>-9976215229</v>
      </c>
      <c r="K1953" t="s">
        <v>121</v>
      </c>
      <c r="L1953" t="s">
        <v>85</v>
      </c>
      <c r="M1953">
        <v>387098</v>
      </c>
      <c r="N1953" s="1">
        <v>45189</v>
      </c>
      <c r="O1953" t="s">
        <v>21</v>
      </c>
      <c r="P1953">
        <v>5</v>
      </c>
      <c r="Q1953">
        <v>43665.03</v>
      </c>
    </row>
    <row r="1954" spans="1:17" x14ac:dyDescent="0.3">
      <c r="A1954" t="s">
        <v>4665</v>
      </c>
      <c r="B1954" t="s">
        <v>3153</v>
      </c>
      <c r="C1954" s="2" t="str">
        <f>PROPER(TRIM(Table1[[#This Row],[Gender]]))</f>
        <v>Male</v>
      </c>
      <c r="D1954" t="s">
        <v>16</v>
      </c>
      <c r="E1954">
        <v>37</v>
      </c>
      <c r="F1954" t="s">
        <v>38</v>
      </c>
      <c r="G1954" s="1">
        <v>32153</v>
      </c>
      <c r="H1954" t="s">
        <v>4666</v>
      </c>
      <c r="I1954" s="2" t="str">
        <f t="shared" si="30"/>
        <v>+91-7154875520</v>
      </c>
      <c r="J1954">
        <f>91-7154875611</f>
        <v>-7154875520</v>
      </c>
      <c r="K1954" t="s">
        <v>64</v>
      </c>
      <c r="L1954" t="s">
        <v>20</v>
      </c>
      <c r="M1954">
        <v>558801</v>
      </c>
      <c r="N1954" s="1">
        <v>45330</v>
      </c>
      <c r="O1954" t="s">
        <v>28</v>
      </c>
      <c r="P1954">
        <v>4</v>
      </c>
      <c r="Q1954">
        <v>80513.59</v>
      </c>
    </row>
    <row r="1955" spans="1:17" x14ac:dyDescent="0.3">
      <c r="A1955" t="s">
        <v>4667</v>
      </c>
      <c r="B1955" t="s">
        <v>3994</v>
      </c>
      <c r="C1955" s="2" t="str">
        <f>PROPER(TRIM(Table1[[#This Row],[Gender]]))</f>
        <v>Female</v>
      </c>
      <c r="D1955" t="s">
        <v>43</v>
      </c>
      <c r="E1955">
        <v>25</v>
      </c>
      <c r="F1955" t="s">
        <v>49</v>
      </c>
      <c r="G1955" s="1">
        <v>36533</v>
      </c>
      <c r="H1955" t="s">
        <v>4668</v>
      </c>
      <c r="I1955" s="2" t="str">
        <f t="shared" si="30"/>
        <v>+91-7960905975</v>
      </c>
      <c r="J1955">
        <f>91-7960906066</f>
        <v>-7960905975</v>
      </c>
      <c r="K1955" t="s">
        <v>415</v>
      </c>
      <c r="L1955" t="s">
        <v>90</v>
      </c>
      <c r="M1955">
        <v>596565</v>
      </c>
      <c r="N1955" s="1">
        <v>45295</v>
      </c>
      <c r="O1955" t="s">
        <v>28</v>
      </c>
      <c r="P1955">
        <v>4</v>
      </c>
      <c r="Q1955">
        <v>85378.74</v>
      </c>
    </row>
    <row r="1956" spans="1:17" x14ac:dyDescent="0.3">
      <c r="A1956" t="s">
        <v>4669</v>
      </c>
      <c r="B1956" t="s">
        <v>176</v>
      </c>
      <c r="C1956" s="2" t="str">
        <f>PROPER(TRIM(Table1[[#This Row],[Gender]]))</f>
        <v>Female</v>
      </c>
      <c r="D1956" t="s">
        <v>43</v>
      </c>
      <c r="E1956">
        <v>18</v>
      </c>
      <c r="F1956" t="s">
        <v>49</v>
      </c>
      <c r="G1956" s="1">
        <v>39088</v>
      </c>
      <c r="H1956" t="s">
        <v>4670</v>
      </c>
      <c r="I1956" s="2" t="str">
        <f t="shared" si="30"/>
        <v>+91-8586566077</v>
      </c>
      <c r="J1956">
        <f>91-8586566168</f>
        <v>-8586566077</v>
      </c>
      <c r="K1956" t="s">
        <v>165</v>
      </c>
      <c r="L1956" t="s">
        <v>52</v>
      </c>
      <c r="M1956">
        <v>872044</v>
      </c>
      <c r="N1956" s="1">
        <v>45322</v>
      </c>
      <c r="O1956" t="s">
        <v>28</v>
      </c>
      <c r="P1956">
        <v>4</v>
      </c>
      <c r="Q1956">
        <v>94916.98</v>
      </c>
    </row>
    <row r="1957" spans="1:17" x14ac:dyDescent="0.3">
      <c r="A1957" t="s">
        <v>4671</v>
      </c>
      <c r="B1957" t="s">
        <v>407</v>
      </c>
      <c r="C1957" s="2" t="str">
        <f>PROPER(TRIM(Table1[[#This Row],[Gender]]))</f>
        <v>Male</v>
      </c>
      <c r="D1957" t="s">
        <v>16</v>
      </c>
      <c r="E1957">
        <v>25</v>
      </c>
      <c r="F1957" t="s">
        <v>49</v>
      </c>
      <c r="G1957" s="1">
        <v>36533</v>
      </c>
      <c r="H1957" t="s">
        <v>4672</v>
      </c>
      <c r="I1957" s="2" t="str">
        <f t="shared" si="30"/>
        <v>+91-8733892253</v>
      </c>
      <c r="J1957">
        <f>91-8733892344</f>
        <v>-8733892253</v>
      </c>
      <c r="K1957" t="s">
        <v>142</v>
      </c>
      <c r="L1957" t="s">
        <v>143</v>
      </c>
      <c r="M1957">
        <v>984741</v>
      </c>
      <c r="N1957" s="1">
        <v>45171</v>
      </c>
      <c r="O1957" t="s">
        <v>35</v>
      </c>
      <c r="P1957">
        <v>2</v>
      </c>
      <c r="Q1957">
        <v>8175.53</v>
      </c>
    </row>
    <row r="1958" spans="1:17" x14ac:dyDescent="0.3">
      <c r="A1958" t="s">
        <v>4673</v>
      </c>
      <c r="B1958" t="s">
        <v>2556</v>
      </c>
      <c r="C1958" s="2" t="str">
        <f>PROPER(TRIM(Table1[[#This Row],[Gender]]))</f>
        <v>Male</v>
      </c>
      <c r="D1958" t="s">
        <v>16</v>
      </c>
      <c r="E1958">
        <v>49</v>
      </c>
      <c r="F1958" t="s">
        <v>17</v>
      </c>
      <c r="G1958" s="1">
        <v>27773</v>
      </c>
      <c r="H1958" t="s">
        <v>4674</v>
      </c>
      <c r="I1958" s="2" t="str">
        <f t="shared" si="30"/>
        <v>+91-8880336043</v>
      </c>
      <c r="J1958">
        <f>91-8880336134</f>
        <v>-8880336043</v>
      </c>
      <c r="K1958" t="s">
        <v>80</v>
      </c>
      <c r="L1958" t="s">
        <v>20</v>
      </c>
      <c r="M1958">
        <v>887990</v>
      </c>
      <c r="N1958" s="1">
        <v>45080</v>
      </c>
      <c r="O1958" t="s">
        <v>28</v>
      </c>
      <c r="P1958">
        <v>8</v>
      </c>
      <c r="Q1958">
        <v>135430.96</v>
      </c>
    </row>
    <row r="1959" spans="1:17" x14ac:dyDescent="0.3">
      <c r="A1959" t="s">
        <v>4675</v>
      </c>
      <c r="B1959" t="s">
        <v>374</v>
      </c>
      <c r="C1959" s="2" t="str">
        <f>PROPER(TRIM(Table1[[#This Row],[Gender]]))</f>
        <v>Male</v>
      </c>
      <c r="D1959" t="s">
        <v>16</v>
      </c>
      <c r="E1959">
        <v>30</v>
      </c>
      <c r="F1959" t="s">
        <v>31</v>
      </c>
      <c r="G1959" s="1">
        <v>34708</v>
      </c>
      <c r="H1959" t="s">
        <v>4676</v>
      </c>
      <c r="I1959" s="2" t="str">
        <f t="shared" si="30"/>
        <v>+91-8822646051</v>
      </c>
      <c r="J1959">
        <f>91-8822646142</f>
        <v>-8822646051</v>
      </c>
      <c r="K1959" t="s">
        <v>331</v>
      </c>
      <c r="L1959" t="s">
        <v>143</v>
      </c>
      <c r="M1959">
        <v>356682</v>
      </c>
      <c r="N1959" s="1">
        <v>45436</v>
      </c>
      <c r="O1959" t="s">
        <v>28</v>
      </c>
      <c r="P1959">
        <v>4</v>
      </c>
      <c r="Q1959">
        <v>145357.87</v>
      </c>
    </row>
    <row r="1960" spans="1:17" x14ac:dyDescent="0.3">
      <c r="A1960" t="s">
        <v>4677</v>
      </c>
      <c r="B1960" t="s">
        <v>4678</v>
      </c>
      <c r="C1960" s="2" t="str">
        <f>PROPER(TRIM(Table1[[#This Row],[Gender]]))</f>
        <v>Female</v>
      </c>
      <c r="D1960" t="s">
        <v>43</v>
      </c>
      <c r="E1960">
        <v>24</v>
      </c>
      <c r="F1960" t="s">
        <v>49</v>
      </c>
      <c r="G1960" s="1">
        <v>36898</v>
      </c>
      <c r="H1960" t="s">
        <v>4679</v>
      </c>
      <c r="I1960" s="2" t="str">
        <f t="shared" si="30"/>
        <v>+91-7496701039</v>
      </c>
      <c r="J1960">
        <f>91-7496701130</f>
        <v>-7496701039</v>
      </c>
      <c r="K1960" t="s">
        <v>101</v>
      </c>
      <c r="L1960" t="s">
        <v>102</v>
      </c>
      <c r="M1960">
        <v>492120</v>
      </c>
      <c r="N1960" s="1">
        <v>45408</v>
      </c>
      <c r="O1960" t="s">
        <v>28</v>
      </c>
      <c r="P1960">
        <v>5</v>
      </c>
      <c r="Q1960">
        <v>61971.360000000001</v>
      </c>
    </row>
    <row r="1961" spans="1:17" x14ac:dyDescent="0.3">
      <c r="A1961" t="s">
        <v>4680</v>
      </c>
      <c r="B1961" t="s">
        <v>3789</v>
      </c>
      <c r="C1961" s="2" t="str">
        <f>PROPER(TRIM(Table1[[#This Row],[Gender]]))</f>
        <v>Male</v>
      </c>
      <c r="D1961" t="s">
        <v>16</v>
      </c>
      <c r="E1961">
        <v>48</v>
      </c>
      <c r="F1961" t="s">
        <v>17</v>
      </c>
      <c r="G1961" s="1">
        <v>28138</v>
      </c>
      <c r="H1961" t="s">
        <v>4681</v>
      </c>
      <c r="I1961" s="2" t="str">
        <f t="shared" si="30"/>
        <v>+91-7317550619</v>
      </c>
      <c r="J1961">
        <f>91-7317550710</f>
        <v>-7317550619</v>
      </c>
      <c r="K1961" t="s">
        <v>147</v>
      </c>
      <c r="L1961" t="s">
        <v>143</v>
      </c>
      <c r="M1961">
        <v>136367</v>
      </c>
      <c r="N1961" s="1">
        <v>45344</v>
      </c>
      <c r="O1961" t="s">
        <v>28</v>
      </c>
      <c r="P1961">
        <v>6</v>
      </c>
      <c r="Q1961">
        <v>82079.45</v>
      </c>
    </row>
    <row r="1962" spans="1:17" x14ac:dyDescent="0.3">
      <c r="A1962" t="s">
        <v>4682</v>
      </c>
      <c r="B1962" t="s">
        <v>1350</v>
      </c>
      <c r="C1962" s="2" t="str">
        <f>PROPER(TRIM(Table1[[#This Row],[Gender]]))</f>
        <v>Female</v>
      </c>
      <c r="D1962" t="s">
        <v>43</v>
      </c>
      <c r="E1962">
        <v>29</v>
      </c>
      <c r="F1962" t="s">
        <v>31</v>
      </c>
      <c r="G1962" s="1">
        <v>35073</v>
      </c>
      <c r="H1962" t="s">
        <v>4683</v>
      </c>
      <c r="I1962" s="2" t="str">
        <f t="shared" si="30"/>
        <v>+91-8485082296</v>
      </c>
      <c r="J1962">
        <f>91-8485082387</f>
        <v>-8485082296</v>
      </c>
      <c r="K1962" t="s">
        <v>239</v>
      </c>
      <c r="L1962" t="s">
        <v>191</v>
      </c>
      <c r="M1962">
        <v>512400</v>
      </c>
      <c r="N1962" s="1">
        <v>45433</v>
      </c>
      <c r="O1962" t="s">
        <v>21</v>
      </c>
      <c r="P1962">
        <v>4</v>
      </c>
      <c r="Q1962">
        <v>38960.120000000003</v>
      </c>
    </row>
    <row r="1963" spans="1:17" x14ac:dyDescent="0.3">
      <c r="A1963" t="s">
        <v>4684</v>
      </c>
      <c r="B1963" t="s">
        <v>2372</v>
      </c>
      <c r="C1963" s="2" t="str">
        <f>PROPER(TRIM(Table1[[#This Row],[Gender]]))</f>
        <v>Female</v>
      </c>
      <c r="D1963" t="s">
        <v>43</v>
      </c>
      <c r="E1963">
        <v>49</v>
      </c>
      <c r="F1963" t="s">
        <v>17</v>
      </c>
      <c r="G1963" s="1">
        <v>27773</v>
      </c>
      <c r="H1963" t="s">
        <v>4685</v>
      </c>
      <c r="I1963" s="2" t="str">
        <f t="shared" si="30"/>
        <v>+91-8788998246</v>
      </c>
      <c r="J1963">
        <f>91-8788998337</f>
        <v>-8788998246</v>
      </c>
      <c r="K1963" t="s">
        <v>273</v>
      </c>
      <c r="L1963" t="s">
        <v>46</v>
      </c>
      <c r="M1963">
        <v>895789</v>
      </c>
      <c r="N1963" s="1">
        <v>45195</v>
      </c>
      <c r="O1963" t="s">
        <v>28</v>
      </c>
      <c r="P1963">
        <v>4</v>
      </c>
      <c r="Q1963">
        <v>79740.740000000005</v>
      </c>
    </row>
    <row r="1964" spans="1:17" x14ac:dyDescent="0.3">
      <c r="A1964" t="s">
        <v>4686</v>
      </c>
      <c r="B1964" t="s">
        <v>1694</v>
      </c>
      <c r="C1964" s="2" t="str">
        <f>PROPER(TRIM(Table1[[#This Row],[Gender]]))</f>
        <v>Female</v>
      </c>
      <c r="D1964" t="s">
        <v>43</v>
      </c>
      <c r="E1964">
        <v>34</v>
      </c>
      <c r="F1964" t="s">
        <v>31</v>
      </c>
      <c r="G1964" s="1">
        <v>33248</v>
      </c>
      <c r="H1964" t="s">
        <v>4687</v>
      </c>
      <c r="I1964" s="2" t="str">
        <f t="shared" si="30"/>
        <v>+91-8222237312</v>
      </c>
      <c r="J1964">
        <f>91-8222237403</f>
        <v>-8222237312</v>
      </c>
      <c r="K1964" t="s">
        <v>94</v>
      </c>
      <c r="L1964" t="s">
        <v>20</v>
      </c>
      <c r="M1964">
        <v>762249</v>
      </c>
      <c r="N1964" s="1">
        <v>45404</v>
      </c>
      <c r="O1964" t="s">
        <v>28</v>
      </c>
      <c r="P1964">
        <v>6</v>
      </c>
      <c r="Q1964">
        <v>130399.86</v>
      </c>
    </row>
    <row r="1965" spans="1:17" x14ac:dyDescent="0.3">
      <c r="A1965" t="s">
        <v>4688</v>
      </c>
      <c r="B1965" t="s">
        <v>4613</v>
      </c>
      <c r="C1965" s="2" t="str">
        <f>PROPER(TRIM(Table1[[#This Row],[Gender]]))</f>
        <v>Male</v>
      </c>
      <c r="D1965" t="s">
        <v>16</v>
      </c>
      <c r="E1965">
        <v>25</v>
      </c>
      <c r="F1965" t="s">
        <v>49</v>
      </c>
      <c r="G1965" s="1">
        <v>36533</v>
      </c>
      <c r="H1965" t="s">
        <v>4689</v>
      </c>
      <c r="I1965" s="2" t="str">
        <f t="shared" si="30"/>
        <v>+91-7239038421</v>
      </c>
      <c r="J1965">
        <f>91-7239038512</f>
        <v>-7239038421</v>
      </c>
      <c r="K1965" t="s">
        <v>76</v>
      </c>
      <c r="L1965" t="s">
        <v>46</v>
      </c>
      <c r="M1965">
        <v>371660</v>
      </c>
      <c r="N1965" s="1">
        <v>45106</v>
      </c>
      <c r="O1965" t="s">
        <v>28</v>
      </c>
      <c r="P1965">
        <v>8</v>
      </c>
      <c r="Q1965">
        <v>132542.26</v>
      </c>
    </row>
    <row r="1966" spans="1:17" x14ac:dyDescent="0.3">
      <c r="A1966" t="s">
        <v>4690</v>
      </c>
      <c r="B1966" t="s">
        <v>4691</v>
      </c>
      <c r="C1966" s="2" t="str">
        <f>PROPER(TRIM(Table1[[#This Row],[Gender]]))</f>
        <v>Male</v>
      </c>
      <c r="D1966" t="s">
        <v>16</v>
      </c>
      <c r="E1966">
        <v>56</v>
      </c>
      <c r="F1966" t="s">
        <v>58</v>
      </c>
      <c r="G1966" s="1">
        <v>25218</v>
      </c>
      <c r="H1966" t="s">
        <v>4692</v>
      </c>
      <c r="I1966" s="2" t="str">
        <f t="shared" si="30"/>
        <v>+91-8360967177</v>
      </c>
      <c r="J1966">
        <f>91-8360967268</f>
        <v>-8360967177</v>
      </c>
      <c r="K1966" t="s">
        <v>68</v>
      </c>
      <c r="L1966" t="s">
        <v>52</v>
      </c>
      <c r="M1966">
        <v>581421</v>
      </c>
      <c r="N1966" s="1">
        <v>45149</v>
      </c>
      <c r="O1966" t="s">
        <v>21</v>
      </c>
      <c r="P1966">
        <v>4</v>
      </c>
      <c r="Q1966">
        <v>40557.379999999997</v>
      </c>
    </row>
    <row r="1967" spans="1:17" x14ac:dyDescent="0.3">
      <c r="A1967" t="s">
        <v>4693</v>
      </c>
      <c r="B1967" t="s">
        <v>96</v>
      </c>
      <c r="C1967" s="2" t="str">
        <f>PROPER(TRIM(Table1[[#This Row],[Gender]]))</f>
        <v>Female</v>
      </c>
      <c r="D1967" t="s">
        <v>43</v>
      </c>
      <c r="E1967">
        <v>22</v>
      </c>
      <c r="F1967" t="s">
        <v>49</v>
      </c>
      <c r="G1967" s="1">
        <v>37628</v>
      </c>
      <c r="H1967" t="s">
        <v>4694</v>
      </c>
      <c r="I1967" s="2" t="str">
        <f t="shared" si="30"/>
        <v>+91-9310550349</v>
      </c>
      <c r="J1967">
        <f>91-9310550440</f>
        <v>-9310550349</v>
      </c>
      <c r="K1967" t="s">
        <v>165</v>
      </c>
      <c r="L1967" t="s">
        <v>52</v>
      </c>
      <c r="M1967">
        <v>980168</v>
      </c>
      <c r="N1967" s="1">
        <v>45228</v>
      </c>
      <c r="O1967" t="s">
        <v>28</v>
      </c>
      <c r="P1967">
        <v>4</v>
      </c>
      <c r="Q1967">
        <v>83929.07</v>
      </c>
    </row>
    <row r="1968" spans="1:17" x14ac:dyDescent="0.3">
      <c r="A1968" t="s">
        <v>4695</v>
      </c>
      <c r="B1968" t="s">
        <v>969</v>
      </c>
      <c r="C1968" s="2" t="str">
        <f>PROPER(TRIM(Table1[[#This Row],[Gender]]))</f>
        <v>Male</v>
      </c>
      <c r="D1968" t="s">
        <v>16</v>
      </c>
      <c r="E1968">
        <v>46</v>
      </c>
      <c r="F1968" t="s">
        <v>17</v>
      </c>
      <c r="G1968" s="1">
        <v>28868</v>
      </c>
      <c r="H1968" t="s">
        <v>4696</v>
      </c>
      <c r="I1968" s="2" t="str">
        <f t="shared" si="30"/>
        <v>+91-9114050713</v>
      </c>
      <c r="J1968">
        <f>91-9114050804</f>
        <v>-9114050713</v>
      </c>
      <c r="K1968" t="s">
        <v>84</v>
      </c>
      <c r="L1968" t="s">
        <v>85</v>
      </c>
      <c r="M1968">
        <v>788395</v>
      </c>
      <c r="N1968" s="1">
        <v>45213</v>
      </c>
      <c r="O1968" t="s">
        <v>28</v>
      </c>
      <c r="P1968">
        <v>7</v>
      </c>
      <c r="Q1968">
        <v>50314.73</v>
      </c>
    </row>
    <row r="1969" spans="1:17" x14ac:dyDescent="0.3">
      <c r="A1969" t="s">
        <v>4697</v>
      </c>
      <c r="B1969" t="s">
        <v>324</v>
      </c>
      <c r="C1969" s="2" t="str">
        <f>PROPER(TRIM(Table1[[#This Row],[Gender]]))</f>
        <v>Female</v>
      </c>
      <c r="D1969" t="s">
        <v>43</v>
      </c>
      <c r="E1969">
        <v>32</v>
      </c>
      <c r="F1969" t="s">
        <v>31</v>
      </c>
      <c r="G1969" s="1">
        <v>33978</v>
      </c>
      <c r="H1969" t="s">
        <v>325</v>
      </c>
      <c r="I1969" s="2" t="str">
        <f t="shared" si="30"/>
        <v>+91-7909379609</v>
      </c>
      <c r="J1969">
        <f>91-7909379700</f>
        <v>-7909379609</v>
      </c>
      <c r="K1969" t="s">
        <v>45</v>
      </c>
      <c r="L1969" t="s">
        <v>46</v>
      </c>
      <c r="M1969">
        <v>352122</v>
      </c>
      <c r="N1969" s="1">
        <v>45202</v>
      </c>
      <c r="O1969" t="s">
        <v>28</v>
      </c>
      <c r="P1969">
        <v>6</v>
      </c>
      <c r="Q1969">
        <v>238779.39</v>
      </c>
    </row>
    <row r="1970" spans="1:17" x14ac:dyDescent="0.3">
      <c r="A1970" t="s">
        <v>4698</v>
      </c>
      <c r="B1970" t="s">
        <v>1908</v>
      </c>
      <c r="C1970" s="2" t="str">
        <f>PROPER(TRIM(Table1[[#This Row],[Gender]]))</f>
        <v>Female</v>
      </c>
      <c r="D1970" t="s">
        <v>43</v>
      </c>
      <c r="E1970">
        <v>27</v>
      </c>
      <c r="F1970" t="s">
        <v>31</v>
      </c>
      <c r="G1970" s="1">
        <v>35803</v>
      </c>
      <c r="H1970" t="s">
        <v>4277</v>
      </c>
      <c r="I1970" s="2" t="str">
        <f t="shared" si="30"/>
        <v>+91-8334698159</v>
      </c>
      <c r="J1970">
        <f>91-8334698250</f>
        <v>-8334698159</v>
      </c>
      <c r="K1970" t="s">
        <v>84</v>
      </c>
      <c r="L1970" t="s">
        <v>85</v>
      </c>
      <c r="M1970">
        <v>760479</v>
      </c>
      <c r="N1970" s="1">
        <v>45267</v>
      </c>
      <c r="O1970" t="s">
        <v>28</v>
      </c>
      <c r="P1970">
        <v>6</v>
      </c>
      <c r="Q1970">
        <v>384512.84</v>
      </c>
    </row>
    <row r="1971" spans="1:17" x14ac:dyDescent="0.3">
      <c r="A1971" t="s">
        <v>4699</v>
      </c>
      <c r="B1971" t="s">
        <v>4528</v>
      </c>
      <c r="C1971" s="2" t="str">
        <f>PROPER(TRIM(Table1[[#This Row],[Gender]]))</f>
        <v>Female</v>
      </c>
      <c r="D1971" t="s">
        <v>43</v>
      </c>
      <c r="E1971">
        <v>26</v>
      </c>
      <c r="F1971" t="s">
        <v>31</v>
      </c>
      <c r="G1971" s="1">
        <v>36168</v>
      </c>
      <c r="H1971" t="s">
        <v>4700</v>
      </c>
      <c r="I1971" s="2" t="str">
        <f t="shared" si="30"/>
        <v>+91-7768440018</v>
      </c>
      <c r="J1971">
        <f>91-7768440109</f>
        <v>-7768440018</v>
      </c>
      <c r="K1971" t="s">
        <v>178</v>
      </c>
      <c r="L1971" t="s">
        <v>27</v>
      </c>
      <c r="M1971">
        <v>562366</v>
      </c>
      <c r="N1971" s="1">
        <v>45114</v>
      </c>
      <c r="O1971" t="s">
        <v>28</v>
      </c>
      <c r="P1971">
        <v>10</v>
      </c>
      <c r="Q1971">
        <v>302214.03999999998</v>
      </c>
    </row>
    <row r="1972" spans="1:17" x14ac:dyDescent="0.3">
      <c r="A1972" t="s">
        <v>4701</v>
      </c>
      <c r="B1972" t="s">
        <v>982</v>
      </c>
      <c r="C1972" s="2" t="str">
        <f>PROPER(TRIM(Table1[[#This Row],[Gender]]))</f>
        <v>Male</v>
      </c>
      <c r="D1972" t="s">
        <v>16</v>
      </c>
      <c r="E1972">
        <v>28</v>
      </c>
      <c r="F1972" t="s">
        <v>31</v>
      </c>
      <c r="G1972" s="1">
        <v>35438</v>
      </c>
      <c r="H1972" t="s">
        <v>4702</v>
      </c>
      <c r="I1972" s="2" t="str">
        <f t="shared" si="30"/>
        <v>+91-7696976541</v>
      </c>
      <c r="J1972">
        <f>91-7696976632</f>
        <v>-7696976541</v>
      </c>
      <c r="K1972" t="s">
        <v>195</v>
      </c>
      <c r="L1972" t="s">
        <v>102</v>
      </c>
      <c r="M1972">
        <v>663900</v>
      </c>
      <c r="N1972" s="1">
        <v>45283</v>
      </c>
      <c r="O1972" t="s">
        <v>28</v>
      </c>
      <c r="P1972">
        <v>6</v>
      </c>
      <c r="Q1972">
        <v>165636.17000000001</v>
      </c>
    </row>
    <row r="1973" spans="1:17" x14ac:dyDescent="0.3">
      <c r="A1973" t="s">
        <v>4703</v>
      </c>
      <c r="B1973" t="s">
        <v>551</v>
      </c>
      <c r="C1973" s="2" t="str">
        <f>PROPER(TRIM(Table1[[#This Row],[Gender]]))</f>
        <v>Male</v>
      </c>
      <c r="D1973" t="s">
        <v>16</v>
      </c>
      <c r="E1973">
        <v>20</v>
      </c>
      <c r="F1973" t="s">
        <v>49</v>
      </c>
      <c r="G1973" s="1">
        <v>38358</v>
      </c>
      <c r="H1973" t="s">
        <v>4704</v>
      </c>
      <c r="I1973" s="2" t="str">
        <f t="shared" si="30"/>
        <v>+91-9981705663</v>
      </c>
      <c r="J1973">
        <f>91-9981705754</f>
        <v>-9981705663</v>
      </c>
      <c r="K1973" t="s">
        <v>239</v>
      </c>
      <c r="L1973" t="s">
        <v>191</v>
      </c>
      <c r="M1973">
        <v>263550</v>
      </c>
      <c r="N1973" s="1">
        <v>45345</v>
      </c>
      <c r="O1973" t="s">
        <v>35</v>
      </c>
      <c r="P1973">
        <v>2</v>
      </c>
      <c r="Q1973">
        <v>1539.38</v>
      </c>
    </row>
    <row r="1974" spans="1:17" x14ac:dyDescent="0.3">
      <c r="A1974" t="s">
        <v>4705</v>
      </c>
      <c r="B1974" t="s">
        <v>3391</v>
      </c>
      <c r="C1974" s="2" t="str">
        <f>PROPER(TRIM(Table1[[#This Row],[Gender]]))</f>
        <v>Female</v>
      </c>
      <c r="D1974" t="s">
        <v>43</v>
      </c>
      <c r="E1974">
        <v>19</v>
      </c>
      <c r="F1974" t="s">
        <v>49</v>
      </c>
      <c r="G1974" s="1">
        <v>38723</v>
      </c>
      <c r="H1974" t="s">
        <v>4706</v>
      </c>
      <c r="I1974" s="2" t="str">
        <f t="shared" si="30"/>
        <v>+91-7774099641</v>
      </c>
      <c r="J1974">
        <f>91-7774099732</f>
        <v>-7774099641</v>
      </c>
      <c r="K1974" t="s">
        <v>580</v>
      </c>
      <c r="L1974" t="s">
        <v>85</v>
      </c>
      <c r="M1974">
        <v>920724</v>
      </c>
      <c r="N1974" s="1">
        <v>45420</v>
      </c>
      <c r="O1974" t="s">
        <v>28</v>
      </c>
      <c r="P1974">
        <v>6</v>
      </c>
      <c r="Q1974">
        <v>159763.03</v>
      </c>
    </row>
    <row r="1975" spans="1:17" x14ac:dyDescent="0.3">
      <c r="A1975" t="s">
        <v>4707</v>
      </c>
      <c r="B1975" t="s">
        <v>3215</v>
      </c>
      <c r="C1975" s="2" t="str">
        <f>PROPER(TRIM(Table1[[#This Row],[Gender]]))</f>
        <v>Male</v>
      </c>
      <c r="D1975" t="s">
        <v>16</v>
      </c>
      <c r="E1975">
        <v>25</v>
      </c>
      <c r="F1975" t="s">
        <v>49</v>
      </c>
      <c r="G1975" s="1">
        <v>36533</v>
      </c>
      <c r="H1975" t="s">
        <v>4708</v>
      </c>
      <c r="I1975" s="2" t="str">
        <f t="shared" si="30"/>
        <v>+91-8543312641</v>
      </c>
      <c r="J1975">
        <f>91-8543312732</f>
        <v>-8543312641</v>
      </c>
      <c r="K1975" t="s">
        <v>273</v>
      </c>
      <c r="L1975" t="s">
        <v>46</v>
      </c>
      <c r="M1975">
        <v>214348</v>
      </c>
      <c r="N1975" s="1">
        <v>45427</v>
      </c>
      <c r="O1975" t="s">
        <v>35</v>
      </c>
      <c r="P1975">
        <v>3</v>
      </c>
      <c r="Q1975">
        <v>7073.18</v>
      </c>
    </row>
    <row r="1976" spans="1:17" x14ac:dyDescent="0.3">
      <c r="A1976" t="s">
        <v>4709</v>
      </c>
      <c r="B1976" t="s">
        <v>1454</v>
      </c>
      <c r="C1976" s="2" t="str">
        <f>PROPER(TRIM(Table1[[#This Row],[Gender]]))</f>
        <v>Female</v>
      </c>
      <c r="D1976" t="s">
        <v>43</v>
      </c>
      <c r="E1976">
        <v>33</v>
      </c>
      <c r="F1976" t="s">
        <v>31</v>
      </c>
      <c r="G1976" s="1">
        <v>33613</v>
      </c>
      <c r="H1976" t="s">
        <v>4710</v>
      </c>
      <c r="I1976" s="2" t="str">
        <f t="shared" si="30"/>
        <v>+91-7812655339</v>
      </c>
      <c r="J1976">
        <f>91-7812655430</f>
        <v>-7812655339</v>
      </c>
      <c r="K1976" t="s">
        <v>89</v>
      </c>
      <c r="L1976" t="s">
        <v>90</v>
      </c>
      <c r="M1976">
        <v>334932</v>
      </c>
      <c r="N1976" s="1">
        <v>45319</v>
      </c>
      <c r="O1976" t="s">
        <v>28</v>
      </c>
      <c r="P1976">
        <v>6</v>
      </c>
      <c r="Q1976">
        <v>282508.09000000003</v>
      </c>
    </row>
    <row r="1977" spans="1:17" x14ac:dyDescent="0.3">
      <c r="A1977" t="s">
        <v>4711</v>
      </c>
      <c r="B1977" t="s">
        <v>2559</v>
      </c>
      <c r="C1977" s="2" t="str">
        <f>PROPER(TRIM(Table1[[#This Row],[Gender]]))</f>
        <v>Male</v>
      </c>
      <c r="D1977" t="s">
        <v>16</v>
      </c>
      <c r="E1977">
        <v>25</v>
      </c>
      <c r="F1977" t="s">
        <v>49</v>
      </c>
      <c r="G1977" s="1">
        <v>36533</v>
      </c>
      <c r="H1977" t="s">
        <v>4712</v>
      </c>
      <c r="I1977" s="2" t="str">
        <f t="shared" si="30"/>
        <v>+91-9298893795</v>
      </c>
      <c r="J1977">
        <f>91-9298893886</f>
        <v>-9298893795</v>
      </c>
      <c r="K1977" t="s">
        <v>147</v>
      </c>
      <c r="L1977" t="s">
        <v>143</v>
      </c>
      <c r="M1977">
        <v>584073</v>
      </c>
      <c r="N1977" s="1">
        <v>45255</v>
      </c>
      <c r="O1977" t="s">
        <v>28</v>
      </c>
      <c r="P1977">
        <v>7</v>
      </c>
      <c r="Q1977">
        <v>378165.54</v>
      </c>
    </row>
    <row r="1978" spans="1:17" x14ac:dyDescent="0.3">
      <c r="A1978" t="s">
        <v>4713</v>
      </c>
      <c r="B1978" t="s">
        <v>318</v>
      </c>
      <c r="C1978" s="2" t="str">
        <f>PROPER(TRIM(Table1[[#This Row],[Gender]]))</f>
        <v>Female</v>
      </c>
      <c r="D1978" t="s">
        <v>43</v>
      </c>
      <c r="E1978">
        <v>24</v>
      </c>
      <c r="F1978" t="s">
        <v>49</v>
      </c>
      <c r="G1978" s="1">
        <v>36898</v>
      </c>
      <c r="H1978" t="s">
        <v>4714</v>
      </c>
      <c r="I1978" s="2" t="str">
        <f t="shared" si="30"/>
        <v>+91-8680492248</v>
      </c>
      <c r="J1978">
        <f>91-8680492339</f>
        <v>-8680492248</v>
      </c>
      <c r="K1978" t="s">
        <v>202</v>
      </c>
      <c r="L1978" t="s">
        <v>191</v>
      </c>
      <c r="M1978">
        <v>310013</v>
      </c>
      <c r="N1978" s="1">
        <v>45374</v>
      </c>
      <c r="O1978" t="s">
        <v>28</v>
      </c>
      <c r="P1978">
        <v>4</v>
      </c>
      <c r="Q1978">
        <v>128782.13</v>
      </c>
    </row>
    <row r="1979" spans="1:17" x14ac:dyDescent="0.3">
      <c r="A1979" t="s">
        <v>4715</v>
      </c>
      <c r="B1979" t="s">
        <v>1800</v>
      </c>
      <c r="C1979" s="2" t="str">
        <f>PROPER(TRIM(Table1[[#This Row],[Gender]]))</f>
        <v>Female</v>
      </c>
      <c r="D1979" t="s">
        <v>43</v>
      </c>
      <c r="E1979">
        <v>23</v>
      </c>
      <c r="F1979" t="s">
        <v>49</v>
      </c>
      <c r="G1979" s="1">
        <v>37263</v>
      </c>
      <c r="H1979" t="s">
        <v>4716</v>
      </c>
      <c r="I1979" s="2" t="str">
        <f t="shared" si="30"/>
        <v>+91-7493651938</v>
      </c>
      <c r="J1979">
        <f>91-7493652029</f>
        <v>-7493651938</v>
      </c>
      <c r="K1979" t="s">
        <v>142</v>
      </c>
      <c r="L1979" t="s">
        <v>143</v>
      </c>
      <c r="M1979">
        <v>577879</v>
      </c>
      <c r="N1979" s="1">
        <v>45271</v>
      </c>
      <c r="O1979" t="s">
        <v>35</v>
      </c>
      <c r="P1979">
        <v>4</v>
      </c>
      <c r="Q1979">
        <v>3403.64</v>
      </c>
    </row>
    <row r="1980" spans="1:17" x14ac:dyDescent="0.3">
      <c r="A1980" t="s">
        <v>4717</v>
      </c>
      <c r="B1980" t="s">
        <v>4718</v>
      </c>
      <c r="C1980" s="2" t="str">
        <f>PROPER(TRIM(Table1[[#This Row],[Gender]]))</f>
        <v>Female</v>
      </c>
      <c r="D1980" t="s">
        <v>43</v>
      </c>
      <c r="E1980">
        <v>24</v>
      </c>
      <c r="F1980" t="s">
        <v>49</v>
      </c>
      <c r="G1980" s="1">
        <v>36898</v>
      </c>
      <c r="H1980" t="s">
        <v>4719</v>
      </c>
      <c r="I1980" s="2" t="str">
        <f t="shared" si="30"/>
        <v>+91-9877120447</v>
      </c>
      <c r="J1980">
        <f>91-9877120538</f>
        <v>-9877120447</v>
      </c>
      <c r="K1980" t="s">
        <v>165</v>
      </c>
      <c r="L1980" t="s">
        <v>52</v>
      </c>
      <c r="M1980">
        <v>102733</v>
      </c>
      <c r="N1980" s="1">
        <v>45432</v>
      </c>
      <c r="O1980" t="s">
        <v>28</v>
      </c>
      <c r="P1980">
        <v>3</v>
      </c>
      <c r="Q1980">
        <v>107321.72</v>
      </c>
    </row>
    <row r="1981" spans="1:17" x14ac:dyDescent="0.3">
      <c r="A1981" t="s">
        <v>4720</v>
      </c>
      <c r="B1981" t="s">
        <v>1617</v>
      </c>
      <c r="C1981" s="2" t="str">
        <f>PROPER(TRIM(Table1[[#This Row],[Gender]]))</f>
        <v>Female</v>
      </c>
      <c r="D1981" t="s">
        <v>43</v>
      </c>
      <c r="E1981">
        <v>40</v>
      </c>
      <c r="F1981" t="s">
        <v>38</v>
      </c>
      <c r="G1981" s="1">
        <v>31058</v>
      </c>
      <c r="H1981" t="s">
        <v>3822</v>
      </c>
      <c r="I1981" s="2" t="str">
        <f t="shared" si="30"/>
        <v>+91-9276636324</v>
      </c>
      <c r="J1981">
        <f>91-9276636415</f>
        <v>-9276636324</v>
      </c>
      <c r="K1981" t="s">
        <v>80</v>
      </c>
      <c r="L1981" t="s">
        <v>20</v>
      </c>
      <c r="M1981">
        <v>247245</v>
      </c>
      <c r="N1981" s="1">
        <v>45360</v>
      </c>
      <c r="O1981" t="s">
        <v>28</v>
      </c>
      <c r="P1981">
        <v>4</v>
      </c>
      <c r="Q1981">
        <v>93666.48</v>
      </c>
    </row>
    <row r="1982" spans="1:17" x14ac:dyDescent="0.3">
      <c r="A1982" t="s">
        <v>4721</v>
      </c>
      <c r="B1982" t="s">
        <v>516</v>
      </c>
      <c r="C1982" s="2" t="str">
        <f>PROPER(TRIM(Table1[[#This Row],[Gender]]))</f>
        <v>Female</v>
      </c>
      <c r="D1982" t="s">
        <v>43</v>
      </c>
      <c r="E1982">
        <v>40</v>
      </c>
      <c r="F1982" t="s">
        <v>38</v>
      </c>
      <c r="G1982" s="1">
        <v>31058</v>
      </c>
      <c r="H1982" t="s">
        <v>4722</v>
      </c>
      <c r="I1982" s="2" t="str">
        <f t="shared" si="30"/>
        <v>+91-7531991441</v>
      </c>
      <c r="J1982">
        <f>91-7531991532</f>
        <v>-7531991441</v>
      </c>
      <c r="K1982" t="s">
        <v>580</v>
      </c>
      <c r="L1982" t="s">
        <v>85</v>
      </c>
      <c r="M1982">
        <v>576648</v>
      </c>
      <c r="N1982" s="1">
        <v>45132</v>
      </c>
      <c r="O1982" t="s">
        <v>28</v>
      </c>
      <c r="P1982">
        <v>5</v>
      </c>
      <c r="Q1982">
        <v>199643.54</v>
      </c>
    </row>
    <row r="1983" spans="1:17" x14ac:dyDescent="0.3">
      <c r="A1983" t="s">
        <v>4723</v>
      </c>
      <c r="B1983" t="s">
        <v>204</v>
      </c>
      <c r="C1983" s="2" t="str">
        <f>PROPER(TRIM(Table1[[#This Row],[Gender]]))</f>
        <v>Female</v>
      </c>
      <c r="D1983" t="s">
        <v>43</v>
      </c>
      <c r="E1983">
        <v>63</v>
      </c>
      <c r="F1983" t="s">
        <v>58</v>
      </c>
      <c r="G1983" s="1">
        <v>22663</v>
      </c>
      <c r="H1983" t="s">
        <v>4724</v>
      </c>
      <c r="I1983" s="2" t="str">
        <f t="shared" si="30"/>
        <v>+91-8912091007</v>
      </c>
      <c r="J1983">
        <f>91-8912091098</f>
        <v>-8912091007</v>
      </c>
      <c r="K1983" t="s">
        <v>415</v>
      </c>
      <c r="L1983" t="s">
        <v>90</v>
      </c>
      <c r="M1983">
        <v>343510</v>
      </c>
      <c r="N1983" s="1">
        <v>45306</v>
      </c>
      <c r="O1983" t="s">
        <v>21</v>
      </c>
      <c r="P1983">
        <v>2</v>
      </c>
      <c r="Q1983">
        <v>20559.849999999999</v>
      </c>
    </row>
    <row r="1984" spans="1:17" x14ac:dyDescent="0.3">
      <c r="A1984" t="s">
        <v>4725</v>
      </c>
      <c r="B1984" t="s">
        <v>398</v>
      </c>
      <c r="C1984" s="2" t="str">
        <f>PROPER(TRIM(Table1[[#This Row],[Gender]]))</f>
        <v>Male</v>
      </c>
      <c r="D1984" t="s">
        <v>16</v>
      </c>
      <c r="E1984">
        <v>45</v>
      </c>
      <c r="F1984" t="s">
        <v>38</v>
      </c>
      <c r="G1984" s="1">
        <v>29233</v>
      </c>
      <c r="H1984" t="s">
        <v>4726</v>
      </c>
      <c r="I1984" s="2" t="str">
        <f t="shared" si="30"/>
        <v>+91-8058363865</v>
      </c>
      <c r="J1984">
        <f>91-8058363956</f>
        <v>-8058363865</v>
      </c>
      <c r="K1984" t="s">
        <v>202</v>
      </c>
      <c r="L1984" t="s">
        <v>191</v>
      </c>
      <c r="M1984">
        <v>945148</v>
      </c>
      <c r="N1984" s="1">
        <v>45190</v>
      </c>
      <c r="O1984" t="s">
        <v>21</v>
      </c>
      <c r="P1984">
        <v>2</v>
      </c>
      <c r="Q1984">
        <v>20561.95</v>
      </c>
    </row>
    <row r="1985" spans="1:17" x14ac:dyDescent="0.3">
      <c r="A1985" t="s">
        <v>4727</v>
      </c>
      <c r="B1985" t="s">
        <v>4728</v>
      </c>
      <c r="C1985" s="2" t="str">
        <f>PROPER(TRIM(Table1[[#This Row],[Gender]]))</f>
        <v>Male</v>
      </c>
      <c r="D1985" t="s">
        <v>16</v>
      </c>
      <c r="E1985">
        <v>29</v>
      </c>
      <c r="F1985" t="s">
        <v>31</v>
      </c>
      <c r="G1985" s="1">
        <v>35073</v>
      </c>
      <c r="H1985" t="s">
        <v>4729</v>
      </c>
      <c r="I1985" s="2" t="str">
        <f t="shared" si="30"/>
        <v>+91-7522698505</v>
      </c>
      <c r="J1985">
        <f>91-7522698596</f>
        <v>-7522698505</v>
      </c>
      <c r="K1985" t="s">
        <v>26</v>
      </c>
      <c r="L1985" t="s">
        <v>27</v>
      </c>
      <c r="M1985">
        <v>192178</v>
      </c>
      <c r="N1985" s="1">
        <v>45407</v>
      </c>
      <c r="O1985" t="s">
        <v>28</v>
      </c>
      <c r="P1985">
        <v>5</v>
      </c>
      <c r="Q1985">
        <v>245024.72</v>
      </c>
    </row>
    <row r="1986" spans="1:17" x14ac:dyDescent="0.3">
      <c r="A1986" t="s">
        <v>4730</v>
      </c>
      <c r="B1986" t="s">
        <v>563</v>
      </c>
      <c r="C1986" s="2" t="str">
        <f>PROPER(TRIM(Table1[[#This Row],[Gender]]))</f>
        <v>Male</v>
      </c>
      <c r="D1986" t="s">
        <v>16</v>
      </c>
      <c r="E1986">
        <v>35</v>
      </c>
      <c r="F1986" t="s">
        <v>31</v>
      </c>
      <c r="G1986" s="1">
        <v>32883</v>
      </c>
      <c r="H1986" t="s">
        <v>4731</v>
      </c>
      <c r="I1986" s="2" t="str">
        <f t="shared" ref="I1986:I2049" si="31">"+91"&amp;TEXT(J1986,"0000000000")</f>
        <v>+91-8080606876</v>
      </c>
      <c r="J1986">
        <f>91-8080606967</f>
        <v>-8080606876</v>
      </c>
      <c r="K1986" t="s">
        <v>142</v>
      </c>
      <c r="L1986" t="s">
        <v>143</v>
      </c>
      <c r="M1986">
        <v>528642</v>
      </c>
      <c r="N1986" s="1">
        <v>45261</v>
      </c>
      <c r="O1986" t="s">
        <v>28</v>
      </c>
      <c r="P1986">
        <v>4</v>
      </c>
      <c r="Q1986">
        <v>85634.51</v>
      </c>
    </row>
    <row r="1987" spans="1:17" x14ac:dyDescent="0.3">
      <c r="A1987" t="s">
        <v>4732</v>
      </c>
      <c r="B1987" t="s">
        <v>407</v>
      </c>
      <c r="C1987" s="2" t="str">
        <f>PROPER(TRIM(Table1[[#This Row],[Gender]]))</f>
        <v>Male</v>
      </c>
      <c r="D1987" t="s">
        <v>16</v>
      </c>
      <c r="E1987">
        <v>33</v>
      </c>
      <c r="F1987" t="s">
        <v>31</v>
      </c>
      <c r="G1987" s="1">
        <v>33613</v>
      </c>
      <c r="H1987" t="s">
        <v>4733</v>
      </c>
      <c r="I1987" s="2" t="str">
        <f t="shared" si="31"/>
        <v>+91-7975424579</v>
      </c>
      <c r="J1987">
        <f>91-7975424670</f>
        <v>-7975424579</v>
      </c>
      <c r="K1987" t="s">
        <v>249</v>
      </c>
      <c r="L1987" t="s">
        <v>34</v>
      </c>
      <c r="M1987">
        <v>133725</v>
      </c>
      <c r="N1987" s="1">
        <v>45355</v>
      </c>
      <c r="O1987" t="s">
        <v>28</v>
      </c>
      <c r="P1987">
        <v>6</v>
      </c>
      <c r="Q1987">
        <v>77442.2</v>
      </c>
    </row>
    <row r="1988" spans="1:17" x14ac:dyDescent="0.3">
      <c r="A1988" t="s">
        <v>4734</v>
      </c>
      <c r="B1988" t="s">
        <v>4735</v>
      </c>
      <c r="C1988" s="2" t="str">
        <f>PROPER(TRIM(Table1[[#This Row],[Gender]]))</f>
        <v>Male</v>
      </c>
      <c r="D1988" t="s">
        <v>16</v>
      </c>
      <c r="E1988">
        <v>18</v>
      </c>
      <c r="F1988" t="s">
        <v>49</v>
      </c>
      <c r="G1988" s="1">
        <v>39088</v>
      </c>
      <c r="H1988" t="s">
        <v>4736</v>
      </c>
      <c r="I1988" s="2" t="str">
        <f t="shared" si="31"/>
        <v>+91-7221589740</v>
      </c>
      <c r="J1988">
        <f>91-7221589831</f>
        <v>-7221589740</v>
      </c>
      <c r="K1988" t="s">
        <v>580</v>
      </c>
      <c r="L1988" t="s">
        <v>85</v>
      </c>
      <c r="M1988">
        <v>228407</v>
      </c>
      <c r="N1988" s="1">
        <v>45090</v>
      </c>
      <c r="O1988" t="s">
        <v>28</v>
      </c>
      <c r="P1988">
        <v>10</v>
      </c>
      <c r="Q1988">
        <v>161700.57</v>
      </c>
    </row>
    <row r="1989" spans="1:17" x14ac:dyDescent="0.3">
      <c r="A1989" t="s">
        <v>4737</v>
      </c>
      <c r="B1989" t="s">
        <v>4678</v>
      </c>
      <c r="C1989" s="2" t="str">
        <f>PROPER(TRIM(Table1[[#This Row],[Gender]]))</f>
        <v>Female</v>
      </c>
      <c r="D1989" t="s">
        <v>43</v>
      </c>
      <c r="E1989">
        <v>24</v>
      </c>
      <c r="F1989" t="s">
        <v>49</v>
      </c>
      <c r="G1989" s="1">
        <v>36898</v>
      </c>
      <c r="H1989" t="s">
        <v>4738</v>
      </c>
      <c r="I1989" s="2" t="str">
        <f t="shared" si="31"/>
        <v>+91-9662708491</v>
      </c>
      <c r="J1989">
        <f>91-9662708582</f>
        <v>-9662708491</v>
      </c>
      <c r="K1989" t="s">
        <v>125</v>
      </c>
      <c r="L1989" t="s">
        <v>52</v>
      </c>
      <c r="M1989">
        <v>314534</v>
      </c>
      <c r="N1989" s="1">
        <v>45264</v>
      </c>
      <c r="O1989" t="s">
        <v>28</v>
      </c>
      <c r="P1989">
        <v>9</v>
      </c>
      <c r="Q1989">
        <v>474784.67</v>
      </c>
    </row>
    <row r="1990" spans="1:17" x14ac:dyDescent="0.3">
      <c r="A1990" t="s">
        <v>4739</v>
      </c>
      <c r="B1990" t="s">
        <v>1811</v>
      </c>
      <c r="C1990" s="2" t="str">
        <f>PROPER(TRIM(Table1[[#This Row],[Gender]]))</f>
        <v>Female</v>
      </c>
      <c r="D1990" t="s">
        <v>43</v>
      </c>
      <c r="E1990">
        <v>39</v>
      </c>
      <c r="F1990" t="s">
        <v>38</v>
      </c>
      <c r="G1990" s="1">
        <v>31423</v>
      </c>
      <c r="H1990" t="s">
        <v>4740</v>
      </c>
      <c r="I1990" s="2" t="str">
        <f t="shared" si="31"/>
        <v>+91-7150200987</v>
      </c>
      <c r="J1990">
        <f>91-7150201078</f>
        <v>-7150200987</v>
      </c>
      <c r="K1990" t="s">
        <v>580</v>
      </c>
      <c r="L1990" t="s">
        <v>85</v>
      </c>
      <c r="M1990">
        <v>494029</v>
      </c>
      <c r="N1990" s="1">
        <v>45262</v>
      </c>
      <c r="O1990" t="s">
        <v>28</v>
      </c>
      <c r="P1990">
        <v>5</v>
      </c>
      <c r="Q1990">
        <v>95642.08</v>
      </c>
    </row>
    <row r="1991" spans="1:17" x14ac:dyDescent="0.3">
      <c r="A1991" t="s">
        <v>4741</v>
      </c>
      <c r="B1991" t="s">
        <v>1283</v>
      </c>
      <c r="C1991" s="2" t="str">
        <f>PROPER(TRIM(Table1[[#This Row],[Gender]]))</f>
        <v>Female</v>
      </c>
      <c r="D1991" t="s">
        <v>43</v>
      </c>
      <c r="E1991">
        <v>61</v>
      </c>
      <c r="F1991" t="s">
        <v>58</v>
      </c>
      <c r="G1991" s="1">
        <v>23393</v>
      </c>
      <c r="H1991" t="s">
        <v>4742</v>
      </c>
      <c r="I1991" s="2" t="str">
        <f t="shared" si="31"/>
        <v>+91-7746399644</v>
      </c>
      <c r="J1991">
        <f>91-7746399735</f>
        <v>-7746399644</v>
      </c>
      <c r="K1991" t="s">
        <v>51</v>
      </c>
      <c r="L1991" t="s">
        <v>52</v>
      </c>
      <c r="M1991">
        <v>287526</v>
      </c>
      <c r="N1991" s="1">
        <v>45399</v>
      </c>
      <c r="O1991" t="s">
        <v>21</v>
      </c>
      <c r="P1991">
        <v>4</v>
      </c>
      <c r="Q1991">
        <v>33363.15</v>
      </c>
    </row>
    <row r="1992" spans="1:17" x14ac:dyDescent="0.3">
      <c r="A1992" t="s">
        <v>4743</v>
      </c>
      <c r="B1992" t="s">
        <v>4744</v>
      </c>
      <c r="C1992" s="2" t="str">
        <f>PROPER(TRIM(Table1[[#This Row],[Gender]]))</f>
        <v>Female</v>
      </c>
      <c r="D1992" t="s">
        <v>43</v>
      </c>
      <c r="E1992">
        <v>42</v>
      </c>
      <c r="F1992" t="s">
        <v>38</v>
      </c>
      <c r="G1992" s="1">
        <v>30328</v>
      </c>
      <c r="H1992" t="s">
        <v>4745</v>
      </c>
      <c r="I1992" s="2" t="str">
        <f t="shared" si="31"/>
        <v>+91-7215493476</v>
      </c>
      <c r="J1992">
        <f>91-7215493567</f>
        <v>-7215493476</v>
      </c>
      <c r="K1992" t="s">
        <v>64</v>
      </c>
      <c r="L1992" t="s">
        <v>20</v>
      </c>
      <c r="M1992">
        <v>488639</v>
      </c>
      <c r="N1992" s="1">
        <v>45262</v>
      </c>
      <c r="O1992" t="s">
        <v>28</v>
      </c>
      <c r="P1992">
        <v>2</v>
      </c>
      <c r="Q1992">
        <v>68626.679999999993</v>
      </c>
    </row>
    <row r="1993" spans="1:17" x14ac:dyDescent="0.3">
      <c r="A1993" t="s">
        <v>4746</v>
      </c>
      <c r="B1993" t="s">
        <v>1319</v>
      </c>
      <c r="C1993" s="2" t="str">
        <f>PROPER(TRIM(Table1[[#This Row],[Gender]]))</f>
        <v>Male</v>
      </c>
      <c r="D1993" t="s">
        <v>16</v>
      </c>
      <c r="E1993">
        <v>42</v>
      </c>
      <c r="F1993" t="s">
        <v>38</v>
      </c>
      <c r="G1993" s="1">
        <v>30328</v>
      </c>
      <c r="H1993" t="s">
        <v>4747</v>
      </c>
      <c r="I1993" s="2" t="str">
        <f t="shared" si="31"/>
        <v>+91-8720720038</v>
      </c>
      <c r="J1993">
        <f>91-8720720129</f>
        <v>-8720720038</v>
      </c>
      <c r="K1993" t="s">
        <v>580</v>
      </c>
      <c r="L1993" t="s">
        <v>85</v>
      </c>
      <c r="M1993">
        <v>269862</v>
      </c>
      <c r="N1993" s="1">
        <v>45203</v>
      </c>
      <c r="O1993" t="s">
        <v>28</v>
      </c>
      <c r="P1993">
        <v>5</v>
      </c>
      <c r="Q1993">
        <v>192936.23</v>
      </c>
    </row>
    <row r="1994" spans="1:17" x14ac:dyDescent="0.3">
      <c r="A1994" t="s">
        <v>4748</v>
      </c>
      <c r="B1994" t="s">
        <v>62</v>
      </c>
      <c r="C1994" s="2" t="str">
        <f>PROPER(TRIM(Table1[[#This Row],[Gender]]))</f>
        <v>Female</v>
      </c>
      <c r="D1994" t="s">
        <v>43</v>
      </c>
      <c r="E1994">
        <v>46</v>
      </c>
      <c r="F1994" t="s">
        <v>17</v>
      </c>
      <c r="G1994" s="1">
        <v>28868</v>
      </c>
      <c r="H1994" t="s">
        <v>3507</v>
      </c>
      <c r="I1994" s="2" t="str">
        <f t="shared" si="31"/>
        <v>+91-9191284476</v>
      </c>
      <c r="J1994">
        <f>91-9191284567</f>
        <v>-9191284476</v>
      </c>
      <c r="K1994" t="s">
        <v>154</v>
      </c>
      <c r="L1994" t="s">
        <v>46</v>
      </c>
      <c r="M1994">
        <v>464590</v>
      </c>
      <c r="N1994" s="1">
        <v>45250</v>
      </c>
      <c r="O1994" t="s">
        <v>28</v>
      </c>
      <c r="P1994">
        <v>6</v>
      </c>
      <c r="Q1994">
        <v>51366.45</v>
      </c>
    </row>
    <row r="1995" spans="1:17" x14ac:dyDescent="0.3">
      <c r="A1995" t="s">
        <v>4749</v>
      </c>
      <c r="B1995" t="s">
        <v>787</v>
      </c>
      <c r="C1995" s="2" t="str">
        <f>PROPER(TRIM(Table1[[#This Row],[Gender]]))</f>
        <v>Female</v>
      </c>
      <c r="D1995" t="s">
        <v>43</v>
      </c>
      <c r="E1995">
        <v>42</v>
      </c>
      <c r="F1995" t="s">
        <v>38</v>
      </c>
      <c r="G1995" s="1">
        <v>30328</v>
      </c>
      <c r="H1995" t="s">
        <v>4750</v>
      </c>
      <c r="I1995" s="2" t="str">
        <f t="shared" si="31"/>
        <v>+91-7327594433</v>
      </c>
      <c r="J1995">
        <f>91-7327594524</f>
        <v>-7327594433</v>
      </c>
      <c r="K1995" t="s">
        <v>109</v>
      </c>
      <c r="L1995" t="s">
        <v>46</v>
      </c>
      <c r="M1995">
        <v>436742</v>
      </c>
      <c r="N1995" s="1">
        <v>45207</v>
      </c>
      <c r="O1995" t="s">
        <v>21</v>
      </c>
      <c r="P1995">
        <v>4</v>
      </c>
      <c r="Q1995">
        <v>38023.449999999997</v>
      </c>
    </row>
    <row r="1996" spans="1:17" x14ac:dyDescent="0.3">
      <c r="A1996" t="s">
        <v>4751</v>
      </c>
      <c r="B1996" t="s">
        <v>2142</v>
      </c>
      <c r="C1996" s="2" t="str">
        <f>PROPER(TRIM(Table1[[#This Row],[Gender]]))</f>
        <v>Male</v>
      </c>
      <c r="D1996" t="s">
        <v>16</v>
      </c>
      <c r="E1996">
        <v>40</v>
      </c>
      <c r="F1996" t="s">
        <v>38</v>
      </c>
      <c r="G1996" s="1">
        <v>31058</v>
      </c>
      <c r="H1996" t="s">
        <v>4752</v>
      </c>
      <c r="I1996" s="2" t="str">
        <f t="shared" si="31"/>
        <v>+91-9377223544</v>
      </c>
      <c r="J1996">
        <f>91-9377223635</f>
        <v>-9377223544</v>
      </c>
      <c r="K1996" t="s">
        <v>80</v>
      </c>
      <c r="L1996" t="s">
        <v>20</v>
      </c>
      <c r="M1996">
        <v>536206</v>
      </c>
      <c r="N1996" s="1">
        <v>45221</v>
      </c>
      <c r="O1996" t="s">
        <v>28</v>
      </c>
      <c r="P1996">
        <v>5</v>
      </c>
      <c r="Q1996">
        <v>95325.89</v>
      </c>
    </row>
    <row r="1997" spans="1:17" x14ac:dyDescent="0.3">
      <c r="A1997" t="s">
        <v>4753</v>
      </c>
      <c r="B1997" t="s">
        <v>963</v>
      </c>
      <c r="C1997" s="2" t="str">
        <f>PROPER(TRIM(Table1[[#This Row],[Gender]]))</f>
        <v>Male</v>
      </c>
      <c r="D1997" t="s">
        <v>16</v>
      </c>
      <c r="E1997">
        <v>46</v>
      </c>
      <c r="F1997" t="s">
        <v>17</v>
      </c>
      <c r="G1997" s="1">
        <v>28868</v>
      </c>
      <c r="H1997" t="s">
        <v>4754</v>
      </c>
      <c r="I1997" s="2" t="str">
        <f t="shared" si="31"/>
        <v>+91-7929196865</v>
      </c>
      <c r="J1997">
        <f>91-7929196956</f>
        <v>-7929196865</v>
      </c>
      <c r="K1997" t="s">
        <v>154</v>
      </c>
      <c r="L1997" t="s">
        <v>46</v>
      </c>
      <c r="M1997">
        <v>478145</v>
      </c>
      <c r="N1997" s="1">
        <v>45216</v>
      </c>
      <c r="O1997" t="s">
        <v>28</v>
      </c>
      <c r="P1997">
        <v>3</v>
      </c>
      <c r="Q1997">
        <v>56071.55</v>
      </c>
    </row>
    <row r="1998" spans="1:17" x14ac:dyDescent="0.3">
      <c r="A1998" t="s">
        <v>4755</v>
      </c>
      <c r="B1998" t="s">
        <v>3127</v>
      </c>
      <c r="C1998" s="2" t="str">
        <f>PROPER(TRIM(Table1[[#This Row],[Gender]]))</f>
        <v>Male</v>
      </c>
      <c r="D1998" t="s">
        <v>16</v>
      </c>
      <c r="E1998">
        <v>30</v>
      </c>
      <c r="F1998" t="s">
        <v>31</v>
      </c>
      <c r="G1998" s="1">
        <v>34708</v>
      </c>
      <c r="H1998" t="s">
        <v>4756</v>
      </c>
      <c r="I1998" s="2" t="str">
        <f t="shared" si="31"/>
        <v>+91-8837645108</v>
      </c>
      <c r="J1998">
        <f>91-8837645199</f>
        <v>-8837645108</v>
      </c>
      <c r="K1998" t="s">
        <v>178</v>
      </c>
      <c r="L1998" t="s">
        <v>27</v>
      </c>
      <c r="M1998">
        <v>150307</v>
      </c>
      <c r="N1998" s="1">
        <v>45130</v>
      </c>
      <c r="O1998" t="s">
        <v>35</v>
      </c>
      <c r="P1998">
        <v>2</v>
      </c>
      <c r="Q1998">
        <v>7095.11</v>
      </c>
    </row>
    <row r="1999" spans="1:17" x14ac:dyDescent="0.3">
      <c r="A1999" t="s">
        <v>4757</v>
      </c>
      <c r="B1999" t="s">
        <v>4758</v>
      </c>
      <c r="C1999" s="2" t="str">
        <f>PROPER(TRIM(Table1[[#This Row],[Gender]]))</f>
        <v>Male</v>
      </c>
      <c r="D1999" t="s">
        <v>16</v>
      </c>
      <c r="E1999">
        <v>19</v>
      </c>
      <c r="F1999" t="s">
        <v>49</v>
      </c>
      <c r="G1999" s="1">
        <v>38723</v>
      </c>
      <c r="H1999" t="s">
        <v>4759</v>
      </c>
      <c r="I1999" s="2" t="str">
        <f t="shared" si="31"/>
        <v>+91-9591015565</v>
      </c>
      <c r="J1999">
        <f>91-9591015656</f>
        <v>-9591015565</v>
      </c>
      <c r="K1999" t="s">
        <v>45</v>
      </c>
      <c r="L1999" t="s">
        <v>46</v>
      </c>
      <c r="M1999">
        <v>384491</v>
      </c>
      <c r="N1999" s="1">
        <v>45170</v>
      </c>
      <c r="O1999" t="s">
        <v>28</v>
      </c>
      <c r="P1999">
        <v>3</v>
      </c>
      <c r="Q1999">
        <v>52888.33</v>
      </c>
    </row>
    <row r="2000" spans="1:17" x14ac:dyDescent="0.3">
      <c r="A2000" t="s">
        <v>4760</v>
      </c>
      <c r="B2000" t="s">
        <v>1286</v>
      </c>
      <c r="C2000" s="2" t="str">
        <f>PROPER(TRIM(Table1[[#This Row],[Gender]]))</f>
        <v>Male</v>
      </c>
      <c r="D2000" t="s">
        <v>16</v>
      </c>
      <c r="E2000">
        <v>41</v>
      </c>
      <c r="F2000" t="s">
        <v>38</v>
      </c>
      <c r="G2000" s="1">
        <v>30693</v>
      </c>
      <c r="H2000" t="s">
        <v>4761</v>
      </c>
      <c r="I2000" s="2" t="str">
        <f t="shared" si="31"/>
        <v>+91-7513139869</v>
      </c>
      <c r="J2000">
        <f>91-7513139960</f>
        <v>-7513139869</v>
      </c>
      <c r="K2000" t="s">
        <v>331</v>
      </c>
      <c r="L2000" t="s">
        <v>143</v>
      </c>
      <c r="M2000">
        <v>935497</v>
      </c>
      <c r="N2000" s="1">
        <v>45172</v>
      </c>
      <c r="O2000" t="s">
        <v>35</v>
      </c>
      <c r="P2000">
        <v>1</v>
      </c>
      <c r="Q2000">
        <v>15565.08</v>
      </c>
    </row>
    <row r="2001" spans="1:17" x14ac:dyDescent="0.3">
      <c r="A2001" t="s">
        <v>4762</v>
      </c>
      <c r="B2001" t="s">
        <v>3811</v>
      </c>
      <c r="C2001" s="2" t="str">
        <f>PROPER(TRIM(Table1[[#This Row],[Gender]]))</f>
        <v>Female</v>
      </c>
      <c r="D2001" t="s">
        <v>43</v>
      </c>
      <c r="E2001">
        <v>21</v>
      </c>
      <c r="F2001" t="s">
        <v>49</v>
      </c>
      <c r="G2001" s="1">
        <v>37993</v>
      </c>
      <c r="H2001" t="s">
        <v>4763</v>
      </c>
      <c r="I2001" s="2" t="str">
        <f t="shared" si="31"/>
        <v>+91-7556522492</v>
      </c>
      <c r="J2001">
        <f>91-7556522583</f>
        <v>-7556522492</v>
      </c>
      <c r="K2001" t="s">
        <v>19</v>
      </c>
      <c r="L2001" t="s">
        <v>20</v>
      </c>
      <c r="M2001">
        <v>809246</v>
      </c>
      <c r="N2001" s="1">
        <v>45407</v>
      </c>
      <c r="O2001" t="s">
        <v>35</v>
      </c>
      <c r="P2001">
        <v>5</v>
      </c>
      <c r="Q2001">
        <v>18086.79</v>
      </c>
    </row>
    <row r="2002" spans="1:17" x14ac:dyDescent="0.3">
      <c r="A2002" t="s">
        <v>4764</v>
      </c>
      <c r="B2002" t="s">
        <v>943</v>
      </c>
      <c r="C2002" s="2" t="str">
        <f>PROPER(TRIM(Table1[[#This Row],[Gender]]))</f>
        <v>Male</v>
      </c>
      <c r="D2002" t="s">
        <v>16</v>
      </c>
      <c r="E2002">
        <v>52</v>
      </c>
      <c r="F2002" t="s">
        <v>17</v>
      </c>
      <c r="G2002" s="1">
        <v>26678</v>
      </c>
      <c r="H2002" t="s">
        <v>4765</v>
      </c>
      <c r="I2002" s="2" t="str">
        <f t="shared" si="31"/>
        <v>+91-8074808762</v>
      </c>
      <c r="J2002">
        <f>91-8074808853</f>
        <v>-8074808762</v>
      </c>
      <c r="K2002" t="s">
        <v>40</v>
      </c>
      <c r="L2002" t="s">
        <v>27</v>
      </c>
      <c r="M2002">
        <v>302560</v>
      </c>
      <c r="N2002" s="1">
        <v>45406</v>
      </c>
      <c r="O2002" t="s">
        <v>35</v>
      </c>
      <c r="P2002">
        <v>3</v>
      </c>
      <c r="Q2002">
        <v>11010.61</v>
      </c>
    </row>
    <row r="2003" spans="1:17" x14ac:dyDescent="0.3">
      <c r="A2003" t="s">
        <v>4766</v>
      </c>
      <c r="B2003" t="s">
        <v>507</v>
      </c>
      <c r="C2003" s="2" t="str">
        <f>PROPER(TRIM(Table1[[#This Row],[Gender]]))</f>
        <v>Male</v>
      </c>
      <c r="D2003" t="s">
        <v>16</v>
      </c>
      <c r="E2003">
        <v>23</v>
      </c>
      <c r="F2003" t="s">
        <v>49</v>
      </c>
      <c r="G2003" s="1">
        <v>37263</v>
      </c>
      <c r="H2003" t="s">
        <v>4767</v>
      </c>
      <c r="I2003" s="2" t="str">
        <f t="shared" si="31"/>
        <v>+91-9228471259</v>
      </c>
      <c r="J2003">
        <f>91-9228471350</f>
        <v>-9228471259</v>
      </c>
      <c r="K2003" t="s">
        <v>19</v>
      </c>
      <c r="L2003" t="s">
        <v>20</v>
      </c>
      <c r="M2003">
        <v>805830</v>
      </c>
      <c r="N2003" s="1">
        <v>45398</v>
      </c>
      <c r="O2003" t="s">
        <v>28</v>
      </c>
      <c r="P2003">
        <v>3</v>
      </c>
      <c r="Q2003">
        <v>166525.72</v>
      </c>
    </row>
    <row r="2004" spans="1:17" x14ac:dyDescent="0.3">
      <c r="A2004" t="s">
        <v>4768</v>
      </c>
      <c r="B2004" t="s">
        <v>1564</v>
      </c>
      <c r="C2004" s="2" t="str">
        <f>PROPER(TRIM(Table1[[#This Row],[Gender]]))</f>
        <v>Female</v>
      </c>
      <c r="D2004" t="s">
        <v>43</v>
      </c>
      <c r="E2004">
        <v>18</v>
      </c>
      <c r="F2004" t="s">
        <v>49</v>
      </c>
      <c r="G2004" s="1">
        <v>39088</v>
      </c>
      <c r="H2004" t="s">
        <v>4769</v>
      </c>
      <c r="I2004" s="2" t="str">
        <f t="shared" si="31"/>
        <v>+91-9679644057</v>
      </c>
      <c r="J2004">
        <f>91-9679644148</f>
        <v>-9679644057</v>
      </c>
      <c r="K2004" t="s">
        <v>273</v>
      </c>
      <c r="L2004" t="s">
        <v>46</v>
      </c>
      <c r="M2004">
        <v>190698</v>
      </c>
      <c r="N2004" s="1">
        <v>45387</v>
      </c>
      <c r="O2004" t="s">
        <v>28</v>
      </c>
      <c r="P2004">
        <v>10</v>
      </c>
      <c r="Q2004">
        <v>396623.68</v>
      </c>
    </row>
    <row r="2005" spans="1:17" x14ac:dyDescent="0.3">
      <c r="A2005" t="s">
        <v>4770</v>
      </c>
      <c r="B2005" t="s">
        <v>2142</v>
      </c>
      <c r="C2005" s="2" t="str">
        <f>PROPER(TRIM(Table1[[#This Row],[Gender]]))</f>
        <v>Male</v>
      </c>
      <c r="D2005" t="s">
        <v>16</v>
      </c>
      <c r="E2005">
        <v>30</v>
      </c>
      <c r="F2005" t="s">
        <v>31</v>
      </c>
      <c r="G2005" s="1">
        <v>34708</v>
      </c>
      <c r="H2005" t="s">
        <v>4771</v>
      </c>
      <c r="I2005" s="2" t="str">
        <f t="shared" si="31"/>
        <v>+91-9898504019</v>
      </c>
      <c r="J2005">
        <f>91-9898504110</f>
        <v>-9898504019</v>
      </c>
      <c r="K2005" t="s">
        <v>369</v>
      </c>
      <c r="L2005" t="s">
        <v>191</v>
      </c>
      <c r="M2005">
        <v>494888</v>
      </c>
      <c r="N2005" s="1">
        <v>45433</v>
      </c>
      <c r="O2005" t="s">
        <v>28</v>
      </c>
      <c r="P2005">
        <v>8</v>
      </c>
      <c r="Q2005">
        <v>404737.72</v>
      </c>
    </row>
    <row r="2006" spans="1:17" x14ac:dyDescent="0.3">
      <c r="A2006" t="s">
        <v>4772</v>
      </c>
      <c r="B2006" t="s">
        <v>487</v>
      </c>
      <c r="C2006" s="2" t="str">
        <f>PROPER(TRIM(Table1[[#This Row],[Gender]]))</f>
        <v>Female</v>
      </c>
      <c r="D2006" t="s">
        <v>43</v>
      </c>
      <c r="E2006">
        <v>35</v>
      </c>
      <c r="F2006" t="s">
        <v>31</v>
      </c>
      <c r="G2006" s="1">
        <v>32883</v>
      </c>
      <c r="H2006" t="s">
        <v>4773</v>
      </c>
      <c r="I2006" s="2" t="str">
        <f t="shared" si="31"/>
        <v>+91-8977067902</v>
      </c>
      <c r="J2006">
        <f>91-8977067993</f>
        <v>-8977067902</v>
      </c>
      <c r="K2006" t="s">
        <v>84</v>
      </c>
      <c r="L2006" t="s">
        <v>85</v>
      </c>
      <c r="M2006">
        <v>194262</v>
      </c>
      <c r="N2006" s="1">
        <v>45087</v>
      </c>
      <c r="O2006" t="s">
        <v>28</v>
      </c>
      <c r="P2006">
        <v>13</v>
      </c>
      <c r="Q2006">
        <v>344929.39</v>
      </c>
    </row>
    <row r="2007" spans="1:17" x14ac:dyDescent="0.3">
      <c r="A2007" t="s">
        <v>4774</v>
      </c>
      <c r="B2007" t="s">
        <v>587</v>
      </c>
      <c r="C2007" s="2" t="str">
        <f>PROPER(TRIM(Table1[[#This Row],[Gender]]))</f>
        <v>Female</v>
      </c>
      <c r="D2007" t="s">
        <v>43</v>
      </c>
      <c r="E2007">
        <v>26</v>
      </c>
      <c r="F2007" t="s">
        <v>31</v>
      </c>
      <c r="G2007" s="1">
        <v>36168</v>
      </c>
      <c r="H2007" t="s">
        <v>4775</v>
      </c>
      <c r="I2007" s="2" t="str">
        <f t="shared" si="31"/>
        <v>+91-7427678892</v>
      </c>
      <c r="J2007">
        <f>91-7427678983</f>
        <v>-7427678892</v>
      </c>
      <c r="K2007" t="s">
        <v>84</v>
      </c>
      <c r="L2007" t="s">
        <v>85</v>
      </c>
      <c r="M2007">
        <v>247297</v>
      </c>
      <c r="N2007" s="1">
        <v>45287</v>
      </c>
      <c r="O2007" t="s">
        <v>28</v>
      </c>
      <c r="P2007">
        <v>8</v>
      </c>
      <c r="Q2007">
        <v>249807.99</v>
      </c>
    </row>
    <row r="2008" spans="1:17" x14ac:dyDescent="0.3">
      <c r="A2008" t="s">
        <v>4776</v>
      </c>
      <c r="B2008" t="s">
        <v>2150</v>
      </c>
      <c r="C2008" s="2" t="str">
        <f>PROPER(TRIM(Table1[[#This Row],[Gender]]))</f>
        <v>Female</v>
      </c>
      <c r="D2008" t="s">
        <v>43</v>
      </c>
      <c r="E2008">
        <v>25</v>
      </c>
      <c r="F2008" t="s">
        <v>49</v>
      </c>
      <c r="G2008" s="1">
        <v>36533</v>
      </c>
      <c r="H2008" t="s">
        <v>4777</v>
      </c>
      <c r="I2008" s="2" t="str">
        <f t="shared" si="31"/>
        <v>+91-9875762441</v>
      </c>
      <c r="J2008">
        <f>91-9875762532</f>
        <v>-9875762441</v>
      </c>
      <c r="K2008" t="s">
        <v>138</v>
      </c>
      <c r="L2008" t="s">
        <v>90</v>
      </c>
      <c r="M2008">
        <v>509685</v>
      </c>
      <c r="N2008" s="1">
        <v>45078</v>
      </c>
      <c r="O2008" t="s">
        <v>28</v>
      </c>
      <c r="P2008">
        <v>4</v>
      </c>
      <c r="Q2008">
        <v>85069.94</v>
      </c>
    </row>
    <row r="2009" spans="1:17" x14ac:dyDescent="0.3">
      <c r="A2009" t="s">
        <v>4778</v>
      </c>
      <c r="B2009" t="s">
        <v>2293</v>
      </c>
      <c r="C2009" s="2" t="str">
        <f>PROPER(TRIM(Table1[[#This Row],[Gender]]))</f>
        <v>Female</v>
      </c>
      <c r="D2009" t="s">
        <v>43</v>
      </c>
      <c r="E2009">
        <v>35</v>
      </c>
      <c r="F2009" t="s">
        <v>31</v>
      </c>
      <c r="G2009" s="1">
        <v>32883</v>
      </c>
      <c r="H2009" t="s">
        <v>4779</v>
      </c>
      <c r="I2009" s="2" t="str">
        <f t="shared" si="31"/>
        <v>+91-8051979503</v>
      </c>
      <c r="J2009">
        <f>91-8051979594</f>
        <v>-8051979503</v>
      </c>
      <c r="K2009" t="s">
        <v>580</v>
      </c>
      <c r="L2009" t="s">
        <v>85</v>
      </c>
      <c r="M2009">
        <v>178708</v>
      </c>
      <c r="N2009" s="1">
        <v>45209</v>
      </c>
      <c r="O2009" t="s">
        <v>28</v>
      </c>
      <c r="P2009">
        <v>3</v>
      </c>
      <c r="Q2009">
        <v>52919.68</v>
      </c>
    </row>
    <row r="2010" spans="1:17" x14ac:dyDescent="0.3">
      <c r="A2010" t="s">
        <v>4780</v>
      </c>
      <c r="B2010" t="s">
        <v>4098</v>
      </c>
      <c r="C2010" s="2" t="str">
        <f>PROPER(TRIM(Table1[[#This Row],[Gender]]))</f>
        <v>Male</v>
      </c>
      <c r="D2010" t="s">
        <v>16</v>
      </c>
      <c r="E2010">
        <v>27</v>
      </c>
      <c r="F2010" t="s">
        <v>31</v>
      </c>
      <c r="G2010" s="1">
        <v>35803</v>
      </c>
      <c r="H2010" t="s">
        <v>4781</v>
      </c>
      <c r="I2010" s="2" t="str">
        <f t="shared" si="31"/>
        <v>+91-9117125510</v>
      </c>
      <c r="J2010">
        <f>91-9117125601</f>
        <v>-9117125510</v>
      </c>
      <c r="K2010" t="s">
        <v>84</v>
      </c>
      <c r="L2010" t="s">
        <v>85</v>
      </c>
      <c r="M2010">
        <v>917773</v>
      </c>
      <c r="N2010" s="1">
        <v>45410</v>
      </c>
      <c r="O2010" t="s">
        <v>28</v>
      </c>
      <c r="P2010">
        <v>5</v>
      </c>
      <c r="Q2010">
        <v>72245.899999999994</v>
      </c>
    </row>
    <row r="2011" spans="1:17" x14ac:dyDescent="0.3">
      <c r="A2011" t="s">
        <v>4782</v>
      </c>
      <c r="B2011" t="s">
        <v>188</v>
      </c>
      <c r="C2011" s="2" t="str">
        <f>PROPER(TRIM(Table1[[#This Row],[Gender]]))</f>
        <v>Female</v>
      </c>
      <c r="D2011" t="s">
        <v>43</v>
      </c>
      <c r="E2011">
        <v>31</v>
      </c>
      <c r="F2011" t="s">
        <v>31</v>
      </c>
      <c r="G2011" s="1">
        <v>34343</v>
      </c>
      <c r="H2011" t="s">
        <v>4783</v>
      </c>
      <c r="I2011" s="2" t="str">
        <f t="shared" si="31"/>
        <v>+91-7922502041</v>
      </c>
      <c r="J2011">
        <f>91-7922502132</f>
        <v>-7922502041</v>
      </c>
      <c r="K2011" t="s">
        <v>84</v>
      </c>
      <c r="L2011" t="s">
        <v>85</v>
      </c>
      <c r="M2011">
        <v>524549</v>
      </c>
      <c r="N2011" s="1">
        <v>45184</v>
      </c>
      <c r="O2011" t="s">
        <v>21</v>
      </c>
      <c r="P2011">
        <v>4</v>
      </c>
      <c r="Q2011">
        <v>31862.63</v>
      </c>
    </row>
    <row r="2012" spans="1:17" x14ac:dyDescent="0.3">
      <c r="A2012" t="s">
        <v>4784</v>
      </c>
      <c r="B2012" t="s">
        <v>1827</v>
      </c>
      <c r="C2012" s="2" t="str">
        <f>PROPER(TRIM(Table1[[#This Row],[Gender]]))</f>
        <v>Male</v>
      </c>
      <c r="D2012" t="s">
        <v>16</v>
      </c>
      <c r="E2012">
        <v>50</v>
      </c>
      <c r="F2012" t="s">
        <v>17</v>
      </c>
      <c r="G2012" s="1">
        <v>27408</v>
      </c>
      <c r="H2012" t="s">
        <v>4785</v>
      </c>
      <c r="I2012" s="2" t="str">
        <f t="shared" si="31"/>
        <v>+91-9411392077</v>
      </c>
      <c r="J2012">
        <f>91-9411392168</f>
        <v>-9411392077</v>
      </c>
      <c r="K2012" t="s">
        <v>415</v>
      </c>
      <c r="L2012" t="s">
        <v>90</v>
      </c>
      <c r="M2012">
        <v>302265</v>
      </c>
      <c r="N2012" s="1">
        <v>45246</v>
      </c>
      <c r="O2012" t="s">
        <v>21</v>
      </c>
      <c r="P2012">
        <v>5</v>
      </c>
      <c r="Q2012">
        <v>23953.7</v>
      </c>
    </row>
    <row r="2013" spans="1:17" x14ac:dyDescent="0.3">
      <c r="A2013" t="s">
        <v>4786</v>
      </c>
      <c r="B2013" t="s">
        <v>960</v>
      </c>
      <c r="C2013" s="2" t="str">
        <f>PROPER(TRIM(Table1[[#This Row],[Gender]]))</f>
        <v>Male</v>
      </c>
      <c r="D2013" t="s">
        <v>16</v>
      </c>
      <c r="E2013">
        <v>20</v>
      </c>
      <c r="F2013" t="s">
        <v>49</v>
      </c>
      <c r="G2013" s="1">
        <v>38358</v>
      </c>
      <c r="H2013" t="s">
        <v>4787</v>
      </c>
      <c r="I2013" s="2" t="str">
        <f t="shared" si="31"/>
        <v>+91-9333949306</v>
      </c>
      <c r="J2013">
        <f>91-9333949397</f>
        <v>-9333949306</v>
      </c>
      <c r="K2013" t="s">
        <v>94</v>
      </c>
      <c r="L2013" t="s">
        <v>20</v>
      </c>
      <c r="M2013">
        <v>630934</v>
      </c>
      <c r="N2013" s="1">
        <v>45153</v>
      </c>
      <c r="O2013" t="s">
        <v>21</v>
      </c>
      <c r="P2013">
        <v>1</v>
      </c>
      <c r="Q2013">
        <v>27229.72</v>
      </c>
    </row>
    <row r="2014" spans="1:17" x14ac:dyDescent="0.3">
      <c r="A2014" t="s">
        <v>4788</v>
      </c>
      <c r="B2014" t="s">
        <v>92</v>
      </c>
      <c r="C2014" s="2" t="str">
        <f>PROPER(TRIM(Table1[[#This Row],[Gender]]))</f>
        <v>Female</v>
      </c>
      <c r="D2014" t="s">
        <v>43</v>
      </c>
      <c r="E2014">
        <v>41</v>
      </c>
      <c r="F2014" t="s">
        <v>38</v>
      </c>
      <c r="G2014" s="1">
        <v>30693</v>
      </c>
      <c r="H2014" t="s">
        <v>4789</v>
      </c>
      <c r="I2014" s="2" t="str">
        <f t="shared" si="31"/>
        <v>+91-9102353808</v>
      </c>
      <c r="J2014">
        <f>91-9102353899</f>
        <v>-9102353808</v>
      </c>
      <c r="K2014" t="s">
        <v>33</v>
      </c>
      <c r="L2014" t="s">
        <v>34</v>
      </c>
      <c r="M2014">
        <v>274656</v>
      </c>
      <c r="N2014" s="1">
        <v>45098</v>
      </c>
      <c r="O2014" t="s">
        <v>28</v>
      </c>
      <c r="P2014">
        <v>4</v>
      </c>
      <c r="Q2014">
        <v>58544.5</v>
      </c>
    </row>
    <row r="2015" spans="1:17" x14ac:dyDescent="0.3">
      <c r="A2015" t="s">
        <v>4790</v>
      </c>
      <c r="B2015" t="s">
        <v>200</v>
      </c>
      <c r="C2015" s="2" t="str">
        <f>PROPER(TRIM(Table1[[#This Row],[Gender]]))</f>
        <v>Female</v>
      </c>
      <c r="D2015" t="s">
        <v>43</v>
      </c>
      <c r="E2015">
        <v>47</v>
      </c>
      <c r="F2015" t="s">
        <v>17</v>
      </c>
      <c r="G2015" s="1">
        <v>28503</v>
      </c>
      <c r="H2015" t="s">
        <v>4791</v>
      </c>
      <c r="I2015" s="2" t="str">
        <f t="shared" si="31"/>
        <v>+91-9969258234</v>
      </c>
      <c r="J2015">
        <f>91-9969258325</f>
        <v>-9969258234</v>
      </c>
      <c r="K2015" t="s">
        <v>19</v>
      </c>
      <c r="L2015" t="s">
        <v>20</v>
      </c>
      <c r="M2015">
        <v>721512</v>
      </c>
      <c r="N2015" s="1">
        <v>45425</v>
      </c>
      <c r="O2015" t="s">
        <v>28</v>
      </c>
      <c r="P2015">
        <v>7</v>
      </c>
      <c r="Q2015">
        <v>75719.31</v>
      </c>
    </row>
    <row r="2016" spans="1:17" x14ac:dyDescent="0.3">
      <c r="A2016" t="s">
        <v>4792</v>
      </c>
      <c r="B2016" t="s">
        <v>4793</v>
      </c>
      <c r="C2016" s="2" t="str">
        <f>PROPER(TRIM(Table1[[#This Row],[Gender]]))</f>
        <v>Female</v>
      </c>
      <c r="D2016" t="s">
        <v>43</v>
      </c>
      <c r="E2016">
        <v>44</v>
      </c>
      <c r="F2016" t="s">
        <v>38</v>
      </c>
      <c r="G2016" s="1">
        <v>29598</v>
      </c>
      <c r="H2016" t="s">
        <v>4794</v>
      </c>
      <c r="I2016" s="2" t="str">
        <f t="shared" si="31"/>
        <v>+91-7659977291</v>
      </c>
      <c r="J2016">
        <f>91-7659977382</f>
        <v>-7659977291</v>
      </c>
      <c r="K2016" t="s">
        <v>202</v>
      </c>
      <c r="L2016" t="s">
        <v>191</v>
      </c>
      <c r="M2016">
        <v>950758</v>
      </c>
      <c r="N2016" s="1">
        <v>45358</v>
      </c>
      <c r="O2016" t="s">
        <v>21</v>
      </c>
      <c r="P2016">
        <v>3</v>
      </c>
      <c r="Q2016">
        <v>24745.95</v>
      </c>
    </row>
    <row r="2017" spans="1:17" x14ac:dyDescent="0.3">
      <c r="A2017" t="s">
        <v>4795</v>
      </c>
      <c r="B2017" t="s">
        <v>1471</v>
      </c>
      <c r="C2017" s="2" t="str">
        <f>PROPER(TRIM(Table1[[#This Row],[Gender]]))</f>
        <v>Female</v>
      </c>
      <c r="D2017" t="s">
        <v>43</v>
      </c>
      <c r="E2017">
        <v>55</v>
      </c>
      <c r="F2017" t="s">
        <v>17</v>
      </c>
      <c r="G2017" s="1">
        <v>25583</v>
      </c>
      <c r="H2017" t="s">
        <v>4796</v>
      </c>
      <c r="I2017" s="2" t="str">
        <f t="shared" si="31"/>
        <v>+91-8074969238</v>
      </c>
      <c r="J2017">
        <f>91-8074969329</f>
        <v>-8074969238</v>
      </c>
      <c r="K2017" t="s">
        <v>64</v>
      </c>
      <c r="L2017" t="s">
        <v>20</v>
      </c>
      <c r="M2017">
        <v>325608</v>
      </c>
      <c r="N2017" s="1">
        <v>45356</v>
      </c>
      <c r="O2017" t="s">
        <v>21</v>
      </c>
      <c r="P2017">
        <v>5</v>
      </c>
      <c r="Q2017">
        <v>34289.94</v>
      </c>
    </row>
    <row r="2018" spans="1:17" x14ac:dyDescent="0.3">
      <c r="A2018" t="s">
        <v>4797</v>
      </c>
      <c r="B2018" t="s">
        <v>289</v>
      </c>
      <c r="C2018" s="2" t="str">
        <f>PROPER(TRIM(Table1[[#This Row],[Gender]]))</f>
        <v>Male</v>
      </c>
      <c r="D2018" t="s">
        <v>16</v>
      </c>
      <c r="E2018">
        <v>43</v>
      </c>
      <c r="F2018" t="s">
        <v>38</v>
      </c>
      <c r="G2018" s="1">
        <v>29963</v>
      </c>
      <c r="H2018" t="s">
        <v>4798</v>
      </c>
      <c r="I2018" s="2" t="str">
        <f t="shared" si="31"/>
        <v>+91-9690861523</v>
      </c>
      <c r="J2018">
        <f>91-9690861614</f>
        <v>-9690861523</v>
      </c>
      <c r="K2018" t="s">
        <v>161</v>
      </c>
      <c r="L2018" t="s">
        <v>102</v>
      </c>
      <c r="M2018">
        <v>693734</v>
      </c>
      <c r="N2018" s="1">
        <v>45128</v>
      </c>
      <c r="O2018" t="s">
        <v>28</v>
      </c>
      <c r="P2018">
        <v>6</v>
      </c>
      <c r="Q2018">
        <v>96146.46</v>
      </c>
    </row>
    <row r="2019" spans="1:17" x14ac:dyDescent="0.3">
      <c r="A2019" t="s">
        <v>4799</v>
      </c>
      <c r="B2019" t="s">
        <v>1248</v>
      </c>
      <c r="C2019" s="2" t="str">
        <f>PROPER(TRIM(Table1[[#This Row],[Gender]]))</f>
        <v>Female</v>
      </c>
      <c r="D2019" t="s">
        <v>43</v>
      </c>
      <c r="E2019">
        <v>19</v>
      </c>
      <c r="F2019" t="s">
        <v>49</v>
      </c>
      <c r="G2019" s="1">
        <v>38723</v>
      </c>
      <c r="H2019" t="s">
        <v>3145</v>
      </c>
      <c r="I2019" s="2" t="str">
        <f t="shared" si="31"/>
        <v>+91-7197031775</v>
      </c>
      <c r="J2019">
        <f>91-7197031866</f>
        <v>-7197031775</v>
      </c>
      <c r="K2019" t="s">
        <v>154</v>
      </c>
      <c r="L2019" t="s">
        <v>46</v>
      </c>
      <c r="M2019">
        <v>999792</v>
      </c>
      <c r="N2019" s="1">
        <v>45372</v>
      </c>
      <c r="O2019" t="s">
        <v>28</v>
      </c>
      <c r="P2019">
        <v>6</v>
      </c>
      <c r="Q2019">
        <v>341458.87</v>
      </c>
    </row>
    <row r="2020" spans="1:17" x14ac:dyDescent="0.3">
      <c r="A2020" t="s">
        <v>4800</v>
      </c>
      <c r="B2020" t="s">
        <v>4801</v>
      </c>
      <c r="C2020" s="2" t="str">
        <f>PROPER(TRIM(Table1[[#This Row],[Gender]]))</f>
        <v>Female</v>
      </c>
      <c r="D2020" t="s">
        <v>43</v>
      </c>
      <c r="E2020">
        <v>40</v>
      </c>
      <c r="F2020" t="s">
        <v>38</v>
      </c>
      <c r="G2020" s="1">
        <v>31058</v>
      </c>
      <c r="H2020" t="s">
        <v>4802</v>
      </c>
      <c r="I2020" s="2" t="str">
        <f t="shared" si="31"/>
        <v>+91-9979819074</v>
      </c>
      <c r="J2020">
        <f>91-9979819165</f>
        <v>-9979819074</v>
      </c>
      <c r="K2020" t="s">
        <v>142</v>
      </c>
      <c r="L2020" t="s">
        <v>143</v>
      </c>
      <c r="M2020">
        <v>184064</v>
      </c>
      <c r="N2020" s="1">
        <v>45170</v>
      </c>
      <c r="O2020" t="s">
        <v>28</v>
      </c>
      <c r="P2020">
        <v>7</v>
      </c>
      <c r="Q2020">
        <v>255204.61</v>
      </c>
    </row>
    <row r="2021" spans="1:17" x14ac:dyDescent="0.3">
      <c r="A2021" t="s">
        <v>4803</v>
      </c>
      <c r="B2021" t="s">
        <v>2216</v>
      </c>
      <c r="C2021" s="2" t="str">
        <f>PROPER(TRIM(Table1[[#This Row],[Gender]]))</f>
        <v>Male</v>
      </c>
      <c r="D2021" t="s">
        <v>16</v>
      </c>
      <c r="E2021">
        <v>25</v>
      </c>
      <c r="F2021" t="s">
        <v>49</v>
      </c>
      <c r="G2021" s="1">
        <v>36533</v>
      </c>
      <c r="H2021" t="s">
        <v>4804</v>
      </c>
      <c r="I2021" s="2" t="str">
        <f t="shared" si="31"/>
        <v>+91-7136387769</v>
      </c>
      <c r="J2021">
        <f>91-7136387860</f>
        <v>-7136387769</v>
      </c>
      <c r="K2021" t="s">
        <v>64</v>
      </c>
      <c r="L2021" t="s">
        <v>20</v>
      </c>
      <c r="M2021">
        <v>525618</v>
      </c>
      <c r="N2021" s="1">
        <v>45235</v>
      </c>
      <c r="O2021" t="s">
        <v>28</v>
      </c>
      <c r="P2021">
        <v>5</v>
      </c>
      <c r="Q2021">
        <v>149135.20000000001</v>
      </c>
    </row>
    <row r="2022" spans="1:17" x14ac:dyDescent="0.3">
      <c r="A2022" t="s">
        <v>4805</v>
      </c>
      <c r="B2022" t="s">
        <v>1236</v>
      </c>
      <c r="C2022" s="2" t="str">
        <f>PROPER(TRIM(Table1[[#This Row],[Gender]]))</f>
        <v>Male</v>
      </c>
      <c r="D2022" t="s">
        <v>16</v>
      </c>
      <c r="E2022">
        <v>43</v>
      </c>
      <c r="F2022" t="s">
        <v>38</v>
      </c>
      <c r="G2022" s="1">
        <v>29963</v>
      </c>
      <c r="H2022" t="s">
        <v>4806</v>
      </c>
      <c r="I2022" s="2" t="str">
        <f t="shared" si="31"/>
        <v>+91-7592087429</v>
      </c>
      <c r="J2022">
        <f>91-7592087520</f>
        <v>-7592087429</v>
      </c>
      <c r="K2022" t="s">
        <v>117</v>
      </c>
      <c r="L2022" t="s">
        <v>52</v>
      </c>
      <c r="M2022">
        <v>238528</v>
      </c>
      <c r="N2022" s="1">
        <v>45297</v>
      </c>
      <c r="O2022" t="s">
        <v>28</v>
      </c>
      <c r="P2022">
        <v>7</v>
      </c>
      <c r="Q2022">
        <v>250106.42</v>
      </c>
    </row>
    <row r="2023" spans="1:17" x14ac:dyDescent="0.3">
      <c r="A2023" t="s">
        <v>4807</v>
      </c>
      <c r="B2023" t="s">
        <v>4808</v>
      </c>
      <c r="C2023" s="2" t="str">
        <f>PROPER(TRIM(Table1[[#This Row],[Gender]]))</f>
        <v>Male</v>
      </c>
      <c r="D2023" t="s">
        <v>16</v>
      </c>
      <c r="E2023">
        <v>43</v>
      </c>
      <c r="F2023" t="s">
        <v>38</v>
      </c>
      <c r="G2023" s="1">
        <v>29963</v>
      </c>
      <c r="H2023" t="s">
        <v>4809</v>
      </c>
      <c r="I2023" s="2" t="str">
        <f t="shared" si="31"/>
        <v>+91-8281557435</v>
      </c>
      <c r="J2023">
        <f>91-8281557526</f>
        <v>-8281557435</v>
      </c>
      <c r="K2023" t="s">
        <v>331</v>
      </c>
      <c r="L2023" t="s">
        <v>143</v>
      </c>
      <c r="M2023">
        <v>107890</v>
      </c>
      <c r="N2023" s="1">
        <v>45176</v>
      </c>
      <c r="O2023" t="s">
        <v>21</v>
      </c>
      <c r="P2023">
        <v>5</v>
      </c>
      <c r="Q2023">
        <v>35886.660000000003</v>
      </c>
    </row>
    <row r="2024" spans="1:17" x14ac:dyDescent="0.3">
      <c r="A2024" t="s">
        <v>4810</v>
      </c>
      <c r="B2024" t="s">
        <v>2147</v>
      </c>
      <c r="C2024" s="2" t="str">
        <f>PROPER(TRIM(Table1[[#This Row],[Gender]]))</f>
        <v>Female</v>
      </c>
      <c r="D2024" t="s">
        <v>43</v>
      </c>
      <c r="E2024">
        <v>20</v>
      </c>
      <c r="F2024" t="s">
        <v>49</v>
      </c>
      <c r="G2024" s="1">
        <v>38358</v>
      </c>
      <c r="H2024" t="s">
        <v>4811</v>
      </c>
      <c r="I2024" s="2" t="str">
        <f t="shared" si="31"/>
        <v>+91-8038440488</v>
      </c>
      <c r="J2024">
        <f>91-8038440579</f>
        <v>-8038440488</v>
      </c>
      <c r="K2024" t="s">
        <v>76</v>
      </c>
      <c r="L2024" t="s">
        <v>46</v>
      </c>
      <c r="M2024">
        <v>349588</v>
      </c>
      <c r="N2024" s="1">
        <v>45093</v>
      </c>
      <c r="O2024" t="s">
        <v>21</v>
      </c>
      <c r="P2024">
        <v>5</v>
      </c>
      <c r="Q2024">
        <v>36833.379999999997</v>
      </c>
    </row>
    <row r="2025" spans="1:17" x14ac:dyDescent="0.3">
      <c r="A2025" t="s">
        <v>4812</v>
      </c>
      <c r="B2025" t="s">
        <v>4813</v>
      </c>
      <c r="C2025" s="2" t="str">
        <f>PROPER(TRIM(Table1[[#This Row],[Gender]]))</f>
        <v>Male</v>
      </c>
      <c r="D2025" t="s">
        <v>16</v>
      </c>
      <c r="E2025">
        <v>55</v>
      </c>
      <c r="F2025" t="s">
        <v>17</v>
      </c>
      <c r="G2025" s="1">
        <v>25583</v>
      </c>
      <c r="H2025" t="s">
        <v>4814</v>
      </c>
      <c r="I2025" s="2" t="str">
        <f t="shared" si="31"/>
        <v>+91-7664817531</v>
      </c>
      <c r="J2025">
        <f>91-7664817622</f>
        <v>-7664817531</v>
      </c>
      <c r="K2025" t="s">
        <v>415</v>
      </c>
      <c r="L2025" t="s">
        <v>90</v>
      </c>
      <c r="M2025">
        <v>413111</v>
      </c>
      <c r="N2025" s="1">
        <v>45300</v>
      </c>
      <c r="O2025" t="s">
        <v>35</v>
      </c>
      <c r="P2025">
        <v>4</v>
      </c>
      <c r="Q2025">
        <v>8405.82</v>
      </c>
    </row>
    <row r="2026" spans="1:17" x14ac:dyDescent="0.3">
      <c r="A2026" t="s">
        <v>4815</v>
      </c>
      <c r="B2026" t="s">
        <v>966</v>
      </c>
      <c r="C2026" s="2" t="str">
        <f>PROPER(TRIM(Table1[[#This Row],[Gender]]))</f>
        <v>Female</v>
      </c>
      <c r="D2026" t="s">
        <v>43</v>
      </c>
      <c r="E2026">
        <v>65</v>
      </c>
      <c r="F2026" t="s">
        <v>58</v>
      </c>
      <c r="G2026" s="1">
        <v>21933</v>
      </c>
      <c r="H2026" t="s">
        <v>4816</v>
      </c>
      <c r="I2026" s="2" t="str">
        <f t="shared" si="31"/>
        <v>+91-8104015006</v>
      </c>
      <c r="J2026">
        <f>91-8104015097</f>
        <v>-8104015006</v>
      </c>
      <c r="K2026" t="s">
        <v>64</v>
      </c>
      <c r="L2026" t="s">
        <v>20</v>
      </c>
      <c r="M2026">
        <v>835321</v>
      </c>
      <c r="N2026" s="1">
        <v>45338</v>
      </c>
      <c r="O2026" t="s">
        <v>28</v>
      </c>
      <c r="P2026">
        <v>3</v>
      </c>
      <c r="Q2026">
        <v>95621.98</v>
      </c>
    </row>
    <row r="2027" spans="1:17" x14ac:dyDescent="0.3">
      <c r="A2027" t="s">
        <v>4817</v>
      </c>
      <c r="B2027" t="s">
        <v>3752</v>
      </c>
      <c r="C2027" s="2" t="str">
        <f>PROPER(TRIM(Table1[[#This Row],[Gender]]))</f>
        <v>Male</v>
      </c>
      <c r="D2027" t="s">
        <v>16</v>
      </c>
      <c r="E2027">
        <v>24</v>
      </c>
      <c r="F2027" t="s">
        <v>49</v>
      </c>
      <c r="G2027" s="1">
        <v>36898</v>
      </c>
      <c r="H2027" t="s">
        <v>4818</v>
      </c>
      <c r="I2027" s="2" t="str">
        <f t="shared" si="31"/>
        <v>+91-7025779409</v>
      </c>
      <c r="J2027">
        <f>91-7025779500</f>
        <v>-7025779409</v>
      </c>
      <c r="K2027" t="s">
        <v>51</v>
      </c>
      <c r="L2027" t="s">
        <v>52</v>
      </c>
      <c r="M2027">
        <v>296925</v>
      </c>
      <c r="N2027" s="1">
        <v>45440</v>
      </c>
      <c r="O2027" t="s">
        <v>28</v>
      </c>
      <c r="P2027">
        <v>7</v>
      </c>
      <c r="Q2027">
        <v>197947.01</v>
      </c>
    </row>
    <row r="2028" spans="1:17" x14ac:dyDescent="0.3">
      <c r="A2028" t="s">
        <v>4819</v>
      </c>
      <c r="B2028" t="s">
        <v>2559</v>
      </c>
      <c r="C2028" s="2" t="str">
        <f>PROPER(TRIM(Table1[[#This Row],[Gender]]))</f>
        <v>Male</v>
      </c>
      <c r="D2028" t="s">
        <v>16</v>
      </c>
      <c r="E2028">
        <v>37</v>
      </c>
      <c r="F2028" t="s">
        <v>38</v>
      </c>
      <c r="G2028" s="1">
        <v>32153</v>
      </c>
      <c r="H2028" t="s">
        <v>4820</v>
      </c>
      <c r="I2028" s="2" t="str">
        <f t="shared" si="31"/>
        <v>+91-8473140732</v>
      </c>
      <c r="J2028">
        <f>91-8473140823</f>
        <v>-8473140732</v>
      </c>
      <c r="K2028" t="s">
        <v>249</v>
      </c>
      <c r="L2028" t="s">
        <v>34</v>
      </c>
      <c r="M2028">
        <v>661692</v>
      </c>
      <c r="N2028" s="1">
        <v>45386</v>
      </c>
      <c r="O2028" t="s">
        <v>35</v>
      </c>
      <c r="P2028">
        <v>0</v>
      </c>
      <c r="Q2028">
        <v>0</v>
      </c>
    </row>
    <row r="2029" spans="1:17" x14ac:dyDescent="0.3">
      <c r="A2029" t="s">
        <v>4821</v>
      </c>
      <c r="B2029" t="s">
        <v>1381</v>
      </c>
      <c r="C2029" s="2" t="str">
        <f>PROPER(TRIM(Table1[[#This Row],[Gender]]))</f>
        <v>Female</v>
      </c>
      <c r="D2029" t="s">
        <v>43</v>
      </c>
      <c r="E2029">
        <v>29</v>
      </c>
      <c r="F2029" t="s">
        <v>31</v>
      </c>
      <c r="G2029" s="1">
        <v>35073</v>
      </c>
      <c r="H2029" t="s">
        <v>1384</v>
      </c>
      <c r="I2029" s="2" t="str">
        <f t="shared" si="31"/>
        <v>+91-7156488513</v>
      </c>
      <c r="J2029">
        <f>91-7156488604</f>
        <v>-7156488513</v>
      </c>
      <c r="K2029" t="s">
        <v>415</v>
      </c>
      <c r="L2029" t="s">
        <v>90</v>
      </c>
      <c r="M2029">
        <v>671384</v>
      </c>
      <c r="N2029" s="1">
        <v>45406</v>
      </c>
      <c r="O2029" t="s">
        <v>28</v>
      </c>
      <c r="P2029">
        <v>5</v>
      </c>
      <c r="Q2029">
        <v>101565.4</v>
      </c>
    </row>
    <row r="2030" spans="1:17" x14ac:dyDescent="0.3">
      <c r="A2030" t="s">
        <v>4822</v>
      </c>
      <c r="B2030" t="s">
        <v>1294</v>
      </c>
      <c r="C2030" s="2" t="str">
        <f>PROPER(TRIM(Table1[[#This Row],[Gender]]))</f>
        <v>Male</v>
      </c>
      <c r="D2030" t="s">
        <v>16</v>
      </c>
      <c r="E2030">
        <v>19</v>
      </c>
      <c r="F2030" t="s">
        <v>49</v>
      </c>
      <c r="G2030" s="1">
        <v>38723</v>
      </c>
      <c r="H2030" t="s">
        <v>4823</v>
      </c>
      <c r="I2030" s="2" t="str">
        <f t="shared" si="31"/>
        <v>+91-9958944128</v>
      </c>
      <c r="J2030">
        <f>91-9958944219</f>
        <v>-9958944128</v>
      </c>
      <c r="K2030" t="s">
        <v>147</v>
      </c>
      <c r="L2030" t="s">
        <v>143</v>
      </c>
      <c r="M2030">
        <v>718748</v>
      </c>
      <c r="N2030" s="1">
        <v>45395</v>
      </c>
      <c r="O2030" t="s">
        <v>28</v>
      </c>
      <c r="P2030">
        <v>5</v>
      </c>
      <c r="Q2030">
        <v>276841.90000000002</v>
      </c>
    </row>
    <row r="2031" spans="1:17" x14ac:dyDescent="0.3">
      <c r="A2031" t="s">
        <v>4824</v>
      </c>
      <c r="B2031" t="s">
        <v>1680</v>
      </c>
      <c r="C2031" s="2" t="str">
        <f>PROPER(TRIM(Table1[[#This Row],[Gender]]))</f>
        <v>Female</v>
      </c>
      <c r="D2031" t="s">
        <v>43</v>
      </c>
      <c r="E2031">
        <v>39</v>
      </c>
      <c r="F2031" t="s">
        <v>38</v>
      </c>
      <c r="G2031" s="1">
        <v>31423</v>
      </c>
      <c r="H2031" t="s">
        <v>4825</v>
      </c>
      <c r="I2031" s="2" t="str">
        <f t="shared" si="31"/>
        <v>+91-8142334780</v>
      </c>
      <c r="J2031">
        <f>91-8142334871</f>
        <v>-8142334780</v>
      </c>
      <c r="K2031" t="s">
        <v>249</v>
      </c>
      <c r="L2031" t="s">
        <v>34</v>
      </c>
      <c r="M2031">
        <v>113406</v>
      </c>
      <c r="N2031" s="1">
        <v>45277</v>
      </c>
      <c r="O2031" t="s">
        <v>28</v>
      </c>
      <c r="P2031">
        <v>4</v>
      </c>
      <c r="Q2031">
        <v>115967.85</v>
      </c>
    </row>
    <row r="2032" spans="1:17" x14ac:dyDescent="0.3">
      <c r="A2032" t="s">
        <v>4826</v>
      </c>
      <c r="B2032" t="s">
        <v>4491</v>
      </c>
      <c r="C2032" s="2" t="str">
        <f>PROPER(TRIM(Table1[[#This Row],[Gender]]))</f>
        <v>Female</v>
      </c>
      <c r="D2032" t="s">
        <v>43</v>
      </c>
      <c r="E2032">
        <v>33</v>
      </c>
      <c r="F2032" t="s">
        <v>31</v>
      </c>
      <c r="G2032" s="1">
        <v>33613</v>
      </c>
      <c r="H2032" t="s">
        <v>4827</v>
      </c>
      <c r="I2032" s="2" t="str">
        <f t="shared" si="31"/>
        <v>+91-9471695888</v>
      </c>
      <c r="J2032">
        <f>91-9471695979</f>
        <v>-9471695888</v>
      </c>
      <c r="K2032" t="s">
        <v>178</v>
      </c>
      <c r="L2032" t="s">
        <v>27</v>
      </c>
      <c r="M2032">
        <v>215188</v>
      </c>
      <c r="N2032" s="1">
        <v>45137</v>
      </c>
      <c r="O2032" t="s">
        <v>28</v>
      </c>
      <c r="P2032">
        <v>4</v>
      </c>
      <c r="Q2032">
        <v>85818.34</v>
      </c>
    </row>
    <row r="2033" spans="1:17" x14ac:dyDescent="0.3">
      <c r="A2033" t="s">
        <v>4828</v>
      </c>
      <c r="B2033" t="s">
        <v>2908</v>
      </c>
      <c r="C2033" s="2" t="str">
        <f>PROPER(TRIM(Table1[[#This Row],[Gender]]))</f>
        <v>Female</v>
      </c>
      <c r="D2033" t="s">
        <v>43</v>
      </c>
      <c r="E2033">
        <v>19</v>
      </c>
      <c r="F2033" t="s">
        <v>49</v>
      </c>
      <c r="G2033" s="1">
        <v>38723</v>
      </c>
      <c r="H2033" t="s">
        <v>4829</v>
      </c>
      <c r="I2033" s="2" t="str">
        <f t="shared" si="31"/>
        <v>+91-7371051476</v>
      </c>
      <c r="J2033">
        <f>91-7371051567</f>
        <v>-7371051476</v>
      </c>
      <c r="K2033" t="s">
        <v>101</v>
      </c>
      <c r="L2033" t="s">
        <v>102</v>
      </c>
      <c r="M2033">
        <v>813696</v>
      </c>
      <c r="N2033" s="1">
        <v>45329</v>
      </c>
      <c r="O2033" t="s">
        <v>28</v>
      </c>
      <c r="P2033">
        <v>9</v>
      </c>
      <c r="Q2033">
        <v>345339.41</v>
      </c>
    </row>
    <row r="2034" spans="1:17" x14ac:dyDescent="0.3">
      <c r="A2034" t="s">
        <v>4830</v>
      </c>
      <c r="B2034" t="s">
        <v>2513</v>
      </c>
      <c r="C2034" s="2" t="str">
        <f>PROPER(TRIM(Table1[[#This Row],[Gender]]))</f>
        <v>Male</v>
      </c>
      <c r="D2034" t="s">
        <v>16</v>
      </c>
      <c r="E2034">
        <v>36</v>
      </c>
      <c r="F2034" t="s">
        <v>38</v>
      </c>
      <c r="G2034" s="1">
        <v>32518</v>
      </c>
      <c r="H2034" t="s">
        <v>4831</v>
      </c>
      <c r="I2034" s="2" t="str">
        <f t="shared" si="31"/>
        <v>+91-7426882879</v>
      </c>
      <c r="J2034">
        <f>91-7426882970</f>
        <v>-7426882879</v>
      </c>
      <c r="K2034" t="s">
        <v>51</v>
      </c>
      <c r="L2034" t="s">
        <v>52</v>
      </c>
      <c r="M2034">
        <v>887861</v>
      </c>
      <c r="N2034" s="1">
        <v>45418</v>
      </c>
      <c r="O2034" t="s">
        <v>28</v>
      </c>
      <c r="P2034">
        <v>6</v>
      </c>
      <c r="Q2034">
        <v>259261.75</v>
      </c>
    </row>
    <row r="2035" spans="1:17" x14ac:dyDescent="0.3">
      <c r="A2035" t="s">
        <v>4832</v>
      </c>
      <c r="B2035" t="s">
        <v>4833</v>
      </c>
      <c r="C2035" s="2" t="str">
        <f>PROPER(TRIM(Table1[[#This Row],[Gender]]))</f>
        <v>Male</v>
      </c>
      <c r="D2035" t="s">
        <v>16</v>
      </c>
      <c r="E2035">
        <v>75</v>
      </c>
      <c r="F2035" t="s">
        <v>24</v>
      </c>
      <c r="G2035" s="1">
        <v>18283</v>
      </c>
      <c r="H2035" t="s">
        <v>4834</v>
      </c>
      <c r="I2035" s="2" t="str">
        <f t="shared" si="31"/>
        <v>+91-8071154274</v>
      </c>
      <c r="J2035">
        <f>91-8071154365</f>
        <v>-8071154274</v>
      </c>
      <c r="K2035" t="s">
        <v>178</v>
      </c>
      <c r="L2035" t="s">
        <v>27</v>
      </c>
      <c r="M2035">
        <v>695728</v>
      </c>
      <c r="N2035" s="1">
        <v>45101</v>
      </c>
      <c r="O2035" t="s">
        <v>21</v>
      </c>
      <c r="P2035">
        <v>4</v>
      </c>
      <c r="Q2035">
        <v>31420.81</v>
      </c>
    </row>
    <row r="2036" spans="1:17" x14ac:dyDescent="0.3">
      <c r="A2036" t="s">
        <v>4835</v>
      </c>
      <c r="B2036" t="s">
        <v>1725</v>
      </c>
      <c r="C2036" s="2" t="str">
        <f>PROPER(TRIM(Table1[[#This Row],[Gender]]))</f>
        <v>Male</v>
      </c>
      <c r="D2036" t="s">
        <v>16</v>
      </c>
      <c r="E2036">
        <v>37</v>
      </c>
      <c r="F2036" t="s">
        <v>38</v>
      </c>
      <c r="G2036" s="1">
        <v>32153</v>
      </c>
      <c r="H2036" t="s">
        <v>4836</v>
      </c>
      <c r="I2036" s="2" t="str">
        <f t="shared" si="31"/>
        <v>+91-9286718627</v>
      </c>
      <c r="J2036">
        <f>91-9286718718</f>
        <v>-9286718627</v>
      </c>
      <c r="K2036" t="s">
        <v>174</v>
      </c>
      <c r="L2036" t="s">
        <v>90</v>
      </c>
      <c r="M2036">
        <v>564360</v>
      </c>
      <c r="N2036" s="1">
        <v>45294</v>
      </c>
      <c r="O2036" t="s">
        <v>21</v>
      </c>
      <c r="P2036">
        <v>1</v>
      </c>
      <c r="Q2036">
        <v>20147.93</v>
      </c>
    </row>
    <row r="2037" spans="1:17" x14ac:dyDescent="0.3">
      <c r="A2037" t="s">
        <v>4837</v>
      </c>
      <c r="B2037" t="s">
        <v>2266</v>
      </c>
      <c r="C2037" s="2" t="str">
        <f>PROPER(TRIM(Table1[[#This Row],[Gender]]))</f>
        <v>Male</v>
      </c>
      <c r="D2037" t="s">
        <v>16</v>
      </c>
      <c r="E2037">
        <v>36</v>
      </c>
      <c r="F2037" t="s">
        <v>38</v>
      </c>
      <c r="G2037" s="1">
        <v>32518</v>
      </c>
      <c r="H2037" t="s">
        <v>4838</v>
      </c>
      <c r="I2037" s="2" t="str">
        <f t="shared" si="31"/>
        <v>+91-7203945969</v>
      </c>
      <c r="J2037">
        <f>91-7203946060</f>
        <v>-7203945969</v>
      </c>
      <c r="K2037" t="s">
        <v>26</v>
      </c>
      <c r="L2037" t="s">
        <v>27</v>
      </c>
      <c r="M2037">
        <v>436178</v>
      </c>
      <c r="N2037" s="1">
        <v>45424</v>
      </c>
      <c r="O2037" t="s">
        <v>21</v>
      </c>
      <c r="P2037">
        <v>2</v>
      </c>
      <c r="Q2037">
        <v>34538.620000000003</v>
      </c>
    </row>
    <row r="2038" spans="1:17" x14ac:dyDescent="0.3">
      <c r="A2038" t="s">
        <v>4839</v>
      </c>
      <c r="B2038" t="s">
        <v>1211</v>
      </c>
      <c r="C2038" s="2" t="str">
        <f>PROPER(TRIM(Table1[[#This Row],[Gender]]))</f>
        <v>Female</v>
      </c>
      <c r="D2038" t="s">
        <v>43</v>
      </c>
      <c r="E2038">
        <v>53</v>
      </c>
      <c r="F2038" t="s">
        <v>17</v>
      </c>
      <c r="G2038" s="1">
        <v>26313</v>
      </c>
      <c r="H2038" t="s">
        <v>4840</v>
      </c>
      <c r="I2038" s="2" t="str">
        <f t="shared" si="31"/>
        <v>+91-9329135227</v>
      </c>
      <c r="J2038">
        <f>91-9329135318</f>
        <v>-9329135227</v>
      </c>
      <c r="K2038" t="s">
        <v>113</v>
      </c>
      <c r="L2038" t="s">
        <v>34</v>
      </c>
      <c r="M2038">
        <v>297278</v>
      </c>
      <c r="N2038" s="1">
        <v>45409</v>
      </c>
      <c r="O2038" t="s">
        <v>35</v>
      </c>
      <c r="P2038">
        <v>5</v>
      </c>
      <c r="Q2038">
        <v>6907.39</v>
      </c>
    </row>
    <row r="2039" spans="1:17" x14ac:dyDescent="0.3">
      <c r="A2039" t="s">
        <v>4841</v>
      </c>
      <c r="B2039" t="s">
        <v>2639</v>
      </c>
      <c r="C2039" s="2" t="str">
        <f>PROPER(TRIM(Table1[[#This Row],[Gender]]))</f>
        <v>Female</v>
      </c>
      <c r="D2039" t="s">
        <v>43</v>
      </c>
      <c r="E2039">
        <v>41</v>
      </c>
      <c r="F2039" t="s">
        <v>38</v>
      </c>
      <c r="G2039" s="1">
        <v>30693</v>
      </c>
      <c r="H2039" t="s">
        <v>4842</v>
      </c>
      <c r="I2039" s="2" t="str">
        <f t="shared" si="31"/>
        <v>+91-7308155226</v>
      </c>
      <c r="J2039">
        <f>91-7308155317</f>
        <v>-7308155226</v>
      </c>
      <c r="K2039" t="s">
        <v>40</v>
      </c>
      <c r="L2039" t="s">
        <v>27</v>
      </c>
      <c r="M2039">
        <v>301273</v>
      </c>
      <c r="N2039" s="1">
        <v>45135</v>
      </c>
      <c r="O2039" t="s">
        <v>28</v>
      </c>
      <c r="P2039">
        <v>7</v>
      </c>
      <c r="Q2039">
        <v>77349.320000000007</v>
      </c>
    </row>
    <row r="2040" spans="1:17" x14ac:dyDescent="0.3">
      <c r="A2040" t="s">
        <v>4843</v>
      </c>
      <c r="B2040" t="s">
        <v>1103</v>
      </c>
      <c r="C2040" s="2" t="str">
        <f>PROPER(TRIM(Table1[[#This Row],[Gender]]))</f>
        <v>Female</v>
      </c>
      <c r="D2040" t="s">
        <v>43</v>
      </c>
      <c r="E2040">
        <v>52</v>
      </c>
      <c r="F2040" t="s">
        <v>17</v>
      </c>
      <c r="G2040" s="1">
        <v>26678</v>
      </c>
      <c r="H2040" t="s">
        <v>4844</v>
      </c>
      <c r="I2040" s="2" t="str">
        <f t="shared" si="31"/>
        <v>+91-9757491936</v>
      </c>
      <c r="J2040">
        <f>91-9757492027</f>
        <v>-9757491936</v>
      </c>
      <c r="K2040" t="s">
        <v>125</v>
      </c>
      <c r="L2040" t="s">
        <v>52</v>
      </c>
      <c r="M2040">
        <v>627758</v>
      </c>
      <c r="N2040" s="1">
        <v>45429</v>
      </c>
      <c r="O2040" t="s">
        <v>28</v>
      </c>
      <c r="P2040">
        <v>7</v>
      </c>
      <c r="Q2040">
        <v>110134.3</v>
      </c>
    </row>
    <row r="2041" spans="1:17" x14ac:dyDescent="0.3">
      <c r="A2041" t="s">
        <v>4845</v>
      </c>
      <c r="B2041" t="s">
        <v>1485</v>
      </c>
      <c r="C2041" s="2" t="str">
        <f>PROPER(TRIM(Table1[[#This Row],[Gender]]))</f>
        <v>Female</v>
      </c>
      <c r="D2041" t="s">
        <v>43</v>
      </c>
      <c r="E2041">
        <v>20</v>
      </c>
      <c r="F2041" t="s">
        <v>49</v>
      </c>
      <c r="G2041" s="1">
        <v>38358</v>
      </c>
      <c r="H2041" t="s">
        <v>4846</v>
      </c>
      <c r="I2041" s="2" t="str">
        <f t="shared" si="31"/>
        <v>+91-9386630861</v>
      </c>
      <c r="J2041">
        <f>91-9386630952</f>
        <v>-9386630861</v>
      </c>
      <c r="K2041" t="s">
        <v>68</v>
      </c>
      <c r="L2041" t="s">
        <v>52</v>
      </c>
      <c r="M2041">
        <v>392232</v>
      </c>
      <c r="N2041" s="1">
        <v>45208</v>
      </c>
      <c r="O2041" t="s">
        <v>28</v>
      </c>
      <c r="P2041">
        <v>4</v>
      </c>
      <c r="Q2041">
        <v>241446.59</v>
      </c>
    </row>
    <row r="2042" spans="1:17" x14ac:dyDescent="0.3">
      <c r="A2042" t="s">
        <v>4847</v>
      </c>
      <c r="B2042" t="s">
        <v>4848</v>
      </c>
      <c r="C2042" s="2" t="str">
        <f>PROPER(TRIM(Table1[[#This Row],[Gender]]))</f>
        <v>Female</v>
      </c>
      <c r="D2042" t="s">
        <v>43</v>
      </c>
      <c r="E2042">
        <v>22</v>
      </c>
      <c r="F2042" t="s">
        <v>49</v>
      </c>
      <c r="G2042" s="1">
        <v>37628</v>
      </c>
      <c r="H2042" t="s">
        <v>4849</v>
      </c>
      <c r="I2042" s="2" t="str">
        <f t="shared" si="31"/>
        <v>+91-7340578786</v>
      </c>
      <c r="J2042">
        <f>91-7340578877</f>
        <v>-7340578786</v>
      </c>
      <c r="K2042" t="s">
        <v>174</v>
      </c>
      <c r="L2042" t="s">
        <v>90</v>
      </c>
      <c r="M2042">
        <v>253169</v>
      </c>
      <c r="N2042" s="1">
        <v>45287</v>
      </c>
      <c r="O2042" t="s">
        <v>28</v>
      </c>
      <c r="P2042">
        <v>4</v>
      </c>
      <c r="Q2042">
        <v>98628.25</v>
      </c>
    </row>
    <row r="2043" spans="1:17" x14ac:dyDescent="0.3">
      <c r="A2043" t="s">
        <v>4850</v>
      </c>
      <c r="B2043" t="s">
        <v>4851</v>
      </c>
      <c r="C2043" s="2" t="str">
        <f>PROPER(TRIM(Table1[[#This Row],[Gender]]))</f>
        <v>Female</v>
      </c>
      <c r="D2043" t="s">
        <v>43</v>
      </c>
      <c r="E2043">
        <v>48</v>
      </c>
      <c r="F2043" t="s">
        <v>17</v>
      </c>
      <c r="G2043" s="1">
        <v>28138</v>
      </c>
      <c r="H2043" t="s">
        <v>4852</v>
      </c>
      <c r="I2043" s="2" t="str">
        <f t="shared" si="31"/>
        <v>+91-7997165290</v>
      </c>
      <c r="J2043">
        <f>91-7997165381</f>
        <v>-7997165290</v>
      </c>
      <c r="K2043" t="s">
        <v>117</v>
      </c>
      <c r="L2043" t="s">
        <v>52</v>
      </c>
      <c r="M2043">
        <v>855855</v>
      </c>
      <c r="N2043" s="1">
        <v>45237</v>
      </c>
      <c r="O2043" t="s">
        <v>21</v>
      </c>
      <c r="P2043">
        <v>5</v>
      </c>
      <c r="Q2043">
        <v>34718.86</v>
      </c>
    </row>
    <row r="2044" spans="1:17" x14ac:dyDescent="0.3">
      <c r="A2044" t="s">
        <v>4853</v>
      </c>
      <c r="B2044" t="s">
        <v>66</v>
      </c>
      <c r="C2044" s="2" t="str">
        <f>PROPER(TRIM(Table1[[#This Row],[Gender]]))</f>
        <v>Male</v>
      </c>
      <c r="D2044" t="s">
        <v>16</v>
      </c>
      <c r="E2044">
        <v>53</v>
      </c>
      <c r="F2044" t="s">
        <v>17</v>
      </c>
      <c r="G2044" s="1">
        <v>26313</v>
      </c>
      <c r="H2044" t="s">
        <v>4854</v>
      </c>
      <c r="I2044" s="2" t="str">
        <f t="shared" si="31"/>
        <v>+91-9030334129</v>
      </c>
      <c r="J2044">
        <f>91-9030334220</f>
        <v>-9030334129</v>
      </c>
      <c r="K2044" t="s">
        <v>202</v>
      </c>
      <c r="L2044" t="s">
        <v>191</v>
      </c>
      <c r="M2044">
        <v>699507</v>
      </c>
      <c r="N2044" s="1">
        <v>45158</v>
      </c>
      <c r="O2044" t="s">
        <v>28</v>
      </c>
      <c r="P2044">
        <v>5</v>
      </c>
      <c r="Q2044">
        <v>53519.58</v>
      </c>
    </row>
    <row r="2045" spans="1:17" x14ac:dyDescent="0.3">
      <c r="A2045" t="s">
        <v>4855</v>
      </c>
      <c r="B2045" t="s">
        <v>213</v>
      </c>
      <c r="C2045" s="2" t="str">
        <f>PROPER(TRIM(Table1[[#This Row],[Gender]]))</f>
        <v>Female</v>
      </c>
      <c r="D2045" t="s">
        <v>43</v>
      </c>
      <c r="E2045">
        <v>23</v>
      </c>
      <c r="F2045" t="s">
        <v>49</v>
      </c>
      <c r="G2045" s="1">
        <v>37263</v>
      </c>
      <c r="H2045" t="s">
        <v>4544</v>
      </c>
      <c r="I2045" s="2" t="str">
        <f t="shared" si="31"/>
        <v>+91-9455939261</v>
      </c>
      <c r="J2045">
        <f>91-9455939352</f>
        <v>-9455939261</v>
      </c>
      <c r="K2045" t="s">
        <v>51</v>
      </c>
      <c r="L2045" t="s">
        <v>52</v>
      </c>
      <c r="M2045">
        <v>489013</v>
      </c>
      <c r="N2045" s="1">
        <v>45348</v>
      </c>
      <c r="O2045" t="s">
        <v>28</v>
      </c>
      <c r="P2045">
        <v>4</v>
      </c>
      <c r="Q2045">
        <v>124883.3</v>
      </c>
    </row>
    <row r="2046" spans="1:17" x14ac:dyDescent="0.3">
      <c r="A2046" t="s">
        <v>4856</v>
      </c>
      <c r="B2046" t="s">
        <v>4857</v>
      </c>
      <c r="C2046" s="2" t="str">
        <f>PROPER(TRIM(Table1[[#This Row],[Gender]]))</f>
        <v>Male</v>
      </c>
      <c r="D2046" t="s">
        <v>16</v>
      </c>
      <c r="E2046">
        <v>46</v>
      </c>
      <c r="F2046" t="s">
        <v>17</v>
      </c>
      <c r="G2046" s="1">
        <v>28868</v>
      </c>
      <c r="H2046" t="s">
        <v>4858</v>
      </c>
      <c r="I2046" s="2" t="str">
        <f t="shared" si="31"/>
        <v>+91-9004219518</v>
      </c>
      <c r="J2046">
        <f>91-9004219609</f>
        <v>-9004219518</v>
      </c>
      <c r="K2046" t="s">
        <v>72</v>
      </c>
      <c r="L2046" t="s">
        <v>34</v>
      </c>
      <c r="M2046">
        <v>192118</v>
      </c>
      <c r="N2046" s="1">
        <v>45211</v>
      </c>
      <c r="O2046" t="s">
        <v>28</v>
      </c>
      <c r="P2046">
        <v>11</v>
      </c>
      <c r="Q2046">
        <v>116714.58</v>
      </c>
    </row>
    <row r="2047" spans="1:17" x14ac:dyDescent="0.3">
      <c r="A2047" t="s">
        <v>4859</v>
      </c>
      <c r="B2047" t="s">
        <v>1929</v>
      </c>
      <c r="C2047" s="2" t="str">
        <f>PROPER(TRIM(Table1[[#This Row],[Gender]]))</f>
        <v>Female</v>
      </c>
      <c r="D2047" t="s">
        <v>43</v>
      </c>
      <c r="E2047">
        <v>58</v>
      </c>
      <c r="F2047" t="s">
        <v>58</v>
      </c>
      <c r="G2047" s="1">
        <v>24488</v>
      </c>
      <c r="H2047" t="s">
        <v>4860</v>
      </c>
      <c r="I2047" s="2" t="str">
        <f t="shared" si="31"/>
        <v>+91-9928460007</v>
      </c>
      <c r="J2047">
        <f>91-9928460098</f>
        <v>-9928460007</v>
      </c>
      <c r="K2047" t="s">
        <v>125</v>
      </c>
      <c r="L2047" t="s">
        <v>52</v>
      </c>
      <c r="M2047">
        <v>926516</v>
      </c>
      <c r="N2047" s="1">
        <v>45339</v>
      </c>
      <c r="O2047" t="s">
        <v>35</v>
      </c>
      <c r="P2047">
        <v>4</v>
      </c>
      <c r="Q2047">
        <v>10239.91</v>
      </c>
    </row>
    <row r="2048" spans="1:17" x14ac:dyDescent="0.3">
      <c r="A2048" t="s">
        <v>4861</v>
      </c>
      <c r="B2048" t="s">
        <v>2304</v>
      </c>
      <c r="C2048" s="2" t="str">
        <f>PROPER(TRIM(Table1[[#This Row],[Gender]]))</f>
        <v>Male</v>
      </c>
      <c r="D2048" t="s">
        <v>16</v>
      </c>
      <c r="E2048">
        <v>30</v>
      </c>
      <c r="F2048" t="s">
        <v>31</v>
      </c>
      <c r="G2048" s="1">
        <v>34708</v>
      </c>
      <c r="H2048" t="s">
        <v>4862</v>
      </c>
      <c r="I2048" s="2" t="str">
        <f t="shared" si="31"/>
        <v>+91-9758152692</v>
      </c>
      <c r="J2048">
        <f>91-9758152783</f>
        <v>-9758152692</v>
      </c>
      <c r="K2048" t="s">
        <v>121</v>
      </c>
      <c r="L2048" t="s">
        <v>85</v>
      </c>
      <c r="M2048">
        <v>793528</v>
      </c>
      <c r="N2048" s="1">
        <v>45237</v>
      </c>
      <c r="O2048" t="s">
        <v>28</v>
      </c>
      <c r="P2048">
        <v>7</v>
      </c>
      <c r="Q2048">
        <v>111247.28</v>
      </c>
    </row>
    <row r="2049" spans="1:17" x14ac:dyDescent="0.3">
      <c r="A2049" t="s">
        <v>4863</v>
      </c>
      <c r="B2049" t="s">
        <v>686</v>
      </c>
      <c r="C2049" s="2" t="str">
        <f>PROPER(TRIM(Table1[[#This Row],[Gender]]))</f>
        <v>Male</v>
      </c>
      <c r="D2049" t="s">
        <v>16</v>
      </c>
      <c r="E2049">
        <v>25</v>
      </c>
      <c r="F2049" t="s">
        <v>49</v>
      </c>
      <c r="G2049" s="1">
        <v>36533</v>
      </c>
      <c r="H2049" t="s">
        <v>4864</v>
      </c>
      <c r="I2049" s="2" t="str">
        <f t="shared" si="31"/>
        <v>+91-7642782455</v>
      </c>
      <c r="J2049">
        <f>91-7642782546</f>
        <v>-7642782455</v>
      </c>
      <c r="K2049" t="s">
        <v>154</v>
      </c>
      <c r="L2049" t="s">
        <v>46</v>
      </c>
      <c r="M2049">
        <v>917832</v>
      </c>
      <c r="N2049" s="1">
        <v>45127</v>
      </c>
      <c r="O2049" t="s">
        <v>21</v>
      </c>
      <c r="P2049">
        <v>6</v>
      </c>
      <c r="Q2049">
        <v>25511.9</v>
      </c>
    </row>
    <row r="2050" spans="1:17" x14ac:dyDescent="0.3">
      <c r="A2050" t="s">
        <v>4865</v>
      </c>
      <c r="B2050" t="s">
        <v>1948</v>
      </c>
      <c r="C2050" s="2" t="str">
        <f>PROPER(TRIM(Table1[[#This Row],[Gender]]))</f>
        <v>Male</v>
      </c>
      <c r="D2050" t="s">
        <v>16</v>
      </c>
      <c r="E2050">
        <v>26</v>
      </c>
      <c r="F2050" t="s">
        <v>31</v>
      </c>
      <c r="G2050" s="1">
        <v>36168</v>
      </c>
      <c r="H2050" t="s">
        <v>4866</v>
      </c>
      <c r="I2050" s="2" t="str">
        <f t="shared" ref="I2050:I2113" si="32">"+91"&amp;TEXT(J2050,"0000000000")</f>
        <v>+91-8205926413</v>
      </c>
      <c r="J2050">
        <f>91-8205926504</f>
        <v>-8205926413</v>
      </c>
      <c r="K2050" t="s">
        <v>142</v>
      </c>
      <c r="L2050" t="s">
        <v>143</v>
      </c>
      <c r="M2050">
        <v>706754</v>
      </c>
      <c r="N2050" s="1">
        <v>45430</v>
      </c>
      <c r="O2050" t="s">
        <v>28</v>
      </c>
      <c r="P2050">
        <v>7</v>
      </c>
      <c r="Q2050">
        <v>97608.31</v>
      </c>
    </row>
    <row r="2051" spans="1:17" x14ac:dyDescent="0.3">
      <c r="A2051" t="s">
        <v>4867</v>
      </c>
      <c r="B2051" t="s">
        <v>1386</v>
      </c>
      <c r="C2051" s="2" t="str">
        <f>PROPER(TRIM(Table1[[#This Row],[Gender]]))</f>
        <v>Female</v>
      </c>
      <c r="D2051" t="s">
        <v>43</v>
      </c>
      <c r="E2051">
        <v>38</v>
      </c>
      <c r="F2051" t="s">
        <v>38</v>
      </c>
      <c r="G2051" s="1">
        <v>31788</v>
      </c>
      <c r="H2051" t="s">
        <v>1387</v>
      </c>
      <c r="I2051" s="2" t="str">
        <f t="shared" si="32"/>
        <v>+91-9693361425</v>
      </c>
      <c r="J2051">
        <f>91-9693361516</f>
        <v>-9693361425</v>
      </c>
      <c r="K2051" t="s">
        <v>68</v>
      </c>
      <c r="L2051" t="s">
        <v>52</v>
      </c>
      <c r="M2051">
        <v>983897</v>
      </c>
      <c r="N2051" s="1">
        <v>45194</v>
      </c>
      <c r="O2051" t="s">
        <v>28</v>
      </c>
      <c r="P2051">
        <v>7</v>
      </c>
      <c r="Q2051">
        <v>170362.57</v>
      </c>
    </row>
    <row r="2052" spans="1:17" x14ac:dyDescent="0.3">
      <c r="A2052" t="s">
        <v>4868</v>
      </c>
      <c r="B2052" t="s">
        <v>686</v>
      </c>
      <c r="C2052" s="2" t="str">
        <f>PROPER(TRIM(Table1[[#This Row],[Gender]]))</f>
        <v>Male</v>
      </c>
      <c r="D2052" t="s">
        <v>16</v>
      </c>
      <c r="E2052">
        <v>46</v>
      </c>
      <c r="F2052" t="s">
        <v>17</v>
      </c>
      <c r="G2052" s="1">
        <v>28868</v>
      </c>
      <c r="H2052" t="s">
        <v>4869</v>
      </c>
      <c r="I2052" s="2" t="str">
        <f t="shared" si="32"/>
        <v>+91-7294962130</v>
      </c>
      <c r="J2052">
        <f>91-7294962221</f>
        <v>-7294962130</v>
      </c>
      <c r="K2052" t="s">
        <v>89</v>
      </c>
      <c r="L2052" t="s">
        <v>90</v>
      </c>
      <c r="M2052">
        <v>334197</v>
      </c>
      <c r="N2052" s="1">
        <v>45323</v>
      </c>
      <c r="O2052" t="s">
        <v>35</v>
      </c>
      <c r="P2052">
        <v>4</v>
      </c>
      <c r="Q2052">
        <v>6884.11</v>
      </c>
    </row>
    <row r="2053" spans="1:17" x14ac:dyDescent="0.3">
      <c r="A2053" t="s">
        <v>4870</v>
      </c>
      <c r="B2053" t="s">
        <v>463</v>
      </c>
      <c r="C2053" s="2" t="str">
        <f>PROPER(TRIM(Table1[[#This Row],[Gender]]))</f>
        <v>Female</v>
      </c>
      <c r="D2053" t="s">
        <v>43</v>
      </c>
      <c r="E2053">
        <v>44</v>
      </c>
      <c r="F2053" t="s">
        <v>38</v>
      </c>
      <c r="G2053" s="1">
        <v>29598</v>
      </c>
      <c r="H2053" t="s">
        <v>464</v>
      </c>
      <c r="I2053" s="2" t="str">
        <f t="shared" si="32"/>
        <v>+91-8927172329</v>
      </c>
      <c r="J2053">
        <f>91-8927172420</f>
        <v>-8927172329</v>
      </c>
      <c r="K2053" t="s">
        <v>89</v>
      </c>
      <c r="L2053" t="s">
        <v>90</v>
      </c>
      <c r="M2053">
        <v>244295</v>
      </c>
      <c r="N2053" s="1">
        <v>45286</v>
      </c>
      <c r="O2053" t="s">
        <v>28</v>
      </c>
      <c r="P2053">
        <v>3</v>
      </c>
      <c r="Q2053">
        <v>61758.59</v>
      </c>
    </row>
    <row r="2054" spans="1:17" x14ac:dyDescent="0.3">
      <c r="A2054" t="s">
        <v>4871</v>
      </c>
      <c r="B2054" t="s">
        <v>991</v>
      </c>
      <c r="C2054" s="2" t="str">
        <f>PROPER(TRIM(Table1[[#This Row],[Gender]]))</f>
        <v>Female</v>
      </c>
      <c r="D2054" t="s">
        <v>43</v>
      </c>
      <c r="E2054">
        <v>23</v>
      </c>
      <c r="F2054" t="s">
        <v>49</v>
      </c>
      <c r="G2054" s="1">
        <v>37263</v>
      </c>
      <c r="H2054" t="s">
        <v>4872</v>
      </c>
      <c r="I2054" s="2" t="str">
        <f t="shared" si="32"/>
        <v>+91-8093538230</v>
      </c>
      <c r="J2054">
        <f>91-8093538321</f>
        <v>-8093538230</v>
      </c>
      <c r="K2054" t="s">
        <v>60</v>
      </c>
      <c r="L2054" t="s">
        <v>34</v>
      </c>
      <c r="M2054">
        <v>471349</v>
      </c>
      <c r="N2054" s="1">
        <v>45326</v>
      </c>
      <c r="O2054" t="s">
        <v>35</v>
      </c>
      <c r="P2054">
        <v>5</v>
      </c>
      <c r="Q2054">
        <v>9399.74</v>
      </c>
    </row>
    <row r="2055" spans="1:17" x14ac:dyDescent="0.3">
      <c r="A2055" t="s">
        <v>4873</v>
      </c>
      <c r="B2055" t="s">
        <v>2316</v>
      </c>
      <c r="C2055" s="2" t="str">
        <f>PROPER(TRIM(Table1[[#This Row],[Gender]]))</f>
        <v>Male</v>
      </c>
      <c r="D2055" t="s">
        <v>16</v>
      </c>
      <c r="E2055">
        <v>34</v>
      </c>
      <c r="F2055" t="s">
        <v>31</v>
      </c>
      <c r="G2055" s="1">
        <v>33248</v>
      </c>
      <c r="H2055" t="s">
        <v>4874</v>
      </c>
      <c r="I2055" s="2" t="str">
        <f t="shared" si="32"/>
        <v>+91-7784573682</v>
      </c>
      <c r="J2055">
        <f>91-7784573773</f>
        <v>-7784573682</v>
      </c>
      <c r="K2055" t="s">
        <v>154</v>
      </c>
      <c r="L2055" t="s">
        <v>46</v>
      </c>
      <c r="M2055">
        <v>536051</v>
      </c>
      <c r="N2055" s="1">
        <v>45295</v>
      </c>
      <c r="O2055" t="s">
        <v>28</v>
      </c>
      <c r="P2055">
        <v>2</v>
      </c>
      <c r="Q2055">
        <v>262563.28999999998</v>
      </c>
    </row>
    <row r="2056" spans="1:17" x14ac:dyDescent="0.3">
      <c r="A2056" t="s">
        <v>4875</v>
      </c>
      <c r="B2056" t="s">
        <v>4876</v>
      </c>
      <c r="C2056" s="2" t="str">
        <f>PROPER(TRIM(Table1[[#This Row],[Gender]]))</f>
        <v>Male</v>
      </c>
      <c r="D2056" t="s">
        <v>16</v>
      </c>
      <c r="E2056">
        <v>28</v>
      </c>
      <c r="F2056" t="s">
        <v>31</v>
      </c>
      <c r="G2056" s="1">
        <v>35438</v>
      </c>
      <c r="H2056" t="s">
        <v>4877</v>
      </c>
      <c r="I2056" s="2" t="str">
        <f t="shared" si="32"/>
        <v>+91-7556586351</v>
      </c>
      <c r="J2056">
        <f>91-7556586442</f>
        <v>-7556586351</v>
      </c>
      <c r="K2056" t="s">
        <v>154</v>
      </c>
      <c r="L2056" t="s">
        <v>46</v>
      </c>
      <c r="M2056">
        <v>989592</v>
      </c>
      <c r="N2056" s="1">
        <v>45389</v>
      </c>
      <c r="O2056" t="s">
        <v>28</v>
      </c>
      <c r="P2056">
        <v>7</v>
      </c>
      <c r="Q2056">
        <v>80570.63</v>
      </c>
    </row>
    <row r="2057" spans="1:17" x14ac:dyDescent="0.3">
      <c r="A2057" t="s">
        <v>4878</v>
      </c>
      <c r="B2057" t="s">
        <v>680</v>
      </c>
      <c r="C2057" s="2" t="str">
        <f>PROPER(TRIM(Table1[[#This Row],[Gender]]))</f>
        <v>Female</v>
      </c>
      <c r="D2057" t="s">
        <v>43</v>
      </c>
      <c r="E2057">
        <v>25</v>
      </c>
      <c r="F2057" t="s">
        <v>49</v>
      </c>
      <c r="G2057" s="1">
        <v>36533</v>
      </c>
      <c r="H2057" t="s">
        <v>681</v>
      </c>
      <c r="I2057" s="2" t="str">
        <f t="shared" si="32"/>
        <v>+91-9852494998</v>
      </c>
      <c r="J2057">
        <f>91-9852495089</f>
        <v>-9852494998</v>
      </c>
      <c r="K2057" t="s">
        <v>202</v>
      </c>
      <c r="L2057" t="s">
        <v>191</v>
      </c>
      <c r="M2057">
        <v>742145</v>
      </c>
      <c r="N2057" s="1">
        <v>45349</v>
      </c>
      <c r="O2057" t="s">
        <v>28</v>
      </c>
      <c r="P2057">
        <v>5</v>
      </c>
      <c r="Q2057">
        <v>208194.48</v>
      </c>
    </row>
    <row r="2058" spans="1:17" x14ac:dyDescent="0.3">
      <c r="A2058" t="s">
        <v>4879</v>
      </c>
      <c r="B2058" t="s">
        <v>2224</v>
      </c>
      <c r="C2058" s="2" t="str">
        <f>PROPER(TRIM(Table1[[#This Row],[Gender]]))</f>
        <v>Male</v>
      </c>
      <c r="D2058" t="s">
        <v>16</v>
      </c>
      <c r="E2058">
        <v>45</v>
      </c>
      <c r="F2058" t="s">
        <v>38</v>
      </c>
      <c r="G2058" s="1">
        <v>29233</v>
      </c>
      <c r="H2058" t="s">
        <v>4880</v>
      </c>
      <c r="I2058" s="2" t="str">
        <f t="shared" si="32"/>
        <v>+91-8778302906</v>
      </c>
      <c r="J2058">
        <f>91-8778302997</f>
        <v>-8778302906</v>
      </c>
      <c r="K2058" t="s">
        <v>60</v>
      </c>
      <c r="L2058" t="s">
        <v>34</v>
      </c>
      <c r="M2058">
        <v>464615</v>
      </c>
      <c r="N2058" s="1">
        <v>45439</v>
      </c>
      <c r="O2058" t="s">
        <v>28</v>
      </c>
      <c r="P2058">
        <v>6</v>
      </c>
      <c r="Q2058">
        <v>551796.24</v>
      </c>
    </row>
    <row r="2059" spans="1:17" x14ac:dyDescent="0.3">
      <c r="A2059" t="s">
        <v>4881</v>
      </c>
      <c r="B2059" t="s">
        <v>1316</v>
      </c>
      <c r="C2059" s="2" t="str">
        <f>PROPER(TRIM(Table1[[#This Row],[Gender]]))</f>
        <v>Female</v>
      </c>
      <c r="D2059" t="s">
        <v>43</v>
      </c>
      <c r="E2059">
        <v>39</v>
      </c>
      <c r="F2059" t="s">
        <v>38</v>
      </c>
      <c r="G2059" s="1">
        <v>31423</v>
      </c>
      <c r="H2059" t="s">
        <v>4882</v>
      </c>
      <c r="I2059" s="2" t="str">
        <f t="shared" si="32"/>
        <v>+91-8361638810</v>
      </c>
      <c r="J2059">
        <f>91-8361638901</f>
        <v>-8361638810</v>
      </c>
      <c r="K2059" t="s">
        <v>239</v>
      </c>
      <c r="L2059" t="s">
        <v>191</v>
      </c>
      <c r="M2059">
        <v>788586</v>
      </c>
      <c r="N2059" s="1">
        <v>45231</v>
      </c>
      <c r="O2059" t="s">
        <v>28</v>
      </c>
      <c r="P2059">
        <v>5</v>
      </c>
      <c r="Q2059">
        <v>139502.76</v>
      </c>
    </row>
    <row r="2060" spans="1:17" x14ac:dyDescent="0.3">
      <c r="A2060" t="s">
        <v>4883</v>
      </c>
      <c r="B2060" t="s">
        <v>2351</v>
      </c>
      <c r="C2060" s="2" t="str">
        <f>PROPER(TRIM(Table1[[#This Row],[Gender]]))</f>
        <v>Female</v>
      </c>
      <c r="D2060" t="s">
        <v>43</v>
      </c>
      <c r="E2060">
        <v>30</v>
      </c>
      <c r="F2060" t="s">
        <v>31</v>
      </c>
      <c r="G2060" s="1">
        <v>34708</v>
      </c>
      <c r="H2060" t="s">
        <v>4884</v>
      </c>
      <c r="I2060" s="2" t="str">
        <f t="shared" si="32"/>
        <v>+91-8085722187</v>
      </c>
      <c r="J2060">
        <f>91-8085722278</f>
        <v>-8085722187</v>
      </c>
      <c r="K2060" t="s">
        <v>33</v>
      </c>
      <c r="L2060" t="s">
        <v>34</v>
      </c>
      <c r="M2060">
        <v>539035</v>
      </c>
      <c r="N2060" s="1">
        <v>45372</v>
      </c>
      <c r="O2060" t="s">
        <v>28</v>
      </c>
      <c r="P2060">
        <v>6</v>
      </c>
      <c r="Q2060">
        <v>140130.39000000001</v>
      </c>
    </row>
    <row r="2061" spans="1:17" x14ac:dyDescent="0.3">
      <c r="A2061" t="s">
        <v>4885</v>
      </c>
      <c r="B2061" t="s">
        <v>4793</v>
      </c>
      <c r="C2061" s="2" t="str">
        <f>PROPER(TRIM(Table1[[#This Row],[Gender]]))</f>
        <v>Female</v>
      </c>
      <c r="D2061" t="s">
        <v>43</v>
      </c>
      <c r="E2061">
        <v>32</v>
      </c>
      <c r="F2061" t="s">
        <v>31</v>
      </c>
      <c r="G2061" s="1">
        <v>33978</v>
      </c>
      <c r="H2061" t="s">
        <v>4886</v>
      </c>
      <c r="I2061" s="2" t="str">
        <f t="shared" si="32"/>
        <v>+91-9403519313</v>
      </c>
      <c r="J2061">
        <f>91-9403519404</f>
        <v>-9403519313</v>
      </c>
      <c r="K2061" t="s">
        <v>161</v>
      </c>
      <c r="L2061" t="s">
        <v>102</v>
      </c>
      <c r="M2061">
        <v>541731</v>
      </c>
      <c r="N2061" s="1">
        <v>45313</v>
      </c>
      <c r="O2061" t="s">
        <v>28</v>
      </c>
      <c r="P2061">
        <v>8</v>
      </c>
      <c r="Q2061">
        <v>228288.27</v>
      </c>
    </row>
    <row r="2062" spans="1:17" x14ac:dyDescent="0.3">
      <c r="A2062" t="s">
        <v>4887</v>
      </c>
      <c r="B2062" t="s">
        <v>2911</v>
      </c>
      <c r="C2062" s="2" t="str">
        <f>PROPER(TRIM(Table1[[#This Row],[Gender]]))</f>
        <v>Female</v>
      </c>
      <c r="D2062" t="s">
        <v>43</v>
      </c>
      <c r="E2062">
        <v>31</v>
      </c>
      <c r="F2062" t="s">
        <v>31</v>
      </c>
      <c r="G2062" s="1">
        <v>34343</v>
      </c>
      <c r="H2062" t="s">
        <v>4888</v>
      </c>
      <c r="I2062" s="2" t="str">
        <f t="shared" si="32"/>
        <v>+91-9297063728</v>
      </c>
      <c r="J2062">
        <f>91-9297063819</f>
        <v>-9297063728</v>
      </c>
      <c r="K2062" t="s">
        <v>580</v>
      </c>
      <c r="L2062" t="s">
        <v>85</v>
      </c>
      <c r="M2062">
        <v>985112</v>
      </c>
      <c r="N2062" s="1">
        <v>45384</v>
      </c>
      <c r="O2062" t="s">
        <v>28</v>
      </c>
      <c r="P2062">
        <v>4</v>
      </c>
      <c r="Q2062">
        <v>57490.18</v>
      </c>
    </row>
    <row r="2063" spans="1:17" x14ac:dyDescent="0.3">
      <c r="A2063" t="s">
        <v>4889</v>
      </c>
      <c r="B2063" t="s">
        <v>2559</v>
      </c>
      <c r="C2063" s="2" t="str">
        <f>PROPER(TRIM(Table1[[#This Row],[Gender]]))</f>
        <v>Male</v>
      </c>
      <c r="D2063" t="s">
        <v>16</v>
      </c>
      <c r="E2063">
        <v>32</v>
      </c>
      <c r="F2063" t="s">
        <v>31</v>
      </c>
      <c r="G2063" s="1">
        <v>33978</v>
      </c>
      <c r="H2063" t="s">
        <v>4890</v>
      </c>
      <c r="I2063" s="2" t="str">
        <f t="shared" si="32"/>
        <v>+91-8475277964</v>
      </c>
      <c r="J2063">
        <f>91-8475278055</f>
        <v>-8475277964</v>
      </c>
      <c r="K2063" t="s">
        <v>147</v>
      </c>
      <c r="L2063" t="s">
        <v>143</v>
      </c>
      <c r="M2063">
        <v>209418</v>
      </c>
      <c r="N2063" s="1">
        <v>45101</v>
      </c>
      <c r="O2063" t="s">
        <v>28</v>
      </c>
      <c r="P2063">
        <v>5</v>
      </c>
      <c r="Q2063">
        <v>122912.92</v>
      </c>
    </row>
    <row r="2064" spans="1:17" x14ac:dyDescent="0.3">
      <c r="A2064" t="s">
        <v>4891</v>
      </c>
      <c r="B2064" t="s">
        <v>130</v>
      </c>
      <c r="C2064" s="2" t="str">
        <f>PROPER(TRIM(Table1[[#This Row],[Gender]]))</f>
        <v>Male</v>
      </c>
      <c r="D2064" t="s">
        <v>16</v>
      </c>
      <c r="E2064">
        <v>22</v>
      </c>
      <c r="F2064" t="s">
        <v>49</v>
      </c>
      <c r="G2064" s="1">
        <v>37628</v>
      </c>
      <c r="H2064" t="s">
        <v>131</v>
      </c>
      <c r="I2064" s="2" t="str">
        <f t="shared" si="32"/>
        <v>+91-7485599908</v>
      </c>
      <c r="J2064">
        <f>91-7485599999</f>
        <v>-7485599908</v>
      </c>
      <c r="K2064" t="s">
        <v>125</v>
      </c>
      <c r="L2064" t="s">
        <v>52</v>
      </c>
      <c r="M2064">
        <v>817688</v>
      </c>
      <c r="N2064" s="1">
        <v>45221</v>
      </c>
      <c r="O2064" t="s">
        <v>28</v>
      </c>
      <c r="P2064">
        <v>5</v>
      </c>
      <c r="Q2064">
        <v>412580.01</v>
      </c>
    </row>
    <row r="2065" spans="1:17" x14ac:dyDescent="0.3">
      <c r="A2065" t="s">
        <v>4892</v>
      </c>
      <c r="B2065" t="s">
        <v>2644</v>
      </c>
      <c r="C2065" s="2" t="str">
        <f>PROPER(TRIM(Table1[[#This Row],[Gender]]))</f>
        <v>Male</v>
      </c>
      <c r="D2065" t="s">
        <v>16</v>
      </c>
      <c r="E2065">
        <v>27</v>
      </c>
      <c r="F2065" t="s">
        <v>31</v>
      </c>
      <c r="G2065" s="1">
        <v>35803</v>
      </c>
      <c r="H2065" t="s">
        <v>4893</v>
      </c>
      <c r="I2065" s="2" t="str">
        <f t="shared" si="32"/>
        <v>+91-7230059368</v>
      </c>
      <c r="J2065">
        <f>91-7230059459</f>
        <v>-7230059368</v>
      </c>
      <c r="K2065" t="s">
        <v>125</v>
      </c>
      <c r="L2065" t="s">
        <v>52</v>
      </c>
      <c r="M2065">
        <v>946612</v>
      </c>
      <c r="N2065" s="1">
        <v>45234</v>
      </c>
      <c r="O2065" t="s">
        <v>28</v>
      </c>
      <c r="P2065">
        <v>5</v>
      </c>
      <c r="Q2065">
        <v>298057.53000000003</v>
      </c>
    </row>
    <row r="2066" spans="1:17" x14ac:dyDescent="0.3">
      <c r="A2066" t="s">
        <v>4894</v>
      </c>
      <c r="B2066" t="s">
        <v>804</v>
      </c>
      <c r="C2066" s="2" t="str">
        <f>PROPER(TRIM(Table1[[#This Row],[Gender]]))</f>
        <v>Male</v>
      </c>
      <c r="D2066" t="s">
        <v>16</v>
      </c>
      <c r="E2066">
        <v>28</v>
      </c>
      <c r="F2066" t="s">
        <v>31</v>
      </c>
      <c r="G2066" s="1">
        <v>35438</v>
      </c>
      <c r="H2066" t="s">
        <v>4895</v>
      </c>
      <c r="I2066" s="2" t="str">
        <f t="shared" si="32"/>
        <v>+91-7458565227</v>
      </c>
      <c r="J2066">
        <f>91-7458565318</f>
        <v>-7458565227</v>
      </c>
      <c r="K2066" t="s">
        <v>113</v>
      </c>
      <c r="L2066" t="s">
        <v>34</v>
      </c>
      <c r="M2066">
        <v>210333</v>
      </c>
      <c r="N2066" s="1">
        <v>45229</v>
      </c>
      <c r="O2066" t="s">
        <v>21</v>
      </c>
      <c r="P2066">
        <v>2</v>
      </c>
      <c r="Q2066">
        <v>25614.33</v>
      </c>
    </row>
    <row r="2067" spans="1:17" x14ac:dyDescent="0.3">
      <c r="A2067" t="s">
        <v>4896</v>
      </c>
      <c r="B2067" t="s">
        <v>817</v>
      </c>
      <c r="C2067" s="2" t="str">
        <f>PROPER(TRIM(Table1[[#This Row],[Gender]]))</f>
        <v>Male</v>
      </c>
      <c r="D2067" t="s">
        <v>16</v>
      </c>
      <c r="E2067">
        <v>20</v>
      </c>
      <c r="F2067" t="s">
        <v>49</v>
      </c>
      <c r="G2067" s="1">
        <v>38358</v>
      </c>
      <c r="H2067" t="s">
        <v>4897</v>
      </c>
      <c r="I2067" s="2" t="str">
        <f t="shared" si="32"/>
        <v>+91-7004575184</v>
      </c>
      <c r="J2067">
        <f>91-7004575275</f>
        <v>-7004575184</v>
      </c>
      <c r="K2067" t="s">
        <v>101</v>
      </c>
      <c r="L2067" t="s">
        <v>102</v>
      </c>
      <c r="M2067">
        <v>380474</v>
      </c>
      <c r="N2067" s="1">
        <v>45326</v>
      </c>
      <c r="O2067" t="s">
        <v>28</v>
      </c>
      <c r="P2067">
        <v>7</v>
      </c>
      <c r="Q2067">
        <v>69514.820000000007</v>
      </c>
    </row>
    <row r="2068" spans="1:17" x14ac:dyDescent="0.3">
      <c r="A2068" t="s">
        <v>4898</v>
      </c>
      <c r="B2068" t="s">
        <v>3150</v>
      </c>
      <c r="C2068" s="2" t="str">
        <f>PROPER(TRIM(Table1[[#This Row],[Gender]]))</f>
        <v>Female</v>
      </c>
      <c r="D2068" t="s">
        <v>43</v>
      </c>
      <c r="E2068">
        <v>19</v>
      </c>
      <c r="F2068" t="s">
        <v>49</v>
      </c>
      <c r="G2068" s="1">
        <v>38723</v>
      </c>
      <c r="H2068" t="s">
        <v>4899</v>
      </c>
      <c r="I2068" s="2" t="str">
        <f t="shared" si="32"/>
        <v>+91-7542331797</v>
      </c>
      <c r="J2068">
        <f>91-7542331888</f>
        <v>-7542331797</v>
      </c>
      <c r="K2068" t="s">
        <v>178</v>
      </c>
      <c r="L2068" t="s">
        <v>27</v>
      </c>
      <c r="M2068">
        <v>594987</v>
      </c>
      <c r="N2068" s="1">
        <v>45295</v>
      </c>
      <c r="O2068" t="s">
        <v>28</v>
      </c>
      <c r="P2068">
        <v>7</v>
      </c>
      <c r="Q2068">
        <v>95165.56</v>
      </c>
    </row>
    <row r="2069" spans="1:17" x14ac:dyDescent="0.3">
      <c r="A2069" t="s">
        <v>4900</v>
      </c>
      <c r="B2069" t="s">
        <v>2021</v>
      </c>
      <c r="C2069" s="2" t="str">
        <f>PROPER(TRIM(Table1[[#This Row],[Gender]]))</f>
        <v>Male</v>
      </c>
      <c r="D2069" t="s">
        <v>16</v>
      </c>
      <c r="E2069">
        <v>32</v>
      </c>
      <c r="F2069" t="s">
        <v>31</v>
      </c>
      <c r="G2069" s="1">
        <v>33978</v>
      </c>
      <c r="H2069" t="s">
        <v>4901</v>
      </c>
      <c r="I2069" s="2" t="str">
        <f t="shared" si="32"/>
        <v>+91-7272257944</v>
      </c>
      <c r="J2069">
        <f>91-7272258035</f>
        <v>-7272257944</v>
      </c>
      <c r="K2069" t="s">
        <v>89</v>
      </c>
      <c r="L2069" t="s">
        <v>90</v>
      </c>
      <c r="M2069">
        <v>894205</v>
      </c>
      <c r="N2069" s="1">
        <v>45101</v>
      </c>
      <c r="O2069" t="s">
        <v>28</v>
      </c>
      <c r="P2069">
        <v>4</v>
      </c>
      <c r="Q2069">
        <v>72521.38</v>
      </c>
    </row>
    <row r="2070" spans="1:17" x14ac:dyDescent="0.3">
      <c r="A2070" t="s">
        <v>4902</v>
      </c>
      <c r="B2070" t="s">
        <v>1494</v>
      </c>
      <c r="C2070" s="2" t="str">
        <f>PROPER(TRIM(Table1[[#This Row],[Gender]]))</f>
        <v>Female</v>
      </c>
      <c r="D2070" t="s">
        <v>43</v>
      </c>
      <c r="E2070">
        <v>23</v>
      </c>
      <c r="F2070" t="s">
        <v>49</v>
      </c>
      <c r="G2070" s="1">
        <v>37263</v>
      </c>
      <c r="H2070" t="s">
        <v>4903</v>
      </c>
      <c r="I2070" s="2" t="str">
        <f t="shared" si="32"/>
        <v>+91-9793641577</v>
      </c>
      <c r="J2070">
        <f>91-9793641668</f>
        <v>-9793641577</v>
      </c>
      <c r="K2070" t="s">
        <v>147</v>
      </c>
      <c r="L2070" t="s">
        <v>143</v>
      </c>
      <c r="M2070">
        <v>573664</v>
      </c>
      <c r="N2070" s="1">
        <v>45126</v>
      </c>
      <c r="O2070" t="s">
        <v>28</v>
      </c>
      <c r="P2070">
        <v>5</v>
      </c>
      <c r="Q2070">
        <v>104974</v>
      </c>
    </row>
    <row r="2071" spans="1:17" x14ac:dyDescent="0.3">
      <c r="A2071" t="s">
        <v>4904</v>
      </c>
      <c r="B2071" t="s">
        <v>200</v>
      </c>
      <c r="C2071" s="2" t="str">
        <f>PROPER(TRIM(Table1[[#This Row],[Gender]]))</f>
        <v>Female</v>
      </c>
      <c r="D2071" t="s">
        <v>43</v>
      </c>
      <c r="E2071">
        <v>39</v>
      </c>
      <c r="F2071" t="s">
        <v>38</v>
      </c>
      <c r="G2071" s="1">
        <v>31423</v>
      </c>
      <c r="H2071" t="s">
        <v>4905</v>
      </c>
      <c r="I2071" s="2" t="str">
        <f t="shared" si="32"/>
        <v>+91-7488859585</v>
      </c>
      <c r="J2071">
        <f>91-7488859676</f>
        <v>-7488859585</v>
      </c>
      <c r="K2071" t="s">
        <v>68</v>
      </c>
      <c r="L2071" t="s">
        <v>52</v>
      </c>
      <c r="M2071">
        <v>942081</v>
      </c>
      <c r="N2071" s="1">
        <v>45281</v>
      </c>
      <c r="O2071" t="s">
        <v>28</v>
      </c>
      <c r="P2071">
        <v>4</v>
      </c>
      <c r="Q2071">
        <v>83317.27</v>
      </c>
    </row>
    <row r="2072" spans="1:17" x14ac:dyDescent="0.3">
      <c r="A2072" t="s">
        <v>4906</v>
      </c>
      <c r="B2072" t="s">
        <v>1205</v>
      </c>
      <c r="C2072" s="2" t="str">
        <f>PROPER(TRIM(Table1[[#This Row],[Gender]]))</f>
        <v>Male</v>
      </c>
      <c r="D2072" t="s">
        <v>16</v>
      </c>
      <c r="E2072">
        <v>29</v>
      </c>
      <c r="F2072" t="s">
        <v>31</v>
      </c>
      <c r="G2072" s="1">
        <v>35073</v>
      </c>
      <c r="H2072" t="s">
        <v>4907</v>
      </c>
      <c r="I2072" s="2" t="str">
        <f t="shared" si="32"/>
        <v>+91-7947005977</v>
      </c>
      <c r="J2072">
        <f>91-7947006068</f>
        <v>-7947005977</v>
      </c>
      <c r="K2072" t="s">
        <v>142</v>
      </c>
      <c r="L2072" t="s">
        <v>143</v>
      </c>
      <c r="M2072">
        <v>285357</v>
      </c>
      <c r="N2072" s="1">
        <v>45441</v>
      </c>
      <c r="O2072" t="s">
        <v>28</v>
      </c>
      <c r="P2072">
        <v>5</v>
      </c>
      <c r="Q2072">
        <v>184261.85</v>
      </c>
    </row>
    <row r="2073" spans="1:17" x14ac:dyDescent="0.3">
      <c r="A2073" t="s">
        <v>4908</v>
      </c>
      <c r="B2073" t="s">
        <v>3735</v>
      </c>
      <c r="C2073" s="2" t="str">
        <f>PROPER(TRIM(Table1[[#This Row],[Gender]]))</f>
        <v>Female</v>
      </c>
      <c r="D2073" t="s">
        <v>43</v>
      </c>
      <c r="E2073">
        <v>32</v>
      </c>
      <c r="F2073" t="s">
        <v>31</v>
      </c>
      <c r="G2073" s="1">
        <v>33978</v>
      </c>
      <c r="H2073" t="s">
        <v>4909</v>
      </c>
      <c r="I2073" s="2" t="str">
        <f t="shared" si="32"/>
        <v>+91-9870747395</v>
      </c>
      <c r="J2073">
        <f>91-9870747486</f>
        <v>-9870747395</v>
      </c>
      <c r="K2073" t="s">
        <v>369</v>
      </c>
      <c r="L2073" t="s">
        <v>191</v>
      </c>
      <c r="M2073">
        <v>346387</v>
      </c>
      <c r="N2073" s="1">
        <v>45278</v>
      </c>
      <c r="O2073" t="s">
        <v>28</v>
      </c>
      <c r="P2073">
        <v>4</v>
      </c>
      <c r="Q2073">
        <v>61976.66</v>
      </c>
    </row>
    <row r="2074" spans="1:17" x14ac:dyDescent="0.3">
      <c r="A2074" t="s">
        <v>4910</v>
      </c>
      <c r="B2074" t="s">
        <v>2771</v>
      </c>
      <c r="C2074" s="2" t="str">
        <f>PROPER(TRIM(Table1[[#This Row],[Gender]]))</f>
        <v>Female</v>
      </c>
      <c r="D2074" t="s">
        <v>43</v>
      </c>
      <c r="E2074">
        <v>39</v>
      </c>
      <c r="F2074" t="s">
        <v>38</v>
      </c>
      <c r="G2074" s="1">
        <v>31423</v>
      </c>
      <c r="H2074" t="s">
        <v>4911</v>
      </c>
      <c r="I2074" s="2" t="str">
        <f t="shared" si="32"/>
        <v>+91-7871959996</v>
      </c>
      <c r="J2074">
        <f>91-7871960087</f>
        <v>-7871959996</v>
      </c>
      <c r="K2074" t="s">
        <v>33</v>
      </c>
      <c r="L2074" t="s">
        <v>34</v>
      </c>
      <c r="M2074">
        <v>965359</v>
      </c>
      <c r="N2074" s="1">
        <v>45300</v>
      </c>
      <c r="O2074" t="s">
        <v>21</v>
      </c>
      <c r="P2074">
        <v>3</v>
      </c>
      <c r="Q2074">
        <v>42568.72</v>
      </c>
    </row>
    <row r="2075" spans="1:17" x14ac:dyDescent="0.3">
      <c r="A2075" t="s">
        <v>4912</v>
      </c>
      <c r="B2075" t="s">
        <v>587</v>
      </c>
      <c r="C2075" s="2" t="str">
        <f>PROPER(TRIM(Table1[[#This Row],[Gender]]))</f>
        <v>Female</v>
      </c>
      <c r="D2075" t="s">
        <v>43</v>
      </c>
      <c r="E2075">
        <v>26</v>
      </c>
      <c r="F2075" t="s">
        <v>31</v>
      </c>
      <c r="G2075" s="1">
        <v>36168</v>
      </c>
      <c r="H2075" t="s">
        <v>3750</v>
      </c>
      <c r="I2075" s="2" t="str">
        <f t="shared" si="32"/>
        <v>+91-8155083779</v>
      </c>
      <c r="J2075">
        <f>91-8155083870</f>
        <v>-8155083779</v>
      </c>
      <c r="K2075" t="s">
        <v>202</v>
      </c>
      <c r="L2075" t="s">
        <v>191</v>
      </c>
      <c r="M2075">
        <v>571376</v>
      </c>
      <c r="N2075" s="1">
        <v>45442</v>
      </c>
      <c r="O2075" t="s">
        <v>21</v>
      </c>
      <c r="P2075">
        <v>3</v>
      </c>
      <c r="Q2075">
        <v>37972.730000000003</v>
      </c>
    </row>
    <row r="2076" spans="1:17" x14ac:dyDescent="0.3">
      <c r="A2076" t="s">
        <v>4913</v>
      </c>
      <c r="B2076" t="s">
        <v>602</v>
      </c>
      <c r="C2076" s="2" t="str">
        <f>PROPER(TRIM(Table1[[#This Row],[Gender]]))</f>
        <v>Female</v>
      </c>
      <c r="D2076" t="s">
        <v>43</v>
      </c>
      <c r="E2076">
        <v>35</v>
      </c>
      <c r="F2076" t="s">
        <v>31</v>
      </c>
      <c r="G2076" s="1">
        <v>32883</v>
      </c>
      <c r="H2076" t="s">
        <v>4914</v>
      </c>
      <c r="I2076" s="2" t="str">
        <f t="shared" si="32"/>
        <v>+91-7174632831</v>
      </c>
      <c r="J2076">
        <f>91-7174632922</f>
        <v>-7174632831</v>
      </c>
      <c r="K2076" t="s">
        <v>174</v>
      </c>
      <c r="L2076" t="s">
        <v>90</v>
      </c>
      <c r="M2076">
        <v>298788</v>
      </c>
      <c r="N2076" s="1">
        <v>45443</v>
      </c>
      <c r="O2076" t="s">
        <v>28</v>
      </c>
      <c r="P2076">
        <v>5</v>
      </c>
      <c r="Q2076">
        <v>92296.92</v>
      </c>
    </row>
    <row r="2077" spans="1:17" x14ac:dyDescent="0.3">
      <c r="A2077" t="s">
        <v>4915</v>
      </c>
      <c r="B2077" t="s">
        <v>1603</v>
      </c>
      <c r="C2077" s="2" t="str">
        <f>PROPER(TRIM(Table1[[#This Row],[Gender]]))</f>
        <v>Female</v>
      </c>
      <c r="D2077" t="s">
        <v>43</v>
      </c>
      <c r="E2077">
        <v>61</v>
      </c>
      <c r="F2077" t="s">
        <v>58</v>
      </c>
      <c r="G2077" s="1">
        <v>23393</v>
      </c>
      <c r="H2077" t="s">
        <v>4916</v>
      </c>
      <c r="I2077" s="2" t="str">
        <f t="shared" si="32"/>
        <v>+91-8934350385</v>
      </c>
      <c r="J2077">
        <f>91-8934350476</f>
        <v>-8934350385</v>
      </c>
      <c r="K2077" t="s">
        <v>239</v>
      </c>
      <c r="L2077" t="s">
        <v>191</v>
      </c>
      <c r="M2077">
        <v>827087</v>
      </c>
      <c r="N2077" s="1">
        <v>45261</v>
      </c>
      <c r="O2077" t="s">
        <v>28</v>
      </c>
      <c r="P2077">
        <v>11</v>
      </c>
      <c r="Q2077">
        <v>62542.85</v>
      </c>
    </row>
    <row r="2078" spans="1:17" x14ac:dyDescent="0.3">
      <c r="A2078" t="s">
        <v>4917</v>
      </c>
      <c r="B2078" t="s">
        <v>2785</v>
      </c>
      <c r="C2078" s="2" t="str">
        <f>PROPER(TRIM(Table1[[#This Row],[Gender]]))</f>
        <v>Female</v>
      </c>
      <c r="D2078" t="s">
        <v>43</v>
      </c>
      <c r="E2078">
        <v>63</v>
      </c>
      <c r="F2078" t="s">
        <v>58</v>
      </c>
      <c r="G2078" s="1">
        <v>22663</v>
      </c>
      <c r="H2078" t="s">
        <v>4555</v>
      </c>
      <c r="I2078" s="2" t="str">
        <f t="shared" si="32"/>
        <v>+91-9171932399</v>
      </c>
      <c r="J2078">
        <f>91-9171932490</f>
        <v>-9171932399</v>
      </c>
      <c r="K2078" t="s">
        <v>249</v>
      </c>
      <c r="L2078" t="s">
        <v>34</v>
      </c>
      <c r="M2078">
        <v>793401</v>
      </c>
      <c r="N2078" s="1">
        <v>45379</v>
      </c>
      <c r="O2078" t="s">
        <v>28</v>
      </c>
      <c r="P2078">
        <v>8</v>
      </c>
      <c r="Q2078">
        <v>66786.210000000006</v>
      </c>
    </row>
    <row r="2079" spans="1:17" x14ac:dyDescent="0.3">
      <c r="A2079" t="s">
        <v>4918</v>
      </c>
      <c r="B2079" t="s">
        <v>510</v>
      </c>
      <c r="C2079" s="2" t="str">
        <f>PROPER(TRIM(Table1[[#This Row],[Gender]]))</f>
        <v>Male</v>
      </c>
      <c r="D2079" t="s">
        <v>16</v>
      </c>
      <c r="E2079">
        <v>44</v>
      </c>
      <c r="F2079" t="s">
        <v>38</v>
      </c>
      <c r="G2079" s="1">
        <v>29598</v>
      </c>
      <c r="H2079" t="s">
        <v>4919</v>
      </c>
      <c r="I2079" s="2" t="str">
        <f t="shared" si="32"/>
        <v>+91-7271243894</v>
      </c>
      <c r="J2079">
        <f>91-7271243985</f>
        <v>-7271243894</v>
      </c>
      <c r="K2079" t="s">
        <v>94</v>
      </c>
      <c r="L2079" t="s">
        <v>20</v>
      </c>
      <c r="M2079">
        <v>462482</v>
      </c>
      <c r="N2079" s="1">
        <v>45342</v>
      </c>
      <c r="O2079" t="s">
        <v>28</v>
      </c>
      <c r="P2079">
        <v>8</v>
      </c>
      <c r="Q2079">
        <v>171340.88</v>
      </c>
    </row>
    <row r="2080" spans="1:17" x14ac:dyDescent="0.3">
      <c r="A2080" t="s">
        <v>4920</v>
      </c>
      <c r="B2080" t="s">
        <v>2304</v>
      </c>
      <c r="C2080" s="2" t="str">
        <f>PROPER(TRIM(Table1[[#This Row],[Gender]]))</f>
        <v>Male</v>
      </c>
      <c r="D2080" t="s">
        <v>16</v>
      </c>
      <c r="E2080">
        <v>51</v>
      </c>
      <c r="F2080" t="s">
        <v>17</v>
      </c>
      <c r="G2080" s="1">
        <v>27043</v>
      </c>
      <c r="H2080" t="s">
        <v>4921</v>
      </c>
      <c r="I2080" s="2" t="str">
        <f t="shared" si="32"/>
        <v>+91-8135573349</v>
      </c>
      <c r="J2080">
        <f>91-8135573440</f>
        <v>-8135573349</v>
      </c>
      <c r="K2080" t="s">
        <v>190</v>
      </c>
      <c r="L2080" t="s">
        <v>191</v>
      </c>
      <c r="M2080">
        <v>414163</v>
      </c>
      <c r="N2080" s="1">
        <v>45220</v>
      </c>
      <c r="O2080" t="s">
        <v>21</v>
      </c>
      <c r="P2080">
        <v>6</v>
      </c>
      <c r="Q2080">
        <v>21485.09</v>
      </c>
    </row>
    <row r="2081" spans="1:17" x14ac:dyDescent="0.3">
      <c r="A2081" t="s">
        <v>4922</v>
      </c>
      <c r="B2081" t="s">
        <v>1395</v>
      </c>
      <c r="C2081" s="2" t="str">
        <f>PROPER(TRIM(Table1[[#This Row],[Gender]]))</f>
        <v>Male</v>
      </c>
      <c r="D2081" t="s">
        <v>16</v>
      </c>
      <c r="E2081">
        <v>30</v>
      </c>
      <c r="F2081" t="s">
        <v>31</v>
      </c>
      <c r="G2081" s="1">
        <v>34708</v>
      </c>
      <c r="H2081" t="s">
        <v>4923</v>
      </c>
      <c r="I2081" s="2" t="str">
        <f t="shared" si="32"/>
        <v>+91-7770035551</v>
      </c>
      <c r="J2081">
        <f>91-7770035642</f>
        <v>-7770035551</v>
      </c>
      <c r="K2081" t="s">
        <v>147</v>
      </c>
      <c r="L2081" t="s">
        <v>143</v>
      </c>
      <c r="M2081">
        <v>647763</v>
      </c>
      <c r="N2081" s="1">
        <v>45110</v>
      </c>
      <c r="O2081" t="s">
        <v>28</v>
      </c>
      <c r="P2081">
        <v>5</v>
      </c>
      <c r="Q2081">
        <v>338500.19</v>
      </c>
    </row>
    <row r="2082" spans="1:17" x14ac:dyDescent="0.3">
      <c r="A2082" t="s">
        <v>4924</v>
      </c>
      <c r="B2082" t="s">
        <v>570</v>
      </c>
      <c r="C2082" s="2" t="str">
        <f>PROPER(TRIM(Table1[[#This Row],[Gender]]))</f>
        <v>Male</v>
      </c>
      <c r="D2082" t="s">
        <v>16</v>
      </c>
      <c r="E2082">
        <v>57</v>
      </c>
      <c r="F2082" t="s">
        <v>58</v>
      </c>
      <c r="G2082" s="1">
        <v>24853</v>
      </c>
      <c r="H2082" t="s">
        <v>4925</v>
      </c>
      <c r="I2082" s="2" t="str">
        <f t="shared" si="32"/>
        <v>+91-8845350464</v>
      </c>
      <c r="J2082">
        <f>91-8845350555</f>
        <v>-8845350464</v>
      </c>
      <c r="K2082" t="s">
        <v>239</v>
      </c>
      <c r="L2082" t="s">
        <v>191</v>
      </c>
      <c r="M2082">
        <v>882400</v>
      </c>
      <c r="N2082" s="1">
        <v>45390</v>
      </c>
      <c r="O2082" t="s">
        <v>28</v>
      </c>
      <c r="P2082">
        <v>7</v>
      </c>
      <c r="Q2082">
        <v>142575.28</v>
      </c>
    </row>
    <row r="2083" spans="1:17" x14ac:dyDescent="0.3">
      <c r="A2083" t="s">
        <v>4926</v>
      </c>
      <c r="B2083" t="s">
        <v>703</v>
      </c>
      <c r="C2083" s="2" t="str">
        <f>PROPER(TRIM(Table1[[#This Row],[Gender]]))</f>
        <v>Female</v>
      </c>
      <c r="D2083" t="s">
        <v>43</v>
      </c>
      <c r="E2083">
        <v>29</v>
      </c>
      <c r="F2083" t="s">
        <v>31</v>
      </c>
      <c r="G2083" s="1">
        <v>35073</v>
      </c>
      <c r="H2083" t="s">
        <v>4927</v>
      </c>
      <c r="I2083" s="2" t="str">
        <f t="shared" si="32"/>
        <v>+91-9891104148</v>
      </c>
      <c r="J2083">
        <f>91-9891104239</f>
        <v>-9891104148</v>
      </c>
      <c r="K2083" t="s">
        <v>331</v>
      </c>
      <c r="L2083" t="s">
        <v>143</v>
      </c>
      <c r="M2083">
        <v>410552</v>
      </c>
      <c r="N2083" s="1">
        <v>45354</v>
      </c>
      <c r="O2083" t="s">
        <v>35</v>
      </c>
      <c r="P2083">
        <v>3</v>
      </c>
      <c r="Q2083">
        <v>14142.86</v>
      </c>
    </row>
    <row r="2084" spans="1:17" x14ac:dyDescent="0.3">
      <c r="A2084" t="s">
        <v>4928</v>
      </c>
      <c r="B2084" t="s">
        <v>2250</v>
      </c>
      <c r="C2084" s="2" t="str">
        <f>PROPER(TRIM(Table1[[#This Row],[Gender]]))</f>
        <v>Female</v>
      </c>
      <c r="D2084" t="s">
        <v>43</v>
      </c>
      <c r="E2084">
        <v>54</v>
      </c>
      <c r="F2084" t="s">
        <v>17</v>
      </c>
      <c r="G2084" s="1">
        <v>25948</v>
      </c>
      <c r="H2084" t="s">
        <v>4929</v>
      </c>
      <c r="I2084" s="2" t="str">
        <f t="shared" si="32"/>
        <v>+91-8705189433</v>
      </c>
      <c r="J2084">
        <f>91-8705189524</f>
        <v>-8705189433</v>
      </c>
      <c r="K2084" t="s">
        <v>68</v>
      </c>
      <c r="L2084" t="s">
        <v>52</v>
      </c>
      <c r="M2084">
        <v>954747</v>
      </c>
      <c r="N2084" s="1">
        <v>45123</v>
      </c>
      <c r="O2084" t="s">
        <v>28</v>
      </c>
      <c r="P2084">
        <v>5</v>
      </c>
      <c r="Q2084">
        <v>108511.73</v>
      </c>
    </row>
    <row r="2085" spans="1:17" x14ac:dyDescent="0.3">
      <c r="A2085" t="s">
        <v>4930</v>
      </c>
      <c r="B2085" t="s">
        <v>3826</v>
      </c>
      <c r="C2085" s="2" t="str">
        <f>PROPER(TRIM(Table1[[#This Row],[Gender]]))</f>
        <v>Male</v>
      </c>
      <c r="D2085" t="s">
        <v>16</v>
      </c>
      <c r="E2085">
        <v>64</v>
      </c>
      <c r="F2085" t="s">
        <v>58</v>
      </c>
      <c r="G2085" s="1">
        <v>22298</v>
      </c>
      <c r="H2085" t="s">
        <v>4931</v>
      </c>
      <c r="I2085" s="2" t="str">
        <f t="shared" si="32"/>
        <v>+91-8062667223</v>
      </c>
      <c r="J2085">
        <f>91-8062667314</f>
        <v>-8062667223</v>
      </c>
      <c r="K2085" t="s">
        <v>89</v>
      </c>
      <c r="L2085" t="s">
        <v>90</v>
      </c>
      <c r="M2085">
        <v>102678</v>
      </c>
      <c r="N2085" s="1">
        <v>45121</v>
      </c>
      <c r="O2085" t="s">
        <v>35</v>
      </c>
      <c r="P2085">
        <v>3</v>
      </c>
      <c r="Q2085">
        <v>6780.14</v>
      </c>
    </row>
    <row r="2086" spans="1:17" x14ac:dyDescent="0.3">
      <c r="A2086" t="s">
        <v>4932</v>
      </c>
      <c r="B2086" t="s">
        <v>3705</v>
      </c>
      <c r="C2086" s="2" t="str">
        <f>PROPER(TRIM(Table1[[#This Row],[Gender]]))</f>
        <v>Male</v>
      </c>
      <c r="D2086" t="s">
        <v>16</v>
      </c>
      <c r="E2086">
        <v>43</v>
      </c>
      <c r="F2086" t="s">
        <v>38</v>
      </c>
      <c r="G2086" s="1">
        <v>29963</v>
      </c>
      <c r="H2086" t="s">
        <v>4933</v>
      </c>
      <c r="I2086" s="2" t="str">
        <f t="shared" si="32"/>
        <v>+91-7738329013</v>
      </c>
      <c r="J2086">
        <f>91-7738329104</f>
        <v>-7738329013</v>
      </c>
      <c r="K2086" t="s">
        <v>45</v>
      </c>
      <c r="L2086" t="s">
        <v>46</v>
      </c>
      <c r="M2086">
        <v>326152</v>
      </c>
      <c r="N2086" s="1">
        <v>45224</v>
      </c>
      <c r="O2086" t="s">
        <v>28</v>
      </c>
      <c r="P2086">
        <v>7</v>
      </c>
      <c r="Q2086">
        <v>229799.47</v>
      </c>
    </row>
    <row r="2087" spans="1:17" x14ac:dyDescent="0.3">
      <c r="A2087" t="s">
        <v>4934</v>
      </c>
      <c r="B2087" t="s">
        <v>2043</v>
      </c>
      <c r="C2087" s="2" t="str">
        <f>PROPER(TRIM(Table1[[#This Row],[Gender]]))</f>
        <v>Female</v>
      </c>
      <c r="D2087" t="s">
        <v>43</v>
      </c>
      <c r="E2087">
        <v>18</v>
      </c>
      <c r="F2087" t="s">
        <v>49</v>
      </c>
      <c r="G2087" s="1">
        <v>39088</v>
      </c>
      <c r="H2087" t="s">
        <v>4935</v>
      </c>
      <c r="I2087" s="2" t="str">
        <f t="shared" si="32"/>
        <v>+91-9110099838</v>
      </c>
      <c r="J2087">
        <f>91-9110099929</f>
        <v>-9110099838</v>
      </c>
      <c r="K2087" t="s">
        <v>26</v>
      </c>
      <c r="L2087" t="s">
        <v>27</v>
      </c>
      <c r="M2087">
        <v>943228</v>
      </c>
      <c r="N2087" s="1">
        <v>45351</v>
      </c>
      <c r="O2087" t="s">
        <v>28</v>
      </c>
      <c r="P2087">
        <v>7</v>
      </c>
      <c r="Q2087">
        <v>230210.42</v>
      </c>
    </row>
    <row r="2088" spans="1:17" x14ac:dyDescent="0.3">
      <c r="A2088" t="s">
        <v>4936</v>
      </c>
      <c r="B2088" t="s">
        <v>1967</v>
      </c>
      <c r="C2088" s="2" t="str">
        <f>PROPER(TRIM(Table1[[#This Row],[Gender]]))</f>
        <v>Male</v>
      </c>
      <c r="D2088" t="s">
        <v>16</v>
      </c>
      <c r="E2088">
        <v>49</v>
      </c>
      <c r="F2088" t="s">
        <v>17</v>
      </c>
      <c r="G2088" s="1">
        <v>27773</v>
      </c>
      <c r="H2088" t="s">
        <v>4937</v>
      </c>
      <c r="I2088" s="2" t="str">
        <f t="shared" si="32"/>
        <v>+91-8348595351</v>
      </c>
      <c r="J2088">
        <f>91-8348595442</f>
        <v>-8348595351</v>
      </c>
      <c r="K2088" t="s">
        <v>113</v>
      </c>
      <c r="L2088" t="s">
        <v>34</v>
      </c>
      <c r="M2088">
        <v>481531</v>
      </c>
      <c r="N2088" s="1">
        <v>45437</v>
      </c>
      <c r="O2088" t="s">
        <v>35</v>
      </c>
      <c r="P2088">
        <v>2</v>
      </c>
      <c r="Q2088">
        <v>18857.37</v>
      </c>
    </row>
    <row r="2089" spans="1:17" x14ac:dyDescent="0.3">
      <c r="A2089" t="s">
        <v>4938</v>
      </c>
      <c r="B2089" t="s">
        <v>4939</v>
      </c>
      <c r="C2089" s="2" t="str">
        <f>PROPER(TRIM(Table1[[#This Row],[Gender]]))</f>
        <v>Female</v>
      </c>
      <c r="D2089" t="s">
        <v>43</v>
      </c>
      <c r="E2089">
        <v>18</v>
      </c>
      <c r="F2089" t="s">
        <v>49</v>
      </c>
      <c r="G2089" s="1">
        <v>39088</v>
      </c>
      <c r="H2089" t="s">
        <v>4940</v>
      </c>
      <c r="I2089" s="2" t="str">
        <f t="shared" si="32"/>
        <v>+91-9434040705</v>
      </c>
      <c r="J2089">
        <f>91-9434040796</f>
        <v>-9434040705</v>
      </c>
      <c r="K2089" t="s">
        <v>26</v>
      </c>
      <c r="L2089" t="s">
        <v>27</v>
      </c>
      <c r="M2089">
        <v>255689</v>
      </c>
      <c r="N2089" s="1">
        <v>45194</v>
      </c>
      <c r="O2089" t="s">
        <v>28</v>
      </c>
      <c r="P2089">
        <v>7</v>
      </c>
      <c r="Q2089">
        <v>165858.88</v>
      </c>
    </row>
    <row r="2090" spans="1:17" x14ac:dyDescent="0.3">
      <c r="A2090" t="s">
        <v>4941</v>
      </c>
      <c r="B2090" t="s">
        <v>4942</v>
      </c>
      <c r="C2090" s="2" t="str">
        <f>PROPER(TRIM(Table1[[#This Row],[Gender]]))</f>
        <v>Male</v>
      </c>
      <c r="D2090" t="s">
        <v>16</v>
      </c>
      <c r="E2090">
        <v>51</v>
      </c>
      <c r="F2090" t="s">
        <v>17</v>
      </c>
      <c r="G2090" s="1">
        <v>27043</v>
      </c>
      <c r="H2090" t="s">
        <v>4943</v>
      </c>
      <c r="I2090" s="2" t="str">
        <f t="shared" si="32"/>
        <v>+91-7805698164</v>
      </c>
      <c r="J2090">
        <f>91-7805698255</f>
        <v>-7805698164</v>
      </c>
      <c r="K2090" t="s">
        <v>117</v>
      </c>
      <c r="L2090" t="s">
        <v>52</v>
      </c>
      <c r="M2090">
        <v>301918</v>
      </c>
      <c r="N2090" s="1">
        <v>45350</v>
      </c>
      <c r="O2090" t="s">
        <v>35</v>
      </c>
      <c r="P2090">
        <v>4</v>
      </c>
      <c r="Q2090">
        <v>13091.4</v>
      </c>
    </row>
    <row r="2091" spans="1:17" x14ac:dyDescent="0.3">
      <c r="A2091" t="s">
        <v>4944</v>
      </c>
      <c r="B2091" t="s">
        <v>4945</v>
      </c>
      <c r="C2091" s="2" t="str">
        <f>PROPER(TRIM(Table1[[#This Row],[Gender]]))</f>
        <v>Male</v>
      </c>
      <c r="D2091" t="s">
        <v>16</v>
      </c>
      <c r="E2091">
        <v>59</v>
      </c>
      <c r="F2091" t="s">
        <v>58</v>
      </c>
      <c r="G2091" s="1">
        <v>24123</v>
      </c>
      <c r="H2091" t="s">
        <v>4946</v>
      </c>
      <c r="I2091" s="2" t="str">
        <f t="shared" si="32"/>
        <v>+91-8135486288</v>
      </c>
      <c r="J2091">
        <f>91-8135486379</f>
        <v>-8135486288</v>
      </c>
      <c r="K2091" t="s">
        <v>94</v>
      </c>
      <c r="L2091" t="s">
        <v>20</v>
      </c>
      <c r="M2091">
        <v>876341</v>
      </c>
      <c r="N2091" s="1">
        <v>45308</v>
      </c>
      <c r="O2091" t="s">
        <v>35</v>
      </c>
      <c r="P2091">
        <v>4</v>
      </c>
      <c r="Q2091">
        <v>16053.24</v>
      </c>
    </row>
    <row r="2092" spans="1:17" x14ac:dyDescent="0.3">
      <c r="A2092" t="s">
        <v>4947</v>
      </c>
      <c r="B2092" t="s">
        <v>2429</v>
      </c>
      <c r="C2092" s="2" t="str">
        <f>PROPER(TRIM(Table1[[#This Row],[Gender]]))</f>
        <v>Female</v>
      </c>
      <c r="D2092" t="s">
        <v>43</v>
      </c>
      <c r="E2092">
        <v>39</v>
      </c>
      <c r="F2092" t="s">
        <v>38</v>
      </c>
      <c r="G2092" s="1">
        <v>31423</v>
      </c>
      <c r="H2092" t="s">
        <v>4948</v>
      </c>
      <c r="I2092" s="2" t="str">
        <f t="shared" si="32"/>
        <v>+91-9203324485</v>
      </c>
      <c r="J2092">
        <f>91-9203324576</f>
        <v>-9203324485</v>
      </c>
      <c r="K2092" t="s">
        <v>165</v>
      </c>
      <c r="L2092" t="s">
        <v>52</v>
      </c>
      <c r="M2092">
        <v>685109</v>
      </c>
      <c r="N2092" s="1">
        <v>45222</v>
      </c>
      <c r="O2092" t="s">
        <v>21</v>
      </c>
      <c r="P2092">
        <v>2</v>
      </c>
      <c r="Q2092">
        <v>38673.06</v>
      </c>
    </row>
    <row r="2093" spans="1:17" x14ac:dyDescent="0.3">
      <c r="A2093" t="s">
        <v>4949</v>
      </c>
      <c r="B2093" t="s">
        <v>795</v>
      </c>
      <c r="C2093" s="2" t="str">
        <f>PROPER(TRIM(Table1[[#This Row],[Gender]]))</f>
        <v>Male</v>
      </c>
      <c r="D2093" t="s">
        <v>16</v>
      </c>
      <c r="E2093">
        <v>49</v>
      </c>
      <c r="F2093" t="s">
        <v>17</v>
      </c>
      <c r="G2093" s="1">
        <v>27773</v>
      </c>
      <c r="H2093" t="s">
        <v>4950</v>
      </c>
      <c r="I2093" s="2" t="str">
        <f t="shared" si="32"/>
        <v>+91-9035105780</v>
      </c>
      <c r="J2093">
        <f>91-9035105871</f>
        <v>-9035105780</v>
      </c>
      <c r="K2093" t="s">
        <v>40</v>
      </c>
      <c r="L2093" t="s">
        <v>27</v>
      </c>
      <c r="M2093">
        <v>703670</v>
      </c>
      <c r="N2093" s="1">
        <v>45091</v>
      </c>
      <c r="O2093" t="s">
        <v>35</v>
      </c>
      <c r="P2093">
        <v>5</v>
      </c>
      <c r="Q2093">
        <v>9659.09</v>
      </c>
    </row>
    <row r="2094" spans="1:17" x14ac:dyDescent="0.3">
      <c r="A2094" t="s">
        <v>4951</v>
      </c>
      <c r="B2094" t="s">
        <v>3041</v>
      </c>
      <c r="C2094" s="2" t="str">
        <f>PROPER(TRIM(Table1[[#This Row],[Gender]]))</f>
        <v>Male</v>
      </c>
      <c r="D2094" t="s">
        <v>16</v>
      </c>
      <c r="E2094">
        <v>19</v>
      </c>
      <c r="F2094" t="s">
        <v>49</v>
      </c>
      <c r="G2094" s="1">
        <v>38723</v>
      </c>
      <c r="H2094" t="s">
        <v>3042</v>
      </c>
      <c r="I2094" s="2" t="str">
        <f t="shared" si="32"/>
        <v>+91-8375924897</v>
      </c>
      <c r="J2094">
        <f>91-8375924988</f>
        <v>-8375924897</v>
      </c>
      <c r="K2094" t="s">
        <v>195</v>
      </c>
      <c r="L2094" t="s">
        <v>102</v>
      </c>
      <c r="M2094">
        <v>468789</v>
      </c>
      <c r="N2094" s="1">
        <v>45298</v>
      </c>
      <c r="O2094" t="s">
        <v>35</v>
      </c>
      <c r="P2094">
        <v>2</v>
      </c>
      <c r="Q2094">
        <v>10399.06</v>
      </c>
    </row>
    <row r="2095" spans="1:17" x14ac:dyDescent="0.3">
      <c r="A2095" t="s">
        <v>4952</v>
      </c>
      <c r="B2095" t="s">
        <v>1025</v>
      </c>
      <c r="C2095" s="2" t="str">
        <f>PROPER(TRIM(Table1[[#This Row],[Gender]]))</f>
        <v>Female</v>
      </c>
      <c r="D2095" t="s">
        <v>43</v>
      </c>
      <c r="E2095">
        <v>28</v>
      </c>
      <c r="F2095" t="s">
        <v>31</v>
      </c>
      <c r="G2095" s="1">
        <v>35438</v>
      </c>
      <c r="H2095" t="s">
        <v>4953</v>
      </c>
      <c r="I2095" s="2" t="str">
        <f t="shared" si="32"/>
        <v>+91-8566416568</v>
      </c>
      <c r="J2095">
        <f>91-8566416659</f>
        <v>-8566416568</v>
      </c>
      <c r="K2095" t="s">
        <v>147</v>
      </c>
      <c r="L2095" t="s">
        <v>143</v>
      </c>
      <c r="M2095">
        <v>418223</v>
      </c>
      <c r="N2095" s="1">
        <v>45439</v>
      </c>
      <c r="O2095" t="s">
        <v>21</v>
      </c>
      <c r="P2095">
        <v>4</v>
      </c>
      <c r="Q2095">
        <v>48447.17</v>
      </c>
    </row>
    <row r="2096" spans="1:17" x14ac:dyDescent="0.3">
      <c r="A2096" t="s">
        <v>4954</v>
      </c>
      <c r="B2096" t="s">
        <v>4390</v>
      </c>
      <c r="C2096" s="2" t="str">
        <f>PROPER(TRIM(Table1[[#This Row],[Gender]]))</f>
        <v>Female</v>
      </c>
      <c r="D2096" t="s">
        <v>43</v>
      </c>
      <c r="E2096">
        <v>37</v>
      </c>
      <c r="F2096" t="s">
        <v>38</v>
      </c>
      <c r="G2096" s="1">
        <v>32153</v>
      </c>
      <c r="H2096" t="s">
        <v>4611</v>
      </c>
      <c r="I2096" s="2" t="str">
        <f t="shared" si="32"/>
        <v>+91-9925560695</v>
      </c>
      <c r="J2096">
        <f>91-9925560786</f>
        <v>-9925560695</v>
      </c>
      <c r="K2096" t="s">
        <v>33</v>
      </c>
      <c r="L2096" t="s">
        <v>34</v>
      </c>
      <c r="M2096">
        <v>433173</v>
      </c>
      <c r="N2096" s="1">
        <v>45353</v>
      </c>
      <c r="O2096" t="s">
        <v>28</v>
      </c>
      <c r="P2096">
        <v>6</v>
      </c>
      <c r="Q2096">
        <v>105346.37</v>
      </c>
    </row>
    <row r="2097" spans="1:17" x14ac:dyDescent="0.3">
      <c r="A2097" t="s">
        <v>4955</v>
      </c>
      <c r="B2097" t="s">
        <v>2965</v>
      </c>
      <c r="C2097" s="2" t="str">
        <f>PROPER(TRIM(Table1[[#This Row],[Gender]]))</f>
        <v>Female</v>
      </c>
      <c r="D2097" t="s">
        <v>43</v>
      </c>
      <c r="E2097">
        <v>46</v>
      </c>
      <c r="F2097" t="s">
        <v>17</v>
      </c>
      <c r="G2097" s="1">
        <v>28868</v>
      </c>
      <c r="H2097" t="s">
        <v>4956</v>
      </c>
      <c r="I2097" s="2" t="str">
        <f t="shared" si="32"/>
        <v>+91-8028468223</v>
      </c>
      <c r="J2097">
        <f>91-8028468314</f>
        <v>-8028468223</v>
      </c>
      <c r="K2097" t="s">
        <v>178</v>
      </c>
      <c r="L2097" t="s">
        <v>27</v>
      </c>
      <c r="M2097">
        <v>507003</v>
      </c>
      <c r="N2097" s="1">
        <v>45246</v>
      </c>
      <c r="O2097" t="s">
        <v>21</v>
      </c>
      <c r="P2097">
        <v>6</v>
      </c>
      <c r="Q2097">
        <v>40231.51</v>
      </c>
    </row>
    <row r="2098" spans="1:17" x14ac:dyDescent="0.3">
      <c r="A2098" t="s">
        <v>4957</v>
      </c>
      <c r="B2098" t="s">
        <v>3140</v>
      </c>
      <c r="C2098" s="2" t="str">
        <f>PROPER(TRIM(Table1[[#This Row],[Gender]]))</f>
        <v>Female</v>
      </c>
      <c r="D2098" t="s">
        <v>43</v>
      </c>
      <c r="E2098">
        <v>50</v>
      </c>
      <c r="F2098" t="s">
        <v>17</v>
      </c>
      <c r="G2098" s="1">
        <v>27408</v>
      </c>
      <c r="H2098" t="s">
        <v>4958</v>
      </c>
      <c r="I2098" s="2" t="str">
        <f t="shared" si="32"/>
        <v>+91-8398927666</v>
      </c>
      <c r="J2098">
        <f>91-8398927757</f>
        <v>-8398927666</v>
      </c>
      <c r="K2098" t="s">
        <v>121</v>
      </c>
      <c r="L2098" t="s">
        <v>85</v>
      </c>
      <c r="M2098">
        <v>259633</v>
      </c>
      <c r="N2098" s="1">
        <v>45218</v>
      </c>
      <c r="O2098" t="s">
        <v>35</v>
      </c>
      <c r="P2098">
        <v>5</v>
      </c>
      <c r="Q2098">
        <v>3978.26</v>
      </c>
    </row>
    <row r="2099" spans="1:17" x14ac:dyDescent="0.3">
      <c r="A2099" t="s">
        <v>4959</v>
      </c>
      <c r="B2099" t="s">
        <v>2639</v>
      </c>
      <c r="C2099" s="2" t="str">
        <f>PROPER(TRIM(Table1[[#This Row],[Gender]]))</f>
        <v>Female</v>
      </c>
      <c r="D2099" t="s">
        <v>43</v>
      </c>
      <c r="E2099">
        <v>35</v>
      </c>
      <c r="F2099" t="s">
        <v>31</v>
      </c>
      <c r="G2099" s="1">
        <v>32883</v>
      </c>
      <c r="H2099" t="s">
        <v>4960</v>
      </c>
      <c r="I2099" s="2" t="str">
        <f t="shared" si="32"/>
        <v>+91-9851930966</v>
      </c>
      <c r="J2099">
        <f>91-9851931057</f>
        <v>-9851930966</v>
      </c>
      <c r="K2099" t="s">
        <v>45</v>
      </c>
      <c r="L2099" t="s">
        <v>46</v>
      </c>
      <c r="M2099">
        <v>304000</v>
      </c>
      <c r="N2099" s="1">
        <v>45439</v>
      </c>
      <c r="O2099" t="s">
        <v>35</v>
      </c>
      <c r="P2099">
        <v>2</v>
      </c>
      <c r="Q2099">
        <v>16606.099999999999</v>
      </c>
    </row>
    <row r="2100" spans="1:17" x14ac:dyDescent="0.3">
      <c r="A2100" t="s">
        <v>4961</v>
      </c>
      <c r="B2100" t="s">
        <v>1347</v>
      </c>
      <c r="C2100" s="2" t="str">
        <f>PROPER(TRIM(Table1[[#This Row],[Gender]]))</f>
        <v>Male</v>
      </c>
      <c r="D2100" t="s">
        <v>16</v>
      </c>
      <c r="E2100">
        <v>30</v>
      </c>
      <c r="F2100" t="s">
        <v>31</v>
      </c>
      <c r="G2100" s="1">
        <v>34708</v>
      </c>
      <c r="H2100" t="s">
        <v>4962</v>
      </c>
      <c r="I2100" s="2" t="str">
        <f t="shared" si="32"/>
        <v>+91-8473429079</v>
      </c>
      <c r="J2100">
        <f>91-8473429170</f>
        <v>-8473429079</v>
      </c>
      <c r="K2100" t="s">
        <v>369</v>
      </c>
      <c r="L2100" t="s">
        <v>191</v>
      </c>
      <c r="M2100">
        <v>896760</v>
      </c>
      <c r="N2100" s="1">
        <v>45347</v>
      </c>
      <c r="O2100" t="s">
        <v>28</v>
      </c>
      <c r="P2100">
        <v>6</v>
      </c>
      <c r="Q2100">
        <v>413474.14</v>
      </c>
    </row>
    <row r="2101" spans="1:17" x14ac:dyDescent="0.3">
      <c r="A2101" t="s">
        <v>4963</v>
      </c>
      <c r="B2101" t="s">
        <v>4037</v>
      </c>
      <c r="C2101" s="2" t="str">
        <f>PROPER(TRIM(Table1[[#This Row],[Gender]]))</f>
        <v>Female</v>
      </c>
      <c r="D2101" t="s">
        <v>43</v>
      </c>
      <c r="E2101">
        <v>26</v>
      </c>
      <c r="F2101" t="s">
        <v>31</v>
      </c>
      <c r="G2101" s="1">
        <v>36168</v>
      </c>
      <c r="H2101" t="s">
        <v>4964</v>
      </c>
      <c r="I2101" s="2" t="str">
        <f t="shared" si="32"/>
        <v>+91-9654851011</v>
      </c>
      <c r="J2101">
        <f>91-9654851102</f>
        <v>-9654851011</v>
      </c>
      <c r="K2101" t="s">
        <v>142</v>
      </c>
      <c r="L2101" t="s">
        <v>143</v>
      </c>
      <c r="M2101">
        <v>467562</v>
      </c>
      <c r="N2101" s="1">
        <v>45443</v>
      </c>
      <c r="O2101" t="s">
        <v>28</v>
      </c>
      <c r="P2101">
        <v>6</v>
      </c>
      <c r="Q2101">
        <v>220892.77</v>
      </c>
    </row>
    <row r="2102" spans="1:17" x14ac:dyDescent="0.3">
      <c r="A2102" t="s">
        <v>4965</v>
      </c>
      <c r="B2102" t="s">
        <v>4966</v>
      </c>
      <c r="C2102" s="2" t="str">
        <f>PROPER(TRIM(Table1[[#This Row],[Gender]]))</f>
        <v>Male</v>
      </c>
      <c r="D2102" t="s">
        <v>16</v>
      </c>
      <c r="E2102">
        <v>29</v>
      </c>
      <c r="F2102" t="s">
        <v>31</v>
      </c>
      <c r="G2102" s="1">
        <v>35073</v>
      </c>
      <c r="H2102" t="s">
        <v>4967</v>
      </c>
      <c r="I2102" s="2" t="str">
        <f t="shared" si="32"/>
        <v>+91-9128821061</v>
      </c>
      <c r="J2102">
        <f>91-9128821152</f>
        <v>-9128821061</v>
      </c>
      <c r="K2102" t="s">
        <v>142</v>
      </c>
      <c r="L2102" t="s">
        <v>143</v>
      </c>
      <c r="M2102">
        <v>497471</v>
      </c>
      <c r="N2102" s="1">
        <v>45348</v>
      </c>
      <c r="O2102" t="s">
        <v>35</v>
      </c>
      <c r="P2102">
        <v>1</v>
      </c>
      <c r="Q2102">
        <v>10793.08</v>
      </c>
    </row>
    <row r="2103" spans="1:17" x14ac:dyDescent="0.3">
      <c r="A2103" t="s">
        <v>4968</v>
      </c>
      <c r="B2103" t="s">
        <v>1962</v>
      </c>
      <c r="C2103" s="2" t="str">
        <f>PROPER(TRIM(Table1[[#This Row],[Gender]]))</f>
        <v>Female</v>
      </c>
      <c r="D2103" t="s">
        <v>43</v>
      </c>
      <c r="E2103">
        <v>28</v>
      </c>
      <c r="F2103" t="s">
        <v>31</v>
      </c>
      <c r="G2103" s="1">
        <v>35438</v>
      </c>
      <c r="H2103" t="s">
        <v>4969</v>
      </c>
      <c r="I2103" s="2" t="str">
        <f t="shared" si="32"/>
        <v>+91-9316935266</v>
      </c>
      <c r="J2103">
        <f>91-9316935357</f>
        <v>-9316935266</v>
      </c>
      <c r="K2103" t="s">
        <v>161</v>
      </c>
      <c r="L2103" t="s">
        <v>102</v>
      </c>
      <c r="M2103">
        <v>263718</v>
      </c>
      <c r="N2103" s="1">
        <v>45332</v>
      </c>
      <c r="O2103" t="s">
        <v>28</v>
      </c>
      <c r="P2103">
        <v>5</v>
      </c>
      <c r="Q2103">
        <v>313642.34000000003</v>
      </c>
    </row>
    <row r="2104" spans="1:17" x14ac:dyDescent="0.3">
      <c r="A2104" t="s">
        <v>4970</v>
      </c>
      <c r="B2104" t="s">
        <v>1816</v>
      </c>
      <c r="C2104" s="2" t="str">
        <f>PROPER(TRIM(Table1[[#This Row],[Gender]]))</f>
        <v>Female</v>
      </c>
      <c r="D2104" t="s">
        <v>43</v>
      </c>
      <c r="E2104">
        <v>40</v>
      </c>
      <c r="F2104" t="s">
        <v>38</v>
      </c>
      <c r="G2104" s="1">
        <v>31058</v>
      </c>
      <c r="H2104" t="s">
        <v>4971</v>
      </c>
      <c r="I2104" s="2" t="str">
        <f t="shared" si="32"/>
        <v>+91-8921522599</v>
      </c>
      <c r="J2104">
        <f>91-8921522690</f>
        <v>-8921522599</v>
      </c>
      <c r="K2104" t="s">
        <v>369</v>
      </c>
      <c r="L2104" t="s">
        <v>191</v>
      </c>
      <c r="M2104">
        <v>699897</v>
      </c>
      <c r="N2104" s="1">
        <v>45350</v>
      </c>
      <c r="O2104" t="s">
        <v>28</v>
      </c>
      <c r="P2104">
        <v>9</v>
      </c>
      <c r="Q2104">
        <v>172645.86</v>
      </c>
    </row>
    <row r="2105" spans="1:17" x14ac:dyDescent="0.3">
      <c r="A2105" t="s">
        <v>4972</v>
      </c>
      <c r="B2105" t="s">
        <v>3859</v>
      </c>
      <c r="C2105" s="2" t="str">
        <f>PROPER(TRIM(Table1[[#This Row],[Gender]]))</f>
        <v>Male</v>
      </c>
      <c r="D2105" t="s">
        <v>16</v>
      </c>
      <c r="E2105">
        <v>18</v>
      </c>
      <c r="F2105" t="s">
        <v>49</v>
      </c>
      <c r="G2105" s="1">
        <v>39088</v>
      </c>
      <c r="H2105" t="s">
        <v>4973</v>
      </c>
      <c r="I2105" s="2" t="str">
        <f t="shared" si="32"/>
        <v>+91-9713678599</v>
      </c>
      <c r="J2105">
        <f>91-9713678690</f>
        <v>-9713678599</v>
      </c>
      <c r="K2105" t="s">
        <v>331</v>
      </c>
      <c r="L2105" t="s">
        <v>143</v>
      </c>
      <c r="M2105">
        <v>332540</v>
      </c>
      <c r="N2105" s="1">
        <v>45428</v>
      </c>
      <c r="O2105" t="s">
        <v>28</v>
      </c>
      <c r="P2105">
        <v>7</v>
      </c>
      <c r="Q2105">
        <v>270855.21999999997</v>
      </c>
    </row>
    <row r="2106" spans="1:17" x14ac:dyDescent="0.3">
      <c r="A2106" t="s">
        <v>4974</v>
      </c>
      <c r="B2106" t="s">
        <v>2046</v>
      </c>
      <c r="C2106" s="2" t="str">
        <f>PROPER(TRIM(Table1[[#This Row],[Gender]]))</f>
        <v>Female</v>
      </c>
      <c r="D2106" t="s">
        <v>43</v>
      </c>
      <c r="E2106">
        <v>36</v>
      </c>
      <c r="F2106" t="s">
        <v>38</v>
      </c>
      <c r="G2106" s="1">
        <v>32518</v>
      </c>
      <c r="H2106" t="s">
        <v>4975</v>
      </c>
      <c r="I2106" s="2" t="str">
        <f t="shared" si="32"/>
        <v>+91-9977437429</v>
      </c>
      <c r="J2106">
        <f>91-9977437520</f>
        <v>-9977437429</v>
      </c>
      <c r="K2106" t="s">
        <v>178</v>
      </c>
      <c r="L2106" t="s">
        <v>27</v>
      </c>
      <c r="M2106">
        <v>487194</v>
      </c>
      <c r="N2106" s="1">
        <v>45116</v>
      </c>
      <c r="O2106" t="s">
        <v>28</v>
      </c>
      <c r="P2106">
        <v>6</v>
      </c>
      <c r="Q2106">
        <v>109545.06</v>
      </c>
    </row>
    <row r="2107" spans="1:17" x14ac:dyDescent="0.3">
      <c r="A2107" t="s">
        <v>4976</v>
      </c>
      <c r="B2107" t="s">
        <v>62</v>
      </c>
      <c r="C2107" s="2" t="str">
        <f>PROPER(TRIM(Table1[[#This Row],[Gender]]))</f>
        <v>Female</v>
      </c>
      <c r="D2107" t="s">
        <v>43</v>
      </c>
      <c r="E2107">
        <v>41</v>
      </c>
      <c r="F2107" t="s">
        <v>38</v>
      </c>
      <c r="G2107" s="1">
        <v>30693</v>
      </c>
      <c r="H2107" t="s">
        <v>4977</v>
      </c>
      <c r="I2107" s="2" t="str">
        <f t="shared" si="32"/>
        <v>+91-9498795555</v>
      </c>
      <c r="J2107">
        <f>91-9498795646</f>
        <v>-9498795555</v>
      </c>
      <c r="K2107" t="s">
        <v>76</v>
      </c>
      <c r="L2107" t="s">
        <v>46</v>
      </c>
      <c r="M2107">
        <v>351900</v>
      </c>
      <c r="N2107" s="1">
        <v>45412</v>
      </c>
      <c r="O2107" t="s">
        <v>28</v>
      </c>
      <c r="P2107">
        <v>8</v>
      </c>
      <c r="Q2107">
        <v>247644.32</v>
      </c>
    </row>
    <row r="2108" spans="1:17" x14ac:dyDescent="0.3">
      <c r="A2108" t="s">
        <v>4978</v>
      </c>
      <c r="B2108" t="s">
        <v>324</v>
      </c>
      <c r="C2108" s="2" t="str">
        <f>PROPER(TRIM(Table1[[#This Row],[Gender]]))</f>
        <v>Female</v>
      </c>
      <c r="D2108" t="s">
        <v>43</v>
      </c>
      <c r="E2108">
        <v>42</v>
      </c>
      <c r="F2108" t="s">
        <v>38</v>
      </c>
      <c r="G2108" s="1">
        <v>30328</v>
      </c>
      <c r="H2108" t="s">
        <v>4979</v>
      </c>
      <c r="I2108" s="2" t="str">
        <f t="shared" si="32"/>
        <v>+91-9511586176</v>
      </c>
      <c r="J2108">
        <f>91-9511586267</f>
        <v>-9511586176</v>
      </c>
      <c r="K2108" t="s">
        <v>121</v>
      </c>
      <c r="L2108" t="s">
        <v>85</v>
      </c>
      <c r="M2108">
        <v>161096</v>
      </c>
      <c r="N2108" s="1">
        <v>45422</v>
      </c>
      <c r="O2108" t="s">
        <v>28</v>
      </c>
      <c r="P2108">
        <v>4</v>
      </c>
      <c r="Q2108">
        <v>183511.62</v>
      </c>
    </row>
    <row r="2109" spans="1:17" x14ac:dyDescent="0.3">
      <c r="A2109" t="s">
        <v>4980</v>
      </c>
      <c r="B2109" t="s">
        <v>498</v>
      </c>
      <c r="C2109" s="2" t="str">
        <f>PROPER(TRIM(Table1[[#This Row],[Gender]]))</f>
        <v>Female</v>
      </c>
      <c r="D2109" t="s">
        <v>43</v>
      </c>
      <c r="E2109">
        <v>48</v>
      </c>
      <c r="F2109" t="s">
        <v>17</v>
      </c>
      <c r="G2109" s="1">
        <v>28138</v>
      </c>
      <c r="H2109" t="s">
        <v>4981</v>
      </c>
      <c r="I2109" s="2" t="str">
        <f t="shared" si="32"/>
        <v>+91-8871632619</v>
      </c>
      <c r="J2109">
        <f>91-8871632710</f>
        <v>-8871632619</v>
      </c>
      <c r="K2109" t="s">
        <v>331</v>
      </c>
      <c r="L2109" t="s">
        <v>143</v>
      </c>
      <c r="M2109">
        <v>725774</v>
      </c>
      <c r="N2109" s="1">
        <v>45276</v>
      </c>
      <c r="O2109" t="s">
        <v>28</v>
      </c>
      <c r="P2109">
        <v>6</v>
      </c>
      <c r="Q2109">
        <v>117786.28</v>
      </c>
    </row>
    <row r="2110" spans="1:17" x14ac:dyDescent="0.3">
      <c r="A2110" t="s">
        <v>4982</v>
      </c>
      <c r="B2110" t="s">
        <v>3836</v>
      </c>
      <c r="C2110" s="2" t="str">
        <f>PROPER(TRIM(Table1[[#This Row],[Gender]]))</f>
        <v>Male</v>
      </c>
      <c r="D2110" t="s">
        <v>16</v>
      </c>
      <c r="E2110">
        <v>71</v>
      </c>
      <c r="F2110" t="s">
        <v>24</v>
      </c>
      <c r="G2110" s="1">
        <v>19743</v>
      </c>
      <c r="H2110" t="s">
        <v>4983</v>
      </c>
      <c r="I2110" s="2" t="str">
        <f t="shared" si="32"/>
        <v>+91-8044339954</v>
      </c>
      <c r="J2110">
        <f>91-8044340045</f>
        <v>-8044339954</v>
      </c>
      <c r="K2110" t="s">
        <v>117</v>
      </c>
      <c r="L2110" t="s">
        <v>52</v>
      </c>
      <c r="M2110">
        <v>255125</v>
      </c>
      <c r="N2110" s="1">
        <v>45089</v>
      </c>
      <c r="O2110" t="s">
        <v>35</v>
      </c>
      <c r="P2110">
        <v>4</v>
      </c>
      <c r="Q2110">
        <v>9734.81</v>
      </c>
    </row>
    <row r="2111" spans="1:17" x14ac:dyDescent="0.3">
      <c r="A2111" t="s">
        <v>4984</v>
      </c>
      <c r="B2111" t="s">
        <v>4985</v>
      </c>
      <c r="C2111" s="2" t="str">
        <f>PROPER(TRIM(Table1[[#This Row],[Gender]]))</f>
        <v>Male</v>
      </c>
      <c r="D2111" t="s">
        <v>16</v>
      </c>
      <c r="E2111">
        <v>32</v>
      </c>
      <c r="F2111" t="s">
        <v>31</v>
      </c>
      <c r="G2111" s="1">
        <v>33978</v>
      </c>
      <c r="H2111" t="s">
        <v>4986</v>
      </c>
      <c r="I2111" s="2" t="str">
        <f t="shared" si="32"/>
        <v>+91-7683113646</v>
      </c>
      <c r="J2111">
        <f>91-7683113737</f>
        <v>-7683113646</v>
      </c>
      <c r="K2111" t="s">
        <v>94</v>
      </c>
      <c r="L2111" t="s">
        <v>20</v>
      </c>
      <c r="M2111">
        <v>971661</v>
      </c>
      <c r="N2111" s="1">
        <v>45426</v>
      </c>
      <c r="O2111" t="s">
        <v>28</v>
      </c>
      <c r="P2111">
        <v>8</v>
      </c>
      <c r="Q2111">
        <v>159091.04999999999</v>
      </c>
    </row>
    <row r="2112" spans="1:17" x14ac:dyDescent="0.3">
      <c r="A2112" t="s">
        <v>4987</v>
      </c>
      <c r="B2112" t="s">
        <v>3276</v>
      </c>
      <c r="C2112" s="2" t="str">
        <f>PROPER(TRIM(Table1[[#This Row],[Gender]]))</f>
        <v>Male</v>
      </c>
      <c r="D2112" t="s">
        <v>16</v>
      </c>
      <c r="E2112">
        <v>19</v>
      </c>
      <c r="F2112" t="s">
        <v>49</v>
      </c>
      <c r="G2112" s="1">
        <v>38723</v>
      </c>
      <c r="H2112" t="s">
        <v>4988</v>
      </c>
      <c r="I2112" s="2" t="str">
        <f t="shared" si="32"/>
        <v>+91-8008571890</v>
      </c>
      <c r="J2112">
        <f>91-8008571981</f>
        <v>-8008571890</v>
      </c>
      <c r="K2112" t="s">
        <v>109</v>
      </c>
      <c r="L2112" t="s">
        <v>46</v>
      </c>
      <c r="M2112">
        <v>689955</v>
      </c>
      <c r="N2112" s="1">
        <v>45078</v>
      </c>
      <c r="O2112" t="s">
        <v>21</v>
      </c>
      <c r="P2112">
        <v>3</v>
      </c>
      <c r="Q2112">
        <v>26396.04</v>
      </c>
    </row>
    <row r="2113" spans="1:17" x14ac:dyDescent="0.3">
      <c r="A2113" t="s">
        <v>4989</v>
      </c>
      <c r="B2113" t="s">
        <v>4178</v>
      </c>
      <c r="C2113" s="2" t="str">
        <f>PROPER(TRIM(Table1[[#This Row],[Gender]]))</f>
        <v>Male</v>
      </c>
      <c r="D2113" t="s">
        <v>16</v>
      </c>
      <c r="E2113">
        <v>48</v>
      </c>
      <c r="F2113" t="s">
        <v>17</v>
      </c>
      <c r="G2113" s="1">
        <v>28138</v>
      </c>
      <c r="H2113" t="s">
        <v>4990</v>
      </c>
      <c r="I2113" s="2" t="str">
        <f t="shared" si="32"/>
        <v>+91-9240517112</v>
      </c>
      <c r="J2113">
        <f>91-9240517203</f>
        <v>-9240517112</v>
      </c>
      <c r="K2113" t="s">
        <v>165</v>
      </c>
      <c r="L2113" t="s">
        <v>52</v>
      </c>
      <c r="M2113">
        <v>788844</v>
      </c>
      <c r="N2113" s="1">
        <v>45429</v>
      </c>
      <c r="O2113" t="s">
        <v>28</v>
      </c>
      <c r="P2113">
        <v>7</v>
      </c>
      <c r="Q2113">
        <v>119225.39</v>
      </c>
    </row>
    <row r="2114" spans="1:17" x14ac:dyDescent="0.3">
      <c r="A2114" t="s">
        <v>4991</v>
      </c>
      <c r="B2114" t="s">
        <v>2871</v>
      </c>
      <c r="C2114" s="2" t="str">
        <f>PROPER(TRIM(Table1[[#This Row],[Gender]]))</f>
        <v>Male</v>
      </c>
      <c r="D2114" t="s">
        <v>16</v>
      </c>
      <c r="E2114">
        <v>18</v>
      </c>
      <c r="F2114" t="s">
        <v>49</v>
      </c>
      <c r="G2114" s="1">
        <v>39088</v>
      </c>
      <c r="H2114" t="s">
        <v>4992</v>
      </c>
      <c r="I2114" s="2" t="str">
        <f t="shared" ref="I2114:I2177" si="33">"+91"&amp;TEXT(J2114,"0000000000")</f>
        <v>+91-8878111269</v>
      </c>
      <c r="J2114">
        <f>91-8878111360</f>
        <v>-8878111269</v>
      </c>
      <c r="K2114" t="s">
        <v>138</v>
      </c>
      <c r="L2114" t="s">
        <v>90</v>
      </c>
      <c r="M2114">
        <v>729984</v>
      </c>
      <c r="N2114" s="1">
        <v>45324</v>
      </c>
      <c r="O2114" t="s">
        <v>35</v>
      </c>
      <c r="P2114">
        <v>1</v>
      </c>
      <c r="Q2114">
        <v>930.35</v>
      </c>
    </row>
    <row r="2115" spans="1:17" x14ac:dyDescent="0.3">
      <c r="A2115" t="s">
        <v>4993</v>
      </c>
      <c r="B2115" t="s">
        <v>3147</v>
      </c>
      <c r="C2115" s="2" t="str">
        <f>PROPER(TRIM(Table1[[#This Row],[Gender]]))</f>
        <v>Male</v>
      </c>
      <c r="D2115" t="s">
        <v>16</v>
      </c>
      <c r="E2115">
        <v>25</v>
      </c>
      <c r="F2115" t="s">
        <v>49</v>
      </c>
      <c r="G2115" s="1">
        <v>36533</v>
      </c>
      <c r="H2115" t="s">
        <v>4994</v>
      </c>
      <c r="I2115" s="2" t="str">
        <f t="shared" si="33"/>
        <v>+91-8832242274</v>
      </c>
      <c r="J2115">
        <f>91-8832242365</f>
        <v>-8832242274</v>
      </c>
      <c r="K2115" t="s">
        <v>84</v>
      </c>
      <c r="L2115" t="s">
        <v>85</v>
      </c>
      <c r="M2115">
        <v>159240</v>
      </c>
      <c r="N2115" s="1">
        <v>45354</v>
      </c>
      <c r="O2115" t="s">
        <v>35</v>
      </c>
      <c r="P2115">
        <v>2</v>
      </c>
      <c r="Q2115">
        <v>3604.09</v>
      </c>
    </row>
    <row r="2116" spans="1:17" x14ac:dyDescent="0.3">
      <c r="A2116" t="s">
        <v>4995</v>
      </c>
      <c r="B2116" t="s">
        <v>1948</v>
      </c>
      <c r="C2116" s="2" t="str">
        <f>PROPER(TRIM(Table1[[#This Row],[Gender]]))</f>
        <v>Male</v>
      </c>
      <c r="D2116" t="s">
        <v>16</v>
      </c>
      <c r="E2116">
        <v>59</v>
      </c>
      <c r="F2116" t="s">
        <v>58</v>
      </c>
      <c r="G2116" s="1">
        <v>24123</v>
      </c>
      <c r="H2116" t="s">
        <v>4996</v>
      </c>
      <c r="I2116" s="2" t="str">
        <f t="shared" si="33"/>
        <v>+91-8291450317</v>
      </c>
      <c r="J2116">
        <f>91-8291450408</f>
        <v>-8291450317</v>
      </c>
      <c r="K2116" t="s">
        <v>174</v>
      </c>
      <c r="L2116" t="s">
        <v>90</v>
      </c>
      <c r="M2116">
        <v>967671</v>
      </c>
      <c r="N2116" s="1">
        <v>45118</v>
      </c>
      <c r="O2116" t="s">
        <v>28</v>
      </c>
      <c r="P2116">
        <v>5</v>
      </c>
      <c r="Q2116">
        <v>51889.53</v>
      </c>
    </row>
    <row r="2117" spans="1:17" x14ac:dyDescent="0.3">
      <c r="A2117" t="s">
        <v>4997</v>
      </c>
      <c r="B2117" t="s">
        <v>4998</v>
      </c>
      <c r="C2117" s="2" t="str">
        <f>PROPER(TRIM(Table1[[#This Row],[Gender]]))</f>
        <v>Female</v>
      </c>
      <c r="D2117" t="s">
        <v>43</v>
      </c>
      <c r="E2117">
        <v>49</v>
      </c>
      <c r="F2117" t="s">
        <v>17</v>
      </c>
      <c r="G2117" s="1">
        <v>27773</v>
      </c>
      <c r="H2117" t="s">
        <v>4999</v>
      </c>
      <c r="I2117" s="2" t="str">
        <f t="shared" si="33"/>
        <v>+91-7738358542</v>
      </c>
      <c r="J2117">
        <f>91-7738358633</f>
        <v>-7738358542</v>
      </c>
      <c r="K2117" t="s">
        <v>40</v>
      </c>
      <c r="L2117" t="s">
        <v>27</v>
      </c>
      <c r="M2117">
        <v>627606</v>
      </c>
      <c r="N2117" s="1">
        <v>45303</v>
      </c>
      <c r="O2117" t="s">
        <v>21</v>
      </c>
      <c r="P2117">
        <v>5</v>
      </c>
      <c r="Q2117">
        <v>23889.86</v>
      </c>
    </row>
    <row r="2118" spans="1:17" x14ac:dyDescent="0.3">
      <c r="A2118" t="s">
        <v>5000</v>
      </c>
      <c r="B2118" t="s">
        <v>1356</v>
      </c>
      <c r="C2118" s="2" t="str">
        <f>PROPER(TRIM(Table1[[#This Row],[Gender]]))</f>
        <v>Female</v>
      </c>
      <c r="D2118" t="s">
        <v>43</v>
      </c>
      <c r="E2118">
        <v>28</v>
      </c>
      <c r="F2118" t="s">
        <v>31</v>
      </c>
      <c r="G2118" s="1">
        <v>35438</v>
      </c>
      <c r="H2118" t="s">
        <v>5001</v>
      </c>
      <c r="I2118" s="2" t="str">
        <f t="shared" si="33"/>
        <v>+91-9452930041</v>
      </c>
      <c r="J2118">
        <f>91-9452930132</f>
        <v>-9452930041</v>
      </c>
      <c r="K2118" t="s">
        <v>415</v>
      </c>
      <c r="L2118" t="s">
        <v>90</v>
      </c>
      <c r="M2118">
        <v>280835</v>
      </c>
      <c r="N2118" s="1">
        <v>45188</v>
      </c>
      <c r="O2118" t="s">
        <v>28</v>
      </c>
      <c r="P2118">
        <v>6</v>
      </c>
      <c r="Q2118">
        <v>216524.76</v>
      </c>
    </row>
    <row r="2119" spans="1:17" x14ac:dyDescent="0.3">
      <c r="A2119" t="s">
        <v>5002</v>
      </c>
      <c r="B2119" t="s">
        <v>1043</v>
      </c>
      <c r="C2119" s="2" t="str">
        <f>PROPER(TRIM(Table1[[#This Row],[Gender]]))</f>
        <v>Female</v>
      </c>
      <c r="D2119" t="s">
        <v>43</v>
      </c>
      <c r="E2119">
        <v>47</v>
      </c>
      <c r="F2119" t="s">
        <v>17</v>
      </c>
      <c r="G2119" s="1">
        <v>28503</v>
      </c>
      <c r="H2119" t="s">
        <v>5003</v>
      </c>
      <c r="I2119" s="2" t="str">
        <f t="shared" si="33"/>
        <v>+91-8961069782</v>
      </c>
      <c r="J2119">
        <f>91-8961069873</f>
        <v>-8961069782</v>
      </c>
      <c r="K2119" t="s">
        <v>121</v>
      </c>
      <c r="L2119" t="s">
        <v>85</v>
      </c>
      <c r="M2119">
        <v>344495</v>
      </c>
      <c r="N2119" s="1">
        <v>45399</v>
      </c>
      <c r="O2119" t="s">
        <v>21</v>
      </c>
      <c r="P2119">
        <v>6</v>
      </c>
      <c r="Q2119">
        <v>45064.66</v>
      </c>
    </row>
    <row r="2120" spans="1:17" x14ac:dyDescent="0.3">
      <c r="A2120" t="s">
        <v>5004</v>
      </c>
      <c r="B2120" t="s">
        <v>3514</v>
      </c>
      <c r="C2120" s="2" t="str">
        <f>PROPER(TRIM(Table1[[#This Row],[Gender]]))</f>
        <v>Male</v>
      </c>
      <c r="D2120" t="s">
        <v>16</v>
      </c>
      <c r="E2120">
        <v>25</v>
      </c>
      <c r="F2120" t="s">
        <v>49</v>
      </c>
      <c r="G2120" s="1">
        <v>36533</v>
      </c>
      <c r="H2120" t="s">
        <v>5005</v>
      </c>
      <c r="I2120" s="2" t="str">
        <f t="shared" si="33"/>
        <v>+91-9845726450</v>
      </c>
      <c r="J2120">
        <f>91-9845726541</f>
        <v>-9845726450</v>
      </c>
      <c r="K2120" t="s">
        <v>60</v>
      </c>
      <c r="L2120" t="s">
        <v>34</v>
      </c>
      <c r="M2120">
        <v>175210</v>
      </c>
      <c r="N2120" s="1">
        <v>45096</v>
      </c>
      <c r="O2120" t="s">
        <v>35</v>
      </c>
      <c r="P2120">
        <v>4</v>
      </c>
      <c r="Q2120">
        <v>6885.96</v>
      </c>
    </row>
    <row r="2121" spans="1:17" x14ac:dyDescent="0.3">
      <c r="A2121" t="s">
        <v>5006</v>
      </c>
      <c r="B2121" t="s">
        <v>3920</v>
      </c>
      <c r="C2121" s="2" t="str">
        <f>PROPER(TRIM(Table1[[#This Row],[Gender]]))</f>
        <v>Male</v>
      </c>
      <c r="D2121" t="s">
        <v>16</v>
      </c>
      <c r="E2121">
        <v>50</v>
      </c>
      <c r="F2121" t="s">
        <v>17</v>
      </c>
      <c r="G2121" s="1">
        <v>27408</v>
      </c>
      <c r="H2121" t="s">
        <v>5007</v>
      </c>
      <c r="I2121" s="2" t="str">
        <f t="shared" si="33"/>
        <v>+91-8120552147</v>
      </c>
      <c r="J2121">
        <f>91-8120552238</f>
        <v>-8120552147</v>
      </c>
      <c r="K2121" t="s">
        <v>369</v>
      </c>
      <c r="L2121" t="s">
        <v>191</v>
      </c>
      <c r="M2121">
        <v>216850</v>
      </c>
      <c r="N2121" s="1">
        <v>45132</v>
      </c>
      <c r="O2121" t="s">
        <v>28</v>
      </c>
      <c r="P2121">
        <v>9</v>
      </c>
      <c r="Q2121">
        <v>78518.83</v>
      </c>
    </row>
    <row r="2122" spans="1:17" x14ac:dyDescent="0.3">
      <c r="A2122" t="s">
        <v>5008</v>
      </c>
      <c r="B2122" t="s">
        <v>183</v>
      </c>
      <c r="C2122" s="2" t="str">
        <f>PROPER(TRIM(Table1[[#This Row],[Gender]]))</f>
        <v>Male</v>
      </c>
      <c r="D2122" t="s">
        <v>16</v>
      </c>
      <c r="E2122">
        <v>26</v>
      </c>
      <c r="F2122" t="s">
        <v>31</v>
      </c>
      <c r="G2122" s="1">
        <v>36168</v>
      </c>
      <c r="H2122" t="s">
        <v>5009</v>
      </c>
      <c r="I2122" s="2" t="str">
        <f t="shared" si="33"/>
        <v>+91-9705762662</v>
      </c>
      <c r="J2122">
        <f>91-9705762753</f>
        <v>-9705762662</v>
      </c>
      <c r="K2122" t="s">
        <v>154</v>
      </c>
      <c r="L2122" t="s">
        <v>46</v>
      </c>
      <c r="M2122">
        <v>427023</v>
      </c>
      <c r="N2122" s="1">
        <v>45385</v>
      </c>
      <c r="O2122" t="s">
        <v>28</v>
      </c>
      <c r="P2122">
        <v>4</v>
      </c>
      <c r="Q2122">
        <v>101692.03</v>
      </c>
    </row>
    <row r="2123" spans="1:17" x14ac:dyDescent="0.3">
      <c r="A2123" t="s">
        <v>5010</v>
      </c>
      <c r="B2123" t="s">
        <v>3477</v>
      </c>
      <c r="C2123" s="2" t="str">
        <f>PROPER(TRIM(Table1[[#This Row],[Gender]]))</f>
        <v>Female</v>
      </c>
      <c r="D2123" t="s">
        <v>43</v>
      </c>
      <c r="E2123">
        <v>32</v>
      </c>
      <c r="F2123" t="s">
        <v>31</v>
      </c>
      <c r="G2123" s="1">
        <v>33978</v>
      </c>
      <c r="H2123" t="s">
        <v>5011</v>
      </c>
      <c r="I2123" s="2" t="str">
        <f t="shared" si="33"/>
        <v>+91-7668129726</v>
      </c>
      <c r="J2123">
        <f>91-7668129817</f>
        <v>-7668129726</v>
      </c>
      <c r="K2123" t="s">
        <v>190</v>
      </c>
      <c r="L2123" t="s">
        <v>191</v>
      </c>
      <c r="M2123">
        <v>452785</v>
      </c>
      <c r="N2123" s="1">
        <v>45142</v>
      </c>
      <c r="O2123" t="s">
        <v>28</v>
      </c>
      <c r="P2123">
        <v>6</v>
      </c>
      <c r="Q2123">
        <v>310267.74</v>
      </c>
    </row>
    <row r="2124" spans="1:17" x14ac:dyDescent="0.3">
      <c r="A2124" t="s">
        <v>5012</v>
      </c>
      <c r="B2124" t="s">
        <v>425</v>
      </c>
      <c r="C2124" s="2" t="str">
        <f>PROPER(TRIM(Table1[[#This Row],[Gender]]))</f>
        <v>Male</v>
      </c>
      <c r="D2124" t="s">
        <v>16</v>
      </c>
      <c r="E2124">
        <v>51</v>
      </c>
      <c r="F2124" t="s">
        <v>17</v>
      </c>
      <c r="G2124" s="1">
        <v>27043</v>
      </c>
      <c r="H2124" t="s">
        <v>5013</v>
      </c>
      <c r="I2124" s="2" t="str">
        <f t="shared" si="33"/>
        <v>+91-7665301857</v>
      </c>
      <c r="J2124">
        <f>91-7665301948</f>
        <v>-7665301857</v>
      </c>
      <c r="K2124" t="s">
        <v>154</v>
      </c>
      <c r="L2124" t="s">
        <v>46</v>
      </c>
      <c r="M2124">
        <v>110557</v>
      </c>
      <c r="N2124" s="1">
        <v>45202</v>
      </c>
      <c r="O2124" t="s">
        <v>35</v>
      </c>
      <c r="P2124">
        <v>4</v>
      </c>
      <c r="Q2124">
        <v>2021.62</v>
      </c>
    </row>
    <row r="2125" spans="1:17" x14ac:dyDescent="0.3">
      <c r="A2125" t="s">
        <v>5014</v>
      </c>
      <c r="B2125" t="s">
        <v>4387</v>
      </c>
      <c r="C2125" s="2" t="str">
        <f>PROPER(TRIM(Table1[[#This Row],[Gender]]))</f>
        <v>Male</v>
      </c>
      <c r="D2125" t="s">
        <v>16</v>
      </c>
      <c r="E2125">
        <v>25</v>
      </c>
      <c r="F2125" t="s">
        <v>49</v>
      </c>
      <c r="G2125" s="1">
        <v>36533</v>
      </c>
      <c r="H2125" t="s">
        <v>5015</v>
      </c>
      <c r="I2125" s="2" t="str">
        <f t="shared" si="33"/>
        <v>+91-8205387678</v>
      </c>
      <c r="J2125">
        <f>91-8205387769</f>
        <v>-8205387678</v>
      </c>
      <c r="K2125" t="s">
        <v>161</v>
      </c>
      <c r="L2125" t="s">
        <v>102</v>
      </c>
      <c r="M2125">
        <v>991176</v>
      </c>
      <c r="N2125" s="1">
        <v>45414</v>
      </c>
      <c r="O2125" t="s">
        <v>28</v>
      </c>
      <c r="P2125">
        <v>2</v>
      </c>
      <c r="Q2125">
        <v>153893.14000000001</v>
      </c>
    </row>
    <row r="2126" spans="1:17" x14ac:dyDescent="0.3">
      <c r="A2126" t="s">
        <v>5016</v>
      </c>
      <c r="B2126" t="s">
        <v>578</v>
      </c>
      <c r="C2126" s="2" t="str">
        <f>PROPER(TRIM(Table1[[#This Row],[Gender]]))</f>
        <v>Female</v>
      </c>
      <c r="D2126" t="s">
        <v>43</v>
      </c>
      <c r="E2126">
        <v>31</v>
      </c>
      <c r="F2126" t="s">
        <v>31</v>
      </c>
      <c r="G2126" s="1">
        <v>34343</v>
      </c>
      <c r="H2126" t="s">
        <v>5017</v>
      </c>
      <c r="I2126" s="2" t="str">
        <f t="shared" si="33"/>
        <v>+91-8334929709</v>
      </c>
      <c r="J2126">
        <f>91-8334929800</f>
        <v>-8334929709</v>
      </c>
      <c r="K2126" t="s">
        <v>89</v>
      </c>
      <c r="L2126" t="s">
        <v>90</v>
      </c>
      <c r="M2126">
        <v>963889</v>
      </c>
      <c r="N2126" s="1">
        <v>45340</v>
      </c>
      <c r="O2126" t="s">
        <v>28</v>
      </c>
      <c r="P2126">
        <v>5</v>
      </c>
      <c r="Q2126">
        <v>66637.98</v>
      </c>
    </row>
    <row r="2127" spans="1:17" x14ac:dyDescent="0.3">
      <c r="A2127" t="s">
        <v>5018</v>
      </c>
      <c r="B2127" t="s">
        <v>903</v>
      </c>
      <c r="C2127" s="2" t="str">
        <f>PROPER(TRIM(Table1[[#This Row],[Gender]]))</f>
        <v>Male</v>
      </c>
      <c r="D2127" t="s">
        <v>16</v>
      </c>
      <c r="E2127">
        <v>32</v>
      </c>
      <c r="F2127" t="s">
        <v>31</v>
      </c>
      <c r="G2127" s="1">
        <v>33978</v>
      </c>
      <c r="H2127" t="s">
        <v>5019</v>
      </c>
      <c r="I2127" s="2" t="str">
        <f t="shared" si="33"/>
        <v>+91-7384918473</v>
      </c>
      <c r="J2127">
        <f>91-7384918564</f>
        <v>-7384918473</v>
      </c>
      <c r="K2127" t="s">
        <v>51</v>
      </c>
      <c r="L2127" t="s">
        <v>52</v>
      </c>
      <c r="M2127">
        <v>754348</v>
      </c>
      <c r="N2127" s="1">
        <v>45195</v>
      </c>
      <c r="O2127" t="s">
        <v>28</v>
      </c>
      <c r="P2127">
        <v>8</v>
      </c>
      <c r="Q2127">
        <v>335232.19</v>
      </c>
    </row>
    <row r="2128" spans="1:17" x14ac:dyDescent="0.3">
      <c r="A2128" t="s">
        <v>5020</v>
      </c>
      <c r="B2128" t="s">
        <v>943</v>
      </c>
      <c r="C2128" s="2" t="str">
        <f>PROPER(TRIM(Table1[[#This Row],[Gender]]))</f>
        <v>Male</v>
      </c>
      <c r="D2128" t="s">
        <v>16</v>
      </c>
      <c r="E2128">
        <v>27</v>
      </c>
      <c r="F2128" t="s">
        <v>31</v>
      </c>
      <c r="G2128" s="1">
        <v>35803</v>
      </c>
      <c r="H2128" t="s">
        <v>5021</v>
      </c>
      <c r="I2128" s="2" t="str">
        <f t="shared" si="33"/>
        <v>+91-8904668432</v>
      </c>
      <c r="J2128">
        <f>91-8904668523</f>
        <v>-8904668432</v>
      </c>
      <c r="K2128" t="s">
        <v>147</v>
      </c>
      <c r="L2128" t="s">
        <v>143</v>
      </c>
      <c r="M2128">
        <v>893827</v>
      </c>
      <c r="N2128" s="1">
        <v>45413</v>
      </c>
      <c r="O2128" t="s">
        <v>28</v>
      </c>
      <c r="P2128">
        <v>8</v>
      </c>
      <c r="Q2128">
        <v>324429.56</v>
      </c>
    </row>
    <row r="2129" spans="1:17" x14ac:dyDescent="0.3">
      <c r="A2129" t="s">
        <v>5022</v>
      </c>
      <c r="B2129" t="s">
        <v>1400</v>
      </c>
      <c r="C2129" s="2" t="str">
        <f>PROPER(TRIM(Table1[[#This Row],[Gender]]))</f>
        <v>Male</v>
      </c>
      <c r="D2129" t="s">
        <v>16</v>
      </c>
      <c r="E2129">
        <v>32</v>
      </c>
      <c r="F2129" t="s">
        <v>31</v>
      </c>
      <c r="G2129" s="1">
        <v>33978</v>
      </c>
      <c r="H2129" t="s">
        <v>5023</v>
      </c>
      <c r="I2129" s="2" t="str">
        <f t="shared" si="33"/>
        <v>+91-8503950376</v>
      </c>
      <c r="J2129">
        <f>91-8503950467</f>
        <v>-8503950376</v>
      </c>
      <c r="K2129" t="s">
        <v>165</v>
      </c>
      <c r="L2129" t="s">
        <v>52</v>
      </c>
      <c r="M2129">
        <v>687399</v>
      </c>
      <c r="N2129" s="1">
        <v>45379</v>
      </c>
      <c r="O2129" t="s">
        <v>28</v>
      </c>
      <c r="P2129">
        <v>8</v>
      </c>
      <c r="Q2129">
        <v>55095.9</v>
      </c>
    </row>
    <row r="2130" spans="1:17" x14ac:dyDescent="0.3">
      <c r="A2130" t="s">
        <v>5024</v>
      </c>
      <c r="B2130" t="s">
        <v>301</v>
      </c>
      <c r="C2130" s="2" t="str">
        <f>PROPER(TRIM(Table1[[#This Row],[Gender]]))</f>
        <v>Male</v>
      </c>
      <c r="D2130" t="s">
        <v>16</v>
      </c>
      <c r="E2130">
        <v>33</v>
      </c>
      <c r="F2130" t="s">
        <v>31</v>
      </c>
      <c r="G2130" s="1">
        <v>33613</v>
      </c>
      <c r="H2130" t="s">
        <v>5025</v>
      </c>
      <c r="I2130" s="2" t="str">
        <f t="shared" si="33"/>
        <v>+91-7889447386</v>
      </c>
      <c r="J2130">
        <f>91-7889447477</f>
        <v>-7889447386</v>
      </c>
      <c r="K2130" t="s">
        <v>64</v>
      </c>
      <c r="L2130" t="s">
        <v>20</v>
      </c>
      <c r="M2130">
        <v>270524</v>
      </c>
      <c r="N2130" s="1">
        <v>45322</v>
      </c>
      <c r="O2130" t="s">
        <v>28</v>
      </c>
      <c r="P2130">
        <v>6</v>
      </c>
      <c r="Q2130">
        <v>275572.09000000003</v>
      </c>
    </row>
    <row r="2131" spans="1:17" x14ac:dyDescent="0.3">
      <c r="A2131" t="s">
        <v>5026</v>
      </c>
      <c r="B2131" t="s">
        <v>915</v>
      </c>
      <c r="C2131" s="2" t="str">
        <f>PROPER(TRIM(Table1[[#This Row],[Gender]]))</f>
        <v>Male</v>
      </c>
      <c r="D2131" t="s">
        <v>16</v>
      </c>
      <c r="E2131">
        <v>21</v>
      </c>
      <c r="F2131" t="s">
        <v>49</v>
      </c>
      <c r="G2131" s="1">
        <v>37993</v>
      </c>
      <c r="H2131" t="s">
        <v>5027</v>
      </c>
      <c r="I2131" s="2" t="str">
        <f t="shared" si="33"/>
        <v>+91-9566880354</v>
      </c>
      <c r="J2131">
        <f>91-9566880445</f>
        <v>-9566880354</v>
      </c>
      <c r="K2131" t="s">
        <v>195</v>
      </c>
      <c r="L2131" t="s">
        <v>102</v>
      </c>
      <c r="M2131">
        <v>914533</v>
      </c>
      <c r="N2131" s="1">
        <v>45194</v>
      </c>
      <c r="O2131" t="s">
        <v>28</v>
      </c>
      <c r="P2131">
        <v>5</v>
      </c>
      <c r="Q2131">
        <v>93376.12</v>
      </c>
    </row>
    <row r="2132" spans="1:17" x14ac:dyDescent="0.3">
      <c r="A2132" t="s">
        <v>5028</v>
      </c>
      <c r="B2132" t="s">
        <v>1865</v>
      </c>
      <c r="C2132" s="2" t="str">
        <f>PROPER(TRIM(Table1[[#This Row],[Gender]]))</f>
        <v>Female</v>
      </c>
      <c r="D2132" t="s">
        <v>43</v>
      </c>
      <c r="E2132">
        <v>28</v>
      </c>
      <c r="F2132" t="s">
        <v>31</v>
      </c>
      <c r="G2132" s="1">
        <v>35438</v>
      </c>
      <c r="H2132" t="s">
        <v>5029</v>
      </c>
      <c r="I2132" s="2" t="str">
        <f t="shared" si="33"/>
        <v>+91-9990105981</v>
      </c>
      <c r="J2132">
        <f>91-9990106072</f>
        <v>-9990105981</v>
      </c>
      <c r="K2132" t="s">
        <v>113</v>
      </c>
      <c r="L2132" t="s">
        <v>34</v>
      </c>
      <c r="M2132">
        <v>773117</v>
      </c>
      <c r="N2132" s="1">
        <v>45097</v>
      </c>
      <c r="O2132" t="s">
        <v>28</v>
      </c>
      <c r="P2132">
        <v>7</v>
      </c>
      <c r="Q2132">
        <v>245470.31</v>
      </c>
    </row>
    <row r="2133" spans="1:17" x14ac:dyDescent="0.3">
      <c r="A2133" t="s">
        <v>5030</v>
      </c>
      <c r="B2133" t="s">
        <v>1680</v>
      </c>
      <c r="C2133" s="2" t="str">
        <f>PROPER(TRIM(Table1[[#This Row],[Gender]]))</f>
        <v>Female</v>
      </c>
      <c r="D2133" t="s">
        <v>43</v>
      </c>
      <c r="E2133">
        <v>28</v>
      </c>
      <c r="F2133" t="s">
        <v>31</v>
      </c>
      <c r="G2133" s="1">
        <v>35438</v>
      </c>
      <c r="H2133" t="s">
        <v>5031</v>
      </c>
      <c r="I2133" s="2" t="str">
        <f t="shared" si="33"/>
        <v>+91-8822691679</v>
      </c>
      <c r="J2133">
        <f>91-8822691770</f>
        <v>-8822691679</v>
      </c>
      <c r="K2133" t="s">
        <v>84</v>
      </c>
      <c r="L2133" t="s">
        <v>85</v>
      </c>
      <c r="M2133">
        <v>660163</v>
      </c>
      <c r="N2133" s="1">
        <v>45278</v>
      </c>
      <c r="O2133" t="s">
        <v>28</v>
      </c>
      <c r="P2133">
        <v>6</v>
      </c>
      <c r="Q2133">
        <v>420853.95</v>
      </c>
    </row>
    <row r="2134" spans="1:17" x14ac:dyDescent="0.3">
      <c r="A2134" t="s">
        <v>5032</v>
      </c>
      <c r="B2134" t="s">
        <v>5033</v>
      </c>
      <c r="C2134" s="2" t="str">
        <f>PROPER(TRIM(Table1[[#This Row],[Gender]]))</f>
        <v>Male</v>
      </c>
      <c r="D2134" t="s">
        <v>16</v>
      </c>
      <c r="E2134">
        <v>33</v>
      </c>
      <c r="F2134" t="s">
        <v>31</v>
      </c>
      <c r="G2134" s="1">
        <v>33613</v>
      </c>
      <c r="H2134" t="s">
        <v>5034</v>
      </c>
      <c r="I2134" s="2" t="str">
        <f t="shared" si="33"/>
        <v>+91-9072855450</v>
      </c>
      <c r="J2134">
        <f>91-9072855541</f>
        <v>-9072855450</v>
      </c>
      <c r="K2134" t="s">
        <v>51</v>
      </c>
      <c r="L2134" t="s">
        <v>52</v>
      </c>
      <c r="M2134">
        <v>487999</v>
      </c>
      <c r="N2134" s="1">
        <v>45342</v>
      </c>
      <c r="O2134" t="s">
        <v>28</v>
      </c>
      <c r="P2134">
        <v>5</v>
      </c>
      <c r="Q2134">
        <v>365547.65</v>
      </c>
    </row>
    <row r="2135" spans="1:17" x14ac:dyDescent="0.3">
      <c r="A2135" t="s">
        <v>5035</v>
      </c>
      <c r="B2135" t="s">
        <v>3842</v>
      </c>
      <c r="C2135" s="2" t="str">
        <f>PROPER(TRIM(Table1[[#This Row],[Gender]]))</f>
        <v>Female</v>
      </c>
      <c r="D2135" t="s">
        <v>43</v>
      </c>
      <c r="E2135">
        <v>37</v>
      </c>
      <c r="F2135" t="s">
        <v>38</v>
      </c>
      <c r="G2135" s="1">
        <v>32153</v>
      </c>
      <c r="H2135" t="s">
        <v>5036</v>
      </c>
      <c r="I2135" s="2" t="str">
        <f t="shared" si="33"/>
        <v>+91-9003595399</v>
      </c>
      <c r="J2135">
        <f>91-9003595490</f>
        <v>-9003595399</v>
      </c>
      <c r="K2135" t="s">
        <v>190</v>
      </c>
      <c r="L2135" t="s">
        <v>191</v>
      </c>
      <c r="M2135">
        <v>991662</v>
      </c>
      <c r="N2135" s="1">
        <v>45097</v>
      </c>
      <c r="O2135" t="s">
        <v>28</v>
      </c>
      <c r="P2135">
        <v>7</v>
      </c>
      <c r="Q2135">
        <v>160356.37</v>
      </c>
    </row>
    <row r="2136" spans="1:17" x14ac:dyDescent="0.3">
      <c r="A2136" t="s">
        <v>5037</v>
      </c>
      <c r="B2136" t="s">
        <v>5033</v>
      </c>
      <c r="C2136" s="2" t="str">
        <f>PROPER(TRIM(Table1[[#This Row],[Gender]]))</f>
        <v>Male</v>
      </c>
      <c r="D2136" t="s">
        <v>16</v>
      </c>
      <c r="E2136">
        <v>31</v>
      </c>
      <c r="F2136" t="s">
        <v>31</v>
      </c>
      <c r="G2136" s="1">
        <v>34343</v>
      </c>
      <c r="H2136" t="s">
        <v>5038</v>
      </c>
      <c r="I2136" s="2" t="str">
        <f t="shared" si="33"/>
        <v>+91-8554902299</v>
      </c>
      <c r="J2136">
        <f>91-8554902390</f>
        <v>-8554902299</v>
      </c>
      <c r="K2136" t="s">
        <v>101</v>
      </c>
      <c r="L2136" t="s">
        <v>102</v>
      </c>
      <c r="M2136">
        <v>525389</v>
      </c>
      <c r="N2136" s="1">
        <v>45366</v>
      </c>
      <c r="O2136" t="s">
        <v>28</v>
      </c>
      <c r="P2136">
        <v>7</v>
      </c>
      <c r="Q2136">
        <v>123373.22</v>
      </c>
    </row>
    <row r="2137" spans="1:17" x14ac:dyDescent="0.3">
      <c r="A2137" t="s">
        <v>5039</v>
      </c>
      <c r="B2137" t="s">
        <v>4552</v>
      </c>
      <c r="C2137" s="2" t="str">
        <f>PROPER(TRIM(Table1[[#This Row],[Gender]]))</f>
        <v>Male</v>
      </c>
      <c r="D2137" t="s">
        <v>16</v>
      </c>
      <c r="E2137">
        <v>30</v>
      </c>
      <c r="F2137" t="s">
        <v>31</v>
      </c>
      <c r="G2137" s="1">
        <v>34708</v>
      </c>
      <c r="H2137" t="s">
        <v>5040</v>
      </c>
      <c r="I2137" s="2" t="str">
        <f t="shared" si="33"/>
        <v>+91-7942948289</v>
      </c>
      <c r="J2137">
        <f>91-7942948380</f>
        <v>-7942948289</v>
      </c>
      <c r="K2137" t="s">
        <v>195</v>
      </c>
      <c r="L2137" t="s">
        <v>102</v>
      </c>
      <c r="M2137">
        <v>278230</v>
      </c>
      <c r="N2137" s="1">
        <v>45223</v>
      </c>
      <c r="O2137" t="s">
        <v>35</v>
      </c>
      <c r="P2137">
        <v>2</v>
      </c>
      <c r="Q2137">
        <v>15064.77</v>
      </c>
    </row>
    <row r="2138" spans="1:17" x14ac:dyDescent="0.3">
      <c r="A2138" t="s">
        <v>5041</v>
      </c>
      <c r="B2138" t="s">
        <v>1932</v>
      </c>
      <c r="C2138" s="2" t="str">
        <f>PROPER(TRIM(Table1[[#This Row],[Gender]]))</f>
        <v>Female</v>
      </c>
      <c r="D2138" t="s">
        <v>43</v>
      </c>
      <c r="E2138">
        <v>64</v>
      </c>
      <c r="F2138" t="s">
        <v>58</v>
      </c>
      <c r="G2138" s="1">
        <v>22298</v>
      </c>
      <c r="H2138" t="s">
        <v>5042</v>
      </c>
      <c r="I2138" s="2" t="str">
        <f t="shared" si="33"/>
        <v>+91-8772746231</v>
      </c>
      <c r="J2138">
        <f>91-8772746322</f>
        <v>-8772746231</v>
      </c>
      <c r="K2138" t="s">
        <v>580</v>
      </c>
      <c r="L2138" t="s">
        <v>85</v>
      </c>
      <c r="M2138">
        <v>845171</v>
      </c>
      <c r="N2138" s="1">
        <v>45339</v>
      </c>
      <c r="O2138" t="s">
        <v>35</v>
      </c>
      <c r="P2138">
        <v>3</v>
      </c>
      <c r="Q2138">
        <v>9313.66</v>
      </c>
    </row>
    <row r="2139" spans="1:17" x14ac:dyDescent="0.3">
      <c r="A2139" t="s">
        <v>5043</v>
      </c>
      <c r="B2139" t="s">
        <v>1322</v>
      </c>
      <c r="C2139" s="2" t="str">
        <f>PROPER(TRIM(Table1[[#This Row],[Gender]]))</f>
        <v>Male</v>
      </c>
      <c r="D2139" t="s">
        <v>16</v>
      </c>
      <c r="E2139">
        <v>22</v>
      </c>
      <c r="F2139" t="s">
        <v>49</v>
      </c>
      <c r="G2139" s="1">
        <v>37628</v>
      </c>
      <c r="H2139" t="s">
        <v>5044</v>
      </c>
      <c r="I2139" s="2" t="str">
        <f t="shared" si="33"/>
        <v>+91-7594751796</v>
      </c>
      <c r="J2139">
        <f>91-7594751887</f>
        <v>-7594751796</v>
      </c>
      <c r="K2139" t="s">
        <v>273</v>
      </c>
      <c r="L2139" t="s">
        <v>46</v>
      </c>
      <c r="M2139">
        <v>174397</v>
      </c>
      <c r="N2139" s="1">
        <v>45415</v>
      </c>
      <c r="O2139" t="s">
        <v>21</v>
      </c>
      <c r="P2139">
        <v>3</v>
      </c>
      <c r="Q2139">
        <v>43216.22</v>
      </c>
    </row>
    <row r="2140" spans="1:17" x14ac:dyDescent="0.3">
      <c r="A2140" t="s">
        <v>5045</v>
      </c>
      <c r="B2140" t="s">
        <v>70</v>
      </c>
      <c r="C2140" s="2" t="str">
        <f>PROPER(TRIM(Table1[[#This Row],[Gender]]))</f>
        <v>Female</v>
      </c>
      <c r="D2140" t="s">
        <v>43</v>
      </c>
      <c r="E2140">
        <v>19</v>
      </c>
      <c r="F2140" t="s">
        <v>49</v>
      </c>
      <c r="G2140" s="1">
        <v>38723</v>
      </c>
      <c r="H2140" t="s">
        <v>5046</v>
      </c>
      <c r="I2140" s="2" t="str">
        <f t="shared" si="33"/>
        <v>+91-7511817402</v>
      </c>
      <c r="J2140">
        <f>91-7511817493</f>
        <v>-7511817402</v>
      </c>
      <c r="K2140" t="s">
        <v>76</v>
      </c>
      <c r="L2140" t="s">
        <v>46</v>
      </c>
      <c r="M2140">
        <v>315421</v>
      </c>
      <c r="N2140" s="1">
        <v>45086</v>
      </c>
      <c r="O2140" t="s">
        <v>28</v>
      </c>
      <c r="P2140">
        <v>5</v>
      </c>
      <c r="Q2140">
        <v>56697.95</v>
      </c>
    </row>
    <row r="2141" spans="1:17" x14ac:dyDescent="0.3">
      <c r="A2141" t="s">
        <v>5047</v>
      </c>
      <c r="B2141" t="s">
        <v>740</v>
      </c>
      <c r="C2141" s="2" t="str">
        <f>PROPER(TRIM(Table1[[#This Row],[Gender]]))</f>
        <v>Male</v>
      </c>
      <c r="D2141" t="s">
        <v>16</v>
      </c>
      <c r="E2141">
        <v>27</v>
      </c>
      <c r="F2141" t="s">
        <v>31</v>
      </c>
      <c r="G2141" s="1">
        <v>35803</v>
      </c>
      <c r="H2141" t="s">
        <v>5048</v>
      </c>
      <c r="I2141" s="2" t="str">
        <f t="shared" si="33"/>
        <v>+91-7033295901</v>
      </c>
      <c r="J2141">
        <f>91-7033295992</f>
        <v>-7033295901</v>
      </c>
      <c r="K2141" t="s">
        <v>249</v>
      </c>
      <c r="L2141" t="s">
        <v>34</v>
      </c>
      <c r="M2141">
        <v>572011</v>
      </c>
      <c r="N2141" s="1">
        <v>45179</v>
      </c>
      <c r="O2141" t="s">
        <v>28</v>
      </c>
      <c r="P2141">
        <v>5</v>
      </c>
      <c r="Q2141">
        <v>150294.25</v>
      </c>
    </row>
    <row r="2142" spans="1:17" x14ac:dyDescent="0.3">
      <c r="A2142" t="s">
        <v>5049</v>
      </c>
      <c r="B2142" t="s">
        <v>2311</v>
      </c>
      <c r="C2142" s="2" t="str">
        <f>PROPER(TRIM(Table1[[#This Row],[Gender]]))</f>
        <v>Male</v>
      </c>
      <c r="D2142" t="s">
        <v>16</v>
      </c>
      <c r="E2142">
        <v>59</v>
      </c>
      <c r="F2142" t="s">
        <v>58</v>
      </c>
      <c r="G2142" s="1">
        <v>24123</v>
      </c>
      <c r="H2142" t="s">
        <v>5050</v>
      </c>
      <c r="I2142" s="2" t="str">
        <f t="shared" si="33"/>
        <v>+91-7608545800</v>
      </c>
      <c r="J2142">
        <f>91-7608545891</f>
        <v>-7608545800</v>
      </c>
      <c r="K2142" t="s">
        <v>72</v>
      </c>
      <c r="L2142" t="s">
        <v>34</v>
      </c>
      <c r="M2142">
        <v>193106</v>
      </c>
      <c r="N2142" s="1">
        <v>45100</v>
      </c>
      <c r="O2142" t="s">
        <v>28</v>
      </c>
      <c r="P2142">
        <v>8</v>
      </c>
      <c r="Q2142">
        <v>59793.04</v>
      </c>
    </row>
    <row r="2143" spans="1:17" x14ac:dyDescent="0.3">
      <c r="A2143" t="s">
        <v>5051</v>
      </c>
      <c r="B2143" t="s">
        <v>1078</v>
      </c>
      <c r="C2143" s="2" t="str">
        <f>PROPER(TRIM(Table1[[#This Row],[Gender]]))</f>
        <v>Female</v>
      </c>
      <c r="D2143" t="s">
        <v>43</v>
      </c>
      <c r="E2143">
        <v>36</v>
      </c>
      <c r="F2143" t="s">
        <v>38</v>
      </c>
      <c r="G2143" s="1">
        <v>32518</v>
      </c>
      <c r="H2143" t="s">
        <v>5052</v>
      </c>
      <c r="I2143" s="2" t="str">
        <f t="shared" si="33"/>
        <v>+91-9083464613</v>
      </c>
      <c r="J2143">
        <f>91-9083464704</f>
        <v>-9083464613</v>
      </c>
      <c r="K2143" t="s">
        <v>138</v>
      </c>
      <c r="L2143" t="s">
        <v>90</v>
      </c>
      <c r="M2143">
        <v>693697</v>
      </c>
      <c r="N2143" s="1">
        <v>45433</v>
      </c>
      <c r="O2143" t="s">
        <v>35</v>
      </c>
      <c r="P2143">
        <v>2</v>
      </c>
      <c r="Q2143">
        <v>12608.46</v>
      </c>
    </row>
    <row r="2144" spans="1:17" x14ac:dyDescent="0.3">
      <c r="A2144" t="s">
        <v>5053</v>
      </c>
      <c r="B2144" t="s">
        <v>1337</v>
      </c>
      <c r="C2144" s="2" t="str">
        <f>PROPER(TRIM(Table1[[#This Row],[Gender]]))</f>
        <v>Female</v>
      </c>
      <c r="D2144" t="s">
        <v>43</v>
      </c>
      <c r="E2144">
        <v>28</v>
      </c>
      <c r="F2144" t="s">
        <v>31</v>
      </c>
      <c r="G2144" s="1">
        <v>35438</v>
      </c>
      <c r="H2144" t="s">
        <v>5054</v>
      </c>
      <c r="I2144" s="2" t="str">
        <f t="shared" si="33"/>
        <v>+91-7978881229</v>
      </c>
      <c r="J2144">
        <f>91-7978881320</f>
        <v>-7978881229</v>
      </c>
      <c r="K2144" t="s">
        <v>72</v>
      </c>
      <c r="L2144" t="s">
        <v>34</v>
      </c>
      <c r="M2144">
        <v>805069</v>
      </c>
      <c r="N2144" s="1">
        <v>45405</v>
      </c>
      <c r="O2144" t="s">
        <v>35</v>
      </c>
      <c r="P2144">
        <v>0</v>
      </c>
      <c r="Q2144">
        <v>0</v>
      </c>
    </row>
    <row r="2145" spans="1:17" x14ac:dyDescent="0.3">
      <c r="A2145" t="s">
        <v>5055</v>
      </c>
      <c r="B2145" t="s">
        <v>183</v>
      </c>
      <c r="C2145" s="2" t="str">
        <f>PROPER(TRIM(Table1[[#This Row],[Gender]]))</f>
        <v>Male</v>
      </c>
      <c r="D2145" t="s">
        <v>16</v>
      </c>
      <c r="E2145">
        <v>39</v>
      </c>
      <c r="F2145" t="s">
        <v>38</v>
      </c>
      <c r="G2145" s="1">
        <v>31423</v>
      </c>
      <c r="H2145" t="s">
        <v>496</v>
      </c>
      <c r="I2145" s="2" t="str">
        <f t="shared" si="33"/>
        <v>+91-8440388718</v>
      </c>
      <c r="J2145">
        <f>91-8440388809</f>
        <v>-8440388718</v>
      </c>
      <c r="K2145" t="s">
        <v>45</v>
      </c>
      <c r="L2145" t="s">
        <v>46</v>
      </c>
      <c r="M2145">
        <v>107959</v>
      </c>
      <c r="N2145" s="1">
        <v>45202</v>
      </c>
      <c r="O2145" t="s">
        <v>35</v>
      </c>
      <c r="P2145">
        <v>1</v>
      </c>
      <c r="Q2145">
        <v>15818.77</v>
      </c>
    </row>
    <row r="2146" spans="1:17" x14ac:dyDescent="0.3">
      <c r="A2146" t="s">
        <v>5056</v>
      </c>
      <c r="B2146" t="s">
        <v>2046</v>
      </c>
      <c r="C2146" s="2" t="str">
        <f>PROPER(TRIM(Table1[[#This Row],[Gender]]))</f>
        <v>Female</v>
      </c>
      <c r="D2146" t="s">
        <v>43</v>
      </c>
      <c r="E2146">
        <v>29</v>
      </c>
      <c r="F2146" t="s">
        <v>31</v>
      </c>
      <c r="G2146" s="1">
        <v>35073</v>
      </c>
      <c r="H2146" t="s">
        <v>5057</v>
      </c>
      <c r="I2146" s="2" t="str">
        <f t="shared" si="33"/>
        <v>+91-9366487151</v>
      </c>
      <c r="J2146">
        <f>91-9366487242</f>
        <v>-9366487151</v>
      </c>
      <c r="K2146" t="s">
        <v>68</v>
      </c>
      <c r="L2146" t="s">
        <v>52</v>
      </c>
      <c r="M2146">
        <v>505292</v>
      </c>
      <c r="N2146" s="1">
        <v>45306</v>
      </c>
      <c r="O2146" t="s">
        <v>28</v>
      </c>
      <c r="P2146">
        <v>4</v>
      </c>
      <c r="Q2146">
        <v>115442.86</v>
      </c>
    </row>
    <row r="2147" spans="1:17" x14ac:dyDescent="0.3">
      <c r="A2147" t="s">
        <v>5058</v>
      </c>
      <c r="B2147" t="s">
        <v>966</v>
      </c>
      <c r="C2147" s="2" t="str">
        <f>PROPER(TRIM(Table1[[#This Row],[Gender]]))</f>
        <v>Female</v>
      </c>
      <c r="D2147" t="s">
        <v>43</v>
      </c>
      <c r="E2147">
        <v>28</v>
      </c>
      <c r="F2147" t="s">
        <v>31</v>
      </c>
      <c r="G2147" s="1">
        <v>35438</v>
      </c>
      <c r="H2147" t="s">
        <v>967</v>
      </c>
      <c r="I2147" s="2" t="str">
        <f t="shared" si="33"/>
        <v>+91-7271052624</v>
      </c>
      <c r="J2147">
        <f>91-7271052715</f>
        <v>-7271052624</v>
      </c>
      <c r="K2147" t="s">
        <v>33</v>
      </c>
      <c r="L2147" t="s">
        <v>34</v>
      </c>
      <c r="M2147">
        <v>860484</v>
      </c>
      <c r="N2147" s="1">
        <v>45441</v>
      </c>
      <c r="O2147" t="s">
        <v>28</v>
      </c>
      <c r="P2147">
        <v>6</v>
      </c>
      <c r="Q2147">
        <v>260383.98</v>
      </c>
    </row>
    <row r="2148" spans="1:17" x14ac:dyDescent="0.3">
      <c r="A2148" t="s">
        <v>5059</v>
      </c>
      <c r="B2148" t="s">
        <v>3670</v>
      </c>
      <c r="C2148" s="2" t="str">
        <f>PROPER(TRIM(Table1[[#This Row],[Gender]]))</f>
        <v>Male</v>
      </c>
      <c r="D2148" t="s">
        <v>16</v>
      </c>
      <c r="E2148">
        <v>35</v>
      </c>
      <c r="F2148" t="s">
        <v>31</v>
      </c>
      <c r="G2148" s="1">
        <v>32883</v>
      </c>
      <c r="H2148" t="s">
        <v>5060</v>
      </c>
      <c r="I2148" s="2" t="str">
        <f t="shared" si="33"/>
        <v>+91-7259340172</v>
      </c>
      <c r="J2148">
        <f>91-7259340263</f>
        <v>-7259340172</v>
      </c>
      <c r="K2148" t="s">
        <v>19</v>
      </c>
      <c r="L2148" t="s">
        <v>20</v>
      </c>
      <c r="M2148">
        <v>813725</v>
      </c>
      <c r="N2148" s="1">
        <v>45120</v>
      </c>
      <c r="O2148" t="s">
        <v>21</v>
      </c>
      <c r="P2148">
        <v>3</v>
      </c>
      <c r="Q2148">
        <v>43471.48</v>
      </c>
    </row>
    <row r="2149" spans="1:17" x14ac:dyDescent="0.3">
      <c r="A2149" t="s">
        <v>5061</v>
      </c>
      <c r="B2149" t="s">
        <v>4571</v>
      </c>
      <c r="C2149" s="2" t="str">
        <f>PROPER(TRIM(Table1[[#This Row],[Gender]]))</f>
        <v>Female</v>
      </c>
      <c r="D2149" t="s">
        <v>43</v>
      </c>
      <c r="E2149">
        <v>31</v>
      </c>
      <c r="F2149" t="s">
        <v>31</v>
      </c>
      <c r="G2149" s="1">
        <v>34343</v>
      </c>
      <c r="H2149" t="s">
        <v>5062</v>
      </c>
      <c r="I2149" s="2" t="str">
        <f t="shared" si="33"/>
        <v>+91-8893366057</v>
      </c>
      <c r="J2149">
        <f>91-8893366148</f>
        <v>-8893366057</v>
      </c>
      <c r="K2149" t="s">
        <v>121</v>
      </c>
      <c r="L2149" t="s">
        <v>85</v>
      </c>
      <c r="M2149">
        <v>651633</v>
      </c>
      <c r="N2149" s="1">
        <v>45329</v>
      </c>
      <c r="O2149" t="s">
        <v>28</v>
      </c>
      <c r="P2149">
        <v>6</v>
      </c>
      <c r="Q2149">
        <v>163581.07999999999</v>
      </c>
    </row>
    <row r="2150" spans="1:17" x14ac:dyDescent="0.3">
      <c r="A2150" t="s">
        <v>5063</v>
      </c>
      <c r="B2150" t="s">
        <v>2644</v>
      </c>
      <c r="C2150" s="2" t="str">
        <f>PROPER(TRIM(Table1[[#This Row],[Gender]]))</f>
        <v>Male</v>
      </c>
      <c r="D2150" t="s">
        <v>16</v>
      </c>
      <c r="E2150">
        <v>20</v>
      </c>
      <c r="F2150" t="s">
        <v>49</v>
      </c>
      <c r="G2150" s="1">
        <v>38358</v>
      </c>
      <c r="H2150" t="s">
        <v>5064</v>
      </c>
      <c r="I2150" s="2" t="str">
        <f t="shared" si="33"/>
        <v>+91-9977865811</v>
      </c>
      <c r="J2150">
        <f>91-9977865902</f>
        <v>-9977865811</v>
      </c>
      <c r="K2150" t="s">
        <v>165</v>
      </c>
      <c r="L2150" t="s">
        <v>52</v>
      </c>
      <c r="M2150">
        <v>859036</v>
      </c>
      <c r="N2150" s="1">
        <v>45237</v>
      </c>
      <c r="O2150" t="s">
        <v>28</v>
      </c>
      <c r="P2150">
        <v>4</v>
      </c>
      <c r="Q2150">
        <v>52586.1</v>
      </c>
    </row>
    <row r="2151" spans="1:17" x14ac:dyDescent="0.3">
      <c r="A2151" t="s">
        <v>5065</v>
      </c>
      <c r="B2151" t="s">
        <v>3103</v>
      </c>
      <c r="C2151" s="2" t="str">
        <f>PROPER(TRIM(Table1[[#This Row],[Gender]]))</f>
        <v>Male</v>
      </c>
      <c r="D2151" t="s">
        <v>16</v>
      </c>
      <c r="E2151">
        <v>25</v>
      </c>
      <c r="F2151" t="s">
        <v>49</v>
      </c>
      <c r="G2151" s="1">
        <v>36533</v>
      </c>
      <c r="H2151" t="s">
        <v>5066</v>
      </c>
      <c r="I2151" s="2" t="str">
        <f t="shared" si="33"/>
        <v>+91-9543525485</v>
      </c>
      <c r="J2151">
        <f>91-9543525576</f>
        <v>-9543525485</v>
      </c>
      <c r="K2151" t="s">
        <v>64</v>
      </c>
      <c r="L2151" t="s">
        <v>20</v>
      </c>
      <c r="M2151">
        <v>255442</v>
      </c>
      <c r="N2151" s="1">
        <v>45241</v>
      </c>
      <c r="O2151" t="s">
        <v>35</v>
      </c>
      <c r="P2151">
        <v>1</v>
      </c>
      <c r="Q2151">
        <v>8586.9</v>
      </c>
    </row>
    <row r="2152" spans="1:17" x14ac:dyDescent="0.3">
      <c r="A2152" t="s">
        <v>5067</v>
      </c>
      <c r="B2152" t="s">
        <v>1028</v>
      </c>
      <c r="C2152" s="2" t="str">
        <f>PROPER(TRIM(Table1[[#This Row],[Gender]]))</f>
        <v>Male</v>
      </c>
      <c r="D2152" t="s">
        <v>16</v>
      </c>
      <c r="E2152">
        <v>44</v>
      </c>
      <c r="F2152" t="s">
        <v>38</v>
      </c>
      <c r="G2152" s="1">
        <v>29598</v>
      </c>
      <c r="H2152" t="s">
        <v>5068</v>
      </c>
      <c r="I2152" s="2" t="str">
        <f t="shared" si="33"/>
        <v>+91-7259206421</v>
      </c>
      <c r="J2152">
        <f>91-7259206512</f>
        <v>-7259206421</v>
      </c>
      <c r="K2152" t="s">
        <v>331</v>
      </c>
      <c r="L2152" t="s">
        <v>143</v>
      </c>
      <c r="M2152">
        <v>538983</v>
      </c>
      <c r="N2152" s="1">
        <v>45250</v>
      </c>
      <c r="O2152" t="s">
        <v>28</v>
      </c>
      <c r="P2152">
        <v>5</v>
      </c>
      <c r="Q2152">
        <v>151969.10999999999</v>
      </c>
    </row>
    <row r="2153" spans="1:17" x14ac:dyDescent="0.3">
      <c r="A2153" t="s">
        <v>5069</v>
      </c>
      <c r="B2153" t="s">
        <v>2067</v>
      </c>
      <c r="C2153" s="2" t="str">
        <f>PROPER(TRIM(Table1[[#This Row],[Gender]]))</f>
        <v>Female</v>
      </c>
      <c r="D2153" t="s">
        <v>43</v>
      </c>
      <c r="E2153">
        <v>19</v>
      </c>
      <c r="F2153" t="s">
        <v>49</v>
      </c>
      <c r="G2153" s="1">
        <v>38723</v>
      </c>
      <c r="H2153" t="s">
        <v>5070</v>
      </c>
      <c r="I2153" s="2" t="str">
        <f t="shared" si="33"/>
        <v>+91-7641742662</v>
      </c>
      <c r="J2153">
        <f>91-7641742753</f>
        <v>-7641742662</v>
      </c>
      <c r="K2153" t="s">
        <v>26</v>
      </c>
      <c r="L2153" t="s">
        <v>27</v>
      </c>
      <c r="M2153">
        <v>482146</v>
      </c>
      <c r="N2153" s="1">
        <v>45137</v>
      </c>
      <c r="O2153" t="s">
        <v>28</v>
      </c>
      <c r="P2153">
        <v>8</v>
      </c>
      <c r="Q2153">
        <v>128198.12</v>
      </c>
    </row>
    <row r="2154" spans="1:17" x14ac:dyDescent="0.3">
      <c r="A2154" t="s">
        <v>5071</v>
      </c>
      <c r="B2154" t="s">
        <v>3338</v>
      </c>
      <c r="C2154" s="2" t="str">
        <f>PROPER(TRIM(Table1[[#This Row],[Gender]]))</f>
        <v>Male</v>
      </c>
      <c r="D2154" t="s">
        <v>16</v>
      </c>
      <c r="E2154">
        <v>45</v>
      </c>
      <c r="F2154" t="s">
        <v>38</v>
      </c>
      <c r="G2154" s="1">
        <v>29233</v>
      </c>
      <c r="H2154" t="s">
        <v>3339</v>
      </c>
      <c r="I2154" s="2" t="str">
        <f t="shared" si="33"/>
        <v>+91-8260021078</v>
      </c>
      <c r="J2154">
        <f>91-8260021169</f>
        <v>-8260021078</v>
      </c>
      <c r="K2154" t="s">
        <v>202</v>
      </c>
      <c r="L2154" t="s">
        <v>191</v>
      </c>
      <c r="M2154">
        <v>542652</v>
      </c>
      <c r="N2154" s="1">
        <v>45159</v>
      </c>
      <c r="O2154" t="s">
        <v>28</v>
      </c>
      <c r="P2154">
        <v>6</v>
      </c>
      <c r="Q2154">
        <v>111385.16</v>
      </c>
    </row>
    <row r="2155" spans="1:17" x14ac:dyDescent="0.3">
      <c r="A2155" t="s">
        <v>5072</v>
      </c>
      <c r="B2155" t="s">
        <v>943</v>
      </c>
      <c r="C2155" s="2" t="str">
        <f>PROPER(TRIM(Table1[[#This Row],[Gender]]))</f>
        <v>Male</v>
      </c>
      <c r="D2155" t="s">
        <v>16</v>
      </c>
      <c r="E2155">
        <v>27</v>
      </c>
      <c r="F2155" t="s">
        <v>31</v>
      </c>
      <c r="G2155" s="1">
        <v>35803</v>
      </c>
      <c r="H2155" t="s">
        <v>5073</v>
      </c>
      <c r="I2155" s="2" t="str">
        <f t="shared" si="33"/>
        <v>+91-9080731662</v>
      </c>
      <c r="J2155">
        <f>91-9080731753</f>
        <v>-9080731662</v>
      </c>
      <c r="K2155" t="s">
        <v>33</v>
      </c>
      <c r="L2155" t="s">
        <v>34</v>
      </c>
      <c r="M2155">
        <v>183735</v>
      </c>
      <c r="N2155" s="1">
        <v>45423</v>
      </c>
      <c r="O2155" t="s">
        <v>28</v>
      </c>
      <c r="P2155">
        <v>5</v>
      </c>
      <c r="Q2155">
        <v>126721.98</v>
      </c>
    </row>
    <row r="2156" spans="1:17" x14ac:dyDescent="0.3">
      <c r="A2156" t="s">
        <v>5074</v>
      </c>
      <c r="B2156" t="s">
        <v>3306</v>
      </c>
      <c r="C2156" s="2" t="str">
        <f>PROPER(TRIM(Table1[[#This Row],[Gender]]))</f>
        <v>Male</v>
      </c>
      <c r="D2156" t="s">
        <v>16</v>
      </c>
      <c r="E2156">
        <v>37</v>
      </c>
      <c r="F2156" t="s">
        <v>38</v>
      </c>
      <c r="G2156" s="1">
        <v>32153</v>
      </c>
      <c r="H2156" t="s">
        <v>5075</v>
      </c>
      <c r="I2156" s="2" t="str">
        <f t="shared" si="33"/>
        <v>+91-8585473569</v>
      </c>
      <c r="J2156">
        <f>91-8585473660</f>
        <v>-8585473569</v>
      </c>
      <c r="K2156" t="s">
        <v>33</v>
      </c>
      <c r="L2156" t="s">
        <v>34</v>
      </c>
      <c r="M2156">
        <v>521946</v>
      </c>
      <c r="N2156" s="1">
        <v>45233</v>
      </c>
      <c r="O2156" t="s">
        <v>28</v>
      </c>
      <c r="P2156">
        <v>7</v>
      </c>
      <c r="Q2156">
        <v>218784.71</v>
      </c>
    </row>
    <row r="2157" spans="1:17" x14ac:dyDescent="0.3">
      <c r="A2157" t="s">
        <v>5076</v>
      </c>
      <c r="B2157" t="s">
        <v>5077</v>
      </c>
      <c r="C2157" s="2" t="str">
        <f>PROPER(TRIM(Table1[[#This Row],[Gender]]))</f>
        <v>Male</v>
      </c>
      <c r="D2157" t="s">
        <v>16</v>
      </c>
      <c r="E2157">
        <v>41</v>
      </c>
      <c r="F2157" t="s">
        <v>38</v>
      </c>
      <c r="G2157" s="1">
        <v>30693</v>
      </c>
      <c r="H2157" t="s">
        <v>5078</v>
      </c>
      <c r="I2157" s="2" t="str">
        <f t="shared" si="33"/>
        <v>+91-8756729479</v>
      </c>
      <c r="J2157">
        <f>91-8756729570</f>
        <v>-8756729479</v>
      </c>
      <c r="K2157" t="s">
        <v>68</v>
      </c>
      <c r="L2157" t="s">
        <v>52</v>
      </c>
      <c r="M2157">
        <v>956618</v>
      </c>
      <c r="N2157" s="1">
        <v>45387</v>
      </c>
      <c r="O2157" t="s">
        <v>28</v>
      </c>
      <c r="P2157">
        <v>6</v>
      </c>
      <c r="Q2157">
        <v>224306.48</v>
      </c>
    </row>
    <row r="2158" spans="1:17" x14ac:dyDescent="0.3">
      <c r="A2158" t="s">
        <v>5079</v>
      </c>
      <c r="B2158" t="s">
        <v>4098</v>
      </c>
      <c r="C2158" s="2" t="str">
        <f>PROPER(TRIM(Table1[[#This Row],[Gender]]))</f>
        <v>Male</v>
      </c>
      <c r="D2158" t="s">
        <v>16</v>
      </c>
      <c r="E2158">
        <v>41</v>
      </c>
      <c r="F2158" t="s">
        <v>38</v>
      </c>
      <c r="G2158" s="1">
        <v>30693</v>
      </c>
      <c r="H2158" t="s">
        <v>5080</v>
      </c>
      <c r="I2158" s="2" t="str">
        <f t="shared" si="33"/>
        <v>+91-9049551222</v>
      </c>
      <c r="J2158">
        <f>91-9049551313</f>
        <v>-9049551222</v>
      </c>
      <c r="K2158" t="s">
        <v>26</v>
      </c>
      <c r="L2158" t="s">
        <v>27</v>
      </c>
      <c r="M2158">
        <v>780899</v>
      </c>
      <c r="N2158" s="1">
        <v>45281</v>
      </c>
      <c r="O2158" t="s">
        <v>28</v>
      </c>
      <c r="P2158">
        <v>7</v>
      </c>
      <c r="Q2158">
        <v>341253.62</v>
      </c>
    </row>
    <row r="2159" spans="1:17" x14ac:dyDescent="0.3">
      <c r="A2159" t="s">
        <v>5081</v>
      </c>
      <c r="B2159" t="s">
        <v>1929</v>
      </c>
      <c r="C2159" s="2" t="str">
        <f>PROPER(TRIM(Table1[[#This Row],[Gender]]))</f>
        <v>Female</v>
      </c>
      <c r="D2159" t="s">
        <v>43</v>
      </c>
      <c r="E2159">
        <v>27</v>
      </c>
      <c r="F2159" t="s">
        <v>31</v>
      </c>
      <c r="G2159" s="1">
        <v>35803</v>
      </c>
      <c r="H2159" t="s">
        <v>4519</v>
      </c>
      <c r="I2159" s="2" t="str">
        <f t="shared" si="33"/>
        <v>+91-9694547024</v>
      </c>
      <c r="J2159">
        <f>91-9694547115</f>
        <v>-9694547024</v>
      </c>
      <c r="K2159" t="s">
        <v>26</v>
      </c>
      <c r="L2159" t="s">
        <v>27</v>
      </c>
      <c r="M2159">
        <v>924633</v>
      </c>
      <c r="N2159" s="1">
        <v>45193</v>
      </c>
      <c r="O2159" t="s">
        <v>28</v>
      </c>
      <c r="P2159">
        <v>5</v>
      </c>
      <c r="Q2159">
        <v>244902.86</v>
      </c>
    </row>
    <row r="2160" spans="1:17" x14ac:dyDescent="0.3">
      <c r="A2160" t="s">
        <v>5082</v>
      </c>
      <c r="B2160" t="s">
        <v>2013</v>
      </c>
      <c r="C2160" s="2" t="str">
        <f>PROPER(TRIM(Table1[[#This Row],[Gender]]))</f>
        <v>Male</v>
      </c>
      <c r="D2160" t="s">
        <v>16</v>
      </c>
      <c r="E2160">
        <v>55</v>
      </c>
      <c r="F2160" t="s">
        <v>17</v>
      </c>
      <c r="G2160" s="1">
        <v>25583</v>
      </c>
      <c r="H2160" t="s">
        <v>5083</v>
      </c>
      <c r="I2160" s="2" t="str">
        <f t="shared" si="33"/>
        <v>+91-7023625539</v>
      </c>
      <c r="J2160">
        <f>91-7023625630</f>
        <v>-7023625539</v>
      </c>
      <c r="K2160" t="s">
        <v>580</v>
      </c>
      <c r="L2160" t="s">
        <v>85</v>
      </c>
      <c r="M2160">
        <v>309054</v>
      </c>
      <c r="N2160" s="1">
        <v>45239</v>
      </c>
      <c r="O2160" t="s">
        <v>35</v>
      </c>
      <c r="P2160">
        <v>6</v>
      </c>
      <c r="Q2160">
        <v>11612.8</v>
      </c>
    </row>
    <row r="2161" spans="1:17" x14ac:dyDescent="0.3">
      <c r="A2161" t="s">
        <v>5084</v>
      </c>
      <c r="B2161" t="s">
        <v>2932</v>
      </c>
      <c r="C2161" s="2" t="str">
        <f>PROPER(TRIM(Table1[[#This Row],[Gender]]))</f>
        <v>Female</v>
      </c>
      <c r="D2161" t="s">
        <v>43</v>
      </c>
      <c r="E2161">
        <v>28</v>
      </c>
      <c r="F2161" t="s">
        <v>31</v>
      </c>
      <c r="G2161" s="1">
        <v>35438</v>
      </c>
      <c r="H2161" t="s">
        <v>5085</v>
      </c>
      <c r="I2161" s="2" t="str">
        <f t="shared" si="33"/>
        <v>+91-9014899706</v>
      </c>
      <c r="J2161">
        <f>91-9014899797</f>
        <v>-9014899706</v>
      </c>
      <c r="K2161" t="s">
        <v>40</v>
      </c>
      <c r="L2161" t="s">
        <v>27</v>
      </c>
      <c r="M2161">
        <v>553945</v>
      </c>
      <c r="N2161" s="1">
        <v>45238</v>
      </c>
      <c r="O2161" t="s">
        <v>28</v>
      </c>
      <c r="P2161">
        <v>7</v>
      </c>
      <c r="Q2161">
        <v>309086.48</v>
      </c>
    </row>
    <row r="2162" spans="1:17" x14ac:dyDescent="0.3">
      <c r="A2162" t="s">
        <v>5086</v>
      </c>
      <c r="B2162" t="s">
        <v>2046</v>
      </c>
      <c r="C2162" s="2" t="str">
        <f>PROPER(TRIM(Table1[[#This Row],[Gender]]))</f>
        <v>Female</v>
      </c>
      <c r="D2162" t="s">
        <v>43</v>
      </c>
      <c r="E2162">
        <v>31</v>
      </c>
      <c r="F2162" t="s">
        <v>31</v>
      </c>
      <c r="G2162" s="1">
        <v>34343</v>
      </c>
      <c r="H2162" t="s">
        <v>5087</v>
      </c>
      <c r="I2162" s="2" t="str">
        <f t="shared" si="33"/>
        <v>+91-9850535416</v>
      </c>
      <c r="J2162">
        <f>91-9850535507</f>
        <v>-9850535416</v>
      </c>
      <c r="K2162" t="s">
        <v>195</v>
      </c>
      <c r="L2162" t="s">
        <v>102</v>
      </c>
      <c r="M2162">
        <v>860191</v>
      </c>
      <c r="N2162" s="1">
        <v>45331</v>
      </c>
      <c r="O2162" t="s">
        <v>28</v>
      </c>
      <c r="P2162">
        <v>6</v>
      </c>
      <c r="Q2162">
        <v>52566.95</v>
      </c>
    </row>
    <row r="2163" spans="1:17" x14ac:dyDescent="0.3">
      <c r="A2163" t="s">
        <v>5088</v>
      </c>
      <c r="B2163" t="s">
        <v>1691</v>
      </c>
      <c r="C2163" s="2" t="str">
        <f>PROPER(TRIM(Table1[[#This Row],[Gender]]))</f>
        <v>Female</v>
      </c>
      <c r="D2163" t="s">
        <v>43</v>
      </c>
      <c r="E2163">
        <v>18</v>
      </c>
      <c r="F2163" t="s">
        <v>49</v>
      </c>
      <c r="G2163" s="1">
        <v>39088</v>
      </c>
      <c r="H2163" t="s">
        <v>5089</v>
      </c>
      <c r="I2163" s="2" t="str">
        <f t="shared" si="33"/>
        <v>+91-9077422632</v>
      </c>
      <c r="J2163">
        <f>91-9077422723</f>
        <v>-9077422632</v>
      </c>
      <c r="K2163" t="s">
        <v>147</v>
      </c>
      <c r="L2163" t="s">
        <v>143</v>
      </c>
      <c r="M2163">
        <v>299876</v>
      </c>
      <c r="N2163" s="1">
        <v>45120</v>
      </c>
      <c r="O2163" t="s">
        <v>35</v>
      </c>
      <c r="P2163">
        <v>3</v>
      </c>
      <c r="Q2163">
        <v>3713.73</v>
      </c>
    </row>
    <row r="2164" spans="1:17" x14ac:dyDescent="0.3">
      <c r="A2164" t="s">
        <v>5090</v>
      </c>
      <c r="B2164" t="s">
        <v>1680</v>
      </c>
      <c r="C2164" s="2" t="str">
        <f>PROPER(TRIM(Table1[[#This Row],[Gender]]))</f>
        <v>Female</v>
      </c>
      <c r="D2164" t="s">
        <v>43</v>
      </c>
      <c r="E2164">
        <v>19</v>
      </c>
      <c r="F2164" t="s">
        <v>49</v>
      </c>
      <c r="G2164" s="1">
        <v>38723</v>
      </c>
      <c r="H2164" t="s">
        <v>2516</v>
      </c>
      <c r="I2164" s="2" t="str">
        <f t="shared" si="33"/>
        <v>+91-7155980323</v>
      </c>
      <c r="J2164">
        <f>91-7155980414</f>
        <v>-7155980323</v>
      </c>
      <c r="K2164" t="s">
        <v>84</v>
      </c>
      <c r="L2164" t="s">
        <v>85</v>
      </c>
      <c r="M2164">
        <v>592555</v>
      </c>
      <c r="N2164" s="1">
        <v>45186</v>
      </c>
      <c r="O2164" t="s">
        <v>28</v>
      </c>
      <c r="P2164">
        <v>4</v>
      </c>
      <c r="Q2164">
        <v>246374.55</v>
      </c>
    </row>
    <row r="2165" spans="1:17" x14ac:dyDescent="0.3">
      <c r="A2165" t="s">
        <v>5091</v>
      </c>
      <c r="B2165" t="s">
        <v>513</v>
      </c>
      <c r="C2165" s="2" t="str">
        <f>PROPER(TRIM(Table1[[#This Row],[Gender]]))</f>
        <v>Female</v>
      </c>
      <c r="D2165" t="s">
        <v>43</v>
      </c>
      <c r="E2165">
        <v>33</v>
      </c>
      <c r="F2165" t="s">
        <v>31</v>
      </c>
      <c r="G2165" s="1">
        <v>33613</v>
      </c>
      <c r="H2165" t="s">
        <v>5092</v>
      </c>
      <c r="I2165" s="2" t="str">
        <f t="shared" si="33"/>
        <v>+91-7794484762</v>
      </c>
      <c r="J2165">
        <f>91-7794484853</f>
        <v>-7794484762</v>
      </c>
      <c r="K2165" t="s">
        <v>138</v>
      </c>
      <c r="L2165" t="s">
        <v>90</v>
      </c>
      <c r="M2165">
        <v>675893</v>
      </c>
      <c r="N2165" s="1">
        <v>45389</v>
      </c>
      <c r="O2165" t="s">
        <v>28</v>
      </c>
      <c r="P2165">
        <v>4</v>
      </c>
      <c r="Q2165">
        <v>70747.149999999994</v>
      </c>
    </row>
    <row r="2166" spans="1:17" x14ac:dyDescent="0.3">
      <c r="A2166" t="s">
        <v>5093</v>
      </c>
      <c r="B2166" t="s">
        <v>1442</v>
      </c>
      <c r="C2166" s="2" t="str">
        <f>PROPER(TRIM(Table1[[#This Row],[Gender]]))</f>
        <v>Male</v>
      </c>
      <c r="D2166" t="s">
        <v>16</v>
      </c>
      <c r="E2166">
        <v>47</v>
      </c>
      <c r="F2166" t="s">
        <v>17</v>
      </c>
      <c r="G2166" s="1">
        <v>28503</v>
      </c>
      <c r="H2166" t="s">
        <v>5094</v>
      </c>
      <c r="I2166" s="2" t="str">
        <f t="shared" si="33"/>
        <v>+91-7292913526</v>
      </c>
      <c r="J2166">
        <f>91-7292913617</f>
        <v>-7292913526</v>
      </c>
      <c r="K2166" t="s">
        <v>84</v>
      </c>
      <c r="L2166" t="s">
        <v>85</v>
      </c>
      <c r="M2166">
        <v>823149</v>
      </c>
      <c r="N2166" s="1">
        <v>45269</v>
      </c>
      <c r="O2166" t="s">
        <v>35</v>
      </c>
      <c r="P2166">
        <v>3</v>
      </c>
      <c r="Q2166">
        <v>4101.2299999999996</v>
      </c>
    </row>
    <row r="2167" spans="1:17" x14ac:dyDescent="0.3">
      <c r="A2167" t="s">
        <v>5095</v>
      </c>
      <c r="B2167" t="s">
        <v>683</v>
      </c>
      <c r="C2167" s="2" t="str">
        <f>PROPER(TRIM(Table1[[#This Row],[Gender]]))</f>
        <v>Female</v>
      </c>
      <c r="D2167" t="s">
        <v>43</v>
      </c>
      <c r="E2167">
        <v>23</v>
      </c>
      <c r="F2167" t="s">
        <v>49</v>
      </c>
      <c r="G2167" s="1">
        <v>37263</v>
      </c>
      <c r="H2167" t="s">
        <v>5096</v>
      </c>
      <c r="I2167" s="2" t="str">
        <f t="shared" si="33"/>
        <v>+91-8128274429</v>
      </c>
      <c r="J2167">
        <f>91-8128274520</f>
        <v>-8128274429</v>
      </c>
      <c r="K2167" t="s">
        <v>113</v>
      </c>
      <c r="L2167" t="s">
        <v>34</v>
      </c>
      <c r="M2167">
        <v>932097</v>
      </c>
      <c r="N2167" s="1">
        <v>45368</v>
      </c>
      <c r="O2167" t="s">
        <v>28</v>
      </c>
      <c r="P2167">
        <v>6</v>
      </c>
      <c r="Q2167">
        <v>64003.18</v>
      </c>
    </row>
    <row r="2168" spans="1:17" x14ac:dyDescent="0.3">
      <c r="A2168" t="s">
        <v>5097</v>
      </c>
      <c r="B2168" t="s">
        <v>2406</v>
      </c>
      <c r="C2168" s="2" t="str">
        <f>PROPER(TRIM(Table1[[#This Row],[Gender]]))</f>
        <v>Female</v>
      </c>
      <c r="D2168" t="s">
        <v>43</v>
      </c>
      <c r="E2168">
        <v>32</v>
      </c>
      <c r="F2168" t="s">
        <v>31</v>
      </c>
      <c r="G2168" s="1">
        <v>33978</v>
      </c>
      <c r="H2168" t="s">
        <v>5098</v>
      </c>
      <c r="I2168" s="2" t="str">
        <f t="shared" si="33"/>
        <v>+91-9069523120</v>
      </c>
      <c r="J2168">
        <f>91-9069523211</f>
        <v>-9069523120</v>
      </c>
      <c r="K2168" t="s">
        <v>190</v>
      </c>
      <c r="L2168" t="s">
        <v>191</v>
      </c>
      <c r="M2168">
        <v>232403</v>
      </c>
      <c r="N2168" s="1">
        <v>45153</v>
      </c>
      <c r="O2168" t="s">
        <v>28</v>
      </c>
      <c r="P2168">
        <v>6</v>
      </c>
      <c r="Q2168">
        <v>175633.28</v>
      </c>
    </row>
    <row r="2169" spans="1:17" x14ac:dyDescent="0.3">
      <c r="A2169" t="s">
        <v>5099</v>
      </c>
      <c r="B2169" t="s">
        <v>3826</v>
      </c>
      <c r="C2169" s="2" t="str">
        <f>PROPER(TRIM(Table1[[#This Row],[Gender]]))</f>
        <v>Male</v>
      </c>
      <c r="D2169" t="s">
        <v>16</v>
      </c>
      <c r="E2169">
        <v>33</v>
      </c>
      <c r="F2169" t="s">
        <v>31</v>
      </c>
      <c r="G2169" s="1">
        <v>33613</v>
      </c>
      <c r="H2169" t="s">
        <v>5100</v>
      </c>
      <c r="I2169" s="2" t="str">
        <f t="shared" si="33"/>
        <v>+91-8113854153</v>
      </c>
      <c r="J2169">
        <f>91-8113854244</f>
        <v>-8113854153</v>
      </c>
      <c r="K2169" t="s">
        <v>331</v>
      </c>
      <c r="L2169" t="s">
        <v>143</v>
      </c>
      <c r="M2169">
        <v>474611</v>
      </c>
      <c r="N2169" s="1">
        <v>45140</v>
      </c>
      <c r="O2169" t="s">
        <v>28</v>
      </c>
      <c r="P2169">
        <v>5</v>
      </c>
      <c r="Q2169">
        <v>234651.07</v>
      </c>
    </row>
    <row r="2170" spans="1:17" x14ac:dyDescent="0.3">
      <c r="A2170" t="s">
        <v>5101</v>
      </c>
      <c r="B2170" t="s">
        <v>4402</v>
      </c>
      <c r="C2170" s="2" t="str">
        <f>PROPER(TRIM(Table1[[#This Row],[Gender]]))</f>
        <v>Male</v>
      </c>
      <c r="D2170" t="s">
        <v>16</v>
      </c>
      <c r="E2170">
        <v>35</v>
      </c>
      <c r="F2170" t="s">
        <v>31</v>
      </c>
      <c r="G2170" s="1">
        <v>32883</v>
      </c>
      <c r="H2170" t="s">
        <v>5102</v>
      </c>
      <c r="I2170" s="2" t="str">
        <f t="shared" si="33"/>
        <v>+91-8549759139</v>
      </c>
      <c r="J2170">
        <f>91-8549759230</f>
        <v>-8549759139</v>
      </c>
      <c r="K2170" t="s">
        <v>40</v>
      </c>
      <c r="L2170" t="s">
        <v>27</v>
      </c>
      <c r="M2170">
        <v>759521</v>
      </c>
      <c r="N2170" s="1">
        <v>45427</v>
      </c>
      <c r="O2170" t="s">
        <v>28</v>
      </c>
      <c r="P2170">
        <v>6</v>
      </c>
      <c r="Q2170">
        <v>192212.81</v>
      </c>
    </row>
    <row r="2171" spans="1:17" x14ac:dyDescent="0.3">
      <c r="A2171" t="s">
        <v>5103</v>
      </c>
      <c r="B2171" t="s">
        <v>3474</v>
      </c>
      <c r="C2171" s="2" t="str">
        <f>PROPER(TRIM(Table1[[#This Row],[Gender]]))</f>
        <v>Female</v>
      </c>
      <c r="D2171" t="s">
        <v>43</v>
      </c>
      <c r="E2171">
        <v>71</v>
      </c>
      <c r="F2171" t="s">
        <v>24</v>
      </c>
      <c r="G2171" s="1">
        <v>19743</v>
      </c>
      <c r="H2171" t="s">
        <v>5104</v>
      </c>
      <c r="I2171" s="2" t="str">
        <f t="shared" si="33"/>
        <v>+91-8356739995</v>
      </c>
      <c r="J2171">
        <f>91-8356740086</f>
        <v>-8356739995</v>
      </c>
      <c r="K2171" t="s">
        <v>68</v>
      </c>
      <c r="L2171" t="s">
        <v>52</v>
      </c>
      <c r="M2171">
        <v>877723</v>
      </c>
      <c r="N2171" s="1">
        <v>45400</v>
      </c>
      <c r="O2171" t="s">
        <v>28</v>
      </c>
      <c r="P2171">
        <v>9</v>
      </c>
      <c r="Q2171">
        <v>93684.09</v>
      </c>
    </row>
    <row r="2172" spans="1:17" x14ac:dyDescent="0.3">
      <c r="A2172" t="s">
        <v>5105</v>
      </c>
      <c r="B2172" t="s">
        <v>1683</v>
      </c>
      <c r="C2172" s="2" t="str">
        <f>PROPER(TRIM(Table1[[#This Row],[Gender]]))</f>
        <v>Male</v>
      </c>
      <c r="D2172" t="s">
        <v>16</v>
      </c>
      <c r="E2172">
        <v>47</v>
      </c>
      <c r="F2172" t="s">
        <v>17</v>
      </c>
      <c r="G2172" s="1">
        <v>28503</v>
      </c>
      <c r="H2172" t="s">
        <v>3710</v>
      </c>
      <c r="I2172" s="2" t="str">
        <f t="shared" si="33"/>
        <v>+91-7147347093</v>
      </c>
      <c r="J2172">
        <f>91-7147347184</f>
        <v>-7147347093</v>
      </c>
      <c r="K2172" t="s">
        <v>51</v>
      </c>
      <c r="L2172" t="s">
        <v>52</v>
      </c>
      <c r="M2172">
        <v>810534</v>
      </c>
      <c r="N2172" s="1">
        <v>45122</v>
      </c>
      <c r="O2172" t="s">
        <v>28</v>
      </c>
      <c r="P2172">
        <v>3</v>
      </c>
      <c r="Q2172">
        <v>58030.46</v>
      </c>
    </row>
    <row r="2173" spans="1:17" x14ac:dyDescent="0.3">
      <c r="A2173" t="s">
        <v>5106</v>
      </c>
      <c r="B2173" t="s">
        <v>4059</v>
      </c>
      <c r="C2173" s="2" t="str">
        <f>PROPER(TRIM(Table1[[#This Row],[Gender]]))</f>
        <v>Male</v>
      </c>
      <c r="D2173" t="s">
        <v>16</v>
      </c>
      <c r="E2173">
        <v>25</v>
      </c>
      <c r="F2173" t="s">
        <v>49</v>
      </c>
      <c r="G2173" s="1">
        <v>36533</v>
      </c>
      <c r="H2173" t="s">
        <v>5107</v>
      </c>
      <c r="I2173" s="2" t="str">
        <f t="shared" si="33"/>
        <v>+91-7344368043</v>
      </c>
      <c r="J2173">
        <f>91-7344368134</f>
        <v>-7344368043</v>
      </c>
      <c r="K2173" t="s">
        <v>60</v>
      </c>
      <c r="L2173" t="s">
        <v>34</v>
      </c>
      <c r="M2173">
        <v>973935</v>
      </c>
      <c r="N2173" s="1">
        <v>45177</v>
      </c>
      <c r="O2173" t="s">
        <v>28</v>
      </c>
      <c r="P2173">
        <v>4</v>
      </c>
      <c r="Q2173">
        <v>176205.36</v>
      </c>
    </row>
    <row r="2174" spans="1:17" x14ac:dyDescent="0.3">
      <c r="A2174" t="s">
        <v>5108</v>
      </c>
      <c r="B2174" t="s">
        <v>5109</v>
      </c>
      <c r="C2174" s="2" t="str">
        <f>PROPER(TRIM(Table1[[#This Row],[Gender]]))</f>
        <v>Male</v>
      </c>
      <c r="D2174" t="s">
        <v>16</v>
      </c>
      <c r="E2174">
        <v>59</v>
      </c>
      <c r="F2174" t="s">
        <v>58</v>
      </c>
      <c r="G2174" s="1">
        <v>24123</v>
      </c>
      <c r="H2174" t="s">
        <v>5110</v>
      </c>
      <c r="I2174" s="2" t="str">
        <f t="shared" si="33"/>
        <v>+91-9789082077</v>
      </c>
      <c r="J2174">
        <f>91-9789082168</f>
        <v>-9789082077</v>
      </c>
      <c r="K2174" t="s">
        <v>72</v>
      </c>
      <c r="L2174" t="s">
        <v>34</v>
      </c>
      <c r="M2174">
        <v>847583</v>
      </c>
      <c r="N2174" s="1">
        <v>45158</v>
      </c>
      <c r="O2174" t="s">
        <v>28</v>
      </c>
      <c r="P2174">
        <v>5</v>
      </c>
      <c r="Q2174">
        <v>58253.35</v>
      </c>
    </row>
    <row r="2175" spans="1:17" x14ac:dyDescent="0.3">
      <c r="A2175" t="s">
        <v>5111</v>
      </c>
      <c r="B2175" t="s">
        <v>1639</v>
      </c>
      <c r="C2175" s="2" t="str">
        <f>PROPER(TRIM(Table1[[#This Row],[Gender]]))</f>
        <v>Male</v>
      </c>
      <c r="D2175" t="s">
        <v>16</v>
      </c>
      <c r="E2175">
        <v>31</v>
      </c>
      <c r="F2175" t="s">
        <v>31</v>
      </c>
      <c r="G2175" s="1">
        <v>34343</v>
      </c>
      <c r="H2175" t="s">
        <v>5112</v>
      </c>
      <c r="I2175" s="2" t="str">
        <f t="shared" si="33"/>
        <v>+91-8170988956</v>
      </c>
      <c r="J2175">
        <f>91-8170989047</f>
        <v>-8170988956</v>
      </c>
      <c r="K2175" t="s">
        <v>117</v>
      </c>
      <c r="L2175" t="s">
        <v>52</v>
      </c>
      <c r="M2175">
        <v>611610</v>
      </c>
      <c r="N2175" s="1">
        <v>45251</v>
      </c>
      <c r="O2175" t="s">
        <v>28</v>
      </c>
      <c r="P2175">
        <v>4</v>
      </c>
      <c r="Q2175">
        <v>78099.600000000006</v>
      </c>
    </row>
    <row r="2176" spans="1:17" x14ac:dyDescent="0.3">
      <c r="A2176" t="s">
        <v>5113</v>
      </c>
      <c r="B2176" t="s">
        <v>781</v>
      </c>
      <c r="C2176" s="2" t="str">
        <f>PROPER(TRIM(Table1[[#This Row],[Gender]]))</f>
        <v>Male</v>
      </c>
      <c r="D2176" t="s">
        <v>16</v>
      </c>
      <c r="E2176">
        <v>45</v>
      </c>
      <c r="F2176" t="s">
        <v>38</v>
      </c>
      <c r="G2176" s="1">
        <v>29233</v>
      </c>
      <c r="H2176" t="s">
        <v>5114</v>
      </c>
      <c r="I2176" s="2" t="str">
        <f t="shared" si="33"/>
        <v>+91-9374698035</v>
      </c>
      <c r="J2176">
        <f>91-9374698126</f>
        <v>-9374698035</v>
      </c>
      <c r="K2176" t="s">
        <v>80</v>
      </c>
      <c r="L2176" t="s">
        <v>20</v>
      </c>
      <c r="M2176">
        <v>749931</v>
      </c>
      <c r="N2176" s="1">
        <v>45106</v>
      </c>
      <c r="O2176" t="s">
        <v>28</v>
      </c>
      <c r="P2176">
        <v>8</v>
      </c>
      <c r="Q2176">
        <v>204633.18</v>
      </c>
    </row>
    <row r="2177" spans="1:17" x14ac:dyDescent="0.3">
      <c r="A2177" t="s">
        <v>5115</v>
      </c>
      <c r="B2177" t="s">
        <v>3811</v>
      </c>
      <c r="C2177" s="2" t="str">
        <f>PROPER(TRIM(Table1[[#This Row],[Gender]]))</f>
        <v>Female</v>
      </c>
      <c r="D2177" t="s">
        <v>43</v>
      </c>
      <c r="E2177">
        <v>58</v>
      </c>
      <c r="F2177" t="s">
        <v>58</v>
      </c>
      <c r="G2177" s="1">
        <v>24488</v>
      </c>
      <c r="H2177" t="s">
        <v>5116</v>
      </c>
      <c r="I2177" s="2" t="str">
        <f t="shared" si="33"/>
        <v>+91-9725453153</v>
      </c>
      <c r="J2177">
        <f>91-9725453244</f>
        <v>-9725453153</v>
      </c>
      <c r="K2177" t="s">
        <v>109</v>
      </c>
      <c r="L2177" t="s">
        <v>46</v>
      </c>
      <c r="M2177">
        <v>350423</v>
      </c>
      <c r="N2177" s="1">
        <v>45430</v>
      </c>
      <c r="O2177" t="s">
        <v>28</v>
      </c>
      <c r="P2177">
        <v>5</v>
      </c>
      <c r="Q2177">
        <v>107185.11</v>
      </c>
    </row>
    <row r="2178" spans="1:17" x14ac:dyDescent="0.3">
      <c r="A2178" t="s">
        <v>5117</v>
      </c>
      <c r="B2178" t="s">
        <v>265</v>
      </c>
      <c r="C2178" s="2" t="str">
        <f>PROPER(TRIM(Table1[[#This Row],[Gender]]))</f>
        <v>Female</v>
      </c>
      <c r="D2178" t="s">
        <v>43</v>
      </c>
      <c r="E2178">
        <v>53</v>
      </c>
      <c r="F2178" t="s">
        <v>17</v>
      </c>
      <c r="G2178" s="1">
        <v>26313</v>
      </c>
      <c r="H2178" t="s">
        <v>5118</v>
      </c>
      <c r="I2178" s="2" t="str">
        <f t="shared" ref="I2178:I2241" si="34">"+91"&amp;TEXT(J2178,"0000000000")</f>
        <v>+91-7602252617</v>
      </c>
      <c r="J2178">
        <f>91-7602252708</f>
        <v>-7602252617</v>
      </c>
      <c r="K2178" t="s">
        <v>80</v>
      </c>
      <c r="L2178" t="s">
        <v>20</v>
      </c>
      <c r="M2178">
        <v>710172</v>
      </c>
      <c r="N2178" s="1">
        <v>45415</v>
      </c>
      <c r="O2178" t="s">
        <v>35</v>
      </c>
      <c r="P2178">
        <v>3</v>
      </c>
      <c r="Q2178">
        <v>6735.33</v>
      </c>
    </row>
    <row r="2179" spans="1:17" x14ac:dyDescent="0.3">
      <c r="A2179" t="s">
        <v>5119</v>
      </c>
      <c r="B2179" t="s">
        <v>4453</v>
      </c>
      <c r="C2179" s="2" t="str">
        <f>PROPER(TRIM(Table1[[#This Row],[Gender]]))</f>
        <v>Male</v>
      </c>
      <c r="D2179" t="s">
        <v>16</v>
      </c>
      <c r="E2179">
        <v>28</v>
      </c>
      <c r="F2179" t="s">
        <v>31</v>
      </c>
      <c r="G2179" s="1">
        <v>35438</v>
      </c>
      <c r="H2179" t="s">
        <v>5120</v>
      </c>
      <c r="I2179" s="2" t="str">
        <f t="shared" si="34"/>
        <v>+91-7881496576</v>
      </c>
      <c r="J2179">
        <f>91-7881496667</f>
        <v>-7881496576</v>
      </c>
      <c r="K2179" t="s">
        <v>138</v>
      </c>
      <c r="L2179" t="s">
        <v>90</v>
      </c>
      <c r="M2179">
        <v>156103</v>
      </c>
      <c r="N2179" s="1">
        <v>45346</v>
      </c>
      <c r="O2179" t="s">
        <v>28</v>
      </c>
      <c r="P2179">
        <v>6</v>
      </c>
      <c r="Q2179">
        <v>129093.8</v>
      </c>
    </row>
    <row r="2180" spans="1:17" x14ac:dyDescent="0.3">
      <c r="A2180" t="s">
        <v>5121</v>
      </c>
      <c r="B2180" t="s">
        <v>5122</v>
      </c>
      <c r="C2180" s="2" t="str">
        <f>PROPER(TRIM(Table1[[#This Row],[Gender]]))</f>
        <v>Male</v>
      </c>
      <c r="D2180" t="s">
        <v>16</v>
      </c>
      <c r="E2180">
        <v>23</v>
      </c>
      <c r="F2180" t="s">
        <v>49</v>
      </c>
      <c r="G2180" s="1">
        <v>37263</v>
      </c>
      <c r="H2180" t="s">
        <v>5123</v>
      </c>
      <c r="I2180" s="2" t="str">
        <f t="shared" si="34"/>
        <v>+91-8181569432</v>
      </c>
      <c r="J2180">
        <f>91-8181569523</f>
        <v>-8181569432</v>
      </c>
      <c r="K2180" t="s">
        <v>142</v>
      </c>
      <c r="L2180" t="s">
        <v>143</v>
      </c>
      <c r="M2180">
        <v>743958</v>
      </c>
      <c r="N2180" s="1">
        <v>45372</v>
      </c>
      <c r="O2180" t="s">
        <v>28</v>
      </c>
      <c r="P2180">
        <v>6</v>
      </c>
      <c r="Q2180">
        <v>67448.14</v>
      </c>
    </row>
    <row r="2181" spans="1:17" x14ac:dyDescent="0.3">
      <c r="A2181" t="s">
        <v>5124</v>
      </c>
      <c r="B2181" t="s">
        <v>1713</v>
      </c>
      <c r="C2181" s="2" t="str">
        <f>PROPER(TRIM(Table1[[#This Row],[Gender]]))</f>
        <v>Female</v>
      </c>
      <c r="D2181" t="s">
        <v>43</v>
      </c>
      <c r="E2181">
        <v>33</v>
      </c>
      <c r="F2181" t="s">
        <v>31</v>
      </c>
      <c r="G2181" s="1">
        <v>33613</v>
      </c>
      <c r="H2181" t="s">
        <v>5125</v>
      </c>
      <c r="I2181" s="2" t="str">
        <f t="shared" si="34"/>
        <v>+91-9821381287</v>
      </c>
      <c r="J2181">
        <f>91-9821381378</f>
        <v>-9821381287</v>
      </c>
      <c r="K2181" t="s">
        <v>249</v>
      </c>
      <c r="L2181" t="s">
        <v>34</v>
      </c>
      <c r="M2181">
        <v>950920</v>
      </c>
      <c r="N2181" s="1">
        <v>45289</v>
      </c>
      <c r="O2181" t="s">
        <v>28</v>
      </c>
      <c r="P2181">
        <v>4</v>
      </c>
      <c r="Q2181">
        <v>85315.36</v>
      </c>
    </row>
    <row r="2182" spans="1:17" x14ac:dyDescent="0.3">
      <c r="A2182" t="s">
        <v>5126</v>
      </c>
      <c r="B2182" t="s">
        <v>207</v>
      </c>
      <c r="C2182" s="2" t="str">
        <f>PROPER(TRIM(Table1[[#This Row],[Gender]]))</f>
        <v>Female</v>
      </c>
      <c r="D2182" t="s">
        <v>43</v>
      </c>
      <c r="E2182">
        <v>39</v>
      </c>
      <c r="F2182" t="s">
        <v>38</v>
      </c>
      <c r="G2182" s="1">
        <v>31423</v>
      </c>
      <c r="H2182" t="s">
        <v>5127</v>
      </c>
      <c r="I2182" s="2" t="str">
        <f t="shared" si="34"/>
        <v>+91-8916871783</v>
      </c>
      <c r="J2182">
        <f>91-8916871874</f>
        <v>-8916871783</v>
      </c>
      <c r="K2182" t="s">
        <v>101</v>
      </c>
      <c r="L2182" t="s">
        <v>102</v>
      </c>
      <c r="M2182">
        <v>139294</v>
      </c>
      <c r="N2182" s="1">
        <v>45358</v>
      </c>
      <c r="O2182" t="s">
        <v>28</v>
      </c>
      <c r="P2182">
        <v>5</v>
      </c>
      <c r="Q2182">
        <v>277199.03999999998</v>
      </c>
    </row>
    <row r="2183" spans="1:17" x14ac:dyDescent="0.3">
      <c r="A2183" t="s">
        <v>5128</v>
      </c>
      <c r="B2183" t="s">
        <v>2793</v>
      </c>
      <c r="C2183" s="2" t="str">
        <f>PROPER(TRIM(Table1[[#This Row],[Gender]]))</f>
        <v>Male</v>
      </c>
      <c r="D2183" t="s">
        <v>16</v>
      </c>
      <c r="E2183">
        <v>19</v>
      </c>
      <c r="F2183" t="s">
        <v>49</v>
      </c>
      <c r="G2183" s="1">
        <v>38723</v>
      </c>
      <c r="H2183" t="s">
        <v>5129</v>
      </c>
      <c r="I2183" s="2" t="str">
        <f t="shared" si="34"/>
        <v>+91-9605674494</v>
      </c>
      <c r="J2183">
        <f>91-9605674585</f>
        <v>-9605674494</v>
      </c>
      <c r="K2183" t="s">
        <v>174</v>
      </c>
      <c r="L2183" t="s">
        <v>90</v>
      </c>
      <c r="M2183">
        <v>118250</v>
      </c>
      <c r="N2183" s="1">
        <v>45095</v>
      </c>
      <c r="O2183" t="s">
        <v>28</v>
      </c>
      <c r="P2183">
        <v>13</v>
      </c>
      <c r="Q2183">
        <v>323353.63</v>
      </c>
    </row>
    <row r="2184" spans="1:17" x14ac:dyDescent="0.3">
      <c r="A2184" t="s">
        <v>5130</v>
      </c>
      <c r="B2184" t="s">
        <v>2396</v>
      </c>
      <c r="C2184" s="2" t="str">
        <f>PROPER(TRIM(Table1[[#This Row],[Gender]]))</f>
        <v>Female</v>
      </c>
      <c r="D2184" t="s">
        <v>43</v>
      </c>
      <c r="E2184">
        <v>18</v>
      </c>
      <c r="F2184" t="s">
        <v>49</v>
      </c>
      <c r="G2184" s="1">
        <v>39088</v>
      </c>
      <c r="H2184" t="s">
        <v>5131</v>
      </c>
      <c r="I2184" s="2" t="str">
        <f t="shared" si="34"/>
        <v>+91-9422383227</v>
      </c>
      <c r="J2184">
        <f>91-9422383318</f>
        <v>-9422383227</v>
      </c>
      <c r="K2184" t="s">
        <v>19</v>
      </c>
      <c r="L2184" t="s">
        <v>20</v>
      </c>
      <c r="M2184">
        <v>500992</v>
      </c>
      <c r="N2184" s="1">
        <v>45421</v>
      </c>
      <c r="O2184" t="s">
        <v>21</v>
      </c>
      <c r="P2184">
        <v>4</v>
      </c>
      <c r="Q2184">
        <v>20435.080000000002</v>
      </c>
    </row>
    <row r="2185" spans="1:17" x14ac:dyDescent="0.3">
      <c r="A2185" t="s">
        <v>5132</v>
      </c>
      <c r="B2185" t="s">
        <v>1012</v>
      </c>
      <c r="C2185" s="2" t="str">
        <f>PROPER(TRIM(Table1[[#This Row],[Gender]]))</f>
        <v>Male</v>
      </c>
      <c r="D2185" t="s">
        <v>16</v>
      </c>
      <c r="E2185">
        <v>56</v>
      </c>
      <c r="F2185" t="s">
        <v>58</v>
      </c>
      <c r="G2185" s="1">
        <v>25218</v>
      </c>
      <c r="H2185" t="s">
        <v>5133</v>
      </c>
      <c r="I2185" s="2" t="str">
        <f t="shared" si="34"/>
        <v>+91-7963269700</v>
      </c>
      <c r="J2185">
        <f>91-7963269791</f>
        <v>-7963269700</v>
      </c>
      <c r="K2185" t="s">
        <v>331</v>
      </c>
      <c r="L2185" t="s">
        <v>143</v>
      </c>
      <c r="M2185">
        <v>586153</v>
      </c>
      <c r="N2185" s="1">
        <v>45436</v>
      </c>
      <c r="O2185" t="s">
        <v>35</v>
      </c>
      <c r="P2185">
        <v>5</v>
      </c>
      <c r="Q2185">
        <v>15093.12</v>
      </c>
    </row>
    <row r="2186" spans="1:17" x14ac:dyDescent="0.3">
      <c r="A2186" t="s">
        <v>5134</v>
      </c>
      <c r="B2186" t="s">
        <v>2613</v>
      </c>
      <c r="C2186" s="2" t="str">
        <f>PROPER(TRIM(Table1[[#This Row],[Gender]]))</f>
        <v>Female</v>
      </c>
      <c r="D2186" t="s">
        <v>43</v>
      </c>
      <c r="E2186">
        <v>55</v>
      </c>
      <c r="F2186" t="s">
        <v>17</v>
      </c>
      <c r="G2186" s="1">
        <v>25583</v>
      </c>
      <c r="H2186" t="s">
        <v>5135</v>
      </c>
      <c r="I2186" s="2" t="str">
        <f t="shared" si="34"/>
        <v>+91-7527942076</v>
      </c>
      <c r="J2186">
        <f>91-7527942167</f>
        <v>-7527942076</v>
      </c>
      <c r="K2186" t="s">
        <v>94</v>
      </c>
      <c r="L2186" t="s">
        <v>20</v>
      </c>
      <c r="M2186">
        <v>867998</v>
      </c>
      <c r="N2186" s="1">
        <v>45102</v>
      </c>
      <c r="O2186" t="s">
        <v>35</v>
      </c>
      <c r="P2186">
        <v>0</v>
      </c>
      <c r="Q2186">
        <v>0</v>
      </c>
    </row>
    <row r="2187" spans="1:17" x14ac:dyDescent="0.3">
      <c r="A2187" t="s">
        <v>5136</v>
      </c>
      <c r="B2187" t="s">
        <v>2304</v>
      </c>
      <c r="C2187" s="2" t="str">
        <f>PROPER(TRIM(Table1[[#This Row],[Gender]]))</f>
        <v>Male</v>
      </c>
      <c r="D2187" t="s">
        <v>16</v>
      </c>
      <c r="E2187">
        <v>31</v>
      </c>
      <c r="F2187" t="s">
        <v>31</v>
      </c>
      <c r="G2187" s="1">
        <v>34343</v>
      </c>
      <c r="H2187" t="s">
        <v>5137</v>
      </c>
      <c r="I2187" s="2" t="str">
        <f t="shared" si="34"/>
        <v>+91-9291730009</v>
      </c>
      <c r="J2187">
        <f>91-9291730100</f>
        <v>-9291730009</v>
      </c>
      <c r="K2187" t="s">
        <v>89</v>
      </c>
      <c r="L2187" t="s">
        <v>90</v>
      </c>
      <c r="M2187">
        <v>684711</v>
      </c>
      <c r="N2187" s="1">
        <v>45423</v>
      </c>
      <c r="O2187" t="s">
        <v>28</v>
      </c>
      <c r="P2187">
        <v>6</v>
      </c>
      <c r="Q2187">
        <v>338095.8</v>
      </c>
    </row>
    <row r="2188" spans="1:17" x14ac:dyDescent="0.3">
      <c r="A2188" t="s">
        <v>5138</v>
      </c>
      <c r="B2188" t="s">
        <v>284</v>
      </c>
      <c r="C2188" s="2" t="str">
        <f>PROPER(TRIM(Table1[[#This Row],[Gender]]))</f>
        <v>Female</v>
      </c>
      <c r="D2188" t="s">
        <v>43</v>
      </c>
      <c r="E2188">
        <v>31</v>
      </c>
      <c r="F2188" t="s">
        <v>31</v>
      </c>
      <c r="G2188" s="1">
        <v>34343</v>
      </c>
      <c r="H2188" t="s">
        <v>5139</v>
      </c>
      <c r="I2188" s="2" t="str">
        <f t="shared" si="34"/>
        <v>+91-8157181124</v>
      </c>
      <c r="J2188">
        <f>91-8157181215</f>
        <v>-8157181124</v>
      </c>
      <c r="K2188" t="s">
        <v>117</v>
      </c>
      <c r="L2188" t="s">
        <v>52</v>
      </c>
      <c r="M2188">
        <v>713651</v>
      </c>
      <c r="N2188" s="1">
        <v>45132</v>
      </c>
      <c r="O2188" t="s">
        <v>28</v>
      </c>
      <c r="P2188">
        <v>4</v>
      </c>
      <c r="Q2188">
        <v>105410.92</v>
      </c>
    </row>
    <row r="2189" spans="1:17" x14ac:dyDescent="0.3">
      <c r="A2189" t="s">
        <v>5140</v>
      </c>
      <c r="B2189" t="s">
        <v>2817</v>
      </c>
      <c r="C2189" s="2" t="str">
        <f>PROPER(TRIM(Table1[[#This Row],[Gender]]))</f>
        <v>Male</v>
      </c>
      <c r="D2189" t="s">
        <v>16</v>
      </c>
      <c r="E2189">
        <v>36</v>
      </c>
      <c r="F2189" t="s">
        <v>38</v>
      </c>
      <c r="G2189" s="1">
        <v>32518</v>
      </c>
      <c r="H2189" t="s">
        <v>5141</v>
      </c>
      <c r="I2189" s="2" t="str">
        <f t="shared" si="34"/>
        <v>+91-8431366244</v>
      </c>
      <c r="J2189">
        <f>91-8431366335</f>
        <v>-8431366244</v>
      </c>
      <c r="K2189" t="s">
        <v>109</v>
      </c>
      <c r="L2189" t="s">
        <v>46</v>
      </c>
      <c r="M2189">
        <v>549986</v>
      </c>
      <c r="N2189" s="1">
        <v>45373</v>
      </c>
      <c r="O2189" t="s">
        <v>28</v>
      </c>
      <c r="P2189">
        <v>4</v>
      </c>
      <c r="Q2189">
        <v>124117.07</v>
      </c>
    </row>
    <row r="2190" spans="1:17" x14ac:dyDescent="0.3">
      <c r="A2190" t="s">
        <v>5142</v>
      </c>
      <c r="B2190" t="s">
        <v>2820</v>
      </c>
      <c r="C2190" s="2" t="str">
        <f>PROPER(TRIM(Table1[[#This Row],[Gender]]))</f>
        <v>Male</v>
      </c>
      <c r="D2190" t="s">
        <v>16</v>
      </c>
      <c r="E2190">
        <v>39</v>
      </c>
      <c r="F2190" t="s">
        <v>38</v>
      </c>
      <c r="G2190" s="1">
        <v>31423</v>
      </c>
      <c r="H2190" t="s">
        <v>5143</v>
      </c>
      <c r="I2190" s="2" t="str">
        <f t="shared" si="34"/>
        <v>+91-9860034981</v>
      </c>
      <c r="J2190">
        <f>91-9860035072</f>
        <v>-9860034981</v>
      </c>
      <c r="K2190" t="s">
        <v>331</v>
      </c>
      <c r="L2190" t="s">
        <v>143</v>
      </c>
      <c r="M2190">
        <v>191420</v>
      </c>
      <c r="N2190" s="1">
        <v>45376</v>
      </c>
      <c r="O2190" t="s">
        <v>28</v>
      </c>
      <c r="P2190">
        <v>4</v>
      </c>
      <c r="Q2190">
        <v>276903.69</v>
      </c>
    </row>
    <row r="2191" spans="1:17" x14ac:dyDescent="0.3">
      <c r="A2191" t="s">
        <v>5144</v>
      </c>
      <c r="B2191" t="s">
        <v>734</v>
      </c>
      <c r="C2191" s="2" t="str">
        <f>PROPER(TRIM(Table1[[#This Row],[Gender]]))</f>
        <v>Female</v>
      </c>
      <c r="D2191" t="s">
        <v>43</v>
      </c>
      <c r="E2191">
        <v>22</v>
      </c>
      <c r="F2191" t="s">
        <v>49</v>
      </c>
      <c r="G2191" s="1">
        <v>37628</v>
      </c>
      <c r="H2191" t="s">
        <v>1505</v>
      </c>
      <c r="I2191" s="2" t="str">
        <f t="shared" si="34"/>
        <v>+91-9983360363</v>
      </c>
      <c r="J2191">
        <f>91-9983360454</f>
        <v>-9983360363</v>
      </c>
      <c r="K2191" t="s">
        <v>26</v>
      </c>
      <c r="L2191" t="s">
        <v>27</v>
      </c>
      <c r="M2191">
        <v>542236</v>
      </c>
      <c r="N2191" s="1">
        <v>45253</v>
      </c>
      <c r="O2191" t="s">
        <v>28</v>
      </c>
      <c r="P2191">
        <v>8</v>
      </c>
      <c r="Q2191">
        <v>122247.91</v>
      </c>
    </row>
    <row r="2192" spans="1:17" x14ac:dyDescent="0.3">
      <c r="A2192" t="s">
        <v>5145</v>
      </c>
      <c r="B2192" t="s">
        <v>5146</v>
      </c>
      <c r="C2192" s="2" t="str">
        <f>PROPER(TRIM(Table1[[#This Row],[Gender]]))</f>
        <v>Male</v>
      </c>
      <c r="D2192" t="s">
        <v>16</v>
      </c>
      <c r="E2192">
        <v>35</v>
      </c>
      <c r="F2192" t="s">
        <v>31</v>
      </c>
      <c r="G2192" s="1">
        <v>32883</v>
      </c>
      <c r="H2192" t="s">
        <v>5147</v>
      </c>
      <c r="I2192" s="2" t="str">
        <f t="shared" si="34"/>
        <v>+91-8893621961</v>
      </c>
      <c r="J2192">
        <f>91-8893622052</f>
        <v>-8893621961</v>
      </c>
      <c r="K2192" t="s">
        <v>174</v>
      </c>
      <c r="L2192" t="s">
        <v>90</v>
      </c>
      <c r="M2192">
        <v>542253</v>
      </c>
      <c r="N2192" s="1">
        <v>45418</v>
      </c>
      <c r="O2192" t="s">
        <v>28</v>
      </c>
      <c r="P2192">
        <v>8</v>
      </c>
      <c r="Q2192">
        <v>126259.9</v>
      </c>
    </row>
    <row r="2193" spans="1:17" x14ac:dyDescent="0.3">
      <c r="A2193" t="s">
        <v>5148</v>
      </c>
      <c r="B2193" t="s">
        <v>257</v>
      </c>
      <c r="C2193" s="2" t="str">
        <f>PROPER(TRIM(Table1[[#This Row],[Gender]]))</f>
        <v>Male</v>
      </c>
      <c r="D2193" t="s">
        <v>16</v>
      </c>
      <c r="E2193">
        <v>36</v>
      </c>
      <c r="F2193" t="s">
        <v>38</v>
      </c>
      <c r="G2193" s="1">
        <v>32518</v>
      </c>
      <c r="H2193" t="s">
        <v>5149</v>
      </c>
      <c r="I2193" s="2" t="str">
        <f t="shared" si="34"/>
        <v>+91-8392641666</v>
      </c>
      <c r="J2193">
        <f>91-8392641757</f>
        <v>-8392641666</v>
      </c>
      <c r="K2193" t="s">
        <v>331</v>
      </c>
      <c r="L2193" t="s">
        <v>143</v>
      </c>
      <c r="M2193">
        <v>342984</v>
      </c>
      <c r="N2193" s="1">
        <v>45344</v>
      </c>
      <c r="O2193" t="s">
        <v>28</v>
      </c>
      <c r="P2193">
        <v>4</v>
      </c>
      <c r="Q2193">
        <v>134143.84</v>
      </c>
    </row>
    <row r="2194" spans="1:17" x14ac:dyDescent="0.3">
      <c r="A2194" t="s">
        <v>5150</v>
      </c>
      <c r="B2194" t="s">
        <v>593</v>
      </c>
      <c r="C2194" s="2" t="str">
        <f>PROPER(TRIM(Table1[[#This Row],[Gender]]))</f>
        <v>Female</v>
      </c>
      <c r="D2194" t="s">
        <v>43</v>
      </c>
      <c r="E2194">
        <v>38</v>
      </c>
      <c r="F2194" t="s">
        <v>38</v>
      </c>
      <c r="G2194" s="1">
        <v>31788</v>
      </c>
      <c r="H2194" t="s">
        <v>5151</v>
      </c>
      <c r="I2194" s="2" t="str">
        <f t="shared" si="34"/>
        <v>+91-8213373279</v>
      </c>
      <c r="J2194">
        <f>91-8213373370</f>
        <v>-8213373279</v>
      </c>
      <c r="K2194" t="s">
        <v>113</v>
      </c>
      <c r="L2194" t="s">
        <v>34</v>
      </c>
      <c r="M2194">
        <v>338040</v>
      </c>
      <c r="N2194" s="1">
        <v>45259</v>
      </c>
      <c r="O2194" t="s">
        <v>28</v>
      </c>
      <c r="P2194">
        <v>3</v>
      </c>
      <c r="Q2194">
        <v>66002.8</v>
      </c>
    </row>
    <row r="2195" spans="1:17" x14ac:dyDescent="0.3">
      <c r="A2195" t="s">
        <v>5152</v>
      </c>
      <c r="B2195" t="s">
        <v>4080</v>
      </c>
      <c r="C2195" s="2" t="str">
        <f>PROPER(TRIM(Table1[[#This Row],[Gender]]))</f>
        <v>Male</v>
      </c>
      <c r="D2195" t="s">
        <v>16</v>
      </c>
      <c r="E2195">
        <v>18</v>
      </c>
      <c r="F2195" t="s">
        <v>49</v>
      </c>
      <c r="G2195" s="1">
        <v>39088</v>
      </c>
      <c r="H2195" t="s">
        <v>5153</v>
      </c>
      <c r="I2195" s="2" t="str">
        <f t="shared" si="34"/>
        <v>+91-7808740108</v>
      </c>
      <c r="J2195">
        <f>91-7808740199</f>
        <v>-7808740108</v>
      </c>
      <c r="K2195" t="s">
        <v>249</v>
      </c>
      <c r="L2195" t="s">
        <v>34</v>
      </c>
      <c r="M2195">
        <v>845604</v>
      </c>
      <c r="N2195" s="1">
        <v>45164</v>
      </c>
      <c r="O2195" t="s">
        <v>28</v>
      </c>
      <c r="P2195">
        <v>4</v>
      </c>
      <c r="Q2195">
        <v>82601.09</v>
      </c>
    </row>
    <row r="2196" spans="1:17" x14ac:dyDescent="0.3">
      <c r="A2196" t="s">
        <v>5154</v>
      </c>
      <c r="B2196" t="s">
        <v>3722</v>
      </c>
      <c r="C2196" s="2" t="str">
        <f>PROPER(TRIM(Table1[[#This Row],[Gender]]))</f>
        <v>Male</v>
      </c>
      <c r="D2196" t="s">
        <v>16</v>
      </c>
      <c r="E2196">
        <v>45</v>
      </c>
      <c r="F2196" t="s">
        <v>38</v>
      </c>
      <c r="G2196" s="1">
        <v>29233</v>
      </c>
      <c r="H2196" t="s">
        <v>5155</v>
      </c>
      <c r="I2196" s="2" t="str">
        <f t="shared" si="34"/>
        <v>+91-7374306261</v>
      </c>
      <c r="J2196">
        <f>91-7374306352</f>
        <v>-7374306261</v>
      </c>
      <c r="K2196" t="s">
        <v>19</v>
      </c>
      <c r="L2196" t="s">
        <v>20</v>
      </c>
      <c r="M2196">
        <v>438262</v>
      </c>
      <c r="N2196" s="1">
        <v>45272</v>
      </c>
      <c r="O2196" t="s">
        <v>28</v>
      </c>
      <c r="P2196">
        <v>6</v>
      </c>
      <c r="Q2196">
        <v>210327.83</v>
      </c>
    </row>
    <row r="2197" spans="1:17" x14ac:dyDescent="0.3">
      <c r="A2197" t="s">
        <v>5156</v>
      </c>
      <c r="B2197" t="s">
        <v>2864</v>
      </c>
      <c r="C2197" s="2" t="str">
        <f>PROPER(TRIM(Table1[[#This Row],[Gender]]))</f>
        <v>Male</v>
      </c>
      <c r="D2197" t="s">
        <v>16</v>
      </c>
      <c r="E2197">
        <v>23</v>
      </c>
      <c r="F2197" t="s">
        <v>49</v>
      </c>
      <c r="G2197" s="1">
        <v>37263</v>
      </c>
      <c r="H2197" t="s">
        <v>5157</v>
      </c>
      <c r="I2197" s="2" t="str">
        <f t="shared" si="34"/>
        <v>+91-8924980927</v>
      </c>
      <c r="J2197">
        <f>91-8924981018</f>
        <v>-8924980927</v>
      </c>
      <c r="K2197" t="s">
        <v>161</v>
      </c>
      <c r="L2197" t="s">
        <v>102</v>
      </c>
      <c r="M2197">
        <v>793770</v>
      </c>
      <c r="N2197" s="1">
        <v>45145</v>
      </c>
      <c r="O2197" t="s">
        <v>21</v>
      </c>
      <c r="P2197">
        <v>3</v>
      </c>
      <c r="Q2197">
        <v>42157.34</v>
      </c>
    </row>
    <row r="2198" spans="1:17" x14ac:dyDescent="0.3">
      <c r="A2198" t="s">
        <v>5158</v>
      </c>
      <c r="B2198" t="s">
        <v>3836</v>
      </c>
      <c r="C2198" s="2" t="str">
        <f>PROPER(TRIM(Table1[[#This Row],[Gender]]))</f>
        <v>Male</v>
      </c>
      <c r="D2198" t="s">
        <v>16</v>
      </c>
      <c r="E2198">
        <v>32</v>
      </c>
      <c r="F2198" t="s">
        <v>31</v>
      </c>
      <c r="G2198" s="1">
        <v>33978</v>
      </c>
      <c r="H2198" t="s">
        <v>5159</v>
      </c>
      <c r="I2198" s="2" t="str">
        <f t="shared" si="34"/>
        <v>+91-7240590110</v>
      </c>
      <c r="J2198">
        <f>91-7240590201</f>
        <v>-7240590110</v>
      </c>
      <c r="K2198" t="s">
        <v>142</v>
      </c>
      <c r="L2198" t="s">
        <v>143</v>
      </c>
      <c r="M2198">
        <v>194035</v>
      </c>
      <c r="N2198" s="1">
        <v>45350</v>
      </c>
      <c r="O2198" t="s">
        <v>28</v>
      </c>
      <c r="P2198">
        <v>7</v>
      </c>
      <c r="Q2198">
        <v>288706.36</v>
      </c>
    </row>
    <row r="2199" spans="1:17" x14ac:dyDescent="0.3">
      <c r="A2199" t="s">
        <v>5160</v>
      </c>
      <c r="B2199" t="s">
        <v>1283</v>
      </c>
      <c r="C2199" s="2" t="str">
        <f>PROPER(TRIM(Table1[[#This Row],[Gender]]))</f>
        <v>Female</v>
      </c>
      <c r="D2199" t="s">
        <v>43</v>
      </c>
      <c r="E2199">
        <v>63</v>
      </c>
      <c r="F2199" t="s">
        <v>58</v>
      </c>
      <c r="G2199" s="1">
        <v>22663</v>
      </c>
      <c r="H2199" t="s">
        <v>5161</v>
      </c>
      <c r="I2199" s="2" t="str">
        <f t="shared" si="34"/>
        <v>+91-8844276799</v>
      </c>
      <c r="J2199">
        <f>91-8844276890</f>
        <v>-8844276799</v>
      </c>
      <c r="K2199" t="s">
        <v>190</v>
      </c>
      <c r="L2199" t="s">
        <v>191</v>
      </c>
      <c r="M2199">
        <v>409157</v>
      </c>
      <c r="N2199" s="1">
        <v>45223</v>
      </c>
      <c r="O2199" t="s">
        <v>28</v>
      </c>
      <c r="P2199">
        <v>7</v>
      </c>
      <c r="Q2199">
        <v>99260.24</v>
      </c>
    </row>
    <row r="2200" spans="1:17" x14ac:dyDescent="0.3">
      <c r="A2200" t="s">
        <v>5162</v>
      </c>
      <c r="B2200" t="s">
        <v>490</v>
      </c>
      <c r="C2200" s="2" t="str">
        <f>PROPER(TRIM(Table1[[#This Row],[Gender]]))</f>
        <v>Male</v>
      </c>
      <c r="D2200" t="s">
        <v>16</v>
      </c>
      <c r="E2200">
        <v>29</v>
      </c>
      <c r="F2200" t="s">
        <v>31</v>
      </c>
      <c r="G2200" s="1">
        <v>35073</v>
      </c>
      <c r="H2200" t="s">
        <v>5163</v>
      </c>
      <c r="I2200" s="2" t="str">
        <f t="shared" si="34"/>
        <v>+91-9127226464</v>
      </c>
      <c r="J2200">
        <f>91-9127226555</f>
        <v>-9127226464</v>
      </c>
      <c r="K2200" t="s">
        <v>76</v>
      </c>
      <c r="L2200" t="s">
        <v>46</v>
      </c>
      <c r="M2200">
        <v>518162</v>
      </c>
      <c r="N2200" s="1">
        <v>45196</v>
      </c>
      <c r="O2200" t="s">
        <v>21</v>
      </c>
      <c r="P2200">
        <v>3</v>
      </c>
      <c r="Q2200">
        <v>25671.8</v>
      </c>
    </row>
    <row r="2201" spans="1:17" x14ac:dyDescent="0.3">
      <c r="A2201" t="s">
        <v>5164</v>
      </c>
      <c r="B2201" t="s">
        <v>5165</v>
      </c>
      <c r="C2201" s="2" t="str">
        <f>PROPER(TRIM(Table1[[#This Row],[Gender]]))</f>
        <v>Female</v>
      </c>
      <c r="D2201" t="s">
        <v>43</v>
      </c>
      <c r="E2201">
        <v>32</v>
      </c>
      <c r="F2201" t="s">
        <v>31</v>
      </c>
      <c r="G2201" s="1">
        <v>33978</v>
      </c>
      <c r="H2201" t="s">
        <v>5166</v>
      </c>
      <c r="I2201" s="2" t="str">
        <f t="shared" si="34"/>
        <v>+91-9386968346</v>
      </c>
      <c r="J2201">
        <f>91-9386968437</f>
        <v>-9386968346</v>
      </c>
      <c r="K2201" t="s">
        <v>84</v>
      </c>
      <c r="L2201" t="s">
        <v>85</v>
      </c>
      <c r="M2201">
        <v>149023</v>
      </c>
      <c r="N2201" s="1">
        <v>45313</v>
      </c>
      <c r="O2201" t="s">
        <v>28</v>
      </c>
      <c r="P2201">
        <v>5</v>
      </c>
      <c r="Q2201">
        <v>186387.51</v>
      </c>
    </row>
    <row r="2202" spans="1:17" x14ac:dyDescent="0.3">
      <c r="A2202" t="s">
        <v>5167</v>
      </c>
      <c r="B2202" t="s">
        <v>954</v>
      </c>
      <c r="C2202" s="2" t="str">
        <f>PROPER(TRIM(Table1[[#This Row],[Gender]]))</f>
        <v>Male</v>
      </c>
      <c r="D2202" t="s">
        <v>16</v>
      </c>
      <c r="E2202">
        <v>38</v>
      </c>
      <c r="F2202" t="s">
        <v>38</v>
      </c>
      <c r="G2202" s="1">
        <v>31788</v>
      </c>
      <c r="H2202" t="s">
        <v>5168</v>
      </c>
      <c r="I2202" s="2" t="str">
        <f t="shared" si="34"/>
        <v>+91-7846634085</v>
      </c>
      <c r="J2202">
        <f>91-7846634176</f>
        <v>-7846634085</v>
      </c>
      <c r="K2202" t="s">
        <v>369</v>
      </c>
      <c r="L2202" t="s">
        <v>191</v>
      </c>
      <c r="M2202">
        <v>357225</v>
      </c>
      <c r="N2202" s="1">
        <v>45127</v>
      </c>
      <c r="O2202" t="s">
        <v>28</v>
      </c>
      <c r="P2202">
        <v>3</v>
      </c>
      <c r="Q2202">
        <v>73742.37</v>
      </c>
    </row>
    <row r="2203" spans="1:17" x14ac:dyDescent="0.3">
      <c r="A2203" t="s">
        <v>5169</v>
      </c>
      <c r="B2203" t="s">
        <v>4150</v>
      </c>
      <c r="C2203" s="2" t="str">
        <f>PROPER(TRIM(Table1[[#This Row],[Gender]]))</f>
        <v>Male</v>
      </c>
      <c r="D2203" t="s">
        <v>16</v>
      </c>
      <c r="E2203">
        <v>32</v>
      </c>
      <c r="F2203" t="s">
        <v>31</v>
      </c>
      <c r="G2203" s="1">
        <v>33978</v>
      </c>
      <c r="H2203" t="s">
        <v>5170</v>
      </c>
      <c r="I2203" s="2" t="str">
        <f t="shared" si="34"/>
        <v>+91-8660624995</v>
      </c>
      <c r="J2203">
        <f>91-8660625086</f>
        <v>-8660624995</v>
      </c>
      <c r="K2203" t="s">
        <v>273</v>
      </c>
      <c r="L2203" t="s">
        <v>46</v>
      </c>
      <c r="M2203">
        <v>517545</v>
      </c>
      <c r="N2203" s="1">
        <v>45181</v>
      </c>
      <c r="O2203" t="s">
        <v>28</v>
      </c>
      <c r="P2203">
        <v>7</v>
      </c>
      <c r="Q2203">
        <v>206603.6</v>
      </c>
    </row>
    <row r="2204" spans="1:17" x14ac:dyDescent="0.3">
      <c r="A2204" t="s">
        <v>5171</v>
      </c>
      <c r="B2204" t="s">
        <v>954</v>
      </c>
      <c r="C2204" s="2" t="str">
        <f>PROPER(TRIM(Table1[[#This Row],[Gender]]))</f>
        <v>Male</v>
      </c>
      <c r="D2204" t="s">
        <v>16</v>
      </c>
      <c r="E2204">
        <v>27</v>
      </c>
      <c r="F2204" t="s">
        <v>31</v>
      </c>
      <c r="G2204" s="1">
        <v>35803</v>
      </c>
      <c r="H2204" t="s">
        <v>5172</v>
      </c>
      <c r="I2204" s="2" t="str">
        <f t="shared" si="34"/>
        <v>+91-9083585838</v>
      </c>
      <c r="J2204">
        <f>91-9083585929</f>
        <v>-9083585838</v>
      </c>
      <c r="K2204" t="s">
        <v>147</v>
      </c>
      <c r="L2204" t="s">
        <v>143</v>
      </c>
      <c r="M2204">
        <v>753809</v>
      </c>
      <c r="N2204" s="1">
        <v>45148</v>
      </c>
      <c r="O2204" t="s">
        <v>28</v>
      </c>
      <c r="P2204">
        <v>8</v>
      </c>
      <c r="Q2204">
        <v>228244.4</v>
      </c>
    </row>
    <row r="2205" spans="1:17" x14ac:dyDescent="0.3">
      <c r="A2205" t="s">
        <v>5173</v>
      </c>
      <c r="B2205" t="s">
        <v>3041</v>
      </c>
      <c r="C2205" s="2" t="str">
        <f>PROPER(TRIM(Table1[[#This Row],[Gender]]))</f>
        <v>Male</v>
      </c>
      <c r="D2205" t="s">
        <v>16</v>
      </c>
      <c r="E2205">
        <v>33</v>
      </c>
      <c r="F2205" t="s">
        <v>31</v>
      </c>
      <c r="G2205" s="1">
        <v>33613</v>
      </c>
      <c r="H2205" t="s">
        <v>5174</v>
      </c>
      <c r="I2205" s="2" t="str">
        <f t="shared" si="34"/>
        <v>+91-8827342641</v>
      </c>
      <c r="J2205">
        <f>91-8827342732</f>
        <v>-8827342641</v>
      </c>
      <c r="K2205" t="s">
        <v>369</v>
      </c>
      <c r="L2205" t="s">
        <v>191</v>
      </c>
      <c r="M2205">
        <v>285471</v>
      </c>
      <c r="N2205" s="1">
        <v>45260</v>
      </c>
      <c r="O2205" t="s">
        <v>28</v>
      </c>
      <c r="P2205">
        <v>7</v>
      </c>
      <c r="Q2205">
        <v>174270.78</v>
      </c>
    </row>
    <row r="2206" spans="1:17" x14ac:dyDescent="0.3">
      <c r="A2206" t="s">
        <v>5175</v>
      </c>
      <c r="B2206" t="s">
        <v>2054</v>
      </c>
      <c r="C2206" s="2" t="str">
        <f>PROPER(TRIM(Table1[[#This Row],[Gender]]))</f>
        <v>Female</v>
      </c>
      <c r="D2206" t="s">
        <v>43</v>
      </c>
      <c r="E2206">
        <v>27</v>
      </c>
      <c r="F2206" t="s">
        <v>31</v>
      </c>
      <c r="G2206" s="1">
        <v>35803</v>
      </c>
      <c r="H2206" t="s">
        <v>5176</v>
      </c>
      <c r="I2206" s="2" t="str">
        <f t="shared" si="34"/>
        <v>+91-7072599292</v>
      </c>
      <c r="J2206">
        <f>91-7072599383</f>
        <v>-7072599292</v>
      </c>
      <c r="K2206" t="s">
        <v>142</v>
      </c>
      <c r="L2206" t="s">
        <v>143</v>
      </c>
      <c r="M2206">
        <v>578358</v>
      </c>
      <c r="N2206" s="1">
        <v>45217</v>
      </c>
      <c r="O2206" t="s">
        <v>21</v>
      </c>
      <c r="P2206">
        <v>4</v>
      </c>
      <c r="Q2206">
        <v>46384.89</v>
      </c>
    </row>
    <row r="2207" spans="1:17" x14ac:dyDescent="0.3">
      <c r="A2207" t="s">
        <v>5177</v>
      </c>
      <c r="B2207" t="s">
        <v>683</v>
      </c>
      <c r="C2207" s="2" t="str">
        <f>PROPER(TRIM(Table1[[#This Row],[Gender]]))</f>
        <v>Female</v>
      </c>
      <c r="D2207" t="s">
        <v>43</v>
      </c>
      <c r="E2207">
        <v>21</v>
      </c>
      <c r="F2207" t="s">
        <v>49</v>
      </c>
      <c r="G2207" s="1">
        <v>37993</v>
      </c>
      <c r="H2207" t="s">
        <v>5178</v>
      </c>
      <c r="I2207" s="2" t="str">
        <f t="shared" si="34"/>
        <v>+91-9923564150</v>
      </c>
      <c r="J2207">
        <f>91-9923564241</f>
        <v>-9923564150</v>
      </c>
      <c r="K2207" t="s">
        <v>89</v>
      </c>
      <c r="L2207" t="s">
        <v>90</v>
      </c>
      <c r="M2207">
        <v>653828</v>
      </c>
      <c r="N2207" s="1">
        <v>45229</v>
      </c>
      <c r="O2207" t="s">
        <v>28</v>
      </c>
      <c r="P2207">
        <v>7</v>
      </c>
      <c r="Q2207">
        <v>148269.78</v>
      </c>
    </row>
    <row r="2208" spans="1:17" x14ac:dyDescent="0.3">
      <c r="A2208" t="s">
        <v>5179</v>
      </c>
      <c r="B2208" t="s">
        <v>2707</v>
      </c>
      <c r="C2208" s="2" t="str">
        <f>PROPER(TRIM(Table1[[#This Row],[Gender]]))</f>
        <v>Male</v>
      </c>
      <c r="D2208" t="s">
        <v>16</v>
      </c>
      <c r="E2208">
        <v>37</v>
      </c>
      <c r="F2208" t="s">
        <v>38</v>
      </c>
      <c r="G2208" s="1">
        <v>32153</v>
      </c>
      <c r="H2208" t="s">
        <v>5180</v>
      </c>
      <c r="I2208" s="2" t="str">
        <f t="shared" si="34"/>
        <v>+91-8682616715</v>
      </c>
      <c r="J2208">
        <f>91-8682616806</f>
        <v>-8682616715</v>
      </c>
      <c r="K2208" t="s">
        <v>195</v>
      </c>
      <c r="L2208" t="s">
        <v>102</v>
      </c>
      <c r="M2208">
        <v>595699</v>
      </c>
      <c r="N2208" s="1">
        <v>45200</v>
      </c>
      <c r="O2208" t="s">
        <v>28</v>
      </c>
      <c r="P2208">
        <v>4</v>
      </c>
      <c r="Q2208">
        <v>183818.37</v>
      </c>
    </row>
    <row r="2209" spans="1:17" x14ac:dyDescent="0.3">
      <c r="A2209" t="s">
        <v>5181</v>
      </c>
      <c r="B2209" t="s">
        <v>70</v>
      </c>
      <c r="C2209" s="2" t="str">
        <f>PROPER(TRIM(Table1[[#This Row],[Gender]]))</f>
        <v>Female</v>
      </c>
      <c r="D2209" t="s">
        <v>43</v>
      </c>
      <c r="E2209">
        <v>41</v>
      </c>
      <c r="F2209" t="s">
        <v>38</v>
      </c>
      <c r="G2209" s="1">
        <v>30693</v>
      </c>
      <c r="H2209" t="s">
        <v>5182</v>
      </c>
      <c r="I2209" s="2" t="str">
        <f t="shared" si="34"/>
        <v>+91-9456092841</v>
      </c>
      <c r="J2209">
        <f>91-9456092932</f>
        <v>-9456092841</v>
      </c>
      <c r="K2209" t="s">
        <v>142</v>
      </c>
      <c r="L2209" t="s">
        <v>143</v>
      </c>
      <c r="M2209">
        <v>728009</v>
      </c>
      <c r="N2209" s="1">
        <v>45112</v>
      </c>
      <c r="O2209" t="s">
        <v>28</v>
      </c>
      <c r="P2209">
        <v>5</v>
      </c>
      <c r="Q2209">
        <v>439195.35</v>
      </c>
    </row>
    <row r="2210" spans="1:17" x14ac:dyDescent="0.3">
      <c r="A2210" t="s">
        <v>5183</v>
      </c>
      <c r="B2210" t="s">
        <v>2013</v>
      </c>
      <c r="C2210" s="2" t="str">
        <f>PROPER(TRIM(Table1[[#This Row],[Gender]]))</f>
        <v>Male</v>
      </c>
      <c r="D2210" t="s">
        <v>16</v>
      </c>
      <c r="E2210">
        <v>19</v>
      </c>
      <c r="F2210" t="s">
        <v>49</v>
      </c>
      <c r="G2210" s="1">
        <v>38723</v>
      </c>
      <c r="H2210" t="s">
        <v>5184</v>
      </c>
      <c r="I2210" s="2" t="str">
        <f t="shared" si="34"/>
        <v>+91-8842233659</v>
      </c>
      <c r="J2210">
        <f>91-8842233750</f>
        <v>-8842233659</v>
      </c>
      <c r="K2210" t="s">
        <v>239</v>
      </c>
      <c r="L2210" t="s">
        <v>191</v>
      </c>
      <c r="M2210">
        <v>425170</v>
      </c>
      <c r="N2210" s="1">
        <v>45135</v>
      </c>
      <c r="O2210" t="s">
        <v>21</v>
      </c>
      <c r="P2210">
        <v>3</v>
      </c>
      <c r="Q2210">
        <v>20021.28</v>
      </c>
    </row>
    <row r="2211" spans="1:17" x14ac:dyDescent="0.3">
      <c r="A2211" t="s">
        <v>5185</v>
      </c>
      <c r="B2211" t="s">
        <v>1790</v>
      </c>
      <c r="C2211" s="2" t="str">
        <f>PROPER(TRIM(Table1[[#This Row],[Gender]]))</f>
        <v>Female</v>
      </c>
      <c r="D2211" t="s">
        <v>43</v>
      </c>
      <c r="E2211">
        <v>24</v>
      </c>
      <c r="F2211" t="s">
        <v>49</v>
      </c>
      <c r="G2211" s="1">
        <v>36898</v>
      </c>
      <c r="H2211" t="s">
        <v>5186</v>
      </c>
      <c r="I2211" s="2" t="str">
        <f t="shared" si="34"/>
        <v>+91-9233179718</v>
      </c>
      <c r="J2211">
        <f>91-9233179809</f>
        <v>-9233179718</v>
      </c>
      <c r="K2211" t="s">
        <v>138</v>
      </c>
      <c r="L2211" t="s">
        <v>90</v>
      </c>
      <c r="M2211">
        <v>604832</v>
      </c>
      <c r="N2211" s="1">
        <v>45167</v>
      </c>
      <c r="O2211" t="s">
        <v>28</v>
      </c>
      <c r="P2211">
        <v>8</v>
      </c>
      <c r="Q2211">
        <v>198654.24</v>
      </c>
    </row>
    <row r="2212" spans="1:17" x14ac:dyDescent="0.3">
      <c r="A2212" t="s">
        <v>5187</v>
      </c>
      <c r="B2212" t="s">
        <v>2372</v>
      </c>
      <c r="C2212" s="2" t="str">
        <f>PROPER(TRIM(Table1[[#This Row],[Gender]]))</f>
        <v>Female</v>
      </c>
      <c r="D2212" t="s">
        <v>43</v>
      </c>
      <c r="E2212">
        <v>24</v>
      </c>
      <c r="F2212" t="s">
        <v>49</v>
      </c>
      <c r="G2212" s="1">
        <v>36898</v>
      </c>
      <c r="H2212" t="s">
        <v>2373</v>
      </c>
      <c r="I2212" s="2" t="str">
        <f t="shared" si="34"/>
        <v>+91-8954608590</v>
      </c>
      <c r="J2212">
        <f>91-8954608681</f>
        <v>-8954608590</v>
      </c>
      <c r="K2212" t="s">
        <v>33</v>
      </c>
      <c r="L2212" t="s">
        <v>34</v>
      </c>
      <c r="M2212">
        <v>482443</v>
      </c>
      <c r="N2212" s="1">
        <v>45414</v>
      </c>
      <c r="O2212" t="s">
        <v>28</v>
      </c>
      <c r="P2212">
        <v>10</v>
      </c>
      <c r="Q2212">
        <v>51013.99</v>
      </c>
    </row>
    <row r="2213" spans="1:17" x14ac:dyDescent="0.3">
      <c r="A2213" t="s">
        <v>5188</v>
      </c>
      <c r="B2213" t="s">
        <v>2345</v>
      </c>
      <c r="C2213" s="2" t="str">
        <f>PROPER(TRIM(Table1[[#This Row],[Gender]]))</f>
        <v>Female</v>
      </c>
      <c r="D2213" t="s">
        <v>43</v>
      </c>
      <c r="E2213">
        <v>22</v>
      </c>
      <c r="F2213" t="s">
        <v>49</v>
      </c>
      <c r="G2213" s="1">
        <v>37628</v>
      </c>
      <c r="H2213" t="s">
        <v>5189</v>
      </c>
      <c r="I2213" s="2" t="str">
        <f t="shared" si="34"/>
        <v>+91-9469147513</v>
      </c>
      <c r="J2213">
        <f>91-9469147604</f>
        <v>-9469147513</v>
      </c>
      <c r="K2213" t="s">
        <v>161</v>
      </c>
      <c r="L2213" t="s">
        <v>102</v>
      </c>
      <c r="M2213">
        <v>751516</v>
      </c>
      <c r="N2213" s="1">
        <v>45131</v>
      </c>
      <c r="O2213" t="s">
        <v>28</v>
      </c>
      <c r="P2213">
        <v>6</v>
      </c>
      <c r="Q2213">
        <v>176052.24</v>
      </c>
    </row>
    <row r="2214" spans="1:17" x14ac:dyDescent="0.3">
      <c r="A2214" t="s">
        <v>5190</v>
      </c>
      <c r="B2214" t="s">
        <v>5191</v>
      </c>
      <c r="C2214" s="2" t="str">
        <f>PROPER(TRIM(Table1[[#This Row],[Gender]]))</f>
        <v>Female</v>
      </c>
      <c r="D2214" t="s">
        <v>43</v>
      </c>
      <c r="E2214">
        <v>18</v>
      </c>
      <c r="F2214" t="s">
        <v>49</v>
      </c>
      <c r="G2214" s="1">
        <v>39088</v>
      </c>
      <c r="H2214" t="s">
        <v>5192</v>
      </c>
      <c r="I2214" s="2" t="str">
        <f t="shared" si="34"/>
        <v>+91-9647776104</v>
      </c>
      <c r="J2214">
        <f>91-9647776195</f>
        <v>-9647776104</v>
      </c>
      <c r="K2214" t="s">
        <v>580</v>
      </c>
      <c r="L2214" t="s">
        <v>85</v>
      </c>
      <c r="M2214">
        <v>151139</v>
      </c>
      <c r="N2214" s="1">
        <v>45201</v>
      </c>
      <c r="O2214" t="s">
        <v>28</v>
      </c>
      <c r="P2214">
        <v>10</v>
      </c>
      <c r="Q2214">
        <v>218849.39</v>
      </c>
    </row>
    <row r="2215" spans="1:17" x14ac:dyDescent="0.3">
      <c r="A2215" t="s">
        <v>5193</v>
      </c>
      <c r="B2215" t="s">
        <v>183</v>
      </c>
      <c r="C2215" s="2" t="str">
        <f>PROPER(TRIM(Table1[[#This Row],[Gender]]))</f>
        <v>Male</v>
      </c>
      <c r="D2215" t="s">
        <v>16</v>
      </c>
      <c r="E2215">
        <v>32</v>
      </c>
      <c r="F2215" t="s">
        <v>31</v>
      </c>
      <c r="G2215" s="1">
        <v>33978</v>
      </c>
      <c r="H2215" t="s">
        <v>5194</v>
      </c>
      <c r="I2215" s="2" t="str">
        <f t="shared" si="34"/>
        <v>+91-7541026883</v>
      </c>
      <c r="J2215">
        <f>91-7541026974</f>
        <v>-7541026883</v>
      </c>
      <c r="K2215" t="s">
        <v>125</v>
      </c>
      <c r="L2215" t="s">
        <v>52</v>
      </c>
      <c r="M2215">
        <v>929382</v>
      </c>
      <c r="N2215" s="1">
        <v>45164</v>
      </c>
      <c r="O2215" t="s">
        <v>21</v>
      </c>
      <c r="P2215">
        <v>2</v>
      </c>
      <c r="Q2215">
        <v>45976.17</v>
      </c>
    </row>
    <row r="2216" spans="1:17" x14ac:dyDescent="0.3">
      <c r="A2216" t="s">
        <v>5195</v>
      </c>
      <c r="B2216" t="s">
        <v>5196</v>
      </c>
      <c r="C2216" s="2" t="str">
        <f>PROPER(TRIM(Table1[[#This Row],[Gender]]))</f>
        <v>Female</v>
      </c>
      <c r="D2216" t="s">
        <v>43</v>
      </c>
      <c r="E2216">
        <v>22</v>
      </c>
      <c r="F2216" t="s">
        <v>49</v>
      </c>
      <c r="G2216" s="1">
        <v>37628</v>
      </c>
      <c r="H2216" t="s">
        <v>5197</v>
      </c>
      <c r="I2216" s="2" t="str">
        <f t="shared" si="34"/>
        <v>+91-9219416985</v>
      </c>
      <c r="J2216">
        <f>91-9219417076</f>
        <v>-9219416985</v>
      </c>
      <c r="K2216" t="s">
        <v>125</v>
      </c>
      <c r="L2216" t="s">
        <v>52</v>
      </c>
      <c r="M2216">
        <v>888930</v>
      </c>
      <c r="N2216" s="1">
        <v>45155</v>
      </c>
      <c r="O2216" t="s">
        <v>28</v>
      </c>
      <c r="P2216">
        <v>2</v>
      </c>
      <c r="Q2216">
        <v>70044.98</v>
      </c>
    </row>
    <row r="2217" spans="1:17" x14ac:dyDescent="0.3">
      <c r="A2217" t="s">
        <v>5198</v>
      </c>
      <c r="B2217" t="s">
        <v>3915</v>
      </c>
      <c r="C2217" s="2" t="str">
        <f>PROPER(TRIM(Table1[[#This Row],[Gender]]))</f>
        <v>Female</v>
      </c>
      <c r="D2217" t="s">
        <v>43</v>
      </c>
      <c r="E2217">
        <v>19</v>
      </c>
      <c r="F2217" t="s">
        <v>49</v>
      </c>
      <c r="G2217" s="1">
        <v>38723</v>
      </c>
      <c r="H2217" t="s">
        <v>5199</v>
      </c>
      <c r="I2217" s="2" t="str">
        <f t="shared" si="34"/>
        <v>+91-8640375440</v>
      </c>
      <c r="J2217">
        <f>91-8640375531</f>
        <v>-8640375440</v>
      </c>
      <c r="K2217" t="s">
        <v>147</v>
      </c>
      <c r="L2217" t="s">
        <v>143</v>
      </c>
      <c r="M2217">
        <v>858969</v>
      </c>
      <c r="N2217" s="1">
        <v>45198</v>
      </c>
      <c r="O2217" t="s">
        <v>35</v>
      </c>
      <c r="P2217">
        <v>2</v>
      </c>
      <c r="Q2217">
        <v>12234.45</v>
      </c>
    </row>
    <row r="2218" spans="1:17" x14ac:dyDescent="0.3">
      <c r="A2218" t="s">
        <v>5200</v>
      </c>
      <c r="B2218" t="s">
        <v>3500</v>
      </c>
      <c r="C2218" s="2" t="str">
        <f>PROPER(TRIM(Table1[[#This Row],[Gender]]))</f>
        <v>Female</v>
      </c>
      <c r="D2218" t="s">
        <v>43</v>
      </c>
      <c r="E2218">
        <v>59</v>
      </c>
      <c r="F2218" t="s">
        <v>58</v>
      </c>
      <c r="G2218" s="1">
        <v>24123</v>
      </c>
      <c r="H2218" t="s">
        <v>5201</v>
      </c>
      <c r="I2218" s="2" t="str">
        <f t="shared" si="34"/>
        <v>+91-8039014324</v>
      </c>
      <c r="J2218">
        <f>91-8039014415</f>
        <v>-8039014324</v>
      </c>
      <c r="K2218" t="s">
        <v>125</v>
      </c>
      <c r="L2218" t="s">
        <v>52</v>
      </c>
      <c r="M2218">
        <v>608202</v>
      </c>
      <c r="N2218" s="1">
        <v>45319</v>
      </c>
      <c r="O2218" t="s">
        <v>28</v>
      </c>
      <c r="P2218">
        <v>10</v>
      </c>
      <c r="Q2218">
        <v>122427.25</v>
      </c>
    </row>
    <row r="2219" spans="1:17" x14ac:dyDescent="0.3">
      <c r="A2219" t="s">
        <v>5202</v>
      </c>
      <c r="B2219" t="s">
        <v>4462</v>
      </c>
      <c r="C2219" s="2" t="str">
        <f>PROPER(TRIM(Table1[[#This Row],[Gender]]))</f>
        <v>Male</v>
      </c>
      <c r="D2219" t="s">
        <v>16</v>
      </c>
      <c r="E2219">
        <v>39</v>
      </c>
      <c r="F2219" t="s">
        <v>38</v>
      </c>
      <c r="G2219" s="1">
        <v>31423</v>
      </c>
      <c r="H2219" t="s">
        <v>5203</v>
      </c>
      <c r="I2219" s="2" t="str">
        <f t="shared" si="34"/>
        <v>+91-7219587143</v>
      </c>
      <c r="J2219">
        <f>91-7219587234</f>
        <v>-7219587143</v>
      </c>
      <c r="K2219" t="s">
        <v>249</v>
      </c>
      <c r="L2219" t="s">
        <v>34</v>
      </c>
      <c r="M2219">
        <v>471500</v>
      </c>
      <c r="N2219" s="1">
        <v>45219</v>
      </c>
      <c r="O2219" t="s">
        <v>28</v>
      </c>
      <c r="P2219">
        <v>8</v>
      </c>
      <c r="Q2219">
        <v>266713.69</v>
      </c>
    </row>
    <row r="2220" spans="1:17" x14ac:dyDescent="0.3">
      <c r="A2220" t="s">
        <v>5204</v>
      </c>
      <c r="B2220" t="s">
        <v>3471</v>
      </c>
      <c r="C2220" s="2" t="str">
        <f>PROPER(TRIM(Table1[[#This Row],[Gender]]))</f>
        <v>Male</v>
      </c>
      <c r="D2220" t="s">
        <v>16</v>
      </c>
      <c r="E2220">
        <v>32</v>
      </c>
      <c r="F2220" t="s">
        <v>31</v>
      </c>
      <c r="G2220" s="1">
        <v>33978</v>
      </c>
      <c r="H2220" t="s">
        <v>5205</v>
      </c>
      <c r="I2220" s="2" t="str">
        <f t="shared" si="34"/>
        <v>+91-9294677539</v>
      </c>
      <c r="J2220">
        <f>91-9294677630</f>
        <v>-9294677539</v>
      </c>
      <c r="K2220" t="s">
        <v>117</v>
      </c>
      <c r="L2220" t="s">
        <v>52</v>
      </c>
      <c r="M2220">
        <v>869641</v>
      </c>
      <c r="N2220" s="1">
        <v>45110</v>
      </c>
      <c r="O2220" t="s">
        <v>28</v>
      </c>
      <c r="P2220">
        <v>10</v>
      </c>
      <c r="Q2220">
        <v>250925.46</v>
      </c>
    </row>
    <row r="2221" spans="1:17" x14ac:dyDescent="0.3">
      <c r="A2221" t="s">
        <v>5206</v>
      </c>
      <c r="B2221" t="s">
        <v>5207</v>
      </c>
      <c r="C2221" s="2" t="str">
        <f>PROPER(TRIM(Table1[[#This Row],[Gender]]))</f>
        <v>Male</v>
      </c>
      <c r="D2221" t="s">
        <v>16</v>
      </c>
      <c r="E2221">
        <v>25</v>
      </c>
      <c r="F2221" t="s">
        <v>49</v>
      </c>
      <c r="G2221" s="1">
        <v>36533</v>
      </c>
      <c r="H2221" t="s">
        <v>5208</v>
      </c>
      <c r="I2221" s="2" t="str">
        <f t="shared" si="34"/>
        <v>+91-7734992819</v>
      </c>
      <c r="J2221">
        <f>91-7734992910</f>
        <v>-7734992819</v>
      </c>
      <c r="K2221" t="s">
        <v>68</v>
      </c>
      <c r="L2221" t="s">
        <v>52</v>
      </c>
      <c r="M2221">
        <v>599205</v>
      </c>
      <c r="N2221" s="1">
        <v>45395</v>
      </c>
      <c r="O2221" t="s">
        <v>28</v>
      </c>
      <c r="P2221">
        <v>9</v>
      </c>
      <c r="Q2221">
        <v>226959.68</v>
      </c>
    </row>
    <row r="2222" spans="1:17" x14ac:dyDescent="0.3">
      <c r="A2222" t="s">
        <v>5209</v>
      </c>
      <c r="B2222" t="s">
        <v>1260</v>
      </c>
      <c r="C2222" s="2" t="str">
        <f>PROPER(TRIM(Table1[[#This Row],[Gender]]))</f>
        <v>Female</v>
      </c>
      <c r="D2222" t="s">
        <v>43</v>
      </c>
      <c r="E2222">
        <v>35</v>
      </c>
      <c r="F2222" t="s">
        <v>31</v>
      </c>
      <c r="G2222" s="1">
        <v>32883</v>
      </c>
      <c r="H2222" t="s">
        <v>5210</v>
      </c>
      <c r="I2222" s="2" t="str">
        <f t="shared" si="34"/>
        <v>+91-8382534358</v>
      </c>
      <c r="J2222">
        <f>91-8382534449</f>
        <v>-8382534358</v>
      </c>
      <c r="K2222" t="s">
        <v>45</v>
      </c>
      <c r="L2222" t="s">
        <v>46</v>
      </c>
      <c r="M2222">
        <v>629124</v>
      </c>
      <c r="N2222" s="1">
        <v>45207</v>
      </c>
      <c r="O2222" t="s">
        <v>21</v>
      </c>
      <c r="P2222">
        <v>2</v>
      </c>
      <c r="Q2222">
        <v>31234.85</v>
      </c>
    </row>
    <row r="2223" spans="1:17" x14ac:dyDescent="0.3">
      <c r="A2223" t="s">
        <v>5211</v>
      </c>
      <c r="B2223" t="s">
        <v>4793</v>
      </c>
      <c r="C2223" s="2" t="str">
        <f>PROPER(TRIM(Table1[[#This Row],[Gender]]))</f>
        <v>Female</v>
      </c>
      <c r="D2223" t="s">
        <v>43</v>
      </c>
      <c r="E2223">
        <v>25</v>
      </c>
      <c r="F2223" t="s">
        <v>49</v>
      </c>
      <c r="G2223" s="1">
        <v>36533</v>
      </c>
      <c r="H2223" t="s">
        <v>5212</v>
      </c>
      <c r="I2223" s="2" t="str">
        <f t="shared" si="34"/>
        <v>+91-7951238935</v>
      </c>
      <c r="J2223">
        <f>91-7951239026</f>
        <v>-7951238935</v>
      </c>
      <c r="K2223" t="s">
        <v>60</v>
      </c>
      <c r="L2223" t="s">
        <v>34</v>
      </c>
      <c r="M2223">
        <v>244383</v>
      </c>
      <c r="N2223" s="1">
        <v>45425</v>
      </c>
      <c r="O2223" t="s">
        <v>35</v>
      </c>
      <c r="P2223">
        <v>1</v>
      </c>
      <c r="Q2223">
        <v>333.77</v>
      </c>
    </row>
    <row r="2224" spans="1:17" x14ac:dyDescent="0.3">
      <c r="A2224" t="s">
        <v>5213</v>
      </c>
      <c r="B2224" t="s">
        <v>4744</v>
      </c>
      <c r="C2224" s="2" t="str">
        <f>PROPER(TRIM(Table1[[#This Row],[Gender]]))</f>
        <v>Female</v>
      </c>
      <c r="D2224" t="s">
        <v>43</v>
      </c>
      <c r="E2224">
        <v>28</v>
      </c>
      <c r="F2224" t="s">
        <v>31</v>
      </c>
      <c r="G2224" s="1">
        <v>35438</v>
      </c>
      <c r="H2224" t="s">
        <v>5214</v>
      </c>
      <c r="I2224" s="2" t="str">
        <f t="shared" si="34"/>
        <v>+91-9777603559</v>
      </c>
      <c r="J2224">
        <f>91-9777603650</f>
        <v>-9777603559</v>
      </c>
      <c r="K2224" t="s">
        <v>142</v>
      </c>
      <c r="L2224" t="s">
        <v>143</v>
      </c>
      <c r="M2224">
        <v>492647</v>
      </c>
      <c r="N2224" s="1">
        <v>45172</v>
      </c>
      <c r="O2224" t="s">
        <v>28</v>
      </c>
      <c r="P2224">
        <v>8</v>
      </c>
      <c r="Q2224">
        <v>305916.09999999998</v>
      </c>
    </row>
    <row r="2225" spans="1:17" x14ac:dyDescent="0.3">
      <c r="A2225" t="s">
        <v>5215</v>
      </c>
      <c r="B2225" t="s">
        <v>560</v>
      </c>
      <c r="C2225" s="2" t="str">
        <f>PROPER(TRIM(Table1[[#This Row],[Gender]]))</f>
        <v>Male</v>
      </c>
      <c r="D2225" t="s">
        <v>16</v>
      </c>
      <c r="E2225">
        <v>43</v>
      </c>
      <c r="F2225" t="s">
        <v>38</v>
      </c>
      <c r="G2225" s="1">
        <v>29963</v>
      </c>
      <c r="H2225" t="s">
        <v>5216</v>
      </c>
      <c r="I2225" s="2" t="str">
        <f t="shared" si="34"/>
        <v>+91-9665293713</v>
      </c>
      <c r="J2225">
        <f>91-9665293804</f>
        <v>-9665293713</v>
      </c>
      <c r="K2225" t="s">
        <v>76</v>
      </c>
      <c r="L2225" t="s">
        <v>46</v>
      </c>
      <c r="M2225">
        <v>758097</v>
      </c>
      <c r="N2225" s="1">
        <v>45307</v>
      </c>
      <c r="O2225" t="s">
        <v>28</v>
      </c>
      <c r="P2225">
        <v>6</v>
      </c>
      <c r="Q2225">
        <v>441881.16</v>
      </c>
    </row>
    <row r="2226" spans="1:17" x14ac:dyDescent="0.3">
      <c r="A2226" t="s">
        <v>5217</v>
      </c>
      <c r="B2226" t="s">
        <v>698</v>
      </c>
      <c r="C2226" s="2" t="str">
        <f>PROPER(TRIM(Table1[[#This Row],[Gender]]))</f>
        <v>Female</v>
      </c>
      <c r="D2226" t="s">
        <v>43</v>
      </c>
      <c r="E2226">
        <v>40</v>
      </c>
      <c r="F2226" t="s">
        <v>38</v>
      </c>
      <c r="G2226" s="1">
        <v>31058</v>
      </c>
      <c r="H2226" t="s">
        <v>5218</v>
      </c>
      <c r="I2226" s="2" t="str">
        <f t="shared" si="34"/>
        <v>+91-7151133207</v>
      </c>
      <c r="J2226">
        <f>91-7151133298</f>
        <v>-7151133207</v>
      </c>
      <c r="K2226" t="s">
        <v>89</v>
      </c>
      <c r="L2226" t="s">
        <v>90</v>
      </c>
      <c r="M2226">
        <v>110644</v>
      </c>
      <c r="N2226" s="1">
        <v>45343</v>
      </c>
      <c r="O2226" t="s">
        <v>35</v>
      </c>
      <c r="P2226">
        <v>1</v>
      </c>
      <c r="Q2226">
        <v>5005.1099999999997</v>
      </c>
    </row>
    <row r="2227" spans="1:17" x14ac:dyDescent="0.3">
      <c r="A2227" t="s">
        <v>5219</v>
      </c>
      <c r="B2227" t="s">
        <v>2553</v>
      </c>
      <c r="C2227" s="2" t="str">
        <f>PROPER(TRIM(Table1[[#This Row],[Gender]]))</f>
        <v>Female</v>
      </c>
      <c r="D2227" t="s">
        <v>43</v>
      </c>
      <c r="E2227">
        <v>29</v>
      </c>
      <c r="F2227" t="s">
        <v>31</v>
      </c>
      <c r="G2227" s="1">
        <v>35073</v>
      </c>
      <c r="H2227" t="s">
        <v>2554</v>
      </c>
      <c r="I2227" s="2" t="str">
        <f t="shared" si="34"/>
        <v>+91-7080020975</v>
      </c>
      <c r="J2227">
        <f>91-7080021066</f>
        <v>-7080020975</v>
      </c>
      <c r="K2227" t="s">
        <v>80</v>
      </c>
      <c r="L2227" t="s">
        <v>20</v>
      </c>
      <c r="M2227">
        <v>426834</v>
      </c>
      <c r="N2227" s="1">
        <v>45201</v>
      </c>
      <c r="O2227" t="s">
        <v>28</v>
      </c>
      <c r="P2227">
        <v>6</v>
      </c>
      <c r="Q2227">
        <v>154924.13</v>
      </c>
    </row>
    <row r="2228" spans="1:17" x14ac:dyDescent="0.3">
      <c r="A2228" t="s">
        <v>5220</v>
      </c>
      <c r="B2228" t="s">
        <v>519</v>
      </c>
      <c r="C2228" s="2" t="str">
        <f>PROPER(TRIM(Table1[[#This Row],[Gender]]))</f>
        <v>Male</v>
      </c>
      <c r="D2228" t="s">
        <v>16</v>
      </c>
      <c r="E2228">
        <v>41</v>
      </c>
      <c r="F2228" t="s">
        <v>38</v>
      </c>
      <c r="G2228" s="1">
        <v>30693</v>
      </c>
      <c r="H2228" t="s">
        <v>5221</v>
      </c>
      <c r="I2228" s="2" t="str">
        <f t="shared" si="34"/>
        <v>+91-8507818454</v>
      </c>
      <c r="J2228">
        <f>91-8507818545</f>
        <v>-8507818454</v>
      </c>
      <c r="K2228" t="s">
        <v>142</v>
      </c>
      <c r="L2228" t="s">
        <v>143</v>
      </c>
      <c r="M2228">
        <v>986808</v>
      </c>
      <c r="N2228" s="1">
        <v>45122</v>
      </c>
      <c r="O2228" t="s">
        <v>21</v>
      </c>
      <c r="P2228">
        <v>4</v>
      </c>
      <c r="Q2228">
        <v>20897.439999999999</v>
      </c>
    </row>
    <row r="2229" spans="1:17" x14ac:dyDescent="0.3">
      <c r="A2229" t="s">
        <v>5222</v>
      </c>
      <c r="B2229" t="s">
        <v>92</v>
      </c>
      <c r="C2229" s="2" t="str">
        <f>PROPER(TRIM(Table1[[#This Row],[Gender]]))</f>
        <v>Female</v>
      </c>
      <c r="D2229" t="s">
        <v>43</v>
      </c>
      <c r="E2229">
        <v>27</v>
      </c>
      <c r="F2229" t="s">
        <v>31</v>
      </c>
      <c r="G2229" s="1">
        <v>35803</v>
      </c>
      <c r="H2229" t="s">
        <v>5223</v>
      </c>
      <c r="I2229" s="2" t="str">
        <f t="shared" si="34"/>
        <v>+91-8141665061</v>
      </c>
      <c r="J2229">
        <f>91-8141665152</f>
        <v>-8141665061</v>
      </c>
      <c r="K2229" t="s">
        <v>369</v>
      </c>
      <c r="L2229" t="s">
        <v>191</v>
      </c>
      <c r="M2229">
        <v>477310</v>
      </c>
      <c r="N2229" s="1">
        <v>45428</v>
      </c>
      <c r="O2229" t="s">
        <v>28</v>
      </c>
      <c r="P2229">
        <v>3</v>
      </c>
      <c r="Q2229">
        <v>75121.89</v>
      </c>
    </row>
    <row r="2230" spans="1:17" x14ac:dyDescent="0.3">
      <c r="A2230" t="s">
        <v>5224</v>
      </c>
      <c r="B2230" t="s">
        <v>315</v>
      </c>
      <c r="C2230" s="2" t="str">
        <f>PROPER(TRIM(Table1[[#This Row],[Gender]]))</f>
        <v>Female</v>
      </c>
      <c r="D2230" t="s">
        <v>43</v>
      </c>
      <c r="E2230">
        <v>19</v>
      </c>
      <c r="F2230" t="s">
        <v>49</v>
      </c>
      <c r="G2230" s="1">
        <v>38723</v>
      </c>
      <c r="H2230" t="s">
        <v>5225</v>
      </c>
      <c r="I2230" s="2" t="str">
        <f t="shared" si="34"/>
        <v>+91-7948051805</v>
      </c>
      <c r="J2230">
        <f>91-7948051896</f>
        <v>-7948051805</v>
      </c>
      <c r="K2230" t="s">
        <v>174</v>
      </c>
      <c r="L2230" t="s">
        <v>90</v>
      </c>
      <c r="M2230">
        <v>714818</v>
      </c>
      <c r="N2230" s="1">
        <v>45362</v>
      </c>
      <c r="O2230" t="s">
        <v>28</v>
      </c>
      <c r="P2230">
        <v>6</v>
      </c>
      <c r="Q2230">
        <v>81856.570000000007</v>
      </c>
    </row>
    <row r="2231" spans="1:17" x14ac:dyDescent="0.3">
      <c r="A2231" t="s">
        <v>5226</v>
      </c>
      <c r="B2231" t="s">
        <v>1395</v>
      </c>
      <c r="C2231" s="2" t="str">
        <f>PROPER(TRIM(Table1[[#This Row],[Gender]]))</f>
        <v>Male</v>
      </c>
      <c r="D2231" t="s">
        <v>16</v>
      </c>
      <c r="E2231">
        <v>29</v>
      </c>
      <c r="F2231" t="s">
        <v>31</v>
      </c>
      <c r="G2231" s="1">
        <v>35073</v>
      </c>
      <c r="H2231" t="s">
        <v>4923</v>
      </c>
      <c r="I2231" s="2" t="str">
        <f t="shared" si="34"/>
        <v>+91-7272316250</v>
      </c>
      <c r="J2231">
        <f>91-7272316341</f>
        <v>-7272316250</v>
      </c>
      <c r="K2231" t="s">
        <v>190</v>
      </c>
      <c r="L2231" t="s">
        <v>191</v>
      </c>
      <c r="M2231">
        <v>659230</v>
      </c>
      <c r="N2231" s="1">
        <v>45281</v>
      </c>
      <c r="O2231" t="s">
        <v>21</v>
      </c>
      <c r="P2231">
        <v>2</v>
      </c>
      <c r="Q2231">
        <v>23237.74</v>
      </c>
    </row>
    <row r="2232" spans="1:17" x14ac:dyDescent="0.3">
      <c r="A2232" t="s">
        <v>5227</v>
      </c>
      <c r="B2232" t="s">
        <v>4413</v>
      </c>
      <c r="C2232" s="2" t="str">
        <f>PROPER(TRIM(Table1[[#This Row],[Gender]]))</f>
        <v>Male</v>
      </c>
      <c r="D2232" t="s">
        <v>16</v>
      </c>
      <c r="E2232">
        <v>27</v>
      </c>
      <c r="F2232" t="s">
        <v>31</v>
      </c>
      <c r="G2232" s="1">
        <v>35803</v>
      </c>
      <c r="H2232" t="s">
        <v>5228</v>
      </c>
      <c r="I2232" s="2" t="str">
        <f t="shared" si="34"/>
        <v>+91-8622950504</v>
      </c>
      <c r="J2232">
        <f>91-8622950595</f>
        <v>-8622950504</v>
      </c>
      <c r="K2232" t="s">
        <v>33</v>
      </c>
      <c r="L2232" t="s">
        <v>34</v>
      </c>
      <c r="M2232">
        <v>447860</v>
      </c>
      <c r="N2232" s="1">
        <v>45366</v>
      </c>
      <c r="O2232" t="s">
        <v>28</v>
      </c>
      <c r="P2232">
        <v>5</v>
      </c>
      <c r="Q2232">
        <v>69597.14</v>
      </c>
    </row>
    <row r="2233" spans="1:17" x14ac:dyDescent="0.3">
      <c r="A2233" t="s">
        <v>5229</v>
      </c>
      <c r="B2233" t="s">
        <v>5230</v>
      </c>
      <c r="C2233" s="2" t="str">
        <f>PROPER(TRIM(Table1[[#This Row],[Gender]]))</f>
        <v>Male</v>
      </c>
      <c r="D2233" t="s">
        <v>16</v>
      </c>
      <c r="E2233">
        <v>45</v>
      </c>
      <c r="F2233" t="s">
        <v>38</v>
      </c>
      <c r="G2233" s="1">
        <v>29233</v>
      </c>
      <c r="H2233" t="s">
        <v>5231</v>
      </c>
      <c r="I2233" s="2" t="str">
        <f t="shared" si="34"/>
        <v>+91-9793384162</v>
      </c>
      <c r="J2233">
        <f>91-9793384253</f>
        <v>-9793384162</v>
      </c>
      <c r="K2233" t="s">
        <v>19</v>
      </c>
      <c r="L2233" t="s">
        <v>20</v>
      </c>
      <c r="M2233">
        <v>146045</v>
      </c>
      <c r="N2233" s="1">
        <v>45360</v>
      </c>
      <c r="O2233" t="s">
        <v>28</v>
      </c>
      <c r="P2233">
        <v>4</v>
      </c>
      <c r="Q2233">
        <v>220829.65</v>
      </c>
    </row>
    <row r="2234" spans="1:17" x14ac:dyDescent="0.3">
      <c r="A2234" t="s">
        <v>5232</v>
      </c>
      <c r="B2234" t="s">
        <v>460</v>
      </c>
      <c r="C2234" s="2" t="str">
        <f>PROPER(TRIM(Table1[[#This Row],[Gender]]))</f>
        <v>Male</v>
      </c>
      <c r="D2234" t="s">
        <v>16</v>
      </c>
      <c r="E2234">
        <v>66</v>
      </c>
      <c r="F2234" t="s">
        <v>24</v>
      </c>
      <c r="G2234" s="1">
        <v>21568</v>
      </c>
      <c r="H2234" t="s">
        <v>5233</v>
      </c>
      <c r="I2234" s="2" t="str">
        <f t="shared" si="34"/>
        <v>+91-8910825415</v>
      </c>
      <c r="J2234">
        <f>91-8910825506</f>
        <v>-8910825415</v>
      </c>
      <c r="K2234" t="s">
        <v>369</v>
      </c>
      <c r="L2234" t="s">
        <v>191</v>
      </c>
      <c r="M2234">
        <v>393936</v>
      </c>
      <c r="N2234" s="1">
        <v>45440</v>
      </c>
      <c r="O2234" t="s">
        <v>35</v>
      </c>
      <c r="P2234">
        <v>3</v>
      </c>
      <c r="Q2234">
        <v>5149.47</v>
      </c>
    </row>
    <row r="2235" spans="1:17" x14ac:dyDescent="0.3">
      <c r="A2235" t="s">
        <v>5234</v>
      </c>
      <c r="B2235" t="s">
        <v>4541</v>
      </c>
      <c r="C2235" s="2" t="str">
        <f>PROPER(TRIM(Table1[[#This Row],[Gender]]))</f>
        <v>Male</v>
      </c>
      <c r="D2235" t="s">
        <v>16</v>
      </c>
      <c r="E2235">
        <v>72</v>
      </c>
      <c r="F2235" t="s">
        <v>24</v>
      </c>
      <c r="G2235" s="1">
        <v>19378</v>
      </c>
      <c r="H2235" t="s">
        <v>5235</v>
      </c>
      <c r="I2235" s="2" t="str">
        <f t="shared" si="34"/>
        <v>+91-9968205657</v>
      </c>
      <c r="J2235">
        <f>91-9968205748</f>
        <v>-9968205657</v>
      </c>
      <c r="K2235" t="s">
        <v>121</v>
      </c>
      <c r="L2235" t="s">
        <v>85</v>
      </c>
      <c r="M2235">
        <v>729204</v>
      </c>
      <c r="N2235" s="1">
        <v>45225</v>
      </c>
      <c r="O2235" t="s">
        <v>28</v>
      </c>
      <c r="P2235">
        <v>5</v>
      </c>
      <c r="Q2235">
        <v>114323.91</v>
      </c>
    </row>
    <row r="2236" spans="1:17" x14ac:dyDescent="0.3">
      <c r="A2236" t="s">
        <v>5236</v>
      </c>
      <c r="B2236" t="s">
        <v>3371</v>
      </c>
      <c r="C2236" s="2" t="str">
        <f>PROPER(TRIM(Table1[[#This Row],[Gender]]))</f>
        <v>Female</v>
      </c>
      <c r="D2236" t="s">
        <v>43</v>
      </c>
      <c r="E2236">
        <v>38</v>
      </c>
      <c r="F2236" t="s">
        <v>38</v>
      </c>
      <c r="G2236" s="1">
        <v>31788</v>
      </c>
      <c r="H2236" t="s">
        <v>5237</v>
      </c>
      <c r="I2236" s="2" t="str">
        <f t="shared" si="34"/>
        <v>+91-7031651705</v>
      </c>
      <c r="J2236">
        <f>91-7031651796</f>
        <v>-7031651705</v>
      </c>
      <c r="K2236" t="s">
        <v>45</v>
      </c>
      <c r="L2236" t="s">
        <v>46</v>
      </c>
      <c r="M2236">
        <v>423227</v>
      </c>
      <c r="N2236" s="1">
        <v>45124</v>
      </c>
      <c r="O2236" t="s">
        <v>28</v>
      </c>
      <c r="P2236">
        <v>9</v>
      </c>
      <c r="Q2236">
        <v>173067.53</v>
      </c>
    </row>
    <row r="2237" spans="1:17" x14ac:dyDescent="0.3">
      <c r="A2237" t="s">
        <v>5238</v>
      </c>
      <c r="B2237" t="s">
        <v>1100</v>
      </c>
      <c r="C2237" s="2" t="str">
        <f>PROPER(TRIM(Table1[[#This Row],[Gender]]))</f>
        <v>Male</v>
      </c>
      <c r="D2237" t="s">
        <v>16</v>
      </c>
      <c r="E2237">
        <v>22</v>
      </c>
      <c r="F2237" t="s">
        <v>49</v>
      </c>
      <c r="G2237" s="1">
        <v>37628</v>
      </c>
      <c r="H2237" t="s">
        <v>5239</v>
      </c>
      <c r="I2237" s="2" t="str">
        <f t="shared" si="34"/>
        <v>+91-8157193511</v>
      </c>
      <c r="J2237">
        <f>91-8157193602</f>
        <v>-8157193511</v>
      </c>
      <c r="K2237" t="s">
        <v>60</v>
      </c>
      <c r="L2237" t="s">
        <v>34</v>
      </c>
      <c r="M2237">
        <v>679290</v>
      </c>
      <c r="N2237" s="1">
        <v>45240</v>
      </c>
      <c r="O2237" t="s">
        <v>28</v>
      </c>
      <c r="P2237">
        <v>8</v>
      </c>
      <c r="Q2237">
        <v>102323.88</v>
      </c>
    </row>
    <row r="2238" spans="1:17" x14ac:dyDescent="0.3">
      <c r="A2238" t="s">
        <v>5240</v>
      </c>
      <c r="B2238" t="s">
        <v>1741</v>
      </c>
      <c r="C2238" s="2" t="str">
        <f>PROPER(TRIM(Table1[[#This Row],[Gender]]))</f>
        <v>Female</v>
      </c>
      <c r="D2238" t="s">
        <v>43</v>
      </c>
      <c r="E2238">
        <v>30</v>
      </c>
      <c r="F2238" t="s">
        <v>31</v>
      </c>
      <c r="G2238" s="1">
        <v>34708</v>
      </c>
      <c r="H2238" t="s">
        <v>5241</v>
      </c>
      <c r="I2238" s="2" t="str">
        <f t="shared" si="34"/>
        <v>+91-7215214558</v>
      </c>
      <c r="J2238">
        <f>91-7215214649</f>
        <v>-7215214558</v>
      </c>
      <c r="K2238" t="s">
        <v>76</v>
      </c>
      <c r="L2238" t="s">
        <v>46</v>
      </c>
      <c r="M2238">
        <v>810137</v>
      </c>
      <c r="N2238" s="1">
        <v>45355</v>
      </c>
      <c r="O2238" t="s">
        <v>28</v>
      </c>
      <c r="P2238">
        <v>5</v>
      </c>
      <c r="Q2238">
        <v>147713.06</v>
      </c>
    </row>
    <row r="2239" spans="1:17" x14ac:dyDescent="0.3">
      <c r="A2239" t="s">
        <v>5242</v>
      </c>
      <c r="B2239" t="s">
        <v>163</v>
      </c>
      <c r="C2239" s="2" t="str">
        <f>PROPER(TRIM(Table1[[#This Row],[Gender]]))</f>
        <v>Female</v>
      </c>
      <c r="D2239" t="s">
        <v>43</v>
      </c>
      <c r="E2239">
        <v>18</v>
      </c>
      <c r="F2239" t="s">
        <v>49</v>
      </c>
      <c r="G2239" s="1">
        <v>39088</v>
      </c>
      <c r="H2239" t="s">
        <v>5243</v>
      </c>
      <c r="I2239" s="2" t="str">
        <f t="shared" si="34"/>
        <v>+91-8136181486</v>
      </c>
      <c r="J2239">
        <f>91-8136181577</f>
        <v>-8136181486</v>
      </c>
      <c r="K2239" t="s">
        <v>117</v>
      </c>
      <c r="L2239" t="s">
        <v>52</v>
      </c>
      <c r="M2239">
        <v>903159</v>
      </c>
      <c r="N2239" s="1">
        <v>45344</v>
      </c>
      <c r="O2239" t="s">
        <v>28</v>
      </c>
      <c r="P2239">
        <v>6</v>
      </c>
      <c r="Q2239">
        <v>73607.960000000006</v>
      </c>
    </row>
    <row r="2240" spans="1:17" x14ac:dyDescent="0.3">
      <c r="A2240" t="s">
        <v>5244</v>
      </c>
      <c r="B2240" t="s">
        <v>2108</v>
      </c>
      <c r="C2240" s="2" t="str">
        <f>PROPER(TRIM(Table1[[#This Row],[Gender]]))</f>
        <v>Male</v>
      </c>
      <c r="D2240" t="s">
        <v>16</v>
      </c>
      <c r="E2240">
        <v>30</v>
      </c>
      <c r="F2240" t="s">
        <v>31</v>
      </c>
      <c r="G2240" s="1">
        <v>34708</v>
      </c>
      <c r="H2240" t="s">
        <v>5245</v>
      </c>
      <c r="I2240" s="2" t="str">
        <f t="shared" si="34"/>
        <v>+91-9416747169</v>
      </c>
      <c r="J2240">
        <f>91-9416747260</f>
        <v>-9416747169</v>
      </c>
      <c r="K2240" t="s">
        <v>117</v>
      </c>
      <c r="L2240" t="s">
        <v>52</v>
      </c>
      <c r="M2240">
        <v>748344</v>
      </c>
      <c r="N2240" s="1">
        <v>45195</v>
      </c>
      <c r="O2240" t="s">
        <v>21</v>
      </c>
      <c r="P2240">
        <v>3</v>
      </c>
      <c r="Q2240">
        <v>41049.440000000002</v>
      </c>
    </row>
    <row r="2241" spans="1:17" x14ac:dyDescent="0.3">
      <c r="A2241" t="s">
        <v>5246</v>
      </c>
      <c r="B2241" t="s">
        <v>985</v>
      </c>
      <c r="C2241" s="2" t="str">
        <f>PROPER(TRIM(Table1[[#This Row],[Gender]]))</f>
        <v>Male</v>
      </c>
      <c r="D2241" t="s">
        <v>16</v>
      </c>
      <c r="E2241">
        <v>29</v>
      </c>
      <c r="F2241" t="s">
        <v>31</v>
      </c>
      <c r="G2241" s="1">
        <v>35073</v>
      </c>
      <c r="H2241" t="s">
        <v>5247</v>
      </c>
      <c r="I2241" s="2" t="str">
        <f t="shared" si="34"/>
        <v>+91-7614007981</v>
      </c>
      <c r="J2241">
        <f>91-7614008072</f>
        <v>-7614007981</v>
      </c>
      <c r="K2241" t="s">
        <v>89</v>
      </c>
      <c r="L2241" t="s">
        <v>90</v>
      </c>
      <c r="M2241">
        <v>608587</v>
      </c>
      <c r="N2241" s="1">
        <v>45382</v>
      </c>
      <c r="O2241" t="s">
        <v>28</v>
      </c>
      <c r="P2241">
        <v>6</v>
      </c>
      <c r="Q2241">
        <v>303897.08</v>
      </c>
    </row>
    <row r="2242" spans="1:17" x14ac:dyDescent="0.3">
      <c r="A2242" t="s">
        <v>5248</v>
      </c>
      <c r="B2242" t="s">
        <v>4638</v>
      </c>
      <c r="C2242" s="2" t="str">
        <f>PROPER(TRIM(Table1[[#This Row],[Gender]]))</f>
        <v>Male</v>
      </c>
      <c r="D2242" t="s">
        <v>16</v>
      </c>
      <c r="E2242">
        <v>33</v>
      </c>
      <c r="F2242" t="s">
        <v>31</v>
      </c>
      <c r="G2242" s="1">
        <v>33613</v>
      </c>
      <c r="H2242" t="s">
        <v>5249</v>
      </c>
      <c r="I2242" s="2" t="str">
        <f t="shared" ref="I2242:I2305" si="35">"+91"&amp;TEXT(J2242,"0000000000")</f>
        <v>+91-7713908001</v>
      </c>
      <c r="J2242">
        <f>91-7713908092</f>
        <v>-7713908001</v>
      </c>
      <c r="K2242" t="s">
        <v>331</v>
      </c>
      <c r="L2242" t="s">
        <v>143</v>
      </c>
      <c r="M2242">
        <v>246360</v>
      </c>
      <c r="N2242" s="1">
        <v>45345</v>
      </c>
      <c r="O2242" t="s">
        <v>28</v>
      </c>
      <c r="P2242">
        <v>5</v>
      </c>
      <c r="Q2242">
        <v>118817.52</v>
      </c>
    </row>
    <row r="2243" spans="1:17" x14ac:dyDescent="0.3">
      <c r="A2243" t="s">
        <v>5250</v>
      </c>
      <c r="B2243" t="s">
        <v>903</v>
      </c>
      <c r="C2243" s="2" t="str">
        <f>PROPER(TRIM(Table1[[#This Row],[Gender]]))</f>
        <v>Male</v>
      </c>
      <c r="D2243" t="s">
        <v>16</v>
      </c>
      <c r="E2243">
        <v>39</v>
      </c>
      <c r="F2243" t="s">
        <v>38</v>
      </c>
      <c r="G2243" s="1">
        <v>31423</v>
      </c>
      <c r="H2243" t="s">
        <v>5251</v>
      </c>
      <c r="I2243" s="2" t="str">
        <f t="shared" si="35"/>
        <v>+91-7705546315</v>
      </c>
      <c r="J2243">
        <f>91-7705546406</f>
        <v>-7705546315</v>
      </c>
      <c r="K2243" t="s">
        <v>273</v>
      </c>
      <c r="L2243" t="s">
        <v>46</v>
      </c>
      <c r="M2243">
        <v>418269</v>
      </c>
      <c r="N2243" s="1">
        <v>45082</v>
      </c>
      <c r="O2243" t="s">
        <v>21</v>
      </c>
      <c r="P2243">
        <v>3</v>
      </c>
      <c r="Q2243">
        <v>40660.050000000003</v>
      </c>
    </row>
    <row r="2244" spans="1:17" x14ac:dyDescent="0.3">
      <c r="A2244" t="s">
        <v>5252</v>
      </c>
      <c r="B2244" t="s">
        <v>436</v>
      </c>
      <c r="C2244" s="2" t="str">
        <f>PROPER(TRIM(Table1[[#This Row],[Gender]]))</f>
        <v>Male</v>
      </c>
      <c r="D2244" t="s">
        <v>16</v>
      </c>
      <c r="E2244">
        <v>19</v>
      </c>
      <c r="F2244" t="s">
        <v>49</v>
      </c>
      <c r="G2244" s="1">
        <v>38723</v>
      </c>
      <c r="H2244" t="s">
        <v>3352</v>
      </c>
      <c r="I2244" s="2" t="str">
        <f t="shared" si="35"/>
        <v>+91-8085253735</v>
      </c>
      <c r="J2244">
        <f>91-8085253826</f>
        <v>-8085253735</v>
      </c>
      <c r="K2244" t="s">
        <v>109</v>
      </c>
      <c r="L2244" t="s">
        <v>46</v>
      </c>
      <c r="M2244">
        <v>217813</v>
      </c>
      <c r="N2244" s="1">
        <v>45174</v>
      </c>
      <c r="O2244" t="s">
        <v>28</v>
      </c>
      <c r="P2244">
        <v>6</v>
      </c>
      <c r="Q2244">
        <v>194364.05</v>
      </c>
    </row>
    <row r="2245" spans="1:17" x14ac:dyDescent="0.3">
      <c r="A2245" t="s">
        <v>5253</v>
      </c>
      <c r="B2245" t="s">
        <v>4059</v>
      </c>
      <c r="C2245" s="2" t="str">
        <f>PROPER(TRIM(Table1[[#This Row],[Gender]]))</f>
        <v>Male</v>
      </c>
      <c r="D2245" t="s">
        <v>16</v>
      </c>
      <c r="E2245">
        <v>33</v>
      </c>
      <c r="F2245" t="s">
        <v>31</v>
      </c>
      <c r="G2245" s="1">
        <v>33613</v>
      </c>
      <c r="H2245" t="s">
        <v>5254</v>
      </c>
      <c r="I2245" s="2" t="str">
        <f t="shared" si="35"/>
        <v>+91-7205318945</v>
      </c>
      <c r="J2245">
        <f>91-7205319036</f>
        <v>-7205318945</v>
      </c>
      <c r="K2245" t="s">
        <v>72</v>
      </c>
      <c r="L2245" t="s">
        <v>34</v>
      </c>
      <c r="M2245">
        <v>250308</v>
      </c>
      <c r="N2245" s="1">
        <v>45283</v>
      </c>
      <c r="O2245" t="s">
        <v>28</v>
      </c>
      <c r="P2245">
        <v>5</v>
      </c>
      <c r="Q2245">
        <v>186379.14</v>
      </c>
    </row>
    <row r="2246" spans="1:17" x14ac:dyDescent="0.3">
      <c r="A2246" t="s">
        <v>5255</v>
      </c>
      <c r="B2246" t="s">
        <v>590</v>
      </c>
      <c r="C2246" s="2" t="str">
        <f>PROPER(TRIM(Table1[[#This Row],[Gender]]))</f>
        <v>Female</v>
      </c>
      <c r="D2246" t="s">
        <v>43</v>
      </c>
      <c r="E2246">
        <v>44</v>
      </c>
      <c r="F2246" t="s">
        <v>38</v>
      </c>
      <c r="G2246" s="1">
        <v>29598</v>
      </c>
      <c r="H2246" t="s">
        <v>5256</v>
      </c>
      <c r="I2246" s="2" t="str">
        <f t="shared" si="35"/>
        <v>+91-9826069695</v>
      </c>
      <c r="J2246">
        <f>91-9826069786</f>
        <v>-9826069695</v>
      </c>
      <c r="K2246" t="s">
        <v>369</v>
      </c>
      <c r="L2246" t="s">
        <v>191</v>
      </c>
      <c r="M2246">
        <v>859290</v>
      </c>
      <c r="N2246" s="1">
        <v>45279</v>
      </c>
      <c r="O2246" t="s">
        <v>28</v>
      </c>
      <c r="P2246">
        <v>10</v>
      </c>
      <c r="Q2246">
        <v>161222.1</v>
      </c>
    </row>
    <row r="2247" spans="1:17" x14ac:dyDescent="0.3">
      <c r="A2247" t="s">
        <v>5257</v>
      </c>
      <c r="B2247" t="s">
        <v>1908</v>
      </c>
      <c r="C2247" s="2" t="str">
        <f>PROPER(TRIM(Table1[[#This Row],[Gender]]))</f>
        <v>Female</v>
      </c>
      <c r="D2247" t="s">
        <v>43</v>
      </c>
      <c r="E2247">
        <v>69</v>
      </c>
      <c r="F2247" t="s">
        <v>24</v>
      </c>
      <c r="G2247" s="1">
        <v>20473</v>
      </c>
      <c r="H2247" t="s">
        <v>5258</v>
      </c>
      <c r="I2247" s="2" t="str">
        <f t="shared" si="35"/>
        <v>+91-8872123584</v>
      </c>
      <c r="J2247">
        <f>91-8872123675</f>
        <v>-8872123584</v>
      </c>
      <c r="K2247" t="s">
        <v>147</v>
      </c>
      <c r="L2247" t="s">
        <v>143</v>
      </c>
      <c r="M2247">
        <v>209207</v>
      </c>
      <c r="N2247" s="1">
        <v>45143</v>
      </c>
      <c r="O2247" t="s">
        <v>35</v>
      </c>
      <c r="P2247">
        <v>2</v>
      </c>
      <c r="Q2247">
        <v>1863.88</v>
      </c>
    </row>
    <row r="2248" spans="1:17" x14ac:dyDescent="0.3">
      <c r="A2248" t="s">
        <v>5259</v>
      </c>
      <c r="B2248" t="s">
        <v>152</v>
      </c>
      <c r="C2248" s="2" t="str">
        <f>PROPER(TRIM(Table1[[#This Row],[Gender]]))</f>
        <v>Male</v>
      </c>
      <c r="D2248" t="s">
        <v>16</v>
      </c>
      <c r="E2248">
        <v>33</v>
      </c>
      <c r="F2248" t="s">
        <v>31</v>
      </c>
      <c r="G2248" s="1">
        <v>33613</v>
      </c>
      <c r="H2248" t="s">
        <v>153</v>
      </c>
      <c r="I2248" s="2" t="str">
        <f t="shared" si="35"/>
        <v>+91-8867564931</v>
      </c>
      <c r="J2248">
        <f>91-8867565022</f>
        <v>-8867564931</v>
      </c>
      <c r="K2248" t="s">
        <v>369</v>
      </c>
      <c r="L2248" t="s">
        <v>191</v>
      </c>
      <c r="M2248">
        <v>338634</v>
      </c>
      <c r="N2248" s="1">
        <v>45218</v>
      </c>
      <c r="O2248" t="s">
        <v>28</v>
      </c>
      <c r="P2248">
        <v>5</v>
      </c>
      <c r="Q2248">
        <v>200797.96</v>
      </c>
    </row>
    <row r="2249" spans="1:17" x14ac:dyDescent="0.3">
      <c r="A2249" t="s">
        <v>5260</v>
      </c>
      <c r="B2249" t="s">
        <v>3363</v>
      </c>
      <c r="C2249" s="2" t="str">
        <f>PROPER(TRIM(Table1[[#This Row],[Gender]]))</f>
        <v>Female</v>
      </c>
      <c r="D2249" t="s">
        <v>43</v>
      </c>
      <c r="E2249">
        <v>48</v>
      </c>
      <c r="F2249" t="s">
        <v>17</v>
      </c>
      <c r="G2249" s="1">
        <v>28138</v>
      </c>
      <c r="H2249" t="s">
        <v>5261</v>
      </c>
      <c r="I2249" s="2" t="str">
        <f t="shared" si="35"/>
        <v>+91-8804748399</v>
      </c>
      <c r="J2249">
        <f>91-8804748490</f>
        <v>-8804748399</v>
      </c>
      <c r="K2249" t="s">
        <v>109</v>
      </c>
      <c r="L2249" t="s">
        <v>46</v>
      </c>
      <c r="M2249">
        <v>616997</v>
      </c>
      <c r="N2249" s="1">
        <v>45299</v>
      </c>
      <c r="O2249" t="s">
        <v>21</v>
      </c>
      <c r="P2249">
        <v>4</v>
      </c>
      <c r="Q2249">
        <v>32365.96</v>
      </c>
    </row>
    <row r="2250" spans="1:17" x14ac:dyDescent="0.3">
      <c r="A2250" t="s">
        <v>5262</v>
      </c>
      <c r="B2250" t="s">
        <v>3124</v>
      </c>
      <c r="C2250" s="2" t="str">
        <f>PROPER(TRIM(Table1[[#This Row],[Gender]]))</f>
        <v>Female</v>
      </c>
      <c r="D2250" t="s">
        <v>43</v>
      </c>
      <c r="E2250">
        <v>33</v>
      </c>
      <c r="F2250" t="s">
        <v>31</v>
      </c>
      <c r="G2250" s="1">
        <v>33613</v>
      </c>
      <c r="H2250" t="s">
        <v>5263</v>
      </c>
      <c r="I2250" s="2" t="str">
        <f t="shared" si="35"/>
        <v>+91-7087892574</v>
      </c>
      <c r="J2250">
        <f>91-7087892665</f>
        <v>-7087892574</v>
      </c>
      <c r="K2250" t="s">
        <v>19</v>
      </c>
      <c r="L2250" t="s">
        <v>20</v>
      </c>
      <c r="M2250">
        <v>721519</v>
      </c>
      <c r="N2250" s="1">
        <v>45153</v>
      </c>
      <c r="O2250" t="s">
        <v>28</v>
      </c>
      <c r="P2250">
        <v>8</v>
      </c>
      <c r="Q2250">
        <v>200555.05</v>
      </c>
    </row>
    <row r="2251" spans="1:17" x14ac:dyDescent="0.3">
      <c r="A2251" t="s">
        <v>5264</v>
      </c>
      <c r="B2251" t="s">
        <v>817</v>
      </c>
      <c r="C2251" s="2" t="str">
        <f>PROPER(TRIM(Table1[[#This Row],[Gender]]))</f>
        <v>Male</v>
      </c>
      <c r="D2251" t="s">
        <v>16</v>
      </c>
      <c r="E2251">
        <v>66</v>
      </c>
      <c r="F2251" t="s">
        <v>24</v>
      </c>
      <c r="G2251" s="1">
        <v>21568</v>
      </c>
      <c r="H2251" t="s">
        <v>4897</v>
      </c>
      <c r="I2251" s="2" t="str">
        <f t="shared" si="35"/>
        <v>+91-8739080745</v>
      </c>
      <c r="J2251">
        <f>91-8739080836</f>
        <v>-8739080745</v>
      </c>
      <c r="K2251" t="s">
        <v>51</v>
      </c>
      <c r="L2251" t="s">
        <v>52</v>
      </c>
      <c r="M2251">
        <v>237516</v>
      </c>
      <c r="N2251" s="1">
        <v>45318</v>
      </c>
      <c r="O2251" t="s">
        <v>35</v>
      </c>
      <c r="P2251">
        <v>6</v>
      </c>
      <c r="Q2251">
        <v>8814.4699999999993</v>
      </c>
    </row>
    <row r="2252" spans="1:17" x14ac:dyDescent="0.3">
      <c r="A2252" t="s">
        <v>5265</v>
      </c>
      <c r="B2252" t="s">
        <v>2415</v>
      </c>
      <c r="C2252" s="2" t="str">
        <f>PROPER(TRIM(Table1[[#This Row],[Gender]]))</f>
        <v>Female</v>
      </c>
      <c r="D2252" t="s">
        <v>43</v>
      </c>
      <c r="E2252">
        <v>50</v>
      </c>
      <c r="F2252" t="s">
        <v>17</v>
      </c>
      <c r="G2252" s="1">
        <v>27408</v>
      </c>
      <c r="H2252" t="s">
        <v>5266</v>
      </c>
      <c r="I2252" s="2" t="str">
        <f t="shared" si="35"/>
        <v>+91-8085420024</v>
      </c>
      <c r="J2252">
        <f>91-8085420115</f>
        <v>-8085420024</v>
      </c>
      <c r="K2252" t="s">
        <v>64</v>
      </c>
      <c r="L2252" t="s">
        <v>20</v>
      </c>
      <c r="M2252">
        <v>784576</v>
      </c>
      <c r="N2252" s="1">
        <v>45196</v>
      </c>
      <c r="O2252" t="s">
        <v>21</v>
      </c>
      <c r="P2252">
        <v>6</v>
      </c>
      <c r="Q2252">
        <v>23092.99</v>
      </c>
    </row>
    <row r="2253" spans="1:17" x14ac:dyDescent="0.3">
      <c r="A2253" t="s">
        <v>5267</v>
      </c>
      <c r="B2253" t="s">
        <v>104</v>
      </c>
      <c r="C2253" s="2" t="str">
        <f>PROPER(TRIM(Table1[[#This Row],[Gender]]))</f>
        <v>Female</v>
      </c>
      <c r="D2253" t="s">
        <v>43</v>
      </c>
      <c r="E2253">
        <v>40</v>
      </c>
      <c r="F2253" t="s">
        <v>38</v>
      </c>
      <c r="G2253" s="1">
        <v>31058</v>
      </c>
      <c r="H2253" t="s">
        <v>5268</v>
      </c>
      <c r="I2253" s="2" t="str">
        <f t="shared" si="35"/>
        <v>+91-7192893168</v>
      </c>
      <c r="J2253">
        <f>91-7192893259</f>
        <v>-7192893168</v>
      </c>
      <c r="K2253" t="s">
        <v>33</v>
      </c>
      <c r="L2253" t="s">
        <v>34</v>
      </c>
      <c r="M2253">
        <v>133054</v>
      </c>
      <c r="N2253" s="1">
        <v>45379</v>
      </c>
      <c r="O2253" t="s">
        <v>28</v>
      </c>
      <c r="P2253">
        <v>8</v>
      </c>
      <c r="Q2253">
        <v>150273.78</v>
      </c>
    </row>
    <row r="2254" spans="1:17" x14ac:dyDescent="0.3">
      <c r="A2254" t="s">
        <v>5269</v>
      </c>
      <c r="B2254" t="s">
        <v>1611</v>
      </c>
      <c r="C2254" s="2" t="str">
        <f>PROPER(TRIM(Table1[[#This Row],[Gender]]))</f>
        <v>Female</v>
      </c>
      <c r="D2254" t="s">
        <v>43</v>
      </c>
      <c r="E2254">
        <v>33</v>
      </c>
      <c r="F2254" t="s">
        <v>31</v>
      </c>
      <c r="G2254" s="1">
        <v>33613</v>
      </c>
      <c r="H2254" t="s">
        <v>5270</v>
      </c>
      <c r="I2254" s="2" t="str">
        <f t="shared" si="35"/>
        <v>+91-8616129092</v>
      </c>
      <c r="J2254">
        <f>91-8616129183</f>
        <v>-8616129092</v>
      </c>
      <c r="K2254" t="s">
        <v>369</v>
      </c>
      <c r="L2254" t="s">
        <v>191</v>
      </c>
      <c r="M2254">
        <v>617630</v>
      </c>
      <c r="N2254" s="1">
        <v>45215</v>
      </c>
      <c r="O2254" t="s">
        <v>28</v>
      </c>
      <c r="P2254">
        <v>3</v>
      </c>
      <c r="Q2254">
        <v>126052.65</v>
      </c>
    </row>
    <row r="2255" spans="1:17" x14ac:dyDescent="0.3">
      <c r="A2255" t="s">
        <v>5271</v>
      </c>
      <c r="B2255" t="s">
        <v>619</v>
      </c>
      <c r="C2255" s="2" t="str">
        <f>PROPER(TRIM(Table1[[#This Row],[Gender]]))</f>
        <v>Male</v>
      </c>
      <c r="D2255" t="s">
        <v>16</v>
      </c>
      <c r="E2255">
        <v>58</v>
      </c>
      <c r="F2255" t="s">
        <v>58</v>
      </c>
      <c r="G2255" s="1">
        <v>24488</v>
      </c>
      <c r="H2255" t="s">
        <v>5272</v>
      </c>
      <c r="I2255" s="2" t="str">
        <f t="shared" si="35"/>
        <v>+91-8133395576</v>
      </c>
      <c r="J2255">
        <f>91-8133395667</f>
        <v>-8133395576</v>
      </c>
      <c r="K2255" t="s">
        <v>60</v>
      </c>
      <c r="L2255" t="s">
        <v>34</v>
      </c>
      <c r="M2255">
        <v>211159</v>
      </c>
      <c r="N2255" s="1">
        <v>45084</v>
      </c>
      <c r="O2255" t="s">
        <v>21</v>
      </c>
      <c r="P2255">
        <v>5</v>
      </c>
      <c r="Q2255">
        <v>46493.67</v>
      </c>
    </row>
    <row r="2256" spans="1:17" x14ac:dyDescent="0.3">
      <c r="A2256" t="s">
        <v>5273</v>
      </c>
      <c r="B2256" t="s">
        <v>3046</v>
      </c>
      <c r="C2256" s="2" t="str">
        <f>PROPER(TRIM(Table1[[#This Row],[Gender]]))</f>
        <v>Female</v>
      </c>
      <c r="D2256" t="s">
        <v>43</v>
      </c>
      <c r="E2256">
        <v>37</v>
      </c>
      <c r="F2256" t="s">
        <v>38</v>
      </c>
      <c r="G2256" s="1">
        <v>32153</v>
      </c>
      <c r="H2256" t="s">
        <v>5274</v>
      </c>
      <c r="I2256" s="2" t="str">
        <f t="shared" si="35"/>
        <v>+91-8645442770</v>
      </c>
      <c r="J2256">
        <f>91-8645442861</f>
        <v>-8645442770</v>
      </c>
      <c r="K2256" t="s">
        <v>273</v>
      </c>
      <c r="L2256" t="s">
        <v>46</v>
      </c>
      <c r="M2256">
        <v>511825</v>
      </c>
      <c r="N2256" s="1">
        <v>45089</v>
      </c>
      <c r="O2256" t="s">
        <v>28</v>
      </c>
      <c r="P2256">
        <v>10</v>
      </c>
      <c r="Q2256">
        <v>261007.18</v>
      </c>
    </row>
    <row r="2257" spans="1:17" x14ac:dyDescent="0.3">
      <c r="A2257" t="s">
        <v>5275</v>
      </c>
      <c r="B2257" t="s">
        <v>5276</v>
      </c>
      <c r="C2257" s="2" t="str">
        <f>PROPER(TRIM(Table1[[#This Row],[Gender]]))</f>
        <v>Male</v>
      </c>
      <c r="D2257" t="s">
        <v>16</v>
      </c>
      <c r="E2257">
        <v>46</v>
      </c>
      <c r="F2257" t="s">
        <v>17</v>
      </c>
      <c r="G2257" s="1">
        <v>28868</v>
      </c>
      <c r="H2257" t="s">
        <v>5277</v>
      </c>
      <c r="I2257" s="2" t="str">
        <f t="shared" si="35"/>
        <v>+91-7688685295</v>
      </c>
      <c r="J2257">
        <f>91-7688685386</f>
        <v>-7688685295</v>
      </c>
      <c r="K2257" t="s">
        <v>161</v>
      </c>
      <c r="L2257" t="s">
        <v>102</v>
      </c>
      <c r="M2257">
        <v>741118</v>
      </c>
      <c r="N2257" s="1">
        <v>45175</v>
      </c>
      <c r="O2257" t="s">
        <v>21</v>
      </c>
      <c r="P2257">
        <v>1</v>
      </c>
      <c r="Q2257">
        <v>24443.99</v>
      </c>
    </row>
    <row r="2258" spans="1:17" x14ac:dyDescent="0.3">
      <c r="A2258" t="s">
        <v>5278</v>
      </c>
      <c r="B2258" t="s">
        <v>2250</v>
      </c>
      <c r="C2258" s="2" t="str">
        <f>PROPER(TRIM(Table1[[#This Row],[Gender]]))</f>
        <v>Female</v>
      </c>
      <c r="D2258" t="s">
        <v>43</v>
      </c>
      <c r="E2258">
        <v>27</v>
      </c>
      <c r="F2258" t="s">
        <v>31</v>
      </c>
      <c r="G2258" s="1">
        <v>35803</v>
      </c>
      <c r="H2258" t="s">
        <v>5279</v>
      </c>
      <c r="I2258" s="2" t="str">
        <f t="shared" si="35"/>
        <v>+91-9000880607</v>
      </c>
      <c r="J2258">
        <f>91-9000880698</f>
        <v>-9000880607</v>
      </c>
      <c r="K2258" t="s">
        <v>273</v>
      </c>
      <c r="L2258" t="s">
        <v>46</v>
      </c>
      <c r="M2258">
        <v>168194</v>
      </c>
      <c r="N2258" s="1">
        <v>45262</v>
      </c>
      <c r="O2258" t="s">
        <v>28</v>
      </c>
      <c r="P2258">
        <v>9</v>
      </c>
      <c r="Q2258">
        <v>447976.32</v>
      </c>
    </row>
    <row r="2259" spans="1:17" x14ac:dyDescent="0.3">
      <c r="A2259" t="s">
        <v>5280</v>
      </c>
      <c r="B2259" t="s">
        <v>1485</v>
      </c>
      <c r="C2259" s="2" t="str">
        <f>PROPER(TRIM(Table1[[#This Row],[Gender]]))</f>
        <v>Female</v>
      </c>
      <c r="D2259" t="s">
        <v>43</v>
      </c>
      <c r="E2259">
        <v>30</v>
      </c>
      <c r="F2259" t="s">
        <v>31</v>
      </c>
      <c r="G2259" s="1">
        <v>34708</v>
      </c>
      <c r="H2259" t="s">
        <v>2941</v>
      </c>
      <c r="I2259" s="2" t="str">
        <f t="shared" si="35"/>
        <v>+91-9263013932</v>
      </c>
      <c r="J2259">
        <f>91-9263014023</f>
        <v>-9263013932</v>
      </c>
      <c r="K2259" t="s">
        <v>154</v>
      </c>
      <c r="L2259" t="s">
        <v>46</v>
      </c>
      <c r="M2259">
        <v>631050</v>
      </c>
      <c r="N2259" s="1">
        <v>45210</v>
      </c>
      <c r="O2259" t="s">
        <v>28</v>
      </c>
      <c r="P2259">
        <v>5</v>
      </c>
      <c r="Q2259">
        <v>128856.12</v>
      </c>
    </row>
    <row r="2260" spans="1:17" x14ac:dyDescent="0.3">
      <c r="A2260" t="s">
        <v>5281</v>
      </c>
      <c r="B2260" t="s">
        <v>4801</v>
      </c>
      <c r="C2260" s="2" t="str">
        <f>PROPER(TRIM(Table1[[#This Row],[Gender]]))</f>
        <v>Female</v>
      </c>
      <c r="D2260" t="s">
        <v>43</v>
      </c>
      <c r="E2260">
        <v>65</v>
      </c>
      <c r="F2260" t="s">
        <v>58</v>
      </c>
      <c r="G2260" s="1">
        <v>21933</v>
      </c>
      <c r="H2260" t="s">
        <v>5282</v>
      </c>
      <c r="I2260" s="2" t="str">
        <f t="shared" si="35"/>
        <v>+91-9381760389</v>
      </c>
      <c r="J2260">
        <f>91-9381760480</f>
        <v>-9381760389</v>
      </c>
      <c r="K2260" t="s">
        <v>117</v>
      </c>
      <c r="L2260" t="s">
        <v>52</v>
      </c>
      <c r="M2260">
        <v>514765</v>
      </c>
      <c r="N2260" s="1">
        <v>45270</v>
      </c>
      <c r="O2260" t="s">
        <v>21</v>
      </c>
      <c r="P2260">
        <v>4</v>
      </c>
      <c r="Q2260">
        <v>33259.78</v>
      </c>
    </row>
    <row r="2261" spans="1:17" x14ac:dyDescent="0.3">
      <c r="A2261" t="s">
        <v>5283</v>
      </c>
      <c r="B2261" t="s">
        <v>1989</v>
      </c>
      <c r="C2261" s="2" t="str">
        <f>PROPER(TRIM(Table1[[#This Row],[Gender]]))</f>
        <v>Female</v>
      </c>
      <c r="D2261" t="s">
        <v>43</v>
      </c>
      <c r="E2261">
        <v>49</v>
      </c>
      <c r="F2261" t="s">
        <v>17</v>
      </c>
      <c r="G2261" s="1">
        <v>27773</v>
      </c>
      <c r="H2261" t="s">
        <v>5284</v>
      </c>
      <c r="I2261" s="2" t="str">
        <f t="shared" si="35"/>
        <v>+91-8826208698</v>
      </c>
      <c r="J2261">
        <f>91-8826208789</f>
        <v>-8826208698</v>
      </c>
      <c r="K2261" t="s">
        <v>109</v>
      </c>
      <c r="L2261" t="s">
        <v>46</v>
      </c>
      <c r="M2261">
        <v>500948</v>
      </c>
      <c r="N2261" s="1">
        <v>45424</v>
      </c>
      <c r="O2261" t="s">
        <v>35</v>
      </c>
      <c r="P2261">
        <v>3</v>
      </c>
      <c r="Q2261">
        <v>6398.28</v>
      </c>
    </row>
    <row r="2262" spans="1:17" x14ac:dyDescent="0.3">
      <c r="A2262" t="s">
        <v>5285</v>
      </c>
      <c r="B2262" t="s">
        <v>531</v>
      </c>
      <c r="C2262" s="2" t="str">
        <f>PROPER(TRIM(Table1[[#This Row],[Gender]]))</f>
        <v>Male</v>
      </c>
      <c r="D2262" t="s">
        <v>16</v>
      </c>
      <c r="E2262">
        <v>34</v>
      </c>
      <c r="F2262" t="s">
        <v>31</v>
      </c>
      <c r="G2262" s="1">
        <v>33248</v>
      </c>
      <c r="H2262" t="s">
        <v>5286</v>
      </c>
      <c r="I2262" s="2" t="str">
        <f t="shared" si="35"/>
        <v>+91-8748393796</v>
      </c>
      <c r="J2262">
        <f>91-8748393887</f>
        <v>-8748393796</v>
      </c>
      <c r="K2262" t="s">
        <v>117</v>
      </c>
      <c r="L2262" t="s">
        <v>52</v>
      </c>
      <c r="M2262">
        <v>389921</v>
      </c>
      <c r="N2262" s="1">
        <v>45188</v>
      </c>
      <c r="O2262" t="s">
        <v>35</v>
      </c>
      <c r="P2262">
        <v>1</v>
      </c>
      <c r="Q2262">
        <v>10724.74</v>
      </c>
    </row>
    <row r="2263" spans="1:17" x14ac:dyDescent="0.3">
      <c r="A2263" t="s">
        <v>5287</v>
      </c>
      <c r="B2263" t="s">
        <v>4220</v>
      </c>
      <c r="C2263" s="2" t="str">
        <f>PROPER(TRIM(Table1[[#This Row],[Gender]]))</f>
        <v>Male</v>
      </c>
      <c r="D2263" t="s">
        <v>16</v>
      </c>
      <c r="E2263">
        <v>46</v>
      </c>
      <c r="F2263" t="s">
        <v>17</v>
      </c>
      <c r="G2263" s="1">
        <v>28868</v>
      </c>
      <c r="H2263" t="s">
        <v>5288</v>
      </c>
      <c r="I2263" s="2" t="str">
        <f t="shared" si="35"/>
        <v>+91-7864517627</v>
      </c>
      <c r="J2263">
        <f>91-7864517718</f>
        <v>-7864517627</v>
      </c>
      <c r="K2263" t="s">
        <v>138</v>
      </c>
      <c r="L2263" t="s">
        <v>90</v>
      </c>
      <c r="M2263">
        <v>357390</v>
      </c>
      <c r="N2263" s="1">
        <v>45407</v>
      </c>
      <c r="O2263" t="s">
        <v>28</v>
      </c>
      <c r="P2263">
        <v>7</v>
      </c>
      <c r="Q2263">
        <v>50125.98</v>
      </c>
    </row>
    <row r="2264" spans="1:17" x14ac:dyDescent="0.3">
      <c r="A2264" t="s">
        <v>5289</v>
      </c>
      <c r="B2264" t="s">
        <v>554</v>
      </c>
      <c r="C2264" s="2" t="str">
        <f>PROPER(TRIM(Table1[[#This Row],[Gender]]))</f>
        <v>Male</v>
      </c>
      <c r="D2264" t="s">
        <v>16</v>
      </c>
      <c r="E2264">
        <v>18</v>
      </c>
      <c r="F2264" t="s">
        <v>49</v>
      </c>
      <c r="G2264" s="1">
        <v>39088</v>
      </c>
      <c r="H2264" t="s">
        <v>3712</v>
      </c>
      <c r="I2264" s="2" t="str">
        <f t="shared" si="35"/>
        <v>+91-9216011251</v>
      </c>
      <c r="J2264">
        <f>91-9216011342</f>
        <v>-9216011251</v>
      </c>
      <c r="K2264" t="s">
        <v>369</v>
      </c>
      <c r="L2264" t="s">
        <v>191</v>
      </c>
      <c r="M2264">
        <v>459591</v>
      </c>
      <c r="N2264" s="1">
        <v>45354</v>
      </c>
      <c r="O2264" t="s">
        <v>28</v>
      </c>
      <c r="P2264">
        <v>9</v>
      </c>
      <c r="Q2264">
        <v>271937.14</v>
      </c>
    </row>
    <row r="2265" spans="1:17" x14ac:dyDescent="0.3">
      <c r="A2265" t="s">
        <v>5290</v>
      </c>
      <c r="B2265" t="s">
        <v>222</v>
      </c>
      <c r="C2265" s="2" t="str">
        <f>PROPER(TRIM(Table1[[#This Row],[Gender]]))</f>
        <v>Female</v>
      </c>
      <c r="D2265" t="s">
        <v>43</v>
      </c>
      <c r="E2265">
        <v>34</v>
      </c>
      <c r="F2265" t="s">
        <v>31</v>
      </c>
      <c r="G2265" s="1">
        <v>33248</v>
      </c>
      <c r="H2265" t="s">
        <v>1557</v>
      </c>
      <c r="I2265" s="2" t="str">
        <f t="shared" si="35"/>
        <v>+91-7047062055</v>
      </c>
      <c r="J2265">
        <f>91-7047062146</f>
        <v>-7047062055</v>
      </c>
      <c r="K2265" t="s">
        <v>101</v>
      </c>
      <c r="L2265" t="s">
        <v>102</v>
      </c>
      <c r="M2265">
        <v>426010</v>
      </c>
      <c r="N2265" s="1">
        <v>45217</v>
      </c>
      <c r="O2265" t="s">
        <v>28</v>
      </c>
      <c r="P2265">
        <v>8</v>
      </c>
      <c r="Q2265">
        <v>375180.14</v>
      </c>
    </row>
    <row r="2266" spans="1:17" x14ac:dyDescent="0.3">
      <c r="A2266" t="s">
        <v>5291</v>
      </c>
      <c r="B2266" t="s">
        <v>1367</v>
      </c>
      <c r="C2266" s="2" t="str">
        <f>PROPER(TRIM(Table1[[#This Row],[Gender]]))</f>
        <v>Female</v>
      </c>
      <c r="D2266" t="s">
        <v>43</v>
      </c>
      <c r="E2266">
        <v>35</v>
      </c>
      <c r="F2266" t="s">
        <v>31</v>
      </c>
      <c r="G2266" s="1">
        <v>32883</v>
      </c>
      <c r="H2266" t="s">
        <v>1368</v>
      </c>
      <c r="I2266" s="2" t="str">
        <f t="shared" si="35"/>
        <v>+91-7019110203</v>
      </c>
      <c r="J2266">
        <f>91-7019110294</f>
        <v>-7019110203</v>
      </c>
      <c r="K2266" t="s">
        <v>89</v>
      </c>
      <c r="L2266" t="s">
        <v>90</v>
      </c>
      <c r="M2266">
        <v>534455</v>
      </c>
      <c r="N2266" s="1">
        <v>45147</v>
      </c>
      <c r="O2266" t="s">
        <v>28</v>
      </c>
      <c r="P2266">
        <v>5</v>
      </c>
      <c r="Q2266">
        <v>65040.37</v>
      </c>
    </row>
    <row r="2267" spans="1:17" x14ac:dyDescent="0.3">
      <c r="A2267" t="s">
        <v>5292</v>
      </c>
      <c r="B2267" t="s">
        <v>1787</v>
      </c>
      <c r="C2267" s="2" t="str">
        <f>PROPER(TRIM(Table1[[#This Row],[Gender]]))</f>
        <v>Male</v>
      </c>
      <c r="D2267" t="s">
        <v>16</v>
      </c>
      <c r="E2267">
        <v>46</v>
      </c>
      <c r="F2267" t="s">
        <v>17</v>
      </c>
      <c r="G2267" s="1">
        <v>28868</v>
      </c>
      <c r="H2267" t="s">
        <v>5293</v>
      </c>
      <c r="I2267" s="2" t="str">
        <f t="shared" si="35"/>
        <v>+91-7876359371</v>
      </c>
      <c r="J2267">
        <f>91-7876359462</f>
        <v>-7876359371</v>
      </c>
      <c r="K2267" t="s">
        <v>273</v>
      </c>
      <c r="L2267" t="s">
        <v>46</v>
      </c>
      <c r="M2267">
        <v>184920</v>
      </c>
      <c r="N2267" s="1">
        <v>45414</v>
      </c>
      <c r="O2267" t="s">
        <v>21</v>
      </c>
      <c r="P2267">
        <v>3</v>
      </c>
      <c r="Q2267">
        <v>37711.29</v>
      </c>
    </row>
    <row r="2268" spans="1:17" x14ac:dyDescent="0.3">
      <c r="A2268" t="s">
        <v>5294</v>
      </c>
      <c r="B2268" t="s">
        <v>5165</v>
      </c>
      <c r="C2268" s="2" t="str">
        <f>PROPER(TRIM(Table1[[#This Row],[Gender]]))</f>
        <v>Female</v>
      </c>
      <c r="D2268" t="s">
        <v>43</v>
      </c>
      <c r="E2268">
        <v>32</v>
      </c>
      <c r="F2268" t="s">
        <v>31</v>
      </c>
      <c r="G2268" s="1">
        <v>33978</v>
      </c>
      <c r="H2268" t="s">
        <v>5295</v>
      </c>
      <c r="I2268" s="2" t="str">
        <f t="shared" si="35"/>
        <v>+91-7840443438</v>
      </c>
      <c r="J2268">
        <f>91-7840443529</f>
        <v>-7840443438</v>
      </c>
      <c r="K2268" t="s">
        <v>113</v>
      </c>
      <c r="L2268" t="s">
        <v>34</v>
      </c>
      <c r="M2268">
        <v>413208</v>
      </c>
      <c r="N2268" s="1">
        <v>45179</v>
      </c>
      <c r="O2268" t="s">
        <v>28</v>
      </c>
      <c r="P2268">
        <v>6</v>
      </c>
      <c r="Q2268">
        <v>232584.37</v>
      </c>
    </row>
    <row r="2269" spans="1:17" x14ac:dyDescent="0.3">
      <c r="A2269" t="s">
        <v>5296</v>
      </c>
      <c r="B2269" t="s">
        <v>2553</v>
      </c>
      <c r="C2269" s="2" t="str">
        <f>PROPER(TRIM(Table1[[#This Row],[Gender]]))</f>
        <v>Female</v>
      </c>
      <c r="D2269" t="s">
        <v>43</v>
      </c>
      <c r="E2269">
        <v>32</v>
      </c>
      <c r="F2269" t="s">
        <v>31</v>
      </c>
      <c r="G2269" s="1">
        <v>33978</v>
      </c>
      <c r="H2269" t="s">
        <v>5297</v>
      </c>
      <c r="I2269" s="2" t="str">
        <f t="shared" si="35"/>
        <v>+91-7446180343</v>
      </c>
      <c r="J2269">
        <f>91-7446180434</f>
        <v>-7446180343</v>
      </c>
      <c r="K2269" t="s">
        <v>19</v>
      </c>
      <c r="L2269" t="s">
        <v>20</v>
      </c>
      <c r="M2269">
        <v>318046</v>
      </c>
      <c r="N2269" s="1">
        <v>45408</v>
      </c>
      <c r="O2269" t="s">
        <v>28</v>
      </c>
      <c r="P2269">
        <v>3</v>
      </c>
      <c r="Q2269">
        <v>156639.9</v>
      </c>
    </row>
    <row r="2270" spans="1:17" x14ac:dyDescent="0.3">
      <c r="A2270" t="s">
        <v>5298</v>
      </c>
      <c r="B2270" t="s">
        <v>1359</v>
      </c>
      <c r="C2270" s="2" t="str">
        <f>PROPER(TRIM(Table1[[#This Row],[Gender]]))</f>
        <v>Female</v>
      </c>
      <c r="D2270" t="s">
        <v>43</v>
      </c>
      <c r="E2270">
        <v>18</v>
      </c>
      <c r="F2270" t="s">
        <v>49</v>
      </c>
      <c r="G2270" s="1">
        <v>39088</v>
      </c>
      <c r="H2270" t="s">
        <v>5299</v>
      </c>
      <c r="I2270" s="2" t="str">
        <f t="shared" si="35"/>
        <v>+91-7828841772</v>
      </c>
      <c r="J2270">
        <f>91-7828841863</f>
        <v>-7828841772</v>
      </c>
      <c r="K2270" t="s">
        <v>142</v>
      </c>
      <c r="L2270" t="s">
        <v>143</v>
      </c>
      <c r="M2270">
        <v>961606</v>
      </c>
      <c r="N2270" s="1">
        <v>45230</v>
      </c>
      <c r="O2270" t="s">
        <v>28</v>
      </c>
      <c r="P2270">
        <v>3</v>
      </c>
      <c r="Q2270">
        <v>155873.84</v>
      </c>
    </row>
    <row r="2271" spans="1:17" x14ac:dyDescent="0.3">
      <c r="A2271" t="s">
        <v>5300</v>
      </c>
      <c r="B2271" t="s">
        <v>940</v>
      </c>
      <c r="C2271" s="2" t="str">
        <f>PROPER(TRIM(Table1[[#This Row],[Gender]]))</f>
        <v>Male</v>
      </c>
      <c r="D2271" t="s">
        <v>16</v>
      </c>
      <c r="E2271">
        <v>42</v>
      </c>
      <c r="F2271" t="s">
        <v>38</v>
      </c>
      <c r="G2271" s="1">
        <v>30328</v>
      </c>
      <c r="H2271" t="s">
        <v>5301</v>
      </c>
      <c r="I2271" s="2" t="str">
        <f t="shared" si="35"/>
        <v>+91-9024869356</v>
      </c>
      <c r="J2271">
        <f>91-9024869447</f>
        <v>-9024869356</v>
      </c>
      <c r="K2271" t="s">
        <v>84</v>
      </c>
      <c r="L2271" t="s">
        <v>85</v>
      </c>
      <c r="M2271">
        <v>491529</v>
      </c>
      <c r="N2271" s="1">
        <v>45223</v>
      </c>
      <c r="O2271" t="s">
        <v>35</v>
      </c>
      <c r="P2271">
        <v>3</v>
      </c>
      <c r="Q2271">
        <v>3993.9</v>
      </c>
    </row>
    <row r="2272" spans="1:17" x14ac:dyDescent="0.3">
      <c r="A2272" t="s">
        <v>5302</v>
      </c>
      <c r="B2272" t="s">
        <v>3127</v>
      </c>
      <c r="C2272" s="2" t="str">
        <f>PROPER(TRIM(Table1[[#This Row],[Gender]]))</f>
        <v>Male</v>
      </c>
      <c r="D2272" t="s">
        <v>16</v>
      </c>
      <c r="E2272">
        <v>31</v>
      </c>
      <c r="F2272" t="s">
        <v>31</v>
      </c>
      <c r="G2272" s="1">
        <v>34343</v>
      </c>
      <c r="H2272" t="s">
        <v>5303</v>
      </c>
      <c r="I2272" s="2" t="str">
        <f t="shared" si="35"/>
        <v>+91-8577263522</v>
      </c>
      <c r="J2272">
        <f>91-8577263613</f>
        <v>-8577263522</v>
      </c>
      <c r="K2272" t="s">
        <v>202</v>
      </c>
      <c r="L2272" t="s">
        <v>191</v>
      </c>
      <c r="M2272">
        <v>984301</v>
      </c>
      <c r="N2272" s="1">
        <v>45405</v>
      </c>
      <c r="O2272" t="s">
        <v>28</v>
      </c>
      <c r="P2272">
        <v>6</v>
      </c>
      <c r="Q2272">
        <v>131633.47</v>
      </c>
    </row>
    <row r="2273" spans="1:17" x14ac:dyDescent="0.3">
      <c r="A2273" t="s">
        <v>5304</v>
      </c>
      <c r="B2273" t="s">
        <v>1228</v>
      </c>
      <c r="C2273" s="2" t="str">
        <f>PROPER(TRIM(Table1[[#This Row],[Gender]]))</f>
        <v>Female</v>
      </c>
      <c r="D2273" t="s">
        <v>43</v>
      </c>
      <c r="E2273">
        <v>25</v>
      </c>
      <c r="F2273" t="s">
        <v>49</v>
      </c>
      <c r="G2273" s="1">
        <v>36533</v>
      </c>
      <c r="H2273" t="s">
        <v>5305</v>
      </c>
      <c r="I2273" s="2" t="str">
        <f t="shared" si="35"/>
        <v>+91-9281673900</v>
      </c>
      <c r="J2273">
        <f>91-9281673991</f>
        <v>-9281673900</v>
      </c>
      <c r="K2273" t="s">
        <v>117</v>
      </c>
      <c r="L2273" t="s">
        <v>52</v>
      </c>
      <c r="M2273">
        <v>504430</v>
      </c>
      <c r="N2273" s="1">
        <v>45188</v>
      </c>
      <c r="O2273" t="s">
        <v>28</v>
      </c>
      <c r="P2273">
        <v>8</v>
      </c>
      <c r="Q2273">
        <v>99164.08</v>
      </c>
    </row>
    <row r="2274" spans="1:17" x14ac:dyDescent="0.3">
      <c r="A2274" t="s">
        <v>5306</v>
      </c>
      <c r="B2274" t="s">
        <v>386</v>
      </c>
      <c r="C2274" s="2" t="str">
        <f>PROPER(TRIM(Table1[[#This Row],[Gender]]))</f>
        <v>Male</v>
      </c>
      <c r="D2274" t="s">
        <v>16</v>
      </c>
      <c r="E2274">
        <v>46</v>
      </c>
      <c r="F2274" t="s">
        <v>17</v>
      </c>
      <c r="G2274" s="1">
        <v>28868</v>
      </c>
      <c r="H2274" t="s">
        <v>387</v>
      </c>
      <c r="I2274" s="2" t="str">
        <f t="shared" si="35"/>
        <v>+91-9957620001</v>
      </c>
      <c r="J2274">
        <f>91-9957620092</f>
        <v>-9957620001</v>
      </c>
      <c r="K2274" t="s">
        <v>142</v>
      </c>
      <c r="L2274" t="s">
        <v>143</v>
      </c>
      <c r="M2274">
        <v>429822</v>
      </c>
      <c r="N2274" s="1">
        <v>45184</v>
      </c>
      <c r="O2274" t="s">
        <v>28</v>
      </c>
      <c r="P2274">
        <v>5</v>
      </c>
      <c r="Q2274">
        <v>55556.72</v>
      </c>
    </row>
    <row r="2275" spans="1:17" x14ac:dyDescent="0.3">
      <c r="A2275" t="s">
        <v>5307</v>
      </c>
      <c r="B2275" t="s">
        <v>2890</v>
      </c>
      <c r="C2275" s="2" t="str">
        <f>PROPER(TRIM(Table1[[#This Row],[Gender]]))</f>
        <v>Female</v>
      </c>
      <c r="D2275" t="s">
        <v>43</v>
      </c>
      <c r="E2275">
        <v>44</v>
      </c>
      <c r="F2275" t="s">
        <v>38</v>
      </c>
      <c r="G2275" s="1">
        <v>29598</v>
      </c>
      <c r="H2275" t="s">
        <v>5308</v>
      </c>
      <c r="I2275" s="2" t="str">
        <f t="shared" si="35"/>
        <v>+91-8963067312</v>
      </c>
      <c r="J2275">
        <f>91-8963067403</f>
        <v>-8963067312</v>
      </c>
      <c r="K2275" t="s">
        <v>26</v>
      </c>
      <c r="L2275" t="s">
        <v>27</v>
      </c>
      <c r="M2275">
        <v>900830</v>
      </c>
      <c r="N2275" s="1">
        <v>45099</v>
      </c>
      <c r="O2275" t="s">
        <v>28</v>
      </c>
      <c r="P2275">
        <v>7</v>
      </c>
      <c r="Q2275">
        <v>75680.53</v>
      </c>
    </row>
    <row r="2276" spans="1:17" x14ac:dyDescent="0.3">
      <c r="A2276" t="s">
        <v>5309</v>
      </c>
      <c r="B2276" t="s">
        <v>180</v>
      </c>
      <c r="C2276" s="2" t="str">
        <f>PROPER(TRIM(Table1[[#This Row],[Gender]]))</f>
        <v>Female</v>
      </c>
      <c r="D2276" t="s">
        <v>43</v>
      </c>
      <c r="E2276">
        <v>64</v>
      </c>
      <c r="F2276" t="s">
        <v>58</v>
      </c>
      <c r="G2276" s="1">
        <v>22298</v>
      </c>
      <c r="H2276" t="s">
        <v>5310</v>
      </c>
      <c r="I2276" s="2" t="str">
        <f t="shared" si="35"/>
        <v>+91-9165551618</v>
      </c>
      <c r="J2276">
        <f>91-9165551709</f>
        <v>-9165551618</v>
      </c>
      <c r="K2276" t="s">
        <v>33</v>
      </c>
      <c r="L2276" t="s">
        <v>34</v>
      </c>
      <c r="M2276">
        <v>370466</v>
      </c>
      <c r="N2276" s="1">
        <v>45177</v>
      </c>
      <c r="O2276" t="s">
        <v>21</v>
      </c>
      <c r="P2276">
        <v>1</v>
      </c>
      <c r="Q2276">
        <v>23682.720000000001</v>
      </c>
    </row>
    <row r="2277" spans="1:17" x14ac:dyDescent="0.3">
      <c r="A2277" t="s">
        <v>5311</v>
      </c>
      <c r="B2277" t="s">
        <v>698</v>
      </c>
      <c r="C2277" s="2" t="str">
        <f>PROPER(TRIM(Table1[[#This Row],[Gender]]))</f>
        <v>Female</v>
      </c>
      <c r="D2277" t="s">
        <v>43</v>
      </c>
      <c r="E2277">
        <v>30</v>
      </c>
      <c r="F2277" t="s">
        <v>31</v>
      </c>
      <c r="G2277" s="1">
        <v>34708</v>
      </c>
      <c r="H2277" t="s">
        <v>5312</v>
      </c>
      <c r="I2277" s="2" t="str">
        <f t="shared" si="35"/>
        <v>+91-7204584699</v>
      </c>
      <c r="J2277">
        <f>91-7204584790</f>
        <v>-7204584699</v>
      </c>
      <c r="K2277" t="s">
        <v>64</v>
      </c>
      <c r="L2277" t="s">
        <v>20</v>
      </c>
      <c r="M2277">
        <v>742379</v>
      </c>
      <c r="N2277" s="1">
        <v>45196</v>
      </c>
      <c r="O2277" t="s">
        <v>35</v>
      </c>
      <c r="P2277">
        <v>1</v>
      </c>
      <c r="Q2277">
        <v>4466.78</v>
      </c>
    </row>
    <row r="2278" spans="1:17" x14ac:dyDescent="0.3">
      <c r="A2278" t="s">
        <v>5313</v>
      </c>
      <c r="B2278" t="s">
        <v>1181</v>
      </c>
      <c r="C2278" s="2" t="str">
        <f>PROPER(TRIM(Table1[[#This Row],[Gender]]))</f>
        <v>Male</v>
      </c>
      <c r="D2278" t="s">
        <v>16</v>
      </c>
      <c r="E2278">
        <v>37</v>
      </c>
      <c r="F2278" t="s">
        <v>38</v>
      </c>
      <c r="G2278" s="1">
        <v>32153</v>
      </c>
      <c r="H2278" t="s">
        <v>1673</v>
      </c>
      <c r="I2278" s="2" t="str">
        <f t="shared" si="35"/>
        <v>+91-8980493448</v>
      </c>
      <c r="J2278">
        <f>91-8980493539</f>
        <v>-8980493448</v>
      </c>
      <c r="K2278" t="s">
        <v>26</v>
      </c>
      <c r="L2278" t="s">
        <v>27</v>
      </c>
      <c r="M2278">
        <v>514787</v>
      </c>
      <c r="N2278" s="1">
        <v>45310</v>
      </c>
      <c r="O2278" t="s">
        <v>35</v>
      </c>
      <c r="P2278">
        <v>2</v>
      </c>
      <c r="Q2278">
        <v>3555.24</v>
      </c>
    </row>
    <row r="2279" spans="1:17" x14ac:dyDescent="0.3">
      <c r="A2279" t="s">
        <v>5314</v>
      </c>
      <c r="B2279" t="s">
        <v>1636</v>
      </c>
      <c r="C2279" s="2" t="str">
        <f>PROPER(TRIM(Table1[[#This Row],[Gender]]))</f>
        <v>Male</v>
      </c>
      <c r="D2279" t="s">
        <v>16</v>
      </c>
      <c r="E2279">
        <v>29</v>
      </c>
      <c r="F2279" t="s">
        <v>31</v>
      </c>
      <c r="G2279" s="1">
        <v>35073</v>
      </c>
      <c r="H2279" t="s">
        <v>5315</v>
      </c>
      <c r="I2279" s="2" t="str">
        <f t="shared" si="35"/>
        <v>+91-8943682728</v>
      </c>
      <c r="J2279">
        <f>91-8943682819</f>
        <v>-8943682728</v>
      </c>
      <c r="K2279" t="s">
        <v>68</v>
      </c>
      <c r="L2279" t="s">
        <v>52</v>
      </c>
      <c r="M2279">
        <v>976274</v>
      </c>
      <c r="N2279" s="1">
        <v>45208</v>
      </c>
      <c r="O2279" t="s">
        <v>21</v>
      </c>
      <c r="P2279">
        <v>2</v>
      </c>
      <c r="Q2279">
        <v>41246.620000000003</v>
      </c>
    </row>
    <row r="2280" spans="1:17" x14ac:dyDescent="0.3">
      <c r="A2280" t="s">
        <v>5316</v>
      </c>
      <c r="B2280" t="s">
        <v>773</v>
      </c>
      <c r="C2280" s="2" t="str">
        <f>PROPER(TRIM(Table1[[#This Row],[Gender]]))</f>
        <v>Female</v>
      </c>
      <c r="D2280" t="s">
        <v>43</v>
      </c>
      <c r="E2280">
        <v>32</v>
      </c>
      <c r="F2280" t="s">
        <v>31</v>
      </c>
      <c r="G2280" s="1">
        <v>33978</v>
      </c>
      <c r="H2280" t="s">
        <v>5317</v>
      </c>
      <c r="I2280" s="2" t="str">
        <f t="shared" si="35"/>
        <v>+91-8663523054</v>
      </c>
      <c r="J2280">
        <f>91-8663523145</f>
        <v>-8663523054</v>
      </c>
      <c r="K2280" t="s">
        <v>113</v>
      </c>
      <c r="L2280" t="s">
        <v>34</v>
      </c>
      <c r="M2280">
        <v>484555</v>
      </c>
      <c r="N2280" s="1">
        <v>45194</v>
      </c>
      <c r="O2280" t="s">
        <v>28</v>
      </c>
      <c r="P2280">
        <v>5</v>
      </c>
      <c r="Q2280">
        <v>152632.06</v>
      </c>
    </row>
    <row r="2281" spans="1:17" x14ac:dyDescent="0.3">
      <c r="A2281" t="s">
        <v>5318</v>
      </c>
      <c r="B2281" t="s">
        <v>1405</v>
      </c>
      <c r="C2281" s="2" t="str">
        <f>PROPER(TRIM(Table1[[#This Row],[Gender]]))</f>
        <v>Male</v>
      </c>
      <c r="D2281" t="s">
        <v>16</v>
      </c>
      <c r="E2281">
        <v>27</v>
      </c>
      <c r="F2281" t="s">
        <v>31</v>
      </c>
      <c r="G2281" s="1">
        <v>35803</v>
      </c>
      <c r="H2281" t="s">
        <v>3456</v>
      </c>
      <c r="I2281" s="2" t="str">
        <f t="shared" si="35"/>
        <v>+91-8909390236</v>
      </c>
      <c r="J2281">
        <f>91-8909390327</f>
        <v>-8909390236</v>
      </c>
      <c r="K2281" t="s">
        <v>165</v>
      </c>
      <c r="L2281" t="s">
        <v>52</v>
      </c>
      <c r="M2281">
        <v>183175</v>
      </c>
      <c r="N2281" s="1">
        <v>45081</v>
      </c>
      <c r="O2281" t="s">
        <v>21</v>
      </c>
      <c r="P2281">
        <v>2</v>
      </c>
      <c r="Q2281">
        <v>23712.5</v>
      </c>
    </row>
    <row r="2282" spans="1:17" x14ac:dyDescent="0.3">
      <c r="A2282" t="s">
        <v>5319</v>
      </c>
      <c r="B2282" t="s">
        <v>5320</v>
      </c>
      <c r="C2282" s="2" t="str">
        <f>PROPER(TRIM(Table1[[#This Row],[Gender]]))</f>
        <v>Male</v>
      </c>
      <c r="D2282" t="s">
        <v>16</v>
      </c>
      <c r="E2282">
        <v>18</v>
      </c>
      <c r="F2282" t="s">
        <v>49</v>
      </c>
      <c r="G2282" s="1">
        <v>39088</v>
      </c>
      <c r="H2282" t="s">
        <v>5321</v>
      </c>
      <c r="I2282" s="2" t="str">
        <f t="shared" si="35"/>
        <v>+91-8891622978</v>
      </c>
      <c r="J2282">
        <f>91-8891623069</f>
        <v>-8891622978</v>
      </c>
      <c r="K2282" t="s">
        <v>68</v>
      </c>
      <c r="L2282" t="s">
        <v>52</v>
      </c>
      <c r="M2282">
        <v>509028</v>
      </c>
      <c r="N2282" s="1">
        <v>45355</v>
      </c>
      <c r="O2282" t="s">
        <v>28</v>
      </c>
      <c r="P2282">
        <v>5</v>
      </c>
      <c r="Q2282">
        <v>272716.09999999998</v>
      </c>
    </row>
    <row r="2283" spans="1:17" x14ac:dyDescent="0.3">
      <c r="A2283" t="s">
        <v>5322</v>
      </c>
      <c r="B2283" t="s">
        <v>807</v>
      </c>
      <c r="C2283" s="2" t="str">
        <f>PROPER(TRIM(Table1[[#This Row],[Gender]]))</f>
        <v>Male</v>
      </c>
      <c r="D2283" t="s">
        <v>16</v>
      </c>
      <c r="E2283">
        <v>23</v>
      </c>
      <c r="F2283" t="s">
        <v>49</v>
      </c>
      <c r="G2283" s="1">
        <v>37263</v>
      </c>
      <c r="H2283" t="s">
        <v>5323</v>
      </c>
      <c r="I2283" s="2" t="str">
        <f t="shared" si="35"/>
        <v>+91-9855073929</v>
      </c>
      <c r="J2283">
        <f>91-9855074020</f>
        <v>-9855073929</v>
      </c>
      <c r="K2283" t="s">
        <v>154</v>
      </c>
      <c r="L2283" t="s">
        <v>46</v>
      </c>
      <c r="M2283">
        <v>865176</v>
      </c>
      <c r="N2283" s="1">
        <v>45411</v>
      </c>
      <c r="O2283" t="s">
        <v>28</v>
      </c>
      <c r="P2283">
        <v>4</v>
      </c>
      <c r="Q2283">
        <v>167341.16</v>
      </c>
    </row>
    <row r="2284" spans="1:17" x14ac:dyDescent="0.3">
      <c r="A2284" t="s">
        <v>5324</v>
      </c>
      <c r="B2284" t="s">
        <v>940</v>
      </c>
      <c r="C2284" s="2" t="str">
        <f>PROPER(TRIM(Table1[[#This Row],[Gender]]))</f>
        <v>Male</v>
      </c>
      <c r="D2284" t="s">
        <v>16</v>
      </c>
      <c r="E2284">
        <v>35</v>
      </c>
      <c r="F2284" t="s">
        <v>31</v>
      </c>
      <c r="G2284" s="1">
        <v>32883</v>
      </c>
      <c r="H2284" t="s">
        <v>5325</v>
      </c>
      <c r="I2284" s="2" t="str">
        <f t="shared" si="35"/>
        <v>+91-8511687254</v>
      </c>
      <c r="J2284">
        <f>91-8511687345</f>
        <v>-8511687254</v>
      </c>
      <c r="K2284" t="s">
        <v>142</v>
      </c>
      <c r="L2284" t="s">
        <v>143</v>
      </c>
      <c r="M2284">
        <v>419033</v>
      </c>
      <c r="N2284" s="1">
        <v>45281</v>
      </c>
      <c r="O2284" t="s">
        <v>28</v>
      </c>
      <c r="P2284">
        <v>7</v>
      </c>
      <c r="Q2284">
        <v>150329.03</v>
      </c>
    </row>
    <row r="2285" spans="1:17" x14ac:dyDescent="0.3">
      <c r="A2285" t="s">
        <v>5326</v>
      </c>
      <c r="B2285" t="s">
        <v>352</v>
      </c>
      <c r="C2285" s="2" t="str">
        <f>PROPER(TRIM(Table1[[#This Row],[Gender]]))</f>
        <v>Male</v>
      </c>
      <c r="D2285" t="s">
        <v>16</v>
      </c>
      <c r="E2285">
        <v>18</v>
      </c>
      <c r="F2285" t="s">
        <v>49</v>
      </c>
      <c r="G2285" s="1">
        <v>39088</v>
      </c>
      <c r="H2285" t="s">
        <v>3563</v>
      </c>
      <c r="I2285" s="2" t="str">
        <f t="shared" si="35"/>
        <v>+91-9318788844</v>
      </c>
      <c r="J2285">
        <f>91-9318788935</f>
        <v>-9318788844</v>
      </c>
      <c r="K2285" t="s">
        <v>19</v>
      </c>
      <c r="L2285" t="s">
        <v>20</v>
      </c>
      <c r="M2285">
        <v>631723</v>
      </c>
      <c r="N2285" s="1">
        <v>45295</v>
      </c>
      <c r="O2285" t="s">
        <v>28</v>
      </c>
      <c r="P2285">
        <v>4</v>
      </c>
      <c r="Q2285">
        <v>59922.68</v>
      </c>
    </row>
    <row r="2286" spans="1:17" x14ac:dyDescent="0.3">
      <c r="A2286" t="s">
        <v>5327</v>
      </c>
      <c r="B2286" t="s">
        <v>605</v>
      </c>
      <c r="C2286" s="2" t="str">
        <f>PROPER(TRIM(Table1[[#This Row],[Gender]]))</f>
        <v>Male</v>
      </c>
      <c r="D2286" t="s">
        <v>16</v>
      </c>
      <c r="E2286">
        <v>20</v>
      </c>
      <c r="F2286" t="s">
        <v>49</v>
      </c>
      <c r="G2286" s="1">
        <v>38358</v>
      </c>
      <c r="H2286" t="s">
        <v>5328</v>
      </c>
      <c r="I2286" s="2" t="str">
        <f t="shared" si="35"/>
        <v>+91-8034383278</v>
      </c>
      <c r="J2286">
        <f>91-8034383369</f>
        <v>-8034383278</v>
      </c>
      <c r="K2286" t="s">
        <v>60</v>
      </c>
      <c r="L2286" t="s">
        <v>34</v>
      </c>
      <c r="M2286">
        <v>656280</v>
      </c>
      <c r="N2286" s="1">
        <v>45331</v>
      </c>
      <c r="O2286" t="s">
        <v>35</v>
      </c>
      <c r="P2286">
        <v>1</v>
      </c>
      <c r="Q2286">
        <v>8544.11</v>
      </c>
    </row>
    <row r="2287" spans="1:17" x14ac:dyDescent="0.3">
      <c r="A2287" t="s">
        <v>5329</v>
      </c>
      <c r="B2287" t="s">
        <v>3041</v>
      </c>
      <c r="C2287" s="2" t="str">
        <f>PROPER(TRIM(Table1[[#This Row],[Gender]]))</f>
        <v>Male</v>
      </c>
      <c r="D2287" t="s">
        <v>16</v>
      </c>
      <c r="E2287">
        <v>18</v>
      </c>
      <c r="F2287" t="s">
        <v>49</v>
      </c>
      <c r="G2287" s="1">
        <v>39088</v>
      </c>
      <c r="H2287" t="s">
        <v>5330</v>
      </c>
      <c r="I2287" s="2" t="str">
        <f t="shared" si="35"/>
        <v>+91-7472446406</v>
      </c>
      <c r="J2287">
        <f>91-7472446497</f>
        <v>-7472446406</v>
      </c>
      <c r="K2287" t="s">
        <v>273</v>
      </c>
      <c r="L2287" t="s">
        <v>46</v>
      </c>
      <c r="M2287">
        <v>692169</v>
      </c>
      <c r="N2287" s="1">
        <v>45437</v>
      </c>
      <c r="O2287" t="s">
        <v>28</v>
      </c>
      <c r="P2287">
        <v>5</v>
      </c>
      <c r="Q2287">
        <v>129018.41</v>
      </c>
    </row>
    <row r="2288" spans="1:17" x14ac:dyDescent="0.3">
      <c r="A2288" t="s">
        <v>5331</v>
      </c>
      <c r="B2288" t="s">
        <v>1097</v>
      </c>
      <c r="C2288" s="2" t="str">
        <f>PROPER(TRIM(Table1[[#This Row],[Gender]]))</f>
        <v>Male</v>
      </c>
      <c r="D2288" t="s">
        <v>16</v>
      </c>
      <c r="E2288">
        <v>38</v>
      </c>
      <c r="F2288" t="s">
        <v>38</v>
      </c>
      <c r="G2288" s="1">
        <v>31788</v>
      </c>
      <c r="H2288" t="s">
        <v>5332</v>
      </c>
      <c r="I2288" s="2" t="str">
        <f t="shared" si="35"/>
        <v>+91-7879038904</v>
      </c>
      <c r="J2288">
        <f>91-7879038995</f>
        <v>-7879038904</v>
      </c>
      <c r="K2288" t="s">
        <v>19</v>
      </c>
      <c r="L2288" t="s">
        <v>20</v>
      </c>
      <c r="M2288">
        <v>312201</v>
      </c>
      <c r="N2288" s="1">
        <v>45392</v>
      </c>
      <c r="O2288" t="s">
        <v>28</v>
      </c>
      <c r="P2288">
        <v>7</v>
      </c>
      <c r="Q2288">
        <v>71323.89</v>
      </c>
    </row>
    <row r="2289" spans="1:17" x14ac:dyDescent="0.3">
      <c r="A2289" t="s">
        <v>5333</v>
      </c>
      <c r="B2289" t="s">
        <v>2681</v>
      </c>
      <c r="C2289" s="2" t="str">
        <f>PROPER(TRIM(Table1[[#This Row],[Gender]]))</f>
        <v>Male</v>
      </c>
      <c r="D2289" t="s">
        <v>16</v>
      </c>
      <c r="E2289">
        <v>30</v>
      </c>
      <c r="F2289" t="s">
        <v>31</v>
      </c>
      <c r="G2289" s="1">
        <v>34708</v>
      </c>
      <c r="H2289" t="s">
        <v>5334</v>
      </c>
      <c r="I2289" s="2" t="str">
        <f t="shared" si="35"/>
        <v>+91-9892130778</v>
      </c>
      <c r="J2289">
        <f>91-9892130869</f>
        <v>-9892130778</v>
      </c>
      <c r="K2289" t="s">
        <v>51</v>
      </c>
      <c r="L2289" t="s">
        <v>52</v>
      </c>
      <c r="M2289">
        <v>515922</v>
      </c>
      <c r="N2289" s="1">
        <v>45401</v>
      </c>
      <c r="O2289" t="s">
        <v>28</v>
      </c>
      <c r="P2289">
        <v>8</v>
      </c>
      <c r="Q2289">
        <v>275874.32</v>
      </c>
    </row>
    <row r="2290" spans="1:17" x14ac:dyDescent="0.3">
      <c r="A2290" t="s">
        <v>5335</v>
      </c>
      <c r="B2290" t="s">
        <v>848</v>
      </c>
      <c r="C2290" s="2" t="str">
        <f>PROPER(TRIM(Table1[[#This Row],[Gender]]))</f>
        <v>Female</v>
      </c>
      <c r="D2290" t="s">
        <v>43</v>
      </c>
      <c r="E2290">
        <v>18</v>
      </c>
      <c r="F2290" t="s">
        <v>49</v>
      </c>
      <c r="G2290" s="1">
        <v>39088</v>
      </c>
      <c r="H2290" t="s">
        <v>5336</v>
      </c>
      <c r="I2290" s="2" t="str">
        <f t="shared" si="35"/>
        <v>+91-9933247682</v>
      </c>
      <c r="J2290">
        <f>91-9933247773</f>
        <v>-9933247682</v>
      </c>
      <c r="K2290" t="s">
        <v>239</v>
      </c>
      <c r="L2290" t="s">
        <v>191</v>
      </c>
      <c r="M2290">
        <v>803887</v>
      </c>
      <c r="N2290" s="1">
        <v>45402</v>
      </c>
      <c r="O2290" t="s">
        <v>21</v>
      </c>
      <c r="P2290">
        <v>5</v>
      </c>
      <c r="Q2290">
        <v>40445.040000000001</v>
      </c>
    </row>
    <row r="2291" spans="1:17" x14ac:dyDescent="0.3">
      <c r="A2291" t="s">
        <v>5337</v>
      </c>
      <c r="B2291" t="s">
        <v>3705</v>
      </c>
      <c r="C2291" s="2" t="str">
        <f>PROPER(TRIM(Table1[[#This Row],[Gender]]))</f>
        <v>Male</v>
      </c>
      <c r="D2291" t="s">
        <v>16</v>
      </c>
      <c r="E2291">
        <v>19</v>
      </c>
      <c r="F2291" t="s">
        <v>49</v>
      </c>
      <c r="G2291" s="1">
        <v>38723</v>
      </c>
      <c r="H2291" t="s">
        <v>5338</v>
      </c>
      <c r="I2291" s="2" t="str">
        <f t="shared" si="35"/>
        <v>+91-9730231306</v>
      </c>
      <c r="J2291">
        <f>91-9730231397</f>
        <v>-9730231306</v>
      </c>
      <c r="K2291" t="s">
        <v>33</v>
      </c>
      <c r="L2291" t="s">
        <v>34</v>
      </c>
      <c r="M2291">
        <v>493260</v>
      </c>
      <c r="N2291" s="1">
        <v>45344</v>
      </c>
      <c r="O2291" t="s">
        <v>28</v>
      </c>
      <c r="P2291">
        <v>8</v>
      </c>
      <c r="Q2291">
        <v>443802.08</v>
      </c>
    </row>
    <row r="2292" spans="1:17" x14ac:dyDescent="0.3">
      <c r="A2292" t="s">
        <v>5339</v>
      </c>
      <c r="B2292" t="s">
        <v>628</v>
      </c>
      <c r="C2292" s="2" t="str">
        <f>PROPER(TRIM(Table1[[#This Row],[Gender]]))</f>
        <v>Male</v>
      </c>
      <c r="D2292" t="s">
        <v>16</v>
      </c>
      <c r="E2292">
        <v>23</v>
      </c>
      <c r="F2292" t="s">
        <v>49</v>
      </c>
      <c r="G2292" s="1">
        <v>37263</v>
      </c>
      <c r="H2292" t="s">
        <v>5340</v>
      </c>
      <c r="I2292" s="2" t="str">
        <f t="shared" si="35"/>
        <v>+91-7396976914</v>
      </c>
      <c r="J2292">
        <f>91-7396977005</f>
        <v>-7396976914</v>
      </c>
      <c r="K2292" t="s">
        <v>190</v>
      </c>
      <c r="L2292" t="s">
        <v>191</v>
      </c>
      <c r="M2292">
        <v>887881</v>
      </c>
      <c r="N2292" s="1">
        <v>45243</v>
      </c>
      <c r="O2292" t="s">
        <v>28</v>
      </c>
      <c r="P2292">
        <v>3</v>
      </c>
      <c r="Q2292">
        <v>63697.14</v>
      </c>
    </row>
    <row r="2293" spans="1:17" x14ac:dyDescent="0.3">
      <c r="A2293" t="s">
        <v>5341</v>
      </c>
      <c r="B2293" t="s">
        <v>908</v>
      </c>
      <c r="C2293" s="2" t="str">
        <f>PROPER(TRIM(Table1[[#This Row],[Gender]]))</f>
        <v>Female</v>
      </c>
      <c r="D2293" t="s">
        <v>43</v>
      </c>
      <c r="E2293">
        <v>19</v>
      </c>
      <c r="F2293" t="s">
        <v>49</v>
      </c>
      <c r="G2293" s="1">
        <v>38723</v>
      </c>
      <c r="H2293" t="s">
        <v>5342</v>
      </c>
      <c r="I2293" s="2" t="str">
        <f t="shared" si="35"/>
        <v>+91-7620248494</v>
      </c>
      <c r="J2293">
        <f>91-7620248585</f>
        <v>-7620248494</v>
      </c>
      <c r="K2293" t="s">
        <v>174</v>
      </c>
      <c r="L2293" t="s">
        <v>90</v>
      </c>
      <c r="M2293">
        <v>125513</v>
      </c>
      <c r="N2293" s="1">
        <v>45088</v>
      </c>
      <c r="O2293" t="s">
        <v>28</v>
      </c>
      <c r="P2293">
        <v>5</v>
      </c>
      <c r="Q2293">
        <v>229326.89</v>
      </c>
    </row>
    <row r="2294" spans="1:17" x14ac:dyDescent="0.3">
      <c r="A2294" t="s">
        <v>5343</v>
      </c>
      <c r="B2294" t="s">
        <v>887</v>
      </c>
      <c r="C2294" s="2" t="str">
        <f>PROPER(TRIM(Table1[[#This Row],[Gender]]))</f>
        <v>Female</v>
      </c>
      <c r="D2294" t="s">
        <v>43</v>
      </c>
      <c r="E2294">
        <v>41</v>
      </c>
      <c r="F2294" t="s">
        <v>38</v>
      </c>
      <c r="G2294" s="1">
        <v>30693</v>
      </c>
      <c r="H2294" t="s">
        <v>5344</v>
      </c>
      <c r="I2294" s="2" t="str">
        <f t="shared" si="35"/>
        <v>+91-9526915957</v>
      </c>
      <c r="J2294">
        <f>91-9526916048</f>
        <v>-9526915957</v>
      </c>
      <c r="K2294" t="s">
        <v>19</v>
      </c>
      <c r="L2294" t="s">
        <v>20</v>
      </c>
      <c r="M2294">
        <v>838775</v>
      </c>
      <c r="N2294" s="1">
        <v>45088</v>
      </c>
      <c r="O2294" t="s">
        <v>28</v>
      </c>
      <c r="P2294">
        <v>5</v>
      </c>
      <c r="Q2294">
        <v>118479</v>
      </c>
    </row>
    <row r="2295" spans="1:17" x14ac:dyDescent="0.3">
      <c r="A2295" t="s">
        <v>5345</v>
      </c>
      <c r="B2295" t="s">
        <v>1256</v>
      </c>
      <c r="C2295" s="2" t="str">
        <f>PROPER(TRIM(Table1[[#This Row],[Gender]]))</f>
        <v>Male</v>
      </c>
      <c r="D2295" t="s">
        <v>16</v>
      </c>
      <c r="E2295">
        <v>44</v>
      </c>
      <c r="F2295" t="s">
        <v>38</v>
      </c>
      <c r="G2295" s="1">
        <v>29598</v>
      </c>
      <c r="H2295" t="s">
        <v>5346</v>
      </c>
      <c r="I2295" s="2" t="str">
        <f t="shared" si="35"/>
        <v>+91-9099403816</v>
      </c>
      <c r="J2295">
        <f>91-9099403907</f>
        <v>-9099403816</v>
      </c>
      <c r="K2295" t="s">
        <v>76</v>
      </c>
      <c r="L2295" t="s">
        <v>46</v>
      </c>
      <c r="M2295">
        <v>360004</v>
      </c>
      <c r="N2295" s="1">
        <v>45313</v>
      </c>
      <c r="O2295" t="s">
        <v>28</v>
      </c>
      <c r="P2295">
        <v>7</v>
      </c>
      <c r="Q2295">
        <v>208469.7</v>
      </c>
    </row>
    <row r="2296" spans="1:17" x14ac:dyDescent="0.3">
      <c r="A2296" t="s">
        <v>5347</v>
      </c>
      <c r="B2296" t="s">
        <v>5348</v>
      </c>
      <c r="C2296" s="2" t="str">
        <f>PROPER(TRIM(Table1[[#This Row],[Gender]]))</f>
        <v>Female</v>
      </c>
      <c r="D2296" t="s">
        <v>43</v>
      </c>
      <c r="E2296">
        <v>55</v>
      </c>
      <c r="F2296" t="s">
        <v>17</v>
      </c>
      <c r="G2296" s="1">
        <v>25583</v>
      </c>
      <c r="H2296" t="s">
        <v>5349</v>
      </c>
      <c r="I2296" s="2" t="str">
        <f t="shared" si="35"/>
        <v>+91-9192114634</v>
      </c>
      <c r="J2296">
        <f>91-9192114725</f>
        <v>-9192114634</v>
      </c>
      <c r="K2296" t="s">
        <v>174</v>
      </c>
      <c r="L2296" t="s">
        <v>90</v>
      </c>
      <c r="M2296">
        <v>601237</v>
      </c>
      <c r="N2296" s="1">
        <v>45313</v>
      </c>
      <c r="O2296" t="s">
        <v>28</v>
      </c>
      <c r="P2296">
        <v>6</v>
      </c>
      <c r="Q2296">
        <v>50143.47</v>
      </c>
    </row>
    <row r="2297" spans="1:17" x14ac:dyDescent="0.3">
      <c r="A2297" t="s">
        <v>5350</v>
      </c>
      <c r="B2297" t="s">
        <v>2594</v>
      </c>
      <c r="C2297" s="2" t="str">
        <f>PROPER(TRIM(Table1[[#This Row],[Gender]]))</f>
        <v>Female</v>
      </c>
      <c r="D2297" t="s">
        <v>43</v>
      </c>
      <c r="E2297">
        <v>19</v>
      </c>
      <c r="F2297" t="s">
        <v>49</v>
      </c>
      <c r="G2297" s="1">
        <v>38723</v>
      </c>
      <c r="H2297" t="s">
        <v>5351</v>
      </c>
      <c r="I2297" s="2" t="str">
        <f t="shared" si="35"/>
        <v>+91-8553100900</v>
      </c>
      <c r="J2297">
        <f>91-8553100991</f>
        <v>-8553100900</v>
      </c>
      <c r="K2297" t="s">
        <v>64</v>
      </c>
      <c r="L2297" t="s">
        <v>20</v>
      </c>
      <c r="M2297">
        <v>939515</v>
      </c>
      <c r="N2297" s="1">
        <v>45235</v>
      </c>
      <c r="O2297" t="s">
        <v>28</v>
      </c>
      <c r="P2297">
        <v>4</v>
      </c>
      <c r="Q2297">
        <v>408804.66</v>
      </c>
    </row>
    <row r="2298" spans="1:17" x14ac:dyDescent="0.3">
      <c r="A2298" t="s">
        <v>5352</v>
      </c>
      <c r="B2298" t="s">
        <v>275</v>
      </c>
      <c r="C2298" s="2" t="str">
        <f>PROPER(TRIM(Table1[[#This Row],[Gender]]))</f>
        <v>Female</v>
      </c>
      <c r="D2298" t="s">
        <v>43</v>
      </c>
      <c r="E2298">
        <v>45</v>
      </c>
      <c r="F2298" t="s">
        <v>38</v>
      </c>
      <c r="G2298" s="1">
        <v>29233</v>
      </c>
      <c r="H2298" t="s">
        <v>5353</v>
      </c>
      <c r="I2298" s="2" t="str">
        <f t="shared" si="35"/>
        <v>+91-8442372516</v>
      </c>
      <c r="J2298">
        <f>91-8442372607</f>
        <v>-8442372516</v>
      </c>
      <c r="K2298" t="s">
        <v>138</v>
      </c>
      <c r="L2298" t="s">
        <v>90</v>
      </c>
      <c r="M2298">
        <v>227907</v>
      </c>
      <c r="N2298" s="1">
        <v>45255</v>
      </c>
      <c r="O2298" t="s">
        <v>21</v>
      </c>
      <c r="P2298">
        <v>1</v>
      </c>
      <c r="Q2298">
        <v>33460.92</v>
      </c>
    </row>
    <row r="2299" spans="1:17" x14ac:dyDescent="0.3">
      <c r="A2299" t="s">
        <v>5354</v>
      </c>
      <c r="B2299" t="s">
        <v>1548</v>
      </c>
      <c r="C2299" s="2" t="str">
        <f>PROPER(TRIM(Table1[[#This Row],[Gender]]))</f>
        <v>Male</v>
      </c>
      <c r="D2299" t="s">
        <v>16</v>
      </c>
      <c r="E2299">
        <v>22</v>
      </c>
      <c r="F2299" t="s">
        <v>49</v>
      </c>
      <c r="G2299" s="1">
        <v>37628</v>
      </c>
      <c r="H2299" t="s">
        <v>5355</v>
      </c>
      <c r="I2299" s="2" t="str">
        <f t="shared" si="35"/>
        <v>+91-7654334499</v>
      </c>
      <c r="J2299">
        <f>91-7654334590</f>
        <v>-7654334499</v>
      </c>
      <c r="K2299" t="s">
        <v>117</v>
      </c>
      <c r="L2299" t="s">
        <v>52</v>
      </c>
      <c r="M2299">
        <v>213536</v>
      </c>
      <c r="N2299" s="1">
        <v>45231</v>
      </c>
      <c r="O2299" t="s">
        <v>28</v>
      </c>
      <c r="P2299">
        <v>3</v>
      </c>
      <c r="Q2299">
        <v>67280.81</v>
      </c>
    </row>
    <row r="2300" spans="1:17" x14ac:dyDescent="0.3">
      <c r="A2300" t="s">
        <v>5356</v>
      </c>
      <c r="B2300" t="s">
        <v>686</v>
      </c>
      <c r="C2300" s="2" t="str">
        <f>PROPER(TRIM(Table1[[#This Row],[Gender]]))</f>
        <v>Male</v>
      </c>
      <c r="D2300" t="s">
        <v>16</v>
      </c>
      <c r="E2300">
        <v>62</v>
      </c>
      <c r="F2300" t="s">
        <v>58</v>
      </c>
      <c r="G2300" s="1">
        <v>23028</v>
      </c>
      <c r="H2300" t="s">
        <v>5357</v>
      </c>
      <c r="I2300" s="2" t="str">
        <f t="shared" si="35"/>
        <v>+91-9480951755</v>
      </c>
      <c r="J2300">
        <f>91-9480951846</f>
        <v>-9480951755</v>
      </c>
      <c r="K2300" t="s">
        <v>273</v>
      </c>
      <c r="L2300" t="s">
        <v>46</v>
      </c>
      <c r="M2300">
        <v>311087</v>
      </c>
      <c r="N2300" s="1">
        <v>45268</v>
      </c>
      <c r="O2300" t="s">
        <v>35</v>
      </c>
      <c r="P2300">
        <v>5</v>
      </c>
      <c r="Q2300">
        <v>8095.54</v>
      </c>
    </row>
    <row r="2301" spans="1:17" x14ac:dyDescent="0.3">
      <c r="A2301" t="s">
        <v>5358</v>
      </c>
      <c r="B2301" t="s">
        <v>5146</v>
      </c>
      <c r="C2301" s="2" t="str">
        <f>PROPER(TRIM(Table1[[#This Row],[Gender]]))</f>
        <v>Male</v>
      </c>
      <c r="D2301" t="s">
        <v>16</v>
      </c>
      <c r="E2301">
        <v>33</v>
      </c>
      <c r="F2301" t="s">
        <v>31</v>
      </c>
      <c r="G2301" s="1">
        <v>33613</v>
      </c>
      <c r="H2301" t="s">
        <v>5147</v>
      </c>
      <c r="I2301" s="2" t="str">
        <f t="shared" si="35"/>
        <v>+91-8836924909</v>
      </c>
      <c r="J2301">
        <f>91-8836925000</f>
        <v>-8836924909</v>
      </c>
      <c r="K2301" t="s">
        <v>109</v>
      </c>
      <c r="L2301" t="s">
        <v>46</v>
      </c>
      <c r="M2301">
        <v>395995</v>
      </c>
      <c r="N2301" s="1">
        <v>45111</v>
      </c>
      <c r="O2301" t="s">
        <v>28</v>
      </c>
      <c r="P2301">
        <v>8</v>
      </c>
      <c r="Q2301">
        <v>283733.56</v>
      </c>
    </row>
    <row r="2302" spans="1:17" x14ac:dyDescent="0.3">
      <c r="A2302" t="s">
        <v>5359</v>
      </c>
      <c r="B2302" t="s">
        <v>3541</v>
      </c>
      <c r="C2302" s="2" t="str">
        <f>PROPER(TRIM(Table1[[#This Row],[Gender]]))</f>
        <v>Female</v>
      </c>
      <c r="D2302" t="s">
        <v>43</v>
      </c>
      <c r="E2302">
        <v>24</v>
      </c>
      <c r="F2302" t="s">
        <v>49</v>
      </c>
      <c r="G2302" s="1">
        <v>36898</v>
      </c>
      <c r="H2302" t="s">
        <v>5360</v>
      </c>
      <c r="I2302" s="2" t="str">
        <f t="shared" si="35"/>
        <v>+91-8136577009</v>
      </c>
      <c r="J2302">
        <f>91-8136577100</f>
        <v>-8136577009</v>
      </c>
      <c r="K2302" t="s">
        <v>415</v>
      </c>
      <c r="L2302" t="s">
        <v>90</v>
      </c>
      <c r="M2302">
        <v>537560</v>
      </c>
      <c r="N2302" s="1">
        <v>45117</v>
      </c>
      <c r="O2302" t="s">
        <v>28</v>
      </c>
      <c r="P2302">
        <v>7</v>
      </c>
      <c r="Q2302">
        <v>94104.26</v>
      </c>
    </row>
    <row r="2303" spans="1:17" x14ac:dyDescent="0.3">
      <c r="A2303" t="s">
        <v>5361</v>
      </c>
      <c r="B2303" t="s">
        <v>602</v>
      </c>
      <c r="C2303" s="2" t="str">
        <f>PROPER(TRIM(Table1[[#This Row],[Gender]]))</f>
        <v>Female</v>
      </c>
      <c r="D2303" t="s">
        <v>43</v>
      </c>
      <c r="E2303">
        <v>23</v>
      </c>
      <c r="F2303" t="s">
        <v>49</v>
      </c>
      <c r="G2303" s="1">
        <v>37263</v>
      </c>
      <c r="H2303" t="s">
        <v>5362</v>
      </c>
      <c r="I2303" s="2" t="str">
        <f t="shared" si="35"/>
        <v>+91-9255464780</v>
      </c>
      <c r="J2303">
        <f>91-9255464871</f>
        <v>-9255464780</v>
      </c>
      <c r="K2303" t="s">
        <v>125</v>
      </c>
      <c r="L2303" t="s">
        <v>52</v>
      </c>
      <c r="M2303">
        <v>358456</v>
      </c>
      <c r="N2303" s="1">
        <v>45219</v>
      </c>
      <c r="O2303" t="s">
        <v>35</v>
      </c>
      <c r="P2303">
        <v>2</v>
      </c>
      <c r="Q2303">
        <v>1357.37</v>
      </c>
    </row>
    <row r="2304" spans="1:17" x14ac:dyDescent="0.3">
      <c r="A2304" t="s">
        <v>5363</v>
      </c>
      <c r="B2304" t="s">
        <v>5364</v>
      </c>
      <c r="C2304" s="2" t="str">
        <f>PROPER(TRIM(Table1[[#This Row],[Gender]]))</f>
        <v>Male</v>
      </c>
      <c r="D2304" t="s">
        <v>16</v>
      </c>
      <c r="E2304">
        <v>46</v>
      </c>
      <c r="F2304" t="s">
        <v>17</v>
      </c>
      <c r="G2304" s="1">
        <v>28868</v>
      </c>
      <c r="H2304" t="s">
        <v>5365</v>
      </c>
      <c r="I2304" s="2" t="str">
        <f t="shared" si="35"/>
        <v>+91-9865352550</v>
      </c>
      <c r="J2304">
        <f>91-9865352641</f>
        <v>-9865352550</v>
      </c>
      <c r="K2304" t="s">
        <v>80</v>
      </c>
      <c r="L2304" t="s">
        <v>20</v>
      </c>
      <c r="M2304">
        <v>133697</v>
      </c>
      <c r="N2304" s="1">
        <v>45411</v>
      </c>
      <c r="O2304" t="s">
        <v>21</v>
      </c>
      <c r="P2304">
        <v>6</v>
      </c>
      <c r="Q2304">
        <v>29929.35</v>
      </c>
    </row>
    <row r="2305" spans="1:17" x14ac:dyDescent="0.3">
      <c r="A2305" t="s">
        <v>5366</v>
      </c>
      <c r="B2305" t="s">
        <v>204</v>
      </c>
      <c r="C2305" s="2" t="str">
        <f>PROPER(TRIM(Table1[[#This Row],[Gender]]))</f>
        <v>Female</v>
      </c>
      <c r="D2305" t="s">
        <v>43</v>
      </c>
      <c r="E2305">
        <v>32</v>
      </c>
      <c r="F2305" t="s">
        <v>31</v>
      </c>
      <c r="G2305" s="1">
        <v>33978</v>
      </c>
      <c r="H2305" t="s">
        <v>5367</v>
      </c>
      <c r="I2305" s="2" t="str">
        <f t="shared" si="35"/>
        <v>+91-9647146130</v>
      </c>
      <c r="J2305">
        <f>91-9647146221</f>
        <v>-9647146130</v>
      </c>
      <c r="K2305" t="s">
        <v>80</v>
      </c>
      <c r="L2305" t="s">
        <v>20</v>
      </c>
      <c r="M2305">
        <v>383952</v>
      </c>
      <c r="N2305" s="1">
        <v>45138</v>
      </c>
      <c r="O2305" t="s">
        <v>28</v>
      </c>
      <c r="P2305">
        <v>9</v>
      </c>
      <c r="Q2305">
        <v>329477.02</v>
      </c>
    </row>
    <row r="2306" spans="1:17" x14ac:dyDescent="0.3">
      <c r="A2306" t="s">
        <v>5368</v>
      </c>
      <c r="B2306" t="s">
        <v>3487</v>
      </c>
      <c r="C2306" s="2" t="str">
        <f>PROPER(TRIM(Table1[[#This Row],[Gender]]))</f>
        <v>Male</v>
      </c>
      <c r="D2306" t="s">
        <v>16</v>
      </c>
      <c r="E2306">
        <v>21</v>
      </c>
      <c r="F2306" t="s">
        <v>49</v>
      </c>
      <c r="G2306" s="1">
        <v>37993</v>
      </c>
      <c r="H2306" t="s">
        <v>5369</v>
      </c>
      <c r="I2306" s="2" t="str">
        <f t="shared" ref="I2306:I2369" si="36">"+91"&amp;TEXT(J2306,"0000000000")</f>
        <v>+91-9788085301</v>
      </c>
      <c r="J2306">
        <f>91-9788085392</f>
        <v>-9788085301</v>
      </c>
      <c r="K2306" t="s">
        <v>147</v>
      </c>
      <c r="L2306" t="s">
        <v>143</v>
      </c>
      <c r="M2306">
        <v>498496</v>
      </c>
      <c r="N2306" s="1">
        <v>45224</v>
      </c>
      <c r="O2306" t="s">
        <v>28</v>
      </c>
      <c r="P2306">
        <v>4</v>
      </c>
      <c r="Q2306">
        <v>71782.460000000006</v>
      </c>
    </row>
    <row r="2307" spans="1:17" x14ac:dyDescent="0.3">
      <c r="A2307" t="s">
        <v>5370</v>
      </c>
      <c r="B2307" t="s">
        <v>1386</v>
      </c>
      <c r="C2307" s="2" t="str">
        <f>PROPER(TRIM(Table1[[#This Row],[Gender]]))</f>
        <v>Female</v>
      </c>
      <c r="D2307" t="s">
        <v>43</v>
      </c>
      <c r="E2307">
        <v>43</v>
      </c>
      <c r="F2307" t="s">
        <v>38</v>
      </c>
      <c r="G2307" s="1">
        <v>29963</v>
      </c>
      <c r="H2307" t="s">
        <v>5371</v>
      </c>
      <c r="I2307" s="2" t="str">
        <f t="shared" si="36"/>
        <v>+91-7933284062</v>
      </c>
      <c r="J2307">
        <f>91-7933284153</f>
        <v>-7933284062</v>
      </c>
      <c r="K2307" t="s">
        <v>195</v>
      </c>
      <c r="L2307" t="s">
        <v>102</v>
      </c>
      <c r="M2307">
        <v>383140</v>
      </c>
      <c r="N2307" s="1">
        <v>45164</v>
      </c>
      <c r="O2307" t="s">
        <v>28</v>
      </c>
      <c r="P2307">
        <v>6</v>
      </c>
      <c r="Q2307">
        <v>95598.13</v>
      </c>
    </row>
    <row r="2308" spans="1:17" x14ac:dyDescent="0.3">
      <c r="A2308" t="s">
        <v>5372</v>
      </c>
      <c r="B2308" t="s">
        <v>2559</v>
      </c>
      <c r="C2308" s="2" t="str">
        <f>PROPER(TRIM(Table1[[#This Row],[Gender]]))</f>
        <v>Male</v>
      </c>
      <c r="D2308" t="s">
        <v>16</v>
      </c>
      <c r="E2308">
        <v>64</v>
      </c>
      <c r="F2308" t="s">
        <v>58</v>
      </c>
      <c r="G2308" s="1">
        <v>22298</v>
      </c>
      <c r="H2308" t="s">
        <v>5373</v>
      </c>
      <c r="I2308" s="2" t="str">
        <f t="shared" si="36"/>
        <v>+91-9529657171</v>
      </c>
      <c r="J2308">
        <f>91-9529657262</f>
        <v>-9529657171</v>
      </c>
      <c r="K2308" t="s">
        <v>147</v>
      </c>
      <c r="L2308" t="s">
        <v>143</v>
      </c>
      <c r="M2308">
        <v>261231</v>
      </c>
      <c r="N2308" s="1">
        <v>45194</v>
      </c>
      <c r="O2308" t="s">
        <v>21</v>
      </c>
      <c r="P2308">
        <v>9</v>
      </c>
      <c r="Q2308">
        <v>43207.97</v>
      </c>
    </row>
    <row r="2309" spans="1:17" x14ac:dyDescent="0.3">
      <c r="A2309" t="s">
        <v>5374</v>
      </c>
      <c r="B2309" t="s">
        <v>4402</v>
      </c>
      <c r="C2309" s="2" t="str">
        <f>PROPER(TRIM(Table1[[#This Row],[Gender]]))</f>
        <v>Male</v>
      </c>
      <c r="D2309" t="s">
        <v>16</v>
      </c>
      <c r="E2309">
        <v>23</v>
      </c>
      <c r="F2309" t="s">
        <v>49</v>
      </c>
      <c r="G2309" s="1">
        <v>37263</v>
      </c>
      <c r="H2309" t="s">
        <v>5375</v>
      </c>
      <c r="I2309" s="2" t="str">
        <f t="shared" si="36"/>
        <v>+91-9360342996</v>
      </c>
      <c r="J2309">
        <f>91-9360343087</f>
        <v>-9360342996</v>
      </c>
      <c r="K2309" t="s">
        <v>273</v>
      </c>
      <c r="L2309" t="s">
        <v>46</v>
      </c>
      <c r="M2309">
        <v>732872</v>
      </c>
      <c r="N2309" s="1">
        <v>45199</v>
      </c>
      <c r="O2309" t="s">
        <v>21</v>
      </c>
      <c r="P2309">
        <v>3</v>
      </c>
      <c r="Q2309">
        <v>40289.65</v>
      </c>
    </row>
    <row r="2310" spans="1:17" x14ac:dyDescent="0.3">
      <c r="A2310" t="s">
        <v>5376</v>
      </c>
      <c r="B2310" t="s">
        <v>1775</v>
      </c>
      <c r="C2310" s="2" t="str">
        <f>PROPER(TRIM(Table1[[#This Row],[Gender]]))</f>
        <v>Female</v>
      </c>
      <c r="D2310" t="s">
        <v>43</v>
      </c>
      <c r="E2310">
        <v>38</v>
      </c>
      <c r="F2310" t="s">
        <v>38</v>
      </c>
      <c r="G2310" s="1">
        <v>31788</v>
      </c>
      <c r="H2310" t="s">
        <v>5377</v>
      </c>
      <c r="I2310" s="2" t="str">
        <f t="shared" si="36"/>
        <v>+91-9169172678</v>
      </c>
      <c r="J2310">
        <f>91-9169172769</f>
        <v>-9169172678</v>
      </c>
      <c r="K2310" t="s">
        <v>331</v>
      </c>
      <c r="L2310" t="s">
        <v>143</v>
      </c>
      <c r="M2310">
        <v>627120</v>
      </c>
      <c r="N2310" s="1">
        <v>45271</v>
      </c>
      <c r="O2310" t="s">
        <v>28</v>
      </c>
      <c r="P2310">
        <v>9</v>
      </c>
      <c r="Q2310">
        <v>143871.03</v>
      </c>
    </row>
    <row r="2311" spans="1:17" x14ac:dyDescent="0.3">
      <c r="A2311" t="s">
        <v>5378</v>
      </c>
      <c r="B2311" t="s">
        <v>4833</v>
      </c>
      <c r="C2311" s="2" t="str">
        <f>PROPER(TRIM(Table1[[#This Row],[Gender]]))</f>
        <v>Male</v>
      </c>
      <c r="D2311" t="s">
        <v>16</v>
      </c>
      <c r="E2311">
        <v>31</v>
      </c>
      <c r="F2311" t="s">
        <v>31</v>
      </c>
      <c r="G2311" s="1">
        <v>34343</v>
      </c>
      <c r="H2311" t="s">
        <v>5379</v>
      </c>
      <c r="I2311" s="2" t="str">
        <f t="shared" si="36"/>
        <v>+91-9952964141</v>
      </c>
      <c r="J2311">
        <f>91-9952964232</f>
        <v>-9952964141</v>
      </c>
      <c r="K2311" t="s">
        <v>165</v>
      </c>
      <c r="L2311" t="s">
        <v>52</v>
      </c>
      <c r="M2311">
        <v>958416</v>
      </c>
      <c r="N2311" s="1">
        <v>45089</v>
      </c>
      <c r="O2311" t="s">
        <v>28</v>
      </c>
      <c r="P2311">
        <v>3</v>
      </c>
      <c r="Q2311">
        <v>61666.57</v>
      </c>
    </row>
    <row r="2312" spans="1:17" x14ac:dyDescent="0.3">
      <c r="A2312" t="s">
        <v>5380</v>
      </c>
      <c r="B2312" t="s">
        <v>2782</v>
      </c>
      <c r="C2312" s="2" t="str">
        <f>PROPER(TRIM(Table1[[#This Row],[Gender]]))</f>
        <v>Female</v>
      </c>
      <c r="D2312" t="s">
        <v>43</v>
      </c>
      <c r="E2312">
        <v>20</v>
      </c>
      <c r="F2312" t="s">
        <v>49</v>
      </c>
      <c r="G2312" s="1">
        <v>38358</v>
      </c>
      <c r="H2312" t="s">
        <v>5381</v>
      </c>
      <c r="I2312" s="2" t="str">
        <f t="shared" si="36"/>
        <v>+91-9994234999</v>
      </c>
      <c r="J2312">
        <f>91-9994235090</f>
        <v>-9994234999</v>
      </c>
      <c r="K2312" t="s">
        <v>195</v>
      </c>
      <c r="L2312" t="s">
        <v>102</v>
      </c>
      <c r="M2312">
        <v>467658</v>
      </c>
      <c r="N2312" s="1">
        <v>45412</v>
      </c>
      <c r="O2312" t="s">
        <v>35</v>
      </c>
      <c r="P2312">
        <v>3</v>
      </c>
      <c r="Q2312">
        <v>12372.23</v>
      </c>
    </row>
    <row r="2313" spans="1:17" x14ac:dyDescent="0.3">
      <c r="A2313" t="s">
        <v>5382</v>
      </c>
      <c r="B2313" t="s">
        <v>1908</v>
      </c>
      <c r="C2313" s="2" t="str">
        <f>PROPER(TRIM(Table1[[#This Row],[Gender]]))</f>
        <v>Female</v>
      </c>
      <c r="D2313" t="s">
        <v>43</v>
      </c>
      <c r="E2313">
        <v>33</v>
      </c>
      <c r="F2313" t="s">
        <v>31</v>
      </c>
      <c r="G2313" s="1">
        <v>33613</v>
      </c>
      <c r="H2313" t="s">
        <v>4277</v>
      </c>
      <c r="I2313" s="2" t="str">
        <f t="shared" si="36"/>
        <v>+91-9688149040</v>
      </c>
      <c r="J2313">
        <f>91-9688149131</f>
        <v>-9688149040</v>
      </c>
      <c r="K2313" t="s">
        <v>121</v>
      </c>
      <c r="L2313" t="s">
        <v>85</v>
      </c>
      <c r="M2313">
        <v>677401</v>
      </c>
      <c r="N2313" s="1">
        <v>45168</v>
      </c>
      <c r="O2313" t="s">
        <v>28</v>
      </c>
      <c r="P2313">
        <v>8</v>
      </c>
      <c r="Q2313">
        <v>442052.66</v>
      </c>
    </row>
    <row r="2314" spans="1:17" x14ac:dyDescent="0.3">
      <c r="A2314" t="s">
        <v>5383</v>
      </c>
      <c r="B2314" t="s">
        <v>4678</v>
      </c>
      <c r="C2314" s="2" t="str">
        <f>PROPER(TRIM(Table1[[#This Row],[Gender]]))</f>
        <v>Female</v>
      </c>
      <c r="D2314" t="s">
        <v>43</v>
      </c>
      <c r="E2314">
        <v>24</v>
      </c>
      <c r="F2314" t="s">
        <v>49</v>
      </c>
      <c r="G2314" s="1">
        <v>36898</v>
      </c>
      <c r="H2314" t="s">
        <v>5384</v>
      </c>
      <c r="I2314" s="2" t="str">
        <f t="shared" si="36"/>
        <v>+91-8752778523</v>
      </c>
      <c r="J2314">
        <f>91-8752778614</f>
        <v>-8752778523</v>
      </c>
      <c r="K2314" t="s">
        <v>121</v>
      </c>
      <c r="L2314" t="s">
        <v>85</v>
      </c>
      <c r="M2314">
        <v>242458</v>
      </c>
      <c r="N2314" s="1">
        <v>45115</v>
      </c>
      <c r="O2314" t="s">
        <v>21</v>
      </c>
      <c r="P2314">
        <v>4</v>
      </c>
      <c r="Q2314">
        <v>41268.050000000003</v>
      </c>
    </row>
    <row r="2315" spans="1:17" x14ac:dyDescent="0.3">
      <c r="A2315" t="s">
        <v>5385</v>
      </c>
      <c r="B2315" t="s">
        <v>349</v>
      </c>
      <c r="C2315" s="2" t="str">
        <f>PROPER(TRIM(Table1[[#This Row],[Gender]]))</f>
        <v>Female</v>
      </c>
      <c r="D2315" t="s">
        <v>43</v>
      </c>
      <c r="E2315">
        <v>55</v>
      </c>
      <c r="F2315" t="s">
        <v>17</v>
      </c>
      <c r="G2315" s="1">
        <v>25583</v>
      </c>
      <c r="H2315" t="s">
        <v>5386</v>
      </c>
      <c r="I2315" s="2" t="str">
        <f t="shared" si="36"/>
        <v>+91-7536840296</v>
      </c>
      <c r="J2315">
        <f>91-7536840387</f>
        <v>-7536840296</v>
      </c>
      <c r="K2315" t="s">
        <v>165</v>
      </c>
      <c r="L2315" t="s">
        <v>52</v>
      </c>
      <c r="M2315">
        <v>488195</v>
      </c>
      <c r="N2315" s="1">
        <v>45170</v>
      </c>
      <c r="O2315" t="s">
        <v>21</v>
      </c>
      <c r="P2315">
        <v>4</v>
      </c>
      <c r="Q2315">
        <v>35884.33</v>
      </c>
    </row>
    <row r="2316" spans="1:17" x14ac:dyDescent="0.3">
      <c r="A2316" t="s">
        <v>5387</v>
      </c>
      <c r="B2316" t="s">
        <v>78</v>
      </c>
      <c r="C2316" s="2" t="str">
        <f>PROPER(TRIM(Table1[[#This Row],[Gender]]))</f>
        <v>Female</v>
      </c>
      <c r="D2316" t="s">
        <v>43</v>
      </c>
      <c r="E2316">
        <v>33</v>
      </c>
      <c r="F2316" t="s">
        <v>31</v>
      </c>
      <c r="G2316" s="1">
        <v>33613</v>
      </c>
      <c r="H2316" t="s">
        <v>5388</v>
      </c>
      <c r="I2316" s="2" t="str">
        <f t="shared" si="36"/>
        <v>+91-7489229568</v>
      </c>
      <c r="J2316">
        <f>91-7489229659</f>
        <v>-7489229568</v>
      </c>
      <c r="K2316" t="s">
        <v>45</v>
      </c>
      <c r="L2316" t="s">
        <v>46</v>
      </c>
      <c r="M2316">
        <v>676260</v>
      </c>
      <c r="N2316" s="1">
        <v>45337</v>
      </c>
      <c r="O2316" t="s">
        <v>28</v>
      </c>
      <c r="P2316">
        <v>6</v>
      </c>
      <c r="Q2316">
        <v>402559.12</v>
      </c>
    </row>
    <row r="2317" spans="1:17" x14ac:dyDescent="0.3">
      <c r="A2317" t="s">
        <v>5389</v>
      </c>
      <c r="B2317" t="s">
        <v>247</v>
      </c>
      <c r="C2317" s="2" t="str">
        <f>PROPER(TRIM(Table1[[#This Row],[Gender]]))</f>
        <v>Female</v>
      </c>
      <c r="D2317" t="s">
        <v>43</v>
      </c>
      <c r="E2317">
        <v>20</v>
      </c>
      <c r="F2317" t="s">
        <v>49</v>
      </c>
      <c r="G2317" s="1">
        <v>38358</v>
      </c>
      <c r="H2317" t="s">
        <v>5390</v>
      </c>
      <c r="I2317" s="2" t="str">
        <f t="shared" si="36"/>
        <v>+91-7879136248</v>
      </c>
      <c r="J2317">
        <f>91-7879136339</f>
        <v>-7879136248</v>
      </c>
      <c r="K2317" t="s">
        <v>72</v>
      </c>
      <c r="L2317" t="s">
        <v>34</v>
      </c>
      <c r="M2317">
        <v>396704</v>
      </c>
      <c r="N2317" s="1">
        <v>45111</v>
      </c>
      <c r="O2317" t="s">
        <v>21</v>
      </c>
      <c r="P2317">
        <v>4</v>
      </c>
      <c r="Q2317">
        <v>29403.54</v>
      </c>
    </row>
    <row r="2318" spans="1:17" x14ac:dyDescent="0.3">
      <c r="A2318" t="s">
        <v>5391</v>
      </c>
      <c r="B2318" t="s">
        <v>5348</v>
      </c>
      <c r="C2318" s="2" t="str">
        <f>PROPER(TRIM(Table1[[#This Row],[Gender]]))</f>
        <v>Female</v>
      </c>
      <c r="D2318" t="s">
        <v>43</v>
      </c>
      <c r="E2318">
        <v>27</v>
      </c>
      <c r="F2318" t="s">
        <v>31</v>
      </c>
      <c r="G2318" s="1">
        <v>35803</v>
      </c>
      <c r="H2318" t="s">
        <v>5392</v>
      </c>
      <c r="I2318" s="2" t="str">
        <f t="shared" si="36"/>
        <v>+91-9529815095</v>
      </c>
      <c r="J2318">
        <f>91-9529815186</f>
        <v>-9529815095</v>
      </c>
      <c r="K2318" t="s">
        <v>51</v>
      </c>
      <c r="L2318" t="s">
        <v>52</v>
      </c>
      <c r="M2318">
        <v>247818</v>
      </c>
      <c r="N2318" s="1">
        <v>45437</v>
      </c>
      <c r="O2318" t="s">
        <v>28</v>
      </c>
      <c r="P2318">
        <v>9</v>
      </c>
      <c r="Q2318">
        <v>189217.55</v>
      </c>
    </row>
    <row r="2319" spans="1:17" x14ac:dyDescent="0.3">
      <c r="A2319" t="s">
        <v>5393</v>
      </c>
      <c r="B2319" t="s">
        <v>584</v>
      </c>
      <c r="C2319" s="2" t="str">
        <f>PROPER(TRIM(Table1[[#This Row],[Gender]]))</f>
        <v>Male</v>
      </c>
      <c r="D2319" t="s">
        <v>16</v>
      </c>
      <c r="E2319">
        <v>36</v>
      </c>
      <c r="F2319" t="s">
        <v>38</v>
      </c>
      <c r="G2319" s="1">
        <v>32518</v>
      </c>
      <c r="H2319" t="s">
        <v>5394</v>
      </c>
      <c r="I2319" s="2" t="str">
        <f t="shared" si="36"/>
        <v>+91-8535173003</v>
      </c>
      <c r="J2319">
        <f>91-8535173094</f>
        <v>-8535173003</v>
      </c>
      <c r="K2319" t="s">
        <v>84</v>
      </c>
      <c r="L2319" t="s">
        <v>85</v>
      </c>
      <c r="M2319">
        <v>924838</v>
      </c>
      <c r="N2319" s="1">
        <v>45228</v>
      </c>
      <c r="O2319" t="s">
        <v>28</v>
      </c>
      <c r="P2319">
        <v>1</v>
      </c>
      <c r="Q2319">
        <v>71395.490000000005</v>
      </c>
    </row>
    <row r="2320" spans="1:17" x14ac:dyDescent="0.3">
      <c r="A2320" t="s">
        <v>5395</v>
      </c>
      <c r="B2320" t="s">
        <v>3549</v>
      </c>
      <c r="C2320" s="2" t="str">
        <f>PROPER(TRIM(Table1[[#This Row],[Gender]]))</f>
        <v>Female</v>
      </c>
      <c r="D2320" t="s">
        <v>43</v>
      </c>
      <c r="E2320">
        <v>32</v>
      </c>
      <c r="F2320" t="s">
        <v>31</v>
      </c>
      <c r="G2320" s="1">
        <v>33978</v>
      </c>
      <c r="H2320" t="s">
        <v>5396</v>
      </c>
      <c r="I2320" s="2" t="str">
        <f t="shared" si="36"/>
        <v>+91-8385784503</v>
      </c>
      <c r="J2320">
        <f>91-8385784594</f>
        <v>-8385784503</v>
      </c>
      <c r="K2320" t="s">
        <v>202</v>
      </c>
      <c r="L2320" t="s">
        <v>191</v>
      </c>
      <c r="M2320">
        <v>132407</v>
      </c>
      <c r="N2320" s="1">
        <v>45441</v>
      </c>
      <c r="O2320" t="s">
        <v>28</v>
      </c>
      <c r="P2320">
        <v>9</v>
      </c>
      <c r="Q2320">
        <v>334443.33</v>
      </c>
    </row>
    <row r="2321" spans="1:17" x14ac:dyDescent="0.3">
      <c r="A2321" t="s">
        <v>5397</v>
      </c>
      <c r="B2321" t="s">
        <v>2739</v>
      </c>
      <c r="C2321" s="2" t="str">
        <f>PROPER(TRIM(Table1[[#This Row],[Gender]]))</f>
        <v>Female</v>
      </c>
      <c r="D2321" t="s">
        <v>43</v>
      </c>
      <c r="E2321">
        <v>31</v>
      </c>
      <c r="F2321" t="s">
        <v>31</v>
      </c>
      <c r="G2321" s="1">
        <v>34343</v>
      </c>
      <c r="H2321" t="s">
        <v>3162</v>
      </c>
      <c r="I2321" s="2" t="str">
        <f t="shared" si="36"/>
        <v>+91-8167228192</v>
      </c>
      <c r="J2321">
        <f>91-8167228283</f>
        <v>-8167228192</v>
      </c>
      <c r="K2321" t="s">
        <v>68</v>
      </c>
      <c r="L2321" t="s">
        <v>52</v>
      </c>
      <c r="M2321">
        <v>330313</v>
      </c>
      <c r="N2321" s="1">
        <v>45432</v>
      </c>
      <c r="O2321" t="s">
        <v>35</v>
      </c>
      <c r="P2321">
        <v>1</v>
      </c>
      <c r="Q2321">
        <v>9275.2000000000007</v>
      </c>
    </row>
    <row r="2322" spans="1:17" x14ac:dyDescent="0.3">
      <c r="A2322" t="s">
        <v>5398</v>
      </c>
      <c r="B2322" t="s">
        <v>3500</v>
      </c>
      <c r="C2322" s="2" t="str">
        <f>PROPER(TRIM(Table1[[#This Row],[Gender]]))</f>
        <v>Female</v>
      </c>
      <c r="D2322" t="s">
        <v>43</v>
      </c>
      <c r="E2322">
        <v>40</v>
      </c>
      <c r="F2322" t="s">
        <v>38</v>
      </c>
      <c r="G2322" s="1">
        <v>31058</v>
      </c>
      <c r="H2322" t="s">
        <v>5399</v>
      </c>
      <c r="I2322" s="2" t="str">
        <f t="shared" si="36"/>
        <v>+91-7988230082</v>
      </c>
      <c r="J2322">
        <f>91-7988230173</f>
        <v>-7988230082</v>
      </c>
      <c r="K2322" t="s">
        <v>51</v>
      </c>
      <c r="L2322" t="s">
        <v>52</v>
      </c>
      <c r="M2322">
        <v>752125</v>
      </c>
      <c r="N2322" s="1">
        <v>45369</v>
      </c>
      <c r="O2322" t="s">
        <v>21</v>
      </c>
      <c r="P2322">
        <v>4</v>
      </c>
      <c r="Q2322">
        <v>40973.199999999997</v>
      </c>
    </row>
    <row r="2323" spans="1:17" x14ac:dyDescent="0.3">
      <c r="A2323" t="s">
        <v>5400</v>
      </c>
      <c r="B2323" t="s">
        <v>1330</v>
      </c>
      <c r="C2323" s="2" t="str">
        <f>PROPER(TRIM(Table1[[#This Row],[Gender]]))</f>
        <v>Male</v>
      </c>
      <c r="D2323" t="s">
        <v>16</v>
      </c>
      <c r="E2323">
        <v>29</v>
      </c>
      <c r="F2323" t="s">
        <v>31</v>
      </c>
      <c r="G2323" s="1">
        <v>35073</v>
      </c>
      <c r="H2323" t="s">
        <v>5401</v>
      </c>
      <c r="I2323" s="2" t="str">
        <f t="shared" si="36"/>
        <v>+91-8231299452</v>
      </c>
      <c r="J2323">
        <f>91-8231299543</f>
        <v>-8231299452</v>
      </c>
      <c r="K2323" t="s">
        <v>369</v>
      </c>
      <c r="L2323" t="s">
        <v>191</v>
      </c>
      <c r="M2323">
        <v>167689</v>
      </c>
      <c r="N2323" s="1">
        <v>45204</v>
      </c>
      <c r="O2323" t="s">
        <v>28</v>
      </c>
      <c r="P2323">
        <v>5</v>
      </c>
      <c r="Q2323">
        <v>216805.26</v>
      </c>
    </row>
    <row r="2324" spans="1:17" x14ac:dyDescent="0.3">
      <c r="A2324" t="s">
        <v>5402</v>
      </c>
      <c r="B2324" t="s">
        <v>602</v>
      </c>
      <c r="C2324" s="2" t="str">
        <f>PROPER(TRIM(Table1[[#This Row],[Gender]]))</f>
        <v>Female</v>
      </c>
      <c r="D2324" t="s">
        <v>43</v>
      </c>
      <c r="E2324">
        <v>42</v>
      </c>
      <c r="F2324" t="s">
        <v>38</v>
      </c>
      <c r="G2324" s="1">
        <v>30328</v>
      </c>
      <c r="H2324" t="s">
        <v>5403</v>
      </c>
      <c r="I2324" s="2" t="str">
        <f t="shared" si="36"/>
        <v>+91-7245069305</v>
      </c>
      <c r="J2324">
        <f>91-7245069396</f>
        <v>-7245069305</v>
      </c>
      <c r="K2324" t="s">
        <v>19</v>
      </c>
      <c r="L2324" t="s">
        <v>20</v>
      </c>
      <c r="M2324">
        <v>810016</v>
      </c>
      <c r="N2324" s="1">
        <v>45374</v>
      </c>
      <c r="O2324" t="s">
        <v>28</v>
      </c>
      <c r="P2324">
        <v>8</v>
      </c>
      <c r="Q2324">
        <v>199899.61</v>
      </c>
    </row>
    <row r="2325" spans="1:17" x14ac:dyDescent="0.3">
      <c r="A2325" t="s">
        <v>5404</v>
      </c>
      <c r="B2325" t="s">
        <v>2751</v>
      </c>
      <c r="C2325" s="2" t="str">
        <f>PROPER(TRIM(Table1[[#This Row],[Gender]]))</f>
        <v>Male</v>
      </c>
      <c r="D2325" t="s">
        <v>16</v>
      </c>
      <c r="E2325">
        <v>58</v>
      </c>
      <c r="F2325" t="s">
        <v>58</v>
      </c>
      <c r="G2325" s="1">
        <v>24488</v>
      </c>
      <c r="H2325" t="s">
        <v>5405</v>
      </c>
      <c r="I2325" s="2" t="str">
        <f t="shared" si="36"/>
        <v>+91-8394950834</v>
      </c>
      <c r="J2325">
        <f>91-8394950925</f>
        <v>-8394950834</v>
      </c>
      <c r="K2325" t="s">
        <v>147</v>
      </c>
      <c r="L2325" t="s">
        <v>143</v>
      </c>
      <c r="M2325">
        <v>318004</v>
      </c>
      <c r="N2325" s="1">
        <v>45423</v>
      </c>
      <c r="O2325" t="s">
        <v>35</v>
      </c>
      <c r="P2325">
        <v>4</v>
      </c>
      <c r="Q2325">
        <v>10830.31</v>
      </c>
    </row>
    <row r="2326" spans="1:17" x14ac:dyDescent="0.3">
      <c r="A2326" t="s">
        <v>5406</v>
      </c>
      <c r="B2326" t="s">
        <v>1995</v>
      </c>
      <c r="C2326" s="2" t="str">
        <f>PROPER(TRIM(Table1[[#This Row],[Gender]]))</f>
        <v>Male</v>
      </c>
      <c r="D2326" t="s">
        <v>16</v>
      </c>
      <c r="E2326">
        <v>30</v>
      </c>
      <c r="F2326" t="s">
        <v>31</v>
      </c>
      <c r="G2326" s="1">
        <v>34708</v>
      </c>
      <c r="H2326" t="s">
        <v>1996</v>
      </c>
      <c r="I2326" s="2" t="str">
        <f t="shared" si="36"/>
        <v>+91-8149880254</v>
      </c>
      <c r="J2326">
        <f>91-8149880345</f>
        <v>-8149880254</v>
      </c>
      <c r="K2326" t="s">
        <v>369</v>
      </c>
      <c r="L2326" t="s">
        <v>191</v>
      </c>
      <c r="M2326">
        <v>379631</v>
      </c>
      <c r="N2326" s="1">
        <v>45178</v>
      </c>
      <c r="O2326" t="s">
        <v>28</v>
      </c>
      <c r="P2326">
        <v>10</v>
      </c>
      <c r="Q2326">
        <v>260700.85</v>
      </c>
    </row>
    <row r="2327" spans="1:17" x14ac:dyDescent="0.3">
      <c r="A2327" t="s">
        <v>5407</v>
      </c>
      <c r="B2327" t="s">
        <v>4291</v>
      </c>
      <c r="C2327" s="2" t="str">
        <f>PROPER(TRIM(Table1[[#This Row],[Gender]]))</f>
        <v>Female</v>
      </c>
      <c r="D2327" t="s">
        <v>43</v>
      </c>
      <c r="E2327">
        <v>25</v>
      </c>
      <c r="F2327" t="s">
        <v>49</v>
      </c>
      <c r="G2327" s="1">
        <v>36533</v>
      </c>
      <c r="H2327" t="s">
        <v>5408</v>
      </c>
      <c r="I2327" s="2" t="str">
        <f t="shared" si="36"/>
        <v>+91-9827065866</v>
      </c>
      <c r="J2327">
        <f>91-9827065957</f>
        <v>-9827065866</v>
      </c>
      <c r="K2327" t="s">
        <v>121</v>
      </c>
      <c r="L2327" t="s">
        <v>85</v>
      </c>
      <c r="M2327">
        <v>122020</v>
      </c>
      <c r="N2327" s="1">
        <v>45436</v>
      </c>
      <c r="O2327" t="s">
        <v>28</v>
      </c>
      <c r="P2327">
        <v>4</v>
      </c>
      <c r="Q2327">
        <v>99361.24</v>
      </c>
    </row>
    <row r="2328" spans="1:17" x14ac:dyDescent="0.3">
      <c r="A2328" t="s">
        <v>5409</v>
      </c>
      <c r="B2328" t="s">
        <v>321</v>
      </c>
      <c r="C2328" s="2" t="str">
        <f>PROPER(TRIM(Table1[[#This Row],[Gender]]))</f>
        <v>Female</v>
      </c>
      <c r="D2328" t="s">
        <v>43</v>
      </c>
      <c r="E2328">
        <v>39</v>
      </c>
      <c r="F2328" t="s">
        <v>38</v>
      </c>
      <c r="G2328" s="1">
        <v>31423</v>
      </c>
      <c r="H2328" t="s">
        <v>5410</v>
      </c>
      <c r="I2328" s="2" t="str">
        <f t="shared" si="36"/>
        <v>+91-9891001878</v>
      </c>
      <c r="J2328">
        <f>91-9891001969</f>
        <v>-9891001878</v>
      </c>
      <c r="K2328" t="s">
        <v>121</v>
      </c>
      <c r="L2328" t="s">
        <v>85</v>
      </c>
      <c r="M2328">
        <v>277653</v>
      </c>
      <c r="N2328" s="1">
        <v>45441</v>
      </c>
      <c r="O2328" t="s">
        <v>35</v>
      </c>
      <c r="P2328">
        <v>1</v>
      </c>
      <c r="Q2328">
        <v>3234.36</v>
      </c>
    </row>
    <row r="2329" spans="1:17" x14ac:dyDescent="0.3">
      <c r="A2329" t="s">
        <v>5411</v>
      </c>
      <c r="B2329" t="s">
        <v>5412</v>
      </c>
      <c r="C2329" s="2" t="str">
        <f>PROPER(TRIM(Table1[[#This Row],[Gender]]))</f>
        <v>Male</v>
      </c>
      <c r="D2329" t="s">
        <v>16</v>
      </c>
      <c r="E2329">
        <v>60</v>
      </c>
      <c r="F2329" t="s">
        <v>58</v>
      </c>
      <c r="G2329" s="1">
        <v>23758</v>
      </c>
      <c r="H2329" t="s">
        <v>5413</v>
      </c>
      <c r="I2329" s="2" t="str">
        <f t="shared" si="36"/>
        <v>+91-7337823679</v>
      </c>
      <c r="J2329">
        <f>91-7337823770</f>
        <v>-7337823679</v>
      </c>
      <c r="K2329" t="s">
        <v>94</v>
      </c>
      <c r="L2329" t="s">
        <v>20</v>
      </c>
      <c r="M2329">
        <v>199943</v>
      </c>
      <c r="N2329" s="1">
        <v>45338</v>
      </c>
      <c r="O2329" t="s">
        <v>28</v>
      </c>
      <c r="P2329">
        <v>5</v>
      </c>
      <c r="Q2329">
        <v>170461.45</v>
      </c>
    </row>
    <row r="2330" spans="1:17" x14ac:dyDescent="0.3">
      <c r="A2330" t="s">
        <v>5414</v>
      </c>
      <c r="B2330" t="s">
        <v>42</v>
      </c>
      <c r="C2330" s="2" t="str">
        <f>PROPER(TRIM(Table1[[#This Row],[Gender]]))</f>
        <v>Female</v>
      </c>
      <c r="D2330" t="s">
        <v>43</v>
      </c>
      <c r="E2330">
        <v>41</v>
      </c>
      <c r="F2330" t="s">
        <v>38</v>
      </c>
      <c r="G2330" s="1">
        <v>30693</v>
      </c>
      <c r="H2330" t="s">
        <v>5415</v>
      </c>
      <c r="I2330" s="2" t="str">
        <f t="shared" si="36"/>
        <v>+91-8727033516</v>
      </c>
      <c r="J2330">
        <f>91-8727033607</f>
        <v>-8727033516</v>
      </c>
      <c r="K2330" t="s">
        <v>190</v>
      </c>
      <c r="L2330" t="s">
        <v>191</v>
      </c>
      <c r="M2330">
        <v>448234</v>
      </c>
      <c r="N2330" s="1">
        <v>45078</v>
      </c>
      <c r="O2330" t="s">
        <v>28</v>
      </c>
      <c r="P2330">
        <v>7</v>
      </c>
      <c r="Q2330">
        <v>367126.81</v>
      </c>
    </row>
    <row r="2331" spans="1:17" x14ac:dyDescent="0.3">
      <c r="A2331" t="s">
        <v>5416</v>
      </c>
      <c r="B2331" t="s">
        <v>3670</v>
      </c>
      <c r="C2331" s="2" t="str">
        <f>PROPER(TRIM(Table1[[#This Row],[Gender]]))</f>
        <v>Male</v>
      </c>
      <c r="D2331" t="s">
        <v>16</v>
      </c>
      <c r="E2331">
        <v>18</v>
      </c>
      <c r="F2331" t="s">
        <v>49</v>
      </c>
      <c r="G2331" s="1">
        <v>39088</v>
      </c>
      <c r="H2331" t="s">
        <v>5417</v>
      </c>
      <c r="I2331" s="2" t="str">
        <f t="shared" si="36"/>
        <v>+91-9834141457</v>
      </c>
      <c r="J2331">
        <f>91-9834141548</f>
        <v>-9834141457</v>
      </c>
      <c r="K2331" t="s">
        <v>19</v>
      </c>
      <c r="L2331" t="s">
        <v>20</v>
      </c>
      <c r="M2331">
        <v>753531</v>
      </c>
      <c r="N2331" s="1">
        <v>45366</v>
      </c>
      <c r="O2331" t="s">
        <v>21</v>
      </c>
      <c r="P2331">
        <v>1</v>
      </c>
      <c r="Q2331">
        <v>22244.06</v>
      </c>
    </row>
    <row r="2332" spans="1:17" x14ac:dyDescent="0.3">
      <c r="A2332" t="s">
        <v>5418</v>
      </c>
      <c r="B2332" t="s">
        <v>2130</v>
      </c>
      <c r="C2332" s="2" t="str">
        <f>PROPER(TRIM(Table1[[#This Row],[Gender]]))</f>
        <v>Female</v>
      </c>
      <c r="D2332" t="s">
        <v>43</v>
      </c>
      <c r="E2332">
        <v>30</v>
      </c>
      <c r="F2332" t="s">
        <v>31</v>
      </c>
      <c r="G2332" s="1">
        <v>34708</v>
      </c>
      <c r="H2332" t="s">
        <v>3160</v>
      </c>
      <c r="I2332" s="2" t="str">
        <f t="shared" si="36"/>
        <v>+91-7793093892</v>
      </c>
      <c r="J2332">
        <f>91-7793093983</f>
        <v>-7793093892</v>
      </c>
      <c r="K2332" t="s">
        <v>190</v>
      </c>
      <c r="L2332" t="s">
        <v>191</v>
      </c>
      <c r="M2332">
        <v>101468</v>
      </c>
      <c r="N2332" s="1">
        <v>45293</v>
      </c>
      <c r="O2332" t="s">
        <v>21</v>
      </c>
      <c r="P2332">
        <v>2</v>
      </c>
      <c r="Q2332">
        <v>32077.38</v>
      </c>
    </row>
    <row r="2333" spans="1:17" x14ac:dyDescent="0.3">
      <c r="A2333" t="s">
        <v>5419</v>
      </c>
      <c r="B2333" t="s">
        <v>908</v>
      </c>
      <c r="C2333" s="2" t="str">
        <f>PROPER(TRIM(Table1[[#This Row],[Gender]]))</f>
        <v>Female</v>
      </c>
      <c r="D2333" t="s">
        <v>43</v>
      </c>
      <c r="E2333">
        <v>19</v>
      </c>
      <c r="F2333" t="s">
        <v>49</v>
      </c>
      <c r="G2333" s="1">
        <v>38723</v>
      </c>
      <c r="H2333" t="s">
        <v>5342</v>
      </c>
      <c r="I2333" s="2" t="str">
        <f t="shared" si="36"/>
        <v>+91-8393199421</v>
      </c>
      <c r="J2333">
        <f>91-8393199512</f>
        <v>-8393199421</v>
      </c>
      <c r="K2333" t="s">
        <v>190</v>
      </c>
      <c r="L2333" t="s">
        <v>191</v>
      </c>
      <c r="M2333">
        <v>362777</v>
      </c>
      <c r="N2333" s="1">
        <v>45194</v>
      </c>
      <c r="O2333" t="s">
        <v>28</v>
      </c>
      <c r="P2333">
        <v>4</v>
      </c>
      <c r="Q2333">
        <v>113787.3</v>
      </c>
    </row>
    <row r="2334" spans="1:17" x14ac:dyDescent="0.3">
      <c r="A2334" t="s">
        <v>5420</v>
      </c>
      <c r="B2334" t="s">
        <v>2033</v>
      </c>
      <c r="C2334" s="2" t="str">
        <f>PROPER(TRIM(Table1[[#This Row],[Gender]]))</f>
        <v>Female</v>
      </c>
      <c r="D2334" t="s">
        <v>43</v>
      </c>
      <c r="E2334">
        <v>26</v>
      </c>
      <c r="F2334" t="s">
        <v>31</v>
      </c>
      <c r="G2334" s="1">
        <v>36168</v>
      </c>
      <c r="H2334" t="s">
        <v>5421</v>
      </c>
      <c r="I2334" s="2" t="str">
        <f t="shared" si="36"/>
        <v>+91-8544212077</v>
      </c>
      <c r="J2334">
        <f>91-8544212168</f>
        <v>-8544212077</v>
      </c>
      <c r="K2334" t="s">
        <v>147</v>
      </c>
      <c r="L2334" t="s">
        <v>143</v>
      </c>
      <c r="M2334">
        <v>228095</v>
      </c>
      <c r="N2334" s="1">
        <v>45234</v>
      </c>
      <c r="O2334" t="s">
        <v>28</v>
      </c>
      <c r="P2334">
        <v>7</v>
      </c>
      <c r="Q2334">
        <v>251409.45</v>
      </c>
    </row>
    <row r="2335" spans="1:17" x14ac:dyDescent="0.3">
      <c r="A2335" t="s">
        <v>5422</v>
      </c>
      <c r="B2335" t="s">
        <v>1916</v>
      </c>
      <c r="C2335" s="2" t="str">
        <f>PROPER(TRIM(Table1[[#This Row],[Gender]]))</f>
        <v>Male</v>
      </c>
      <c r="D2335" t="s">
        <v>16</v>
      </c>
      <c r="E2335">
        <v>29</v>
      </c>
      <c r="F2335" t="s">
        <v>31</v>
      </c>
      <c r="G2335" s="1">
        <v>35073</v>
      </c>
      <c r="H2335" t="s">
        <v>5423</v>
      </c>
      <c r="I2335" s="2" t="str">
        <f t="shared" si="36"/>
        <v>+91-9376348893</v>
      </c>
      <c r="J2335">
        <f>91-9376348984</f>
        <v>-9376348893</v>
      </c>
      <c r="K2335" t="s">
        <v>33</v>
      </c>
      <c r="L2335" t="s">
        <v>34</v>
      </c>
      <c r="M2335">
        <v>140286</v>
      </c>
      <c r="N2335" s="1">
        <v>45165</v>
      </c>
      <c r="O2335" t="s">
        <v>28</v>
      </c>
      <c r="P2335">
        <v>8</v>
      </c>
      <c r="Q2335">
        <v>212137.59</v>
      </c>
    </row>
    <row r="2336" spans="1:17" x14ac:dyDescent="0.3">
      <c r="A2336" t="s">
        <v>5424</v>
      </c>
      <c r="B2336" t="s">
        <v>4263</v>
      </c>
      <c r="C2336" s="2" t="str">
        <f>PROPER(TRIM(Table1[[#This Row],[Gender]]))</f>
        <v>Female</v>
      </c>
      <c r="D2336" t="s">
        <v>43</v>
      </c>
      <c r="E2336">
        <v>28</v>
      </c>
      <c r="F2336" t="s">
        <v>31</v>
      </c>
      <c r="G2336" s="1">
        <v>35438</v>
      </c>
      <c r="H2336" t="s">
        <v>5425</v>
      </c>
      <c r="I2336" s="2" t="str">
        <f t="shared" si="36"/>
        <v>+91-7240914976</v>
      </c>
      <c r="J2336">
        <f>91-7240915067</f>
        <v>-7240914976</v>
      </c>
      <c r="K2336" t="s">
        <v>331</v>
      </c>
      <c r="L2336" t="s">
        <v>143</v>
      </c>
      <c r="M2336">
        <v>499752</v>
      </c>
      <c r="N2336" s="1">
        <v>45079</v>
      </c>
      <c r="O2336" t="s">
        <v>28</v>
      </c>
      <c r="P2336">
        <v>5</v>
      </c>
      <c r="Q2336">
        <v>106311.36</v>
      </c>
    </row>
    <row r="2337" spans="1:17" x14ac:dyDescent="0.3">
      <c r="A2337" t="s">
        <v>5426</v>
      </c>
      <c r="B2337" t="s">
        <v>2721</v>
      </c>
      <c r="C2337" s="2" t="str">
        <f>PROPER(TRIM(Table1[[#This Row],[Gender]]))</f>
        <v>Male</v>
      </c>
      <c r="D2337" t="s">
        <v>16</v>
      </c>
      <c r="E2337">
        <v>21</v>
      </c>
      <c r="F2337" t="s">
        <v>49</v>
      </c>
      <c r="G2337" s="1">
        <v>37993</v>
      </c>
      <c r="H2337" t="s">
        <v>5427</v>
      </c>
      <c r="I2337" s="2" t="str">
        <f t="shared" si="36"/>
        <v>+91-9197865759</v>
      </c>
      <c r="J2337">
        <f>91-9197865850</f>
        <v>-9197865759</v>
      </c>
      <c r="K2337" t="s">
        <v>51</v>
      </c>
      <c r="L2337" t="s">
        <v>52</v>
      </c>
      <c r="M2337">
        <v>549821</v>
      </c>
      <c r="N2337" s="1">
        <v>45384</v>
      </c>
      <c r="O2337" t="s">
        <v>35</v>
      </c>
      <c r="P2337">
        <v>4</v>
      </c>
      <c r="Q2337">
        <v>3945.99</v>
      </c>
    </row>
    <row r="2338" spans="1:17" x14ac:dyDescent="0.3">
      <c r="A2338" t="s">
        <v>5428</v>
      </c>
      <c r="B2338" t="s">
        <v>3949</v>
      </c>
      <c r="C2338" s="2" t="str">
        <f>PROPER(TRIM(Table1[[#This Row],[Gender]]))</f>
        <v>Female</v>
      </c>
      <c r="D2338" t="s">
        <v>43</v>
      </c>
      <c r="E2338">
        <v>70</v>
      </c>
      <c r="F2338" t="s">
        <v>24</v>
      </c>
      <c r="G2338" s="1">
        <v>20108</v>
      </c>
      <c r="H2338" t="s">
        <v>5429</v>
      </c>
      <c r="I2338" s="2" t="str">
        <f t="shared" si="36"/>
        <v>+91-7307803235</v>
      </c>
      <c r="J2338">
        <f>91-7307803326</f>
        <v>-7307803235</v>
      </c>
      <c r="K2338" t="s">
        <v>113</v>
      </c>
      <c r="L2338" t="s">
        <v>34</v>
      </c>
      <c r="M2338">
        <v>613740</v>
      </c>
      <c r="N2338" s="1">
        <v>45348</v>
      </c>
      <c r="O2338" t="s">
        <v>28</v>
      </c>
      <c r="P2338">
        <v>9</v>
      </c>
      <c r="Q2338">
        <v>51857.61</v>
      </c>
    </row>
    <row r="2339" spans="1:17" x14ac:dyDescent="0.3">
      <c r="A2339" t="s">
        <v>5430</v>
      </c>
      <c r="B2339" t="s">
        <v>1561</v>
      </c>
      <c r="C2339" s="2" t="str">
        <f>PROPER(TRIM(Table1[[#This Row],[Gender]]))</f>
        <v>Female</v>
      </c>
      <c r="D2339" t="s">
        <v>43</v>
      </c>
      <c r="E2339">
        <v>28</v>
      </c>
      <c r="F2339" t="s">
        <v>31</v>
      </c>
      <c r="G2339" s="1">
        <v>35438</v>
      </c>
      <c r="H2339" t="s">
        <v>5431</v>
      </c>
      <c r="I2339" s="2" t="str">
        <f t="shared" si="36"/>
        <v>+91-9127980990</v>
      </c>
      <c r="J2339">
        <f>91-9127981081</f>
        <v>-9127980990</v>
      </c>
      <c r="K2339" t="s">
        <v>94</v>
      </c>
      <c r="L2339" t="s">
        <v>20</v>
      </c>
      <c r="M2339">
        <v>972483</v>
      </c>
      <c r="N2339" s="1">
        <v>45361</v>
      </c>
      <c r="O2339" t="s">
        <v>28</v>
      </c>
      <c r="P2339">
        <v>9</v>
      </c>
      <c r="Q2339">
        <v>373397.06</v>
      </c>
    </row>
    <row r="2340" spans="1:17" x14ac:dyDescent="0.3">
      <c r="A2340" t="s">
        <v>5432</v>
      </c>
      <c r="B2340" t="s">
        <v>2808</v>
      </c>
      <c r="C2340" s="2" t="str">
        <f>PROPER(TRIM(Table1[[#This Row],[Gender]]))</f>
        <v>Male</v>
      </c>
      <c r="D2340" t="s">
        <v>16</v>
      </c>
      <c r="E2340">
        <v>29</v>
      </c>
      <c r="F2340" t="s">
        <v>31</v>
      </c>
      <c r="G2340" s="1">
        <v>35073</v>
      </c>
      <c r="H2340" t="s">
        <v>5433</v>
      </c>
      <c r="I2340" s="2" t="str">
        <f t="shared" si="36"/>
        <v>+91-9169043214</v>
      </c>
      <c r="J2340">
        <f>91-9169043305</f>
        <v>-9169043214</v>
      </c>
      <c r="K2340" t="s">
        <v>239</v>
      </c>
      <c r="L2340" t="s">
        <v>191</v>
      </c>
      <c r="M2340">
        <v>945522</v>
      </c>
      <c r="N2340" s="1">
        <v>45215</v>
      </c>
      <c r="O2340" t="s">
        <v>28</v>
      </c>
      <c r="P2340">
        <v>5</v>
      </c>
      <c r="Q2340">
        <v>253666.93</v>
      </c>
    </row>
    <row r="2341" spans="1:17" x14ac:dyDescent="0.3">
      <c r="A2341" t="s">
        <v>5434</v>
      </c>
      <c r="B2341" t="s">
        <v>752</v>
      </c>
      <c r="C2341" s="2" t="str">
        <f>PROPER(TRIM(Table1[[#This Row],[Gender]]))</f>
        <v>Male</v>
      </c>
      <c r="D2341" t="s">
        <v>16</v>
      </c>
      <c r="E2341">
        <v>69</v>
      </c>
      <c r="F2341" t="s">
        <v>24</v>
      </c>
      <c r="G2341" s="1">
        <v>20473</v>
      </c>
      <c r="H2341" t="s">
        <v>5435</v>
      </c>
      <c r="I2341" s="2" t="str">
        <f t="shared" si="36"/>
        <v>+91-8721336706</v>
      </c>
      <c r="J2341">
        <f>91-8721336797</f>
        <v>-8721336706</v>
      </c>
      <c r="K2341" t="s">
        <v>19</v>
      </c>
      <c r="L2341" t="s">
        <v>20</v>
      </c>
      <c r="M2341">
        <v>214370</v>
      </c>
      <c r="N2341" s="1">
        <v>45440</v>
      </c>
      <c r="O2341" t="s">
        <v>35</v>
      </c>
      <c r="P2341">
        <v>2</v>
      </c>
      <c r="Q2341">
        <v>5119.8500000000004</v>
      </c>
    </row>
    <row r="2342" spans="1:17" x14ac:dyDescent="0.3">
      <c r="A2342" t="s">
        <v>5436</v>
      </c>
      <c r="B2342" t="s">
        <v>915</v>
      </c>
      <c r="C2342" s="2" t="str">
        <f>PROPER(TRIM(Table1[[#This Row],[Gender]]))</f>
        <v>Male</v>
      </c>
      <c r="D2342" t="s">
        <v>16</v>
      </c>
      <c r="E2342">
        <v>31</v>
      </c>
      <c r="F2342" t="s">
        <v>31</v>
      </c>
      <c r="G2342" s="1">
        <v>34343</v>
      </c>
      <c r="H2342" t="s">
        <v>5437</v>
      </c>
      <c r="I2342" s="2" t="str">
        <f t="shared" si="36"/>
        <v>+91-9565086149</v>
      </c>
      <c r="J2342">
        <f>91-9565086240</f>
        <v>-9565086149</v>
      </c>
      <c r="K2342" t="s">
        <v>190</v>
      </c>
      <c r="L2342" t="s">
        <v>191</v>
      </c>
      <c r="M2342">
        <v>591887</v>
      </c>
      <c r="N2342" s="1">
        <v>45099</v>
      </c>
      <c r="O2342" t="s">
        <v>28</v>
      </c>
      <c r="P2342">
        <v>8</v>
      </c>
      <c r="Q2342">
        <v>184851.11</v>
      </c>
    </row>
    <row r="2343" spans="1:17" x14ac:dyDescent="0.3">
      <c r="A2343" t="s">
        <v>5438</v>
      </c>
      <c r="B2343" t="s">
        <v>5439</v>
      </c>
      <c r="C2343" s="2" t="str">
        <f>PROPER(TRIM(Table1[[#This Row],[Gender]]))</f>
        <v>Male</v>
      </c>
      <c r="D2343" t="s">
        <v>16</v>
      </c>
      <c r="E2343">
        <v>31</v>
      </c>
      <c r="F2343" t="s">
        <v>31</v>
      </c>
      <c r="G2343" s="1">
        <v>34343</v>
      </c>
      <c r="H2343" t="s">
        <v>5440</v>
      </c>
      <c r="I2343" s="2" t="str">
        <f t="shared" si="36"/>
        <v>+91-9084831175</v>
      </c>
      <c r="J2343">
        <f>91-9084831266</f>
        <v>-9084831175</v>
      </c>
      <c r="K2343" t="s">
        <v>109</v>
      </c>
      <c r="L2343" t="s">
        <v>46</v>
      </c>
      <c r="M2343">
        <v>351912</v>
      </c>
      <c r="N2343" s="1">
        <v>45308</v>
      </c>
      <c r="O2343" t="s">
        <v>28</v>
      </c>
      <c r="P2343">
        <v>4</v>
      </c>
      <c r="Q2343">
        <v>166872.19</v>
      </c>
    </row>
    <row r="2344" spans="1:17" x14ac:dyDescent="0.3">
      <c r="A2344" t="s">
        <v>5441</v>
      </c>
      <c r="B2344" t="s">
        <v>2831</v>
      </c>
      <c r="C2344" s="2" t="str">
        <f>PROPER(TRIM(Table1[[#This Row],[Gender]]))</f>
        <v>Male</v>
      </c>
      <c r="D2344" t="s">
        <v>16</v>
      </c>
      <c r="E2344">
        <v>47</v>
      </c>
      <c r="F2344" t="s">
        <v>17</v>
      </c>
      <c r="G2344" s="1">
        <v>28503</v>
      </c>
      <c r="H2344" t="s">
        <v>5442</v>
      </c>
      <c r="I2344" s="2" t="str">
        <f t="shared" si="36"/>
        <v>+91-9049045017</v>
      </c>
      <c r="J2344">
        <f>91-9049045108</f>
        <v>-9049045017</v>
      </c>
      <c r="K2344" t="s">
        <v>174</v>
      </c>
      <c r="L2344" t="s">
        <v>90</v>
      </c>
      <c r="M2344">
        <v>691321</v>
      </c>
      <c r="N2344" s="1">
        <v>45267</v>
      </c>
      <c r="O2344" t="s">
        <v>35</v>
      </c>
      <c r="P2344">
        <v>6</v>
      </c>
      <c r="Q2344">
        <v>10010.780000000001</v>
      </c>
    </row>
    <row r="2345" spans="1:17" x14ac:dyDescent="0.3">
      <c r="A2345" t="s">
        <v>5443</v>
      </c>
      <c r="B2345" t="s">
        <v>2013</v>
      </c>
      <c r="C2345" s="2" t="str">
        <f>PROPER(TRIM(Table1[[#This Row],[Gender]]))</f>
        <v>Male</v>
      </c>
      <c r="D2345" t="s">
        <v>16</v>
      </c>
      <c r="E2345">
        <v>25</v>
      </c>
      <c r="F2345" t="s">
        <v>49</v>
      </c>
      <c r="G2345" s="1">
        <v>36533</v>
      </c>
      <c r="H2345" t="s">
        <v>5444</v>
      </c>
      <c r="I2345" s="2" t="str">
        <f t="shared" si="36"/>
        <v>+91-9901491842</v>
      </c>
      <c r="J2345">
        <f>91-9901491933</f>
        <v>-9901491842</v>
      </c>
      <c r="K2345" t="s">
        <v>68</v>
      </c>
      <c r="L2345" t="s">
        <v>52</v>
      </c>
      <c r="M2345">
        <v>903800</v>
      </c>
      <c r="N2345" s="1">
        <v>45383</v>
      </c>
      <c r="O2345" t="s">
        <v>28</v>
      </c>
      <c r="P2345">
        <v>3</v>
      </c>
      <c r="Q2345">
        <v>105633.13</v>
      </c>
    </row>
    <row r="2346" spans="1:17" x14ac:dyDescent="0.3">
      <c r="A2346" t="s">
        <v>5445</v>
      </c>
      <c r="B2346" t="s">
        <v>1647</v>
      </c>
      <c r="C2346" s="2" t="str">
        <f>PROPER(TRIM(Table1[[#This Row],[Gender]]))</f>
        <v>Male</v>
      </c>
      <c r="D2346" t="s">
        <v>16</v>
      </c>
      <c r="E2346">
        <v>32</v>
      </c>
      <c r="F2346" t="s">
        <v>31</v>
      </c>
      <c r="G2346" s="1">
        <v>33978</v>
      </c>
      <c r="H2346" t="s">
        <v>5446</v>
      </c>
      <c r="I2346" s="2" t="str">
        <f t="shared" si="36"/>
        <v>+91-7641017355</v>
      </c>
      <c r="J2346">
        <f>91-7641017446</f>
        <v>-7641017355</v>
      </c>
      <c r="K2346" t="s">
        <v>415</v>
      </c>
      <c r="L2346" t="s">
        <v>90</v>
      </c>
      <c r="M2346">
        <v>827249</v>
      </c>
      <c r="N2346" s="1">
        <v>45432</v>
      </c>
      <c r="O2346" t="s">
        <v>28</v>
      </c>
      <c r="P2346">
        <v>4</v>
      </c>
      <c r="Q2346">
        <v>135466.63</v>
      </c>
    </row>
    <row r="2347" spans="1:17" x14ac:dyDescent="0.3">
      <c r="A2347" t="s">
        <v>5447</v>
      </c>
      <c r="B2347" t="s">
        <v>801</v>
      </c>
      <c r="C2347" s="2" t="str">
        <f>PROPER(TRIM(Table1[[#This Row],[Gender]]))</f>
        <v>Female</v>
      </c>
      <c r="D2347" t="s">
        <v>43</v>
      </c>
      <c r="E2347">
        <v>34</v>
      </c>
      <c r="F2347" t="s">
        <v>31</v>
      </c>
      <c r="G2347" s="1">
        <v>33248</v>
      </c>
      <c r="H2347" t="s">
        <v>5448</v>
      </c>
      <c r="I2347" s="2" t="str">
        <f t="shared" si="36"/>
        <v>+91-9350872279</v>
      </c>
      <c r="J2347">
        <f>91-9350872370</f>
        <v>-9350872279</v>
      </c>
      <c r="K2347" t="s">
        <v>113</v>
      </c>
      <c r="L2347" t="s">
        <v>34</v>
      </c>
      <c r="M2347">
        <v>469531</v>
      </c>
      <c r="N2347" s="1">
        <v>45116</v>
      </c>
      <c r="O2347" t="s">
        <v>21</v>
      </c>
      <c r="P2347">
        <v>3</v>
      </c>
      <c r="Q2347">
        <v>31780.26</v>
      </c>
    </row>
    <row r="2348" spans="1:17" x14ac:dyDescent="0.3">
      <c r="A2348" t="s">
        <v>5449</v>
      </c>
      <c r="B2348" t="s">
        <v>2266</v>
      </c>
      <c r="C2348" s="2" t="str">
        <f>PROPER(TRIM(Table1[[#This Row],[Gender]]))</f>
        <v>Male</v>
      </c>
      <c r="D2348" t="s">
        <v>16</v>
      </c>
      <c r="E2348">
        <v>33</v>
      </c>
      <c r="F2348" t="s">
        <v>31</v>
      </c>
      <c r="G2348" s="1">
        <v>33613</v>
      </c>
      <c r="H2348" t="s">
        <v>5450</v>
      </c>
      <c r="I2348" s="2" t="str">
        <f t="shared" si="36"/>
        <v>+91-9291144848</v>
      </c>
      <c r="J2348">
        <f>91-9291144939</f>
        <v>-9291144848</v>
      </c>
      <c r="K2348" t="s">
        <v>195</v>
      </c>
      <c r="L2348" t="s">
        <v>102</v>
      </c>
      <c r="M2348">
        <v>296782</v>
      </c>
      <c r="N2348" s="1">
        <v>45272</v>
      </c>
      <c r="O2348" t="s">
        <v>28</v>
      </c>
      <c r="P2348">
        <v>5</v>
      </c>
      <c r="Q2348">
        <v>110752.02</v>
      </c>
    </row>
    <row r="2349" spans="1:17" x14ac:dyDescent="0.3">
      <c r="A2349" t="s">
        <v>5451</v>
      </c>
      <c r="B2349" t="s">
        <v>3471</v>
      </c>
      <c r="C2349" s="2" t="str">
        <f>PROPER(TRIM(Table1[[#This Row],[Gender]]))</f>
        <v>Male</v>
      </c>
      <c r="D2349" t="s">
        <v>16</v>
      </c>
      <c r="E2349">
        <v>49</v>
      </c>
      <c r="F2349" t="s">
        <v>17</v>
      </c>
      <c r="G2349" s="1">
        <v>27773</v>
      </c>
      <c r="H2349" t="s">
        <v>5452</v>
      </c>
      <c r="I2349" s="2" t="str">
        <f t="shared" si="36"/>
        <v>+91-8959403569</v>
      </c>
      <c r="J2349">
        <f>91-8959403660</f>
        <v>-8959403569</v>
      </c>
      <c r="K2349" t="s">
        <v>26</v>
      </c>
      <c r="L2349" t="s">
        <v>27</v>
      </c>
      <c r="M2349">
        <v>866142</v>
      </c>
      <c r="N2349" s="1">
        <v>45390</v>
      </c>
      <c r="O2349" t="s">
        <v>35</v>
      </c>
      <c r="P2349">
        <v>6</v>
      </c>
      <c r="Q2349">
        <v>10400.73</v>
      </c>
    </row>
    <row r="2350" spans="1:17" x14ac:dyDescent="0.3">
      <c r="A2350" t="s">
        <v>5453</v>
      </c>
      <c r="B2350" t="s">
        <v>1800</v>
      </c>
      <c r="C2350" s="2" t="str">
        <f>PROPER(TRIM(Table1[[#This Row],[Gender]]))</f>
        <v>Female</v>
      </c>
      <c r="D2350" t="s">
        <v>43</v>
      </c>
      <c r="E2350">
        <v>41</v>
      </c>
      <c r="F2350" t="s">
        <v>38</v>
      </c>
      <c r="G2350" s="1">
        <v>30693</v>
      </c>
      <c r="H2350" t="s">
        <v>5454</v>
      </c>
      <c r="I2350" s="2" t="str">
        <f t="shared" si="36"/>
        <v>+91-7965440108</v>
      </c>
      <c r="J2350">
        <f>91-7965440199</f>
        <v>-7965440108</v>
      </c>
      <c r="K2350" t="s">
        <v>33</v>
      </c>
      <c r="L2350" t="s">
        <v>34</v>
      </c>
      <c r="M2350">
        <v>511546</v>
      </c>
      <c r="N2350" s="1">
        <v>45380</v>
      </c>
      <c r="O2350" t="s">
        <v>21</v>
      </c>
      <c r="P2350">
        <v>3</v>
      </c>
      <c r="Q2350">
        <v>39243.629999999997</v>
      </c>
    </row>
    <row r="2351" spans="1:17" x14ac:dyDescent="0.3">
      <c r="A2351" t="s">
        <v>5455</v>
      </c>
      <c r="B2351" t="s">
        <v>478</v>
      </c>
      <c r="C2351" s="2" t="str">
        <f>PROPER(TRIM(Table1[[#This Row],[Gender]]))</f>
        <v>Male</v>
      </c>
      <c r="D2351" t="s">
        <v>16</v>
      </c>
      <c r="E2351">
        <v>36</v>
      </c>
      <c r="F2351" t="s">
        <v>38</v>
      </c>
      <c r="G2351" s="1">
        <v>32518</v>
      </c>
      <c r="H2351" t="s">
        <v>5456</v>
      </c>
      <c r="I2351" s="2" t="str">
        <f t="shared" si="36"/>
        <v>+91-8855361088</v>
      </c>
      <c r="J2351">
        <f>91-8855361179</f>
        <v>-8855361088</v>
      </c>
      <c r="K2351" t="s">
        <v>19</v>
      </c>
      <c r="L2351" t="s">
        <v>20</v>
      </c>
      <c r="M2351">
        <v>974369</v>
      </c>
      <c r="N2351" s="1">
        <v>45419</v>
      </c>
      <c r="O2351" t="s">
        <v>28</v>
      </c>
      <c r="P2351">
        <v>6</v>
      </c>
      <c r="Q2351">
        <v>338035.84</v>
      </c>
    </row>
    <row r="2352" spans="1:17" x14ac:dyDescent="0.3">
      <c r="A2352" t="s">
        <v>5457</v>
      </c>
      <c r="B2352" t="s">
        <v>3279</v>
      </c>
      <c r="C2352" s="2" t="str">
        <f>PROPER(TRIM(Table1[[#This Row],[Gender]]))</f>
        <v>Male</v>
      </c>
      <c r="D2352" t="s">
        <v>16</v>
      </c>
      <c r="E2352">
        <v>29</v>
      </c>
      <c r="F2352" t="s">
        <v>31</v>
      </c>
      <c r="G2352" s="1">
        <v>35073</v>
      </c>
      <c r="H2352" t="s">
        <v>5458</v>
      </c>
      <c r="I2352" s="2" t="str">
        <f t="shared" si="36"/>
        <v>+91-7118831557</v>
      </c>
      <c r="J2352">
        <f>91-7118831648</f>
        <v>-7118831557</v>
      </c>
      <c r="K2352" t="s">
        <v>33</v>
      </c>
      <c r="L2352" t="s">
        <v>34</v>
      </c>
      <c r="M2352">
        <v>535051</v>
      </c>
      <c r="N2352" s="1">
        <v>45165</v>
      </c>
      <c r="O2352" t="s">
        <v>28</v>
      </c>
      <c r="P2352">
        <v>6</v>
      </c>
      <c r="Q2352">
        <v>192755.75</v>
      </c>
    </row>
    <row r="2353" spans="1:17" x14ac:dyDescent="0.3">
      <c r="A2353" t="s">
        <v>5459</v>
      </c>
      <c r="B2353" t="s">
        <v>2639</v>
      </c>
      <c r="C2353" s="2" t="str">
        <f>PROPER(TRIM(Table1[[#This Row],[Gender]]))</f>
        <v>Female</v>
      </c>
      <c r="D2353" t="s">
        <v>43</v>
      </c>
      <c r="E2353">
        <v>61</v>
      </c>
      <c r="F2353" t="s">
        <v>58</v>
      </c>
      <c r="G2353" s="1">
        <v>23393</v>
      </c>
      <c r="H2353" t="s">
        <v>3467</v>
      </c>
      <c r="I2353" s="2" t="str">
        <f t="shared" si="36"/>
        <v>+91-8563187229</v>
      </c>
      <c r="J2353">
        <f>91-8563187320</f>
        <v>-8563187229</v>
      </c>
      <c r="K2353" t="s">
        <v>121</v>
      </c>
      <c r="L2353" t="s">
        <v>85</v>
      </c>
      <c r="M2353">
        <v>529968</v>
      </c>
      <c r="N2353" s="1">
        <v>45362</v>
      </c>
      <c r="O2353" t="s">
        <v>21</v>
      </c>
      <c r="P2353">
        <v>3</v>
      </c>
      <c r="Q2353">
        <v>35978.61</v>
      </c>
    </row>
    <row r="2354" spans="1:17" x14ac:dyDescent="0.3">
      <c r="A2354" t="s">
        <v>5460</v>
      </c>
      <c r="B2354" t="s">
        <v>842</v>
      </c>
      <c r="C2354" s="2" t="str">
        <f>PROPER(TRIM(Table1[[#This Row],[Gender]]))</f>
        <v>Female</v>
      </c>
      <c r="D2354" t="s">
        <v>43</v>
      </c>
      <c r="E2354">
        <v>54</v>
      </c>
      <c r="F2354" t="s">
        <v>17</v>
      </c>
      <c r="G2354" s="1">
        <v>25948</v>
      </c>
      <c r="H2354" t="s">
        <v>5461</v>
      </c>
      <c r="I2354" s="2" t="str">
        <f t="shared" si="36"/>
        <v>+91-7452632767</v>
      </c>
      <c r="J2354">
        <f>91-7452632858</f>
        <v>-7452632767</v>
      </c>
      <c r="K2354" t="s">
        <v>51</v>
      </c>
      <c r="L2354" t="s">
        <v>52</v>
      </c>
      <c r="M2354">
        <v>152580</v>
      </c>
      <c r="N2354" s="1">
        <v>45122</v>
      </c>
      <c r="O2354" t="s">
        <v>35</v>
      </c>
      <c r="P2354">
        <v>1</v>
      </c>
      <c r="Q2354">
        <v>276.89999999999998</v>
      </c>
    </row>
    <row r="2355" spans="1:17" x14ac:dyDescent="0.3">
      <c r="A2355" t="s">
        <v>5462</v>
      </c>
      <c r="B2355" t="s">
        <v>918</v>
      </c>
      <c r="C2355" s="2" t="str">
        <f>PROPER(TRIM(Table1[[#This Row],[Gender]]))</f>
        <v>Male</v>
      </c>
      <c r="D2355" t="s">
        <v>16</v>
      </c>
      <c r="E2355">
        <v>27</v>
      </c>
      <c r="F2355" t="s">
        <v>31</v>
      </c>
      <c r="G2355" s="1">
        <v>35803</v>
      </c>
      <c r="H2355" t="s">
        <v>5463</v>
      </c>
      <c r="I2355" s="2" t="str">
        <f t="shared" si="36"/>
        <v>+91-7329741126</v>
      </c>
      <c r="J2355">
        <f>91-7329741217</f>
        <v>-7329741126</v>
      </c>
      <c r="K2355" t="s">
        <v>147</v>
      </c>
      <c r="L2355" t="s">
        <v>143</v>
      </c>
      <c r="M2355">
        <v>368070</v>
      </c>
      <c r="N2355" s="1">
        <v>45304</v>
      </c>
      <c r="O2355" t="s">
        <v>28</v>
      </c>
      <c r="P2355">
        <v>4</v>
      </c>
      <c r="Q2355">
        <v>158680.54</v>
      </c>
    </row>
    <row r="2356" spans="1:17" x14ac:dyDescent="0.3">
      <c r="A2356" t="s">
        <v>5464</v>
      </c>
      <c r="B2356" t="s">
        <v>1951</v>
      </c>
      <c r="C2356" s="2" t="str">
        <f>PROPER(TRIM(Table1[[#This Row],[Gender]]))</f>
        <v>Male</v>
      </c>
      <c r="D2356" t="s">
        <v>16</v>
      </c>
      <c r="E2356">
        <v>31</v>
      </c>
      <c r="F2356" t="s">
        <v>31</v>
      </c>
      <c r="G2356" s="1">
        <v>34343</v>
      </c>
      <c r="H2356" t="s">
        <v>5465</v>
      </c>
      <c r="I2356" s="2" t="str">
        <f t="shared" si="36"/>
        <v>+91-7007870541</v>
      </c>
      <c r="J2356">
        <f>91-7007870632</f>
        <v>-7007870541</v>
      </c>
      <c r="K2356" t="s">
        <v>101</v>
      </c>
      <c r="L2356" t="s">
        <v>102</v>
      </c>
      <c r="M2356">
        <v>425105</v>
      </c>
      <c r="N2356" s="1">
        <v>45098</v>
      </c>
      <c r="O2356" t="s">
        <v>28</v>
      </c>
      <c r="P2356">
        <v>5</v>
      </c>
      <c r="Q2356">
        <v>137828.73000000001</v>
      </c>
    </row>
    <row r="2357" spans="1:17" x14ac:dyDescent="0.3">
      <c r="A2357" t="s">
        <v>5466</v>
      </c>
      <c r="B2357" t="s">
        <v>5467</v>
      </c>
      <c r="C2357" s="2" t="str">
        <f>PROPER(TRIM(Table1[[#This Row],[Gender]]))</f>
        <v>Male</v>
      </c>
      <c r="D2357" t="s">
        <v>16</v>
      </c>
      <c r="E2357">
        <v>23</v>
      </c>
      <c r="F2357" t="s">
        <v>49</v>
      </c>
      <c r="G2357" s="1">
        <v>37263</v>
      </c>
      <c r="H2357" t="s">
        <v>5468</v>
      </c>
      <c r="I2357" s="2" t="str">
        <f t="shared" si="36"/>
        <v>+91-9897955394</v>
      </c>
      <c r="J2357">
        <f>91-9897955485</f>
        <v>-9897955394</v>
      </c>
      <c r="K2357" t="s">
        <v>415</v>
      </c>
      <c r="L2357" t="s">
        <v>90</v>
      </c>
      <c r="M2357">
        <v>669028</v>
      </c>
      <c r="N2357" s="1">
        <v>45121</v>
      </c>
      <c r="O2357" t="s">
        <v>28</v>
      </c>
      <c r="P2357">
        <v>6</v>
      </c>
      <c r="Q2357">
        <v>133757.54</v>
      </c>
    </row>
    <row r="2358" spans="1:17" x14ac:dyDescent="0.3">
      <c r="A2358" t="s">
        <v>5469</v>
      </c>
      <c r="B2358" t="s">
        <v>3836</v>
      </c>
      <c r="C2358" s="2" t="str">
        <f>PROPER(TRIM(Table1[[#This Row],[Gender]]))</f>
        <v>Male</v>
      </c>
      <c r="D2358" t="s">
        <v>16</v>
      </c>
      <c r="E2358">
        <v>29</v>
      </c>
      <c r="F2358" t="s">
        <v>31</v>
      </c>
      <c r="G2358" s="1">
        <v>35073</v>
      </c>
      <c r="H2358" t="s">
        <v>5470</v>
      </c>
      <c r="I2358" s="2" t="str">
        <f t="shared" si="36"/>
        <v>+91-7861324639</v>
      </c>
      <c r="J2358">
        <f>91-7861324730</f>
        <v>-7861324639</v>
      </c>
      <c r="K2358" t="s">
        <v>178</v>
      </c>
      <c r="L2358" t="s">
        <v>27</v>
      </c>
      <c r="M2358">
        <v>294682</v>
      </c>
      <c r="N2358" s="1">
        <v>45390</v>
      </c>
      <c r="O2358" t="s">
        <v>28</v>
      </c>
      <c r="P2358">
        <v>8</v>
      </c>
      <c r="Q2358">
        <v>184498.27</v>
      </c>
    </row>
    <row r="2359" spans="1:17" x14ac:dyDescent="0.3">
      <c r="A2359" t="s">
        <v>5471</v>
      </c>
      <c r="B2359" t="s">
        <v>4050</v>
      </c>
      <c r="C2359" s="2" t="str">
        <f>PROPER(TRIM(Table1[[#This Row],[Gender]]))</f>
        <v>Male</v>
      </c>
      <c r="D2359" t="s">
        <v>16</v>
      </c>
      <c r="E2359">
        <v>23</v>
      </c>
      <c r="F2359" t="s">
        <v>49</v>
      </c>
      <c r="G2359" s="1">
        <v>37263</v>
      </c>
      <c r="H2359" t="s">
        <v>4051</v>
      </c>
      <c r="I2359" s="2" t="str">
        <f t="shared" si="36"/>
        <v>+91-8519354126</v>
      </c>
      <c r="J2359">
        <f>91-8519354217</f>
        <v>-8519354126</v>
      </c>
      <c r="K2359" t="s">
        <v>138</v>
      </c>
      <c r="L2359" t="s">
        <v>90</v>
      </c>
      <c r="M2359">
        <v>574498</v>
      </c>
      <c r="N2359" s="1">
        <v>45380</v>
      </c>
      <c r="O2359" t="s">
        <v>28</v>
      </c>
      <c r="P2359">
        <v>3</v>
      </c>
      <c r="Q2359">
        <v>108295.85</v>
      </c>
    </row>
    <row r="2360" spans="1:17" x14ac:dyDescent="0.3">
      <c r="A2360" t="s">
        <v>5472</v>
      </c>
      <c r="B2360" t="s">
        <v>265</v>
      </c>
      <c r="C2360" s="2" t="str">
        <f>PROPER(TRIM(Table1[[#This Row],[Gender]]))</f>
        <v>Female</v>
      </c>
      <c r="D2360" t="s">
        <v>43</v>
      </c>
      <c r="E2360">
        <v>30</v>
      </c>
      <c r="F2360" t="s">
        <v>31</v>
      </c>
      <c r="G2360" s="1">
        <v>34708</v>
      </c>
      <c r="H2360" t="s">
        <v>5473</v>
      </c>
      <c r="I2360" s="2" t="str">
        <f t="shared" si="36"/>
        <v>+91-7909885394</v>
      </c>
      <c r="J2360">
        <f>91-7909885485</f>
        <v>-7909885394</v>
      </c>
      <c r="K2360" t="s">
        <v>202</v>
      </c>
      <c r="L2360" t="s">
        <v>191</v>
      </c>
      <c r="M2360">
        <v>974116</v>
      </c>
      <c r="N2360" s="1">
        <v>45220</v>
      </c>
      <c r="O2360" t="s">
        <v>28</v>
      </c>
      <c r="P2360">
        <v>6</v>
      </c>
      <c r="Q2360">
        <v>106237.73</v>
      </c>
    </row>
    <row r="2361" spans="1:17" x14ac:dyDescent="0.3">
      <c r="A2361" t="s">
        <v>5474</v>
      </c>
      <c r="B2361" t="s">
        <v>949</v>
      </c>
      <c r="C2361" s="2" t="str">
        <f>PROPER(TRIM(Table1[[#This Row],[Gender]]))</f>
        <v>Male</v>
      </c>
      <c r="D2361" t="s">
        <v>16</v>
      </c>
      <c r="E2361">
        <v>23</v>
      </c>
      <c r="F2361" t="s">
        <v>49</v>
      </c>
      <c r="G2361" s="1">
        <v>37263</v>
      </c>
      <c r="H2361" t="s">
        <v>5475</v>
      </c>
      <c r="I2361" s="2" t="str">
        <f t="shared" si="36"/>
        <v>+91-8531817224</v>
      </c>
      <c r="J2361">
        <f>91-8531817315</f>
        <v>-8531817224</v>
      </c>
      <c r="K2361" t="s">
        <v>142</v>
      </c>
      <c r="L2361" t="s">
        <v>143</v>
      </c>
      <c r="M2361">
        <v>585873</v>
      </c>
      <c r="N2361" s="1">
        <v>45327</v>
      </c>
      <c r="O2361" t="s">
        <v>28</v>
      </c>
      <c r="P2361">
        <v>3</v>
      </c>
      <c r="Q2361">
        <v>72609.58</v>
      </c>
    </row>
    <row r="2362" spans="1:17" x14ac:dyDescent="0.3">
      <c r="A2362" t="s">
        <v>5476</v>
      </c>
      <c r="B2362" t="s">
        <v>2147</v>
      </c>
      <c r="C2362" s="2" t="str">
        <f>PROPER(TRIM(Table1[[#This Row],[Gender]]))</f>
        <v>Female</v>
      </c>
      <c r="D2362" t="s">
        <v>43</v>
      </c>
      <c r="E2362">
        <v>34</v>
      </c>
      <c r="F2362" t="s">
        <v>31</v>
      </c>
      <c r="G2362" s="1">
        <v>33248</v>
      </c>
      <c r="H2362" t="s">
        <v>5477</v>
      </c>
      <c r="I2362" s="2" t="str">
        <f t="shared" si="36"/>
        <v>+91-9414540935</v>
      </c>
      <c r="J2362">
        <f>91-9414541026</f>
        <v>-9414540935</v>
      </c>
      <c r="K2362" t="s">
        <v>331</v>
      </c>
      <c r="L2362" t="s">
        <v>143</v>
      </c>
      <c r="M2362">
        <v>433075</v>
      </c>
      <c r="N2362" s="1">
        <v>45202</v>
      </c>
      <c r="O2362" t="s">
        <v>28</v>
      </c>
      <c r="P2362">
        <v>3</v>
      </c>
      <c r="Q2362">
        <v>97424.51</v>
      </c>
    </row>
    <row r="2363" spans="1:17" x14ac:dyDescent="0.3">
      <c r="A2363" t="s">
        <v>5478</v>
      </c>
      <c r="B2363" t="s">
        <v>692</v>
      </c>
      <c r="C2363" s="2" t="str">
        <f>PROPER(TRIM(Table1[[#This Row],[Gender]]))</f>
        <v>Male</v>
      </c>
      <c r="D2363" t="s">
        <v>16</v>
      </c>
      <c r="E2363">
        <v>25</v>
      </c>
      <c r="F2363" t="s">
        <v>49</v>
      </c>
      <c r="G2363" s="1">
        <v>36533</v>
      </c>
      <c r="H2363" t="s">
        <v>5479</v>
      </c>
      <c r="I2363" s="2" t="str">
        <f t="shared" si="36"/>
        <v>+91-8011005763</v>
      </c>
      <c r="J2363">
        <f>91-8011005854</f>
        <v>-8011005763</v>
      </c>
      <c r="K2363" t="s">
        <v>80</v>
      </c>
      <c r="L2363" t="s">
        <v>20</v>
      </c>
      <c r="M2363">
        <v>900582</v>
      </c>
      <c r="N2363" s="1">
        <v>45419</v>
      </c>
      <c r="O2363" t="s">
        <v>28</v>
      </c>
      <c r="P2363">
        <v>5</v>
      </c>
      <c r="Q2363">
        <v>76547.39</v>
      </c>
    </row>
    <row r="2364" spans="1:17" x14ac:dyDescent="0.3">
      <c r="A2364" t="s">
        <v>5480</v>
      </c>
      <c r="B2364" t="s">
        <v>2573</v>
      </c>
      <c r="C2364" s="2" t="str">
        <f>PROPER(TRIM(Table1[[#This Row],[Gender]]))</f>
        <v>Male</v>
      </c>
      <c r="D2364" t="s">
        <v>16</v>
      </c>
      <c r="E2364">
        <v>43</v>
      </c>
      <c r="F2364" t="s">
        <v>38</v>
      </c>
      <c r="G2364" s="1">
        <v>29963</v>
      </c>
      <c r="H2364" t="s">
        <v>5481</v>
      </c>
      <c r="I2364" s="2" t="str">
        <f t="shared" si="36"/>
        <v>+91-9635679594</v>
      </c>
      <c r="J2364">
        <f>91-9635679685</f>
        <v>-9635679594</v>
      </c>
      <c r="K2364" t="s">
        <v>64</v>
      </c>
      <c r="L2364" t="s">
        <v>20</v>
      </c>
      <c r="M2364">
        <v>912433</v>
      </c>
      <c r="N2364" s="1">
        <v>45419</v>
      </c>
      <c r="O2364" t="s">
        <v>21</v>
      </c>
      <c r="P2364">
        <v>3</v>
      </c>
      <c r="Q2364">
        <v>37390.83</v>
      </c>
    </row>
    <row r="2365" spans="1:17" x14ac:dyDescent="0.3">
      <c r="A2365" t="s">
        <v>5482</v>
      </c>
      <c r="B2365" t="s">
        <v>2597</v>
      </c>
      <c r="C2365" s="2" t="str">
        <f>PROPER(TRIM(Table1[[#This Row],[Gender]]))</f>
        <v>Female</v>
      </c>
      <c r="D2365" t="s">
        <v>43</v>
      </c>
      <c r="E2365">
        <v>19</v>
      </c>
      <c r="F2365" t="s">
        <v>49</v>
      </c>
      <c r="G2365" s="1">
        <v>38723</v>
      </c>
      <c r="H2365" t="s">
        <v>5483</v>
      </c>
      <c r="I2365" s="2" t="str">
        <f t="shared" si="36"/>
        <v>+91-9640445646</v>
      </c>
      <c r="J2365">
        <f>91-9640445737</f>
        <v>-9640445646</v>
      </c>
      <c r="K2365" t="s">
        <v>138</v>
      </c>
      <c r="L2365" t="s">
        <v>90</v>
      </c>
      <c r="M2365">
        <v>369224</v>
      </c>
      <c r="N2365" s="1">
        <v>45130</v>
      </c>
      <c r="O2365" t="s">
        <v>28</v>
      </c>
      <c r="P2365">
        <v>4</v>
      </c>
      <c r="Q2365">
        <v>149783.59</v>
      </c>
    </row>
    <row r="2366" spans="1:17" x14ac:dyDescent="0.3">
      <c r="A2366" t="s">
        <v>5484</v>
      </c>
      <c r="B2366" t="s">
        <v>371</v>
      </c>
      <c r="C2366" s="2" t="str">
        <f>PROPER(TRIM(Table1[[#This Row],[Gender]]))</f>
        <v>Female</v>
      </c>
      <c r="D2366" t="s">
        <v>43</v>
      </c>
      <c r="E2366">
        <v>36</v>
      </c>
      <c r="F2366" t="s">
        <v>38</v>
      </c>
      <c r="G2366" s="1">
        <v>32518</v>
      </c>
      <c r="H2366" t="s">
        <v>5485</v>
      </c>
      <c r="I2366" s="2" t="str">
        <f t="shared" si="36"/>
        <v>+91-8406637071</v>
      </c>
      <c r="J2366">
        <f>91-8406637162</f>
        <v>-8406637071</v>
      </c>
      <c r="K2366" t="s">
        <v>138</v>
      </c>
      <c r="L2366" t="s">
        <v>90</v>
      </c>
      <c r="M2366">
        <v>168077</v>
      </c>
      <c r="N2366" s="1">
        <v>45354</v>
      </c>
      <c r="O2366" t="s">
        <v>21</v>
      </c>
      <c r="P2366">
        <v>3</v>
      </c>
      <c r="Q2366">
        <v>41883.120000000003</v>
      </c>
    </row>
    <row r="2367" spans="1:17" x14ac:dyDescent="0.3">
      <c r="A2367" t="s">
        <v>5486</v>
      </c>
      <c r="B2367" t="s">
        <v>3988</v>
      </c>
      <c r="C2367" s="2" t="str">
        <f>PROPER(TRIM(Table1[[#This Row],[Gender]]))</f>
        <v>Female</v>
      </c>
      <c r="D2367" t="s">
        <v>43</v>
      </c>
      <c r="E2367">
        <v>60</v>
      </c>
      <c r="F2367" t="s">
        <v>58</v>
      </c>
      <c r="G2367" s="1">
        <v>23758</v>
      </c>
      <c r="H2367" t="s">
        <v>5487</v>
      </c>
      <c r="I2367" s="2" t="str">
        <f t="shared" si="36"/>
        <v>+91-7572931638</v>
      </c>
      <c r="J2367">
        <f>91-7572931729</f>
        <v>-7572931638</v>
      </c>
      <c r="K2367" t="s">
        <v>19</v>
      </c>
      <c r="L2367" t="s">
        <v>20</v>
      </c>
      <c r="M2367">
        <v>707599</v>
      </c>
      <c r="N2367" s="1">
        <v>45320</v>
      </c>
      <c r="O2367" t="s">
        <v>35</v>
      </c>
      <c r="P2367">
        <v>3</v>
      </c>
      <c r="Q2367">
        <v>3839.46</v>
      </c>
    </row>
    <row r="2368" spans="1:17" x14ac:dyDescent="0.3">
      <c r="A2368" t="s">
        <v>5488</v>
      </c>
      <c r="B2368" t="s">
        <v>1790</v>
      </c>
      <c r="C2368" s="2" t="str">
        <f>PROPER(TRIM(Table1[[#This Row],[Gender]]))</f>
        <v>Female</v>
      </c>
      <c r="D2368" t="s">
        <v>43</v>
      </c>
      <c r="E2368">
        <v>30</v>
      </c>
      <c r="F2368" t="s">
        <v>31</v>
      </c>
      <c r="G2368" s="1">
        <v>34708</v>
      </c>
      <c r="H2368" t="s">
        <v>5489</v>
      </c>
      <c r="I2368" s="2" t="str">
        <f t="shared" si="36"/>
        <v>+91-8388394018</v>
      </c>
      <c r="J2368">
        <f>91-8388394109</f>
        <v>-8388394018</v>
      </c>
      <c r="K2368" t="s">
        <v>94</v>
      </c>
      <c r="L2368" t="s">
        <v>20</v>
      </c>
      <c r="M2368">
        <v>248937</v>
      </c>
      <c r="N2368" s="1">
        <v>45362</v>
      </c>
      <c r="O2368" t="s">
        <v>28</v>
      </c>
      <c r="P2368">
        <v>6</v>
      </c>
      <c r="Q2368">
        <v>88355.3</v>
      </c>
    </row>
    <row r="2369" spans="1:17" x14ac:dyDescent="0.3">
      <c r="A2369" t="s">
        <v>5490</v>
      </c>
      <c r="B2369" t="s">
        <v>2396</v>
      </c>
      <c r="C2369" s="2" t="str">
        <f>PROPER(TRIM(Table1[[#This Row],[Gender]]))</f>
        <v>Female</v>
      </c>
      <c r="D2369" t="s">
        <v>43</v>
      </c>
      <c r="E2369">
        <v>45</v>
      </c>
      <c r="F2369" t="s">
        <v>38</v>
      </c>
      <c r="G2369" s="1">
        <v>29233</v>
      </c>
      <c r="H2369" t="s">
        <v>5491</v>
      </c>
      <c r="I2369" s="2" t="str">
        <f t="shared" si="36"/>
        <v>+91-9154792650</v>
      </c>
      <c r="J2369">
        <f>91-9154792741</f>
        <v>-9154792650</v>
      </c>
      <c r="K2369" t="s">
        <v>60</v>
      </c>
      <c r="L2369" t="s">
        <v>34</v>
      </c>
      <c r="M2369">
        <v>606182</v>
      </c>
      <c r="N2369" s="1">
        <v>45191</v>
      </c>
      <c r="O2369" t="s">
        <v>28</v>
      </c>
      <c r="P2369">
        <v>5</v>
      </c>
      <c r="Q2369">
        <v>229880.7</v>
      </c>
    </row>
    <row r="2370" spans="1:17" x14ac:dyDescent="0.3">
      <c r="A2370" t="s">
        <v>5492</v>
      </c>
      <c r="B2370" t="s">
        <v>2038</v>
      </c>
      <c r="C2370" s="2" t="str">
        <f>PROPER(TRIM(Table1[[#This Row],[Gender]]))</f>
        <v>Female</v>
      </c>
      <c r="D2370" t="s">
        <v>43</v>
      </c>
      <c r="E2370">
        <v>63</v>
      </c>
      <c r="F2370" t="s">
        <v>58</v>
      </c>
      <c r="G2370" s="1">
        <v>22663</v>
      </c>
      <c r="H2370" t="s">
        <v>5493</v>
      </c>
      <c r="I2370" s="2" t="str">
        <f t="shared" ref="I2370:I2433" si="37">"+91"&amp;TEXT(J2370,"0000000000")</f>
        <v>+91-7262522290</v>
      </c>
      <c r="J2370">
        <f>91-7262522381</f>
        <v>-7262522290</v>
      </c>
      <c r="K2370" t="s">
        <v>19</v>
      </c>
      <c r="L2370" t="s">
        <v>20</v>
      </c>
      <c r="M2370">
        <v>133143</v>
      </c>
      <c r="N2370" s="1">
        <v>45102</v>
      </c>
      <c r="O2370" t="s">
        <v>21</v>
      </c>
      <c r="P2370">
        <v>4</v>
      </c>
      <c r="Q2370">
        <v>24493.55</v>
      </c>
    </row>
    <row r="2371" spans="1:17" x14ac:dyDescent="0.3">
      <c r="A2371" t="s">
        <v>5494</v>
      </c>
      <c r="B2371" t="s">
        <v>5495</v>
      </c>
      <c r="C2371" s="2" t="str">
        <f>PROPER(TRIM(Table1[[#This Row],[Gender]]))</f>
        <v>Male</v>
      </c>
      <c r="D2371" t="s">
        <v>16</v>
      </c>
      <c r="E2371">
        <v>35</v>
      </c>
      <c r="F2371" t="s">
        <v>31</v>
      </c>
      <c r="G2371" s="1">
        <v>32883</v>
      </c>
      <c r="H2371" t="s">
        <v>5496</v>
      </c>
      <c r="I2371" s="2" t="str">
        <f t="shared" si="37"/>
        <v>+91-7224767812</v>
      </c>
      <c r="J2371">
        <f>91-7224767903</f>
        <v>-7224767812</v>
      </c>
      <c r="K2371" t="s">
        <v>94</v>
      </c>
      <c r="L2371" t="s">
        <v>20</v>
      </c>
      <c r="M2371">
        <v>842027</v>
      </c>
      <c r="N2371" s="1">
        <v>45391</v>
      </c>
      <c r="O2371" t="s">
        <v>28</v>
      </c>
      <c r="P2371">
        <v>2</v>
      </c>
      <c r="Q2371">
        <v>59704.06</v>
      </c>
    </row>
    <row r="2372" spans="1:17" x14ac:dyDescent="0.3">
      <c r="A2372" t="s">
        <v>5497</v>
      </c>
      <c r="B2372" t="s">
        <v>4476</v>
      </c>
      <c r="C2372" s="2" t="str">
        <f>PROPER(TRIM(Table1[[#This Row],[Gender]]))</f>
        <v>Male</v>
      </c>
      <c r="D2372" t="s">
        <v>16</v>
      </c>
      <c r="E2372">
        <v>34</v>
      </c>
      <c r="F2372" t="s">
        <v>31</v>
      </c>
      <c r="G2372" s="1">
        <v>33248</v>
      </c>
      <c r="H2372" t="s">
        <v>5498</v>
      </c>
      <c r="I2372" s="2" t="str">
        <f t="shared" si="37"/>
        <v>+91-7112331161</v>
      </c>
      <c r="J2372">
        <f>91-7112331252</f>
        <v>-7112331161</v>
      </c>
      <c r="K2372" t="s">
        <v>51</v>
      </c>
      <c r="L2372" t="s">
        <v>52</v>
      </c>
      <c r="M2372">
        <v>153931</v>
      </c>
      <c r="N2372" s="1">
        <v>45270</v>
      </c>
      <c r="O2372" t="s">
        <v>28</v>
      </c>
      <c r="P2372">
        <v>4</v>
      </c>
      <c r="Q2372">
        <v>137865.54999999999</v>
      </c>
    </row>
    <row r="2373" spans="1:17" x14ac:dyDescent="0.3">
      <c r="A2373" t="s">
        <v>5499</v>
      </c>
      <c r="B2373" t="s">
        <v>3150</v>
      </c>
      <c r="C2373" s="2" t="str">
        <f>PROPER(TRIM(Table1[[#This Row],[Gender]]))</f>
        <v>Female</v>
      </c>
      <c r="D2373" t="s">
        <v>43</v>
      </c>
      <c r="E2373">
        <v>23</v>
      </c>
      <c r="F2373" t="s">
        <v>49</v>
      </c>
      <c r="G2373" s="1">
        <v>37263</v>
      </c>
      <c r="H2373" t="s">
        <v>5500</v>
      </c>
      <c r="I2373" s="2" t="str">
        <f t="shared" si="37"/>
        <v>+91-9434527893</v>
      </c>
      <c r="J2373">
        <f>91-9434527984</f>
        <v>-9434527893</v>
      </c>
      <c r="K2373" t="s">
        <v>33</v>
      </c>
      <c r="L2373" t="s">
        <v>34</v>
      </c>
      <c r="M2373">
        <v>526851</v>
      </c>
      <c r="N2373" s="1">
        <v>45443</v>
      </c>
      <c r="O2373" t="s">
        <v>28</v>
      </c>
      <c r="P2373">
        <v>7</v>
      </c>
      <c r="Q2373">
        <v>150865.59</v>
      </c>
    </row>
    <row r="2374" spans="1:17" x14ac:dyDescent="0.3">
      <c r="A2374" t="s">
        <v>5501</v>
      </c>
      <c r="B2374" t="s">
        <v>5412</v>
      </c>
      <c r="C2374" s="2" t="str">
        <f>PROPER(TRIM(Table1[[#This Row],[Gender]]))</f>
        <v>Male</v>
      </c>
      <c r="D2374" t="s">
        <v>16</v>
      </c>
      <c r="E2374">
        <v>35</v>
      </c>
      <c r="F2374" t="s">
        <v>31</v>
      </c>
      <c r="G2374" s="1">
        <v>32883</v>
      </c>
      <c r="H2374" t="s">
        <v>5502</v>
      </c>
      <c r="I2374" s="2" t="str">
        <f t="shared" si="37"/>
        <v>+91-8859532269</v>
      </c>
      <c r="J2374">
        <f>91-8859532360</f>
        <v>-8859532269</v>
      </c>
      <c r="K2374" t="s">
        <v>331</v>
      </c>
      <c r="L2374" t="s">
        <v>143</v>
      </c>
      <c r="M2374">
        <v>540317</v>
      </c>
      <c r="N2374" s="1">
        <v>45261</v>
      </c>
      <c r="O2374" t="s">
        <v>28</v>
      </c>
      <c r="P2374">
        <v>5</v>
      </c>
      <c r="Q2374">
        <v>97320.85</v>
      </c>
    </row>
    <row r="2375" spans="1:17" x14ac:dyDescent="0.3">
      <c r="A2375" t="s">
        <v>5503</v>
      </c>
      <c r="B2375" t="s">
        <v>1895</v>
      </c>
      <c r="C2375" s="2" t="str">
        <f>PROPER(TRIM(Table1[[#This Row],[Gender]]))</f>
        <v>Male</v>
      </c>
      <c r="D2375" t="s">
        <v>16</v>
      </c>
      <c r="E2375">
        <v>20</v>
      </c>
      <c r="F2375" t="s">
        <v>49</v>
      </c>
      <c r="G2375" s="1">
        <v>38358</v>
      </c>
      <c r="H2375" t="s">
        <v>5504</v>
      </c>
      <c r="I2375" s="2" t="str">
        <f t="shared" si="37"/>
        <v>+91-7830973878</v>
      </c>
      <c r="J2375">
        <f>91-7830973969</f>
        <v>-7830973878</v>
      </c>
      <c r="K2375" t="s">
        <v>117</v>
      </c>
      <c r="L2375" t="s">
        <v>52</v>
      </c>
      <c r="M2375">
        <v>427844</v>
      </c>
      <c r="N2375" s="1">
        <v>45431</v>
      </c>
      <c r="O2375" t="s">
        <v>35</v>
      </c>
      <c r="P2375">
        <v>3</v>
      </c>
      <c r="Q2375">
        <v>15017.4</v>
      </c>
    </row>
    <row r="2376" spans="1:17" x14ac:dyDescent="0.3">
      <c r="A2376" t="s">
        <v>5505</v>
      </c>
      <c r="B2376" t="s">
        <v>2304</v>
      </c>
      <c r="C2376" s="2" t="str">
        <f>PROPER(TRIM(Table1[[#This Row],[Gender]]))</f>
        <v>Male</v>
      </c>
      <c r="D2376" t="s">
        <v>16</v>
      </c>
      <c r="E2376">
        <v>48</v>
      </c>
      <c r="F2376" t="s">
        <v>17</v>
      </c>
      <c r="G2376" s="1">
        <v>28138</v>
      </c>
      <c r="H2376" t="s">
        <v>5506</v>
      </c>
      <c r="I2376" s="2" t="str">
        <f t="shared" si="37"/>
        <v>+91-7366891044</v>
      </c>
      <c r="J2376">
        <f>91-7366891135</f>
        <v>-7366891044</v>
      </c>
      <c r="K2376" t="s">
        <v>190</v>
      </c>
      <c r="L2376" t="s">
        <v>191</v>
      </c>
      <c r="M2376">
        <v>459161</v>
      </c>
      <c r="N2376" s="1">
        <v>45079</v>
      </c>
      <c r="O2376" t="s">
        <v>28</v>
      </c>
      <c r="P2376">
        <v>8</v>
      </c>
      <c r="Q2376">
        <v>57585.46</v>
      </c>
    </row>
    <row r="2377" spans="1:17" x14ac:dyDescent="0.3">
      <c r="A2377" t="s">
        <v>5507</v>
      </c>
      <c r="B2377" t="s">
        <v>4857</v>
      </c>
      <c r="C2377" s="2" t="str">
        <f>PROPER(TRIM(Table1[[#This Row],[Gender]]))</f>
        <v>Male</v>
      </c>
      <c r="D2377" t="s">
        <v>16</v>
      </c>
      <c r="E2377">
        <v>41</v>
      </c>
      <c r="F2377" t="s">
        <v>38</v>
      </c>
      <c r="G2377" s="1">
        <v>30693</v>
      </c>
      <c r="H2377" t="s">
        <v>5508</v>
      </c>
      <c r="I2377" s="2" t="str">
        <f t="shared" si="37"/>
        <v>+91-9260168569</v>
      </c>
      <c r="J2377">
        <f>91-9260168660</f>
        <v>-9260168569</v>
      </c>
      <c r="K2377" t="s">
        <v>109</v>
      </c>
      <c r="L2377" t="s">
        <v>46</v>
      </c>
      <c r="M2377">
        <v>654918</v>
      </c>
      <c r="N2377" s="1">
        <v>45420</v>
      </c>
      <c r="O2377" t="s">
        <v>28</v>
      </c>
      <c r="P2377">
        <v>4</v>
      </c>
      <c r="Q2377">
        <v>101320.58</v>
      </c>
    </row>
    <row r="2378" spans="1:17" x14ac:dyDescent="0.3">
      <c r="A2378" t="s">
        <v>5509</v>
      </c>
      <c r="B2378" t="s">
        <v>1929</v>
      </c>
      <c r="C2378" s="2" t="str">
        <f>PROPER(TRIM(Table1[[#This Row],[Gender]]))</f>
        <v>Female</v>
      </c>
      <c r="D2378" t="s">
        <v>43</v>
      </c>
      <c r="E2378">
        <v>41</v>
      </c>
      <c r="F2378" t="s">
        <v>38</v>
      </c>
      <c r="G2378" s="1">
        <v>30693</v>
      </c>
      <c r="H2378" t="s">
        <v>4519</v>
      </c>
      <c r="I2378" s="2" t="str">
        <f t="shared" si="37"/>
        <v>+91-7176893436</v>
      </c>
      <c r="J2378">
        <f>91-7176893527</f>
        <v>-7176893436</v>
      </c>
      <c r="K2378" t="s">
        <v>51</v>
      </c>
      <c r="L2378" t="s">
        <v>52</v>
      </c>
      <c r="M2378">
        <v>320550</v>
      </c>
      <c r="N2378" s="1">
        <v>45269</v>
      </c>
      <c r="O2378" t="s">
        <v>28</v>
      </c>
      <c r="P2378">
        <v>5</v>
      </c>
      <c r="Q2378">
        <v>103871</v>
      </c>
    </row>
    <row r="2379" spans="1:17" x14ac:dyDescent="0.3">
      <c r="A2379" t="s">
        <v>5510</v>
      </c>
      <c r="B2379" t="s">
        <v>1741</v>
      </c>
      <c r="C2379" s="2" t="str">
        <f>PROPER(TRIM(Table1[[#This Row],[Gender]]))</f>
        <v>Female</v>
      </c>
      <c r="D2379" t="s">
        <v>43</v>
      </c>
      <c r="E2379">
        <v>23</v>
      </c>
      <c r="F2379" t="s">
        <v>49</v>
      </c>
      <c r="G2379" s="1">
        <v>37263</v>
      </c>
      <c r="H2379" t="s">
        <v>5511</v>
      </c>
      <c r="I2379" s="2" t="str">
        <f t="shared" si="37"/>
        <v>+91-7136127244</v>
      </c>
      <c r="J2379">
        <f>91-7136127335</f>
        <v>-7136127244</v>
      </c>
      <c r="K2379" t="s">
        <v>138</v>
      </c>
      <c r="L2379" t="s">
        <v>90</v>
      </c>
      <c r="M2379">
        <v>683147</v>
      </c>
      <c r="N2379" s="1">
        <v>45286</v>
      </c>
      <c r="O2379" t="s">
        <v>28</v>
      </c>
      <c r="P2379">
        <v>8</v>
      </c>
      <c r="Q2379">
        <v>130530.11</v>
      </c>
    </row>
    <row r="2380" spans="1:17" x14ac:dyDescent="0.3">
      <c r="A2380" t="s">
        <v>5512</v>
      </c>
      <c r="B2380" t="s">
        <v>1256</v>
      </c>
      <c r="C2380" s="2" t="str">
        <f>PROPER(TRIM(Table1[[#This Row],[Gender]]))</f>
        <v>Male</v>
      </c>
      <c r="D2380" t="s">
        <v>16</v>
      </c>
      <c r="E2380">
        <v>39</v>
      </c>
      <c r="F2380" t="s">
        <v>38</v>
      </c>
      <c r="G2380" s="1">
        <v>31423</v>
      </c>
      <c r="H2380" t="s">
        <v>5513</v>
      </c>
      <c r="I2380" s="2" t="str">
        <f t="shared" si="37"/>
        <v>+91-9460044084</v>
      </c>
      <c r="J2380">
        <f>91-9460044175</f>
        <v>-9460044084</v>
      </c>
      <c r="K2380" t="s">
        <v>161</v>
      </c>
      <c r="L2380" t="s">
        <v>102</v>
      </c>
      <c r="M2380">
        <v>962014</v>
      </c>
      <c r="N2380" s="1">
        <v>45222</v>
      </c>
      <c r="O2380" t="s">
        <v>28</v>
      </c>
      <c r="P2380">
        <v>2</v>
      </c>
      <c r="Q2380">
        <v>68893.5</v>
      </c>
    </row>
    <row r="2381" spans="1:17" x14ac:dyDescent="0.3">
      <c r="A2381" t="s">
        <v>5514</v>
      </c>
      <c r="B2381" t="s">
        <v>664</v>
      </c>
      <c r="C2381" s="2" t="str">
        <f>PROPER(TRIM(Table1[[#This Row],[Gender]]))</f>
        <v>Male</v>
      </c>
      <c r="D2381" t="s">
        <v>16</v>
      </c>
      <c r="E2381">
        <v>28</v>
      </c>
      <c r="F2381" t="s">
        <v>31</v>
      </c>
      <c r="G2381" s="1">
        <v>35438</v>
      </c>
      <c r="H2381" t="s">
        <v>5515</v>
      </c>
      <c r="I2381" s="2" t="str">
        <f t="shared" si="37"/>
        <v>+91-9282970945</v>
      </c>
      <c r="J2381">
        <f>91-9282971036</f>
        <v>-9282970945</v>
      </c>
      <c r="K2381" t="s">
        <v>190</v>
      </c>
      <c r="L2381" t="s">
        <v>191</v>
      </c>
      <c r="M2381">
        <v>349397</v>
      </c>
      <c r="N2381" s="1">
        <v>45251</v>
      </c>
      <c r="O2381" t="s">
        <v>28</v>
      </c>
      <c r="P2381">
        <v>5</v>
      </c>
      <c r="Q2381">
        <v>287845.46999999997</v>
      </c>
    </row>
    <row r="2382" spans="1:17" x14ac:dyDescent="0.3">
      <c r="A2382" t="s">
        <v>5516</v>
      </c>
      <c r="B2382" t="s">
        <v>2651</v>
      </c>
      <c r="C2382" s="2" t="str">
        <f>PROPER(TRIM(Table1[[#This Row],[Gender]]))</f>
        <v>Male</v>
      </c>
      <c r="D2382" t="s">
        <v>16</v>
      </c>
      <c r="E2382">
        <v>35</v>
      </c>
      <c r="F2382" t="s">
        <v>31</v>
      </c>
      <c r="G2382" s="1">
        <v>32883</v>
      </c>
      <c r="H2382" t="s">
        <v>5517</v>
      </c>
      <c r="I2382" s="2" t="str">
        <f t="shared" si="37"/>
        <v>+91-9726983835</v>
      </c>
      <c r="J2382">
        <f>91-9726983926</f>
        <v>-9726983835</v>
      </c>
      <c r="K2382" t="s">
        <v>64</v>
      </c>
      <c r="L2382" t="s">
        <v>20</v>
      </c>
      <c r="M2382">
        <v>861984</v>
      </c>
      <c r="N2382" s="1">
        <v>45236</v>
      </c>
      <c r="O2382" t="s">
        <v>28</v>
      </c>
      <c r="P2382">
        <v>6</v>
      </c>
      <c r="Q2382">
        <v>51003.66</v>
      </c>
    </row>
    <row r="2383" spans="1:17" x14ac:dyDescent="0.3">
      <c r="A2383" t="s">
        <v>5518</v>
      </c>
      <c r="B2383" t="s">
        <v>3845</v>
      </c>
      <c r="C2383" s="2" t="str">
        <f>PROPER(TRIM(Table1[[#This Row],[Gender]]))</f>
        <v>Female</v>
      </c>
      <c r="D2383" t="s">
        <v>43</v>
      </c>
      <c r="E2383">
        <v>56</v>
      </c>
      <c r="F2383" t="s">
        <v>58</v>
      </c>
      <c r="G2383" s="1">
        <v>25218</v>
      </c>
      <c r="H2383" t="s">
        <v>5519</v>
      </c>
      <c r="I2383" s="2" t="str">
        <f t="shared" si="37"/>
        <v>+91-8735949724</v>
      </c>
      <c r="J2383">
        <f>91-8735949815</f>
        <v>-8735949724</v>
      </c>
      <c r="K2383" t="s">
        <v>125</v>
      </c>
      <c r="L2383" t="s">
        <v>52</v>
      </c>
      <c r="M2383">
        <v>598463</v>
      </c>
      <c r="N2383" s="1">
        <v>45389</v>
      </c>
      <c r="O2383" t="s">
        <v>21</v>
      </c>
      <c r="P2383">
        <v>3</v>
      </c>
      <c r="Q2383">
        <v>46701.94</v>
      </c>
    </row>
    <row r="2384" spans="1:17" x14ac:dyDescent="0.3">
      <c r="A2384" t="s">
        <v>5520</v>
      </c>
      <c r="B2384" t="s">
        <v>364</v>
      </c>
      <c r="C2384" s="2" t="str">
        <f>PROPER(TRIM(Table1[[#This Row],[Gender]]))</f>
        <v>Female</v>
      </c>
      <c r="D2384" t="s">
        <v>43</v>
      </c>
      <c r="E2384">
        <v>24</v>
      </c>
      <c r="F2384" t="s">
        <v>49</v>
      </c>
      <c r="G2384" s="1">
        <v>36898</v>
      </c>
      <c r="H2384" t="s">
        <v>5521</v>
      </c>
      <c r="I2384" s="2" t="str">
        <f t="shared" si="37"/>
        <v>+91-8044329960</v>
      </c>
      <c r="J2384">
        <f>91-8044330051</f>
        <v>-8044329960</v>
      </c>
      <c r="K2384" t="s">
        <v>64</v>
      </c>
      <c r="L2384" t="s">
        <v>20</v>
      </c>
      <c r="M2384">
        <v>699638</v>
      </c>
      <c r="N2384" s="1">
        <v>45151</v>
      </c>
      <c r="O2384" t="s">
        <v>21</v>
      </c>
      <c r="P2384">
        <v>2</v>
      </c>
      <c r="Q2384">
        <v>43380.41</v>
      </c>
    </row>
    <row r="2385" spans="1:17" x14ac:dyDescent="0.3">
      <c r="A2385" t="s">
        <v>5522</v>
      </c>
      <c r="B2385" t="s">
        <v>4118</v>
      </c>
      <c r="C2385" s="2" t="str">
        <f>PROPER(TRIM(Table1[[#This Row],[Gender]]))</f>
        <v>Male</v>
      </c>
      <c r="D2385" t="s">
        <v>16</v>
      </c>
      <c r="E2385">
        <v>42</v>
      </c>
      <c r="F2385" t="s">
        <v>38</v>
      </c>
      <c r="G2385" s="1">
        <v>30328</v>
      </c>
      <c r="H2385" t="s">
        <v>5523</v>
      </c>
      <c r="I2385" s="2" t="str">
        <f t="shared" si="37"/>
        <v>+91-7848264967</v>
      </c>
      <c r="J2385">
        <f>91-7848265058</f>
        <v>-7848264967</v>
      </c>
      <c r="K2385" t="s">
        <v>109</v>
      </c>
      <c r="L2385" t="s">
        <v>46</v>
      </c>
      <c r="M2385">
        <v>246997</v>
      </c>
      <c r="N2385" s="1">
        <v>45408</v>
      </c>
      <c r="O2385" t="s">
        <v>21</v>
      </c>
      <c r="P2385">
        <v>5</v>
      </c>
      <c r="Q2385">
        <v>46937.09</v>
      </c>
    </row>
    <row r="2386" spans="1:17" x14ac:dyDescent="0.3">
      <c r="A2386" t="s">
        <v>5524</v>
      </c>
      <c r="B2386" t="s">
        <v>4833</v>
      </c>
      <c r="C2386" s="2" t="str">
        <f>PROPER(TRIM(Table1[[#This Row],[Gender]]))</f>
        <v>Male</v>
      </c>
      <c r="D2386" t="s">
        <v>16</v>
      </c>
      <c r="E2386">
        <v>65</v>
      </c>
      <c r="F2386" t="s">
        <v>58</v>
      </c>
      <c r="G2386" s="1">
        <v>21933</v>
      </c>
      <c r="H2386" t="s">
        <v>5525</v>
      </c>
      <c r="I2386" s="2" t="str">
        <f t="shared" si="37"/>
        <v>+91-7332263826</v>
      </c>
      <c r="J2386">
        <f>91-7332263917</f>
        <v>-7332263826</v>
      </c>
      <c r="K2386" t="s">
        <v>84</v>
      </c>
      <c r="L2386" t="s">
        <v>85</v>
      </c>
      <c r="M2386">
        <v>993876</v>
      </c>
      <c r="N2386" s="1">
        <v>45128</v>
      </c>
      <c r="O2386" t="s">
        <v>21</v>
      </c>
      <c r="P2386">
        <v>2</v>
      </c>
      <c r="Q2386">
        <v>24175.06</v>
      </c>
    </row>
    <row r="2387" spans="1:17" x14ac:dyDescent="0.3">
      <c r="A2387" t="s">
        <v>5526</v>
      </c>
      <c r="B2387" t="s">
        <v>628</v>
      </c>
      <c r="C2387" s="2" t="str">
        <f>PROPER(TRIM(Table1[[#This Row],[Gender]]))</f>
        <v>Male</v>
      </c>
      <c r="D2387" t="s">
        <v>16</v>
      </c>
      <c r="E2387">
        <v>18</v>
      </c>
      <c r="F2387" t="s">
        <v>49</v>
      </c>
      <c r="G2387" s="1">
        <v>39088</v>
      </c>
      <c r="H2387" t="s">
        <v>5527</v>
      </c>
      <c r="I2387" s="2" t="str">
        <f t="shared" si="37"/>
        <v>+91-8739169311</v>
      </c>
      <c r="J2387">
        <f>91-8739169402</f>
        <v>-8739169311</v>
      </c>
      <c r="K2387" t="s">
        <v>26</v>
      </c>
      <c r="L2387" t="s">
        <v>27</v>
      </c>
      <c r="M2387">
        <v>724888</v>
      </c>
      <c r="N2387" s="1">
        <v>45222</v>
      </c>
      <c r="O2387" t="s">
        <v>28</v>
      </c>
      <c r="P2387">
        <v>3</v>
      </c>
      <c r="Q2387">
        <v>152951.18</v>
      </c>
    </row>
    <row r="2388" spans="1:17" x14ac:dyDescent="0.3">
      <c r="A2388" t="s">
        <v>5528</v>
      </c>
      <c r="B2388" t="s">
        <v>2999</v>
      </c>
      <c r="C2388" s="2" t="str">
        <f>PROPER(TRIM(Table1[[#This Row],[Gender]]))</f>
        <v>Female</v>
      </c>
      <c r="D2388" t="s">
        <v>43</v>
      </c>
      <c r="E2388">
        <v>37</v>
      </c>
      <c r="F2388" t="s">
        <v>38</v>
      </c>
      <c r="G2388" s="1">
        <v>32153</v>
      </c>
      <c r="H2388" t="s">
        <v>5529</v>
      </c>
      <c r="I2388" s="2" t="str">
        <f t="shared" si="37"/>
        <v>+91-8674844606</v>
      </c>
      <c r="J2388">
        <f>91-8674844697</f>
        <v>-8674844606</v>
      </c>
      <c r="K2388" t="s">
        <v>415</v>
      </c>
      <c r="L2388" t="s">
        <v>90</v>
      </c>
      <c r="M2388">
        <v>825507</v>
      </c>
      <c r="N2388" s="1">
        <v>45261</v>
      </c>
      <c r="O2388" t="s">
        <v>28</v>
      </c>
      <c r="P2388">
        <v>5</v>
      </c>
      <c r="Q2388">
        <v>66749.53</v>
      </c>
    </row>
    <row r="2389" spans="1:17" x14ac:dyDescent="0.3">
      <c r="A2389" t="s">
        <v>5530</v>
      </c>
      <c r="B2389" t="s">
        <v>2651</v>
      </c>
      <c r="C2389" s="2" t="str">
        <f>PROPER(TRIM(Table1[[#This Row],[Gender]]))</f>
        <v>Male</v>
      </c>
      <c r="D2389" t="s">
        <v>16</v>
      </c>
      <c r="E2389">
        <v>28</v>
      </c>
      <c r="F2389" t="s">
        <v>31</v>
      </c>
      <c r="G2389" s="1">
        <v>35438</v>
      </c>
      <c r="H2389" t="s">
        <v>5531</v>
      </c>
      <c r="I2389" s="2" t="str">
        <f t="shared" si="37"/>
        <v>+91-8489220239</v>
      </c>
      <c r="J2389">
        <f>91-8489220330</f>
        <v>-8489220239</v>
      </c>
      <c r="K2389" t="s">
        <v>84</v>
      </c>
      <c r="L2389" t="s">
        <v>85</v>
      </c>
      <c r="M2389">
        <v>964318</v>
      </c>
      <c r="N2389" s="1">
        <v>45431</v>
      </c>
      <c r="O2389" t="s">
        <v>28</v>
      </c>
      <c r="P2389">
        <v>4</v>
      </c>
      <c r="Q2389">
        <v>84128.46</v>
      </c>
    </row>
    <row r="2390" spans="1:17" x14ac:dyDescent="0.3">
      <c r="A2390" t="s">
        <v>5532</v>
      </c>
      <c r="B2390" t="s">
        <v>1239</v>
      </c>
      <c r="C2390" s="2" t="str">
        <f>PROPER(TRIM(Table1[[#This Row],[Gender]]))</f>
        <v>Female</v>
      </c>
      <c r="D2390" t="s">
        <v>43</v>
      </c>
      <c r="E2390">
        <v>31</v>
      </c>
      <c r="F2390" t="s">
        <v>31</v>
      </c>
      <c r="G2390" s="1">
        <v>34343</v>
      </c>
      <c r="H2390" t="s">
        <v>5533</v>
      </c>
      <c r="I2390" s="2" t="str">
        <f t="shared" si="37"/>
        <v>+91-9660877306</v>
      </c>
      <c r="J2390">
        <f>91-9660877397</f>
        <v>-9660877306</v>
      </c>
      <c r="K2390" t="s">
        <v>147</v>
      </c>
      <c r="L2390" t="s">
        <v>143</v>
      </c>
      <c r="M2390">
        <v>670922</v>
      </c>
      <c r="N2390" s="1">
        <v>45138</v>
      </c>
      <c r="O2390" t="s">
        <v>21</v>
      </c>
      <c r="P2390">
        <v>2</v>
      </c>
      <c r="Q2390">
        <v>37120.06</v>
      </c>
    </row>
    <row r="2391" spans="1:17" x14ac:dyDescent="0.3">
      <c r="A2391" t="s">
        <v>5534</v>
      </c>
      <c r="B2391" t="s">
        <v>5535</v>
      </c>
      <c r="C2391" s="2" t="str">
        <f>PROPER(TRIM(Table1[[#This Row],[Gender]]))</f>
        <v>Male</v>
      </c>
      <c r="D2391" t="s">
        <v>16</v>
      </c>
      <c r="E2391">
        <v>34</v>
      </c>
      <c r="F2391" t="s">
        <v>31</v>
      </c>
      <c r="G2391" s="1">
        <v>33248</v>
      </c>
      <c r="H2391" t="s">
        <v>5536</v>
      </c>
      <c r="I2391" s="2" t="str">
        <f t="shared" si="37"/>
        <v>+91-7966294523</v>
      </c>
      <c r="J2391">
        <f>91-7966294614</f>
        <v>-7966294523</v>
      </c>
      <c r="K2391" t="s">
        <v>113</v>
      </c>
      <c r="L2391" t="s">
        <v>34</v>
      </c>
      <c r="M2391">
        <v>892222</v>
      </c>
      <c r="N2391" s="1">
        <v>45245</v>
      </c>
      <c r="O2391" t="s">
        <v>28</v>
      </c>
      <c r="P2391">
        <v>4</v>
      </c>
      <c r="Q2391">
        <v>131451.07</v>
      </c>
    </row>
    <row r="2392" spans="1:17" x14ac:dyDescent="0.3">
      <c r="A2392" t="s">
        <v>5537</v>
      </c>
      <c r="B2392" t="s">
        <v>3290</v>
      </c>
      <c r="C2392" s="2" t="str">
        <f>PROPER(TRIM(Table1[[#This Row],[Gender]]))</f>
        <v>Male</v>
      </c>
      <c r="D2392" t="s">
        <v>16</v>
      </c>
      <c r="E2392">
        <v>37</v>
      </c>
      <c r="F2392" t="s">
        <v>38</v>
      </c>
      <c r="G2392" s="1">
        <v>32153</v>
      </c>
      <c r="H2392" t="s">
        <v>5538</v>
      </c>
      <c r="I2392" s="2" t="str">
        <f t="shared" si="37"/>
        <v>+91-8943948843</v>
      </c>
      <c r="J2392">
        <f>91-8943948934</f>
        <v>-8943948843</v>
      </c>
      <c r="K2392" t="s">
        <v>113</v>
      </c>
      <c r="L2392" t="s">
        <v>34</v>
      </c>
      <c r="M2392">
        <v>944284</v>
      </c>
      <c r="N2392" s="1">
        <v>45339</v>
      </c>
      <c r="O2392" t="s">
        <v>28</v>
      </c>
      <c r="P2392">
        <v>6</v>
      </c>
      <c r="Q2392">
        <v>417826.49</v>
      </c>
    </row>
    <row r="2393" spans="1:17" x14ac:dyDescent="0.3">
      <c r="A2393" t="s">
        <v>5539</v>
      </c>
      <c r="B2393" t="s">
        <v>1211</v>
      </c>
      <c r="C2393" s="2" t="str">
        <f>PROPER(TRIM(Table1[[#This Row],[Gender]]))</f>
        <v>Female</v>
      </c>
      <c r="D2393" t="s">
        <v>43</v>
      </c>
      <c r="E2393">
        <v>52</v>
      </c>
      <c r="F2393" t="s">
        <v>17</v>
      </c>
      <c r="G2393" s="1">
        <v>26678</v>
      </c>
      <c r="H2393" t="s">
        <v>5540</v>
      </c>
      <c r="I2393" s="2" t="str">
        <f t="shared" si="37"/>
        <v>+91-7936814438</v>
      </c>
      <c r="J2393">
        <f>91-7936814529</f>
        <v>-7936814438</v>
      </c>
      <c r="K2393" t="s">
        <v>33</v>
      </c>
      <c r="L2393" t="s">
        <v>34</v>
      </c>
      <c r="M2393">
        <v>716661</v>
      </c>
      <c r="N2393" s="1">
        <v>45396</v>
      </c>
      <c r="O2393" t="s">
        <v>35</v>
      </c>
      <c r="P2393">
        <v>5</v>
      </c>
      <c r="Q2393">
        <v>2906.12</v>
      </c>
    </row>
    <row r="2394" spans="1:17" x14ac:dyDescent="0.3">
      <c r="A2394" t="s">
        <v>5541</v>
      </c>
      <c r="B2394" t="s">
        <v>611</v>
      </c>
      <c r="C2394" s="2" t="str">
        <f>PROPER(TRIM(Table1[[#This Row],[Gender]]))</f>
        <v>Male</v>
      </c>
      <c r="D2394" t="s">
        <v>16</v>
      </c>
      <c r="E2394">
        <v>26</v>
      </c>
      <c r="F2394" t="s">
        <v>31</v>
      </c>
      <c r="G2394" s="1">
        <v>36168</v>
      </c>
      <c r="H2394" t="s">
        <v>5542</v>
      </c>
      <c r="I2394" s="2" t="str">
        <f t="shared" si="37"/>
        <v>+91-8363210472</v>
      </c>
      <c r="J2394">
        <f>91-8363210563</f>
        <v>-8363210472</v>
      </c>
      <c r="K2394" t="s">
        <v>138</v>
      </c>
      <c r="L2394" t="s">
        <v>90</v>
      </c>
      <c r="M2394">
        <v>581623</v>
      </c>
      <c r="N2394" s="1">
        <v>45352</v>
      </c>
      <c r="O2394" t="s">
        <v>21</v>
      </c>
      <c r="P2394">
        <v>3</v>
      </c>
      <c r="Q2394">
        <v>24966.95</v>
      </c>
    </row>
    <row r="2395" spans="1:17" x14ac:dyDescent="0.3">
      <c r="A2395" t="s">
        <v>5543</v>
      </c>
      <c r="B2395" t="s">
        <v>5544</v>
      </c>
      <c r="C2395" s="2" t="str">
        <f>PROPER(TRIM(Table1[[#This Row],[Gender]]))</f>
        <v>Male</v>
      </c>
      <c r="D2395" t="s">
        <v>16</v>
      </c>
      <c r="E2395">
        <v>23</v>
      </c>
      <c r="F2395" t="s">
        <v>49</v>
      </c>
      <c r="G2395" s="1">
        <v>37263</v>
      </c>
      <c r="H2395" t="s">
        <v>5545</v>
      </c>
      <c r="I2395" s="2" t="str">
        <f t="shared" si="37"/>
        <v>+91-7216549791</v>
      </c>
      <c r="J2395">
        <f>91-7216549882</f>
        <v>-7216549791</v>
      </c>
      <c r="K2395" t="s">
        <v>26</v>
      </c>
      <c r="L2395" t="s">
        <v>27</v>
      </c>
      <c r="M2395">
        <v>460213</v>
      </c>
      <c r="N2395" s="1">
        <v>45180</v>
      </c>
      <c r="O2395" t="s">
        <v>28</v>
      </c>
      <c r="P2395">
        <v>10</v>
      </c>
      <c r="Q2395">
        <v>80732.33</v>
      </c>
    </row>
    <row r="2396" spans="1:17" x14ac:dyDescent="0.3">
      <c r="A2396" t="s">
        <v>5546</v>
      </c>
      <c r="B2396" t="s">
        <v>1790</v>
      </c>
      <c r="C2396" s="2" t="str">
        <f>PROPER(TRIM(Table1[[#This Row],[Gender]]))</f>
        <v>Female</v>
      </c>
      <c r="D2396" t="s">
        <v>43</v>
      </c>
      <c r="E2396">
        <v>61</v>
      </c>
      <c r="F2396" t="s">
        <v>58</v>
      </c>
      <c r="G2396" s="1">
        <v>23393</v>
      </c>
      <c r="H2396" t="s">
        <v>5489</v>
      </c>
      <c r="I2396" s="2" t="str">
        <f t="shared" si="37"/>
        <v>+91-7392250090</v>
      </c>
      <c r="J2396">
        <f>91-7392250181</f>
        <v>-7392250090</v>
      </c>
      <c r="K2396" t="s">
        <v>331</v>
      </c>
      <c r="L2396" t="s">
        <v>143</v>
      </c>
      <c r="M2396">
        <v>503711</v>
      </c>
      <c r="N2396" s="1">
        <v>45078</v>
      </c>
      <c r="O2396" t="s">
        <v>35</v>
      </c>
      <c r="P2396">
        <v>2</v>
      </c>
      <c r="Q2396">
        <v>11898.78</v>
      </c>
    </row>
    <row r="2397" spans="1:17" x14ac:dyDescent="0.3">
      <c r="A2397" t="s">
        <v>5547</v>
      </c>
      <c r="B2397" t="s">
        <v>2644</v>
      </c>
      <c r="C2397" s="2" t="str">
        <f>PROPER(TRIM(Table1[[#This Row],[Gender]]))</f>
        <v>Male</v>
      </c>
      <c r="D2397" t="s">
        <v>16</v>
      </c>
      <c r="E2397">
        <v>50</v>
      </c>
      <c r="F2397" t="s">
        <v>17</v>
      </c>
      <c r="G2397" s="1">
        <v>27408</v>
      </c>
      <c r="H2397" t="s">
        <v>5548</v>
      </c>
      <c r="I2397" s="2" t="str">
        <f t="shared" si="37"/>
        <v>+91-7140395834</v>
      </c>
      <c r="J2397">
        <f>91-7140395925</f>
        <v>-7140395834</v>
      </c>
      <c r="K2397" t="s">
        <v>142</v>
      </c>
      <c r="L2397" t="s">
        <v>143</v>
      </c>
      <c r="M2397">
        <v>834955</v>
      </c>
      <c r="N2397" s="1">
        <v>45275</v>
      </c>
      <c r="O2397" t="s">
        <v>28</v>
      </c>
      <c r="P2397">
        <v>6</v>
      </c>
      <c r="Q2397">
        <v>51467.05</v>
      </c>
    </row>
    <row r="2398" spans="1:17" x14ac:dyDescent="0.3">
      <c r="A2398" t="s">
        <v>5549</v>
      </c>
      <c r="B2398" t="s">
        <v>1846</v>
      </c>
      <c r="C2398" s="2" t="str">
        <f>PROPER(TRIM(Table1[[#This Row],[Gender]]))</f>
        <v>Male</v>
      </c>
      <c r="D2398" t="s">
        <v>16</v>
      </c>
      <c r="E2398">
        <v>61</v>
      </c>
      <c r="F2398" t="s">
        <v>58</v>
      </c>
      <c r="G2398" s="1">
        <v>23393</v>
      </c>
      <c r="H2398" t="s">
        <v>5550</v>
      </c>
      <c r="I2398" s="2" t="str">
        <f t="shared" si="37"/>
        <v>+91-7899844463</v>
      </c>
      <c r="J2398">
        <f>91-7899844554</f>
        <v>-7899844463</v>
      </c>
      <c r="K2398" t="s">
        <v>174</v>
      </c>
      <c r="L2398" t="s">
        <v>90</v>
      </c>
      <c r="M2398">
        <v>388461</v>
      </c>
      <c r="N2398" s="1">
        <v>45139</v>
      </c>
      <c r="O2398" t="s">
        <v>35</v>
      </c>
      <c r="P2398">
        <v>4</v>
      </c>
      <c r="Q2398">
        <v>3916.21</v>
      </c>
    </row>
    <row r="2399" spans="1:17" x14ac:dyDescent="0.3">
      <c r="A2399" t="s">
        <v>5551</v>
      </c>
      <c r="B2399" t="s">
        <v>946</v>
      </c>
      <c r="C2399" s="2" t="str">
        <f>PROPER(TRIM(Table1[[#This Row],[Gender]]))</f>
        <v>Female</v>
      </c>
      <c r="D2399" t="s">
        <v>43</v>
      </c>
      <c r="E2399">
        <v>25</v>
      </c>
      <c r="F2399" t="s">
        <v>49</v>
      </c>
      <c r="G2399" s="1">
        <v>36533</v>
      </c>
      <c r="H2399" t="s">
        <v>5552</v>
      </c>
      <c r="I2399" s="2" t="str">
        <f t="shared" si="37"/>
        <v>+91-9230531955</v>
      </c>
      <c r="J2399">
        <f>91-9230532046</f>
        <v>-9230531955</v>
      </c>
      <c r="K2399" t="s">
        <v>121</v>
      </c>
      <c r="L2399" t="s">
        <v>85</v>
      </c>
      <c r="M2399">
        <v>385392</v>
      </c>
      <c r="N2399" s="1">
        <v>45376</v>
      </c>
      <c r="O2399" t="s">
        <v>28</v>
      </c>
      <c r="P2399">
        <v>3</v>
      </c>
      <c r="Q2399">
        <v>206501.94</v>
      </c>
    </row>
    <row r="2400" spans="1:17" x14ac:dyDescent="0.3">
      <c r="A2400" t="s">
        <v>5553</v>
      </c>
      <c r="B2400" t="s">
        <v>225</v>
      </c>
      <c r="C2400" s="2" t="str">
        <f>PROPER(TRIM(Table1[[#This Row],[Gender]]))</f>
        <v>Male</v>
      </c>
      <c r="D2400" t="s">
        <v>16</v>
      </c>
      <c r="E2400">
        <v>50</v>
      </c>
      <c r="F2400" t="s">
        <v>17</v>
      </c>
      <c r="G2400" s="1">
        <v>27408</v>
      </c>
      <c r="H2400" t="s">
        <v>5554</v>
      </c>
      <c r="I2400" s="2" t="str">
        <f t="shared" si="37"/>
        <v>+91-7180267438</v>
      </c>
      <c r="J2400">
        <f>91-7180267529</f>
        <v>-7180267438</v>
      </c>
      <c r="K2400" t="s">
        <v>195</v>
      </c>
      <c r="L2400" t="s">
        <v>102</v>
      </c>
      <c r="M2400">
        <v>563767</v>
      </c>
      <c r="N2400" s="1">
        <v>45258</v>
      </c>
      <c r="O2400" t="s">
        <v>21</v>
      </c>
      <c r="P2400">
        <v>5</v>
      </c>
      <c r="Q2400">
        <v>41775.1</v>
      </c>
    </row>
    <row r="2401" spans="1:17" x14ac:dyDescent="0.3">
      <c r="A2401" t="s">
        <v>5555</v>
      </c>
      <c r="B2401" t="s">
        <v>734</v>
      </c>
      <c r="C2401" s="2" t="str">
        <f>PROPER(TRIM(Table1[[#This Row],[Gender]]))</f>
        <v>Female</v>
      </c>
      <c r="D2401" t="s">
        <v>43</v>
      </c>
      <c r="E2401">
        <v>52</v>
      </c>
      <c r="F2401" t="s">
        <v>17</v>
      </c>
      <c r="G2401" s="1">
        <v>26678</v>
      </c>
      <c r="H2401" t="s">
        <v>5556</v>
      </c>
      <c r="I2401" s="2" t="str">
        <f t="shared" si="37"/>
        <v>+91-7047976393</v>
      </c>
      <c r="J2401">
        <f>91-7047976484</f>
        <v>-7047976393</v>
      </c>
      <c r="K2401" t="s">
        <v>147</v>
      </c>
      <c r="L2401" t="s">
        <v>143</v>
      </c>
      <c r="M2401">
        <v>473394</v>
      </c>
      <c r="N2401" s="1">
        <v>45334</v>
      </c>
      <c r="O2401" t="s">
        <v>21</v>
      </c>
      <c r="P2401">
        <v>2</v>
      </c>
      <c r="Q2401">
        <v>32663.02</v>
      </c>
    </row>
    <row r="2402" spans="1:17" x14ac:dyDescent="0.3">
      <c r="A2402" t="s">
        <v>5557</v>
      </c>
      <c r="B2402" t="s">
        <v>1617</v>
      </c>
      <c r="C2402" s="2" t="str">
        <f>PROPER(TRIM(Table1[[#This Row],[Gender]]))</f>
        <v>Female</v>
      </c>
      <c r="D2402" t="s">
        <v>43</v>
      </c>
      <c r="E2402">
        <v>31</v>
      </c>
      <c r="F2402" t="s">
        <v>31</v>
      </c>
      <c r="G2402" s="1">
        <v>34343</v>
      </c>
      <c r="H2402" t="s">
        <v>5558</v>
      </c>
      <c r="I2402" s="2" t="str">
        <f t="shared" si="37"/>
        <v>+91-8715249631</v>
      </c>
      <c r="J2402">
        <f>91-8715249722</f>
        <v>-8715249631</v>
      </c>
      <c r="K2402" t="s">
        <v>76</v>
      </c>
      <c r="L2402" t="s">
        <v>46</v>
      </c>
      <c r="M2402">
        <v>933160</v>
      </c>
      <c r="N2402" s="1">
        <v>45343</v>
      </c>
      <c r="O2402" t="s">
        <v>28</v>
      </c>
      <c r="P2402">
        <v>5</v>
      </c>
      <c r="Q2402">
        <v>332844.34000000003</v>
      </c>
    </row>
    <row r="2403" spans="1:17" x14ac:dyDescent="0.3">
      <c r="A2403" t="s">
        <v>5559</v>
      </c>
      <c r="B2403" t="s">
        <v>3267</v>
      </c>
      <c r="C2403" s="2" t="str">
        <f>PROPER(TRIM(Table1[[#This Row],[Gender]]))</f>
        <v>Male</v>
      </c>
      <c r="D2403" t="s">
        <v>16</v>
      </c>
      <c r="E2403">
        <v>31</v>
      </c>
      <c r="F2403" t="s">
        <v>31</v>
      </c>
      <c r="G2403" s="1">
        <v>34343</v>
      </c>
      <c r="H2403" t="s">
        <v>5560</v>
      </c>
      <c r="I2403" s="2" t="str">
        <f t="shared" si="37"/>
        <v>+91-7408725057</v>
      </c>
      <c r="J2403">
        <f>91-7408725148</f>
        <v>-7408725057</v>
      </c>
      <c r="K2403" t="s">
        <v>190</v>
      </c>
      <c r="L2403" t="s">
        <v>191</v>
      </c>
      <c r="M2403">
        <v>734191</v>
      </c>
      <c r="N2403" s="1">
        <v>45337</v>
      </c>
      <c r="O2403" t="s">
        <v>35</v>
      </c>
      <c r="P2403">
        <v>1</v>
      </c>
      <c r="Q2403">
        <v>5086.88</v>
      </c>
    </row>
    <row r="2404" spans="1:17" x14ac:dyDescent="0.3">
      <c r="A2404" t="s">
        <v>5561</v>
      </c>
      <c r="B2404" t="s">
        <v>2796</v>
      </c>
      <c r="C2404" s="2" t="str">
        <f>PROPER(TRIM(Table1[[#This Row],[Gender]]))</f>
        <v>Male</v>
      </c>
      <c r="D2404" t="s">
        <v>16</v>
      </c>
      <c r="E2404">
        <v>34</v>
      </c>
      <c r="F2404" t="s">
        <v>31</v>
      </c>
      <c r="G2404" s="1">
        <v>33248</v>
      </c>
      <c r="H2404" t="s">
        <v>5562</v>
      </c>
      <c r="I2404" s="2" t="str">
        <f t="shared" si="37"/>
        <v>+91-9967386238</v>
      </c>
      <c r="J2404">
        <f>91-9967386329</f>
        <v>-9967386238</v>
      </c>
      <c r="K2404" t="s">
        <v>19</v>
      </c>
      <c r="L2404" t="s">
        <v>20</v>
      </c>
      <c r="M2404">
        <v>672144</v>
      </c>
      <c r="N2404" s="1">
        <v>45252</v>
      </c>
      <c r="O2404" t="s">
        <v>28</v>
      </c>
      <c r="P2404">
        <v>4</v>
      </c>
      <c r="Q2404">
        <v>99565.07</v>
      </c>
    </row>
    <row r="2405" spans="1:17" x14ac:dyDescent="0.3">
      <c r="A2405" t="s">
        <v>5563</v>
      </c>
      <c r="B2405" t="s">
        <v>5564</v>
      </c>
      <c r="C2405" s="2" t="str">
        <f>PROPER(TRIM(Table1[[#This Row],[Gender]]))</f>
        <v>Female</v>
      </c>
      <c r="D2405" t="s">
        <v>43</v>
      </c>
      <c r="E2405">
        <v>44</v>
      </c>
      <c r="F2405" t="s">
        <v>38</v>
      </c>
      <c r="G2405" s="1">
        <v>29598</v>
      </c>
      <c r="H2405" t="s">
        <v>5565</v>
      </c>
      <c r="I2405" s="2" t="str">
        <f t="shared" si="37"/>
        <v>+91-9564896171</v>
      </c>
      <c r="J2405">
        <f>91-9564896262</f>
        <v>-9564896171</v>
      </c>
      <c r="K2405" t="s">
        <v>580</v>
      </c>
      <c r="L2405" t="s">
        <v>85</v>
      </c>
      <c r="M2405">
        <v>127977</v>
      </c>
      <c r="N2405" s="1">
        <v>45105</v>
      </c>
      <c r="O2405" t="s">
        <v>28</v>
      </c>
      <c r="P2405">
        <v>5</v>
      </c>
      <c r="Q2405">
        <v>161955.07999999999</v>
      </c>
    </row>
    <row r="2406" spans="1:17" x14ac:dyDescent="0.3">
      <c r="A2406" t="s">
        <v>5566</v>
      </c>
      <c r="B2406" t="s">
        <v>4613</v>
      </c>
      <c r="C2406" s="2" t="str">
        <f>PROPER(TRIM(Table1[[#This Row],[Gender]]))</f>
        <v>Male</v>
      </c>
      <c r="D2406" t="s">
        <v>16</v>
      </c>
      <c r="E2406">
        <v>42</v>
      </c>
      <c r="F2406" t="s">
        <v>38</v>
      </c>
      <c r="G2406" s="1">
        <v>30328</v>
      </c>
      <c r="H2406" t="s">
        <v>5567</v>
      </c>
      <c r="I2406" s="2" t="str">
        <f t="shared" si="37"/>
        <v>+91-8439316288</v>
      </c>
      <c r="J2406">
        <f>91-8439316379</f>
        <v>-8439316288</v>
      </c>
      <c r="K2406" t="s">
        <v>33</v>
      </c>
      <c r="L2406" t="s">
        <v>34</v>
      </c>
      <c r="M2406">
        <v>648064</v>
      </c>
      <c r="N2406" s="1">
        <v>45233</v>
      </c>
      <c r="O2406" t="s">
        <v>28</v>
      </c>
      <c r="P2406">
        <v>5</v>
      </c>
      <c r="Q2406">
        <v>210746.25</v>
      </c>
    </row>
    <row r="2407" spans="1:17" x14ac:dyDescent="0.3">
      <c r="A2407" t="s">
        <v>5568</v>
      </c>
      <c r="B2407" t="s">
        <v>2945</v>
      </c>
      <c r="C2407" s="2" t="str">
        <f>PROPER(TRIM(Table1[[#This Row],[Gender]]))</f>
        <v>Female</v>
      </c>
      <c r="D2407" t="s">
        <v>43</v>
      </c>
      <c r="E2407">
        <v>53</v>
      </c>
      <c r="F2407" t="s">
        <v>17</v>
      </c>
      <c r="G2407" s="1">
        <v>26313</v>
      </c>
      <c r="H2407" t="s">
        <v>5569</v>
      </c>
      <c r="I2407" s="2" t="str">
        <f t="shared" si="37"/>
        <v>+91-9150792503</v>
      </c>
      <c r="J2407">
        <f>91-9150792594</f>
        <v>-9150792503</v>
      </c>
      <c r="K2407" t="s">
        <v>33</v>
      </c>
      <c r="L2407" t="s">
        <v>34</v>
      </c>
      <c r="M2407">
        <v>628733</v>
      </c>
      <c r="N2407" s="1">
        <v>45152</v>
      </c>
      <c r="O2407" t="s">
        <v>21</v>
      </c>
      <c r="P2407">
        <v>4</v>
      </c>
      <c r="Q2407">
        <v>23667.07</v>
      </c>
    </row>
    <row r="2408" spans="1:17" x14ac:dyDescent="0.3">
      <c r="A2408" t="s">
        <v>5570</v>
      </c>
      <c r="B2408" t="s">
        <v>304</v>
      </c>
      <c r="C2408" s="2" t="str">
        <f>PROPER(TRIM(Table1[[#This Row],[Gender]]))</f>
        <v>Male</v>
      </c>
      <c r="D2408" t="s">
        <v>16</v>
      </c>
      <c r="E2408">
        <v>35</v>
      </c>
      <c r="F2408" t="s">
        <v>31</v>
      </c>
      <c r="G2408" s="1">
        <v>32883</v>
      </c>
      <c r="H2408" t="s">
        <v>310</v>
      </c>
      <c r="I2408" s="2" t="str">
        <f t="shared" si="37"/>
        <v>+91-9925889376</v>
      </c>
      <c r="J2408">
        <f>91-9925889467</f>
        <v>-9925889376</v>
      </c>
      <c r="K2408" t="s">
        <v>84</v>
      </c>
      <c r="L2408" t="s">
        <v>85</v>
      </c>
      <c r="M2408">
        <v>154013</v>
      </c>
      <c r="N2408" s="1">
        <v>45421</v>
      </c>
      <c r="O2408" t="s">
        <v>28</v>
      </c>
      <c r="P2408">
        <v>5</v>
      </c>
      <c r="Q2408">
        <v>117808.25</v>
      </c>
    </row>
    <row r="2409" spans="1:17" x14ac:dyDescent="0.3">
      <c r="A2409" t="s">
        <v>5571</v>
      </c>
      <c r="B2409" t="s">
        <v>2108</v>
      </c>
      <c r="C2409" s="2" t="str">
        <f>PROPER(TRIM(Table1[[#This Row],[Gender]]))</f>
        <v>Male</v>
      </c>
      <c r="D2409" t="s">
        <v>16</v>
      </c>
      <c r="E2409">
        <v>25</v>
      </c>
      <c r="F2409" t="s">
        <v>49</v>
      </c>
      <c r="G2409" s="1">
        <v>36533</v>
      </c>
      <c r="H2409" t="s">
        <v>5572</v>
      </c>
      <c r="I2409" s="2" t="str">
        <f t="shared" si="37"/>
        <v>+91-9037196581</v>
      </c>
      <c r="J2409">
        <f>91-9037196672</f>
        <v>-9037196581</v>
      </c>
      <c r="K2409" t="s">
        <v>415</v>
      </c>
      <c r="L2409" t="s">
        <v>90</v>
      </c>
      <c r="M2409">
        <v>569929</v>
      </c>
      <c r="N2409" s="1">
        <v>45315</v>
      </c>
      <c r="O2409" t="s">
        <v>28</v>
      </c>
      <c r="P2409">
        <v>7</v>
      </c>
      <c r="Q2409">
        <v>52249.81</v>
      </c>
    </row>
    <row r="2410" spans="1:17" x14ac:dyDescent="0.3">
      <c r="A2410" t="s">
        <v>5573</v>
      </c>
      <c r="B2410" t="s">
        <v>2848</v>
      </c>
      <c r="C2410" s="2" t="str">
        <f>PROPER(TRIM(Table1[[#This Row],[Gender]]))</f>
        <v>Male</v>
      </c>
      <c r="D2410" t="s">
        <v>16</v>
      </c>
      <c r="E2410">
        <v>34</v>
      </c>
      <c r="F2410" t="s">
        <v>31</v>
      </c>
      <c r="G2410" s="1">
        <v>33248</v>
      </c>
      <c r="H2410" t="s">
        <v>5574</v>
      </c>
      <c r="I2410" s="2" t="str">
        <f t="shared" si="37"/>
        <v>+91-7855675558</v>
      </c>
      <c r="J2410">
        <f>91-7855675649</f>
        <v>-7855675558</v>
      </c>
      <c r="K2410" t="s">
        <v>40</v>
      </c>
      <c r="L2410" t="s">
        <v>27</v>
      </c>
      <c r="M2410">
        <v>211166</v>
      </c>
      <c r="N2410" s="1">
        <v>45215</v>
      </c>
      <c r="O2410" t="s">
        <v>28</v>
      </c>
      <c r="P2410">
        <v>5</v>
      </c>
      <c r="Q2410">
        <v>162844.76999999999</v>
      </c>
    </row>
    <row r="2411" spans="1:17" x14ac:dyDescent="0.3">
      <c r="A2411" t="s">
        <v>5575</v>
      </c>
      <c r="B2411" t="s">
        <v>784</v>
      </c>
      <c r="C2411" s="2" t="str">
        <f>PROPER(TRIM(Table1[[#This Row],[Gender]]))</f>
        <v>Male</v>
      </c>
      <c r="D2411" t="s">
        <v>16</v>
      </c>
      <c r="E2411">
        <v>43</v>
      </c>
      <c r="F2411" t="s">
        <v>38</v>
      </c>
      <c r="G2411" s="1">
        <v>29963</v>
      </c>
      <c r="H2411" t="s">
        <v>785</v>
      </c>
      <c r="I2411" s="2" t="str">
        <f t="shared" si="37"/>
        <v>+91-7031339186</v>
      </c>
      <c r="J2411">
        <f>91-7031339277</f>
        <v>-7031339186</v>
      </c>
      <c r="K2411" t="s">
        <v>60</v>
      </c>
      <c r="L2411" t="s">
        <v>34</v>
      </c>
      <c r="M2411">
        <v>459939</v>
      </c>
      <c r="N2411" s="1">
        <v>45271</v>
      </c>
      <c r="O2411" t="s">
        <v>28</v>
      </c>
      <c r="P2411">
        <v>7</v>
      </c>
      <c r="Q2411">
        <v>427202.39</v>
      </c>
    </row>
    <row r="2412" spans="1:17" x14ac:dyDescent="0.3">
      <c r="A2412" t="s">
        <v>5576</v>
      </c>
      <c r="B2412" t="s">
        <v>204</v>
      </c>
      <c r="C2412" s="2" t="str">
        <f>PROPER(TRIM(Table1[[#This Row],[Gender]]))</f>
        <v>Female</v>
      </c>
      <c r="D2412" t="s">
        <v>43</v>
      </c>
      <c r="E2412">
        <v>55</v>
      </c>
      <c r="F2412" t="s">
        <v>17</v>
      </c>
      <c r="G2412" s="1">
        <v>25583</v>
      </c>
      <c r="H2412" t="s">
        <v>5577</v>
      </c>
      <c r="I2412" s="2" t="str">
        <f t="shared" si="37"/>
        <v>+91-7535702766</v>
      </c>
      <c r="J2412">
        <f>91-7535702857</f>
        <v>-7535702766</v>
      </c>
      <c r="K2412" t="s">
        <v>101</v>
      </c>
      <c r="L2412" t="s">
        <v>102</v>
      </c>
      <c r="M2412">
        <v>326584</v>
      </c>
      <c r="N2412" s="1">
        <v>45105</v>
      </c>
      <c r="O2412" t="s">
        <v>21</v>
      </c>
      <c r="P2412">
        <v>7</v>
      </c>
      <c r="Q2412">
        <v>27073.73</v>
      </c>
    </row>
    <row r="2413" spans="1:17" x14ac:dyDescent="0.3">
      <c r="A2413" t="s">
        <v>5578</v>
      </c>
      <c r="B2413" t="s">
        <v>2739</v>
      </c>
      <c r="C2413" s="2" t="str">
        <f>PROPER(TRIM(Table1[[#This Row],[Gender]]))</f>
        <v>Female</v>
      </c>
      <c r="D2413" t="s">
        <v>43</v>
      </c>
      <c r="E2413">
        <v>31</v>
      </c>
      <c r="F2413" t="s">
        <v>31</v>
      </c>
      <c r="G2413" s="1">
        <v>34343</v>
      </c>
      <c r="H2413" t="s">
        <v>5579</v>
      </c>
      <c r="I2413" s="2" t="str">
        <f t="shared" si="37"/>
        <v>+91-9587354420</v>
      </c>
      <c r="J2413">
        <f>91-9587354511</f>
        <v>-9587354420</v>
      </c>
      <c r="K2413" t="s">
        <v>154</v>
      </c>
      <c r="L2413" t="s">
        <v>46</v>
      </c>
      <c r="M2413">
        <v>403352</v>
      </c>
      <c r="N2413" s="1">
        <v>45379</v>
      </c>
      <c r="O2413" t="s">
        <v>28</v>
      </c>
      <c r="P2413">
        <v>5</v>
      </c>
      <c r="Q2413">
        <v>50735.93</v>
      </c>
    </row>
    <row r="2414" spans="1:17" x14ac:dyDescent="0.3">
      <c r="A2414" t="s">
        <v>5580</v>
      </c>
      <c r="B2414" t="s">
        <v>1330</v>
      </c>
      <c r="C2414" s="2" t="str">
        <f>PROPER(TRIM(Table1[[#This Row],[Gender]]))</f>
        <v>Male</v>
      </c>
      <c r="D2414" t="s">
        <v>16</v>
      </c>
      <c r="E2414">
        <v>45</v>
      </c>
      <c r="F2414" t="s">
        <v>38</v>
      </c>
      <c r="G2414" s="1">
        <v>29233</v>
      </c>
      <c r="H2414" t="s">
        <v>5581</v>
      </c>
      <c r="I2414" s="2" t="str">
        <f t="shared" si="37"/>
        <v>+91-7774435712</v>
      </c>
      <c r="J2414">
        <f>91-7774435803</f>
        <v>-7774435712</v>
      </c>
      <c r="K2414" t="s">
        <v>195</v>
      </c>
      <c r="L2414" t="s">
        <v>102</v>
      </c>
      <c r="M2414">
        <v>978097</v>
      </c>
      <c r="N2414" s="1">
        <v>45165</v>
      </c>
      <c r="O2414" t="s">
        <v>28</v>
      </c>
      <c r="P2414">
        <v>5</v>
      </c>
      <c r="Q2414">
        <v>66734.929999999993</v>
      </c>
    </row>
    <row r="2415" spans="1:17" x14ac:dyDescent="0.3">
      <c r="A2415" t="s">
        <v>5582</v>
      </c>
      <c r="B2415" t="s">
        <v>301</v>
      </c>
      <c r="C2415" s="2" t="str">
        <f>PROPER(TRIM(Table1[[#This Row],[Gender]]))</f>
        <v>Male</v>
      </c>
      <c r="D2415" t="s">
        <v>16</v>
      </c>
      <c r="E2415">
        <v>29</v>
      </c>
      <c r="F2415" t="s">
        <v>31</v>
      </c>
      <c r="G2415" s="1">
        <v>35073</v>
      </c>
      <c r="H2415" t="s">
        <v>5583</v>
      </c>
      <c r="I2415" s="2" t="str">
        <f t="shared" si="37"/>
        <v>+91-8286058034</v>
      </c>
      <c r="J2415">
        <f>91-8286058125</f>
        <v>-8286058034</v>
      </c>
      <c r="K2415" t="s">
        <v>273</v>
      </c>
      <c r="L2415" t="s">
        <v>46</v>
      </c>
      <c r="M2415">
        <v>700704</v>
      </c>
      <c r="N2415" s="1">
        <v>45203</v>
      </c>
      <c r="O2415" t="s">
        <v>28</v>
      </c>
      <c r="P2415">
        <v>5</v>
      </c>
      <c r="Q2415">
        <v>216269.01</v>
      </c>
    </row>
    <row r="2416" spans="1:17" x14ac:dyDescent="0.3">
      <c r="A2416" t="s">
        <v>5584</v>
      </c>
      <c r="B2416" t="s">
        <v>1862</v>
      </c>
      <c r="C2416" s="2" t="str">
        <f>PROPER(TRIM(Table1[[#This Row],[Gender]]))</f>
        <v>Female</v>
      </c>
      <c r="D2416" t="s">
        <v>43</v>
      </c>
      <c r="E2416">
        <v>22</v>
      </c>
      <c r="F2416" t="s">
        <v>49</v>
      </c>
      <c r="G2416" s="1">
        <v>37628</v>
      </c>
      <c r="H2416" t="s">
        <v>5585</v>
      </c>
      <c r="I2416" s="2" t="str">
        <f t="shared" si="37"/>
        <v>+91-9832274221</v>
      </c>
      <c r="J2416">
        <f>91-9832274312</f>
        <v>-9832274221</v>
      </c>
      <c r="K2416" t="s">
        <v>331</v>
      </c>
      <c r="L2416" t="s">
        <v>143</v>
      </c>
      <c r="M2416">
        <v>962306</v>
      </c>
      <c r="N2416" s="1">
        <v>45153</v>
      </c>
      <c r="O2416" t="s">
        <v>28</v>
      </c>
      <c r="P2416">
        <v>10</v>
      </c>
      <c r="Q2416">
        <v>436406.22</v>
      </c>
    </row>
    <row r="2417" spans="1:17" x14ac:dyDescent="0.3">
      <c r="A2417" t="s">
        <v>5586</v>
      </c>
      <c r="B2417" t="s">
        <v>525</v>
      </c>
      <c r="C2417" s="2" t="str">
        <f>PROPER(TRIM(Table1[[#This Row],[Gender]]))</f>
        <v>Female</v>
      </c>
      <c r="D2417" t="s">
        <v>43</v>
      </c>
      <c r="E2417">
        <v>20</v>
      </c>
      <c r="F2417" t="s">
        <v>49</v>
      </c>
      <c r="G2417" s="1">
        <v>38358</v>
      </c>
      <c r="H2417" t="s">
        <v>5587</v>
      </c>
      <c r="I2417" s="2" t="str">
        <f t="shared" si="37"/>
        <v>+91-8192423230</v>
      </c>
      <c r="J2417">
        <f>91-8192423321</f>
        <v>-8192423230</v>
      </c>
      <c r="K2417" t="s">
        <v>68</v>
      </c>
      <c r="L2417" t="s">
        <v>52</v>
      </c>
      <c r="M2417">
        <v>574492</v>
      </c>
      <c r="N2417" s="1">
        <v>45412</v>
      </c>
      <c r="O2417" t="s">
        <v>28</v>
      </c>
      <c r="P2417">
        <v>6</v>
      </c>
      <c r="Q2417">
        <v>136383.74</v>
      </c>
    </row>
    <row r="2418" spans="1:17" x14ac:dyDescent="0.3">
      <c r="A2418" t="s">
        <v>5588</v>
      </c>
      <c r="B2418" t="s">
        <v>669</v>
      </c>
      <c r="C2418" s="2" t="str">
        <f>PROPER(TRIM(Table1[[#This Row],[Gender]]))</f>
        <v>Female</v>
      </c>
      <c r="D2418" t="s">
        <v>43</v>
      </c>
      <c r="E2418">
        <v>18</v>
      </c>
      <c r="F2418" t="s">
        <v>49</v>
      </c>
      <c r="G2418" s="1">
        <v>39088</v>
      </c>
      <c r="H2418" t="s">
        <v>5589</v>
      </c>
      <c r="I2418" s="2" t="str">
        <f t="shared" si="37"/>
        <v>+91-7526973020</v>
      </c>
      <c r="J2418">
        <f>91-7526973111</f>
        <v>-7526973020</v>
      </c>
      <c r="K2418" t="s">
        <v>60</v>
      </c>
      <c r="L2418" t="s">
        <v>34</v>
      </c>
      <c r="M2418">
        <v>455987</v>
      </c>
      <c r="N2418" s="1">
        <v>45204</v>
      </c>
      <c r="O2418" t="s">
        <v>28</v>
      </c>
      <c r="P2418">
        <v>5</v>
      </c>
      <c r="Q2418">
        <v>106830.06</v>
      </c>
    </row>
    <row r="2419" spans="1:17" x14ac:dyDescent="0.3">
      <c r="A2419" t="s">
        <v>5590</v>
      </c>
      <c r="B2419" t="s">
        <v>1663</v>
      </c>
      <c r="C2419" s="2" t="str">
        <f>PROPER(TRIM(Table1[[#This Row],[Gender]]))</f>
        <v>Female</v>
      </c>
      <c r="D2419" t="s">
        <v>43</v>
      </c>
      <c r="E2419">
        <v>45</v>
      </c>
      <c r="F2419" t="s">
        <v>38</v>
      </c>
      <c r="G2419" s="1">
        <v>29233</v>
      </c>
      <c r="H2419" t="s">
        <v>5591</v>
      </c>
      <c r="I2419" s="2" t="str">
        <f t="shared" si="37"/>
        <v>+91-9398621435</v>
      </c>
      <c r="J2419">
        <f>91-9398621526</f>
        <v>-9398621435</v>
      </c>
      <c r="K2419" t="s">
        <v>60</v>
      </c>
      <c r="L2419" t="s">
        <v>34</v>
      </c>
      <c r="M2419">
        <v>339374</v>
      </c>
      <c r="N2419" s="1">
        <v>45303</v>
      </c>
      <c r="O2419" t="s">
        <v>28</v>
      </c>
      <c r="P2419">
        <v>5</v>
      </c>
      <c r="Q2419">
        <v>94781.05</v>
      </c>
    </row>
    <row r="2420" spans="1:17" x14ac:dyDescent="0.3">
      <c r="A2420" t="s">
        <v>5592</v>
      </c>
      <c r="B2420" t="s">
        <v>2293</v>
      </c>
      <c r="C2420" s="2" t="str">
        <f>PROPER(TRIM(Table1[[#This Row],[Gender]]))</f>
        <v>Female</v>
      </c>
      <c r="D2420" t="s">
        <v>43</v>
      </c>
      <c r="E2420">
        <v>53</v>
      </c>
      <c r="F2420" t="s">
        <v>17</v>
      </c>
      <c r="G2420" s="1">
        <v>26313</v>
      </c>
      <c r="H2420" t="s">
        <v>5593</v>
      </c>
      <c r="I2420" s="2" t="str">
        <f t="shared" si="37"/>
        <v>+91-9653156218</v>
      </c>
      <c r="J2420">
        <f>91-9653156309</f>
        <v>-9653156218</v>
      </c>
      <c r="K2420" t="s">
        <v>415</v>
      </c>
      <c r="L2420" t="s">
        <v>90</v>
      </c>
      <c r="M2420">
        <v>226310</v>
      </c>
      <c r="N2420" s="1">
        <v>45169</v>
      </c>
      <c r="O2420" t="s">
        <v>28</v>
      </c>
      <c r="P2420">
        <v>9</v>
      </c>
      <c r="Q2420">
        <v>114495.95</v>
      </c>
    </row>
    <row r="2421" spans="1:17" x14ac:dyDescent="0.3">
      <c r="A2421" t="s">
        <v>5594</v>
      </c>
      <c r="B2421" t="s">
        <v>410</v>
      </c>
      <c r="C2421" s="2" t="str">
        <f>PROPER(TRIM(Table1[[#This Row],[Gender]]))</f>
        <v>Male</v>
      </c>
      <c r="D2421" t="s">
        <v>16</v>
      </c>
      <c r="E2421">
        <v>20</v>
      </c>
      <c r="F2421" t="s">
        <v>49</v>
      </c>
      <c r="G2421" s="1">
        <v>38358</v>
      </c>
      <c r="H2421" t="s">
        <v>4003</v>
      </c>
      <c r="I2421" s="2" t="str">
        <f t="shared" si="37"/>
        <v>+91-7672803373</v>
      </c>
      <c r="J2421">
        <f>91-7672803464</f>
        <v>-7672803373</v>
      </c>
      <c r="K2421" t="s">
        <v>51</v>
      </c>
      <c r="L2421" t="s">
        <v>52</v>
      </c>
      <c r="M2421">
        <v>356049</v>
      </c>
      <c r="N2421" s="1">
        <v>45320</v>
      </c>
      <c r="O2421" t="s">
        <v>28</v>
      </c>
      <c r="P2421">
        <v>5</v>
      </c>
      <c r="Q2421">
        <v>69934.31</v>
      </c>
    </row>
    <row r="2422" spans="1:17" x14ac:dyDescent="0.3">
      <c r="A2422" t="s">
        <v>5595</v>
      </c>
      <c r="B2422" t="s">
        <v>425</v>
      </c>
      <c r="C2422" s="2" t="str">
        <f>PROPER(TRIM(Table1[[#This Row],[Gender]]))</f>
        <v>Male</v>
      </c>
      <c r="D2422" t="s">
        <v>16</v>
      </c>
      <c r="E2422">
        <v>30</v>
      </c>
      <c r="F2422" t="s">
        <v>31</v>
      </c>
      <c r="G2422" s="1">
        <v>34708</v>
      </c>
      <c r="H2422" t="s">
        <v>5596</v>
      </c>
      <c r="I2422" s="2" t="str">
        <f t="shared" si="37"/>
        <v>+91-8024781514</v>
      </c>
      <c r="J2422">
        <f>91-8024781605</f>
        <v>-8024781514</v>
      </c>
      <c r="K2422" t="s">
        <v>109</v>
      </c>
      <c r="L2422" t="s">
        <v>46</v>
      </c>
      <c r="M2422">
        <v>721689</v>
      </c>
      <c r="N2422" s="1">
        <v>45199</v>
      </c>
      <c r="O2422" t="s">
        <v>21</v>
      </c>
      <c r="P2422">
        <v>4</v>
      </c>
      <c r="Q2422">
        <v>34796.9</v>
      </c>
    </row>
    <row r="2423" spans="1:17" x14ac:dyDescent="0.3">
      <c r="A2423" t="s">
        <v>5597</v>
      </c>
      <c r="B2423" t="s">
        <v>2049</v>
      </c>
      <c r="C2423" s="2" t="str">
        <f>PROPER(TRIM(Table1[[#This Row],[Gender]]))</f>
        <v>Female</v>
      </c>
      <c r="D2423" t="s">
        <v>43</v>
      </c>
      <c r="E2423">
        <v>55</v>
      </c>
      <c r="F2423" t="s">
        <v>17</v>
      </c>
      <c r="G2423" s="1">
        <v>25583</v>
      </c>
      <c r="H2423" t="s">
        <v>5598</v>
      </c>
      <c r="I2423" s="2" t="str">
        <f t="shared" si="37"/>
        <v>+91-8199207946</v>
      </c>
      <c r="J2423">
        <f>91-8199208037</f>
        <v>-8199207946</v>
      </c>
      <c r="K2423" t="s">
        <v>33</v>
      </c>
      <c r="L2423" t="s">
        <v>34</v>
      </c>
      <c r="M2423">
        <v>836357</v>
      </c>
      <c r="N2423" s="1">
        <v>45401</v>
      </c>
      <c r="O2423" t="s">
        <v>28</v>
      </c>
      <c r="P2423">
        <v>6</v>
      </c>
      <c r="Q2423">
        <v>74271.23</v>
      </c>
    </row>
    <row r="2424" spans="1:17" x14ac:dyDescent="0.3">
      <c r="A2424" t="s">
        <v>5599</v>
      </c>
      <c r="B2424" t="s">
        <v>531</v>
      </c>
      <c r="C2424" s="2" t="str">
        <f>PROPER(TRIM(Table1[[#This Row],[Gender]]))</f>
        <v>Male</v>
      </c>
      <c r="D2424" t="s">
        <v>16</v>
      </c>
      <c r="E2424">
        <v>36</v>
      </c>
      <c r="F2424" t="s">
        <v>38</v>
      </c>
      <c r="G2424" s="1">
        <v>32518</v>
      </c>
      <c r="H2424" t="s">
        <v>5600</v>
      </c>
      <c r="I2424" s="2" t="str">
        <f t="shared" si="37"/>
        <v>+91-9288314765</v>
      </c>
      <c r="J2424">
        <f>91-9288314856</f>
        <v>-9288314765</v>
      </c>
      <c r="K2424" t="s">
        <v>195</v>
      </c>
      <c r="L2424" t="s">
        <v>102</v>
      </c>
      <c r="M2424">
        <v>600764</v>
      </c>
      <c r="N2424" s="1">
        <v>45440</v>
      </c>
      <c r="O2424" t="s">
        <v>21</v>
      </c>
      <c r="P2424">
        <v>4</v>
      </c>
      <c r="Q2424">
        <v>20974.57</v>
      </c>
    </row>
    <row r="2425" spans="1:17" x14ac:dyDescent="0.3">
      <c r="A2425" t="s">
        <v>5601</v>
      </c>
      <c r="B2425" t="s">
        <v>817</v>
      </c>
      <c r="C2425" s="2" t="str">
        <f>PROPER(TRIM(Table1[[#This Row],[Gender]]))</f>
        <v>Male</v>
      </c>
      <c r="D2425" t="s">
        <v>16</v>
      </c>
      <c r="E2425">
        <v>30</v>
      </c>
      <c r="F2425" t="s">
        <v>31</v>
      </c>
      <c r="G2425" s="1">
        <v>34708</v>
      </c>
      <c r="H2425" t="s">
        <v>4897</v>
      </c>
      <c r="I2425" s="2" t="str">
        <f t="shared" si="37"/>
        <v>+91-7738546810</v>
      </c>
      <c r="J2425">
        <f>91-7738546901</f>
        <v>-7738546810</v>
      </c>
      <c r="K2425" t="s">
        <v>138</v>
      </c>
      <c r="L2425" t="s">
        <v>90</v>
      </c>
      <c r="M2425">
        <v>950462</v>
      </c>
      <c r="N2425" s="1">
        <v>45142</v>
      </c>
      <c r="O2425" t="s">
        <v>28</v>
      </c>
      <c r="P2425">
        <v>6</v>
      </c>
      <c r="Q2425">
        <v>182759.49</v>
      </c>
    </row>
    <row r="2426" spans="1:17" x14ac:dyDescent="0.3">
      <c r="A2426" t="s">
        <v>5602</v>
      </c>
      <c r="B2426" t="s">
        <v>4450</v>
      </c>
      <c r="C2426" s="2" t="str">
        <f>PROPER(TRIM(Table1[[#This Row],[Gender]]))</f>
        <v>Male</v>
      </c>
      <c r="D2426" t="s">
        <v>16</v>
      </c>
      <c r="E2426">
        <v>39</v>
      </c>
      <c r="F2426" t="s">
        <v>38</v>
      </c>
      <c r="G2426" s="1">
        <v>31423</v>
      </c>
      <c r="H2426" t="s">
        <v>5603</v>
      </c>
      <c r="I2426" s="2" t="str">
        <f t="shared" si="37"/>
        <v>+91-7652934392</v>
      </c>
      <c r="J2426">
        <f>91-7652934483</f>
        <v>-7652934392</v>
      </c>
      <c r="K2426" t="s">
        <v>165</v>
      </c>
      <c r="L2426" t="s">
        <v>52</v>
      </c>
      <c r="M2426">
        <v>895788</v>
      </c>
      <c r="N2426" s="1">
        <v>45343</v>
      </c>
      <c r="O2426" t="s">
        <v>28</v>
      </c>
      <c r="P2426">
        <v>9</v>
      </c>
      <c r="Q2426">
        <v>135765.64000000001</v>
      </c>
    </row>
    <row r="2427" spans="1:17" x14ac:dyDescent="0.3">
      <c r="A2427" t="s">
        <v>5604</v>
      </c>
      <c r="B2427" t="s">
        <v>1983</v>
      </c>
      <c r="C2427" s="2" t="str">
        <f>PROPER(TRIM(Table1[[#This Row],[Gender]]))</f>
        <v>Male</v>
      </c>
      <c r="D2427" t="s">
        <v>16</v>
      </c>
      <c r="E2427">
        <v>30</v>
      </c>
      <c r="F2427" t="s">
        <v>31</v>
      </c>
      <c r="G2427" s="1">
        <v>34708</v>
      </c>
      <c r="H2427" t="s">
        <v>5605</v>
      </c>
      <c r="I2427" s="2" t="str">
        <f t="shared" si="37"/>
        <v>+91-7742463627</v>
      </c>
      <c r="J2427">
        <f>91-7742463718</f>
        <v>-7742463627</v>
      </c>
      <c r="K2427" t="s">
        <v>84</v>
      </c>
      <c r="L2427" t="s">
        <v>85</v>
      </c>
      <c r="M2427">
        <v>473283</v>
      </c>
      <c r="N2427" s="1">
        <v>45361</v>
      </c>
      <c r="O2427" t="s">
        <v>28</v>
      </c>
      <c r="P2427">
        <v>5</v>
      </c>
      <c r="Q2427">
        <v>398763.33</v>
      </c>
    </row>
    <row r="2428" spans="1:17" x14ac:dyDescent="0.3">
      <c r="A2428" t="s">
        <v>5606</v>
      </c>
      <c r="B2428" t="s">
        <v>2046</v>
      </c>
      <c r="C2428" s="2" t="str">
        <f>PROPER(TRIM(Table1[[#This Row],[Gender]]))</f>
        <v>Female</v>
      </c>
      <c r="D2428" t="s">
        <v>43</v>
      </c>
      <c r="E2428">
        <v>21</v>
      </c>
      <c r="F2428" t="s">
        <v>49</v>
      </c>
      <c r="G2428" s="1">
        <v>37993</v>
      </c>
      <c r="H2428" t="s">
        <v>5607</v>
      </c>
      <c r="I2428" s="2" t="str">
        <f t="shared" si="37"/>
        <v>+91-8272066522</v>
      </c>
      <c r="J2428">
        <f>91-8272066613</f>
        <v>-8272066522</v>
      </c>
      <c r="K2428" t="s">
        <v>26</v>
      </c>
      <c r="L2428" t="s">
        <v>27</v>
      </c>
      <c r="M2428">
        <v>187786</v>
      </c>
      <c r="N2428" s="1">
        <v>45427</v>
      </c>
      <c r="O2428" t="s">
        <v>28</v>
      </c>
      <c r="P2428">
        <v>7</v>
      </c>
      <c r="Q2428">
        <v>232874.91</v>
      </c>
    </row>
    <row r="2429" spans="1:17" x14ac:dyDescent="0.3">
      <c r="A2429" t="s">
        <v>5608</v>
      </c>
      <c r="B2429" t="s">
        <v>466</v>
      </c>
      <c r="C2429" s="2" t="str">
        <f>PROPER(TRIM(Table1[[#This Row],[Gender]]))</f>
        <v>Male</v>
      </c>
      <c r="D2429" t="s">
        <v>16</v>
      </c>
      <c r="E2429">
        <v>23</v>
      </c>
      <c r="F2429" t="s">
        <v>49</v>
      </c>
      <c r="G2429" s="1">
        <v>37263</v>
      </c>
      <c r="H2429" t="s">
        <v>5609</v>
      </c>
      <c r="I2429" s="2" t="str">
        <f t="shared" si="37"/>
        <v>+91-8982733090</v>
      </c>
      <c r="J2429">
        <f>91-8982733181</f>
        <v>-8982733090</v>
      </c>
      <c r="K2429" t="s">
        <v>45</v>
      </c>
      <c r="L2429" t="s">
        <v>46</v>
      </c>
      <c r="M2429">
        <v>330475</v>
      </c>
      <c r="N2429" s="1">
        <v>45122</v>
      </c>
      <c r="O2429" t="s">
        <v>28</v>
      </c>
      <c r="P2429">
        <v>7</v>
      </c>
      <c r="Q2429">
        <v>210594.51</v>
      </c>
    </row>
    <row r="2430" spans="1:17" x14ac:dyDescent="0.3">
      <c r="A2430" t="s">
        <v>5610</v>
      </c>
      <c r="B2430" t="s">
        <v>3722</v>
      </c>
      <c r="C2430" s="2" t="str">
        <f>PROPER(TRIM(Table1[[#This Row],[Gender]]))</f>
        <v>Male</v>
      </c>
      <c r="D2430" t="s">
        <v>16</v>
      </c>
      <c r="E2430">
        <v>36</v>
      </c>
      <c r="F2430" t="s">
        <v>38</v>
      </c>
      <c r="G2430" s="1">
        <v>32518</v>
      </c>
      <c r="H2430" t="s">
        <v>5611</v>
      </c>
      <c r="I2430" s="2" t="str">
        <f t="shared" si="37"/>
        <v>+91-7360101918</v>
      </c>
      <c r="J2430">
        <f>91-7360102009</f>
        <v>-7360101918</v>
      </c>
      <c r="K2430" t="s">
        <v>68</v>
      </c>
      <c r="L2430" t="s">
        <v>52</v>
      </c>
      <c r="M2430">
        <v>221741</v>
      </c>
      <c r="N2430" s="1">
        <v>45155</v>
      </c>
      <c r="O2430" t="s">
        <v>28</v>
      </c>
      <c r="P2430">
        <v>4</v>
      </c>
      <c r="Q2430">
        <v>523872.59</v>
      </c>
    </row>
    <row r="2431" spans="1:17" x14ac:dyDescent="0.3">
      <c r="A2431" t="s">
        <v>5612</v>
      </c>
      <c r="B2431" t="s">
        <v>911</v>
      </c>
      <c r="C2431" s="2" t="str">
        <f>PROPER(TRIM(Table1[[#This Row],[Gender]]))</f>
        <v>Male</v>
      </c>
      <c r="D2431" t="s">
        <v>16</v>
      </c>
      <c r="E2431">
        <v>28</v>
      </c>
      <c r="F2431" t="s">
        <v>31</v>
      </c>
      <c r="G2431" s="1">
        <v>35438</v>
      </c>
      <c r="H2431" t="s">
        <v>5613</v>
      </c>
      <c r="I2431" s="2" t="str">
        <f t="shared" si="37"/>
        <v>+91-8496865593</v>
      </c>
      <c r="J2431">
        <f>91-8496865684</f>
        <v>-8496865593</v>
      </c>
      <c r="K2431" t="s">
        <v>101</v>
      </c>
      <c r="L2431" t="s">
        <v>102</v>
      </c>
      <c r="M2431">
        <v>948803</v>
      </c>
      <c r="N2431" s="1">
        <v>45286</v>
      </c>
      <c r="O2431" t="s">
        <v>21</v>
      </c>
      <c r="P2431">
        <v>5</v>
      </c>
      <c r="Q2431">
        <v>41928.910000000003</v>
      </c>
    </row>
    <row r="2432" spans="1:17" x14ac:dyDescent="0.3">
      <c r="A2432" t="s">
        <v>5614</v>
      </c>
      <c r="B2432" t="s">
        <v>3552</v>
      </c>
      <c r="C2432" s="2" t="str">
        <f>PROPER(TRIM(Table1[[#This Row],[Gender]]))</f>
        <v>Male</v>
      </c>
      <c r="D2432" t="s">
        <v>16</v>
      </c>
      <c r="E2432">
        <v>48</v>
      </c>
      <c r="F2432" t="s">
        <v>17</v>
      </c>
      <c r="G2432" s="1">
        <v>28138</v>
      </c>
      <c r="H2432" t="s">
        <v>5615</v>
      </c>
      <c r="I2432" s="2" t="str">
        <f t="shared" si="37"/>
        <v>+91-9810264772</v>
      </c>
      <c r="J2432">
        <f>91-9810264863</f>
        <v>-9810264772</v>
      </c>
      <c r="K2432" t="s">
        <v>174</v>
      </c>
      <c r="L2432" t="s">
        <v>90</v>
      </c>
      <c r="M2432">
        <v>624657</v>
      </c>
      <c r="N2432" s="1">
        <v>45399</v>
      </c>
      <c r="O2432" t="s">
        <v>28</v>
      </c>
      <c r="P2432">
        <v>6</v>
      </c>
      <c r="Q2432">
        <v>103783.01</v>
      </c>
    </row>
    <row r="2433" spans="1:17" x14ac:dyDescent="0.3">
      <c r="A2433" t="s">
        <v>5616</v>
      </c>
      <c r="B2433" t="s">
        <v>5191</v>
      </c>
      <c r="C2433" s="2" t="str">
        <f>PROPER(TRIM(Table1[[#This Row],[Gender]]))</f>
        <v>Female</v>
      </c>
      <c r="D2433" t="s">
        <v>43</v>
      </c>
      <c r="E2433">
        <v>54</v>
      </c>
      <c r="F2433" t="s">
        <v>17</v>
      </c>
      <c r="G2433" s="1">
        <v>25948</v>
      </c>
      <c r="H2433" t="s">
        <v>5617</v>
      </c>
      <c r="I2433" s="2" t="str">
        <f t="shared" si="37"/>
        <v>+91-8400040391</v>
      </c>
      <c r="J2433">
        <f>91-8400040482</f>
        <v>-8400040391</v>
      </c>
      <c r="K2433" t="s">
        <v>76</v>
      </c>
      <c r="L2433" t="s">
        <v>46</v>
      </c>
      <c r="M2433">
        <v>415884</v>
      </c>
      <c r="N2433" s="1">
        <v>45138</v>
      </c>
      <c r="O2433" t="s">
        <v>28</v>
      </c>
      <c r="P2433">
        <v>9</v>
      </c>
      <c r="Q2433">
        <v>80365.759999999995</v>
      </c>
    </row>
    <row r="2434" spans="1:17" x14ac:dyDescent="0.3">
      <c r="A2434" t="s">
        <v>5618</v>
      </c>
      <c r="B2434" t="s">
        <v>271</v>
      </c>
      <c r="C2434" s="2" t="str">
        <f>PROPER(TRIM(Table1[[#This Row],[Gender]]))</f>
        <v>Male</v>
      </c>
      <c r="D2434" t="s">
        <v>16</v>
      </c>
      <c r="E2434">
        <v>18</v>
      </c>
      <c r="F2434" t="s">
        <v>49</v>
      </c>
      <c r="G2434" s="1">
        <v>39088</v>
      </c>
      <c r="H2434" t="s">
        <v>5619</v>
      </c>
      <c r="I2434" s="2" t="str">
        <f t="shared" ref="I2434:I2497" si="38">"+91"&amp;TEXT(J2434,"0000000000")</f>
        <v>+91-7513162145</v>
      </c>
      <c r="J2434">
        <f>91-7513162236</f>
        <v>-7513162145</v>
      </c>
      <c r="K2434" t="s">
        <v>580</v>
      </c>
      <c r="L2434" t="s">
        <v>85</v>
      </c>
      <c r="M2434">
        <v>292590</v>
      </c>
      <c r="N2434" s="1">
        <v>45258</v>
      </c>
      <c r="O2434" t="s">
        <v>28</v>
      </c>
      <c r="P2434">
        <v>6</v>
      </c>
      <c r="Q2434">
        <v>348697.97</v>
      </c>
    </row>
    <row r="2435" spans="1:17" x14ac:dyDescent="0.3">
      <c r="A2435" t="s">
        <v>5620</v>
      </c>
      <c r="B2435" t="s">
        <v>570</v>
      </c>
      <c r="C2435" s="2" t="str">
        <f>PROPER(TRIM(Table1[[#This Row],[Gender]]))</f>
        <v>Male</v>
      </c>
      <c r="D2435" t="s">
        <v>16</v>
      </c>
      <c r="E2435">
        <v>35</v>
      </c>
      <c r="F2435" t="s">
        <v>31</v>
      </c>
      <c r="G2435" s="1">
        <v>32883</v>
      </c>
      <c r="H2435" t="s">
        <v>5621</v>
      </c>
      <c r="I2435" s="2" t="str">
        <f t="shared" si="38"/>
        <v>+91-8368950634</v>
      </c>
      <c r="J2435">
        <f>91-8368950725</f>
        <v>-8368950634</v>
      </c>
      <c r="K2435" t="s">
        <v>80</v>
      </c>
      <c r="L2435" t="s">
        <v>20</v>
      </c>
      <c r="M2435">
        <v>753067</v>
      </c>
      <c r="N2435" s="1">
        <v>45120</v>
      </c>
      <c r="O2435" t="s">
        <v>28</v>
      </c>
      <c r="P2435">
        <v>4</v>
      </c>
      <c r="Q2435">
        <v>126106.14</v>
      </c>
    </row>
    <row r="2436" spans="1:17" x14ac:dyDescent="0.3">
      <c r="A2436" t="s">
        <v>5622</v>
      </c>
      <c r="B2436" t="s">
        <v>865</v>
      </c>
      <c r="C2436" s="2" t="str">
        <f>PROPER(TRIM(Table1[[#This Row],[Gender]]))</f>
        <v>Male</v>
      </c>
      <c r="D2436" t="s">
        <v>16</v>
      </c>
      <c r="E2436">
        <v>32</v>
      </c>
      <c r="F2436" t="s">
        <v>31</v>
      </c>
      <c r="G2436" s="1">
        <v>33978</v>
      </c>
      <c r="H2436" t="s">
        <v>5623</v>
      </c>
      <c r="I2436" s="2" t="str">
        <f t="shared" si="38"/>
        <v>+91-7401395902</v>
      </c>
      <c r="J2436">
        <f>91-7401395993</f>
        <v>-7401395902</v>
      </c>
      <c r="K2436" t="s">
        <v>415</v>
      </c>
      <c r="L2436" t="s">
        <v>90</v>
      </c>
      <c r="M2436">
        <v>465243</v>
      </c>
      <c r="N2436" s="1">
        <v>45160</v>
      </c>
      <c r="O2436" t="s">
        <v>35</v>
      </c>
      <c r="P2436">
        <v>1</v>
      </c>
      <c r="Q2436">
        <v>5405.32</v>
      </c>
    </row>
    <row r="2437" spans="1:17" x14ac:dyDescent="0.3">
      <c r="A2437" t="s">
        <v>5624</v>
      </c>
      <c r="B2437" t="s">
        <v>1895</v>
      </c>
      <c r="C2437" s="2" t="str">
        <f>PROPER(TRIM(Table1[[#This Row],[Gender]]))</f>
        <v>Male</v>
      </c>
      <c r="D2437" t="s">
        <v>16</v>
      </c>
      <c r="E2437">
        <v>50</v>
      </c>
      <c r="F2437" t="s">
        <v>17</v>
      </c>
      <c r="G2437" s="1">
        <v>27408</v>
      </c>
      <c r="H2437" t="s">
        <v>5625</v>
      </c>
      <c r="I2437" s="2" t="str">
        <f t="shared" si="38"/>
        <v>+91-8449138849</v>
      </c>
      <c r="J2437">
        <f>91-8449138940</f>
        <v>-8449138849</v>
      </c>
      <c r="K2437" t="s">
        <v>33</v>
      </c>
      <c r="L2437" t="s">
        <v>34</v>
      </c>
      <c r="M2437">
        <v>499377</v>
      </c>
      <c r="N2437" s="1">
        <v>45134</v>
      </c>
      <c r="O2437" t="s">
        <v>35</v>
      </c>
      <c r="P2437">
        <v>7</v>
      </c>
      <c r="Q2437">
        <v>16141.04</v>
      </c>
    </row>
    <row r="2438" spans="1:17" x14ac:dyDescent="0.3">
      <c r="A2438" t="s">
        <v>5626</v>
      </c>
      <c r="B2438" t="s">
        <v>859</v>
      </c>
      <c r="C2438" s="2" t="str">
        <f>PROPER(TRIM(Table1[[#This Row],[Gender]]))</f>
        <v>Male</v>
      </c>
      <c r="D2438" t="s">
        <v>16</v>
      </c>
      <c r="E2438">
        <v>57</v>
      </c>
      <c r="F2438" t="s">
        <v>58</v>
      </c>
      <c r="G2438" s="1">
        <v>24853</v>
      </c>
      <c r="H2438" t="s">
        <v>5627</v>
      </c>
      <c r="I2438" s="2" t="str">
        <f t="shared" si="38"/>
        <v>+91-9718175176</v>
      </c>
      <c r="J2438">
        <f>91-9718175267</f>
        <v>-9718175176</v>
      </c>
      <c r="K2438" t="s">
        <v>239</v>
      </c>
      <c r="L2438" t="s">
        <v>191</v>
      </c>
      <c r="M2438">
        <v>783231</v>
      </c>
      <c r="N2438" s="1">
        <v>45159</v>
      </c>
      <c r="O2438" t="s">
        <v>21</v>
      </c>
      <c r="P2438">
        <v>5</v>
      </c>
      <c r="Q2438">
        <v>48160.08</v>
      </c>
    </row>
    <row r="2439" spans="1:17" x14ac:dyDescent="0.3">
      <c r="A2439" t="s">
        <v>5628</v>
      </c>
      <c r="B2439" t="s">
        <v>1184</v>
      </c>
      <c r="C2439" s="2" t="str">
        <f>PROPER(TRIM(Table1[[#This Row],[Gender]]))</f>
        <v>Male</v>
      </c>
      <c r="D2439" t="s">
        <v>16</v>
      </c>
      <c r="E2439">
        <v>24</v>
      </c>
      <c r="F2439" t="s">
        <v>49</v>
      </c>
      <c r="G2439" s="1">
        <v>36898</v>
      </c>
      <c r="H2439" t="s">
        <v>3184</v>
      </c>
      <c r="I2439" s="2" t="str">
        <f t="shared" si="38"/>
        <v>+91-7682520497</v>
      </c>
      <c r="J2439">
        <f>91-7682520588</f>
        <v>-7682520497</v>
      </c>
      <c r="K2439" t="s">
        <v>174</v>
      </c>
      <c r="L2439" t="s">
        <v>90</v>
      </c>
      <c r="M2439">
        <v>611581</v>
      </c>
      <c r="N2439" s="1">
        <v>45176</v>
      </c>
      <c r="O2439" t="s">
        <v>35</v>
      </c>
      <c r="P2439">
        <v>1</v>
      </c>
      <c r="Q2439">
        <v>7124.43</v>
      </c>
    </row>
    <row r="2440" spans="1:17" x14ac:dyDescent="0.3">
      <c r="A2440" t="s">
        <v>5629</v>
      </c>
      <c r="B2440" t="s">
        <v>1926</v>
      </c>
      <c r="C2440" s="2" t="str">
        <f>PROPER(TRIM(Table1[[#This Row],[Gender]]))</f>
        <v>Female</v>
      </c>
      <c r="D2440" t="s">
        <v>43</v>
      </c>
      <c r="E2440">
        <v>21</v>
      </c>
      <c r="F2440" t="s">
        <v>49</v>
      </c>
      <c r="G2440" s="1">
        <v>37993</v>
      </c>
      <c r="H2440" t="s">
        <v>5630</v>
      </c>
      <c r="I2440" s="2" t="str">
        <f t="shared" si="38"/>
        <v>+91-9203322509</v>
      </c>
      <c r="J2440">
        <f>91-9203322600</f>
        <v>-9203322509</v>
      </c>
      <c r="K2440" t="s">
        <v>101</v>
      </c>
      <c r="L2440" t="s">
        <v>102</v>
      </c>
      <c r="M2440">
        <v>561459</v>
      </c>
      <c r="N2440" s="1">
        <v>45366</v>
      </c>
      <c r="O2440" t="s">
        <v>28</v>
      </c>
      <c r="P2440">
        <v>2</v>
      </c>
      <c r="Q2440">
        <v>101013.32</v>
      </c>
    </row>
    <row r="2441" spans="1:17" x14ac:dyDescent="0.3">
      <c r="A2441" t="s">
        <v>5631</v>
      </c>
      <c r="B2441" t="s">
        <v>718</v>
      </c>
      <c r="C2441" s="2" t="str">
        <f>PROPER(TRIM(Table1[[#This Row],[Gender]]))</f>
        <v>Female</v>
      </c>
      <c r="D2441" t="s">
        <v>43</v>
      </c>
      <c r="E2441">
        <v>24</v>
      </c>
      <c r="F2441" t="s">
        <v>49</v>
      </c>
      <c r="G2441" s="1">
        <v>36898</v>
      </c>
      <c r="H2441" t="s">
        <v>2744</v>
      </c>
      <c r="I2441" s="2" t="str">
        <f t="shared" si="38"/>
        <v>+91-8547830215</v>
      </c>
      <c r="J2441">
        <f>91-8547830306</f>
        <v>-8547830215</v>
      </c>
      <c r="K2441" t="s">
        <v>174</v>
      </c>
      <c r="L2441" t="s">
        <v>90</v>
      </c>
      <c r="M2441">
        <v>657535</v>
      </c>
      <c r="N2441" s="1">
        <v>45403</v>
      </c>
      <c r="O2441" t="s">
        <v>28</v>
      </c>
      <c r="P2441">
        <v>4</v>
      </c>
      <c r="Q2441">
        <v>57140.72</v>
      </c>
    </row>
    <row r="2442" spans="1:17" x14ac:dyDescent="0.3">
      <c r="A2442" t="s">
        <v>5632</v>
      </c>
      <c r="B2442" t="s">
        <v>5633</v>
      </c>
      <c r="C2442" s="2" t="str">
        <f>PROPER(TRIM(Table1[[#This Row],[Gender]]))</f>
        <v>Female</v>
      </c>
      <c r="D2442" t="s">
        <v>43</v>
      </c>
      <c r="E2442">
        <v>53</v>
      </c>
      <c r="F2442" t="s">
        <v>17</v>
      </c>
      <c r="G2442" s="1">
        <v>26313</v>
      </c>
      <c r="H2442" t="s">
        <v>5634</v>
      </c>
      <c r="I2442" s="2" t="str">
        <f t="shared" si="38"/>
        <v>+91-8220005048</v>
      </c>
      <c r="J2442">
        <f>91-8220005139</f>
        <v>-8220005048</v>
      </c>
      <c r="K2442" t="s">
        <v>331</v>
      </c>
      <c r="L2442" t="s">
        <v>143</v>
      </c>
      <c r="M2442">
        <v>410073</v>
      </c>
      <c r="N2442" s="1">
        <v>45304</v>
      </c>
      <c r="O2442" t="s">
        <v>35</v>
      </c>
      <c r="P2442">
        <v>4</v>
      </c>
      <c r="Q2442">
        <v>10847.04</v>
      </c>
    </row>
    <row r="2443" spans="1:17" x14ac:dyDescent="0.3">
      <c r="A2443" t="s">
        <v>5635</v>
      </c>
      <c r="B2443" t="s">
        <v>349</v>
      </c>
      <c r="C2443" s="2" t="str">
        <f>PROPER(TRIM(Table1[[#This Row],[Gender]]))</f>
        <v>Female</v>
      </c>
      <c r="D2443" t="s">
        <v>43</v>
      </c>
      <c r="E2443">
        <v>29</v>
      </c>
      <c r="F2443" t="s">
        <v>31</v>
      </c>
      <c r="G2443" s="1">
        <v>35073</v>
      </c>
      <c r="H2443" t="s">
        <v>5636</v>
      </c>
      <c r="I2443" s="2" t="str">
        <f t="shared" si="38"/>
        <v>+91-9397644344</v>
      </c>
      <c r="J2443">
        <f>91-9397644435</f>
        <v>-9397644344</v>
      </c>
      <c r="K2443" t="s">
        <v>101</v>
      </c>
      <c r="L2443" t="s">
        <v>102</v>
      </c>
      <c r="M2443">
        <v>770448</v>
      </c>
      <c r="N2443" s="1">
        <v>45235</v>
      </c>
      <c r="O2443" t="s">
        <v>28</v>
      </c>
      <c r="P2443">
        <v>4</v>
      </c>
      <c r="Q2443">
        <v>170197.39</v>
      </c>
    </row>
    <row r="2444" spans="1:17" x14ac:dyDescent="0.3">
      <c r="A2444" t="s">
        <v>5637</v>
      </c>
      <c r="B2444" t="s">
        <v>787</v>
      </c>
      <c r="C2444" s="2" t="str">
        <f>PROPER(TRIM(Table1[[#This Row],[Gender]]))</f>
        <v>Female</v>
      </c>
      <c r="D2444" t="s">
        <v>43</v>
      </c>
      <c r="E2444">
        <v>25</v>
      </c>
      <c r="F2444" t="s">
        <v>49</v>
      </c>
      <c r="G2444" s="1">
        <v>36533</v>
      </c>
      <c r="H2444" t="s">
        <v>5638</v>
      </c>
      <c r="I2444" s="2" t="str">
        <f t="shared" si="38"/>
        <v>+91-9490416980</v>
      </c>
      <c r="J2444">
        <f>91-9490417071</f>
        <v>-9490416980</v>
      </c>
      <c r="K2444" t="s">
        <v>178</v>
      </c>
      <c r="L2444" t="s">
        <v>27</v>
      </c>
      <c r="M2444">
        <v>159826</v>
      </c>
      <c r="N2444" s="1">
        <v>45376</v>
      </c>
      <c r="O2444" t="s">
        <v>28</v>
      </c>
      <c r="P2444">
        <v>7</v>
      </c>
      <c r="Q2444">
        <v>155258.01999999999</v>
      </c>
    </row>
    <row r="2445" spans="1:17" x14ac:dyDescent="0.3">
      <c r="A2445" t="s">
        <v>5639</v>
      </c>
      <c r="B2445" t="s">
        <v>1216</v>
      </c>
      <c r="C2445" s="2" t="str">
        <f>PROPER(TRIM(Table1[[#This Row],[Gender]]))</f>
        <v>Female</v>
      </c>
      <c r="D2445" t="s">
        <v>43</v>
      </c>
      <c r="E2445">
        <v>33</v>
      </c>
      <c r="F2445" t="s">
        <v>31</v>
      </c>
      <c r="G2445" s="1">
        <v>33613</v>
      </c>
      <c r="H2445" t="s">
        <v>5640</v>
      </c>
      <c r="I2445" s="2" t="str">
        <f t="shared" si="38"/>
        <v>+91-8523838850</v>
      </c>
      <c r="J2445">
        <f>91-8523838941</f>
        <v>-8523838850</v>
      </c>
      <c r="K2445" t="s">
        <v>26</v>
      </c>
      <c r="L2445" t="s">
        <v>27</v>
      </c>
      <c r="M2445">
        <v>168197</v>
      </c>
      <c r="N2445" s="1">
        <v>45337</v>
      </c>
      <c r="O2445" t="s">
        <v>28</v>
      </c>
      <c r="P2445">
        <v>5</v>
      </c>
      <c r="Q2445">
        <v>152379.97</v>
      </c>
    </row>
    <row r="2446" spans="1:17" x14ac:dyDescent="0.3">
      <c r="A2446" t="s">
        <v>5641</v>
      </c>
      <c r="B2446" t="s">
        <v>954</v>
      </c>
      <c r="C2446" s="2" t="str">
        <f>PROPER(TRIM(Table1[[#This Row],[Gender]]))</f>
        <v>Male</v>
      </c>
      <c r="D2446" t="s">
        <v>16</v>
      </c>
      <c r="E2446">
        <v>35</v>
      </c>
      <c r="F2446" t="s">
        <v>31</v>
      </c>
      <c r="G2446" s="1">
        <v>32883</v>
      </c>
      <c r="H2446" t="s">
        <v>5642</v>
      </c>
      <c r="I2446" s="2" t="str">
        <f t="shared" si="38"/>
        <v>+91-9650474483</v>
      </c>
      <c r="J2446">
        <f>91-9650474574</f>
        <v>-9650474483</v>
      </c>
      <c r="K2446" t="s">
        <v>202</v>
      </c>
      <c r="L2446" t="s">
        <v>191</v>
      </c>
      <c r="M2446">
        <v>431262</v>
      </c>
      <c r="N2446" s="1">
        <v>45169</v>
      </c>
      <c r="O2446" t="s">
        <v>28</v>
      </c>
      <c r="P2446">
        <v>7</v>
      </c>
      <c r="Q2446">
        <v>184047.4</v>
      </c>
    </row>
    <row r="2447" spans="1:17" x14ac:dyDescent="0.3">
      <c r="A2447" t="s">
        <v>5643</v>
      </c>
      <c r="B2447" t="s">
        <v>516</v>
      </c>
      <c r="C2447" s="2" t="str">
        <f>PROPER(TRIM(Table1[[#This Row],[Gender]]))</f>
        <v>Female</v>
      </c>
      <c r="D2447" t="s">
        <v>43</v>
      </c>
      <c r="E2447">
        <v>69</v>
      </c>
      <c r="F2447" t="s">
        <v>24</v>
      </c>
      <c r="G2447" s="1">
        <v>20473</v>
      </c>
      <c r="H2447" t="s">
        <v>5644</v>
      </c>
      <c r="I2447" s="2" t="str">
        <f t="shared" si="38"/>
        <v>+91-9244719231</v>
      </c>
      <c r="J2447">
        <f>91-9244719322</f>
        <v>-9244719231</v>
      </c>
      <c r="K2447" t="s">
        <v>147</v>
      </c>
      <c r="L2447" t="s">
        <v>143</v>
      </c>
      <c r="M2447">
        <v>286809</v>
      </c>
      <c r="N2447" s="1">
        <v>45400</v>
      </c>
      <c r="O2447" t="s">
        <v>35</v>
      </c>
      <c r="P2447">
        <v>7</v>
      </c>
      <c r="Q2447">
        <v>13791.04</v>
      </c>
    </row>
    <row r="2448" spans="1:17" x14ac:dyDescent="0.3">
      <c r="A2448" t="s">
        <v>5645</v>
      </c>
      <c r="B2448" t="s">
        <v>1124</v>
      </c>
      <c r="C2448" s="2" t="str">
        <f>PROPER(TRIM(Table1[[#This Row],[Gender]]))</f>
        <v>Female</v>
      </c>
      <c r="D2448" t="s">
        <v>43</v>
      </c>
      <c r="E2448">
        <v>51</v>
      </c>
      <c r="F2448" t="s">
        <v>17</v>
      </c>
      <c r="G2448" s="1">
        <v>27043</v>
      </c>
      <c r="H2448" t="s">
        <v>5646</v>
      </c>
      <c r="I2448" s="2" t="str">
        <f t="shared" si="38"/>
        <v>+91-8890373928</v>
      </c>
      <c r="J2448">
        <f>91-8890374019</f>
        <v>-8890373928</v>
      </c>
      <c r="K2448" t="s">
        <v>51</v>
      </c>
      <c r="L2448" t="s">
        <v>52</v>
      </c>
      <c r="M2448">
        <v>742271</v>
      </c>
      <c r="N2448" s="1">
        <v>45119</v>
      </c>
      <c r="O2448" t="s">
        <v>28</v>
      </c>
      <c r="P2448">
        <v>6</v>
      </c>
      <c r="Q2448">
        <v>86313.42</v>
      </c>
    </row>
    <row r="2449" spans="1:17" x14ac:dyDescent="0.3">
      <c r="A2449" t="s">
        <v>5647</v>
      </c>
      <c r="B2449" t="s">
        <v>188</v>
      </c>
      <c r="C2449" s="2" t="str">
        <f>PROPER(TRIM(Table1[[#This Row],[Gender]]))</f>
        <v>Female</v>
      </c>
      <c r="D2449" t="s">
        <v>43</v>
      </c>
      <c r="E2449">
        <v>30</v>
      </c>
      <c r="F2449" t="s">
        <v>31</v>
      </c>
      <c r="G2449" s="1">
        <v>34708</v>
      </c>
      <c r="H2449" t="s">
        <v>5648</v>
      </c>
      <c r="I2449" s="2" t="str">
        <f t="shared" si="38"/>
        <v>+91-7401282821</v>
      </c>
      <c r="J2449">
        <f>91-7401282912</f>
        <v>-7401282821</v>
      </c>
      <c r="K2449" t="s">
        <v>68</v>
      </c>
      <c r="L2449" t="s">
        <v>52</v>
      </c>
      <c r="M2449">
        <v>806861</v>
      </c>
      <c r="N2449" s="1">
        <v>45369</v>
      </c>
      <c r="O2449" t="s">
        <v>28</v>
      </c>
      <c r="P2449">
        <v>4</v>
      </c>
      <c r="Q2449">
        <v>196168.93</v>
      </c>
    </row>
    <row r="2450" spans="1:17" x14ac:dyDescent="0.3">
      <c r="A2450" t="s">
        <v>5649</v>
      </c>
      <c r="B2450" t="s">
        <v>4462</v>
      </c>
      <c r="C2450" s="2" t="str">
        <f>PROPER(TRIM(Table1[[#This Row],[Gender]]))</f>
        <v>Male</v>
      </c>
      <c r="D2450" t="s">
        <v>16</v>
      </c>
      <c r="E2450">
        <v>54</v>
      </c>
      <c r="F2450" t="s">
        <v>17</v>
      </c>
      <c r="G2450" s="1">
        <v>25948</v>
      </c>
      <c r="H2450" t="s">
        <v>5650</v>
      </c>
      <c r="I2450" s="2" t="str">
        <f t="shared" si="38"/>
        <v>+91-7381707587</v>
      </c>
      <c r="J2450">
        <f>91-7381707678</f>
        <v>-7381707587</v>
      </c>
      <c r="K2450" t="s">
        <v>165</v>
      </c>
      <c r="L2450" t="s">
        <v>52</v>
      </c>
      <c r="M2450">
        <v>591605</v>
      </c>
      <c r="N2450" s="1">
        <v>45418</v>
      </c>
      <c r="O2450" t="s">
        <v>28</v>
      </c>
      <c r="P2450">
        <v>6</v>
      </c>
      <c r="Q2450">
        <v>67801.679999999993</v>
      </c>
    </row>
    <row r="2451" spans="1:17" x14ac:dyDescent="0.3">
      <c r="A2451" t="s">
        <v>5651</v>
      </c>
      <c r="B2451" t="s">
        <v>2489</v>
      </c>
      <c r="C2451" s="2" t="str">
        <f>PROPER(TRIM(Table1[[#This Row],[Gender]]))</f>
        <v>Male</v>
      </c>
      <c r="D2451" t="s">
        <v>16</v>
      </c>
      <c r="E2451">
        <v>21</v>
      </c>
      <c r="F2451" t="s">
        <v>49</v>
      </c>
      <c r="G2451" s="1">
        <v>37993</v>
      </c>
      <c r="H2451" t="s">
        <v>5652</v>
      </c>
      <c r="I2451" s="2" t="str">
        <f t="shared" si="38"/>
        <v>+91-9673409488</v>
      </c>
      <c r="J2451">
        <f>91-9673409579</f>
        <v>-9673409488</v>
      </c>
      <c r="K2451" t="s">
        <v>101</v>
      </c>
      <c r="L2451" t="s">
        <v>102</v>
      </c>
      <c r="M2451">
        <v>161364</v>
      </c>
      <c r="N2451" s="1">
        <v>45359</v>
      </c>
      <c r="O2451" t="s">
        <v>21</v>
      </c>
      <c r="P2451">
        <v>5</v>
      </c>
      <c r="Q2451">
        <v>39634.21</v>
      </c>
    </row>
    <row r="2452" spans="1:17" x14ac:dyDescent="0.3">
      <c r="A2452" t="s">
        <v>5653</v>
      </c>
      <c r="B2452" t="s">
        <v>3670</v>
      </c>
      <c r="C2452" s="2" t="str">
        <f>PROPER(TRIM(Table1[[#This Row],[Gender]]))</f>
        <v>Male</v>
      </c>
      <c r="D2452" t="s">
        <v>16</v>
      </c>
      <c r="E2452">
        <v>26</v>
      </c>
      <c r="F2452" t="s">
        <v>31</v>
      </c>
      <c r="G2452" s="1">
        <v>36168</v>
      </c>
      <c r="H2452" t="s">
        <v>5654</v>
      </c>
      <c r="I2452" s="2" t="str">
        <f t="shared" si="38"/>
        <v>+91-8758844056</v>
      </c>
      <c r="J2452">
        <f>91-8758844147</f>
        <v>-8758844056</v>
      </c>
      <c r="K2452" t="s">
        <v>273</v>
      </c>
      <c r="L2452" t="s">
        <v>46</v>
      </c>
      <c r="M2452">
        <v>322517</v>
      </c>
      <c r="N2452" s="1">
        <v>45336</v>
      </c>
      <c r="O2452" t="s">
        <v>28</v>
      </c>
      <c r="P2452">
        <v>6</v>
      </c>
      <c r="Q2452">
        <v>91082.25</v>
      </c>
    </row>
    <row r="2453" spans="1:17" x14ac:dyDescent="0.3">
      <c r="A2453" t="s">
        <v>5655</v>
      </c>
      <c r="B2453" t="s">
        <v>3233</v>
      </c>
      <c r="C2453" s="2" t="str">
        <f>PROPER(TRIM(Table1[[#This Row],[Gender]]))</f>
        <v>Female</v>
      </c>
      <c r="D2453" t="s">
        <v>43</v>
      </c>
      <c r="E2453">
        <v>43</v>
      </c>
      <c r="F2453" t="s">
        <v>38</v>
      </c>
      <c r="G2453" s="1">
        <v>29963</v>
      </c>
      <c r="H2453" t="s">
        <v>5656</v>
      </c>
      <c r="I2453" s="2" t="str">
        <f t="shared" si="38"/>
        <v>+91-9720892310</v>
      </c>
      <c r="J2453">
        <f>91-9720892401</f>
        <v>-9720892310</v>
      </c>
      <c r="K2453" t="s">
        <v>178</v>
      </c>
      <c r="L2453" t="s">
        <v>27</v>
      </c>
      <c r="M2453">
        <v>870322</v>
      </c>
      <c r="N2453" s="1">
        <v>45203</v>
      </c>
      <c r="O2453" t="s">
        <v>35</v>
      </c>
      <c r="P2453">
        <v>3</v>
      </c>
      <c r="Q2453">
        <v>18851.97</v>
      </c>
    </row>
    <row r="2454" spans="1:17" x14ac:dyDescent="0.3">
      <c r="A2454" t="s">
        <v>5657</v>
      </c>
      <c r="B2454" t="s">
        <v>2597</v>
      </c>
      <c r="C2454" s="2" t="str">
        <f>PROPER(TRIM(Table1[[#This Row],[Gender]]))</f>
        <v>Female</v>
      </c>
      <c r="D2454" t="s">
        <v>43</v>
      </c>
      <c r="E2454">
        <v>18</v>
      </c>
      <c r="F2454" t="s">
        <v>49</v>
      </c>
      <c r="G2454" s="1">
        <v>39088</v>
      </c>
      <c r="H2454" t="s">
        <v>5658</v>
      </c>
      <c r="I2454" s="2" t="str">
        <f t="shared" si="38"/>
        <v>+91-9614200524</v>
      </c>
      <c r="J2454">
        <f>91-9614200615</f>
        <v>-9614200524</v>
      </c>
      <c r="K2454" t="s">
        <v>89</v>
      </c>
      <c r="L2454" t="s">
        <v>90</v>
      </c>
      <c r="M2454">
        <v>575655</v>
      </c>
      <c r="N2454" s="1">
        <v>45307</v>
      </c>
      <c r="O2454" t="s">
        <v>28</v>
      </c>
      <c r="P2454">
        <v>6</v>
      </c>
      <c r="Q2454">
        <v>100494.69</v>
      </c>
    </row>
    <row r="2455" spans="1:17" x14ac:dyDescent="0.3">
      <c r="A2455" t="s">
        <v>5659</v>
      </c>
      <c r="B2455" t="s">
        <v>1588</v>
      </c>
      <c r="C2455" s="2" t="str">
        <f>PROPER(TRIM(Table1[[#This Row],[Gender]]))</f>
        <v>Female</v>
      </c>
      <c r="D2455" t="s">
        <v>43</v>
      </c>
      <c r="E2455">
        <v>35</v>
      </c>
      <c r="F2455" t="s">
        <v>31</v>
      </c>
      <c r="G2455" s="1">
        <v>32883</v>
      </c>
      <c r="H2455" t="s">
        <v>5660</v>
      </c>
      <c r="I2455" s="2" t="str">
        <f t="shared" si="38"/>
        <v>+91-7132746906</v>
      </c>
      <c r="J2455">
        <f>91-7132746997</f>
        <v>-7132746906</v>
      </c>
      <c r="K2455" t="s">
        <v>113</v>
      </c>
      <c r="L2455" t="s">
        <v>34</v>
      </c>
      <c r="M2455">
        <v>186897</v>
      </c>
      <c r="N2455" s="1">
        <v>45328</v>
      </c>
      <c r="O2455" t="s">
        <v>28</v>
      </c>
      <c r="P2455">
        <v>2</v>
      </c>
      <c r="Q2455">
        <v>62651.37</v>
      </c>
    </row>
    <row r="2456" spans="1:17" x14ac:dyDescent="0.3">
      <c r="A2456" t="s">
        <v>5661</v>
      </c>
      <c r="B2456" t="s">
        <v>871</v>
      </c>
      <c r="C2456" s="2" t="str">
        <f>PROPER(TRIM(Table1[[#This Row],[Gender]]))</f>
        <v>Female</v>
      </c>
      <c r="D2456" t="s">
        <v>43</v>
      </c>
      <c r="E2456">
        <v>26</v>
      </c>
      <c r="F2456" t="s">
        <v>31</v>
      </c>
      <c r="G2456" s="1">
        <v>36168</v>
      </c>
      <c r="H2456" t="s">
        <v>5662</v>
      </c>
      <c r="I2456" s="2" t="str">
        <f t="shared" si="38"/>
        <v>+91-7541666820</v>
      </c>
      <c r="J2456">
        <f>91-7541666911</f>
        <v>-7541666820</v>
      </c>
      <c r="K2456" t="s">
        <v>113</v>
      </c>
      <c r="L2456" t="s">
        <v>34</v>
      </c>
      <c r="M2456">
        <v>613056</v>
      </c>
      <c r="N2456" s="1">
        <v>45249</v>
      </c>
      <c r="O2456" t="s">
        <v>35</v>
      </c>
      <c r="P2456">
        <v>2</v>
      </c>
      <c r="Q2456">
        <v>12851.08</v>
      </c>
    </row>
    <row r="2457" spans="1:17" x14ac:dyDescent="0.3">
      <c r="A2457" t="s">
        <v>5663</v>
      </c>
      <c r="B2457" t="s">
        <v>5664</v>
      </c>
      <c r="C2457" s="2" t="str">
        <f>PROPER(TRIM(Table1[[#This Row],[Gender]]))</f>
        <v>Male</v>
      </c>
      <c r="D2457" t="s">
        <v>16</v>
      </c>
      <c r="E2457">
        <v>36</v>
      </c>
      <c r="F2457" t="s">
        <v>38</v>
      </c>
      <c r="G2457" s="1">
        <v>32518</v>
      </c>
      <c r="H2457" t="s">
        <v>5665</v>
      </c>
      <c r="I2457" s="2" t="str">
        <f t="shared" si="38"/>
        <v>+91-7503561201</v>
      </c>
      <c r="J2457">
        <f>91-7503561292</f>
        <v>-7503561201</v>
      </c>
      <c r="K2457" t="s">
        <v>202</v>
      </c>
      <c r="L2457" t="s">
        <v>191</v>
      </c>
      <c r="M2457">
        <v>577499</v>
      </c>
      <c r="N2457" s="1">
        <v>45293</v>
      </c>
      <c r="O2457" t="s">
        <v>21</v>
      </c>
      <c r="P2457">
        <v>4</v>
      </c>
      <c r="Q2457">
        <v>44754.239999999998</v>
      </c>
    </row>
    <row r="2458" spans="1:17" x14ac:dyDescent="0.3">
      <c r="A2458" t="s">
        <v>5666</v>
      </c>
      <c r="B2458" t="s">
        <v>2327</v>
      </c>
      <c r="C2458" s="2" t="str">
        <f>PROPER(TRIM(Table1[[#This Row],[Gender]]))</f>
        <v>Male</v>
      </c>
      <c r="D2458" t="s">
        <v>16</v>
      </c>
      <c r="E2458">
        <v>50</v>
      </c>
      <c r="F2458" t="s">
        <v>17</v>
      </c>
      <c r="G2458" s="1">
        <v>27408</v>
      </c>
      <c r="H2458" t="s">
        <v>5667</v>
      </c>
      <c r="I2458" s="2" t="str">
        <f t="shared" si="38"/>
        <v>+91-7939638071</v>
      </c>
      <c r="J2458">
        <f>91-7939638162</f>
        <v>-7939638071</v>
      </c>
      <c r="K2458" t="s">
        <v>117</v>
      </c>
      <c r="L2458" t="s">
        <v>52</v>
      </c>
      <c r="M2458">
        <v>420636</v>
      </c>
      <c r="N2458" s="1">
        <v>45372</v>
      </c>
      <c r="O2458" t="s">
        <v>28</v>
      </c>
      <c r="P2458">
        <v>6</v>
      </c>
      <c r="Q2458">
        <v>54176.29</v>
      </c>
    </row>
    <row r="2459" spans="1:17" x14ac:dyDescent="0.3">
      <c r="A2459" t="s">
        <v>5668</v>
      </c>
      <c r="B2459" t="s">
        <v>1962</v>
      </c>
      <c r="C2459" s="2" t="str">
        <f>PROPER(TRIM(Table1[[#This Row],[Gender]]))</f>
        <v>Female</v>
      </c>
      <c r="D2459" t="s">
        <v>43</v>
      </c>
      <c r="E2459">
        <v>19</v>
      </c>
      <c r="F2459" t="s">
        <v>49</v>
      </c>
      <c r="G2459" s="1">
        <v>38723</v>
      </c>
      <c r="H2459" t="s">
        <v>5669</v>
      </c>
      <c r="I2459" s="2" t="str">
        <f t="shared" si="38"/>
        <v>+91-9243392274</v>
      </c>
      <c r="J2459">
        <f>91-9243392365</f>
        <v>-9243392274</v>
      </c>
      <c r="K2459" t="s">
        <v>174</v>
      </c>
      <c r="L2459" t="s">
        <v>90</v>
      </c>
      <c r="M2459">
        <v>674119</v>
      </c>
      <c r="N2459" s="1">
        <v>45183</v>
      </c>
      <c r="O2459" t="s">
        <v>28</v>
      </c>
      <c r="P2459">
        <v>3</v>
      </c>
      <c r="Q2459">
        <v>59748.32</v>
      </c>
    </row>
    <row r="2460" spans="1:17" x14ac:dyDescent="0.3">
      <c r="A2460" t="s">
        <v>5670</v>
      </c>
      <c r="B2460" t="s">
        <v>1516</v>
      </c>
      <c r="C2460" s="2" t="str">
        <f>PROPER(TRIM(Table1[[#This Row],[Gender]]))</f>
        <v>Female</v>
      </c>
      <c r="D2460" t="s">
        <v>43</v>
      </c>
      <c r="E2460">
        <v>38</v>
      </c>
      <c r="F2460" t="s">
        <v>38</v>
      </c>
      <c r="G2460" s="1">
        <v>31788</v>
      </c>
      <c r="H2460" t="s">
        <v>5671</v>
      </c>
      <c r="I2460" s="2" t="str">
        <f t="shared" si="38"/>
        <v>+91-8817186010</v>
      </c>
      <c r="J2460">
        <f>91-8817186101</f>
        <v>-8817186010</v>
      </c>
      <c r="K2460" t="s">
        <v>84</v>
      </c>
      <c r="L2460" t="s">
        <v>85</v>
      </c>
      <c r="M2460">
        <v>443973</v>
      </c>
      <c r="N2460" s="1">
        <v>45431</v>
      </c>
      <c r="O2460" t="s">
        <v>21</v>
      </c>
      <c r="P2460">
        <v>5</v>
      </c>
      <c r="Q2460">
        <v>36272.85</v>
      </c>
    </row>
    <row r="2461" spans="1:17" x14ac:dyDescent="0.3">
      <c r="A2461" t="s">
        <v>5672</v>
      </c>
      <c r="B2461" t="s">
        <v>1919</v>
      </c>
      <c r="C2461" s="2" t="str">
        <f>PROPER(TRIM(Table1[[#This Row],[Gender]]))</f>
        <v>Male</v>
      </c>
      <c r="D2461" t="s">
        <v>16</v>
      </c>
      <c r="E2461">
        <v>40</v>
      </c>
      <c r="F2461" t="s">
        <v>38</v>
      </c>
      <c r="G2461" s="1">
        <v>31058</v>
      </c>
      <c r="H2461" t="s">
        <v>5673</v>
      </c>
      <c r="I2461" s="2" t="str">
        <f t="shared" si="38"/>
        <v>+91-9330981976</v>
      </c>
      <c r="J2461">
        <f>91-9330982067</f>
        <v>-9330981976</v>
      </c>
      <c r="K2461" t="s">
        <v>161</v>
      </c>
      <c r="L2461" t="s">
        <v>102</v>
      </c>
      <c r="M2461">
        <v>588822</v>
      </c>
      <c r="N2461" s="1">
        <v>45243</v>
      </c>
      <c r="O2461" t="s">
        <v>28</v>
      </c>
      <c r="P2461">
        <v>4</v>
      </c>
      <c r="Q2461">
        <v>99887.71</v>
      </c>
    </row>
    <row r="2462" spans="1:17" x14ac:dyDescent="0.3">
      <c r="A2462" t="s">
        <v>5674</v>
      </c>
      <c r="B2462" t="s">
        <v>1992</v>
      </c>
      <c r="C2462" s="2" t="str">
        <f>PROPER(TRIM(Table1[[#This Row],[Gender]]))</f>
        <v>Female</v>
      </c>
      <c r="D2462" t="s">
        <v>43</v>
      </c>
      <c r="E2462">
        <v>67</v>
      </c>
      <c r="F2462" t="s">
        <v>24</v>
      </c>
      <c r="G2462" s="1">
        <v>21203</v>
      </c>
      <c r="H2462" t="s">
        <v>4130</v>
      </c>
      <c r="I2462" s="2" t="str">
        <f t="shared" si="38"/>
        <v>+91-8702100422</v>
      </c>
      <c r="J2462">
        <f>91-8702100513</f>
        <v>-8702100422</v>
      </c>
      <c r="K2462" t="s">
        <v>33</v>
      </c>
      <c r="L2462" t="s">
        <v>34</v>
      </c>
      <c r="M2462">
        <v>445398</v>
      </c>
      <c r="N2462" s="1">
        <v>45100</v>
      </c>
      <c r="O2462" t="s">
        <v>21</v>
      </c>
      <c r="P2462">
        <v>9</v>
      </c>
      <c r="Q2462">
        <v>46689.62</v>
      </c>
    </row>
    <row r="2463" spans="1:17" x14ac:dyDescent="0.3">
      <c r="A2463" t="s">
        <v>5675</v>
      </c>
      <c r="B2463" t="s">
        <v>856</v>
      </c>
      <c r="C2463" s="2" t="str">
        <f>PROPER(TRIM(Table1[[#This Row],[Gender]]))</f>
        <v>Female</v>
      </c>
      <c r="D2463" t="s">
        <v>43</v>
      </c>
      <c r="E2463">
        <v>28</v>
      </c>
      <c r="F2463" t="s">
        <v>31</v>
      </c>
      <c r="G2463" s="1">
        <v>35438</v>
      </c>
      <c r="H2463" t="s">
        <v>3401</v>
      </c>
      <c r="I2463" s="2" t="str">
        <f t="shared" si="38"/>
        <v>+91-7300242467</v>
      </c>
      <c r="J2463">
        <f>91-7300242558</f>
        <v>-7300242467</v>
      </c>
      <c r="K2463" t="s">
        <v>190</v>
      </c>
      <c r="L2463" t="s">
        <v>191</v>
      </c>
      <c r="M2463">
        <v>243674</v>
      </c>
      <c r="N2463" s="1">
        <v>45123</v>
      </c>
      <c r="O2463" t="s">
        <v>28</v>
      </c>
      <c r="P2463">
        <v>6</v>
      </c>
      <c r="Q2463">
        <v>152467.16</v>
      </c>
    </row>
    <row r="2464" spans="1:17" x14ac:dyDescent="0.3">
      <c r="A2464" t="s">
        <v>5676</v>
      </c>
      <c r="B2464" t="s">
        <v>1741</v>
      </c>
      <c r="C2464" s="2" t="str">
        <f>PROPER(TRIM(Table1[[#This Row],[Gender]]))</f>
        <v>Female</v>
      </c>
      <c r="D2464" t="s">
        <v>43</v>
      </c>
      <c r="E2464">
        <v>34</v>
      </c>
      <c r="F2464" t="s">
        <v>31</v>
      </c>
      <c r="G2464" s="1">
        <v>33248</v>
      </c>
      <c r="H2464" t="s">
        <v>5677</v>
      </c>
      <c r="I2464" s="2" t="str">
        <f t="shared" si="38"/>
        <v>+91-9724092281</v>
      </c>
      <c r="J2464">
        <f>91-9724092372</f>
        <v>-9724092281</v>
      </c>
      <c r="K2464" t="s">
        <v>64</v>
      </c>
      <c r="L2464" t="s">
        <v>20</v>
      </c>
      <c r="M2464">
        <v>683345</v>
      </c>
      <c r="N2464" s="1">
        <v>45290</v>
      </c>
      <c r="O2464" t="s">
        <v>28</v>
      </c>
      <c r="P2464">
        <v>4</v>
      </c>
      <c r="Q2464">
        <v>83289.919999999998</v>
      </c>
    </row>
    <row r="2465" spans="1:17" x14ac:dyDescent="0.3">
      <c r="A2465" t="s">
        <v>5678</v>
      </c>
      <c r="B2465" t="s">
        <v>611</v>
      </c>
      <c r="C2465" s="2" t="str">
        <f>PROPER(TRIM(Table1[[#This Row],[Gender]]))</f>
        <v>Male</v>
      </c>
      <c r="D2465" t="s">
        <v>16</v>
      </c>
      <c r="E2465">
        <v>26</v>
      </c>
      <c r="F2465" t="s">
        <v>31</v>
      </c>
      <c r="G2465" s="1">
        <v>36168</v>
      </c>
      <c r="H2465" t="s">
        <v>636</v>
      </c>
      <c r="I2465" s="2" t="str">
        <f t="shared" si="38"/>
        <v>+91-9772887808</v>
      </c>
      <c r="J2465">
        <f>91-9772887899</f>
        <v>-9772887808</v>
      </c>
      <c r="K2465" t="s">
        <v>195</v>
      </c>
      <c r="L2465" t="s">
        <v>102</v>
      </c>
      <c r="M2465">
        <v>151393</v>
      </c>
      <c r="N2465" s="1">
        <v>45425</v>
      </c>
      <c r="O2465" t="s">
        <v>28</v>
      </c>
      <c r="P2465">
        <v>6</v>
      </c>
      <c r="Q2465">
        <v>142738.14000000001</v>
      </c>
    </row>
    <row r="2466" spans="1:17" x14ac:dyDescent="0.3">
      <c r="A2466" t="s">
        <v>5679</v>
      </c>
      <c r="B2466" t="s">
        <v>1097</v>
      </c>
      <c r="C2466" s="2" t="str">
        <f>PROPER(TRIM(Table1[[#This Row],[Gender]]))</f>
        <v>Male</v>
      </c>
      <c r="D2466" t="s">
        <v>16</v>
      </c>
      <c r="E2466">
        <v>40</v>
      </c>
      <c r="F2466" t="s">
        <v>38</v>
      </c>
      <c r="G2466" s="1">
        <v>31058</v>
      </c>
      <c r="H2466" t="s">
        <v>5680</v>
      </c>
      <c r="I2466" s="2" t="str">
        <f t="shared" si="38"/>
        <v>+91-7442968168</v>
      </c>
      <c r="J2466">
        <f>91-7442968259</f>
        <v>-7442968168</v>
      </c>
      <c r="K2466" t="s">
        <v>121</v>
      </c>
      <c r="L2466" t="s">
        <v>85</v>
      </c>
      <c r="M2466">
        <v>302926</v>
      </c>
      <c r="N2466" s="1">
        <v>45307</v>
      </c>
      <c r="O2466" t="s">
        <v>28</v>
      </c>
      <c r="P2466">
        <v>4</v>
      </c>
      <c r="Q2466">
        <v>163721.03</v>
      </c>
    </row>
    <row r="2467" spans="1:17" x14ac:dyDescent="0.3">
      <c r="A2467" t="s">
        <v>5681</v>
      </c>
      <c r="B2467" t="s">
        <v>301</v>
      </c>
      <c r="C2467" s="2" t="str">
        <f>PROPER(TRIM(Table1[[#This Row],[Gender]]))</f>
        <v>Male</v>
      </c>
      <c r="D2467" t="s">
        <v>16</v>
      </c>
      <c r="E2467">
        <v>34</v>
      </c>
      <c r="F2467" t="s">
        <v>31</v>
      </c>
      <c r="G2467" s="1">
        <v>33248</v>
      </c>
      <c r="H2467" t="s">
        <v>5682</v>
      </c>
      <c r="I2467" s="2" t="str">
        <f t="shared" si="38"/>
        <v>+91-9986676530</v>
      </c>
      <c r="J2467">
        <f>91-9986676621</f>
        <v>-9986676530</v>
      </c>
      <c r="K2467" t="s">
        <v>273</v>
      </c>
      <c r="L2467" t="s">
        <v>46</v>
      </c>
      <c r="M2467">
        <v>419593</v>
      </c>
      <c r="N2467" s="1">
        <v>45322</v>
      </c>
      <c r="O2467" t="s">
        <v>28</v>
      </c>
      <c r="P2467">
        <v>13</v>
      </c>
      <c r="Q2467">
        <v>165705.66</v>
      </c>
    </row>
    <row r="2468" spans="1:17" x14ac:dyDescent="0.3">
      <c r="A2468" t="s">
        <v>5683</v>
      </c>
      <c r="B2468" t="s">
        <v>718</v>
      </c>
      <c r="C2468" s="2" t="str">
        <f>PROPER(TRIM(Table1[[#This Row],[Gender]]))</f>
        <v>Female</v>
      </c>
      <c r="D2468" t="s">
        <v>43</v>
      </c>
      <c r="E2468">
        <v>23</v>
      </c>
      <c r="F2468" t="s">
        <v>49</v>
      </c>
      <c r="G2468" s="1">
        <v>37263</v>
      </c>
      <c r="H2468" t="s">
        <v>1819</v>
      </c>
      <c r="I2468" s="2" t="str">
        <f t="shared" si="38"/>
        <v>+91-9332679529</v>
      </c>
      <c r="J2468">
        <f>91-9332679620</f>
        <v>-9332679529</v>
      </c>
      <c r="K2468" t="s">
        <v>165</v>
      </c>
      <c r="L2468" t="s">
        <v>52</v>
      </c>
      <c r="M2468">
        <v>802381</v>
      </c>
      <c r="N2468" s="1">
        <v>45136</v>
      </c>
      <c r="O2468" t="s">
        <v>28</v>
      </c>
      <c r="P2468">
        <v>7</v>
      </c>
      <c r="Q2468">
        <v>157453.79999999999</v>
      </c>
    </row>
    <row r="2469" spans="1:17" x14ac:dyDescent="0.3">
      <c r="A2469" t="s">
        <v>5684</v>
      </c>
      <c r="B2469" t="s">
        <v>3140</v>
      </c>
      <c r="C2469" s="2" t="str">
        <f>PROPER(TRIM(Table1[[#This Row],[Gender]]))</f>
        <v>Female</v>
      </c>
      <c r="D2469" t="s">
        <v>43</v>
      </c>
      <c r="E2469">
        <v>53</v>
      </c>
      <c r="F2469" t="s">
        <v>17</v>
      </c>
      <c r="G2469" s="1">
        <v>26313</v>
      </c>
      <c r="H2469" t="s">
        <v>5685</v>
      </c>
      <c r="I2469" s="2" t="str">
        <f t="shared" si="38"/>
        <v>+91-8006167737</v>
      </c>
      <c r="J2469">
        <f>91-8006167828</f>
        <v>-8006167737</v>
      </c>
      <c r="K2469" t="s">
        <v>331</v>
      </c>
      <c r="L2469" t="s">
        <v>143</v>
      </c>
      <c r="M2469">
        <v>500301</v>
      </c>
      <c r="N2469" s="1">
        <v>45100</v>
      </c>
      <c r="O2469" t="s">
        <v>28</v>
      </c>
      <c r="P2469">
        <v>2</v>
      </c>
      <c r="Q2469">
        <v>66820.33</v>
      </c>
    </row>
    <row r="2470" spans="1:17" x14ac:dyDescent="0.3">
      <c r="A2470" t="s">
        <v>5686</v>
      </c>
      <c r="B2470" t="s">
        <v>848</v>
      </c>
      <c r="C2470" s="2" t="str">
        <f>PROPER(TRIM(Table1[[#This Row],[Gender]]))</f>
        <v>Female</v>
      </c>
      <c r="D2470" t="s">
        <v>43</v>
      </c>
      <c r="E2470">
        <v>21</v>
      </c>
      <c r="F2470" t="s">
        <v>49</v>
      </c>
      <c r="G2470" s="1">
        <v>37993</v>
      </c>
      <c r="H2470" t="s">
        <v>5687</v>
      </c>
      <c r="I2470" s="2" t="str">
        <f t="shared" si="38"/>
        <v>+91-9426313934</v>
      </c>
      <c r="J2470">
        <f>91-9426314025</f>
        <v>-9426313934</v>
      </c>
      <c r="K2470" t="s">
        <v>249</v>
      </c>
      <c r="L2470" t="s">
        <v>34</v>
      </c>
      <c r="M2470">
        <v>876064</v>
      </c>
      <c r="N2470" s="1">
        <v>45315</v>
      </c>
      <c r="O2470" t="s">
        <v>28</v>
      </c>
      <c r="P2470">
        <v>8</v>
      </c>
      <c r="Q2470">
        <v>251241.25</v>
      </c>
    </row>
    <row r="2471" spans="1:17" x14ac:dyDescent="0.3">
      <c r="A2471" t="s">
        <v>5688</v>
      </c>
      <c r="B2471" t="s">
        <v>4263</v>
      </c>
      <c r="C2471" s="2" t="str">
        <f>PROPER(TRIM(Table1[[#This Row],[Gender]]))</f>
        <v>Female</v>
      </c>
      <c r="D2471" t="s">
        <v>43</v>
      </c>
      <c r="E2471">
        <v>19</v>
      </c>
      <c r="F2471" t="s">
        <v>49</v>
      </c>
      <c r="G2471" s="1">
        <v>38723</v>
      </c>
      <c r="H2471" t="s">
        <v>4264</v>
      </c>
      <c r="I2471" s="2" t="str">
        <f t="shared" si="38"/>
        <v>+91-8315056960</v>
      </c>
      <c r="J2471">
        <f>91-8315057051</f>
        <v>-8315056960</v>
      </c>
      <c r="K2471" t="s">
        <v>33</v>
      </c>
      <c r="L2471" t="s">
        <v>34</v>
      </c>
      <c r="M2471">
        <v>445300</v>
      </c>
      <c r="N2471" s="1">
        <v>45271</v>
      </c>
      <c r="O2471" t="s">
        <v>28</v>
      </c>
      <c r="P2471">
        <v>9</v>
      </c>
      <c r="Q2471">
        <v>383949.51</v>
      </c>
    </row>
    <row r="2472" spans="1:17" x14ac:dyDescent="0.3">
      <c r="A2472" t="s">
        <v>5689</v>
      </c>
      <c r="B2472" t="s">
        <v>1686</v>
      </c>
      <c r="C2472" s="2" t="str">
        <f>PROPER(TRIM(Table1[[#This Row],[Gender]]))</f>
        <v>Female</v>
      </c>
      <c r="D2472" t="s">
        <v>43</v>
      </c>
      <c r="E2472">
        <v>32</v>
      </c>
      <c r="F2472" t="s">
        <v>31</v>
      </c>
      <c r="G2472" s="1">
        <v>33978</v>
      </c>
      <c r="H2472" t="s">
        <v>5690</v>
      </c>
      <c r="I2472" s="2" t="str">
        <f t="shared" si="38"/>
        <v>+91-9679788097</v>
      </c>
      <c r="J2472">
        <f>91-9679788188</f>
        <v>-9679788097</v>
      </c>
      <c r="K2472" t="s">
        <v>101</v>
      </c>
      <c r="L2472" t="s">
        <v>102</v>
      </c>
      <c r="M2472">
        <v>584212</v>
      </c>
      <c r="N2472" s="1">
        <v>45361</v>
      </c>
      <c r="O2472" t="s">
        <v>21</v>
      </c>
      <c r="P2472">
        <v>4</v>
      </c>
      <c r="Q2472">
        <v>44951.51</v>
      </c>
    </row>
    <row r="2473" spans="1:17" x14ac:dyDescent="0.3">
      <c r="A2473" t="s">
        <v>5691</v>
      </c>
      <c r="B2473" t="s">
        <v>1926</v>
      </c>
      <c r="C2473" s="2" t="str">
        <f>PROPER(TRIM(Table1[[#This Row],[Gender]]))</f>
        <v>Female</v>
      </c>
      <c r="D2473" t="s">
        <v>43</v>
      </c>
      <c r="E2473">
        <v>35</v>
      </c>
      <c r="F2473" t="s">
        <v>31</v>
      </c>
      <c r="G2473" s="1">
        <v>32883</v>
      </c>
      <c r="H2473" t="s">
        <v>4428</v>
      </c>
      <c r="I2473" s="2" t="str">
        <f t="shared" si="38"/>
        <v>+91-9146303717</v>
      </c>
      <c r="J2473">
        <f>91-9146303808</f>
        <v>-9146303717</v>
      </c>
      <c r="K2473" t="s">
        <v>331</v>
      </c>
      <c r="L2473" t="s">
        <v>143</v>
      </c>
      <c r="M2473">
        <v>148204</v>
      </c>
      <c r="N2473" s="1">
        <v>45083</v>
      </c>
      <c r="O2473" t="s">
        <v>28</v>
      </c>
      <c r="P2473">
        <v>3</v>
      </c>
      <c r="Q2473">
        <v>93825.72</v>
      </c>
    </row>
    <row r="2474" spans="1:17" x14ac:dyDescent="0.3">
      <c r="A2474" t="s">
        <v>5692</v>
      </c>
      <c r="B2474" t="s">
        <v>3920</v>
      </c>
      <c r="C2474" s="2" t="str">
        <f>PROPER(TRIM(Table1[[#This Row],[Gender]]))</f>
        <v>Male</v>
      </c>
      <c r="D2474" t="s">
        <v>16</v>
      </c>
      <c r="E2474">
        <v>53</v>
      </c>
      <c r="F2474" t="s">
        <v>17</v>
      </c>
      <c r="G2474" s="1">
        <v>26313</v>
      </c>
      <c r="H2474" t="s">
        <v>5693</v>
      </c>
      <c r="I2474" s="2" t="str">
        <f t="shared" si="38"/>
        <v>+91-8376735981</v>
      </c>
      <c r="J2474">
        <f>91-8376736072</f>
        <v>-8376735981</v>
      </c>
      <c r="K2474" t="s">
        <v>113</v>
      </c>
      <c r="L2474" t="s">
        <v>34</v>
      </c>
      <c r="M2474">
        <v>822002</v>
      </c>
      <c r="N2474" s="1">
        <v>45080</v>
      </c>
      <c r="O2474" t="s">
        <v>35</v>
      </c>
      <c r="P2474">
        <v>3</v>
      </c>
      <c r="Q2474">
        <v>6536.85</v>
      </c>
    </row>
    <row r="2475" spans="1:17" x14ac:dyDescent="0.3">
      <c r="A2475" t="s">
        <v>5694</v>
      </c>
      <c r="B2475" t="s">
        <v>3025</v>
      </c>
      <c r="C2475" s="2" t="str">
        <f>PROPER(TRIM(Table1[[#This Row],[Gender]]))</f>
        <v>Female</v>
      </c>
      <c r="D2475" t="s">
        <v>43</v>
      </c>
      <c r="E2475">
        <v>20</v>
      </c>
      <c r="F2475" t="s">
        <v>49</v>
      </c>
      <c r="G2475" s="1">
        <v>38358</v>
      </c>
      <c r="H2475" t="s">
        <v>4366</v>
      </c>
      <c r="I2475" s="2" t="str">
        <f t="shared" si="38"/>
        <v>+91-7624612672</v>
      </c>
      <c r="J2475">
        <f>91-7624612763</f>
        <v>-7624612672</v>
      </c>
      <c r="K2475" t="s">
        <v>109</v>
      </c>
      <c r="L2475" t="s">
        <v>46</v>
      </c>
      <c r="M2475">
        <v>965948</v>
      </c>
      <c r="N2475" s="1">
        <v>45313</v>
      </c>
      <c r="O2475" t="s">
        <v>35</v>
      </c>
      <c r="P2475">
        <v>3</v>
      </c>
      <c r="Q2475">
        <v>5339.65</v>
      </c>
    </row>
    <row r="2476" spans="1:17" x14ac:dyDescent="0.3">
      <c r="A2476" t="s">
        <v>5695</v>
      </c>
      <c r="B2476" t="s">
        <v>543</v>
      </c>
      <c r="C2476" s="2" t="str">
        <f>PROPER(TRIM(Table1[[#This Row],[Gender]]))</f>
        <v>Female</v>
      </c>
      <c r="D2476" t="s">
        <v>43</v>
      </c>
      <c r="E2476">
        <v>20</v>
      </c>
      <c r="F2476" t="s">
        <v>49</v>
      </c>
      <c r="G2476" s="1">
        <v>38358</v>
      </c>
      <c r="H2476" t="s">
        <v>5696</v>
      </c>
      <c r="I2476" s="2" t="str">
        <f t="shared" si="38"/>
        <v>+91-9105842839</v>
      </c>
      <c r="J2476">
        <f>91-9105842930</f>
        <v>-9105842839</v>
      </c>
      <c r="K2476" t="s">
        <v>249</v>
      </c>
      <c r="L2476" t="s">
        <v>34</v>
      </c>
      <c r="M2476">
        <v>556426</v>
      </c>
      <c r="N2476" s="1">
        <v>45368</v>
      </c>
      <c r="O2476" t="s">
        <v>28</v>
      </c>
      <c r="P2476">
        <v>11</v>
      </c>
      <c r="Q2476">
        <v>198488.95</v>
      </c>
    </row>
    <row r="2477" spans="1:17" x14ac:dyDescent="0.3">
      <c r="A2477" t="s">
        <v>5697</v>
      </c>
      <c r="B2477" t="s">
        <v>3778</v>
      </c>
      <c r="C2477" s="2" t="str">
        <f>PROPER(TRIM(Table1[[#This Row],[Gender]]))</f>
        <v>Female</v>
      </c>
      <c r="D2477" t="s">
        <v>43</v>
      </c>
      <c r="E2477">
        <v>59</v>
      </c>
      <c r="F2477" t="s">
        <v>58</v>
      </c>
      <c r="G2477" s="1">
        <v>24123</v>
      </c>
      <c r="H2477" t="s">
        <v>5698</v>
      </c>
      <c r="I2477" s="2" t="str">
        <f t="shared" si="38"/>
        <v>+91-9904053086</v>
      </c>
      <c r="J2477">
        <f>91-9904053177</f>
        <v>-9904053086</v>
      </c>
      <c r="K2477" t="s">
        <v>125</v>
      </c>
      <c r="L2477" t="s">
        <v>52</v>
      </c>
      <c r="M2477">
        <v>177738</v>
      </c>
      <c r="N2477" s="1">
        <v>45319</v>
      </c>
      <c r="O2477" t="s">
        <v>21</v>
      </c>
      <c r="P2477">
        <v>8</v>
      </c>
      <c r="Q2477">
        <v>21521.29</v>
      </c>
    </row>
    <row r="2478" spans="1:17" x14ac:dyDescent="0.3">
      <c r="A2478" t="s">
        <v>5699</v>
      </c>
      <c r="B2478" t="s">
        <v>3005</v>
      </c>
      <c r="C2478" s="2" t="str">
        <f>PROPER(TRIM(Table1[[#This Row],[Gender]]))</f>
        <v>Male</v>
      </c>
      <c r="D2478" t="s">
        <v>16</v>
      </c>
      <c r="E2478">
        <v>36</v>
      </c>
      <c r="F2478" t="s">
        <v>38</v>
      </c>
      <c r="G2478" s="1">
        <v>32518</v>
      </c>
      <c r="H2478" t="s">
        <v>5700</v>
      </c>
      <c r="I2478" s="2" t="str">
        <f t="shared" si="38"/>
        <v>+91-7429803378</v>
      </c>
      <c r="J2478">
        <f>91-7429803469</f>
        <v>-7429803378</v>
      </c>
      <c r="K2478" t="s">
        <v>249</v>
      </c>
      <c r="L2478" t="s">
        <v>34</v>
      </c>
      <c r="M2478">
        <v>283989</v>
      </c>
      <c r="N2478" s="1">
        <v>45227</v>
      </c>
      <c r="O2478" t="s">
        <v>28</v>
      </c>
      <c r="P2478">
        <v>5</v>
      </c>
      <c r="Q2478">
        <v>119312.05</v>
      </c>
    </row>
    <row r="2479" spans="1:17" x14ac:dyDescent="0.3">
      <c r="A2479" t="s">
        <v>5701</v>
      </c>
      <c r="B2479" t="s">
        <v>62</v>
      </c>
      <c r="C2479" s="2" t="str">
        <f>PROPER(TRIM(Table1[[#This Row],[Gender]]))</f>
        <v>Female</v>
      </c>
      <c r="D2479" t="s">
        <v>43</v>
      </c>
      <c r="E2479">
        <v>33</v>
      </c>
      <c r="F2479" t="s">
        <v>31</v>
      </c>
      <c r="G2479" s="1">
        <v>33613</v>
      </c>
      <c r="H2479" t="s">
        <v>5702</v>
      </c>
      <c r="I2479" s="2" t="str">
        <f t="shared" si="38"/>
        <v>+91-7619677310</v>
      </c>
      <c r="J2479">
        <f>91-7619677401</f>
        <v>-7619677310</v>
      </c>
      <c r="K2479" t="s">
        <v>249</v>
      </c>
      <c r="L2479" t="s">
        <v>34</v>
      </c>
      <c r="M2479">
        <v>735637</v>
      </c>
      <c r="N2479" s="1">
        <v>45308</v>
      </c>
      <c r="O2479" t="s">
        <v>28</v>
      </c>
      <c r="P2479">
        <v>2</v>
      </c>
      <c r="Q2479">
        <v>74903.850000000006</v>
      </c>
    </row>
    <row r="2480" spans="1:17" x14ac:dyDescent="0.3">
      <c r="A2480" t="s">
        <v>5703</v>
      </c>
      <c r="B2480" t="s">
        <v>1236</v>
      </c>
      <c r="C2480" s="2" t="str">
        <f>PROPER(TRIM(Table1[[#This Row],[Gender]]))</f>
        <v>Male</v>
      </c>
      <c r="D2480" t="s">
        <v>16</v>
      </c>
      <c r="E2480">
        <v>41</v>
      </c>
      <c r="F2480" t="s">
        <v>38</v>
      </c>
      <c r="G2480" s="1">
        <v>30693</v>
      </c>
      <c r="H2480" t="s">
        <v>5704</v>
      </c>
      <c r="I2480" s="2" t="str">
        <f t="shared" si="38"/>
        <v>+91-9495350903</v>
      </c>
      <c r="J2480">
        <f>91-9495350994</f>
        <v>-9495350903</v>
      </c>
      <c r="K2480" t="s">
        <v>178</v>
      </c>
      <c r="L2480" t="s">
        <v>27</v>
      </c>
      <c r="M2480">
        <v>440880</v>
      </c>
      <c r="N2480" s="1">
        <v>45324</v>
      </c>
      <c r="O2480" t="s">
        <v>28</v>
      </c>
      <c r="P2480">
        <v>5</v>
      </c>
      <c r="Q2480">
        <v>60372.05</v>
      </c>
    </row>
    <row r="2481" spans="1:17" x14ac:dyDescent="0.3">
      <c r="A2481" t="s">
        <v>5705</v>
      </c>
      <c r="B2481" t="s">
        <v>5706</v>
      </c>
      <c r="C2481" s="2" t="str">
        <f>PROPER(TRIM(Table1[[#This Row],[Gender]]))</f>
        <v>Female</v>
      </c>
      <c r="D2481" t="s">
        <v>43</v>
      </c>
      <c r="E2481">
        <v>20</v>
      </c>
      <c r="F2481" t="s">
        <v>49</v>
      </c>
      <c r="G2481" s="1">
        <v>38358</v>
      </c>
      <c r="H2481" t="s">
        <v>5707</v>
      </c>
      <c r="I2481" s="2" t="str">
        <f t="shared" si="38"/>
        <v>+91-9900027205</v>
      </c>
      <c r="J2481">
        <f>91-9900027296</f>
        <v>-9900027205</v>
      </c>
      <c r="K2481" t="s">
        <v>72</v>
      </c>
      <c r="L2481" t="s">
        <v>34</v>
      </c>
      <c r="M2481">
        <v>114505</v>
      </c>
      <c r="N2481" s="1">
        <v>45213</v>
      </c>
      <c r="O2481" t="s">
        <v>35</v>
      </c>
      <c r="P2481">
        <v>4</v>
      </c>
      <c r="Q2481">
        <v>4489.5200000000004</v>
      </c>
    </row>
    <row r="2482" spans="1:17" x14ac:dyDescent="0.3">
      <c r="A2482" t="s">
        <v>5708</v>
      </c>
      <c r="B2482" t="s">
        <v>1482</v>
      </c>
      <c r="C2482" s="2" t="str">
        <f>PROPER(TRIM(Table1[[#This Row],[Gender]]))</f>
        <v>Male</v>
      </c>
      <c r="D2482" t="s">
        <v>16</v>
      </c>
      <c r="E2482">
        <v>24</v>
      </c>
      <c r="F2482" t="s">
        <v>49</v>
      </c>
      <c r="G2482" s="1">
        <v>36898</v>
      </c>
      <c r="H2482" t="s">
        <v>5709</v>
      </c>
      <c r="I2482" s="2" t="str">
        <f t="shared" si="38"/>
        <v>+91-7033819472</v>
      </c>
      <c r="J2482">
        <f>91-7033819563</f>
        <v>-7033819472</v>
      </c>
      <c r="K2482" t="s">
        <v>68</v>
      </c>
      <c r="L2482" t="s">
        <v>52</v>
      </c>
      <c r="M2482">
        <v>657378</v>
      </c>
      <c r="N2482" s="1">
        <v>45320</v>
      </c>
      <c r="O2482" t="s">
        <v>28</v>
      </c>
      <c r="P2482">
        <v>8</v>
      </c>
      <c r="Q2482">
        <v>219543.18</v>
      </c>
    </row>
    <row r="2483" spans="1:17" x14ac:dyDescent="0.3">
      <c r="A2483" t="s">
        <v>5710</v>
      </c>
      <c r="B2483" t="s">
        <v>737</v>
      </c>
      <c r="C2483" s="2" t="str">
        <f>PROPER(TRIM(Table1[[#This Row],[Gender]]))</f>
        <v>Male</v>
      </c>
      <c r="D2483" t="s">
        <v>16</v>
      </c>
      <c r="E2483">
        <v>31</v>
      </c>
      <c r="F2483" t="s">
        <v>31</v>
      </c>
      <c r="G2483" s="1">
        <v>34343</v>
      </c>
      <c r="H2483" t="s">
        <v>5711</v>
      </c>
      <c r="I2483" s="2" t="str">
        <f t="shared" si="38"/>
        <v>+91-8205420782</v>
      </c>
      <c r="J2483">
        <f>91-8205420873</f>
        <v>-8205420782</v>
      </c>
      <c r="K2483" t="s">
        <v>76</v>
      </c>
      <c r="L2483" t="s">
        <v>46</v>
      </c>
      <c r="M2483">
        <v>323527</v>
      </c>
      <c r="N2483" s="1">
        <v>45239</v>
      </c>
      <c r="O2483" t="s">
        <v>28</v>
      </c>
      <c r="P2483">
        <v>5</v>
      </c>
      <c r="Q2483">
        <v>123440.08</v>
      </c>
    </row>
    <row r="2484" spans="1:17" x14ac:dyDescent="0.3">
      <c r="A2484" t="s">
        <v>5712</v>
      </c>
      <c r="B2484" t="s">
        <v>2667</v>
      </c>
      <c r="C2484" s="2" t="str">
        <f>PROPER(TRIM(Table1[[#This Row],[Gender]]))</f>
        <v>Female</v>
      </c>
      <c r="D2484" t="s">
        <v>43</v>
      </c>
      <c r="E2484">
        <v>54</v>
      </c>
      <c r="F2484" t="s">
        <v>17</v>
      </c>
      <c r="G2484" s="1">
        <v>25948</v>
      </c>
      <c r="H2484" t="s">
        <v>5713</v>
      </c>
      <c r="I2484" s="2" t="str">
        <f t="shared" si="38"/>
        <v>+91-7678701632</v>
      </c>
      <c r="J2484">
        <f>91-7678701723</f>
        <v>-7678701632</v>
      </c>
      <c r="K2484" t="s">
        <v>33</v>
      </c>
      <c r="L2484" t="s">
        <v>34</v>
      </c>
      <c r="M2484">
        <v>413536</v>
      </c>
      <c r="N2484" s="1">
        <v>45360</v>
      </c>
      <c r="O2484" t="s">
        <v>28</v>
      </c>
      <c r="P2484">
        <v>7</v>
      </c>
      <c r="Q2484">
        <v>62991.97</v>
      </c>
    </row>
    <row r="2485" spans="1:17" x14ac:dyDescent="0.3">
      <c r="A2485" t="s">
        <v>5714</v>
      </c>
      <c r="B2485" t="s">
        <v>3696</v>
      </c>
      <c r="C2485" s="2" t="str">
        <f>PROPER(TRIM(Table1[[#This Row],[Gender]]))</f>
        <v>Male</v>
      </c>
      <c r="D2485" t="s">
        <v>16</v>
      </c>
      <c r="E2485">
        <v>20</v>
      </c>
      <c r="F2485" t="s">
        <v>49</v>
      </c>
      <c r="G2485" s="1">
        <v>38358</v>
      </c>
      <c r="H2485" t="s">
        <v>5715</v>
      </c>
      <c r="I2485" s="2" t="str">
        <f t="shared" si="38"/>
        <v>+91-8232542717</v>
      </c>
      <c r="J2485">
        <f>91-8232542808</f>
        <v>-8232542717</v>
      </c>
      <c r="K2485" t="s">
        <v>117</v>
      </c>
      <c r="L2485" t="s">
        <v>52</v>
      </c>
      <c r="M2485">
        <v>618915</v>
      </c>
      <c r="N2485" s="1">
        <v>45420</v>
      </c>
      <c r="O2485" t="s">
        <v>28</v>
      </c>
      <c r="P2485">
        <v>7</v>
      </c>
      <c r="Q2485">
        <v>236807.95</v>
      </c>
    </row>
    <row r="2486" spans="1:17" x14ac:dyDescent="0.3">
      <c r="A2486" t="s">
        <v>5716</v>
      </c>
      <c r="B2486" t="s">
        <v>1078</v>
      </c>
      <c r="C2486" s="2" t="str">
        <f>PROPER(TRIM(Table1[[#This Row],[Gender]]))</f>
        <v>Female</v>
      </c>
      <c r="D2486" t="s">
        <v>43</v>
      </c>
      <c r="E2486">
        <v>20</v>
      </c>
      <c r="F2486" t="s">
        <v>49</v>
      </c>
      <c r="G2486" s="1">
        <v>38358</v>
      </c>
      <c r="H2486" t="s">
        <v>1079</v>
      </c>
      <c r="I2486" s="2" t="str">
        <f t="shared" si="38"/>
        <v>+91-7072426647</v>
      </c>
      <c r="J2486">
        <f>91-7072426738</f>
        <v>-7072426647</v>
      </c>
      <c r="K2486" t="s">
        <v>26</v>
      </c>
      <c r="L2486" t="s">
        <v>27</v>
      </c>
      <c r="M2486">
        <v>413343</v>
      </c>
      <c r="N2486" s="1">
        <v>45147</v>
      </c>
      <c r="O2486" t="s">
        <v>28</v>
      </c>
      <c r="P2486">
        <v>5</v>
      </c>
      <c r="Q2486">
        <v>80936.95</v>
      </c>
    </row>
    <row r="2487" spans="1:17" x14ac:dyDescent="0.3">
      <c r="A2487" t="s">
        <v>5717</v>
      </c>
      <c r="B2487" t="s">
        <v>1004</v>
      </c>
      <c r="C2487" s="2" t="str">
        <f>PROPER(TRIM(Table1[[#This Row],[Gender]]))</f>
        <v>Female</v>
      </c>
      <c r="D2487" t="s">
        <v>43</v>
      </c>
      <c r="E2487">
        <v>34</v>
      </c>
      <c r="F2487" t="s">
        <v>31</v>
      </c>
      <c r="G2487" s="1">
        <v>33248</v>
      </c>
      <c r="H2487" t="s">
        <v>5718</v>
      </c>
      <c r="I2487" s="2" t="str">
        <f t="shared" si="38"/>
        <v>+91-9245074620</v>
      </c>
      <c r="J2487">
        <f>91-9245074711</f>
        <v>-9245074620</v>
      </c>
      <c r="K2487" t="s">
        <v>154</v>
      </c>
      <c r="L2487" t="s">
        <v>46</v>
      </c>
      <c r="M2487">
        <v>168133</v>
      </c>
      <c r="N2487" s="1">
        <v>45199</v>
      </c>
      <c r="O2487" t="s">
        <v>21</v>
      </c>
      <c r="P2487">
        <v>4</v>
      </c>
      <c r="Q2487">
        <v>40437.32</v>
      </c>
    </row>
    <row r="2488" spans="1:17" x14ac:dyDescent="0.3">
      <c r="A2488" t="s">
        <v>5719</v>
      </c>
      <c r="B2488" t="s">
        <v>1375</v>
      </c>
      <c r="C2488" s="2" t="str">
        <f>PROPER(TRIM(Table1[[#This Row],[Gender]]))</f>
        <v>Female</v>
      </c>
      <c r="D2488" t="s">
        <v>43</v>
      </c>
      <c r="E2488">
        <v>56</v>
      </c>
      <c r="F2488" t="s">
        <v>58</v>
      </c>
      <c r="G2488" s="1">
        <v>25218</v>
      </c>
      <c r="H2488" t="s">
        <v>5720</v>
      </c>
      <c r="I2488" s="2" t="str">
        <f t="shared" si="38"/>
        <v>+91-7751793558</v>
      </c>
      <c r="J2488">
        <f>91-7751793649</f>
        <v>-7751793558</v>
      </c>
      <c r="K2488" t="s">
        <v>76</v>
      </c>
      <c r="L2488" t="s">
        <v>46</v>
      </c>
      <c r="M2488">
        <v>174102</v>
      </c>
      <c r="N2488" s="1">
        <v>45099</v>
      </c>
      <c r="O2488" t="s">
        <v>35</v>
      </c>
      <c r="P2488">
        <v>5</v>
      </c>
      <c r="Q2488">
        <v>16407.150000000001</v>
      </c>
    </row>
    <row r="2489" spans="1:17" x14ac:dyDescent="0.3">
      <c r="A2489" t="s">
        <v>5721</v>
      </c>
      <c r="B2489" t="s">
        <v>5722</v>
      </c>
      <c r="C2489" s="2" t="str">
        <f>PROPER(TRIM(Table1[[#This Row],[Gender]]))</f>
        <v>Female</v>
      </c>
      <c r="D2489" t="s">
        <v>43</v>
      </c>
      <c r="E2489">
        <v>32</v>
      </c>
      <c r="F2489" t="s">
        <v>31</v>
      </c>
      <c r="G2489" s="1">
        <v>33978</v>
      </c>
      <c r="H2489" t="s">
        <v>5723</v>
      </c>
      <c r="I2489" s="2" t="str">
        <f t="shared" si="38"/>
        <v>+91-9138201886</v>
      </c>
      <c r="J2489">
        <f>91-9138201977</f>
        <v>-9138201886</v>
      </c>
      <c r="K2489" t="s">
        <v>121</v>
      </c>
      <c r="L2489" t="s">
        <v>85</v>
      </c>
      <c r="M2489">
        <v>556648</v>
      </c>
      <c r="N2489" s="1">
        <v>45269</v>
      </c>
      <c r="O2489" t="s">
        <v>28</v>
      </c>
      <c r="P2489">
        <v>7</v>
      </c>
      <c r="Q2489">
        <v>432489.14</v>
      </c>
    </row>
    <row r="2490" spans="1:17" x14ac:dyDescent="0.3">
      <c r="A2490" t="s">
        <v>5724</v>
      </c>
      <c r="B2490" t="s">
        <v>3862</v>
      </c>
      <c r="C2490" s="2" t="str">
        <f>PROPER(TRIM(Table1[[#This Row],[Gender]]))</f>
        <v>Male</v>
      </c>
      <c r="D2490" t="s">
        <v>16</v>
      </c>
      <c r="E2490">
        <v>30</v>
      </c>
      <c r="F2490" t="s">
        <v>31</v>
      </c>
      <c r="G2490" s="1">
        <v>34708</v>
      </c>
      <c r="H2490" t="s">
        <v>5725</v>
      </c>
      <c r="I2490" s="2" t="str">
        <f t="shared" si="38"/>
        <v>+91-8222758182</v>
      </c>
      <c r="J2490">
        <f>91-8222758273</f>
        <v>-8222758182</v>
      </c>
      <c r="K2490" t="s">
        <v>165</v>
      </c>
      <c r="L2490" t="s">
        <v>52</v>
      </c>
      <c r="M2490">
        <v>890378</v>
      </c>
      <c r="N2490" s="1">
        <v>45110</v>
      </c>
      <c r="O2490" t="s">
        <v>28</v>
      </c>
      <c r="P2490">
        <v>4</v>
      </c>
      <c r="Q2490">
        <v>123776</v>
      </c>
    </row>
    <row r="2491" spans="1:17" x14ac:dyDescent="0.3">
      <c r="A2491" t="s">
        <v>5726</v>
      </c>
      <c r="B2491" t="s">
        <v>3041</v>
      </c>
      <c r="C2491" s="2" t="str">
        <f>PROPER(TRIM(Table1[[#This Row],[Gender]]))</f>
        <v>Male</v>
      </c>
      <c r="D2491" t="s">
        <v>16</v>
      </c>
      <c r="E2491">
        <v>38</v>
      </c>
      <c r="F2491" t="s">
        <v>38</v>
      </c>
      <c r="G2491" s="1">
        <v>31788</v>
      </c>
      <c r="H2491" t="s">
        <v>5727</v>
      </c>
      <c r="I2491" s="2" t="str">
        <f t="shared" si="38"/>
        <v>+91-8641488669</v>
      </c>
      <c r="J2491">
        <f>91-8641488760</f>
        <v>-8641488669</v>
      </c>
      <c r="K2491" t="s">
        <v>76</v>
      </c>
      <c r="L2491" t="s">
        <v>46</v>
      </c>
      <c r="M2491">
        <v>804650</v>
      </c>
      <c r="N2491" s="1">
        <v>45264</v>
      </c>
      <c r="O2491" t="s">
        <v>35</v>
      </c>
      <c r="P2491">
        <v>2</v>
      </c>
      <c r="Q2491">
        <v>3007.76</v>
      </c>
    </row>
    <row r="2492" spans="1:17" x14ac:dyDescent="0.3">
      <c r="A2492" t="s">
        <v>5728</v>
      </c>
      <c r="B2492" t="s">
        <v>3557</v>
      </c>
      <c r="C2492" s="2" t="str">
        <f>PROPER(TRIM(Table1[[#This Row],[Gender]]))</f>
        <v>Male</v>
      </c>
      <c r="D2492" t="s">
        <v>16</v>
      </c>
      <c r="E2492">
        <v>26</v>
      </c>
      <c r="F2492" t="s">
        <v>31</v>
      </c>
      <c r="G2492" s="1">
        <v>36168</v>
      </c>
      <c r="H2492" t="s">
        <v>5729</v>
      </c>
      <c r="I2492" s="2" t="str">
        <f t="shared" si="38"/>
        <v>+91-7452110421</v>
      </c>
      <c r="J2492">
        <f>91-7452110512</f>
        <v>-7452110421</v>
      </c>
      <c r="K2492" t="s">
        <v>415</v>
      </c>
      <c r="L2492" t="s">
        <v>90</v>
      </c>
      <c r="M2492">
        <v>934726</v>
      </c>
      <c r="N2492" s="1">
        <v>45105</v>
      </c>
      <c r="O2492" t="s">
        <v>35</v>
      </c>
      <c r="P2492">
        <v>2</v>
      </c>
      <c r="Q2492">
        <v>8280.5</v>
      </c>
    </row>
    <row r="2493" spans="1:17" x14ac:dyDescent="0.3">
      <c r="A2493" t="s">
        <v>5730</v>
      </c>
      <c r="B2493" t="s">
        <v>5731</v>
      </c>
      <c r="C2493" s="2" t="str">
        <f>PROPER(TRIM(Table1[[#This Row],[Gender]]))</f>
        <v>Male</v>
      </c>
      <c r="D2493" t="s">
        <v>16</v>
      </c>
      <c r="E2493">
        <v>30</v>
      </c>
      <c r="F2493" t="s">
        <v>31</v>
      </c>
      <c r="G2493" s="1">
        <v>34708</v>
      </c>
      <c r="H2493" t="s">
        <v>5732</v>
      </c>
      <c r="I2493" s="2" t="str">
        <f t="shared" si="38"/>
        <v>+91-9624448073</v>
      </c>
      <c r="J2493">
        <f>91-9624448164</f>
        <v>-9624448073</v>
      </c>
      <c r="K2493" t="s">
        <v>239</v>
      </c>
      <c r="L2493" t="s">
        <v>191</v>
      </c>
      <c r="M2493">
        <v>610001</v>
      </c>
      <c r="N2493" s="1">
        <v>45253</v>
      </c>
      <c r="O2493" t="s">
        <v>28</v>
      </c>
      <c r="P2493">
        <v>3</v>
      </c>
      <c r="Q2493">
        <v>67217.320000000007</v>
      </c>
    </row>
    <row r="2494" spans="1:17" x14ac:dyDescent="0.3">
      <c r="A2494" t="s">
        <v>5733</v>
      </c>
      <c r="B2494" t="s">
        <v>778</v>
      </c>
      <c r="C2494" s="2" t="str">
        <f>PROPER(TRIM(Table1[[#This Row],[Gender]]))</f>
        <v>Female</v>
      </c>
      <c r="D2494" t="s">
        <v>43</v>
      </c>
      <c r="E2494">
        <v>39</v>
      </c>
      <c r="F2494" t="s">
        <v>38</v>
      </c>
      <c r="G2494" s="1">
        <v>31423</v>
      </c>
      <c r="H2494" t="s">
        <v>5734</v>
      </c>
      <c r="I2494" s="2" t="str">
        <f t="shared" si="38"/>
        <v>+91-9272013957</v>
      </c>
      <c r="J2494">
        <f>91-9272014048</f>
        <v>-9272013957</v>
      </c>
      <c r="K2494" t="s">
        <v>76</v>
      </c>
      <c r="L2494" t="s">
        <v>46</v>
      </c>
      <c r="M2494">
        <v>265487</v>
      </c>
      <c r="N2494" s="1">
        <v>45318</v>
      </c>
      <c r="O2494" t="s">
        <v>28</v>
      </c>
      <c r="P2494">
        <v>9</v>
      </c>
      <c r="Q2494">
        <v>294279.14</v>
      </c>
    </row>
    <row r="2495" spans="1:17" x14ac:dyDescent="0.3">
      <c r="A2495" t="s">
        <v>5735</v>
      </c>
      <c r="B2495" t="s">
        <v>868</v>
      </c>
      <c r="C2495" s="2" t="str">
        <f>PROPER(TRIM(Table1[[#This Row],[Gender]]))</f>
        <v>Female</v>
      </c>
      <c r="D2495" t="s">
        <v>43</v>
      </c>
      <c r="E2495">
        <v>29</v>
      </c>
      <c r="F2495" t="s">
        <v>31</v>
      </c>
      <c r="G2495" s="1">
        <v>35073</v>
      </c>
      <c r="H2495" t="s">
        <v>5736</v>
      </c>
      <c r="I2495" s="2" t="str">
        <f t="shared" si="38"/>
        <v>+91-7524388495</v>
      </c>
      <c r="J2495">
        <f>91-7524388586</f>
        <v>-7524388495</v>
      </c>
      <c r="K2495" t="s">
        <v>89</v>
      </c>
      <c r="L2495" t="s">
        <v>90</v>
      </c>
      <c r="M2495">
        <v>206578</v>
      </c>
      <c r="N2495" s="1">
        <v>45125</v>
      </c>
      <c r="O2495" t="s">
        <v>21</v>
      </c>
      <c r="P2495">
        <v>3</v>
      </c>
      <c r="Q2495">
        <v>33352.239999999998</v>
      </c>
    </row>
    <row r="2496" spans="1:17" x14ac:dyDescent="0.3">
      <c r="A2496" t="s">
        <v>5737</v>
      </c>
      <c r="B2496" t="s">
        <v>5633</v>
      </c>
      <c r="C2496" s="2" t="str">
        <f>PROPER(TRIM(Table1[[#This Row],[Gender]]))</f>
        <v>Female</v>
      </c>
      <c r="D2496" t="s">
        <v>43</v>
      </c>
      <c r="E2496">
        <v>62</v>
      </c>
      <c r="F2496" t="s">
        <v>58</v>
      </c>
      <c r="G2496" s="1">
        <v>23028</v>
      </c>
      <c r="H2496" t="s">
        <v>5738</v>
      </c>
      <c r="I2496" s="2" t="str">
        <f t="shared" si="38"/>
        <v>+91-8821141536</v>
      </c>
      <c r="J2496">
        <f>91-8821141627</f>
        <v>-8821141536</v>
      </c>
      <c r="K2496" t="s">
        <v>239</v>
      </c>
      <c r="L2496" t="s">
        <v>191</v>
      </c>
      <c r="M2496">
        <v>678949</v>
      </c>
      <c r="N2496" s="1">
        <v>45403</v>
      </c>
      <c r="O2496" t="s">
        <v>35</v>
      </c>
      <c r="P2496">
        <v>6</v>
      </c>
      <c r="Q2496">
        <v>11381.63</v>
      </c>
    </row>
    <row r="2497" spans="1:17" x14ac:dyDescent="0.3">
      <c r="A2497" t="s">
        <v>5739</v>
      </c>
      <c r="B2497" t="s">
        <v>963</v>
      </c>
      <c r="C2497" s="2" t="str">
        <f>PROPER(TRIM(Table1[[#This Row],[Gender]]))</f>
        <v>Male</v>
      </c>
      <c r="D2497" t="s">
        <v>16</v>
      </c>
      <c r="E2497">
        <v>20</v>
      </c>
      <c r="F2497" t="s">
        <v>49</v>
      </c>
      <c r="G2497" s="1">
        <v>38358</v>
      </c>
      <c r="H2497" t="s">
        <v>5740</v>
      </c>
      <c r="I2497" s="2" t="str">
        <f t="shared" si="38"/>
        <v>+91-8336101826</v>
      </c>
      <c r="J2497">
        <f>91-8336101917</f>
        <v>-8336101826</v>
      </c>
      <c r="K2497" t="s">
        <v>72</v>
      </c>
      <c r="L2497" t="s">
        <v>34</v>
      </c>
      <c r="M2497">
        <v>994107</v>
      </c>
      <c r="N2497" s="1">
        <v>45290</v>
      </c>
      <c r="O2497" t="s">
        <v>28</v>
      </c>
      <c r="P2497">
        <v>5</v>
      </c>
      <c r="Q2497">
        <v>54314.62</v>
      </c>
    </row>
    <row r="2498" spans="1:17" x14ac:dyDescent="0.3">
      <c r="A2498" t="s">
        <v>5741</v>
      </c>
      <c r="B2498" t="s">
        <v>386</v>
      </c>
      <c r="C2498" s="2" t="str">
        <f>PROPER(TRIM(Table1[[#This Row],[Gender]]))</f>
        <v>Male</v>
      </c>
      <c r="D2498" t="s">
        <v>16</v>
      </c>
      <c r="E2498">
        <v>28</v>
      </c>
      <c r="F2498" t="s">
        <v>31</v>
      </c>
      <c r="G2498" s="1">
        <v>35438</v>
      </c>
      <c r="H2498" t="s">
        <v>5742</v>
      </c>
      <c r="I2498" s="2" t="str">
        <f t="shared" ref="I2498:I2561" si="39">"+91"&amp;TEXT(J2498,"0000000000")</f>
        <v>+91-8277488184</v>
      </c>
      <c r="J2498">
        <f>91-8277488275</f>
        <v>-8277488184</v>
      </c>
      <c r="K2498" t="s">
        <v>178</v>
      </c>
      <c r="L2498" t="s">
        <v>27</v>
      </c>
      <c r="M2498">
        <v>588873</v>
      </c>
      <c r="N2498" s="1">
        <v>45137</v>
      </c>
      <c r="O2498" t="s">
        <v>28</v>
      </c>
      <c r="P2498">
        <v>9</v>
      </c>
      <c r="Q2498">
        <v>288198.95</v>
      </c>
    </row>
    <row r="2499" spans="1:17" x14ac:dyDescent="0.3">
      <c r="A2499" t="s">
        <v>5743</v>
      </c>
      <c r="B2499" t="s">
        <v>487</v>
      </c>
      <c r="C2499" s="2" t="str">
        <f>PROPER(TRIM(Table1[[#This Row],[Gender]]))</f>
        <v>Female</v>
      </c>
      <c r="D2499" t="s">
        <v>43</v>
      </c>
      <c r="E2499">
        <v>19</v>
      </c>
      <c r="F2499" t="s">
        <v>49</v>
      </c>
      <c r="G2499" s="1">
        <v>38723</v>
      </c>
      <c r="H2499" t="s">
        <v>5744</v>
      </c>
      <c r="I2499" s="2" t="str">
        <f t="shared" si="39"/>
        <v>+91-8004695199</v>
      </c>
      <c r="J2499">
        <f>91-8004695290</f>
        <v>-8004695199</v>
      </c>
      <c r="K2499" t="s">
        <v>415</v>
      </c>
      <c r="L2499" t="s">
        <v>90</v>
      </c>
      <c r="M2499">
        <v>574772</v>
      </c>
      <c r="N2499" s="1">
        <v>45374</v>
      </c>
      <c r="O2499" t="s">
        <v>35</v>
      </c>
      <c r="P2499">
        <v>6</v>
      </c>
      <c r="Q2499">
        <v>14365.61</v>
      </c>
    </row>
    <row r="2500" spans="1:17" x14ac:dyDescent="0.3">
      <c r="A2500" t="s">
        <v>5745</v>
      </c>
      <c r="B2500" t="s">
        <v>2108</v>
      </c>
      <c r="C2500" s="2" t="str">
        <f>PROPER(TRIM(Table1[[#This Row],[Gender]]))</f>
        <v>Male</v>
      </c>
      <c r="D2500" t="s">
        <v>16</v>
      </c>
      <c r="E2500">
        <v>22</v>
      </c>
      <c r="F2500" t="s">
        <v>49</v>
      </c>
      <c r="G2500" s="1">
        <v>37628</v>
      </c>
      <c r="H2500" t="s">
        <v>5746</v>
      </c>
      <c r="I2500" s="2" t="str">
        <f t="shared" si="39"/>
        <v>+91-7886431504</v>
      </c>
      <c r="J2500">
        <f>91-7886431595</f>
        <v>-7886431504</v>
      </c>
      <c r="K2500" t="s">
        <v>94</v>
      </c>
      <c r="L2500" t="s">
        <v>20</v>
      </c>
      <c r="M2500">
        <v>190274</v>
      </c>
      <c r="N2500" s="1">
        <v>45234</v>
      </c>
      <c r="O2500" t="s">
        <v>28</v>
      </c>
      <c r="P2500">
        <v>3</v>
      </c>
      <c r="Q2500">
        <v>212171.47</v>
      </c>
    </row>
    <row r="2501" spans="1:17" x14ac:dyDescent="0.3">
      <c r="A2501" t="s">
        <v>5747</v>
      </c>
      <c r="B2501" t="s">
        <v>244</v>
      </c>
      <c r="C2501" s="2" t="str">
        <f>PROPER(TRIM(Table1[[#This Row],[Gender]]))</f>
        <v>Male</v>
      </c>
      <c r="D2501" t="s">
        <v>16</v>
      </c>
      <c r="E2501">
        <v>35</v>
      </c>
      <c r="F2501" t="s">
        <v>31</v>
      </c>
      <c r="G2501" s="1">
        <v>32883</v>
      </c>
      <c r="H2501" t="s">
        <v>5748</v>
      </c>
      <c r="I2501" s="2" t="str">
        <f t="shared" si="39"/>
        <v>+91-9743106413</v>
      </c>
      <c r="J2501">
        <f>91-9743106504</f>
        <v>-9743106413</v>
      </c>
      <c r="K2501" t="s">
        <v>80</v>
      </c>
      <c r="L2501" t="s">
        <v>20</v>
      </c>
      <c r="M2501">
        <v>422531</v>
      </c>
      <c r="N2501" s="1">
        <v>45196</v>
      </c>
      <c r="O2501" t="s">
        <v>28</v>
      </c>
      <c r="P2501">
        <v>3</v>
      </c>
      <c r="Q2501">
        <v>79375.05</v>
      </c>
    </row>
    <row r="2502" spans="1:17" x14ac:dyDescent="0.3">
      <c r="A2502" t="s">
        <v>5749</v>
      </c>
      <c r="B2502" t="s">
        <v>5750</v>
      </c>
      <c r="C2502" s="2" t="str">
        <f>PROPER(TRIM(Table1[[#This Row],[Gender]]))</f>
        <v>Male</v>
      </c>
      <c r="D2502" t="s">
        <v>16</v>
      </c>
      <c r="E2502">
        <v>30</v>
      </c>
      <c r="F2502" t="s">
        <v>31</v>
      </c>
      <c r="G2502" s="1">
        <v>34708</v>
      </c>
      <c r="H2502" t="s">
        <v>5751</v>
      </c>
      <c r="I2502" s="2" t="str">
        <f t="shared" si="39"/>
        <v>+91-9034719683</v>
      </c>
      <c r="J2502">
        <f>91-9034719774</f>
        <v>-9034719683</v>
      </c>
      <c r="K2502" t="s">
        <v>72</v>
      </c>
      <c r="L2502" t="s">
        <v>34</v>
      </c>
      <c r="M2502">
        <v>396752</v>
      </c>
      <c r="N2502" s="1">
        <v>45399</v>
      </c>
      <c r="O2502" t="s">
        <v>28</v>
      </c>
      <c r="P2502">
        <v>5</v>
      </c>
      <c r="Q2502">
        <v>168675.91</v>
      </c>
    </row>
    <row r="2503" spans="1:17" x14ac:dyDescent="0.3">
      <c r="A2503" t="s">
        <v>5752</v>
      </c>
      <c r="B2503" t="s">
        <v>298</v>
      </c>
      <c r="C2503" s="2" t="str">
        <f>PROPER(TRIM(Table1[[#This Row],[Gender]]))</f>
        <v>Male</v>
      </c>
      <c r="D2503" t="s">
        <v>16</v>
      </c>
      <c r="E2503">
        <v>26</v>
      </c>
      <c r="F2503" t="s">
        <v>31</v>
      </c>
      <c r="G2503" s="1">
        <v>36168</v>
      </c>
      <c r="H2503" t="s">
        <v>5753</v>
      </c>
      <c r="I2503" s="2" t="str">
        <f t="shared" si="39"/>
        <v>+91-7866890441</v>
      </c>
      <c r="J2503">
        <f>91-7866890532</f>
        <v>-7866890441</v>
      </c>
      <c r="K2503" t="s">
        <v>147</v>
      </c>
      <c r="L2503" t="s">
        <v>143</v>
      </c>
      <c r="M2503">
        <v>952943</v>
      </c>
      <c r="N2503" s="1">
        <v>45238</v>
      </c>
      <c r="O2503" t="s">
        <v>28</v>
      </c>
      <c r="P2503">
        <v>8</v>
      </c>
      <c r="Q2503">
        <v>292600.71000000002</v>
      </c>
    </row>
    <row r="2504" spans="1:17" x14ac:dyDescent="0.3">
      <c r="A2504" t="s">
        <v>5754</v>
      </c>
      <c r="B2504" t="s">
        <v>4476</v>
      </c>
      <c r="C2504" s="2" t="str">
        <f>PROPER(TRIM(Table1[[#This Row],[Gender]]))</f>
        <v>Male</v>
      </c>
      <c r="D2504" t="s">
        <v>16</v>
      </c>
      <c r="E2504">
        <v>24</v>
      </c>
      <c r="F2504" t="s">
        <v>49</v>
      </c>
      <c r="G2504" s="1">
        <v>36898</v>
      </c>
      <c r="H2504" t="s">
        <v>5755</v>
      </c>
      <c r="I2504" s="2" t="str">
        <f t="shared" si="39"/>
        <v>+91-7104041880</v>
      </c>
      <c r="J2504">
        <f>91-7104041971</f>
        <v>-7104041880</v>
      </c>
      <c r="K2504" t="s">
        <v>121</v>
      </c>
      <c r="L2504" t="s">
        <v>85</v>
      </c>
      <c r="M2504">
        <v>459870</v>
      </c>
      <c r="N2504" s="1">
        <v>45234</v>
      </c>
      <c r="O2504" t="s">
        <v>28</v>
      </c>
      <c r="P2504">
        <v>2</v>
      </c>
      <c r="Q2504">
        <v>82164.350000000006</v>
      </c>
    </row>
    <row r="2505" spans="1:17" x14ac:dyDescent="0.3">
      <c r="A2505" t="s">
        <v>5756</v>
      </c>
      <c r="B2505" t="s">
        <v>3053</v>
      </c>
      <c r="C2505" s="2" t="str">
        <f>PROPER(TRIM(Table1[[#This Row],[Gender]]))</f>
        <v>Male</v>
      </c>
      <c r="D2505" t="s">
        <v>16</v>
      </c>
      <c r="E2505">
        <v>35</v>
      </c>
      <c r="F2505" t="s">
        <v>31</v>
      </c>
      <c r="G2505" s="1">
        <v>32883</v>
      </c>
      <c r="H2505" t="s">
        <v>5757</v>
      </c>
      <c r="I2505" s="2" t="str">
        <f t="shared" si="39"/>
        <v>+91-9608294600</v>
      </c>
      <c r="J2505">
        <f>91-9608294691</f>
        <v>-9608294600</v>
      </c>
      <c r="K2505" t="s">
        <v>89</v>
      </c>
      <c r="L2505" t="s">
        <v>90</v>
      </c>
      <c r="M2505">
        <v>538319</v>
      </c>
      <c r="N2505" s="1">
        <v>45129</v>
      </c>
      <c r="O2505" t="s">
        <v>28</v>
      </c>
      <c r="P2505">
        <v>9</v>
      </c>
      <c r="Q2505">
        <v>407396.73</v>
      </c>
    </row>
    <row r="2506" spans="1:17" x14ac:dyDescent="0.3">
      <c r="A2506" t="s">
        <v>5758</v>
      </c>
      <c r="B2506" t="s">
        <v>4848</v>
      </c>
      <c r="C2506" s="2" t="str">
        <f>PROPER(TRIM(Table1[[#This Row],[Gender]]))</f>
        <v>Female</v>
      </c>
      <c r="D2506" t="s">
        <v>43</v>
      </c>
      <c r="E2506">
        <v>54</v>
      </c>
      <c r="F2506" t="s">
        <v>17</v>
      </c>
      <c r="G2506" s="1">
        <v>25948</v>
      </c>
      <c r="H2506" t="s">
        <v>5759</v>
      </c>
      <c r="I2506" s="2" t="str">
        <f t="shared" si="39"/>
        <v>+91-7215143639</v>
      </c>
      <c r="J2506">
        <f>91-7215143730</f>
        <v>-7215143639</v>
      </c>
      <c r="K2506" t="s">
        <v>68</v>
      </c>
      <c r="L2506" t="s">
        <v>52</v>
      </c>
      <c r="M2506">
        <v>306585</v>
      </c>
      <c r="N2506" s="1">
        <v>45165</v>
      </c>
      <c r="O2506" t="s">
        <v>35</v>
      </c>
      <c r="P2506">
        <v>4</v>
      </c>
      <c r="Q2506">
        <v>11040.53</v>
      </c>
    </row>
    <row r="2507" spans="1:17" x14ac:dyDescent="0.3">
      <c r="A2507" t="s">
        <v>5760</v>
      </c>
      <c r="B2507" t="s">
        <v>1211</v>
      </c>
      <c r="C2507" s="2" t="str">
        <f>PROPER(TRIM(Table1[[#This Row],[Gender]]))</f>
        <v>Female</v>
      </c>
      <c r="D2507" t="s">
        <v>43</v>
      </c>
      <c r="E2507">
        <v>34</v>
      </c>
      <c r="F2507" t="s">
        <v>31</v>
      </c>
      <c r="G2507" s="1">
        <v>33248</v>
      </c>
      <c r="H2507" t="s">
        <v>2096</v>
      </c>
      <c r="I2507" s="2" t="str">
        <f t="shared" si="39"/>
        <v>+91-7143327028</v>
      </c>
      <c r="J2507">
        <f>91-7143327119</f>
        <v>-7143327028</v>
      </c>
      <c r="K2507" t="s">
        <v>147</v>
      </c>
      <c r="L2507" t="s">
        <v>143</v>
      </c>
      <c r="M2507">
        <v>348859</v>
      </c>
      <c r="N2507" s="1">
        <v>45138</v>
      </c>
      <c r="O2507" t="s">
        <v>28</v>
      </c>
      <c r="P2507">
        <v>5</v>
      </c>
      <c r="Q2507">
        <v>217437.52</v>
      </c>
    </row>
    <row r="2508" spans="1:17" x14ac:dyDescent="0.3">
      <c r="A2508" t="s">
        <v>5761</v>
      </c>
      <c r="B2508" t="s">
        <v>1043</v>
      </c>
      <c r="C2508" s="2" t="str">
        <f>PROPER(TRIM(Table1[[#This Row],[Gender]]))</f>
        <v>Female</v>
      </c>
      <c r="D2508" t="s">
        <v>43</v>
      </c>
      <c r="E2508">
        <v>29</v>
      </c>
      <c r="F2508" t="s">
        <v>31</v>
      </c>
      <c r="G2508" s="1">
        <v>35073</v>
      </c>
      <c r="H2508" t="s">
        <v>5762</v>
      </c>
      <c r="I2508" s="2" t="str">
        <f t="shared" si="39"/>
        <v>+91-9537013097</v>
      </c>
      <c r="J2508">
        <f>91-9537013188</f>
        <v>-9537013097</v>
      </c>
      <c r="K2508" t="s">
        <v>249</v>
      </c>
      <c r="L2508" t="s">
        <v>34</v>
      </c>
      <c r="M2508">
        <v>574691</v>
      </c>
      <c r="N2508" s="1">
        <v>45408</v>
      </c>
      <c r="O2508" t="s">
        <v>28</v>
      </c>
      <c r="P2508">
        <v>6</v>
      </c>
      <c r="Q2508">
        <v>284776.44</v>
      </c>
    </row>
    <row r="2509" spans="1:17" x14ac:dyDescent="0.3">
      <c r="A2509" t="s">
        <v>5763</v>
      </c>
      <c r="B2509" t="s">
        <v>371</v>
      </c>
      <c r="C2509" s="2" t="str">
        <f>PROPER(TRIM(Table1[[#This Row],[Gender]]))</f>
        <v>Female</v>
      </c>
      <c r="D2509" t="s">
        <v>43</v>
      </c>
      <c r="E2509">
        <v>41</v>
      </c>
      <c r="F2509" t="s">
        <v>38</v>
      </c>
      <c r="G2509" s="1">
        <v>30693</v>
      </c>
      <c r="H2509" t="s">
        <v>5764</v>
      </c>
      <c r="I2509" s="2" t="str">
        <f t="shared" si="39"/>
        <v>+91-7137881590</v>
      </c>
      <c r="J2509">
        <f>91-7137881681</f>
        <v>-7137881590</v>
      </c>
      <c r="K2509" t="s">
        <v>165</v>
      </c>
      <c r="L2509" t="s">
        <v>52</v>
      </c>
      <c r="M2509">
        <v>392594</v>
      </c>
      <c r="N2509" s="1">
        <v>45182</v>
      </c>
      <c r="O2509" t="s">
        <v>28</v>
      </c>
      <c r="P2509">
        <v>5</v>
      </c>
      <c r="Q2509">
        <v>88479.12</v>
      </c>
    </row>
    <row r="2510" spans="1:17" x14ac:dyDescent="0.3">
      <c r="A2510" t="s">
        <v>5765</v>
      </c>
      <c r="B2510" t="s">
        <v>1713</v>
      </c>
      <c r="C2510" s="2" t="str">
        <f>PROPER(TRIM(Table1[[#This Row],[Gender]]))</f>
        <v>Female</v>
      </c>
      <c r="D2510" t="s">
        <v>43</v>
      </c>
      <c r="E2510">
        <v>38</v>
      </c>
      <c r="F2510" t="s">
        <v>38</v>
      </c>
      <c r="G2510" s="1">
        <v>31788</v>
      </c>
      <c r="H2510" t="s">
        <v>5766</v>
      </c>
      <c r="I2510" s="2" t="str">
        <f t="shared" si="39"/>
        <v>+91-8716956528</v>
      </c>
      <c r="J2510">
        <f>91-8716956619</f>
        <v>-8716956528</v>
      </c>
      <c r="K2510" t="s">
        <v>72</v>
      </c>
      <c r="L2510" t="s">
        <v>34</v>
      </c>
      <c r="M2510">
        <v>526000</v>
      </c>
      <c r="N2510" s="1">
        <v>45087</v>
      </c>
      <c r="O2510" t="s">
        <v>28</v>
      </c>
      <c r="P2510">
        <v>5</v>
      </c>
      <c r="Q2510">
        <v>298899.34000000003</v>
      </c>
    </row>
    <row r="2511" spans="1:17" x14ac:dyDescent="0.3">
      <c r="A2511" t="s">
        <v>5767</v>
      </c>
      <c r="B2511" t="s">
        <v>5439</v>
      </c>
      <c r="C2511" s="2" t="str">
        <f>PROPER(TRIM(Table1[[#This Row],[Gender]]))</f>
        <v>Male</v>
      </c>
      <c r="D2511" t="s">
        <v>16</v>
      </c>
      <c r="E2511">
        <v>56</v>
      </c>
      <c r="F2511" t="s">
        <v>58</v>
      </c>
      <c r="G2511" s="1">
        <v>25218</v>
      </c>
      <c r="H2511" t="s">
        <v>5768</v>
      </c>
      <c r="I2511" s="2" t="str">
        <f t="shared" si="39"/>
        <v>+91-7747325286</v>
      </c>
      <c r="J2511">
        <f>91-7747325377</f>
        <v>-7747325286</v>
      </c>
      <c r="K2511" t="s">
        <v>101</v>
      </c>
      <c r="L2511" t="s">
        <v>102</v>
      </c>
      <c r="M2511">
        <v>289244</v>
      </c>
      <c r="N2511" s="1">
        <v>45094</v>
      </c>
      <c r="O2511" t="s">
        <v>28</v>
      </c>
      <c r="P2511">
        <v>10</v>
      </c>
      <c r="Q2511">
        <v>62945.61</v>
      </c>
    </row>
    <row r="2512" spans="1:17" x14ac:dyDescent="0.3">
      <c r="A2512" t="s">
        <v>5769</v>
      </c>
      <c r="B2512" t="s">
        <v>1046</v>
      </c>
      <c r="C2512" s="2" t="str">
        <f>PROPER(TRIM(Table1[[#This Row],[Gender]]))</f>
        <v>Female</v>
      </c>
      <c r="D2512" t="s">
        <v>43</v>
      </c>
      <c r="E2512">
        <v>26</v>
      </c>
      <c r="F2512" t="s">
        <v>31</v>
      </c>
      <c r="G2512" s="1">
        <v>36168</v>
      </c>
      <c r="H2512" t="s">
        <v>4287</v>
      </c>
      <c r="I2512" s="2" t="str">
        <f t="shared" si="39"/>
        <v>+91-9657723962</v>
      </c>
      <c r="J2512">
        <f>91-9657724053</f>
        <v>-9657723962</v>
      </c>
      <c r="K2512" t="s">
        <v>161</v>
      </c>
      <c r="L2512" t="s">
        <v>102</v>
      </c>
      <c r="M2512">
        <v>400199</v>
      </c>
      <c r="N2512" s="1">
        <v>45145</v>
      </c>
      <c r="O2512" t="s">
        <v>35</v>
      </c>
      <c r="P2512">
        <v>2</v>
      </c>
      <c r="Q2512">
        <v>11137.97</v>
      </c>
    </row>
    <row r="2513" spans="1:17" x14ac:dyDescent="0.3">
      <c r="A2513" t="s">
        <v>5770</v>
      </c>
      <c r="B2513" t="s">
        <v>3464</v>
      </c>
      <c r="C2513" s="2" t="str">
        <f>PROPER(TRIM(Table1[[#This Row],[Gender]]))</f>
        <v>Female</v>
      </c>
      <c r="D2513" t="s">
        <v>43</v>
      </c>
      <c r="E2513">
        <v>33</v>
      </c>
      <c r="F2513" t="s">
        <v>31</v>
      </c>
      <c r="G2513" s="1">
        <v>33613</v>
      </c>
      <c r="H2513" t="s">
        <v>5771</v>
      </c>
      <c r="I2513" s="2" t="str">
        <f t="shared" si="39"/>
        <v>+91-9574752394</v>
      </c>
      <c r="J2513">
        <f>91-9574752485</f>
        <v>-9574752394</v>
      </c>
      <c r="K2513" t="s">
        <v>161</v>
      </c>
      <c r="L2513" t="s">
        <v>102</v>
      </c>
      <c r="M2513">
        <v>580731</v>
      </c>
      <c r="N2513" s="1">
        <v>45144</v>
      </c>
      <c r="O2513" t="s">
        <v>28</v>
      </c>
      <c r="P2513">
        <v>3</v>
      </c>
      <c r="Q2513">
        <v>93371.46</v>
      </c>
    </row>
    <row r="2514" spans="1:17" x14ac:dyDescent="0.3">
      <c r="A2514" t="s">
        <v>5772</v>
      </c>
      <c r="B2514" t="s">
        <v>3349</v>
      </c>
      <c r="C2514" s="2" t="str">
        <f>PROPER(TRIM(Table1[[#This Row],[Gender]]))</f>
        <v>Male</v>
      </c>
      <c r="D2514" t="s">
        <v>16</v>
      </c>
      <c r="E2514">
        <v>34</v>
      </c>
      <c r="F2514" t="s">
        <v>31</v>
      </c>
      <c r="G2514" s="1">
        <v>33248</v>
      </c>
      <c r="H2514" t="s">
        <v>5773</v>
      </c>
      <c r="I2514" s="2" t="str">
        <f t="shared" si="39"/>
        <v>+91-7356729398</v>
      </c>
      <c r="J2514">
        <f>91-7356729489</f>
        <v>-7356729398</v>
      </c>
      <c r="K2514" t="s">
        <v>369</v>
      </c>
      <c r="L2514" t="s">
        <v>191</v>
      </c>
      <c r="M2514">
        <v>141367</v>
      </c>
      <c r="N2514" s="1">
        <v>45093</v>
      </c>
      <c r="O2514" t="s">
        <v>28</v>
      </c>
      <c r="P2514">
        <v>2</v>
      </c>
      <c r="Q2514">
        <v>212246.86</v>
      </c>
    </row>
    <row r="2515" spans="1:17" x14ac:dyDescent="0.3">
      <c r="A2515" t="s">
        <v>5774</v>
      </c>
      <c r="B2515" t="s">
        <v>1885</v>
      </c>
      <c r="C2515" s="2" t="str">
        <f>PROPER(TRIM(Table1[[#This Row],[Gender]]))</f>
        <v>Male</v>
      </c>
      <c r="D2515" t="s">
        <v>16</v>
      </c>
      <c r="E2515">
        <v>32</v>
      </c>
      <c r="F2515" t="s">
        <v>31</v>
      </c>
      <c r="G2515" s="1">
        <v>33978</v>
      </c>
      <c r="H2515" t="s">
        <v>5775</v>
      </c>
      <c r="I2515" s="2" t="str">
        <f t="shared" si="39"/>
        <v>+91-7971870917</v>
      </c>
      <c r="J2515">
        <f>91-7971871008</f>
        <v>-7971870917</v>
      </c>
      <c r="K2515" t="s">
        <v>147</v>
      </c>
      <c r="L2515" t="s">
        <v>143</v>
      </c>
      <c r="M2515">
        <v>975914</v>
      </c>
      <c r="N2515" s="1">
        <v>45250</v>
      </c>
      <c r="O2515" t="s">
        <v>28</v>
      </c>
      <c r="P2515">
        <v>6</v>
      </c>
      <c r="Q2515">
        <v>79355.64</v>
      </c>
    </row>
    <row r="2516" spans="1:17" x14ac:dyDescent="0.3">
      <c r="A2516" t="s">
        <v>5776</v>
      </c>
      <c r="B2516" t="s">
        <v>2458</v>
      </c>
      <c r="C2516" s="2" t="str">
        <f>PROPER(TRIM(Table1[[#This Row],[Gender]]))</f>
        <v>Female</v>
      </c>
      <c r="D2516" t="s">
        <v>43</v>
      </c>
      <c r="E2516">
        <v>25</v>
      </c>
      <c r="F2516" t="s">
        <v>49</v>
      </c>
      <c r="G2516" s="1">
        <v>36533</v>
      </c>
      <c r="H2516" t="s">
        <v>5777</v>
      </c>
      <c r="I2516" s="2" t="str">
        <f t="shared" si="39"/>
        <v>+91-9614522269</v>
      </c>
      <c r="J2516">
        <f>91-9614522360</f>
        <v>-9614522269</v>
      </c>
      <c r="K2516" t="s">
        <v>174</v>
      </c>
      <c r="L2516" t="s">
        <v>90</v>
      </c>
      <c r="M2516">
        <v>340962</v>
      </c>
      <c r="N2516" s="1">
        <v>45356</v>
      </c>
      <c r="O2516" t="s">
        <v>28</v>
      </c>
      <c r="P2516">
        <v>5</v>
      </c>
      <c r="Q2516">
        <v>176087.63</v>
      </c>
    </row>
    <row r="2517" spans="1:17" x14ac:dyDescent="0.3">
      <c r="A2517" t="s">
        <v>5778</v>
      </c>
      <c r="B2517" t="s">
        <v>4945</v>
      </c>
      <c r="C2517" s="2" t="str">
        <f>PROPER(TRIM(Table1[[#This Row],[Gender]]))</f>
        <v>Male</v>
      </c>
      <c r="D2517" t="s">
        <v>16</v>
      </c>
      <c r="E2517">
        <v>28</v>
      </c>
      <c r="F2517" t="s">
        <v>31</v>
      </c>
      <c r="G2517" s="1">
        <v>35438</v>
      </c>
      <c r="H2517" t="s">
        <v>5779</v>
      </c>
      <c r="I2517" s="2" t="str">
        <f t="shared" si="39"/>
        <v>+91-7201698506</v>
      </c>
      <c r="J2517">
        <f>91-7201698597</f>
        <v>-7201698506</v>
      </c>
      <c r="K2517" t="s">
        <v>369</v>
      </c>
      <c r="L2517" t="s">
        <v>191</v>
      </c>
      <c r="M2517">
        <v>842212</v>
      </c>
      <c r="N2517" s="1">
        <v>45088</v>
      </c>
      <c r="O2517" t="s">
        <v>28</v>
      </c>
      <c r="P2517">
        <v>6</v>
      </c>
      <c r="Q2517">
        <v>138372.85</v>
      </c>
    </row>
    <row r="2518" spans="1:17" x14ac:dyDescent="0.3">
      <c r="A2518" t="s">
        <v>5780</v>
      </c>
      <c r="B2518" t="s">
        <v>957</v>
      </c>
      <c r="C2518" s="2" t="str">
        <f>PROPER(TRIM(Table1[[#This Row],[Gender]]))</f>
        <v>Female</v>
      </c>
      <c r="D2518" t="s">
        <v>43</v>
      </c>
      <c r="E2518">
        <v>18</v>
      </c>
      <c r="F2518" t="s">
        <v>49</v>
      </c>
      <c r="G2518" s="1">
        <v>39088</v>
      </c>
      <c r="H2518" t="s">
        <v>5781</v>
      </c>
      <c r="I2518" s="2" t="str">
        <f t="shared" si="39"/>
        <v>+91-8113843029</v>
      </c>
      <c r="J2518">
        <f>91-8113843120</f>
        <v>-8113843029</v>
      </c>
      <c r="K2518" t="s">
        <v>33</v>
      </c>
      <c r="L2518" t="s">
        <v>34</v>
      </c>
      <c r="M2518">
        <v>310979</v>
      </c>
      <c r="N2518" s="1">
        <v>45180</v>
      </c>
      <c r="O2518" t="s">
        <v>28</v>
      </c>
      <c r="P2518">
        <v>6</v>
      </c>
      <c r="Q2518">
        <v>57524.22</v>
      </c>
    </row>
    <row r="2519" spans="1:17" x14ac:dyDescent="0.3">
      <c r="A2519" t="s">
        <v>5782</v>
      </c>
      <c r="B2519" t="s">
        <v>4647</v>
      </c>
      <c r="C2519" s="2" t="str">
        <f>PROPER(TRIM(Table1[[#This Row],[Gender]]))</f>
        <v>Male</v>
      </c>
      <c r="D2519" t="s">
        <v>16</v>
      </c>
      <c r="E2519">
        <v>21</v>
      </c>
      <c r="F2519" t="s">
        <v>49</v>
      </c>
      <c r="G2519" s="1">
        <v>37993</v>
      </c>
      <c r="H2519" t="s">
        <v>5783</v>
      </c>
      <c r="I2519" s="2" t="str">
        <f t="shared" si="39"/>
        <v>+91-7429235073</v>
      </c>
      <c r="J2519">
        <f>91-7429235164</f>
        <v>-7429235073</v>
      </c>
      <c r="K2519" t="s">
        <v>84</v>
      </c>
      <c r="L2519" t="s">
        <v>85</v>
      </c>
      <c r="M2519">
        <v>383877</v>
      </c>
      <c r="N2519" s="1">
        <v>45112</v>
      </c>
      <c r="O2519" t="s">
        <v>28</v>
      </c>
      <c r="P2519">
        <v>2</v>
      </c>
      <c r="Q2519">
        <v>74803.34</v>
      </c>
    </row>
    <row r="2520" spans="1:17" x14ac:dyDescent="0.3">
      <c r="A2520" t="s">
        <v>5784</v>
      </c>
      <c r="B2520" t="s">
        <v>2027</v>
      </c>
      <c r="C2520" s="2" t="str">
        <f>PROPER(TRIM(Table1[[#This Row],[Gender]]))</f>
        <v>Female</v>
      </c>
      <c r="D2520" t="s">
        <v>43</v>
      </c>
      <c r="E2520">
        <v>38</v>
      </c>
      <c r="F2520" t="s">
        <v>38</v>
      </c>
      <c r="G2520" s="1">
        <v>31788</v>
      </c>
      <c r="H2520" t="s">
        <v>5785</v>
      </c>
      <c r="I2520" s="2" t="str">
        <f t="shared" si="39"/>
        <v>+91-7056734556</v>
      </c>
      <c r="J2520">
        <f>91-7056734647</f>
        <v>-7056734556</v>
      </c>
      <c r="K2520" t="s">
        <v>26</v>
      </c>
      <c r="L2520" t="s">
        <v>27</v>
      </c>
      <c r="M2520">
        <v>605647</v>
      </c>
      <c r="N2520" s="1">
        <v>45126</v>
      </c>
      <c r="O2520" t="s">
        <v>28</v>
      </c>
      <c r="P2520">
        <v>9</v>
      </c>
      <c r="Q2520">
        <v>259087.53</v>
      </c>
    </row>
    <row r="2521" spans="1:17" x14ac:dyDescent="0.3">
      <c r="A2521" t="s">
        <v>5786</v>
      </c>
      <c r="B2521" t="s">
        <v>2330</v>
      </c>
      <c r="C2521" s="2" t="str">
        <f>PROPER(TRIM(Table1[[#This Row],[Gender]]))</f>
        <v>Female</v>
      </c>
      <c r="D2521" t="s">
        <v>43</v>
      </c>
      <c r="E2521">
        <v>47</v>
      </c>
      <c r="F2521" t="s">
        <v>17</v>
      </c>
      <c r="G2521" s="1">
        <v>28503</v>
      </c>
      <c r="H2521" t="s">
        <v>5787</v>
      </c>
      <c r="I2521" s="2" t="str">
        <f t="shared" si="39"/>
        <v>+91-9770946355</v>
      </c>
      <c r="J2521">
        <f>91-9770946446</f>
        <v>-9770946355</v>
      </c>
      <c r="K2521" t="s">
        <v>331</v>
      </c>
      <c r="L2521" t="s">
        <v>143</v>
      </c>
      <c r="M2521">
        <v>980239</v>
      </c>
      <c r="N2521" s="1">
        <v>45281</v>
      </c>
      <c r="O2521" t="s">
        <v>35</v>
      </c>
      <c r="P2521">
        <v>4</v>
      </c>
      <c r="Q2521">
        <v>6277.75</v>
      </c>
    </row>
    <row r="2522" spans="1:17" x14ac:dyDescent="0.3">
      <c r="A2522" t="s">
        <v>5788</v>
      </c>
      <c r="B2522" t="s">
        <v>5789</v>
      </c>
      <c r="C2522" s="2" t="str">
        <f>PROPER(TRIM(Table1[[#This Row],[Gender]]))</f>
        <v>Male</v>
      </c>
      <c r="D2522" t="s">
        <v>16</v>
      </c>
      <c r="E2522">
        <v>70</v>
      </c>
      <c r="F2522" t="s">
        <v>24</v>
      </c>
      <c r="G2522" s="1">
        <v>20108</v>
      </c>
      <c r="H2522" t="s">
        <v>5790</v>
      </c>
      <c r="I2522" s="2" t="str">
        <f t="shared" si="39"/>
        <v>+91-8207438046</v>
      </c>
      <c r="J2522">
        <f>91-8207438137</f>
        <v>-8207438046</v>
      </c>
      <c r="K2522" t="s">
        <v>174</v>
      </c>
      <c r="L2522" t="s">
        <v>90</v>
      </c>
      <c r="M2522">
        <v>446940</v>
      </c>
      <c r="N2522" s="1">
        <v>45093</v>
      </c>
      <c r="O2522" t="s">
        <v>28</v>
      </c>
      <c r="P2522">
        <v>4</v>
      </c>
      <c r="Q2522">
        <v>62331.95</v>
      </c>
    </row>
    <row r="2523" spans="1:17" x14ac:dyDescent="0.3">
      <c r="A2523" t="s">
        <v>5791</v>
      </c>
      <c r="B2523" t="s">
        <v>5792</v>
      </c>
      <c r="C2523" s="2" t="str">
        <f>PROPER(TRIM(Table1[[#This Row],[Gender]]))</f>
        <v>Male</v>
      </c>
      <c r="D2523" t="s">
        <v>16</v>
      </c>
      <c r="E2523">
        <v>29</v>
      </c>
      <c r="F2523" t="s">
        <v>31</v>
      </c>
      <c r="G2523" s="1">
        <v>35073</v>
      </c>
      <c r="H2523" t="s">
        <v>5793</v>
      </c>
      <c r="I2523" s="2" t="str">
        <f t="shared" si="39"/>
        <v>+91-7226649202</v>
      </c>
      <c r="J2523">
        <f>91-7226649293</f>
        <v>-7226649202</v>
      </c>
      <c r="K2523" t="s">
        <v>84</v>
      </c>
      <c r="L2523" t="s">
        <v>85</v>
      </c>
      <c r="M2523">
        <v>974820</v>
      </c>
      <c r="N2523" s="1">
        <v>45084</v>
      </c>
      <c r="O2523" t="s">
        <v>28</v>
      </c>
      <c r="P2523">
        <v>5</v>
      </c>
      <c r="Q2523">
        <v>197997.91</v>
      </c>
    </row>
    <row r="2524" spans="1:17" x14ac:dyDescent="0.3">
      <c r="A2524" t="s">
        <v>5794</v>
      </c>
      <c r="B2524" t="s">
        <v>2245</v>
      </c>
      <c r="C2524" s="2" t="str">
        <f>PROPER(TRIM(Table1[[#This Row],[Gender]]))</f>
        <v>Female</v>
      </c>
      <c r="D2524" t="s">
        <v>43</v>
      </c>
      <c r="E2524">
        <v>51</v>
      </c>
      <c r="F2524" t="s">
        <v>17</v>
      </c>
      <c r="G2524" s="1">
        <v>27043</v>
      </c>
      <c r="H2524" t="s">
        <v>5795</v>
      </c>
      <c r="I2524" s="2" t="str">
        <f t="shared" si="39"/>
        <v>+91-8677315349</v>
      </c>
      <c r="J2524">
        <f>91-8677315440</f>
        <v>-8677315349</v>
      </c>
      <c r="K2524" t="s">
        <v>138</v>
      </c>
      <c r="L2524" t="s">
        <v>90</v>
      </c>
      <c r="M2524">
        <v>344809</v>
      </c>
      <c r="N2524" s="1">
        <v>45089</v>
      </c>
      <c r="O2524" t="s">
        <v>35</v>
      </c>
      <c r="P2524">
        <v>4</v>
      </c>
      <c r="Q2524">
        <v>18712.02</v>
      </c>
    </row>
    <row r="2525" spans="1:17" x14ac:dyDescent="0.3">
      <c r="A2525" t="s">
        <v>5796</v>
      </c>
      <c r="B2525" t="s">
        <v>3920</v>
      </c>
      <c r="C2525" s="2" t="str">
        <f>PROPER(TRIM(Table1[[#This Row],[Gender]]))</f>
        <v>Male</v>
      </c>
      <c r="D2525" t="s">
        <v>16</v>
      </c>
      <c r="E2525">
        <v>23</v>
      </c>
      <c r="F2525" t="s">
        <v>49</v>
      </c>
      <c r="G2525" s="1">
        <v>37263</v>
      </c>
      <c r="H2525" t="s">
        <v>5797</v>
      </c>
      <c r="I2525" s="2" t="str">
        <f t="shared" si="39"/>
        <v>+91-7996606088</v>
      </c>
      <c r="J2525">
        <f>91-7996606179</f>
        <v>-7996606088</v>
      </c>
      <c r="K2525" t="s">
        <v>19</v>
      </c>
      <c r="L2525" t="s">
        <v>20</v>
      </c>
      <c r="M2525">
        <v>311527</v>
      </c>
      <c r="N2525" s="1">
        <v>45097</v>
      </c>
      <c r="O2525" t="s">
        <v>28</v>
      </c>
      <c r="P2525">
        <v>7</v>
      </c>
      <c r="Q2525">
        <v>134758.42000000001</v>
      </c>
    </row>
    <row r="2526" spans="1:17" x14ac:dyDescent="0.3">
      <c r="A2526" t="s">
        <v>5798</v>
      </c>
      <c r="B2526" t="s">
        <v>3625</v>
      </c>
      <c r="C2526" s="2" t="str">
        <f>PROPER(TRIM(Table1[[#This Row],[Gender]]))</f>
        <v>Female</v>
      </c>
      <c r="D2526" t="s">
        <v>43</v>
      </c>
      <c r="E2526">
        <v>31</v>
      </c>
      <c r="F2526" t="s">
        <v>31</v>
      </c>
      <c r="G2526" s="1">
        <v>34343</v>
      </c>
      <c r="H2526" t="s">
        <v>5799</v>
      </c>
      <c r="I2526" s="2" t="str">
        <f t="shared" si="39"/>
        <v>+91-7931318730</v>
      </c>
      <c r="J2526">
        <f>91-7931318821</f>
        <v>-7931318730</v>
      </c>
      <c r="K2526" t="s">
        <v>64</v>
      </c>
      <c r="L2526" t="s">
        <v>20</v>
      </c>
      <c r="M2526">
        <v>286030</v>
      </c>
      <c r="N2526" s="1">
        <v>45302</v>
      </c>
      <c r="O2526" t="s">
        <v>28</v>
      </c>
      <c r="P2526">
        <v>9</v>
      </c>
      <c r="Q2526">
        <v>531845.91</v>
      </c>
    </row>
    <row r="2527" spans="1:17" x14ac:dyDescent="0.3">
      <c r="A2527" t="s">
        <v>5800</v>
      </c>
      <c r="B2527" t="s">
        <v>3500</v>
      </c>
      <c r="C2527" s="2" t="str">
        <f>PROPER(TRIM(Table1[[#This Row],[Gender]]))</f>
        <v>Female</v>
      </c>
      <c r="D2527" t="s">
        <v>43</v>
      </c>
      <c r="E2527">
        <v>19</v>
      </c>
      <c r="F2527" t="s">
        <v>49</v>
      </c>
      <c r="G2527" s="1">
        <v>38723</v>
      </c>
      <c r="H2527" t="s">
        <v>5801</v>
      </c>
      <c r="I2527" s="2" t="str">
        <f t="shared" si="39"/>
        <v>+91-7485769500</v>
      </c>
      <c r="J2527">
        <f>91-7485769591</f>
        <v>-7485769500</v>
      </c>
      <c r="K2527" t="s">
        <v>113</v>
      </c>
      <c r="L2527" t="s">
        <v>34</v>
      </c>
      <c r="M2527">
        <v>880295</v>
      </c>
      <c r="N2527" s="1">
        <v>45419</v>
      </c>
      <c r="O2527" t="s">
        <v>28</v>
      </c>
      <c r="P2527">
        <v>6</v>
      </c>
      <c r="Q2527">
        <v>189948.67</v>
      </c>
    </row>
    <row r="2528" spans="1:17" x14ac:dyDescent="0.3">
      <c r="A2528" t="s">
        <v>5802</v>
      </c>
      <c r="B2528" t="s">
        <v>1012</v>
      </c>
      <c r="C2528" s="2" t="str">
        <f>PROPER(TRIM(Table1[[#This Row],[Gender]]))</f>
        <v>Male</v>
      </c>
      <c r="D2528" t="s">
        <v>16</v>
      </c>
      <c r="E2528">
        <v>35</v>
      </c>
      <c r="F2528" t="s">
        <v>31</v>
      </c>
      <c r="G2528" s="1">
        <v>32883</v>
      </c>
      <c r="H2528" t="s">
        <v>5803</v>
      </c>
      <c r="I2528" s="2" t="str">
        <f t="shared" si="39"/>
        <v>+91-8205708769</v>
      </c>
      <c r="J2528">
        <f>91-8205708860</f>
        <v>-8205708769</v>
      </c>
      <c r="K2528" t="s">
        <v>174</v>
      </c>
      <c r="L2528" t="s">
        <v>90</v>
      </c>
      <c r="M2528">
        <v>206637</v>
      </c>
      <c r="N2528" s="1">
        <v>45161</v>
      </c>
      <c r="O2528" t="s">
        <v>21</v>
      </c>
      <c r="P2528">
        <v>3</v>
      </c>
      <c r="Q2528">
        <v>27399.43</v>
      </c>
    </row>
    <row r="2529" spans="1:17" x14ac:dyDescent="0.3">
      <c r="A2529" t="s">
        <v>5804</v>
      </c>
      <c r="B2529" t="s">
        <v>3103</v>
      </c>
      <c r="C2529" s="2" t="str">
        <f>PROPER(TRIM(Table1[[#This Row],[Gender]]))</f>
        <v>Male</v>
      </c>
      <c r="D2529" t="s">
        <v>16</v>
      </c>
      <c r="E2529">
        <v>20</v>
      </c>
      <c r="F2529" t="s">
        <v>49</v>
      </c>
      <c r="G2529" s="1">
        <v>38358</v>
      </c>
      <c r="H2529" t="s">
        <v>5805</v>
      </c>
      <c r="I2529" s="2" t="str">
        <f t="shared" si="39"/>
        <v>+91-9003105140</v>
      </c>
      <c r="J2529">
        <f>91-9003105231</f>
        <v>-9003105140</v>
      </c>
      <c r="K2529" t="s">
        <v>64</v>
      </c>
      <c r="L2529" t="s">
        <v>20</v>
      </c>
      <c r="M2529">
        <v>171318</v>
      </c>
      <c r="N2529" s="1">
        <v>45322</v>
      </c>
      <c r="O2529" t="s">
        <v>21</v>
      </c>
      <c r="P2529">
        <v>3</v>
      </c>
      <c r="Q2529">
        <v>25610.09</v>
      </c>
    </row>
    <row r="2530" spans="1:17" x14ac:dyDescent="0.3">
      <c r="A2530" t="s">
        <v>5806</v>
      </c>
      <c r="B2530" t="s">
        <v>590</v>
      </c>
      <c r="C2530" s="2" t="str">
        <f>PROPER(TRIM(Table1[[#This Row],[Gender]]))</f>
        <v>Female</v>
      </c>
      <c r="D2530" t="s">
        <v>43</v>
      </c>
      <c r="E2530">
        <v>28</v>
      </c>
      <c r="F2530" t="s">
        <v>31</v>
      </c>
      <c r="G2530" s="1">
        <v>35438</v>
      </c>
      <c r="H2530" t="s">
        <v>5256</v>
      </c>
      <c r="I2530" s="2" t="str">
        <f t="shared" si="39"/>
        <v>+91-8694173769</v>
      </c>
      <c r="J2530">
        <f>91-8694173860</f>
        <v>-8694173769</v>
      </c>
      <c r="K2530" t="s">
        <v>273</v>
      </c>
      <c r="L2530" t="s">
        <v>46</v>
      </c>
      <c r="M2530">
        <v>715493</v>
      </c>
      <c r="N2530" s="1">
        <v>45412</v>
      </c>
      <c r="O2530" t="s">
        <v>28</v>
      </c>
      <c r="P2530">
        <v>9</v>
      </c>
      <c r="Q2530">
        <v>271275.71000000002</v>
      </c>
    </row>
    <row r="2531" spans="1:17" x14ac:dyDescent="0.3">
      <c r="A2531" t="s">
        <v>5807</v>
      </c>
      <c r="B2531" t="s">
        <v>3127</v>
      </c>
      <c r="C2531" s="2" t="str">
        <f>PROPER(TRIM(Table1[[#This Row],[Gender]]))</f>
        <v>Male</v>
      </c>
      <c r="D2531" t="s">
        <v>16</v>
      </c>
      <c r="E2531">
        <v>27</v>
      </c>
      <c r="F2531" t="s">
        <v>31</v>
      </c>
      <c r="G2531" s="1">
        <v>35803</v>
      </c>
      <c r="H2531" t="s">
        <v>5808</v>
      </c>
      <c r="I2531" s="2" t="str">
        <f t="shared" si="39"/>
        <v>+91-9134376285</v>
      </c>
      <c r="J2531">
        <f>91-9134376376</f>
        <v>-9134376285</v>
      </c>
      <c r="K2531" t="s">
        <v>64</v>
      </c>
      <c r="L2531" t="s">
        <v>20</v>
      </c>
      <c r="M2531">
        <v>255931</v>
      </c>
      <c r="N2531" s="1">
        <v>45225</v>
      </c>
      <c r="O2531" t="s">
        <v>28</v>
      </c>
      <c r="P2531">
        <v>9</v>
      </c>
      <c r="Q2531">
        <v>255201.06</v>
      </c>
    </row>
    <row r="2532" spans="1:17" x14ac:dyDescent="0.3">
      <c r="A2532" t="s">
        <v>5809</v>
      </c>
      <c r="B2532" t="s">
        <v>1507</v>
      </c>
      <c r="C2532" s="2" t="str">
        <f>PROPER(TRIM(Table1[[#This Row],[Gender]]))</f>
        <v>Female</v>
      </c>
      <c r="D2532" t="s">
        <v>43</v>
      </c>
      <c r="E2532">
        <v>32</v>
      </c>
      <c r="F2532" t="s">
        <v>31</v>
      </c>
      <c r="G2532" s="1">
        <v>33978</v>
      </c>
      <c r="H2532" t="s">
        <v>5810</v>
      </c>
      <c r="I2532" s="2" t="str">
        <f t="shared" si="39"/>
        <v>+91-7870134661</v>
      </c>
      <c r="J2532">
        <f>91-7870134752</f>
        <v>-7870134661</v>
      </c>
      <c r="K2532" t="s">
        <v>60</v>
      </c>
      <c r="L2532" t="s">
        <v>34</v>
      </c>
      <c r="M2532">
        <v>944816</v>
      </c>
      <c r="N2532" s="1">
        <v>45240</v>
      </c>
      <c r="O2532" t="s">
        <v>28</v>
      </c>
      <c r="P2532">
        <v>8</v>
      </c>
      <c r="Q2532">
        <v>283988.86</v>
      </c>
    </row>
    <row r="2533" spans="1:17" x14ac:dyDescent="0.3">
      <c r="A2533" t="s">
        <v>5811</v>
      </c>
      <c r="B2533" t="s">
        <v>504</v>
      </c>
      <c r="C2533" s="2" t="str">
        <f>PROPER(TRIM(Table1[[#This Row],[Gender]]))</f>
        <v>Male</v>
      </c>
      <c r="D2533" t="s">
        <v>16</v>
      </c>
      <c r="E2533">
        <v>25</v>
      </c>
      <c r="F2533" t="s">
        <v>49</v>
      </c>
      <c r="G2533" s="1">
        <v>36533</v>
      </c>
      <c r="H2533" t="s">
        <v>5812</v>
      </c>
      <c r="I2533" s="2" t="str">
        <f t="shared" si="39"/>
        <v>+91-7084073245</v>
      </c>
      <c r="J2533">
        <f>91-7084073336</f>
        <v>-7084073245</v>
      </c>
      <c r="K2533" t="s">
        <v>101</v>
      </c>
      <c r="L2533" t="s">
        <v>102</v>
      </c>
      <c r="M2533">
        <v>344332</v>
      </c>
      <c r="N2533" s="1">
        <v>45343</v>
      </c>
      <c r="O2533" t="s">
        <v>28</v>
      </c>
      <c r="P2533">
        <v>9</v>
      </c>
      <c r="Q2533">
        <v>153140.44</v>
      </c>
    </row>
    <row r="2534" spans="1:17" x14ac:dyDescent="0.3">
      <c r="A2534" t="s">
        <v>5813</v>
      </c>
      <c r="B2534" t="s">
        <v>768</v>
      </c>
      <c r="C2534" s="2" t="str">
        <f>PROPER(TRIM(Table1[[#This Row],[Gender]]))</f>
        <v>Male</v>
      </c>
      <c r="D2534" t="s">
        <v>16</v>
      </c>
      <c r="E2534">
        <v>48</v>
      </c>
      <c r="F2534" t="s">
        <v>17</v>
      </c>
      <c r="G2534" s="1">
        <v>28138</v>
      </c>
      <c r="H2534" t="s">
        <v>5814</v>
      </c>
      <c r="I2534" s="2" t="str">
        <f t="shared" si="39"/>
        <v>+91-7212034117</v>
      </c>
      <c r="J2534">
        <f>91-7212034208</f>
        <v>-7212034117</v>
      </c>
      <c r="K2534" t="s">
        <v>40</v>
      </c>
      <c r="L2534" t="s">
        <v>27</v>
      </c>
      <c r="M2534">
        <v>408785</v>
      </c>
      <c r="N2534" s="1">
        <v>45086</v>
      </c>
      <c r="O2534" t="s">
        <v>35</v>
      </c>
      <c r="P2534">
        <v>2</v>
      </c>
      <c r="Q2534">
        <v>7739.6</v>
      </c>
    </row>
    <row r="2535" spans="1:17" x14ac:dyDescent="0.3">
      <c r="A2535" t="s">
        <v>5815</v>
      </c>
      <c r="B2535" t="s">
        <v>817</v>
      </c>
      <c r="C2535" s="2" t="str">
        <f>PROPER(TRIM(Table1[[#This Row],[Gender]]))</f>
        <v>Male</v>
      </c>
      <c r="D2535" t="s">
        <v>16</v>
      </c>
      <c r="E2535">
        <v>24</v>
      </c>
      <c r="F2535" t="s">
        <v>49</v>
      </c>
      <c r="G2535" s="1">
        <v>36898</v>
      </c>
      <c r="H2535" t="s">
        <v>5816</v>
      </c>
      <c r="I2535" s="2" t="str">
        <f t="shared" si="39"/>
        <v>+91-9631336801</v>
      </c>
      <c r="J2535">
        <f>91-9631336892</f>
        <v>-9631336801</v>
      </c>
      <c r="K2535" t="s">
        <v>138</v>
      </c>
      <c r="L2535" t="s">
        <v>90</v>
      </c>
      <c r="M2535">
        <v>402177</v>
      </c>
      <c r="N2535" s="1">
        <v>45173</v>
      </c>
      <c r="O2535" t="s">
        <v>28</v>
      </c>
      <c r="P2535">
        <v>7</v>
      </c>
      <c r="Q2535">
        <v>495358.66</v>
      </c>
    </row>
    <row r="2536" spans="1:17" x14ac:dyDescent="0.3">
      <c r="A2536" t="s">
        <v>5817</v>
      </c>
      <c r="B2536" t="s">
        <v>1001</v>
      </c>
      <c r="C2536" s="2" t="str">
        <f>PROPER(TRIM(Table1[[#This Row],[Gender]]))</f>
        <v>Female</v>
      </c>
      <c r="D2536" t="s">
        <v>43</v>
      </c>
      <c r="E2536">
        <v>39</v>
      </c>
      <c r="F2536" t="s">
        <v>38</v>
      </c>
      <c r="G2536" s="1">
        <v>31423</v>
      </c>
      <c r="H2536" t="s">
        <v>5818</v>
      </c>
      <c r="I2536" s="2" t="str">
        <f t="shared" si="39"/>
        <v>+91-7445536033</v>
      </c>
      <c r="J2536">
        <f>91-7445536124</f>
        <v>-7445536033</v>
      </c>
      <c r="K2536" t="s">
        <v>138</v>
      </c>
      <c r="L2536" t="s">
        <v>90</v>
      </c>
      <c r="M2536">
        <v>389452</v>
      </c>
      <c r="N2536" s="1">
        <v>45375</v>
      </c>
      <c r="O2536" t="s">
        <v>28</v>
      </c>
      <c r="P2536">
        <v>4</v>
      </c>
      <c r="Q2536">
        <v>68676.240000000005</v>
      </c>
    </row>
    <row r="2537" spans="1:17" x14ac:dyDescent="0.3">
      <c r="A2537" t="s">
        <v>5819</v>
      </c>
      <c r="B2537" t="s">
        <v>3398</v>
      </c>
      <c r="C2537" s="2" t="str">
        <f>PROPER(TRIM(Table1[[#This Row],[Gender]]))</f>
        <v>Male</v>
      </c>
      <c r="D2537" t="s">
        <v>16</v>
      </c>
      <c r="E2537">
        <v>48</v>
      </c>
      <c r="F2537" t="s">
        <v>17</v>
      </c>
      <c r="G2537" s="1">
        <v>28138</v>
      </c>
      <c r="H2537" t="s">
        <v>5820</v>
      </c>
      <c r="I2537" s="2" t="str">
        <f t="shared" si="39"/>
        <v>+91-8743707402</v>
      </c>
      <c r="J2537">
        <f>91-8743707493</f>
        <v>-8743707402</v>
      </c>
      <c r="K2537" t="s">
        <v>94</v>
      </c>
      <c r="L2537" t="s">
        <v>20</v>
      </c>
      <c r="M2537">
        <v>472957</v>
      </c>
      <c r="N2537" s="1">
        <v>45431</v>
      </c>
      <c r="O2537" t="s">
        <v>28</v>
      </c>
      <c r="P2537">
        <v>2</v>
      </c>
      <c r="Q2537">
        <v>56032.82</v>
      </c>
    </row>
    <row r="2538" spans="1:17" x14ac:dyDescent="0.3">
      <c r="A2538" t="s">
        <v>5821</v>
      </c>
      <c r="B2538" t="s">
        <v>5822</v>
      </c>
      <c r="C2538" s="2" t="str">
        <f>PROPER(TRIM(Table1[[#This Row],[Gender]]))</f>
        <v>Male</v>
      </c>
      <c r="D2538" t="s">
        <v>16</v>
      </c>
      <c r="E2538">
        <v>31</v>
      </c>
      <c r="F2538" t="s">
        <v>31</v>
      </c>
      <c r="G2538" s="1">
        <v>34343</v>
      </c>
      <c r="H2538" t="s">
        <v>5823</v>
      </c>
      <c r="I2538" s="2" t="str">
        <f t="shared" si="39"/>
        <v>+91-8248948934</v>
      </c>
      <c r="J2538">
        <f>91-8248949025</f>
        <v>-8248948934</v>
      </c>
      <c r="K2538" t="s">
        <v>19</v>
      </c>
      <c r="L2538" t="s">
        <v>20</v>
      </c>
      <c r="M2538">
        <v>585980</v>
      </c>
      <c r="N2538" s="1">
        <v>45414</v>
      </c>
      <c r="O2538" t="s">
        <v>35</v>
      </c>
      <c r="P2538">
        <v>3</v>
      </c>
      <c r="Q2538">
        <v>15530.1</v>
      </c>
    </row>
    <row r="2539" spans="1:17" x14ac:dyDescent="0.3">
      <c r="A2539" t="s">
        <v>5824</v>
      </c>
      <c r="B2539" t="s">
        <v>1236</v>
      </c>
      <c r="C2539" s="2" t="str">
        <f>PROPER(TRIM(Table1[[#This Row],[Gender]]))</f>
        <v>Male</v>
      </c>
      <c r="D2539" t="s">
        <v>16</v>
      </c>
      <c r="E2539">
        <v>36</v>
      </c>
      <c r="F2539" t="s">
        <v>38</v>
      </c>
      <c r="G2539" s="1">
        <v>32518</v>
      </c>
      <c r="H2539" t="s">
        <v>4053</v>
      </c>
      <c r="I2539" s="2" t="str">
        <f t="shared" si="39"/>
        <v>+91-8643661705</v>
      </c>
      <c r="J2539">
        <f>91-8643661796</f>
        <v>-8643661705</v>
      </c>
      <c r="K2539" t="s">
        <v>161</v>
      </c>
      <c r="L2539" t="s">
        <v>102</v>
      </c>
      <c r="M2539">
        <v>819821</v>
      </c>
      <c r="N2539" s="1">
        <v>45326</v>
      </c>
      <c r="O2539" t="s">
        <v>28</v>
      </c>
      <c r="P2539">
        <v>10</v>
      </c>
      <c r="Q2539">
        <v>342612.86</v>
      </c>
    </row>
    <row r="2540" spans="1:17" x14ac:dyDescent="0.3">
      <c r="A2540" t="s">
        <v>5825</v>
      </c>
      <c r="B2540" t="s">
        <v>3549</v>
      </c>
      <c r="C2540" s="2" t="str">
        <f>PROPER(TRIM(Table1[[#This Row],[Gender]]))</f>
        <v>Female</v>
      </c>
      <c r="D2540" t="s">
        <v>43</v>
      </c>
      <c r="E2540">
        <v>39</v>
      </c>
      <c r="F2540" t="s">
        <v>38</v>
      </c>
      <c r="G2540" s="1">
        <v>31423</v>
      </c>
      <c r="H2540" t="s">
        <v>5826</v>
      </c>
      <c r="I2540" s="2" t="str">
        <f t="shared" si="39"/>
        <v>+91-7320285837</v>
      </c>
      <c r="J2540">
        <f>91-7320285928</f>
        <v>-7320285837</v>
      </c>
      <c r="K2540" t="s">
        <v>109</v>
      </c>
      <c r="L2540" t="s">
        <v>46</v>
      </c>
      <c r="M2540">
        <v>948553</v>
      </c>
      <c r="N2540" s="1">
        <v>45421</v>
      </c>
      <c r="O2540" t="s">
        <v>21</v>
      </c>
      <c r="P2540">
        <v>6</v>
      </c>
      <c r="Q2540">
        <v>42633.09</v>
      </c>
    </row>
    <row r="2541" spans="1:17" x14ac:dyDescent="0.3">
      <c r="A2541" t="s">
        <v>5827</v>
      </c>
      <c r="B2541" t="s">
        <v>718</v>
      </c>
      <c r="C2541" s="2" t="str">
        <f>PROPER(TRIM(Table1[[#This Row],[Gender]]))</f>
        <v>Female</v>
      </c>
      <c r="D2541" t="s">
        <v>43</v>
      </c>
      <c r="E2541">
        <v>28</v>
      </c>
      <c r="F2541" t="s">
        <v>31</v>
      </c>
      <c r="G2541" s="1">
        <v>35438</v>
      </c>
      <c r="H2541" t="s">
        <v>5828</v>
      </c>
      <c r="I2541" s="2" t="str">
        <f t="shared" si="39"/>
        <v>+91-9649214790</v>
      </c>
      <c r="J2541">
        <f>91-9649214881</f>
        <v>-9649214790</v>
      </c>
      <c r="K2541" t="s">
        <v>415</v>
      </c>
      <c r="L2541" t="s">
        <v>90</v>
      </c>
      <c r="M2541">
        <v>851869</v>
      </c>
      <c r="N2541" s="1">
        <v>45125</v>
      </c>
      <c r="O2541" t="s">
        <v>28</v>
      </c>
      <c r="P2541">
        <v>9</v>
      </c>
      <c r="Q2541">
        <v>240138.99</v>
      </c>
    </row>
    <row r="2542" spans="1:17" x14ac:dyDescent="0.3">
      <c r="A2542" t="s">
        <v>5829</v>
      </c>
      <c r="B2542" t="s">
        <v>1846</v>
      </c>
      <c r="C2542" s="2" t="str">
        <f>PROPER(TRIM(Table1[[#This Row],[Gender]]))</f>
        <v>Male</v>
      </c>
      <c r="D2542" t="s">
        <v>16</v>
      </c>
      <c r="E2542">
        <v>31</v>
      </c>
      <c r="F2542" t="s">
        <v>31</v>
      </c>
      <c r="G2542" s="1">
        <v>34343</v>
      </c>
      <c r="H2542" t="s">
        <v>5830</v>
      </c>
      <c r="I2542" s="2" t="str">
        <f t="shared" si="39"/>
        <v>+91-7320678746</v>
      </c>
      <c r="J2542">
        <f>91-7320678837</f>
        <v>-7320678746</v>
      </c>
      <c r="K2542" t="s">
        <v>190</v>
      </c>
      <c r="L2542" t="s">
        <v>191</v>
      </c>
      <c r="M2542">
        <v>966048</v>
      </c>
      <c r="N2542" s="1">
        <v>45126</v>
      </c>
      <c r="O2542" t="s">
        <v>28</v>
      </c>
      <c r="P2542">
        <v>8</v>
      </c>
      <c r="Q2542">
        <v>171239.29</v>
      </c>
    </row>
    <row r="2543" spans="1:17" x14ac:dyDescent="0.3">
      <c r="A2543" t="s">
        <v>5831</v>
      </c>
      <c r="B2543" t="s">
        <v>2439</v>
      </c>
      <c r="C2543" s="2" t="str">
        <f>PROPER(TRIM(Table1[[#This Row],[Gender]]))</f>
        <v>Male</v>
      </c>
      <c r="D2543" t="s">
        <v>16</v>
      </c>
      <c r="E2543">
        <v>18</v>
      </c>
      <c r="F2543" t="s">
        <v>49</v>
      </c>
      <c r="G2543" s="1">
        <v>39088</v>
      </c>
      <c r="H2543" t="s">
        <v>5832</v>
      </c>
      <c r="I2543" s="2" t="str">
        <f t="shared" si="39"/>
        <v>+91-8346035880</v>
      </c>
      <c r="J2543">
        <f>91-8346035971</f>
        <v>-8346035880</v>
      </c>
      <c r="K2543" t="s">
        <v>580</v>
      </c>
      <c r="L2543" t="s">
        <v>85</v>
      </c>
      <c r="M2543">
        <v>188065</v>
      </c>
      <c r="N2543" s="1">
        <v>45233</v>
      </c>
      <c r="O2543" t="s">
        <v>28</v>
      </c>
      <c r="P2543">
        <v>4</v>
      </c>
      <c r="Q2543">
        <v>389328.82</v>
      </c>
    </row>
    <row r="2544" spans="1:17" x14ac:dyDescent="0.3">
      <c r="A2544" t="s">
        <v>5833</v>
      </c>
      <c r="B2544" t="s">
        <v>918</v>
      </c>
      <c r="C2544" s="2" t="str">
        <f>PROPER(TRIM(Table1[[#This Row],[Gender]]))</f>
        <v>Male</v>
      </c>
      <c r="D2544" t="s">
        <v>16</v>
      </c>
      <c r="E2544">
        <v>25</v>
      </c>
      <c r="F2544" t="s">
        <v>49</v>
      </c>
      <c r="G2544" s="1">
        <v>36533</v>
      </c>
      <c r="H2544" t="s">
        <v>1127</v>
      </c>
      <c r="I2544" s="2" t="str">
        <f t="shared" si="39"/>
        <v>+91-9411890643</v>
      </c>
      <c r="J2544">
        <f>91-9411890734</f>
        <v>-9411890643</v>
      </c>
      <c r="K2544" t="s">
        <v>331</v>
      </c>
      <c r="L2544" t="s">
        <v>143</v>
      </c>
      <c r="M2544">
        <v>771630</v>
      </c>
      <c r="N2544" s="1">
        <v>45096</v>
      </c>
      <c r="O2544" t="s">
        <v>35</v>
      </c>
      <c r="P2544">
        <v>3</v>
      </c>
      <c r="Q2544">
        <v>17282.810000000001</v>
      </c>
    </row>
    <row r="2545" spans="1:17" x14ac:dyDescent="0.3">
      <c r="A2545" t="s">
        <v>5834</v>
      </c>
      <c r="B2545" t="s">
        <v>1278</v>
      </c>
      <c r="C2545" s="2" t="str">
        <f>PROPER(TRIM(Table1[[#This Row],[Gender]]))</f>
        <v>Male</v>
      </c>
      <c r="D2545" t="s">
        <v>16</v>
      </c>
      <c r="E2545">
        <v>28</v>
      </c>
      <c r="F2545" t="s">
        <v>31</v>
      </c>
      <c r="G2545" s="1">
        <v>35438</v>
      </c>
      <c r="H2545" t="s">
        <v>5835</v>
      </c>
      <c r="I2545" s="2" t="str">
        <f t="shared" si="39"/>
        <v>+91-9980053411</v>
      </c>
      <c r="J2545">
        <f>91-9980053502</f>
        <v>-9980053411</v>
      </c>
      <c r="K2545" t="s">
        <v>72</v>
      </c>
      <c r="L2545" t="s">
        <v>34</v>
      </c>
      <c r="M2545">
        <v>474469</v>
      </c>
      <c r="N2545" s="1">
        <v>45333</v>
      </c>
      <c r="O2545" t="s">
        <v>28</v>
      </c>
      <c r="P2545">
        <v>8</v>
      </c>
      <c r="Q2545">
        <v>276483.13</v>
      </c>
    </row>
    <row r="2546" spans="1:17" x14ac:dyDescent="0.3">
      <c r="A2546" t="s">
        <v>5836</v>
      </c>
      <c r="B2546" t="s">
        <v>1800</v>
      </c>
      <c r="C2546" s="2" t="str">
        <f>PROPER(TRIM(Table1[[#This Row],[Gender]]))</f>
        <v>Female</v>
      </c>
      <c r="D2546" t="s">
        <v>43</v>
      </c>
      <c r="E2546">
        <v>25</v>
      </c>
      <c r="F2546" t="s">
        <v>49</v>
      </c>
      <c r="G2546" s="1">
        <v>36533</v>
      </c>
      <c r="H2546" t="s">
        <v>5837</v>
      </c>
      <c r="I2546" s="2" t="str">
        <f t="shared" si="39"/>
        <v>+91-8527200356</v>
      </c>
      <c r="J2546">
        <f>91-8527200447</f>
        <v>-8527200356</v>
      </c>
      <c r="K2546" t="s">
        <v>125</v>
      </c>
      <c r="L2546" t="s">
        <v>52</v>
      </c>
      <c r="M2546">
        <v>991763</v>
      </c>
      <c r="N2546" s="1">
        <v>45119</v>
      </c>
      <c r="O2546" t="s">
        <v>28</v>
      </c>
      <c r="P2546">
        <v>4</v>
      </c>
      <c r="Q2546">
        <v>244971.87</v>
      </c>
    </row>
    <row r="2547" spans="1:17" x14ac:dyDescent="0.3">
      <c r="A2547" t="s">
        <v>5838</v>
      </c>
      <c r="B2547" t="s">
        <v>3811</v>
      </c>
      <c r="C2547" s="2" t="str">
        <f>PROPER(TRIM(Table1[[#This Row],[Gender]]))</f>
        <v>Female</v>
      </c>
      <c r="D2547" t="s">
        <v>43</v>
      </c>
      <c r="E2547">
        <v>27</v>
      </c>
      <c r="F2547" t="s">
        <v>31</v>
      </c>
      <c r="G2547" s="1">
        <v>35803</v>
      </c>
      <c r="H2547" t="s">
        <v>5839</v>
      </c>
      <c r="I2547" s="2" t="str">
        <f t="shared" si="39"/>
        <v>+91-7909478867</v>
      </c>
      <c r="J2547">
        <f>91-7909478958</f>
        <v>-7909478867</v>
      </c>
      <c r="K2547" t="s">
        <v>249</v>
      </c>
      <c r="L2547" t="s">
        <v>34</v>
      </c>
      <c r="M2547">
        <v>420844</v>
      </c>
      <c r="N2547" s="1">
        <v>45078</v>
      </c>
      <c r="O2547" t="s">
        <v>28</v>
      </c>
      <c r="P2547">
        <v>7</v>
      </c>
      <c r="Q2547">
        <v>133280.48000000001</v>
      </c>
    </row>
    <row r="2548" spans="1:17" x14ac:dyDescent="0.3">
      <c r="A2548" t="s">
        <v>5840</v>
      </c>
      <c r="B2548" t="s">
        <v>2458</v>
      </c>
      <c r="C2548" s="2" t="str">
        <f>PROPER(TRIM(Table1[[#This Row],[Gender]]))</f>
        <v>Female</v>
      </c>
      <c r="D2548" t="s">
        <v>43</v>
      </c>
      <c r="E2548">
        <v>34</v>
      </c>
      <c r="F2548" t="s">
        <v>31</v>
      </c>
      <c r="G2548" s="1">
        <v>33248</v>
      </c>
      <c r="H2548" t="s">
        <v>5841</v>
      </c>
      <c r="I2548" s="2" t="str">
        <f t="shared" si="39"/>
        <v>+91-7166980053</v>
      </c>
      <c r="J2548">
        <f>91-7166980144</f>
        <v>-7166980053</v>
      </c>
      <c r="K2548" t="s">
        <v>40</v>
      </c>
      <c r="L2548" t="s">
        <v>27</v>
      </c>
      <c r="M2548">
        <v>120614</v>
      </c>
      <c r="N2548" s="1">
        <v>45085</v>
      </c>
      <c r="O2548" t="s">
        <v>28</v>
      </c>
      <c r="P2548">
        <v>4</v>
      </c>
      <c r="Q2548">
        <v>237429.46</v>
      </c>
    </row>
    <row r="2549" spans="1:17" x14ac:dyDescent="0.3">
      <c r="A2549" t="s">
        <v>5842</v>
      </c>
      <c r="B2549" t="s">
        <v>3789</v>
      </c>
      <c r="C2549" s="2" t="str">
        <f>PROPER(TRIM(Table1[[#This Row],[Gender]]))</f>
        <v>Male</v>
      </c>
      <c r="D2549" t="s">
        <v>16</v>
      </c>
      <c r="E2549">
        <v>36</v>
      </c>
      <c r="F2549" t="s">
        <v>38</v>
      </c>
      <c r="G2549" s="1">
        <v>32518</v>
      </c>
      <c r="H2549" t="s">
        <v>5843</v>
      </c>
      <c r="I2549" s="2" t="str">
        <f t="shared" si="39"/>
        <v>+91-9230132108</v>
      </c>
      <c r="J2549">
        <f>91-9230132199</f>
        <v>-9230132108</v>
      </c>
      <c r="K2549" t="s">
        <v>51</v>
      </c>
      <c r="L2549" t="s">
        <v>52</v>
      </c>
      <c r="M2549">
        <v>886924</v>
      </c>
      <c r="N2549" s="1">
        <v>45257</v>
      </c>
      <c r="O2549" t="s">
        <v>28</v>
      </c>
      <c r="P2549">
        <v>9</v>
      </c>
      <c r="Q2549">
        <v>160612.48000000001</v>
      </c>
    </row>
    <row r="2550" spans="1:17" x14ac:dyDescent="0.3">
      <c r="A2550" t="s">
        <v>5844</v>
      </c>
      <c r="B2550" t="s">
        <v>1722</v>
      </c>
      <c r="C2550" s="2" t="str">
        <f>PROPER(TRIM(Table1[[#This Row],[Gender]]))</f>
        <v>Female</v>
      </c>
      <c r="D2550" t="s">
        <v>43</v>
      </c>
      <c r="E2550">
        <v>35</v>
      </c>
      <c r="F2550" t="s">
        <v>31</v>
      </c>
      <c r="G2550" s="1">
        <v>32883</v>
      </c>
      <c r="H2550" t="s">
        <v>5845</v>
      </c>
      <c r="I2550" s="2" t="str">
        <f t="shared" si="39"/>
        <v>+91-9672212985</v>
      </c>
      <c r="J2550">
        <f>91-9672213076</f>
        <v>-9672212985</v>
      </c>
      <c r="K2550" t="s">
        <v>76</v>
      </c>
      <c r="L2550" t="s">
        <v>46</v>
      </c>
      <c r="M2550">
        <v>993813</v>
      </c>
      <c r="N2550" s="1">
        <v>45401</v>
      </c>
      <c r="O2550" t="s">
        <v>21</v>
      </c>
      <c r="P2550">
        <v>3</v>
      </c>
      <c r="Q2550">
        <v>22138</v>
      </c>
    </row>
    <row r="2551" spans="1:17" x14ac:dyDescent="0.3">
      <c r="A2551" t="s">
        <v>5846</v>
      </c>
      <c r="B2551" t="s">
        <v>1124</v>
      </c>
      <c r="C2551" s="2" t="str">
        <f>PROPER(TRIM(Table1[[#This Row],[Gender]]))</f>
        <v>Female</v>
      </c>
      <c r="D2551" t="s">
        <v>43</v>
      </c>
      <c r="E2551">
        <v>22</v>
      </c>
      <c r="F2551" t="s">
        <v>49</v>
      </c>
      <c r="G2551" s="1">
        <v>37628</v>
      </c>
      <c r="H2551" t="s">
        <v>3576</v>
      </c>
      <c r="I2551" s="2" t="str">
        <f t="shared" si="39"/>
        <v>+91-8798273803</v>
      </c>
      <c r="J2551">
        <f>91-8798273894</f>
        <v>-8798273803</v>
      </c>
      <c r="K2551" t="s">
        <v>138</v>
      </c>
      <c r="L2551" t="s">
        <v>90</v>
      </c>
      <c r="M2551">
        <v>935435</v>
      </c>
      <c r="N2551" s="1">
        <v>45279</v>
      </c>
      <c r="O2551" t="s">
        <v>28</v>
      </c>
      <c r="P2551">
        <v>4</v>
      </c>
      <c r="Q2551">
        <v>154191.22</v>
      </c>
    </row>
    <row r="2552" spans="1:17" x14ac:dyDescent="0.3">
      <c r="A2552" t="s">
        <v>5847</v>
      </c>
      <c r="B2552" t="s">
        <v>1437</v>
      </c>
      <c r="C2552" s="2" t="str">
        <f>PROPER(TRIM(Table1[[#This Row],[Gender]]))</f>
        <v>Female</v>
      </c>
      <c r="D2552" t="s">
        <v>43</v>
      </c>
      <c r="E2552">
        <v>32</v>
      </c>
      <c r="F2552" t="s">
        <v>31</v>
      </c>
      <c r="G2552" s="1">
        <v>33978</v>
      </c>
      <c r="H2552" t="s">
        <v>5848</v>
      </c>
      <c r="I2552" s="2" t="str">
        <f t="shared" si="39"/>
        <v>+91-8999895172</v>
      </c>
      <c r="J2552">
        <f>91-8999895263</f>
        <v>-8999895172</v>
      </c>
      <c r="K2552" t="s">
        <v>109</v>
      </c>
      <c r="L2552" t="s">
        <v>46</v>
      </c>
      <c r="M2552">
        <v>930704</v>
      </c>
      <c r="N2552" s="1">
        <v>45325</v>
      </c>
      <c r="O2552" t="s">
        <v>28</v>
      </c>
      <c r="P2552">
        <v>4</v>
      </c>
      <c r="Q2552">
        <v>277170.09999999998</v>
      </c>
    </row>
    <row r="2553" spans="1:17" x14ac:dyDescent="0.3">
      <c r="A2553" t="s">
        <v>5849</v>
      </c>
      <c r="B2553" t="s">
        <v>2221</v>
      </c>
      <c r="C2553" s="2" t="str">
        <f>PROPER(TRIM(Table1[[#This Row],[Gender]]))</f>
        <v>Male</v>
      </c>
      <c r="D2553" t="s">
        <v>16</v>
      </c>
      <c r="E2553">
        <v>25</v>
      </c>
      <c r="F2553" t="s">
        <v>49</v>
      </c>
      <c r="G2553" s="1">
        <v>36533</v>
      </c>
      <c r="H2553" t="s">
        <v>2222</v>
      </c>
      <c r="I2553" s="2" t="str">
        <f t="shared" si="39"/>
        <v>+91-8077990365</v>
      </c>
      <c r="J2553">
        <f>91-8077990456</f>
        <v>-8077990365</v>
      </c>
      <c r="K2553" t="s">
        <v>174</v>
      </c>
      <c r="L2553" t="s">
        <v>90</v>
      </c>
      <c r="M2553">
        <v>507615</v>
      </c>
      <c r="N2553" s="1">
        <v>45292</v>
      </c>
      <c r="O2553" t="s">
        <v>28</v>
      </c>
      <c r="P2553">
        <v>7</v>
      </c>
      <c r="Q2553">
        <v>230191.79</v>
      </c>
    </row>
    <row r="2554" spans="1:17" x14ac:dyDescent="0.3">
      <c r="A2554" t="s">
        <v>5850</v>
      </c>
      <c r="B2554" t="s">
        <v>463</v>
      </c>
      <c r="C2554" s="2" t="str">
        <f>PROPER(TRIM(Table1[[#This Row],[Gender]]))</f>
        <v>Female</v>
      </c>
      <c r="D2554" t="s">
        <v>43</v>
      </c>
      <c r="E2554">
        <v>35</v>
      </c>
      <c r="F2554" t="s">
        <v>31</v>
      </c>
      <c r="G2554" s="1">
        <v>32883</v>
      </c>
      <c r="H2554" t="s">
        <v>5851</v>
      </c>
      <c r="I2554" s="2" t="str">
        <f t="shared" si="39"/>
        <v>+91-8680150097</v>
      </c>
      <c r="J2554">
        <f>91-8680150188</f>
        <v>-8680150097</v>
      </c>
      <c r="K2554" t="s">
        <v>331</v>
      </c>
      <c r="L2554" t="s">
        <v>143</v>
      </c>
      <c r="M2554">
        <v>904703</v>
      </c>
      <c r="N2554" s="1">
        <v>45140</v>
      </c>
      <c r="O2554" t="s">
        <v>28</v>
      </c>
      <c r="P2554">
        <v>6</v>
      </c>
      <c r="Q2554">
        <v>67858.240000000005</v>
      </c>
    </row>
    <row r="2555" spans="1:17" x14ac:dyDescent="0.3">
      <c r="A2555" t="s">
        <v>5852</v>
      </c>
      <c r="B2555" t="s">
        <v>5853</v>
      </c>
      <c r="C2555" s="2" t="str">
        <f>PROPER(TRIM(Table1[[#This Row],[Gender]]))</f>
        <v>Male</v>
      </c>
      <c r="D2555" t="s">
        <v>16</v>
      </c>
      <c r="E2555">
        <v>49</v>
      </c>
      <c r="F2555" t="s">
        <v>17</v>
      </c>
      <c r="G2555" s="1">
        <v>27773</v>
      </c>
      <c r="H2555" t="s">
        <v>5854</v>
      </c>
      <c r="I2555" s="2" t="str">
        <f t="shared" si="39"/>
        <v>+91-8044832817</v>
      </c>
      <c r="J2555">
        <f>91-8044832908</f>
        <v>-8044832817</v>
      </c>
      <c r="K2555" t="s">
        <v>113</v>
      </c>
      <c r="L2555" t="s">
        <v>34</v>
      </c>
      <c r="M2555">
        <v>984368</v>
      </c>
      <c r="N2555" s="1">
        <v>45182</v>
      </c>
      <c r="O2555" t="s">
        <v>35</v>
      </c>
      <c r="P2555">
        <v>3</v>
      </c>
      <c r="Q2555">
        <v>19535.47</v>
      </c>
    </row>
    <row r="2556" spans="1:17" x14ac:dyDescent="0.3">
      <c r="A2556" t="s">
        <v>5855</v>
      </c>
      <c r="B2556" t="s">
        <v>2739</v>
      </c>
      <c r="C2556" s="2" t="str">
        <f>PROPER(TRIM(Table1[[#This Row],[Gender]]))</f>
        <v>Female</v>
      </c>
      <c r="D2556" t="s">
        <v>43</v>
      </c>
      <c r="E2556">
        <v>35</v>
      </c>
      <c r="F2556" t="s">
        <v>31</v>
      </c>
      <c r="G2556" s="1">
        <v>32883</v>
      </c>
      <c r="H2556" t="s">
        <v>5579</v>
      </c>
      <c r="I2556" s="2" t="str">
        <f t="shared" si="39"/>
        <v>+91-7333288992</v>
      </c>
      <c r="J2556">
        <f>91-7333289083</f>
        <v>-7333288992</v>
      </c>
      <c r="K2556" t="s">
        <v>161</v>
      </c>
      <c r="L2556" t="s">
        <v>102</v>
      </c>
      <c r="M2556">
        <v>736314</v>
      </c>
      <c r="N2556" s="1">
        <v>45273</v>
      </c>
      <c r="O2556" t="s">
        <v>28</v>
      </c>
      <c r="P2556">
        <v>3</v>
      </c>
      <c r="Q2556">
        <v>67298.59</v>
      </c>
    </row>
    <row r="2557" spans="1:17" x14ac:dyDescent="0.3">
      <c r="A2557" t="s">
        <v>5856</v>
      </c>
      <c r="B2557" t="s">
        <v>611</v>
      </c>
      <c r="C2557" s="2" t="str">
        <f>PROPER(TRIM(Table1[[#This Row],[Gender]]))</f>
        <v>Male</v>
      </c>
      <c r="D2557" t="s">
        <v>16</v>
      </c>
      <c r="E2557">
        <v>74</v>
      </c>
      <c r="F2557" t="s">
        <v>24</v>
      </c>
      <c r="G2557" s="1">
        <v>18648</v>
      </c>
      <c r="H2557" t="s">
        <v>612</v>
      </c>
      <c r="I2557" s="2" t="str">
        <f t="shared" si="39"/>
        <v>+91-9470951606</v>
      </c>
      <c r="J2557">
        <f>91-9470951697</f>
        <v>-9470951606</v>
      </c>
      <c r="K2557" t="s">
        <v>239</v>
      </c>
      <c r="L2557" t="s">
        <v>191</v>
      </c>
      <c r="M2557">
        <v>118389</v>
      </c>
      <c r="N2557" s="1">
        <v>45149</v>
      </c>
      <c r="O2557" t="s">
        <v>28</v>
      </c>
      <c r="P2557">
        <v>6</v>
      </c>
      <c r="Q2557">
        <v>53066.34</v>
      </c>
    </row>
    <row r="2558" spans="1:17" x14ac:dyDescent="0.3">
      <c r="A2558" t="s">
        <v>5857</v>
      </c>
      <c r="B2558" t="s">
        <v>1173</v>
      </c>
      <c r="C2558" s="2" t="str">
        <f>PROPER(TRIM(Table1[[#This Row],[Gender]]))</f>
        <v>Female</v>
      </c>
      <c r="D2558" t="s">
        <v>43</v>
      </c>
      <c r="E2558">
        <v>28</v>
      </c>
      <c r="F2558" t="s">
        <v>31</v>
      </c>
      <c r="G2558" s="1">
        <v>35438</v>
      </c>
      <c r="H2558" t="s">
        <v>5858</v>
      </c>
      <c r="I2558" s="2" t="str">
        <f t="shared" si="39"/>
        <v>+91-8252321391</v>
      </c>
      <c r="J2558">
        <f>91-8252321482</f>
        <v>-8252321391</v>
      </c>
      <c r="K2558" t="s">
        <v>580</v>
      </c>
      <c r="L2558" t="s">
        <v>85</v>
      </c>
      <c r="M2558">
        <v>847447</v>
      </c>
      <c r="N2558" s="1">
        <v>45154</v>
      </c>
      <c r="O2558" t="s">
        <v>28</v>
      </c>
      <c r="P2558">
        <v>6</v>
      </c>
      <c r="Q2558">
        <v>147617.98000000001</v>
      </c>
    </row>
    <row r="2559" spans="1:17" x14ac:dyDescent="0.3">
      <c r="A2559" t="s">
        <v>5859</v>
      </c>
      <c r="B2559" t="s">
        <v>4571</v>
      </c>
      <c r="C2559" s="2" t="str">
        <f>PROPER(TRIM(Table1[[#This Row],[Gender]]))</f>
        <v>Female</v>
      </c>
      <c r="D2559" t="s">
        <v>43</v>
      </c>
      <c r="E2559">
        <v>18</v>
      </c>
      <c r="F2559" t="s">
        <v>49</v>
      </c>
      <c r="G2559" s="1">
        <v>39088</v>
      </c>
      <c r="H2559" t="s">
        <v>5860</v>
      </c>
      <c r="I2559" s="2" t="str">
        <f t="shared" si="39"/>
        <v>+91-8474820620</v>
      </c>
      <c r="J2559">
        <f>91-8474820711</f>
        <v>-8474820620</v>
      </c>
      <c r="K2559" t="s">
        <v>369</v>
      </c>
      <c r="L2559" t="s">
        <v>191</v>
      </c>
      <c r="M2559">
        <v>762160</v>
      </c>
      <c r="N2559" s="1">
        <v>45333</v>
      </c>
      <c r="O2559" t="s">
        <v>28</v>
      </c>
      <c r="P2559">
        <v>7</v>
      </c>
      <c r="Q2559">
        <v>93884.45</v>
      </c>
    </row>
    <row r="2560" spans="1:17" x14ac:dyDescent="0.3">
      <c r="A2560" t="s">
        <v>5861</v>
      </c>
      <c r="B2560" t="s">
        <v>3041</v>
      </c>
      <c r="C2560" s="2" t="str">
        <f>PROPER(TRIM(Table1[[#This Row],[Gender]]))</f>
        <v>Male</v>
      </c>
      <c r="D2560" t="s">
        <v>16</v>
      </c>
      <c r="E2560">
        <v>48</v>
      </c>
      <c r="F2560" t="s">
        <v>17</v>
      </c>
      <c r="G2560" s="1">
        <v>28138</v>
      </c>
      <c r="H2560" t="s">
        <v>3042</v>
      </c>
      <c r="I2560" s="2" t="str">
        <f t="shared" si="39"/>
        <v>+91-7667863662</v>
      </c>
      <c r="J2560">
        <f>91-7667863753</f>
        <v>-7667863662</v>
      </c>
      <c r="K2560" t="s">
        <v>72</v>
      </c>
      <c r="L2560" t="s">
        <v>34</v>
      </c>
      <c r="M2560">
        <v>487627</v>
      </c>
      <c r="N2560" s="1">
        <v>45096</v>
      </c>
      <c r="O2560" t="s">
        <v>21</v>
      </c>
      <c r="P2560">
        <v>6</v>
      </c>
      <c r="Q2560">
        <v>31589.34</v>
      </c>
    </row>
    <row r="2561" spans="1:17" x14ac:dyDescent="0.3">
      <c r="A2561" t="s">
        <v>5862</v>
      </c>
      <c r="B2561" t="s">
        <v>587</v>
      </c>
      <c r="C2561" s="2" t="str">
        <f>PROPER(TRIM(Table1[[#This Row],[Gender]]))</f>
        <v>Female</v>
      </c>
      <c r="D2561" t="s">
        <v>43</v>
      </c>
      <c r="E2561">
        <v>23</v>
      </c>
      <c r="F2561" t="s">
        <v>49</v>
      </c>
      <c r="G2561" s="1">
        <v>37263</v>
      </c>
      <c r="H2561" t="s">
        <v>4775</v>
      </c>
      <c r="I2561" s="2" t="str">
        <f t="shared" si="39"/>
        <v>+91-9773853475</v>
      </c>
      <c r="J2561">
        <f>91-9773853566</f>
        <v>-9773853475</v>
      </c>
      <c r="K2561" t="s">
        <v>76</v>
      </c>
      <c r="L2561" t="s">
        <v>46</v>
      </c>
      <c r="M2561">
        <v>723560</v>
      </c>
      <c r="N2561" s="1">
        <v>45286</v>
      </c>
      <c r="O2561" t="s">
        <v>21</v>
      </c>
      <c r="P2561">
        <v>7</v>
      </c>
      <c r="Q2561">
        <v>41405.57</v>
      </c>
    </row>
    <row r="2562" spans="1:17" x14ac:dyDescent="0.3">
      <c r="A2562" t="s">
        <v>5863</v>
      </c>
      <c r="B2562" t="s">
        <v>4942</v>
      </c>
      <c r="C2562" s="2" t="str">
        <f>PROPER(TRIM(Table1[[#This Row],[Gender]]))</f>
        <v>Male</v>
      </c>
      <c r="D2562" t="s">
        <v>16</v>
      </c>
      <c r="E2562">
        <v>32</v>
      </c>
      <c r="F2562" t="s">
        <v>31</v>
      </c>
      <c r="G2562" s="1">
        <v>33978</v>
      </c>
      <c r="H2562" t="s">
        <v>5864</v>
      </c>
      <c r="I2562" s="2" t="str">
        <f t="shared" ref="I2562:I2625" si="40">"+91"&amp;TEXT(J2562,"0000000000")</f>
        <v>+91-9959232751</v>
      </c>
      <c r="J2562">
        <f>91-9959232842</f>
        <v>-9959232751</v>
      </c>
      <c r="K2562" t="s">
        <v>33</v>
      </c>
      <c r="L2562" t="s">
        <v>34</v>
      </c>
      <c r="M2562">
        <v>961640</v>
      </c>
      <c r="N2562" s="1">
        <v>45273</v>
      </c>
      <c r="O2562" t="s">
        <v>28</v>
      </c>
      <c r="P2562">
        <v>5</v>
      </c>
      <c r="Q2562">
        <v>318982.15000000002</v>
      </c>
    </row>
    <row r="2563" spans="1:17" x14ac:dyDescent="0.3">
      <c r="A2563" t="s">
        <v>5865</v>
      </c>
      <c r="B2563" t="s">
        <v>664</v>
      </c>
      <c r="C2563" s="2" t="str">
        <f>PROPER(TRIM(Table1[[#This Row],[Gender]]))</f>
        <v>Male</v>
      </c>
      <c r="D2563" t="s">
        <v>16</v>
      </c>
      <c r="E2563">
        <v>28</v>
      </c>
      <c r="F2563" t="s">
        <v>31</v>
      </c>
      <c r="G2563" s="1">
        <v>35438</v>
      </c>
      <c r="H2563" t="s">
        <v>5866</v>
      </c>
      <c r="I2563" s="2" t="str">
        <f t="shared" si="40"/>
        <v>+91-7856028732</v>
      </c>
      <c r="J2563">
        <f>91-7856028823</f>
        <v>-7856028732</v>
      </c>
      <c r="K2563" t="s">
        <v>142</v>
      </c>
      <c r="L2563" t="s">
        <v>143</v>
      </c>
      <c r="M2563">
        <v>447504</v>
      </c>
      <c r="N2563" s="1">
        <v>45303</v>
      </c>
      <c r="O2563" t="s">
        <v>21</v>
      </c>
      <c r="P2563">
        <v>4</v>
      </c>
      <c r="Q2563">
        <v>44498.93</v>
      </c>
    </row>
    <row r="2564" spans="1:17" x14ac:dyDescent="0.3">
      <c r="A2564" t="s">
        <v>5867</v>
      </c>
      <c r="B2564" t="s">
        <v>501</v>
      </c>
      <c r="C2564" s="2" t="str">
        <f>PROPER(TRIM(Table1[[#This Row],[Gender]]))</f>
        <v>Male</v>
      </c>
      <c r="D2564" t="s">
        <v>16</v>
      </c>
      <c r="E2564">
        <v>62</v>
      </c>
      <c r="F2564" t="s">
        <v>58</v>
      </c>
      <c r="G2564" s="1">
        <v>23028</v>
      </c>
      <c r="H2564" t="s">
        <v>5868</v>
      </c>
      <c r="I2564" s="2" t="str">
        <f t="shared" si="40"/>
        <v>+91-8839976336</v>
      </c>
      <c r="J2564">
        <f>91-8839976427</f>
        <v>-8839976336</v>
      </c>
      <c r="K2564" t="s">
        <v>195</v>
      </c>
      <c r="L2564" t="s">
        <v>102</v>
      </c>
      <c r="M2564">
        <v>394757</v>
      </c>
      <c r="N2564" s="1">
        <v>45427</v>
      </c>
      <c r="O2564" t="s">
        <v>28</v>
      </c>
      <c r="P2564">
        <v>7</v>
      </c>
      <c r="Q2564">
        <v>71826.42</v>
      </c>
    </row>
    <row r="2565" spans="1:17" x14ac:dyDescent="0.3">
      <c r="A2565" t="s">
        <v>5869</v>
      </c>
      <c r="B2565" t="s">
        <v>1677</v>
      </c>
      <c r="C2565" s="2" t="str">
        <f>PROPER(TRIM(Table1[[#This Row],[Gender]]))</f>
        <v>Female</v>
      </c>
      <c r="D2565" t="s">
        <v>43</v>
      </c>
      <c r="E2565">
        <v>48</v>
      </c>
      <c r="F2565" t="s">
        <v>17</v>
      </c>
      <c r="G2565" s="1">
        <v>28138</v>
      </c>
      <c r="H2565" t="s">
        <v>5870</v>
      </c>
      <c r="I2565" s="2" t="str">
        <f t="shared" si="40"/>
        <v>+91-7550911955</v>
      </c>
      <c r="J2565">
        <f>91-7550912046</f>
        <v>-7550911955</v>
      </c>
      <c r="K2565" t="s">
        <v>51</v>
      </c>
      <c r="L2565" t="s">
        <v>52</v>
      </c>
      <c r="M2565">
        <v>335358</v>
      </c>
      <c r="N2565" s="1">
        <v>45165</v>
      </c>
      <c r="O2565" t="s">
        <v>35</v>
      </c>
      <c r="P2565">
        <v>3</v>
      </c>
      <c r="Q2565">
        <v>2017.15</v>
      </c>
    </row>
    <row r="2566" spans="1:17" x14ac:dyDescent="0.3">
      <c r="A2566" t="s">
        <v>5871</v>
      </c>
      <c r="B2566" t="s">
        <v>516</v>
      </c>
      <c r="C2566" s="2" t="str">
        <f>PROPER(TRIM(Table1[[#This Row],[Gender]]))</f>
        <v>Female</v>
      </c>
      <c r="D2566" t="s">
        <v>43</v>
      </c>
      <c r="E2566">
        <v>39</v>
      </c>
      <c r="F2566" t="s">
        <v>38</v>
      </c>
      <c r="G2566" s="1">
        <v>31423</v>
      </c>
      <c r="H2566" t="s">
        <v>5872</v>
      </c>
      <c r="I2566" s="2" t="str">
        <f t="shared" si="40"/>
        <v>+91-7450183555</v>
      </c>
      <c r="J2566">
        <f>91-7450183646</f>
        <v>-7450183555</v>
      </c>
      <c r="K2566" t="s">
        <v>113</v>
      </c>
      <c r="L2566" t="s">
        <v>34</v>
      </c>
      <c r="M2566">
        <v>984437</v>
      </c>
      <c r="N2566" s="1">
        <v>45359</v>
      </c>
      <c r="O2566" t="s">
        <v>28</v>
      </c>
      <c r="P2566">
        <v>6</v>
      </c>
      <c r="Q2566">
        <v>93684.88</v>
      </c>
    </row>
    <row r="2567" spans="1:17" x14ac:dyDescent="0.3">
      <c r="A2567" t="s">
        <v>5873</v>
      </c>
      <c r="B2567" t="s">
        <v>371</v>
      </c>
      <c r="C2567" s="2" t="str">
        <f>PROPER(TRIM(Table1[[#This Row],[Gender]]))</f>
        <v>Female</v>
      </c>
      <c r="D2567" t="s">
        <v>43</v>
      </c>
      <c r="E2567">
        <v>53</v>
      </c>
      <c r="F2567" t="s">
        <v>17</v>
      </c>
      <c r="G2567" s="1">
        <v>26313</v>
      </c>
      <c r="H2567" t="s">
        <v>5874</v>
      </c>
      <c r="I2567" s="2" t="str">
        <f t="shared" si="40"/>
        <v>+91-9609639881</v>
      </c>
      <c r="J2567">
        <f>91-9609639972</f>
        <v>-9609639881</v>
      </c>
      <c r="K2567" t="s">
        <v>40</v>
      </c>
      <c r="L2567" t="s">
        <v>27</v>
      </c>
      <c r="M2567">
        <v>363679</v>
      </c>
      <c r="N2567" s="1">
        <v>45200</v>
      </c>
      <c r="O2567" t="s">
        <v>21</v>
      </c>
      <c r="P2567">
        <v>2</v>
      </c>
      <c r="Q2567">
        <v>33686.160000000003</v>
      </c>
    </row>
    <row r="2568" spans="1:17" x14ac:dyDescent="0.3">
      <c r="A2568" t="s">
        <v>5875</v>
      </c>
      <c r="B2568" t="s">
        <v>801</v>
      </c>
      <c r="C2568" s="2" t="str">
        <f>PROPER(TRIM(Table1[[#This Row],[Gender]]))</f>
        <v>Female</v>
      </c>
      <c r="D2568" t="s">
        <v>43</v>
      </c>
      <c r="E2568">
        <v>24</v>
      </c>
      <c r="F2568" t="s">
        <v>49</v>
      </c>
      <c r="G2568" s="1">
        <v>36898</v>
      </c>
      <c r="H2568" t="s">
        <v>5876</v>
      </c>
      <c r="I2568" s="2" t="str">
        <f t="shared" si="40"/>
        <v>+91-7037930003</v>
      </c>
      <c r="J2568">
        <f>91-7037930094</f>
        <v>-7037930003</v>
      </c>
      <c r="K2568" t="s">
        <v>117</v>
      </c>
      <c r="L2568" t="s">
        <v>52</v>
      </c>
      <c r="M2568">
        <v>521712</v>
      </c>
      <c r="N2568" s="1">
        <v>45132</v>
      </c>
      <c r="O2568" t="s">
        <v>28</v>
      </c>
      <c r="P2568">
        <v>8</v>
      </c>
      <c r="Q2568">
        <v>287132.74</v>
      </c>
    </row>
    <row r="2569" spans="1:17" x14ac:dyDescent="0.3">
      <c r="A2569" t="s">
        <v>5877</v>
      </c>
      <c r="B2569" t="s">
        <v>436</v>
      </c>
      <c r="C2569" s="2" t="str">
        <f>PROPER(TRIM(Table1[[#This Row],[Gender]]))</f>
        <v>Male</v>
      </c>
      <c r="D2569" t="s">
        <v>16</v>
      </c>
      <c r="E2569">
        <v>28</v>
      </c>
      <c r="F2569" t="s">
        <v>31</v>
      </c>
      <c r="G2569" s="1">
        <v>35438</v>
      </c>
      <c r="H2569" t="s">
        <v>5878</v>
      </c>
      <c r="I2569" s="2" t="str">
        <f t="shared" si="40"/>
        <v>+91-7818050729</v>
      </c>
      <c r="J2569">
        <f>91-7818050820</f>
        <v>-7818050729</v>
      </c>
      <c r="K2569" t="s">
        <v>76</v>
      </c>
      <c r="L2569" t="s">
        <v>46</v>
      </c>
      <c r="M2569">
        <v>754271</v>
      </c>
      <c r="N2569" s="1">
        <v>45243</v>
      </c>
      <c r="O2569" t="s">
        <v>28</v>
      </c>
      <c r="P2569">
        <v>7</v>
      </c>
      <c r="Q2569">
        <v>218564.13</v>
      </c>
    </row>
    <row r="2570" spans="1:17" x14ac:dyDescent="0.3">
      <c r="A2570" t="s">
        <v>5879</v>
      </c>
      <c r="B2570" t="s">
        <v>5880</v>
      </c>
      <c r="C2570" s="2" t="str">
        <f>PROPER(TRIM(Table1[[#This Row],[Gender]]))</f>
        <v>Male</v>
      </c>
      <c r="D2570" t="s">
        <v>16</v>
      </c>
      <c r="E2570">
        <v>65</v>
      </c>
      <c r="F2570" t="s">
        <v>58</v>
      </c>
      <c r="G2570" s="1">
        <v>21933</v>
      </c>
      <c r="H2570" t="s">
        <v>5881</v>
      </c>
      <c r="I2570" s="2" t="str">
        <f t="shared" si="40"/>
        <v>+91-8759602435</v>
      </c>
      <c r="J2570">
        <f>91-8759602526</f>
        <v>-8759602435</v>
      </c>
      <c r="K2570" t="s">
        <v>195</v>
      </c>
      <c r="L2570" t="s">
        <v>102</v>
      </c>
      <c r="M2570">
        <v>963612</v>
      </c>
      <c r="N2570" s="1">
        <v>45387</v>
      </c>
      <c r="O2570" t="s">
        <v>21</v>
      </c>
      <c r="P2570">
        <v>5</v>
      </c>
      <c r="Q2570">
        <v>48707.86</v>
      </c>
    </row>
    <row r="2571" spans="1:17" x14ac:dyDescent="0.3">
      <c r="A2571" t="s">
        <v>5882</v>
      </c>
      <c r="B2571" t="s">
        <v>1012</v>
      </c>
      <c r="C2571" s="2" t="str">
        <f>PROPER(TRIM(Table1[[#This Row],[Gender]]))</f>
        <v>Male</v>
      </c>
      <c r="D2571" t="s">
        <v>16</v>
      </c>
      <c r="E2571">
        <v>32</v>
      </c>
      <c r="F2571" t="s">
        <v>31</v>
      </c>
      <c r="G2571" s="1">
        <v>33978</v>
      </c>
      <c r="H2571" t="s">
        <v>5883</v>
      </c>
      <c r="I2571" s="2" t="str">
        <f t="shared" si="40"/>
        <v>+91-7320626736</v>
      </c>
      <c r="J2571">
        <f>91-7320626827</f>
        <v>-7320626736</v>
      </c>
      <c r="K2571" t="s">
        <v>161</v>
      </c>
      <c r="L2571" t="s">
        <v>102</v>
      </c>
      <c r="M2571">
        <v>748213</v>
      </c>
      <c r="N2571" s="1">
        <v>45084</v>
      </c>
      <c r="O2571" t="s">
        <v>21</v>
      </c>
      <c r="P2571">
        <v>3</v>
      </c>
      <c r="Q2571">
        <v>44640.76</v>
      </c>
    </row>
    <row r="2572" spans="1:17" x14ac:dyDescent="0.3">
      <c r="A2572" t="s">
        <v>5884</v>
      </c>
      <c r="B2572" t="s">
        <v>4249</v>
      </c>
      <c r="C2572" s="2" t="str">
        <f>PROPER(TRIM(Table1[[#This Row],[Gender]]))</f>
        <v>Male</v>
      </c>
      <c r="D2572" t="s">
        <v>16</v>
      </c>
      <c r="E2572">
        <v>41</v>
      </c>
      <c r="F2572" t="s">
        <v>38</v>
      </c>
      <c r="G2572" s="1">
        <v>30693</v>
      </c>
      <c r="H2572" t="s">
        <v>5885</v>
      </c>
      <c r="I2572" s="2" t="str">
        <f t="shared" si="40"/>
        <v>+91-8668655086</v>
      </c>
      <c r="J2572">
        <f>91-8668655177</f>
        <v>-8668655086</v>
      </c>
      <c r="K2572" t="s">
        <v>369</v>
      </c>
      <c r="L2572" t="s">
        <v>191</v>
      </c>
      <c r="M2572">
        <v>296465</v>
      </c>
      <c r="N2572" s="1">
        <v>45365</v>
      </c>
      <c r="O2572" t="s">
        <v>28</v>
      </c>
      <c r="P2572">
        <v>6</v>
      </c>
      <c r="Q2572">
        <v>176164.06</v>
      </c>
    </row>
    <row r="2573" spans="1:17" x14ac:dyDescent="0.3">
      <c r="A2573" t="s">
        <v>5886</v>
      </c>
      <c r="B2573" t="s">
        <v>4462</v>
      </c>
      <c r="C2573" s="2" t="str">
        <f>PROPER(TRIM(Table1[[#This Row],[Gender]]))</f>
        <v>Male</v>
      </c>
      <c r="D2573" t="s">
        <v>16</v>
      </c>
      <c r="E2573">
        <v>31</v>
      </c>
      <c r="F2573" t="s">
        <v>31</v>
      </c>
      <c r="G2573" s="1">
        <v>34343</v>
      </c>
      <c r="H2573" t="s">
        <v>5887</v>
      </c>
      <c r="I2573" s="2" t="str">
        <f t="shared" si="40"/>
        <v>+91-8438538500</v>
      </c>
      <c r="J2573">
        <f>91-8438538591</f>
        <v>-8438538500</v>
      </c>
      <c r="K2573" t="s">
        <v>19</v>
      </c>
      <c r="L2573" t="s">
        <v>20</v>
      </c>
      <c r="M2573">
        <v>899138</v>
      </c>
      <c r="N2573" s="1">
        <v>45093</v>
      </c>
      <c r="O2573" t="s">
        <v>28</v>
      </c>
      <c r="P2573">
        <v>6</v>
      </c>
      <c r="Q2573">
        <v>224157.63</v>
      </c>
    </row>
    <row r="2574" spans="1:17" x14ac:dyDescent="0.3">
      <c r="A2574" t="s">
        <v>5888</v>
      </c>
      <c r="B2574" t="s">
        <v>228</v>
      </c>
      <c r="C2574" s="2" t="str">
        <f>PROPER(TRIM(Table1[[#This Row],[Gender]]))</f>
        <v>Female</v>
      </c>
      <c r="D2574" t="s">
        <v>43</v>
      </c>
      <c r="E2574">
        <v>34</v>
      </c>
      <c r="F2574" t="s">
        <v>31</v>
      </c>
      <c r="G2574" s="1">
        <v>33248</v>
      </c>
      <c r="H2574" t="s">
        <v>5889</v>
      </c>
      <c r="I2574" s="2" t="str">
        <f t="shared" si="40"/>
        <v>+91-8153953464</v>
      </c>
      <c r="J2574">
        <f>91-8153953555</f>
        <v>-8153953464</v>
      </c>
      <c r="K2574" t="s">
        <v>178</v>
      </c>
      <c r="L2574" t="s">
        <v>27</v>
      </c>
      <c r="M2574">
        <v>177179</v>
      </c>
      <c r="N2574" s="1">
        <v>45391</v>
      </c>
      <c r="O2574" t="s">
        <v>28</v>
      </c>
      <c r="P2574">
        <v>5</v>
      </c>
      <c r="Q2574">
        <v>271505.03999999998</v>
      </c>
    </row>
    <row r="2575" spans="1:17" x14ac:dyDescent="0.3">
      <c r="A2575" t="s">
        <v>5890</v>
      </c>
      <c r="B2575" t="s">
        <v>2559</v>
      </c>
      <c r="C2575" s="2" t="str">
        <f>PROPER(TRIM(Table1[[#This Row],[Gender]]))</f>
        <v>Male</v>
      </c>
      <c r="D2575" t="s">
        <v>16</v>
      </c>
      <c r="E2575">
        <v>27</v>
      </c>
      <c r="F2575" t="s">
        <v>31</v>
      </c>
      <c r="G2575" s="1">
        <v>35803</v>
      </c>
      <c r="H2575" t="s">
        <v>5891</v>
      </c>
      <c r="I2575" s="2" t="str">
        <f t="shared" si="40"/>
        <v>+91-7963710758</v>
      </c>
      <c r="J2575">
        <f>91-7963710849</f>
        <v>-7963710758</v>
      </c>
      <c r="K2575" t="s">
        <v>165</v>
      </c>
      <c r="L2575" t="s">
        <v>52</v>
      </c>
      <c r="M2575">
        <v>549133</v>
      </c>
      <c r="N2575" s="1">
        <v>45115</v>
      </c>
      <c r="O2575" t="s">
        <v>28</v>
      </c>
      <c r="P2575">
        <v>6</v>
      </c>
      <c r="Q2575">
        <v>273087.3</v>
      </c>
    </row>
    <row r="2576" spans="1:17" x14ac:dyDescent="0.3">
      <c r="A2576" t="s">
        <v>5892</v>
      </c>
      <c r="B2576" t="s">
        <v>2837</v>
      </c>
      <c r="C2576" s="2" t="str">
        <f>PROPER(TRIM(Table1[[#This Row],[Gender]]))</f>
        <v>Male</v>
      </c>
      <c r="D2576" t="s">
        <v>16</v>
      </c>
      <c r="E2576">
        <v>25</v>
      </c>
      <c r="F2576" t="s">
        <v>49</v>
      </c>
      <c r="G2576" s="1">
        <v>36533</v>
      </c>
      <c r="H2576" t="s">
        <v>5893</v>
      </c>
      <c r="I2576" s="2" t="str">
        <f t="shared" si="40"/>
        <v>+91-9182978531</v>
      </c>
      <c r="J2576">
        <f>91-9182978622</f>
        <v>-9182978531</v>
      </c>
      <c r="K2576" t="s">
        <v>195</v>
      </c>
      <c r="L2576" t="s">
        <v>102</v>
      </c>
      <c r="M2576">
        <v>878090</v>
      </c>
      <c r="N2576" s="1">
        <v>45114</v>
      </c>
      <c r="O2576" t="s">
        <v>28</v>
      </c>
      <c r="P2576">
        <v>3</v>
      </c>
      <c r="Q2576">
        <v>83205.100000000006</v>
      </c>
    </row>
    <row r="2577" spans="1:17" x14ac:dyDescent="0.3">
      <c r="A2577" t="s">
        <v>5894</v>
      </c>
      <c r="B2577" t="s">
        <v>2771</v>
      </c>
      <c r="C2577" s="2" t="str">
        <f>PROPER(TRIM(Table1[[#This Row],[Gender]]))</f>
        <v>Female</v>
      </c>
      <c r="D2577" t="s">
        <v>43</v>
      </c>
      <c r="E2577">
        <v>40</v>
      </c>
      <c r="F2577" t="s">
        <v>38</v>
      </c>
      <c r="G2577" s="1">
        <v>31058</v>
      </c>
      <c r="H2577" t="s">
        <v>5895</v>
      </c>
      <c r="I2577" s="2" t="str">
        <f t="shared" si="40"/>
        <v>+91-8271460661</v>
      </c>
      <c r="J2577">
        <f>91-8271460752</f>
        <v>-8271460661</v>
      </c>
      <c r="K2577" t="s">
        <v>249</v>
      </c>
      <c r="L2577" t="s">
        <v>34</v>
      </c>
      <c r="M2577">
        <v>165998</v>
      </c>
      <c r="N2577" s="1">
        <v>45172</v>
      </c>
      <c r="O2577" t="s">
        <v>21</v>
      </c>
      <c r="P2577">
        <v>6</v>
      </c>
      <c r="Q2577">
        <v>25888.97</v>
      </c>
    </row>
    <row r="2578" spans="1:17" x14ac:dyDescent="0.3">
      <c r="A2578" t="s">
        <v>5896</v>
      </c>
      <c r="B2578" t="s">
        <v>1935</v>
      </c>
      <c r="C2578" s="2" t="str">
        <f>PROPER(TRIM(Table1[[#This Row],[Gender]]))</f>
        <v>Female</v>
      </c>
      <c r="D2578" t="s">
        <v>43</v>
      </c>
      <c r="E2578">
        <v>20</v>
      </c>
      <c r="F2578" t="s">
        <v>49</v>
      </c>
      <c r="G2578" s="1">
        <v>38358</v>
      </c>
      <c r="H2578" t="s">
        <v>4393</v>
      </c>
      <c r="I2578" s="2" t="str">
        <f t="shared" si="40"/>
        <v>+91-8088674227</v>
      </c>
      <c r="J2578">
        <f>91-8088674318</f>
        <v>-8088674227</v>
      </c>
      <c r="K2578" t="s">
        <v>109</v>
      </c>
      <c r="L2578" t="s">
        <v>46</v>
      </c>
      <c r="M2578">
        <v>632591</v>
      </c>
      <c r="N2578" s="1">
        <v>45109</v>
      </c>
      <c r="O2578" t="s">
        <v>21</v>
      </c>
      <c r="P2578">
        <v>5</v>
      </c>
      <c r="Q2578">
        <v>28938.15</v>
      </c>
    </row>
    <row r="2579" spans="1:17" x14ac:dyDescent="0.3">
      <c r="A2579" t="s">
        <v>5897</v>
      </c>
      <c r="B2579" t="s">
        <v>510</v>
      </c>
      <c r="C2579" s="2" t="str">
        <f>PROPER(TRIM(Table1[[#This Row],[Gender]]))</f>
        <v>Male</v>
      </c>
      <c r="D2579" t="s">
        <v>16</v>
      </c>
      <c r="E2579">
        <v>40</v>
      </c>
      <c r="F2579" t="s">
        <v>38</v>
      </c>
      <c r="G2579" s="1">
        <v>31058</v>
      </c>
      <c r="H2579" t="s">
        <v>5898</v>
      </c>
      <c r="I2579" s="2" t="str">
        <f t="shared" si="40"/>
        <v>+91-7516661828</v>
      </c>
      <c r="J2579">
        <f>91-7516661919</f>
        <v>-7516661828</v>
      </c>
      <c r="K2579" t="s">
        <v>165</v>
      </c>
      <c r="L2579" t="s">
        <v>52</v>
      </c>
      <c r="M2579">
        <v>768775</v>
      </c>
      <c r="N2579" s="1">
        <v>45120</v>
      </c>
      <c r="O2579" t="s">
        <v>28</v>
      </c>
      <c r="P2579">
        <v>5</v>
      </c>
      <c r="Q2579">
        <v>222495.35999999999</v>
      </c>
    </row>
    <row r="2580" spans="1:17" x14ac:dyDescent="0.3">
      <c r="A2580" t="s">
        <v>5899</v>
      </c>
      <c r="B2580" t="s">
        <v>1741</v>
      </c>
      <c r="C2580" s="2" t="str">
        <f>PROPER(TRIM(Table1[[#This Row],[Gender]]))</f>
        <v>Female</v>
      </c>
      <c r="D2580" t="s">
        <v>43</v>
      </c>
      <c r="E2580">
        <v>40</v>
      </c>
      <c r="F2580" t="s">
        <v>38</v>
      </c>
      <c r="G2580" s="1">
        <v>31058</v>
      </c>
      <c r="H2580" t="s">
        <v>5900</v>
      </c>
      <c r="I2580" s="2" t="str">
        <f t="shared" si="40"/>
        <v>+91-9778694478</v>
      </c>
      <c r="J2580">
        <f>91-9778694569</f>
        <v>-9778694478</v>
      </c>
      <c r="K2580" t="s">
        <v>165</v>
      </c>
      <c r="L2580" t="s">
        <v>52</v>
      </c>
      <c r="M2580">
        <v>381876</v>
      </c>
      <c r="N2580" s="1">
        <v>45300</v>
      </c>
      <c r="O2580" t="s">
        <v>28</v>
      </c>
      <c r="P2580">
        <v>6</v>
      </c>
      <c r="Q2580">
        <v>189448.31</v>
      </c>
    </row>
    <row r="2581" spans="1:17" x14ac:dyDescent="0.3">
      <c r="A2581" t="s">
        <v>5901</v>
      </c>
      <c r="B2581" t="s">
        <v>1353</v>
      </c>
      <c r="C2581" s="2" t="str">
        <f>PROPER(TRIM(Table1[[#This Row],[Gender]]))</f>
        <v>Male</v>
      </c>
      <c r="D2581" t="s">
        <v>16</v>
      </c>
      <c r="E2581">
        <v>37</v>
      </c>
      <c r="F2581" t="s">
        <v>38</v>
      </c>
      <c r="G2581" s="1">
        <v>32153</v>
      </c>
      <c r="H2581" t="s">
        <v>5902</v>
      </c>
      <c r="I2581" s="2" t="str">
        <f t="shared" si="40"/>
        <v>+91-7554168649</v>
      </c>
      <c r="J2581">
        <f>91-7554168740</f>
        <v>-7554168649</v>
      </c>
      <c r="K2581" t="s">
        <v>33</v>
      </c>
      <c r="L2581" t="s">
        <v>34</v>
      </c>
      <c r="M2581">
        <v>993250</v>
      </c>
      <c r="N2581" s="1">
        <v>45330</v>
      </c>
      <c r="O2581" t="s">
        <v>28</v>
      </c>
      <c r="P2581">
        <v>3</v>
      </c>
      <c r="Q2581">
        <v>52052.91</v>
      </c>
    </row>
    <row r="2582" spans="1:17" x14ac:dyDescent="0.3">
      <c r="A2582" t="s">
        <v>5903</v>
      </c>
      <c r="B2582" t="s">
        <v>675</v>
      </c>
      <c r="C2582" s="2" t="str">
        <f>PROPER(TRIM(Table1[[#This Row],[Gender]]))</f>
        <v>Male</v>
      </c>
      <c r="D2582" t="s">
        <v>16</v>
      </c>
      <c r="E2582">
        <v>32</v>
      </c>
      <c r="F2582" t="s">
        <v>31</v>
      </c>
      <c r="G2582" s="1">
        <v>33978</v>
      </c>
      <c r="H2582" t="s">
        <v>3675</v>
      </c>
      <c r="I2582" s="2" t="str">
        <f t="shared" si="40"/>
        <v>+91-8870321088</v>
      </c>
      <c r="J2582">
        <f>91-8870321179</f>
        <v>-8870321088</v>
      </c>
      <c r="K2582" t="s">
        <v>60</v>
      </c>
      <c r="L2582" t="s">
        <v>34</v>
      </c>
      <c r="M2582">
        <v>152334</v>
      </c>
      <c r="N2582" s="1">
        <v>45436</v>
      </c>
      <c r="O2582" t="s">
        <v>28</v>
      </c>
      <c r="P2582">
        <v>3</v>
      </c>
      <c r="Q2582">
        <v>142780.84</v>
      </c>
    </row>
    <row r="2583" spans="1:17" x14ac:dyDescent="0.3">
      <c r="A2583" t="s">
        <v>5904</v>
      </c>
      <c r="B2583" t="s">
        <v>3297</v>
      </c>
      <c r="C2583" s="2" t="str">
        <f>PROPER(TRIM(Table1[[#This Row],[Gender]]))</f>
        <v>Female</v>
      </c>
      <c r="D2583" t="s">
        <v>43</v>
      </c>
      <c r="E2583">
        <v>51</v>
      </c>
      <c r="F2583" t="s">
        <v>17</v>
      </c>
      <c r="G2583" s="1">
        <v>27043</v>
      </c>
      <c r="H2583" t="s">
        <v>5905</v>
      </c>
      <c r="I2583" s="2" t="str">
        <f t="shared" si="40"/>
        <v>+91-7967309641</v>
      </c>
      <c r="J2583">
        <f>91-7967309732</f>
        <v>-7967309641</v>
      </c>
      <c r="K2583" t="s">
        <v>195</v>
      </c>
      <c r="L2583" t="s">
        <v>102</v>
      </c>
      <c r="M2583">
        <v>236202</v>
      </c>
      <c r="N2583" s="1">
        <v>45114</v>
      </c>
      <c r="O2583" t="s">
        <v>35</v>
      </c>
      <c r="P2583">
        <v>0</v>
      </c>
      <c r="Q2583">
        <v>0</v>
      </c>
    </row>
    <row r="2584" spans="1:17" x14ac:dyDescent="0.3">
      <c r="A2584" t="s">
        <v>5906</v>
      </c>
      <c r="B2584" t="s">
        <v>960</v>
      </c>
      <c r="C2584" s="2" t="str">
        <f>PROPER(TRIM(Table1[[#This Row],[Gender]]))</f>
        <v>Male</v>
      </c>
      <c r="D2584" t="s">
        <v>16</v>
      </c>
      <c r="E2584">
        <v>34</v>
      </c>
      <c r="F2584" t="s">
        <v>31</v>
      </c>
      <c r="G2584" s="1">
        <v>33248</v>
      </c>
      <c r="H2584" t="s">
        <v>5907</v>
      </c>
      <c r="I2584" s="2" t="str">
        <f t="shared" si="40"/>
        <v>+91-7697566995</v>
      </c>
      <c r="J2584">
        <f>91-7697567086</f>
        <v>-7697566995</v>
      </c>
      <c r="K2584" t="s">
        <v>109</v>
      </c>
      <c r="L2584" t="s">
        <v>46</v>
      </c>
      <c r="M2584">
        <v>219409</v>
      </c>
      <c r="N2584" s="1">
        <v>45137</v>
      </c>
      <c r="O2584" t="s">
        <v>35</v>
      </c>
      <c r="P2584">
        <v>1</v>
      </c>
      <c r="Q2584">
        <v>2542.6999999999998</v>
      </c>
    </row>
    <row r="2585" spans="1:17" x14ac:dyDescent="0.3">
      <c r="A2585" t="s">
        <v>5908</v>
      </c>
      <c r="B2585" t="s">
        <v>48</v>
      </c>
      <c r="C2585" s="2" t="str">
        <f>PROPER(TRIM(Table1[[#This Row],[Gender]]))</f>
        <v>Female</v>
      </c>
      <c r="D2585" t="s">
        <v>43</v>
      </c>
      <c r="E2585">
        <v>32</v>
      </c>
      <c r="F2585" t="s">
        <v>31</v>
      </c>
      <c r="G2585" s="1">
        <v>33978</v>
      </c>
      <c r="H2585" t="s">
        <v>1752</v>
      </c>
      <c r="I2585" s="2" t="str">
        <f t="shared" si="40"/>
        <v>+91-9768326568</v>
      </c>
      <c r="J2585">
        <f>91-9768326659</f>
        <v>-9768326568</v>
      </c>
      <c r="K2585" t="s">
        <v>121</v>
      </c>
      <c r="L2585" t="s">
        <v>85</v>
      </c>
      <c r="M2585">
        <v>210257</v>
      </c>
      <c r="N2585" s="1">
        <v>45196</v>
      </c>
      <c r="O2585" t="s">
        <v>28</v>
      </c>
      <c r="P2585">
        <v>5</v>
      </c>
      <c r="Q2585">
        <v>231850.22</v>
      </c>
    </row>
    <row r="2586" spans="1:17" x14ac:dyDescent="0.3">
      <c r="A2586" t="s">
        <v>5909</v>
      </c>
      <c r="B2586" t="s">
        <v>781</v>
      </c>
      <c r="C2586" s="2" t="str">
        <f>PROPER(TRIM(Table1[[#This Row],[Gender]]))</f>
        <v>Male</v>
      </c>
      <c r="D2586" t="s">
        <v>16</v>
      </c>
      <c r="E2586">
        <v>29</v>
      </c>
      <c r="F2586" t="s">
        <v>31</v>
      </c>
      <c r="G2586" s="1">
        <v>35073</v>
      </c>
      <c r="H2586" t="s">
        <v>2637</v>
      </c>
      <c r="I2586" s="2" t="str">
        <f t="shared" si="40"/>
        <v>+91-9779501349</v>
      </c>
      <c r="J2586">
        <f>91-9779501440</f>
        <v>-9779501349</v>
      </c>
      <c r="K2586" t="s">
        <v>117</v>
      </c>
      <c r="L2586" t="s">
        <v>52</v>
      </c>
      <c r="M2586">
        <v>477777</v>
      </c>
      <c r="N2586" s="1">
        <v>45268</v>
      </c>
      <c r="O2586" t="s">
        <v>28</v>
      </c>
      <c r="P2586">
        <v>8</v>
      </c>
      <c r="Q2586">
        <v>252484.04</v>
      </c>
    </row>
    <row r="2587" spans="1:17" x14ac:dyDescent="0.3">
      <c r="A2587" t="s">
        <v>5910</v>
      </c>
      <c r="B2587" t="s">
        <v>448</v>
      </c>
      <c r="C2587" s="2" t="str">
        <f>PROPER(TRIM(Table1[[#This Row],[Gender]]))</f>
        <v>Female</v>
      </c>
      <c r="D2587" t="s">
        <v>43</v>
      </c>
      <c r="E2587">
        <v>50</v>
      </c>
      <c r="F2587" t="s">
        <v>17</v>
      </c>
      <c r="G2587" s="1">
        <v>27408</v>
      </c>
      <c r="H2587" t="s">
        <v>5911</v>
      </c>
      <c r="I2587" s="2" t="str">
        <f t="shared" si="40"/>
        <v>+91-8796051595</v>
      </c>
      <c r="J2587">
        <f>91-8796051686</f>
        <v>-8796051595</v>
      </c>
      <c r="K2587" t="s">
        <v>33</v>
      </c>
      <c r="L2587" t="s">
        <v>34</v>
      </c>
      <c r="M2587">
        <v>924368</v>
      </c>
      <c r="N2587" s="1">
        <v>45093</v>
      </c>
      <c r="O2587" t="s">
        <v>28</v>
      </c>
      <c r="P2587">
        <v>5</v>
      </c>
      <c r="Q2587">
        <v>55102.69</v>
      </c>
    </row>
    <row r="2588" spans="1:17" x14ac:dyDescent="0.3">
      <c r="A2588" t="s">
        <v>5912</v>
      </c>
      <c r="B2588" t="s">
        <v>5731</v>
      </c>
      <c r="C2588" s="2" t="str">
        <f>PROPER(TRIM(Table1[[#This Row],[Gender]]))</f>
        <v>Male</v>
      </c>
      <c r="D2588" t="s">
        <v>16</v>
      </c>
      <c r="E2588">
        <v>40</v>
      </c>
      <c r="F2588" t="s">
        <v>38</v>
      </c>
      <c r="G2588" s="1">
        <v>31058</v>
      </c>
      <c r="H2588" t="s">
        <v>5913</v>
      </c>
      <c r="I2588" s="2" t="str">
        <f t="shared" si="40"/>
        <v>+91-7780929491</v>
      </c>
      <c r="J2588">
        <f>91-7780929582</f>
        <v>-7780929491</v>
      </c>
      <c r="K2588" t="s">
        <v>165</v>
      </c>
      <c r="L2588" t="s">
        <v>52</v>
      </c>
      <c r="M2588">
        <v>489908</v>
      </c>
      <c r="N2588" s="1">
        <v>45376</v>
      </c>
      <c r="O2588" t="s">
        <v>28</v>
      </c>
      <c r="P2588">
        <v>2</v>
      </c>
      <c r="Q2588">
        <v>70896.67</v>
      </c>
    </row>
    <row r="2589" spans="1:17" x14ac:dyDescent="0.3">
      <c r="A2589" t="s">
        <v>5914</v>
      </c>
      <c r="B2589" t="s">
        <v>3464</v>
      </c>
      <c r="C2589" s="2" t="str">
        <f>PROPER(TRIM(Table1[[#This Row],[Gender]]))</f>
        <v>Female</v>
      </c>
      <c r="D2589" t="s">
        <v>43</v>
      </c>
      <c r="E2589">
        <v>43</v>
      </c>
      <c r="F2589" t="s">
        <v>38</v>
      </c>
      <c r="G2589" s="1">
        <v>29963</v>
      </c>
      <c r="H2589" t="s">
        <v>5915</v>
      </c>
      <c r="I2589" s="2" t="str">
        <f t="shared" si="40"/>
        <v>+91-7990857680</v>
      </c>
      <c r="J2589">
        <f>91-7990857771</f>
        <v>-7990857680</v>
      </c>
      <c r="K2589" t="s">
        <v>580</v>
      </c>
      <c r="L2589" t="s">
        <v>85</v>
      </c>
      <c r="M2589">
        <v>724842</v>
      </c>
      <c r="N2589" s="1">
        <v>45318</v>
      </c>
      <c r="O2589" t="s">
        <v>35</v>
      </c>
      <c r="P2589">
        <v>2</v>
      </c>
      <c r="Q2589">
        <v>15465.36</v>
      </c>
    </row>
    <row r="2590" spans="1:17" x14ac:dyDescent="0.3">
      <c r="A2590" t="s">
        <v>5916</v>
      </c>
      <c r="B2590" t="s">
        <v>2021</v>
      </c>
      <c r="C2590" s="2" t="str">
        <f>PROPER(TRIM(Table1[[#This Row],[Gender]]))</f>
        <v>Male</v>
      </c>
      <c r="D2590" t="s">
        <v>16</v>
      </c>
      <c r="E2590">
        <v>44</v>
      </c>
      <c r="F2590" t="s">
        <v>38</v>
      </c>
      <c r="G2590" s="1">
        <v>29598</v>
      </c>
      <c r="H2590" t="s">
        <v>4901</v>
      </c>
      <c r="I2590" s="2" t="str">
        <f t="shared" si="40"/>
        <v>+91-9054706933</v>
      </c>
      <c r="J2590">
        <f>91-9054707024</f>
        <v>-9054706933</v>
      </c>
      <c r="K2590" t="s">
        <v>125</v>
      </c>
      <c r="L2590" t="s">
        <v>52</v>
      </c>
      <c r="M2590">
        <v>939993</v>
      </c>
      <c r="N2590" s="1">
        <v>45225</v>
      </c>
      <c r="O2590" t="s">
        <v>28</v>
      </c>
      <c r="P2590">
        <v>7</v>
      </c>
      <c r="Q2590">
        <v>190663.08</v>
      </c>
    </row>
    <row r="2591" spans="1:17" x14ac:dyDescent="0.3">
      <c r="A2591" t="s">
        <v>5917</v>
      </c>
      <c r="B2591" t="s">
        <v>884</v>
      </c>
      <c r="C2591" s="2" t="str">
        <f>PROPER(TRIM(Table1[[#This Row],[Gender]]))</f>
        <v>Male</v>
      </c>
      <c r="D2591" t="s">
        <v>16</v>
      </c>
      <c r="E2591">
        <v>39</v>
      </c>
      <c r="F2591" t="s">
        <v>38</v>
      </c>
      <c r="G2591" s="1">
        <v>31423</v>
      </c>
      <c r="H2591" t="s">
        <v>5918</v>
      </c>
      <c r="I2591" s="2" t="str">
        <f t="shared" si="40"/>
        <v>+91-9688577454</v>
      </c>
      <c r="J2591">
        <f>91-9688577545</f>
        <v>-9688577454</v>
      </c>
      <c r="K2591" t="s">
        <v>415</v>
      </c>
      <c r="L2591" t="s">
        <v>90</v>
      </c>
      <c r="M2591">
        <v>652730</v>
      </c>
      <c r="N2591" s="1">
        <v>45418</v>
      </c>
      <c r="O2591" t="s">
        <v>28</v>
      </c>
      <c r="P2591">
        <v>6</v>
      </c>
      <c r="Q2591">
        <v>219137.41</v>
      </c>
    </row>
    <row r="2592" spans="1:17" x14ac:dyDescent="0.3">
      <c r="A2592" t="s">
        <v>5919</v>
      </c>
      <c r="B2592" t="s">
        <v>2989</v>
      </c>
      <c r="C2592" s="2" t="str">
        <f>PROPER(TRIM(Table1[[#This Row],[Gender]]))</f>
        <v>Female</v>
      </c>
      <c r="D2592" t="s">
        <v>43</v>
      </c>
      <c r="E2592">
        <v>38</v>
      </c>
      <c r="F2592" t="s">
        <v>38</v>
      </c>
      <c r="G2592" s="1">
        <v>31788</v>
      </c>
      <c r="H2592" t="s">
        <v>5920</v>
      </c>
      <c r="I2592" s="2" t="str">
        <f t="shared" si="40"/>
        <v>+91-8790929965</v>
      </c>
      <c r="J2592">
        <f>91-8790930056</f>
        <v>-8790929965</v>
      </c>
      <c r="K2592" t="s">
        <v>101</v>
      </c>
      <c r="L2592" t="s">
        <v>102</v>
      </c>
      <c r="M2592">
        <v>962843</v>
      </c>
      <c r="N2592" s="1">
        <v>45163</v>
      </c>
      <c r="O2592" t="s">
        <v>28</v>
      </c>
      <c r="P2592">
        <v>5</v>
      </c>
      <c r="Q2592">
        <v>251648.12</v>
      </c>
    </row>
    <row r="2593" spans="1:17" x14ac:dyDescent="0.3">
      <c r="A2593" t="s">
        <v>5921</v>
      </c>
      <c r="B2593" t="s">
        <v>2316</v>
      </c>
      <c r="C2593" s="2" t="str">
        <f>PROPER(TRIM(Table1[[#This Row],[Gender]]))</f>
        <v>Male</v>
      </c>
      <c r="D2593" t="s">
        <v>16</v>
      </c>
      <c r="E2593">
        <v>32</v>
      </c>
      <c r="F2593" t="s">
        <v>31</v>
      </c>
      <c r="G2593" s="1">
        <v>33978</v>
      </c>
      <c r="H2593" t="s">
        <v>5922</v>
      </c>
      <c r="I2593" s="2" t="str">
        <f t="shared" si="40"/>
        <v>+91-7880217377</v>
      </c>
      <c r="J2593">
        <f>91-7880217468</f>
        <v>-7880217377</v>
      </c>
      <c r="K2593" t="s">
        <v>94</v>
      </c>
      <c r="L2593" t="s">
        <v>20</v>
      </c>
      <c r="M2593">
        <v>489203</v>
      </c>
      <c r="N2593" s="1">
        <v>45219</v>
      </c>
      <c r="O2593" t="s">
        <v>21</v>
      </c>
      <c r="P2593">
        <v>4</v>
      </c>
      <c r="Q2593">
        <v>34211.760000000002</v>
      </c>
    </row>
    <row r="2594" spans="1:17" x14ac:dyDescent="0.3">
      <c r="A2594" t="s">
        <v>5923</v>
      </c>
      <c r="B2594" t="s">
        <v>587</v>
      </c>
      <c r="C2594" s="2" t="str">
        <f>PROPER(TRIM(Table1[[#This Row],[Gender]]))</f>
        <v>Female</v>
      </c>
      <c r="D2594" t="s">
        <v>43</v>
      </c>
      <c r="E2594">
        <v>20</v>
      </c>
      <c r="F2594" t="s">
        <v>49</v>
      </c>
      <c r="G2594" s="1">
        <v>38358</v>
      </c>
      <c r="H2594" t="s">
        <v>5924</v>
      </c>
      <c r="I2594" s="2" t="str">
        <f t="shared" si="40"/>
        <v>+91-8156900818</v>
      </c>
      <c r="J2594">
        <f>91-8156900909</f>
        <v>-8156900818</v>
      </c>
      <c r="K2594" t="s">
        <v>101</v>
      </c>
      <c r="L2594" t="s">
        <v>102</v>
      </c>
      <c r="M2594">
        <v>891619</v>
      </c>
      <c r="N2594" s="1">
        <v>45384</v>
      </c>
      <c r="O2594" t="s">
        <v>28</v>
      </c>
      <c r="P2594">
        <v>2</v>
      </c>
      <c r="Q2594">
        <v>246567.38</v>
      </c>
    </row>
    <row r="2595" spans="1:17" x14ac:dyDescent="0.3">
      <c r="A2595" t="s">
        <v>5925</v>
      </c>
      <c r="B2595" t="s">
        <v>814</v>
      </c>
      <c r="C2595" s="2" t="str">
        <f>PROPER(TRIM(Table1[[#This Row],[Gender]]))</f>
        <v>Male</v>
      </c>
      <c r="D2595" t="s">
        <v>16</v>
      </c>
      <c r="E2595">
        <v>60</v>
      </c>
      <c r="F2595" t="s">
        <v>58</v>
      </c>
      <c r="G2595" s="1">
        <v>23758</v>
      </c>
      <c r="H2595" t="s">
        <v>5926</v>
      </c>
      <c r="I2595" s="2" t="str">
        <f t="shared" si="40"/>
        <v>+91-8403389162</v>
      </c>
      <c r="J2595">
        <f>91-8403389253</f>
        <v>-8403389162</v>
      </c>
      <c r="K2595" t="s">
        <v>331</v>
      </c>
      <c r="L2595" t="s">
        <v>143</v>
      </c>
      <c r="M2595">
        <v>271133</v>
      </c>
      <c r="N2595" s="1">
        <v>45284</v>
      </c>
      <c r="O2595" t="s">
        <v>21</v>
      </c>
      <c r="P2595">
        <v>5</v>
      </c>
      <c r="Q2595">
        <v>48540.62</v>
      </c>
    </row>
    <row r="2596" spans="1:17" x14ac:dyDescent="0.3">
      <c r="A2596" t="s">
        <v>5927</v>
      </c>
      <c r="B2596" t="s">
        <v>865</v>
      </c>
      <c r="C2596" s="2" t="str">
        <f>PROPER(TRIM(Table1[[#This Row],[Gender]]))</f>
        <v>Male</v>
      </c>
      <c r="D2596" t="s">
        <v>16</v>
      </c>
      <c r="E2596">
        <v>45</v>
      </c>
      <c r="F2596" t="s">
        <v>38</v>
      </c>
      <c r="G2596" s="1">
        <v>29233</v>
      </c>
      <c r="H2596" t="s">
        <v>5928</v>
      </c>
      <c r="I2596" s="2" t="str">
        <f t="shared" si="40"/>
        <v>+91-9419985780</v>
      </c>
      <c r="J2596">
        <f>91-9419985871</f>
        <v>-9419985780</v>
      </c>
      <c r="K2596" t="s">
        <v>40</v>
      </c>
      <c r="L2596" t="s">
        <v>27</v>
      </c>
      <c r="M2596">
        <v>897756</v>
      </c>
      <c r="N2596" s="1">
        <v>45290</v>
      </c>
      <c r="O2596" t="s">
        <v>28</v>
      </c>
      <c r="P2596">
        <v>5</v>
      </c>
      <c r="Q2596">
        <v>78826.75</v>
      </c>
    </row>
    <row r="2597" spans="1:17" x14ac:dyDescent="0.3">
      <c r="A2597" t="s">
        <v>5929</v>
      </c>
      <c r="B2597" t="s">
        <v>1734</v>
      </c>
      <c r="C2597" s="2" t="str">
        <f>PROPER(TRIM(Table1[[#This Row],[Gender]]))</f>
        <v>Female</v>
      </c>
      <c r="D2597" t="s">
        <v>43</v>
      </c>
      <c r="E2597">
        <v>19</v>
      </c>
      <c r="F2597" t="s">
        <v>49</v>
      </c>
      <c r="G2597" s="1">
        <v>38723</v>
      </c>
      <c r="H2597" t="s">
        <v>5930</v>
      </c>
      <c r="I2597" s="2" t="str">
        <f t="shared" si="40"/>
        <v>+91-8673383655</v>
      </c>
      <c r="J2597">
        <f>91-8673383746</f>
        <v>-8673383655</v>
      </c>
      <c r="K2597" t="s">
        <v>195</v>
      </c>
      <c r="L2597" t="s">
        <v>102</v>
      </c>
      <c r="M2597">
        <v>470271</v>
      </c>
      <c r="N2597" s="1">
        <v>45396</v>
      </c>
      <c r="O2597" t="s">
        <v>21</v>
      </c>
      <c r="P2597">
        <v>6</v>
      </c>
      <c r="Q2597">
        <v>22540.75</v>
      </c>
    </row>
    <row r="2598" spans="1:17" x14ac:dyDescent="0.3">
      <c r="A2598" t="s">
        <v>5931</v>
      </c>
      <c r="B2598" t="s">
        <v>862</v>
      </c>
      <c r="C2598" s="2" t="str">
        <f>PROPER(TRIM(Table1[[#This Row],[Gender]]))</f>
        <v>Male</v>
      </c>
      <c r="D2598" t="s">
        <v>16</v>
      </c>
      <c r="E2598">
        <v>50</v>
      </c>
      <c r="F2598" t="s">
        <v>17</v>
      </c>
      <c r="G2598" s="1">
        <v>27408</v>
      </c>
      <c r="H2598" t="s">
        <v>1091</v>
      </c>
      <c r="I2598" s="2" t="str">
        <f t="shared" si="40"/>
        <v>+91-7701733742</v>
      </c>
      <c r="J2598">
        <f>91-7701733833</f>
        <v>-7701733742</v>
      </c>
      <c r="K2598" t="s">
        <v>580</v>
      </c>
      <c r="L2598" t="s">
        <v>85</v>
      </c>
      <c r="M2598">
        <v>564788</v>
      </c>
      <c r="N2598" s="1">
        <v>45370</v>
      </c>
      <c r="O2598" t="s">
        <v>35</v>
      </c>
      <c r="P2598">
        <v>4</v>
      </c>
      <c r="Q2598">
        <v>6360.19</v>
      </c>
    </row>
    <row r="2599" spans="1:17" x14ac:dyDescent="0.3">
      <c r="A2599" t="s">
        <v>5932</v>
      </c>
      <c r="B2599" t="s">
        <v>3312</v>
      </c>
      <c r="C2599" s="2" t="str">
        <f>PROPER(TRIM(Table1[[#This Row],[Gender]]))</f>
        <v>Male</v>
      </c>
      <c r="D2599" t="s">
        <v>16</v>
      </c>
      <c r="E2599">
        <v>40</v>
      </c>
      <c r="F2599" t="s">
        <v>38</v>
      </c>
      <c r="G2599" s="1">
        <v>31058</v>
      </c>
      <c r="H2599" t="s">
        <v>5933</v>
      </c>
      <c r="I2599" s="2" t="str">
        <f t="shared" si="40"/>
        <v>+91-8861710017</v>
      </c>
      <c r="J2599">
        <f>91-8861710108</f>
        <v>-8861710017</v>
      </c>
      <c r="K2599" t="s">
        <v>40</v>
      </c>
      <c r="L2599" t="s">
        <v>27</v>
      </c>
      <c r="M2599">
        <v>465528</v>
      </c>
      <c r="N2599" s="1">
        <v>45333</v>
      </c>
      <c r="O2599" t="s">
        <v>28</v>
      </c>
      <c r="P2599">
        <v>4</v>
      </c>
      <c r="Q2599">
        <v>91560.25</v>
      </c>
    </row>
    <row r="2600" spans="1:17" x14ac:dyDescent="0.3">
      <c r="A2600" t="s">
        <v>5934</v>
      </c>
      <c r="B2600" t="s">
        <v>2762</v>
      </c>
      <c r="C2600" s="2" t="str">
        <f>PROPER(TRIM(Table1[[#This Row],[Gender]]))</f>
        <v>Male</v>
      </c>
      <c r="D2600" t="s">
        <v>16</v>
      </c>
      <c r="E2600">
        <v>39</v>
      </c>
      <c r="F2600" t="s">
        <v>38</v>
      </c>
      <c r="G2600" s="1">
        <v>31423</v>
      </c>
      <c r="H2600" t="s">
        <v>5935</v>
      </c>
      <c r="I2600" s="2" t="str">
        <f t="shared" si="40"/>
        <v>+91-7878410323</v>
      </c>
      <c r="J2600">
        <f>91-7878410414</f>
        <v>-7878410323</v>
      </c>
      <c r="K2600" t="s">
        <v>249</v>
      </c>
      <c r="L2600" t="s">
        <v>34</v>
      </c>
      <c r="M2600">
        <v>457032</v>
      </c>
      <c r="N2600" s="1">
        <v>45363</v>
      </c>
      <c r="O2600" t="s">
        <v>28</v>
      </c>
      <c r="P2600">
        <v>7</v>
      </c>
      <c r="Q2600">
        <v>235537.35</v>
      </c>
    </row>
    <row r="2601" spans="1:17" x14ac:dyDescent="0.3">
      <c r="A2601" t="s">
        <v>5936</v>
      </c>
      <c r="B2601" t="s">
        <v>516</v>
      </c>
      <c r="C2601" s="2" t="str">
        <f>PROPER(TRIM(Table1[[#This Row],[Gender]]))</f>
        <v>Female</v>
      </c>
      <c r="D2601" t="s">
        <v>43</v>
      </c>
      <c r="E2601">
        <v>26</v>
      </c>
      <c r="F2601" t="s">
        <v>31</v>
      </c>
      <c r="G2601" s="1">
        <v>36168</v>
      </c>
      <c r="H2601" t="s">
        <v>5937</v>
      </c>
      <c r="I2601" s="2" t="str">
        <f t="shared" si="40"/>
        <v>+91-8591449819</v>
      </c>
      <c r="J2601">
        <f>91-8591449910</f>
        <v>-8591449819</v>
      </c>
      <c r="K2601" t="s">
        <v>415</v>
      </c>
      <c r="L2601" t="s">
        <v>90</v>
      </c>
      <c r="M2601">
        <v>859962</v>
      </c>
      <c r="N2601" s="1">
        <v>45168</v>
      </c>
      <c r="O2601" t="s">
        <v>28</v>
      </c>
      <c r="P2601">
        <v>6</v>
      </c>
      <c r="Q2601">
        <v>56791.14</v>
      </c>
    </row>
    <row r="2602" spans="1:17" x14ac:dyDescent="0.3">
      <c r="A2602" t="s">
        <v>5938</v>
      </c>
      <c r="B2602" t="s">
        <v>1139</v>
      </c>
      <c r="C2602" s="2" t="str">
        <f>PROPER(TRIM(Table1[[#This Row],[Gender]]))</f>
        <v>Male</v>
      </c>
      <c r="D2602" t="s">
        <v>16</v>
      </c>
      <c r="E2602">
        <v>27</v>
      </c>
      <c r="F2602" t="s">
        <v>31</v>
      </c>
      <c r="G2602" s="1">
        <v>35803</v>
      </c>
      <c r="H2602" t="s">
        <v>5939</v>
      </c>
      <c r="I2602" s="2" t="str">
        <f t="shared" si="40"/>
        <v>+91-9694188994</v>
      </c>
      <c r="J2602">
        <f>91-9694189085</f>
        <v>-9694188994</v>
      </c>
      <c r="K2602" t="s">
        <v>249</v>
      </c>
      <c r="L2602" t="s">
        <v>34</v>
      </c>
      <c r="M2602">
        <v>207795</v>
      </c>
      <c r="N2602" s="1">
        <v>45117</v>
      </c>
      <c r="O2602" t="s">
        <v>28</v>
      </c>
      <c r="P2602">
        <v>4</v>
      </c>
      <c r="Q2602">
        <v>337651.01</v>
      </c>
    </row>
    <row r="2603" spans="1:17" x14ac:dyDescent="0.3">
      <c r="A2603" t="s">
        <v>5940</v>
      </c>
      <c r="B2603" t="s">
        <v>439</v>
      </c>
      <c r="C2603" s="2" t="str">
        <f>PROPER(TRIM(Table1[[#This Row],[Gender]]))</f>
        <v>Male</v>
      </c>
      <c r="D2603" t="s">
        <v>16</v>
      </c>
      <c r="E2603">
        <v>30</v>
      </c>
      <c r="F2603" t="s">
        <v>31</v>
      </c>
      <c r="G2603" s="1">
        <v>34708</v>
      </c>
      <c r="H2603" t="s">
        <v>5941</v>
      </c>
      <c r="I2603" s="2" t="str">
        <f t="shared" si="40"/>
        <v>+91-9925291454</v>
      </c>
      <c r="J2603">
        <f>91-9925291545</f>
        <v>-9925291454</v>
      </c>
      <c r="K2603" t="s">
        <v>580</v>
      </c>
      <c r="L2603" t="s">
        <v>85</v>
      </c>
      <c r="M2603">
        <v>731794</v>
      </c>
      <c r="N2603" s="1">
        <v>45195</v>
      </c>
      <c r="O2603" t="s">
        <v>28</v>
      </c>
      <c r="P2603">
        <v>6</v>
      </c>
      <c r="Q2603">
        <v>216445.3</v>
      </c>
    </row>
    <row r="2604" spans="1:17" x14ac:dyDescent="0.3">
      <c r="A2604" t="s">
        <v>5942</v>
      </c>
      <c r="B2604" t="s">
        <v>868</v>
      </c>
      <c r="C2604" s="2" t="str">
        <f>PROPER(TRIM(Table1[[#This Row],[Gender]]))</f>
        <v>Female</v>
      </c>
      <c r="D2604" t="s">
        <v>43</v>
      </c>
      <c r="E2604">
        <v>29</v>
      </c>
      <c r="F2604" t="s">
        <v>31</v>
      </c>
      <c r="G2604" s="1">
        <v>35073</v>
      </c>
      <c r="H2604" t="s">
        <v>5943</v>
      </c>
      <c r="I2604" s="2" t="str">
        <f t="shared" si="40"/>
        <v>+91-7889626306</v>
      </c>
      <c r="J2604">
        <f>91-7889626397</f>
        <v>-7889626306</v>
      </c>
      <c r="K2604" t="s">
        <v>154</v>
      </c>
      <c r="L2604" t="s">
        <v>46</v>
      </c>
      <c r="M2604">
        <v>505205</v>
      </c>
      <c r="N2604" s="1">
        <v>45262</v>
      </c>
      <c r="O2604" t="s">
        <v>28</v>
      </c>
      <c r="P2604">
        <v>5</v>
      </c>
      <c r="Q2604">
        <v>95270.3</v>
      </c>
    </row>
    <row r="2605" spans="1:17" x14ac:dyDescent="0.3">
      <c r="A2605" t="s">
        <v>5944</v>
      </c>
      <c r="B2605" t="s">
        <v>3046</v>
      </c>
      <c r="C2605" s="2" t="str">
        <f>PROPER(TRIM(Table1[[#This Row],[Gender]]))</f>
        <v>Female</v>
      </c>
      <c r="D2605" t="s">
        <v>43</v>
      </c>
      <c r="E2605">
        <v>34</v>
      </c>
      <c r="F2605" t="s">
        <v>31</v>
      </c>
      <c r="G2605" s="1">
        <v>33248</v>
      </c>
      <c r="H2605" t="s">
        <v>5945</v>
      </c>
      <c r="I2605" s="2" t="str">
        <f t="shared" si="40"/>
        <v>+91-8428804978</v>
      </c>
      <c r="J2605">
        <f>91-8428805069</f>
        <v>-8428804978</v>
      </c>
      <c r="K2605" t="s">
        <v>121</v>
      </c>
      <c r="L2605" t="s">
        <v>85</v>
      </c>
      <c r="M2605">
        <v>565634</v>
      </c>
      <c r="N2605" s="1">
        <v>45204</v>
      </c>
      <c r="O2605" t="s">
        <v>28</v>
      </c>
      <c r="P2605">
        <v>3</v>
      </c>
      <c r="Q2605">
        <v>175900.49</v>
      </c>
    </row>
    <row r="2606" spans="1:17" x14ac:dyDescent="0.3">
      <c r="A2606" t="s">
        <v>5946</v>
      </c>
      <c r="B2606" t="s">
        <v>1494</v>
      </c>
      <c r="C2606" s="2" t="str">
        <f>PROPER(TRIM(Table1[[#This Row],[Gender]]))</f>
        <v>Female</v>
      </c>
      <c r="D2606" t="s">
        <v>43</v>
      </c>
      <c r="E2606">
        <v>33</v>
      </c>
      <c r="F2606" t="s">
        <v>31</v>
      </c>
      <c r="G2606" s="1">
        <v>33613</v>
      </c>
      <c r="H2606" t="s">
        <v>5947</v>
      </c>
      <c r="I2606" s="2" t="str">
        <f t="shared" si="40"/>
        <v>+91-7537928560</v>
      </c>
      <c r="J2606">
        <f>91-7537928651</f>
        <v>-7537928560</v>
      </c>
      <c r="K2606" t="s">
        <v>60</v>
      </c>
      <c r="L2606" t="s">
        <v>34</v>
      </c>
      <c r="M2606">
        <v>229927</v>
      </c>
      <c r="N2606" s="1">
        <v>45162</v>
      </c>
      <c r="O2606" t="s">
        <v>28</v>
      </c>
      <c r="P2606">
        <v>3</v>
      </c>
      <c r="Q2606">
        <v>239748.18</v>
      </c>
    </row>
    <row r="2607" spans="1:17" x14ac:dyDescent="0.3">
      <c r="A2607" t="s">
        <v>5948</v>
      </c>
      <c r="B2607" t="s">
        <v>193</v>
      </c>
      <c r="C2607" s="2" t="str">
        <f>PROPER(TRIM(Table1[[#This Row],[Gender]]))</f>
        <v>Male</v>
      </c>
      <c r="D2607" t="s">
        <v>16</v>
      </c>
      <c r="E2607">
        <v>32</v>
      </c>
      <c r="F2607" t="s">
        <v>31</v>
      </c>
      <c r="G2607" s="1">
        <v>33978</v>
      </c>
      <c r="H2607" t="s">
        <v>5949</v>
      </c>
      <c r="I2607" s="2" t="str">
        <f t="shared" si="40"/>
        <v>+91-9852677179</v>
      </c>
      <c r="J2607">
        <f>91-9852677270</f>
        <v>-9852677179</v>
      </c>
      <c r="K2607" t="s">
        <v>331</v>
      </c>
      <c r="L2607" t="s">
        <v>143</v>
      </c>
      <c r="M2607">
        <v>100522</v>
      </c>
      <c r="N2607" s="1">
        <v>45124</v>
      </c>
      <c r="O2607" t="s">
        <v>21</v>
      </c>
      <c r="P2607">
        <v>3</v>
      </c>
      <c r="Q2607">
        <v>32474.03</v>
      </c>
    </row>
    <row r="2608" spans="1:17" x14ac:dyDescent="0.3">
      <c r="A2608" t="s">
        <v>5950</v>
      </c>
      <c r="B2608" t="s">
        <v>1507</v>
      </c>
      <c r="C2608" s="2" t="str">
        <f>PROPER(TRIM(Table1[[#This Row],[Gender]]))</f>
        <v>Female</v>
      </c>
      <c r="D2608" t="s">
        <v>43</v>
      </c>
      <c r="E2608">
        <v>59</v>
      </c>
      <c r="F2608" t="s">
        <v>58</v>
      </c>
      <c r="G2608" s="1">
        <v>24123</v>
      </c>
      <c r="H2608" t="s">
        <v>5951</v>
      </c>
      <c r="I2608" s="2" t="str">
        <f t="shared" si="40"/>
        <v>+91-7720118132</v>
      </c>
      <c r="J2608">
        <f>91-7720118223</f>
        <v>-7720118132</v>
      </c>
      <c r="K2608" t="s">
        <v>138</v>
      </c>
      <c r="L2608" t="s">
        <v>90</v>
      </c>
      <c r="M2608">
        <v>196930</v>
      </c>
      <c r="N2608" s="1">
        <v>45262</v>
      </c>
      <c r="O2608" t="s">
        <v>21</v>
      </c>
      <c r="P2608">
        <v>4</v>
      </c>
      <c r="Q2608">
        <v>45224.91</v>
      </c>
    </row>
    <row r="2609" spans="1:17" x14ac:dyDescent="0.3">
      <c r="A2609" t="s">
        <v>5952</v>
      </c>
      <c r="B2609" t="s">
        <v>1367</v>
      </c>
      <c r="C2609" s="2" t="str">
        <f>PROPER(TRIM(Table1[[#This Row],[Gender]]))</f>
        <v>Female</v>
      </c>
      <c r="D2609" t="s">
        <v>43</v>
      </c>
      <c r="E2609">
        <v>32</v>
      </c>
      <c r="F2609" t="s">
        <v>31</v>
      </c>
      <c r="G2609" s="1">
        <v>33978</v>
      </c>
      <c r="H2609" t="s">
        <v>5953</v>
      </c>
      <c r="I2609" s="2" t="str">
        <f t="shared" si="40"/>
        <v>+91-8962960130</v>
      </c>
      <c r="J2609">
        <f>91-8962960221</f>
        <v>-8962960130</v>
      </c>
      <c r="K2609" t="s">
        <v>195</v>
      </c>
      <c r="L2609" t="s">
        <v>102</v>
      </c>
      <c r="M2609">
        <v>419951</v>
      </c>
      <c r="N2609" s="1">
        <v>45142</v>
      </c>
      <c r="O2609" t="s">
        <v>28</v>
      </c>
      <c r="P2609">
        <v>3</v>
      </c>
      <c r="Q2609">
        <v>106341.34</v>
      </c>
    </row>
    <row r="2610" spans="1:17" x14ac:dyDescent="0.3">
      <c r="A2610" t="s">
        <v>5954</v>
      </c>
      <c r="B2610" t="s">
        <v>622</v>
      </c>
      <c r="C2610" s="2" t="str">
        <f>PROPER(TRIM(Table1[[#This Row],[Gender]]))</f>
        <v>Female</v>
      </c>
      <c r="D2610" t="s">
        <v>43</v>
      </c>
      <c r="E2610">
        <v>40</v>
      </c>
      <c r="F2610" t="s">
        <v>38</v>
      </c>
      <c r="G2610" s="1">
        <v>31058</v>
      </c>
      <c r="H2610" t="s">
        <v>5955</v>
      </c>
      <c r="I2610" s="2" t="str">
        <f t="shared" si="40"/>
        <v>+91-8967275549</v>
      </c>
      <c r="J2610">
        <f>91-8967275640</f>
        <v>-8967275549</v>
      </c>
      <c r="K2610" t="s">
        <v>165</v>
      </c>
      <c r="L2610" t="s">
        <v>52</v>
      </c>
      <c r="M2610">
        <v>988288</v>
      </c>
      <c r="N2610" s="1">
        <v>45291</v>
      </c>
      <c r="O2610" t="s">
        <v>28</v>
      </c>
      <c r="P2610">
        <v>7</v>
      </c>
      <c r="Q2610">
        <v>211456.25</v>
      </c>
    </row>
    <row r="2611" spans="1:17" x14ac:dyDescent="0.3">
      <c r="A2611" t="s">
        <v>5956</v>
      </c>
      <c r="B2611" t="s">
        <v>4808</v>
      </c>
      <c r="C2611" s="2" t="str">
        <f>PROPER(TRIM(Table1[[#This Row],[Gender]]))</f>
        <v>Male</v>
      </c>
      <c r="D2611" t="s">
        <v>16</v>
      </c>
      <c r="E2611">
        <v>33</v>
      </c>
      <c r="F2611" t="s">
        <v>31</v>
      </c>
      <c r="G2611" s="1">
        <v>33613</v>
      </c>
      <c r="H2611" t="s">
        <v>5957</v>
      </c>
      <c r="I2611" s="2" t="str">
        <f t="shared" si="40"/>
        <v>+91-8124338308</v>
      </c>
      <c r="J2611">
        <f>91-8124338399</f>
        <v>-8124338308</v>
      </c>
      <c r="K2611" t="s">
        <v>60</v>
      </c>
      <c r="L2611" t="s">
        <v>34</v>
      </c>
      <c r="M2611">
        <v>452785</v>
      </c>
      <c r="N2611" s="1">
        <v>45388</v>
      </c>
      <c r="O2611" t="s">
        <v>28</v>
      </c>
      <c r="P2611">
        <v>5</v>
      </c>
      <c r="Q2611">
        <v>268770.23</v>
      </c>
    </row>
    <row r="2612" spans="1:17" x14ac:dyDescent="0.3">
      <c r="A2612" t="s">
        <v>5958</v>
      </c>
      <c r="B2612" t="s">
        <v>1956</v>
      </c>
      <c r="C2612" s="2" t="str">
        <f>PROPER(TRIM(Table1[[#This Row],[Gender]]))</f>
        <v>Female</v>
      </c>
      <c r="D2612" t="s">
        <v>43</v>
      </c>
      <c r="E2612">
        <v>52</v>
      </c>
      <c r="F2612" t="s">
        <v>17</v>
      </c>
      <c r="G2612" s="1">
        <v>26678</v>
      </c>
      <c r="H2612" t="s">
        <v>1957</v>
      </c>
      <c r="I2612" s="2" t="str">
        <f t="shared" si="40"/>
        <v>+91-9261571449</v>
      </c>
      <c r="J2612">
        <f>91-9261571540</f>
        <v>-9261571449</v>
      </c>
      <c r="K2612" t="s">
        <v>80</v>
      </c>
      <c r="L2612" t="s">
        <v>20</v>
      </c>
      <c r="M2612">
        <v>377784</v>
      </c>
      <c r="N2612" s="1">
        <v>45079</v>
      </c>
      <c r="O2612" t="s">
        <v>35</v>
      </c>
      <c r="P2612">
        <v>5</v>
      </c>
      <c r="Q2612">
        <v>19156.66</v>
      </c>
    </row>
    <row r="2613" spans="1:17" x14ac:dyDescent="0.3">
      <c r="A2613" t="s">
        <v>5959</v>
      </c>
      <c r="B2613" t="s">
        <v>3103</v>
      </c>
      <c r="C2613" s="2" t="str">
        <f>PROPER(TRIM(Table1[[#This Row],[Gender]]))</f>
        <v>Male</v>
      </c>
      <c r="D2613" t="s">
        <v>16</v>
      </c>
      <c r="E2613">
        <v>30</v>
      </c>
      <c r="F2613" t="s">
        <v>31</v>
      </c>
      <c r="G2613" s="1">
        <v>34708</v>
      </c>
      <c r="H2613" t="s">
        <v>5960</v>
      </c>
      <c r="I2613" s="2" t="str">
        <f t="shared" si="40"/>
        <v>+91-7160513602</v>
      </c>
      <c r="J2613">
        <f>91-7160513693</f>
        <v>-7160513602</v>
      </c>
      <c r="K2613" t="s">
        <v>190</v>
      </c>
      <c r="L2613" t="s">
        <v>191</v>
      </c>
      <c r="M2613">
        <v>185978</v>
      </c>
      <c r="N2613" s="1">
        <v>45106</v>
      </c>
      <c r="O2613" t="s">
        <v>28</v>
      </c>
      <c r="P2613">
        <v>5</v>
      </c>
      <c r="Q2613">
        <v>111289.25</v>
      </c>
    </row>
    <row r="2614" spans="1:17" x14ac:dyDescent="0.3">
      <c r="A2614" t="s">
        <v>5961</v>
      </c>
      <c r="B2614" t="s">
        <v>3230</v>
      </c>
      <c r="C2614" s="2" t="str">
        <f>PROPER(TRIM(Table1[[#This Row],[Gender]]))</f>
        <v>Male</v>
      </c>
      <c r="D2614" t="s">
        <v>16</v>
      </c>
      <c r="E2614">
        <v>29</v>
      </c>
      <c r="F2614" t="s">
        <v>31</v>
      </c>
      <c r="G2614" s="1">
        <v>35073</v>
      </c>
      <c r="H2614" t="s">
        <v>3231</v>
      </c>
      <c r="I2614" s="2" t="str">
        <f t="shared" si="40"/>
        <v>+91-9081640339</v>
      </c>
      <c r="J2614">
        <f>91-9081640430</f>
        <v>-9081640339</v>
      </c>
      <c r="K2614" t="s">
        <v>60</v>
      </c>
      <c r="L2614" t="s">
        <v>34</v>
      </c>
      <c r="M2614">
        <v>791965</v>
      </c>
      <c r="N2614" s="1">
        <v>45400</v>
      </c>
      <c r="O2614" t="s">
        <v>28</v>
      </c>
      <c r="P2614">
        <v>6</v>
      </c>
      <c r="Q2614">
        <v>81959.86</v>
      </c>
    </row>
    <row r="2615" spans="1:17" x14ac:dyDescent="0.3">
      <c r="A2615" t="s">
        <v>5962</v>
      </c>
      <c r="B2615" t="s">
        <v>2213</v>
      </c>
      <c r="C2615" s="2" t="str">
        <f>PROPER(TRIM(Table1[[#This Row],[Gender]]))</f>
        <v>Male</v>
      </c>
      <c r="D2615" t="s">
        <v>16</v>
      </c>
      <c r="E2615">
        <v>18</v>
      </c>
      <c r="F2615" t="s">
        <v>49</v>
      </c>
      <c r="G2615" s="1">
        <v>39088</v>
      </c>
      <c r="H2615" t="s">
        <v>5963</v>
      </c>
      <c r="I2615" s="2" t="str">
        <f t="shared" si="40"/>
        <v>+91-8828229811</v>
      </c>
      <c r="J2615">
        <f>91-8828229902</f>
        <v>-8828229811</v>
      </c>
      <c r="K2615" t="s">
        <v>117</v>
      </c>
      <c r="L2615" t="s">
        <v>52</v>
      </c>
      <c r="M2615">
        <v>628561</v>
      </c>
      <c r="N2615" s="1">
        <v>45354</v>
      </c>
      <c r="O2615" t="s">
        <v>28</v>
      </c>
      <c r="P2615">
        <v>4</v>
      </c>
      <c r="Q2615">
        <v>264031.7</v>
      </c>
    </row>
    <row r="2616" spans="1:17" x14ac:dyDescent="0.3">
      <c r="A2616" t="s">
        <v>5964</v>
      </c>
      <c r="B2616" t="s">
        <v>3363</v>
      </c>
      <c r="C2616" s="2" t="str">
        <f>PROPER(TRIM(Table1[[#This Row],[Gender]]))</f>
        <v>Female</v>
      </c>
      <c r="D2616" t="s">
        <v>43</v>
      </c>
      <c r="E2616">
        <v>31</v>
      </c>
      <c r="F2616" t="s">
        <v>31</v>
      </c>
      <c r="G2616" s="1">
        <v>34343</v>
      </c>
      <c r="H2616" t="s">
        <v>5965</v>
      </c>
      <c r="I2616" s="2" t="str">
        <f t="shared" si="40"/>
        <v>+91-8699432588</v>
      </c>
      <c r="J2616">
        <f>91-8699432679</f>
        <v>-8699432588</v>
      </c>
      <c r="K2616" t="s">
        <v>125</v>
      </c>
      <c r="L2616" t="s">
        <v>52</v>
      </c>
      <c r="M2616">
        <v>603862</v>
      </c>
      <c r="N2616" s="1">
        <v>45171</v>
      </c>
      <c r="O2616" t="s">
        <v>28</v>
      </c>
      <c r="P2616">
        <v>2</v>
      </c>
      <c r="Q2616">
        <v>137866.46</v>
      </c>
    </row>
    <row r="2617" spans="1:17" x14ac:dyDescent="0.3">
      <c r="A2617" t="s">
        <v>5966</v>
      </c>
      <c r="B2617" t="s">
        <v>4758</v>
      </c>
      <c r="C2617" s="2" t="str">
        <f>PROPER(TRIM(Table1[[#This Row],[Gender]]))</f>
        <v>Male</v>
      </c>
      <c r="D2617" t="s">
        <v>16</v>
      </c>
      <c r="E2617">
        <v>43</v>
      </c>
      <c r="F2617" t="s">
        <v>38</v>
      </c>
      <c r="G2617" s="1">
        <v>29963</v>
      </c>
      <c r="H2617" t="s">
        <v>5967</v>
      </c>
      <c r="I2617" s="2" t="str">
        <f t="shared" si="40"/>
        <v>+91-8773192232</v>
      </c>
      <c r="J2617">
        <f>91-8773192323</f>
        <v>-8773192232</v>
      </c>
      <c r="K2617" t="s">
        <v>76</v>
      </c>
      <c r="L2617" t="s">
        <v>46</v>
      </c>
      <c r="M2617">
        <v>578595</v>
      </c>
      <c r="N2617" s="1">
        <v>45142</v>
      </c>
      <c r="O2617" t="s">
        <v>28</v>
      </c>
      <c r="P2617">
        <v>6</v>
      </c>
      <c r="Q2617">
        <v>82555.66</v>
      </c>
    </row>
    <row r="2618" spans="1:17" x14ac:dyDescent="0.3">
      <c r="A2618" t="s">
        <v>5968</v>
      </c>
      <c r="B2618" t="s">
        <v>1510</v>
      </c>
      <c r="C2618" s="2" t="str">
        <f>PROPER(TRIM(Table1[[#This Row],[Gender]]))</f>
        <v>Male</v>
      </c>
      <c r="D2618" t="s">
        <v>16</v>
      </c>
      <c r="E2618">
        <v>30</v>
      </c>
      <c r="F2618" t="s">
        <v>31</v>
      </c>
      <c r="G2618" s="1">
        <v>34708</v>
      </c>
      <c r="H2618" t="s">
        <v>5969</v>
      </c>
      <c r="I2618" s="2" t="str">
        <f t="shared" si="40"/>
        <v>+91-7200124876</v>
      </c>
      <c r="J2618">
        <f>91-7200124967</f>
        <v>-7200124876</v>
      </c>
      <c r="K2618" t="s">
        <v>195</v>
      </c>
      <c r="L2618" t="s">
        <v>102</v>
      </c>
      <c r="M2618">
        <v>247709</v>
      </c>
      <c r="N2618" s="1">
        <v>45359</v>
      </c>
      <c r="O2618" t="s">
        <v>28</v>
      </c>
      <c r="P2618">
        <v>7</v>
      </c>
      <c r="Q2618">
        <v>301912.05</v>
      </c>
    </row>
    <row r="2619" spans="1:17" x14ac:dyDescent="0.3">
      <c r="A2619" t="s">
        <v>5970</v>
      </c>
      <c r="B2619" t="s">
        <v>1251</v>
      </c>
      <c r="C2619" s="2" t="str">
        <f>PROPER(TRIM(Table1[[#This Row],[Gender]]))</f>
        <v>Male</v>
      </c>
      <c r="D2619" t="s">
        <v>16</v>
      </c>
      <c r="E2619">
        <v>30</v>
      </c>
      <c r="F2619" t="s">
        <v>31</v>
      </c>
      <c r="G2619" s="1">
        <v>34708</v>
      </c>
      <c r="H2619" t="s">
        <v>5971</v>
      </c>
      <c r="I2619" s="2" t="str">
        <f t="shared" si="40"/>
        <v>+91-9432095438</v>
      </c>
      <c r="J2619">
        <f>91-9432095529</f>
        <v>-9432095438</v>
      </c>
      <c r="K2619" t="s">
        <v>161</v>
      </c>
      <c r="L2619" t="s">
        <v>102</v>
      </c>
      <c r="M2619">
        <v>395385</v>
      </c>
      <c r="N2619" s="1">
        <v>45115</v>
      </c>
      <c r="O2619" t="s">
        <v>28</v>
      </c>
      <c r="P2619">
        <v>5</v>
      </c>
      <c r="Q2619">
        <v>141415.67999999999</v>
      </c>
    </row>
    <row r="2620" spans="1:17" x14ac:dyDescent="0.3">
      <c r="A2620" t="s">
        <v>5972</v>
      </c>
      <c r="B2620" t="s">
        <v>1068</v>
      </c>
      <c r="C2620" s="2" t="str">
        <f>PROPER(TRIM(Table1[[#This Row],[Gender]]))</f>
        <v>Male</v>
      </c>
      <c r="D2620" t="s">
        <v>16</v>
      </c>
      <c r="E2620">
        <v>23</v>
      </c>
      <c r="F2620" t="s">
        <v>49</v>
      </c>
      <c r="G2620" s="1">
        <v>37263</v>
      </c>
      <c r="H2620" t="s">
        <v>5973</v>
      </c>
      <c r="I2620" s="2" t="str">
        <f t="shared" si="40"/>
        <v>+91-8749092744</v>
      </c>
      <c r="J2620">
        <f>91-8749092835</f>
        <v>-8749092744</v>
      </c>
      <c r="K2620" t="s">
        <v>51</v>
      </c>
      <c r="L2620" t="s">
        <v>52</v>
      </c>
      <c r="M2620">
        <v>752572</v>
      </c>
      <c r="N2620" s="1">
        <v>45396</v>
      </c>
      <c r="O2620" t="s">
        <v>28</v>
      </c>
      <c r="P2620">
        <v>5</v>
      </c>
      <c r="Q2620">
        <v>162831.71</v>
      </c>
    </row>
    <row r="2621" spans="1:17" x14ac:dyDescent="0.3">
      <c r="A2621" t="s">
        <v>5974</v>
      </c>
      <c r="B2621" t="s">
        <v>5975</v>
      </c>
      <c r="C2621" s="2" t="str">
        <f>PROPER(TRIM(Table1[[#This Row],[Gender]]))</f>
        <v>Male</v>
      </c>
      <c r="D2621" t="s">
        <v>16</v>
      </c>
      <c r="E2621">
        <v>20</v>
      </c>
      <c r="F2621" t="s">
        <v>49</v>
      </c>
      <c r="G2621" s="1">
        <v>38358</v>
      </c>
      <c r="H2621" t="s">
        <v>5976</v>
      </c>
      <c r="I2621" s="2" t="str">
        <f t="shared" si="40"/>
        <v>+91-8371363494</v>
      </c>
      <c r="J2621">
        <f>91-8371363585</f>
        <v>-8371363494</v>
      </c>
      <c r="K2621" t="s">
        <v>76</v>
      </c>
      <c r="L2621" t="s">
        <v>46</v>
      </c>
      <c r="M2621">
        <v>162590</v>
      </c>
      <c r="N2621" s="1">
        <v>45256</v>
      </c>
      <c r="O2621" t="s">
        <v>28</v>
      </c>
      <c r="P2621">
        <v>7</v>
      </c>
      <c r="Q2621">
        <v>119427.36</v>
      </c>
    </row>
    <row r="2622" spans="1:17" x14ac:dyDescent="0.3">
      <c r="A2622" t="s">
        <v>5977</v>
      </c>
      <c r="B2622" t="s">
        <v>371</v>
      </c>
      <c r="C2622" s="2" t="str">
        <f>PROPER(TRIM(Table1[[#This Row],[Gender]]))</f>
        <v>Female</v>
      </c>
      <c r="D2622" t="s">
        <v>43</v>
      </c>
      <c r="E2622">
        <v>49</v>
      </c>
      <c r="F2622" t="s">
        <v>17</v>
      </c>
      <c r="G2622" s="1">
        <v>27773</v>
      </c>
      <c r="H2622" t="s">
        <v>5764</v>
      </c>
      <c r="I2622" s="2" t="str">
        <f t="shared" si="40"/>
        <v>+91-8315493421</v>
      </c>
      <c r="J2622">
        <f>91-8315493512</f>
        <v>-8315493421</v>
      </c>
      <c r="K2622" t="s">
        <v>64</v>
      </c>
      <c r="L2622" t="s">
        <v>20</v>
      </c>
      <c r="M2622">
        <v>652894</v>
      </c>
      <c r="N2622" s="1">
        <v>45397</v>
      </c>
      <c r="O2622" t="s">
        <v>28</v>
      </c>
      <c r="P2622">
        <v>4</v>
      </c>
      <c r="Q2622">
        <v>67079.62</v>
      </c>
    </row>
    <row r="2623" spans="1:17" x14ac:dyDescent="0.3">
      <c r="A2623" t="s">
        <v>5978</v>
      </c>
      <c r="B2623" t="s">
        <v>587</v>
      </c>
      <c r="C2623" s="2" t="str">
        <f>PROPER(TRIM(Table1[[#This Row],[Gender]]))</f>
        <v>Female</v>
      </c>
      <c r="D2623" t="s">
        <v>43</v>
      </c>
      <c r="E2623">
        <v>29</v>
      </c>
      <c r="F2623" t="s">
        <v>31</v>
      </c>
      <c r="G2623" s="1">
        <v>35073</v>
      </c>
      <c r="H2623" t="s">
        <v>5979</v>
      </c>
      <c r="I2623" s="2" t="str">
        <f t="shared" si="40"/>
        <v>+91-8524519026</v>
      </c>
      <c r="J2623">
        <f>91-8524519117</f>
        <v>-8524519026</v>
      </c>
      <c r="K2623" t="s">
        <v>239</v>
      </c>
      <c r="L2623" t="s">
        <v>191</v>
      </c>
      <c r="M2623">
        <v>987391</v>
      </c>
      <c r="N2623" s="1">
        <v>45208</v>
      </c>
      <c r="O2623" t="s">
        <v>28</v>
      </c>
      <c r="P2623">
        <v>5</v>
      </c>
      <c r="Q2623">
        <v>129345.12</v>
      </c>
    </row>
    <row r="2624" spans="1:17" x14ac:dyDescent="0.3">
      <c r="A2624" t="s">
        <v>5980</v>
      </c>
      <c r="B2624" t="s">
        <v>1839</v>
      </c>
      <c r="C2624" s="2" t="str">
        <f>PROPER(TRIM(Table1[[#This Row],[Gender]]))</f>
        <v>Male</v>
      </c>
      <c r="D2624" t="s">
        <v>16</v>
      </c>
      <c r="E2624">
        <v>49</v>
      </c>
      <c r="F2624" t="s">
        <v>17</v>
      </c>
      <c r="G2624" s="1">
        <v>27773</v>
      </c>
      <c r="H2624" t="s">
        <v>5981</v>
      </c>
      <c r="I2624" s="2" t="str">
        <f t="shared" si="40"/>
        <v>+91-9699258456</v>
      </c>
      <c r="J2624">
        <f>91-9699258547</f>
        <v>-9699258456</v>
      </c>
      <c r="K2624" t="s">
        <v>94</v>
      </c>
      <c r="L2624" t="s">
        <v>20</v>
      </c>
      <c r="M2624">
        <v>131825</v>
      </c>
      <c r="N2624" s="1">
        <v>45130</v>
      </c>
      <c r="O2624" t="s">
        <v>28</v>
      </c>
      <c r="P2624">
        <v>6</v>
      </c>
      <c r="Q2624">
        <v>76478.83</v>
      </c>
    </row>
    <row r="2625" spans="1:17" x14ac:dyDescent="0.3">
      <c r="A2625" t="s">
        <v>5982</v>
      </c>
      <c r="B2625" t="s">
        <v>1929</v>
      </c>
      <c r="C2625" s="2" t="str">
        <f>PROPER(TRIM(Table1[[#This Row],[Gender]]))</f>
        <v>Female</v>
      </c>
      <c r="D2625" t="s">
        <v>43</v>
      </c>
      <c r="E2625">
        <v>24</v>
      </c>
      <c r="F2625" t="s">
        <v>49</v>
      </c>
      <c r="G2625" s="1">
        <v>36898</v>
      </c>
      <c r="H2625" t="s">
        <v>5983</v>
      </c>
      <c r="I2625" s="2" t="str">
        <f t="shared" si="40"/>
        <v>+91-9461863230</v>
      </c>
      <c r="J2625">
        <f>91-9461863321</f>
        <v>-9461863230</v>
      </c>
      <c r="K2625" t="s">
        <v>51</v>
      </c>
      <c r="L2625" t="s">
        <v>52</v>
      </c>
      <c r="M2625">
        <v>573779</v>
      </c>
      <c r="N2625" s="1">
        <v>45145</v>
      </c>
      <c r="O2625" t="s">
        <v>28</v>
      </c>
      <c r="P2625">
        <v>8</v>
      </c>
      <c r="Q2625">
        <v>372282.49</v>
      </c>
    </row>
    <row r="2626" spans="1:17" x14ac:dyDescent="0.3">
      <c r="A2626" t="s">
        <v>5984</v>
      </c>
      <c r="B2626" t="s">
        <v>1022</v>
      </c>
      <c r="C2626" s="2" t="str">
        <f>PROPER(TRIM(Table1[[#This Row],[Gender]]))</f>
        <v>Female</v>
      </c>
      <c r="D2626" t="s">
        <v>43</v>
      </c>
      <c r="E2626">
        <v>22</v>
      </c>
      <c r="F2626" t="s">
        <v>49</v>
      </c>
      <c r="G2626" s="1">
        <v>37628</v>
      </c>
      <c r="H2626" t="s">
        <v>5985</v>
      </c>
      <c r="I2626" s="2" t="str">
        <f t="shared" ref="I2626:I2689" si="41">"+91"&amp;TEXT(J2626,"0000000000")</f>
        <v>+91-7712881986</v>
      </c>
      <c r="J2626">
        <f>91-7712882077</f>
        <v>-7712881986</v>
      </c>
      <c r="K2626" t="s">
        <v>174</v>
      </c>
      <c r="L2626" t="s">
        <v>90</v>
      </c>
      <c r="M2626">
        <v>425382</v>
      </c>
      <c r="N2626" s="1">
        <v>45324</v>
      </c>
      <c r="O2626" t="s">
        <v>35</v>
      </c>
      <c r="P2626">
        <v>4</v>
      </c>
      <c r="Q2626">
        <v>15864.72</v>
      </c>
    </row>
    <row r="2627" spans="1:17" x14ac:dyDescent="0.3">
      <c r="A2627" t="s">
        <v>5986</v>
      </c>
      <c r="B2627" t="s">
        <v>1617</v>
      </c>
      <c r="C2627" s="2" t="str">
        <f>PROPER(TRIM(Table1[[#This Row],[Gender]]))</f>
        <v>Female</v>
      </c>
      <c r="D2627" t="s">
        <v>43</v>
      </c>
      <c r="E2627">
        <v>27</v>
      </c>
      <c r="F2627" t="s">
        <v>31</v>
      </c>
      <c r="G2627" s="1">
        <v>35803</v>
      </c>
      <c r="H2627" t="s">
        <v>5987</v>
      </c>
      <c r="I2627" s="2" t="str">
        <f t="shared" si="41"/>
        <v>+91-9734722261</v>
      </c>
      <c r="J2627">
        <f>91-9734722352</f>
        <v>-9734722261</v>
      </c>
      <c r="K2627" t="s">
        <v>165</v>
      </c>
      <c r="L2627" t="s">
        <v>52</v>
      </c>
      <c r="M2627">
        <v>365353</v>
      </c>
      <c r="N2627" s="1">
        <v>45245</v>
      </c>
      <c r="O2627" t="s">
        <v>28</v>
      </c>
      <c r="P2627">
        <v>6</v>
      </c>
      <c r="Q2627">
        <v>174454.32</v>
      </c>
    </row>
    <row r="2628" spans="1:17" x14ac:dyDescent="0.3">
      <c r="A2628" t="s">
        <v>5988</v>
      </c>
      <c r="B2628" t="s">
        <v>2410</v>
      </c>
      <c r="C2628" s="2" t="str">
        <f>PROPER(TRIM(Table1[[#This Row],[Gender]]))</f>
        <v>Female</v>
      </c>
      <c r="D2628" t="s">
        <v>43</v>
      </c>
      <c r="E2628">
        <v>35</v>
      </c>
      <c r="F2628" t="s">
        <v>31</v>
      </c>
      <c r="G2628" s="1">
        <v>32883</v>
      </c>
      <c r="H2628" t="s">
        <v>5989</v>
      </c>
      <c r="I2628" s="2" t="str">
        <f t="shared" si="41"/>
        <v>+91-9688319870</v>
      </c>
      <c r="J2628">
        <f>91-9688319961</f>
        <v>-9688319870</v>
      </c>
      <c r="K2628" t="s">
        <v>60</v>
      </c>
      <c r="L2628" t="s">
        <v>34</v>
      </c>
      <c r="M2628">
        <v>915918</v>
      </c>
      <c r="N2628" s="1">
        <v>45230</v>
      </c>
      <c r="O2628" t="s">
        <v>28</v>
      </c>
      <c r="P2628">
        <v>3</v>
      </c>
      <c r="Q2628">
        <v>210667.3</v>
      </c>
    </row>
    <row r="2629" spans="1:17" x14ac:dyDescent="0.3">
      <c r="A2629" t="s">
        <v>5990</v>
      </c>
      <c r="B2629" t="s">
        <v>395</v>
      </c>
      <c r="C2629" s="2" t="str">
        <f>PROPER(TRIM(Table1[[#This Row],[Gender]]))</f>
        <v>Female</v>
      </c>
      <c r="D2629" t="s">
        <v>43</v>
      </c>
      <c r="E2629">
        <v>26</v>
      </c>
      <c r="F2629" t="s">
        <v>31</v>
      </c>
      <c r="G2629" s="1">
        <v>36168</v>
      </c>
      <c r="H2629" t="s">
        <v>5991</v>
      </c>
      <c r="I2629" s="2" t="str">
        <f t="shared" si="41"/>
        <v>+91-8367018354</v>
      </c>
      <c r="J2629">
        <f>91-8367018445</f>
        <v>-8367018354</v>
      </c>
      <c r="K2629" t="s">
        <v>190</v>
      </c>
      <c r="L2629" t="s">
        <v>191</v>
      </c>
      <c r="M2629">
        <v>255711</v>
      </c>
      <c r="N2629" s="1">
        <v>45245</v>
      </c>
      <c r="O2629" t="s">
        <v>21</v>
      </c>
      <c r="P2629">
        <v>4</v>
      </c>
      <c r="Q2629">
        <v>29811.05</v>
      </c>
    </row>
    <row r="2630" spans="1:17" x14ac:dyDescent="0.3">
      <c r="A2630" t="s">
        <v>5992</v>
      </c>
      <c r="B2630" t="s">
        <v>247</v>
      </c>
      <c r="C2630" s="2" t="str">
        <f>PROPER(TRIM(Table1[[#This Row],[Gender]]))</f>
        <v>Female</v>
      </c>
      <c r="D2630" t="s">
        <v>43</v>
      </c>
      <c r="E2630">
        <v>35</v>
      </c>
      <c r="F2630" t="s">
        <v>31</v>
      </c>
      <c r="G2630" s="1">
        <v>32883</v>
      </c>
      <c r="H2630" t="s">
        <v>5993</v>
      </c>
      <c r="I2630" s="2" t="str">
        <f t="shared" si="41"/>
        <v>+91-8145071136</v>
      </c>
      <c r="J2630">
        <f>91-8145071227</f>
        <v>-8145071136</v>
      </c>
      <c r="K2630" t="s">
        <v>26</v>
      </c>
      <c r="L2630" t="s">
        <v>27</v>
      </c>
      <c r="M2630">
        <v>614864</v>
      </c>
      <c r="N2630" s="1">
        <v>45378</v>
      </c>
      <c r="O2630" t="s">
        <v>28</v>
      </c>
      <c r="P2630">
        <v>3</v>
      </c>
      <c r="Q2630">
        <v>87619</v>
      </c>
    </row>
    <row r="2631" spans="1:17" x14ac:dyDescent="0.3">
      <c r="A2631" t="s">
        <v>5994</v>
      </c>
      <c r="B2631" t="s">
        <v>2911</v>
      </c>
      <c r="C2631" s="2" t="str">
        <f>PROPER(TRIM(Table1[[#This Row],[Gender]]))</f>
        <v>Female</v>
      </c>
      <c r="D2631" t="s">
        <v>43</v>
      </c>
      <c r="E2631">
        <v>21</v>
      </c>
      <c r="F2631" t="s">
        <v>49</v>
      </c>
      <c r="G2631" s="1">
        <v>37993</v>
      </c>
      <c r="H2631" t="s">
        <v>5995</v>
      </c>
      <c r="I2631" s="2" t="str">
        <f t="shared" si="41"/>
        <v>+91-8220350023</v>
      </c>
      <c r="J2631">
        <f>91-8220350114</f>
        <v>-8220350023</v>
      </c>
      <c r="K2631" t="s">
        <v>195</v>
      </c>
      <c r="L2631" t="s">
        <v>102</v>
      </c>
      <c r="M2631">
        <v>193766</v>
      </c>
      <c r="N2631" s="1">
        <v>45195</v>
      </c>
      <c r="O2631" t="s">
        <v>21</v>
      </c>
      <c r="P2631">
        <v>6</v>
      </c>
      <c r="Q2631">
        <v>21638.93</v>
      </c>
    </row>
    <row r="2632" spans="1:17" x14ac:dyDescent="0.3">
      <c r="A2632" t="s">
        <v>5996</v>
      </c>
      <c r="B2632" t="s">
        <v>1124</v>
      </c>
      <c r="C2632" s="2" t="str">
        <f>PROPER(TRIM(Table1[[#This Row],[Gender]]))</f>
        <v>Female</v>
      </c>
      <c r="D2632" t="s">
        <v>43</v>
      </c>
      <c r="E2632">
        <v>43</v>
      </c>
      <c r="F2632" t="s">
        <v>38</v>
      </c>
      <c r="G2632" s="1">
        <v>29963</v>
      </c>
      <c r="H2632" t="s">
        <v>5997</v>
      </c>
      <c r="I2632" s="2" t="str">
        <f t="shared" si="41"/>
        <v>+91-9474611401</v>
      </c>
      <c r="J2632">
        <f>91-9474611492</f>
        <v>-9474611401</v>
      </c>
      <c r="K2632" t="s">
        <v>26</v>
      </c>
      <c r="L2632" t="s">
        <v>27</v>
      </c>
      <c r="M2632">
        <v>551533</v>
      </c>
      <c r="N2632" s="1">
        <v>45404</v>
      </c>
      <c r="O2632" t="s">
        <v>35</v>
      </c>
      <c r="P2632">
        <v>0</v>
      </c>
      <c r="Q2632">
        <v>0</v>
      </c>
    </row>
    <row r="2633" spans="1:17" x14ac:dyDescent="0.3">
      <c r="A2633" t="s">
        <v>5998</v>
      </c>
      <c r="B2633" t="s">
        <v>949</v>
      </c>
      <c r="C2633" s="2" t="str">
        <f>PROPER(TRIM(Table1[[#This Row],[Gender]]))</f>
        <v>Male</v>
      </c>
      <c r="D2633" t="s">
        <v>16</v>
      </c>
      <c r="E2633">
        <v>26</v>
      </c>
      <c r="F2633" t="s">
        <v>31</v>
      </c>
      <c r="G2633" s="1">
        <v>36168</v>
      </c>
      <c r="H2633" t="s">
        <v>950</v>
      </c>
      <c r="I2633" s="2" t="str">
        <f t="shared" si="41"/>
        <v>+91-8450131015</v>
      </c>
      <c r="J2633">
        <f>91-8450131106</f>
        <v>-8450131015</v>
      </c>
      <c r="K2633" t="s">
        <v>80</v>
      </c>
      <c r="L2633" t="s">
        <v>20</v>
      </c>
      <c r="M2633">
        <v>541577</v>
      </c>
      <c r="N2633" s="1">
        <v>45306</v>
      </c>
      <c r="O2633" t="s">
        <v>28</v>
      </c>
      <c r="P2633">
        <v>5</v>
      </c>
      <c r="Q2633">
        <v>250566.79</v>
      </c>
    </row>
    <row r="2634" spans="1:17" x14ac:dyDescent="0.3">
      <c r="A2634" t="s">
        <v>5999</v>
      </c>
      <c r="B2634" t="s">
        <v>1865</v>
      </c>
      <c r="C2634" s="2" t="str">
        <f>PROPER(TRIM(Table1[[#This Row],[Gender]]))</f>
        <v>Female</v>
      </c>
      <c r="D2634" t="s">
        <v>43</v>
      </c>
      <c r="E2634">
        <v>39</v>
      </c>
      <c r="F2634" t="s">
        <v>38</v>
      </c>
      <c r="G2634" s="1">
        <v>31423</v>
      </c>
      <c r="H2634" t="s">
        <v>6000</v>
      </c>
      <c r="I2634" s="2" t="str">
        <f t="shared" si="41"/>
        <v>+91-7297777726</v>
      </c>
      <c r="J2634">
        <f>91-7297777817</f>
        <v>-7297777726</v>
      </c>
      <c r="K2634" t="s">
        <v>76</v>
      </c>
      <c r="L2634" t="s">
        <v>46</v>
      </c>
      <c r="M2634">
        <v>163784</v>
      </c>
      <c r="N2634" s="1">
        <v>45288</v>
      </c>
      <c r="O2634" t="s">
        <v>35</v>
      </c>
      <c r="P2634">
        <v>1</v>
      </c>
      <c r="Q2634">
        <v>13317.84</v>
      </c>
    </row>
    <row r="2635" spans="1:17" x14ac:dyDescent="0.3">
      <c r="A2635" t="s">
        <v>6001</v>
      </c>
      <c r="B2635" t="s">
        <v>4851</v>
      </c>
      <c r="C2635" s="2" t="str">
        <f>PROPER(TRIM(Table1[[#This Row],[Gender]]))</f>
        <v>Female</v>
      </c>
      <c r="D2635" t="s">
        <v>43</v>
      </c>
      <c r="E2635">
        <v>56</v>
      </c>
      <c r="F2635" t="s">
        <v>58</v>
      </c>
      <c r="G2635" s="1">
        <v>25218</v>
      </c>
      <c r="H2635" t="s">
        <v>6002</v>
      </c>
      <c r="I2635" s="2" t="str">
        <f t="shared" si="41"/>
        <v>+91-8945600901</v>
      </c>
      <c r="J2635">
        <f>91-8945600992</f>
        <v>-8945600901</v>
      </c>
      <c r="K2635" t="s">
        <v>125</v>
      </c>
      <c r="L2635" t="s">
        <v>52</v>
      </c>
      <c r="M2635">
        <v>779511</v>
      </c>
      <c r="N2635" s="1">
        <v>45333</v>
      </c>
      <c r="O2635" t="s">
        <v>35</v>
      </c>
      <c r="P2635">
        <v>6</v>
      </c>
      <c r="Q2635">
        <v>16380.57</v>
      </c>
    </row>
    <row r="2636" spans="1:17" x14ac:dyDescent="0.3">
      <c r="A2636" t="s">
        <v>6003</v>
      </c>
      <c r="B2636" t="s">
        <v>1375</v>
      </c>
      <c r="C2636" s="2" t="str">
        <f>PROPER(TRIM(Table1[[#This Row],[Gender]]))</f>
        <v>Female</v>
      </c>
      <c r="D2636" t="s">
        <v>43</v>
      </c>
      <c r="E2636">
        <v>23</v>
      </c>
      <c r="F2636" t="s">
        <v>49</v>
      </c>
      <c r="G2636" s="1">
        <v>37263</v>
      </c>
      <c r="H2636" t="s">
        <v>6004</v>
      </c>
      <c r="I2636" s="2" t="str">
        <f t="shared" si="41"/>
        <v>+91-8851270195</v>
      </c>
      <c r="J2636">
        <f>91-8851270286</f>
        <v>-8851270195</v>
      </c>
      <c r="K2636" t="s">
        <v>161</v>
      </c>
      <c r="L2636" t="s">
        <v>102</v>
      </c>
      <c r="M2636">
        <v>387136</v>
      </c>
      <c r="N2636" s="1">
        <v>45269</v>
      </c>
      <c r="O2636" t="s">
        <v>28</v>
      </c>
      <c r="P2636">
        <v>5</v>
      </c>
      <c r="Q2636">
        <v>314800.27</v>
      </c>
    </row>
    <row r="2637" spans="1:17" x14ac:dyDescent="0.3">
      <c r="A2637" t="s">
        <v>6005</v>
      </c>
      <c r="B2637" t="s">
        <v>1691</v>
      </c>
      <c r="C2637" s="2" t="str">
        <f>PROPER(TRIM(Table1[[#This Row],[Gender]]))</f>
        <v>Female</v>
      </c>
      <c r="D2637" t="s">
        <v>43</v>
      </c>
      <c r="E2637">
        <v>36</v>
      </c>
      <c r="F2637" t="s">
        <v>38</v>
      </c>
      <c r="G2637" s="1">
        <v>32518</v>
      </c>
      <c r="H2637" t="s">
        <v>6006</v>
      </c>
      <c r="I2637" s="2" t="str">
        <f t="shared" si="41"/>
        <v>+91-8275597420</v>
      </c>
      <c r="J2637">
        <f>91-8275597511</f>
        <v>-8275597420</v>
      </c>
      <c r="K2637" t="s">
        <v>369</v>
      </c>
      <c r="L2637" t="s">
        <v>191</v>
      </c>
      <c r="M2637">
        <v>143338</v>
      </c>
      <c r="N2637" s="1">
        <v>45442</v>
      </c>
      <c r="O2637" t="s">
        <v>28</v>
      </c>
      <c r="P2637">
        <v>4</v>
      </c>
      <c r="Q2637">
        <v>83500.429999999993</v>
      </c>
    </row>
    <row r="2638" spans="1:17" x14ac:dyDescent="0.3">
      <c r="A2638" t="s">
        <v>6007</v>
      </c>
      <c r="B2638" t="s">
        <v>2199</v>
      </c>
      <c r="C2638" s="2" t="str">
        <f>PROPER(TRIM(Table1[[#This Row],[Gender]]))</f>
        <v>Female</v>
      </c>
      <c r="D2638" t="s">
        <v>43</v>
      </c>
      <c r="E2638">
        <v>47</v>
      </c>
      <c r="F2638" t="s">
        <v>17</v>
      </c>
      <c r="G2638" s="1">
        <v>28503</v>
      </c>
      <c r="H2638" t="s">
        <v>6008</v>
      </c>
      <c r="I2638" s="2" t="str">
        <f t="shared" si="41"/>
        <v>+91-7714630697</v>
      </c>
      <c r="J2638">
        <f>91-7714630788</f>
        <v>-7714630697</v>
      </c>
      <c r="K2638" t="s">
        <v>178</v>
      </c>
      <c r="L2638" t="s">
        <v>27</v>
      </c>
      <c r="M2638">
        <v>449121</v>
      </c>
      <c r="N2638" s="1">
        <v>45413</v>
      </c>
      <c r="O2638" t="s">
        <v>28</v>
      </c>
      <c r="P2638">
        <v>6</v>
      </c>
      <c r="Q2638">
        <v>63167.96</v>
      </c>
    </row>
    <row r="2639" spans="1:17" x14ac:dyDescent="0.3">
      <c r="A2639" t="s">
        <v>6009</v>
      </c>
      <c r="B2639" t="s">
        <v>4966</v>
      </c>
      <c r="C2639" s="2" t="str">
        <f>PROPER(TRIM(Table1[[#This Row],[Gender]]))</f>
        <v>Male</v>
      </c>
      <c r="D2639" t="s">
        <v>16</v>
      </c>
      <c r="E2639">
        <v>46</v>
      </c>
      <c r="F2639" t="s">
        <v>17</v>
      </c>
      <c r="G2639" s="1">
        <v>28868</v>
      </c>
      <c r="H2639" t="s">
        <v>6010</v>
      </c>
      <c r="I2639" s="2" t="str">
        <f t="shared" si="41"/>
        <v>+91-8277572117</v>
      </c>
      <c r="J2639">
        <f>91-8277572208</f>
        <v>-8277572117</v>
      </c>
      <c r="K2639" t="s">
        <v>147</v>
      </c>
      <c r="L2639" t="s">
        <v>143</v>
      </c>
      <c r="M2639">
        <v>889800</v>
      </c>
      <c r="N2639" s="1">
        <v>45235</v>
      </c>
      <c r="O2639" t="s">
        <v>28</v>
      </c>
      <c r="P2639">
        <v>4</v>
      </c>
      <c r="Q2639">
        <v>104020.47</v>
      </c>
    </row>
    <row r="2640" spans="1:17" x14ac:dyDescent="0.3">
      <c r="A2640" t="s">
        <v>6011</v>
      </c>
      <c r="B2640" t="s">
        <v>1816</v>
      </c>
      <c r="C2640" s="2" t="str">
        <f>PROPER(TRIM(Table1[[#This Row],[Gender]]))</f>
        <v>Female</v>
      </c>
      <c r="D2640" t="s">
        <v>43</v>
      </c>
      <c r="E2640">
        <v>52</v>
      </c>
      <c r="F2640" t="s">
        <v>17</v>
      </c>
      <c r="G2640" s="1">
        <v>26678</v>
      </c>
      <c r="H2640" t="s">
        <v>6012</v>
      </c>
      <c r="I2640" s="2" t="str">
        <f t="shared" si="41"/>
        <v>+91-9527694800</v>
      </c>
      <c r="J2640">
        <f>91-9527694891</f>
        <v>-9527694800</v>
      </c>
      <c r="K2640" t="s">
        <v>60</v>
      </c>
      <c r="L2640" t="s">
        <v>34</v>
      </c>
      <c r="M2640">
        <v>829062</v>
      </c>
      <c r="N2640" s="1">
        <v>45083</v>
      </c>
      <c r="O2640" t="s">
        <v>35</v>
      </c>
      <c r="P2640">
        <v>2</v>
      </c>
      <c r="Q2640">
        <v>16370.68</v>
      </c>
    </row>
    <row r="2641" spans="1:17" x14ac:dyDescent="0.3">
      <c r="A2641" t="s">
        <v>6013</v>
      </c>
      <c r="B2641" t="s">
        <v>1868</v>
      </c>
      <c r="C2641" s="2" t="str">
        <f>PROPER(TRIM(Table1[[#This Row],[Gender]]))</f>
        <v>Female</v>
      </c>
      <c r="D2641" t="s">
        <v>43</v>
      </c>
      <c r="E2641">
        <v>19</v>
      </c>
      <c r="F2641" t="s">
        <v>49</v>
      </c>
      <c r="G2641" s="1">
        <v>38723</v>
      </c>
      <c r="H2641" t="s">
        <v>1869</v>
      </c>
      <c r="I2641" s="2" t="str">
        <f t="shared" si="41"/>
        <v>+91-8033095749</v>
      </c>
      <c r="J2641">
        <f>91-8033095840</f>
        <v>-8033095749</v>
      </c>
      <c r="K2641" t="s">
        <v>147</v>
      </c>
      <c r="L2641" t="s">
        <v>143</v>
      </c>
      <c r="M2641">
        <v>662866</v>
      </c>
      <c r="N2641" s="1">
        <v>45325</v>
      </c>
      <c r="O2641" t="s">
        <v>35</v>
      </c>
      <c r="P2641">
        <v>1</v>
      </c>
      <c r="Q2641">
        <v>369.33</v>
      </c>
    </row>
    <row r="2642" spans="1:17" x14ac:dyDescent="0.3">
      <c r="A2642" t="s">
        <v>6014</v>
      </c>
      <c r="B2642" t="s">
        <v>1608</v>
      </c>
      <c r="C2642" s="2" t="str">
        <f>PROPER(TRIM(Table1[[#This Row],[Gender]]))</f>
        <v>Male</v>
      </c>
      <c r="D2642" t="s">
        <v>16</v>
      </c>
      <c r="E2642">
        <v>19</v>
      </c>
      <c r="F2642" t="s">
        <v>49</v>
      </c>
      <c r="G2642" s="1">
        <v>38723</v>
      </c>
      <c r="H2642" t="s">
        <v>1748</v>
      </c>
      <c r="I2642" s="2" t="str">
        <f t="shared" si="41"/>
        <v>+91-7784709684</v>
      </c>
      <c r="J2642">
        <f>91-7784709775</f>
        <v>-7784709684</v>
      </c>
      <c r="K2642" t="s">
        <v>68</v>
      </c>
      <c r="L2642" t="s">
        <v>52</v>
      </c>
      <c r="M2642">
        <v>891804</v>
      </c>
      <c r="N2642" s="1">
        <v>45373</v>
      </c>
      <c r="O2642" t="s">
        <v>28</v>
      </c>
      <c r="P2642">
        <v>7</v>
      </c>
      <c r="Q2642">
        <v>222666.39</v>
      </c>
    </row>
    <row r="2643" spans="1:17" x14ac:dyDescent="0.3">
      <c r="A2643" t="s">
        <v>6015</v>
      </c>
      <c r="B2643" t="s">
        <v>2458</v>
      </c>
      <c r="C2643" s="2" t="str">
        <f>PROPER(TRIM(Table1[[#This Row],[Gender]]))</f>
        <v>Female</v>
      </c>
      <c r="D2643" t="s">
        <v>43</v>
      </c>
      <c r="E2643">
        <v>20</v>
      </c>
      <c r="F2643" t="s">
        <v>49</v>
      </c>
      <c r="G2643" s="1">
        <v>38358</v>
      </c>
      <c r="H2643" t="s">
        <v>6016</v>
      </c>
      <c r="I2643" s="2" t="str">
        <f t="shared" si="41"/>
        <v>+91-9062988415</v>
      </c>
      <c r="J2643">
        <f>91-9062988506</f>
        <v>-9062988415</v>
      </c>
      <c r="K2643" t="s">
        <v>195</v>
      </c>
      <c r="L2643" t="s">
        <v>102</v>
      </c>
      <c r="M2643">
        <v>349599</v>
      </c>
      <c r="N2643" s="1">
        <v>45370</v>
      </c>
      <c r="O2643" t="s">
        <v>28</v>
      </c>
      <c r="P2643">
        <v>7</v>
      </c>
      <c r="Q2643">
        <v>128457.77</v>
      </c>
    </row>
    <row r="2644" spans="1:17" x14ac:dyDescent="0.3">
      <c r="A2644" t="s">
        <v>6017</v>
      </c>
      <c r="B2644" t="s">
        <v>935</v>
      </c>
      <c r="C2644" s="2" t="str">
        <f>PROPER(TRIM(Table1[[#This Row],[Gender]]))</f>
        <v>Female</v>
      </c>
      <c r="D2644" t="s">
        <v>43</v>
      </c>
      <c r="E2644">
        <v>34</v>
      </c>
      <c r="F2644" t="s">
        <v>31</v>
      </c>
      <c r="G2644" s="1">
        <v>33248</v>
      </c>
      <c r="H2644" t="s">
        <v>6018</v>
      </c>
      <c r="I2644" s="2" t="str">
        <f t="shared" si="41"/>
        <v>+91-8029893482</v>
      </c>
      <c r="J2644">
        <f>91-8029893573</f>
        <v>-8029893482</v>
      </c>
      <c r="K2644" t="s">
        <v>125</v>
      </c>
      <c r="L2644" t="s">
        <v>52</v>
      </c>
      <c r="M2644">
        <v>768567</v>
      </c>
      <c r="N2644" s="1">
        <v>45322</v>
      </c>
      <c r="O2644" t="s">
        <v>28</v>
      </c>
      <c r="P2644">
        <v>4</v>
      </c>
      <c r="Q2644">
        <v>125009.42</v>
      </c>
    </row>
    <row r="2645" spans="1:17" x14ac:dyDescent="0.3">
      <c r="A2645" t="s">
        <v>6019</v>
      </c>
      <c r="B2645" t="s">
        <v>6020</v>
      </c>
      <c r="C2645" s="2" t="str">
        <f>PROPER(TRIM(Table1[[#This Row],[Gender]]))</f>
        <v>Male</v>
      </c>
      <c r="D2645" t="s">
        <v>16</v>
      </c>
      <c r="E2645">
        <v>55</v>
      </c>
      <c r="F2645" t="s">
        <v>17</v>
      </c>
      <c r="G2645" s="1">
        <v>25583</v>
      </c>
      <c r="H2645" t="s">
        <v>6021</v>
      </c>
      <c r="I2645" s="2" t="str">
        <f t="shared" si="41"/>
        <v>+91-9376044388</v>
      </c>
      <c r="J2645">
        <f>91-9376044479</f>
        <v>-9376044388</v>
      </c>
      <c r="K2645" t="s">
        <v>72</v>
      </c>
      <c r="L2645" t="s">
        <v>34</v>
      </c>
      <c r="M2645">
        <v>596436</v>
      </c>
      <c r="N2645" s="1">
        <v>45429</v>
      </c>
      <c r="O2645" t="s">
        <v>35</v>
      </c>
      <c r="P2645">
        <v>4</v>
      </c>
      <c r="Q2645">
        <v>8420.8799999999992</v>
      </c>
    </row>
    <row r="2646" spans="1:17" x14ac:dyDescent="0.3">
      <c r="A2646" t="s">
        <v>6022</v>
      </c>
      <c r="B2646" t="s">
        <v>2399</v>
      </c>
      <c r="C2646" s="2" t="str">
        <f>PROPER(TRIM(Table1[[#This Row],[Gender]]))</f>
        <v>Male</v>
      </c>
      <c r="D2646" t="s">
        <v>16</v>
      </c>
      <c r="E2646">
        <v>41</v>
      </c>
      <c r="F2646" t="s">
        <v>38</v>
      </c>
      <c r="G2646" s="1">
        <v>30693</v>
      </c>
      <c r="H2646" t="s">
        <v>6023</v>
      </c>
      <c r="I2646" s="2" t="str">
        <f t="shared" si="41"/>
        <v>+91-8103520875</v>
      </c>
      <c r="J2646">
        <f>91-8103520966</f>
        <v>-8103520875</v>
      </c>
      <c r="K2646" t="s">
        <v>76</v>
      </c>
      <c r="L2646" t="s">
        <v>46</v>
      </c>
      <c r="M2646">
        <v>623499</v>
      </c>
      <c r="N2646" s="1">
        <v>45420</v>
      </c>
      <c r="O2646" t="s">
        <v>28</v>
      </c>
      <c r="P2646">
        <v>5</v>
      </c>
      <c r="Q2646">
        <v>284415.38</v>
      </c>
    </row>
    <row r="2647" spans="1:17" x14ac:dyDescent="0.3">
      <c r="A2647" t="s">
        <v>6024</v>
      </c>
      <c r="B2647" t="s">
        <v>1265</v>
      </c>
      <c r="C2647" s="2" t="str">
        <f>PROPER(TRIM(Table1[[#This Row],[Gender]]))</f>
        <v>Female</v>
      </c>
      <c r="D2647" t="s">
        <v>43</v>
      </c>
      <c r="E2647">
        <v>37</v>
      </c>
      <c r="F2647" t="s">
        <v>38</v>
      </c>
      <c r="G2647" s="1">
        <v>32153</v>
      </c>
      <c r="H2647" t="s">
        <v>6025</v>
      </c>
      <c r="I2647" s="2" t="str">
        <f t="shared" si="41"/>
        <v>+91-9281935980</v>
      </c>
      <c r="J2647">
        <f>91-9281936071</f>
        <v>-9281935980</v>
      </c>
      <c r="K2647" t="s">
        <v>60</v>
      </c>
      <c r="L2647" t="s">
        <v>34</v>
      </c>
      <c r="M2647">
        <v>384421</v>
      </c>
      <c r="N2647" s="1">
        <v>45208</v>
      </c>
      <c r="O2647" t="s">
        <v>28</v>
      </c>
      <c r="P2647">
        <v>5</v>
      </c>
      <c r="Q2647">
        <v>240559.76</v>
      </c>
    </row>
    <row r="2648" spans="1:17" x14ac:dyDescent="0.3">
      <c r="A2648" t="s">
        <v>6026</v>
      </c>
      <c r="B2648" t="s">
        <v>845</v>
      </c>
      <c r="C2648" s="2" t="str">
        <f>PROPER(TRIM(Table1[[#This Row],[Gender]]))</f>
        <v>Male</v>
      </c>
      <c r="D2648" t="s">
        <v>16</v>
      </c>
      <c r="E2648">
        <v>32</v>
      </c>
      <c r="F2648" t="s">
        <v>31</v>
      </c>
      <c r="G2648" s="1">
        <v>33978</v>
      </c>
      <c r="H2648" t="s">
        <v>6027</v>
      </c>
      <c r="I2648" s="2" t="str">
        <f t="shared" si="41"/>
        <v>+91-9340841362</v>
      </c>
      <c r="J2648">
        <f>91-9340841453</f>
        <v>-9340841362</v>
      </c>
      <c r="K2648" t="s">
        <v>331</v>
      </c>
      <c r="L2648" t="s">
        <v>143</v>
      </c>
      <c r="M2648">
        <v>504709</v>
      </c>
      <c r="N2648" s="1">
        <v>45425</v>
      </c>
      <c r="O2648" t="s">
        <v>28</v>
      </c>
      <c r="P2648">
        <v>8</v>
      </c>
      <c r="Q2648">
        <v>172613.84</v>
      </c>
    </row>
    <row r="2649" spans="1:17" x14ac:dyDescent="0.3">
      <c r="A2649" t="s">
        <v>6028</v>
      </c>
      <c r="B2649" t="s">
        <v>4263</v>
      </c>
      <c r="C2649" s="2" t="str">
        <f>PROPER(TRIM(Table1[[#This Row],[Gender]]))</f>
        <v>Female</v>
      </c>
      <c r="D2649" t="s">
        <v>43</v>
      </c>
      <c r="E2649">
        <v>55</v>
      </c>
      <c r="F2649" t="s">
        <v>17</v>
      </c>
      <c r="G2649" s="1">
        <v>25583</v>
      </c>
      <c r="H2649" t="s">
        <v>6029</v>
      </c>
      <c r="I2649" s="2" t="str">
        <f t="shared" si="41"/>
        <v>+91-9037311639</v>
      </c>
      <c r="J2649">
        <f>91-9037311730</f>
        <v>-9037311639</v>
      </c>
      <c r="K2649" t="s">
        <v>190</v>
      </c>
      <c r="L2649" t="s">
        <v>191</v>
      </c>
      <c r="M2649">
        <v>638815</v>
      </c>
      <c r="N2649" s="1">
        <v>45115</v>
      </c>
      <c r="O2649" t="s">
        <v>21</v>
      </c>
      <c r="P2649">
        <v>4</v>
      </c>
      <c r="Q2649">
        <v>30134.51</v>
      </c>
    </row>
    <row r="2650" spans="1:17" x14ac:dyDescent="0.3">
      <c r="A2650" t="s">
        <v>6030</v>
      </c>
      <c r="B2650" t="s">
        <v>1133</v>
      </c>
      <c r="C2650" s="2" t="str">
        <f>PROPER(TRIM(Table1[[#This Row],[Gender]]))</f>
        <v>Female</v>
      </c>
      <c r="D2650" t="s">
        <v>43</v>
      </c>
      <c r="E2650">
        <v>53</v>
      </c>
      <c r="F2650" t="s">
        <v>17</v>
      </c>
      <c r="G2650" s="1">
        <v>26313</v>
      </c>
      <c r="H2650" t="s">
        <v>6031</v>
      </c>
      <c r="I2650" s="2" t="str">
        <f t="shared" si="41"/>
        <v>+91-8800427990</v>
      </c>
      <c r="J2650">
        <f>91-8800428081</f>
        <v>-8800427990</v>
      </c>
      <c r="K2650" t="s">
        <v>154</v>
      </c>
      <c r="L2650" t="s">
        <v>46</v>
      </c>
      <c r="M2650">
        <v>263677</v>
      </c>
      <c r="N2650" s="1">
        <v>45428</v>
      </c>
      <c r="O2650" t="s">
        <v>28</v>
      </c>
      <c r="P2650">
        <v>4</v>
      </c>
      <c r="Q2650">
        <v>57721.31</v>
      </c>
    </row>
    <row r="2651" spans="1:17" x14ac:dyDescent="0.3">
      <c r="A2651" t="s">
        <v>6032</v>
      </c>
      <c r="B2651" t="s">
        <v>823</v>
      </c>
      <c r="C2651" s="2" t="str">
        <f>PROPER(TRIM(Table1[[#This Row],[Gender]]))</f>
        <v>Female</v>
      </c>
      <c r="D2651" t="s">
        <v>43</v>
      </c>
      <c r="E2651">
        <v>19</v>
      </c>
      <c r="F2651" t="s">
        <v>49</v>
      </c>
      <c r="G2651" s="1">
        <v>38723</v>
      </c>
      <c r="H2651" t="s">
        <v>6033</v>
      </c>
      <c r="I2651" s="2" t="str">
        <f t="shared" si="41"/>
        <v>+91-7318805646</v>
      </c>
      <c r="J2651">
        <f>91-7318805737</f>
        <v>-7318805646</v>
      </c>
      <c r="K2651" t="s">
        <v>64</v>
      </c>
      <c r="L2651" t="s">
        <v>20</v>
      </c>
      <c r="M2651">
        <v>226270</v>
      </c>
      <c r="N2651" s="1">
        <v>45134</v>
      </c>
      <c r="O2651" t="s">
        <v>28</v>
      </c>
      <c r="P2651">
        <v>7</v>
      </c>
      <c r="Q2651">
        <v>143775.12</v>
      </c>
    </row>
    <row r="2652" spans="1:17" x14ac:dyDescent="0.3">
      <c r="A2652" t="s">
        <v>6034</v>
      </c>
      <c r="B2652" t="s">
        <v>197</v>
      </c>
      <c r="C2652" s="2" t="str">
        <f>PROPER(TRIM(Table1[[#This Row],[Gender]]))</f>
        <v>Male</v>
      </c>
      <c r="D2652" t="s">
        <v>16</v>
      </c>
      <c r="E2652">
        <v>52</v>
      </c>
      <c r="F2652" t="s">
        <v>17</v>
      </c>
      <c r="G2652" s="1">
        <v>26678</v>
      </c>
      <c r="H2652" t="s">
        <v>198</v>
      </c>
      <c r="I2652" s="2" t="str">
        <f t="shared" si="41"/>
        <v>+91-7027656833</v>
      </c>
      <c r="J2652">
        <f>91-7027656924</f>
        <v>-7027656833</v>
      </c>
      <c r="K2652" t="s">
        <v>202</v>
      </c>
      <c r="L2652" t="s">
        <v>191</v>
      </c>
      <c r="M2652">
        <v>917283</v>
      </c>
      <c r="N2652" s="1">
        <v>45130</v>
      </c>
      <c r="O2652" t="s">
        <v>21</v>
      </c>
      <c r="P2652">
        <v>4</v>
      </c>
      <c r="Q2652">
        <v>31609.72</v>
      </c>
    </row>
    <row r="2653" spans="1:17" x14ac:dyDescent="0.3">
      <c r="A2653" t="s">
        <v>6035</v>
      </c>
      <c r="B2653" t="s">
        <v>557</v>
      </c>
      <c r="C2653" s="2" t="str">
        <f>PROPER(TRIM(Table1[[#This Row],[Gender]]))</f>
        <v>Male</v>
      </c>
      <c r="D2653" t="s">
        <v>16</v>
      </c>
      <c r="E2653">
        <v>54</v>
      </c>
      <c r="F2653" t="s">
        <v>17</v>
      </c>
      <c r="G2653" s="1">
        <v>25948</v>
      </c>
      <c r="H2653" t="s">
        <v>6036</v>
      </c>
      <c r="I2653" s="2" t="str">
        <f t="shared" si="41"/>
        <v>+91-7242955479</v>
      </c>
      <c r="J2653">
        <f>91-7242955570</f>
        <v>-7242955479</v>
      </c>
      <c r="K2653" t="s">
        <v>202</v>
      </c>
      <c r="L2653" t="s">
        <v>191</v>
      </c>
      <c r="M2653">
        <v>262443</v>
      </c>
      <c r="N2653" s="1">
        <v>45181</v>
      </c>
      <c r="O2653" t="s">
        <v>21</v>
      </c>
      <c r="P2653">
        <v>9</v>
      </c>
      <c r="Q2653">
        <v>27740.560000000001</v>
      </c>
    </row>
    <row r="2654" spans="1:17" x14ac:dyDescent="0.3">
      <c r="A2654" t="s">
        <v>6037</v>
      </c>
      <c r="B2654" t="s">
        <v>602</v>
      </c>
      <c r="C2654" s="2" t="str">
        <f>PROPER(TRIM(Table1[[#This Row],[Gender]]))</f>
        <v>Female</v>
      </c>
      <c r="D2654" t="s">
        <v>43</v>
      </c>
      <c r="E2654">
        <v>32</v>
      </c>
      <c r="F2654" t="s">
        <v>31</v>
      </c>
      <c r="G2654" s="1">
        <v>33978</v>
      </c>
      <c r="H2654" t="s">
        <v>6038</v>
      </c>
      <c r="I2654" s="2" t="str">
        <f t="shared" si="41"/>
        <v>+91-9824806240</v>
      </c>
      <c r="J2654">
        <f>91-9824806331</f>
        <v>-9824806240</v>
      </c>
      <c r="K2654" t="s">
        <v>89</v>
      </c>
      <c r="L2654" t="s">
        <v>90</v>
      </c>
      <c r="M2654">
        <v>755909</v>
      </c>
      <c r="N2654" s="1">
        <v>45286</v>
      </c>
      <c r="O2654" t="s">
        <v>28</v>
      </c>
      <c r="P2654">
        <v>3</v>
      </c>
      <c r="Q2654">
        <v>170610.37</v>
      </c>
    </row>
    <row r="2655" spans="1:17" x14ac:dyDescent="0.3">
      <c r="A2655" t="s">
        <v>6039</v>
      </c>
      <c r="B2655" t="s">
        <v>765</v>
      </c>
      <c r="C2655" s="2" t="str">
        <f>PROPER(TRIM(Table1[[#This Row],[Gender]]))</f>
        <v>Male</v>
      </c>
      <c r="D2655" t="s">
        <v>16</v>
      </c>
      <c r="E2655">
        <v>40</v>
      </c>
      <c r="F2655" t="s">
        <v>38</v>
      </c>
      <c r="G2655" s="1">
        <v>31058</v>
      </c>
      <c r="H2655" t="s">
        <v>6040</v>
      </c>
      <c r="I2655" s="2" t="str">
        <f t="shared" si="41"/>
        <v>+91-8357063421</v>
      </c>
      <c r="J2655">
        <f>91-8357063512</f>
        <v>-8357063421</v>
      </c>
      <c r="K2655" t="s">
        <v>147</v>
      </c>
      <c r="L2655" t="s">
        <v>143</v>
      </c>
      <c r="M2655">
        <v>237859</v>
      </c>
      <c r="N2655" s="1">
        <v>45330</v>
      </c>
      <c r="O2655" t="s">
        <v>28</v>
      </c>
      <c r="P2655">
        <v>14</v>
      </c>
      <c r="Q2655">
        <v>306273.02</v>
      </c>
    </row>
    <row r="2656" spans="1:17" x14ac:dyDescent="0.3">
      <c r="A2656" t="s">
        <v>6041</v>
      </c>
      <c r="B2656" t="s">
        <v>1528</v>
      </c>
      <c r="C2656" s="2" t="str">
        <f>PROPER(TRIM(Table1[[#This Row],[Gender]]))</f>
        <v>Male</v>
      </c>
      <c r="D2656" t="s">
        <v>16</v>
      </c>
      <c r="E2656">
        <v>25</v>
      </c>
      <c r="F2656" t="s">
        <v>49</v>
      </c>
      <c r="G2656" s="1">
        <v>36533</v>
      </c>
      <c r="H2656" t="s">
        <v>6042</v>
      </c>
      <c r="I2656" s="2" t="str">
        <f t="shared" si="41"/>
        <v>+91-9675580047</v>
      </c>
      <c r="J2656">
        <f>91-9675580138</f>
        <v>-9675580047</v>
      </c>
      <c r="K2656" t="s">
        <v>113</v>
      </c>
      <c r="L2656" t="s">
        <v>34</v>
      </c>
      <c r="M2656">
        <v>878659</v>
      </c>
      <c r="N2656" s="1">
        <v>45400</v>
      </c>
      <c r="O2656" t="s">
        <v>28</v>
      </c>
      <c r="P2656">
        <v>5</v>
      </c>
      <c r="Q2656">
        <v>52936.68</v>
      </c>
    </row>
    <row r="2657" spans="1:17" x14ac:dyDescent="0.3">
      <c r="A2657" t="s">
        <v>6043</v>
      </c>
      <c r="B2657" t="s">
        <v>1347</v>
      </c>
      <c r="C2657" s="2" t="str">
        <f>PROPER(TRIM(Table1[[#This Row],[Gender]]))</f>
        <v>Male</v>
      </c>
      <c r="D2657" t="s">
        <v>16</v>
      </c>
      <c r="E2657">
        <v>48</v>
      </c>
      <c r="F2657" t="s">
        <v>17</v>
      </c>
      <c r="G2657" s="1">
        <v>28138</v>
      </c>
      <c r="H2657" t="s">
        <v>6044</v>
      </c>
      <c r="I2657" s="2" t="str">
        <f t="shared" si="41"/>
        <v>+91-8074609804</v>
      </c>
      <c r="J2657">
        <f>91-8074609895</f>
        <v>-8074609804</v>
      </c>
      <c r="K2657" t="s">
        <v>154</v>
      </c>
      <c r="L2657" t="s">
        <v>46</v>
      </c>
      <c r="M2657">
        <v>494681</v>
      </c>
      <c r="N2657" s="1">
        <v>45418</v>
      </c>
      <c r="O2657" t="s">
        <v>28</v>
      </c>
      <c r="P2657">
        <v>8</v>
      </c>
      <c r="Q2657">
        <v>97201.69</v>
      </c>
    </row>
    <row r="2658" spans="1:17" x14ac:dyDescent="0.3">
      <c r="A2658" t="s">
        <v>6045</v>
      </c>
      <c r="B2658" t="s">
        <v>2449</v>
      </c>
      <c r="C2658" s="2" t="str">
        <f>PROPER(TRIM(Table1[[#This Row],[Gender]]))</f>
        <v>Male</v>
      </c>
      <c r="D2658" t="s">
        <v>16</v>
      </c>
      <c r="E2658">
        <v>46</v>
      </c>
      <c r="F2658" t="s">
        <v>17</v>
      </c>
      <c r="G2658" s="1">
        <v>28868</v>
      </c>
      <c r="H2658" t="s">
        <v>6046</v>
      </c>
      <c r="I2658" s="2" t="str">
        <f t="shared" si="41"/>
        <v>+91-9310561489</v>
      </c>
      <c r="J2658">
        <f>91-9310561580</f>
        <v>-9310561489</v>
      </c>
      <c r="K2658" t="s">
        <v>161</v>
      </c>
      <c r="L2658" t="s">
        <v>102</v>
      </c>
      <c r="M2658">
        <v>206669</v>
      </c>
      <c r="N2658" s="1">
        <v>45295</v>
      </c>
      <c r="O2658" t="s">
        <v>21</v>
      </c>
      <c r="P2658">
        <v>8</v>
      </c>
      <c r="Q2658">
        <v>36022.49</v>
      </c>
    </row>
    <row r="2659" spans="1:17" x14ac:dyDescent="0.3">
      <c r="A2659" t="s">
        <v>6047</v>
      </c>
      <c r="B2659" t="s">
        <v>703</v>
      </c>
      <c r="C2659" s="2" t="str">
        <f>PROPER(TRIM(Table1[[#This Row],[Gender]]))</f>
        <v>Female</v>
      </c>
      <c r="D2659" t="s">
        <v>43</v>
      </c>
      <c r="E2659">
        <v>54</v>
      </c>
      <c r="F2659" t="s">
        <v>17</v>
      </c>
      <c r="G2659" s="1">
        <v>25948</v>
      </c>
      <c r="H2659" t="s">
        <v>704</v>
      </c>
      <c r="I2659" s="2" t="str">
        <f t="shared" si="41"/>
        <v>+91-7609711884</v>
      </c>
      <c r="J2659">
        <f>91-7609711975</f>
        <v>-7609711884</v>
      </c>
      <c r="K2659" t="s">
        <v>415</v>
      </c>
      <c r="L2659" t="s">
        <v>90</v>
      </c>
      <c r="M2659">
        <v>650659</v>
      </c>
      <c r="N2659" s="1">
        <v>45118</v>
      </c>
      <c r="O2659" t="s">
        <v>35</v>
      </c>
      <c r="P2659">
        <v>1</v>
      </c>
      <c r="Q2659">
        <v>657.88</v>
      </c>
    </row>
    <row r="2660" spans="1:17" x14ac:dyDescent="0.3">
      <c r="A2660" t="s">
        <v>6048</v>
      </c>
      <c r="B2660" t="s">
        <v>2848</v>
      </c>
      <c r="C2660" s="2" t="str">
        <f>PROPER(TRIM(Table1[[#This Row],[Gender]]))</f>
        <v>Male</v>
      </c>
      <c r="D2660" t="s">
        <v>16</v>
      </c>
      <c r="E2660">
        <v>19</v>
      </c>
      <c r="F2660" t="s">
        <v>49</v>
      </c>
      <c r="G2660" s="1">
        <v>38723</v>
      </c>
      <c r="H2660" t="s">
        <v>6049</v>
      </c>
      <c r="I2660" s="2" t="str">
        <f t="shared" si="41"/>
        <v>+91-9034114341</v>
      </c>
      <c r="J2660">
        <f>91-9034114432</f>
        <v>-9034114341</v>
      </c>
      <c r="K2660" t="s">
        <v>161</v>
      </c>
      <c r="L2660" t="s">
        <v>102</v>
      </c>
      <c r="M2660">
        <v>530807</v>
      </c>
      <c r="N2660" s="1">
        <v>45208</v>
      </c>
      <c r="O2660" t="s">
        <v>28</v>
      </c>
      <c r="P2660">
        <v>4</v>
      </c>
      <c r="Q2660">
        <v>227010.85</v>
      </c>
    </row>
    <row r="2661" spans="1:17" x14ac:dyDescent="0.3">
      <c r="A2661" t="s">
        <v>6050</v>
      </c>
      <c r="B2661" t="s">
        <v>4744</v>
      </c>
      <c r="C2661" s="2" t="str">
        <f>PROPER(TRIM(Table1[[#This Row],[Gender]]))</f>
        <v>Female</v>
      </c>
      <c r="D2661" t="s">
        <v>43</v>
      </c>
      <c r="E2661">
        <v>53</v>
      </c>
      <c r="F2661" t="s">
        <v>17</v>
      </c>
      <c r="G2661" s="1">
        <v>26313</v>
      </c>
      <c r="H2661" t="s">
        <v>6051</v>
      </c>
      <c r="I2661" s="2" t="str">
        <f t="shared" si="41"/>
        <v>+91-7178517718</v>
      </c>
      <c r="J2661">
        <f>91-7178517809</f>
        <v>-7178517718</v>
      </c>
      <c r="K2661" t="s">
        <v>165</v>
      </c>
      <c r="L2661" t="s">
        <v>52</v>
      </c>
      <c r="M2661">
        <v>693585</v>
      </c>
      <c r="N2661" s="1">
        <v>45355</v>
      </c>
      <c r="O2661" t="s">
        <v>21</v>
      </c>
      <c r="P2661">
        <v>5</v>
      </c>
      <c r="Q2661">
        <v>30361.63</v>
      </c>
    </row>
    <row r="2662" spans="1:17" x14ac:dyDescent="0.3">
      <c r="A2662" t="s">
        <v>6052</v>
      </c>
      <c r="B2662" t="s">
        <v>3845</v>
      </c>
      <c r="C2662" s="2" t="str">
        <f>PROPER(TRIM(Table1[[#This Row],[Gender]]))</f>
        <v>Female</v>
      </c>
      <c r="D2662" t="s">
        <v>43</v>
      </c>
      <c r="E2662">
        <v>20</v>
      </c>
      <c r="F2662" t="s">
        <v>49</v>
      </c>
      <c r="G2662" s="1">
        <v>38358</v>
      </c>
      <c r="H2662" t="s">
        <v>6053</v>
      </c>
      <c r="I2662" s="2" t="str">
        <f t="shared" si="41"/>
        <v>+91-8795845869</v>
      </c>
      <c r="J2662">
        <f>91-8795845960</f>
        <v>-8795845869</v>
      </c>
      <c r="K2662" t="s">
        <v>84</v>
      </c>
      <c r="L2662" t="s">
        <v>85</v>
      </c>
      <c r="M2662">
        <v>229630</v>
      </c>
      <c r="N2662" s="1">
        <v>45384</v>
      </c>
      <c r="O2662" t="s">
        <v>35</v>
      </c>
      <c r="P2662">
        <v>1</v>
      </c>
      <c r="Q2662">
        <v>16629.580000000002</v>
      </c>
    </row>
    <row r="2663" spans="1:17" x14ac:dyDescent="0.3">
      <c r="A2663" t="s">
        <v>6054</v>
      </c>
      <c r="B2663" t="s">
        <v>1585</v>
      </c>
      <c r="C2663" s="2" t="str">
        <f>PROPER(TRIM(Table1[[#This Row],[Gender]]))</f>
        <v>Male</v>
      </c>
      <c r="D2663" t="s">
        <v>16</v>
      </c>
      <c r="E2663">
        <v>20</v>
      </c>
      <c r="F2663" t="s">
        <v>49</v>
      </c>
      <c r="G2663" s="1">
        <v>38358</v>
      </c>
      <c r="H2663" t="s">
        <v>6055</v>
      </c>
      <c r="I2663" s="2" t="str">
        <f t="shared" si="41"/>
        <v>+91-9564157249</v>
      </c>
      <c r="J2663">
        <f>91-9564157340</f>
        <v>-9564157249</v>
      </c>
      <c r="K2663" t="s">
        <v>125</v>
      </c>
      <c r="L2663" t="s">
        <v>52</v>
      </c>
      <c r="M2663">
        <v>674373</v>
      </c>
      <c r="N2663" s="1">
        <v>45290</v>
      </c>
      <c r="O2663" t="s">
        <v>28</v>
      </c>
      <c r="P2663">
        <v>5</v>
      </c>
      <c r="Q2663">
        <v>370650.11</v>
      </c>
    </row>
    <row r="2664" spans="1:17" x14ac:dyDescent="0.3">
      <c r="A2664" t="s">
        <v>6056</v>
      </c>
      <c r="B2664" t="s">
        <v>1967</v>
      </c>
      <c r="C2664" s="2" t="str">
        <f>PROPER(TRIM(Table1[[#This Row],[Gender]]))</f>
        <v>Male</v>
      </c>
      <c r="D2664" t="s">
        <v>16</v>
      </c>
      <c r="E2664">
        <v>20</v>
      </c>
      <c r="F2664" t="s">
        <v>49</v>
      </c>
      <c r="G2664" s="1">
        <v>38358</v>
      </c>
      <c r="H2664" t="s">
        <v>6057</v>
      </c>
      <c r="I2664" s="2" t="str">
        <f t="shared" si="41"/>
        <v>+91-7166284516</v>
      </c>
      <c r="J2664">
        <f>91-7166284607</f>
        <v>-7166284516</v>
      </c>
      <c r="K2664" t="s">
        <v>68</v>
      </c>
      <c r="L2664" t="s">
        <v>52</v>
      </c>
      <c r="M2664">
        <v>571979</v>
      </c>
      <c r="N2664" s="1">
        <v>45379</v>
      </c>
      <c r="O2664" t="s">
        <v>28</v>
      </c>
      <c r="P2664">
        <v>4</v>
      </c>
      <c r="Q2664">
        <v>173994.77</v>
      </c>
    </row>
    <row r="2665" spans="1:17" x14ac:dyDescent="0.3">
      <c r="A2665" t="s">
        <v>6058</v>
      </c>
      <c r="B2665" t="s">
        <v>1294</v>
      </c>
      <c r="C2665" s="2" t="str">
        <f>PROPER(TRIM(Table1[[#This Row],[Gender]]))</f>
        <v>Male</v>
      </c>
      <c r="D2665" t="s">
        <v>16</v>
      </c>
      <c r="E2665">
        <v>21</v>
      </c>
      <c r="F2665" t="s">
        <v>49</v>
      </c>
      <c r="G2665" s="1">
        <v>37993</v>
      </c>
      <c r="H2665" t="s">
        <v>6059</v>
      </c>
      <c r="I2665" s="2" t="str">
        <f t="shared" si="41"/>
        <v>+91-9376453814</v>
      </c>
      <c r="J2665">
        <f>91-9376453905</f>
        <v>-9376453814</v>
      </c>
      <c r="K2665" t="s">
        <v>142</v>
      </c>
      <c r="L2665" t="s">
        <v>143</v>
      </c>
      <c r="M2665">
        <v>783670</v>
      </c>
      <c r="N2665" s="1">
        <v>45098</v>
      </c>
      <c r="O2665" t="s">
        <v>21</v>
      </c>
      <c r="P2665">
        <v>4</v>
      </c>
      <c r="Q2665">
        <v>48062.23</v>
      </c>
    </row>
    <row r="2666" spans="1:17" x14ac:dyDescent="0.3">
      <c r="A2666" t="s">
        <v>6060</v>
      </c>
      <c r="B2666" t="s">
        <v>2945</v>
      </c>
      <c r="C2666" s="2" t="str">
        <f>PROPER(TRIM(Table1[[#This Row],[Gender]]))</f>
        <v>Female</v>
      </c>
      <c r="D2666" t="s">
        <v>43</v>
      </c>
      <c r="E2666">
        <v>37</v>
      </c>
      <c r="F2666" t="s">
        <v>38</v>
      </c>
      <c r="G2666" s="1">
        <v>32153</v>
      </c>
      <c r="H2666" t="s">
        <v>6061</v>
      </c>
      <c r="I2666" s="2" t="str">
        <f t="shared" si="41"/>
        <v>+91-8971076281</v>
      </c>
      <c r="J2666">
        <f>91-8971076372</f>
        <v>-8971076281</v>
      </c>
      <c r="K2666" t="s">
        <v>174</v>
      </c>
      <c r="L2666" t="s">
        <v>90</v>
      </c>
      <c r="M2666">
        <v>338613</v>
      </c>
      <c r="N2666" s="1">
        <v>45353</v>
      </c>
      <c r="O2666" t="s">
        <v>28</v>
      </c>
      <c r="P2666">
        <v>4</v>
      </c>
      <c r="Q2666">
        <v>171319.71</v>
      </c>
    </row>
    <row r="2667" spans="1:17" x14ac:dyDescent="0.3">
      <c r="A2667" t="s">
        <v>6062</v>
      </c>
      <c r="B2667" t="s">
        <v>2994</v>
      </c>
      <c r="C2667" s="2" t="str">
        <f>PROPER(TRIM(Table1[[#This Row],[Gender]]))</f>
        <v>Female</v>
      </c>
      <c r="D2667" t="s">
        <v>43</v>
      </c>
      <c r="E2667">
        <v>23</v>
      </c>
      <c r="F2667" t="s">
        <v>49</v>
      </c>
      <c r="G2667" s="1">
        <v>37263</v>
      </c>
      <c r="H2667" t="s">
        <v>6063</v>
      </c>
      <c r="I2667" s="2" t="str">
        <f t="shared" si="41"/>
        <v>+91-9803961704</v>
      </c>
      <c r="J2667">
        <f>91-9803961795</f>
        <v>-9803961704</v>
      </c>
      <c r="K2667" t="s">
        <v>64</v>
      </c>
      <c r="L2667" t="s">
        <v>20</v>
      </c>
      <c r="M2667">
        <v>584106</v>
      </c>
      <c r="N2667" s="1">
        <v>45411</v>
      </c>
      <c r="O2667" t="s">
        <v>35</v>
      </c>
      <c r="P2667">
        <v>3</v>
      </c>
      <c r="Q2667">
        <v>13420.72</v>
      </c>
    </row>
    <row r="2668" spans="1:17" x14ac:dyDescent="0.3">
      <c r="A2668" t="s">
        <v>6064</v>
      </c>
      <c r="B2668" t="s">
        <v>4848</v>
      </c>
      <c r="C2668" s="2" t="str">
        <f>PROPER(TRIM(Table1[[#This Row],[Gender]]))</f>
        <v>Female</v>
      </c>
      <c r="D2668" t="s">
        <v>43</v>
      </c>
      <c r="E2668">
        <v>52</v>
      </c>
      <c r="F2668" t="s">
        <v>17</v>
      </c>
      <c r="G2668" s="1">
        <v>26678</v>
      </c>
      <c r="H2668" t="s">
        <v>6065</v>
      </c>
      <c r="I2668" s="2" t="str">
        <f t="shared" si="41"/>
        <v>+91-7480034420</v>
      </c>
      <c r="J2668">
        <f>91-7480034511</f>
        <v>-7480034420</v>
      </c>
      <c r="K2668" t="s">
        <v>195</v>
      </c>
      <c r="L2668" t="s">
        <v>102</v>
      </c>
      <c r="M2668">
        <v>651266</v>
      </c>
      <c r="N2668" s="1">
        <v>45126</v>
      </c>
      <c r="O2668" t="s">
        <v>35</v>
      </c>
      <c r="P2668">
        <v>6</v>
      </c>
      <c r="Q2668">
        <v>13864.26</v>
      </c>
    </row>
    <row r="2669" spans="1:17" x14ac:dyDescent="0.3">
      <c r="A2669" t="s">
        <v>6066</v>
      </c>
      <c r="B2669" t="s">
        <v>1046</v>
      </c>
      <c r="C2669" s="2" t="str">
        <f>PROPER(TRIM(Table1[[#This Row],[Gender]]))</f>
        <v>Female</v>
      </c>
      <c r="D2669" t="s">
        <v>43</v>
      </c>
      <c r="E2669">
        <v>34</v>
      </c>
      <c r="F2669" t="s">
        <v>31</v>
      </c>
      <c r="G2669" s="1">
        <v>33248</v>
      </c>
      <c r="H2669" t="s">
        <v>6067</v>
      </c>
      <c r="I2669" s="2" t="str">
        <f t="shared" si="41"/>
        <v>+91-7910199241</v>
      </c>
      <c r="J2669">
        <f>91-7910199332</f>
        <v>-7910199241</v>
      </c>
      <c r="K2669" t="s">
        <v>178</v>
      </c>
      <c r="L2669" t="s">
        <v>27</v>
      </c>
      <c r="M2669">
        <v>782707</v>
      </c>
      <c r="N2669" s="1">
        <v>45247</v>
      </c>
      <c r="O2669" t="s">
        <v>28</v>
      </c>
      <c r="P2669">
        <v>8</v>
      </c>
      <c r="Q2669">
        <v>217912.46</v>
      </c>
    </row>
    <row r="2670" spans="1:17" x14ac:dyDescent="0.3">
      <c r="A2670" t="s">
        <v>6068</v>
      </c>
      <c r="B2670" t="s">
        <v>749</v>
      </c>
      <c r="C2670" s="2" t="str">
        <f>PROPER(TRIM(Table1[[#This Row],[Gender]]))</f>
        <v>Male</v>
      </c>
      <c r="D2670" t="s">
        <v>16</v>
      </c>
      <c r="E2670">
        <v>33</v>
      </c>
      <c r="F2670" t="s">
        <v>31</v>
      </c>
      <c r="G2670" s="1">
        <v>33613</v>
      </c>
      <c r="H2670" t="s">
        <v>6069</v>
      </c>
      <c r="I2670" s="2" t="str">
        <f t="shared" si="41"/>
        <v>+91-7385284688</v>
      </c>
      <c r="J2670">
        <f>91-7385284779</f>
        <v>-7385284688</v>
      </c>
      <c r="K2670" t="s">
        <v>80</v>
      </c>
      <c r="L2670" t="s">
        <v>20</v>
      </c>
      <c r="M2670">
        <v>462871</v>
      </c>
      <c r="N2670" s="1">
        <v>45164</v>
      </c>
      <c r="O2670" t="s">
        <v>28</v>
      </c>
      <c r="P2670">
        <v>5</v>
      </c>
      <c r="Q2670">
        <v>114377.29</v>
      </c>
    </row>
    <row r="2671" spans="1:17" x14ac:dyDescent="0.3">
      <c r="A2671" t="s">
        <v>6070</v>
      </c>
      <c r="B2671" t="s">
        <v>4353</v>
      </c>
      <c r="C2671" s="2" t="str">
        <f>PROPER(TRIM(Table1[[#This Row],[Gender]]))</f>
        <v>Male</v>
      </c>
      <c r="D2671" t="s">
        <v>16</v>
      </c>
      <c r="E2671">
        <v>50</v>
      </c>
      <c r="F2671" t="s">
        <v>17</v>
      </c>
      <c r="G2671" s="1">
        <v>27408</v>
      </c>
      <c r="H2671" t="s">
        <v>6071</v>
      </c>
      <c r="I2671" s="2" t="str">
        <f t="shared" si="41"/>
        <v>+91-9638868332</v>
      </c>
      <c r="J2671">
        <f>91-9638868423</f>
        <v>-9638868332</v>
      </c>
      <c r="K2671" t="s">
        <v>161</v>
      </c>
      <c r="L2671" t="s">
        <v>102</v>
      </c>
      <c r="M2671">
        <v>753162</v>
      </c>
      <c r="N2671" s="1">
        <v>45189</v>
      </c>
      <c r="O2671" t="s">
        <v>28</v>
      </c>
      <c r="P2671">
        <v>3</v>
      </c>
      <c r="Q2671">
        <v>81288.460000000006</v>
      </c>
    </row>
    <row r="2672" spans="1:17" x14ac:dyDescent="0.3">
      <c r="A2672" t="s">
        <v>6072</v>
      </c>
      <c r="B2672" t="s">
        <v>759</v>
      </c>
      <c r="C2672" s="2" t="str">
        <f>PROPER(TRIM(Table1[[#This Row],[Gender]]))</f>
        <v>Female</v>
      </c>
      <c r="D2672" t="s">
        <v>43</v>
      </c>
      <c r="E2672">
        <v>28</v>
      </c>
      <c r="F2672" t="s">
        <v>31</v>
      </c>
      <c r="G2672" s="1">
        <v>35438</v>
      </c>
      <c r="H2672" t="s">
        <v>6073</v>
      </c>
      <c r="I2672" s="2" t="str">
        <f t="shared" si="41"/>
        <v>+91-8982136947</v>
      </c>
      <c r="J2672">
        <f>91-8982137038</f>
        <v>-8982136947</v>
      </c>
      <c r="K2672" t="s">
        <v>161</v>
      </c>
      <c r="L2672" t="s">
        <v>102</v>
      </c>
      <c r="M2672">
        <v>675754</v>
      </c>
      <c r="N2672" s="1">
        <v>45399</v>
      </c>
      <c r="O2672" t="s">
        <v>28</v>
      </c>
      <c r="P2672">
        <v>8</v>
      </c>
      <c r="Q2672">
        <v>297511.11</v>
      </c>
    </row>
    <row r="2673" spans="1:17" x14ac:dyDescent="0.3">
      <c r="A2673" t="s">
        <v>6074</v>
      </c>
      <c r="B2673" t="s">
        <v>6075</v>
      </c>
      <c r="C2673" s="2" t="str">
        <f>PROPER(TRIM(Table1[[#This Row],[Gender]]))</f>
        <v>Male</v>
      </c>
      <c r="D2673" t="s">
        <v>16</v>
      </c>
      <c r="E2673">
        <v>29</v>
      </c>
      <c r="F2673" t="s">
        <v>31</v>
      </c>
      <c r="G2673" s="1">
        <v>35073</v>
      </c>
      <c r="H2673" t="s">
        <v>6076</v>
      </c>
      <c r="I2673" s="2" t="str">
        <f t="shared" si="41"/>
        <v>+91-7670204005</v>
      </c>
      <c r="J2673">
        <f>91-7670204096</f>
        <v>-7670204005</v>
      </c>
      <c r="K2673" t="s">
        <v>101</v>
      </c>
      <c r="L2673" t="s">
        <v>102</v>
      </c>
      <c r="M2673">
        <v>258324</v>
      </c>
      <c r="N2673" s="1">
        <v>45200</v>
      </c>
      <c r="O2673" t="s">
        <v>28</v>
      </c>
      <c r="P2673">
        <v>6</v>
      </c>
      <c r="Q2673">
        <v>311457.42</v>
      </c>
    </row>
    <row r="2674" spans="1:17" x14ac:dyDescent="0.3">
      <c r="A2674" t="s">
        <v>6077</v>
      </c>
      <c r="B2674" t="s">
        <v>2288</v>
      </c>
      <c r="C2674" s="2" t="str">
        <f>PROPER(TRIM(Table1[[#This Row],[Gender]]))</f>
        <v>Male</v>
      </c>
      <c r="D2674" t="s">
        <v>16</v>
      </c>
      <c r="E2674">
        <v>20</v>
      </c>
      <c r="F2674" t="s">
        <v>49</v>
      </c>
      <c r="G2674" s="1">
        <v>38358</v>
      </c>
      <c r="H2674" t="s">
        <v>6078</v>
      </c>
      <c r="I2674" s="2" t="str">
        <f t="shared" si="41"/>
        <v>+91-9190389083</v>
      </c>
      <c r="J2674">
        <f>91-9190389174</f>
        <v>-9190389083</v>
      </c>
      <c r="K2674" t="s">
        <v>580</v>
      </c>
      <c r="L2674" t="s">
        <v>85</v>
      </c>
      <c r="M2674">
        <v>303869</v>
      </c>
      <c r="N2674" s="1">
        <v>45169</v>
      </c>
      <c r="O2674" t="s">
        <v>28</v>
      </c>
      <c r="P2674">
        <v>11</v>
      </c>
      <c r="Q2674">
        <v>107154.4</v>
      </c>
    </row>
    <row r="2675" spans="1:17" x14ac:dyDescent="0.3">
      <c r="A2675" t="s">
        <v>6079</v>
      </c>
      <c r="B2675" t="s">
        <v>2667</v>
      </c>
      <c r="C2675" s="2" t="str">
        <f>PROPER(TRIM(Table1[[#This Row],[Gender]]))</f>
        <v>Female</v>
      </c>
      <c r="D2675" t="s">
        <v>43</v>
      </c>
      <c r="E2675">
        <v>34</v>
      </c>
      <c r="F2675" t="s">
        <v>31</v>
      </c>
      <c r="G2675" s="1">
        <v>33248</v>
      </c>
      <c r="H2675" t="s">
        <v>6080</v>
      </c>
      <c r="I2675" s="2" t="str">
        <f t="shared" si="41"/>
        <v>+91-8482153739</v>
      </c>
      <c r="J2675">
        <f>91-8482153830</f>
        <v>-8482153739</v>
      </c>
      <c r="K2675" t="s">
        <v>109</v>
      </c>
      <c r="L2675" t="s">
        <v>46</v>
      </c>
      <c r="M2675">
        <v>412249</v>
      </c>
      <c r="N2675" s="1">
        <v>45340</v>
      </c>
      <c r="O2675" t="s">
        <v>28</v>
      </c>
      <c r="P2675">
        <v>5</v>
      </c>
      <c r="Q2675">
        <v>83177.05</v>
      </c>
    </row>
    <row r="2676" spans="1:17" x14ac:dyDescent="0.3">
      <c r="A2676" t="s">
        <v>6081</v>
      </c>
      <c r="B2676" t="s">
        <v>865</v>
      </c>
      <c r="C2676" s="2" t="str">
        <f>PROPER(TRIM(Table1[[#This Row],[Gender]]))</f>
        <v>Male</v>
      </c>
      <c r="D2676" t="s">
        <v>16</v>
      </c>
      <c r="E2676">
        <v>27</v>
      </c>
      <c r="F2676" t="s">
        <v>31</v>
      </c>
      <c r="G2676" s="1">
        <v>35803</v>
      </c>
      <c r="H2676" t="s">
        <v>6082</v>
      </c>
      <c r="I2676" s="2" t="str">
        <f t="shared" si="41"/>
        <v>+91-9200644494</v>
      </c>
      <c r="J2676">
        <f>91-9200644585</f>
        <v>-9200644494</v>
      </c>
      <c r="K2676" t="s">
        <v>94</v>
      </c>
      <c r="L2676" t="s">
        <v>20</v>
      </c>
      <c r="M2676">
        <v>615150</v>
      </c>
      <c r="N2676" s="1">
        <v>45383</v>
      </c>
      <c r="O2676" t="s">
        <v>28</v>
      </c>
      <c r="P2676">
        <v>6</v>
      </c>
      <c r="Q2676">
        <v>60848.55</v>
      </c>
    </row>
    <row r="2677" spans="1:17" x14ac:dyDescent="0.3">
      <c r="A2677" t="s">
        <v>6083</v>
      </c>
      <c r="B2677" t="s">
        <v>619</v>
      </c>
      <c r="C2677" s="2" t="str">
        <f>PROPER(TRIM(Table1[[#This Row],[Gender]]))</f>
        <v>Male</v>
      </c>
      <c r="D2677" t="s">
        <v>16</v>
      </c>
      <c r="E2677">
        <v>48</v>
      </c>
      <c r="F2677" t="s">
        <v>17</v>
      </c>
      <c r="G2677" s="1">
        <v>28138</v>
      </c>
      <c r="H2677" t="s">
        <v>5272</v>
      </c>
      <c r="I2677" s="2" t="str">
        <f t="shared" si="41"/>
        <v>+91-7234432315</v>
      </c>
      <c r="J2677">
        <f>91-7234432406</f>
        <v>-7234432315</v>
      </c>
      <c r="K2677" t="s">
        <v>178</v>
      </c>
      <c r="L2677" t="s">
        <v>27</v>
      </c>
      <c r="M2677">
        <v>986983</v>
      </c>
      <c r="N2677" s="1">
        <v>45441</v>
      </c>
      <c r="O2677" t="s">
        <v>21</v>
      </c>
      <c r="P2677">
        <v>7</v>
      </c>
      <c r="Q2677">
        <v>41053.5</v>
      </c>
    </row>
    <row r="2678" spans="1:17" x14ac:dyDescent="0.3">
      <c r="A2678" t="s">
        <v>6084</v>
      </c>
      <c r="B2678" t="s">
        <v>3386</v>
      </c>
      <c r="C2678" s="2" t="str">
        <f>PROPER(TRIM(Table1[[#This Row],[Gender]]))</f>
        <v>Female</v>
      </c>
      <c r="D2678" t="s">
        <v>43</v>
      </c>
      <c r="E2678">
        <v>21</v>
      </c>
      <c r="F2678" t="s">
        <v>49</v>
      </c>
      <c r="G2678" s="1">
        <v>37993</v>
      </c>
      <c r="H2678" t="s">
        <v>3387</v>
      </c>
      <c r="I2678" s="2" t="str">
        <f t="shared" si="41"/>
        <v>+91-7653346949</v>
      </c>
      <c r="J2678">
        <f>91-7653347040</f>
        <v>-7653346949</v>
      </c>
      <c r="K2678" t="s">
        <v>80</v>
      </c>
      <c r="L2678" t="s">
        <v>20</v>
      </c>
      <c r="M2678">
        <v>429043</v>
      </c>
      <c r="N2678" s="1">
        <v>45252</v>
      </c>
      <c r="O2678" t="s">
        <v>28</v>
      </c>
      <c r="P2678">
        <v>7</v>
      </c>
      <c r="Q2678">
        <v>56335.18</v>
      </c>
    </row>
    <row r="2679" spans="1:17" x14ac:dyDescent="0.3">
      <c r="A2679" t="s">
        <v>6085</v>
      </c>
      <c r="B2679" t="s">
        <v>985</v>
      </c>
      <c r="C2679" s="2" t="str">
        <f>PROPER(TRIM(Table1[[#This Row],[Gender]]))</f>
        <v>Male</v>
      </c>
      <c r="D2679" t="s">
        <v>16</v>
      </c>
      <c r="E2679">
        <v>19</v>
      </c>
      <c r="F2679" t="s">
        <v>49</v>
      </c>
      <c r="G2679" s="1">
        <v>38723</v>
      </c>
      <c r="H2679" t="s">
        <v>6086</v>
      </c>
      <c r="I2679" s="2" t="str">
        <f t="shared" si="41"/>
        <v>+91-7003794117</v>
      </c>
      <c r="J2679">
        <f>91-7003794208</f>
        <v>-7003794117</v>
      </c>
      <c r="K2679" t="s">
        <v>154</v>
      </c>
      <c r="L2679" t="s">
        <v>46</v>
      </c>
      <c r="M2679">
        <v>596230</v>
      </c>
      <c r="N2679" s="1">
        <v>45284</v>
      </c>
      <c r="O2679" t="s">
        <v>28</v>
      </c>
      <c r="P2679">
        <v>4</v>
      </c>
      <c r="Q2679">
        <v>78197.850000000006</v>
      </c>
    </row>
    <row r="2680" spans="1:17" x14ac:dyDescent="0.3">
      <c r="A2680" t="s">
        <v>6087</v>
      </c>
      <c r="B2680" t="s">
        <v>1510</v>
      </c>
      <c r="C2680" s="2" t="str">
        <f>PROPER(TRIM(Table1[[#This Row],[Gender]]))</f>
        <v>Male</v>
      </c>
      <c r="D2680" t="s">
        <v>16</v>
      </c>
      <c r="E2680">
        <v>44</v>
      </c>
      <c r="F2680" t="s">
        <v>38</v>
      </c>
      <c r="G2680" s="1">
        <v>29598</v>
      </c>
      <c r="H2680" t="s">
        <v>6088</v>
      </c>
      <c r="I2680" s="2" t="str">
        <f t="shared" si="41"/>
        <v>+91-9231599590</v>
      </c>
      <c r="J2680">
        <f>91-9231599681</f>
        <v>-9231599590</v>
      </c>
      <c r="K2680" t="s">
        <v>121</v>
      </c>
      <c r="L2680" t="s">
        <v>85</v>
      </c>
      <c r="M2680">
        <v>725790</v>
      </c>
      <c r="N2680" s="1">
        <v>45225</v>
      </c>
      <c r="O2680" t="s">
        <v>28</v>
      </c>
      <c r="P2680">
        <v>7</v>
      </c>
      <c r="Q2680">
        <v>89286.66</v>
      </c>
    </row>
    <row r="2681" spans="1:17" x14ac:dyDescent="0.3">
      <c r="A2681" t="s">
        <v>6089</v>
      </c>
      <c r="B2681" t="s">
        <v>669</v>
      </c>
      <c r="C2681" s="2" t="str">
        <f>PROPER(TRIM(Table1[[#This Row],[Gender]]))</f>
        <v>Female</v>
      </c>
      <c r="D2681" t="s">
        <v>43</v>
      </c>
      <c r="E2681">
        <v>40</v>
      </c>
      <c r="F2681" t="s">
        <v>38</v>
      </c>
      <c r="G2681" s="1">
        <v>31058</v>
      </c>
      <c r="H2681" t="s">
        <v>6090</v>
      </c>
      <c r="I2681" s="2" t="str">
        <f t="shared" si="41"/>
        <v>+91-7680720173</v>
      </c>
      <c r="J2681">
        <f>91-7680720264</f>
        <v>-7680720173</v>
      </c>
      <c r="K2681" t="s">
        <v>249</v>
      </c>
      <c r="L2681" t="s">
        <v>34</v>
      </c>
      <c r="M2681">
        <v>516526</v>
      </c>
      <c r="N2681" s="1">
        <v>45236</v>
      </c>
      <c r="O2681" t="s">
        <v>35</v>
      </c>
      <c r="P2681">
        <v>5</v>
      </c>
      <c r="Q2681">
        <v>14786.75</v>
      </c>
    </row>
    <row r="2682" spans="1:17" x14ac:dyDescent="0.3">
      <c r="A2682" t="s">
        <v>6091</v>
      </c>
      <c r="B2682" t="s">
        <v>281</v>
      </c>
      <c r="C2682" s="2" t="str">
        <f>PROPER(TRIM(Table1[[#This Row],[Gender]]))</f>
        <v>Female</v>
      </c>
      <c r="D2682" t="s">
        <v>43</v>
      </c>
      <c r="E2682">
        <v>30</v>
      </c>
      <c r="F2682" t="s">
        <v>31</v>
      </c>
      <c r="G2682" s="1">
        <v>34708</v>
      </c>
      <c r="H2682" t="s">
        <v>1087</v>
      </c>
      <c r="I2682" s="2" t="str">
        <f t="shared" si="41"/>
        <v>+91-7202746004</v>
      </c>
      <c r="J2682">
        <f>91-7202746095</f>
        <v>-7202746004</v>
      </c>
      <c r="K2682" t="s">
        <v>94</v>
      </c>
      <c r="L2682" t="s">
        <v>20</v>
      </c>
      <c r="M2682">
        <v>854284</v>
      </c>
      <c r="N2682" s="1">
        <v>45213</v>
      </c>
      <c r="O2682" t="s">
        <v>28</v>
      </c>
      <c r="P2682">
        <v>5</v>
      </c>
      <c r="Q2682">
        <v>82437.399999999994</v>
      </c>
    </row>
    <row r="2683" spans="1:17" x14ac:dyDescent="0.3">
      <c r="A2683" t="s">
        <v>6092</v>
      </c>
      <c r="B2683" t="s">
        <v>4390</v>
      </c>
      <c r="C2683" s="2" t="str">
        <f>PROPER(TRIM(Table1[[#This Row],[Gender]]))</f>
        <v>Female</v>
      </c>
      <c r="D2683" t="s">
        <v>43</v>
      </c>
      <c r="E2683">
        <v>31</v>
      </c>
      <c r="F2683" t="s">
        <v>31</v>
      </c>
      <c r="G2683" s="1">
        <v>34343</v>
      </c>
      <c r="H2683" t="s">
        <v>6093</v>
      </c>
      <c r="I2683" s="2" t="str">
        <f t="shared" si="41"/>
        <v>+91-9974553771</v>
      </c>
      <c r="J2683">
        <f>91-9974553862</f>
        <v>-9974553771</v>
      </c>
      <c r="K2683" t="s">
        <v>109</v>
      </c>
      <c r="L2683" t="s">
        <v>46</v>
      </c>
      <c r="M2683">
        <v>913695</v>
      </c>
      <c r="N2683" s="1">
        <v>45318</v>
      </c>
      <c r="O2683" t="s">
        <v>28</v>
      </c>
      <c r="P2683">
        <v>6</v>
      </c>
      <c r="Q2683">
        <v>291839.87</v>
      </c>
    </row>
    <row r="2684" spans="1:17" x14ac:dyDescent="0.3">
      <c r="A2684" t="s">
        <v>6094</v>
      </c>
      <c r="B2684" t="s">
        <v>4638</v>
      </c>
      <c r="C2684" s="2" t="str">
        <f>PROPER(TRIM(Table1[[#This Row],[Gender]]))</f>
        <v>Male</v>
      </c>
      <c r="D2684" t="s">
        <v>16</v>
      </c>
      <c r="E2684">
        <v>32</v>
      </c>
      <c r="F2684" t="s">
        <v>31</v>
      </c>
      <c r="G2684" s="1">
        <v>33978</v>
      </c>
      <c r="H2684" t="s">
        <v>6095</v>
      </c>
      <c r="I2684" s="2" t="str">
        <f t="shared" si="41"/>
        <v>+91-9832190575</v>
      </c>
      <c r="J2684">
        <f>91-9832190666</f>
        <v>-9832190575</v>
      </c>
      <c r="K2684" t="s">
        <v>147</v>
      </c>
      <c r="L2684" t="s">
        <v>143</v>
      </c>
      <c r="M2684">
        <v>481368</v>
      </c>
      <c r="N2684" s="1">
        <v>45284</v>
      </c>
      <c r="O2684" t="s">
        <v>28</v>
      </c>
      <c r="P2684">
        <v>10</v>
      </c>
      <c r="Q2684">
        <v>186293.76000000001</v>
      </c>
    </row>
    <row r="2685" spans="1:17" x14ac:dyDescent="0.3">
      <c r="A2685" t="s">
        <v>6096</v>
      </c>
      <c r="B2685" t="s">
        <v>204</v>
      </c>
      <c r="C2685" s="2" t="str">
        <f>PROPER(TRIM(Table1[[#This Row],[Gender]]))</f>
        <v>Female</v>
      </c>
      <c r="D2685" t="s">
        <v>43</v>
      </c>
      <c r="E2685">
        <v>45</v>
      </c>
      <c r="F2685" t="s">
        <v>38</v>
      </c>
      <c r="G2685" s="1">
        <v>29233</v>
      </c>
      <c r="H2685" t="s">
        <v>6097</v>
      </c>
      <c r="I2685" s="2" t="str">
        <f t="shared" si="41"/>
        <v>+91-9868862910</v>
      </c>
      <c r="J2685">
        <f>91-9868863001</f>
        <v>-9868862910</v>
      </c>
      <c r="K2685" t="s">
        <v>68</v>
      </c>
      <c r="L2685" t="s">
        <v>52</v>
      </c>
      <c r="M2685">
        <v>955526</v>
      </c>
      <c r="N2685" s="1">
        <v>45258</v>
      </c>
      <c r="O2685" t="s">
        <v>28</v>
      </c>
      <c r="P2685">
        <v>4</v>
      </c>
      <c r="Q2685">
        <v>262057.37</v>
      </c>
    </row>
    <row r="2686" spans="1:17" x14ac:dyDescent="0.3">
      <c r="A2686" t="s">
        <v>6098</v>
      </c>
      <c r="B2686" t="s">
        <v>5207</v>
      </c>
      <c r="C2686" s="2" t="str">
        <f>PROPER(TRIM(Table1[[#This Row],[Gender]]))</f>
        <v>Male</v>
      </c>
      <c r="D2686" t="s">
        <v>16</v>
      </c>
      <c r="E2686">
        <v>22</v>
      </c>
      <c r="F2686" t="s">
        <v>49</v>
      </c>
      <c r="G2686" s="1">
        <v>37628</v>
      </c>
      <c r="H2686" t="s">
        <v>6099</v>
      </c>
      <c r="I2686" s="2" t="str">
        <f t="shared" si="41"/>
        <v>+91-8729054612</v>
      </c>
      <c r="J2686">
        <f>91-8729054703</f>
        <v>-8729054612</v>
      </c>
      <c r="K2686" t="s">
        <v>117</v>
      </c>
      <c r="L2686" t="s">
        <v>52</v>
      </c>
      <c r="M2686">
        <v>180454</v>
      </c>
      <c r="N2686" s="1">
        <v>45270</v>
      </c>
      <c r="O2686" t="s">
        <v>28</v>
      </c>
      <c r="P2686">
        <v>3</v>
      </c>
      <c r="Q2686">
        <v>61961.01</v>
      </c>
    </row>
    <row r="2687" spans="1:17" x14ac:dyDescent="0.3">
      <c r="A2687" t="s">
        <v>6100</v>
      </c>
      <c r="B2687" t="s">
        <v>2496</v>
      </c>
      <c r="C2687" s="2" t="str">
        <f>PROPER(TRIM(Table1[[#This Row],[Gender]]))</f>
        <v>Male</v>
      </c>
      <c r="D2687" t="s">
        <v>16</v>
      </c>
      <c r="E2687">
        <v>28</v>
      </c>
      <c r="F2687" t="s">
        <v>31</v>
      </c>
      <c r="G2687" s="1">
        <v>35438</v>
      </c>
      <c r="H2687" t="s">
        <v>2497</v>
      </c>
      <c r="I2687" s="2" t="str">
        <f t="shared" si="41"/>
        <v>+91-8255490882</v>
      </c>
      <c r="J2687">
        <f>91-8255490973</f>
        <v>-8255490882</v>
      </c>
      <c r="K2687" t="s">
        <v>195</v>
      </c>
      <c r="L2687" t="s">
        <v>102</v>
      </c>
      <c r="M2687">
        <v>441609</v>
      </c>
      <c r="N2687" s="1">
        <v>45185</v>
      </c>
      <c r="O2687" t="s">
        <v>28</v>
      </c>
      <c r="P2687">
        <v>5</v>
      </c>
      <c r="Q2687">
        <v>158031.29</v>
      </c>
    </row>
    <row r="2688" spans="1:17" x14ac:dyDescent="0.3">
      <c r="A2688" t="s">
        <v>6101</v>
      </c>
      <c r="B2688" t="s">
        <v>1650</v>
      </c>
      <c r="C2688" s="2" t="str">
        <f>PROPER(TRIM(Table1[[#This Row],[Gender]]))</f>
        <v>Male</v>
      </c>
      <c r="D2688" t="s">
        <v>16</v>
      </c>
      <c r="E2688">
        <v>41</v>
      </c>
      <c r="F2688" t="s">
        <v>38</v>
      </c>
      <c r="G2688" s="1">
        <v>30693</v>
      </c>
      <c r="H2688" t="s">
        <v>6102</v>
      </c>
      <c r="I2688" s="2" t="str">
        <f t="shared" si="41"/>
        <v>+91-8662363466</v>
      </c>
      <c r="J2688">
        <f>91-8662363557</f>
        <v>-8662363466</v>
      </c>
      <c r="K2688" t="s">
        <v>117</v>
      </c>
      <c r="L2688" t="s">
        <v>52</v>
      </c>
      <c r="M2688">
        <v>837959</v>
      </c>
      <c r="N2688" s="1">
        <v>45143</v>
      </c>
      <c r="O2688" t="s">
        <v>28</v>
      </c>
      <c r="P2688">
        <v>10</v>
      </c>
      <c r="Q2688">
        <v>347898.93</v>
      </c>
    </row>
    <row r="2689" spans="1:17" x14ac:dyDescent="0.3">
      <c r="A2689" t="s">
        <v>6103</v>
      </c>
      <c r="B2689" t="s">
        <v>1811</v>
      </c>
      <c r="C2689" s="2" t="str">
        <f>PROPER(TRIM(Table1[[#This Row],[Gender]]))</f>
        <v>Female</v>
      </c>
      <c r="D2689" t="s">
        <v>43</v>
      </c>
      <c r="E2689">
        <v>34</v>
      </c>
      <c r="F2689" t="s">
        <v>31</v>
      </c>
      <c r="G2689" s="1">
        <v>33248</v>
      </c>
      <c r="H2689" t="s">
        <v>6104</v>
      </c>
      <c r="I2689" s="2" t="str">
        <f t="shared" si="41"/>
        <v>+91-7099367372</v>
      </c>
      <c r="J2689">
        <f>91-7099367463</f>
        <v>-7099367372</v>
      </c>
      <c r="K2689" t="s">
        <v>239</v>
      </c>
      <c r="L2689" t="s">
        <v>191</v>
      </c>
      <c r="M2689">
        <v>278025</v>
      </c>
      <c r="N2689" s="1">
        <v>45290</v>
      </c>
      <c r="O2689" t="s">
        <v>28</v>
      </c>
      <c r="P2689">
        <v>7</v>
      </c>
      <c r="Q2689">
        <v>344701.04</v>
      </c>
    </row>
    <row r="2690" spans="1:17" x14ac:dyDescent="0.3">
      <c r="A2690" t="s">
        <v>6105</v>
      </c>
      <c r="B2690" t="s">
        <v>957</v>
      </c>
      <c r="C2690" s="2" t="str">
        <f>PROPER(TRIM(Table1[[#This Row],[Gender]]))</f>
        <v>Female</v>
      </c>
      <c r="D2690" t="s">
        <v>43</v>
      </c>
      <c r="E2690">
        <v>28</v>
      </c>
      <c r="F2690" t="s">
        <v>31</v>
      </c>
      <c r="G2690" s="1">
        <v>35438</v>
      </c>
      <c r="H2690" t="s">
        <v>6106</v>
      </c>
      <c r="I2690" s="2" t="str">
        <f t="shared" ref="I2690:I2753" si="42">"+91"&amp;TEXT(J2690,"0000000000")</f>
        <v>+91-7557075613</v>
      </c>
      <c r="J2690">
        <f>91-7557075704</f>
        <v>-7557075613</v>
      </c>
      <c r="K2690" t="s">
        <v>113</v>
      </c>
      <c r="L2690" t="s">
        <v>34</v>
      </c>
      <c r="M2690">
        <v>630943</v>
      </c>
      <c r="N2690" s="1">
        <v>45224</v>
      </c>
      <c r="O2690" t="s">
        <v>21</v>
      </c>
      <c r="P2690">
        <v>2</v>
      </c>
      <c r="Q2690">
        <v>25400.45</v>
      </c>
    </row>
    <row r="2691" spans="1:17" x14ac:dyDescent="0.3">
      <c r="A2691" t="s">
        <v>6107</v>
      </c>
      <c r="B2691" t="s">
        <v>1190</v>
      </c>
      <c r="C2691" s="2" t="str">
        <f>PROPER(TRIM(Table1[[#This Row],[Gender]]))</f>
        <v>Female</v>
      </c>
      <c r="D2691" t="s">
        <v>43</v>
      </c>
      <c r="E2691">
        <v>28</v>
      </c>
      <c r="F2691" t="s">
        <v>31</v>
      </c>
      <c r="G2691" s="1">
        <v>35438</v>
      </c>
      <c r="H2691" t="s">
        <v>6108</v>
      </c>
      <c r="I2691" s="2" t="str">
        <f t="shared" si="42"/>
        <v>+91-9264454270</v>
      </c>
      <c r="J2691">
        <f>91-9264454361</f>
        <v>-9264454270</v>
      </c>
      <c r="K2691" t="s">
        <v>165</v>
      </c>
      <c r="L2691" t="s">
        <v>52</v>
      </c>
      <c r="M2691">
        <v>691553</v>
      </c>
      <c r="N2691" s="1">
        <v>45123</v>
      </c>
      <c r="O2691" t="s">
        <v>28</v>
      </c>
      <c r="P2691">
        <v>3</v>
      </c>
      <c r="Q2691">
        <v>103612.88</v>
      </c>
    </row>
    <row r="2692" spans="1:17" x14ac:dyDescent="0.3">
      <c r="A2692" t="s">
        <v>6109</v>
      </c>
      <c r="B2692" t="s">
        <v>1225</v>
      </c>
      <c r="C2692" s="2" t="str">
        <f>PROPER(TRIM(Table1[[#This Row],[Gender]]))</f>
        <v>Female</v>
      </c>
      <c r="D2692" t="s">
        <v>43</v>
      </c>
      <c r="E2692">
        <v>24</v>
      </c>
      <c r="F2692" t="s">
        <v>49</v>
      </c>
      <c r="G2692" s="1">
        <v>36898</v>
      </c>
      <c r="H2692" t="s">
        <v>6110</v>
      </c>
      <c r="I2692" s="2" t="str">
        <f t="shared" si="42"/>
        <v>+91-9227188574</v>
      </c>
      <c r="J2692">
        <f>91-9227188665</f>
        <v>-9227188574</v>
      </c>
      <c r="K2692" t="s">
        <v>249</v>
      </c>
      <c r="L2692" t="s">
        <v>34</v>
      </c>
      <c r="M2692">
        <v>334328</v>
      </c>
      <c r="N2692" s="1">
        <v>45407</v>
      </c>
      <c r="O2692" t="s">
        <v>28</v>
      </c>
      <c r="P2692">
        <v>6</v>
      </c>
      <c r="Q2692">
        <v>64981.95</v>
      </c>
    </row>
    <row r="2693" spans="1:17" x14ac:dyDescent="0.3">
      <c r="A2693" t="s">
        <v>6111</v>
      </c>
      <c r="B2693" t="s">
        <v>1106</v>
      </c>
      <c r="C2693" s="2" t="str">
        <f>PROPER(TRIM(Table1[[#This Row],[Gender]]))</f>
        <v>Male</v>
      </c>
      <c r="D2693" t="s">
        <v>16</v>
      </c>
      <c r="E2693">
        <v>40</v>
      </c>
      <c r="F2693" t="s">
        <v>38</v>
      </c>
      <c r="G2693" s="1">
        <v>31058</v>
      </c>
      <c r="H2693" t="s">
        <v>6112</v>
      </c>
      <c r="I2693" s="2" t="str">
        <f t="shared" si="42"/>
        <v>+91-9922246027</v>
      </c>
      <c r="J2693">
        <f>91-9922246118</f>
        <v>-9922246027</v>
      </c>
      <c r="K2693" t="s">
        <v>174</v>
      </c>
      <c r="L2693" t="s">
        <v>90</v>
      </c>
      <c r="M2693">
        <v>778073</v>
      </c>
      <c r="N2693" s="1">
        <v>45253</v>
      </c>
      <c r="O2693" t="s">
        <v>28</v>
      </c>
      <c r="P2693">
        <v>5</v>
      </c>
      <c r="Q2693">
        <v>390972.77</v>
      </c>
    </row>
    <row r="2694" spans="1:17" x14ac:dyDescent="0.3">
      <c r="A2694" t="s">
        <v>6113</v>
      </c>
      <c r="B2694" t="s">
        <v>371</v>
      </c>
      <c r="C2694" s="2" t="str">
        <f>PROPER(TRIM(Table1[[#This Row],[Gender]]))</f>
        <v>Female</v>
      </c>
      <c r="D2694" t="s">
        <v>43</v>
      </c>
      <c r="E2694">
        <v>25</v>
      </c>
      <c r="F2694" t="s">
        <v>49</v>
      </c>
      <c r="G2694" s="1">
        <v>36533</v>
      </c>
      <c r="H2694" t="s">
        <v>6114</v>
      </c>
      <c r="I2694" s="2" t="str">
        <f t="shared" si="42"/>
        <v>+91-9705060439</v>
      </c>
      <c r="J2694">
        <f>91-9705060530</f>
        <v>-9705060439</v>
      </c>
      <c r="K2694" t="s">
        <v>138</v>
      </c>
      <c r="L2694" t="s">
        <v>90</v>
      </c>
      <c r="M2694">
        <v>353198</v>
      </c>
      <c r="N2694" s="1">
        <v>45396</v>
      </c>
      <c r="O2694" t="s">
        <v>28</v>
      </c>
      <c r="P2694">
        <v>3</v>
      </c>
      <c r="Q2694">
        <v>108352.16</v>
      </c>
    </row>
    <row r="2695" spans="1:17" x14ac:dyDescent="0.3">
      <c r="A2695" t="s">
        <v>6115</v>
      </c>
      <c r="B2695" t="s">
        <v>2932</v>
      </c>
      <c r="C2695" s="2" t="str">
        <f>PROPER(TRIM(Table1[[#This Row],[Gender]]))</f>
        <v>Female</v>
      </c>
      <c r="D2695" t="s">
        <v>43</v>
      </c>
      <c r="E2695">
        <v>27</v>
      </c>
      <c r="F2695" t="s">
        <v>31</v>
      </c>
      <c r="G2695" s="1">
        <v>35803</v>
      </c>
      <c r="H2695" t="s">
        <v>6116</v>
      </c>
      <c r="I2695" s="2" t="str">
        <f t="shared" si="42"/>
        <v>+91-7842881268</v>
      </c>
      <c r="J2695">
        <f>91-7842881359</f>
        <v>-7842881268</v>
      </c>
      <c r="K2695" t="s">
        <v>117</v>
      </c>
      <c r="L2695" t="s">
        <v>52</v>
      </c>
      <c r="M2695">
        <v>272917</v>
      </c>
      <c r="N2695" s="1">
        <v>45325</v>
      </c>
      <c r="O2695" t="s">
        <v>28</v>
      </c>
      <c r="P2695">
        <v>2</v>
      </c>
      <c r="Q2695">
        <v>108703.3</v>
      </c>
    </row>
    <row r="2696" spans="1:17" x14ac:dyDescent="0.3">
      <c r="A2696" t="s">
        <v>6117</v>
      </c>
      <c r="B2696" t="s">
        <v>2580</v>
      </c>
      <c r="C2696" s="2" t="str">
        <f>PROPER(TRIM(Table1[[#This Row],[Gender]]))</f>
        <v>Female</v>
      </c>
      <c r="D2696" t="s">
        <v>43</v>
      </c>
      <c r="E2696">
        <v>18</v>
      </c>
      <c r="F2696" t="s">
        <v>49</v>
      </c>
      <c r="G2696" s="1">
        <v>39088</v>
      </c>
      <c r="H2696" t="s">
        <v>6118</v>
      </c>
      <c r="I2696" s="2" t="str">
        <f t="shared" si="42"/>
        <v>+91-8756844365</v>
      </c>
      <c r="J2696">
        <f>91-8756844456</f>
        <v>-8756844365</v>
      </c>
      <c r="K2696" t="s">
        <v>178</v>
      </c>
      <c r="L2696" t="s">
        <v>27</v>
      </c>
      <c r="M2696">
        <v>829360</v>
      </c>
      <c r="N2696" s="1">
        <v>45102</v>
      </c>
      <c r="O2696" t="s">
        <v>28</v>
      </c>
      <c r="P2696">
        <v>6</v>
      </c>
      <c r="Q2696">
        <v>194686.32</v>
      </c>
    </row>
    <row r="2697" spans="1:17" x14ac:dyDescent="0.3">
      <c r="A2697" t="s">
        <v>6119</v>
      </c>
      <c r="B2697" t="s">
        <v>1600</v>
      </c>
      <c r="C2697" s="2" t="str">
        <f>PROPER(TRIM(Table1[[#This Row],[Gender]]))</f>
        <v>Male</v>
      </c>
      <c r="D2697" t="s">
        <v>16</v>
      </c>
      <c r="E2697">
        <v>33</v>
      </c>
      <c r="F2697" t="s">
        <v>31</v>
      </c>
      <c r="G2697" s="1">
        <v>33613</v>
      </c>
      <c r="H2697" t="s">
        <v>6120</v>
      </c>
      <c r="I2697" s="2" t="str">
        <f t="shared" si="42"/>
        <v>+91-9222711823</v>
      </c>
      <c r="J2697">
        <f>91-9222711914</f>
        <v>-9222711823</v>
      </c>
      <c r="K2697" t="s">
        <v>125</v>
      </c>
      <c r="L2697" t="s">
        <v>52</v>
      </c>
      <c r="M2697">
        <v>804558</v>
      </c>
      <c r="N2697" s="1">
        <v>45108</v>
      </c>
      <c r="O2697" t="s">
        <v>28</v>
      </c>
      <c r="P2697">
        <v>6</v>
      </c>
      <c r="Q2697">
        <v>281791.53000000003</v>
      </c>
    </row>
    <row r="2698" spans="1:17" x14ac:dyDescent="0.3">
      <c r="A2698" t="s">
        <v>6121</v>
      </c>
      <c r="B2698" t="s">
        <v>152</v>
      </c>
      <c r="C2698" s="2" t="str">
        <f>PROPER(TRIM(Table1[[#This Row],[Gender]]))</f>
        <v>Male</v>
      </c>
      <c r="D2698" t="s">
        <v>16</v>
      </c>
      <c r="E2698">
        <v>19</v>
      </c>
      <c r="F2698" t="s">
        <v>49</v>
      </c>
      <c r="G2698" s="1">
        <v>38723</v>
      </c>
      <c r="H2698" t="s">
        <v>6122</v>
      </c>
      <c r="I2698" s="2" t="str">
        <f t="shared" si="42"/>
        <v>+91-8549076156</v>
      </c>
      <c r="J2698">
        <f>91-8549076247</f>
        <v>-8549076156</v>
      </c>
      <c r="K2698" t="s">
        <v>174</v>
      </c>
      <c r="L2698" t="s">
        <v>90</v>
      </c>
      <c r="M2698">
        <v>867506</v>
      </c>
      <c r="N2698" s="1">
        <v>45287</v>
      </c>
      <c r="O2698" t="s">
        <v>28</v>
      </c>
      <c r="P2698">
        <v>2</v>
      </c>
      <c r="Q2698">
        <v>88074.75</v>
      </c>
    </row>
    <row r="2699" spans="1:17" x14ac:dyDescent="0.3">
      <c r="A2699" t="s">
        <v>6123</v>
      </c>
      <c r="B2699" t="s">
        <v>484</v>
      </c>
      <c r="C2699" s="2" t="str">
        <f>PROPER(TRIM(Table1[[#This Row],[Gender]]))</f>
        <v>Male</v>
      </c>
      <c r="D2699" t="s">
        <v>16</v>
      </c>
      <c r="E2699">
        <v>60</v>
      </c>
      <c r="F2699" t="s">
        <v>58</v>
      </c>
      <c r="G2699" s="1">
        <v>23758</v>
      </c>
      <c r="H2699" t="s">
        <v>3532</v>
      </c>
      <c r="I2699" s="2" t="str">
        <f t="shared" si="42"/>
        <v>+91-9081317353</v>
      </c>
      <c r="J2699">
        <f>91-9081317444</f>
        <v>-9081317353</v>
      </c>
      <c r="K2699" t="s">
        <v>138</v>
      </c>
      <c r="L2699" t="s">
        <v>90</v>
      </c>
      <c r="M2699">
        <v>856092</v>
      </c>
      <c r="N2699" s="1">
        <v>45393</v>
      </c>
      <c r="O2699" t="s">
        <v>21</v>
      </c>
      <c r="P2699">
        <v>3</v>
      </c>
      <c r="Q2699">
        <v>46611.62</v>
      </c>
    </row>
    <row r="2700" spans="1:17" x14ac:dyDescent="0.3">
      <c r="A2700" t="s">
        <v>6124</v>
      </c>
      <c r="B2700" t="s">
        <v>188</v>
      </c>
      <c r="C2700" s="2" t="str">
        <f>PROPER(TRIM(Table1[[#This Row],[Gender]]))</f>
        <v>Female</v>
      </c>
      <c r="D2700" t="s">
        <v>43</v>
      </c>
      <c r="E2700">
        <v>28</v>
      </c>
      <c r="F2700" t="s">
        <v>31</v>
      </c>
      <c r="G2700" s="1">
        <v>35438</v>
      </c>
      <c r="H2700" t="s">
        <v>6125</v>
      </c>
      <c r="I2700" s="2" t="str">
        <f t="shared" si="42"/>
        <v>+91-9294077756</v>
      </c>
      <c r="J2700">
        <f>91-9294077847</f>
        <v>-9294077756</v>
      </c>
      <c r="K2700" t="s">
        <v>64</v>
      </c>
      <c r="L2700" t="s">
        <v>20</v>
      </c>
      <c r="M2700">
        <v>468684</v>
      </c>
      <c r="N2700" s="1">
        <v>45178</v>
      </c>
      <c r="O2700" t="s">
        <v>28</v>
      </c>
      <c r="P2700">
        <v>6</v>
      </c>
      <c r="Q2700">
        <v>147664.54</v>
      </c>
    </row>
    <row r="2701" spans="1:17" x14ac:dyDescent="0.3">
      <c r="A2701" t="s">
        <v>6126</v>
      </c>
      <c r="B2701" t="s">
        <v>281</v>
      </c>
      <c r="C2701" s="2" t="str">
        <f>PROPER(TRIM(Table1[[#This Row],[Gender]]))</f>
        <v>Female</v>
      </c>
      <c r="D2701" t="s">
        <v>43</v>
      </c>
      <c r="E2701">
        <v>57</v>
      </c>
      <c r="F2701" t="s">
        <v>58</v>
      </c>
      <c r="G2701" s="1">
        <v>24853</v>
      </c>
      <c r="H2701" t="s">
        <v>6127</v>
      </c>
      <c r="I2701" s="2" t="str">
        <f t="shared" si="42"/>
        <v>+91-8763296065</v>
      </c>
      <c r="J2701">
        <f>91-8763296156</f>
        <v>-8763296065</v>
      </c>
      <c r="K2701" t="s">
        <v>202</v>
      </c>
      <c r="L2701" t="s">
        <v>191</v>
      </c>
      <c r="M2701">
        <v>518626</v>
      </c>
      <c r="N2701" s="1">
        <v>45343</v>
      </c>
      <c r="O2701" t="s">
        <v>28</v>
      </c>
      <c r="P2701">
        <v>5</v>
      </c>
      <c r="Q2701">
        <v>53526.34</v>
      </c>
    </row>
    <row r="2702" spans="1:17" x14ac:dyDescent="0.3">
      <c r="A2702" t="s">
        <v>6128</v>
      </c>
      <c r="B2702" t="s">
        <v>1980</v>
      </c>
      <c r="C2702" s="2" t="str">
        <f>PROPER(TRIM(Table1[[#This Row],[Gender]]))</f>
        <v>Male</v>
      </c>
      <c r="D2702" t="s">
        <v>16</v>
      </c>
      <c r="E2702">
        <v>33</v>
      </c>
      <c r="F2702" t="s">
        <v>31</v>
      </c>
      <c r="G2702" s="1">
        <v>33613</v>
      </c>
      <c r="H2702" t="s">
        <v>6129</v>
      </c>
      <c r="I2702" s="2" t="str">
        <f t="shared" si="42"/>
        <v>+91-7162445378</v>
      </c>
      <c r="J2702">
        <f>91-7162445469</f>
        <v>-7162445378</v>
      </c>
      <c r="K2702" t="s">
        <v>239</v>
      </c>
      <c r="L2702" t="s">
        <v>191</v>
      </c>
      <c r="M2702">
        <v>327687</v>
      </c>
      <c r="N2702" s="1">
        <v>45308</v>
      </c>
      <c r="O2702" t="s">
        <v>28</v>
      </c>
      <c r="P2702">
        <v>5</v>
      </c>
      <c r="Q2702">
        <v>230582.74</v>
      </c>
    </row>
    <row r="2703" spans="1:17" x14ac:dyDescent="0.3">
      <c r="A2703" t="s">
        <v>6130</v>
      </c>
      <c r="B2703" t="s">
        <v>1970</v>
      </c>
      <c r="C2703" s="2" t="str">
        <f>PROPER(TRIM(Table1[[#This Row],[Gender]]))</f>
        <v>Female</v>
      </c>
      <c r="D2703" t="s">
        <v>43</v>
      </c>
      <c r="E2703">
        <v>47</v>
      </c>
      <c r="F2703" t="s">
        <v>17</v>
      </c>
      <c r="G2703" s="1">
        <v>28503</v>
      </c>
      <c r="H2703" t="s">
        <v>6131</v>
      </c>
      <c r="I2703" s="2" t="str">
        <f t="shared" si="42"/>
        <v>+91-7384029790</v>
      </c>
      <c r="J2703">
        <f>91-7384029881</f>
        <v>-7384029790</v>
      </c>
      <c r="K2703" t="s">
        <v>33</v>
      </c>
      <c r="L2703" t="s">
        <v>34</v>
      </c>
      <c r="M2703">
        <v>674390</v>
      </c>
      <c r="N2703" s="1">
        <v>45389</v>
      </c>
      <c r="O2703" t="s">
        <v>35</v>
      </c>
      <c r="P2703">
        <v>4</v>
      </c>
      <c r="Q2703">
        <v>5763.94</v>
      </c>
    </row>
    <row r="2704" spans="1:17" x14ac:dyDescent="0.3">
      <c r="A2704" t="s">
        <v>6132</v>
      </c>
      <c r="B2704" t="s">
        <v>1781</v>
      </c>
      <c r="C2704" s="2" t="str">
        <f>PROPER(TRIM(Table1[[#This Row],[Gender]]))</f>
        <v>Male</v>
      </c>
      <c r="D2704" t="s">
        <v>16</v>
      </c>
      <c r="E2704">
        <v>19</v>
      </c>
      <c r="F2704" t="s">
        <v>49</v>
      </c>
      <c r="G2704" s="1">
        <v>38723</v>
      </c>
      <c r="H2704" t="s">
        <v>6133</v>
      </c>
      <c r="I2704" s="2" t="str">
        <f t="shared" si="42"/>
        <v>+91-8488083238</v>
      </c>
      <c r="J2704">
        <f>91-8488083329</f>
        <v>-8488083238</v>
      </c>
      <c r="K2704" t="s">
        <v>60</v>
      </c>
      <c r="L2704" t="s">
        <v>34</v>
      </c>
      <c r="M2704">
        <v>381140</v>
      </c>
      <c r="N2704" s="1">
        <v>45260</v>
      </c>
      <c r="O2704" t="s">
        <v>21</v>
      </c>
      <c r="P2704">
        <v>4</v>
      </c>
      <c r="Q2704">
        <v>33588.46</v>
      </c>
    </row>
    <row r="2705" spans="1:17" x14ac:dyDescent="0.3">
      <c r="A2705" t="s">
        <v>6134</v>
      </c>
      <c r="B2705" t="s">
        <v>2568</v>
      </c>
      <c r="C2705" s="2" t="str">
        <f>PROPER(TRIM(Table1[[#This Row],[Gender]]))</f>
        <v>Male</v>
      </c>
      <c r="D2705" t="s">
        <v>16</v>
      </c>
      <c r="E2705">
        <v>23</v>
      </c>
      <c r="F2705" t="s">
        <v>49</v>
      </c>
      <c r="G2705" s="1">
        <v>37263</v>
      </c>
      <c r="H2705" t="s">
        <v>6135</v>
      </c>
      <c r="I2705" s="2" t="str">
        <f t="shared" si="42"/>
        <v>+91-9246360437</v>
      </c>
      <c r="J2705">
        <f>91-9246360528</f>
        <v>-9246360437</v>
      </c>
      <c r="K2705" t="s">
        <v>89</v>
      </c>
      <c r="L2705" t="s">
        <v>90</v>
      </c>
      <c r="M2705">
        <v>411406</v>
      </c>
      <c r="N2705" s="1">
        <v>45305</v>
      </c>
      <c r="O2705" t="s">
        <v>28</v>
      </c>
      <c r="P2705">
        <v>3</v>
      </c>
      <c r="Q2705">
        <v>74248.740000000005</v>
      </c>
    </row>
    <row r="2706" spans="1:17" x14ac:dyDescent="0.3">
      <c r="A2706" t="s">
        <v>6136</v>
      </c>
      <c r="B2706" t="s">
        <v>1330</v>
      </c>
      <c r="C2706" s="2" t="str">
        <f>PROPER(TRIM(Table1[[#This Row],[Gender]]))</f>
        <v>Male</v>
      </c>
      <c r="D2706" t="s">
        <v>16</v>
      </c>
      <c r="E2706">
        <v>20</v>
      </c>
      <c r="F2706" t="s">
        <v>49</v>
      </c>
      <c r="G2706" s="1">
        <v>38358</v>
      </c>
      <c r="H2706" t="s">
        <v>5581</v>
      </c>
      <c r="I2706" s="2" t="str">
        <f t="shared" si="42"/>
        <v>+91-7034528757</v>
      </c>
      <c r="J2706">
        <f>91-7034528848</f>
        <v>-7034528757</v>
      </c>
      <c r="K2706" t="s">
        <v>165</v>
      </c>
      <c r="L2706" t="s">
        <v>52</v>
      </c>
      <c r="M2706">
        <v>163254</v>
      </c>
      <c r="N2706" s="1">
        <v>45119</v>
      </c>
      <c r="O2706" t="s">
        <v>28</v>
      </c>
      <c r="P2706">
        <v>8</v>
      </c>
      <c r="Q2706">
        <v>285843.3</v>
      </c>
    </row>
    <row r="2707" spans="1:17" x14ac:dyDescent="0.3">
      <c r="A2707" t="s">
        <v>6137</v>
      </c>
      <c r="B2707" t="s">
        <v>4080</v>
      </c>
      <c r="C2707" s="2" t="str">
        <f>PROPER(TRIM(Table1[[#This Row],[Gender]]))</f>
        <v>Male</v>
      </c>
      <c r="D2707" t="s">
        <v>16</v>
      </c>
      <c r="E2707">
        <v>36</v>
      </c>
      <c r="F2707" t="s">
        <v>38</v>
      </c>
      <c r="G2707" s="1">
        <v>32518</v>
      </c>
      <c r="H2707" t="s">
        <v>6138</v>
      </c>
      <c r="I2707" s="2" t="str">
        <f t="shared" si="42"/>
        <v>+91-8099515156</v>
      </c>
      <c r="J2707">
        <f>91-8099515247</f>
        <v>-8099515156</v>
      </c>
      <c r="K2707" t="s">
        <v>40</v>
      </c>
      <c r="L2707" t="s">
        <v>27</v>
      </c>
      <c r="M2707">
        <v>714564</v>
      </c>
      <c r="N2707" s="1">
        <v>45179</v>
      </c>
      <c r="O2707" t="s">
        <v>28</v>
      </c>
      <c r="P2707">
        <v>6</v>
      </c>
      <c r="Q2707">
        <v>157584.51999999999</v>
      </c>
    </row>
    <row r="2708" spans="1:17" x14ac:dyDescent="0.3">
      <c r="A2708" t="s">
        <v>6139</v>
      </c>
      <c r="B2708" t="s">
        <v>1068</v>
      </c>
      <c r="C2708" s="2" t="str">
        <f>PROPER(TRIM(Table1[[#This Row],[Gender]]))</f>
        <v>Male</v>
      </c>
      <c r="D2708" t="s">
        <v>16</v>
      </c>
      <c r="E2708">
        <v>65</v>
      </c>
      <c r="F2708" t="s">
        <v>58</v>
      </c>
      <c r="G2708" s="1">
        <v>21933</v>
      </c>
      <c r="H2708" t="s">
        <v>6140</v>
      </c>
      <c r="I2708" s="2" t="str">
        <f t="shared" si="42"/>
        <v>+91-8049175759</v>
      </c>
      <c r="J2708">
        <f>91-8049175850</f>
        <v>-8049175759</v>
      </c>
      <c r="K2708" t="s">
        <v>76</v>
      </c>
      <c r="L2708" t="s">
        <v>46</v>
      </c>
      <c r="M2708">
        <v>212870</v>
      </c>
      <c r="N2708" s="1">
        <v>45397</v>
      </c>
      <c r="O2708" t="s">
        <v>21</v>
      </c>
      <c r="P2708">
        <v>2</v>
      </c>
      <c r="Q2708">
        <v>20162.900000000001</v>
      </c>
    </row>
    <row r="2709" spans="1:17" x14ac:dyDescent="0.3">
      <c r="A2709" t="s">
        <v>6141</v>
      </c>
      <c r="B2709" t="s">
        <v>1419</v>
      </c>
      <c r="C2709" s="2" t="str">
        <f>PROPER(TRIM(Table1[[#This Row],[Gender]]))</f>
        <v>Female</v>
      </c>
      <c r="D2709" t="s">
        <v>43</v>
      </c>
      <c r="E2709">
        <v>22</v>
      </c>
      <c r="F2709" t="s">
        <v>49</v>
      </c>
      <c r="G2709" s="1">
        <v>37628</v>
      </c>
      <c r="H2709" t="s">
        <v>6142</v>
      </c>
      <c r="I2709" s="2" t="str">
        <f t="shared" si="42"/>
        <v>+91-9667025208</v>
      </c>
      <c r="J2709">
        <f>91-9667025299</f>
        <v>-9667025208</v>
      </c>
      <c r="K2709" t="s">
        <v>165</v>
      </c>
      <c r="L2709" t="s">
        <v>52</v>
      </c>
      <c r="M2709">
        <v>864791</v>
      </c>
      <c r="N2709" s="1">
        <v>45086</v>
      </c>
      <c r="O2709" t="s">
        <v>28</v>
      </c>
      <c r="P2709">
        <v>2</v>
      </c>
      <c r="Q2709">
        <v>91541.38</v>
      </c>
    </row>
    <row r="2710" spans="1:17" x14ac:dyDescent="0.3">
      <c r="A2710" t="s">
        <v>6143</v>
      </c>
      <c r="B2710" t="s">
        <v>6144</v>
      </c>
      <c r="C2710" s="2" t="str">
        <f>PROPER(TRIM(Table1[[#This Row],[Gender]]))</f>
        <v>Female</v>
      </c>
      <c r="D2710" t="s">
        <v>43</v>
      </c>
      <c r="E2710">
        <v>37</v>
      </c>
      <c r="F2710" t="s">
        <v>38</v>
      </c>
      <c r="G2710" s="1">
        <v>32153</v>
      </c>
      <c r="H2710" t="s">
        <v>6145</v>
      </c>
      <c r="I2710" s="2" t="str">
        <f t="shared" si="42"/>
        <v>+91-7924229599</v>
      </c>
      <c r="J2710">
        <f>91-7924229690</f>
        <v>-7924229599</v>
      </c>
      <c r="K2710" t="s">
        <v>165</v>
      </c>
      <c r="L2710" t="s">
        <v>52</v>
      </c>
      <c r="M2710">
        <v>818755</v>
      </c>
      <c r="N2710" s="1">
        <v>45258</v>
      </c>
      <c r="O2710" t="s">
        <v>28</v>
      </c>
      <c r="P2710">
        <v>10</v>
      </c>
      <c r="Q2710">
        <v>199451.4</v>
      </c>
    </row>
    <row r="2711" spans="1:17" x14ac:dyDescent="0.3">
      <c r="A2711" t="s">
        <v>6146</v>
      </c>
      <c r="B2711" t="s">
        <v>1691</v>
      </c>
      <c r="C2711" s="2" t="str">
        <f>PROPER(TRIM(Table1[[#This Row],[Gender]]))</f>
        <v>Female</v>
      </c>
      <c r="D2711" t="s">
        <v>43</v>
      </c>
      <c r="E2711">
        <v>19</v>
      </c>
      <c r="F2711" t="s">
        <v>49</v>
      </c>
      <c r="G2711" s="1">
        <v>38723</v>
      </c>
      <c r="H2711" t="s">
        <v>6147</v>
      </c>
      <c r="I2711" s="2" t="str">
        <f t="shared" si="42"/>
        <v>+91-9620114948</v>
      </c>
      <c r="J2711">
        <f>91-9620115039</f>
        <v>-9620114948</v>
      </c>
      <c r="K2711" t="s">
        <v>80</v>
      </c>
      <c r="L2711" t="s">
        <v>20</v>
      </c>
      <c r="M2711">
        <v>211437</v>
      </c>
      <c r="N2711" s="1">
        <v>45408</v>
      </c>
      <c r="O2711" t="s">
        <v>28</v>
      </c>
      <c r="P2711">
        <v>5</v>
      </c>
      <c r="Q2711">
        <v>315614.07</v>
      </c>
    </row>
    <row r="2712" spans="1:17" x14ac:dyDescent="0.3">
      <c r="A2712" t="s">
        <v>6148</v>
      </c>
      <c r="B2712" t="s">
        <v>5880</v>
      </c>
      <c r="C2712" s="2" t="str">
        <f>PROPER(TRIM(Table1[[#This Row],[Gender]]))</f>
        <v>Male</v>
      </c>
      <c r="D2712" t="s">
        <v>16</v>
      </c>
      <c r="E2712">
        <v>34</v>
      </c>
      <c r="F2712" t="s">
        <v>31</v>
      </c>
      <c r="G2712" s="1">
        <v>33248</v>
      </c>
      <c r="H2712" t="s">
        <v>6149</v>
      </c>
      <c r="I2712" s="2" t="str">
        <f t="shared" si="42"/>
        <v>+91-9289659573</v>
      </c>
      <c r="J2712">
        <f>91-9289659664</f>
        <v>-9289659573</v>
      </c>
      <c r="K2712" t="s">
        <v>178</v>
      </c>
      <c r="L2712" t="s">
        <v>27</v>
      </c>
      <c r="M2712">
        <v>475651</v>
      </c>
      <c r="N2712" s="1">
        <v>45118</v>
      </c>
      <c r="O2712" t="s">
        <v>28</v>
      </c>
      <c r="P2712">
        <v>3</v>
      </c>
      <c r="Q2712">
        <v>66173.69</v>
      </c>
    </row>
    <row r="2713" spans="1:17" x14ac:dyDescent="0.3">
      <c r="A2713" t="s">
        <v>6150</v>
      </c>
      <c r="B2713" t="s">
        <v>2210</v>
      </c>
      <c r="C2713" s="2" t="str">
        <f>PROPER(TRIM(Table1[[#This Row],[Gender]]))</f>
        <v>Female</v>
      </c>
      <c r="D2713" t="s">
        <v>43</v>
      </c>
      <c r="E2713">
        <v>40</v>
      </c>
      <c r="F2713" t="s">
        <v>38</v>
      </c>
      <c r="G2713" s="1">
        <v>31058</v>
      </c>
      <c r="H2713" t="s">
        <v>6151</v>
      </c>
      <c r="I2713" s="2" t="str">
        <f t="shared" si="42"/>
        <v>+91-9363770386</v>
      </c>
      <c r="J2713">
        <f>91-9363770477</f>
        <v>-9363770386</v>
      </c>
      <c r="K2713" t="s">
        <v>19</v>
      </c>
      <c r="L2713" t="s">
        <v>20</v>
      </c>
      <c r="M2713">
        <v>599832</v>
      </c>
      <c r="N2713" s="1">
        <v>45289</v>
      </c>
      <c r="O2713" t="s">
        <v>21</v>
      </c>
      <c r="P2713">
        <v>5</v>
      </c>
      <c r="Q2713">
        <v>22473.16</v>
      </c>
    </row>
    <row r="2714" spans="1:17" x14ac:dyDescent="0.3">
      <c r="A2714" t="s">
        <v>6152</v>
      </c>
      <c r="B2714" t="s">
        <v>1608</v>
      </c>
      <c r="C2714" s="2" t="str">
        <f>PROPER(TRIM(Table1[[#This Row],[Gender]]))</f>
        <v>Male</v>
      </c>
      <c r="D2714" t="s">
        <v>16</v>
      </c>
      <c r="E2714">
        <v>33</v>
      </c>
      <c r="F2714" t="s">
        <v>31</v>
      </c>
      <c r="G2714" s="1">
        <v>33613</v>
      </c>
      <c r="H2714" t="s">
        <v>6153</v>
      </c>
      <c r="I2714" s="2" t="str">
        <f t="shared" si="42"/>
        <v>+91-9920970690</v>
      </c>
      <c r="J2714">
        <f>91-9920970781</f>
        <v>-9920970690</v>
      </c>
      <c r="K2714" t="s">
        <v>174</v>
      </c>
      <c r="L2714" t="s">
        <v>90</v>
      </c>
      <c r="M2714">
        <v>412644</v>
      </c>
      <c r="N2714" s="1">
        <v>45428</v>
      </c>
      <c r="O2714" t="s">
        <v>21</v>
      </c>
      <c r="P2714">
        <v>5</v>
      </c>
      <c r="Q2714">
        <v>44256.6</v>
      </c>
    </row>
    <row r="2715" spans="1:17" x14ac:dyDescent="0.3">
      <c r="A2715" t="s">
        <v>6154</v>
      </c>
      <c r="B2715" t="s">
        <v>380</v>
      </c>
      <c r="C2715" s="2" t="str">
        <f>PROPER(TRIM(Table1[[#This Row],[Gender]]))</f>
        <v>Male</v>
      </c>
      <c r="D2715" t="s">
        <v>16</v>
      </c>
      <c r="E2715">
        <v>34</v>
      </c>
      <c r="F2715" t="s">
        <v>31</v>
      </c>
      <c r="G2715" s="1">
        <v>33248</v>
      </c>
      <c r="H2715" t="s">
        <v>6155</v>
      </c>
      <c r="I2715" s="2" t="str">
        <f t="shared" si="42"/>
        <v>+91-7358020525</v>
      </c>
      <c r="J2715">
        <f>91-7358020616</f>
        <v>-7358020525</v>
      </c>
      <c r="K2715" t="s">
        <v>178</v>
      </c>
      <c r="L2715" t="s">
        <v>27</v>
      </c>
      <c r="M2715">
        <v>961922</v>
      </c>
      <c r="N2715" s="1">
        <v>45195</v>
      </c>
      <c r="O2715" t="s">
        <v>28</v>
      </c>
      <c r="P2715">
        <v>4</v>
      </c>
      <c r="Q2715">
        <v>135586.53</v>
      </c>
    </row>
    <row r="2716" spans="1:17" x14ac:dyDescent="0.3">
      <c r="A2716" t="s">
        <v>6156</v>
      </c>
      <c r="B2716" t="s">
        <v>295</v>
      </c>
      <c r="C2716" s="2" t="str">
        <f>PROPER(TRIM(Table1[[#This Row],[Gender]]))</f>
        <v>Male</v>
      </c>
      <c r="D2716" t="s">
        <v>16</v>
      </c>
      <c r="E2716">
        <v>52</v>
      </c>
      <c r="F2716" t="s">
        <v>17</v>
      </c>
      <c r="G2716" s="1">
        <v>26678</v>
      </c>
      <c r="H2716" t="s">
        <v>3888</v>
      </c>
      <c r="I2716" s="2" t="str">
        <f t="shared" si="42"/>
        <v>+91-9802487645</v>
      </c>
      <c r="J2716">
        <f>91-9802487736</f>
        <v>-9802487645</v>
      </c>
      <c r="K2716" t="s">
        <v>76</v>
      </c>
      <c r="L2716" t="s">
        <v>46</v>
      </c>
      <c r="M2716">
        <v>986393</v>
      </c>
      <c r="N2716" s="1">
        <v>45440</v>
      </c>
      <c r="O2716" t="s">
        <v>28</v>
      </c>
      <c r="P2716">
        <v>9</v>
      </c>
      <c r="Q2716">
        <v>131769.64000000001</v>
      </c>
    </row>
    <row r="2717" spans="1:17" x14ac:dyDescent="0.3">
      <c r="A2717" t="s">
        <v>6157</v>
      </c>
      <c r="B2717" t="s">
        <v>1362</v>
      </c>
      <c r="C2717" s="2" t="str">
        <f>PROPER(TRIM(Table1[[#This Row],[Gender]]))</f>
        <v>Female</v>
      </c>
      <c r="D2717" t="s">
        <v>43</v>
      </c>
      <c r="E2717">
        <v>28</v>
      </c>
      <c r="F2717" t="s">
        <v>31</v>
      </c>
      <c r="G2717" s="1">
        <v>35438</v>
      </c>
      <c r="H2717" t="s">
        <v>6158</v>
      </c>
      <c r="I2717" s="2" t="str">
        <f t="shared" si="42"/>
        <v>+91-9194232220</v>
      </c>
      <c r="J2717">
        <f>91-9194232311</f>
        <v>-9194232220</v>
      </c>
      <c r="K2717" t="s">
        <v>45</v>
      </c>
      <c r="L2717" t="s">
        <v>46</v>
      </c>
      <c r="M2717">
        <v>134064</v>
      </c>
      <c r="N2717" s="1">
        <v>45176</v>
      </c>
      <c r="O2717" t="s">
        <v>28</v>
      </c>
      <c r="P2717">
        <v>6</v>
      </c>
      <c r="Q2717">
        <v>312850.12</v>
      </c>
    </row>
    <row r="2718" spans="1:17" x14ac:dyDescent="0.3">
      <c r="A2718" t="s">
        <v>6159</v>
      </c>
      <c r="B2718" t="s">
        <v>6160</v>
      </c>
      <c r="C2718" s="2" t="str">
        <f>PROPER(TRIM(Table1[[#This Row],[Gender]]))</f>
        <v>Male</v>
      </c>
      <c r="D2718" t="s">
        <v>16</v>
      </c>
      <c r="E2718">
        <v>19</v>
      </c>
      <c r="F2718" t="s">
        <v>49</v>
      </c>
      <c r="G2718" s="1">
        <v>38723</v>
      </c>
      <c r="H2718" t="s">
        <v>6161</v>
      </c>
      <c r="I2718" s="2" t="str">
        <f t="shared" si="42"/>
        <v>+91-8847554284</v>
      </c>
      <c r="J2718">
        <f>91-8847554375</f>
        <v>-8847554284</v>
      </c>
      <c r="K2718" t="s">
        <v>369</v>
      </c>
      <c r="L2718" t="s">
        <v>191</v>
      </c>
      <c r="M2718">
        <v>516924</v>
      </c>
      <c r="N2718" s="1">
        <v>45256</v>
      </c>
      <c r="O2718" t="s">
        <v>28</v>
      </c>
      <c r="P2718">
        <v>7</v>
      </c>
      <c r="Q2718">
        <v>145815.19</v>
      </c>
    </row>
    <row r="2719" spans="1:17" x14ac:dyDescent="0.3">
      <c r="A2719" t="s">
        <v>6162</v>
      </c>
      <c r="B2719" t="s">
        <v>1694</v>
      </c>
      <c r="C2719" s="2" t="str">
        <f>PROPER(TRIM(Table1[[#This Row],[Gender]]))</f>
        <v>Female</v>
      </c>
      <c r="D2719" t="s">
        <v>43</v>
      </c>
      <c r="E2719">
        <v>34</v>
      </c>
      <c r="F2719" t="s">
        <v>31</v>
      </c>
      <c r="G2719" s="1">
        <v>33248</v>
      </c>
      <c r="H2719" t="s">
        <v>3044</v>
      </c>
      <c r="I2719" s="2" t="str">
        <f t="shared" si="42"/>
        <v>+91-9484328796</v>
      </c>
      <c r="J2719">
        <f>91-9484328887</f>
        <v>-9484328796</v>
      </c>
      <c r="K2719" t="s">
        <v>40</v>
      </c>
      <c r="L2719" t="s">
        <v>27</v>
      </c>
      <c r="M2719">
        <v>767299</v>
      </c>
      <c r="N2719" s="1">
        <v>45383</v>
      </c>
      <c r="O2719" t="s">
        <v>35</v>
      </c>
      <c r="P2719">
        <v>0</v>
      </c>
      <c r="Q2719">
        <v>0</v>
      </c>
    </row>
    <row r="2720" spans="1:17" x14ac:dyDescent="0.3">
      <c r="A2720" t="s">
        <v>6163</v>
      </c>
      <c r="B2720" t="s">
        <v>1136</v>
      </c>
      <c r="C2720" s="2" t="str">
        <f>PROPER(TRIM(Table1[[#This Row],[Gender]]))</f>
        <v>Male</v>
      </c>
      <c r="D2720" t="s">
        <v>16</v>
      </c>
      <c r="E2720">
        <v>26</v>
      </c>
      <c r="F2720" t="s">
        <v>31</v>
      </c>
      <c r="G2720" s="1">
        <v>36168</v>
      </c>
      <c r="H2720" t="s">
        <v>3407</v>
      </c>
      <c r="I2720" s="2" t="str">
        <f t="shared" si="42"/>
        <v>+91-8793495653</v>
      </c>
      <c r="J2720">
        <f>91-8793495744</f>
        <v>-8793495653</v>
      </c>
      <c r="K2720" t="s">
        <v>26</v>
      </c>
      <c r="L2720" t="s">
        <v>27</v>
      </c>
      <c r="M2720">
        <v>109577</v>
      </c>
      <c r="N2720" s="1">
        <v>45358</v>
      </c>
      <c r="O2720" t="s">
        <v>21</v>
      </c>
      <c r="P2720">
        <v>3</v>
      </c>
      <c r="Q2720">
        <v>48155.74</v>
      </c>
    </row>
    <row r="2721" spans="1:17" x14ac:dyDescent="0.3">
      <c r="A2721" t="s">
        <v>6164</v>
      </c>
      <c r="B2721" t="s">
        <v>2024</v>
      </c>
      <c r="C2721" s="2" t="str">
        <f>PROPER(TRIM(Table1[[#This Row],[Gender]]))</f>
        <v>Female</v>
      </c>
      <c r="D2721" t="s">
        <v>43</v>
      </c>
      <c r="E2721">
        <v>49</v>
      </c>
      <c r="F2721" t="s">
        <v>17</v>
      </c>
      <c r="G2721" s="1">
        <v>27773</v>
      </c>
      <c r="H2721" t="s">
        <v>6165</v>
      </c>
      <c r="I2721" s="2" t="str">
        <f t="shared" si="42"/>
        <v>+91-9017519067</v>
      </c>
      <c r="J2721">
        <f>91-9017519158</f>
        <v>-9017519067</v>
      </c>
      <c r="K2721" t="s">
        <v>60</v>
      </c>
      <c r="L2721" t="s">
        <v>34</v>
      </c>
      <c r="M2721">
        <v>690457</v>
      </c>
      <c r="N2721" s="1">
        <v>45136</v>
      </c>
      <c r="O2721" t="s">
        <v>35</v>
      </c>
      <c r="P2721">
        <v>2</v>
      </c>
      <c r="Q2721">
        <v>19659.23</v>
      </c>
    </row>
    <row r="2722" spans="1:17" x14ac:dyDescent="0.3">
      <c r="A2722" t="s">
        <v>6166</v>
      </c>
      <c r="B2722" t="s">
        <v>628</v>
      </c>
      <c r="C2722" s="2" t="str">
        <f>PROPER(TRIM(Table1[[#This Row],[Gender]]))</f>
        <v>Male</v>
      </c>
      <c r="D2722" t="s">
        <v>16</v>
      </c>
      <c r="E2722">
        <v>61</v>
      </c>
      <c r="F2722" t="s">
        <v>58</v>
      </c>
      <c r="G2722" s="1">
        <v>23393</v>
      </c>
      <c r="H2722" t="s">
        <v>629</v>
      </c>
      <c r="I2722" s="2" t="str">
        <f t="shared" si="42"/>
        <v>+91-8434245224</v>
      </c>
      <c r="J2722">
        <f>91-8434245315</f>
        <v>-8434245224</v>
      </c>
      <c r="K2722" t="s">
        <v>26</v>
      </c>
      <c r="L2722" t="s">
        <v>27</v>
      </c>
      <c r="M2722">
        <v>567187</v>
      </c>
      <c r="N2722" s="1">
        <v>45169</v>
      </c>
      <c r="O2722" t="s">
        <v>28</v>
      </c>
      <c r="P2722">
        <v>7</v>
      </c>
      <c r="Q2722">
        <v>73630.97</v>
      </c>
    </row>
    <row r="2723" spans="1:17" x14ac:dyDescent="0.3">
      <c r="A2723" t="s">
        <v>6167</v>
      </c>
      <c r="B2723" t="s">
        <v>1283</v>
      </c>
      <c r="C2723" s="2" t="str">
        <f>PROPER(TRIM(Table1[[#This Row],[Gender]]))</f>
        <v>Female</v>
      </c>
      <c r="D2723" t="s">
        <v>43</v>
      </c>
      <c r="E2723">
        <v>49</v>
      </c>
      <c r="F2723" t="s">
        <v>17</v>
      </c>
      <c r="G2723" s="1">
        <v>27773</v>
      </c>
      <c r="H2723" t="s">
        <v>6168</v>
      </c>
      <c r="I2723" s="2" t="str">
        <f t="shared" si="42"/>
        <v>+91-7022986001</v>
      </c>
      <c r="J2723">
        <f>91-7022986092</f>
        <v>-7022986001</v>
      </c>
      <c r="K2723" t="s">
        <v>109</v>
      </c>
      <c r="L2723" t="s">
        <v>46</v>
      </c>
      <c r="M2723">
        <v>257364</v>
      </c>
      <c r="N2723" s="1">
        <v>45337</v>
      </c>
      <c r="O2723" t="s">
        <v>21</v>
      </c>
      <c r="P2723">
        <v>8</v>
      </c>
      <c r="Q2723">
        <v>37420.089999999997</v>
      </c>
    </row>
    <row r="2724" spans="1:17" x14ac:dyDescent="0.3">
      <c r="A2724" t="s">
        <v>6169</v>
      </c>
      <c r="B2724" t="s">
        <v>1989</v>
      </c>
      <c r="C2724" s="2" t="str">
        <f>PROPER(TRIM(Table1[[#This Row],[Gender]]))</f>
        <v>Female</v>
      </c>
      <c r="D2724" t="s">
        <v>43</v>
      </c>
      <c r="E2724">
        <v>46</v>
      </c>
      <c r="F2724" t="s">
        <v>17</v>
      </c>
      <c r="G2724" s="1">
        <v>28868</v>
      </c>
      <c r="H2724" t="s">
        <v>6170</v>
      </c>
      <c r="I2724" s="2" t="str">
        <f t="shared" si="42"/>
        <v>+91-8279551829</v>
      </c>
      <c r="J2724">
        <f>91-8279551920</f>
        <v>-8279551829</v>
      </c>
      <c r="K2724" t="s">
        <v>202</v>
      </c>
      <c r="L2724" t="s">
        <v>191</v>
      </c>
      <c r="M2724">
        <v>726859</v>
      </c>
      <c r="N2724" s="1">
        <v>45170</v>
      </c>
      <c r="O2724" t="s">
        <v>21</v>
      </c>
      <c r="P2724">
        <v>5</v>
      </c>
      <c r="Q2724">
        <v>37261.56</v>
      </c>
    </row>
    <row r="2725" spans="1:17" x14ac:dyDescent="0.3">
      <c r="A2725" t="s">
        <v>6171</v>
      </c>
      <c r="B2725" t="s">
        <v>3398</v>
      </c>
      <c r="C2725" s="2" t="str">
        <f>PROPER(TRIM(Table1[[#This Row],[Gender]]))</f>
        <v>Male</v>
      </c>
      <c r="D2725" t="s">
        <v>16</v>
      </c>
      <c r="E2725">
        <v>32</v>
      </c>
      <c r="F2725" t="s">
        <v>31</v>
      </c>
      <c r="G2725" s="1">
        <v>33978</v>
      </c>
      <c r="H2725" t="s">
        <v>6172</v>
      </c>
      <c r="I2725" s="2" t="str">
        <f t="shared" si="42"/>
        <v>+91-8287345694</v>
      </c>
      <c r="J2725">
        <f>91-8287345785</f>
        <v>-8287345694</v>
      </c>
      <c r="K2725" t="s">
        <v>178</v>
      </c>
      <c r="L2725" t="s">
        <v>27</v>
      </c>
      <c r="M2725">
        <v>817218</v>
      </c>
      <c r="N2725" s="1">
        <v>45291</v>
      </c>
      <c r="O2725" t="s">
        <v>28</v>
      </c>
      <c r="P2725">
        <v>3</v>
      </c>
      <c r="Q2725">
        <v>62051.49</v>
      </c>
    </row>
    <row r="2726" spans="1:17" x14ac:dyDescent="0.3">
      <c r="A2726" t="s">
        <v>6173</v>
      </c>
      <c r="B2726" t="s">
        <v>2739</v>
      </c>
      <c r="C2726" s="2" t="str">
        <f>PROPER(TRIM(Table1[[#This Row],[Gender]]))</f>
        <v>Female</v>
      </c>
      <c r="D2726" t="s">
        <v>43</v>
      </c>
      <c r="E2726">
        <v>20</v>
      </c>
      <c r="F2726" t="s">
        <v>49</v>
      </c>
      <c r="G2726" s="1">
        <v>38358</v>
      </c>
      <c r="H2726" t="s">
        <v>5579</v>
      </c>
      <c r="I2726" s="2" t="str">
        <f t="shared" si="42"/>
        <v>+91-8810178246</v>
      </c>
      <c r="J2726">
        <f>91-8810178337</f>
        <v>-8810178246</v>
      </c>
      <c r="K2726" t="s">
        <v>113</v>
      </c>
      <c r="L2726" t="s">
        <v>34</v>
      </c>
      <c r="M2726">
        <v>539291</v>
      </c>
      <c r="N2726" s="1">
        <v>45366</v>
      </c>
      <c r="O2726" t="s">
        <v>28</v>
      </c>
      <c r="P2726">
        <v>7</v>
      </c>
      <c r="Q2726">
        <v>428968.46</v>
      </c>
    </row>
    <row r="2727" spans="1:17" x14ac:dyDescent="0.3">
      <c r="A2727" t="s">
        <v>6174</v>
      </c>
      <c r="B2727" t="s">
        <v>234</v>
      </c>
      <c r="C2727" s="2" t="str">
        <f>PROPER(TRIM(Table1[[#This Row],[Gender]]))</f>
        <v>Female</v>
      </c>
      <c r="D2727" t="s">
        <v>43</v>
      </c>
      <c r="E2727">
        <v>23</v>
      </c>
      <c r="F2727" t="s">
        <v>49</v>
      </c>
      <c r="G2727" s="1">
        <v>37263</v>
      </c>
      <c r="H2727" t="s">
        <v>6175</v>
      </c>
      <c r="I2727" s="2" t="str">
        <f t="shared" si="42"/>
        <v>+91-8158988071</v>
      </c>
      <c r="J2727">
        <f>91-8158988162</f>
        <v>-8158988071</v>
      </c>
      <c r="K2727" t="s">
        <v>369</v>
      </c>
      <c r="L2727" t="s">
        <v>191</v>
      </c>
      <c r="M2727">
        <v>124307</v>
      </c>
      <c r="N2727" s="1">
        <v>45326</v>
      </c>
      <c r="O2727" t="s">
        <v>28</v>
      </c>
      <c r="P2727">
        <v>3</v>
      </c>
      <c r="Q2727">
        <v>61200.85</v>
      </c>
    </row>
    <row r="2728" spans="1:17" x14ac:dyDescent="0.3">
      <c r="A2728" t="s">
        <v>6176</v>
      </c>
      <c r="B2728" t="s">
        <v>6177</v>
      </c>
      <c r="C2728" s="2" t="str">
        <f>PROPER(TRIM(Table1[[#This Row],[Gender]]))</f>
        <v>Male</v>
      </c>
      <c r="D2728" t="s">
        <v>16</v>
      </c>
      <c r="E2728">
        <v>43</v>
      </c>
      <c r="F2728" t="s">
        <v>38</v>
      </c>
      <c r="G2728" s="1">
        <v>29963</v>
      </c>
      <c r="H2728" t="s">
        <v>6178</v>
      </c>
      <c r="I2728" s="2" t="str">
        <f t="shared" si="42"/>
        <v>+91-9716966322</v>
      </c>
      <c r="J2728">
        <f>91-9716966413</f>
        <v>-9716966322</v>
      </c>
      <c r="K2728" t="s">
        <v>64</v>
      </c>
      <c r="L2728" t="s">
        <v>20</v>
      </c>
      <c r="M2728">
        <v>139011</v>
      </c>
      <c r="N2728" s="1">
        <v>45423</v>
      </c>
      <c r="O2728" t="s">
        <v>28</v>
      </c>
      <c r="P2728">
        <v>7</v>
      </c>
      <c r="Q2728">
        <v>143474.51</v>
      </c>
    </row>
    <row r="2729" spans="1:17" x14ac:dyDescent="0.3">
      <c r="A2729" t="s">
        <v>6179</v>
      </c>
      <c r="B2729" t="s">
        <v>2049</v>
      </c>
      <c r="C2729" s="2" t="str">
        <f>PROPER(TRIM(Table1[[#This Row],[Gender]]))</f>
        <v>Female</v>
      </c>
      <c r="D2729" t="s">
        <v>43</v>
      </c>
      <c r="E2729">
        <v>61</v>
      </c>
      <c r="F2729" t="s">
        <v>58</v>
      </c>
      <c r="G2729" s="1">
        <v>23393</v>
      </c>
      <c r="H2729" t="s">
        <v>6180</v>
      </c>
      <c r="I2729" s="2" t="str">
        <f t="shared" si="42"/>
        <v>+91-9953744757</v>
      </c>
      <c r="J2729">
        <f>91-9953744848</f>
        <v>-9953744757</v>
      </c>
      <c r="K2729" t="s">
        <v>178</v>
      </c>
      <c r="L2729" t="s">
        <v>27</v>
      </c>
      <c r="M2729">
        <v>580416</v>
      </c>
      <c r="N2729" s="1">
        <v>45325</v>
      </c>
      <c r="O2729" t="s">
        <v>28</v>
      </c>
      <c r="P2729">
        <v>4</v>
      </c>
      <c r="Q2729">
        <v>73925.33</v>
      </c>
    </row>
    <row r="2730" spans="1:17" x14ac:dyDescent="0.3">
      <c r="A2730" t="s">
        <v>6181</v>
      </c>
      <c r="B2730" t="s">
        <v>82</v>
      </c>
      <c r="C2730" s="2" t="str">
        <f>PROPER(TRIM(Table1[[#This Row],[Gender]]))</f>
        <v>Female</v>
      </c>
      <c r="D2730" t="s">
        <v>43</v>
      </c>
      <c r="E2730">
        <v>39</v>
      </c>
      <c r="F2730" t="s">
        <v>38</v>
      </c>
      <c r="G2730" s="1">
        <v>31423</v>
      </c>
      <c r="H2730" t="s">
        <v>6182</v>
      </c>
      <c r="I2730" s="2" t="str">
        <f t="shared" si="42"/>
        <v>+91-7899267808</v>
      </c>
      <c r="J2730">
        <f>91-7899267899</f>
        <v>-7899267808</v>
      </c>
      <c r="K2730" t="s">
        <v>154</v>
      </c>
      <c r="L2730" t="s">
        <v>46</v>
      </c>
      <c r="M2730">
        <v>997926</v>
      </c>
      <c r="N2730" s="1">
        <v>45130</v>
      </c>
      <c r="O2730" t="s">
        <v>28</v>
      </c>
      <c r="P2730">
        <v>4</v>
      </c>
      <c r="Q2730">
        <v>232324.08</v>
      </c>
    </row>
    <row r="2731" spans="1:17" x14ac:dyDescent="0.3">
      <c r="A2731" t="s">
        <v>6183</v>
      </c>
      <c r="B2731" t="s">
        <v>1340</v>
      </c>
      <c r="C2731" s="2" t="str">
        <f>PROPER(TRIM(Table1[[#This Row],[Gender]]))</f>
        <v>Female</v>
      </c>
      <c r="D2731" t="s">
        <v>43</v>
      </c>
      <c r="E2731">
        <v>39</v>
      </c>
      <c r="F2731" t="s">
        <v>38</v>
      </c>
      <c r="G2731" s="1">
        <v>31423</v>
      </c>
      <c r="H2731" t="s">
        <v>6184</v>
      </c>
      <c r="I2731" s="2" t="str">
        <f t="shared" si="42"/>
        <v>+91-7220246098</v>
      </c>
      <c r="J2731">
        <f>91-7220246189</f>
        <v>-7220246098</v>
      </c>
      <c r="K2731" t="s">
        <v>161</v>
      </c>
      <c r="L2731" t="s">
        <v>102</v>
      </c>
      <c r="M2731">
        <v>567068</v>
      </c>
      <c r="N2731" s="1">
        <v>45079</v>
      </c>
      <c r="O2731" t="s">
        <v>28</v>
      </c>
      <c r="P2731">
        <v>4</v>
      </c>
      <c r="Q2731">
        <v>90540.72</v>
      </c>
    </row>
    <row r="2732" spans="1:17" x14ac:dyDescent="0.3">
      <c r="A2732" t="s">
        <v>6185</v>
      </c>
      <c r="B2732" t="s">
        <v>62</v>
      </c>
      <c r="C2732" s="2" t="str">
        <f>PROPER(TRIM(Table1[[#This Row],[Gender]]))</f>
        <v>Female</v>
      </c>
      <c r="D2732" t="s">
        <v>43</v>
      </c>
      <c r="E2732">
        <v>62</v>
      </c>
      <c r="F2732" t="s">
        <v>58</v>
      </c>
      <c r="G2732" s="1">
        <v>23028</v>
      </c>
      <c r="H2732" t="s">
        <v>6186</v>
      </c>
      <c r="I2732" s="2" t="str">
        <f t="shared" si="42"/>
        <v>+91-9120308062</v>
      </c>
      <c r="J2732">
        <f>91-9120308153</f>
        <v>-9120308062</v>
      </c>
      <c r="K2732" t="s">
        <v>161</v>
      </c>
      <c r="L2732" t="s">
        <v>102</v>
      </c>
      <c r="M2732">
        <v>259128</v>
      </c>
      <c r="N2732" s="1">
        <v>45361</v>
      </c>
      <c r="O2732" t="s">
        <v>35</v>
      </c>
      <c r="P2732">
        <v>4</v>
      </c>
      <c r="Q2732">
        <v>8468.76</v>
      </c>
    </row>
    <row r="2733" spans="1:17" x14ac:dyDescent="0.3">
      <c r="A2733" t="s">
        <v>6187</v>
      </c>
      <c r="B2733" t="s">
        <v>593</v>
      </c>
      <c r="C2733" s="2" t="str">
        <f>PROPER(TRIM(Table1[[#This Row],[Gender]]))</f>
        <v>Female</v>
      </c>
      <c r="D2733" t="s">
        <v>43</v>
      </c>
      <c r="E2733">
        <v>61</v>
      </c>
      <c r="F2733" t="s">
        <v>58</v>
      </c>
      <c r="G2733" s="1">
        <v>23393</v>
      </c>
      <c r="H2733" t="s">
        <v>6188</v>
      </c>
      <c r="I2733" s="2" t="str">
        <f t="shared" si="42"/>
        <v>+91-9135451676</v>
      </c>
      <c r="J2733">
        <f>91-9135451767</f>
        <v>-9135451676</v>
      </c>
      <c r="K2733" t="s">
        <v>121</v>
      </c>
      <c r="L2733" t="s">
        <v>85</v>
      </c>
      <c r="M2733">
        <v>313730</v>
      </c>
      <c r="N2733" s="1">
        <v>45340</v>
      </c>
      <c r="O2733" t="s">
        <v>28</v>
      </c>
      <c r="P2733">
        <v>9</v>
      </c>
      <c r="Q2733">
        <v>62689.1</v>
      </c>
    </row>
    <row r="2734" spans="1:17" x14ac:dyDescent="0.3">
      <c r="A2734" t="s">
        <v>6189</v>
      </c>
      <c r="B2734" t="s">
        <v>493</v>
      </c>
      <c r="C2734" s="2" t="str">
        <f>PROPER(TRIM(Table1[[#This Row],[Gender]]))</f>
        <v>Female</v>
      </c>
      <c r="D2734" t="s">
        <v>43</v>
      </c>
      <c r="E2734">
        <v>24</v>
      </c>
      <c r="F2734" t="s">
        <v>49</v>
      </c>
      <c r="G2734" s="1">
        <v>36898</v>
      </c>
      <c r="H2734" t="s">
        <v>6190</v>
      </c>
      <c r="I2734" s="2" t="str">
        <f t="shared" si="42"/>
        <v>+91-7781826086</v>
      </c>
      <c r="J2734">
        <f>91-7781826177</f>
        <v>-7781826086</v>
      </c>
      <c r="K2734" t="s">
        <v>331</v>
      </c>
      <c r="L2734" t="s">
        <v>143</v>
      </c>
      <c r="M2734">
        <v>440083</v>
      </c>
      <c r="N2734" s="1">
        <v>45104</v>
      </c>
      <c r="O2734" t="s">
        <v>35</v>
      </c>
      <c r="P2734">
        <v>4</v>
      </c>
      <c r="Q2734">
        <v>15372.25</v>
      </c>
    </row>
    <row r="2735" spans="1:17" x14ac:dyDescent="0.3">
      <c r="A2735" t="s">
        <v>6191</v>
      </c>
      <c r="B2735" t="s">
        <v>2162</v>
      </c>
      <c r="C2735" s="2" t="str">
        <f>PROPER(TRIM(Table1[[#This Row],[Gender]]))</f>
        <v>Male</v>
      </c>
      <c r="D2735" t="s">
        <v>16</v>
      </c>
      <c r="E2735">
        <v>52</v>
      </c>
      <c r="F2735" t="s">
        <v>17</v>
      </c>
      <c r="G2735" s="1">
        <v>26678</v>
      </c>
      <c r="H2735" t="s">
        <v>6192</v>
      </c>
      <c r="I2735" s="2" t="str">
        <f t="shared" si="42"/>
        <v>+91-7201412101</v>
      </c>
      <c r="J2735">
        <f>91-7201412192</f>
        <v>-7201412101</v>
      </c>
      <c r="K2735" t="s">
        <v>121</v>
      </c>
      <c r="L2735" t="s">
        <v>85</v>
      </c>
      <c r="M2735">
        <v>409816</v>
      </c>
      <c r="N2735" s="1">
        <v>45099</v>
      </c>
      <c r="O2735" t="s">
        <v>28</v>
      </c>
      <c r="P2735">
        <v>8</v>
      </c>
      <c r="Q2735">
        <v>77919.89</v>
      </c>
    </row>
    <row r="2736" spans="1:17" x14ac:dyDescent="0.3">
      <c r="A2736" t="s">
        <v>6193</v>
      </c>
      <c r="B2736" t="s">
        <v>3349</v>
      </c>
      <c r="C2736" s="2" t="str">
        <f>PROPER(TRIM(Table1[[#This Row],[Gender]]))</f>
        <v>Male</v>
      </c>
      <c r="D2736" t="s">
        <v>16</v>
      </c>
      <c r="E2736">
        <v>48</v>
      </c>
      <c r="F2736" t="s">
        <v>17</v>
      </c>
      <c r="G2736" s="1">
        <v>28138</v>
      </c>
      <c r="H2736" t="s">
        <v>6194</v>
      </c>
      <c r="I2736" s="2" t="str">
        <f t="shared" si="42"/>
        <v>+91-9005485997</v>
      </c>
      <c r="J2736">
        <f>91-9005486088</f>
        <v>-9005485997</v>
      </c>
      <c r="K2736" t="s">
        <v>40</v>
      </c>
      <c r="L2736" t="s">
        <v>27</v>
      </c>
      <c r="M2736">
        <v>131064</v>
      </c>
      <c r="N2736" s="1">
        <v>45313</v>
      </c>
      <c r="O2736" t="s">
        <v>28</v>
      </c>
      <c r="P2736">
        <v>10</v>
      </c>
      <c r="Q2736">
        <v>144530.9</v>
      </c>
    </row>
    <row r="2737" spans="1:17" x14ac:dyDescent="0.3">
      <c r="A2737" t="s">
        <v>6195</v>
      </c>
      <c r="B2737" t="s">
        <v>1962</v>
      </c>
      <c r="C2737" s="2" t="str">
        <f>PROPER(TRIM(Table1[[#This Row],[Gender]]))</f>
        <v>Female</v>
      </c>
      <c r="D2737" t="s">
        <v>43</v>
      </c>
      <c r="E2737">
        <v>19</v>
      </c>
      <c r="F2737" t="s">
        <v>49</v>
      </c>
      <c r="G2737" s="1">
        <v>38723</v>
      </c>
      <c r="H2737" t="s">
        <v>6196</v>
      </c>
      <c r="I2737" s="2" t="str">
        <f t="shared" si="42"/>
        <v>+91-9844667896</v>
      </c>
      <c r="J2737">
        <f>91-9844667987</f>
        <v>-9844667896</v>
      </c>
      <c r="K2737" t="s">
        <v>161</v>
      </c>
      <c r="L2737" t="s">
        <v>102</v>
      </c>
      <c r="M2737">
        <v>609313</v>
      </c>
      <c r="N2737" s="1">
        <v>45097</v>
      </c>
      <c r="O2737" t="s">
        <v>28</v>
      </c>
      <c r="P2737">
        <v>3</v>
      </c>
      <c r="Q2737">
        <v>133090.66</v>
      </c>
    </row>
    <row r="2738" spans="1:17" x14ac:dyDescent="0.3">
      <c r="A2738" t="s">
        <v>6197</v>
      </c>
      <c r="B2738" t="s">
        <v>448</v>
      </c>
      <c r="C2738" s="2" t="str">
        <f>PROPER(TRIM(Table1[[#This Row],[Gender]]))</f>
        <v>Female</v>
      </c>
      <c r="D2738" t="s">
        <v>43</v>
      </c>
      <c r="E2738">
        <v>55</v>
      </c>
      <c r="F2738" t="s">
        <v>17</v>
      </c>
      <c r="G2738" s="1">
        <v>25583</v>
      </c>
      <c r="H2738" t="s">
        <v>6198</v>
      </c>
      <c r="I2738" s="2" t="str">
        <f t="shared" si="42"/>
        <v>+91-9200921420</v>
      </c>
      <c r="J2738">
        <f>91-9200921511</f>
        <v>-9200921420</v>
      </c>
      <c r="K2738" t="s">
        <v>178</v>
      </c>
      <c r="L2738" t="s">
        <v>27</v>
      </c>
      <c r="M2738">
        <v>883300</v>
      </c>
      <c r="N2738" s="1">
        <v>45164</v>
      </c>
      <c r="O2738" t="s">
        <v>28</v>
      </c>
      <c r="P2738">
        <v>6</v>
      </c>
      <c r="Q2738">
        <v>67609.59</v>
      </c>
    </row>
    <row r="2739" spans="1:17" x14ac:dyDescent="0.3">
      <c r="A2739" t="s">
        <v>6199</v>
      </c>
      <c r="B2739" t="s">
        <v>115</v>
      </c>
      <c r="C2739" s="2" t="str">
        <f>PROPER(TRIM(Table1[[#This Row],[Gender]]))</f>
        <v>Male</v>
      </c>
      <c r="D2739" t="s">
        <v>16</v>
      </c>
      <c r="E2739">
        <v>36</v>
      </c>
      <c r="F2739" t="s">
        <v>38</v>
      </c>
      <c r="G2739" s="1">
        <v>32518</v>
      </c>
      <c r="H2739" t="s">
        <v>116</v>
      </c>
      <c r="I2739" s="2" t="str">
        <f t="shared" si="42"/>
        <v>+91-7204050277</v>
      </c>
      <c r="J2739">
        <f>91-7204050368</f>
        <v>-7204050277</v>
      </c>
      <c r="K2739" t="s">
        <v>154</v>
      </c>
      <c r="L2739" t="s">
        <v>46</v>
      </c>
      <c r="M2739">
        <v>554488</v>
      </c>
      <c r="N2739" s="1">
        <v>45163</v>
      </c>
      <c r="O2739" t="s">
        <v>28</v>
      </c>
      <c r="P2739">
        <v>5</v>
      </c>
      <c r="Q2739">
        <v>138683.72</v>
      </c>
    </row>
    <row r="2740" spans="1:17" x14ac:dyDescent="0.3">
      <c r="A2740" t="s">
        <v>6200</v>
      </c>
      <c r="B2740" t="s">
        <v>48</v>
      </c>
      <c r="C2740" s="2" t="str">
        <f>PROPER(TRIM(Table1[[#This Row],[Gender]]))</f>
        <v>Female</v>
      </c>
      <c r="D2740" t="s">
        <v>43</v>
      </c>
      <c r="E2740">
        <v>37</v>
      </c>
      <c r="F2740" t="s">
        <v>38</v>
      </c>
      <c r="G2740" s="1">
        <v>32153</v>
      </c>
      <c r="H2740" t="s">
        <v>6201</v>
      </c>
      <c r="I2740" s="2" t="str">
        <f t="shared" si="42"/>
        <v>+91-7804687988</v>
      </c>
      <c r="J2740">
        <f>91-7804688079</f>
        <v>-7804687988</v>
      </c>
      <c r="K2740" t="s">
        <v>195</v>
      </c>
      <c r="L2740" t="s">
        <v>102</v>
      </c>
      <c r="M2740">
        <v>903105</v>
      </c>
      <c r="N2740" s="1">
        <v>45151</v>
      </c>
      <c r="O2740" t="s">
        <v>35</v>
      </c>
      <c r="P2740">
        <v>4</v>
      </c>
      <c r="Q2740">
        <v>17290.93</v>
      </c>
    </row>
    <row r="2741" spans="1:17" x14ac:dyDescent="0.3">
      <c r="A2741" t="s">
        <v>6202</v>
      </c>
      <c r="B2741" t="s">
        <v>1888</v>
      </c>
      <c r="C2741" s="2" t="str">
        <f>PROPER(TRIM(Table1[[#This Row],[Gender]]))</f>
        <v>Female</v>
      </c>
      <c r="D2741" t="s">
        <v>43</v>
      </c>
      <c r="E2741">
        <v>57</v>
      </c>
      <c r="F2741" t="s">
        <v>58</v>
      </c>
      <c r="G2741" s="1">
        <v>24853</v>
      </c>
      <c r="H2741" t="s">
        <v>6203</v>
      </c>
      <c r="I2741" s="2" t="str">
        <f t="shared" si="42"/>
        <v>+91-9341212809</v>
      </c>
      <c r="J2741">
        <f>91-9341212900</f>
        <v>-9341212809</v>
      </c>
      <c r="K2741" t="s">
        <v>174</v>
      </c>
      <c r="L2741" t="s">
        <v>90</v>
      </c>
      <c r="M2741">
        <v>659644</v>
      </c>
      <c r="N2741" s="1">
        <v>45190</v>
      </c>
      <c r="O2741" t="s">
        <v>21</v>
      </c>
      <c r="P2741">
        <v>5</v>
      </c>
      <c r="Q2741">
        <v>34641.79</v>
      </c>
    </row>
    <row r="2742" spans="1:17" x14ac:dyDescent="0.3">
      <c r="A2742" t="s">
        <v>6204</v>
      </c>
      <c r="B2742" t="s">
        <v>2221</v>
      </c>
      <c r="C2742" s="2" t="str">
        <f>PROPER(TRIM(Table1[[#This Row],[Gender]]))</f>
        <v>Male</v>
      </c>
      <c r="D2742" t="s">
        <v>16</v>
      </c>
      <c r="E2742">
        <v>30</v>
      </c>
      <c r="F2742" t="s">
        <v>31</v>
      </c>
      <c r="G2742" s="1">
        <v>34708</v>
      </c>
      <c r="H2742" t="s">
        <v>3853</v>
      </c>
      <c r="I2742" s="2" t="str">
        <f t="shared" si="42"/>
        <v>+91-7674725005</v>
      </c>
      <c r="J2742">
        <f>91-7674725096</f>
        <v>-7674725005</v>
      </c>
      <c r="K2742" t="s">
        <v>178</v>
      </c>
      <c r="L2742" t="s">
        <v>27</v>
      </c>
      <c r="M2742">
        <v>707007</v>
      </c>
      <c r="N2742" s="1">
        <v>45254</v>
      </c>
      <c r="O2742" t="s">
        <v>28</v>
      </c>
      <c r="P2742">
        <v>5</v>
      </c>
      <c r="Q2742">
        <v>132377.67000000001</v>
      </c>
    </row>
    <row r="2743" spans="1:17" x14ac:dyDescent="0.3">
      <c r="A2743" t="s">
        <v>6205</v>
      </c>
      <c r="B2743" t="s">
        <v>2038</v>
      </c>
      <c r="C2743" s="2" t="str">
        <f>PROPER(TRIM(Table1[[#This Row],[Gender]]))</f>
        <v>Female</v>
      </c>
      <c r="D2743" t="s">
        <v>43</v>
      </c>
      <c r="E2743">
        <v>38</v>
      </c>
      <c r="F2743" t="s">
        <v>38</v>
      </c>
      <c r="G2743" s="1">
        <v>31788</v>
      </c>
      <c r="H2743" t="s">
        <v>6206</v>
      </c>
      <c r="I2743" s="2" t="str">
        <f t="shared" si="42"/>
        <v>+91-9991185506</v>
      </c>
      <c r="J2743">
        <f>91-9991185597</f>
        <v>-9991185506</v>
      </c>
      <c r="K2743" t="s">
        <v>178</v>
      </c>
      <c r="L2743" t="s">
        <v>27</v>
      </c>
      <c r="M2743">
        <v>531013</v>
      </c>
      <c r="N2743" s="1">
        <v>45365</v>
      </c>
      <c r="O2743" t="s">
        <v>28</v>
      </c>
      <c r="P2743">
        <v>5</v>
      </c>
      <c r="Q2743">
        <v>145959.23000000001</v>
      </c>
    </row>
    <row r="2744" spans="1:17" x14ac:dyDescent="0.3">
      <c r="A2744" t="s">
        <v>6207</v>
      </c>
      <c r="B2744" t="s">
        <v>2639</v>
      </c>
      <c r="C2744" s="2" t="str">
        <f>PROPER(TRIM(Table1[[#This Row],[Gender]]))</f>
        <v>Female</v>
      </c>
      <c r="D2744" t="s">
        <v>43</v>
      </c>
      <c r="E2744">
        <v>43</v>
      </c>
      <c r="F2744" t="s">
        <v>38</v>
      </c>
      <c r="G2744" s="1">
        <v>29963</v>
      </c>
      <c r="H2744" t="s">
        <v>6208</v>
      </c>
      <c r="I2744" s="2" t="str">
        <f t="shared" si="42"/>
        <v>+91-8972848729</v>
      </c>
      <c r="J2744">
        <f>91-8972848820</f>
        <v>-8972848729</v>
      </c>
      <c r="K2744" t="s">
        <v>68</v>
      </c>
      <c r="L2744" t="s">
        <v>52</v>
      </c>
      <c r="M2744">
        <v>859664</v>
      </c>
      <c r="N2744" s="1">
        <v>45177</v>
      </c>
      <c r="O2744" t="s">
        <v>28</v>
      </c>
      <c r="P2744">
        <v>6</v>
      </c>
      <c r="Q2744">
        <v>220852.29</v>
      </c>
    </row>
    <row r="2745" spans="1:17" x14ac:dyDescent="0.3">
      <c r="A2745" t="s">
        <v>6209</v>
      </c>
      <c r="B2745" t="s">
        <v>985</v>
      </c>
      <c r="C2745" s="2" t="str">
        <f>PROPER(TRIM(Table1[[#This Row],[Gender]]))</f>
        <v>Male</v>
      </c>
      <c r="D2745" t="s">
        <v>16</v>
      </c>
      <c r="E2745">
        <v>40</v>
      </c>
      <c r="F2745" t="s">
        <v>38</v>
      </c>
      <c r="G2745" s="1">
        <v>31058</v>
      </c>
      <c r="H2745" t="s">
        <v>6210</v>
      </c>
      <c r="I2745" s="2" t="str">
        <f t="shared" si="42"/>
        <v>+91-7964981028</v>
      </c>
      <c r="J2745">
        <f>91-7964981119</f>
        <v>-7964981028</v>
      </c>
      <c r="K2745" t="s">
        <v>178</v>
      </c>
      <c r="L2745" t="s">
        <v>27</v>
      </c>
      <c r="M2745">
        <v>830163</v>
      </c>
      <c r="N2745" s="1">
        <v>45256</v>
      </c>
      <c r="O2745" t="s">
        <v>21</v>
      </c>
      <c r="P2745">
        <v>3</v>
      </c>
      <c r="Q2745">
        <v>42575.28</v>
      </c>
    </row>
    <row r="2746" spans="1:17" x14ac:dyDescent="0.3">
      <c r="A2746" t="s">
        <v>6211</v>
      </c>
      <c r="B2746" t="s">
        <v>1580</v>
      </c>
      <c r="C2746" s="2" t="str">
        <f>PROPER(TRIM(Table1[[#This Row],[Gender]]))</f>
        <v>Male</v>
      </c>
      <c r="D2746" t="s">
        <v>16</v>
      </c>
      <c r="E2746">
        <v>33</v>
      </c>
      <c r="F2746" t="s">
        <v>31</v>
      </c>
      <c r="G2746" s="1">
        <v>33613</v>
      </c>
      <c r="H2746" t="s">
        <v>6212</v>
      </c>
      <c r="I2746" s="2" t="str">
        <f t="shared" si="42"/>
        <v>+91-9433306133</v>
      </c>
      <c r="J2746">
        <f>91-9433306224</f>
        <v>-9433306133</v>
      </c>
      <c r="K2746" t="s">
        <v>178</v>
      </c>
      <c r="L2746" t="s">
        <v>27</v>
      </c>
      <c r="M2746">
        <v>851567</v>
      </c>
      <c r="N2746" s="1">
        <v>45276</v>
      </c>
      <c r="O2746" t="s">
        <v>21</v>
      </c>
      <c r="P2746">
        <v>5</v>
      </c>
      <c r="Q2746">
        <v>40210.79</v>
      </c>
    </row>
    <row r="2747" spans="1:17" x14ac:dyDescent="0.3">
      <c r="A2747" t="s">
        <v>6213</v>
      </c>
      <c r="B2747" t="s">
        <v>587</v>
      </c>
      <c r="C2747" s="2" t="str">
        <f>PROPER(TRIM(Table1[[#This Row],[Gender]]))</f>
        <v>Female</v>
      </c>
      <c r="D2747" t="s">
        <v>43</v>
      </c>
      <c r="E2747">
        <v>35</v>
      </c>
      <c r="F2747" t="s">
        <v>31</v>
      </c>
      <c r="G2747" s="1">
        <v>32883</v>
      </c>
      <c r="H2747" t="s">
        <v>6214</v>
      </c>
      <c r="I2747" s="2" t="str">
        <f t="shared" si="42"/>
        <v>+91-9287289863</v>
      </c>
      <c r="J2747">
        <f>91-9287289954</f>
        <v>-9287289863</v>
      </c>
      <c r="K2747" t="s">
        <v>101</v>
      </c>
      <c r="L2747" t="s">
        <v>102</v>
      </c>
      <c r="M2747">
        <v>521544</v>
      </c>
      <c r="N2747" s="1">
        <v>45142</v>
      </c>
      <c r="O2747" t="s">
        <v>28</v>
      </c>
      <c r="P2747">
        <v>8</v>
      </c>
      <c r="Q2747">
        <v>171585.69</v>
      </c>
    </row>
    <row r="2748" spans="1:17" x14ac:dyDescent="0.3">
      <c r="A2748" t="s">
        <v>6215</v>
      </c>
      <c r="B2748" t="s">
        <v>4220</v>
      </c>
      <c r="C2748" s="2" t="str">
        <f>PROPER(TRIM(Table1[[#This Row],[Gender]]))</f>
        <v>Male</v>
      </c>
      <c r="D2748" t="s">
        <v>16</v>
      </c>
      <c r="E2748">
        <v>55</v>
      </c>
      <c r="F2748" t="s">
        <v>17</v>
      </c>
      <c r="G2748" s="1">
        <v>25583</v>
      </c>
      <c r="H2748" t="s">
        <v>5288</v>
      </c>
      <c r="I2748" s="2" t="str">
        <f t="shared" si="42"/>
        <v>+91-7197013260</v>
      </c>
      <c r="J2748">
        <f>91-7197013351</f>
        <v>-7197013260</v>
      </c>
      <c r="K2748" t="s">
        <v>138</v>
      </c>
      <c r="L2748" t="s">
        <v>90</v>
      </c>
      <c r="M2748">
        <v>422788</v>
      </c>
      <c r="N2748" s="1">
        <v>45088</v>
      </c>
      <c r="O2748" t="s">
        <v>21</v>
      </c>
      <c r="P2748">
        <v>5</v>
      </c>
      <c r="Q2748">
        <v>24592.17</v>
      </c>
    </row>
    <row r="2749" spans="1:17" x14ac:dyDescent="0.3">
      <c r="A2749" t="s">
        <v>6216</v>
      </c>
      <c r="B2749" t="s">
        <v>4998</v>
      </c>
      <c r="C2749" s="2" t="str">
        <f>PROPER(TRIM(Table1[[#This Row],[Gender]]))</f>
        <v>Female</v>
      </c>
      <c r="D2749" t="s">
        <v>43</v>
      </c>
      <c r="E2749">
        <v>24</v>
      </c>
      <c r="F2749" t="s">
        <v>49</v>
      </c>
      <c r="G2749" s="1">
        <v>36898</v>
      </c>
      <c r="H2749" t="s">
        <v>6217</v>
      </c>
      <c r="I2749" s="2" t="str">
        <f t="shared" si="42"/>
        <v>+91-9484654694</v>
      </c>
      <c r="J2749">
        <f>91-9484654785</f>
        <v>-9484654694</v>
      </c>
      <c r="K2749" t="s">
        <v>68</v>
      </c>
      <c r="L2749" t="s">
        <v>52</v>
      </c>
      <c r="M2749">
        <v>706900</v>
      </c>
      <c r="N2749" s="1">
        <v>45206</v>
      </c>
      <c r="O2749" t="s">
        <v>35</v>
      </c>
      <c r="P2749">
        <v>1</v>
      </c>
      <c r="Q2749">
        <v>17589.18</v>
      </c>
    </row>
    <row r="2750" spans="1:17" x14ac:dyDescent="0.3">
      <c r="A2750" t="s">
        <v>6218</v>
      </c>
      <c r="B2750" t="s">
        <v>2864</v>
      </c>
      <c r="C2750" s="2" t="str">
        <f>PROPER(TRIM(Table1[[#This Row],[Gender]]))</f>
        <v>Male</v>
      </c>
      <c r="D2750" t="s">
        <v>16</v>
      </c>
      <c r="E2750">
        <v>39</v>
      </c>
      <c r="F2750" t="s">
        <v>38</v>
      </c>
      <c r="G2750" s="1">
        <v>31423</v>
      </c>
      <c r="H2750" t="s">
        <v>6219</v>
      </c>
      <c r="I2750" s="2" t="str">
        <f t="shared" si="42"/>
        <v>+91-9628915300</v>
      </c>
      <c r="J2750">
        <f>91-9628915391</f>
        <v>-9628915300</v>
      </c>
      <c r="K2750" t="s">
        <v>117</v>
      </c>
      <c r="L2750" t="s">
        <v>52</v>
      </c>
      <c r="M2750">
        <v>400037</v>
      </c>
      <c r="N2750" s="1">
        <v>45156</v>
      </c>
      <c r="O2750" t="s">
        <v>28</v>
      </c>
      <c r="P2750">
        <v>3</v>
      </c>
      <c r="Q2750">
        <v>319282.84999999998</v>
      </c>
    </row>
    <row r="2751" spans="1:17" x14ac:dyDescent="0.3">
      <c r="A2751" t="s">
        <v>6220</v>
      </c>
      <c r="B2751" t="s">
        <v>2216</v>
      </c>
      <c r="C2751" s="2" t="str">
        <f>PROPER(TRIM(Table1[[#This Row],[Gender]]))</f>
        <v>Male</v>
      </c>
      <c r="D2751" t="s">
        <v>16</v>
      </c>
      <c r="E2751">
        <v>33</v>
      </c>
      <c r="F2751" t="s">
        <v>31</v>
      </c>
      <c r="G2751" s="1">
        <v>33613</v>
      </c>
      <c r="H2751" t="s">
        <v>6221</v>
      </c>
      <c r="I2751" s="2" t="str">
        <f t="shared" si="42"/>
        <v>+91-9298238708</v>
      </c>
      <c r="J2751">
        <f>91-9298238799</f>
        <v>-9298238708</v>
      </c>
      <c r="K2751" t="s">
        <v>84</v>
      </c>
      <c r="L2751" t="s">
        <v>85</v>
      </c>
      <c r="M2751">
        <v>605127</v>
      </c>
      <c r="N2751" s="1">
        <v>45111</v>
      </c>
      <c r="O2751" t="s">
        <v>28</v>
      </c>
      <c r="P2751">
        <v>6</v>
      </c>
      <c r="Q2751">
        <v>346002.3</v>
      </c>
    </row>
    <row r="2752" spans="1:17" x14ac:dyDescent="0.3">
      <c r="A2752" t="s">
        <v>6222</v>
      </c>
      <c r="B2752" t="s">
        <v>633</v>
      </c>
      <c r="C2752" s="2" t="str">
        <f>PROPER(TRIM(Table1[[#This Row],[Gender]]))</f>
        <v>Female</v>
      </c>
      <c r="D2752" t="s">
        <v>43</v>
      </c>
      <c r="E2752">
        <v>32</v>
      </c>
      <c r="F2752" t="s">
        <v>31</v>
      </c>
      <c r="G2752" s="1">
        <v>33978</v>
      </c>
      <c r="H2752" t="s">
        <v>6223</v>
      </c>
      <c r="I2752" s="2" t="str">
        <f t="shared" si="42"/>
        <v>+91-9195501878</v>
      </c>
      <c r="J2752">
        <f>91-9195501969</f>
        <v>-9195501878</v>
      </c>
      <c r="K2752" t="s">
        <v>101</v>
      </c>
      <c r="L2752" t="s">
        <v>102</v>
      </c>
      <c r="M2752">
        <v>484373</v>
      </c>
      <c r="N2752" s="1">
        <v>45107</v>
      </c>
      <c r="O2752" t="s">
        <v>28</v>
      </c>
      <c r="P2752">
        <v>2</v>
      </c>
      <c r="Q2752">
        <v>59276.22</v>
      </c>
    </row>
    <row r="2753" spans="1:17" x14ac:dyDescent="0.3">
      <c r="A2753" t="s">
        <v>6224</v>
      </c>
      <c r="B2753" t="s">
        <v>884</v>
      </c>
      <c r="C2753" s="2" t="str">
        <f>PROPER(TRIM(Table1[[#This Row],[Gender]]))</f>
        <v>Male</v>
      </c>
      <c r="D2753" t="s">
        <v>16</v>
      </c>
      <c r="E2753">
        <v>46</v>
      </c>
      <c r="F2753" t="s">
        <v>17</v>
      </c>
      <c r="G2753" s="1">
        <v>28868</v>
      </c>
      <c r="H2753" t="s">
        <v>5918</v>
      </c>
      <c r="I2753" s="2" t="str">
        <f t="shared" si="42"/>
        <v>+91-9876602941</v>
      </c>
      <c r="J2753">
        <f>91-9876603032</f>
        <v>-9876602941</v>
      </c>
      <c r="K2753" t="s">
        <v>33</v>
      </c>
      <c r="L2753" t="s">
        <v>34</v>
      </c>
      <c r="M2753">
        <v>356844</v>
      </c>
      <c r="N2753" s="1">
        <v>45181</v>
      </c>
      <c r="O2753" t="s">
        <v>28</v>
      </c>
      <c r="P2753">
        <v>6</v>
      </c>
      <c r="Q2753">
        <v>51834.2</v>
      </c>
    </row>
    <row r="2754" spans="1:17" x14ac:dyDescent="0.3">
      <c r="A2754" t="s">
        <v>6225</v>
      </c>
      <c r="B2754" t="s">
        <v>1986</v>
      </c>
      <c r="C2754" s="2" t="str">
        <f>PROPER(TRIM(Table1[[#This Row],[Gender]]))</f>
        <v>Male</v>
      </c>
      <c r="D2754" t="s">
        <v>16</v>
      </c>
      <c r="E2754">
        <v>20</v>
      </c>
      <c r="F2754" t="s">
        <v>49</v>
      </c>
      <c r="G2754" s="1">
        <v>38358</v>
      </c>
      <c r="H2754" t="s">
        <v>6226</v>
      </c>
      <c r="I2754" s="2" t="str">
        <f t="shared" ref="I2754:I2817" si="43">"+91"&amp;TEXT(J2754,"0000000000")</f>
        <v>+91-9482284338</v>
      </c>
      <c r="J2754">
        <f>91-9482284429</f>
        <v>-9482284338</v>
      </c>
      <c r="K2754" t="s">
        <v>109</v>
      </c>
      <c r="L2754" t="s">
        <v>46</v>
      </c>
      <c r="M2754">
        <v>626393</v>
      </c>
      <c r="N2754" s="1">
        <v>45382</v>
      </c>
      <c r="O2754" t="s">
        <v>28</v>
      </c>
      <c r="P2754">
        <v>5</v>
      </c>
      <c r="Q2754">
        <v>184850.01</v>
      </c>
    </row>
    <row r="2755" spans="1:17" x14ac:dyDescent="0.3">
      <c r="A2755" t="s">
        <v>6227</v>
      </c>
      <c r="B2755" t="s">
        <v>404</v>
      </c>
      <c r="C2755" s="2" t="str">
        <f>PROPER(TRIM(Table1[[#This Row],[Gender]]))</f>
        <v>Female</v>
      </c>
      <c r="D2755" t="s">
        <v>43</v>
      </c>
      <c r="E2755">
        <v>30</v>
      </c>
      <c r="F2755" t="s">
        <v>31</v>
      </c>
      <c r="G2755" s="1">
        <v>34708</v>
      </c>
      <c r="H2755" t="s">
        <v>6228</v>
      </c>
      <c r="I2755" s="2" t="str">
        <f t="shared" si="43"/>
        <v>+91-8428155470</v>
      </c>
      <c r="J2755">
        <f>91-8428155561</f>
        <v>-8428155470</v>
      </c>
      <c r="K2755" t="s">
        <v>109</v>
      </c>
      <c r="L2755" t="s">
        <v>46</v>
      </c>
      <c r="M2755">
        <v>966809</v>
      </c>
      <c r="N2755" s="1">
        <v>45345</v>
      </c>
      <c r="O2755" t="s">
        <v>21</v>
      </c>
      <c r="P2755">
        <v>3</v>
      </c>
      <c r="Q2755">
        <v>33741.39</v>
      </c>
    </row>
    <row r="2756" spans="1:17" x14ac:dyDescent="0.3">
      <c r="A2756" t="s">
        <v>6229</v>
      </c>
      <c r="B2756" t="s">
        <v>1200</v>
      </c>
      <c r="C2756" s="2" t="str">
        <f>PROPER(TRIM(Table1[[#This Row],[Gender]]))</f>
        <v>Male</v>
      </c>
      <c r="D2756" t="s">
        <v>16</v>
      </c>
      <c r="E2756">
        <v>45</v>
      </c>
      <c r="F2756" t="s">
        <v>38</v>
      </c>
      <c r="G2756" s="1">
        <v>29233</v>
      </c>
      <c r="H2756" t="s">
        <v>6230</v>
      </c>
      <c r="I2756" s="2" t="str">
        <f t="shared" si="43"/>
        <v>+91-7968651963</v>
      </c>
      <c r="J2756">
        <f>91-7968652054</f>
        <v>-7968651963</v>
      </c>
      <c r="K2756" t="s">
        <v>249</v>
      </c>
      <c r="L2756" t="s">
        <v>34</v>
      </c>
      <c r="M2756">
        <v>897292</v>
      </c>
      <c r="N2756" s="1">
        <v>45399</v>
      </c>
      <c r="O2756" t="s">
        <v>28</v>
      </c>
      <c r="P2756">
        <v>7</v>
      </c>
      <c r="Q2756">
        <v>82122.84</v>
      </c>
    </row>
    <row r="2757" spans="1:17" x14ac:dyDescent="0.3">
      <c r="A2757" t="s">
        <v>6231</v>
      </c>
      <c r="B2757" t="s">
        <v>210</v>
      </c>
      <c r="C2757" s="2" t="str">
        <f>PROPER(TRIM(Table1[[#This Row],[Gender]]))</f>
        <v>Female</v>
      </c>
      <c r="D2757" t="s">
        <v>43</v>
      </c>
      <c r="E2757">
        <v>29</v>
      </c>
      <c r="F2757" t="s">
        <v>31</v>
      </c>
      <c r="G2757" s="1">
        <v>35073</v>
      </c>
      <c r="H2757" t="s">
        <v>6232</v>
      </c>
      <c r="I2757" s="2" t="str">
        <f t="shared" si="43"/>
        <v>+91-9059059535</v>
      </c>
      <c r="J2757">
        <f>91-9059059626</f>
        <v>-9059059535</v>
      </c>
      <c r="K2757" t="s">
        <v>89</v>
      </c>
      <c r="L2757" t="s">
        <v>90</v>
      </c>
      <c r="M2757">
        <v>693727</v>
      </c>
      <c r="N2757" s="1">
        <v>45113</v>
      </c>
      <c r="O2757" t="s">
        <v>28</v>
      </c>
      <c r="P2757">
        <v>7</v>
      </c>
      <c r="Q2757">
        <v>375838.32</v>
      </c>
    </row>
    <row r="2758" spans="1:17" x14ac:dyDescent="0.3">
      <c r="A2758" t="s">
        <v>6233</v>
      </c>
      <c r="B2758" t="s">
        <v>374</v>
      </c>
      <c r="C2758" s="2" t="str">
        <f>PROPER(TRIM(Table1[[#This Row],[Gender]]))</f>
        <v>Male</v>
      </c>
      <c r="D2758" t="s">
        <v>16</v>
      </c>
      <c r="E2758">
        <v>38</v>
      </c>
      <c r="F2758" t="s">
        <v>38</v>
      </c>
      <c r="G2758" s="1">
        <v>31788</v>
      </c>
      <c r="H2758" t="s">
        <v>6234</v>
      </c>
      <c r="I2758" s="2" t="str">
        <f t="shared" si="43"/>
        <v>+91-8967072155</v>
      </c>
      <c r="J2758">
        <f>91-8967072246</f>
        <v>-8967072155</v>
      </c>
      <c r="K2758" t="s">
        <v>84</v>
      </c>
      <c r="L2758" t="s">
        <v>85</v>
      </c>
      <c r="M2758">
        <v>454459</v>
      </c>
      <c r="N2758" s="1">
        <v>45287</v>
      </c>
      <c r="O2758" t="s">
        <v>21</v>
      </c>
      <c r="P2758">
        <v>4</v>
      </c>
      <c r="Q2758">
        <v>23483.13</v>
      </c>
    </row>
    <row r="2759" spans="1:17" x14ac:dyDescent="0.3">
      <c r="A2759" t="s">
        <v>6235</v>
      </c>
      <c r="B2759" t="s">
        <v>6236</v>
      </c>
      <c r="C2759" s="2" t="str">
        <f>PROPER(TRIM(Table1[[#This Row],[Gender]]))</f>
        <v>Male</v>
      </c>
      <c r="D2759" t="s">
        <v>16</v>
      </c>
      <c r="E2759">
        <v>34</v>
      </c>
      <c r="F2759" t="s">
        <v>31</v>
      </c>
      <c r="G2759" s="1">
        <v>33248</v>
      </c>
      <c r="H2759" t="s">
        <v>6237</v>
      </c>
      <c r="I2759" s="2" t="str">
        <f t="shared" si="43"/>
        <v>+91-8328470177</v>
      </c>
      <c r="J2759">
        <f>91-8328470268</f>
        <v>-8328470177</v>
      </c>
      <c r="K2759" t="s">
        <v>239</v>
      </c>
      <c r="L2759" t="s">
        <v>191</v>
      </c>
      <c r="M2759">
        <v>373699</v>
      </c>
      <c r="N2759" s="1">
        <v>45250</v>
      </c>
      <c r="O2759" t="s">
        <v>28</v>
      </c>
      <c r="P2759">
        <v>2</v>
      </c>
      <c r="Q2759">
        <v>65684.47</v>
      </c>
    </row>
    <row r="2760" spans="1:17" x14ac:dyDescent="0.3">
      <c r="A2760" t="s">
        <v>6238</v>
      </c>
      <c r="B2760" t="s">
        <v>560</v>
      </c>
      <c r="C2760" s="2" t="str">
        <f>PROPER(TRIM(Table1[[#This Row],[Gender]]))</f>
        <v>Male</v>
      </c>
      <c r="D2760" t="s">
        <v>16</v>
      </c>
      <c r="E2760">
        <v>20</v>
      </c>
      <c r="F2760" t="s">
        <v>49</v>
      </c>
      <c r="G2760" s="1">
        <v>38358</v>
      </c>
      <c r="H2760" t="s">
        <v>6239</v>
      </c>
      <c r="I2760" s="2" t="str">
        <f t="shared" si="43"/>
        <v>+91-8918233679</v>
      </c>
      <c r="J2760">
        <f>91-8918233770</f>
        <v>-8918233679</v>
      </c>
      <c r="K2760" t="s">
        <v>121</v>
      </c>
      <c r="L2760" t="s">
        <v>85</v>
      </c>
      <c r="M2760">
        <v>150093</v>
      </c>
      <c r="N2760" s="1">
        <v>45213</v>
      </c>
      <c r="O2760" t="s">
        <v>28</v>
      </c>
      <c r="P2760">
        <v>7</v>
      </c>
      <c r="Q2760">
        <v>165259.22</v>
      </c>
    </row>
    <row r="2761" spans="1:17" x14ac:dyDescent="0.3">
      <c r="A2761" t="s">
        <v>6240</v>
      </c>
      <c r="B2761" t="s">
        <v>2043</v>
      </c>
      <c r="C2761" s="2" t="str">
        <f>PROPER(TRIM(Table1[[#This Row],[Gender]]))</f>
        <v>Female</v>
      </c>
      <c r="D2761" t="s">
        <v>43</v>
      </c>
      <c r="E2761">
        <v>44</v>
      </c>
      <c r="F2761" t="s">
        <v>38</v>
      </c>
      <c r="G2761" s="1">
        <v>29598</v>
      </c>
      <c r="H2761" t="s">
        <v>6241</v>
      </c>
      <c r="I2761" s="2" t="str">
        <f t="shared" si="43"/>
        <v>+91-8675547286</v>
      </c>
      <c r="J2761">
        <f>91-8675547377</f>
        <v>-8675547286</v>
      </c>
      <c r="K2761" t="s">
        <v>68</v>
      </c>
      <c r="L2761" t="s">
        <v>52</v>
      </c>
      <c r="M2761">
        <v>368673</v>
      </c>
      <c r="N2761" s="1">
        <v>45382</v>
      </c>
      <c r="O2761" t="s">
        <v>28</v>
      </c>
      <c r="P2761">
        <v>6</v>
      </c>
      <c r="Q2761">
        <v>236831.82</v>
      </c>
    </row>
    <row r="2762" spans="1:17" x14ac:dyDescent="0.3">
      <c r="A2762" t="s">
        <v>6242</v>
      </c>
      <c r="B2762" t="s">
        <v>587</v>
      </c>
      <c r="C2762" s="2" t="str">
        <f>PROPER(TRIM(Table1[[#This Row],[Gender]]))</f>
        <v>Female</v>
      </c>
      <c r="D2762" t="s">
        <v>43</v>
      </c>
      <c r="E2762">
        <v>35</v>
      </c>
      <c r="F2762" t="s">
        <v>31</v>
      </c>
      <c r="G2762" s="1">
        <v>32883</v>
      </c>
      <c r="H2762" t="s">
        <v>6243</v>
      </c>
      <c r="I2762" s="2" t="str">
        <f t="shared" si="43"/>
        <v>+91-9680344514</v>
      </c>
      <c r="J2762">
        <f>91-9680344605</f>
        <v>-9680344514</v>
      </c>
      <c r="K2762" t="s">
        <v>121</v>
      </c>
      <c r="L2762" t="s">
        <v>85</v>
      </c>
      <c r="M2762">
        <v>666279</v>
      </c>
      <c r="N2762" s="1">
        <v>45409</v>
      </c>
      <c r="O2762" t="s">
        <v>28</v>
      </c>
      <c r="P2762">
        <v>7</v>
      </c>
      <c r="Q2762">
        <v>85311.97</v>
      </c>
    </row>
    <row r="2763" spans="1:17" x14ac:dyDescent="0.3">
      <c r="A2763" t="s">
        <v>6244</v>
      </c>
      <c r="B2763" t="s">
        <v>2556</v>
      </c>
      <c r="C2763" s="2" t="str">
        <f>PROPER(TRIM(Table1[[#This Row],[Gender]]))</f>
        <v>Male</v>
      </c>
      <c r="D2763" t="s">
        <v>16</v>
      </c>
      <c r="E2763">
        <v>18</v>
      </c>
      <c r="F2763" t="s">
        <v>49</v>
      </c>
      <c r="G2763" s="1">
        <v>39088</v>
      </c>
      <c r="H2763" t="s">
        <v>4674</v>
      </c>
      <c r="I2763" s="2" t="str">
        <f t="shared" si="43"/>
        <v>+91-7889763307</v>
      </c>
      <c r="J2763">
        <f>91-7889763398</f>
        <v>-7889763307</v>
      </c>
      <c r="K2763" t="s">
        <v>76</v>
      </c>
      <c r="L2763" t="s">
        <v>46</v>
      </c>
      <c r="M2763">
        <v>750469</v>
      </c>
      <c r="N2763" s="1">
        <v>45380</v>
      </c>
      <c r="O2763" t="s">
        <v>28</v>
      </c>
      <c r="P2763">
        <v>4</v>
      </c>
      <c r="Q2763">
        <v>82601.16</v>
      </c>
    </row>
    <row r="2764" spans="1:17" x14ac:dyDescent="0.3">
      <c r="A2764" t="s">
        <v>6245</v>
      </c>
      <c r="B2764" t="s">
        <v>2656</v>
      </c>
      <c r="C2764" s="2" t="str">
        <f>PROPER(TRIM(Table1[[#This Row],[Gender]]))</f>
        <v>Male</v>
      </c>
      <c r="D2764" t="s">
        <v>16</v>
      </c>
      <c r="E2764">
        <v>44</v>
      </c>
      <c r="F2764" t="s">
        <v>38</v>
      </c>
      <c r="G2764" s="1">
        <v>29598</v>
      </c>
      <c r="H2764" t="s">
        <v>6246</v>
      </c>
      <c r="I2764" s="2" t="str">
        <f t="shared" si="43"/>
        <v>+91-7109465839</v>
      </c>
      <c r="J2764">
        <f>91-7109465930</f>
        <v>-7109465839</v>
      </c>
      <c r="K2764" t="s">
        <v>89</v>
      </c>
      <c r="L2764" t="s">
        <v>90</v>
      </c>
      <c r="M2764">
        <v>932968</v>
      </c>
      <c r="N2764" s="1">
        <v>45351</v>
      </c>
      <c r="O2764" t="s">
        <v>28</v>
      </c>
      <c r="P2764">
        <v>4</v>
      </c>
      <c r="Q2764">
        <v>68617.850000000006</v>
      </c>
    </row>
    <row r="2765" spans="1:17" x14ac:dyDescent="0.3">
      <c r="A2765" t="s">
        <v>6247</v>
      </c>
      <c r="B2765" t="s">
        <v>4249</v>
      </c>
      <c r="C2765" s="2" t="str">
        <f>PROPER(TRIM(Table1[[#This Row],[Gender]]))</f>
        <v>Male</v>
      </c>
      <c r="D2765" t="s">
        <v>16</v>
      </c>
      <c r="E2765">
        <v>51</v>
      </c>
      <c r="F2765" t="s">
        <v>17</v>
      </c>
      <c r="G2765" s="1">
        <v>27043</v>
      </c>
      <c r="H2765" t="s">
        <v>6248</v>
      </c>
      <c r="I2765" s="2" t="str">
        <f t="shared" si="43"/>
        <v>+91-8238419009</v>
      </c>
      <c r="J2765">
        <f>91-8238419100</f>
        <v>-8238419009</v>
      </c>
      <c r="K2765" t="s">
        <v>249</v>
      </c>
      <c r="L2765" t="s">
        <v>34</v>
      </c>
      <c r="M2765">
        <v>209910</v>
      </c>
      <c r="N2765" s="1">
        <v>45095</v>
      </c>
      <c r="O2765" t="s">
        <v>35</v>
      </c>
      <c r="P2765">
        <v>1</v>
      </c>
      <c r="Q2765">
        <v>150.61000000000001</v>
      </c>
    </row>
    <row r="2766" spans="1:17" x14ac:dyDescent="0.3">
      <c r="A2766" t="s">
        <v>6249</v>
      </c>
      <c r="B2766" t="s">
        <v>911</v>
      </c>
      <c r="C2766" s="2" t="str">
        <f>PROPER(TRIM(Table1[[#This Row],[Gender]]))</f>
        <v>Male</v>
      </c>
      <c r="D2766" t="s">
        <v>16</v>
      </c>
      <c r="E2766">
        <v>33</v>
      </c>
      <c r="F2766" t="s">
        <v>31</v>
      </c>
      <c r="G2766" s="1">
        <v>33613</v>
      </c>
      <c r="H2766" t="s">
        <v>5613</v>
      </c>
      <c r="I2766" s="2" t="str">
        <f t="shared" si="43"/>
        <v>+91-8457950629</v>
      </c>
      <c r="J2766">
        <f>91-8457950720</f>
        <v>-8457950629</v>
      </c>
      <c r="K2766" t="s">
        <v>89</v>
      </c>
      <c r="L2766" t="s">
        <v>90</v>
      </c>
      <c r="M2766">
        <v>118189</v>
      </c>
      <c r="N2766" s="1">
        <v>45325</v>
      </c>
      <c r="O2766" t="s">
        <v>28</v>
      </c>
      <c r="P2766">
        <v>5</v>
      </c>
      <c r="Q2766">
        <v>56903.199999999997</v>
      </c>
    </row>
    <row r="2767" spans="1:17" x14ac:dyDescent="0.3">
      <c r="A2767" t="s">
        <v>6250</v>
      </c>
      <c r="B2767" t="s">
        <v>188</v>
      </c>
      <c r="C2767" s="2" t="str">
        <f>PROPER(TRIM(Table1[[#This Row],[Gender]]))</f>
        <v>Female</v>
      </c>
      <c r="D2767" t="s">
        <v>43</v>
      </c>
      <c r="E2767">
        <v>30</v>
      </c>
      <c r="F2767" t="s">
        <v>31</v>
      </c>
      <c r="G2767" s="1">
        <v>34708</v>
      </c>
      <c r="H2767" t="s">
        <v>6251</v>
      </c>
      <c r="I2767" s="2" t="str">
        <f t="shared" si="43"/>
        <v>+91-7308724009</v>
      </c>
      <c r="J2767">
        <f>91-7308724100</f>
        <v>-7308724009</v>
      </c>
      <c r="K2767" t="s">
        <v>121</v>
      </c>
      <c r="L2767" t="s">
        <v>85</v>
      </c>
      <c r="M2767">
        <v>565763</v>
      </c>
      <c r="N2767" s="1">
        <v>45329</v>
      </c>
      <c r="O2767" t="s">
        <v>28</v>
      </c>
      <c r="P2767">
        <v>1</v>
      </c>
      <c r="Q2767">
        <v>63140.88</v>
      </c>
    </row>
    <row r="2768" spans="1:17" x14ac:dyDescent="0.3">
      <c r="A2768" t="s">
        <v>6252</v>
      </c>
      <c r="B2768" t="s">
        <v>4808</v>
      </c>
      <c r="C2768" s="2" t="str">
        <f>PROPER(TRIM(Table1[[#This Row],[Gender]]))</f>
        <v>Male</v>
      </c>
      <c r="D2768" t="s">
        <v>16</v>
      </c>
      <c r="E2768">
        <v>60</v>
      </c>
      <c r="F2768" t="s">
        <v>58</v>
      </c>
      <c r="G2768" s="1">
        <v>23758</v>
      </c>
      <c r="H2768" t="s">
        <v>6253</v>
      </c>
      <c r="I2768" s="2" t="str">
        <f t="shared" si="43"/>
        <v>+91-7158150113</v>
      </c>
      <c r="J2768">
        <f>91-7158150204</f>
        <v>-7158150113</v>
      </c>
      <c r="K2768" t="s">
        <v>273</v>
      </c>
      <c r="L2768" t="s">
        <v>46</v>
      </c>
      <c r="M2768">
        <v>792553</v>
      </c>
      <c r="N2768" s="1">
        <v>45341</v>
      </c>
      <c r="O2768" t="s">
        <v>35</v>
      </c>
      <c r="P2768">
        <v>5</v>
      </c>
      <c r="Q2768">
        <v>4472.84</v>
      </c>
    </row>
    <row r="2769" spans="1:17" x14ac:dyDescent="0.3">
      <c r="A2769" t="s">
        <v>6254</v>
      </c>
      <c r="B2769" t="s">
        <v>551</v>
      </c>
      <c r="C2769" s="2" t="str">
        <f>PROPER(TRIM(Table1[[#This Row],[Gender]]))</f>
        <v>Male</v>
      </c>
      <c r="D2769" t="s">
        <v>16</v>
      </c>
      <c r="E2769">
        <v>39</v>
      </c>
      <c r="F2769" t="s">
        <v>38</v>
      </c>
      <c r="G2769" s="1">
        <v>31423</v>
      </c>
      <c r="H2769" t="s">
        <v>6255</v>
      </c>
      <c r="I2769" s="2" t="str">
        <f t="shared" si="43"/>
        <v>+91-8556789623</v>
      </c>
      <c r="J2769">
        <f>91-8556789714</f>
        <v>-8556789623</v>
      </c>
      <c r="K2769" t="s">
        <v>117</v>
      </c>
      <c r="L2769" t="s">
        <v>52</v>
      </c>
      <c r="M2769">
        <v>735961</v>
      </c>
      <c r="N2769" s="1">
        <v>45277</v>
      </c>
      <c r="O2769" t="s">
        <v>28</v>
      </c>
      <c r="P2769">
        <v>8</v>
      </c>
      <c r="Q2769">
        <v>219105.83</v>
      </c>
    </row>
    <row r="2770" spans="1:17" x14ac:dyDescent="0.3">
      <c r="A2770" t="s">
        <v>6256</v>
      </c>
      <c r="B2770" t="s">
        <v>1731</v>
      </c>
      <c r="C2770" s="2" t="str">
        <f>PROPER(TRIM(Table1[[#This Row],[Gender]]))</f>
        <v>Male</v>
      </c>
      <c r="D2770" t="s">
        <v>16</v>
      </c>
      <c r="E2770">
        <v>26</v>
      </c>
      <c r="F2770" t="s">
        <v>31</v>
      </c>
      <c r="G2770" s="1">
        <v>36168</v>
      </c>
      <c r="H2770" t="s">
        <v>6257</v>
      </c>
      <c r="I2770" s="2" t="str">
        <f t="shared" si="43"/>
        <v>+91-9302009585</v>
      </c>
      <c r="J2770">
        <f>91-9302009676</f>
        <v>-9302009585</v>
      </c>
      <c r="K2770" t="s">
        <v>26</v>
      </c>
      <c r="L2770" t="s">
        <v>27</v>
      </c>
      <c r="M2770">
        <v>141703</v>
      </c>
      <c r="N2770" s="1">
        <v>45252</v>
      </c>
      <c r="O2770" t="s">
        <v>28</v>
      </c>
      <c r="P2770">
        <v>6</v>
      </c>
      <c r="Q2770">
        <v>73182.27</v>
      </c>
    </row>
    <row r="2771" spans="1:17" x14ac:dyDescent="0.3">
      <c r="A2771" t="s">
        <v>6258</v>
      </c>
      <c r="B2771" t="s">
        <v>2803</v>
      </c>
      <c r="C2771" s="2" t="str">
        <f>PROPER(TRIM(Table1[[#This Row],[Gender]]))</f>
        <v>Female</v>
      </c>
      <c r="D2771" t="s">
        <v>43</v>
      </c>
      <c r="E2771">
        <v>30</v>
      </c>
      <c r="F2771" t="s">
        <v>31</v>
      </c>
      <c r="G2771" s="1">
        <v>34708</v>
      </c>
      <c r="H2771" t="s">
        <v>6259</v>
      </c>
      <c r="I2771" s="2" t="str">
        <f t="shared" si="43"/>
        <v>+91-7931472193</v>
      </c>
      <c r="J2771">
        <f>91-7931472284</f>
        <v>-7931472193</v>
      </c>
      <c r="K2771" t="s">
        <v>165</v>
      </c>
      <c r="L2771" t="s">
        <v>52</v>
      </c>
      <c r="M2771">
        <v>943591</v>
      </c>
      <c r="N2771" s="1">
        <v>45432</v>
      </c>
      <c r="O2771" t="s">
        <v>21</v>
      </c>
      <c r="P2771">
        <v>2</v>
      </c>
      <c r="Q2771">
        <v>22495.69</v>
      </c>
    </row>
    <row r="2772" spans="1:17" x14ac:dyDescent="0.3">
      <c r="A2772" t="s">
        <v>6260</v>
      </c>
      <c r="B2772" t="s">
        <v>1205</v>
      </c>
      <c r="C2772" s="2" t="str">
        <f>PROPER(TRIM(Table1[[#This Row],[Gender]]))</f>
        <v>Male</v>
      </c>
      <c r="D2772" t="s">
        <v>16</v>
      </c>
      <c r="E2772">
        <v>19</v>
      </c>
      <c r="F2772" t="s">
        <v>49</v>
      </c>
      <c r="G2772" s="1">
        <v>38723</v>
      </c>
      <c r="H2772" t="s">
        <v>1206</v>
      </c>
      <c r="I2772" s="2" t="str">
        <f t="shared" si="43"/>
        <v>+91-9090860538</v>
      </c>
      <c r="J2772">
        <f>91-9090860629</f>
        <v>-9090860538</v>
      </c>
      <c r="K2772" t="s">
        <v>68</v>
      </c>
      <c r="L2772" t="s">
        <v>52</v>
      </c>
      <c r="M2772">
        <v>606129</v>
      </c>
      <c r="N2772" s="1">
        <v>45196</v>
      </c>
      <c r="O2772" t="s">
        <v>21</v>
      </c>
      <c r="P2772">
        <v>4</v>
      </c>
      <c r="Q2772">
        <v>32031.61</v>
      </c>
    </row>
    <row r="2773" spans="1:17" x14ac:dyDescent="0.3">
      <c r="A2773" t="s">
        <v>6261</v>
      </c>
      <c r="B2773" t="s">
        <v>364</v>
      </c>
      <c r="C2773" s="2" t="str">
        <f>PROPER(TRIM(Table1[[#This Row],[Gender]]))</f>
        <v>Female</v>
      </c>
      <c r="D2773" t="s">
        <v>43</v>
      </c>
      <c r="E2773">
        <v>31</v>
      </c>
      <c r="F2773" t="s">
        <v>31</v>
      </c>
      <c r="G2773" s="1">
        <v>34343</v>
      </c>
      <c r="H2773" t="s">
        <v>6262</v>
      </c>
      <c r="I2773" s="2" t="str">
        <f t="shared" si="43"/>
        <v>+91-9364047060</v>
      </c>
      <c r="J2773">
        <f>91-9364047151</f>
        <v>-9364047060</v>
      </c>
      <c r="K2773" t="s">
        <v>174</v>
      </c>
      <c r="L2773" t="s">
        <v>90</v>
      </c>
      <c r="M2773">
        <v>311230</v>
      </c>
      <c r="N2773" s="1">
        <v>45389</v>
      </c>
      <c r="O2773" t="s">
        <v>35</v>
      </c>
      <c r="P2773">
        <v>1</v>
      </c>
      <c r="Q2773">
        <v>13964.52</v>
      </c>
    </row>
    <row r="2774" spans="1:17" x14ac:dyDescent="0.3">
      <c r="A2774" t="s">
        <v>6263</v>
      </c>
      <c r="B2774" t="s">
        <v>1228</v>
      </c>
      <c r="C2774" s="2" t="str">
        <f>PROPER(TRIM(Table1[[#This Row],[Gender]]))</f>
        <v>Female</v>
      </c>
      <c r="D2774" t="s">
        <v>43</v>
      </c>
      <c r="E2774">
        <v>32</v>
      </c>
      <c r="F2774" t="s">
        <v>31</v>
      </c>
      <c r="G2774" s="1">
        <v>33978</v>
      </c>
      <c r="H2774" t="s">
        <v>6264</v>
      </c>
      <c r="I2774" s="2" t="str">
        <f t="shared" si="43"/>
        <v>+91-8333284700</v>
      </c>
      <c r="J2774">
        <f>91-8333284791</f>
        <v>-8333284700</v>
      </c>
      <c r="K2774" t="s">
        <v>80</v>
      </c>
      <c r="L2774" t="s">
        <v>20</v>
      </c>
      <c r="M2774">
        <v>558553</v>
      </c>
      <c r="N2774" s="1">
        <v>45200</v>
      </c>
      <c r="O2774" t="s">
        <v>28</v>
      </c>
      <c r="P2774">
        <v>5</v>
      </c>
      <c r="Q2774">
        <v>164670.44</v>
      </c>
    </row>
    <row r="2775" spans="1:17" x14ac:dyDescent="0.3">
      <c r="A2775" t="s">
        <v>6265</v>
      </c>
      <c r="B2775" t="s">
        <v>6266</v>
      </c>
      <c r="C2775" s="2" t="str">
        <f>PROPER(TRIM(Table1[[#This Row],[Gender]]))</f>
        <v>Female</v>
      </c>
      <c r="D2775" t="s">
        <v>43</v>
      </c>
      <c r="E2775">
        <v>66</v>
      </c>
      <c r="F2775" t="s">
        <v>24</v>
      </c>
      <c r="G2775" s="1">
        <v>21568</v>
      </c>
      <c r="H2775" t="s">
        <v>6267</v>
      </c>
      <c r="I2775" s="2" t="str">
        <f t="shared" si="43"/>
        <v>+91-9579320176</v>
      </c>
      <c r="J2775">
        <f>91-9579320267</f>
        <v>-9579320176</v>
      </c>
      <c r="K2775" t="s">
        <v>113</v>
      </c>
      <c r="L2775" t="s">
        <v>34</v>
      </c>
      <c r="M2775">
        <v>718557</v>
      </c>
      <c r="N2775" s="1">
        <v>45247</v>
      </c>
      <c r="O2775" t="s">
        <v>21</v>
      </c>
      <c r="P2775">
        <v>3</v>
      </c>
      <c r="Q2775">
        <v>31101.99</v>
      </c>
    </row>
    <row r="2776" spans="1:17" x14ac:dyDescent="0.3">
      <c r="A2776" t="s">
        <v>6268</v>
      </c>
      <c r="B2776" t="s">
        <v>6269</v>
      </c>
      <c r="C2776" s="2" t="str">
        <f>PROPER(TRIM(Table1[[#This Row],[Gender]]))</f>
        <v>Female</v>
      </c>
      <c r="D2776" t="s">
        <v>43</v>
      </c>
      <c r="E2776">
        <v>34</v>
      </c>
      <c r="F2776" t="s">
        <v>31</v>
      </c>
      <c r="G2776" s="1">
        <v>33248</v>
      </c>
      <c r="H2776" t="s">
        <v>6270</v>
      </c>
      <c r="I2776" s="2" t="str">
        <f t="shared" si="43"/>
        <v>+91-9202478169</v>
      </c>
      <c r="J2776">
        <f>91-9202478260</f>
        <v>-9202478169</v>
      </c>
      <c r="K2776" t="s">
        <v>174</v>
      </c>
      <c r="L2776" t="s">
        <v>90</v>
      </c>
      <c r="M2776">
        <v>425205</v>
      </c>
      <c r="N2776" s="1">
        <v>45213</v>
      </c>
      <c r="O2776" t="s">
        <v>28</v>
      </c>
      <c r="P2776">
        <v>5</v>
      </c>
      <c r="Q2776">
        <v>70742.679999999993</v>
      </c>
    </row>
    <row r="2777" spans="1:17" x14ac:dyDescent="0.3">
      <c r="A2777" t="s">
        <v>6271</v>
      </c>
      <c r="B2777" t="s">
        <v>5276</v>
      </c>
      <c r="C2777" s="2" t="str">
        <f>PROPER(TRIM(Table1[[#This Row],[Gender]]))</f>
        <v>Male</v>
      </c>
      <c r="D2777" t="s">
        <v>16</v>
      </c>
      <c r="E2777">
        <v>25</v>
      </c>
      <c r="F2777" t="s">
        <v>49</v>
      </c>
      <c r="G2777" s="1">
        <v>36533</v>
      </c>
      <c r="H2777" t="s">
        <v>6272</v>
      </c>
      <c r="I2777" s="2" t="str">
        <f t="shared" si="43"/>
        <v>+91-8843218348</v>
      </c>
      <c r="J2777">
        <f>91-8843218439</f>
        <v>-8843218348</v>
      </c>
      <c r="K2777" t="s">
        <v>60</v>
      </c>
      <c r="L2777" t="s">
        <v>34</v>
      </c>
      <c r="M2777">
        <v>316109</v>
      </c>
      <c r="N2777" s="1">
        <v>45404</v>
      </c>
      <c r="O2777" t="s">
        <v>35</v>
      </c>
      <c r="P2777">
        <v>0</v>
      </c>
      <c r="Q2777">
        <v>0</v>
      </c>
    </row>
    <row r="2778" spans="1:17" x14ac:dyDescent="0.3">
      <c r="A2778" t="s">
        <v>6273</v>
      </c>
      <c r="B2778" t="s">
        <v>460</v>
      </c>
      <c r="C2778" s="2" t="str">
        <f>PROPER(TRIM(Table1[[#This Row],[Gender]]))</f>
        <v>Male</v>
      </c>
      <c r="D2778" t="s">
        <v>16</v>
      </c>
      <c r="E2778">
        <v>28</v>
      </c>
      <c r="F2778" t="s">
        <v>31</v>
      </c>
      <c r="G2778" s="1">
        <v>35438</v>
      </c>
      <c r="H2778" t="s">
        <v>6274</v>
      </c>
      <c r="I2778" s="2" t="str">
        <f t="shared" si="43"/>
        <v>+91-7174940313</v>
      </c>
      <c r="J2778">
        <f>91-7174940404</f>
        <v>-7174940313</v>
      </c>
      <c r="K2778" t="s">
        <v>580</v>
      </c>
      <c r="L2778" t="s">
        <v>85</v>
      </c>
      <c r="M2778">
        <v>573275</v>
      </c>
      <c r="N2778" s="1">
        <v>45149</v>
      </c>
      <c r="O2778" t="s">
        <v>28</v>
      </c>
      <c r="P2778">
        <v>2</v>
      </c>
      <c r="Q2778">
        <v>87514.62</v>
      </c>
    </row>
    <row r="2779" spans="1:17" x14ac:dyDescent="0.3">
      <c r="A2779" t="s">
        <v>6275</v>
      </c>
      <c r="B2779" t="s">
        <v>167</v>
      </c>
      <c r="C2779" s="2" t="str">
        <f>PROPER(TRIM(Table1[[#This Row],[Gender]]))</f>
        <v>Female</v>
      </c>
      <c r="D2779" t="s">
        <v>43</v>
      </c>
      <c r="E2779">
        <v>23</v>
      </c>
      <c r="F2779" t="s">
        <v>49</v>
      </c>
      <c r="G2779" s="1">
        <v>37263</v>
      </c>
      <c r="H2779" t="s">
        <v>6276</v>
      </c>
      <c r="I2779" s="2" t="str">
        <f t="shared" si="43"/>
        <v>+91-7261194713</v>
      </c>
      <c r="J2779">
        <f>91-7261194804</f>
        <v>-7261194713</v>
      </c>
      <c r="K2779" t="s">
        <v>26</v>
      </c>
      <c r="L2779" t="s">
        <v>27</v>
      </c>
      <c r="M2779">
        <v>248139</v>
      </c>
      <c r="N2779" s="1">
        <v>45187</v>
      </c>
      <c r="O2779" t="s">
        <v>28</v>
      </c>
      <c r="P2779">
        <v>9</v>
      </c>
      <c r="Q2779">
        <v>126995</v>
      </c>
    </row>
    <row r="2780" spans="1:17" x14ac:dyDescent="0.3">
      <c r="A2780" t="s">
        <v>6277</v>
      </c>
      <c r="B2780" t="s">
        <v>4966</v>
      </c>
      <c r="C2780" s="2" t="str">
        <f>PROPER(TRIM(Table1[[#This Row],[Gender]]))</f>
        <v>Male</v>
      </c>
      <c r="D2780" t="s">
        <v>16</v>
      </c>
      <c r="E2780">
        <v>33</v>
      </c>
      <c r="F2780" t="s">
        <v>31</v>
      </c>
      <c r="G2780" s="1">
        <v>33613</v>
      </c>
      <c r="H2780" t="s">
        <v>6278</v>
      </c>
      <c r="I2780" s="2" t="str">
        <f t="shared" si="43"/>
        <v>+91-8610571141</v>
      </c>
      <c r="J2780">
        <f>91-8610571232</f>
        <v>-8610571141</v>
      </c>
      <c r="K2780" t="s">
        <v>125</v>
      </c>
      <c r="L2780" t="s">
        <v>52</v>
      </c>
      <c r="M2780">
        <v>895443</v>
      </c>
      <c r="N2780" s="1">
        <v>45222</v>
      </c>
      <c r="O2780" t="s">
        <v>28</v>
      </c>
      <c r="P2780">
        <v>7</v>
      </c>
      <c r="Q2780">
        <v>169878.94</v>
      </c>
    </row>
    <row r="2781" spans="1:17" x14ac:dyDescent="0.3">
      <c r="A2781" t="s">
        <v>6279</v>
      </c>
      <c r="B2781" t="s">
        <v>672</v>
      </c>
      <c r="C2781" s="2" t="str">
        <f>PROPER(TRIM(Table1[[#This Row],[Gender]]))</f>
        <v>Female</v>
      </c>
      <c r="D2781" t="s">
        <v>43</v>
      </c>
      <c r="E2781">
        <v>51</v>
      </c>
      <c r="F2781" t="s">
        <v>17</v>
      </c>
      <c r="G2781" s="1">
        <v>27043</v>
      </c>
      <c r="H2781" t="s">
        <v>6280</v>
      </c>
      <c r="I2781" s="2" t="str">
        <f t="shared" si="43"/>
        <v>+91-8285532695</v>
      </c>
      <c r="J2781">
        <f>91-8285532786</f>
        <v>-8285532695</v>
      </c>
      <c r="K2781" t="s">
        <v>60</v>
      </c>
      <c r="L2781" t="s">
        <v>34</v>
      </c>
      <c r="M2781">
        <v>337764</v>
      </c>
      <c r="N2781" s="1">
        <v>45136</v>
      </c>
      <c r="O2781" t="s">
        <v>28</v>
      </c>
      <c r="P2781">
        <v>8</v>
      </c>
      <c r="Q2781">
        <v>63111.040000000001</v>
      </c>
    </row>
    <row r="2782" spans="1:17" x14ac:dyDescent="0.3">
      <c r="A2782" t="s">
        <v>6281</v>
      </c>
      <c r="B2782" t="s">
        <v>1513</v>
      </c>
      <c r="C2782" s="2" t="str">
        <f>PROPER(TRIM(Table1[[#This Row],[Gender]]))</f>
        <v>Female</v>
      </c>
      <c r="D2782" t="s">
        <v>43</v>
      </c>
      <c r="E2782">
        <v>31</v>
      </c>
      <c r="F2782" t="s">
        <v>31</v>
      </c>
      <c r="G2782" s="1">
        <v>34343</v>
      </c>
      <c r="H2782" t="s">
        <v>6282</v>
      </c>
      <c r="I2782" s="2" t="str">
        <f t="shared" si="43"/>
        <v>+91-7599614451</v>
      </c>
      <c r="J2782">
        <f>91-7599614542</f>
        <v>-7599614451</v>
      </c>
      <c r="K2782" t="s">
        <v>51</v>
      </c>
      <c r="L2782" t="s">
        <v>52</v>
      </c>
      <c r="M2782">
        <v>930159</v>
      </c>
      <c r="N2782" s="1">
        <v>45176</v>
      </c>
      <c r="O2782" t="s">
        <v>28</v>
      </c>
      <c r="P2782">
        <v>7</v>
      </c>
      <c r="Q2782">
        <v>242425.02</v>
      </c>
    </row>
    <row r="2783" spans="1:17" x14ac:dyDescent="0.3">
      <c r="A2783" t="s">
        <v>6283</v>
      </c>
      <c r="B2783" t="s">
        <v>957</v>
      </c>
      <c r="C2783" s="2" t="str">
        <f>PROPER(TRIM(Table1[[#This Row],[Gender]]))</f>
        <v>Female</v>
      </c>
      <c r="D2783" t="s">
        <v>43</v>
      </c>
      <c r="E2783">
        <v>18</v>
      </c>
      <c r="F2783" t="s">
        <v>49</v>
      </c>
      <c r="G2783" s="1">
        <v>39088</v>
      </c>
      <c r="H2783" t="s">
        <v>6284</v>
      </c>
      <c r="I2783" s="2" t="str">
        <f t="shared" si="43"/>
        <v>+91-8545257537</v>
      </c>
      <c r="J2783">
        <f>91-8545257628</f>
        <v>-8545257537</v>
      </c>
      <c r="K2783" t="s">
        <v>40</v>
      </c>
      <c r="L2783" t="s">
        <v>27</v>
      </c>
      <c r="M2783">
        <v>380920</v>
      </c>
      <c r="N2783" s="1">
        <v>45327</v>
      </c>
      <c r="O2783" t="s">
        <v>28</v>
      </c>
      <c r="P2783">
        <v>3</v>
      </c>
      <c r="Q2783">
        <v>107933.14</v>
      </c>
    </row>
    <row r="2784" spans="1:17" x14ac:dyDescent="0.3">
      <c r="A2784" t="s">
        <v>6285</v>
      </c>
      <c r="B2784" t="s">
        <v>4571</v>
      </c>
      <c r="C2784" s="2" t="str">
        <f>PROPER(TRIM(Table1[[#This Row],[Gender]]))</f>
        <v>Female</v>
      </c>
      <c r="D2784" t="s">
        <v>43</v>
      </c>
      <c r="E2784">
        <v>40</v>
      </c>
      <c r="F2784" t="s">
        <v>38</v>
      </c>
      <c r="G2784" s="1">
        <v>31058</v>
      </c>
      <c r="H2784" t="s">
        <v>6286</v>
      </c>
      <c r="I2784" s="2" t="str">
        <f t="shared" si="43"/>
        <v>+91-7306140307</v>
      </c>
      <c r="J2784">
        <f>91-7306140398</f>
        <v>-7306140307</v>
      </c>
      <c r="K2784" t="s">
        <v>147</v>
      </c>
      <c r="L2784" t="s">
        <v>143</v>
      </c>
      <c r="M2784">
        <v>978769</v>
      </c>
      <c r="N2784" s="1">
        <v>45325</v>
      </c>
      <c r="O2784" t="s">
        <v>28</v>
      </c>
      <c r="P2784">
        <v>9</v>
      </c>
      <c r="Q2784">
        <v>206364.7</v>
      </c>
    </row>
    <row r="2785" spans="1:17" x14ac:dyDescent="0.3">
      <c r="A2785" t="s">
        <v>6287</v>
      </c>
      <c r="B2785" t="s">
        <v>1787</v>
      </c>
      <c r="C2785" s="2" t="str">
        <f>PROPER(TRIM(Table1[[#This Row],[Gender]]))</f>
        <v>Male</v>
      </c>
      <c r="D2785" t="s">
        <v>16</v>
      </c>
      <c r="E2785">
        <v>22</v>
      </c>
      <c r="F2785" t="s">
        <v>49</v>
      </c>
      <c r="G2785" s="1">
        <v>37628</v>
      </c>
      <c r="H2785" t="s">
        <v>1788</v>
      </c>
      <c r="I2785" s="2" t="str">
        <f t="shared" si="43"/>
        <v>+91-9278563310</v>
      </c>
      <c r="J2785">
        <f>91-9278563401</f>
        <v>-9278563310</v>
      </c>
      <c r="K2785" t="s">
        <v>154</v>
      </c>
      <c r="L2785" t="s">
        <v>46</v>
      </c>
      <c r="M2785">
        <v>238968</v>
      </c>
      <c r="N2785" s="1">
        <v>45184</v>
      </c>
      <c r="O2785" t="s">
        <v>21</v>
      </c>
      <c r="P2785">
        <v>5</v>
      </c>
      <c r="Q2785">
        <v>31460.07</v>
      </c>
    </row>
    <row r="2786" spans="1:17" x14ac:dyDescent="0.3">
      <c r="A2786" t="s">
        <v>6288</v>
      </c>
      <c r="B2786" t="s">
        <v>6289</v>
      </c>
      <c r="C2786" s="2" t="str">
        <f>PROPER(TRIM(Table1[[#This Row],[Gender]]))</f>
        <v>Male</v>
      </c>
      <c r="D2786" t="s">
        <v>16</v>
      </c>
      <c r="E2786">
        <v>27</v>
      </c>
      <c r="F2786" t="s">
        <v>31</v>
      </c>
      <c r="G2786" s="1">
        <v>35803</v>
      </c>
      <c r="H2786" t="s">
        <v>6290</v>
      </c>
      <c r="I2786" s="2" t="str">
        <f t="shared" si="43"/>
        <v>+91-9203063764</v>
      </c>
      <c r="J2786">
        <f>91-9203063855</f>
        <v>-9203063764</v>
      </c>
      <c r="K2786" t="s">
        <v>273</v>
      </c>
      <c r="L2786" t="s">
        <v>46</v>
      </c>
      <c r="M2786">
        <v>808048</v>
      </c>
      <c r="N2786" s="1">
        <v>45344</v>
      </c>
      <c r="O2786" t="s">
        <v>28</v>
      </c>
      <c r="P2786">
        <v>5</v>
      </c>
      <c r="Q2786">
        <v>60735.44</v>
      </c>
    </row>
    <row r="2787" spans="1:17" x14ac:dyDescent="0.3">
      <c r="A2787" t="s">
        <v>6291</v>
      </c>
      <c r="B2787" t="s">
        <v>6292</v>
      </c>
      <c r="C2787" s="2" t="str">
        <f>PROPER(TRIM(Table1[[#This Row],[Gender]]))</f>
        <v>Male</v>
      </c>
      <c r="D2787" t="s">
        <v>16</v>
      </c>
      <c r="E2787">
        <v>18</v>
      </c>
      <c r="F2787" t="s">
        <v>49</v>
      </c>
      <c r="G2787" s="1">
        <v>39088</v>
      </c>
      <c r="H2787" t="s">
        <v>6293</v>
      </c>
      <c r="I2787" s="2" t="str">
        <f t="shared" si="43"/>
        <v>+91-8869376121</v>
      </c>
      <c r="J2787">
        <f>91-8869376212</f>
        <v>-8869376121</v>
      </c>
      <c r="K2787" t="s">
        <v>202</v>
      </c>
      <c r="L2787" t="s">
        <v>191</v>
      </c>
      <c r="M2787">
        <v>752205</v>
      </c>
      <c r="N2787" s="1">
        <v>45333</v>
      </c>
      <c r="O2787" t="s">
        <v>28</v>
      </c>
      <c r="P2787">
        <v>2</v>
      </c>
      <c r="Q2787">
        <v>196882.42</v>
      </c>
    </row>
    <row r="2788" spans="1:17" x14ac:dyDescent="0.3">
      <c r="A2788" t="s">
        <v>6294</v>
      </c>
      <c r="B2788" t="s">
        <v>1130</v>
      </c>
      <c r="C2788" s="2" t="str">
        <f>PROPER(TRIM(Table1[[#This Row],[Gender]]))</f>
        <v>Male</v>
      </c>
      <c r="D2788" t="s">
        <v>16</v>
      </c>
      <c r="E2788">
        <v>60</v>
      </c>
      <c r="F2788" t="s">
        <v>58</v>
      </c>
      <c r="G2788" s="1">
        <v>23758</v>
      </c>
      <c r="H2788" t="s">
        <v>6295</v>
      </c>
      <c r="I2788" s="2" t="str">
        <f t="shared" si="43"/>
        <v>+91-9786053118</v>
      </c>
      <c r="J2788">
        <f>91-9786053209</f>
        <v>-9786053118</v>
      </c>
      <c r="K2788" t="s">
        <v>68</v>
      </c>
      <c r="L2788" t="s">
        <v>52</v>
      </c>
      <c r="M2788">
        <v>793114</v>
      </c>
      <c r="N2788" s="1">
        <v>45375</v>
      </c>
      <c r="O2788" t="s">
        <v>35</v>
      </c>
      <c r="P2788">
        <v>5</v>
      </c>
      <c r="Q2788">
        <v>18398.150000000001</v>
      </c>
    </row>
    <row r="2789" spans="1:17" x14ac:dyDescent="0.3">
      <c r="A2789" t="s">
        <v>6296</v>
      </c>
      <c r="B2789" t="s">
        <v>2837</v>
      </c>
      <c r="C2789" s="2" t="str">
        <f>PROPER(TRIM(Table1[[#This Row],[Gender]]))</f>
        <v>Male</v>
      </c>
      <c r="D2789" t="s">
        <v>16</v>
      </c>
      <c r="E2789">
        <v>31</v>
      </c>
      <c r="F2789" t="s">
        <v>31</v>
      </c>
      <c r="G2789" s="1">
        <v>34343</v>
      </c>
      <c r="H2789" t="s">
        <v>6297</v>
      </c>
      <c r="I2789" s="2" t="str">
        <f t="shared" si="43"/>
        <v>+91-9227932723</v>
      </c>
      <c r="J2789">
        <f>91-9227932814</f>
        <v>-9227932723</v>
      </c>
      <c r="K2789" t="s">
        <v>101</v>
      </c>
      <c r="L2789" t="s">
        <v>102</v>
      </c>
      <c r="M2789">
        <v>677076</v>
      </c>
      <c r="N2789" s="1">
        <v>45259</v>
      </c>
      <c r="O2789" t="s">
        <v>28</v>
      </c>
      <c r="P2789">
        <v>6</v>
      </c>
      <c r="Q2789">
        <v>69339.960000000006</v>
      </c>
    </row>
    <row r="2790" spans="1:17" x14ac:dyDescent="0.3">
      <c r="A2790" t="s">
        <v>6298</v>
      </c>
      <c r="B2790" t="s">
        <v>2213</v>
      </c>
      <c r="C2790" s="2" t="str">
        <f>PROPER(TRIM(Table1[[#This Row],[Gender]]))</f>
        <v>Male</v>
      </c>
      <c r="D2790" t="s">
        <v>16</v>
      </c>
      <c r="E2790">
        <v>38</v>
      </c>
      <c r="F2790" t="s">
        <v>38</v>
      </c>
      <c r="G2790" s="1">
        <v>31788</v>
      </c>
      <c r="H2790" t="s">
        <v>5963</v>
      </c>
      <c r="I2790" s="2" t="str">
        <f t="shared" si="43"/>
        <v>+91-9626946863</v>
      </c>
      <c r="J2790">
        <f>91-9626946954</f>
        <v>-9626946863</v>
      </c>
      <c r="K2790" t="s">
        <v>19</v>
      </c>
      <c r="L2790" t="s">
        <v>20</v>
      </c>
      <c r="M2790">
        <v>803611</v>
      </c>
      <c r="N2790" s="1">
        <v>45158</v>
      </c>
      <c r="O2790" t="s">
        <v>28</v>
      </c>
      <c r="P2790">
        <v>5</v>
      </c>
      <c r="Q2790">
        <v>244100.27</v>
      </c>
    </row>
    <row r="2791" spans="1:17" x14ac:dyDescent="0.3">
      <c r="A2791" t="s">
        <v>6299</v>
      </c>
      <c r="B2791" t="s">
        <v>389</v>
      </c>
      <c r="C2791" s="2" t="str">
        <f>PROPER(TRIM(Table1[[#This Row],[Gender]]))</f>
        <v>Female</v>
      </c>
      <c r="D2791" t="s">
        <v>43</v>
      </c>
      <c r="E2791">
        <v>50</v>
      </c>
      <c r="F2791" t="s">
        <v>17</v>
      </c>
      <c r="G2791" s="1">
        <v>27408</v>
      </c>
      <c r="H2791" t="s">
        <v>6300</v>
      </c>
      <c r="I2791" s="2" t="str">
        <f t="shared" si="43"/>
        <v>+91-7217362974</v>
      </c>
      <c r="J2791">
        <f>91-7217363065</f>
        <v>-7217362974</v>
      </c>
      <c r="K2791" t="s">
        <v>142</v>
      </c>
      <c r="L2791" t="s">
        <v>143</v>
      </c>
      <c r="M2791">
        <v>569807</v>
      </c>
      <c r="N2791" s="1">
        <v>45267</v>
      </c>
      <c r="O2791" t="s">
        <v>21</v>
      </c>
      <c r="P2791">
        <v>4</v>
      </c>
      <c r="Q2791">
        <v>45104.67</v>
      </c>
    </row>
    <row r="2792" spans="1:17" x14ac:dyDescent="0.3">
      <c r="A2792" t="s">
        <v>6301</v>
      </c>
      <c r="B2792" t="s">
        <v>5880</v>
      </c>
      <c r="C2792" s="2" t="str">
        <f>PROPER(TRIM(Table1[[#This Row],[Gender]]))</f>
        <v>Male</v>
      </c>
      <c r="D2792" t="s">
        <v>16</v>
      </c>
      <c r="E2792">
        <v>28</v>
      </c>
      <c r="F2792" t="s">
        <v>31</v>
      </c>
      <c r="G2792" s="1">
        <v>35438</v>
      </c>
      <c r="H2792" t="s">
        <v>6302</v>
      </c>
      <c r="I2792" s="2" t="str">
        <f t="shared" si="43"/>
        <v>+91-9931811548</v>
      </c>
      <c r="J2792">
        <f>91-9931811639</f>
        <v>-9931811548</v>
      </c>
      <c r="K2792" t="s">
        <v>89</v>
      </c>
      <c r="L2792" t="s">
        <v>90</v>
      </c>
      <c r="M2792">
        <v>886496</v>
      </c>
      <c r="N2792" s="1">
        <v>45408</v>
      </c>
      <c r="O2792" t="s">
        <v>28</v>
      </c>
      <c r="P2792">
        <v>10</v>
      </c>
      <c r="Q2792">
        <v>197159.18</v>
      </c>
    </row>
    <row r="2793" spans="1:17" x14ac:dyDescent="0.3">
      <c r="A2793" t="s">
        <v>6303</v>
      </c>
      <c r="B2793" t="s">
        <v>908</v>
      </c>
      <c r="C2793" s="2" t="str">
        <f>PROPER(TRIM(Table1[[#This Row],[Gender]]))</f>
        <v>Female</v>
      </c>
      <c r="D2793" t="s">
        <v>43</v>
      </c>
      <c r="E2793">
        <v>43</v>
      </c>
      <c r="F2793" t="s">
        <v>38</v>
      </c>
      <c r="G2793" s="1">
        <v>29963</v>
      </c>
      <c r="H2793" t="s">
        <v>6304</v>
      </c>
      <c r="I2793" s="2" t="str">
        <f t="shared" si="43"/>
        <v>+91-8503601021</v>
      </c>
      <c r="J2793">
        <f>91-8503601112</f>
        <v>-8503601021</v>
      </c>
      <c r="K2793" t="s">
        <v>202</v>
      </c>
      <c r="L2793" t="s">
        <v>191</v>
      </c>
      <c r="M2793">
        <v>416249</v>
      </c>
      <c r="N2793" s="1">
        <v>45294</v>
      </c>
      <c r="O2793" t="s">
        <v>28</v>
      </c>
      <c r="P2793">
        <v>6</v>
      </c>
      <c r="Q2793">
        <v>89514.44</v>
      </c>
    </row>
    <row r="2794" spans="1:17" x14ac:dyDescent="0.3">
      <c r="A2794" t="s">
        <v>6305</v>
      </c>
      <c r="B2794" t="s">
        <v>3670</v>
      </c>
      <c r="C2794" s="2" t="str">
        <f>PROPER(TRIM(Table1[[#This Row],[Gender]]))</f>
        <v>Male</v>
      </c>
      <c r="D2794" t="s">
        <v>16</v>
      </c>
      <c r="E2794">
        <v>34</v>
      </c>
      <c r="F2794" t="s">
        <v>31</v>
      </c>
      <c r="G2794" s="1">
        <v>33248</v>
      </c>
      <c r="H2794" t="s">
        <v>6306</v>
      </c>
      <c r="I2794" s="2" t="str">
        <f t="shared" si="43"/>
        <v>+91-8505846718</v>
      </c>
      <c r="J2794">
        <f>91-8505846809</f>
        <v>-8505846718</v>
      </c>
      <c r="K2794" t="s">
        <v>51</v>
      </c>
      <c r="L2794" t="s">
        <v>52</v>
      </c>
      <c r="M2794">
        <v>378125</v>
      </c>
      <c r="N2794" s="1">
        <v>45255</v>
      </c>
      <c r="O2794" t="s">
        <v>28</v>
      </c>
      <c r="P2794">
        <v>8</v>
      </c>
      <c r="Q2794">
        <v>260073.02</v>
      </c>
    </row>
    <row r="2795" spans="1:17" x14ac:dyDescent="0.3">
      <c r="A2795" t="s">
        <v>6307</v>
      </c>
      <c r="B2795" t="s">
        <v>1888</v>
      </c>
      <c r="C2795" s="2" t="str">
        <f>PROPER(TRIM(Table1[[#This Row],[Gender]]))</f>
        <v>Female</v>
      </c>
      <c r="D2795" t="s">
        <v>43</v>
      </c>
      <c r="E2795">
        <v>60</v>
      </c>
      <c r="F2795" t="s">
        <v>58</v>
      </c>
      <c r="G2795" s="1">
        <v>23758</v>
      </c>
      <c r="H2795" t="s">
        <v>6308</v>
      </c>
      <c r="I2795" s="2" t="str">
        <f t="shared" si="43"/>
        <v>+91-7075489686</v>
      </c>
      <c r="J2795">
        <f>91-7075489777</f>
        <v>-7075489686</v>
      </c>
      <c r="K2795" t="s">
        <v>94</v>
      </c>
      <c r="L2795" t="s">
        <v>20</v>
      </c>
      <c r="M2795">
        <v>265597</v>
      </c>
      <c r="N2795" s="1">
        <v>45285</v>
      </c>
      <c r="O2795" t="s">
        <v>21</v>
      </c>
      <c r="P2795">
        <v>8</v>
      </c>
      <c r="Q2795">
        <v>23182.6</v>
      </c>
    </row>
    <row r="2796" spans="1:17" x14ac:dyDescent="0.3">
      <c r="A2796" t="s">
        <v>6309</v>
      </c>
      <c r="B2796" t="s">
        <v>6310</v>
      </c>
      <c r="C2796" s="2" t="str">
        <f>PROPER(TRIM(Table1[[#This Row],[Gender]]))</f>
        <v>Female</v>
      </c>
      <c r="D2796" t="s">
        <v>43</v>
      </c>
      <c r="E2796">
        <v>19</v>
      </c>
      <c r="F2796" t="s">
        <v>49</v>
      </c>
      <c r="G2796" s="1">
        <v>38723</v>
      </c>
      <c r="H2796" t="s">
        <v>6311</v>
      </c>
      <c r="I2796" s="2" t="str">
        <f t="shared" si="43"/>
        <v>+91-9111738250</v>
      </c>
      <c r="J2796">
        <f>91-9111738341</f>
        <v>-9111738250</v>
      </c>
      <c r="K2796" t="s">
        <v>51</v>
      </c>
      <c r="L2796" t="s">
        <v>52</v>
      </c>
      <c r="M2796">
        <v>450837</v>
      </c>
      <c r="N2796" s="1">
        <v>45078</v>
      </c>
      <c r="O2796" t="s">
        <v>28</v>
      </c>
      <c r="P2796">
        <v>3</v>
      </c>
      <c r="Q2796">
        <v>135389.21</v>
      </c>
    </row>
    <row r="2797" spans="1:17" x14ac:dyDescent="0.3">
      <c r="A2797" t="s">
        <v>6312</v>
      </c>
      <c r="B2797" t="s">
        <v>949</v>
      </c>
      <c r="C2797" s="2" t="str">
        <f>PROPER(TRIM(Table1[[#This Row],[Gender]]))</f>
        <v>Male</v>
      </c>
      <c r="D2797" t="s">
        <v>16</v>
      </c>
      <c r="E2797">
        <v>20</v>
      </c>
      <c r="F2797" t="s">
        <v>49</v>
      </c>
      <c r="G2797" s="1">
        <v>38358</v>
      </c>
      <c r="H2797" t="s">
        <v>6313</v>
      </c>
      <c r="I2797" s="2" t="str">
        <f t="shared" si="43"/>
        <v>+91-9021778250</v>
      </c>
      <c r="J2797">
        <f>91-9021778341</f>
        <v>-9021778250</v>
      </c>
      <c r="K2797" t="s">
        <v>165</v>
      </c>
      <c r="L2797" t="s">
        <v>52</v>
      </c>
      <c r="M2797">
        <v>932701</v>
      </c>
      <c r="N2797" s="1">
        <v>45380</v>
      </c>
      <c r="O2797" t="s">
        <v>28</v>
      </c>
      <c r="P2797">
        <v>2</v>
      </c>
      <c r="Q2797">
        <v>55758.25</v>
      </c>
    </row>
    <row r="2798" spans="1:17" x14ac:dyDescent="0.3">
      <c r="A2798" t="s">
        <v>6314</v>
      </c>
      <c r="B2798" t="s">
        <v>4494</v>
      </c>
      <c r="C2798" s="2" t="str">
        <f>PROPER(TRIM(Table1[[#This Row],[Gender]]))</f>
        <v>Male</v>
      </c>
      <c r="D2798" t="s">
        <v>16</v>
      </c>
      <c r="E2798">
        <v>34</v>
      </c>
      <c r="F2798" t="s">
        <v>31</v>
      </c>
      <c r="G2798" s="1">
        <v>33248</v>
      </c>
      <c r="H2798" t="s">
        <v>6315</v>
      </c>
      <c r="I2798" s="2" t="str">
        <f t="shared" si="43"/>
        <v>+91-9189998100</v>
      </c>
      <c r="J2798">
        <f>91-9189998191</f>
        <v>-9189998100</v>
      </c>
      <c r="K2798" t="s">
        <v>580</v>
      </c>
      <c r="L2798" t="s">
        <v>85</v>
      </c>
      <c r="M2798">
        <v>922842</v>
      </c>
      <c r="N2798" s="1">
        <v>45137</v>
      </c>
      <c r="O2798" t="s">
        <v>28</v>
      </c>
      <c r="P2798">
        <v>4</v>
      </c>
      <c r="Q2798">
        <v>98694.54</v>
      </c>
    </row>
    <row r="2799" spans="1:17" x14ac:dyDescent="0.3">
      <c r="A2799" t="s">
        <v>6316</v>
      </c>
      <c r="B2799" t="s">
        <v>2073</v>
      </c>
      <c r="C2799" s="2" t="str">
        <f>PROPER(TRIM(Table1[[#This Row],[Gender]]))</f>
        <v>Male</v>
      </c>
      <c r="D2799" t="s">
        <v>16</v>
      </c>
      <c r="E2799">
        <v>61</v>
      </c>
      <c r="F2799" t="s">
        <v>58</v>
      </c>
      <c r="G2799" s="1">
        <v>23393</v>
      </c>
      <c r="H2799" t="s">
        <v>6317</v>
      </c>
      <c r="I2799" s="2" t="str">
        <f t="shared" si="43"/>
        <v>+91-9318009623</v>
      </c>
      <c r="J2799">
        <f>91-9318009714</f>
        <v>-9318009623</v>
      </c>
      <c r="K2799" t="s">
        <v>165</v>
      </c>
      <c r="L2799" t="s">
        <v>52</v>
      </c>
      <c r="M2799">
        <v>284926</v>
      </c>
      <c r="N2799" s="1">
        <v>45396</v>
      </c>
      <c r="O2799" t="s">
        <v>21</v>
      </c>
      <c r="P2799">
        <v>4</v>
      </c>
      <c r="Q2799">
        <v>42969.94</v>
      </c>
    </row>
    <row r="2800" spans="1:17" x14ac:dyDescent="0.3">
      <c r="A2800" t="s">
        <v>6318</v>
      </c>
      <c r="B2800" t="s">
        <v>4833</v>
      </c>
      <c r="C2800" s="2" t="str">
        <f>PROPER(TRIM(Table1[[#This Row],[Gender]]))</f>
        <v>Male</v>
      </c>
      <c r="D2800" t="s">
        <v>16</v>
      </c>
      <c r="E2800">
        <v>31</v>
      </c>
      <c r="F2800" t="s">
        <v>31</v>
      </c>
      <c r="G2800" s="1">
        <v>34343</v>
      </c>
      <c r="H2800" t="s">
        <v>6319</v>
      </c>
      <c r="I2800" s="2" t="str">
        <f t="shared" si="43"/>
        <v>+91-8126878708</v>
      </c>
      <c r="J2800">
        <f>91-8126878799</f>
        <v>-8126878708</v>
      </c>
      <c r="K2800" t="s">
        <v>45</v>
      </c>
      <c r="L2800" t="s">
        <v>46</v>
      </c>
      <c r="M2800">
        <v>134650</v>
      </c>
      <c r="N2800" s="1">
        <v>45253</v>
      </c>
      <c r="O2800" t="s">
        <v>28</v>
      </c>
      <c r="P2800">
        <v>5</v>
      </c>
      <c r="Q2800">
        <v>143999.19</v>
      </c>
    </row>
    <row r="2801" spans="1:17" x14ac:dyDescent="0.3">
      <c r="A2801" t="s">
        <v>6320</v>
      </c>
      <c r="B2801" t="s">
        <v>1289</v>
      </c>
      <c r="C2801" s="2" t="str">
        <f>PROPER(TRIM(Table1[[#This Row],[Gender]]))</f>
        <v>Male</v>
      </c>
      <c r="D2801" t="s">
        <v>16</v>
      </c>
      <c r="E2801">
        <v>22</v>
      </c>
      <c r="F2801" t="s">
        <v>49</v>
      </c>
      <c r="G2801" s="1">
        <v>37628</v>
      </c>
      <c r="H2801" t="s">
        <v>6321</v>
      </c>
      <c r="I2801" s="2" t="str">
        <f t="shared" si="43"/>
        <v>+91-7975830569</v>
      </c>
      <c r="J2801">
        <f>91-7975830660</f>
        <v>-7975830569</v>
      </c>
      <c r="K2801" t="s">
        <v>138</v>
      </c>
      <c r="L2801" t="s">
        <v>90</v>
      </c>
      <c r="M2801">
        <v>140456</v>
      </c>
      <c r="N2801" s="1">
        <v>45352</v>
      </c>
      <c r="O2801" t="s">
        <v>28</v>
      </c>
      <c r="P2801">
        <v>3</v>
      </c>
      <c r="Q2801">
        <v>181568.29</v>
      </c>
    </row>
    <row r="2802" spans="1:17" x14ac:dyDescent="0.3">
      <c r="A2802" t="s">
        <v>6322</v>
      </c>
      <c r="B2802" t="s">
        <v>1012</v>
      </c>
      <c r="C2802" s="2" t="str">
        <f>PROPER(TRIM(Table1[[#This Row],[Gender]]))</f>
        <v>Male</v>
      </c>
      <c r="D2802" t="s">
        <v>16</v>
      </c>
      <c r="E2802">
        <v>41</v>
      </c>
      <c r="F2802" t="s">
        <v>38</v>
      </c>
      <c r="G2802" s="1">
        <v>30693</v>
      </c>
      <c r="H2802" t="s">
        <v>5133</v>
      </c>
      <c r="I2802" s="2" t="str">
        <f t="shared" si="43"/>
        <v>+91-9492264606</v>
      </c>
      <c r="J2802">
        <f>91-9492264697</f>
        <v>-9492264606</v>
      </c>
      <c r="K2802" t="s">
        <v>101</v>
      </c>
      <c r="L2802" t="s">
        <v>102</v>
      </c>
      <c r="M2802">
        <v>651297</v>
      </c>
      <c r="N2802" s="1">
        <v>45187</v>
      </c>
      <c r="O2802" t="s">
        <v>35</v>
      </c>
      <c r="P2802">
        <v>5</v>
      </c>
      <c r="Q2802">
        <v>12145.45</v>
      </c>
    </row>
    <row r="2803" spans="1:17" x14ac:dyDescent="0.3">
      <c r="A2803" t="s">
        <v>6323</v>
      </c>
      <c r="B2803" t="s">
        <v>4402</v>
      </c>
      <c r="C2803" s="2" t="str">
        <f>PROPER(TRIM(Table1[[#This Row],[Gender]]))</f>
        <v>Male</v>
      </c>
      <c r="D2803" t="s">
        <v>16</v>
      </c>
      <c r="E2803">
        <v>69</v>
      </c>
      <c r="F2803" t="s">
        <v>24</v>
      </c>
      <c r="G2803" s="1">
        <v>20473</v>
      </c>
      <c r="H2803" t="s">
        <v>6324</v>
      </c>
      <c r="I2803" s="2" t="str">
        <f t="shared" si="43"/>
        <v>+91-9457766450</v>
      </c>
      <c r="J2803">
        <f>91-9457766541</f>
        <v>-9457766450</v>
      </c>
      <c r="K2803" t="s">
        <v>19</v>
      </c>
      <c r="L2803" t="s">
        <v>20</v>
      </c>
      <c r="M2803">
        <v>864237</v>
      </c>
      <c r="N2803" s="1">
        <v>45312</v>
      </c>
      <c r="O2803" t="s">
        <v>35</v>
      </c>
      <c r="P2803">
        <v>2</v>
      </c>
      <c r="Q2803">
        <v>9271.81</v>
      </c>
    </row>
    <row r="2804" spans="1:17" x14ac:dyDescent="0.3">
      <c r="A2804" t="s">
        <v>6325</v>
      </c>
      <c r="B2804" t="s">
        <v>1367</v>
      </c>
      <c r="C2804" s="2" t="str">
        <f>PROPER(TRIM(Table1[[#This Row],[Gender]]))</f>
        <v>Female</v>
      </c>
      <c r="D2804" t="s">
        <v>43</v>
      </c>
      <c r="E2804">
        <v>22</v>
      </c>
      <c r="F2804" t="s">
        <v>49</v>
      </c>
      <c r="G2804" s="1">
        <v>37628</v>
      </c>
      <c r="H2804" t="s">
        <v>6326</v>
      </c>
      <c r="I2804" s="2" t="str">
        <f t="shared" si="43"/>
        <v>+91-8587806153</v>
      </c>
      <c r="J2804">
        <f>91-8587806244</f>
        <v>-8587806153</v>
      </c>
      <c r="K2804" t="s">
        <v>60</v>
      </c>
      <c r="L2804" t="s">
        <v>34</v>
      </c>
      <c r="M2804">
        <v>310797</v>
      </c>
      <c r="N2804" s="1">
        <v>45185</v>
      </c>
      <c r="O2804" t="s">
        <v>28</v>
      </c>
      <c r="P2804">
        <v>5</v>
      </c>
      <c r="Q2804">
        <v>238531.33</v>
      </c>
    </row>
    <row r="2805" spans="1:17" x14ac:dyDescent="0.3">
      <c r="A2805" t="s">
        <v>6327</v>
      </c>
      <c r="B2805" t="s">
        <v>140</v>
      </c>
      <c r="C2805" s="2" t="str">
        <f>PROPER(TRIM(Table1[[#This Row],[Gender]]))</f>
        <v>Female</v>
      </c>
      <c r="D2805" t="s">
        <v>43</v>
      </c>
      <c r="E2805">
        <v>35</v>
      </c>
      <c r="F2805" t="s">
        <v>31</v>
      </c>
      <c r="G2805" s="1">
        <v>32883</v>
      </c>
      <c r="H2805" t="s">
        <v>6328</v>
      </c>
      <c r="I2805" s="2" t="str">
        <f t="shared" si="43"/>
        <v>+91-9813543390</v>
      </c>
      <c r="J2805">
        <f>91-9813543481</f>
        <v>-9813543390</v>
      </c>
      <c r="K2805" t="s">
        <v>89</v>
      </c>
      <c r="L2805" t="s">
        <v>90</v>
      </c>
      <c r="M2805">
        <v>392677</v>
      </c>
      <c r="N2805" s="1">
        <v>45116</v>
      </c>
      <c r="O2805" t="s">
        <v>28</v>
      </c>
      <c r="P2805">
        <v>7</v>
      </c>
      <c r="Q2805">
        <v>144962.56</v>
      </c>
    </row>
    <row r="2806" spans="1:17" x14ac:dyDescent="0.3">
      <c r="A2806" t="s">
        <v>6329</v>
      </c>
      <c r="B2806" t="s">
        <v>2073</v>
      </c>
      <c r="C2806" s="2" t="str">
        <f>PROPER(TRIM(Table1[[#This Row],[Gender]]))</f>
        <v>Male</v>
      </c>
      <c r="D2806" t="s">
        <v>16</v>
      </c>
      <c r="E2806">
        <v>45</v>
      </c>
      <c r="F2806" t="s">
        <v>38</v>
      </c>
      <c r="G2806" s="1">
        <v>29233</v>
      </c>
      <c r="H2806" t="s">
        <v>6330</v>
      </c>
      <c r="I2806" s="2" t="str">
        <f t="shared" si="43"/>
        <v>+91-9835809918</v>
      </c>
      <c r="J2806">
        <f>91-9835810009</f>
        <v>-9835809918</v>
      </c>
      <c r="K2806" t="s">
        <v>369</v>
      </c>
      <c r="L2806" t="s">
        <v>191</v>
      </c>
      <c r="M2806">
        <v>430876</v>
      </c>
      <c r="N2806" s="1">
        <v>45223</v>
      </c>
      <c r="O2806" t="s">
        <v>28</v>
      </c>
      <c r="P2806">
        <v>7</v>
      </c>
      <c r="Q2806">
        <v>179235.89</v>
      </c>
    </row>
    <row r="2807" spans="1:17" x14ac:dyDescent="0.3">
      <c r="A2807" t="s">
        <v>6331</v>
      </c>
      <c r="B2807" t="s">
        <v>795</v>
      </c>
      <c r="C2807" s="2" t="str">
        <f>PROPER(TRIM(Table1[[#This Row],[Gender]]))</f>
        <v>Male</v>
      </c>
      <c r="D2807" t="s">
        <v>16</v>
      </c>
      <c r="E2807">
        <v>33</v>
      </c>
      <c r="F2807" t="s">
        <v>31</v>
      </c>
      <c r="G2807" s="1">
        <v>33613</v>
      </c>
      <c r="H2807" t="s">
        <v>6332</v>
      </c>
      <c r="I2807" s="2" t="str">
        <f t="shared" si="43"/>
        <v>+91-7093530163</v>
      </c>
      <c r="J2807">
        <f>91-7093530254</f>
        <v>-7093530163</v>
      </c>
      <c r="K2807" t="s">
        <v>45</v>
      </c>
      <c r="L2807" t="s">
        <v>46</v>
      </c>
      <c r="M2807">
        <v>504767</v>
      </c>
      <c r="N2807" s="1">
        <v>45329</v>
      </c>
      <c r="O2807" t="s">
        <v>21</v>
      </c>
      <c r="P2807">
        <v>2</v>
      </c>
      <c r="Q2807">
        <v>22380.3</v>
      </c>
    </row>
    <row r="2808" spans="1:17" x14ac:dyDescent="0.3">
      <c r="A2808" t="s">
        <v>6333</v>
      </c>
      <c r="B2808" t="s">
        <v>1133</v>
      </c>
      <c r="C2808" s="2" t="str">
        <f>PROPER(TRIM(Table1[[#This Row],[Gender]]))</f>
        <v>Female</v>
      </c>
      <c r="D2808" t="s">
        <v>43</v>
      </c>
      <c r="E2808">
        <v>28</v>
      </c>
      <c r="F2808" t="s">
        <v>31</v>
      </c>
      <c r="G2808" s="1">
        <v>35438</v>
      </c>
      <c r="H2808" t="s">
        <v>3192</v>
      </c>
      <c r="I2808" s="2" t="str">
        <f t="shared" si="43"/>
        <v>+91-9603821611</v>
      </c>
      <c r="J2808">
        <f>91-9603821702</f>
        <v>-9603821611</v>
      </c>
      <c r="K2808" t="s">
        <v>195</v>
      </c>
      <c r="L2808" t="s">
        <v>102</v>
      </c>
      <c r="M2808">
        <v>619805</v>
      </c>
      <c r="N2808" s="1">
        <v>45430</v>
      </c>
      <c r="O2808" t="s">
        <v>28</v>
      </c>
      <c r="P2808">
        <v>5</v>
      </c>
      <c r="Q2808">
        <v>129988.22</v>
      </c>
    </row>
    <row r="2809" spans="1:17" x14ac:dyDescent="0.3">
      <c r="A2809" t="s">
        <v>6334</v>
      </c>
      <c r="B2809" t="s">
        <v>6236</v>
      </c>
      <c r="C2809" s="2" t="str">
        <f>PROPER(TRIM(Table1[[#This Row],[Gender]]))</f>
        <v>Male</v>
      </c>
      <c r="D2809" t="s">
        <v>16</v>
      </c>
      <c r="E2809">
        <v>20</v>
      </c>
      <c r="F2809" t="s">
        <v>49</v>
      </c>
      <c r="G2809" s="1">
        <v>38358</v>
      </c>
      <c r="H2809" t="s">
        <v>6335</v>
      </c>
      <c r="I2809" s="2" t="str">
        <f t="shared" si="43"/>
        <v>+91-7436110762</v>
      </c>
      <c r="J2809">
        <f>91-7436110853</f>
        <v>-7436110762</v>
      </c>
      <c r="K2809" t="s">
        <v>147</v>
      </c>
      <c r="L2809" t="s">
        <v>143</v>
      </c>
      <c r="M2809">
        <v>156805</v>
      </c>
      <c r="N2809" s="1">
        <v>45439</v>
      </c>
      <c r="O2809" t="s">
        <v>28</v>
      </c>
      <c r="P2809">
        <v>5</v>
      </c>
      <c r="Q2809">
        <v>128247.09</v>
      </c>
    </row>
    <row r="2810" spans="1:17" x14ac:dyDescent="0.3">
      <c r="A2810" t="s">
        <v>6336</v>
      </c>
      <c r="B2810" t="s">
        <v>3722</v>
      </c>
      <c r="C2810" s="2" t="str">
        <f>PROPER(TRIM(Table1[[#This Row],[Gender]]))</f>
        <v>Male</v>
      </c>
      <c r="D2810" t="s">
        <v>16</v>
      </c>
      <c r="E2810">
        <v>25</v>
      </c>
      <c r="F2810" t="s">
        <v>49</v>
      </c>
      <c r="G2810" s="1">
        <v>36533</v>
      </c>
      <c r="H2810" t="s">
        <v>6337</v>
      </c>
      <c r="I2810" s="2" t="str">
        <f t="shared" si="43"/>
        <v>+91-9287981063</v>
      </c>
      <c r="J2810">
        <f>91-9287981154</f>
        <v>-9287981063</v>
      </c>
      <c r="K2810" t="s">
        <v>178</v>
      </c>
      <c r="L2810" t="s">
        <v>27</v>
      </c>
      <c r="M2810">
        <v>243733</v>
      </c>
      <c r="N2810" s="1">
        <v>45136</v>
      </c>
      <c r="O2810" t="s">
        <v>28</v>
      </c>
      <c r="P2810">
        <v>7</v>
      </c>
      <c r="Q2810">
        <v>207710.03</v>
      </c>
    </row>
    <row r="2811" spans="1:17" x14ac:dyDescent="0.3">
      <c r="A2811" t="s">
        <v>6338</v>
      </c>
      <c r="B2811" t="s">
        <v>1181</v>
      </c>
      <c r="C2811" s="2" t="str">
        <f>PROPER(TRIM(Table1[[#This Row],[Gender]]))</f>
        <v>Male</v>
      </c>
      <c r="D2811" t="s">
        <v>16</v>
      </c>
      <c r="E2811">
        <v>25</v>
      </c>
      <c r="F2811" t="s">
        <v>49</v>
      </c>
      <c r="G2811" s="1">
        <v>36533</v>
      </c>
      <c r="H2811" t="s">
        <v>6339</v>
      </c>
      <c r="I2811" s="2" t="str">
        <f t="shared" si="43"/>
        <v>+91-7342333096</v>
      </c>
      <c r="J2811">
        <f>91-7342333187</f>
        <v>-7342333096</v>
      </c>
      <c r="K2811" t="s">
        <v>121</v>
      </c>
      <c r="L2811" t="s">
        <v>85</v>
      </c>
      <c r="M2811">
        <v>306360</v>
      </c>
      <c r="N2811" s="1">
        <v>45367</v>
      </c>
      <c r="O2811" t="s">
        <v>28</v>
      </c>
      <c r="P2811">
        <v>3</v>
      </c>
      <c r="Q2811">
        <v>95883.56</v>
      </c>
    </row>
    <row r="2812" spans="1:17" x14ac:dyDescent="0.3">
      <c r="A2812" t="s">
        <v>6340</v>
      </c>
      <c r="B2812" t="s">
        <v>773</v>
      </c>
      <c r="C2812" s="2" t="str">
        <f>PROPER(TRIM(Table1[[#This Row],[Gender]]))</f>
        <v>Female</v>
      </c>
      <c r="D2812" t="s">
        <v>43</v>
      </c>
      <c r="E2812">
        <v>45</v>
      </c>
      <c r="F2812" t="s">
        <v>38</v>
      </c>
      <c r="G2812" s="1">
        <v>29233</v>
      </c>
      <c r="H2812" t="s">
        <v>1302</v>
      </c>
      <c r="I2812" s="2" t="str">
        <f t="shared" si="43"/>
        <v>+91-8242855364</v>
      </c>
      <c r="J2812">
        <f>91-8242855455</f>
        <v>-8242855364</v>
      </c>
      <c r="K2812" t="s">
        <v>165</v>
      </c>
      <c r="L2812" t="s">
        <v>52</v>
      </c>
      <c r="M2812">
        <v>456403</v>
      </c>
      <c r="N2812" s="1">
        <v>45141</v>
      </c>
      <c r="O2812" t="s">
        <v>28</v>
      </c>
      <c r="P2812">
        <v>6</v>
      </c>
      <c r="Q2812">
        <v>105213.75999999999</v>
      </c>
    </row>
    <row r="2813" spans="1:17" x14ac:dyDescent="0.3">
      <c r="A2813" t="s">
        <v>6341</v>
      </c>
      <c r="B2813" t="s">
        <v>2271</v>
      </c>
      <c r="C2813" s="2" t="str">
        <f>PROPER(TRIM(Table1[[#This Row],[Gender]]))</f>
        <v>Female</v>
      </c>
      <c r="D2813" t="s">
        <v>43</v>
      </c>
      <c r="E2813">
        <v>35</v>
      </c>
      <c r="F2813" t="s">
        <v>31</v>
      </c>
      <c r="G2813" s="1">
        <v>32883</v>
      </c>
      <c r="H2813" t="s">
        <v>6342</v>
      </c>
      <c r="I2813" s="2" t="str">
        <f t="shared" si="43"/>
        <v>+91-9632289272</v>
      </c>
      <c r="J2813">
        <f>91-9632289363</f>
        <v>-9632289272</v>
      </c>
      <c r="K2813" t="s">
        <v>165</v>
      </c>
      <c r="L2813" t="s">
        <v>52</v>
      </c>
      <c r="M2813">
        <v>222123</v>
      </c>
      <c r="N2813" s="1">
        <v>45112</v>
      </c>
      <c r="O2813" t="s">
        <v>28</v>
      </c>
      <c r="P2813">
        <v>2</v>
      </c>
      <c r="Q2813">
        <v>107851.16</v>
      </c>
    </row>
    <row r="2814" spans="1:17" x14ac:dyDescent="0.3">
      <c r="A2814" t="s">
        <v>6343</v>
      </c>
      <c r="B2814" t="s">
        <v>1297</v>
      </c>
      <c r="C2814" s="2" t="str">
        <f>PROPER(TRIM(Table1[[#This Row],[Gender]]))</f>
        <v>Male</v>
      </c>
      <c r="D2814" t="s">
        <v>16</v>
      </c>
      <c r="E2814">
        <v>31</v>
      </c>
      <c r="F2814" t="s">
        <v>31</v>
      </c>
      <c r="G2814" s="1">
        <v>34343</v>
      </c>
      <c r="H2814" t="s">
        <v>3116</v>
      </c>
      <c r="I2814" s="2" t="str">
        <f t="shared" si="43"/>
        <v>+91-9269176124</v>
      </c>
      <c r="J2814">
        <f>91-9269176215</f>
        <v>-9269176124</v>
      </c>
      <c r="K2814" t="s">
        <v>190</v>
      </c>
      <c r="L2814" t="s">
        <v>191</v>
      </c>
      <c r="M2814">
        <v>263700</v>
      </c>
      <c r="N2814" s="1">
        <v>45173</v>
      </c>
      <c r="O2814" t="s">
        <v>21</v>
      </c>
      <c r="P2814">
        <v>4</v>
      </c>
      <c r="Q2814">
        <v>34452.269999999997</v>
      </c>
    </row>
    <row r="2815" spans="1:17" x14ac:dyDescent="0.3">
      <c r="A2815" t="s">
        <v>6344</v>
      </c>
      <c r="B2815" t="s">
        <v>1811</v>
      </c>
      <c r="C2815" s="2" t="str">
        <f>PROPER(TRIM(Table1[[#This Row],[Gender]]))</f>
        <v>Female</v>
      </c>
      <c r="D2815" t="s">
        <v>43</v>
      </c>
      <c r="E2815">
        <v>50</v>
      </c>
      <c r="F2815" t="s">
        <v>17</v>
      </c>
      <c r="G2815" s="1">
        <v>27408</v>
      </c>
      <c r="H2815" t="s">
        <v>6345</v>
      </c>
      <c r="I2815" s="2" t="str">
        <f t="shared" si="43"/>
        <v>+91-9830562977</v>
      </c>
      <c r="J2815">
        <f>91-9830563068</f>
        <v>-9830562977</v>
      </c>
      <c r="K2815" t="s">
        <v>125</v>
      </c>
      <c r="L2815" t="s">
        <v>52</v>
      </c>
      <c r="M2815">
        <v>404931</v>
      </c>
      <c r="N2815" s="1">
        <v>45354</v>
      </c>
      <c r="O2815" t="s">
        <v>28</v>
      </c>
      <c r="P2815">
        <v>3</v>
      </c>
      <c r="Q2815">
        <v>60861.95</v>
      </c>
    </row>
    <row r="2816" spans="1:17" x14ac:dyDescent="0.3">
      <c r="A2816" t="s">
        <v>6346</v>
      </c>
      <c r="B2816" t="s">
        <v>3153</v>
      </c>
      <c r="C2816" s="2" t="str">
        <f>PROPER(TRIM(Table1[[#This Row],[Gender]]))</f>
        <v>Male</v>
      </c>
      <c r="D2816" t="s">
        <v>16</v>
      </c>
      <c r="E2816">
        <v>28</v>
      </c>
      <c r="F2816" t="s">
        <v>31</v>
      </c>
      <c r="G2816" s="1">
        <v>35438</v>
      </c>
      <c r="H2816" t="s">
        <v>6347</v>
      </c>
      <c r="I2816" s="2" t="str">
        <f t="shared" si="43"/>
        <v>+91-7919408751</v>
      </c>
      <c r="J2816">
        <f>91-7919408842</f>
        <v>-7919408751</v>
      </c>
      <c r="K2816" t="s">
        <v>165</v>
      </c>
      <c r="L2816" t="s">
        <v>52</v>
      </c>
      <c r="M2816">
        <v>389886</v>
      </c>
      <c r="N2816" s="1">
        <v>45133</v>
      </c>
      <c r="O2816" t="s">
        <v>28</v>
      </c>
      <c r="P2816">
        <v>5</v>
      </c>
      <c r="Q2816">
        <v>183973.73</v>
      </c>
    </row>
    <row r="2817" spans="1:17" x14ac:dyDescent="0.3">
      <c r="A2817" t="s">
        <v>6348</v>
      </c>
      <c r="B2817" t="s">
        <v>3290</v>
      </c>
      <c r="C2817" s="2" t="str">
        <f>PROPER(TRIM(Table1[[#This Row],[Gender]]))</f>
        <v>Male</v>
      </c>
      <c r="D2817" t="s">
        <v>16</v>
      </c>
      <c r="E2817">
        <v>18</v>
      </c>
      <c r="F2817" t="s">
        <v>49</v>
      </c>
      <c r="G2817" s="1">
        <v>39088</v>
      </c>
      <c r="H2817" t="s">
        <v>6349</v>
      </c>
      <c r="I2817" s="2" t="str">
        <f t="shared" si="43"/>
        <v>+91-8415307781</v>
      </c>
      <c r="J2817">
        <f>91-8415307872</f>
        <v>-8415307781</v>
      </c>
      <c r="K2817" t="s">
        <v>40</v>
      </c>
      <c r="L2817" t="s">
        <v>27</v>
      </c>
      <c r="M2817">
        <v>682594</v>
      </c>
      <c r="N2817" s="1">
        <v>45313</v>
      </c>
      <c r="O2817" t="s">
        <v>28</v>
      </c>
      <c r="P2817">
        <v>4</v>
      </c>
      <c r="Q2817">
        <v>109614.24</v>
      </c>
    </row>
    <row r="2818" spans="1:17" x14ac:dyDescent="0.3">
      <c r="A2818" t="s">
        <v>6350</v>
      </c>
      <c r="B2818" t="s">
        <v>1449</v>
      </c>
      <c r="C2818" s="2" t="str">
        <f>PROPER(TRIM(Table1[[#This Row],[Gender]]))</f>
        <v>Female</v>
      </c>
      <c r="D2818" t="s">
        <v>43</v>
      </c>
      <c r="E2818">
        <v>28</v>
      </c>
      <c r="F2818" t="s">
        <v>31</v>
      </c>
      <c r="G2818" s="1">
        <v>35438</v>
      </c>
      <c r="H2818" t="s">
        <v>3509</v>
      </c>
      <c r="I2818" s="2" t="str">
        <f t="shared" ref="I2818:I2881" si="44">"+91"&amp;TEXT(J2818,"0000000000")</f>
        <v>+91-7190969998</v>
      </c>
      <c r="J2818">
        <f>91-7190970089</f>
        <v>-7190969998</v>
      </c>
      <c r="K2818" t="s">
        <v>147</v>
      </c>
      <c r="L2818" t="s">
        <v>143</v>
      </c>
      <c r="M2818">
        <v>476963</v>
      </c>
      <c r="N2818" s="1">
        <v>45294</v>
      </c>
      <c r="O2818" t="s">
        <v>28</v>
      </c>
      <c r="P2818">
        <v>5</v>
      </c>
      <c r="Q2818">
        <v>145315.23000000001</v>
      </c>
    </row>
    <row r="2819" spans="1:17" x14ac:dyDescent="0.3">
      <c r="A2819" t="s">
        <v>6351</v>
      </c>
      <c r="B2819" t="s">
        <v>2182</v>
      </c>
      <c r="C2819" s="2" t="str">
        <f>PROPER(TRIM(Table1[[#This Row],[Gender]]))</f>
        <v>Male</v>
      </c>
      <c r="D2819" t="s">
        <v>16</v>
      </c>
      <c r="E2819">
        <v>31</v>
      </c>
      <c r="F2819" t="s">
        <v>31</v>
      </c>
      <c r="G2819" s="1">
        <v>34343</v>
      </c>
      <c r="H2819" t="s">
        <v>6352</v>
      </c>
      <c r="I2819" s="2" t="str">
        <f t="shared" si="44"/>
        <v>+91-7726921250</v>
      </c>
      <c r="J2819">
        <f>91-7726921341</f>
        <v>-7726921250</v>
      </c>
      <c r="K2819" t="s">
        <v>84</v>
      </c>
      <c r="L2819" t="s">
        <v>85</v>
      </c>
      <c r="M2819">
        <v>198663</v>
      </c>
      <c r="N2819" s="1">
        <v>45148</v>
      </c>
      <c r="O2819" t="s">
        <v>28</v>
      </c>
      <c r="P2819">
        <v>3</v>
      </c>
      <c r="Q2819">
        <v>65758.12</v>
      </c>
    </row>
    <row r="2820" spans="1:17" x14ac:dyDescent="0.3">
      <c r="A2820" t="s">
        <v>6353</v>
      </c>
      <c r="B2820" t="s">
        <v>1340</v>
      </c>
      <c r="C2820" s="2" t="str">
        <f>PROPER(TRIM(Table1[[#This Row],[Gender]]))</f>
        <v>Female</v>
      </c>
      <c r="D2820" t="s">
        <v>43</v>
      </c>
      <c r="E2820">
        <v>22</v>
      </c>
      <c r="F2820" t="s">
        <v>49</v>
      </c>
      <c r="G2820" s="1">
        <v>37628</v>
      </c>
      <c r="H2820" t="s">
        <v>6354</v>
      </c>
      <c r="I2820" s="2" t="str">
        <f t="shared" si="44"/>
        <v>+91-8822438245</v>
      </c>
      <c r="J2820">
        <f>91-8822438336</f>
        <v>-8822438245</v>
      </c>
      <c r="K2820" t="s">
        <v>138</v>
      </c>
      <c r="L2820" t="s">
        <v>90</v>
      </c>
      <c r="M2820">
        <v>254158</v>
      </c>
      <c r="N2820" s="1">
        <v>45280</v>
      </c>
      <c r="O2820" t="s">
        <v>35</v>
      </c>
      <c r="P2820">
        <v>7</v>
      </c>
      <c r="Q2820">
        <v>11664.85</v>
      </c>
    </row>
    <row r="2821" spans="1:17" x14ac:dyDescent="0.3">
      <c r="A2821" t="s">
        <v>6355</v>
      </c>
      <c r="B2821" t="s">
        <v>703</v>
      </c>
      <c r="C2821" s="2" t="str">
        <f>PROPER(TRIM(Table1[[#This Row],[Gender]]))</f>
        <v>Female</v>
      </c>
      <c r="D2821" t="s">
        <v>43</v>
      </c>
      <c r="E2821">
        <v>35</v>
      </c>
      <c r="F2821" t="s">
        <v>31</v>
      </c>
      <c r="G2821" s="1">
        <v>32883</v>
      </c>
      <c r="H2821" t="s">
        <v>6356</v>
      </c>
      <c r="I2821" s="2" t="str">
        <f t="shared" si="44"/>
        <v>+91-8518034454</v>
      </c>
      <c r="J2821">
        <f>91-8518034545</f>
        <v>-8518034454</v>
      </c>
      <c r="K2821" t="s">
        <v>117</v>
      </c>
      <c r="L2821" t="s">
        <v>52</v>
      </c>
      <c r="M2821">
        <v>407629</v>
      </c>
      <c r="N2821" s="1">
        <v>45299</v>
      </c>
      <c r="O2821" t="s">
        <v>28</v>
      </c>
      <c r="P2821">
        <v>6</v>
      </c>
      <c r="Q2821">
        <v>159755.57999999999</v>
      </c>
    </row>
    <row r="2822" spans="1:17" x14ac:dyDescent="0.3">
      <c r="A2822" t="s">
        <v>6357</v>
      </c>
      <c r="B2822" t="s">
        <v>658</v>
      </c>
      <c r="C2822" s="2" t="str">
        <f>PROPER(TRIM(Table1[[#This Row],[Gender]]))</f>
        <v>Male</v>
      </c>
      <c r="D2822" t="s">
        <v>16</v>
      </c>
      <c r="E2822">
        <v>23</v>
      </c>
      <c r="F2822" t="s">
        <v>49</v>
      </c>
      <c r="G2822" s="1">
        <v>37263</v>
      </c>
      <c r="H2822" t="s">
        <v>6358</v>
      </c>
      <c r="I2822" s="2" t="str">
        <f t="shared" si="44"/>
        <v>+91-7663244375</v>
      </c>
      <c r="J2822">
        <f>91-7663244466</f>
        <v>-7663244375</v>
      </c>
      <c r="K2822" t="s">
        <v>125</v>
      </c>
      <c r="L2822" t="s">
        <v>52</v>
      </c>
      <c r="M2822">
        <v>163450</v>
      </c>
      <c r="N2822" s="1">
        <v>45380</v>
      </c>
      <c r="O2822" t="s">
        <v>28</v>
      </c>
      <c r="P2822">
        <v>2</v>
      </c>
      <c r="Q2822">
        <v>124557.2</v>
      </c>
    </row>
    <row r="2823" spans="1:17" x14ac:dyDescent="0.3">
      <c r="A2823" t="s">
        <v>6359</v>
      </c>
      <c r="B2823" t="s">
        <v>2173</v>
      </c>
      <c r="C2823" s="2" t="str">
        <f>PROPER(TRIM(Table1[[#This Row],[Gender]]))</f>
        <v>Female</v>
      </c>
      <c r="D2823" t="s">
        <v>43</v>
      </c>
      <c r="E2823">
        <v>23</v>
      </c>
      <c r="F2823" t="s">
        <v>49</v>
      </c>
      <c r="G2823" s="1">
        <v>37263</v>
      </c>
      <c r="H2823" t="s">
        <v>6360</v>
      </c>
      <c r="I2823" s="2" t="str">
        <f t="shared" si="44"/>
        <v>+91-9275670817</v>
      </c>
      <c r="J2823">
        <f>91-9275670908</f>
        <v>-9275670817</v>
      </c>
      <c r="K2823" t="s">
        <v>178</v>
      </c>
      <c r="L2823" t="s">
        <v>27</v>
      </c>
      <c r="M2823">
        <v>405523</v>
      </c>
      <c r="N2823" s="1">
        <v>45318</v>
      </c>
      <c r="O2823" t="s">
        <v>21</v>
      </c>
      <c r="P2823">
        <v>6</v>
      </c>
      <c r="Q2823">
        <v>37635.83</v>
      </c>
    </row>
    <row r="2824" spans="1:17" x14ac:dyDescent="0.3">
      <c r="A2824" t="s">
        <v>6361</v>
      </c>
      <c r="B2824" t="s">
        <v>92</v>
      </c>
      <c r="C2824" s="2" t="str">
        <f>PROPER(TRIM(Table1[[#This Row],[Gender]]))</f>
        <v>Female</v>
      </c>
      <c r="D2824" t="s">
        <v>43</v>
      </c>
      <c r="E2824">
        <v>43</v>
      </c>
      <c r="F2824" t="s">
        <v>38</v>
      </c>
      <c r="G2824" s="1">
        <v>29963</v>
      </c>
      <c r="H2824" t="s">
        <v>6362</v>
      </c>
      <c r="I2824" s="2" t="str">
        <f t="shared" si="44"/>
        <v>+91-9056116856</v>
      </c>
      <c r="J2824">
        <f>91-9056116947</f>
        <v>-9056116856</v>
      </c>
      <c r="K2824" t="s">
        <v>72</v>
      </c>
      <c r="L2824" t="s">
        <v>34</v>
      </c>
      <c r="M2824">
        <v>958781</v>
      </c>
      <c r="N2824" s="1">
        <v>45157</v>
      </c>
      <c r="O2824" t="s">
        <v>28</v>
      </c>
      <c r="P2824">
        <v>10</v>
      </c>
      <c r="Q2824">
        <v>328057.26</v>
      </c>
    </row>
    <row r="2825" spans="1:17" x14ac:dyDescent="0.3">
      <c r="A2825" t="s">
        <v>6363</v>
      </c>
      <c r="B2825" t="s">
        <v>957</v>
      </c>
      <c r="C2825" s="2" t="str">
        <f>PROPER(TRIM(Table1[[#This Row],[Gender]]))</f>
        <v>Female</v>
      </c>
      <c r="D2825" t="s">
        <v>43</v>
      </c>
      <c r="E2825">
        <v>20</v>
      </c>
      <c r="F2825" t="s">
        <v>49</v>
      </c>
      <c r="G2825" s="1">
        <v>38358</v>
      </c>
      <c r="H2825" t="s">
        <v>6364</v>
      </c>
      <c r="I2825" s="2" t="str">
        <f t="shared" si="44"/>
        <v>+91-9457791337</v>
      </c>
      <c r="J2825">
        <f>91-9457791428</f>
        <v>-9457791337</v>
      </c>
      <c r="K2825" t="s">
        <v>51</v>
      </c>
      <c r="L2825" t="s">
        <v>52</v>
      </c>
      <c r="M2825">
        <v>863325</v>
      </c>
      <c r="N2825" s="1">
        <v>45408</v>
      </c>
      <c r="O2825" t="s">
        <v>21</v>
      </c>
      <c r="P2825">
        <v>7</v>
      </c>
      <c r="Q2825">
        <v>32010.7</v>
      </c>
    </row>
    <row r="2826" spans="1:17" x14ac:dyDescent="0.3">
      <c r="A2826" t="s">
        <v>6365</v>
      </c>
      <c r="B2826" t="s">
        <v>262</v>
      </c>
      <c r="C2826" s="2" t="str">
        <f>PROPER(TRIM(Table1[[#This Row],[Gender]]))</f>
        <v>Female</v>
      </c>
      <c r="D2826" t="s">
        <v>43</v>
      </c>
      <c r="E2826">
        <v>21</v>
      </c>
      <c r="F2826" t="s">
        <v>49</v>
      </c>
      <c r="G2826" s="1">
        <v>37993</v>
      </c>
      <c r="H2826" t="s">
        <v>6366</v>
      </c>
      <c r="I2826" s="2" t="str">
        <f t="shared" si="44"/>
        <v>+91-7151501111</v>
      </c>
      <c r="J2826">
        <f>91-7151501202</f>
        <v>-7151501111</v>
      </c>
      <c r="K2826" t="s">
        <v>72</v>
      </c>
      <c r="L2826" t="s">
        <v>34</v>
      </c>
      <c r="M2826">
        <v>993863</v>
      </c>
      <c r="N2826" s="1">
        <v>45198</v>
      </c>
      <c r="O2826" t="s">
        <v>28</v>
      </c>
      <c r="P2826">
        <v>8</v>
      </c>
      <c r="Q2826">
        <v>92567.2</v>
      </c>
    </row>
    <row r="2827" spans="1:17" x14ac:dyDescent="0.3">
      <c r="A2827" t="s">
        <v>6367</v>
      </c>
      <c r="B2827" t="s">
        <v>2027</v>
      </c>
      <c r="C2827" s="2" t="str">
        <f>PROPER(TRIM(Table1[[#This Row],[Gender]]))</f>
        <v>Female</v>
      </c>
      <c r="D2827" t="s">
        <v>43</v>
      </c>
      <c r="E2827">
        <v>28</v>
      </c>
      <c r="F2827" t="s">
        <v>31</v>
      </c>
      <c r="G2827" s="1">
        <v>35438</v>
      </c>
      <c r="H2827" t="s">
        <v>6368</v>
      </c>
      <c r="I2827" s="2" t="str">
        <f t="shared" si="44"/>
        <v>+91-8377957874</v>
      </c>
      <c r="J2827">
        <f>91-8377957965</f>
        <v>-8377957874</v>
      </c>
      <c r="K2827" t="s">
        <v>121</v>
      </c>
      <c r="L2827" t="s">
        <v>85</v>
      </c>
      <c r="M2827">
        <v>949364</v>
      </c>
      <c r="N2827" s="1">
        <v>45180</v>
      </c>
      <c r="O2827" t="s">
        <v>28</v>
      </c>
      <c r="P2827">
        <v>7</v>
      </c>
      <c r="Q2827">
        <v>527236.80000000005</v>
      </c>
    </row>
    <row r="2828" spans="1:17" x14ac:dyDescent="0.3">
      <c r="A2828" t="s">
        <v>6369</v>
      </c>
      <c r="B2828" t="s">
        <v>1012</v>
      </c>
      <c r="C2828" s="2" t="str">
        <f>PROPER(TRIM(Table1[[#This Row],[Gender]]))</f>
        <v>Male</v>
      </c>
      <c r="D2828" t="s">
        <v>16</v>
      </c>
      <c r="E2828">
        <v>31</v>
      </c>
      <c r="F2828" t="s">
        <v>31</v>
      </c>
      <c r="G2828" s="1">
        <v>34343</v>
      </c>
      <c r="H2828" t="s">
        <v>6370</v>
      </c>
      <c r="I2828" s="2" t="str">
        <f t="shared" si="44"/>
        <v>+91-9632707555</v>
      </c>
      <c r="J2828">
        <f>91-9632707646</f>
        <v>-9632707555</v>
      </c>
      <c r="K2828" t="s">
        <v>121</v>
      </c>
      <c r="L2828" t="s">
        <v>85</v>
      </c>
      <c r="M2828">
        <v>742329</v>
      </c>
      <c r="N2828" s="1">
        <v>45188</v>
      </c>
      <c r="O2828" t="s">
        <v>28</v>
      </c>
      <c r="P2828">
        <v>5</v>
      </c>
      <c r="Q2828">
        <v>65586.679999999993</v>
      </c>
    </row>
    <row r="2829" spans="1:17" x14ac:dyDescent="0.3">
      <c r="A2829" t="s">
        <v>6371</v>
      </c>
      <c r="B2829" t="s">
        <v>6372</v>
      </c>
      <c r="C2829" s="2" t="str">
        <f>PROPER(TRIM(Table1[[#This Row],[Gender]]))</f>
        <v>Male</v>
      </c>
      <c r="D2829" t="s">
        <v>16</v>
      </c>
      <c r="E2829">
        <v>41</v>
      </c>
      <c r="F2829" t="s">
        <v>38</v>
      </c>
      <c r="G2829" s="1">
        <v>30693</v>
      </c>
      <c r="H2829" t="s">
        <v>6373</v>
      </c>
      <c r="I2829" s="2" t="str">
        <f t="shared" si="44"/>
        <v>+91-8925972145</v>
      </c>
      <c r="J2829">
        <f>91-8925972236</f>
        <v>-8925972145</v>
      </c>
      <c r="K2829" t="s">
        <v>19</v>
      </c>
      <c r="L2829" t="s">
        <v>20</v>
      </c>
      <c r="M2829">
        <v>504023</v>
      </c>
      <c r="N2829" s="1">
        <v>45428</v>
      </c>
      <c r="O2829" t="s">
        <v>35</v>
      </c>
      <c r="P2829">
        <v>2</v>
      </c>
      <c r="Q2829">
        <v>957.71</v>
      </c>
    </row>
    <row r="2830" spans="1:17" x14ac:dyDescent="0.3">
      <c r="A2830" t="s">
        <v>6374</v>
      </c>
      <c r="B2830" t="s">
        <v>265</v>
      </c>
      <c r="C2830" s="2" t="str">
        <f>PROPER(TRIM(Table1[[#This Row],[Gender]]))</f>
        <v>Female</v>
      </c>
      <c r="D2830" t="s">
        <v>43</v>
      </c>
      <c r="E2830">
        <v>56</v>
      </c>
      <c r="F2830" t="s">
        <v>58</v>
      </c>
      <c r="G2830" s="1">
        <v>25218</v>
      </c>
      <c r="H2830" t="s">
        <v>6375</v>
      </c>
      <c r="I2830" s="2" t="str">
        <f t="shared" si="44"/>
        <v>+91-7953829822</v>
      </c>
      <c r="J2830">
        <f>91-7953829913</f>
        <v>-7953829822</v>
      </c>
      <c r="K2830" t="s">
        <v>249</v>
      </c>
      <c r="L2830" t="s">
        <v>34</v>
      </c>
      <c r="M2830">
        <v>196110</v>
      </c>
      <c r="N2830" s="1">
        <v>45434</v>
      </c>
      <c r="O2830" t="s">
        <v>21</v>
      </c>
      <c r="P2830">
        <v>5</v>
      </c>
      <c r="Q2830">
        <v>47553.61</v>
      </c>
    </row>
    <row r="2831" spans="1:17" x14ac:dyDescent="0.3">
      <c r="A2831" t="s">
        <v>6376</v>
      </c>
      <c r="B2831" t="s">
        <v>2363</v>
      </c>
      <c r="C2831" s="2" t="str">
        <f>PROPER(TRIM(Table1[[#This Row],[Gender]]))</f>
        <v>Male</v>
      </c>
      <c r="D2831" t="s">
        <v>16</v>
      </c>
      <c r="E2831">
        <v>25</v>
      </c>
      <c r="F2831" t="s">
        <v>49</v>
      </c>
      <c r="G2831" s="1">
        <v>36533</v>
      </c>
      <c r="H2831" t="s">
        <v>6377</v>
      </c>
      <c r="I2831" s="2" t="str">
        <f t="shared" si="44"/>
        <v>+91-7020572876</v>
      </c>
      <c r="J2831">
        <f>91-7020572967</f>
        <v>-7020572876</v>
      </c>
      <c r="K2831" t="s">
        <v>415</v>
      </c>
      <c r="L2831" t="s">
        <v>90</v>
      </c>
      <c r="M2831">
        <v>224525</v>
      </c>
      <c r="N2831" s="1">
        <v>45300</v>
      </c>
      <c r="O2831" t="s">
        <v>28</v>
      </c>
      <c r="P2831">
        <v>7</v>
      </c>
      <c r="Q2831">
        <v>247537.99</v>
      </c>
    </row>
    <row r="2832" spans="1:17" x14ac:dyDescent="0.3">
      <c r="A2832" t="s">
        <v>6378</v>
      </c>
      <c r="B2832" t="s">
        <v>1245</v>
      </c>
      <c r="C2832" s="2" t="str">
        <f>PROPER(TRIM(Table1[[#This Row],[Gender]]))</f>
        <v>Female</v>
      </c>
      <c r="D2832" t="s">
        <v>43</v>
      </c>
      <c r="E2832">
        <v>61</v>
      </c>
      <c r="F2832" t="s">
        <v>58</v>
      </c>
      <c r="G2832" s="1">
        <v>23393</v>
      </c>
      <c r="H2832" t="s">
        <v>2343</v>
      </c>
      <c r="I2832" s="2" t="str">
        <f t="shared" si="44"/>
        <v>+91-9873683016</v>
      </c>
      <c r="J2832">
        <f>91-9873683107</f>
        <v>-9873683016</v>
      </c>
      <c r="K2832" t="s">
        <v>113</v>
      </c>
      <c r="L2832" t="s">
        <v>34</v>
      </c>
      <c r="M2832">
        <v>583418</v>
      </c>
      <c r="N2832" s="1">
        <v>45191</v>
      </c>
      <c r="O2832" t="s">
        <v>35</v>
      </c>
      <c r="P2832">
        <v>4</v>
      </c>
      <c r="Q2832">
        <v>16936.23</v>
      </c>
    </row>
    <row r="2833" spans="1:17" x14ac:dyDescent="0.3">
      <c r="A2833" t="s">
        <v>6379</v>
      </c>
      <c r="B2833" t="s">
        <v>2674</v>
      </c>
      <c r="C2833" s="2" t="str">
        <f>PROPER(TRIM(Table1[[#This Row],[Gender]]))</f>
        <v>Female</v>
      </c>
      <c r="D2833" t="s">
        <v>43</v>
      </c>
      <c r="E2833">
        <v>39</v>
      </c>
      <c r="F2833" t="s">
        <v>38</v>
      </c>
      <c r="G2833" s="1">
        <v>31423</v>
      </c>
      <c r="H2833" t="s">
        <v>6380</v>
      </c>
      <c r="I2833" s="2" t="str">
        <f t="shared" si="44"/>
        <v>+91-9993786242</v>
      </c>
      <c r="J2833">
        <f>91-9993786333</f>
        <v>-9993786242</v>
      </c>
      <c r="K2833" t="s">
        <v>147</v>
      </c>
      <c r="L2833" t="s">
        <v>143</v>
      </c>
      <c r="M2833">
        <v>483281</v>
      </c>
      <c r="N2833" s="1">
        <v>45397</v>
      </c>
      <c r="O2833" t="s">
        <v>28</v>
      </c>
      <c r="P2833">
        <v>3</v>
      </c>
      <c r="Q2833">
        <v>109530.33</v>
      </c>
    </row>
    <row r="2834" spans="1:17" x14ac:dyDescent="0.3">
      <c r="A2834" t="s">
        <v>6381</v>
      </c>
      <c r="B2834" t="s">
        <v>1340</v>
      </c>
      <c r="C2834" s="2" t="str">
        <f>PROPER(TRIM(Table1[[#This Row],[Gender]]))</f>
        <v>Female</v>
      </c>
      <c r="D2834" t="s">
        <v>43</v>
      </c>
      <c r="E2834">
        <v>28</v>
      </c>
      <c r="F2834" t="s">
        <v>31</v>
      </c>
      <c r="G2834" s="1">
        <v>35438</v>
      </c>
      <c r="H2834" t="s">
        <v>6382</v>
      </c>
      <c r="I2834" s="2" t="str">
        <f t="shared" si="44"/>
        <v>+91-8922604524</v>
      </c>
      <c r="J2834">
        <f>91-8922604615</f>
        <v>-8922604524</v>
      </c>
      <c r="K2834" t="s">
        <v>147</v>
      </c>
      <c r="L2834" t="s">
        <v>143</v>
      </c>
      <c r="M2834">
        <v>171345</v>
      </c>
      <c r="N2834" s="1">
        <v>45166</v>
      </c>
      <c r="O2834" t="s">
        <v>28</v>
      </c>
      <c r="P2834">
        <v>8</v>
      </c>
      <c r="Q2834">
        <v>70833.19</v>
      </c>
    </row>
    <row r="2835" spans="1:17" x14ac:dyDescent="0.3">
      <c r="A2835" t="s">
        <v>6383</v>
      </c>
      <c r="B2835" t="s">
        <v>1025</v>
      </c>
      <c r="C2835" s="2" t="str">
        <f>PROPER(TRIM(Table1[[#This Row],[Gender]]))</f>
        <v>Female</v>
      </c>
      <c r="D2835" t="s">
        <v>43</v>
      </c>
      <c r="E2835">
        <v>50</v>
      </c>
      <c r="F2835" t="s">
        <v>17</v>
      </c>
      <c r="G2835" s="1">
        <v>27408</v>
      </c>
      <c r="H2835" t="s">
        <v>6384</v>
      </c>
      <c r="I2835" s="2" t="str">
        <f t="shared" si="44"/>
        <v>+91-8898068963</v>
      </c>
      <c r="J2835">
        <f>91-8898069054</f>
        <v>-8898068963</v>
      </c>
      <c r="K2835" t="s">
        <v>51</v>
      </c>
      <c r="L2835" t="s">
        <v>52</v>
      </c>
      <c r="M2835">
        <v>839878</v>
      </c>
      <c r="N2835" s="1">
        <v>45081</v>
      </c>
      <c r="O2835" t="s">
        <v>35</v>
      </c>
      <c r="P2835">
        <v>0</v>
      </c>
      <c r="Q2835">
        <v>0</v>
      </c>
    </row>
    <row r="2836" spans="1:17" x14ac:dyDescent="0.3">
      <c r="A2836" t="s">
        <v>6385</v>
      </c>
      <c r="B2836" t="s">
        <v>3693</v>
      </c>
      <c r="C2836" s="2" t="str">
        <f>PROPER(TRIM(Table1[[#This Row],[Gender]]))</f>
        <v>Female</v>
      </c>
      <c r="D2836" t="s">
        <v>43</v>
      </c>
      <c r="E2836">
        <v>20</v>
      </c>
      <c r="F2836" t="s">
        <v>49</v>
      </c>
      <c r="G2836" s="1">
        <v>38358</v>
      </c>
      <c r="H2836" t="s">
        <v>6386</v>
      </c>
      <c r="I2836" s="2" t="str">
        <f t="shared" si="44"/>
        <v>+91-9094612803</v>
      </c>
      <c r="J2836">
        <f>91-9094612894</f>
        <v>-9094612803</v>
      </c>
      <c r="K2836" t="s">
        <v>249</v>
      </c>
      <c r="L2836" t="s">
        <v>34</v>
      </c>
      <c r="M2836">
        <v>139792</v>
      </c>
      <c r="N2836" s="1">
        <v>45184</v>
      </c>
      <c r="O2836" t="s">
        <v>28</v>
      </c>
      <c r="P2836">
        <v>10</v>
      </c>
      <c r="Q2836">
        <v>76030.83</v>
      </c>
    </row>
    <row r="2837" spans="1:17" x14ac:dyDescent="0.3">
      <c r="A2837" t="s">
        <v>6387</v>
      </c>
      <c r="B2837" t="s">
        <v>352</v>
      </c>
      <c r="C2837" s="2" t="str">
        <f>PROPER(TRIM(Table1[[#This Row],[Gender]]))</f>
        <v>Male</v>
      </c>
      <c r="D2837" t="s">
        <v>16</v>
      </c>
      <c r="E2837">
        <v>70</v>
      </c>
      <c r="F2837" t="s">
        <v>24</v>
      </c>
      <c r="G2837" s="1">
        <v>20108</v>
      </c>
      <c r="H2837" t="s">
        <v>6388</v>
      </c>
      <c r="I2837" s="2" t="str">
        <f t="shared" si="44"/>
        <v>+91-9403243565</v>
      </c>
      <c r="J2837">
        <f>91-9403243656</f>
        <v>-9403243565</v>
      </c>
      <c r="K2837" t="s">
        <v>60</v>
      </c>
      <c r="L2837" t="s">
        <v>34</v>
      </c>
      <c r="M2837">
        <v>957601</v>
      </c>
      <c r="N2837" s="1">
        <v>45357</v>
      </c>
      <c r="O2837" t="s">
        <v>35</v>
      </c>
      <c r="P2837">
        <v>3</v>
      </c>
      <c r="Q2837">
        <v>1388.73</v>
      </c>
    </row>
    <row r="2838" spans="1:17" x14ac:dyDescent="0.3">
      <c r="A2838" t="s">
        <v>6389</v>
      </c>
      <c r="B2838" t="s">
        <v>321</v>
      </c>
      <c r="C2838" s="2" t="str">
        <f>PROPER(TRIM(Table1[[#This Row],[Gender]]))</f>
        <v>Female</v>
      </c>
      <c r="D2838" t="s">
        <v>43</v>
      </c>
      <c r="E2838">
        <v>45</v>
      </c>
      <c r="F2838" t="s">
        <v>38</v>
      </c>
      <c r="G2838" s="1">
        <v>29233</v>
      </c>
      <c r="H2838" t="s">
        <v>1122</v>
      </c>
      <c r="I2838" s="2" t="str">
        <f t="shared" si="44"/>
        <v>+91-7472184277</v>
      </c>
      <c r="J2838">
        <f>91-7472184368</f>
        <v>-7472184277</v>
      </c>
      <c r="K2838" t="s">
        <v>178</v>
      </c>
      <c r="L2838" t="s">
        <v>27</v>
      </c>
      <c r="M2838">
        <v>345627</v>
      </c>
      <c r="N2838" s="1">
        <v>45413</v>
      </c>
      <c r="O2838" t="s">
        <v>28</v>
      </c>
      <c r="P2838">
        <v>3</v>
      </c>
      <c r="Q2838">
        <v>165762.54999999999</v>
      </c>
    </row>
    <row r="2839" spans="1:17" x14ac:dyDescent="0.3">
      <c r="A2839" t="s">
        <v>6390</v>
      </c>
      <c r="B2839" t="s">
        <v>1800</v>
      </c>
      <c r="C2839" s="2" t="str">
        <f>PROPER(TRIM(Table1[[#This Row],[Gender]]))</f>
        <v>Female</v>
      </c>
      <c r="D2839" t="s">
        <v>43</v>
      </c>
      <c r="E2839">
        <v>30</v>
      </c>
      <c r="F2839" t="s">
        <v>31</v>
      </c>
      <c r="G2839" s="1">
        <v>34708</v>
      </c>
      <c r="H2839" t="s">
        <v>6391</v>
      </c>
      <c r="I2839" s="2" t="str">
        <f t="shared" si="44"/>
        <v>+91-7207507744</v>
      </c>
      <c r="J2839">
        <f>91-7207507835</f>
        <v>-7207507744</v>
      </c>
      <c r="K2839" t="s">
        <v>125</v>
      </c>
      <c r="L2839" t="s">
        <v>52</v>
      </c>
      <c r="M2839">
        <v>742834</v>
      </c>
      <c r="N2839" s="1">
        <v>45218</v>
      </c>
      <c r="O2839" t="s">
        <v>21</v>
      </c>
      <c r="P2839">
        <v>5</v>
      </c>
      <c r="Q2839">
        <v>39841.31</v>
      </c>
    </row>
    <row r="2840" spans="1:17" x14ac:dyDescent="0.3">
      <c r="A2840" t="s">
        <v>6392</v>
      </c>
      <c r="B2840" t="s">
        <v>752</v>
      </c>
      <c r="C2840" s="2" t="str">
        <f>PROPER(TRIM(Table1[[#This Row],[Gender]]))</f>
        <v>Male</v>
      </c>
      <c r="D2840" t="s">
        <v>16</v>
      </c>
      <c r="E2840">
        <v>38</v>
      </c>
      <c r="F2840" t="s">
        <v>38</v>
      </c>
      <c r="G2840" s="1">
        <v>31788</v>
      </c>
      <c r="H2840" t="s">
        <v>6393</v>
      </c>
      <c r="I2840" s="2" t="str">
        <f t="shared" si="44"/>
        <v>+91-9285373694</v>
      </c>
      <c r="J2840">
        <f>91-9285373785</f>
        <v>-9285373694</v>
      </c>
      <c r="K2840" t="s">
        <v>165</v>
      </c>
      <c r="L2840" t="s">
        <v>52</v>
      </c>
      <c r="M2840">
        <v>982711</v>
      </c>
      <c r="N2840" s="1">
        <v>45318</v>
      </c>
      <c r="O2840" t="s">
        <v>28</v>
      </c>
      <c r="P2840">
        <v>5</v>
      </c>
      <c r="Q2840">
        <v>112542.39</v>
      </c>
    </row>
    <row r="2841" spans="1:17" x14ac:dyDescent="0.3">
      <c r="A2841" t="s">
        <v>6394</v>
      </c>
      <c r="B2841" t="s">
        <v>1935</v>
      </c>
      <c r="C2841" s="2" t="str">
        <f>PROPER(TRIM(Table1[[#This Row],[Gender]]))</f>
        <v>Female</v>
      </c>
      <c r="D2841" t="s">
        <v>43</v>
      </c>
      <c r="E2841">
        <v>56</v>
      </c>
      <c r="F2841" t="s">
        <v>58</v>
      </c>
      <c r="G2841" s="1">
        <v>25218</v>
      </c>
      <c r="H2841" t="s">
        <v>6395</v>
      </c>
      <c r="I2841" s="2" t="str">
        <f t="shared" si="44"/>
        <v>+91-9363946038</v>
      </c>
      <c r="J2841">
        <f>91-9363946129</f>
        <v>-9363946038</v>
      </c>
      <c r="K2841" t="s">
        <v>76</v>
      </c>
      <c r="L2841" t="s">
        <v>46</v>
      </c>
      <c r="M2841">
        <v>746308</v>
      </c>
      <c r="N2841" s="1">
        <v>45328</v>
      </c>
      <c r="O2841" t="s">
        <v>35</v>
      </c>
      <c r="P2841">
        <v>2</v>
      </c>
      <c r="Q2841">
        <v>18813.45</v>
      </c>
    </row>
    <row r="2842" spans="1:17" x14ac:dyDescent="0.3">
      <c r="A2842" t="s">
        <v>6396</v>
      </c>
      <c r="B2842" t="s">
        <v>244</v>
      </c>
      <c r="C2842" s="2" t="str">
        <f>PROPER(TRIM(Table1[[#This Row],[Gender]]))</f>
        <v>Male</v>
      </c>
      <c r="D2842" t="s">
        <v>16</v>
      </c>
      <c r="E2842">
        <v>35</v>
      </c>
      <c r="F2842" t="s">
        <v>31</v>
      </c>
      <c r="G2842" s="1">
        <v>32883</v>
      </c>
      <c r="H2842" t="s">
        <v>6397</v>
      </c>
      <c r="I2842" s="2" t="str">
        <f t="shared" si="44"/>
        <v>+91-7458159296</v>
      </c>
      <c r="J2842">
        <f>91-7458159387</f>
        <v>-7458159296</v>
      </c>
      <c r="K2842" t="s">
        <v>178</v>
      </c>
      <c r="L2842" t="s">
        <v>27</v>
      </c>
      <c r="M2842">
        <v>728574</v>
      </c>
      <c r="N2842" s="1">
        <v>45187</v>
      </c>
      <c r="O2842" t="s">
        <v>28</v>
      </c>
      <c r="P2842">
        <v>6</v>
      </c>
      <c r="Q2842">
        <v>98593.16</v>
      </c>
    </row>
    <row r="2843" spans="1:17" x14ac:dyDescent="0.3">
      <c r="A2843" t="s">
        <v>6398</v>
      </c>
      <c r="B2843" t="s">
        <v>1655</v>
      </c>
      <c r="C2843" s="2" t="str">
        <f>PROPER(TRIM(Table1[[#This Row],[Gender]]))</f>
        <v>Female</v>
      </c>
      <c r="D2843" t="s">
        <v>43</v>
      </c>
      <c r="E2843">
        <v>32</v>
      </c>
      <c r="F2843" t="s">
        <v>31</v>
      </c>
      <c r="G2843" s="1">
        <v>33978</v>
      </c>
      <c r="H2843" t="s">
        <v>1656</v>
      </c>
      <c r="I2843" s="2" t="str">
        <f t="shared" si="44"/>
        <v>+91-8051528796</v>
      </c>
      <c r="J2843">
        <f>91-8051528887</f>
        <v>-8051528796</v>
      </c>
      <c r="K2843" t="s">
        <v>76</v>
      </c>
      <c r="L2843" t="s">
        <v>46</v>
      </c>
      <c r="M2843">
        <v>646832</v>
      </c>
      <c r="N2843" s="1">
        <v>45378</v>
      </c>
      <c r="O2843" t="s">
        <v>28</v>
      </c>
      <c r="P2843">
        <v>9</v>
      </c>
      <c r="Q2843">
        <v>248800.53</v>
      </c>
    </row>
    <row r="2844" spans="1:17" x14ac:dyDescent="0.3">
      <c r="A2844" t="s">
        <v>6399</v>
      </c>
      <c r="B2844" t="s">
        <v>2594</v>
      </c>
      <c r="C2844" s="2" t="str">
        <f>PROPER(TRIM(Table1[[#This Row],[Gender]]))</f>
        <v>Female</v>
      </c>
      <c r="D2844" t="s">
        <v>43</v>
      </c>
      <c r="E2844">
        <v>48</v>
      </c>
      <c r="F2844" t="s">
        <v>17</v>
      </c>
      <c r="G2844" s="1">
        <v>28138</v>
      </c>
      <c r="H2844" t="s">
        <v>6400</v>
      </c>
      <c r="I2844" s="2" t="str">
        <f t="shared" si="44"/>
        <v>+91-7172909033</v>
      </c>
      <c r="J2844">
        <f>91-7172909124</f>
        <v>-7172909033</v>
      </c>
      <c r="K2844" t="s">
        <v>51</v>
      </c>
      <c r="L2844" t="s">
        <v>52</v>
      </c>
      <c r="M2844">
        <v>968055</v>
      </c>
      <c r="N2844" s="1">
        <v>45303</v>
      </c>
      <c r="O2844" t="s">
        <v>28</v>
      </c>
      <c r="P2844">
        <v>5</v>
      </c>
      <c r="Q2844">
        <v>89507.26</v>
      </c>
    </row>
    <row r="2845" spans="1:17" x14ac:dyDescent="0.3">
      <c r="A2845" t="s">
        <v>6401</v>
      </c>
      <c r="B2845" t="s">
        <v>2003</v>
      </c>
      <c r="C2845" s="2" t="str">
        <f>PROPER(TRIM(Table1[[#This Row],[Gender]]))</f>
        <v>Male</v>
      </c>
      <c r="D2845" t="s">
        <v>16</v>
      </c>
      <c r="E2845">
        <v>31</v>
      </c>
      <c r="F2845" t="s">
        <v>31</v>
      </c>
      <c r="G2845" s="1">
        <v>34343</v>
      </c>
      <c r="H2845" t="s">
        <v>6402</v>
      </c>
      <c r="I2845" s="2" t="str">
        <f t="shared" si="44"/>
        <v>+91-8595330506</v>
      </c>
      <c r="J2845">
        <f>91-8595330597</f>
        <v>-8595330506</v>
      </c>
      <c r="K2845" t="s">
        <v>19</v>
      </c>
      <c r="L2845" t="s">
        <v>20</v>
      </c>
      <c r="M2845">
        <v>130825</v>
      </c>
      <c r="N2845" s="1">
        <v>45082</v>
      </c>
      <c r="O2845" t="s">
        <v>28</v>
      </c>
      <c r="P2845">
        <v>4</v>
      </c>
      <c r="Q2845">
        <v>124695.62</v>
      </c>
    </row>
    <row r="2846" spans="1:17" x14ac:dyDescent="0.3">
      <c r="A2846" t="s">
        <v>6403</v>
      </c>
      <c r="B2846" t="s">
        <v>1647</v>
      </c>
      <c r="C2846" s="2" t="str">
        <f>PROPER(TRIM(Table1[[#This Row],[Gender]]))</f>
        <v>Male</v>
      </c>
      <c r="D2846" t="s">
        <v>16</v>
      </c>
      <c r="E2846">
        <v>25</v>
      </c>
      <c r="F2846" t="s">
        <v>49</v>
      </c>
      <c r="G2846" s="1">
        <v>36533</v>
      </c>
      <c r="H2846" t="s">
        <v>6404</v>
      </c>
      <c r="I2846" s="2" t="str">
        <f t="shared" si="44"/>
        <v>+91-8884304240</v>
      </c>
      <c r="J2846">
        <f>91-8884304331</f>
        <v>-8884304240</v>
      </c>
      <c r="K2846" t="s">
        <v>415</v>
      </c>
      <c r="L2846" t="s">
        <v>90</v>
      </c>
      <c r="M2846">
        <v>150048</v>
      </c>
      <c r="N2846" s="1">
        <v>45271</v>
      </c>
      <c r="O2846" t="s">
        <v>21</v>
      </c>
      <c r="P2846">
        <v>6</v>
      </c>
      <c r="Q2846">
        <v>32931.839999999997</v>
      </c>
    </row>
    <row r="2847" spans="1:17" x14ac:dyDescent="0.3">
      <c r="A2847" t="s">
        <v>6405</v>
      </c>
      <c r="B2847" t="s">
        <v>1173</v>
      </c>
      <c r="C2847" s="2" t="str">
        <f>PROPER(TRIM(Table1[[#This Row],[Gender]]))</f>
        <v>Female</v>
      </c>
      <c r="D2847" t="s">
        <v>43</v>
      </c>
      <c r="E2847">
        <v>43</v>
      </c>
      <c r="F2847" t="s">
        <v>38</v>
      </c>
      <c r="G2847" s="1">
        <v>29963</v>
      </c>
      <c r="H2847" t="s">
        <v>6406</v>
      </c>
      <c r="I2847" s="2" t="str">
        <f t="shared" si="44"/>
        <v>+91-8462491209</v>
      </c>
      <c r="J2847">
        <f>91-8462491300</f>
        <v>-8462491209</v>
      </c>
      <c r="K2847" t="s">
        <v>331</v>
      </c>
      <c r="L2847" t="s">
        <v>143</v>
      </c>
      <c r="M2847">
        <v>230665</v>
      </c>
      <c r="N2847" s="1">
        <v>45422</v>
      </c>
      <c r="O2847" t="s">
        <v>28</v>
      </c>
      <c r="P2847">
        <v>2</v>
      </c>
      <c r="Q2847">
        <v>74397.119999999995</v>
      </c>
    </row>
    <row r="2848" spans="1:17" x14ac:dyDescent="0.3">
      <c r="A2848" t="s">
        <v>6407</v>
      </c>
      <c r="B2848" t="s">
        <v>946</v>
      </c>
      <c r="C2848" s="2" t="str">
        <f>PROPER(TRIM(Table1[[#This Row],[Gender]]))</f>
        <v>Female</v>
      </c>
      <c r="D2848" t="s">
        <v>43</v>
      </c>
      <c r="E2848">
        <v>29</v>
      </c>
      <c r="F2848" t="s">
        <v>31</v>
      </c>
      <c r="G2848" s="1">
        <v>35073</v>
      </c>
      <c r="H2848" t="s">
        <v>6408</v>
      </c>
      <c r="I2848" s="2" t="str">
        <f t="shared" si="44"/>
        <v>+91-8159144868</v>
      </c>
      <c r="J2848">
        <f>91-8159144959</f>
        <v>-8159144868</v>
      </c>
      <c r="K2848" t="s">
        <v>178</v>
      </c>
      <c r="L2848" t="s">
        <v>27</v>
      </c>
      <c r="M2848">
        <v>106943</v>
      </c>
      <c r="N2848" s="1">
        <v>45406</v>
      </c>
      <c r="O2848" t="s">
        <v>28</v>
      </c>
      <c r="P2848">
        <v>3</v>
      </c>
      <c r="Q2848">
        <v>150161.68</v>
      </c>
    </row>
    <row r="2849" spans="1:17" x14ac:dyDescent="0.3">
      <c r="A2849" t="s">
        <v>6409</v>
      </c>
      <c r="B2849" t="s">
        <v>1803</v>
      </c>
      <c r="C2849" s="2" t="str">
        <f>PROPER(TRIM(Table1[[#This Row],[Gender]]))</f>
        <v>Female</v>
      </c>
      <c r="D2849" t="s">
        <v>43</v>
      </c>
      <c r="E2849">
        <v>61</v>
      </c>
      <c r="F2849" t="s">
        <v>58</v>
      </c>
      <c r="G2849" s="1">
        <v>23393</v>
      </c>
      <c r="H2849" t="s">
        <v>3359</v>
      </c>
      <c r="I2849" s="2" t="str">
        <f t="shared" si="44"/>
        <v>+91-7431784576</v>
      </c>
      <c r="J2849">
        <f>91-7431784667</f>
        <v>-7431784576</v>
      </c>
      <c r="K2849" t="s">
        <v>415</v>
      </c>
      <c r="L2849" t="s">
        <v>90</v>
      </c>
      <c r="M2849">
        <v>525124</v>
      </c>
      <c r="N2849" s="1">
        <v>45149</v>
      </c>
      <c r="O2849" t="s">
        <v>21</v>
      </c>
      <c r="P2849">
        <v>3</v>
      </c>
      <c r="Q2849">
        <v>35943.9</v>
      </c>
    </row>
    <row r="2850" spans="1:17" x14ac:dyDescent="0.3">
      <c r="A2850" t="s">
        <v>6410</v>
      </c>
      <c r="B2850" t="s">
        <v>2345</v>
      </c>
      <c r="C2850" s="2" t="str">
        <f>PROPER(TRIM(Table1[[#This Row],[Gender]]))</f>
        <v>Female</v>
      </c>
      <c r="D2850" t="s">
        <v>43</v>
      </c>
      <c r="E2850">
        <v>20</v>
      </c>
      <c r="F2850" t="s">
        <v>49</v>
      </c>
      <c r="G2850" s="1">
        <v>38358</v>
      </c>
      <c r="H2850" t="s">
        <v>6411</v>
      </c>
      <c r="I2850" s="2" t="str">
        <f t="shared" si="44"/>
        <v>+91-7085408692</v>
      </c>
      <c r="J2850">
        <f>91-7085408783</f>
        <v>-7085408692</v>
      </c>
      <c r="K2850" t="s">
        <v>178</v>
      </c>
      <c r="L2850" t="s">
        <v>27</v>
      </c>
      <c r="M2850">
        <v>701049</v>
      </c>
      <c r="N2850" s="1">
        <v>45243</v>
      </c>
      <c r="O2850" t="s">
        <v>28</v>
      </c>
      <c r="P2850">
        <v>9</v>
      </c>
      <c r="Q2850">
        <v>166083.17000000001</v>
      </c>
    </row>
    <row r="2851" spans="1:17" x14ac:dyDescent="0.3">
      <c r="A2851" t="s">
        <v>6412</v>
      </c>
      <c r="B2851" t="s">
        <v>2013</v>
      </c>
      <c r="C2851" s="2" t="str">
        <f>PROPER(TRIM(Table1[[#This Row],[Gender]]))</f>
        <v>Male</v>
      </c>
      <c r="D2851" t="s">
        <v>16</v>
      </c>
      <c r="E2851">
        <v>30</v>
      </c>
      <c r="F2851" t="s">
        <v>31</v>
      </c>
      <c r="G2851" s="1">
        <v>34708</v>
      </c>
      <c r="H2851" t="s">
        <v>6413</v>
      </c>
      <c r="I2851" s="2" t="str">
        <f t="shared" si="44"/>
        <v>+91-7039964913</v>
      </c>
      <c r="J2851">
        <f>91-7039965004</f>
        <v>-7039964913</v>
      </c>
      <c r="K2851" t="s">
        <v>101</v>
      </c>
      <c r="L2851" t="s">
        <v>102</v>
      </c>
      <c r="M2851">
        <v>526060</v>
      </c>
      <c r="N2851" s="1">
        <v>45213</v>
      </c>
      <c r="O2851" t="s">
        <v>28</v>
      </c>
      <c r="P2851">
        <v>12</v>
      </c>
      <c r="Q2851">
        <v>317535.48</v>
      </c>
    </row>
    <row r="2852" spans="1:17" x14ac:dyDescent="0.3">
      <c r="A2852" t="s">
        <v>6414</v>
      </c>
      <c r="B2852" t="s">
        <v>4291</v>
      </c>
      <c r="C2852" s="2" t="str">
        <f>PROPER(TRIM(Table1[[#This Row],[Gender]]))</f>
        <v>Female</v>
      </c>
      <c r="D2852" t="s">
        <v>43</v>
      </c>
      <c r="E2852">
        <v>37</v>
      </c>
      <c r="F2852" t="s">
        <v>38</v>
      </c>
      <c r="G2852" s="1">
        <v>32153</v>
      </c>
      <c r="H2852" t="s">
        <v>6415</v>
      </c>
      <c r="I2852" s="2" t="str">
        <f t="shared" si="44"/>
        <v>+91-7865981393</v>
      </c>
      <c r="J2852">
        <f>91-7865981484</f>
        <v>-7865981393</v>
      </c>
      <c r="K2852" t="s">
        <v>331</v>
      </c>
      <c r="L2852" t="s">
        <v>143</v>
      </c>
      <c r="M2852">
        <v>560581</v>
      </c>
      <c r="N2852" s="1">
        <v>45145</v>
      </c>
      <c r="O2852" t="s">
        <v>28</v>
      </c>
      <c r="P2852">
        <v>3</v>
      </c>
      <c r="Q2852">
        <v>99691.46</v>
      </c>
    </row>
    <row r="2853" spans="1:17" x14ac:dyDescent="0.3">
      <c r="A2853" t="s">
        <v>6416</v>
      </c>
      <c r="B2853" t="s">
        <v>4296</v>
      </c>
      <c r="C2853" s="2" t="str">
        <f>PROPER(TRIM(Table1[[#This Row],[Gender]]))</f>
        <v>Male</v>
      </c>
      <c r="D2853" t="s">
        <v>16</v>
      </c>
      <c r="E2853">
        <v>49</v>
      </c>
      <c r="F2853" t="s">
        <v>17</v>
      </c>
      <c r="G2853" s="1">
        <v>27773</v>
      </c>
      <c r="H2853" t="s">
        <v>6417</v>
      </c>
      <c r="I2853" s="2" t="str">
        <f t="shared" si="44"/>
        <v>+91-7420539880</v>
      </c>
      <c r="J2853">
        <f>91-7420539971</f>
        <v>-7420539880</v>
      </c>
      <c r="K2853" t="s">
        <v>239</v>
      </c>
      <c r="L2853" t="s">
        <v>191</v>
      </c>
      <c r="M2853">
        <v>142847</v>
      </c>
      <c r="N2853" s="1">
        <v>45360</v>
      </c>
      <c r="O2853" t="s">
        <v>35</v>
      </c>
      <c r="P2853">
        <v>4</v>
      </c>
      <c r="Q2853">
        <v>5636.92</v>
      </c>
    </row>
    <row r="2854" spans="1:17" x14ac:dyDescent="0.3">
      <c r="A2854" t="s">
        <v>6418</v>
      </c>
      <c r="B2854" t="s">
        <v>1765</v>
      </c>
      <c r="C2854" s="2" t="str">
        <f>PROPER(TRIM(Table1[[#This Row],[Gender]]))</f>
        <v>Female</v>
      </c>
      <c r="D2854" t="s">
        <v>43</v>
      </c>
      <c r="E2854">
        <v>37</v>
      </c>
      <c r="F2854" t="s">
        <v>38</v>
      </c>
      <c r="G2854" s="1">
        <v>32153</v>
      </c>
      <c r="H2854" t="s">
        <v>6419</v>
      </c>
      <c r="I2854" s="2" t="str">
        <f t="shared" si="44"/>
        <v>+91-8773215218</v>
      </c>
      <c r="J2854">
        <f>91-8773215309</f>
        <v>-8773215218</v>
      </c>
      <c r="K2854" t="s">
        <v>45</v>
      </c>
      <c r="L2854" t="s">
        <v>46</v>
      </c>
      <c r="M2854">
        <v>791266</v>
      </c>
      <c r="N2854" s="1">
        <v>45137</v>
      </c>
      <c r="O2854" t="s">
        <v>35</v>
      </c>
      <c r="P2854">
        <v>2</v>
      </c>
      <c r="Q2854">
        <v>2571.85</v>
      </c>
    </row>
    <row r="2855" spans="1:17" x14ac:dyDescent="0.3">
      <c r="A2855" t="s">
        <v>6420</v>
      </c>
      <c r="B2855" t="s">
        <v>2984</v>
      </c>
      <c r="C2855" s="2" t="str">
        <f>PROPER(TRIM(Table1[[#This Row],[Gender]]))</f>
        <v>Female</v>
      </c>
      <c r="D2855" t="s">
        <v>43</v>
      </c>
      <c r="E2855">
        <v>61</v>
      </c>
      <c r="F2855" t="s">
        <v>58</v>
      </c>
      <c r="G2855" s="1">
        <v>23393</v>
      </c>
      <c r="H2855" t="s">
        <v>6421</v>
      </c>
      <c r="I2855" s="2" t="str">
        <f t="shared" si="44"/>
        <v>+91-9513067443</v>
      </c>
      <c r="J2855">
        <f>91-9513067534</f>
        <v>-9513067443</v>
      </c>
      <c r="K2855" t="s">
        <v>415</v>
      </c>
      <c r="L2855" t="s">
        <v>90</v>
      </c>
      <c r="M2855">
        <v>353395</v>
      </c>
      <c r="N2855" s="1">
        <v>45442</v>
      </c>
      <c r="O2855" t="s">
        <v>21</v>
      </c>
      <c r="P2855">
        <v>2</v>
      </c>
      <c r="Q2855">
        <v>28514.74</v>
      </c>
    </row>
    <row r="2856" spans="1:17" x14ac:dyDescent="0.3">
      <c r="A2856" t="s">
        <v>6422</v>
      </c>
      <c r="B2856" t="s">
        <v>123</v>
      </c>
      <c r="C2856" s="2" t="str">
        <f>PROPER(TRIM(Table1[[#This Row],[Gender]]))</f>
        <v>Male</v>
      </c>
      <c r="D2856" t="s">
        <v>16</v>
      </c>
      <c r="E2856">
        <v>45</v>
      </c>
      <c r="F2856" t="s">
        <v>38</v>
      </c>
      <c r="G2856" s="1">
        <v>29233</v>
      </c>
      <c r="H2856" t="s">
        <v>6423</v>
      </c>
      <c r="I2856" s="2" t="str">
        <f t="shared" si="44"/>
        <v>+91-9601034690</v>
      </c>
      <c r="J2856">
        <f>91-9601034781</f>
        <v>-9601034690</v>
      </c>
      <c r="K2856" t="s">
        <v>138</v>
      </c>
      <c r="L2856" t="s">
        <v>90</v>
      </c>
      <c r="M2856">
        <v>716854</v>
      </c>
      <c r="N2856" s="1">
        <v>45257</v>
      </c>
      <c r="O2856" t="s">
        <v>28</v>
      </c>
      <c r="P2856">
        <v>4</v>
      </c>
      <c r="Q2856">
        <v>146180.20000000001</v>
      </c>
    </row>
    <row r="2857" spans="1:17" x14ac:dyDescent="0.3">
      <c r="A2857" t="s">
        <v>6424</v>
      </c>
      <c r="B2857" t="s">
        <v>1319</v>
      </c>
      <c r="C2857" s="2" t="str">
        <f>PROPER(TRIM(Table1[[#This Row],[Gender]]))</f>
        <v>Male</v>
      </c>
      <c r="D2857" t="s">
        <v>16</v>
      </c>
      <c r="E2857">
        <v>34</v>
      </c>
      <c r="F2857" t="s">
        <v>31</v>
      </c>
      <c r="G2857" s="1">
        <v>33248</v>
      </c>
      <c r="H2857" t="s">
        <v>6425</v>
      </c>
      <c r="I2857" s="2" t="str">
        <f t="shared" si="44"/>
        <v>+91-8674471410</v>
      </c>
      <c r="J2857">
        <f>91-8674471501</f>
        <v>-8674471410</v>
      </c>
      <c r="K2857" t="s">
        <v>101</v>
      </c>
      <c r="L2857" t="s">
        <v>102</v>
      </c>
      <c r="M2857">
        <v>992498</v>
      </c>
      <c r="N2857" s="1">
        <v>45098</v>
      </c>
      <c r="O2857" t="s">
        <v>21</v>
      </c>
      <c r="P2857">
        <v>2</v>
      </c>
      <c r="Q2857">
        <v>20861.39</v>
      </c>
    </row>
    <row r="2858" spans="1:17" x14ac:dyDescent="0.3">
      <c r="A2858" t="s">
        <v>6426</v>
      </c>
      <c r="B2858" t="s">
        <v>2458</v>
      </c>
      <c r="C2858" s="2" t="str">
        <f>PROPER(TRIM(Table1[[#This Row],[Gender]]))</f>
        <v>Female</v>
      </c>
      <c r="D2858" t="s">
        <v>43</v>
      </c>
      <c r="E2858">
        <v>52</v>
      </c>
      <c r="F2858" t="s">
        <v>17</v>
      </c>
      <c r="G2858" s="1">
        <v>26678</v>
      </c>
      <c r="H2858" t="s">
        <v>6427</v>
      </c>
      <c r="I2858" s="2" t="str">
        <f t="shared" si="44"/>
        <v>+91-7670813256</v>
      </c>
      <c r="J2858">
        <f>91-7670813347</f>
        <v>-7670813256</v>
      </c>
      <c r="K2858" t="s">
        <v>125</v>
      </c>
      <c r="L2858" t="s">
        <v>52</v>
      </c>
      <c r="M2858">
        <v>192226</v>
      </c>
      <c r="N2858" s="1">
        <v>45372</v>
      </c>
      <c r="O2858" t="s">
        <v>21</v>
      </c>
      <c r="P2858">
        <v>3</v>
      </c>
      <c r="Q2858">
        <v>28770.13</v>
      </c>
    </row>
    <row r="2859" spans="1:17" x14ac:dyDescent="0.3">
      <c r="A2859" t="s">
        <v>6428</v>
      </c>
      <c r="B2859" t="s">
        <v>2372</v>
      </c>
      <c r="C2859" s="2" t="str">
        <f>PROPER(TRIM(Table1[[#This Row],[Gender]]))</f>
        <v>Female</v>
      </c>
      <c r="D2859" t="s">
        <v>43</v>
      </c>
      <c r="E2859">
        <v>32</v>
      </c>
      <c r="F2859" t="s">
        <v>31</v>
      </c>
      <c r="G2859" s="1">
        <v>33978</v>
      </c>
      <c r="H2859" t="s">
        <v>6429</v>
      </c>
      <c r="I2859" s="2" t="str">
        <f t="shared" si="44"/>
        <v>+91-7330455767</v>
      </c>
      <c r="J2859">
        <f>91-7330455858</f>
        <v>-7330455767</v>
      </c>
      <c r="K2859" t="s">
        <v>113</v>
      </c>
      <c r="L2859" t="s">
        <v>34</v>
      </c>
      <c r="M2859">
        <v>535781</v>
      </c>
      <c r="N2859" s="1">
        <v>45329</v>
      </c>
      <c r="O2859" t="s">
        <v>21</v>
      </c>
      <c r="P2859">
        <v>2</v>
      </c>
      <c r="Q2859">
        <v>26624.25</v>
      </c>
    </row>
    <row r="2860" spans="1:17" x14ac:dyDescent="0.3">
      <c r="A2860" t="s">
        <v>6430</v>
      </c>
      <c r="B2860" t="s">
        <v>1043</v>
      </c>
      <c r="C2860" s="2" t="str">
        <f>PROPER(TRIM(Table1[[#This Row],[Gender]]))</f>
        <v>Female</v>
      </c>
      <c r="D2860" t="s">
        <v>43</v>
      </c>
      <c r="E2860">
        <v>42</v>
      </c>
      <c r="F2860" t="s">
        <v>38</v>
      </c>
      <c r="G2860" s="1">
        <v>30328</v>
      </c>
      <c r="H2860" t="s">
        <v>6431</v>
      </c>
      <c r="I2860" s="2" t="str">
        <f t="shared" si="44"/>
        <v>+91-7878419272</v>
      </c>
      <c r="J2860">
        <f>91-7878419363</f>
        <v>-7878419272</v>
      </c>
      <c r="K2860" t="s">
        <v>195</v>
      </c>
      <c r="L2860" t="s">
        <v>102</v>
      </c>
      <c r="M2860">
        <v>198293</v>
      </c>
      <c r="N2860" s="1">
        <v>45207</v>
      </c>
      <c r="O2860" t="s">
        <v>28</v>
      </c>
      <c r="P2860">
        <v>6</v>
      </c>
      <c r="Q2860">
        <v>241957.95</v>
      </c>
    </row>
    <row r="2861" spans="1:17" x14ac:dyDescent="0.3">
      <c r="A2861" t="s">
        <v>6432</v>
      </c>
      <c r="B2861" t="s">
        <v>6433</v>
      </c>
      <c r="C2861" s="2" t="str">
        <f>PROPER(TRIM(Table1[[#This Row],[Gender]]))</f>
        <v>Male</v>
      </c>
      <c r="D2861" t="s">
        <v>16</v>
      </c>
      <c r="E2861">
        <v>33</v>
      </c>
      <c r="F2861" t="s">
        <v>31</v>
      </c>
      <c r="G2861" s="1">
        <v>33613</v>
      </c>
      <c r="H2861" t="s">
        <v>6434</v>
      </c>
      <c r="I2861" s="2" t="str">
        <f t="shared" si="44"/>
        <v>+91-9462819736</v>
      </c>
      <c r="J2861">
        <f>91-9462819827</f>
        <v>-9462819736</v>
      </c>
      <c r="K2861" t="s">
        <v>369</v>
      </c>
      <c r="L2861" t="s">
        <v>191</v>
      </c>
      <c r="M2861">
        <v>665627</v>
      </c>
      <c r="N2861" s="1">
        <v>45437</v>
      </c>
      <c r="O2861" t="s">
        <v>28</v>
      </c>
      <c r="P2861">
        <v>5</v>
      </c>
      <c r="Q2861">
        <v>128525.95</v>
      </c>
    </row>
    <row r="2862" spans="1:17" x14ac:dyDescent="0.3">
      <c r="A2862" t="s">
        <v>6435</v>
      </c>
      <c r="B2862" t="s">
        <v>2021</v>
      </c>
      <c r="C2862" s="2" t="str">
        <f>PROPER(TRIM(Table1[[#This Row],[Gender]]))</f>
        <v>Male</v>
      </c>
      <c r="D2862" t="s">
        <v>16</v>
      </c>
      <c r="E2862">
        <v>70</v>
      </c>
      <c r="F2862" t="s">
        <v>24</v>
      </c>
      <c r="G2862" s="1">
        <v>20108</v>
      </c>
      <c r="H2862" t="s">
        <v>6436</v>
      </c>
      <c r="I2862" s="2" t="str">
        <f t="shared" si="44"/>
        <v>+91-7755820350</v>
      </c>
      <c r="J2862">
        <f>91-7755820441</f>
        <v>-7755820350</v>
      </c>
      <c r="K2862" t="s">
        <v>154</v>
      </c>
      <c r="L2862" t="s">
        <v>46</v>
      </c>
      <c r="M2862">
        <v>935181</v>
      </c>
      <c r="N2862" s="1">
        <v>45132</v>
      </c>
      <c r="O2862" t="s">
        <v>28</v>
      </c>
      <c r="P2862">
        <v>10</v>
      </c>
      <c r="Q2862">
        <v>68316.3</v>
      </c>
    </row>
    <row r="2863" spans="1:17" x14ac:dyDescent="0.3">
      <c r="A2863" t="s">
        <v>6437</v>
      </c>
      <c r="B2863" t="s">
        <v>5109</v>
      </c>
      <c r="C2863" s="2" t="str">
        <f>PROPER(TRIM(Table1[[#This Row],[Gender]]))</f>
        <v>Male</v>
      </c>
      <c r="D2863" t="s">
        <v>16</v>
      </c>
      <c r="E2863">
        <v>42</v>
      </c>
      <c r="F2863" t="s">
        <v>38</v>
      </c>
      <c r="G2863" s="1">
        <v>30328</v>
      </c>
      <c r="H2863" t="s">
        <v>6438</v>
      </c>
      <c r="I2863" s="2" t="str">
        <f t="shared" si="44"/>
        <v>+91-7845267006</v>
      </c>
      <c r="J2863">
        <f>91-7845267097</f>
        <v>-7845267006</v>
      </c>
      <c r="K2863" t="s">
        <v>142</v>
      </c>
      <c r="L2863" t="s">
        <v>143</v>
      </c>
      <c r="M2863">
        <v>641775</v>
      </c>
      <c r="N2863" s="1">
        <v>45321</v>
      </c>
      <c r="O2863" t="s">
        <v>28</v>
      </c>
      <c r="P2863">
        <v>6</v>
      </c>
      <c r="Q2863">
        <v>512859.32</v>
      </c>
    </row>
    <row r="2864" spans="1:17" x14ac:dyDescent="0.3">
      <c r="A2864" t="s">
        <v>6439</v>
      </c>
      <c r="B2864" t="s">
        <v>4045</v>
      </c>
      <c r="C2864" s="2" t="str">
        <f>PROPER(TRIM(Table1[[#This Row],[Gender]]))</f>
        <v>Female</v>
      </c>
      <c r="D2864" t="s">
        <v>43</v>
      </c>
      <c r="E2864">
        <v>55</v>
      </c>
      <c r="F2864" t="s">
        <v>17</v>
      </c>
      <c r="G2864" s="1">
        <v>25583</v>
      </c>
      <c r="H2864" t="s">
        <v>6440</v>
      </c>
      <c r="I2864" s="2" t="str">
        <f t="shared" si="44"/>
        <v>+91-9282632198</v>
      </c>
      <c r="J2864">
        <f>91-9282632289</f>
        <v>-9282632198</v>
      </c>
      <c r="K2864" t="s">
        <v>117</v>
      </c>
      <c r="L2864" t="s">
        <v>52</v>
      </c>
      <c r="M2864">
        <v>923764</v>
      </c>
      <c r="N2864" s="1">
        <v>45333</v>
      </c>
      <c r="O2864" t="s">
        <v>28</v>
      </c>
      <c r="P2864">
        <v>7</v>
      </c>
      <c r="Q2864">
        <v>105345.45</v>
      </c>
    </row>
    <row r="2865" spans="1:17" x14ac:dyDescent="0.3">
      <c r="A2865" t="s">
        <v>6441</v>
      </c>
      <c r="B2865" t="s">
        <v>675</v>
      </c>
      <c r="C2865" s="2" t="str">
        <f>PROPER(TRIM(Table1[[#This Row],[Gender]]))</f>
        <v>Male</v>
      </c>
      <c r="D2865" t="s">
        <v>16</v>
      </c>
      <c r="E2865">
        <v>47</v>
      </c>
      <c r="F2865" t="s">
        <v>17</v>
      </c>
      <c r="G2865" s="1">
        <v>28503</v>
      </c>
      <c r="H2865" t="s">
        <v>4216</v>
      </c>
      <c r="I2865" s="2" t="str">
        <f t="shared" si="44"/>
        <v>+91-7515023460</v>
      </c>
      <c r="J2865">
        <f>91-7515023551</f>
        <v>-7515023460</v>
      </c>
      <c r="K2865" t="s">
        <v>178</v>
      </c>
      <c r="L2865" t="s">
        <v>27</v>
      </c>
      <c r="M2865">
        <v>625756</v>
      </c>
      <c r="N2865" s="1">
        <v>45102</v>
      </c>
      <c r="O2865" t="s">
        <v>21</v>
      </c>
      <c r="P2865">
        <v>4</v>
      </c>
      <c r="Q2865">
        <v>34427.32</v>
      </c>
    </row>
    <row r="2866" spans="1:17" x14ac:dyDescent="0.3">
      <c r="A2866" t="s">
        <v>6442</v>
      </c>
      <c r="B2866" t="s">
        <v>4945</v>
      </c>
      <c r="C2866" s="2" t="str">
        <f>PROPER(TRIM(Table1[[#This Row],[Gender]]))</f>
        <v>Male</v>
      </c>
      <c r="D2866" t="s">
        <v>16</v>
      </c>
      <c r="E2866">
        <v>35</v>
      </c>
      <c r="F2866" t="s">
        <v>31</v>
      </c>
      <c r="G2866" s="1">
        <v>32883</v>
      </c>
      <c r="H2866" t="s">
        <v>6443</v>
      </c>
      <c r="I2866" s="2" t="str">
        <f t="shared" si="44"/>
        <v>+91-8726864125</v>
      </c>
      <c r="J2866">
        <f>91-8726864216</f>
        <v>-8726864125</v>
      </c>
      <c r="K2866" t="s">
        <v>239</v>
      </c>
      <c r="L2866" t="s">
        <v>191</v>
      </c>
      <c r="M2866">
        <v>401725</v>
      </c>
      <c r="N2866" s="1">
        <v>45106</v>
      </c>
      <c r="O2866" t="s">
        <v>28</v>
      </c>
      <c r="P2866">
        <v>7</v>
      </c>
      <c r="Q2866">
        <v>230374.44</v>
      </c>
    </row>
    <row r="2867" spans="1:17" x14ac:dyDescent="0.3">
      <c r="A2867" t="s">
        <v>6444</v>
      </c>
      <c r="B2867" t="s">
        <v>2667</v>
      </c>
      <c r="C2867" s="2" t="str">
        <f>PROPER(TRIM(Table1[[#This Row],[Gender]]))</f>
        <v>Female</v>
      </c>
      <c r="D2867" t="s">
        <v>43</v>
      </c>
      <c r="E2867">
        <v>42</v>
      </c>
      <c r="F2867" t="s">
        <v>38</v>
      </c>
      <c r="G2867" s="1">
        <v>30328</v>
      </c>
      <c r="H2867" t="s">
        <v>6445</v>
      </c>
      <c r="I2867" s="2" t="str">
        <f t="shared" si="44"/>
        <v>+91-8553246617</v>
      </c>
      <c r="J2867">
        <f>91-8553246708</f>
        <v>-8553246617</v>
      </c>
      <c r="K2867" t="s">
        <v>84</v>
      </c>
      <c r="L2867" t="s">
        <v>85</v>
      </c>
      <c r="M2867">
        <v>516451</v>
      </c>
      <c r="N2867" s="1">
        <v>45201</v>
      </c>
      <c r="O2867" t="s">
        <v>28</v>
      </c>
      <c r="P2867">
        <v>7</v>
      </c>
      <c r="Q2867">
        <v>406529.97</v>
      </c>
    </row>
    <row r="2868" spans="1:17" x14ac:dyDescent="0.3">
      <c r="A2868" t="s">
        <v>6446</v>
      </c>
      <c r="B2868" t="s">
        <v>3645</v>
      </c>
      <c r="C2868" s="2" t="str">
        <f>PROPER(TRIM(Table1[[#This Row],[Gender]]))</f>
        <v>Male</v>
      </c>
      <c r="D2868" t="s">
        <v>16</v>
      </c>
      <c r="E2868">
        <v>62</v>
      </c>
      <c r="F2868" t="s">
        <v>58</v>
      </c>
      <c r="G2868" s="1">
        <v>23028</v>
      </c>
      <c r="H2868" t="s">
        <v>6447</v>
      </c>
      <c r="I2868" s="2" t="str">
        <f t="shared" si="44"/>
        <v>+91-7363210376</v>
      </c>
      <c r="J2868">
        <f>91-7363210467</f>
        <v>-7363210376</v>
      </c>
      <c r="K2868" t="s">
        <v>415</v>
      </c>
      <c r="L2868" t="s">
        <v>90</v>
      </c>
      <c r="M2868">
        <v>256249</v>
      </c>
      <c r="N2868" s="1">
        <v>45371</v>
      </c>
      <c r="O2868" t="s">
        <v>21</v>
      </c>
      <c r="P2868">
        <v>6</v>
      </c>
      <c r="Q2868">
        <v>29740.14</v>
      </c>
    </row>
    <row r="2869" spans="1:17" x14ac:dyDescent="0.3">
      <c r="A2869" t="s">
        <v>6448</v>
      </c>
      <c r="B2869" t="s">
        <v>2820</v>
      </c>
      <c r="C2869" s="2" t="str">
        <f>PROPER(TRIM(Table1[[#This Row],[Gender]]))</f>
        <v>Male</v>
      </c>
      <c r="D2869" t="s">
        <v>16</v>
      </c>
      <c r="E2869">
        <v>29</v>
      </c>
      <c r="F2869" t="s">
        <v>31</v>
      </c>
      <c r="G2869" s="1">
        <v>35073</v>
      </c>
      <c r="H2869" t="s">
        <v>6449</v>
      </c>
      <c r="I2869" s="2" t="str">
        <f t="shared" si="44"/>
        <v>+91-8113034213</v>
      </c>
      <c r="J2869">
        <f>91-8113034304</f>
        <v>-8113034213</v>
      </c>
      <c r="K2869" t="s">
        <v>125</v>
      </c>
      <c r="L2869" t="s">
        <v>52</v>
      </c>
      <c r="M2869">
        <v>915266</v>
      </c>
      <c r="N2869" s="1">
        <v>45259</v>
      </c>
      <c r="O2869" t="s">
        <v>28</v>
      </c>
      <c r="P2869">
        <v>6</v>
      </c>
      <c r="Q2869">
        <v>155109.64000000001</v>
      </c>
    </row>
    <row r="2870" spans="1:17" x14ac:dyDescent="0.3">
      <c r="A2870" t="s">
        <v>6450</v>
      </c>
      <c r="B2870" t="s">
        <v>1362</v>
      </c>
      <c r="C2870" s="2" t="str">
        <f>PROPER(TRIM(Table1[[#This Row],[Gender]]))</f>
        <v>Female</v>
      </c>
      <c r="D2870" t="s">
        <v>43</v>
      </c>
      <c r="E2870">
        <v>33</v>
      </c>
      <c r="F2870" t="s">
        <v>31</v>
      </c>
      <c r="G2870" s="1">
        <v>33613</v>
      </c>
      <c r="H2870" t="s">
        <v>1363</v>
      </c>
      <c r="I2870" s="2" t="str">
        <f t="shared" si="44"/>
        <v>+91-7567403320</v>
      </c>
      <c r="J2870">
        <f>91-7567403411</f>
        <v>-7567403320</v>
      </c>
      <c r="K2870" t="s">
        <v>26</v>
      </c>
      <c r="L2870" t="s">
        <v>27</v>
      </c>
      <c r="M2870">
        <v>332697</v>
      </c>
      <c r="N2870" s="1">
        <v>45191</v>
      </c>
      <c r="O2870" t="s">
        <v>28</v>
      </c>
      <c r="P2870">
        <v>6</v>
      </c>
      <c r="Q2870">
        <v>197659.44</v>
      </c>
    </row>
    <row r="2871" spans="1:17" x14ac:dyDescent="0.3">
      <c r="A2871" t="s">
        <v>6451</v>
      </c>
      <c r="B2871" t="s">
        <v>389</v>
      </c>
      <c r="C2871" s="2" t="str">
        <f>PROPER(TRIM(Table1[[#This Row],[Gender]]))</f>
        <v>Female</v>
      </c>
      <c r="D2871" t="s">
        <v>43</v>
      </c>
      <c r="E2871">
        <v>49</v>
      </c>
      <c r="F2871" t="s">
        <v>17</v>
      </c>
      <c r="G2871" s="1">
        <v>27773</v>
      </c>
      <c r="H2871" t="s">
        <v>6452</v>
      </c>
      <c r="I2871" s="2" t="str">
        <f t="shared" si="44"/>
        <v>+91-9711465855</v>
      </c>
      <c r="J2871">
        <f>91-9711465946</f>
        <v>-9711465855</v>
      </c>
      <c r="K2871" t="s">
        <v>202</v>
      </c>
      <c r="L2871" t="s">
        <v>191</v>
      </c>
      <c r="M2871">
        <v>231308</v>
      </c>
      <c r="N2871" s="1">
        <v>45162</v>
      </c>
      <c r="O2871" t="s">
        <v>35</v>
      </c>
      <c r="P2871">
        <v>7</v>
      </c>
      <c r="Q2871">
        <v>9088.2800000000007</v>
      </c>
    </row>
    <row r="2872" spans="1:17" x14ac:dyDescent="0.3">
      <c r="A2872" t="s">
        <v>6453</v>
      </c>
      <c r="B2872" t="s">
        <v>4387</v>
      </c>
      <c r="C2872" s="2" t="str">
        <f>PROPER(TRIM(Table1[[#This Row],[Gender]]))</f>
        <v>Male</v>
      </c>
      <c r="D2872" t="s">
        <v>16</v>
      </c>
      <c r="E2872">
        <v>28</v>
      </c>
      <c r="F2872" t="s">
        <v>31</v>
      </c>
      <c r="G2872" s="1">
        <v>35438</v>
      </c>
      <c r="H2872" t="s">
        <v>6454</v>
      </c>
      <c r="I2872" s="2" t="str">
        <f t="shared" si="44"/>
        <v>+91-8078467303</v>
      </c>
      <c r="J2872">
        <f>91-8078467394</f>
        <v>-8078467303</v>
      </c>
      <c r="K2872" t="s">
        <v>121</v>
      </c>
      <c r="L2872" t="s">
        <v>85</v>
      </c>
      <c r="M2872">
        <v>414893</v>
      </c>
      <c r="N2872" s="1">
        <v>45259</v>
      </c>
      <c r="O2872" t="s">
        <v>28</v>
      </c>
      <c r="P2872">
        <v>4</v>
      </c>
      <c r="Q2872">
        <v>80130.67</v>
      </c>
    </row>
    <row r="2873" spans="1:17" x14ac:dyDescent="0.3">
      <c r="A2873" t="s">
        <v>6455</v>
      </c>
      <c r="B2873" t="s">
        <v>721</v>
      </c>
      <c r="C2873" s="2" t="str">
        <f>PROPER(TRIM(Table1[[#This Row],[Gender]]))</f>
        <v>Male</v>
      </c>
      <c r="D2873" t="s">
        <v>16</v>
      </c>
      <c r="E2873">
        <v>24</v>
      </c>
      <c r="F2873" t="s">
        <v>49</v>
      </c>
      <c r="G2873" s="1">
        <v>36898</v>
      </c>
      <c r="H2873" t="s">
        <v>6456</v>
      </c>
      <c r="I2873" s="2" t="str">
        <f t="shared" si="44"/>
        <v>+91-7911303939</v>
      </c>
      <c r="J2873">
        <f>91-7911304030</f>
        <v>-7911303939</v>
      </c>
      <c r="K2873" t="s">
        <v>117</v>
      </c>
      <c r="L2873" t="s">
        <v>52</v>
      </c>
      <c r="M2873">
        <v>497610</v>
      </c>
      <c r="N2873" s="1">
        <v>45150</v>
      </c>
      <c r="O2873" t="s">
        <v>28</v>
      </c>
      <c r="P2873">
        <v>6</v>
      </c>
      <c r="Q2873">
        <v>174920.93</v>
      </c>
    </row>
    <row r="2874" spans="1:17" x14ac:dyDescent="0.3">
      <c r="A2874" t="s">
        <v>6457</v>
      </c>
      <c r="B2874" t="s">
        <v>2245</v>
      </c>
      <c r="C2874" s="2" t="str">
        <f>PROPER(TRIM(Table1[[#This Row],[Gender]]))</f>
        <v>Female</v>
      </c>
      <c r="D2874" t="s">
        <v>43</v>
      </c>
      <c r="E2874">
        <v>20</v>
      </c>
      <c r="F2874" t="s">
        <v>49</v>
      </c>
      <c r="G2874" s="1">
        <v>38358</v>
      </c>
      <c r="H2874" t="s">
        <v>6458</v>
      </c>
      <c r="I2874" s="2" t="str">
        <f t="shared" si="44"/>
        <v>+91-7633038499</v>
      </c>
      <c r="J2874">
        <f>91-7633038590</f>
        <v>-7633038499</v>
      </c>
      <c r="K2874" t="s">
        <v>33</v>
      </c>
      <c r="L2874" t="s">
        <v>34</v>
      </c>
      <c r="M2874">
        <v>948269</v>
      </c>
      <c r="N2874" s="1">
        <v>45320</v>
      </c>
      <c r="O2874" t="s">
        <v>28</v>
      </c>
      <c r="P2874">
        <v>6</v>
      </c>
      <c r="Q2874">
        <v>76667.16</v>
      </c>
    </row>
    <row r="2875" spans="1:17" x14ac:dyDescent="0.3">
      <c r="A2875" t="s">
        <v>6459</v>
      </c>
      <c r="B2875" t="s">
        <v>3839</v>
      </c>
      <c r="C2875" s="2" t="str">
        <f>PROPER(TRIM(Table1[[#This Row],[Gender]]))</f>
        <v>Male</v>
      </c>
      <c r="D2875" t="s">
        <v>16</v>
      </c>
      <c r="E2875">
        <v>31</v>
      </c>
      <c r="F2875" t="s">
        <v>31</v>
      </c>
      <c r="G2875" s="1">
        <v>34343</v>
      </c>
      <c r="H2875" t="s">
        <v>6460</v>
      </c>
      <c r="I2875" s="2" t="str">
        <f t="shared" si="44"/>
        <v>+91-9599233269</v>
      </c>
      <c r="J2875">
        <f>91-9599233360</f>
        <v>-9599233269</v>
      </c>
      <c r="K2875" t="s">
        <v>60</v>
      </c>
      <c r="L2875" t="s">
        <v>34</v>
      </c>
      <c r="M2875">
        <v>653520</v>
      </c>
      <c r="N2875" s="1">
        <v>45222</v>
      </c>
      <c r="O2875" t="s">
        <v>28</v>
      </c>
      <c r="P2875">
        <v>6</v>
      </c>
      <c r="Q2875">
        <v>123023.2</v>
      </c>
    </row>
    <row r="2876" spans="1:17" x14ac:dyDescent="0.3">
      <c r="A2876" t="s">
        <v>6461</v>
      </c>
      <c r="B2876" t="s">
        <v>1181</v>
      </c>
      <c r="C2876" s="2" t="str">
        <f>PROPER(TRIM(Table1[[#This Row],[Gender]]))</f>
        <v>Male</v>
      </c>
      <c r="D2876" t="s">
        <v>16</v>
      </c>
      <c r="E2876">
        <v>54</v>
      </c>
      <c r="F2876" t="s">
        <v>17</v>
      </c>
      <c r="G2876" s="1">
        <v>25948</v>
      </c>
      <c r="H2876" t="s">
        <v>6462</v>
      </c>
      <c r="I2876" s="2" t="str">
        <f t="shared" si="44"/>
        <v>+91-8181421164</v>
      </c>
      <c r="J2876">
        <f>91-8181421255</f>
        <v>-8181421164</v>
      </c>
      <c r="K2876" t="s">
        <v>60</v>
      </c>
      <c r="L2876" t="s">
        <v>34</v>
      </c>
      <c r="M2876">
        <v>384046</v>
      </c>
      <c r="N2876" s="1">
        <v>45080</v>
      </c>
      <c r="O2876" t="s">
        <v>28</v>
      </c>
      <c r="P2876">
        <v>8</v>
      </c>
      <c r="Q2876">
        <v>74899.16</v>
      </c>
    </row>
    <row r="2877" spans="1:17" x14ac:dyDescent="0.3">
      <c r="A2877" t="s">
        <v>6463</v>
      </c>
      <c r="B2877" t="s">
        <v>2061</v>
      </c>
      <c r="C2877" s="2" t="str">
        <f>PROPER(TRIM(Table1[[#This Row],[Gender]]))</f>
        <v>Female</v>
      </c>
      <c r="D2877" t="s">
        <v>43</v>
      </c>
      <c r="E2877">
        <v>30</v>
      </c>
      <c r="F2877" t="s">
        <v>31</v>
      </c>
      <c r="G2877" s="1">
        <v>34708</v>
      </c>
      <c r="H2877" t="s">
        <v>6464</v>
      </c>
      <c r="I2877" s="2" t="str">
        <f t="shared" si="44"/>
        <v>+91-7684807139</v>
      </c>
      <c r="J2877">
        <f>91-7684807230</f>
        <v>-7684807139</v>
      </c>
      <c r="K2877" t="s">
        <v>89</v>
      </c>
      <c r="L2877" t="s">
        <v>90</v>
      </c>
      <c r="M2877">
        <v>382676</v>
      </c>
      <c r="N2877" s="1">
        <v>45356</v>
      </c>
      <c r="O2877" t="s">
        <v>28</v>
      </c>
      <c r="P2877">
        <v>12</v>
      </c>
      <c r="Q2877">
        <v>196835.18</v>
      </c>
    </row>
    <row r="2878" spans="1:17" x14ac:dyDescent="0.3">
      <c r="A2878" t="s">
        <v>6465</v>
      </c>
      <c r="B2878" t="s">
        <v>1588</v>
      </c>
      <c r="C2878" s="2" t="str">
        <f>PROPER(TRIM(Table1[[#This Row],[Gender]]))</f>
        <v>Female</v>
      </c>
      <c r="D2878" t="s">
        <v>43</v>
      </c>
      <c r="E2878">
        <v>68</v>
      </c>
      <c r="F2878" t="s">
        <v>24</v>
      </c>
      <c r="G2878" s="1">
        <v>20838</v>
      </c>
      <c r="H2878" t="s">
        <v>6466</v>
      </c>
      <c r="I2878" s="2" t="str">
        <f t="shared" si="44"/>
        <v>+91-9737101315</v>
      </c>
      <c r="J2878">
        <f>91-9737101406</f>
        <v>-9737101315</v>
      </c>
      <c r="K2878" t="s">
        <v>101</v>
      </c>
      <c r="L2878" t="s">
        <v>102</v>
      </c>
      <c r="M2878">
        <v>706530</v>
      </c>
      <c r="N2878" s="1">
        <v>45221</v>
      </c>
      <c r="O2878" t="s">
        <v>21</v>
      </c>
      <c r="P2878">
        <v>6</v>
      </c>
      <c r="Q2878">
        <v>28488.39</v>
      </c>
    </row>
    <row r="2879" spans="1:17" x14ac:dyDescent="0.3">
      <c r="A2879" t="s">
        <v>6467</v>
      </c>
      <c r="B2879" t="s">
        <v>4249</v>
      </c>
      <c r="C2879" s="2" t="str">
        <f>PROPER(TRIM(Table1[[#This Row],[Gender]]))</f>
        <v>Male</v>
      </c>
      <c r="D2879" t="s">
        <v>16</v>
      </c>
      <c r="E2879">
        <v>18</v>
      </c>
      <c r="F2879" t="s">
        <v>49</v>
      </c>
      <c r="G2879" s="1">
        <v>39088</v>
      </c>
      <c r="H2879" t="s">
        <v>6468</v>
      </c>
      <c r="I2879" s="2" t="str">
        <f t="shared" si="44"/>
        <v>+91-9661920315</v>
      </c>
      <c r="J2879">
        <f>91-9661920406</f>
        <v>-9661920315</v>
      </c>
      <c r="K2879" t="s">
        <v>76</v>
      </c>
      <c r="L2879" t="s">
        <v>46</v>
      </c>
      <c r="M2879">
        <v>778206</v>
      </c>
      <c r="N2879" s="1">
        <v>45434</v>
      </c>
      <c r="O2879" t="s">
        <v>28</v>
      </c>
      <c r="P2879">
        <v>8</v>
      </c>
      <c r="Q2879">
        <v>148483.5</v>
      </c>
    </row>
    <row r="2880" spans="1:17" x14ac:dyDescent="0.3">
      <c r="A2880" t="s">
        <v>6469</v>
      </c>
      <c r="B2880" t="s">
        <v>6470</v>
      </c>
      <c r="C2880" s="2" t="str">
        <f>PROPER(TRIM(Table1[[#This Row],[Gender]]))</f>
        <v>Male</v>
      </c>
      <c r="D2880" t="s">
        <v>16</v>
      </c>
      <c r="E2880">
        <v>20</v>
      </c>
      <c r="F2880" t="s">
        <v>49</v>
      </c>
      <c r="G2880" s="1">
        <v>38358</v>
      </c>
      <c r="H2880" t="s">
        <v>6471</v>
      </c>
      <c r="I2880" s="2" t="str">
        <f t="shared" si="44"/>
        <v>+91-7656030352</v>
      </c>
      <c r="J2880">
        <f>91-7656030443</f>
        <v>-7656030352</v>
      </c>
      <c r="K2880" t="s">
        <v>190</v>
      </c>
      <c r="L2880" t="s">
        <v>191</v>
      </c>
      <c r="M2880">
        <v>576113</v>
      </c>
      <c r="N2880" s="1">
        <v>45142</v>
      </c>
      <c r="O2880" t="s">
        <v>28</v>
      </c>
      <c r="P2880">
        <v>3</v>
      </c>
      <c r="Q2880">
        <v>171416.45</v>
      </c>
    </row>
    <row r="2881" spans="1:17" x14ac:dyDescent="0.3">
      <c r="A2881" t="s">
        <v>6472</v>
      </c>
      <c r="B2881" t="s">
        <v>4833</v>
      </c>
      <c r="C2881" s="2" t="str">
        <f>PROPER(TRIM(Table1[[#This Row],[Gender]]))</f>
        <v>Male</v>
      </c>
      <c r="D2881" t="s">
        <v>16</v>
      </c>
      <c r="E2881">
        <v>29</v>
      </c>
      <c r="F2881" t="s">
        <v>31</v>
      </c>
      <c r="G2881" s="1">
        <v>35073</v>
      </c>
      <c r="H2881" t="s">
        <v>6473</v>
      </c>
      <c r="I2881" s="2" t="str">
        <f t="shared" si="44"/>
        <v>+91-9247970980</v>
      </c>
      <c r="J2881">
        <f>91-9247971071</f>
        <v>-9247970980</v>
      </c>
      <c r="K2881" t="s">
        <v>45</v>
      </c>
      <c r="L2881" t="s">
        <v>46</v>
      </c>
      <c r="M2881">
        <v>363274</v>
      </c>
      <c r="N2881" s="1">
        <v>45298</v>
      </c>
      <c r="O2881" t="s">
        <v>28</v>
      </c>
      <c r="P2881">
        <v>5</v>
      </c>
      <c r="Q2881">
        <v>90563.19</v>
      </c>
    </row>
    <row r="2882" spans="1:17" x14ac:dyDescent="0.3">
      <c r="A2882" t="s">
        <v>6474</v>
      </c>
      <c r="B2882" t="s">
        <v>1200</v>
      </c>
      <c r="C2882" s="2" t="str">
        <f>PROPER(TRIM(Table1[[#This Row],[Gender]]))</f>
        <v>Male</v>
      </c>
      <c r="D2882" t="s">
        <v>16</v>
      </c>
      <c r="E2882">
        <v>40</v>
      </c>
      <c r="F2882" t="s">
        <v>38</v>
      </c>
      <c r="G2882" s="1">
        <v>31058</v>
      </c>
      <c r="H2882" t="s">
        <v>6475</v>
      </c>
      <c r="I2882" s="2" t="str">
        <f t="shared" ref="I2882:I2945" si="45">"+91"&amp;TEXT(J2882,"0000000000")</f>
        <v>+91-9966914217</v>
      </c>
      <c r="J2882">
        <f>91-9966914308</f>
        <v>-9966914217</v>
      </c>
      <c r="K2882" t="s">
        <v>94</v>
      </c>
      <c r="L2882" t="s">
        <v>20</v>
      </c>
      <c r="M2882">
        <v>527012</v>
      </c>
      <c r="N2882" s="1">
        <v>45119</v>
      </c>
      <c r="O2882" t="s">
        <v>21</v>
      </c>
      <c r="P2882">
        <v>5</v>
      </c>
      <c r="Q2882">
        <v>36238.58</v>
      </c>
    </row>
    <row r="2883" spans="1:17" x14ac:dyDescent="0.3">
      <c r="A2883" t="s">
        <v>6476</v>
      </c>
      <c r="B2883" t="s">
        <v>3808</v>
      </c>
      <c r="C2883" s="2" t="str">
        <f>PROPER(TRIM(Table1[[#This Row],[Gender]]))</f>
        <v>Male</v>
      </c>
      <c r="D2883" t="s">
        <v>16</v>
      </c>
      <c r="E2883">
        <v>28</v>
      </c>
      <c r="F2883" t="s">
        <v>31</v>
      </c>
      <c r="G2883" s="1">
        <v>35438</v>
      </c>
      <c r="H2883" t="s">
        <v>6477</v>
      </c>
      <c r="I2883" s="2" t="str">
        <f t="shared" si="45"/>
        <v>+91-8317409158</v>
      </c>
      <c r="J2883">
        <f>91-8317409249</f>
        <v>-8317409158</v>
      </c>
      <c r="K2883" t="s">
        <v>195</v>
      </c>
      <c r="L2883" t="s">
        <v>102</v>
      </c>
      <c r="M2883">
        <v>551493</v>
      </c>
      <c r="N2883" s="1">
        <v>45350</v>
      </c>
      <c r="O2883" t="s">
        <v>28</v>
      </c>
      <c r="P2883">
        <v>3</v>
      </c>
      <c r="Q2883">
        <v>83193.490000000005</v>
      </c>
    </row>
    <row r="2884" spans="1:17" x14ac:dyDescent="0.3">
      <c r="A2884" t="s">
        <v>6478</v>
      </c>
      <c r="B2884" t="s">
        <v>1173</v>
      </c>
      <c r="C2884" s="2" t="str">
        <f>PROPER(TRIM(Table1[[#This Row],[Gender]]))</f>
        <v>Female</v>
      </c>
      <c r="D2884" t="s">
        <v>43</v>
      </c>
      <c r="E2884">
        <v>22</v>
      </c>
      <c r="F2884" t="s">
        <v>49</v>
      </c>
      <c r="G2884" s="1">
        <v>37628</v>
      </c>
      <c r="H2884" t="s">
        <v>6479</v>
      </c>
      <c r="I2884" s="2" t="str">
        <f t="shared" si="45"/>
        <v>+91-7039650849</v>
      </c>
      <c r="J2884">
        <f>91-7039650940</f>
        <v>-7039650849</v>
      </c>
      <c r="K2884" t="s">
        <v>94</v>
      </c>
      <c r="L2884" t="s">
        <v>20</v>
      </c>
      <c r="M2884">
        <v>796598</v>
      </c>
      <c r="N2884" s="1">
        <v>45414</v>
      </c>
      <c r="O2884" t="s">
        <v>28</v>
      </c>
      <c r="P2884">
        <v>4</v>
      </c>
      <c r="Q2884">
        <v>84181.34</v>
      </c>
    </row>
    <row r="2885" spans="1:17" x14ac:dyDescent="0.3">
      <c r="A2885" t="s">
        <v>6480</v>
      </c>
      <c r="B2885" t="s">
        <v>6481</v>
      </c>
      <c r="C2885" s="2" t="str">
        <f>PROPER(TRIM(Table1[[#This Row],[Gender]]))</f>
        <v>Male</v>
      </c>
      <c r="D2885" t="s">
        <v>16</v>
      </c>
      <c r="E2885">
        <v>30</v>
      </c>
      <c r="F2885" t="s">
        <v>31</v>
      </c>
      <c r="G2885" s="1">
        <v>34708</v>
      </c>
      <c r="H2885" t="s">
        <v>6482</v>
      </c>
      <c r="I2885" s="2" t="str">
        <f t="shared" si="45"/>
        <v>+91-8828104506</v>
      </c>
      <c r="J2885">
        <f>91-8828104597</f>
        <v>-8828104506</v>
      </c>
      <c r="K2885" t="s">
        <v>33</v>
      </c>
      <c r="L2885" t="s">
        <v>34</v>
      </c>
      <c r="M2885">
        <v>237344</v>
      </c>
      <c r="N2885" s="1">
        <v>45426</v>
      </c>
      <c r="O2885" t="s">
        <v>28</v>
      </c>
      <c r="P2885">
        <v>10</v>
      </c>
      <c r="Q2885">
        <v>448080.81</v>
      </c>
    </row>
    <row r="2886" spans="1:17" x14ac:dyDescent="0.3">
      <c r="A2886" t="s">
        <v>6483</v>
      </c>
      <c r="B2886" t="s">
        <v>1362</v>
      </c>
      <c r="C2886" s="2" t="str">
        <f>PROPER(TRIM(Table1[[#This Row],[Gender]]))</f>
        <v>Female</v>
      </c>
      <c r="D2886" t="s">
        <v>43</v>
      </c>
      <c r="E2886">
        <v>48</v>
      </c>
      <c r="F2886" t="s">
        <v>17</v>
      </c>
      <c r="G2886" s="1">
        <v>28138</v>
      </c>
      <c r="H2886" t="s">
        <v>6484</v>
      </c>
      <c r="I2886" s="2" t="str">
        <f t="shared" si="45"/>
        <v>+91-8258563556</v>
      </c>
      <c r="J2886">
        <f>91-8258563647</f>
        <v>-8258563556</v>
      </c>
      <c r="K2886" t="s">
        <v>415</v>
      </c>
      <c r="L2886" t="s">
        <v>90</v>
      </c>
      <c r="M2886">
        <v>226524</v>
      </c>
      <c r="N2886" s="1">
        <v>45282</v>
      </c>
      <c r="O2886" t="s">
        <v>35</v>
      </c>
      <c r="P2886">
        <v>2</v>
      </c>
      <c r="Q2886">
        <v>19134.259999999998</v>
      </c>
    </row>
    <row r="2887" spans="1:17" x14ac:dyDescent="0.3">
      <c r="A2887" t="s">
        <v>6485</v>
      </c>
      <c r="B2887" t="s">
        <v>1103</v>
      </c>
      <c r="C2887" s="2" t="str">
        <f>PROPER(TRIM(Table1[[#This Row],[Gender]]))</f>
        <v>Female</v>
      </c>
      <c r="D2887" t="s">
        <v>43</v>
      </c>
      <c r="E2887">
        <v>20</v>
      </c>
      <c r="F2887" t="s">
        <v>49</v>
      </c>
      <c r="G2887" s="1">
        <v>38358</v>
      </c>
      <c r="H2887" t="s">
        <v>6486</v>
      </c>
      <c r="I2887" s="2" t="str">
        <f t="shared" si="45"/>
        <v>+91-8420517508</v>
      </c>
      <c r="J2887">
        <f>91-8420517599</f>
        <v>-8420517508</v>
      </c>
      <c r="K2887" t="s">
        <v>68</v>
      </c>
      <c r="L2887" t="s">
        <v>52</v>
      </c>
      <c r="M2887">
        <v>225042</v>
      </c>
      <c r="N2887" s="1">
        <v>45197</v>
      </c>
      <c r="O2887" t="s">
        <v>28</v>
      </c>
      <c r="P2887">
        <v>8</v>
      </c>
      <c r="Q2887">
        <v>86922.27</v>
      </c>
    </row>
    <row r="2888" spans="1:17" x14ac:dyDescent="0.3">
      <c r="A2888" t="s">
        <v>6487</v>
      </c>
      <c r="B2888" t="s">
        <v>4423</v>
      </c>
      <c r="C2888" s="2" t="str">
        <f>PROPER(TRIM(Table1[[#This Row],[Gender]]))</f>
        <v>Male</v>
      </c>
      <c r="D2888" t="s">
        <v>16</v>
      </c>
      <c r="E2888">
        <v>35</v>
      </c>
      <c r="F2888" t="s">
        <v>31</v>
      </c>
      <c r="G2888" s="1">
        <v>32883</v>
      </c>
      <c r="H2888" t="s">
        <v>6488</v>
      </c>
      <c r="I2888" s="2" t="str">
        <f t="shared" si="45"/>
        <v>+91-7884580888</v>
      </c>
      <c r="J2888">
        <f>91-7884580979</f>
        <v>-7884580888</v>
      </c>
      <c r="K2888" t="s">
        <v>138</v>
      </c>
      <c r="L2888" t="s">
        <v>90</v>
      </c>
      <c r="M2888">
        <v>149189</v>
      </c>
      <c r="N2888" s="1">
        <v>45201</v>
      </c>
      <c r="O2888" t="s">
        <v>28</v>
      </c>
      <c r="P2888">
        <v>8</v>
      </c>
      <c r="Q2888">
        <v>230998.87</v>
      </c>
    </row>
    <row r="2889" spans="1:17" x14ac:dyDescent="0.3">
      <c r="A2889" t="s">
        <v>6489</v>
      </c>
      <c r="B2889" t="s">
        <v>3859</v>
      </c>
      <c r="C2889" s="2" t="str">
        <f>PROPER(TRIM(Table1[[#This Row],[Gender]]))</f>
        <v>Male</v>
      </c>
      <c r="D2889" t="s">
        <v>16</v>
      </c>
      <c r="E2889">
        <v>45</v>
      </c>
      <c r="F2889" t="s">
        <v>38</v>
      </c>
      <c r="G2889" s="1">
        <v>29233</v>
      </c>
      <c r="H2889" t="s">
        <v>6490</v>
      </c>
      <c r="I2889" s="2" t="str">
        <f t="shared" si="45"/>
        <v>+91-8004094102</v>
      </c>
      <c r="J2889">
        <f>91-8004094193</f>
        <v>-8004094102</v>
      </c>
      <c r="K2889" t="s">
        <v>125</v>
      </c>
      <c r="L2889" t="s">
        <v>52</v>
      </c>
      <c r="M2889">
        <v>481322</v>
      </c>
      <c r="N2889" s="1">
        <v>45176</v>
      </c>
      <c r="O2889" t="s">
        <v>28</v>
      </c>
      <c r="P2889">
        <v>10</v>
      </c>
      <c r="Q2889">
        <v>305711.2</v>
      </c>
    </row>
    <row r="2890" spans="1:17" x14ac:dyDescent="0.3">
      <c r="A2890" t="s">
        <v>6491</v>
      </c>
      <c r="B2890" t="s">
        <v>6492</v>
      </c>
      <c r="C2890" s="2" t="str">
        <f>PROPER(TRIM(Table1[[#This Row],[Gender]]))</f>
        <v>Male</v>
      </c>
      <c r="D2890" t="s">
        <v>16</v>
      </c>
      <c r="E2890">
        <v>67</v>
      </c>
      <c r="F2890" t="s">
        <v>24</v>
      </c>
      <c r="G2890" s="1">
        <v>21203</v>
      </c>
      <c r="H2890" t="s">
        <v>6493</v>
      </c>
      <c r="I2890" s="2" t="str">
        <f t="shared" si="45"/>
        <v>+91-9344185074</v>
      </c>
      <c r="J2890">
        <f>91-9344185165</f>
        <v>-9344185074</v>
      </c>
      <c r="K2890" t="s">
        <v>26</v>
      </c>
      <c r="L2890" t="s">
        <v>27</v>
      </c>
      <c r="M2890">
        <v>773759</v>
      </c>
      <c r="N2890" s="1">
        <v>45287</v>
      </c>
      <c r="O2890" t="s">
        <v>28</v>
      </c>
      <c r="P2890">
        <v>6</v>
      </c>
      <c r="Q2890">
        <v>61623.12</v>
      </c>
    </row>
    <row r="2891" spans="1:17" x14ac:dyDescent="0.3">
      <c r="A2891" t="s">
        <v>6494</v>
      </c>
      <c r="B2891" t="s">
        <v>2061</v>
      </c>
      <c r="C2891" s="2" t="str">
        <f>PROPER(TRIM(Table1[[#This Row],[Gender]]))</f>
        <v>Female</v>
      </c>
      <c r="D2891" t="s">
        <v>43</v>
      </c>
      <c r="E2891">
        <v>25</v>
      </c>
      <c r="F2891" t="s">
        <v>49</v>
      </c>
      <c r="G2891" s="1">
        <v>36533</v>
      </c>
      <c r="H2891" t="s">
        <v>6495</v>
      </c>
      <c r="I2891" s="2" t="str">
        <f t="shared" si="45"/>
        <v>+91-8312945077</v>
      </c>
      <c r="J2891">
        <f>91-8312945168</f>
        <v>-8312945077</v>
      </c>
      <c r="K2891" t="s">
        <v>68</v>
      </c>
      <c r="L2891" t="s">
        <v>52</v>
      </c>
      <c r="M2891">
        <v>453096</v>
      </c>
      <c r="N2891" s="1">
        <v>45272</v>
      </c>
      <c r="O2891" t="s">
        <v>28</v>
      </c>
      <c r="P2891">
        <v>7</v>
      </c>
      <c r="Q2891">
        <v>170563.56</v>
      </c>
    </row>
    <row r="2892" spans="1:17" x14ac:dyDescent="0.3">
      <c r="A2892" t="s">
        <v>6496</v>
      </c>
      <c r="B2892" t="s">
        <v>1882</v>
      </c>
      <c r="C2892" s="2" t="str">
        <f>PROPER(TRIM(Table1[[#This Row],[Gender]]))</f>
        <v>Female</v>
      </c>
      <c r="D2892" t="s">
        <v>43</v>
      </c>
      <c r="E2892">
        <v>58</v>
      </c>
      <c r="F2892" t="s">
        <v>58</v>
      </c>
      <c r="G2892" s="1">
        <v>24488</v>
      </c>
      <c r="H2892" t="s">
        <v>6497</v>
      </c>
      <c r="I2892" s="2" t="str">
        <f t="shared" si="45"/>
        <v>+91-8546705614</v>
      </c>
      <c r="J2892">
        <f>91-8546705705</f>
        <v>-8546705614</v>
      </c>
      <c r="K2892" t="s">
        <v>415</v>
      </c>
      <c r="L2892" t="s">
        <v>90</v>
      </c>
      <c r="M2892">
        <v>504133</v>
      </c>
      <c r="N2892" s="1">
        <v>45420</v>
      </c>
      <c r="O2892" t="s">
        <v>21</v>
      </c>
      <c r="P2892">
        <v>6</v>
      </c>
      <c r="Q2892">
        <v>46789.279999999999</v>
      </c>
    </row>
    <row r="2893" spans="1:17" x14ac:dyDescent="0.3">
      <c r="A2893" t="s">
        <v>6498</v>
      </c>
      <c r="B2893" t="s">
        <v>1611</v>
      </c>
      <c r="C2893" s="2" t="str">
        <f>PROPER(TRIM(Table1[[#This Row],[Gender]]))</f>
        <v>Female</v>
      </c>
      <c r="D2893" t="s">
        <v>43</v>
      </c>
      <c r="E2893">
        <v>30</v>
      </c>
      <c r="F2893" t="s">
        <v>31</v>
      </c>
      <c r="G2893" s="1">
        <v>34708</v>
      </c>
      <c r="H2893" t="s">
        <v>6499</v>
      </c>
      <c r="I2893" s="2" t="str">
        <f t="shared" si="45"/>
        <v>+91-7696417151</v>
      </c>
      <c r="J2893">
        <f>91-7696417242</f>
        <v>-7696417151</v>
      </c>
      <c r="K2893" t="s">
        <v>19</v>
      </c>
      <c r="L2893" t="s">
        <v>20</v>
      </c>
      <c r="M2893">
        <v>602258</v>
      </c>
      <c r="N2893" s="1">
        <v>45289</v>
      </c>
      <c r="O2893" t="s">
        <v>28</v>
      </c>
      <c r="P2893">
        <v>3</v>
      </c>
      <c r="Q2893">
        <v>51423.5</v>
      </c>
    </row>
    <row r="2894" spans="1:17" x14ac:dyDescent="0.3">
      <c r="A2894" t="s">
        <v>6500</v>
      </c>
      <c r="B2894" t="s">
        <v>1340</v>
      </c>
      <c r="C2894" s="2" t="str">
        <f>PROPER(TRIM(Table1[[#This Row],[Gender]]))</f>
        <v>Female</v>
      </c>
      <c r="D2894" t="s">
        <v>43</v>
      </c>
      <c r="E2894">
        <v>22</v>
      </c>
      <c r="F2894" t="s">
        <v>49</v>
      </c>
      <c r="G2894" s="1">
        <v>37628</v>
      </c>
      <c r="H2894" t="s">
        <v>6501</v>
      </c>
      <c r="I2894" s="2" t="str">
        <f t="shared" si="45"/>
        <v>+91-8283491701</v>
      </c>
      <c r="J2894">
        <f>91-8283491792</f>
        <v>-8283491701</v>
      </c>
      <c r="K2894" t="s">
        <v>369</v>
      </c>
      <c r="L2894" t="s">
        <v>191</v>
      </c>
      <c r="M2894">
        <v>853765</v>
      </c>
      <c r="N2894" s="1">
        <v>45342</v>
      </c>
      <c r="O2894" t="s">
        <v>28</v>
      </c>
      <c r="P2894">
        <v>2</v>
      </c>
      <c r="Q2894">
        <v>138021.97</v>
      </c>
    </row>
    <row r="2895" spans="1:17" x14ac:dyDescent="0.3">
      <c r="A2895" t="s">
        <v>6502</v>
      </c>
      <c r="B2895" t="s">
        <v>2057</v>
      </c>
      <c r="C2895" s="2" t="str">
        <f>PROPER(TRIM(Table1[[#This Row],[Gender]]))</f>
        <v>Male</v>
      </c>
      <c r="D2895" t="s">
        <v>16</v>
      </c>
      <c r="E2895">
        <v>46</v>
      </c>
      <c r="F2895" t="s">
        <v>17</v>
      </c>
      <c r="G2895" s="1">
        <v>28868</v>
      </c>
      <c r="H2895" t="s">
        <v>6503</v>
      </c>
      <c r="I2895" s="2" t="str">
        <f t="shared" si="45"/>
        <v>+91-8929528214</v>
      </c>
      <c r="J2895">
        <f>91-8929528305</f>
        <v>-8929528214</v>
      </c>
      <c r="K2895" t="s">
        <v>249</v>
      </c>
      <c r="L2895" t="s">
        <v>34</v>
      </c>
      <c r="M2895">
        <v>606343</v>
      </c>
      <c r="N2895" s="1">
        <v>45263</v>
      </c>
      <c r="O2895" t="s">
        <v>28</v>
      </c>
      <c r="P2895">
        <v>6</v>
      </c>
      <c r="Q2895">
        <v>54148.73</v>
      </c>
    </row>
    <row r="2896" spans="1:17" x14ac:dyDescent="0.3">
      <c r="A2896" t="s">
        <v>6504</v>
      </c>
      <c r="B2896" t="s">
        <v>3140</v>
      </c>
      <c r="C2896" s="2" t="str">
        <f>PROPER(TRIM(Table1[[#This Row],[Gender]]))</f>
        <v>Female</v>
      </c>
      <c r="D2896" t="s">
        <v>43</v>
      </c>
      <c r="E2896">
        <v>19</v>
      </c>
      <c r="F2896" t="s">
        <v>49</v>
      </c>
      <c r="G2896" s="1">
        <v>38723</v>
      </c>
      <c r="H2896" t="s">
        <v>6505</v>
      </c>
      <c r="I2896" s="2" t="str">
        <f t="shared" si="45"/>
        <v>+91-9608732773</v>
      </c>
      <c r="J2896">
        <f>91-9608732864</f>
        <v>-9608732773</v>
      </c>
      <c r="K2896" t="s">
        <v>331</v>
      </c>
      <c r="L2896" t="s">
        <v>143</v>
      </c>
      <c r="M2896">
        <v>289573</v>
      </c>
      <c r="N2896" s="1">
        <v>45438</v>
      </c>
      <c r="O2896" t="s">
        <v>28</v>
      </c>
      <c r="P2896">
        <v>4</v>
      </c>
      <c r="Q2896">
        <v>52877.56</v>
      </c>
    </row>
    <row r="2897" spans="1:17" x14ac:dyDescent="0.3">
      <c r="A2897" t="s">
        <v>6506</v>
      </c>
      <c r="B2897" t="s">
        <v>1205</v>
      </c>
      <c r="C2897" s="2" t="str">
        <f>PROPER(TRIM(Table1[[#This Row],[Gender]]))</f>
        <v>Male</v>
      </c>
      <c r="D2897" t="s">
        <v>16</v>
      </c>
      <c r="E2897">
        <v>22</v>
      </c>
      <c r="F2897" t="s">
        <v>49</v>
      </c>
      <c r="G2897" s="1">
        <v>37628</v>
      </c>
      <c r="H2897" t="s">
        <v>1206</v>
      </c>
      <c r="I2897" s="2" t="str">
        <f t="shared" si="45"/>
        <v>+91-9626635709</v>
      </c>
      <c r="J2897">
        <f>91-9626635800</f>
        <v>-9626635709</v>
      </c>
      <c r="K2897" t="s">
        <v>195</v>
      </c>
      <c r="L2897" t="s">
        <v>102</v>
      </c>
      <c r="M2897">
        <v>161851</v>
      </c>
      <c r="N2897" s="1">
        <v>45407</v>
      </c>
      <c r="O2897" t="s">
        <v>28</v>
      </c>
      <c r="P2897">
        <v>4</v>
      </c>
      <c r="Q2897">
        <v>151799.95000000001</v>
      </c>
    </row>
    <row r="2898" spans="1:17" x14ac:dyDescent="0.3">
      <c r="A2898" t="s">
        <v>6507</v>
      </c>
      <c r="B2898" t="s">
        <v>289</v>
      </c>
      <c r="C2898" s="2" t="str">
        <f>PROPER(TRIM(Table1[[#This Row],[Gender]]))</f>
        <v>Male</v>
      </c>
      <c r="D2898" t="s">
        <v>16</v>
      </c>
      <c r="E2898">
        <v>25</v>
      </c>
      <c r="F2898" t="s">
        <v>49</v>
      </c>
      <c r="G2898" s="1">
        <v>36533</v>
      </c>
      <c r="H2898" t="s">
        <v>4798</v>
      </c>
      <c r="I2898" s="2" t="str">
        <f t="shared" si="45"/>
        <v>+91-9748510767</v>
      </c>
      <c r="J2898">
        <f>91-9748510858</f>
        <v>-9748510767</v>
      </c>
      <c r="K2898" t="s">
        <v>40</v>
      </c>
      <c r="L2898" t="s">
        <v>27</v>
      </c>
      <c r="M2898">
        <v>115199</v>
      </c>
      <c r="N2898" s="1">
        <v>45254</v>
      </c>
      <c r="O2898" t="s">
        <v>28</v>
      </c>
      <c r="P2898">
        <v>7</v>
      </c>
      <c r="Q2898">
        <v>55906.94</v>
      </c>
    </row>
    <row r="2899" spans="1:17" x14ac:dyDescent="0.3">
      <c r="A2899" t="s">
        <v>6508</v>
      </c>
      <c r="B2899" t="s">
        <v>1239</v>
      </c>
      <c r="C2899" s="2" t="str">
        <f>PROPER(TRIM(Table1[[#This Row],[Gender]]))</f>
        <v>Female</v>
      </c>
      <c r="D2899" t="s">
        <v>43</v>
      </c>
      <c r="E2899">
        <v>28</v>
      </c>
      <c r="F2899" t="s">
        <v>31</v>
      </c>
      <c r="G2899" s="1">
        <v>35438</v>
      </c>
      <c r="H2899" t="s">
        <v>5533</v>
      </c>
      <c r="I2899" s="2" t="str">
        <f t="shared" si="45"/>
        <v>+91-8124898632</v>
      </c>
      <c r="J2899">
        <f>91-8124898723</f>
        <v>-8124898632</v>
      </c>
      <c r="K2899" t="s">
        <v>101</v>
      </c>
      <c r="L2899" t="s">
        <v>102</v>
      </c>
      <c r="M2899">
        <v>733517</v>
      </c>
      <c r="N2899" s="1">
        <v>45277</v>
      </c>
      <c r="O2899" t="s">
        <v>28</v>
      </c>
      <c r="P2899">
        <v>3</v>
      </c>
      <c r="Q2899">
        <v>117838.1</v>
      </c>
    </row>
    <row r="2900" spans="1:17" x14ac:dyDescent="0.3">
      <c r="A2900" t="s">
        <v>6509</v>
      </c>
      <c r="B2900" t="s">
        <v>713</v>
      </c>
      <c r="C2900" s="2" t="str">
        <f>PROPER(TRIM(Table1[[#This Row],[Gender]]))</f>
        <v>Male</v>
      </c>
      <c r="D2900" t="s">
        <v>16</v>
      </c>
      <c r="E2900">
        <v>20</v>
      </c>
      <c r="F2900" t="s">
        <v>49</v>
      </c>
      <c r="G2900" s="1">
        <v>38358</v>
      </c>
      <c r="H2900" t="s">
        <v>6510</v>
      </c>
      <c r="I2900" s="2" t="str">
        <f t="shared" si="45"/>
        <v>+91-7459059032</v>
      </c>
      <c r="J2900">
        <f>91-7459059123</f>
        <v>-7459059032</v>
      </c>
      <c r="K2900" t="s">
        <v>19</v>
      </c>
      <c r="L2900" t="s">
        <v>20</v>
      </c>
      <c r="M2900">
        <v>605894</v>
      </c>
      <c r="N2900" s="1">
        <v>45127</v>
      </c>
      <c r="O2900" t="s">
        <v>28</v>
      </c>
      <c r="P2900">
        <v>9</v>
      </c>
      <c r="Q2900">
        <v>125549.14</v>
      </c>
    </row>
    <row r="2901" spans="1:17" x14ac:dyDescent="0.3">
      <c r="A2901" t="s">
        <v>6511</v>
      </c>
      <c r="B2901" t="s">
        <v>966</v>
      </c>
      <c r="C2901" s="2" t="str">
        <f>PROPER(TRIM(Table1[[#This Row],[Gender]]))</f>
        <v>Female</v>
      </c>
      <c r="D2901" t="s">
        <v>43</v>
      </c>
      <c r="E2901">
        <v>20</v>
      </c>
      <c r="F2901" t="s">
        <v>49</v>
      </c>
      <c r="G2901" s="1">
        <v>38358</v>
      </c>
      <c r="H2901" t="s">
        <v>6512</v>
      </c>
      <c r="I2901" s="2" t="str">
        <f t="shared" si="45"/>
        <v>+91-9590333694</v>
      </c>
      <c r="J2901">
        <f>91-9590333785</f>
        <v>-9590333694</v>
      </c>
      <c r="K2901" t="s">
        <v>174</v>
      </c>
      <c r="L2901" t="s">
        <v>90</v>
      </c>
      <c r="M2901">
        <v>790948</v>
      </c>
      <c r="N2901" s="1">
        <v>45405</v>
      </c>
      <c r="O2901" t="s">
        <v>28</v>
      </c>
      <c r="P2901">
        <v>6</v>
      </c>
      <c r="Q2901">
        <v>281449.86</v>
      </c>
    </row>
    <row r="2902" spans="1:17" x14ac:dyDescent="0.3">
      <c r="A2902" t="s">
        <v>6513</v>
      </c>
      <c r="B2902" t="s">
        <v>1022</v>
      </c>
      <c r="C2902" s="2" t="str">
        <f>PROPER(TRIM(Table1[[#This Row],[Gender]]))</f>
        <v>Female</v>
      </c>
      <c r="D2902" t="s">
        <v>43</v>
      </c>
      <c r="E2902">
        <v>48</v>
      </c>
      <c r="F2902" t="s">
        <v>17</v>
      </c>
      <c r="G2902" s="1">
        <v>28138</v>
      </c>
      <c r="H2902" t="s">
        <v>6514</v>
      </c>
      <c r="I2902" s="2" t="str">
        <f t="shared" si="45"/>
        <v>+91-8993821188</v>
      </c>
      <c r="J2902">
        <f>91-8993821279</f>
        <v>-8993821188</v>
      </c>
      <c r="K2902" t="s">
        <v>239</v>
      </c>
      <c r="L2902" t="s">
        <v>191</v>
      </c>
      <c r="M2902">
        <v>173745</v>
      </c>
      <c r="N2902" s="1">
        <v>45141</v>
      </c>
      <c r="O2902" t="s">
        <v>28</v>
      </c>
      <c r="P2902">
        <v>11</v>
      </c>
      <c r="Q2902">
        <v>90611.63</v>
      </c>
    </row>
    <row r="2903" spans="1:17" x14ac:dyDescent="0.3">
      <c r="A2903" t="s">
        <v>6515</v>
      </c>
      <c r="B2903" t="s">
        <v>6516</v>
      </c>
      <c r="C2903" s="2" t="str">
        <f>PROPER(TRIM(Table1[[#This Row],[Gender]]))</f>
        <v>Male</v>
      </c>
      <c r="D2903" t="s">
        <v>16</v>
      </c>
      <c r="E2903">
        <v>30</v>
      </c>
      <c r="F2903" t="s">
        <v>31</v>
      </c>
      <c r="G2903" s="1">
        <v>34708</v>
      </c>
      <c r="H2903" t="s">
        <v>6517</v>
      </c>
      <c r="I2903" s="2" t="str">
        <f t="shared" si="45"/>
        <v>+91-7868480131</v>
      </c>
      <c r="J2903">
        <f>91-7868480222</f>
        <v>-7868480131</v>
      </c>
      <c r="K2903" t="s">
        <v>72</v>
      </c>
      <c r="L2903" t="s">
        <v>34</v>
      </c>
      <c r="M2903">
        <v>996909</v>
      </c>
      <c r="N2903" s="1">
        <v>45414</v>
      </c>
      <c r="O2903" t="s">
        <v>28</v>
      </c>
      <c r="P2903">
        <v>4</v>
      </c>
      <c r="Q2903">
        <v>74078.33</v>
      </c>
    </row>
    <row r="2904" spans="1:17" x14ac:dyDescent="0.3">
      <c r="A2904" t="s">
        <v>6518</v>
      </c>
      <c r="B2904" t="s">
        <v>1507</v>
      </c>
      <c r="C2904" s="2" t="str">
        <f>PROPER(TRIM(Table1[[#This Row],[Gender]]))</f>
        <v>Female</v>
      </c>
      <c r="D2904" t="s">
        <v>43</v>
      </c>
      <c r="E2904">
        <v>35</v>
      </c>
      <c r="F2904" t="s">
        <v>31</v>
      </c>
      <c r="G2904" s="1">
        <v>32883</v>
      </c>
      <c r="H2904" t="s">
        <v>6519</v>
      </c>
      <c r="I2904" s="2" t="str">
        <f t="shared" si="45"/>
        <v>+91-8432104409</v>
      </c>
      <c r="J2904">
        <f>91-8432104500</f>
        <v>-8432104409</v>
      </c>
      <c r="K2904" t="s">
        <v>45</v>
      </c>
      <c r="L2904" t="s">
        <v>46</v>
      </c>
      <c r="M2904">
        <v>556258</v>
      </c>
      <c r="N2904" s="1">
        <v>45267</v>
      </c>
      <c r="O2904" t="s">
        <v>28</v>
      </c>
      <c r="P2904">
        <v>7</v>
      </c>
      <c r="Q2904">
        <v>206472.61</v>
      </c>
    </row>
    <row r="2905" spans="1:17" x14ac:dyDescent="0.3">
      <c r="A2905" t="s">
        <v>6520</v>
      </c>
      <c r="B2905" t="s">
        <v>2127</v>
      </c>
      <c r="C2905" s="2" t="str">
        <f>PROPER(TRIM(Table1[[#This Row],[Gender]]))</f>
        <v>Male</v>
      </c>
      <c r="D2905" t="s">
        <v>16</v>
      </c>
      <c r="E2905">
        <v>49</v>
      </c>
      <c r="F2905" t="s">
        <v>17</v>
      </c>
      <c r="G2905" s="1">
        <v>27773</v>
      </c>
      <c r="H2905" t="s">
        <v>6521</v>
      </c>
      <c r="I2905" s="2" t="str">
        <f t="shared" si="45"/>
        <v>+91-8914803433</v>
      </c>
      <c r="J2905">
        <f>91-8914803524</f>
        <v>-8914803433</v>
      </c>
      <c r="K2905" t="s">
        <v>142</v>
      </c>
      <c r="L2905" t="s">
        <v>143</v>
      </c>
      <c r="M2905">
        <v>509915</v>
      </c>
      <c r="N2905" s="1">
        <v>45302</v>
      </c>
      <c r="O2905" t="s">
        <v>21</v>
      </c>
      <c r="P2905">
        <v>5</v>
      </c>
      <c r="Q2905">
        <v>38660.54</v>
      </c>
    </row>
    <row r="2906" spans="1:17" x14ac:dyDescent="0.3">
      <c r="A2906" t="s">
        <v>6522</v>
      </c>
      <c r="B2906" t="s">
        <v>1362</v>
      </c>
      <c r="C2906" s="2" t="str">
        <f>PROPER(TRIM(Table1[[#This Row],[Gender]]))</f>
        <v>Female</v>
      </c>
      <c r="D2906" t="s">
        <v>43</v>
      </c>
      <c r="E2906">
        <v>26</v>
      </c>
      <c r="F2906" t="s">
        <v>31</v>
      </c>
      <c r="G2906" s="1">
        <v>36168</v>
      </c>
      <c r="H2906" t="s">
        <v>3270</v>
      </c>
      <c r="I2906" s="2" t="str">
        <f t="shared" si="45"/>
        <v>+91-7462922661</v>
      </c>
      <c r="J2906">
        <f>91-7462922752</f>
        <v>-7462922661</v>
      </c>
      <c r="K2906" t="s">
        <v>161</v>
      </c>
      <c r="L2906" t="s">
        <v>102</v>
      </c>
      <c r="M2906">
        <v>915985</v>
      </c>
      <c r="N2906" s="1">
        <v>45332</v>
      </c>
      <c r="O2906" t="s">
        <v>28</v>
      </c>
      <c r="P2906">
        <v>6</v>
      </c>
      <c r="Q2906">
        <v>342300.05</v>
      </c>
    </row>
    <row r="2907" spans="1:17" x14ac:dyDescent="0.3">
      <c r="A2907" t="s">
        <v>6523</v>
      </c>
      <c r="B2907" t="s">
        <v>1608</v>
      </c>
      <c r="C2907" s="2" t="str">
        <f>PROPER(TRIM(Table1[[#This Row],[Gender]]))</f>
        <v>Male</v>
      </c>
      <c r="D2907" t="s">
        <v>16</v>
      </c>
      <c r="E2907">
        <v>22</v>
      </c>
      <c r="F2907" t="s">
        <v>49</v>
      </c>
      <c r="G2907" s="1">
        <v>37628</v>
      </c>
      <c r="H2907" t="s">
        <v>6524</v>
      </c>
      <c r="I2907" s="2" t="str">
        <f t="shared" si="45"/>
        <v>+91-9304452086</v>
      </c>
      <c r="J2907">
        <f>91-9304452177</f>
        <v>-9304452086</v>
      </c>
      <c r="K2907" t="s">
        <v>109</v>
      </c>
      <c r="L2907" t="s">
        <v>46</v>
      </c>
      <c r="M2907">
        <v>674057</v>
      </c>
      <c r="N2907" s="1">
        <v>45354</v>
      </c>
      <c r="O2907" t="s">
        <v>28</v>
      </c>
      <c r="P2907">
        <v>7</v>
      </c>
      <c r="Q2907">
        <v>443212.2</v>
      </c>
    </row>
    <row r="2908" spans="1:17" x14ac:dyDescent="0.3">
      <c r="A2908" t="s">
        <v>6525</v>
      </c>
      <c r="B2908" t="s">
        <v>2610</v>
      </c>
      <c r="C2908" s="2" t="str">
        <f>PROPER(TRIM(Table1[[#This Row],[Gender]]))</f>
        <v>Male</v>
      </c>
      <c r="D2908" t="s">
        <v>16</v>
      </c>
      <c r="E2908">
        <v>23</v>
      </c>
      <c r="F2908" t="s">
        <v>49</v>
      </c>
      <c r="G2908" s="1">
        <v>37263</v>
      </c>
      <c r="H2908" t="s">
        <v>6526</v>
      </c>
      <c r="I2908" s="2" t="str">
        <f t="shared" si="45"/>
        <v>+91-9334955938</v>
      </c>
      <c r="J2908">
        <f>91-9334956029</f>
        <v>-9334955938</v>
      </c>
      <c r="K2908" t="s">
        <v>142</v>
      </c>
      <c r="L2908" t="s">
        <v>143</v>
      </c>
      <c r="M2908">
        <v>459167</v>
      </c>
      <c r="N2908" s="1">
        <v>45280</v>
      </c>
      <c r="O2908" t="s">
        <v>28</v>
      </c>
      <c r="P2908">
        <v>4</v>
      </c>
      <c r="Q2908">
        <v>169451.07</v>
      </c>
    </row>
    <row r="2909" spans="1:17" x14ac:dyDescent="0.3">
      <c r="A2909" t="s">
        <v>6527</v>
      </c>
      <c r="B2909" t="s">
        <v>2639</v>
      </c>
      <c r="C2909" s="2" t="str">
        <f>PROPER(TRIM(Table1[[#This Row],[Gender]]))</f>
        <v>Female</v>
      </c>
      <c r="D2909" t="s">
        <v>43</v>
      </c>
      <c r="E2909">
        <v>35</v>
      </c>
      <c r="F2909" t="s">
        <v>31</v>
      </c>
      <c r="G2909" s="1">
        <v>32883</v>
      </c>
      <c r="H2909" t="s">
        <v>6528</v>
      </c>
      <c r="I2909" s="2" t="str">
        <f t="shared" si="45"/>
        <v>+91-7774081615</v>
      </c>
      <c r="J2909">
        <f>91-7774081706</f>
        <v>-7774081615</v>
      </c>
      <c r="K2909" t="s">
        <v>19</v>
      </c>
      <c r="L2909" t="s">
        <v>20</v>
      </c>
      <c r="M2909">
        <v>471076</v>
      </c>
      <c r="N2909" s="1">
        <v>45171</v>
      </c>
      <c r="O2909" t="s">
        <v>28</v>
      </c>
      <c r="P2909">
        <v>3</v>
      </c>
      <c r="Q2909">
        <v>91006.63</v>
      </c>
    </row>
    <row r="2910" spans="1:17" x14ac:dyDescent="0.3">
      <c r="A2910" t="s">
        <v>6529</v>
      </c>
      <c r="B2910" t="s">
        <v>2573</v>
      </c>
      <c r="C2910" s="2" t="str">
        <f>PROPER(TRIM(Table1[[#This Row],[Gender]]))</f>
        <v>Male</v>
      </c>
      <c r="D2910" t="s">
        <v>16</v>
      </c>
      <c r="E2910">
        <v>44</v>
      </c>
      <c r="F2910" t="s">
        <v>38</v>
      </c>
      <c r="G2910" s="1">
        <v>29598</v>
      </c>
      <c r="H2910" t="s">
        <v>6530</v>
      </c>
      <c r="I2910" s="2" t="str">
        <f t="shared" si="45"/>
        <v>+91-9228237991</v>
      </c>
      <c r="J2910">
        <f>91-9228238082</f>
        <v>-9228237991</v>
      </c>
      <c r="K2910" t="s">
        <v>51</v>
      </c>
      <c r="L2910" t="s">
        <v>52</v>
      </c>
      <c r="M2910">
        <v>779935</v>
      </c>
      <c r="N2910" s="1">
        <v>45244</v>
      </c>
      <c r="O2910" t="s">
        <v>28</v>
      </c>
      <c r="P2910">
        <v>6</v>
      </c>
      <c r="Q2910">
        <v>176072.66</v>
      </c>
    </row>
    <row r="2911" spans="1:17" x14ac:dyDescent="0.3">
      <c r="A2911" t="s">
        <v>6531</v>
      </c>
      <c r="B2911" t="s">
        <v>4220</v>
      </c>
      <c r="C2911" s="2" t="str">
        <f>PROPER(TRIM(Table1[[#This Row],[Gender]]))</f>
        <v>Male</v>
      </c>
      <c r="D2911" t="s">
        <v>16</v>
      </c>
      <c r="E2911">
        <v>37</v>
      </c>
      <c r="F2911" t="s">
        <v>38</v>
      </c>
      <c r="G2911" s="1">
        <v>32153</v>
      </c>
      <c r="H2911" t="s">
        <v>6532</v>
      </c>
      <c r="I2911" s="2" t="str">
        <f t="shared" si="45"/>
        <v>+91-8593084465</v>
      </c>
      <c r="J2911">
        <f>91-8593084556</f>
        <v>-8593084465</v>
      </c>
      <c r="K2911" t="s">
        <v>68</v>
      </c>
      <c r="L2911" t="s">
        <v>52</v>
      </c>
      <c r="M2911">
        <v>195776</v>
      </c>
      <c r="N2911" s="1">
        <v>45258</v>
      </c>
      <c r="O2911" t="s">
        <v>28</v>
      </c>
      <c r="P2911">
        <v>5</v>
      </c>
      <c r="Q2911">
        <v>121847.97</v>
      </c>
    </row>
    <row r="2912" spans="1:17" x14ac:dyDescent="0.3">
      <c r="A2912" t="s">
        <v>6533</v>
      </c>
      <c r="B2912" t="s">
        <v>442</v>
      </c>
      <c r="C2912" s="2" t="str">
        <f>PROPER(TRIM(Table1[[#This Row],[Gender]]))</f>
        <v>Male</v>
      </c>
      <c r="D2912" t="s">
        <v>16</v>
      </c>
      <c r="E2912">
        <v>54</v>
      </c>
      <c r="F2912" t="s">
        <v>17</v>
      </c>
      <c r="G2912" s="1">
        <v>25948</v>
      </c>
      <c r="H2912" t="s">
        <v>6534</v>
      </c>
      <c r="I2912" s="2" t="str">
        <f t="shared" si="45"/>
        <v>+91-7883000550</v>
      </c>
      <c r="J2912">
        <f>91-7883000641</f>
        <v>-7883000550</v>
      </c>
      <c r="K2912" t="s">
        <v>195</v>
      </c>
      <c r="L2912" t="s">
        <v>102</v>
      </c>
      <c r="M2912">
        <v>112401</v>
      </c>
      <c r="N2912" s="1">
        <v>45200</v>
      </c>
      <c r="O2912" t="s">
        <v>21</v>
      </c>
      <c r="P2912">
        <v>3</v>
      </c>
      <c r="Q2912">
        <v>22750.54</v>
      </c>
    </row>
    <row r="2913" spans="1:17" x14ac:dyDescent="0.3">
      <c r="A2913" t="s">
        <v>6535</v>
      </c>
      <c r="B2913" t="s">
        <v>5750</v>
      </c>
      <c r="C2913" s="2" t="str">
        <f>PROPER(TRIM(Table1[[#This Row],[Gender]]))</f>
        <v>Male</v>
      </c>
      <c r="D2913" t="s">
        <v>16</v>
      </c>
      <c r="E2913">
        <v>19</v>
      </c>
      <c r="F2913" t="s">
        <v>49</v>
      </c>
      <c r="G2913" s="1">
        <v>38723</v>
      </c>
      <c r="H2913" t="s">
        <v>6536</v>
      </c>
      <c r="I2913" s="2" t="str">
        <f t="shared" si="45"/>
        <v>+91-8006926027</v>
      </c>
      <c r="J2913">
        <f>91-8006926118</f>
        <v>-8006926027</v>
      </c>
      <c r="K2913" t="s">
        <v>40</v>
      </c>
      <c r="L2913" t="s">
        <v>27</v>
      </c>
      <c r="M2913">
        <v>925124</v>
      </c>
      <c r="N2913" s="1">
        <v>45429</v>
      </c>
      <c r="O2913" t="s">
        <v>28</v>
      </c>
      <c r="P2913">
        <v>6</v>
      </c>
      <c r="Q2913">
        <v>213557.88</v>
      </c>
    </row>
    <row r="2914" spans="1:17" x14ac:dyDescent="0.3">
      <c r="A2914" t="s">
        <v>6537</v>
      </c>
      <c r="B2914" t="s">
        <v>3625</v>
      </c>
      <c r="C2914" s="2" t="str">
        <f>PROPER(TRIM(Table1[[#This Row],[Gender]]))</f>
        <v>Female</v>
      </c>
      <c r="D2914" t="s">
        <v>43</v>
      </c>
      <c r="E2914">
        <v>31</v>
      </c>
      <c r="F2914" t="s">
        <v>31</v>
      </c>
      <c r="G2914" s="1">
        <v>34343</v>
      </c>
      <c r="H2914" t="s">
        <v>6538</v>
      </c>
      <c r="I2914" s="2" t="str">
        <f t="shared" si="45"/>
        <v>+91-7596422126</v>
      </c>
      <c r="J2914">
        <f>91-7596422217</f>
        <v>-7596422126</v>
      </c>
      <c r="K2914" t="s">
        <v>109</v>
      </c>
      <c r="L2914" t="s">
        <v>46</v>
      </c>
      <c r="M2914">
        <v>757462</v>
      </c>
      <c r="N2914" s="1">
        <v>45422</v>
      </c>
      <c r="O2914" t="s">
        <v>28</v>
      </c>
      <c r="P2914">
        <v>5</v>
      </c>
      <c r="Q2914">
        <v>217930.22</v>
      </c>
    </row>
    <row r="2915" spans="1:17" x14ac:dyDescent="0.3">
      <c r="A2915" t="s">
        <v>6539</v>
      </c>
      <c r="B2915" t="s">
        <v>2899</v>
      </c>
      <c r="C2915" s="2" t="str">
        <f>PROPER(TRIM(Table1[[#This Row],[Gender]]))</f>
        <v>Female</v>
      </c>
      <c r="D2915" t="s">
        <v>43</v>
      </c>
      <c r="E2915">
        <v>46</v>
      </c>
      <c r="F2915" t="s">
        <v>17</v>
      </c>
      <c r="G2915" s="1">
        <v>28868</v>
      </c>
      <c r="H2915" t="s">
        <v>6540</v>
      </c>
      <c r="I2915" s="2" t="str">
        <f t="shared" si="45"/>
        <v>+91-7868061209</v>
      </c>
      <c r="J2915">
        <f>91-7868061300</f>
        <v>-7868061209</v>
      </c>
      <c r="K2915" t="s">
        <v>117</v>
      </c>
      <c r="L2915" t="s">
        <v>52</v>
      </c>
      <c r="M2915">
        <v>867554</v>
      </c>
      <c r="N2915" s="1">
        <v>45430</v>
      </c>
      <c r="O2915" t="s">
        <v>21</v>
      </c>
      <c r="P2915">
        <v>3</v>
      </c>
      <c r="Q2915">
        <v>30337.41</v>
      </c>
    </row>
    <row r="2916" spans="1:17" x14ac:dyDescent="0.3">
      <c r="A2916" t="s">
        <v>6541</v>
      </c>
      <c r="B2916" t="s">
        <v>2748</v>
      </c>
      <c r="C2916" s="2" t="str">
        <f>PROPER(TRIM(Table1[[#This Row],[Gender]]))</f>
        <v>Female</v>
      </c>
      <c r="D2916" t="s">
        <v>43</v>
      </c>
      <c r="E2916">
        <v>40</v>
      </c>
      <c r="F2916" t="s">
        <v>38</v>
      </c>
      <c r="G2916" s="1">
        <v>31058</v>
      </c>
      <c r="H2916" t="s">
        <v>2749</v>
      </c>
      <c r="I2916" s="2" t="str">
        <f t="shared" si="45"/>
        <v>+91-7440223694</v>
      </c>
      <c r="J2916">
        <f>91-7440223785</f>
        <v>-7440223694</v>
      </c>
      <c r="K2916" t="s">
        <v>147</v>
      </c>
      <c r="L2916" t="s">
        <v>143</v>
      </c>
      <c r="M2916">
        <v>424194</v>
      </c>
      <c r="N2916" s="1">
        <v>45202</v>
      </c>
      <c r="O2916" t="s">
        <v>28</v>
      </c>
      <c r="P2916">
        <v>7</v>
      </c>
      <c r="Q2916">
        <v>200418.43</v>
      </c>
    </row>
    <row r="2917" spans="1:17" x14ac:dyDescent="0.3">
      <c r="A2917" t="s">
        <v>6542</v>
      </c>
      <c r="B2917" t="s">
        <v>42</v>
      </c>
      <c r="C2917" s="2" t="str">
        <f>PROPER(TRIM(Table1[[#This Row],[Gender]]))</f>
        <v>Female</v>
      </c>
      <c r="D2917" t="s">
        <v>43</v>
      </c>
      <c r="E2917">
        <v>35</v>
      </c>
      <c r="F2917" t="s">
        <v>31</v>
      </c>
      <c r="G2917" s="1">
        <v>32883</v>
      </c>
      <c r="H2917" t="s">
        <v>6543</v>
      </c>
      <c r="I2917" s="2" t="str">
        <f t="shared" si="45"/>
        <v>+91-9620708511</v>
      </c>
      <c r="J2917">
        <f>91-9620708602</f>
        <v>-9620708511</v>
      </c>
      <c r="K2917" t="s">
        <v>76</v>
      </c>
      <c r="L2917" t="s">
        <v>46</v>
      </c>
      <c r="M2917">
        <v>191968</v>
      </c>
      <c r="N2917" s="1">
        <v>45290</v>
      </c>
      <c r="O2917" t="s">
        <v>28</v>
      </c>
      <c r="P2917">
        <v>8</v>
      </c>
      <c r="Q2917">
        <v>266192.7</v>
      </c>
    </row>
    <row r="2918" spans="1:17" x14ac:dyDescent="0.3">
      <c r="A2918" t="s">
        <v>6544</v>
      </c>
      <c r="B2918" t="s">
        <v>398</v>
      </c>
      <c r="C2918" s="2" t="str">
        <f>PROPER(TRIM(Table1[[#This Row],[Gender]]))</f>
        <v>Male</v>
      </c>
      <c r="D2918" t="s">
        <v>16</v>
      </c>
      <c r="E2918">
        <v>33</v>
      </c>
      <c r="F2918" t="s">
        <v>31</v>
      </c>
      <c r="G2918" s="1">
        <v>33613</v>
      </c>
      <c r="H2918" t="s">
        <v>6545</v>
      </c>
      <c r="I2918" s="2" t="str">
        <f t="shared" si="45"/>
        <v>+91-8493723049</v>
      </c>
      <c r="J2918">
        <f>91-8493723140</f>
        <v>-8493723049</v>
      </c>
      <c r="K2918" t="s">
        <v>273</v>
      </c>
      <c r="L2918" t="s">
        <v>46</v>
      </c>
      <c r="M2918">
        <v>424888</v>
      </c>
      <c r="N2918" s="1">
        <v>45326</v>
      </c>
      <c r="O2918" t="s">
        <v>28</v>
      </c>
      <c r="P2918">
        <v>6</v>
      </c>
      <c r="Q2918">
        <v>145332.51999999999</v>
      </c>
    </row>
    <row r="2919" spans="1:17" x14ac:dyDescent="0.3">
      <c r="A2919" t="s">
        <v>6546</v>
      </c>
      <c r="B2919" t="s">
        <v>839</v>
      </c>
      <c r="C2919" s="2" t="str">
        <f>PROPER(TRIM(Table1[[#This Row],[Gender]]))</f>
        <v>Male</v>
      </c>
      <c r="D2919" t="s">
        <v>16</v>
      </c>
      <c r="E2919">
        <v>34</v>
      </c>
      <c r="F2919" t="s">
        <v>31</v>
      </c>
      <c r="G2919" s="1">
        <v>33248</v>
      </c>
      <c r="H2919" t="s">
        <v>6547</v>
      </c>
      <c r="I2919" s="2" t="str">
        <f t="shared" si="45"/>
        <v>+91-7527659975</v>
      </c>
      <c r="J2919">
        <f>91-7527660066</f>
        <v>-7527659975</v>
      </c>
      <c r="K2919" t="s">
        <v>154</v>
      </c>
      <c r="L2919" t="s">
        <v>46</v>
      </c>
      <c r="M2919">
        <v>914819</v>
      </c>
      <c r="N2919" s="1">
        <v>45085</v>
      </c>
      <c r="O2919" t="s">
        <v>21</v>
      </c>
      <c r="P2919">
        <v>5</v>
      </c>
      <c r="Q2919">
        <v>44731.05</v>
      </c>
    </row>
    <row r="2920" spans="1:17" x14ac:dyDescent="0.3">
      <c r="A2920" t="s">
        <v>6548</v>
      </c>
      <c r="B2920" t="s">
        <v>1908</v>
      </c>
      <c r="C2920" s="2" t="str">
        <f>PROPER(TRIM(Table1[[#This Row],[Gender]]))</f>
        <v>Female</v>
      </c>
      <c r="D2920" t="s">
        <v>43</v>
      </c>
      <c r="E2920">
        <v>19</v>
      </c>
      <c r="F2920" t="s">
        <v>49</v>
      </c>
      <c r="G2920" s="1">
        <v>38723</v>
      </c>
      <c r="H2920" t="s">
        <v>2862</v>
      </c>
      <c r="I2920" s="2" t="str">
        <f t="shared" si="45"/>
        <v>+91-7677998706</v>
      </c>
      <c r="J2920">
        <f>91-7677998797</f>
        <v>-7677998706</v>
      </c>
      <c r="K2920" t="s">
        <v>94</v>
      </c>
      <c r="L2920" t="s">
        <v>20</v>
      </c>
      <c r="M2920">
        <v>983585</v>
      </c>
      <c r="N2920" s="1">
        <v>45387</v>
      </c>
      <c r="O2920" t="s">
        <v>28</v>
      </c>
      <c r="P2920">
        <v>10</v>
      </c>
      <c r="Q2920">
        <v>344801.28000000003</v>
      </c>
    </row>
    <row r="2921" spans="1:17" x14ac:dyDescent="0.3">
      <c r="A2921" t="s">
        <v>6549</v>
      </c>
      <c r="B2921" t="s">
        <v>1617</v>
      </c>
      <c r="C2921" s="2" t="str">
        <f>PROPER(TRIM(Table1[[#This Row],[Gender]]))</f>
        <v>Female</v>
      </c>
      <c r="D2921" t="s">
        <v>43</v>
      </c>
      <c r="E2921">
        <v>21</v>
      </c>
      <c r="F2921" t="s">
        <v>49</v>
      </c>
      <c r="G2921" s="1">
        <v>37993</v>
      </c>
      <c r="H2921" t="s">
        <v>6550</v>
      </c>
      <c r="I2921" s="2" t="str">
        <f t="shared" si="45"/>
        <v>+91-7422365336</v>
      </c>
      <c r="J2921">
        <f>91-7422365427</f>
        <v>-7422365336</v>
      </c>
      <c r="K2921" t="s">
        <v>415</v>
      </c>
      <c r="L2921" t="s">
        <v>90</v>
      </c>
      <c r="M2921">
        <v>904376</v>
      </c>
      <c r="N2921" s="1">
        <v>45162</v>
      </c>
      <c r="O2921" t="s">
        <v>28</v>
      </c>
      <c r="P2921">
        <v>4</v>
      </c>
      <c r="Q2921">
        <v>64891.96</v>
      </c>
    </row>
    <row r="2922" spans="1:17" x14ac:dyDescent="0.3">
      <c r="A2922" t="s">
        <v>6551</v>
      </c>
      <c r="B2922" t="s">
        <v>1935</v>
      </c>
      <c r="C2922" s="2" t="str">
        <f>PROPER(TRIM(Table1[[#This Row],[Gender]]))</f>
        <v>Female</v>
      </c>
      <c r="D2922" t="s">
        <v>43</v>
      </c>
      <c r="E2922">
        <v>30</v>
      </c>
      <c r="F2922" t="s">
        <v>31</v>
      </c>
      <c r="G2922" s="1">
        <v>34708</v>
      </c>
      <c r="H2922" t="s">
        <v>6552</v>
      </c>
      <c r="I2922" s="2" t="str">
        <f t="shared" si="45"/>
        <v>+91-9985408416</v>
      </c>
      <c r="J2922">
        <f>91-9985408507</f>
        <v>-9985408416</v>
      </c>
      <c r="K2922" t="s">
        <v>202</v>
      </c>
      <c r="L2922" t="s">
        <v>191</v>
      </c>
      <c r="M2922">
        <v>450443</v>
      </c>
      <c r="N2922" s="1">
        <v>45438</v>
      </c>
      <c r="O2922" t="s">
        <v>28</v>
      </c>
      <c r="P2922">
        <v>9</v>
      </c>
      <c r="Q2922">
        <v>249121.29</v>
      </c>
    </row>
    <row r="2923" spans="1:17" x14ac:dyDescent="0.3">
      <c r="A2923" t="s">
        <v>6553</v>
      </c>
      <c r="B2923" t="s">
        <v>6554</v>
      </c>
      <c r="C2923" s="2" t="str">
        <f>PROPER(TRIM(Table1[[#This Row],[Gender]]))</f>
        <v>Male</v>
      </c>
      <c r="D2923" t="s">
        <v>16</v>
      </c>
      <c r="E2923">
        <v>42</v>
      </c>
      <c r="F2923" t="s">
        <v>38</v>
      </c>
      <c r="G2923" s="1">
        <v>30328</v>
      </c>
      <c r="H2923" t="s">
        <v>6555</v>
      </c>
      <c r="I2923" s="2" t="str">
        <f t="shared" si="45"/>
        <v>+91-8415859363</v>
      </c>
      <c r="J2923">
        <f>91-8415859454</f>
        <v>-8415859363</v>
      </c>
      <c r="K2923" t="s">
        <v>161</v>
      </c>
      <c r="L2923" t="s">
        <v>102</v>
      </c>
      <c r="M2923">
        <v>925204</v>
      </c>
      <c r="N2923" s="1">
        <v>45364</v>
      </c>
      <c r="O2923" t="s">
        <v>28</v>
      </c>
      <c r="P2923">
        <v>8</v>
      </c>
      <c r="Q2923">
        <v>121131.64</v>
      </c>
    </row>
    <row r="2924" spans="1:17" x14ac:dyDescent="0.3">
      <c r="A2924" t="s">
        <v>6556</v>
      </c>
      <c r="B2924" t="s">
        <v>1962</v>
      </c>
      <c r="C2924" s="2" t="str">
        <f>PROPER(TRIM(Table1[[#This Row],[Gender]]))</f>
        <v>Female</v>
      </c>
      <c r="D2924" t="s">
        <v>43</v>
      </c>
      <c r="E2924">
        <v>37</v>
      </c>
      <c r="F2924" t="s">
        <v>38</v>
      </c>
      <c r="G2924" s="1">
        <v>32153</v>
      </c>
      <c r="H2924" t="s">
        <v>6557</v>
      </c>
      <c r="I2924" s="2" t="str">
        <f t="shared" si="45"/>
        <v>+91-8157602749</v>
      </c>
      <c r="J2924">
        <f>91-8157602840</f>
        <v>-8157602749</v>
      </c>
      <c r="K2924" t="s">
        <v>202</v>
      </c>
      <c r="L2924" t="s">
        <v>191</v>
      </c>
      <c r="M2924">
        <v>673713</v>
      </c>
      <c r="N2924" s="1">
        <v>45402</v>
      </c>
      <c r="O2924" t="s">
        <v>28</v>
      </c>
      <c r="P2924">
        <v>7</v>
      </c>
      <c r="Q2924">
        <v>306459.96000000002</v>
      </c>
    </row>
    <row r="2925" spans="1:17" x14ac:dyDescent="0.3">
      <c r="A2925" t="s">
        <v>6558</v>
      </c>
      <c r="B2925" t="s">
        <v>407</v>
      </c>
      <c r="C2925" s="2" t="str">
        <f>PROPER(TRIM(Table1[[#This Row],[Gender]]))</f>
        <v>Male</v>
      </c>
      <c r="D2925" t="s">
        <v>16</v>
      </c>
      <c r="E2925">
        <v>74</v>
      </c>
      <c r="F2925" t="s">
        <v>24</v>
      </c>
      <c r="G2925" s="1">
        <v>18648</v>
      </c>
      <c r="H2925" t="s">
        <v>6559</v>
      </c>
      <c r="I2925" s="2" t="str">
        <f t="shared" si="45"/>
        <v>+91-9729149770</v>
      </c>
      <c r="J2925">
        <f>91-9729149861</f>
        <v>-9729149770</v>
      </c>
      <c r="K2925" t="s">
        <v>121</v>
      </c>
      <c r="L2925" t="s">
        <v>85</v>
      </c>
      <c r="M2925">
        <v>629774</v>
      </c>
      <c r="N2925" s="1">
        <v>45131</v>
      </c>
      <c r="O2925" t="s">
        <v>28</v>
      </c>
      <c r="P2925">
        <v>6</v>
      </c>
      <c r="Q2925">
        <v>54526.91</v>
      </c>
    </row>
    <row r="2926" spans="1:17" x14ac:dyDescent="0.3">
      <c r="A2926" t="s">
        <v>6560</v>
      </c>
      <c r="B2926" t="s">
        <v>501</v>
      </c>
      <c r="C2926" s="2" t="str">
        <f>PROPER(TRIM(Table1[[#This Row],[Gender]]))</f>
        <v>Male</v>
      </c>
      <c r="D2926" t="s">
        <v>16</v>
      </c>
      <c r="E2926">
        <v>31</v>
      </c>
      <c r="F2926" t="s">
        <v>31</v>
      </c>
      <c r="G2926" s="1">
        <v>34343</v>
      </c>
      <c r="H2926" t="s">
        <v>6561</v>
      </c>
      <c r="I2926" s="2" t="str">
        <f t="shared" si="45"/>
        <v>+91-9281069346</v>
      </c>
      <c r="J2926">
        <f>91-9281069437</f>
        <v>-9281069346</v>
      </c>
      <c r="K2926" t="s">
        <v>138</v>
      </c>
      <c r="L2926" t="s">
        <v>90</v>
      </c>
      <c r="M2926">
        <v>777809</v>
      </c>
      <c r="N2926" s="1">
        <v>45173</v>
      </c>
      <c r="O2926" t="s">
        <v>28</v>
      </c>
      <c r="P2926">
        <v>3</v>
      </c>
      <c r="Q2926">
        <v>135361.07</v>
      </c>
    </row>
    <row r="2927" spans="1:17" x14ac:dyDescent="0.3">
      <c r="A2927" t="s">
        <v>6562</v>
      </c>
      <c r="B2927" t="s">
        <v>1588</v>
      </c>
      <c r="C2927" s="2" t="str">
        <f>PROPER(TRIM(Table1[[#This Row],[Gender]]))</f>
        <v>Female</v>
      </c>
      <c r="D2927" t="s">
        <v>43</v>
      </c>
      <c r="E2927">
        <v>53</v>
      </c>
      <c r="F2927" t="s">
        <v>17</v>
      </c>
      <c r="G2927" s="1">
        <v>26313</v>
      </c>
      <c r="H2927" t="s">
        <v>6563</v>
      </c>
      <c r="I2927" s="2" t="str">
        <f t="shared" si="45"/>
        <v>+91-8891779054</v>
      </c>
      <c r="J2927">
        <f>91-8891779145</f>
        <v>-8891779054</v>
      </c>
      <c r="K2927" t="s">
        <v>331</v>
      </c>
      <c r="L2927" t="s">
        <v>143</v>
      </c>
      <c r="M2927">
        <v>275656</v>
      </c>
      <c r="N2927" s="1">
        <v>45382</v>
      </c>
      <c r="O2927" t="s">
        <v>21</v>
      </c>
      <c r="P2927">
        <v>9</v>
      </c>
      <c r="Q2927">
        <v>37924.49</v>
      </c>
    </row>
    <row r="2928" spans="1:17" x14ac:dyDescent="0.3">
      <c r="A2928" t="s">
        <v>6564</v>
      </c>
      <c r="B2928" t="s">
        <v>661</v>
      </c>
      <c r="C2928" s="2" t="str">
        <f>PROPER(TRIM(Table1[[#This Row],[Gender]]))</f>
        <v>Male</v>
      </c>
      <c r="D2928" t="s">
        <v>16</v>
      </c>
      <c r="E2928">
        <v>28</v>
      </c>
      <c r="F2928" t="s">
        <v>31</v>
      </c>
      <c r="G2928" s="1">
        <v>35438</v>
      </c>
      <c r="H2928" t="s">
        <v>6565</v>
      </c>
      <c r="I2928" s="2" t="str">
        <f t="shared" si="45"/>
        <v>+91-9325443210</v>
      </c>
      <c r="J2928">
        <f>91-9325443301</f>
        <v>-9325443210</v>
      </c>
      <c r="K2928" t="s">
        <v>138</v>
      </c>
      <c r="L2928" t="s">
        <v>90</v>
      </c>
      <c r="M2928">
        <v>181783</v>
      </c>
      <c r="N2928" s="1">
        <v>45403</v>
      </c>
      <c r="O2928" t="s">
        <v>28</v>
      </c>
      <c r="P2928">
        <v>8</v>
      </c>
      <c r="Q2928">
        <v>254520.2</v>
      </c>
    </row>
    <row r="2929" spans="1:17" x14ac:dyDescent="0.3">
      <c r="A2929" t="s">
        <v>6566</v>
      </c>
      <c r="B2929" t="s">
        <v>404</v>
      </c>
      <c r="C2929" s="2" t="str">
        <f>PROPER(TRIM(Table1[[#This Row],[Gender]]))</f>
        <v>Female</v>
      </c>
      <c r="D2929" t="s">
        <v>43</v>
      </c>
      <c r="E2929">
        <v>30</v>
      </c>
      <c r="F2929" t="s">
        <v>31</v>
      </c>
      <c r="G2929" s="1">
        <v>34708</v>
      </c>
      <c r="H2929" t="s">
        <v>6567</v>
      </c>
      <c r="I2929" s="2" t="str">
        <f t="shared" si="45"/>
        <v>+91-9821023311</v>
      </c>
      <c r="J2929">
        <f>91-9821023402</f>
        <v>-9821023311</v>
      </c>
      <c r="K2929" t="s">
        <v>142</v>
      </c>
      <c r="L2929" t="s">
        <v>143</v>
      </c>
      <c r="M2929">
        <v>419028</v>
      </c>
      <c r="N2929" s="1">
        <v>45443</v>
      </c>
      <c r="O2929" t="s">
        <v>28</v>
      </c>
      <c r="P2929">
        <v>4</v>
      </c>
      <c r="Q2929">
        <v>69171.63</v>
      </c>
    </row>
    <row r="2930" spans="1:17" x14ac:dyDescent="0.3">
      <c r="A2930" t="s">
        <v>6568</v>
      </c>
      <c r="B2930" t="s">
        <v>2496</v>
      </c>
      <c r="C2930" s="2" t="str">
        <f>PROPER(TRIM(Table1[[#This Row],[Gender]]))</f>
        <v>Male</v>
      </c>
      <c r="D2930" t="s">
        <v>16</v>
      </c>
      <c r="E2930">
        <v>34</v>
      </c>
      <c r="F2930" t="s">
        <v>31</v>
      </c>
      <c r="G2930" s="1">
        <v>33248</v>
      </c>
      <c r="H2930" t="s">
        <v>6569</v>
      </c>
      <c r="I2930" s="2" t="str">
        <f t="shared" si="45"/>
        <v>+91-9606988952</v>
      </c>
      <c r="J2930">
        <f>91-9606989043</f>
        <v>-9606988952</v>
      </c>
      <c r="K2930" t="s">
        <v>89</v>
      </c>
      <c r="L2930" t="s">
        <v>90</v>
      </c>
      <c r="M2930">
        <v>854774</v>
      </c>
      <c r="N2930" s="1">
        <v>45294</v>
      </c>
      <c r="O2930" t="s">
        <v>21</v>
      </c>
      <c r="P2930">
        <v>4</v>
      </c>
      <c r="Q2930">
        <v>42910.62</v>
      </c>
    </row>
    <row r="2931" spans="1:17" x14ac:dyDescent="0.3">
      <c r="A2931" t="s">
        <v>6570</v>
      </c>
      <c r="B2931" t="s">
        <v>3371</v>
      </c>
      <c r="C2931" s="2" t="str">
        <f>PROPER(TRIM(Table1[[#This Row],[Gender]]))</f>
        <v>Female</v>
      </c>
      <c r="D2931" t="s">
        <v>43</v>
      </c>
      <c r="E2931">
        <v>33</v>
      </c>
      <c r="F2931" t="s">
        <v>31</v>
      </c>
      <c r="G2931" s="1">
        <v>33613</v>
      </c>
      <c r="H2931" t="s">
        <v>6571</v>
      </c>
      <c r="I2931" s="2" t="str">
        <f t="shared" si="45"/>
        <v>+91-9088442449</v>
      </c>
      <c r="J2931">
        <f>91-9088442540</f>
        <v>-9088442449</v>
      </c>
      <c r="K2931" t="s">
        <v>249</v>
      </c>
      <c r="L2931" t="s">
        <v>34</v>
      </c>
      <c r="M2931">
        <v>639045</v>
      </c>
      <c r="N2931" s="1">
        <v>45343</v>
      </c>
      <c r="O2931" t="s">
        <v>28</v>
      </c>
      <c r="P2931">
        <v>7</v>
      </c>
      <c r="Q2931">
        <v>67163.34</v>
      </c>
    </row>
    <row r="2932" spans="1:17" x14ac:dyDescent="0.3">
      <c r="A2932" t="s">
        <v>6572</v>
      </c>
      <c r="B2932" t="s">
        <v>96</v>
      </c>
      <c r="C2932" s="2" t="str">
        <f>PROPER(TRIM(Table1[[#This Row],[Gender]]))</f>
        <v>Female</v>
      </c>
      <c r="D2932" t="s">
        <v>43</v>
      </c>
      <c r="E2932">
        <v>28</v>
      </c>
      <c r="F2932" t="s">
        <v>31</v>
      </c>
      <c r="G2932" s="1">
        <v>35438</v>
      </c>
      <c r="H2932" t="s">
        <v>6573</v>
      </c>
      <c r="I2932" s="2" t="str">
        <f t="shared" si="45"/>
        <v>+91-7181064284</v>
      </c>
      <c r="J2932">
        <f>91-7181064375</f>
        <v>-7181064284</v>
      </c>
      <c r="K2932" t="s">
        <v>239</v>
      </c>
      <c r="L2932" t="s">
        <v>191</v>
      </c>
      <c r="M2932">
        <v>954362</v>
      </c>
      <c r="N2932" s="1">
        <v>45249</v>
      </c>
      <c r="O2932" t="s">
        <v>28</v>
      </c>
      <c r="P2932">
        <v>11</v>
      </c>
      <c r="Q2932">
        <v>315925.08</v>
      </c>
    </row>
    <row r="2933" spans="1:17" x14ac:dyDescent="0.3">
      <c r="A2933" t="s">
        <v>6574</v>
      </c>
      <c r="B2933" t="s">
        <v>4249</v>
      </c>
      <c r="C2933" s="2" t="str">
        <f>PROPER(TRIM(Table1[[#This Row],[Gender]]))</f>
        <v>Male</v>
      </c>
      <c r="D2933" t="s">
        <v>16</v>
      </c>
      <c r="E2933">
        <v>49</v>
      </c>
      <c r="F2933" t="s">
        <v>17</v>
      </c>
      <c r="G2933" s="1">
        <v>27773</v>
      </c>
      <c r="H2933" t="s">
        <v>6575</v>
      </c>
      <c r="I2933" s="2" t="str">
        <f t="shared" si="45"/>
        <v>+91-9252808420</v>
      </c>
      <c r="J2933">
        <f>91-9252808511</f>
        <v>-9252808420</v>
      </c>
      <c r="K2933" t="s">
        <v>51</v>
      </c>
      <c r="L2933" t="s">
        <v>52</v>
      </c>
      <c r="M2933">
        <v>687379</v>
      </c>
      <c r="N2933" s="1">
        <v>45327</v>
      </c>
      <c r="O2933" t="s">
        <v>28</v>
      </c>
      <c r="P2933">
        <v>6</v>
      </c>
      <c r="Q2933">
        <v>111572.43</v>
      </c>
    </row>
    <row r="2934" spans="1:17" x14ac:dyDescent="0.3">
      <c r="A2934" t="s">
        <v>6576</v>
      </c>
      <c r="B2934" t="s">
        <v>1888</v>
      </c>
      <c r="C2934" s="2" t="str">
        <f>PROPER(TRIM(Table1[[#This Row],[Gender]]))</f>
        <v>Female</v>
      </c>
      <c r="D2934" t="s">
        <v>43</v>
      </c>
      <c r="E2934">
        <v>65</v>
      </c>
      <c r="F2934" t="s">
        <v>58</v>
      </c>
      <c r="G2934" s="1">
        <v>21933</v>
      </c>
      <c r="H2934" t="s">
        <v>6577</v>
      </c>
      <c r="I2934" s="2" t="str">
        <f t="shared" si="45"/>
        <v>+91-8909785062</v>
      </c>
      <c r="J2934">
        <f>91-8909785153</f>
        <v>-8909785062</v>
      </c>
      <c r="K2934" t="s">
        <v>109</v>
      </c>
      <c r="L2934" t="s">
        <v>46</v>
      </c>
      <c r="M2934">
        <v>563185</v>
      </c>
      <c r="N2934" s="1">
        <v>45245</v>
      </c>
      <c r="O2934" t="s">
        <v>28</v>
      </c>
      <c r="P2934">
        <v>8</v>
      </c>
      <c r="Q2934">
        <v>63251.99</v>
      </c>
    </row>
    <row r="2935" spans="1:17" x14ac:dyDescent="0.3">
      <c r="A2935" t="s">
        <v>6578</v>
      </c>
      <c r="B2935" t="s">
        <v>4998</v>
      </c>
      <c r="C2935" s="2" t="str">
        <f>PROPER(TRIM(Table1[[#This Row],[Gender]]))</f>
        <v>Female</v>
      </c>
      <c r="D2935" t="s">
        <v>43</v>
      </c>
      <c r="E2935">
        <v>34</v>
      </c>
      <c r="F2935" t="s">
        <v>31</v>
      </c>
      <c r="G2935" s="1">
        <v>33248</v>
      </c>
      <c r="H2935" t="s">
        <v>6579</v>
      </c>
      <c r="I2935" s="2" t="str">
        <f t="shared" si="45"/>
        <v>+91-8337854156</v>
      </c>
      <c r="J2935">
        <f>91-8337854247</f>
        <v>-8337854156</v>
      </c>
      <c r="K2935" t="s">
        <v>76</v>
      </c>
      <c r="L2935" t="s">
        <v>46</v>
      </c>
      <c r="M2935">
        <v>378460</v>
      </c>
      <c r="N2935" s="1">
        <v>45406</v>
      </c>
      <c r="O2935" t="s">
        <v>28</v>
      </c>
      <c r="P2935">
        <v>3</v>
      </c>
      <c r="Q2935">
        <v>109855.54</v>
      </c>
    </row>
    <row r="2936" spans="1:17" x14ac:dyDescent="0.3">
      <c r="A2936" t="s">
        <v>6580</v>
      </c>
      <c r="B2936" t="s">
        <v>1608</v>
      </c>
      <c r="C2936" s="2" t="str">
        <f>PROPER(TRIM(Table1[[#This Row],[Gender]]))</f>
        <v>Male</v>
      </c>
      <c r="D2936" t="s">
        <v>16</v>
      </c>
      <c r="E2936">
        <v>41</v>
      </c>
      <c r="F2936" t="s">
        <v>38</v>
      </c>
      <c r="G2936" s="1">
        <v>30693</v>
      </c>
      <c r="H2936" t="s">
        <v>6581</v>
      </c>
      <c r="I2936" s="2" t="str">
        <f t="shared" si="45"/>
        <v>+91-8655128546</v>
      </c>
      <c r="J2936">
        <f>91-8655128637</f>
        <v>-8655128546</v>
      </c>
      <c r="K2936" t="s">
        <v>94</v>
      </c>
      <c r="L2936" t="s">
        <v>20</v>
      </c>
      <c r="M2936">
        <v>480052</v>
      </c>
      <c r="N2936" s="1">
        <v>45380</v>
      </c>
      <c r="O2936" t="s">
        <v>28</v>
      </c>
      <c r="P2936">
        <v>4</v>
      </c>
      <c r="Q2936">
        <v>80604.149999999994</v>
      </c>
    </row>
    <row r="2937" spans="1:17" x14ac:dyDescent="0.3">
      <c r="A2937" t="s">
        <v>6582</v>
      </c>
      <c r="B2937" t="s">
        <v>237</v>
      </c>
      <c r="C2937" s="2" t="str">
        <f>PROPER(TRIM(Table1[[#This Row],[Gender]]))</f>
        <v>Female</v>
      </c>
      <c r="D2937" t="s">
        <v>43</v>
      </c>
      <c r="E2937">
        <v>43</v>
      </c>
      <c r="F2937" t="s">
        <v>38</v>
      </c>
      <c r="G2937" s="1">
        <v>29963</v>
      </c>
      <c r="H2937" t="s">
        <v>6583</v>
      </c>
      <c r="I2937" s="2" t="str">
        <f t="shared" si="45"/>
        <v>+91-9095867554</v>
      </c>
      <c r="J2937">
        <f>91-9095867645</f>
        <v>-9095867554</v>
      </c>
      <c r="K2937" t="s">
        <v>178</v>
      </c>
      <c r="L2937" t="s">
        <v>27</v>
      </c>
      <c r="M2937">
        <v>895477</v>
      </c>
      <c r="N2937" s="1">
        <v>45354</v>
      </c>
      <c r="O2937" t="s">
        <v>28</v>
      </c>
      <c r="P2937">
        <v>6</v>
      </c>
      <c r="Q2937">
        <v>146620.35999999999</v>
      </c>
    </row>
    <row r="2938" spans="1:17" x14ac:dyDescent="0.3">
      <c r="A2938" t="s">
        <v>6584</v>
      </c>
      <c r="B2938" t="s">
        <v>1228</v>
      </c>
      <c r="C2938" s="2" t="str">
        <f>PROPER(TRIM(Table1[[#This Row],[Gender]]))</f>
        <v>Female</v>
      </c>
      <c r="D2938" t="s">
        <v>43</v>
      </c>
      <c r="E2938">
        <v>35</v>
      </c>
      <c r="F2938" t="s">
        <v>31</v>
      </c>
      <c r="G2938" s="1">
        <v>32883</v>
      </c>
      <c r="H2938" t="s">
        <v>6585</v>
      </c>
      <c r="I2938" s="2" t="str">
        <f t="shared" si="45"/>
        <v>+91-8130734536</v>
      </c>
      <c r="J2938">
        <f>91-8130734627</f>
        <v>-8130734536</v>
      </c>
      <c r="K2938" t="s">
        <v>174</v>
      </c>
      <c r="L2938" t="s">
        <v>90</v>
      </c>
      <c r="M2938">
        <v>149325</v>
      </c>
      <c r="N2938" s="1">
        <v>45339</v>
      </c>
      <c r="O2938" t="s">
        <v>21</v>
      </c>
      <c r="P2938">
        <v>3</v>
      </c>
      <c r="Q2938">
        <v>29390.76</v>
      </c>
    </row>
    <row r="2939" spans="1:17" x14ac:dyDescent="0.3">
      <c r="A2939" t="s">
        <v>6586</v>
      </c>
      <c r="B2939" t="s">
        <v>2890</v>
      </c>
      <c r="C2939" s="2" t="str">
        <f>PROPER(TRIM(Table1[[#This Row],[Gender]]))</f>
        <v>Female</v>
      </c>
      <c r="D2939" t="s">
        <v>43</v>
      </c>
      <c r="E2939">
        <v>40</v>
      </c>
      <c r="F2939" t="s">
        <v>38</v>
      </c>
      <c r="G2939" s="1">
        <v>31058</v>
      </c>
      <c r="H2939" t="s">
        <v>2891</v>
      </c>
      <c r="I2939" s="2" t="str">
        <f t="shared" si="45"/>
        <v>+91-7254656082</v>
      </c>
      <c r="J2939">
        <f>91-7254656173</f>
        <v>-7254656082</v>
      </c>
      <c r="K2939" t="s">
        <v>178</v>
      </c>
      <c r="L2939" t="s">
        <v>27</v>
      </c>
      <c r="M2939">
        <v>112356</v>
      </c>
      <c r="N2939" s="1">
        <v>45287</v>
      </c>
      <c r="O2939" t="s">
        <v>21</v>
      </c>
      <c r="P2939">
        <v>3</v>
      </c>
      <c r="Q2939">
        <v>35646.76</v>
      </c>
    </row>
    <row r="2940" spans="1:17" x14ac:dyDescent="0.3">
      <c r="A2940" t="s">
        <v>6587</v>
      </c>
      <c r="B2940" t="s">
        <v>1499</v>
      </c>
      <c r="C2940" s="2" t="str">
        <f>PROPER(TRIM(Table1[[#This Row],[Gender]]))</f>
        <v>Male</v>
      </c>
      <c r="D2940" t="s">
        <v>16</v>
      </c>
      <c r="E2940">
        <v>28</v>
      </c>
      <c r="F2940" t="s">
        <v>31</v>
      </c>
      <c r="G2940" s="1">
        <v>35438</v>
      </c>
      <c r="H2940" t="s">
        <v>4174</v>
      </c>
      <c r="I2940" s="2" t="str">
        <f t="shared" si="45"/>
        <v>+91-9662474815</v>
      </c>
      <c r="J2940">
        <f>91-9662474906</f>
        <v>-9662474815</v>
      </c>
      <c r="K2940" t="s">
        <v>195</v>
      </c>
      <c r="L2940" t="s">
        <v>102</v>
      </c>
      <c r="M2940">
        <v>557529</v>
      </c>
      <c r="N2940" s="1">
        <v>45402</v>
      </c>
      <c r="O2940" t="s">
        <v>21</v>
      </c>
      <c r="P2940">
        <v>3</v>
      </c>
      <c r="Q2940">
        <v>45198.03</v>
      </c>
    </row>
    <row r="2941" spans="1:17" x14ac:dyDescent="0.3">
      <c r="A2941" t="s">
        <v>6588</v>
      </c>
      <c r="B2941" t="s">
        <v>4728</v>
      </c>
      <c r="C2941" s="2" t="str">
        <f>PROPER(TRIM(Table1[[#This Row],[Gender]]))</f>
        <v>Male</v>
      </c>
      <c r="D2941" t="s">
        <v>16</v>
      </c>
      <c r="E2941">
        <v>26</v>
      </c>
      <c r="F2941" t="s">
        <v>31</v>
      </c>
      <c r="G2941" s="1">
        <v>36168</v>
      </c>
      <c r="H2941" t="s">
        <v>6589</v>
      </c>
      <c r="I2941" s="2" t="str">
        <f t="shared" si="45"/>
        <v>+91-7040313509</v>
      </c>
      <c r="J2941">
        <f>91-7040313600</f>
        <v>-7040313509</v>
      </c>
      <c r="K2941" t="s">
        <v>369</v>
      </c>
      <c r="L2941" t="s">
        <v>191</v>
      </c>
      <c r="M2941">
        <v>344984</v>
      </c>
      <c r="N2941" s="1">
        <v>45311</v>
      </c>
      <c r="O2941" t="s">
        <v>28</v>
      </c>
      <c r="P2941">
        <v>2</v>
      </c>
      <c r="Q2941">
        <v>98574.6</v>
      </c>
    </row>
    <row r="2942" spans="1:17" x14ac:dyDescent="0.3">
      <c r="A2942" t="s">
        <v>6590</v>
      </c>
      <c r="B2942" t="s">
        <v>683</v>
      </c>
      <c r="C2942" s="2" t="str">
        <f>PROPER(TRIM(Table1[[#This Row],[Gender]]))</f>
        <v>Female</v>
      </c>
      <c r="D2942" t="s">
        <v>43</v>
      </c>
      <c r="E2942">
        <v>47</v>
      </c>
      <c r="F2942" t="s">
        <v>17</v>
      </c>
      <c r="G2942" s="1">
        <v>28503</v>
      </c>
      <c r="H2942" t="s">
        <v>6591</v>
      </c>
      <c r="I2942" s="2" t="str">
        <f t="shared" si="45"/>
        <v>+91-9908322327</v>
      </c>
      <c r="J2942">
        <f>91-9908322418</f>
        <v>-9908322327</v>
      </c>
      <c r="K2942" t="s">
        <v>80</v>
      </c>
      <c r="L2942" t="s">
        <v>20</v>
      </c>
      <c r="M2942">
        <v>295528</v>
      </c>
      <c r="N2942" s="1">
        <v>45260</v>
      </c>
      <c r="O2942" t="s">
        <v>28</v>
      </c>
      <c r="P2942">
        <v>7</v>
      </c>
      <c r="Q2942">
        <v>106706.35</v>
      </c>
    </row>
    <row r="2943" spans="1:17" x14ac:dyDescent="0.3">
      <c r="A2943" t="s">
        <v>6592</v>
      </c>
      <c r="B2943" t="s">
        <v>2793</v>
      </c>
      <c r="C2943" s="2" t="str">
        <f>PROPER(TRIM(Table1[[#This Row],[Gender]]))</f>
        <v>Male</v>
      </c>
      <c r="D2943" t="s">
        <v>16</v>
      </c>
      <c r="E2943">
        <v>32</v>
      </c>
      <c r="F2943" t="s">
        <v>31</v>
      </c>
      <c r="G2943" s="1">
        <v>33978</v>
      </c>
      <c r="H2943" t="s">
        <v>6593</v>
      </c>
      <c r="I2943" s="2" t="str">
        <f t="shared" si="45"/>
        <v>+91-8631848360</v>
      </c>
      <c r="J2943">
        <f>91-8631848451</f>
        <v>-8631848360</v>
      </c>
      <c r="K2943" t="s">
        <v>33</v>
      </c>
      <c r="L2943" t="s">
        <v>34</v>
      </c>
      <c r="M2943">
        <v>216904</v>
      </c>
      <c r="N2943" s="1">
        <v>45269</v>
      </c>
      <c r="O2943" t="s">
        <v>28</v>
      </c>
      <c r="P2943">
        <v>3</v>
      </c>
      <c r="Q2943">
        <v>170289.02</v>
      </c>
    </row>
    <row r="2944" spans="1:17" x14ac:dyDescent="0.3">
      <c r="A2944" t="s">
        <v>6594</v>
      </c>
      <c r="B2944" t="s">
        <v>172</v>
      </c>
      <c r="C2944" s="2" t="str">
        <f>PROPER(TRIM(Table1[[#This Row],[Gender]]))</f>
        <v>Male</v>
      </c>
      <c r="D2944" t="s">
        <v>16</v>
      </c>
      <c r="E2944">
        <v>59</v>
      </c>
      <c r="F2944" t="s">
        <v>58</v>
      </c>
      <c r="G2944" s="1">
        <v>24123</v>
      </c>
      <c r="H2944" t="s">
        <v>6595</v>
      </c>
      <c r="I2944" s="2" t="str">
        <f t="shared" si="45"/>
        <v>+91-7467047668</v>
      </c>
      <c r="J2944">
        <f>91-7467047759</f>
        <v>-7467047668</v>
      </c>
      <c r="K2944" t="s">
        <v>125</v>
      </c>
      <c r="L2944" t="s">
        <v>52</v>
      </c>
      <c r="M2944">
        <v>440692</v>
      </c>
      <c r="N2944" s="1">
        <v>45325</v>
      </c>
      <c r="O2944" t="s">
        <v>28</v>
      </c>
      <c r="P2944">
        <v>4</v>
      </c>
      <c r="Q2944">
        <v>61026.34</v>
      </c>
    </row>
    <row r="2945" spans="1:17" x14ac:dyDescent="0.3">
      <c r="A2945" t="s">
        <v>6596</v>
      </c>
      <c r="B2945" t="s">
        <v>3290</v>
      </c>
      <c r="C2945" s="2" t="str">
        <f>PROPER(TRIM(Table1[[#This Row],[Gender]]))</f>
        <v>Male</v>
      </c>
      <c r="D2945" t="s">
        <v>16</v>
      </c>
      <c r="E2945">
        <v>37</v>
      </c>
      <c r="F2945" t="s">
        <v>38</v>
      </c>
      <c r="G2945" s="1">
        <v>32153</v>
      </c>
      <c r="H2945" t="s">
        <v>6597</v>
      </c>
      <c r="I2945" s="2" t="str">
        <f t="shared" si="45"/>
        <v>+91-8152977208</v>
      </c>
      <c r="J2945">
        <f>91-8152977299</f>
        <v>-8152977208</v>
      </c>
      <c r="K2945" t="s">
        <v>45</v>
      </c>
      <c r="L2945" t="s">
        <v>46</v>
      </c>
      <c r="M2945">
        <v>127974</v>
      </c>
      <c r="N2945" s="1">
        <v>45091</v>
      </c>
      <c r="O2945" t="s">
        <v>28</v>
      </c>
      <c r="P2945">
        <v>5</v>
      </c>
      <c r="Q2945">
        <v>84932.15</v>
      </c>
    </row>
    <row r="2946" spans="1:17" x14ac:dyDescent="0.3">
      <c r="A2946" t="s">
        <v>6598</v>
      </c>
      <c r="B2946" t="s">
        <v>1289</v>
      </c>
      <c r="C2946" s="2" t="str">
        <f>PROPER(TRIM(Table1[[#This Row],[Gender]]))</f>
        <v>Male</v>
      </c>
      <c r="D2946" t="s">
        <v>16</v>
      </c>
      <c r="E2946">
        <v>31</v>
      </c>
      <c r="F2946" t="s">
        <v>31</v>
      </c>
      <c r="G2946" s="1">
        <v>34343</v>
      </c>
      <c r="H2946" t="s">
        <v>6599</v>
      </c>
      <c r="I2946" s="2" t="str">
        <f t="shared" ref="I2946:I3009" si="46">"+91"&amp;TEXT(J2946,"0000000000")</f>
        <v>+91-7929679755</v>
      </c>
      <c r="J2946">
        <f>91-7929679846</f>
        <v>-7929679755</v>
      </c>
      <c r="K2946" t="s">
        <v>239</v>
      </c>
      <c r="L2946" t="s">
        <v>191</v>
      </c>
      <c r="M2946">
        <v>994433</v>
      </c>
      <c r="N2946" s="1">
        <v>45128</v>
      </c>
      <c r="O2946" t="s">
        <v>28</v>
      </c>
      <c r="P2946">
        <v>8</v>
      </c>
      <c r="Q2946">
        <v>287550.5</v>
      </c>
    </row>
    <row r="2947" spans="1:17" x14ac:dyDescent="0.3">
      <c r="A2947" t="s">
        <v>6600</v>
      </c>
      <c r="B2947" t="s">
        <v>4402</v>
      </c>
      <c r="C2947" s="2" t="str">
        <f>PROPER(TRIM(Table1[[#This Row],[Gender]]))</f>
        <v>Male</v>
      </c>
      <c r="D2947" t="s">
        <v>16</v>
      </c>
      <c r="E2947">
        <v>45</v>
      </c>
      <c r="F2947" t="s">
        <v>38</v>
      </c>
      <c r="G2947" s="1">
        <v>29233</v>
      </c>
      <c r="H2947" t="s">
        <v>6601</v>
      </c>
      <c r="I2947" s="2" t="str">
        <f t="shared" si="46"/>
        <v>+91-8360654538</v>
      </c>
      <c r="J2947">
        <f>91-8360654629</f>
        <v>-8360654538</v>
      </c>
      <c r="K2947" t="s">
        <v>33</v>
      </c>
      <c r="L2947" t="s">
        <v>34</v>
      </c>
      <c r="M2947">
        <v>638392</v>
      </c>
      <c r="N2947" s="1">
        <v>45315</v>
      </c>
      <c r="O2947" t="s">
        <v>28</v>
      </c>
      <c r="P2947">
        <v>5</v>
      </c>
      <c r="Q2947">
        <v>229574.35</v>
      </c>
    </row>
    <row r="2948" spans="1:17" x14ac:dyDescent="0.3">
      <c r="A2948" t="s">
        <v>6602</v>
      </c>
      <c r="B2948" t="s">
        <v>1827</v>
      </c>
      <c r="C2948" s="2" t="str">
        <f>PROPER(TRIM(Table1[[#This Row],[Gender]]))</f>
        <v>Male</v>
      </c>
      <c r="D2948" t="s">
        <v>16</v>
      </c>
      <c r="E2948">
        <v>35</v>
      </c>
      <c r="F2948" t="s">
        <v>31</v>
      </c>
      <c r="G2948" s="1">
        <v>32883</v>
      </c>
      <c r="H2948" t="s">
        <v>6603</v>
      </c>
      <c r="I2948" s="2" t="str">
        <f t="shared" si="46"/>
        <v>+91-8630731603</v>
      </c>
      <c r="J2948">
        <f>91-8630731694</f>
        <v>-8630731603</v>
      </c>
      <c r="K2948" t="s">
        <v>45</v>
      </c>
      <c r="L2948" t="s">
        <v>46</v>
      </c>
      <c r="M2948">
        <v>886413</v>
      </c>
      <c r="N2948" s="1">
        <v>45107</v>
      </c>
      <c r="O2948" t="s">
        <v>28</v>
      </c>
      <c r="P2948">
        <v>5</v>
      </c>
      <c r="Q2948">
        <v>123045.17</v>
      </c>
    </row>
    <row r="2949" spans="1:17" x14ac:dyDescent="0.3">
      <c r="A2949" t="s">
        <v>6604</v>
      </c>
      <c r="B2949" t="s">
        <v>966</v>
      </c>
      <c r="C2949" s="2" t="str">
        <f>PROPER(TRIM(Table1[[#This Row],[Gender]]))</f>
        <v>Female</v>
      </c>
      <c r="D2949" t="s">
        <v>43</v>
      </c>
      <c r="E2949">
        <v>27</v>
      </c>
      <c r="F2949" t="s">
        <v>31</v>
      </c>
      <c r="G2949" s="1">
        <v>35803</v>
      </c>
      <c r="H2949" t="s">
        <v>6605</v>
      </c>
      <c r="I2949" s="2" t="str">
        <f t="shared" si="46"/>
        <v>+91-9903526168</v>
      </c>
      <c r="J2949">
        <f>91-9903526259</f>
        <v>-9903526168</v>
      </c>
      <c r="K2949" t="s">
        <v>190</v>
      </c>
      <c r="L2949" t="s">
        <v>191</v>
      </c>
      <c r="M2949">
        <v>381269</v>
      </c>
      <c r="N2949" s="1">
        <v>45179</v>
      </c>
      <c r="O2949" t="s">
        <v>28</v>
      </c>
      <c r="P2949">
        <v>5</v>
      </c>
      <c r="Q2949">
        <v>414945.24</v>
      </c>
    </row>
    <row r="2950" spans="1:17" x14ac:dyDescent="0.3">
      <c r="A2950" t="s">
        <v>6606</v>
      </c>
      <c r="B2950" t="s">
        <v>1608</v>
      </c>
      <c r="C2950" s="2" t="str">
        <f>PROPER(TRIM(Table1[[#This Row],[Gender]]))</f>
        <v>Male</v>
      </c>
      <c r="D2950" t="s">
        <v>16</v>
      </c>
      <c r="E2950">
        <v>26</v>
      </c>
      <c r="F2950" t="s">
        <v>31</v>
      </c>
      <c r="G2950" s="1">
        <v>36168</v>
      </c>
      <c r="H2950" t="s">
        <v>6607</v>
      </c>
      <c r="I2950" s="2" t="str">
        <f t="shared" si="46"/>
        <v>+91-9712722915</v>
      </c>
      <c r="J2950">
        <f>91-9712723006</f>
        <v>-9712722915</v>
      </c>
      <c r="K2950" t="s">
        <v>101</v>
      </c>
      <c r="L2950" t="s">
        <v>102</v>
      </c>
      <c r="M2950">
        <v>614789</v>
      </c>
      <c r="N2950" s="1">
        <v>45279</v>
      </c>
      <c r="O2950" t="s">
        <v>28</v>
      </c>
      <c r="P2950">
        <v>4</v>
      </c>
      <c r="Q2950">
        <v>132984.81</v>
      </c>
    </row>
    <row r="2951" spans="1:17" x14ac:dyDescent="0.3">
      <c r="A2951" t="s">
        <v>6608</v>
      </c>
      <c r="B2951" t="s">
        <v>82</v>
      </c>
      <c r="C2951" s="2" t="str">
        <f>PROPER(TRIM(Table1[[#This Row],[Gender]]))</f>
        <v>Female</v>
      </c>
      <c r="D2951" t="s">
        <v>43</v>
      </c>
      <c r="E2951">
        <v>46</v>
      </c>
      <c r="F2951" t="s">
        <v>17</v>
      </c>
      <c r="G2951" s="1">
        <v>28868</v>
      </c>
      <c r="H2951" t="s">
        <v>6609</v>
      </c>
      <c r="I2951" s="2" t="str">
        <f t="shared" si="46"/>
        <v>+91-8063558900</v>
      </c>
      <c r="J2951">
        <f>91-8063558991</f>
        <v>-8063558900</v>
      </c>
      <c r="K2951" t="s">
        <v>45</v>
      </c>
      <c r="L2951" t="s">
        <v>46</v>
      </c>
      <c r="M2951">
        <v>546686</v>
      </c>
      <c r="N2951" s="1">
        <v>45435</v>
      </c>
      <c r="O2951" t="s">
        <v>21</v>
      </c>
      <c r="P2951">
        <v>2</v>
      </c>
      <c r="Q2951">
        <v>49789.919999999998</v>
      </c>
    </row>
    <row r="2952" spans="1:17" x14ac:dyDescent="0.3">
      <c r="A2952" t="s">
        <v>6610</v>
      </c>
      <c r="B2952" t="s">
        <v>5731</v>
      </c>
      <c r="C2952" s="2" t="str">
        <f>PROPER(TRIM(Table1[[#This Row],[Gender]]))</f>
        <v>Male</v>
      </c>
      <c r="D2952" t="s">
        <v>16</v>
      </c>
      <c r="E2952">
        <v>32</v>
      </c>
      <c r="F2952" t="s">
        <v>31</v>
      </c>
      <c r="G2952" s="1">
        <v>33978</v>
      </c>
      <c r="H2952" t="s">
        <v>6611</v>
      </c>
      <c r="I2952" s="2" t="str">
        <f t="shared" si="46"/>
        <v>+91-7275126018</v>
      </c>
      <c r="J2952">
        <f>91-7275126109</f>
        <v>-7275126018</v>
      </c>
      <c r="K2952" t="s">
        <v>138</v>
      </c>
      <c r="L2952" t="s">
        <v>90</v>
      </c>
      <c r="M2952">
        <v>110650</v>
      </c>
      <c r="N2952" s="1">
        <v>45308</v>
      </c>
      <c r="O2952" t="s">
        <v>28</v>
      </c>
      <c r="P2952">
        <v>8</v>
      </c>
      <c r="Q2952">
        <v>475732.28</v>
      </c>
    </row>
    <row r="2953" spans="1:17" x14ac:dyDescent="0.3">
      <c r="A2953" t="s">
        <v>6612</v>
      </c>
      <c r="B2953" t="s">
        <v>2644</v>
      </c>
      <c r="C2953" s="2" t="str">
        <f>PROPER(TRIM(Table1[[#This Row],[Gender]]))</f>
        <v>Male</v>
      </c>
      <c r="D2953" t="s">
        <v>16</v>
      </c>
      <c r="E2953">
        <v>31</v>
      </c>
      <c r="F2953" t="s">
        <v>31</v>
      </c>
      <c r="G2953" s="1">
        <v>34343</v>
      </c>
      <c r="H2953" t="s">
        <v>6613</v>
      </c>
      <c r="I2953" s="2" t="str">
        <f t="shared" si="46"/>
        <v>+91-7107344821</v>
      </c>
      <c r="J2953">
        <f>91-7107344912</f>
        <v>-7107344821</v>
      </c>
      <c r="K2953" t="s">
        <v>138</v>
      </c>
      <c r="L2953" t="s">
        <v>90</v>
      </c>
      <c r="M2953">
        <v>212358</v>
      </c>
      <c r="N2953" s="1">
        <v>45176</v>
      </c>
      <c r="O2953" t="s">
        <v>28</v>
      </c>
      <c r="P2953">
        <v>4</v>
      </c>
      <c r="Q2953">
        <v>165582.22</v>
      </c>
    </row>
    <row r="2954" spans="1:17" x14ac:dyDescent="0.3">
      <c r="A2954" t="s">
        <v>6614</v>
      </c>
      <c r="B2954" t="s">
        <v>490</v>
      </c>
      <c r="C2954" s="2" t="str">
        <f>PROPER(TRIM(Table1[[#This Row],[Gender]]))</f>
        <v>Male</v>
      </c>
      <c r="D2954" t="s">
        <v>16</v>
      </c>
      <c r="E2954">
        <v>29</v>
      </c>
      <c r="F2954" t="s">
        <v>31</v>
      </c>
      <c r="G2954" s="1">
        <v>35073</v>
      </c>
      <c r="H2954" t="s">
        <v>491</v>
      </c>
      <c r="I2954" s="2" t="str">
        <f t="shared" si="46"/>
        <v>+91-9307993390</v>
      </c>
      <c r="J2954">
        <f>91-9307993481</f>
        <v>-9307993390</v>
      </c>
      <c r="K2954" t="s">
        <v>72</v>
      </c>
      <c r="L2954" t="s">
        <v>34</v>
      </c>
      <c r="M2954">
        <v>504638</v>
      </c>
      <c r="N2954" s="1">
        <v>45116</v>
      </c>
      <c r="O2954" t="s">
        <v>28</v>
      </c>
      <c r="P2954">
        <v>5</v>
      </c>
      <c r="Q2954">
        <v>95867.04</v>
      </c>
    </row>
    <row r="2955" spans="1:17" x14ac:dyDescent="0.3">
      <c r="A2955" t="s">
        <v>6615</v>
      </c>
      <c r="B2955" t="s">
        <v>352</v>
      </c>
      <c r="C2955" s="2" t="str">
        <f>PROPER(TRIM(Table1[[#This Row],[Gender]]))</f>
        <v>Male</v>
      </c>
      <c r="D2955" t="s">
        <v>16</v>
      </c>
      <c r="E2955">
        <v>64</v>
      </c>
      <c r="F2955" t="s">
        <v>58</v>
      </c>
      <c r="G2955" s="1">
        <v>22298</v>
      </c>
      <c r="H2955" t="s">
        <v>6616</v>
      </c>
      <c r="I2955" s="2" t="str">
        <f t="shared" si="46"/>
        <v>+91-7657896515</v>
      </c>
      <c r="J2955">
        <f>91-7657896606</f>
        <v>-7657896515</v>
      </c>
      <c r="K2955" t="s">
        <v>84</v>
      </c>
      <c r="L2955" t="s">
        <v>85</v>
      </c>
      <c r="M2955">
        <v>332014</v>
      </c>
      <c r="N2955" s="1">
        <v>45105</v>
      </c>
      <c r="O2955" t="s">
        <v>28</v>
      </c>
      <c r="P2955">
        <v>8</v>
      </c>
      <c r="Q2955">
        <v>71898.73</v>
      </c>
    </row>
    <row r="2956" spans="1:17" x14ac:dyDescent="0.3">
      <c r="A2956" t="s">
        <v>6617</v>
      </c>
      <c r="B2956" t="s">
        <v>2432</v>
      </c>
      <c r="C2956" s="2" t="str">
        <f>PROPER(TRIM(Table1[[#This Row],[Gender]]))</f>
        <v>Male</v>
      </c>
      <c r="D2956" t="s">
        <v>16</v>
      </c>
      <c r="E2956">
        <v>47</v>
      </c>
      <c r="F2956" t="s">
        <v>17</v>
      </c>
      <c r="G2956" s="1">
        <v>28503</v>
      </c>
      <c r="H2956" t="s">
        <v>6618</v>
      </c>
      <c r="I2956" s="2" t="str">
        <f t="shared" si="46"/>
        <v>+91-8012415907</v>
      </c>
      <c r="J2956">
        <f>91-8012415998</f>
        <v>-8012415907</v>
      </c>
      <c r="K2956" t="s">
        <v>33</v>
      </c>
      <c r="L2956" t="s">
        <v>34</v>
      </c>
      <c r="M2956">
        <v>889464</v>
      </c>
      <c r="N2956" s="1">
        <v>45343</v>
      </c>
      <c r="O2956" t="s">
        <v>28</v>
      </c>
      <c r="P2956">
        <v>7</v>
      </c>
      <c r="Q2956">
        <v>106840.62</v>
      </c>
    </row>
    <row r="2957" spans="1:17" x14ac:dyDescent="0.3">
      <c r="A2957" t="s">
        <v>6619</v>
      </c>
      <c r="B2957" t="s">
        <v>6620</v>
      </c>
      <c r="C2957" s="2" t="str">
        <f>PROPER(TRIM(Table1[[#This Row],[Gender]]))</f>
        <v>Female</v>
      </c>
      <c r="D2957" t="s">
        <v>43</v>
      </c>
      <c r="E2957">
        <v>62</v>
      </c>
      <c r="F2957" t="s">
        <v>58</v>
      </c>
      <c r="G2957" s="1">
        <v>23028</v>
      </c>
      <c r="H2957" t="s">
        <v>6621</v>
      </c>
      <c r="I2957" s="2" t="str">
        <f t="shared" si="46"/>
        <v>+91-7783871088</v>
      </c>
      <c r="J2957">
        <f>91-7783871179</f>
        <v>-7783871088</v>
      </c>
      <c r="K2957" t="s">
        <v>51</v>
      </c>
      <c r="L2957" t="s">
        <v>52</v>
      </c>
      <c r="M2957">
        <v>333532</v>
      </c>
      <c r="N2957" s="1">
        <v>45092</v>
      </c>
      <c r="O2957" t="s">
        <v>35</v>
      </c>
      <c r="P2957">
        <v>2</v>
      </c>
      <c r="Q2957">
        <v>13276.66</v>
      </c>
    </row>
    <row r="2958" spans="1:17" x14ac:dyDescent="0.3">
      <c r="A2958" t="s">
        <v>6622</v>
      </c>
      <c r="B2958" t="s">
        <v>1454</v>
      </c>
      <c r="C2958" s="2" t="str">
        <f>PROPER(TRIM(Table1[[#This Row],[Gender]]))</f>
        <v>Female</v>
      </c>
      <c r="D2958" t="s">
        <v>43</v>
      </c>
      <c r="E2958">
        <v>33</v>
      </c>
      <c r="F2958" t="s">
        <v>31</v>
      </c>
      <c r="G2958" s="1">
        <v>33613</v>
      </c>
      <c r="H2958" t="s">
        <v>6623</v>
      </c>
      <c r="I2958" s="2" t="str">
        <f t="shared" si="46"/>
        <v>+91-9746308798</v>
      </c>
      <c r="J2958">
        <f>91-9746308889</f>
        <v>-9746308798</v>
      </c>
      <c r="K2958" t="s">
        <v>64</v>
      </c>
      <c r="L2958" t="s">
        <v>20</v>
      </c>
      <c r="M2958">
        <v>853411</v>
      </c>
      <c r="N2958" s="1">
        <v>45377</v>
      </c>
      <c r="O2958" t="s">
        <v>28</v>
      </c>
      <c r="P2958">
        <v>5</v>
      </c>
      <c r="Q2958">
        <v>308907.2</v>
      </c>
    </row>
    <row r="2959" spans="1:17" x14ac:dyDescent="0.3">
      <c r="A2959" t="s">
        <v>6624</v>
      </c>
      <c r="B2959" t="s">
        <v>2834</v>
      </c>
      <c r="C2959" s="2" t="str">
        <f>PROPER(TRIM(Table1[[#This Row],[Gender]]))</f>
        <v>Male</v>
      </c>
      <c r="D2959" t="s">
        <v>16</v>
      </c>
      <c r="E2959">
        <v>31</v>
      </c>
      <c r="F2959" t="s">
        <v>31</v>
      </c>
      <c r="G2959" s="1">
        <v>34343</v>
      </c>
      <c r="H2959" t="s">
        <v>6625</v>
      </c>
      <c r="I2959" s="2" t="str">
        <f t="shared" si="46"/>
        <v>+91-7304329923</v>
      </c>
      <c r="J2959">
        <f>91-7304330014</f>
        <v>-7304329923</v>
      </c>
      <c r="K2959" t="s">
        <v>331</v>
      </c>
      <c r="L2959" t="s">
        <v>143</v>
      </c>
      <c r="M2959">
        <v>465692</v>
      </c>
      <c r="N2959" s="1">
        <v>45395</v>
      </c>
      <c r="O2959" t="s">
        <v>28</v>
      </c>
      <c r="P2959">
        <v>3</v>
      </c>
      <c r="Q2959">
        <v>97071.21</v>
      </c>
    </row>
    <row r="2960" spans="1:17" x14ac:dyDescent="0.3">
      <c r="A2960" t="s">
        <v>6626</v>
      </c>
      <c r="B2960" t="s">
        <v>2043</v>
      </c>
      <c r="C2960" s="2" t="str">
        <f>PROPER(TRIM(Table1[[#This Row],[Gender]]))</f>
        <v>Female</v>
      </c>
      <c r="D2960" t="s">
        <v>43</v>
      </c>
      <c r="E2960">
        <v>28</v>
      </c>
      <c r="F2960" t="s">
        <v>31</v>
      </c>
      <c r="G2960" s="1">
        <v>35438</v>
      </c>
      <c r="H2960" t="s">
        <v>6627</v>
      </c>
      <c r="I2960" s="2" t="str">
        <f t="shared" si="46"/>
        <v>+91-7470014423</v>
      </c>
      <c r="J2960">
        <f>91-7470014514</f>
        <v>-7470014423</v>
      </c>
      <c r="K2960" t="s">
        <v>101</v>
      </c>
      <c r="L2960" t="s">
        <v>102</v>
      </c>
      <c r="M2960">
        <v>113594</v>
      </c>
      <c r="N2960" s="1">
        <v>45234</v>
      </c>
      <c r="O2960" t="s">
        <v>28</v>
      </c>
      <c r="P2960">
        <v>7</v>
      </c>
      <c r="Q2960">
        <v>371272.09</v>
      </c>
    </row>
    <row r="2961" spans="1:17" x14ac:dyDescent="0.3">
      <c r="A2961" t="s">
        <v>6628</v>
      </c>
      <c r="B2961" t="s">
        <v>2651</v>
      </c>
      <c r="C2961" s="2" t="str">
        <f>PROPER(TRIM(Table1[[#This Row],[Gender]]))</f>
        <v>Male</v>
      </c>
      <c r="D2961" t="s">
        <v>16</v>
      </c>
      <c r="E2961">
        <v>25</v>
      </c>
      <c r="F2961" t="s">
        <v>49</v>
      </c>
      <c r="G2961" s="1">
        <v>36533</v>
      </c>
      <c r="H2961" t="s">
        <v>6629</v>
      </c>
      <c r="I2961" s="2" t="str">
        <f t="shared" si="46"/>
        <v>+91-7522708920</v>
      </c>
      <c r="J2961">
        <f>91-7522709011</f>
        <v>-7522708920</v>
      </c>
      <c r="K2961" t="s">
        <v>40</v>
      </c>
      <c r="L2961" t="s">
        <v>27</v>
      </c>
      <c r="M2961">
        <v>719162</v>
      </c>
      <c r="N2961" s="1">
        <v>45435</v>
      </c>
      <c r="O2961" t="s">
        <v>28</v>
      </c>
      <c r="P2961">
        <v>3</v>
      </c>
      <c r="Q2961">
        <v>54649.279999999999</v>
      </c>
    </row>
    <row r="2962" spans="1:17" x14ac:dyDescent="0.3">
      <c r="A2962" t="s">
        <v>6630</v>
      </c>
      <c r="B2962" t="s">
        <v>1650</v>
      </c>
      <c r="C2962" s="2" t="str">
        <f>PROPER(TRIM(Table1[[#This Row],[Gender]]))</f>
        <v>Male</v>
      </c>
      <c r="D2962" t="s">
        <v>16</v>
      </c>
      <c r="E2962">
        <v>33</v>
      </c>
      <c r="F2962" t="s">
        <v>31</v>
      </c>
      <c r="G2962" s="1">
        <v>33613</v>
      </c>
      <c r="H2962" t="s">
        <v>6631</v>
      </c>
      <c r="I2962" s="2" t="str">
        <f t="shared" si="46"/>
        <v>+91-8434429471</v>
      </c>
      <c r="J2962">
        <f>91-8434429562</f>
        <v>-8434429471</v>
      </c>
      <c r="K2962" t="s">
        <v>415</v>
      </c>
      <c r="L2962" t="s">
        <v>90</v>
      </c>
      <c r="M2962">
        <v>682554</v>
      </c>
      <c r="N2962" s="1">
        <v>45331</v>
      </c>
      <c r="O2962" t="s">
        <v>28</v>
      </c>
      <c r="P2962">
        <v>5</v>
      </c>
      <c r="Q2962">
        <v>78794.009999999995</v>
      </c>
    </row>
    <row r="2963" spans="1:17" x14ac:dyDescent="0.3">
      <c r="A2963" t="s">
        <v>6632</v>
      </c>
      <c r="B2963" t="s">
        <v>96</v>
      </c>
      <c r="C2963" s="2" t="str">
        <f>PROPER(TRIM(Table1[[#This Row],[Gender]]))</f>
        <v>Female</v>
      </c>
      <c r="D2963" t="s">
        <v>43</v>
      </c>
      <c r="E2963">
        <v>25</v>
      </c>
      <c r="F2963" t="s">
        <v>49</v>
      </c>
      <c r="G2963" s="1">
        <v>36533</v>
      </c>
      <c r="H2963" t="s">
        <v>6633</v>
      </c>
      <c r="I2963" s="2" t="str">
        <f t="shared" si="46"/>
        <v>+91-7065928495</v>
      </c>
      <c r="J2963">
        <f>91-7065928586</f>
        <v>-7065928495</v>
      </c>
      <c r="K2963" t="s">
        <v>113</v>
      </c>
      <c r="L2963" t="s">
        <v>34</v>
      </c>
      <c r="M2963">
        <v>779183</v>
      </c>
      <c r="N2963" s="1">
        <v>45353</v>
      </c>
      <c r="O2963" t="s">
        <v>28</v>
      </c>
      <c r="P2963">
        <v>7</v>
      </c>
      <c r="Q2963">
        <v>275435.19</v>
      </c>
    </row>
    <row r="2964" spans="1:17" x14ac:dyDescent="0.3">
      <c r="A2964" t="s">
        <v>6634</v>
      </c>
      <c r="B2964" t="s">
        <v>2613</v>
      </c>
      <c r="C2964" s="2" t="str">
        <f>PROPER(TRIM(Table1[[#This Row],[Gender]]))</f>
        <v>Female</v>
      </c>
      <c r="D2964" t="s">
        <v>43</v>
      </c>
      <c r="E2964">
        <v>74</v>
      </c>
      <c r="F2964" t="s">
        <v>24</v>
      </c>
      <c r="G2964" s="1">
        <v>18648</v>
      </c>
      <c r="H2964" t="s">
        <v>6635</v>
      </c>
      <c r="I2964" s="2" t="str">
        <f t="shared" si="46"/>
        <v>+91-9228770943</v>
      </c>
      <c r="J2964">
        <f>91-9228771034</f>
        <v>-9228770943</v>
      </c>
      <c r="K2964" t="s">
        <v>121</v>
      </c>
      <c r="L2964" t="s">
        <v>85</v>
      </c>
      <c r="M2964">
        <v>729365</v>
      </c>
      <c r="N2964" s="1">
        <v>45326</v>
      </c>
      <c r="O2964" t="s">
        <v>28</v>
      </c>
      <c r="P2964">
        <v>4</v>
      </c>
      <c r="Q2964">
        <v>51503.11</v>
      </c>
    </row>
    <row r="2965" spans="1:17" x14ac:dyDescent="0.3">
      <c r="A2965" t="s">
        <v>6636</v>
      </c>
      <c r="B2965" t="s">
        <v>6637</v>
      </c>
      <c r="C2965" s="2" t="str">
        <f>PROPER(TRIM(Table1[[#This Row],[Gender]]))</f>
        <v>Female</v>
      </c>
      <c r="D2965" t="s">
        <v>43</v>
      </c>
      <c r="E2965">
        <v>22</v>
      </c>
      <c r="F2965" t="s">
        <v>49</v>
      </c>
      <c r="G2965" s="1">
        <v>37628</v>
      </c>
      <c r="H2965" t="s">
        <v>6638</v>
      </c>
      <c r="I2965" s="2" t="str">
        <f t="shared" si="46"/>
        <v>+91-7801896019</v>
      </c>
      <c r="J2965">
        <f>91-7801896110</f>
        <v>-7801896019</v>
      </c>
      <c r="K2965" t="s">
        <v>178</v>
      </c>
      <c r="L2965" t="s">
        <v>27</v>
      </c>
      <c r="M2965">
        <v>748005</v>
      </c>
      <c r="N2965" s="1">
        <v>45428</v>
      </c>
      <c r="O2965" t="s">
        <v>28</v>
      </c>
      <c r="P2965">
        <v>5</v>
      </c>
      <c r="Q2965">
        <v>71527.25</v>
      </c>
    </row>
    <row r="2966" spans="1:17" x14ac:dyDescent="0.3">
      <c r="A2966" t="s">
        <v>6639</v>
      </c>
      <c r="B2966" t="s">
        <v>6554</v>
      </c>
      <c r="C2966" s="2" t="str">
        <f>PROPER(TRIM(Table1[[#This Row],[Gender]]))</f>
        <v>Male</v>
      </c>
      <c r="D2966" t="s">
        <v>16</v>
      </c>
      <c r="E2966">
        <v>41</v>
      </c>
      <c r="F2966" t="s">
        <v>38</v>
      </c>
      <c r="G2966" s="1">
        <v>30693</v>
      </c>
      <c r="H2966" t="s">
        <v>6555</v>
      </c>
      <c r="I2966" s="2" t="str">
        <f t="shared" si="46"/>
        <v>+91-8267753182</v>
      </c>
      <c r="J2966">
        <f>91-8267753273</f>
        <v>-8267753182</v>
      </c>
      <c r="K2966" t="s">
        <v>72</v>
      </c>
      <c r="L2966" t="s">
        <v>34</v>
      </c>
      <c r="M2966">
        <v>295520</v>
      </c>
      <c r="N2966" s="1">
        <v>45430</v>
      </c>
      <c r="O2966" t="s">
        <v>28</v>
      </c>
      <c r="P2966">
        <v>3</v>
      </c>
      <c r="Q2966">
        <v>90279.01</v>
      </c>
    </row>
    <row r="2967" spans="1:17" x14ac:dyDescent="0.3">
      <c r="A2967" t="s">
        <v>6640</v>
      </c>
      <c r="B2967" t="s">
        <v>163</v>
      </c>
      <c r="C2967" s="2" t="str">
        <f>PROPER(TRIM(Table1[[#This Row],[Gender]]))</f>
        <v>Female</v>
      </c>
      <c r="D2967" t="s">
        <v>43</v>
      </c>
      <c r="E2967">
        <v>47</v>
      </c>
      <c r="F2967" t="s">
        <v>17</v>
      </c>
      <c r="G2967" s="1">
        <v>28503</v>
      </c>
      <c r="H2967" t="s">
        <v>6641</v>
      </c>
      <c r="I2967" s="2" t="str">
        <f t="shared" si="46"/>
        <v>+91-9923731740</v>
      </c>
      <c r="J2967">
        <f>91-9923731831</f>
        <v>-9923731740</v>
      </c>
      <c r="K2967" t="s">
        <v>72</v>
      </c>
      <c r="L2967" t="s">
        <v>34</v>
      </c>
      <c r="M2967">
        <v>879146</v>
      </c>
      <c r="N2967" s="1">
        <v>45179</v>
      </c>
      <c r="O2967" t="s">
        <v>28</v>
      </c>
      <c r="P2967">
        <v>3</v>
      </c>
      <c r="Q2967">
        <v>77010.539999999994</v>
      </c>
    </row>
    <row r="2968" spans="1:17" x14ac:dyDescent="0.3">
      <c r="A2968" t="s">
        <v>6642</v>
      </c>
      <c r="B2968" t="s">
        <v>5633</v>
      </c>
      <c r="C2968" s="2" t="str">
        <f>PROPER(TRIM(Table1[[#This Row],[Gender]]))</f>
        <v>Female</v>
      </c>
      <c r="D2968" t="s">
        <v>43</v>
      </c>
      <c r="E2968">
        <v>56</v>
      </c>
      <c r="F2968" t="s">
        <v>58</v>
      </c>
      <c r="G2968" s="1">
        <v>25218</v>
      </c>
      <c r="H2968" t="s">
        <v>6643</v>
      </c>
      <c r="I2968" s="2" t="str">
        <f t="shared" si="46"/>
        <v>+91-9780792571</v>
      </c>
      <c r="J2968">
        <f>91-9780792662</f>
        <v>-9780792571</v>
      </c>
      <c r="K2968" t="s">
        <v>64</v>
      </c>
      <c r="L2968" t="s">
        <v>20</v>
      </c>
      <c r="M2968">
        <v>502217</v>
      </c>
      <c r="N2968" s="1">
        <v>45160</v>
      </c>
      <c r="O2968" t="s">
        <v>28</v>
      </c>
      <c r="P2968">
        <v>6</v>
      </c>
      <c r="Q2968">
        <v>56638.71</v>
      </c>
    </row>
    <row r="2969" spans="1:17" x14ac:dyDescent="0.3">
      <c r="A2969" t="s">
        <v>6644</v>
      </c>
      <c r="B2969" t="s">
        <v>2147</v>
      </c>
      <c r="C2969" s="2" t="str">
        <f>PROPER(TRIM(Table1[[#This Row],[Gender]]))</f>
        <v>Female</v>
      </c>
      <c r="D2969" t="s">
        <v>43</v>
      </c>
      <c r="E2969">
        <v>26</v>
      </c>
      <c r="F2969" t="s">
        <v>31</v>
      </c>
      <c r="G2969" s="1">
        <v>36168</v>
      </c>
      <c r="H2969" t="s">
        <v>2148</v>
      </c>
      <c r="I2969" s="2" t="str">
        <f t="shared" si="46"/>
        <v>+91-9192924219</v>
      </c>
      <c r="J2969">
        <f>91-9192924310</f>
        <v>-9192924219</v>
      </c>
      <c r="K2969" t="s">
        <v>147</v>
      </c>
      <c r="L2969" t="s">
        <v>143</v>
      </c>
      <c r="M2969">
        <v>552463</v>
      </c>
      <c r="N2969" s="1">
        <v>45147</v>
      </c>
      <c r="O2969" t="s">
        <v>28</v>
      </c>
      <c r="P2969">
        <v>3</v>
      </c>
      <c r="Q2969">
        <v>66440</v>
      </c>
    </row>
    <row r="2970" spans="1:17" x14ac:dyDescent="0.3">
      <c r="A2970" t="s">
        <v>6645</v>
      </c>
      <c r="B2970" t="s">
        <v>3648</v>
      </c>
      <c r="C2970" s="2" t="str">
        <f>PROPER(TRIM(Table1[[#This Row],[Gender]]))</f>
        <v>Male</v>
      </c>
      <c r="D2970" t="s">
        <v>16</v>
      </c>
      <c r="E2970">
        <v>53</v>
      </c>
      <c r="F2970" t="s">
        <v>17</v>
      </c>
      <c r="G2970" s="1">
        <v>26313</v>
      </c>
      <c r="H2970" t="s">
        <v>6646</v>
      </c>
      <c r="I2970" s="2" t="str">
        <f t="shared" si="46"/>
        <v>+91-8802202287</v>
      </c>
      <c r="J2970">
        <f>91-8802202378</f>
        <v>-8802202287</v>
      </c>
      <c r="K2970" t="s">
        <v>60</v>
      </c>
      <c r="L2970" t="s">
        <v>34</v>
      </c>
      <c r="M2970">
        <v>265050</v>
      </c>
      <c r="N2970" s="1">
        <v>45197</v>
      </c>
      <c r="O2970" t="s">
        <v>35</v>
      </c>
      <c r="P2970">
        <v>4</v>
      </c>
      <c r="Q2970">
        <v>8919.2999999999993</v>
      </c>
    </row>
    <row r="2971" spans="1:17" x14ac:dyDescent="0.3">
      <c r="A2971" t="s">
        <v>6647</v>
      </c>
      <c r="B2971" t="s">
        <v>1115</v>
      </c>
      <c r="C2971" s="2" t="str">
        <f>PROPER(TRIM(Table1[[#This Row],[Gender]]))</f>
        <v>Female</v>
      </c>
      <c r="D2971" t="s">
        <v>43</v>
      </c>
      <c r="E2971">
        <v>30</v>
      </c>
      <c r="F2971" t="s">
        <v>31</v>
      </c>
      <c r="G2971" s="1">
        <v>34708</v>
      </c>
      <c r="H2971" t="s">
        <v>1116</v>
      </c>
      <c r="I2971" s="2" t="str">
        <f t="shared" si="46"/>
        <v>+91-9774768516</v>
      </c>
      <c r="J2971">
        <f>91-9774768607</f>
        <v>-9774768516</v>
      </c>
      <c r="K2971" t="s">
        <v>113</v>
      </c>
      <c r="L2971" t="s">
        <v>34</v>
      </c>
      <c r="M2971">
        <v>298688</v>
      </c>
      <c r="N2971" s="1">
        <v>45261</v>
      </c>
      <c r="O2971" t="s">
        <v>28</v>
      </c>
      <c r="P2971">
        <v>4</v>
      </c>
      <c r="Q2971">
        <v>324774.65000000002</v>
      </c>
    </row>
    <row r="2972" spans="1:17" x14ac:dyDescent="0.3">
      <c r="A2972" t="s">
        <v>6648</v>
      </c>
      <c r="B2972" t="s">
        <v>3124</v>
      </c>
      <c r="C2972" s="2" t="str">
        <f>PROPER(TRIM(Table1[[#This Row],[Gender]]))</f>
        <v>Female</v>
      </c>
      <c r="D2972" t="s">
        <v>43</v>
      </c>
      <c r="E2972">
        <v>33</v>
      </c>
      <c r="F2972" t="s">
        <v>31</v>
      </c>
      <c r="G2972" s="1">
        <v>33613</v>
      </c>
      <c r="H2972" t="s">
        <v>6649</v>
      </c>
      <c r="I2972" s="2" t="str">
        <f t="shared" si="46"/>
        <v>+91-7385824632</v>
      </c>
      <c r="J2972">
        <f>91-7385824723</f>
        <v>-7385824632</v>
      </c>
      <c r="K2972" t="s">
        <v>121</v>
      </c>
      <c r="L2972" t="s">
        <v>85</v>
      </c>
      <c r="M2972">
        <v>275235</v>
      </c>
      <c r="N2972" s="1">
        <v>45207</v>
      </c>
      <c r="O2972" t="s">
        <v>21</v>
      </c>
      <c r="P2972">
        <v>5</v>
      </c>
      <c r="Q2972">
        <v>44298.16</v>
      </c>
    </row>
    <row r="2973" spans="1:17" x14ac:dyDescent="0.3">
      <c r="A2973" t="s">
        <v>6650</v>
      </c>
      <c r="B2973" t="s">
        <v>4453</v>
      </c>
      <c r="C2973" s="2" t="str">
        <f>PROPER(TRIM(Table1[[#This Row],[Gender]]))</f>
        <v>Male</v>
      </c>
      <c r="D2973" t="s">
        <v>16</v>
      </c>
      <c r="E2973">
        <v>27</v>
      </c>
      <c r="F2973" t="s">
        <v>31</v>
      </c>
      <c r="G2973" s="1">
        <v>35803</v>
      </c>
      <c r="H2973" t="s">
        <v>6651</v>
      </c>
      <c r="I2973" s="2" t="str">
        <f t="shared" si="46"/>
        <v>+91-9729723568</v>
      </c>
      <c r="J2973">
        <f>91-9729723659</f>
        <v>-9729723568</v>
      </c>
      <c r="K2973" t="s">
        <v>117</v>
      </c>
      <c r="L2973" t="s">
        <v>52</v>
      </c>
      <c r="M2973">
        <v>618079</v>
      </c>
      <c r="N2973" s="1">
        <v>45295</v>
      </c>
      <c r="O2973" t="s">
        <v>28</v>
      </c>
      <c r="P2973">
        <v>7</v>
      </c>
      <c r="Q2973">
        <v>108043.32</v>
      </c>
    </row>
    <row r="2974" spans="1:17" x14ac:dyDescent="0.3">
      <c r="A2974" t="s">
        <v>6652</v>
      </c>
      <c r="B2974" t="s">
        <v>2021</v>
      </c>
      <c r="C2974" s="2" t="str">
        <f>PROPER(TRIM(Table1[[#This Row],[Gender]]))</f>
        <v>Male</v>
      </c>
      <c r="D2974" t="s">
        <v>16</v>
      </c>
      <c r="E2974">
        <v>32</v>
      </c>
      <c r="F2974" t="s">
        <v>31</v>
      </c>
      <c r="G2974" s="1">
        <v>33978</v>
      </c>
      <c r="H2974" t="s">
        <v>4901</v>
      </c>
      <c r="I2974" s="2" t="str">
        <f t="shared" si="46"/>
        <v>+91-7422649375</v>
      </c>
      <c r="J2974">
        <f>91-7422649466</f>
        <v>-7422649375</v>
      </c>
      <c r="K2974" t="s">
        <v>174</v>
      </c>
      <c r="L2974" t="s">
        <v>90</v>
      </c>
      <c r="M2974">
        <v>517640</v>
      </c>
      <c r="N2974" s="1">
        <v>45141</v>
      </c>
      <c r="O2974" t="s">
        <v>28</v>
      </c>
      <c r="P2974">
        <v>3</v>
      </c>
      <c r="Q2974">
        <v>53822.73</v>
      </c>
    </row>
    <row r="2975" spans="1:17" x14ac:dyDescent="0.3">
      <c r="A2975" t="s">
        <v>6653</v>
      </c>
      <c r="B2975" t="s">
        <v>180</v>
      </c>
      <c r="C2975" s="2" t="str">
        <f>PROPER(TRIM(Table1[[#This Row],[Gender]]))</f>
        <v>Female</v>
      </c>
      <c r="D2975" t="s">
        <v>43</v>
      </c>
      <c r="E2975">
        <v>22</v>
      </c>
      <c r="F2975" t="s">
        <v>49</v>
      </c>
      <c r="G2975" s="1">
        <v>37628</v>
      </c>
      <c r="H2975" t="s">
        <v>6654</v>
      </c>
      <c r="I2975" s="2" t="str">
        <f t="shared" si="46"/>
        <v>+91-8275456580</v>
      </c>
      <c r="J2975">
        <f>91-8275456671</f>
        <v>-8275456580</v>
      </c>
      <c r="K2975" t="s">
        <v>60</v>
      </c>
      <c r="L2975" t="s">
        <v>34</v>
      </c>
      <c r="M2975">
        <v>772132</v>
      </c>
      <c r="N2975" s="1">
        <v>45186</v>
      </c>
      <c r="O2975" t="s">
        <v>21</v>
      </c>
      <c r="P2975">
        <v>4</v>
      </c>
      <c r="Q2975">
        <v>27043.09</v>
      </c>
    </row>
    <row r="2976" spans="1:17" x14ac:dyDescent="0.3">
      <c r="A2976" t="s">
        <v>6655</v>
      </c>
      <c r="B2976" t="s">
        <v>998</v>
      </c>
      <c r="C2976" s="2" t="str">
        <f>PROPER(TRIM(Table1[[#This Row],[Gender]]))</f>
        <v>Female</v>
      </c>
      <c r="D2976" t="s">
        <v>43</v>
      </c>
      <c r="E2976">
        <v>73</v>
      </c>
      <c r="F2976" t="s">
        <v>24</v>
      </c>
      <c r="G2976" s="1">
        <v>19013</v>
      </c>
      <c r="H2976" t="s">
        <v>6656</v>
      </c>
      <c r="I2976" s="2" t="str">
        <f t="shared" si="46"/>
        <v>+91-7336905173</v>
      </c>
      <c r="J2976">
        <f>91-7336905264</f>
        <v>-7336905173</v>
      </c>
      <c r="K2976" t="s">
        <v>68</v>
      </c>
      <c r="L2976" t="s">
        <v>52</v>
      </c>
      <c r="M2976">
        <v>753857</v>
      </c>
      <c r="N2976" s="1">
        <v>45237</v>
      </c>
      <c r="O2976" t="s">
        <v>28</v>
      </c>
      <c r="P2976">
        <v>7</v>
      </c>
      <c r="Q2976">
        <v>99269.01</v>
      </c>
    </row>
    <row r="2977" spans="1:17" x14ac:dyDescent="0.3">
      <c r="A2977" t="s">
        <v>6657</v>
      </c>
      <c r="B2977" t="s">
        <v>985</v>
      </c>
      <c r="C2977" s="2" t="str">
        <f>PROPER(TRIM(Table1[[#This Row],[Gender]]))</f>
        <v>Male</v>
      </c>
      <c r="D2977" t="s">
        <v>16</v>
      </c>
      <c r="E2977">
        <v>18</v>
      </c>
      <c r="F2977" t="s">
        <v>49</v>
      </c>
      <c r="G2977" s="1">
        <v>39088</v>
      </c>
      <c r="H2977" t="s">
        <v>6658</v>
      </c>
      <c r="I2977" s="2" t="str">
        <f t="shared" si="46"/>
        <v>+91-8759150691</v>
      </c>
      <c r="J2977">
        <f>91-8759150782</f>
        <v>-8759150691</v>
      </c>
      <c r="K2977" t="s">
        <v>60</v>
      </c>
      <c r="L2977" t="s">
        <v>34</v>
      </c>
      <c r="M2977">
        <v>144333</v>
      </c>
      <c r="N2977" s="1">
        <v>45399</v>
      </c>
      <c r="O2977" t="s">
        <v>35</v>
      </c>
      <c r="P2977">
        <v>3</v>
      </c>
      <c r="Q2977">
        <v>16555.759999999998</v>
      </c>
    </row>
    <row r="2978" spans="1:17" x14ac:dyDescent="0.3">
      <c r="A2978" t="s">
        <v>6659</v>
      </c>
      <c r="B2978" t="s">
        <v>5750</v>
      </c>
      <c r="C2978" s="2" t="str">
        <f>PROPER(TRIM(Table1[[#This Row],[Gender]]))</f>
        <v>Male</v>
      </c>
      <c r="D2978" t="s">
        <v>16</v>
      </c>
      <c r="E2978">
        <v>21</v>
      </c>
      <c r="F2978" t="s">
        <v>49</v>
      </c>
      <c r="G2978" s="1">
        <v>37993</v>
      </c>
      <c r="H2978" t="s">
        <v>6660</v>
      </c>
      <c r="I2978" s="2" t="str">
        <f t="shared" si="46"/>
        <v>+91-7934545352</v>
      </c>
      <c r="J2978">
        <f>91-7934545443</f>
        <v>-7934545352</v>
      </c>
      <c r="K2978" t="s">
        <v>154</v>
      </c>
      <c r="L2978" t="s">
        <v>46</v>
      </c>
      <c r="M2978">
        <v>683775</v>
      </c>
      <c r="N2978" s="1">
        <v>45153</v>
      </c>
      <c r="O2978" t="s">
        <v>35</v>
      </c>
      <c r="P2978">
        <v>3</v>
      </c>
      <c r="Q2978">
        <v>8602.84</v>
      </c>
    </row>
    <row r="2979" spans="1:17" x14ac:dyDescent="0.3">
      <c r="A2979" t="s">
        <v>6661</v>
      </c>
      <c r="B2979" t="s">
        <v>2538</v>
      </c>
      <c r="C2979" s="2" t="str">
        <f>PROPER(TRIM(Table1[[#This Row],[Gender]]))</f>
        <v>Female</v>
      </c>
      <c r="D2979" t="s">
        <v>43</v>
      </c>
      <c r="E2979">
        <v>22</v>
      </c>
      <c r="F2979" t="s">
        <v>49</v>
      </c>
      <c r="G2979" s="1">
        <v>37628</v>
      </c>
      <c r="H2979" t="s">
        <v>2539</v>
      </c>
      <c r="I2979" s="2" t="str">
        <f t="shared" si="46"/>
        <v>+91-8541950571</v>
      </c>
      <c r="J2979">
        <f>91-8541950662</f>
        <v>-8541950571</v>
      </c>
      <c r="K2979" t="s">
        <v>138</v>
      </c>
      <c r="L2979" t="s">
        <v>90</v>
      </c>
      <c r="M2979">
        <v>356562</v>
      </c>
      <c r="N2979" s="1">
        <v>45128</v>
      </c>
      <c r="O2979" t="s">
        <v>35</v>
      </c>
      <c r="P2979">
        <v>3</v>
      </c>
      <c r="Q2979">
        <v>4134.87</v>
      </c>
    </row>
    <row r="2980" spans="1:17" x14ac:dyDescent="0.3">
      <c r="A2980" t="s">
        <v>6662</v>
      </c>
      <c r="B2980" t="s">
        <v>4098</v>
      </c>
      <c r="C2980" s="2" t="str">
        <f>PROPER(TRIM(Table1[[#This Row],[Gender]]))</f>
        <v>Male</v>
      </c>
      <c r="D2980" t="s">
        <v>16</v>
      </c>
      <c r="E2980">
        <v>37</v>
      </c>
      <c r="F2980" t="s">
        <v>38</v>
      </c>
      <c r="G2980" s="1">
        <v>32153</v>
      </c>
      <c r="H2980" t="s">
        <v>6663</v>
      </c>
      <c r="I2980" s="2" t="str">
        <f t="shared" si="46"/>
        <v>+91-8439020998</v>
      </c>
      <c r="J2980">
        <f>91-8439021089</f>
        <v>-8439020998</v>
      </c>
      <c r="K2980" t="s">
        <v>19</v>
      </c>
      <c r="L2980" t="s">
        <v>20</v>
      </c>
      <c r="M2980">
        <v>732698</v>
      </c>
      <c r="N2980" s="1">
        <v>45167</v>
      </c>
      <c r="O2980" t="s">
        <v>35</v>
      </c>
      <c r="P2980">
        <v>2</v>
      </c>
      <c r="Q2980">
        <v>2463.9699999999998</v>
      </c>
    </row>
    <row r="2981" spans="1:17" x14ac:dyDescent="0.3">
      <c r="A2981" t="s">
        <v>6664</v>
      </c>
      <c r="B2981" t="s">
        <v>6481</v>
      </c>
      <c r="C2981" s="2" t="str">
        <f>PROPER(TRIM(Table1[[#This Row],[Gender]]))</f>
        <v>Male</v>
      </c>
      <c r="D2981" t="s">
        <v>16</v>
      </c>
      <c r="E2981">
        <v>22</v>
      </c>
      <c r="F2981" t="s">
        <v>49</v>
      </c>
      <c r="G2981" s="1">
        <v>37628</v>
      </c>
      <c r="H2981" t="s">
        <v>6665</v>
      </c>
      <c r="I2981" s="2" t="str">
        <f t="shared" si="46"/>
        <v>+91-8479297680</v>
      </c>
      <c r="J2981">
        <f>91-8479297771</f>
        <v>-8479297680</v>
      </c>
      <c r="K2981" t="s">
        <v>580</v>
      </c>
      <c r="L2981" t="s">
        <v>85</v>
      </c>
      <c r="M2981">
        <v>147162</v>
      </c>
      <c r="N2981" s="1">
        <v>45416</v>
      </c>
      <c r="O2981" t="s">
        <v>21</v>
      </c>
      <c r="P2981">
        <v>2</v>
      </c>
      <c r="Q2981">
        <v>40659.660000000003</v>
      </c>
    </row>
    <row r="2982" spans="1:17" x14ac:dyDescent="0.3">
      <c r="A2982" t="s">
        <v>6666</v>
      </c>
      <c r="B2982" t="s">
        <v>3842</v>
      </c>
      <c r="C2982" s="2" t="str">
        <f>PROPER(TRIM(Table1[[#This Row],[Gender]]))</f>
        <v>Female</v>
      </c>
      <c r="D2982" t="s">
        <v>43</v>
      </c>
      <c r="E2982">
        <v>20</v>
      </c>
      <c r="F2982" t="s">
        <v>49</v>
      </c>
      <c r="G2982" s="1">
        <v>38358</v>
      </c>
      <c r="H2982" t="s">
        <v>5036</v>
      </c>
      <c r="I2982" s="2" t="str">
        <f t="shared" si="46"/>
        <v>+91-9079550315</v>
      </c>
      <c r="J2982">
        <f>91-9079550406</f>
        <v>-9079550315</v>
      </c>
      <c r="K2982" t="s">
        <v>51</v>
      </c>
      <c r="L2982" t="s">
        <v>52</v>
      </c>
      <c r="M2982">
        <v>593393</v>
      </c>
      <c r="N2982" s="1">
        <v>45335</v>
      </c>
      <c r="O2982" t="s">
        <v>28</v>
      </c>
      <c r="P2982">
        <v>8</v>
      </c>
      <c r="Q2982">
        <v>198393.91</v>
      </c>
    </row>
    <row r="2983" spans="1:17" x14ac:dyDescent="0.3">
      <c r="A2983" t="s">
        <v>6667</v>
      </c>
      <c r="B2983" t="s">
        <v>1359</v>
      </c>
      <c r="C2983" s="2" t="str">
        <f>PROPER(TRIM(Table1[[#This Row],[Gender]]))</f>
        <v>Female</v>
      </c>
      <c r="D2983" t="s">
        <v>43</v>
      </c>
      <c r="E2983">
        <v>30</v>
      </c>
      <c r="F2983" t="s">
        <v>31</v>
      </c>
      <c r="G2983" s="1">
        <v>34708</v>
      </c>
      <c r="H2983" t="s">
        <v>6668</v>
      </c>
      <c r="I2983" s="2" t="str">
        <f t="shared" si="46"/>
        <v>+91-9163692822</v>
      </c>
      <c r="J2983">
        <f>91-9163692913</f>
        <v>-9163692822</v>
      </c>
      <c r="K2983" t="s">
        <v>239</v>
      </c>
      <c r="L2983" t="s">
        <v>191</v>
      </c>
      <c r="M2983">
        <v>724285</v>
      </c>
      <c r="N2983" s="1">
        <v>45114</v>
      </c>
      <c r="O2983" t="s">
        <v>28</v>
      </c>
      <c r="P2983">
        <v>5</v>
      </c>
      <c r="Q2983">
        <v>160859.35999999999</v>
      </c>
    </row>
    <row r="2984" spans="1:17" x14ac:dyDescent="0.3">
      <c r="A2984" t="s">
        <v>6669</v>
      </c>
      <c r="B2984" t="s">
        <v>4353</v>
      </c>
      <c r="C2984" s="2" t="str">
        <f>PROPER(TRIM(Table1[[#This Row],[Gender]]))</f>
        <v>Male</v>
      </c>
      <c r="D2984" t="s">
        <v>16</v>
      </c>
      <c r="E2984">
        <v>25</v>
      </c>
      <c r="F2984" t="s">
        <v>49</v>
      </c>
      <c r="G2984" s="1">
        <v>36533</v>
      </c>
      <c r="H2984" t="s">
        <v>6670</v>
      </c>
      <c r="I2984" s="2" t="str">
        <f t="shared" si="46"/>
        <v>+91-9253084434</v>
      </c>
      <c r="J2984">
        <f>91-9253084525</f>
        <v>-9253084434</v>
      </c>
      <c r="K2984" t="s">
        <v>84</v>
      </c>
      <c r="L2984" t="s">
        <v>85</v>
      </c>
      <c r="M2984">
        <v>534138</v>
      </c>
      <c r="N2984" s="1">
        <v>45078</v>
      </c>
      <c r="O2984" t="s">
        <v>28</v>
      </c>
      <c r="P2984">
        <v>4</v>
      </c>
      <c r="Q2984">
        <v>243119.49</v>
      </c>
    </row>
    <row r="2985" spans="1:17" x14ac:dyDescent="0.3">
      <c r="A2985" t="s">
        <v>6671</v>
      </c>
      <c r="B2985" t="s">
        <v>3448</v>
      </c>
      <c r="C2985" s="2" t="str">
        <f>PROPER(TRIM(Table1[[#This Row],[Gender]]))</f>
        <v>Female</v>
      </c>
      <c r="D2985" t="s">
        <v>43</v>
      </c>
      <c r="E2985">
        <v>55</v>
      </c>
      <c r="F2985" t="s">
        <v>17</v>
      </c>
      <c r="G2985" s="1">
        <v>25583</v>
      </c>
      <c r="H2985" t="s">
        <v>6672</v>
      </c>
      <c r="I2985" s="2" t="str">
        <f t="shared" si="46"/>
        <v>+91-8166527491</v>
      </c>
      <c r="J2985">
        <f>91-8166527582</f>
        <v>-8166527491</v>
      </c>
      <c r="K2985" t="s">
        <v>84</v>
      </c>
      <c r="L2985" t="s">
        <v>85</v>
      </c>
      <c r="M2985">
        <v>212184</v>
      </c>
      <c r="N2985" s="1">
        <v>45217</v>
      </c>
      <c r="O2985" t="s">
        <v>35</v>
      </c>
      <c r="P2985">
        <v>0</v>
      </c>
      <c r="Q2985">
        <v>0</v>
      </c>
    </row>
    <row r="2986" spans="1:17" x14ac:dyDescent="0.3">
      <c r="A2986" t="s">
        <v>6673</v>
      </c>
      <c r="B2986" t="s">
        <v>5792</v>
      </c>
      <c r="C2986" s="2" t="str">
        <f>PROPER(TRIM(Table1[[#This Row],[Gender]]))</f>
        <v>Male</v>
      </c>
      <c r="D2986" t="s">
        <v>16</v>
      </c>
      <c r="E2986">
        <v>35</v>
      </c>
      <c r="F2986" t="s">
        <v>31</v>
      </c>
      <c r="G2986" s="1">
        <v>32883</v>
      </c>
      <c r="H2986" t="s">
        <v>6674</v>
      </c>
      <c r="I2986" s="2" t="str">
        <f t="shared" si="46"/>
        <v>+91-7373536211</v>
      </c>
      <c r="J2986">
        <f>91-7373536302</f>
        <v>-7373536211</v>
      </c>
      <c r="K2986" t="s">
        <v>154</v>
      </c>
      <c r="L2986" t="s">
        <v>46</v>
      </c>
      <c r="M2986">
        <v>587602</v>
      </c>
      <c r="N2986" s="1">
        <v>45081</v>
      </c>
      <c r="O2986" t="s">
        <v>28</v>
      </c>
      <c r="P2986">
        <v>2</v>
      </c>
      <c r="Q2986">
        <v>75354.539999999994</v>
      </c>
    </row>
    <row r="2987" spans="1:17" x14ac:dyDescent="0.3">
      <c r="A2987" t="s">
        <v>6675</v>
      </c>
      <c r="B2987" t="s">
        <v>4291</v>
      </c>
      <c r="C2987" s="2" t="str">
        <f>PROPER(TRIM(Table1[[#This Row],[Gender]]))</f>
        <v>Female</v>
      </c>
      <c r="D2987" t="s">
        <v>43</v>
      </c>
      <c r="E2987">
        <v>49</v>
      </c>
      <c r="F2987" t="s">
        <v>17</v>
      </c>
      <c r="G2987" s="1">
        <v>27773</v>
      </c>
      <c r="H2987" t="s">
        <v>6676</v>
      </c>
      <c r="I2987" s="2" t="str">
        <f t="shared" si="46"/>
        <v>+91-8211365671</v>
      </c>
      <c r="J2987">
        <f>91-8211365762</f>
        <v>-8211365671</v>
      </c>
      <c r="K2987" t="s">
        <v>415</v>
      </c>
      <c r="L2987" t="s">
        <v>90</v>
      </c>
      <c r="M2987">
        <v>113286</v>
      </c>
      <c r="N2987" s="1">
        <v>45231</v>
      </c>
      <c r="O2987" t="s">
        <v>21</v>
      </c>
      <c r="P2987">
        <v>3</v>
      </c>
      <c r="Q2987">
        <v>21488.29</v>
      </c>
    </row>
    <row r="2988" spans="1:17" x14ac:dyDescent="0.3">
      <c r="A2988" t="s">
        <v>6677</v>
      </c>
      <c r="B2988" t="s">
        <v>4638</v>
      </c>
      <c r="C2988" s="2" t="str">
        <f>PROPER(TRIM(Table1[[#This Row],[Gender]]))</f>
        <v>Male</v>
      </c>
      <c r="D2988" t="s">
        <v>16</v>
      </c>
      <c r="E2988">
        <v>55</v>
      </c>
      <c r="F2988" t="s">
        <v>17</v>
      </c>
      <c r="G2988" s="1">
        <v>25583</v>
      </c>
      <c r="H2988" t="s">
        <v>6678</v>
      </c>
      <c r="I2988" s="2" t="str">
        <f t="shared" si="46"/>
        <v>+91-8491046532</v>
      </c>
      <c r="J2988">
        <f>91-8491046623</f>
        <v>-8491046532</v>
      </c>
      <c r="K2988" t="s">
        <v>165</v>
      </c>
      <c r="L2988" t="s">
        <v>52</v>
      </c>
      <c r="M2988">
        <v>250925</v>
      </c>
      <c r="N2988" s="1">
        <v>45165</v>
      </c>
      <c r="O2988" t="s">
        <v>21</v>
      </c>
      <c r="P2988">
        <v>3</v>
      </c>
      <c r="Q2988">
        <v>41283.03</v>
      </c>
    </row>
    <row r="2989" spans="1:17" x14ac:dyDescent="0.3">
      <c r="A2989" t="s">
        <v>6679</v>
      </c>
      <c r="B2989" t="s">
        <v>6680</v>
      </c>
      <c r="C2989" s="2" t="str">
        <f>PROPER(TRIM(Table1[[#This Row],[Gender]]))</f>
        <v>Female</v>
      </c>
      <c r="D2989" t="s">
        <v>43</v>
      </c>
      <c r="E2989">
        <v>31</v>
      </c>
      <c r="F2989" t="s">
        <v>31</v>
      </c>
      <c r="G2989" s="1">
        <v>34343</v>
      </c>
      <c r="H2989" t="s">
        <v>6681</v>
      </c>
      <c r="I2989" s="2" t="str">
        <f t="shared" si="46"/>
        <v>+91-8962898394</v>
      </c>
      <c r="J2989">
        <f>91-8962898485</f>
        <v>-8962898394</v>
      </c>
      <c r="K2989" t="s">
        <v>273</v>
      </c>
      <c r="L2989" t="s">
        <v>46</v>
      </c>
      <c r="M2989">
        <v>726335</v>
      </c>
      <c r="N2989" s="1">
        <v>45414</v>
      </c>
      <c r="O2989" t="s">
        <v>28</v>
      </c>
      <c r="P2989">
        <v>6</v>
      </c>
      <c r="Q2989">
        <v>291235.96999999997</v>
      </c>
    </row>
    <row r="2990" spans="1:17" x14ac:dyDescent="0.3">
      <c r="A2990" t="s">
        <v>6682</v>
      </c>
      <c r="B2990" t="s">
        <v>145</v>
      </c>
      <c r="C2990" s="2" t="str">
        <f>PROPER(TRIM(Table1[[#This Row],[Gender]]))</f>
        <v>Female</v>
      </c>
      <c r="D2990" t="s">
        <v>43</v>
      </c>
      <c r="E2990">
        <v>24</v>
      </c>
      <c r="F2990" t="s">
        <v>49</v>
      </c>
      <c r="G2990" s="1">
        <v>36898</v>
      </c>
      <c r="H2990" t="s">
        <v>6683</v>
      </c>
      <c r="I2990" s="2" t="str">
        <f t="shared" si="46"/>
        <v>+91-8229853829</v>
      </c>
      <c r="J2990">
        <f>91-8229853920</f>
        <v>-8229853829</v>
      </c>
      <c r="K2990" t="s">
        <v>239</v>
      </c>
      <c r="L2990" t="s">
        <v>191</v>
      </c>
      <c r="M2990">
        <v>338366</v>
      </c>
      <c r="N2990" s="1">
        <v>45417</v>
      </c>
      <c r="O2990" t="s">
        <v>28</v>
      </c>
      <c r="P2990">
        <v>6</v>
      </c>
      <c r="Q2990">
        <v>145771.25</v>
      </c>
    </row>
    <row r="2991" spans="1:17" x14ac:dyDescent="0.3">
      <c r="A2991" t="s">
        <v>6684</v>
      </c>
      <c r="B2991" t="s">
        <v>4390</v>
      </c>
      <c r="C2991" s="2" t="str">
        <f>PROPER(TRIM(Table1[[#This Row],[Gender]]))</f>
        <v>Female</v>
      </c>
      <c r="D2991" t="s">
        <v>43</v>
      </c>
      <c r="E2991">
        <v>27</v>
      </c>
      <c r="F2991" t="s">
        <v>31</v>
      </c>
      <c r="G2991" s="1">
        <v>35803</v>
      </c>
      <c r="H2991" t="s">
        <v>4611</v>
      </c>
      <c r="I2991" s="2" t="str">
        <f t="shared" si="46"/>
        <v>+91-9057751888</v>
      </c>
      <c r="J2991">
        <f>91-9057751979</f>
        <v>-9057751888</v>
      </c>
      <c r="K2991" t="s">
        <v>94</v>
      </c>
      <c r="L2991" t="s">
        <v>20</v>
      </c>
      <c r="M2991">
        <v>160446</v>
      </c>
      <c r="N2991" s="1">
        <v>45282</v>
      </c>
      <c r="O2991" t="s">
        <v>28</v>
      </c>
      <c r="P2991">
        <v>5</v>
      </c>
      <c r="Q2991">
        <v>59005.64</v>
      </c>
    </row>
    <row r="2992" spans="1:17" x14ac:dyDescent="0.3">
      <c r="A2992" t="s">
        <v>6685</v>
      </c>
      <c r="B2992" t="s">
        <v>2327</v>
      </c>
      <c r="C2992" s="2" t="str">
        <f>PROPER(TRIM(Table1[[#This Row],[Gender]]))</f>
        <v>Male</v>
      </c>
      <c r="D2992" t="s">
        <v>16</v>
      </c>
      <c r="E2992">
        <v>55</v>
      </c>
      <c r="F2992" t="s">
        <v>17</v>
      </c>
      <c r="G2992" s="1">
        <v>25583</v>
      </c>
      <c r="H2992" t="s">
        <v>6686</v>
      </c>
      <c r="I2992" s="2" t="str">
        <f t="shared" si="46"/>
        <v>+91-8039020488</v>
      </c>
      <c r="J2992">
        <f>91-8039020579</f>
        <v>-8039020488</v>
      </c>
      <c r="K2992" t="s">
        <v>178</v>
      </c>
      <c r="L2992" t="s">
        <v>27</v>
      </c>
      <c r="M2992">
        <v>953819</v>
      </c>
      <c r="N2992" s="1">
        <v>45346</v>
      </c>
      <c r="O2992" t="s">
        <v>35</v>
      </c>
      <c r="P2992">
        <v>4</v>
      </c>
      <c r="Q2992">
        <v>13617.62</v>
      </c>
    </row>
    <row r="2993" spans="1:17" x14ac:dyDescent="0.3">
      <c r="A2993" t="s">
        <v>6687</v>
      </c>
      <c r="B2993" t="s">
        <v>327</v>
      </c>
      <c r="C2993" s="2" t="str">
        <f>PROPER(TRIM(Table1[[#This Row],[Gender]]))</f>
        <v>Male</v>
      </c>
      <c r="D2993" t="s">
        <v>16</v>
      </c>
      <c r="E2993">
        <v>52</v>
      </c>
      <c r="F2993" t="s">
        <v>17</v>
      </c>
      <c r="G2993" s="1">
        <v>26678</v>
      </c>
      <c r="H2993" t="s">
        <v>6688</v>
      </c>
      <c r="I2993" s="2" t="str">
        <f t="shared" si="46"/>
        <v>+91-8477331451</v>
      </c>
      <c r="J2993">
        <f>91-8477331542</f>
        <v>-8477331451</v>
      </c>
      <c r="K2993" t="s">
        <v>80</v>
      </c>
      <c r="L2993" t="s">
        <v>20</v>
      </c>
      <c r="M2993">
        <v>400646</v>
      </c>
      <c r="N2993" s="1">
        <v>45185</v>
      </c>
      <c r="O2993" t="s">
        <v>35</v>
      </c>
      <c r="P2993">
        <v>2</v>
      </c>
      <c r="Q2993">
        <v>630.22</v>
      </c>
    </row>
    <row r="2994" spans="1:17" x14ac:dyDescent="0.3">
      <c r="A2994" t="s">
        <v>6689</v>
      </c>
      <c r="B2994" t="s">
        <v>6020</v>
      </c>
      <c r="C2994" s="2" t="str">
        <f>PROPER(TRIM(Table1[[#This Row],[Gender]]))</f>
        <v>Male</v>
      </c>
      <c r="D2994" t="s">
        <v>16</v>
      </c>
      <c r="E2994">
        <v>25</v>
      </c>
      <c r="F2994" t="s">
        <v>49</v>
      </c>
      <c r="G2994" s="1">
        <v>36533</v>
      </c>
      <c r="H2994" t="s">
        <v>6690</v>
      </c>
      <c r="I2994" s="2" t="str">
        <f t="shared" si="46"/>
        <v>+91-8479538766</v>
      </c>
      <c r="J2994">
        <f>91-8479538857</f>
        <v>-8479538766</v>
      </c>
      <c r="K2994" t="s">
        <v>154</v>
      </c>
      <c r="L2994" t="s">
        <v>46</v>
      </c>
      <c r="M2994">
        <v>845060</v>
      </c>
      <c r="N2994" s="1">
        <v>45436</v>
      </c>
      <c r="O2994" t="s">
        <v>28</v>
      </c>
      <c r="P2994">
        <v>6</v>
      </c>
      <c r="Q2994">
        <v>98227.58</v>
      </c>
    </row>
    <row r="2995" spans="1:17" x14ac:dyDescent="0.3">
      <c r="A2995" t="s">
        <v>6691</v>
      </c>
      <c r="B2995" t="s">
        <v>2372</v>
      </c>
      <c r="C2995" s="2" t="str">
        <f>PROPER(TRIM(Table1[[#This Row],[Gender]]))</f>
        <v>Female</v>
      </c>
      <c r="D2995" t="s">
        <v>43</v>
      </c>
      <c r="E2995">
        <v>33</v>
      </c>
      <c r="F2995" t="s">
        <v>31</v>
      </c>
      <c r="G2995" s="1">
        <v>33613</v>
      </c>
      <c r="H2995" t="s">
        <v>6692</v>
      </c>
      <c r="I2995" s="2" t="str">
        <f t="shared" si="46"/>
        <v>+91-9407923454</v>
      </c>
      <c r="J2995">
        <f>91-9407923545</f>
        <v>-9407923454</v>
      </c>
      <c r="K2995" t="s">
        <v>369</v>
      </c>
      <c r="L2995" t="s">
        <v>191</v>
      </c>
      <c r="M2995">
        <v>551797</v>
      </c>
      <c r="N2995" s="1">
        <v>45431</v>
      </c>
      <c r="O2995" t="s">
        <v>28</v>
      </c>
      <c r="P2995">
        <v>3</v>
      </c>
      <c r="Q2995">
        <v>105809.13</v>
      </c>
    </row>
    <row r="2996" spans="1:17" x14ac:dyDescent="0.3">
      <c r="A2996" t="s">
        <v>6693</v>
      </c>
      <c r="B2996" t="s">
        <v>1485</v>
      </c>
      <c r="C2996" s="2" t="str">
        <f>PROPER(TRIM(Table1[[#This Row],[Gender]]))</f>
        <v>Female</v>
      </c>
      <c r="D2996" t="s">
        <v>43</v>
      </c>
      <c r="E2996">
        <v>41</v>
      </c>
      <c r="F2996" t="s">
        <v>38</v>
      </c>
      <c r="G2996" s="1">
        <v>30693</v>
      </c>
      <c r="H2996" t="s">
        <v>6694</v>
      </c>
      <c r="I2996" s="2" t="str">
        <f t="shared" si="46"/>
        <v>+91-8962844527</v>
      </c>
      <c r="J2996">
        <f>91-8962844618</f>
        <v>-8962844527</v>
      </c>
      <c r="K2996" t="s">
        <v>580</v>
      </c>
      <c r="L2996" t="s">
        <v>85</v>
      </c>
      <c r="M2996">
        <v>469407</v>
      </c>
      <c r="N2996" s="1">
        <v>45325</v>
      </c>
      <c r="O2996" t="s">
        <v>28</v>
      </c>
      <c r="P2996">
        <v>2</v>
      </c>
      <c r="Q2996">
        <v>112642.93</v>
      </c>
    </row>
    <row r="2997" spans="1:17" x14ac:dyDescent="0.3">
      <c r="A2997" t="s">
        <v>6695</v>
      </c>
      <c r="B2997" t="s">
        <v>2556</v>
      </c>
      <c r="C2997" s="2" t="str">
        <f>PROPER(TRIM(Table1[[#This Row],[Gender]]))</f>
        <v>Male</v>
      </c>
      <c r="D2997" t="s">
        <v>16</v>
      </c>
      <c r="E2997">
        <v>31</v>
      </c>
      <c r="F2997" t="s">
        <v>31</v>
      </c>
      <c r="G2997" s="1">
        <v>34343</v>
      </c>
      <c r="H2997" t="s">
        <v>6696</v>
      </c>
      <c r="I2997" s="2" t="str">
        <f t="shared" si="46"/>
        <v>+91-9271584400</v>
      </c>
      <c r="J2997">
        <f>91-9271584491</f>
        <v>-9271584400</v>
      </c>
      <c r="K2997" t="s">
        <v>40</v>
      </c>
      <c r="L2997" t="s">
        <v>27</v>
      </c>
      <c r="M2997">
        <v>536170</v>
      </c>
      <c r="N2997" s="1">
        <v>45330</v>
      </c>
      <c r="O2997" t="s">
        <v>28</v>
      </c>
      <c r="P2997">
        <v>7</v>
      </c>
      <c r="Q2997">
        <v>366921.62</v>
      </c>
    </row>
    <row r="2998" spans="1:17" x14ac:dyDescent="0.3">
      <c r="A2998" t="s">
        <v>6697</v>
      </c>
      <c r="B2998" t="s">
        <v>4848</v>
      </c>
      <c r="C2998" s="2" t="str">
        <f>PROPER(TRIM(Table1[[#This Row],[Gender]]))</f>
        <v>Female</v>
      </c>
      <c r="D2998" t="s">
        <v>43</v>
      </c>
      <c r="E2998">
        <v>45</v>
      </c>
      <c r="F2998" t="s">
        <v>38</v>
      </c>
      <c r="G2998" s="1">
        <v>29233</v>
      </c>
      <c r="H2998" t="s">
        <v>6698</v>
      </c>
      <c r="I2998" s="2" t="str">
        <f t="shared" si="46"/>
        <v>+91-9768213138</v>
      </c>
      <c r="J2998">
        <f>91-9768213229</f>
        <v>-9768213138</v>
      </c>
      <c r="K2998" t="s">
        <v>80</v>
      </c>
      <c r="L2998" t="s">
        <v>20</v>
      </c>
      <c r="M2998">
        <v>808010</v>
      </c>
      <c r="N2998" s="1">
        <v>45164</v>
      </c>
      <c r="O2998" t="s">
        <v>35</v>
      </c>
      <c r="P2998">
        <v>4</v>
      </c>
      <c r="Q2998">
        <v>5020.6899999999996</v>
      </c>
    </row>
    <row r="2999" spans="1:17" x14ac:dyDescent="0.3">
      <c r="A2999" t="s">
        <v>6699</v>
      </c>
      <c r="B2999" t="s">
        <v>5792</v>
      </c>
      <c r="C2999" s="2" t="str">
        <f>PROPER(TRIM(Table1[[#This Row],[Gender]]))</f>
        <v>Male</v>
      </c>
      <c r="D2999" t="s">
        <v>16</v>
      </c>
      <c r="E2999">
        <v>22</v>
      </c>
      <c r="F2999" t="s">
        <v>49</v>
      </c>
      <c r="G2999" s="1">
        <v>37628</v>
      </c>
      <c r="H2999" t="s">
        <v>6700</v>
      </c>
      <c r="I2999" s="2" t="str">
        <f t="shared" si="46"/>
        <v>+91-9755783547</v>
      </c>
      <c r="J2999">
        <f>91-9755783638</f>
        <v>-9755783547</v>
      </c>
      <c r="K2999" t="s">
        <v>190</v>
      </c>
      <c r="L2999" t="s">
        <v>191</v>
      </c>
      <c r="M2999">
        <v>938937</v>
      </c>
      <c r="N2999" s="1">
        <v>45257</v>
      </c>
      <c r="O2999" t="s">
        <v>28</v>
      </c>
      <c r="P2999">
        <v>6</v>
      </c>
      <c r="Q2999">
        <v>111463.84</v>
      </c>
    </row>
    <row r="3000" spans="1:17" x14ac:dyDescent="0.3">
      <c r="A3000" t="s">
        <v>6701</v>
      </c>
      <c r="B3000" t="s">
        <v>2600</v>
      </c>
      <c r="C3000" s="2" t="str">
        <f>PROPER(TRIM(Table1[[#This Row],[Gender]]))</f>
        <v>Male</v>
      </c>
      <c r="D3000" t="s">
        <v>16</v>
      </c>
      <c r="E3000">
        <v>35</v>
      </c>
      <c r="F3000" t="s">
        <v>31</v>
      </c>
      <c r="G3000" s="1">
        <v>32883</v>
      </c>
      <c r="H3000" t="s">
        <v>2601</v>
      </c>
      <c r="I3000" s="2" t="str">
        <f t="shared" si="46"/>
        <v>+91-8371722177</v>
      </c>
      <c r="J3000">
        <f>91-8371722268</f>
        <v>-8371722177</v>
      </c>
      <c r="K3000" t="s">
        <v>125</v>
      </c>
      <c r="L3000" t="s">
        <v>52</v>
      </c>
      <c r="M3000">
        <v>993177</v>
      </c>
      <c r="N3000" s="1">
        <v>45295</v>
      </c>
      <c r="O3000" t="s">
        <v>35</v>
      </c>
      <c r="P3000">
        <v>0</v>
      </c>
      <c r="Q3000">
        <v>0</v>
      </c>
    </row>
    <row r="3001" spans="1:17" x14ac:dyDescent="0.3">
      <c r="A3001" t="s">
        <v>6702</v>
      </c>
      <c r="B3001" t="s">
        <v>1184</v>
      </c>
      <c r="C3001" s="2" t="str">
        <f>PROPER(TRIM(Table1[[#This Row],[Gender]]))</f>
        <v>Male</v>
      </c>
      <c r="D3001" t="s">
        <v>16</v>
      </c>
      <c r="E3001">
        <v>31</v>
      </c>
      <c r="F3001" t="s">
        <v>31</v>
      </c>
      <c r="G3001" s="1">
        <v>34343</v>
      </c>
      <c r="H3001" t="s">
        <v>6703</v>
      </c>
      <c r="I3001" s="2" t="str">
        <f t="shared" si="46"/>
        <v>+91-9141689066</v>
      </c>
      <c r="J3001">
        <f>91-9141689157</f>
        <v>-9141689066</v>
      </c>
      <c r="K3001" t="s">
        <v>147</v>
      </c>
      <c r="L3001" t="s">
        <v>143</v>
      </c>
      <c r="M3001">
        <v>287608</v>
      </c>
      <c r="N3001" s="1">
        <v>45425</v>
      </c>
      <c r="O3001" t="s">
        <v>28</v>
      </c>
      <c r="P3001">
        <v>7</v>
      </c>
      <c r="Q3001">
        <v>270477.49</v>
      </c>
    </row>
    <row r="3002" spans="1:17" x14ac:dyDescent="0.3">
      <c r="A3002" t="s">
        <v>6704</v>
      </c>
      <c r="B3002" t="s">
        <v>915</v>
      </c>
      <c r="C3002" s="2" t="str">
        <f>PROPER(TRIM(Table1[[#This Row],[Gender]]))</f>
        <v>Male</v>
      </c>
      <c r="D3002" t="s">
        <v>16</v>
      </c>
      <c r="E3002">
        <v>21</v>
      </c>
      <c r="F3002" t="s">
        <v>49</v>
      </c>
      <c r="G3002" s="1">
        <v>37993</v>
      </c>
      <c r="H3002" t="s">
        <v>3429</v>
      </c>
      <c r="I3002" s="2" t="str">
        <f t="shared" si="46"/>
        <v>+91-8657165867</v>
      </c>
      <c r="J3002">
        <f>91-8657165958</f>
        <v>-8657165867</v>
      </c>
      <c r="K3002" t="s">
        <v>161</v>
      </c>
      <c r="L3002" t="s">
        <v>102</v>
      </c>
      <c r="M3002">
        <v>477345</v>
      </c>
      <c r="N3002" s="1">
        <v>45302</v>
      </c>
      <c r="O3002" t="s">
        <v>28</v>
      </c>
      <c r="P3002">
        <v>4</v>
      </c>
      <c r="Q3002">
        <v>146626.04</v>
      </c>
    </row>
    <row r="3003" spans="1:17" x14ac:dyDescent="0.3">
      <c r="A3003" t="s">
        <v>6705</v>
      </c>
      <c r="B3003" t="s">
        <v>352</v>
      </c>
      <c r="C3003" s="2" t="str">
        <f>PROPER(TRIM(Table1[[#This Row],[Gender]]))</f>
        <v>Male</v>
      </c>
      <c r="D3003" t="s">
        <v>16</v>
      </c>
      <c r="E3003">
        <v>49</v>
      </c>
      <c r="F3003" t="s">
        <v>17</v>
      </c>
      <c r="G3003" s="1">
        <v>27773</v>
      </c>
      <c r="H3003" t="s">
        <v>2231</v>
      </c>
      <c r="I3003" s="2" t="str">
        <f t="shared" si="46"/>
        <v>+91-9058461738</v>
      </c>
      <c r="J3003">
        <f>91-9058461829</f>
        <v>-9058461738</v>
      </c>
      <c r="K3003" t="s">
        <v>239</v>
      </c>
      <c r="L3003" t="s">
        <v>191</v>
      </c>
      <c r="M3003">
        <v>652714</v>
      </c>
      <c r="N3003" s="1">
        <v>45163</v>
      </c>
      <c r="O3003" t="s">
        <v>21</v>
      </c>
      <c r="P3003">
        <v>9</v>
      </c>
      <c r="Q3003">
        <v>32566.77</v>
      </c>
    </row>
    <row r="3004" spans="1:17" x14ac:dyDescent="0.3">
      <c r="A3004" t="s">
        <v>6706</v>
      </c>
      <c r="B3004" t="s">
        <v>1311</v>
      </c>
      <c r="C3004" s="2" t="str">
        <f>PROPER(TRIM(Table1[[#This Row],[Gender]]))</f>
        <v>Female</v>
      </c>
      <c r="D3004" t="s">
        <v>43</v>
      </c>
      <c r="E3004">
        <v>35</v>
      </c>
      <c r="F3004" t="s">
        <v>31</v>
      </c>
      <c r="G3004" s="1">
        <v>32883</v>
      </c>
      <c r="H3004" t="s">
        <v>6707</v>
      </c>
      <c r="I3004" s="2" t="str">
        <f t="shared" si="46"/>
        <v>+91-7335067239</v>
      </c>
      <c r="J3004">
        <f>91-7335067330</f>
        <v>-7335067239</v>
      </c>
      <c r="K3004" t="s">
        <v>60</v>
      </c>
      <c r="L3004" t="s">
        <v>34</v>
      </c>
      <c r="M3004">
        <v>577054</v>
      </c>
      <c r="N3004" s="1">
        <v>45207</v>
      </c>
      <c r="O3004" t="s">
        <v>28</v>
      </c>
      <c r="P3004">
        <v>4</v>
      </c>
      <c r="Q3004">
        <v>421918.68</v>
      </c>
    </row>
    <row r="3005" spans="1:17" x14ac:dyDescent="0.3">
      <c r="A3005" t="s">
        <v>6708</v>
      </c>
      <c r="B3005" t="s">
        <v>5792</v>
      </c>
      <c r="C3005" s="2" t="str">
        <f>PROPER(TRIM(Table1[[#This Row],[Gender]]))</f>
        <v>Male</v>
      </c>
      <c r="D3005" t="s">
        <v>16</v>
      </c>
      <c r="E3005">
        <v>18</v>
      </c>
      <c r="F3005" t="s">
        <v>49</v>
      </c>
      <c r="G3005" s="1">
        <v>39088</v>
      </c>
      <c r="H3005" t="s">
        <v>6709</v>
      </c>
      <c r="I3005" s="2" t="str">
        <f t="shared" si="46"/>
        <v>+91-8659539732</v>
      </c>
      <c r="J3005">
        <f>91-8659539823</f>
        <v>-8659539732</v>
      </c>
      <c r="K3005" t="s">
        <v>161</v>
      </c>
      <c r="L3005" t="s">
        <v>102</v>
      </c>
      <c r="M3005">
        <v>389301</v>
      </c>
      <c r="N3005" s="1">
        <v>45434</v>
      </c>
      <c r="O3005" t="s">
        <v>35</v>
      </c>
      <c r="P3005">
        <v>5</v>
      </c>
      <c r="Q3005">
        <v>17647.48</v>
      </c>
    </row>
    <row r="3006" spans="1:17" x14ac:dyDescent="0.3">
      <c r="A3006" t="s">
        <v>6710</v>
      </c>
      <c r="B3006" t="s">
        <v>2948</v>
      </c>
      <c r="C3006" s="2" t="str">
        <f>PROPER(TRIM(Table1[[#This Row],[Gender]]))</f>
        <v>Male</v>
      </c>
      <c r="D3006" t="s">
        <v>16</v>
      </c>
      <c r="E3006">
        <v>35</v>
      </c>
      <c r="F3006" t="s">
        <v>31</v>
      </c>
      <c r="G3006" s="1">
        <v>32883</v>
      </c>
      <c r="H3006" t="s">
        <v>6711</v>
      </c>
      <c r="I3006" s="2" t="str">
        <f t="shared" si="46"/>
        <v>+91-7968232661</v>
      </c>
      <c r="J3006">
        <f>91-7968232752</f>
        <v>-7968232661</v>
      </c>
      <c r="K3006" t="s">
        <v>109</v>
      </c>
      <c r="L3006" t="s">
        <v>46</v>
      </c>
      <c r="M3006">
        <v>306770</v>
      </c>
      <c r="N3006" s="1">
        <v>45392</v>
      </c>
      <c r="O3006" t="s">
        <v>28</v>
      </c>
      <c r="P3006">
        <v>2</v>
      </c>
      <c r="Q3006">
        <v>82121.759999999995</v>
      </c>
    </row>
    <row r="3007" spans="1:17" x14ac:dyDescent="0.3">
      <c r="A3007" t="s">
        <v>6712</v>
      </c>
      <c r="B3007" t="s">
        <v>531</v>
      </c>
      <c r="C3007" s="2" t="str">
        <f>PROPER(TRIM(Table1[[#This Row],[Gender]]))</f>
        <v>Male</v>
      </c>
      <c r="D3007" t="s">
        <v>16</v>
      </c>
      <c r="E3007">
        <v>47</v>
      </c>
      <c r="F3007" t="s">
        <v>17</v>
      </c>
      <c r="G3007" s="1">
        <v>28503</v>
      </c>
      <c r="H3007" t="s">
        <v>6713</v>
      </c>
      <c r="I3007" s="2" t="str">
        <f t="shared" si="46"/>
        <v>+91-8302826888</v>
      </c>
      <c r="J3007">
        <f>91-8302826979</f>
        <v>-8302826888</v>
      </c>
      <c r="K3007" t="s">
        <v>142</v>
      </c>
      <c r="L3007" t="s">
        <v>143</v>
      </c>
      <c r="M3007">
        <v>773179</v>
      </c>
      <c r="N3007" s="1">
        <v>45153</v>
      </c>
      <c r="O3007" t="s">
        <v>35</v>
      </c>
      <c r="P3007">
        <v>2</v>
      </c>
      <c r="Q3007">
        <v>7471.19</v>
      </c>
    </row>
    <row r="3008" spans="1:17" x14ac:dyDescent="0.3">
      <c r="A3008" t="s">
        <v>6714</v>
      </c>
      <c r="B3008" t="s">
        <v>2922</v>
      </c>
      <c r="C3008" s="2" t="str">
        <f>PROPER(TRIM(Table1[[#This Row],[Gender]]))</f>
        <v>Female</v>
      </c>
      <c r="D3008" t="s">
        <v>43</v>
      </c>
      <c r="E3008">
        <v>50</v>
      </c>
      <c r="F3008" t="s">
        <v>17</v>
      </c>
      <c r="G3008" s="1">
        <v>27408</v>
      </c>
      <c r="H3008" t="s">
        <v>6715</v>
      </c>
      <c r="I3008" s="2" t="str">
        <f t="shared" si="46"/>
        <v>+91-8146074646</v>
      </c>
      <c r="J3008">
        <f>91-8146074737</f>
        <v>-8146074646</v>
      </c>
      <c r="K3008" t="s">
        <v>64</v>
      </c>
      <c r="L3008" t="s">
        <v>20</v>
      </c>
      <c r="M3008">
        <v>536514</v>
      </c>
      <c r="N3008" s="1">
        <v>45387</v>
      </c>
      <c r="O3008" t="s">
        <v>28</v>
      </c>
      <c r="P3008">
        <v>5</v>
      </c>
      <c r="Q3008">
        <v>51942.34</v>
      </c>
    </row>
    <row r="3009" spans="1:17" x14ac:dyDescent="0.3">
      <c r="A3009" t="s">
        <v>6716</v>
      </c>
      <c r="B3009" t="s">
        <v>3391</v>
      </c>
      <c r="C3009" s="2" t="str">
        <f>PROPER(TRIM(Table1[[#This Row],[Gender]]))</f>
        <v>Female</v>
      </c>
      <c r="D3009" t="s">
        <v>43</v>
      </c>
      <c r="E3009">
        <v>21</v>
      </c>
      <c r="F3009" t="s">
        <v>49</v>
      </c>
      <c r="G3009" s="1">
        <v>37993</v>
      </c>
      <c r="H3009" t="s">
        <v>3392</v>
      </c>
      <c r="I3009" s="2" t="str">
        <f t="shared" si="46"/>
        <v>+91-9145528497</v>
      </c>
      <c r="J3009">
        <f>91-9145528588</f>
        <v>-9145528497</v>
      </c>
      <c r="K3009" t="s">
        <v>580</v>
      </c>
      <c r="L3009" t="s">
        <v>85</v>
      </c>
      <c r="M3009">
        <v>592070</v>
      </c>
      <c r="N3009" s="1">
        <v>45146</v>
      </c>
      <c r="O3009" t="s">
        <v>35</v>
      </c>
      <c r="P3009">
        <v>3</v>
      </c>
      <c r="Q3009">
        <v>11421.6</v>
      </c>
    </row>
    <row r="3010" spans="1:17" x14ac:dyDescent="0.3">
      <c r="A3010" t="s">
        <v>6717</v>
      </c>
      <c r="B3010" t="s">
        <v>2639</v>
      </c>
      <c r="C3010" s="2" t="str">
        <f>PROPER(TRIM(Table1[[#This Row],[Gender]]))</f>
        <v>Female</v>
      </c>
      <c r="D3010" t="s">
        <v>43</v>
      </c>
      <c r="E3010">
        <v>29</v>
      </c>
      <c r="F3010" t="s">
        <v>31</v>
      </c>
      <c r="G3010" s="1">
        <v>35073</v>
      </c>
      <c r="H3010" t="s">
        <v>3467</v>
      </c>
      <c r="I3010" s="2" t="str">
        <f t="shared" ref="I3010:I3073" si="47">"+91"&amp;TEXT(J3010,"0000000000")</f>
        <v>+91-8972627925</v>
      </c>
      <c r="J3010">
        <f>91-8972628016</f>
        <v>-8972627925</v>
      </c>
      <c r="K3010" t="s">
        <v>125</v>
      </c>
      <c r="L3010" t="s">
        <v>52</v>
      </c>
      <c r="M3010">
        <v>668355</v>
      </c>
      <c r="N3010" s="1">
        <v>45341</v>
      </c>
      <c r="O3010" t="s">
        <v>28</v>
      </c>
      <c r="P3010">
        <v>5</v>
      </c>
      <c r="Q3010">
        <v>192202.64</v>
      </c>
    </row>
    <row r="3011" spans="1:17" x14ac:dyDescent="0.3">
      <c r="A3011" t="s">
        <v>6718</v>
      </c>
      <c r="B3011" t="s">
        <v>1161</v>
      </c>
      <c r="C3011" s="2" t="str">
        <f>PROPER(TRIM(Table1[[#This Row],[Gender]]))</f>
        <v>Male</v>
      </c>
      <c r="D3011" t="s">
        <v>16</v>
      </c>
      <c r="E3011">
        <v>57</v>
      </c>
      <c r="F3011" t="s">
        <v>58</v>
      </c>
      <c r="G3011" s="1">
        <v>24853</v>
      </c>
      <c r="H3011" t="s">
        <v>6719</v>
      </c>
      <c r="I3011" s="2" t="str">
        <f t="shared" si="47"/>
        <v>+91-9417477963</v>
      </c>
      <c r="J3011">
        <f>91-9417478054</f>
        <v>-9417477963</v>
      </c>
      <c r="K3011" t="s">
        <v>154</v>
      </c>
      <c r="L3011" t="s">
        <v>46</v>
      </c>
      <c r="M3011">
        <v>789371</v>
      </c>
      <c r="N3011" s="1">
        <v>45418</v>
      </c>
      <c r="O3011" t="s">
        <v>28</v>
      </c>
      <c r="P3011">
        <v>7</v>
      </c>
      <c r="Q3011">
        <v>87877.15</v>
      </c>
    </row>
    <row r="3012" spans="1:17" x14ac:dyDescent="0.3">
      <c r="A3012" t="s">
        <v>6720</v>
      </c>
      <c r="B3012" t="s">
        <v>3521</v>
      </c>
      <c r="C3012" s="2" t="str">
        <f>PROPER(TRIM(Table1[[#This Row],[Gender]]))</f>
        <v>Female</v>
      </c>
      <c r="D3012" t="s">
        <v>43</v>
      </c>
      <c r="E3012">
        <v>25</v>
      </c>
      <c r="F3012" t="s">
        <v>49</v>
      </c>
      <c r="G3012" s="1">
        <v>36533</v>
      </c>
      <c r="H3012" t="s">
        <v>6721</v>
      </c>
      <c r="I3012" s="2" t="str">
        <f t="shared" si="47"/>
        <v>+91-9378283140</v>
      </c>
      <c r="J3012">
        <f>91-9378283231</f>
        <v>-9378283140</v>
      </c>
      <c r="K3012" t="s">
        <v>72</v>
      </c>
      <c r="L3012" t="s">
        <v>34</v>
      </c>
      <c r="M3012">
        <v>191763</v>
      </c>
      <c r="N3012" s="1">
        <v>45269</v>
      </c>
      <c r="O3012" t="s">
        <v>28</v>
      </c>
      <c r="P3012">
        <v>5</v>
      </c>
      <c r="Q3012">
        <v>150034.57999999999</v>
      </c>
    </row>
    <row r="3013" spans="1:17" x14ac:dyDescent="0.3">
      <c r="A3013" t="s">
        <v>6722</v>
      </c>
      <c r="B3013" t="s">
        <v>2984</v>
      </c>
      <c r="C3013" s="2" t="str">
        <f>PROPER(TRIM(Table1[[#This Row],[Gender]]))</f>
        <v>Female</v>
      </c>
      <c r="D3013" t="s">
        <v>43</v>
      </c>
      <c r="E3013">
        <v>31</v>
      </c>
      <c r="F3013" t="s">
        <v>31</v>
      </c>
      <c r="G3013" s="1">
        <v>34343</v>
      </c>
      <c r="H3013" t="s">
        <v>6723</v>
      </c>
      <c r="I3013" s="2" t="str">
        <f t="shared" si="47"/>
        <v>+91-8920288853</v>
      </c>
      <c r="J3013">
        <f>91-8920288944</f>
        <v>-8920288853</v>
      </c>
      <c r="K3013" t="s">
        <v>154</v>
      </c>
      <c r="L3013" t="s">
        <v>46</v>
      </c>
      <c r="M3013">
        <v>767164</v>
      </c>
      <c r="N3013" s="1">
        <v>45408</v>
      </c>
      <c r="O3013" t="s">
        <v>35</v>
      </c>
      <c r="P3013">
        <v>1</v>
      </c>
      <c r="Q3013">
        <v>3851.18</v>
      </c>
    </row>
    <row r="3014" spans="1:17" x14ac:dyDescent="0.3">
      <c r="A3014" t="s">
        <v>6724</v>
      </c>
      <c r="B3014" t="s">
        <v>371</v>
      </c>
      <c r="C3014" s="2" t="str">
        <f>PROPER(TRIM(Table1[[#This Row],[Gender]]))</f>
        <v>Female</v>
      </c>
      <c r="D3014" t="s">
        <v>43</v>
      </c>
      <c r="E3014">
        <v>21</v>
      </c>
      <c r="F3014" t="s">
        <v>49</v>
      </c>
      <c r="G3014" s="1">
        <v>37993</v>
      </c>
      <c r="H3014" t="s">
        <v>6725</v>
      </c>
      <c r="I3014" s="2" t="str">
        <f t="shared" si="47"/>
        <v>+91-8009308788</v>
      </c>
      <c r="J3014">
        <f>91-8009308879</f>
        <v>-8009308788</v>
      </c>
      <c r="K3014" t="s">
        <v>68</v>
      </c>
      <c r="L3014" t="s">
        <v>52</v>
      </c>
      <c r="M3014">
        <v>566775</v>
      </c>
      <c r="N3014" s="1">
        <v>45256</v>
      </c>
      <c r="O3014" t="s">
        <v>28</v>
      </c>
      <c r="P3014">
        <v>6</v>
      </c>
      <c r="Q3014">
        <v>70223.67</v>
      </c>
    </row>
    <row r="3015" spans="1:17" x14ac:dyDescent="0.3">
      <c r="A3015" t="s">
        <v>6726</v>
      </c>
      <c r="B3015" t="s">
        <v>3747</v>
      </c>
      <c r="C3015" s="2" t="str">
        <f>PROPER(TRIM(Table1[[#This Row],[Gender]]))</f>
        <v>Female</v>
      </c>
      <c r="D3015" t="s">
        <v>43</v>
      </c>
      <c r="E3015">
        <v>23</v>
      </c>
      <c r="F3015" t="s">
        <v>49</v>
      </c>
      <c r="G3015" s="1">
        <v>37263</v>
      </c>
      <c r="H3015" t="s">
        <v>6727</v>
      </c>
      <c r="I3015" s="2" t="str">
        <f t="shared" si="47"/>
        <v>+91-7857468737</v>
      </c>
      <c r="J3015">
        <f>91-7857468828</f>
        <v>-7857468737</v>
      </c>
      <c r="K3015" t="s">
        <v>64</v>
      </c>
      <c r="L3015" t="s">
        <v>20</v>
      </c>
      <c r="M3015">
        <v>628255</v>
      </c>
      <c r="N3015" s="1">
        <v>45425</v>
      </c>
      <c r="O3015" t="s">
        <v>28</v>
      </c>
      <c r="P3015">
        <v>5</v>
      </c>
      <c r="Q3015">
        <v>146024.76999999999</v>
      </c>
    </row>
    <row r="3016" spans="1:17" x14ac:dyDescent="0.3">
      <c r="A3016" t="s">
        <v>6728</v>
      </c>
      <c r="B3016" t="s">
        <v>686</v>
      </c>
      <c r="C3016" s="2" t="str">
        <f>PROPER(TRIM(Table1[[#This Row],[Gender]]))</f>
        <v>Male</v>
      </c>
      <c r="D3016" t="s">
        <v>16</v>
      </c>
      <c r="E3016">
        <v>33</v>
      </c>
      <c r="F3016" t="s">
        <v>31</v>
      </c>
      <c r="G3016" s="1">
        <v>33613</v>
      </c>
      <c r="H3016" t="s">
        <v>4348</v>
      </c>
      <c r="I3016" s="2" t="str">
        <f t="shared" si="47"/>
        <v>+91-7354211162</v>
      </c>
      <c r="J3016">
        <f>91-7354211253</f>
        <v>-7354211162</v>
      </c>
      <c r="K3016" t="s">
        <v>109</v>
      </c>
      <c r="L3016" t="s">
        <v>46</v>
      </c>
      <c r="M3016">
        <v>302686</v>
      </c>
      <c r="N3016" s="1">
        <v>45123</v>
      </c>
      <c r="O3016" t="s">
        <v>28</v>
      </c>
      <c r="P3016">
        <v>4</v>
      </c>
      <c r="Q3016">
        <v>222735.09</v>
      </c>
    </row>
    <row r="3017" spans="1:17" x14ac:dyDescent="0.3">
      <c r="A3017" t="s">
        <v>6729</v>
      </c>
      <c r="B3017" t="s">
        <v>1713</v>
      </c>
      <c r="C3017" s="2" t="str">
        <f>PROPER(TRIM(Table1[[#This Row],[Gender]]))</f>
        <v>Female</v>
      </c>
      <c r="D3017" t="s">
        <v>43</v>
      </c>
      <c r="E3017">
        <v>18</v>
      </c>
      <c r="F3017" t="s">
        <v>49</v>
      </c>
      <c r="G3017" s="1">
        <v>39088</v>
      </c>
      <c r="H3017" t="s">
        <v>6730</v>
      </c>
      <c r="I3017" s="2" t="str">
        <f t="shared" si="47"/>
        <v>+91-7354765603</v>
      </c>
      <c r="J3017">
        <f>91-7354765694</f>
        <v>-7354765603</v>
      </c>
      <c r="K3017" t="s">
        <v>415</v>
      </c>
      <c r="L3017" t="s">
        <v>90</v>
      </c>
      <c r="M3017">
        <v>575031</v>
      </c>
      <c r="N3017" s="1">
        <v>45420</v>
      </c>
      <c r="O3017" t="s">
        <v>28</v>
      </c>
      <c r="P3017">
        <v>6</v>
      </c>
      <c r="Q3017">
        <v>272058.99</v>
      </c>
    </row>
    <row r="3018" spans="1:17" x14ac:dyDescent="0.3">
      <c r="A3018" t="s">
        <v>6731</v>
      </c>
      <c r="B3018" t="s">
        <v>6470</v>
      </c>
      <c r="C3018" s="2" t="str">
        <f>PROPER(TRIM(Table1[[#This Row],[Gender]]))</f>
        <v>Male</v>
      </c>
      <c r="D3018" t="s">
        <v>16</v>
      </c>
      <c r="E3018">
        <v>28</v>
      </c>
      <c r="F3018" t="s">
        <v>31</v>
      </c>
      <c r="G3018" s="1">
        <v>35438</v>
      </c>
      <c r="H3018" t="s">
        <v>6732</v>
      </c>
      <c r="I3018" s="2" t="str">
        <f t="shared" si="47"/>
        <v>+91-9465375061</v>
      </c>
      <c r="J3018">
        <f>91-9465375152</f>
        <v>-9465375061</v>
      </c>
      <c r="K3018" t="s">
        <v>76</v>
      </c>
      <c r="L3018" t="s">
        <v>46</v>
      </c>
      <c r="M3018">
        <v>298713</v>
      </c>
      <c r="N3018" s="1">
        <v>45416</v>
      </c>
      <c r="O3018" t="s">
        <v>21</v>
      </c>
      <c r="P3018">
        <v>5</v>
      </c>
      <c r="Q3018">
        <v>45399.83</v>
      </c>
    </row>
    <row r="3019" spans="1:17" x14ac:dyDescent="0.3">
      <c r="A3019" t="s">
        <v>6733</v>
      </c>
      <c r="B3019" t="s">
        <v>1205</v>
      </c>
      <c r="C3019" s="2" t="str">
        <f>PROPER(TRIM(Table1[[#This Row],[Gender]]))</f>
        <v>Male</v>
      </c>
      <c r="D3019" t="s">
        <v>16</v>
      </c>
      <c r="E3019">
        <v>20</v>
      </c>
      <c r="F3019" t="s">
        <v>49</v>
      </c>
      <c r="G3019" s="1">
        <v>38358</v>
      </c>
      <c r="H3019" t="s">
        <v>6734</v>
      </c>
      <c r="I3019" s="2" t="str">
        <f t="shared" si="47"/>
        <v>+91-8890245099</v>
      </c>
      <c r="J3019">
        <f>91-8890245190</f>
        <v>-8890245099</v>
      </c>
      <c r="K3019" t="s">
        <v>40</v>
      </c>
      <c r="L3019" t="s">
        <v>27</v>
      </c>
      <c r="M3019">
        <v>244927</v>
      </c>
      <c r="N3019" s="1">
        <v>45439</v>
      </c>
      <c r="O3019" t="s">
        <v>28</v>
      </c>
      <c r="P3019">
        <v>11</v>
      </c>
      <c r="Q3019">
        <v>205876.91</v>
      </c>
    </row>
    <row r="3020" spans="1:17" x14ac:dyDescent="0.3">
      <c r="A3020" t="s">
        <v>6735</v>
      </c>
      <c r="B3020" t="s">
        <v>2358</v>
      </c>
      <c r="C3020" s="2" t="str">
        <f>PROPER(TRIM(Table1[[#This Row],[Gender]]))</f>
        <v>Female</v>
      </c>
      <c r="D3020" t="s">
        <v>43</v>
      </c>
      <c r="E3020">
        <v>42</v>
      </c>
      <c r="F3020" t="s">
        <v>38</v>
      </c>
      <c r="G3020" s="1">
        <v>30328</v>
      </c>
      <c r="H3020" t="s">
        <v>6736</v>
      </c>
      <c r="I3020" s="2" t="str">
        <f t="shared" si="47"/>
        <v>+91-8482760797</v>
      </c>
      <c r="J3020">
        <f>91-8482760888</f>
        <v>-8482760797</v>
      </c>
      <c r="K3020" t="s">
        <v>33</v>
      </c>
      <c r="L3020" t="s">
        <v>34</v>
      </c>
      <c r="M3020">
        <v>272473</v>
      </c>
      <c r="N3020" s="1">
        <v>45268</v>
      </c>
      <c r="O3020" t="s">
        <v>28</v>
      </c>
      <c r="P3020">
        <v>3</v>
      </c>
      <c r="Q3020">
        <v>144531.26999999999</v>
      </c>
    </row>
    <row r="3021" spans="1:17" x14ac:dyDescent="0.3">
      <c r="A3021" t="s">
        <v>6737</v>
      </c>
      <c r="B3021" t="s">
        <v>6738</v>
      </c>
      <c r="C3021" s="2" t="str">
        <f>PROPER(TRIM(Table1[[#This Row],[Gender]]))</f>
        <v>Male</v>
      </c>
      <c r="D3021" t="s">
        <v>16</v>
      </c>
      <c r="E3021">
        <v>53</v>
      </c>
      <c r="F3021" t="s">
        <v>17</v>
      </c>
      <c r="G3021" s="1">
        <v>26313</v>
      </c>
      <c r="H3021" t="s">
        <v>6739</v>
      </c>
      <c r="I3021" s="2" t="str">
        <f t="shared" si="47"/>
        <v>+91-8926723370</v>
      </c>
      <c r="J3021">
        <f>91-8926723461</f>
        <v>-8926723370</v>
      </c>
      <c r="K3021" t="s">
        <v>273</v>
      </c>
      <c r="L3021" t="s">
        <v>46</v>
      </c>
      <c r="M3021">
        <v>149125</v>
      </c>
      <c r="N3021" s="1">
        <v>45104</v>
      </c>
      <c r="O3021" t="s">
        <v>21</v>
      </c>
      <c r="P3021">
        <v>6</v>
      </c>
      <c r="Q3021">
        <v>45092.22</v>
      </c>
    </row>
    <row r="3022" spans="1:17" x14ac:dyDescent="0.3">
      <c r="A3022" t="s">
        <v>6740</v>
      </c>
      <c r="B3022" t="s">
        <v>622</v>
      </c>
      <c r="C3022" s="2" t="str">
        <f>PROPER(TRIM(Table1[[#This Row],[Gender]]))</f>
        <v>Female</v>
      </c>
      <c r="D3022" t="s">
        <v>43</v>
      </c>
      <c r="E3022">
        <v>54</v>
      </c>
      <c r="F3022" t="s">
        <v>17</v>
      </c>
      <c r="G3022" s="1">
        <v>25948</v>
      </c>
      <c r="H3022" t="s">
        <v>6741</v>
      </c>
      <c r="I3022" s="2" t="str">
        <f t="shared" si="47"/>
        <v>+91-8583837256</v>
      </c>
      <c r="J3022">
        <f>91-8583837347</f>
        <v>-8583837256</v>
      </c>
      <c r="K3022" t="s">
        <v>19</v>
      </c>
      <c r="L3022" t="s">
        <v>20</v>
      </c>
      <c r="M3022">
        <v>446183</v>
      </c>
      <c r="N3022" s="1">
        <v>45331</v>
      </c>
      <c r="O3022" t="s">
        <v>21</v>
      </c>
      <c r="P3022">
        <v>7</v>
      </c>
      <c r="Q3022">
        <v>44723.96</v>
      </c>
    </row>
    <row r="3023" spans="1:17" x14ac:dyDescent="0.3">
      <c r="A3023" t="s">
        <v>6742</v>
      </c>
      <c r="B3023" t="s">
        <v>439</v>
      </c>
      <c r="C3023" s="2" t="str">
        <f>PROPER(TRIM(Table1[[#This Row],[Gender]]))</f>
        <v>Male</v>
      </c>
      <c r="D3023" t="s">
        <v>16</v>
      </c>
      <c r="E3023">
        <v>38</v>
      </c>
      <c r="F3023" t="s">
        <v>38</v>
      </c>
      <c r="G3023" s="1">
        <v>31788</v>
      </c>
      <c r="H3023" t="s">
        <v>6743</v>
      </c>
      <c r="I3023" s="2" t="str">
        <f t="shared" si="47"/>
        <v>+91-8070552365</v>
      </c>
      <c r="J3023">
        <f>91-8070552456</f>
        <v>-8070552365</v>
      </c>
      <c r="K3023" t="s">
        <v>154</v>
      </c>
      <c r="L3023" t="s">
        <v>46</v>
      </c>
      <c r="M3023">
        <v>575001</v>
      </c>
      <c r="N3023" s="1">
        <v>45263</v>
      </c>
      <c r="O3023" t="s">
        <v>28</v>
      </c>
      <c r="P3023">
        <v>5</v>
      </c>
      <c r="Q3023">
        <v>150326.69</v>
      </c>
    </row>
    <row r="3024" spans="1:17" x14ac:dyDescent="0.3">
      <c r="A3024" t="s">
        <v>6744</v>
      </c>
      <c r="B3024" t="s">
        <v>3356</v>
      </c>
      <c r="C3024" s="2" t="str">
        <f>PROPER(TRIM(Table1[[#This Row],[Gender]]))</f>
        <v>Male</v>
      </c>
      <c r="D3024" t="s">
        <v>16</v>
      </c>
      <c r="E3024">
        <v>22</v>
      </c>
      <c r="F3024" t="s">
        <v>49</v>
      </c>
      <c r="G3024" s="1">
        <v>37628</v>
      </c>
      <c r="H3024" t="s">
        <v>3357</v>
      </c>
      <c r="I3024" s="2" t="str">
        <f t="shared" si="47"/>
        <v>+91-7267715764</v>
      </c>
      <c r="J3024">
        <f>91-7267715855</f>
        <v>-7267715764</v>
      </c>
      <c r="K3024" t="s">
        <v>72</v>
      </c>
      <c r="L3024" t="s">
        <v>34</v>
      </c>
      <c r="M3024">
        <v>778162</v>
      </c>
      <c r="N3024" s="1">
        <v>45275</v>
      </c>
      <c r="O3024" t="s">
        <v>28</v>
      </c>
      <c r="P3024">
        <v>3</v>
      </c>
      <c r="Q3024">
        <v>161950.79</v>
      </c>
    </row>
    <row r="3025" spans="1:17" x14ac:dyDescent="0.3">
      <c r="A3025" t="s">
        <v>6745</v>
      </c>
      <c r="B3025" t="s">
        <v>3290</v>
      </c>
      <c r="C3025" s="2" t="str">
        <f>PROPER(TRIM(Table1[[#This Row],[Gender]]))</f>
        <v>Male</v>
      </c>
      <c r="D3025" t="s">
        <v>16</v>
      </c>
      <c r="E3025">
        <v>22</v>
      </c>
      <c r="F3025" t="s">
        <v>49</v>
      </c>
      <c r="G3025" s="1">
        <v>37628</v>
      </c>
      <c r="H3025" t="s">
        <v>6746</v>
      </c>
      <c r="I3025" s="2" t="str">
        <f t="shared" si="47"/>
        <v>+91-9790241096</v>
      </c>
      <c r="J3025">
        <f>91-9790241187</f>
        <v>-9790241096</v>
      </c>
      <c r="K3025" t="s">
        <v>249</v>
      </c>
      <c r="L3025" t="s">
        <v>34</v>
      </c>
      <c r="M3025">
        <v>916656</v>
      </c>
      <c r="N3025" s="1">
        <v>45121</v>
      </c>
      <c r="O3025" t="s">
        <v>28</v>
      </c>
      <c r="P3025">
        <v>7</v>
      </c>
      <c r="Q3025">
        <v>160699.07999999999</v>
      </c>
    </row>
    <row r="3026" spans="1:17" x14ac:dyDescent="0.3">
      <c r="A3026" t="s">
        <v>6747</v>
      </c>
      <c r="B3026" t="s">
        <v>3557</v>
      </c>
      <c r="C3026" s="2" t="str">
        <f>PROPER(TRIM(Table1[[#This Row],[Gender]]))</f>
        <v>Male</v>
      </c>
      <c r="D3026" t="s">
        <v>16</v>
      </c>
      <c r="E3026">
        <v>29</v>
      </c>
      <c r="F3026" t="s">
        <v>31</v>
      </c>
      <c r="G3026" s="1">
        <v>35073</v>
      </c>
      <c r="H3026" t="s">
        <v>6748</v>
      </c>
      <c r="I3026" s="2" t="str">
        <f t="shared" si="47"/>
        <v>+91-8259685833</v>
      </c>
      <c r="J3026">
        <f>91-8259685924</f>
        <v>-8259685833</v>
      </c>
      <c r="K3026" t="s">
        <v>80</v>
      </c>
      <c r="L3026" t="s">
        <v>20</v>
      </c>
      <c r="M3026">
        <v>931321</v>
      </c>
      <c r="N3026" s="1">
        <v>45433</v>
      </c>
      <c r="O3026" t="s">
        <v>28</v>
      </c>
      <c r="P3026">
        <v>7</v>
      </c>
      <c r="Q3026">
        <v>84121.48</v>
      </c>
    </row>
    <row r="3027" spans="1:17" x14ac:dyDescent="0.3">
      <c r="A3027" t="s">
        <v>6749</v>
      </c>
      <c r="B3027" t="s">
        <v>1513</v>
      </c>
      <c r="C3027" s="2" t="str">
        <f>PROPER(TRIM(Table1[[#This Row],[Gender]]))</f>
        <v>Female</v>
      </c>
      <c r="D3027" t="s">
        <v>43</v>
      </c>
      <c r="E3027">
        <v>40</v>
      </c>
      <c r="F3027" t="s">
        <v>38</v>
      </c>
      <c r="G3027" s="1">
        <v>31058</v>
      </c>
      <c r="H3027" t="s">
        <v>6750</v>
      </c>
      <c r="I3027" s="2" t="str">
        <f t="shared" si="47"/>
        <v>+91-8397718804</v>
      </c>
      <c r="J3027">
        <f>91-8397718895</f>
        <v>-8397718804</v>
      </c>
      <c r="K3027" t="s">
        <v>60</v>
      </c>
      <c r="L3027" t="s">
        <v>34</v>
      </c>
      <c r="M3027">
        <v>576038</v>
      </c>
      <c r="N3027" s="1">
        <v>45142</v>
      </c>
      <c r="O3027" t="s">
        <v>28</v>
      </c>
      <c r="P3027">
        <v>7</v>
      </c>
      <c r="Q3027">
        <v>131622.72</v>
      </c>
    </row>
    <row r="3028" spans="1:17" x14ac:dyDescent="0.3">
      <c r="A3028" t="s">
        <v>6751</v>
      </c>
      <c r="B3028" t="s">
        <v>1989</v>
      </c>
      <c r="C3028" s="2" t="str">
        <f>PROPER(TRIM(Table1[[#This Row],[Gender]]))</f>
        <v>Female</v>
      </c>
      <c r="D3028" t="s">
        <v>43</v>
      </c>
      <c r="E3028">
        <v>33</v>
      </c>
      <c r="F3028" t="s">
        <v>31</v>
      </c>
      <c r="G3028" s="1">
        <v>33613</v>
      </c>
      <c r="H3028" t="s">
        <v>6752</v>
      </c>
      <c r="I3028" s="2" t="str">
        <f t="shared" si="47"/>
        <v>+91-7859503757</v>
      </c>
      <c r="J3028">
        <f>91-7859503848</f>
        <v>-7859503757</v>
      </c>
      <c r="K3028" t="s">
        <v>113</v>
      </c>
      <c r="L3028" t="s">
        <v>34</v>
      </c>
      <c r="M3028">
        <v>779848</v>
      </c>
      <c r="N3028" s="1">
        <v>45085</v>
      </c>
      <c r="O3028" t="s">
        <v>28</v>
      </c>
      <c r="P3028">
        <v>3</v>
      </c>
      <c r="Q3028">
        <v>262612.68</v>
      </c>
    </row>
    <row r="3029" spans="1:17" x14ac:dyDescent="0.3">
      <c r="A3029" t="s">
        <v>6753</v>
      </c>
      <c r="B3029" t="s">
        <v>817</v>
      </c>
      <c r="C3029" s="2" t="str">
        <f>PROPER(TRIM(Table1[[#This Row],[Gender]]))</f>
        <v>Male</v>
      </c>
      <c r="D3029" t="s">
        <v>16</v>
      </c>
      <c r="E3029">
        <v>18</v>
      </c>
      <c r="F3029" t="s">
        <v>49</v>
      </c>
      <c r="G3029" s="1">
        <v>39088</v>
      </c>
      <c r="H3029" t="s">
        <v>4897</v>
      </c>
      <c r="I3029" s="2" t="str">
        <f t="shared" si="47"/>
        <v>+91-9004293050</v>
      </c>
      <c r="J3029">
        <f>91-9004293141</f>
        <v>-9004293050</v>
      </c>
      <c r="K3029" t="s">
        <v>33</v>
      </c>
      <c r="L3029" t="s">
        <v>34</v>
      </c>
      <c r="M3029">
        <v>537483</v>
      </c>
      <c r="N3029" s="1">
        <v>45223</v>
      </c>
      <c r="O3029" t="s">
        <v>35</v>
      </c>
      <c r="P3029">
        <v>1</v>
      </c>
      <c r="Q3029">
        <v>7534.25</v>
      </c>
    </row>
    <row r="3030" spans="1:17" x14ac:dyDescent="0.3">
      <c r="A3030" t="s">
        <v>6754</v>
      </c>
      <c r="B3030" t="s">
        <v>278</v>
      </c>
      <c r="C3030" s="2" t="str">
        <f>PROPER(TRIM(Table1[[#This Row],[Gender]]))</f>
        <v>Male</v>
      </c>
      <c r="D3030" t="s">
        <v>16</v>
      </c>
      <c r="E3030">
        <v>42</v>
      </c>
      <c r="F3030" t="s">
        <v>38</v>
      </c>
      <c r="G3030" s="1">
        <v>30328</v>
      </c>
      <c r="H3030" t="s">
        <v>6755</v>
      </c>
      <c r="I3030" s="2" t="str">
        <f t="shared" si="47"/>
        <v>+91-7225027270</v>
      </c>
      <c r="J3030">
        <f>91-7225027361</f>
        <v>-7225027270</v>
      </c>
      <c r="K3030" t="s">
        <v>154</v>
      </c>
      <c r="L3030" t="s">
        <v>46</v>
      </c>
      <c r="M3030">
        <v>540668</v>
      </c>
      <c r="N3030" s="1">
        <v>45314</v>
      </c>
      <c r="O3030" t="s">
        <v>28</v>
      </c>
      <c r="P3030">
        <v>9</v>
      </c>
      <c r="Q3030">
        <v>430203.96</v>
      </c>
    </row>
    <row r="3031" spans="1:17" x14ac:dyDescent="0.3">
      <c r="A3031" t="s">
        <v>6756</v>
      </c>
      <c r="B3031" t="s">
        <v>516</v>
      </c>
      <c r="C3031" s="2" t="str">
        <f>PROPER(TRIM(Table1[[#This Row],[Gender]]))</f>
        <v>Female</v>
      </c>
      <c r="D3031" t="s">
        <v>43</v>
      </c>
      <c r="E3031">
        <v>53</v>
      </c>
      <c r="F3031" t="s">
        <v>17</v>
      </c>
      <c r="G3031" s="1">
        <v>26313</v>
      </c>
      <c r="H3031" t="s">
        <v>6757</v>
      </c>
      <c r="I3031" s="2" t="str">
        <f t="shared" si="47"/>
        <v>+91-9139314668</v>
      </c>
      <c r="J3031">
        <f>91-9139314759</f>
        <v>-9139314668</v>
      </c>
      <c r="K3031" t="s">
        <v>80</v>
      </c>
      <c r="L3031" t="s">
        <v>20</v>
      </c>
      <c r="M3031">
        <v>838454</v>
      </c>
      <c r="N3031" s="1">
        <v>45277</v>
      </c>
      <c r="O3031" t="s">
        <v>35</v>
      </c>
      <c r="P3031">
        <v>2</v>
      </c>
      <c r="Q3031">
        <v>2030.27</v>
      </c>
    </row>
    <row r="3032" spans="1:17" x14ac:dyDescent="0.3">
      <c r="A3032" t="s">
        <v>6758</v>
      </c>
      <c r="B3032" t="s">
        <v>513</v>
      </c>
      <c r="C3032" s="2" t="str">
        <f>PROPER(TRIM(Table1[[#This Row],[Gender]]))</f>
        <v>Female</v>
      </c>
      <c r="D3032" t="s">
        <v>43</v>
      </c>
      <c r="E3032">
        <v>40</v>
      </c>
      <c r="F3032" t="s">
        <v>38</v>
      </c>
      <c r="G3032" s="1">
        <v>31058</v>
      </c>
      <c r="H3032" t="s">
        <v>514</v>
      </c>
      <c r="I3032" s="2" t="str">
        <f t="shared" si="47"/>
        <v>+91-8162451384</v>
      </c>
      <c r="J3032">
        <f>91-8162451475</f>
        <v>-8162451384</v>
      </c>
      <c r="K3032" t="s">
        <v>94</v>
      </c>
      <c r="L3032" t="s">
        <v>20</v>
      </c>
      <c r="M3032">
        <v>920000</v>
      </c>
      <c r="N3032" s="1">
        <v>45355</v>
      </c>
      <c r="O3032" t="s">
        <v>28</v>
      </c>
      <c r="P3032">
        <v>4</v>
      </c>
      <c r="Q3032">
        <v>86899.42</v>
      </c>
    </row>
    <row r="3033" spans="1:17" x14ac:dyDescent="0.3">
      <c r="A3033" t="s">
        <v>6759</v>
      </c>
      <c r="B3033" t="s">
        <v>4118</v>
      </c>
      <c r="C3033" s="2" t="str">
        <f>PROPER(TRIM(Table1[[#This Row],[Gender]]))</f>
        <v>Male</v>
      </c>
      <c r="D3033" t="s">
        <v>16</v>
      </c>
      <c r="E3033">
        <v>33</v>
      </c>
      <c r="F3033" t="s">
        <v>31</v>
      </c>
      <c r="G3033" s="1">
        <v>33613</v>
      </c>
      <c r="H3033" t="s">
        <v>6760</v>
      </c>
      <c r="I3033" s="2" t="str">
        <f t="shared" si="47"/>
        <v>+91-9883522590</v>
      </c>
      <c r="J3033">
        <f>91-9883522681</f>
        <v>-9883522590</v>
      </c>
      <c r="K3033" t="s">
        <v>142</v>
      </c>
      <c r="L3033" t="s">
        <v>143</v>
      </c>
      <c r="M3033">
        <v>140901</v>
      </c>
      <c r="N3033" s="1">
        <v>45273</v>
      </c>
      <c r="O3033" t="s">
        <v>21</v>
      </c>
      <c r="P3033">
        <v>5</v>
      </c>
      <c r="Q3033">
        <v>43649</v>
      </c>
    </row>
    <row r="3034" spans="1:17" x14ac:dyDescent="0.3">
      <c r="A3034" t="s">
        <v>6761</v>
      </c>
      <c r="B3034" t="s">
        <v>6762</v>
      </c>
      <c r="C3034" s="2" t="str">
        <f>PROPER(TRIM(Table1[[#This Row],[Gender]]))</f>
        <v>Female</v>
      </c>
      <c r="D3034" t="s">
        <v>43</v>
      </c>
      <c r="E3034">
        <v>37</v>
      </c>
      <c r="F3034" t="s">
        <v>38</v>
      </c>
      <c r="G3034" s="1">
        <v>32153</v>
      </c>
      <c r="H3034" t="s">
        <v>6763</v>
      </c>
      <c r="I3034" s="2" t="str">
        <f t="shared" si="47"/>
        <v>+91-9136867656</v>
      </c>
      <c r="J3034">
        <f>91-9136867747</f>
        <v>-9136867656</v>
      </c>
      <c r="K3034" t="s">
        <v>147</v>
      </c>
      <c r="L3034" t="s">
        <v>143</v>
      </c>
      <c r="M3034">
        <v>392866</v>
      </c>
      <c r="N3034" s="1">
        <v>45277</v>
      </c>
      <c r="O3034" t="s">
        <v>28</v>
      </c>
      <c r="P3034">
        <v>4</v>
      </c>
      <c r="Q3034">
        <v>201453.49</v>
      </c>
    </row>
    <row r="3035" spans="1:17" x14ac:dyDescent="0.3">
      <c r="A3035" t="s">
        <v>6764</v>
      </c>
      <c r="B3035" t="s">
        <v>713</v>
      </c>
      <c r="C3035" s="2" t="str">
        <f>PROPER(TRIM(Table1[[#This Row],[Gender]]))</f>
        <v>Male</v>
      </c>
      <c r="D3035" t="s">
        <v>16</v>
      </c>
      <c r="E3035">
        <v>42</v>
      </c>
      <c r="F3035" t="s">
        <v>38</v>
      </c>
      <c r="G3035" s="1">
        <v>30328</v>
      </c>
      <c r="H3035" t="s">
        <v>6765</v>
      </c>
      <c r="I3035" s="2" t="str">
        <f t="shared" si="47"/>
        <v>+91-7421560544</v>
      </c>
      <c r="J3035">
        <f>91-7421560635</f>
        <v>-7421560544</v>
      </c>
      <c r="K3035" t="s">
        <v>249</v>
      </c>
      <c r="L3035" t="s">
        <v>34</v>
      </c>
      <c r="M3035">
        <v>119394</v>
      </c>
      <c r="N3035" s="1">
        <v>45235</v>
      </c>
      <c r="O3035" t="s">
        <v>28</v>
      </c>
      <c r="P3035">
        <v>7</v>
      </c>
      <c r="Q3035">
        <v>201363.79</v>
      </c>
    </row>
    <row r="3036" spans="1:17" x14ac:dyDescent="0.3">
      <c r="A3036" t="s">
        <v>6766</v>
      </c>
      <c r="B3036" t="s">
        <v>389</v>
      </c>
      <c r="C3036" s="2" t="str">
        <f>PROPER(TRIM(Table1[[#This Row],[Gender]]))</f>
        <v>Female</v>
      </c>
      <c r="D3036" t="s">
        <v>43</v>
      </c>
      <c r="E3036">
        <v>23</v>
      </c>
      <c r="F3036" t="s">
        <v>49</v>
      </c>
      <c r="G3036" s="1">
        <v>37263</v>
      </c>
      <c r="H3036" t="s">
        <v>6767</v>
      </c>
      <c r="I3036" s="2" t="str">
        <f t="shared" si="47"/>
        <v>+91-7912699679</v>
      </c>
      <c r="J3036">
        <f>91-7912699770</f>
        <v>-7912699679</v>
      </c>
      <c r="K3036" t="s">
        <v>239</v>
      </c>
      <c r="L3036" t="s">
        <v>191</v>
      </c>
      <c r="M3036">
        <v>750372</v>
      </c>
      <c r="N3036" s="1">
        <v>45366</v>
      </c>
      <c r="O3036" t="s">
        <v>28</v>
      </c>
      <c r="P3036">
        <v>5</v>
      </c>
      <c r="Q3036">
        <v>76870.789999999994</v>
      </c>
    </row>
    <row r="3037" spans="1:17" x14ac:dyDescent="0.3">
      <c r="A3037" t="s">
        <v>6768</v>
      </c>
      <c r="B3037" t="s">
        <v>1494</v>
      </c>
      <c r="C3037" s="2" t="str">
        <f>PROPER(TRIM(Table1[[#This Row],[Gender]]))</f>
        <v>Female</v>
      </c>
      <c r="D3037" t="s">
        <v>43</v>
      </c>
      <c r="E3037">
        <v>52</v>
      </c>
      <c r="F3037" t="s">
        <v>17</v>
      </c>
      <c r="G3037" s="1">
        <v>26678</v>
      </c>
      <c r="H3037" t="s">
        <v>6769</v>
      </c>
      <c r="I3037" s="2" t="str">
        <f t="shared" si="47"/>
        <v>+91-7325912916</v>
      </c>
      <c r="J3037">
        <f>91-7325913007</f>
        <v>-7325912916</v>
      </c>
      <c r="K3037" t="s">
        <v>202</v>
      </c>
      <c r="L3037" t="s">
        <v>191</v>
      </c>
      <c r="M3037">
        <v>202586</v>
      </c>
      <c r="N3037" s="1">
        <v>45240</v>
      </c>
      <c r="O3037" t="s">
        <v>21</v>
      </c>
      <c r="P3037">
        <v>1</v>
      </c>
      <c r="Q3037">
        <v>36711.25</v>
      </c>
    </row>
    <row r="3038" spans="1:17" x14ac:dyDescent="0.3">
      <c r="A3038" t="s">
        <v>6770</v>
      </c>
      <c r="B3038" t="s">
        <v>3120</v>
      </c>
      <c r="C3038" s="2" t="str">
        <f>PROPER(TRIM(Table1[[#This Row],[Gender]]))</f>
        <v>Female</v>
      </c>
      <c r="D3038" t="s">
        <v>43</v>
      </c>
      <c r="E3038">
        <v>44</v>
      </c>
      <c r="F3038" t="s">
        <v>38</v>
      </c>
      <c r="G3038" s="1">
        <v>29598</v>
      </c>
      <c r="H3038" t="s">
        <v>6771</v>
      </c>
      <c r="I3038" s="2" t="str">
        <f t="shared" si="47"/>
        <v>+91-8089090863</v>
      </c>
      <c r="J3038">
        <f>91-8089090954</f>
        <v>-8089090863</v>
      </c>
      <c r="K3038" t="s">
        <v>331</v>
      </c>
      <c r="L3038" t="s">
        <v>143</v>
      </c>
      <c r="M3038">
        <v>607072</v>
      </c>
      <c r="N3038" s="1">
        <v>45339</v>
      </c>
      <c r="O3038" t="s">
        <v>28</v>
      </c>
      <c r="P3038">
        <v>3</v>
      </c>
      <c r="Q3038">
        <v>294071.46000000002</v>
      </c>
    </row>
    <row r="3039" spans="1:17" x14ac:dyDescent="0.3">
      <c r="A3039" t="s">
        <v>6772</v>
      </c>
      <c r="B3039" t="s">
        <v>5792</v>
      </c>
      <c r="C3039" s="2" t="str">
        <f>PROPER(TRIM(Table1[[#This Row],[Gender]]))</f>
        <v>Male</v>
      </c>
      <c r="D3039" t="s">
        <v>16</v>
      </c>
      <c r="E3039">
        <v>32</v>
      </c>
      <c r="F3039" t="s">
        <v>31</v>
      </c>
      <c r="G3039" s="1">
        <v>33978</v>
      </c>
      <c r="H3039" t="s">
        <v>6773</v>
      </c>
      <c r="I3039" s="2" t="str">
        <f t="shared" si="47"/>
        <v>+91-7933162368</v>
      </c>
      <c r="J3039">
        <f>91-7933162459</f>
        <v>-7933162368</v>
      </c>
      <c r="K3039" t="s">
        <v>33</v>
      </c>
      <c r="L3039" t="s">
        <v>34</v>
      </c>
      <c r="M3039">
        <v>932096</v>
      </c>
      <c r="N3039" s="1">
        <v>45374</v>
      </c>
      <c r="O3039" t="s">
        <v>28</v>
      </c>
      <c r="P3039">
        <v>6</v>
      </c>
      <c r="Q3039">
        <v>95371.88</v>
      </c>
    </row>
    <row r="3040" spans="1:17" x14ac:dyDescent="0.3">
      <c r="A3040" t="s">
        <v>6774</v>
      </c>
      <c r="B3040" t="s">
        <v>721</v>
      </c>
      <c r="C3040" s="2" t="str">
        <f>PROPER(TRIM(Table1[[#This Row],[Gender]]))</f>
        <v>Male</v>
      </c>
      <c r="D3040" t="s">
        <v>16</v>
      </c>
      <c r="E3040">
        <v>18</v>
      </c>
      <c r="F3040" t="s">
        <v>49</v>
      </c>
      <c r="G3040" s="1">
        <v>39088</v>
      </c>
      <c r="H3040" t="s">
        <v>6775</v>
      </c>
      <c r="I3040" s="2" t="str">
        <f t="shared" si="47"/>
        <v>+91-9485212898</v>
      </c>
      <c r="J3040">
        <f>91-9485212989</f>
        <v>-9485212898</v>
      </c>
      <c r="K3040" t="s">
        <v>331</v>
      </c>
      <c r="L3040" t="s">
        <v>143</v>
      </c>
      <c r="M3040">
        <v>762685</v>
      </c>
      <c r="N3040" s="1">
        <v>45097</v>
      </c>
      <c r="O3040" t="s">
        <v>28</v>
      </c>
      <c r="P3040">
        <v>5</v>
      </c>
      <c r="Q3040">
        <v>116244.15</v>
      </c>
    </row>
    <row r="3041" spans="1:17" x14ac:dyDescent="0.3">
      <c r="A3041" t="s">
        <v>6776</v>
      </c>
      <c r="B3041" t="s">
        <v>2266</v>
      </c>
      <c r="C3041" s="2" t="str">
        <f>PROPER(TRIM(Table1[[#This Row],[Gender]]))</f>
        <v>Male</v>
      </c>
      <c r="D3041" t="s">
        <v>16</v>
      </c>
      <c r="E3041">
        <v>47</v>
      </c>
      <c r="F3041" t="s">
        <v>17</v>
      </c>
      <c r="G3041" s="1">
        <v>28503</v>
      </c>
      <c r="H3041" t="s">
        <v>6777</v>
      </c>
      <c r="I3041" s="2" t="str">
        <f t="shared" si="47"/>
        <v>+91-8768113858</v>
      </c>
      <c r="J3041">
        <f>91-8768113949</f>
        <v>-8768113858</v>
      </c>
      <c r="K3041" t="s">
        <v>109</v>
      </c>
      <c r="L3041" t="s">
        <v>46</v>
      </c>
      <c r="M3041">
        <v>768074</v>
      </c>
      <c r="N3041" s="1">
        <v>45434</v>
      </c>
      <c r="O3041" t="s">
        <v>28</v>
      </c>
      <c r="P3041">
        <v>9</v>
      </c>
      <c r="Q3041">
        <v>94273.2</v>
      </c>
    </row>
    <row r="3042" spans="1:17" x14ac:dyDescent="0.3">
      <c r="A3042" t="s">
        <v>6778</v>
      </c>
      <c r="B3042" t="s">
        <v>6779</v>
      </c>
      <c r="C3042" s="2" t="str">
        <f>PROPER(TRIM(Table1[[#This Row],[Gender]]))</f>
        <v>Female</v>
      </c>
      <c r="D3042" t="s">
        <v>43</v>
      </c>
      <c r="E3042">
        <v>33</v>
      </c>
      <c r="F3042" t="s">
        <v>31</v>
      </c>
      <c r="G3042" s="1">
        <v>33613</v>
      </c>
      <c r="H3042" t="s">
        <v>6780</v>
      </c>
      <c r="I3042" s="2" t="str">
        <f t="shared" si="47"/>
        <v>+91-9439250944</v>
      </c>
      <c r="J3042">
        <f>91-9439251035</f>
        <v>-9439250944</v>
      </c>
      <c r="K3042" t="s">
        <v>101</v>
      </c>
      <c r="L3042" t="s">
        <v>102</v>
      </c>
      <c r="M3042">
        <v>965663</v>
      </c>
      <c r="N3042" s="1">
        <v>45134</v>
      </c>
      <c r="O3042" t="s">
        <v>28</v>
      </c>
      <c r="P3042">
        <v>7</v>
      </c>
      <c r="Q3042">
        <v>171122.94</v>
      </c>
    </row>
    <row r="3043" spans="1:17" x14ac:dyDescent="0.3">
      <c r="A3043" t="s">
        <v>6781</v>
      </c>
      <c r="B3043" t="s">
        <v>2182</v>
      </c>
      <c r="C3043" s="2" t="str">
        <f>PROPER(TRIM(Table1[[#This Row],[Gender]]))</f>
        <v>Male</v>
      </c>
      <c r="D3043" t="s">
        <v>16</v>
      </c>
      <c r="E3043">
        <v>25</v>
      </c>
      <c r="F3043" t="s">
        <v>49</v>
      </c>
      <c r="G3043" s="1">
        <v>36533</v>
      </c>
      <c r="H3043" t="s">
        <v>6782</v>
      </c>
      <c r="I3043" s="2" t="str">
        <f t="shared" si="47"/>
        <v>+91-7648052521</v>
      </c>
      <c r="J3043">
        <f>91-7648052612</f>
        <v>-7648052521</v>
      </c>
      <c r="K3043" t="s">
        <v>94</v>
      </c>
      <c r="L3043" t="s">
        <v>20</v>
      </c>
      <c r="M3043">
        <v>145726</v>
      </c>
      <c r="N3043" s="1">
        <v>45183</v>
      </c>
      <c r="O3043" t="s">
        <v>28</v>
      </c>
      <c r="P3043">
        <v>4</v>
      </c>
      <c r="Q3043">
        <v>67126.539999999994</v>
      </c>
    </row>
    <row r="3044" spans="1:17" x14ac:dyDescent="0.3">
      <c r="A3044" t="s">
        <v>6783</v>
      </c>
      <c r="B3044" t="s">
        <v>442</v>
      </c>
      <c r="C3044" s="2" t="str">
        <f>PROPER(TRIM(Table1[[#This Row],[Gender]]))</f>
        <v>Male</v>
      </c>
      <c r="D3044" t="s">
        <v>16</v>
      </c>
      <c r="E3044">
        <v>74</v>
      </c>
      <c r="F3044" t="s">
        <v>24</v>
      </c>
      <c r="G3044" s="1">
        <v>18648</v>
      </c>
      <c r="H3044" t="s">
        <v>6784</v>
      </c>
      <c r="I3044" s="2" t="str">
        <f t="shared" si="47"/>
        <v>+91-8762231769</v>
      </c>
      <c r="J3044">
        <f>91-8762231860</f>
        <v>-8762231769</v>
      </c>
      <c r="K3044" t="s">
        <v>121</v>
      </c>
      <c r="L3044" t="s">
        <v>85</v>
      </c>
      <c r="M3044">
        <v>645979</v>
      </c>
      <c r="N3044" s="1">
        <v>45331</v>
      </c>
      <c r="O3044" t="s">
        <v>35</v>
      </c>
      <c r="P3044">
        <v>5</v>
      </c>
      <c r="Q3044">
        <v>8841.23</v>
      </c>
    </row>
    <row r="3045" spans="1:17" x14ac:dyDescent="0.3">
      <c r="A3045" t="s">
        <v>6785</v>
      </c>
      <c r="B3045" t="s">
        <v>669</v>
      </c>
      <c r="C3045" s="2" t="str">
        <f>PROPER(TRIM(Table1[[#This Row],[Gender]]))</f>
        <v>Female</v>
      </c>
      <c r="D3045" t="s">
        <v>43</v>
      </c>
      <c r="E3045">
        <v>41</v>
      </c>
      <c r="F3045" t="s">
        <v>38</v>
      </c>
      <c r="G3045" s="1">
        <v>30693</v>
      </c>
      <c r="H3045" t="s">
        <v>6786</v>
      </c>
      <c r="I3045" s="2" t="str">
        <f t="shared" si="47"/>
        <v>+91-7363683512</v>
      </c>
      <c r="J3045">
        <f>91-7363683603</f>
        <v>-7363683512</v>
      </c>
      <c r="K3045" t="s">
        <v>68</v>
      </c>
      <c r="L3045" t="s">
        <v>52</v>
      </c>
      <c r="M3045">
        <v>152988</v>
      </c>
      <c r="N3045" s="1">
        <v>45317</v>
      </c>
      <c r="O3045" t="s">
        <v>28</v>
      </c>
      <c r="P3045">
        <v>4</v>
      </c>
      <c r="Q3045">
        <v>111469.29</v>
      </c>
    </row>
    <row r="3046" spans="1:17" x14ac:dyDescent="0.3">
      <c r="A3046" t="s">
        <v>6787</v>
      </c>
      <c r="B3046" t="s">
        <v>345</v>
      </c>
      <c r="C3046" s="2" t="str">
        <f>PROPER(TRIM(Table1[[#This Row],[Gender]]))</f>
        <v>Male</v>
      </c>
      <c r="D3046" t="s">
        <v>16</v>
      </c>
      <c r="E3046">
        <v>36</v>
      </c>
      <c r="F3046" t="s">
        <v>38</v>
      </c>
      <c r="G3046" s="1">
        <v>32518</v>
      </c>
      <c r="H3046" t="s">
        <v>6788</v>
      </c>
      <c r="I3046" s="2" t="str">
        <f t="shared" si="47"/>
        <v>+91-9437160099</v>
      </c>
      <c r="J3046">
        <f>91-9437160190</f>
        <v>-9437160099</v>
      </c>
      <c r="K3046" t="s">
        <v>76</v>
      </c>
      <c r="L3046" t="s">
        <v>46</v>
      </c>
      <c r="M3046">
        <v>392390</v>
      </c>
      <c r="N3046" s="1">
        <v>45282</v>
      </c>
      <c r="O3046" t="s">
        <v>28</v>
      </c>
      <c r="P3046">
        <v>4</v>
      </c>
      <c r="Q3046">
        <v>146897.64000000001</v>
      </c>
    </row>
    <row r="3047" spans="1:17" x14ac:dyDescent="0.3">
      <c r="A3047" t="s">
        <v>6789</v>
      </c>
      <c r="B3047" t="s">
        <v>498</v>
      </c>
      <c r="C3047" s="2" t="str">
        <f>PROPER(TRIM(Table1[[#This Row],[Gender]]))</f>
        <v>Female</v>
      </c>
      <c r="D3047" t="s">
        <v>43</v>
      </c>
      <c r="E3047">
        <v>25</v>
      </c>
      <c r="F3047" t="s">
        <v>49</v>
      </c>
      <c r="G3047" s="1">
        <v>36533</v>
      </c>
      <c r="H3047" t="s">
        <v>6790</v>
      </c>
      <c r="I3047" s="2" t="str">
        <f t="shared" si="47"/>
        <v>+91-9838659422</v>
      </c>
      <c r="J3047">
        <f>91-9838659513</f>
        <v>-9838659422</v>
      </c>
      <c r="K3047" t="s">
        <v>161</v>
      </c>
      <c r="L3047" t="s">
        <v>102</v>
      </c>
      <c r="M3047">
        <v>772645</v>
      </c>
      <c r="N3047" s="1">
        <v>45376</v>
      </c>
      <c r="O3047" t="s">
        <v>28</v>
      </c>
      <c r="P3047">
        <v>5</v>
      </c>
      <c r="Q3047">
        <v>154850.25</v>
      </c>
    </row>
    <row r="3048" spans="1:17" x14ac:dyDescent="0.3">
      <c r="A3048" t="s">
        <v>6791</v>
      </c>
      <c r="B3048" t="s">
        <v>2338</v>
      </c>
      <c r="C3048" s="2" t="str">
        <f>PROPER(TRIM(Table1[[#This Row],[Gender]]))</f>
        <v>Male</v>
      </c>
      <c r="D3048" t="s">
        <v>16</v>
      </c>
      <c r="E3048">
        <v>43</v>
      </c>
      <c r="F3048" t="s">
        <v>38</v>
      </c>
      <c r="G3048" s="1">
        <v>29963</v>
      </c>
      <c r="H3048" t="s">
        <v>6792</v>
      </c>
      <c r="I3048" s="2" t="str">
        <f t="shared" si="47"/>
        <v>+91-7548685188</v>
      </c>
      <c r="J3048">
        <f>91-7548685279</f>
        <v>-7548685188</v>
      </c>
      <c r="K3048" t="s">
        <v>26</v>
      </c>
      <c r="L3048" t="s">
        <v>27</v>
      </c>
      <c r="M3048">
        <v>311416</v>
      </c>
      <c r="N3048" s="1">
        <v>45277</v>
      </c>
      <c r="O3048" t="s">
        <v>28</v>
      </c>
      <c r="P3048">
        <v>6</v>
      </c>
      <c r="Q3048">
        <v>67089.460000000006</v>
      </c>
    </row>
    <row r="3049" spans="1:17" x14ac:dyDescent="0.3">
      <c r="A3049" t="s">
        <v>6793</v>
      </c>
      <c r="B3049" t="s">
        <v>960</v>
      </c>
      <c r="C3049" s="2" t="str">
        <f>PROPER(TRIM(Table1[[#This Row],[Gender]]))</f>
        <v>Male</v>
      </c>
      <c r="D3049" t="s">
        <v>16</v>
      </c>
      <c r="E3049">
        <v>40</v>
      </c>
      <c r="F3049" t="s">
        <v>38</v>
      </c>
      <c r="G3049" s="1">
        <v>31058</v>
      </c>
      <c r="H3049" t="s">
        <v>2620</v>
      </c>
      <c r="I3049" s="2" t="str">
        <f t="shared" si="47"/>
        <v>+91-9260708793</v>
      </c>
      <c r="J3049">
        <f>91-9260708884</f>
        <v>-9260708793</v>
      </c>
      <c r="K3049" t="s">
        <v>109</v>
      </c>
      <c r="L3049" t="s">
        <v>46</v>
      </c>
      <c r="M3049">
        <v>449285</v>
      </c>
      <c r="N3049" s="1">
        <v>45207</v>
      </c>
      <c r="O3049" t="s">
        <v>28</v>
      </c>
      <c r="P3049">
        <v>4</v>
      </c>
      <c r="Q3049">
        <v>158178.03</v>
      </c>
    </row>
    <row r="3050" spans="1:17" x14ac:dyDescent="0.3">
      <c r="A3050" t="s">
        <v>6794</v>
      </c>
      <c r="B3050" t="s">
        <v>3471</v>
      </c>
      <c r="C3050" s="2" t="str">
        <f>PROPER(TRIM(Table1[[#This Row],[Gender]]))</f>
        <v>Male</v>
      </c>
      <c r="D3050" t="s">
        <v>16</v>
      </c>
      <c r="E3050">
        <v>28</v>
      </c>
      <c r="F3050" t="s">
        <v>31</v>
      </c>
      <c r="G3050" s="1">
        <v>35438</v>
      </c>
      <c r="H3050" t="s">
        <v>6795</v>
      </c>
      <c r="I3050" s="2" t="str">
        <f t="shared" si="47"/>
        <v>+91-7727283685</v>
      </c>
      <c r="J3050">
        <f>91-7727283776</f>
        <v>-7727283685</v>
      </c>
      <c r="K3050" t="s">
        <v>239</v>
      </c>
      <c r="L3050" t="s">
        <v>191</v>
      </c>
      <c r="M3050">
        <v>405385</v>
      </c>
      <c r="N3050" s="1">
        <v>45097</v>
      </c>
      <c r="O3050" t="s">
        <v>28</v>
      </c>
      <c r="P3050">
        <v>5</v>
      </c>
      <c r="Q3050">
        <v>81502.95</v>
      </c>
    </row>
    <row r="3051" spans="1:17" x14ac:dyDescent="0.3">
      <c r="A3051" t="s">
        <v>6796</v>
      </c>
      <c r="B3051" t="s">
        <v>1970</v>
      </c>
      <c r="C3051" s="2" t="str">
        <f>PROPER(TRIM(Table1[[#This Row],[Gender]]))</f>
        <v>Female</v>
      </c>
      <c r="D3051" t="s">
        <v>43</v>
      </c>
      <c r="E3051">
        <v>19</v>
      </c>
      <c r="F3051" t="s">
        <v>49</v>
      </c>
      <c r="G3051" s="1">
        <v>38723</v>
      </c>
      <c r="H3051" t="s">
        <v>6797</v>
      </c>
      <c r="I3051" s="2" t="str">
        <f t="shared" si="47"/>
        <v>+91-9919560084</v>
      </c>
      <c r="J3051">
        <f>91-9919560175</f>
        <v>-9919560084</v>
      </c>
      <c r="K3051" t="s">
        <v>84</v>
      </c>
      <c r="L3051" t="s">
        <v>85</v>
      </c>
      <c r="M3051">
        <v>718213</v>
      </c>
      <c r="N3051" s="1">
        <v>45228</v>
      </c>
      <c r="O3051" t="s">
        <v>21</v>
      </c>
      <c r="P3051">
        <v>4</v>
      </c>
      <c r="Q3051">
        <v>40117.18</v>
      </c>
    </row>
    <row r="3052" spans="1:17" x14ac:dyDescent="0.3">
      <c r="A3052" t="s">
        <v>6798</v>
      </c>
      <c r="B3052" t="s">
        <v>4413</v>
      </c>
      <c r="C3052" s="2" t="str">
        <f>PROPER(TRIM(Table1[[#This Row],[Gender]]))</f>
        <v>Male</v>
      </c>
      <c r="D3052" t="s">
        <v>16</v>
      </c>
      <c r="E3052">
        <v>41</v>
      </c>
      <c r="F3052" t="s">
        <v>38</v>
      </c>
      <c r="G3052" s="1">
        <v>30693</v>
      </c>
      <c r="H3052" t="s">
        <v>6799</v>
      </c>
      <c r="I3052" s="2" t="str">
        <f t="shared" si="47"/>
        <v>+91-9837340959</v>
      </c>
      <c r="J3052">
        <f>91-9837341050</f>
        <v>-9837340959</v>
      </c>
      <c r="K3052" t="s">
        <v>101</v>
      </c>
      <c r="L3052" t="s">
        <v>102</v>
      </c>
      <c r="M3052">
        <v>356446</v>
      </c>
      <c r="N3052" s="1">
        <v>45379</v>
      </c>
      <c r="O3052" t="s">
        <v>28</v>
      </c>
      <c r="P3052">
        <v>8</v>
      </c>
      <c r="Q3052">
        <v>267740.71999999997</v>
      </c>
    </row>
    <row r="3053" spans="1:17" x14ac:dyDescent="0.3">
      <c r="A3053" t="s">
        <v>6800</v>
      </c>
      <c r="B3053" t="s">
        <v>554</v>
      </c>
      <c r="C3053" s="2" t="str">
        <f>PROPER(TRIM(Table1[[#This Row],[Gender]]))</f>
        <v>Male</v>
      </c>
      <c r="D3053" t="s">
        <v>16</v>
      </c>
      <c r="E3053">
        <v>32</v>
      </c>
      <c r="F3053" t="s">
        <v>31</v>
      </c>
      <c r="G3053" s="1">
        <v>33978</v>
      </c>
      <c r="H3053" t="s">
        <v>6801</v>
      </c>
      <c r="I3053" s="2" t="str">
        <f t="shared" si="47"/>
        <v>+91-8999903731</v>
      </c>
      <c r="J3053">
        <f>91-8999903822</f>
        <v>-8999903731</v>
      </c>
      <c r="K3053" t="s">
        <v>68</v>
      </c>
      <c r="L3053" t="s">
        <v>52</v>
      </c>
      <c r="M3053">
        <v>587348</v>
      </c>
      <c r="N3053" s="1">
        <v>45375</v>
      </c>
      <c r="O3053" t="s">
        <v>21</v>
      </c>
      <c r="P3053">
        <v>1</v>
      </c>
      <c r="Q3053">
        <v>27585.89</v>
      </c>
    </row>
    <row r="3054" spans="1:17" x14ac:dyDescent="0.3">
      <c r="A3054" t="s">
        <v>6802</v>
      </c>
      <c r="B3054" t="s">
        <v>6803</v>
      </c>
      <c r="C3054" s="2" t="str">
        <f>PROPER(TRIM(Table1[[#This Row],[Gender]]))</f>
        <v>Male</v>
      </c>
      <c r="D3054" t="s">
        <v>16</v>
      </c>
      <c r="E3054">
        <v>33</v>
      </c>
      <c r="F3054" t="s">
        <v>31</v>
      </c>
      <c r="G3054" s="1">
        <v>33613</v>
      </c>
      <c r="H3054" t="s">
        <v>6804</v>
      </c>
      <c r="I3054" s="2" t="str">
        <f t="shared" si="47"/>
        <v>+91-9723315044</v>
      </c>
      <c r="J3054">
        <f>91-9723315135</f>
        <v>-9723315044</v>
      </c>
      <c r="K3054" t="s">
        <v>121</v>
      </c>
      <c r="L3054" t="s">
        <v>85</v>
      </c>
      <c r="M3054">
        <v>186999</v>
      </c>
      <c r="N3054" s="1">
        <v>45183</v>
      </c>
      <c r="O3054" t="s">
        <v>28</v>
      </c>
      <c r="P3054">
        <v>6</v>
      </c>
      <c r="Q3054">
        <v>224191.71</v>
      </c>
    </row>
    <row r="3055" spans="1:17" x14ac:dyDescent="0.3">
      <c r="A3055" t="s">
        <v>6805</v>
      </c>
      <c r="B3055" t="s">
        <v>3521</v>
      </c>
      <c r="C3055" s="2" t="str">
        <f>PROPER(TRIM(Table1[[#This Row],[Gender]]))</f>
        <v>Female</v>
      </c>
      <c r="D3055" t="s">
        <v>43</v>
      </c>
      <c r="E3055">
        <v>39</v>
      </c>
      <c r="F3055" t="s">
        <v>38</v>
      </c>
      <c r="G3055" s="1">
        <v>31423</v>
      </c>
      <c r="H3055" t="s">
        <v>6806</v>
      </c>
      <c r="I3055" s="2" t="str">
        <f t="shared" si="47"/>
        <v>+91-9591088051</v>
      </c>
      <c r="J3055">
        <f>91-9591088142</f>
        <v>-9591088051</v>
      </c>
      <c r="K3055" t="s">
        <v>174</v>
      </c>
      <c r="L3055" t="s">
        <v>90</v>
      </c>
      <c r="M3055">
        <v>856851</v>
      </c>
      <c r="N3055" s="1">
        <v>45161</v>
      </c>
      <c r="O3055" t="s">
        <v>28</v>
      </c>
      <c r="P3055">
        <v>2</v>
      </c>
      <c r="Q3055">
        <v>185885.33</v>
      </c>
    </row>
    <row r="3056" spans="1:17" x14ac:dyDescent="0.3">
      <c r="A3056" t="s">
        <v>6807</v>
      </c>
      <c r="B3056" t="s">
        <v>3464</v>
      </c>
      <c r="C3056" s="2" t="str">
        <f>PROPER(TRIM(Table1[[#This Row],[Gender]]))</f>
        <v>Female</v>
      </c>
      <c r="D3056" t="s">
        <v>43</v>
      </c>
      <c r="E3056">
        <v>23</v>
      </c>
      <c r="F3056" t="s">
        <v>49</v>
      </c>
      <c r="G3056" s="1">
        <v>37263</v>
      </c>
      <c r="H3056" t="s">
        <v>6808</v>
      </c>
      <c r="I3056" s="2" t="str">
        <f t="shared" si="47"/>
        <v>+91-7996391246</v>
      </c>
      <c r="J3056">
        <f>91-7996391337</f>
        <v>-7996391246</v>
      </c>
      <c r="K3056" t="s">
        <v>154</v>
      </c>
      <c r="L3056" t="s">
        <v>46</v>
      </c>
      <c r="M3056">
        <v>429562</v>
      </c>
      <c r="N3056" s="1">
        <v>45362</v>
      </c>
      <c r="O3056" t="s">
        <v>21</v>
      </c>
      <c r="P3056">
        <v>3</v>
      </c>
      <c r="Q3056">
        <v>29861.72</v>
      </c>
    </row>
    <row r="3057" spans="1:17" x14ac:dyDescent="0.3">
      <c r="A3057" t="s">
        <v>6809</v>
      </c>
      <c r="B3057" t="s">
        <v>439</v>
      </c>
      <c r="C3057" s="2" t="str">
        <f>PROPER(TRIM(Table1[[#This Row],[Gender]]))</f>
        <v>Male</v>
      </c>
      <c r="D3057" t="s">
        <v>16</v>
      </c>
      <c r="E3057">
        <v>28</v>
      </c>
      <c r="F3057" t="s">
        <v>31</v>
      </c>
      <c r="G3057" s="1">
        <v>35438</v>
      </c>
      <c r="H3057" t="s">
        <v>6810</v>
      </c>
      <c r="I3057" s="2" t="str">
        <f t="shared" si="47"/>
        <v>+91-7161840345</v>
      </c>
      <c r="J3057">
        <f>91-7161840436</f>
        <v>-7161840345</v>
      </c>
      <c r="K3057" t="s">
        <v>72</v>
      </c>
      <c r="L3057" t="s">
        <v>34</v>
      </c>
      <c r="M3057">
        <v>497175</v>
      </c>
      <c r="N3057" s="1">
        <v>45394</v>
      </c>
      <c r="O3057" t="s">
        <v>28</v>
      </c>
      <c r="P3057">
        <v>6</v>
      </c>
      <c r="Q3057">
        <v>240454.19</v>
      </c>
    </row>
    <row r="3058" spans="1:17" x14ac:dyDescent="0.3">
      <c r="A3058" t="s">
        <v>6811</v>
      </c>
      <c r="B3058" t="s">
        <v>225</v>
      </c>
      <c r="C3058" s="2" t="str">
        <f>PROPER(TRIM(Table1[[#This Row],[Gender]]))</f>
        <v>Male</v>
      </c>
      <c r="D3058" t="s">
        <v>16</v>
      </c>
      <c r="E3058">
        <v>42</v>
      </c>
      <c r="F3058" t="s">
        <v>38</v>
      </c>
      <c r="G3058" s="1">
        <v>30328</v>
      </c>
      <c r="H3058" t="s">
        <v>6812</v>
      </c>
      <c r="I3058" s="2" t="str">
        <f t="shared" si="47"/>
        <v>+91-8897952920</v>
      </c>
      <c r="J3058">
        <f>91-8897953011</f>
        <v>-8897952920</v>
      </c>
      <c r="K3058" t="s">
        <v>147</v>
      </c>
      <c r="L3058" t="s">
        <v>143</v>
      </c>
      <c r="M3058">
        <v>240022</v>
      </c>
      <c r="N3058" s="1">
        <v>45168</v>
      </c>
      <c r="O3058" t="s">
        <v>28</v>
      </c>
      <c r="P3058">
        <v>1</v>
      </c>
      <c r="Q3058">
        <v>74853.34</v>
      </c>
    </row>
    <row r="3059" spans="1:17" x14ac:dyDescent="0.3">
      <c r="A3059" t="s">
        <v>6813</v>
      </c>
      <c r="B3059" t="s">
        <v>1115</v>
      </c>
      <c r="C3059" s="2" t="str">
        <f>PROPER(TRIM(Table1[[#This Row],[Gender]]))</f>
        <v>Female</v>
      </c>
      <c r="D3059" t="s">
        <v>43</v>
      </c>
      <c r="E3059">
        <v>18</v>
      </c>
      <c r="F3059" t="s">
        <v>49</v>
      </c>
      <c r="G3059" s="1">
        <v>39088</v>
      </c>
      <c r="H3059" t="s">
        <v>6814</v>
      </c>
      <c r="I3059" s="2" t="str">
        <f t="shared" si="47"/>
        <v>+91-9865534428</v>
      </c>
      <c r="J3059">
        <f>91-9865534519</f>
        <v>-9865534428</v>
      </c>
      <c r="K3059" t="s">
        <v>125</v>
      </c>
      <c r="L3059" t="s">
        <v>52</v>
      </c>
      <c r="M3059">
        <v>661982</v>
      </c>
      <c r="N3059" s="1">
        <v>45295</v>
      </c>
      <c r="O3059" t="s">
        <v>35</v>
      </c>
      <c r="P3059">
        <v>1</v>
      </c>
      <c r="Q3059">
        <v>1346.43</v>
      </c>
    </row>
    <row r="3060" spans="1:17" x14ac:dyDescent="0.3">
      <c r="A3060" t="s">
        <v>6815</v>
      </c>
      <c r="B3060" t="s">
        <v>1337</v>
      </c>
      <c r="C3060" s="2" t="str">
        <f>PROPER(TRIM(Table1[[#This Row],[Gender]]))</f>
        <v>Female</v>
      </c>
      <c r="D3060" t="s">
        <v>43</v>
      </c>
      <c r="E3060">
        <v>20</v>
      </c>
      <c r="F3060" t="s">
        <v>49</v>
      </c>
      <c r="G3060" s="1">
        <v>38358</v>
      </c>
      <c r="H3060" t="s">
        <v>1338</v>
      </c>
      <c r="I3060" s="2" t="str">
        <f t="shared" si="47"/>
        <v>+91-8592705046</v>
      </c>
      <c r="J3060">
        <f>91-8592705137</f>
        <v>-8592705046</v>
      </c>
      <c r="K3060" t="s">
        <v>40</v>
      </c>
      <c r="L3060" t="s">
        <v>27</v>
      </c>
      <c r="M3060">
        <v>915697</v>
      </c>
      <c r="N3060" s="1">
        <v>45160</v>
      </c>
      <c r="O3060" t="s">
        <v>28</v>
      </c>
      <c r="P3060">
        <v>3</v>
      </c>
      <c r="Q3060">
        <v>64668.55</v>
      </c>
    </row>
    <row r="3061" spans="1:17" x14ac:dyDescent="0.3">
      <c r="A3061" t="s">
        <v>6816</v>
      </c>
      <c r="B3061" t="s">
        <v>1319</v>
      </c>
      <c r="C3061" s="2" t="str">
        <f>PROPER(TRIM(Table1[[#This Row],[Gender]]))</f>
        <v>Male</v>
      </c>
      <c r="D3061" t="s">
        <v>16</v>
      </c>
      <c r="E3061">
        <v>29</v>
      </c>
      <c r="F3061" t="s">
        <v>31</v>
      </c>
      <c r="G3061" s="1">
        <v>35073</v>
      </c>
      <c r="H3061" t="s">
        <v>1320</v>
      </c>
      <c r="I3061" s="2" t="str">
        <f t="shared" si="47"/>
        <v>+91-7194305478</v>
      </c>
      <c r="J3061">
        <f>91-7194305569</f>
        <v>-7194305478</v>
      </c>
      <c r="K3061" t="s">
        <v>117</v>
      </c>
      <c r="L3061" t="s">
        <v>52</v>
      </c>
      <c r="M3061">
        <v>369958</v>
      </c>
      <c r="N3061" s="1">
        <v>45229</v>
      </c>
      <c r="O3061" t="s">
        <v>21</v>
      </c>
      <c r="P3061">
        <v>4</v>
      </c>
      <c r="Q3061">
        <v>22376.18</v>
      </c>
    </row>
    <row r="3062" spans="1:17" x14ac:dyDescent="0.3">
      <c r="A3062" t="s">
        <v>6817</v>
      </c>
      <c r="B3062" t="s">
        <v>966</v>
      </c>
      <c r="C3062" s="2" t="str">
        <f>PROPER(TRIM(Table1[[#This Row],[Gender]]))</f>
        <v>Female</v>
      </c>
      <c r="D3062" t="s">
        <v>43</v>
      </c>
      <c r="E3062">
        <v>46</v>
      </c>
      <c r="F3062" t="s">
        <v>17</v>
      </c>
      <c r="G3062" s="1">
        <v>28868</v>
      </c>
      <c r="H3062" t="s">
        <v>6818</v>
      </c>
      <c r="I3062" s="2" t="str">
        <f t="shared" si="47"/>
        <v>+91-8122496329</v>
      </c>
      <c r="J3062">
        <f>91-8122496420</f>
        <v>-8122496329</v>
      </c>
      <c r="K3062" t="s">
        <v>40</v>
      </c>
      <c r="L3062" t="s">
        <v>27</v>
      </c>
      <c r="M3062">
        <v>475050</v>
      </c>
      <c r="N3062" s="1">
        <v>45301</v>
      </c>
      <c r="O3062" t="s">
        <v>35</v>
      </c>
      <c r="P3062">
        <v>4</v>
      </c>
      <c r="Q3062">
        <v>9505.08</v>
      </c>
    </row>
    <row r="3063" spans="1:17" x14ac:dyDescent="0.3">
      <c r="A3063" t="s">
        <v>6819</v>
      </c>
      <c r="B3063" t="s">
        <v>2147</v>
      </c>
      <c r="C3063" s="2" t="str">
        <f>PROPER(TRIM(Table1[[#This Row],[Gender]]))</f>
        <v>Female</v>
      </c>
      <c r="D3063" t="s">
        <v>43</v>
      </c>
      <c r="E3063">
        <v>18</v>
      </c>
      <c r="F3063" t="s">
        <v>49</v>
      </c>
      <c r="G3063" s="1">
        <v>39088</v>
      </c>
      <c r="H3063" t="s">
        <v>6820</v>
      </c>
      <c r="I3063" s="2" t="str">
        <f t="shared" si="47"/>
        <v>+91-8895416974</v>
      </c>
      <c r="J3063">
        <f>91-8895417065</f>
        <v>-8895416974</v>
      </c>
      <c r="K3063" t="s">
        <v>101</v>
      </c>
      <c r="L3063" t="s">
        <v>102</v>
      </c>
      <c r="M3063">
        <v>153044</v>
      </c>
      <c r="N3063" s="1">
        <v>45084</v>
      </c>
      <c r="O3063" t="s">
        <v>28</v>
      </c>
      <c r="P3063">
        <v>4</v>
      </c>
      <c r="Q3063">
        <v>96751.039999999994</v>
      </c>
    </row>
    <row r="3064" spans="1:17" x14ac:dyDescent="0.3">
      <c r="A3064" t="s">
        <v>6821</v>
      </c>
      <c r="B3064" t="s">
        <v>2213</v>
      </c>
      <c r="C3064" s="2" t="str">
        <f>PROPER(TRIM(Table1[[#This Row],[Gender]]))</f>
        <v>Male</v>
      </c>
      <c r="D3064" t="s">
        <v>16</v>
      </c>
      <c r="E3064">
        <v>33</v>
      </c>
      <c r="F3064" t="s">
        <v>31</v>
      </c>
      <c r="G3064" s="1">
        <v>33613</v>
      </c>
      <c r="H3064" t="s">
        <v>6822</v>
      </c>
      <c r="I3064" s="2" t="str">
        <f t="shared" si="47"/>
        <v>+91-8432549448</v>
      </c>
      <c r="J3064">
        <f>91-8432549539</f>
        <v>-8432549448</v>
      </c>
      <c r="K3064" t="s">
        <v>72</v>
      </c>
      <c r="L3064" t="s">
        <v>34</v>
      </c>
      <c r="M3064">
        <v>592280</v>
      </c>
      <c r="N3064" s="1">
        <v>45111</v>
      </c>
      <c r="O3064" t="s">
        <v>28</v>
      </c>
      <c r="P3064">
        <v>4</v>
      </c>
      <c r="Q3064">
        <v>123137.39</v>
      </c>
    </row>
    <row r="3065" spans="1:17" x14ac:dyDescent="0.3">
      <c r="A3065" t="s">
        <v>6823</v>
      </c>
      <c r="B3065" t="s">
        <v>3829</v>
      </c>
      <c r="C3065" s="2" t="str">
        <f>PROPER(TRIM(Table1[[#This Row],[Gender]]))</f>
        <v>Female</v>
      </c>
      <c r="D3065" t="s">
        <v>43</v>
      </c>
      <c r="E3065">
        <v>22</v>
      </c>
      <c r="F3065" t="s">
        <v>49</v>
      </c>
      <c r="G3065" s="1">
        <v>37628</v>
      </c>
      <c r="H3065" t="s">
        <v>6824</v>
      </c>
      <c r="I3065" s="2" t="str">
        <f t="shared" si="47"/>
        <v>+91-9002829352</v>
      </c>
      <c r="J3065">
        <f>91-9002829443</f>
        <v>-9002829352</v>
      </c>
      <c r="K3065" t="s">
        <v>117</v>
      </c>
      <c r="L3065" t="s">
        <v>52</v>
      </c>
      <c r="M3065">
        <v>312981</v>
      </c>
      <c r="N3065" s="1">
        <v>45411</v>
      </c>
      <c r="O3065" t="s">
        <v>21</v>
      </c>
      <c r="P3065">
        <v>3</v>
      </c>
      <c r="Q3065">
        <v>41786.61</v>
      </c>
    </row>
    <row r="3066" spans="1:17" x14ac:dyDescent="0.3">
      <c r="A3066" t="s">
        <v>6825</v>
      </c>
      <c r="B3066" t="s">
        <v>3829</v>
      </c>
      <c r="C3066" s="2" t="str">
        <f>PROPER(TRIM(Table1[[#This Row],[Gender]]))</f>
        <v>Female</v>
      </c>
      <c r="D3066" t="s">
        <v>43</v>
      </c>
      <c r="E3066">
        <v>32</v>
      </c>
      <c r="F3066" t="s">
        <v>31</v>
      </c>
      <c r="G3066" s="1">
        <v>33978</v>
      </c>
      <c r="H3066" t="s">
        <v>6826</v>
      </c>
      <c r="I3066" s="2" t="str">
        <f t="shared" si="47"/>
        <v>+91-7256590099</v>
      </c>
      <c r="J3066">
        <f>91-7256590190</f>
        <v>-7256590099</v>
      </c>
      <c r="K3066" t="s">
        <v>195</v>
      </c>
      <c r="L3066" t="s">
        <v>102</v>
      </c>
      <c r="M3066">
        <v>189191</v>
      </c>
      <c r="N3066" s="1">
        <v>45400</v>
      </c>
      <c r="O3066" t="s">
        <v>28</v>
      </c>
      <c r="P3066">
        <v>5</v>
      </c>
      <c r="Q3066">
        <v>142752.23000000001</v>
      </c>
    </row>
    <row r="3067" spans="1:17" x14ac:dyDescent="0.3">
      <c r="A3067" t="s">
        <v>6827</v>
      </c>
      <c r="B3067" t="s">
        <v>1775</v>
      </c>
      <c r="C3067" s="2" t="str">
        <f>PROPER(TRIM(Table1[[#This Row],[Gender]]))</f>
        <v>Female</v>
      </c>
      <c r="D3067" t="s">
        <v>43</v>
      </c>
      <c r="E3067">
        <v>28</v>
      </c>
      <c r="F3067" t="s">
        <v>31</v>
      </c>
      <c r="G3067" s="1">
        <v>35438</v>
      </c>
      <c r="H3067" t="s">
        <v>6828</v>
      </c>
      <c r="I3067" s="2" t="str">
        <f t="shared" si="47"/>
        <v>+91-9428004148</v>
      </c>
      <c r="J3067">
        <f>91-9428004239</f>
        <v>-9428004148</v>
      </c>
      <c r="K3067" t="s">
        <v>60</v>
      </c>
      <c r="L3067" t="s">
        <v>34</v>
      </c>
      <c r="M3067">
        <v>497856</v>
      </c>
      <c r="N3067" s="1">
        <v>45148</v>
      </c>
      <c r="O3067" t="s">
        <v>28</v>
      </c>
      <c r="P3067">
        <v>7</v>
      </c>
      <c r="Q3067">
        <v>217112.26</v>
      </c>
    </row>
    <row r="3068" spans="1:17" x14ac:dyDescent="0.3">
      <c r="A3068" t="s">
        <v>6829</v>
      </c>
      <c r="B3068" t="s">
        <v>5033</v>
      </c>
      <c r="C3068" s="2" t="str">
        <f>PROPER(TRIM(Table1[[#This Row],[Gender]]))</f>
        <v>Male</v>
      </c>
      <c r="D3068" t="s">
        <v>16</v>
      </c>
      <c r="E3068">
        <v>55</v>
      </c>
      <c r="F3068" t="s">
        <v>17</v>
      </c>
      <c r="G3068" s="1">
        <v>25583</v>
      </c>
      <c r="H3068" t="s">
        <v>6830</v>
      </c>
      <c r="I3068" s="2" t="str">
        <f t="shared" si="47"/>
        <v>+91-9745083164</v>
      </c>
      <c r="J3068">
        <f>91-9745083255</f>
        <v>-9745083164</v>
      </c>
      <c r="K3068" t="s">
        <v>138</v>
      </c>
      <c r="L3068" t="s">
        <v>90</v>
      </c>
      <c r="M3068">
        <v>657275</v>
      </c>
      <c r="N3068" s="1">
        <v>45189</v>
      </c>
      <c r="O3068" t="s">
        <v>21</v>
      </c>
      <c r="P3068">
        <v>4</v>
      </c>
      <c r="Q3068">
        <v>25679.89</v>
      </c>
    </row>
    <row r="3069" spans="1:17" x14ac:dyDescent="0.3">
      <c r="A3069" t="s">
        <v>6831</v>
      </c>
      <c r="B3069" t="s">
        <v>1395</v>
      </c>
      <c r="C3069" s="2" t="str">
        <f>PROPER(TRIM(Table1[[#This Row],[Gender]]))</f>
        <v>Male</v>
      </c>
      <c r="D3069" t="s">
        <v>16</v>
      </c>
      <c r="E3069">
        <v>20</v>
      </c>
      <c r="F3069" t="s">
        <v>49</v>
      </c>
      <c r="G3069" s="1">
        <v>38358</v>
      </c>
      <c r="H3069" t="s">
        <v>6832</v>
      </c>
      <c r="I3069" s="2" t="str">
        <f t="shared" si="47"/>
        <v>+91-8883552213</v>
      </c>
      <c r="J3069">
        <f>91-8883552304</f>
        <v>-8883552213</v>
      </c>
      <c r="K3069" t="s">
        <v>161</v>
      </c>
      <c r="L3069" t="s">
        <v>102</v>
      </c>
      <c r="M3069">
        <v>135286</v>
      </c>
      <c r="N3069" s="1">
        <v>45236</v>
      </c>
      <c r="O3069" t="s">
        <v>28</v>
      </c>
      <c r="P3069">
        <v>8</v>
      </c>
      <c r="Q3069">
        <v>160124.64000000001</v>
      </c>
    </row>
    <row r="3070" spans="1:17" x14ac:dyDescent="0.3">
      <c r="A3070" t="s">
        <v>6833</v>
      </c>
      <c r="B3070" t="s">
        <v>5789</v>
      </c>
      <c r="C3070" s="2" t="str">
        <f>PROPER(TRIM(Table1[[#This Row],[Gender]]))</f>
        <v>Male</v>
      </c>
      <c r="D3070" t="s">
        <v>16</v>
      </c>
      <c r="E3070">
        <v>32</v>
      </c>
      <c r="F3070" t="s">
        <v>31</v>
      </c>
      <c r="G3070" s="1">
        <v>33978</v>
      </c>
      <c r="H3070" t="s">
        <v>6834</v>
      </c>
      <c r="I3070" s="2" t="str">
        <f t="shared" si="47"/>
        <v>+91-8309637714</v>
      </c>
      <c r="J3070">
        <f>91-8309637805</f>
        <v>-8309637714</v>
      </c>
      <c r="K3070" t="s">
        <v>94</v>
      </c>
      <c r="L3070" t="s">
        <v>20</v>
      </c>
      <c r="M3070">
        <v>565473</v>
      </c>
      <c r="N3070" s="1">
        <v>45108</v>
      </c>
      <c r="O3070" t="s">
        <v>28</v>
      </c>
      <c r="P3070">
        <v>4</v>
      </c>
      <c r="Q3070">
        <v>215986.59</v>
      </c>
    </row>
    <row r="3071" spans="1:17" x14ac:dyDescent="0.3">
      <c r="A3071" t="s">
        <v>6835</v>
      </c>
      <c r="B3071" t="s">
        <v>2496</v>
      </c>
      <c r="C3071" s="2" t="str">
        <f>PROPER(TRIM(Table1[[#This Row],[Gender]]))</f>
        <v>Male</v>
      </c>
      <c r="D3071" t="s">
        <v>16</v>
      </c>
      <c r="E3071">
        <v>30</v>
      </c>
      <c r="F3071" t="s">
        <v>31</v>
      </c>
      <c r="G3071" s="1">
        <v>34708</v>
      </c>
      <c r="H3071" t="s">
        <v>6836</v>
      </c>
      <c r="I3071" s="2" t="str">
        <f t="shared" si="47"/>
        <v>+91-9937501068</v>
      </c>
      <c r="J3071">
        <f>91-9937501159</f>
        <v>-9937501068</v>
      </c>
      <c r="K3071" t="s">
        <v>202</v>
      </c>
      <c r="L3071" t="s">
        <v>191</v>
      </c>
      <c r="M3071">
        <v>409220</v>
      </c>
      <c r="N3071" s="1">
        <v>45090</v>
      </c>
      <c r="O3071" t="s">
        <v>28</v>
      </c>
      <c r="P3071">
        <v>6</v>
      </c>
      <c r="Q3071">
        <v>286372.44</v>
      </c>
    </row>
    <row r="3072" spans="1:17" x14ac:dyDescent="0.3">
      <c r="A3072" t="s">
        <v>6837</v>
      </c>
      <c r="B3072" t="s">
        <v>4735</v>
      </c>
      <c r="C3072" s="2" t="str">
        <f>PROPER(TRIM(Table1[[#This Row],[Gender]]))</f>
        <v>Male</v>
      </c>
      <c r="D3072" t="s">
        <v>16</v>
      </c>
      <c r="E3072">
        <v>26</v>
      </c>
      <c r="F3072" t="s">
        <v>31</v>
      </c>
      <c r="G3072" s="1">
        <v>36168</v>
      </c>
      <c r="H3072" t="s">
        <v>6838</v>
      </c>
      <c r="I3072" s="2" t="str">
        <f t="shared" si="47"/>
        <v>+91-7527820023</v>
      </c>
      <c r="J3072">
        <f>91-7527820114</f>
        <v>-7527820023</v>
      </c>
      <c r="K3072" t="s">
        <v>165</v>
      </c>
      <c r="L3072" t="s">
        <v>52</v>
      </c>
      <c r="M3072">
        <v>683421</v>
      </c>
      <c r="N3072" s="1">
        <v>45385</v>
      </c>
      <c r="O3072" t="s">
        <v>28</v>
      </c>
      <c r="P3072">
        <v>7</v>
      </c>
      <c r="Q3072">
        <v>130604.46</v>
      </c>
    </row>
    <row r="3073" spans="1:17" x14ac:dyDescent="0.3">
      <c r="A3073" t="s">
        <v>6839</v>
      </c>
      <c r="B3073" t="s">
        <v>1803</v>
      </c>
      <c r="C3073" s="2" t="str">
        <f>PROPER(TRIM(Table1[[#This Row],[Gender]]))</f>
        <v>Female</v>
      </c>
      <c r="D3073" t="s">
        <v>43</v>
      </c>
      <c r="E3073">
        <v>32</v>
      </c>
      <c r="F3073" t="s">
        <v>31</v>
      </c>
      <c r="G3073" s="1">
        <v>33978</v>
      </c>
      <c r="H3073" t="s">
        <v>6840</v>
      </c>
      <c r="I3073" s="2" t="str">
        <f t="shared" si="47"/>
        <v>+91-8128246045</v>
      </c>
      <c r="J3073">
        <f>91-8128246136</f>
        <v>-8128246045</v>
      </c>
      <c r="K3073" t="s">
        <v>64</v>
      </c>
      <c r="L3073" t="s">
        <v>20</v>
      </c>
      <c r="M3073">
        <v>676900</v>
      </c>
      <c r="N3073" s="1">
        <v>45388</v>
      </c>
      <c r="O3073" t="s">
        <v>28</v>
      </c>
      <c r="P3073">
        <v>5</v>
      </c>
      <c r="Q3073">
        <v>421479.81</v>
      </c>
    </row>
    <row r="3074" spans="1:17" x14ac:dyDescent="0.3">
      <c r="A3074" t="s">
        <v>6841</v>
      </c>
      <c r="B3074" t="s">
        <v>4848</v>
      </c>
      <c r="C3074" s="2" t="str">
        <f>PROPER(TRIM(Table1[[#This Row],[Gender]]))</f>
        <v>Female</v>
      </c>
      <c r="D3074" t="s">
        <v>43</v>
      </c>
      <c r="E3074">
        <v>27</v>
      </c>
      <c r="F3074" t="s">
        <v>31</v>
      </c>
      <c r="G3074" s="1">
        <v>35803</v>
      </c>
      <c r="H3074" t="s">
        <v>6842</v>
      </c>
      <c r="I3074" s="2" t="str">
        <f t="shared" ref="I3074:I3137" si="48">"+91"&amp;TEXT(J3074,"0000000000")</f>
        <v>+91-7533951165</v>
      </c>
      <c r="J3074">
        <f>91-7533951256</f>
        <v>-7533951165</v>
      </c>
      <c r="K3074" t="s">
        <v>117</v>
      </c>
      <c r="L3074" t="s">
        <v>52</v>
      </c>
      <c r="M3074">
        <v>778182</v>
      </c>
      <c r="N3074" s="1">
        <v>45119</v>
      </c>
      <c r="O3074" t="s">
        <v>28</v>
      </c>
      <c r="P3074">
        <v>6</v>
      </c>
      <c r="Q3074">
        <v>319395.38</v>
      </c>
    </row>
    <row r="3075" spans="1:17" x14ac:dyDescent="0.3">
      <c r="A3075" t="s">
        <v>6843</v>
      </c>
      <c r="B3075" t="s">
        <v>985</v>
      </c>
      <c r="C3075" s="2" t="str">
        <f>PROPER(TRIM(Table1[[#This Row],[Gender]]))</f>
        <v>Male</v>
      </c>
      <c r="D3075" t="s">
        <v>16</v>
      </c>
      <c r="E3075">
        <v>50</v>
      </c>
      <c r="F3075" t="s">
        <v>17</v>
      </c>
      <c r="G3075" s="1">
        <v>27408</v>
      </c>
      <c r="H3075" t="s">
        <v>6844</v>
      </c>
      <c r="I3075" s="2" t="str">
        <f t="shared" si="48"/>
        <v>+91-9126794758</v>
      </c>
      <c r="J3075">
        <f>91-9126794849</f>
        <v>-9126794758</v>
      </c>
      <c r="K3075" t="s">
        <v>45</v>
      </c>
      <c r="L3075" t="s">
        <v>46</v>
      </c>
      <c r="M3075">
        <v>688147</v>
      </c>
      <c r="N3075" s="1">
        <v>45244</v>
      </c>
      <c r="O3075" t="s">
        <v>35</v>
      </c>
      <c r="P3075">
        <v>5</v>
      </c>
      <c r="Q3075">
        <v>5760.38</v>
      </c>
    </row>
    <row r="3076" spans="1:17" x14ac:dyDescent="0.3">
      <c r="A3076" t="s">
        <v>6845</v>
      </c>
      <c r="B3076" t="s">
        <v>1862</v>
      </c>
      <c r="C3076" s="2" t="str">
        <f>PROPER(TRIM(Table1[[#This Row],[Gender]]))</f>
        <v>Female</v>
      </c>
      <c r="D3076" t="s">
        <v>43</v>
      </c>
      <c r="E3076">
        <v>38</v>
      </c>
      <c r="F3076" t="s">
        <v>38</v>
      </c>
      <c r="G3076" s="1">
        <v>31788</v>
      </c>
      <c r="H3076" t="s">
        <v>3945</v>
      </c>
      <c r="I3076" s="2" t="str">
        <f t="shared" si="48"/>
        <v>+91-8322668487</v>
      </c>
      <c r="J3076">
        <f>91-8322668578</f>
        <v>-8322668487</v>
      </c>
      <c r="K3076" t="s">
        <v>33</v>
      </c>
      <c r="L3076" t="s">
        <v>34</v>
      </c>
      <c r="M3076">
        <v>273208</v>
      </c>
      <c r="N3076" s="1">
        <v>45109</v>
      </c>
      <c r="O3076" t="s">
        <v>21</v>
      </c>
      <c r="P3076">
        <v>1</v>
      </c>
      <c r="Q3076">
        <v>26513.48</v>
      </c>
    </row>
    <row r="3077" spans="1:17" x14ac:dyDescent="0.3">
      <c r="A3077" t="s">
        <v>6846</v>
      </c>
      <c r="B3077" t="s">
        <v>957</v>
      </c>
      <c r="C3077" s="2" t="str">
        <f>PROPER(TRIM(Table1[[#This Row],[Gender]]))</f>
        <v>Female</v>
      </c>
      <c r="D3077" t="s">
        <v>43</v>
      </c>
      <c r="E3077">
        <v>30</v>
      </c>
      <c r="F3077" t="s">
        <v>31</v>
      </c>
      <c r="G3077" s="1">
        <v>34708</v>
      </c>
      <c r="H3077" t="s">
        <v>6847</v>
      </c>
      <c r="I3077" s="2" t="str">
        <f t="shared" si="48"/>
        <v>+91-8393560068</v>
      </c>
      <c r="J3077">
        <f>91-8393560159</f>
        <v>-8393560068</v>
      </c>
      <c r="K3077" t="s">
        <v>113</v>
      </c>
      <c r="L3077" t="s">
        <v>34</v>
      </c>
      <c r="M3077">
        <v>684868</v>
      </c>
      <c r="N3077" s="1">
        <v>45172</v>
      </c>
      <c r="O3077" t="s">
        <v>21</v>
      </c>
      <c r="P3077">
        <v>3</v>
      </c>
      <c r="Q3077">
        <v>29245.18</v>
      </c>
    </row>
    <row r="3078" spans="1:17" x14ac:dyDescent="0.3">
      <c r="A3078" t="s">
        <v>6848</v>
      </c>
      <c r="B3078" t="s">
        <v>1816</v>
      </c>
      <c r="C3078" s="2" t="str">
        <f>PROPER(TRIM(Table1[[#This Row],[Gender]]))</f>
        <v>Female</v>
      </c>
      <c r="D3078" t="s">
        <v>43</v>
      </c>
      <c r="E3078">
        <v>38</v>
      </c>
      <c r="F3078" t="s">
        <v>38</v>
      </c>
      <c r="G3078" s="1">
        <v>31788</v>
      </c>
      <c r="H3078" t="s">
        <v>6849</v>
      </c>
      <c r="I3078" s="2" t="str">
        <f t="shared" si="48"/>
        <v>+91-7132793401</v>
      </c>
      <c r="J3078">
        <f>91-7132793492</f>
        <v>-7132793401</v>
      </c>
      <c r="K3078" t="s">
        <v>195</v>
      </c>
      <c r="L3078" t="s">
        <v>102</v>
      </c>
      <c r="M3078">
        <v>903876</v>
      </c>
      <c r="N3078" s="1">
        <v>45361</v>
      </c>
      <c r="O3078" t="s">
        <v>28</v>
      </c>
      <c r="P3078">
        <v>5</v>
      </c>
      <c r="Q3078">
        <v>120933.28</v>
      </c>
    </row>
    <row r="3079" spans="1:17" x14ac:dyDescent="0.3">
      <c r="A3079" t="s">
        <v>6850</v>
      </c>
      <c r="B3079" t="s">
        <v>6851</v>
      </c>
      <c r="C3079" s="2" t="str">
        <f>PROPER(TRIM(Table1[[#This Row],[Gender]]))</f>
        <v>Male</v>
      </c>
      <c r="D3079" t="s">
        <v>16</v>
      </c>
      <c r="E3079">
        <v>27</v>
      </c>
      <c r="F3079" t="s">
        <v>31</v>
      </c>
      <c r="G3079" s="1">
        <v>35803</v>
      </c>
      <c r="H3079" t="s">
        <v>6852</v>
      </c>
      <c r="I3079" s="2" t="str">
        <f t="shared" si="48"/>
        <v>+91-7419201541</v>
      </c>
      <c r="J3079">
        <f>91-7419201632</f>
        <v>-7419201541</v>
      </c>
      <c r="K3079" t="s">
        <v>147</v>
      </c>
      <c r="L3079" t="s">
        <v>143</v>
      </c>
      <c r="M3079">
        <v>426565</v>
      </c>
      <c r="N3079" s="1">
        <v>45148</v>
      </c>
      <c r="O3079" t="s">
        <v>28</v>
      </c>
      <c r="P3079">
        <v>7</v>
      </c>
      <c r="Q3079">
        <v>227911.6</v>
      </c>
    </row>
    <row r="3080" spans="1:17" x14ac:dyDescent="0.3">
      <c r="A3080" t="s">
        <v>6853</v>
      </c>
      <c r="B3080" t="s">
        <v>339</v>
      </c>
      <c r="C3080" s="2" t="str">
        <f>PROPER(TRIM(Table1[[#This Row],[Gender]]))</f>
        <v>Female</v>
      </c>
      <c r="D3080" t="s">
        <v>43</v>
      </c>
      <c r="E3080">
        <v>60</v>
      </c>
      <c r="F3080" t="s">
        <v>58</v>
      </c>
      <c r="G3080" s="1">
        <v>23758</v>
      </c>
      <c r="H3080" t="s">
        <v>6854</v>
      </c>
      <c r="I3080" s="2" t="str">
        <f t="shared" si="48"/>
        <v>+91-9892624890</v>
      </c>
      <c r="J3080">
        <f>91-9892624981</f>
        <v>-9892624890</v>
      </c>
      <c r="K3080" t="s">
        <v>174</v>
      </c>
      <c r="L3080" t="s">
        <v>90</v>
      </c>
      <c r="M3080">
        <v>152835</v>
      </c>
      <c r="N3080" s="1">
        <v>45284</v>
      </c>
      <c r="O3080" t="s">
        <v>21</v>
      </c>
      <c r="P3080">
        <v>2</v>
      </c>
      <c r="Q3080">
        <v>27670.23</v>
      </c>
    </row>
    <row r="3081" spans="1:17" x14ac:dyDescent="0.3">
      <c r="A3081" t="s">
        <v>6855</v>
      </c>
      <c r="B3081" t="s">
        <v>2406</v>
      </c>
      <c r="C3081" s="2" t="str">
        <f>PROPER(TRIM(Table1[[#This Row],[Gender]]))</f>
        <v>Female</v>
      </c>
      <c r="D3081" t="s">
        <v>43</v>
      </c>
      <c r="E3081">
        <v>32</v>
      </c>
      <c r="F3081" t="s">
        <v>31</v>
      </c>
      <c r="G3081" s="1">
        <v>33978</v>
      </c>
      <c r="H3081" t="s">
        <v>6856</v>
      </c>
      <c r="I3081" s="2" t="str">
        <f t="shared" si="48"/>
        <v>+91-9776399345</v>
      </c>
      <c r="J3081">
        <f>91-9776399436</f>
        <v>-9776399345</v>
      </c>
      <c r="K3081" t="s">
        <v>89</v>
      </c>
      <c r="L3081" t="s">
        <v>90</v>
      </c>
      <c r="M3081">
        <v>186798</v>
      </c>
      <c r="N3081" s="1">
        <v>45291</v>
      </c>
      <c r="O3081" t="s">
        <v>28</v>
      </c>
      <c r="P3081">
        <v>8</v>
      </c>
      <c r="Q3081">
        <v>347549.66</v>
      </c>
    </row>
    <row r="3082" spans="1:17" x14ac:dyDescent="0.3">
      <c r="A3082" t="s">
        <v>6857</v>
      </c>
      <c r="B3082" t="s">
        <v>2597</v>
      </c>
      <c r="C3082" s="2" t="str">
        <f>PROPER(TRIM(Table1[[#This Row],[Gender]]))</f>
        <v>Female</v>
      </c>
      <c r="D3082" t="s">
        <v>43</v>
      </c>
      <c r="E3082">
        <v>42</v>
      </c>
      <c r="F3082" t="s">
        <v>38</v>
      </c>
      <c r="G3082" s="1">
        <v>30328</v>
      </c>
      <c r="H3082" t="s">
        <v>6858</v>
      </c>
      <c r="I3082" s="2" t="str">
        <f t="shared" si="48"/>
        <v>+91-9836605954</v>
      </c>
      <c r="J3082">
        <f>91-9836606045</f>
        <v>-9836605954</v>
      </c>
      <c r="K3082" t="s">
        <v>142</v>
      </c>
      <c r="L3082" t="s">
        <v>143</v>
      </c>
      <c r="M3082">
        <v>969870</v>
      </c>
      <c r="N3082" s="1">
        <v>45162</v>
      </c>
      <c r="O3082" t="s">
        <v>21</v>
      </c>
      <c r="P3082">
        <v>4</v>
      </c>
      <c r="Q3082">
        <v>49451.73</v>
      </c>
    </row>
    <row r="3083" spans="1:17" x14ac:dyDescent="0.3">
      <c r="A3083" t="s">
        <v>6859</v>
      </c>
      <c r="B3083" t="s">
        <v>6860</v>
      </c>
      <c r="C3083" s="2" t="str">
        <f>PROPER(TRIM(Table1[[#This Row],[Gender]]))</f>
        <v>Female</v>
      </c>
      <c r="D3083" t="s">
        <v>43</v>
      </c>
      <c r="E3083">
        <v>51</v>
      </c>
      <c r="F3083" t="s">
        <v>17</v>
      </c>
      <c r="G3083" s="1">
        <v>27043</v>
      </c>
      <c r="H3083" t="s">
        <v>6861</v>
      </c>
      <c r="I3083" s="2" t="str">
        <f t="shared" si="48"/>
        <v>+91-9939425723</v>
      </c>
      <c r="J3083">
        <f>91-9939425814</f>
        <v>-9939425723</v>
      </c>
      <c r="K3083" t="s">
        <v>113</v>
      </c>
      <c r="L3083" t="s">
        <v>34</v>
      </c>
      <c r="M3083">
        <v>608686</v>
      </c>
      <c r="N3083" s="1">
        <v>45140</v>
      </c>
      <c r="O3083" t="s">
        <v>35</v>
      </c>
      <c r="P3083">
        <v>1</v>
      </c>
      <c r="Q3083">
        <v>1707.82</v>
      </c>
    </row>
    <row r="3084" spans="1:17" x14ac:dyDescent="0.3">
      <c r="A3084" t="s">
        <v>6862</v>
      </c>
      <c r="B3084" t="s">
        <v>2848</v>
      </c>
      <c r="C3084" s="2" t="str">
        <f>PROPER(TRIM(Table1[[#This Row],[Gender]]))</f>
        <v>Male</v>
      </c>
      <c r="D3084" t="s">
        <v>16</v>
      </c>
      <c r="E3084">
        <v>67</v>
      </c>
      <c r="F3084" t="s">
        <v>24</v>
      </c>
      <c r="G3084" s="1">
        <v>21203</v>
      </c>
      <c r="H3084" t="s">
        <v>2849</v>
      </c>
      <c r="I3084" s="2" t="str">
        <f t="shared" si="48"/>
        <v>+91-7422787138</v>
      </c>
      <c r="J3084">
        <f>91-7422787229</f>
        <v>-7422787138</v>
      </c>
      <c r="K3084" t="s">
        <v>195</v>
      </c>
      <c r="L3084" t="s">
        <v>102</v>
      </c>
      <c r="M3084">
        <v>669024</v>
      </c>
      <c r="N3084" s="1">
        <v>45334</v>
      </c>
      <c r="O3084" t="s">
        <v>28</v>
      </c>
      <c r="P3084">
        <v>4</v>
      </c>
      <c r="Q3084">
        <v>57125.39</v>
      </c>
    </row>
    <row r="3085" spans="1:17" x14ac:dyDescent="0.3">
      <c r="A3085" t="s">
        <v>6863</v>
      </c>
      <c r="B3085" t="s">
        <v>54</v>
      </c>
      <c r="C3085" s="2" t="str">
        <f>PROPER(TRIM(Table1[[#This Row],[Gender]]))</f>
        <v>Male</v>
      </c>
      <c r="D3085" t="s">
        <v>16</v>
      </c>
      <c r="E3085">
        <v>44</v>
      </c>
      <c r="F3085" t="s">
        <v>38</v>
      </c>
      <c r="G3085" s="1">
        <v>29598</v>
      </c>
      <c r="H3085" t="s">
        <v>6864</v>
      </c>
      <c r="I3085" s="2" t="str">
        <f t="shared" si="48"/>
        <v>+91-9951305059</v>
      </c>
      <c r="J3085">
        <f>91-9951305150</f>
        <v>-9951305059</v>
      </c>
      <c r="K3085" t="s">
        <v>161</v>
      </c>
      <c r="L3085" t="s">
        <v>102</v>
      </c>
      <c r="M3085">
        <v>923841</v>
      </c>
      <c r="N3085" s="1">
        <v>45119</v>
      </c>
      <c r="O3085" t="s">
        <v>28</v>
      </c>
      <c r="P3085">
        <v>6</v>
      </c>
      <c r="Q3085">
        <v>372344.85</v>
      </c>
    </row>
    <row r="3086" spans="1:17" x14ac:dyDescent="0.3">
      <c r="A3086" t="s">
        <v>6865</v>
      </c>
      <c r="B3086" t="s">
        <v>2271</v>
      </c>
      <c r="C3086" s="2" t="str">
        <f>PROPER(TRIM(Table1[[#This Row],[Gender]]))</f>
        <v>Female</v>
      </c>
      <c r="D3086" t="s">
        <v>43</v>
      </c>
      <c r="E3086">
        <v>20</v>
      </c>
      <c r="F3086" t="s">
        <v>49</v>
      </c>
      <c r="G3086" s="1">
        <v>38358</v>
      </c>
      <c r="H3086" t="s">
        <v>2272</v>
      </c>
      <c r="I3086" s="2" t="str">
        <f t="shared" si="48"/>
        <v>+91-8430587456</v>
      </c>
      <c r="J3086">
        <f>91-8430587547</f>
        <v>-8430587456</v>
      </c>
      <c r="K3086" t="s">
        <v>125</v>
      </c>
      <c r="L3086" t="s">
        <v>52</v>
      </c>
      <c r="M3086">
        <v>444608</v>
      </c>
      <c r="N3086" s="1">
        <v>45221</v>
      </c>
      <c r="O3086" t="s">
        <v>28</v>
      </c>
      <c r="P3086">
        <v>6</v>
      </c>
      <c r="Q3086">
        <v>193225.97</v>
      </c>
    </row>
    <row r="3087" spans="1:17" x14ac:dyDescent="0.3">
      <c r="A3087" t="s">
        <v>6866</v>
      </c>
      <c r="B3087" t="s">
        <v>3215</v>
      </c>
      <c r="C3087" s="2" t="str">
        <f>PROPER(TRIM(Table1[[#This Row],[Gender]]))</f>
        <v>Male</v>
      </c>
      <c r="D3087" t="s">
        <v>16</v>
      </c>
      <c r="E3087">
        <v>20</v>
      </c>
      <c r="F3087" t="s">
        <v>49</v>
      </c>
      <c r="G3087" s="1">
        <v>38358</v>
      </c>
      <c r="H3087" t="s">
        <v>6867</v>
      </c>
      <c r="I3087" s="2" t="str">
        <f t="shared" si="48"/>
        <v>+91-9577027533</v>
      </c>
      <c r="J3087">
        <f>91-9577027624</f>
        <v>-9577027533</v>
      </c>
      <c r="K3087" t="s">
        <v>26</v>
      </c>
      <c r="L3087" t="s">
        <v>27</v>
      </c>
      <c r="M3087">
        <v>364881</v>
      </c>
      <c r="N3087" s="1">
        <v>45422</v>
      </c>
      <c r="O3087" t="s">
        <v>21</v>
      </c>
      <c r="P3087">
        <v>4</v>
      </c>
      <c r="Q3087">
        <v>31732.86</v>
      </c>
    </row>
    <row r="3088" spans="1:17" x14ac:dyDescent="0.3">
      <c r="A3088" t="s">
        <v>6868</v>
      </c>
      <c r="B3088" t="s">
        <v>3063</v>
      </c>
      <c r="C3088" s="2" t="str">
        <f>PROPER(TRIM(Table1[[#This Row],[Gender]]))</f>
        <v>Female</v>
      </c>
      <c r="D3088" t="s">
        <v>43</v>
      </c>
      <c r="E3088">
        <v>38</v>
      </c>
      <c r="F3088" t="s">
        <v>38</v>
      </c>
      <c r="G3088" s="1">
        <v>31788</v>
      </c>
      <c r="H3088" t="s">
        <v>6869</v>
      </c>
      <c r="I3088" s="2" t="str">
        <f t="shared" si="48"/>
        <v>+91-8533039802</v>
      </c>
      <c r="J3088">
        <f>91-8533039893</f>
        <v>-8533039802</v>
      </c>
      <c r="K3088" t="s">
        <v>190</v>
      </c>
      <c r="L3088" t="s">
        <v>191</v>
      </c>
      <c r="M3088">
        <v>821499</v>
      </c>
      <c r="N3088" s="1">
        <v>45218</v>
      </c>
      <c r="O3088" t="s">
        <v>28</v>
      </c>
      <c r="P3088">
        <v>5</v>
      </c>
      <c r="Q3088">
        <v>119013.7</v>
      </c>
    </row>
    <row r="3089" spans="1:17" x14ac:dyDescent="0.3">
      <c r="A3089" t="s">
        <v>6870</v>
      </c>
      <c r="B3089" t="s">
        <v>2739</v>
      </c>
      <c r="C3089" s="2" t="str">
        <f>PROPER(TRIM(Table1[[#This Row],[Gender]]))</f>
        <v>Female</v>
      </c>
      <c r="D3089" t="s">
        <v>43</v>
      </c>
      <c r="E3089">
        <v>20</v>
      </c>
      <c r="F3089" t="s">
        <v>49</v>
      </c>
      <c r="G3089" s="1">
        <v>38358</v>
      </c>
      <c r="H3089" t="s">
        <v>6871</v>
      </c>
      <c r="I3089" s="2" t="str">
        <f t="shared" si="48"/>
        <v>+91-9631299690</v>
      </c>
      <c r="J3089">
        <f>91-9631299781</f>
        <v>-9631299690</v>
      </c>
      <c r="K3089" t="s">
        <v>369</v>
      </c>
      <c r="L3089" t="s">
        <v>191</v>
      </c>
      <c r="M3089">
        <v>397081</v>
      </c>
      <c r="N3089" s="1">
        <v>45195</v>
      </c>
      <c r="O3089" t="s">
        <v>21</v>
      </c>
      <c r="P3089">
        <v>3</v>
      </c>
      <c r="Q3089">
        <v>31690.03</v>
      </c>
    </row>
    <row r="3090" spans="1:17" x14ac:dyDescent="0.3">
      <c r="A3090" t="s">
        <v>6872</v>
      </c>
      <c r="B3090" t="s">
        <v>4080</v>
      </c>
      <c r="C3090" s="2" t="str">
        <f>PROPER(TRIM(Table1[[#This Row],[Gender]]))</f>
        <v>Male</v>
      </c>
      <c r="D3090" t="s">
        <v>16</v>
      </c>
      <c r="E3090">
        <v>32</v>
      </c>
      <c r="F3090" t="s">
        <v>31</v>
      </c>
      <c r="G3090" s="1">
        <v>33978</v>
      </c>
      <c r="H3090" t="s">
        <v>6873</v>
      </c>
      <c r="I3090" s="2" t="str">
        <f t="shared" si="48"/>
        <v>+91-8063929486</v>
      </c>
      <c r="J3090">
        <f>91-8063929577</f>
        <v>-8063929486</v>
      </c>
      <c r="K3090" t="s">
        <v>125</v>
      </c>
      <c r="L3090" t="s">
        <v>52</v>
      </c>
      <c r="M3090">
        <v>610348</v>
      </c>
      <c r="N3090" s="1">
        <v>45423</v>
      </c>
      <c r="O3090" t="s">
        <v>35</v>
      </c>
      <c r="P3090">
        <v>1</v>
      </c>
      <c r="Q3090">
        <v>10651.56</v>
      </c>
    </row>
    <row r="3091" spans="1:17" x14ac:dyDescent="0.3">
      <c r="A3091" t="s">
        <v>6874</v>
      </c>
      <c r="B3091" t="s">
        <v>3839</v>
      </c>
      <c r="C3091" s="2" t="str">
        <f>PROPER(TRIM(Table1[[#This Row],[Gender]]))</f>
        <v>Male</v>
      </c>
      <c r="D3091" t="s">
        <v>16</v>
      </c>
      <c r="E3091">
        <v>37</v>
      </c>
      <c r="F3091" t="s">
        <v>38</v>
      </c>
      <c r="G3091" s="1">
        <v>32153</v>
      </c>
      <c r="H3091" t="s">
        <v>6875</v>
      </c>
      <c r="I3091" s="2" t="str">
        <f t="shared" si="48"/>
        <v>+91-7308714833</v>
      </c>
      <c r="J3091">
        <f>91-7308714924</f>
        <v>-7308714833</v>
      </c>
      <c r="K3091" t="s">
        <v>64</v>
      </c>
      <c r="L3091" t="s">
        <v>20</v>
      </c>
      <c r="M3091">
        <v>703289</v>
      </c>
      <c r="N3091" s="1">
        <v>45230</v>
      </c>
      <c r="O3091" t="s">
        <v>21</v>
      </c>
      <c r="P3091">
        <v>3</v>
      </c>
      <c r="Q3091">
        <v>49445.79</v>
      </c>
    </row>
    <row r="3092" spans="1:17" x14ac:dyDescent="0.3">
      <c r="A3092" t="s">
        <v>6876</v>
      </c>
      <c r="B3092" t="s">
        <v>2021</v>
      </c>
      <c r="C3092" s="2" t="str">
        <f>PROPER(TRIM(Table1[[#This Row],[Gender]]))</f>
        <v>Male</v>
      </c>
      <c r="D3092" t="s">
        <v>16</v>
      </c>
      <c r="E3092">
        <v>41</v>
      </c>
      <c r="F3092" t="s">
        <v>38</v>
      </c>
      <c r="G3092" s="1">
        <v>30693</v>
      </c>
      <c r="H3092" t="s">
        <v>3341</v>
      </c>
      <c r="I3092" s="2" t="str">
        <f t="shared" si="48"/>
        <v>+91-9359906409</v>
      </c>
      <c r="J3092">
        <f>91-9359906500</f>
        <v>-9359906409</v>
      </c>
      <c r="K3092" t="s">
        <v>109</v>
      </c>
      <c r="L3092" t="s">
        <v>46</v>
      </c>
      <c r="M3092">
        <v>670128</v>
      </c>
      <c r="N3092" s="1">
        <v>45425</v>
      </c>
      <c r="O3092" t="s">
        <v>28</v>
      </c>
      <c r="P3092">
        <v>9</v>
      </c>
      <c r="Q3092">
        <v>424458.45</v>
      </c>
    </row>
    <row r="3093" spans="1:17" x14ac:dyDescent="0.3">
      <c r="A3093" t="s">
        <v>6877</v>
      </c>
      <c r="B3093" t="s">
        <v>546</v>
      </c>
      <c r="C3093" s="2" t="str">
        <f>PROPER(TRIM(Table1[[#This Row],[Gender]]))</f>
        <v>Female</v>
      </c>
      <c r="D3093" t="s">
        <v>43</v>
      </c>
      <c r="E3093">
        <v>33</v>
      </c>
      <c r="F3093" t="s">
        <v>31</v>
      </c>
      <c r="G3093" s="1">
        <v>33613</v>
      </c>
      <c r="H3093" t="s">
        <v>1031</v>
      </c>
      <c r="I3093" s="2" t="str">
        <f t="shared" si="48"/>
        <v>+91-8595820618</v>
      </c>
      <c r="J3093">
        <f>91-8595820709</f>
        <v>-8595820618</v>
      </c>
      <c r="K3093" t="s">
        <v>249</v>
      </c>
      <c r="L3093" t="s">
        <v>34</v>
      </c>
      <c r="M3093">
        <v>510598</v>
      </c>
      <c r="N3093" s="1">
        <v>45338</v>
      </c>
      <c r="O3093" t="s">
        <v>35</v>
      </c>
      <c r="P3093">
        <v>1</v>
      </c>
      <c r="Q3093">
        <v>7640.93</v>
      </c>
    </row>
    <row r="3094" spans="1:17" x14ac:dyDescent="0.3">
      <c r="A3094" t="s">
        <v>6878</v>
      </c>
      <c r="B3094" t="s">
        <v>193</v>
      </c>
      <c r="C3094" s="2" t="str">
        <f>PROPER(TRIM(Table1[[#This Row],[Gender]]))</f>
        <v>Male</v>
      </c>
      <c r="D3094" t="s">
        <v>16</v>
      </c>
      <c r="E3094">
        <v>24</v>
      </c>
      <c r="F3094" t="s">
        <v>49</v>
      </c>
      <c r="G3094" s="1">
        <v>36898</v>
      </c>
      <c r="H3094" t="s">
        <v>6879</v>
      </c>
      <c r="I3094" s="2" t="str">
        <f t="shared" si="48"/>
        <v>+91-9073649074</v>
      </c>
      <c r="J3094">
        <f>91-9073649165</f>
        <v>-9073649074</v>
      </c>
      <c r="K3094" t="s">
        <v>249</v>
      </c>
      <c r="L3094" t="s">
        <v>34</v>
      </c>
      <c r="M3094">
        <v>291032</v>
      </c>
      <c r="N3094" s="1">
        <v>45157</v>
      </c>
      <c r="O3094" t="s">
        <v>28</v>
      </c>
      <c r="P3094">
        <v>7</v>
      </c>
      <c r="Q3094">
        <v>72589.41</v>
      </c>
    </row>
    <row r="3095" spans="1:17" x14ac:dyDescent="0.3">
      <c r="A3095" t="s">
        <v>6880</v>
      </c>
      <c r="B3095" t="s">
        <v>1061</v>
      </c>
      <c r="C3095" s="2" t="str">
        <f>PROPER(TRIM(Table1[[#This Row],[Gender]]))</f>
        <v>Male</v>
      </c>
      <c r="D3095" t="s">
        <v>16</v>
      </c>
      <c r="E3095">
        <v>35</v>
      </c>
      <c r="F3095" t="s">
        <v>31</v>
      </c>
      <c r="G3095" s="1">
        <v>32883</v>
      </c>
      <c r="H3095" t="s">
        <v>6881</v>
      </c>
      <c r="I3095" s="2" t="str">
        <f t="shared" si="48"/>
        <v>+91-9979252324</v>
      </c>
      <c r="J3095">
        <f>91-9979252415</f>
        <v>-9979252324</v>
      </c>
      <c r="K3095" t="s">
        <v>142</v>
      </c>
      <c r="L3095" t="s">
        <v>143</v>
      </c>
      <c r="M3095">
        <v>994253</v>
      </c>
      <c r="N3095" s="1">
        <v>45262</v>
      </c>
      <c r="O3095" t="s">
        <v>28</v>
      </c>
      <c r="P3095">
        <v>6</v>
      </c>
      <c r="Q3095">
        <v>98721.97</v>
      </c>
    </row>
    <row r="3096" spans="1:17" x14ac:dyDescent="0.3">
      <c r="A3096" t="s">
        <v>6882</v>
      </c>
      <c r="B3096" t="s">
        <v>1362</v>
      </c>
      <c r="C3096" s="2" t="str">
        <f>PROPER(TRIM(Table1[[#This Row],[Gender]]))</f>
        <v>Female</v>
      </c>
      <c r="D3096" t="s">
        <v>43</v>
      </c>
      <c r="E3096">
        <v>24</v>
      </c>
      <c r="F3096" t="s">
        <v>49</v>
      </c>
      <c r="G3096" s="1">
        <v>36898</v>
      </c>
      <c r="H3096" t="s">
        <v>1363</v>
      </c>
      <c r="I3096" s="2" t="str">
        <f t="shared" si="48"/>
        <v>+91-7313266453</v>
      </c>
      <c r="J3096">
        <f>91-7313266544</f>
        <v>-7313266453</v>
      </c>
      <c r="K3096" t="s">
        <v>142</v>
      </c>
      <c r="L3096" t="s">
        <v>143</v>
      </c>
      <c r="M3096">
        <v>275264</v>
      </c>
      <c r="N3096" s="1">
        <v>45272</v>
      </c>
      <c r="O3096" t="s">
        <v>28</v>
      </c>
      <c r="P3096">
        <v>7</v>
      </c>
      <c r="Q3096">
        <v>179102.5</v>
      </c>
    </row>
    <row r="3097" spans="1:17" x14ac:dyDescent="0.3">
      <c r="A3097" t="s">
        <v>6883</v>
      </c>
      <c r="B3097" t="s">
        <v>1109</v>
      </c>
      <c r="C3097" s="2" t="str">
        <f>PROPER(TRIM(Table1[[#This Row],[Gender]]))</f>
        <v>Male</v>
      </c>
      <c r="D3097" t="s">
        <v>16</v>
      </c>
      <c r="E3097">
        <v>46</v>
      </c>
      <c r="F3097" t="s">
        <v>17</v>
      </c>
      <c r="G3097" s="1">
        <v>28868</v>
      </c>
      <c r="H3097" t="s">
        <v>6884</v>
      </c>
      <c r="I3097" s="2" t="str">
        <f t="shared" si="48"/>
        <v>+91-9558565973</v>
      </c>
      <c r="J3097">
        <f>91-9558566064</f>
        <v>-9558565973</v>
      </c>
      <c r="K3097" t="s">
        <v>51</v>
      </c>
      <c r="L3097" t="s">
        <v>52</v>
      </c>
      <c r="M3097">
        <v>743025</v>
      </c>
      <c r="N3097" s="1">
        <v>45208</v>
      </c>
      <c r="O3097" t="s">
        <v>35</v>
      </c>
      <c r="P3097">
        <v>2</v>
      </c>
      <c r="Q3097">
        <v>3193.09</v>
      </c>
    </row>
    <row r="3098" spans="1:17" x14ac:dyDescent="0.3">
      <c r="A3098" t="s">
        <v>6885</v>
      </c>
      <c r="B3098" t="s">
        <v>2013</v>
      </c>
      <c r="C3098" s="2" t="str">
        <f>PROPER(TRIM(Table1[[#This Row],[Gender]]))</f>
        <v>Male</v>
      </c>
      <c r="D3098" t="s">
        <v>16</v>
      </c>
      <c r="E3098">
        <v>60</v>
      </c>
      <c r="F3098" t="s">
        <v>58</v>
      </c>
      <c r="G3098" s="1">
        <v>23758</v>
      </c>
      <c r="H3098" t="s">
        <v>6886</v>
      </c>
      <c r="I3098" s="2" t="str">
        <f t="shared" si="48"/>
        <v>+91-8905564851</v>
      </c>
      <c r="J3098">
        <f>91-8905564942</f>
        <v>-8905564851</v>
      </c>
      <c r="K3098" t="s">
        <v>178</v>
      </c>
      <c r="L3098" t="s">
        <v>27</v>
      </c>
      <c r="M3098">
        <v>936836</v>
      </c>
      <c r="N3098" s="1">
        <v>45368</v>
      </c>
      <c r="O3098" t="s">
        <v>35</v>
      </c>
      <c r="P3098">
        <v>2</v>
      </c>
      <c r="Q3098">
        <v>17043.18</v>
      </c>
    </row>
    <row r="3099" spans="1:17" x14ac:dyDescent="0.3">
      <c r="A3099" t="s">
        <v>6887</v>
      </c>
      <c r="B3099" t="s">
        <v>2293</v>
      </c>
      <c r="C3099" s="2" t="str">
        <f>PROPER(TRIM(Table1[[#This Row],[Gender]]))</f>
        <v>Female</v>
      </c>
      <c r="D3099" t="s">
        <v>43</v>
      </c>
      <c r="E3099">
        <v>55</v>
      </c>
      <c r="F3099" t="s">
        <v>17</v>
      </c>
      <c r="G3099" s="1">
        <v>25583</v>
      </c>
      <c r="H3099" t="s">
        <v>6888</v>
      </c>
      <c r="I3099" s="2" t="str">
        <f t="shared" si="48"/>
        <v>+91-8373266748</v>
      </c>
      <c r="J3099">
        <f>91-8373266839</f>
        <v>-8373266748</v>
      </c>
      <c r="K3099" t="s">
        <v>80</v>
      </c>
      <c r="L3099" t="s">
        <v>20</v>
      </c>
      <c r="M3099">
        <v>563718</v>
      </c>
      <c r="N3099" s="1">
        <v>45371</v>
      </c>
      <c r="O3099" t="s">
        <v>28</v>
      </c>
      <c r="P3099">
        <v>10</v>
      </c>
      <c r="Q3099">
        <v>131277.79999999999</v>
      </c>
    </row>
    <row r="3100" spans="1:17" x14ac:dyDescent="0.3">
      <c r="A3100" t="s">
        <v>6889</v>
      </c>
      <c r="B3100" t="s">
        <v>3829</v>
      </c>
      <c r="C3100" s="2" t="str">
        <f>PROPER(TRIM(Table1[[#This Row],[Gender]]))</f>
        <v>Female</v>
      </c>
      <c r="D3100" t="s">
        <v>43</v>
      </c>
      <c r="E3100">
        <v>31</v>
      </c>
      <c r="F3100" t="s">
        <v>31</v>
      </c>
      <c r="G3100" s="1">
        <v>34343</v>
      </c>
      <c r="H3100" t="s">
        <v>6890</v>
      </c>
      <c r="I3100" s="2" t="str">
        <f t="shared" si="48"/>
        <v>+91-7372081652</v>
      </c>
      <c r="J3100">
        <f>91-7372081743</f>
        <v>-7372081652</v>
      </c>
      <c r="K3100" t="s">
        <v>76</v>
      </c>
      <c r="L3100" t="s">
        <v>46</v>
      </c>
      <c r="M3100">
        <v>330518</v>
      </c>
      <c r="N3100" s="1">
        <v>45331</v>
      </c>
      <c r="O3100" t="s">
        <v>35</v>
      </c>
      <c r="P3100">
        <v>0</v>
      </c>
      <c r="Q3100">
        <v>0</v>
      </c>
    </row>
    <row r="3101" spans="1:17" x14ac:dyDescent="0.3">
      <c r="A3101" t="s">
        <v>6891</v>
      </c>
      <c r="B3101" t="s">
        <v>845</v>
      </c>
      <c r="C3101" s="2" t="str">
        <f>PROPER(TRIM(Table1[[#This Row],[Gender]]))</f>
        <v>Male</v>
      </c>
      <c r="D3101" t="s">
        <v>16</v>
      </c>
      <c r="E3101">
        <v>28</v>
      </c>
      <c r="F3101" t="s">
        <v>31</v>
      </c>
      <c r="G3101" s="1">
        <v>35438</v>
      </c>
      <c r="H3101" t="s">
        <v>6892</v>
      </c>
      <c r="I3101" s="2" t="str">
        <f t="shared" si="48"/>
        <v>+91-8724369117</v>
      </c>
      <c r="J3101">
        <f>91-8724369208</f>
        <v>-8724369117</v>
      </c>
      <c r="K3101" t="s">
        <v>154</v>
      </c>
      <c r="L3101" t="s">
        <v>46</v>
      </c>
      <c r="M3101">
        <v>974469</v>
      </c>
      <c r="N3101" s="1">
        <v>45134</v>
      </c>
      <c r="O3101" t="s">
        <v>35</v>
      </c>
      <c r="P3101">
        <v>0</v>
      </c>
      <c r="Q3101">
        <v>0</v>
      </c>
    </row>
    <row r="3102" spans="1:17" x14ac:dyDescent="0.3">
      <c r="A3102" t="s">
        <v>6893</v>
      </c>
      <c r="B3102" t="s">
        <v>2204</v>
      </c>
      <c r="C3102" s="2" t="str">
        <f>PROPER(TRIM(Table1[[#This Row],[Gender]]))</f>
        <v>Male</v>
      </c>
      <c r="D3102" t="s">
        <v>16</v>
      </c>
      <c r="E3102">
        <v>48</v>
      </c>
      <c r="F3102" t="s">
        <v>17</v>
      </c>
      <c r="G3102" s="1">
        <v>28138</v>
      </c>
      <c r="H3102" t="s">
        <v>6894</v>
      </c>
      <c r="I3102" s="2" t="str">
        <f t="shared" si="48"/>
        <v>+91-8145618330</v>
      </c>
      <c r="J3102">
        <f>91-8145618421</f>
        <v>-8145618330</v>
      </c>
      <c r="K3102" t="s">
        <v>94</v>
      </c>
      <c r="L3102" t="s">
        <v>20</v>
      </c>
      <c r="M3102">
        <v>185479</v>
      </c>
      <c r="N3102" s="1">
        <v>45088</v>
      </c>
      <c r="O3102" t="s">
        <v>28</v>
      </c>
      <c r="P3102">
        <v>10</v>
      </c>
      <c r="Q3102">
        <v>204100.17</v>
      </c>
    </row>
    <row r="3103" spans="1:17" x14ac:dyDescent="0.3">
      <c r="A3103" t="s">
        <v>6895</v>
      </c>
      <c r="B3103" t="s">
        <v>1474</v>
      </c>
      <c r="C3103" s="2" t="str">
        <f>PROPER(TRIM(Table1[[#This Row],[Gender]]))</f>
        <v>Female</v>
      </c>
      <c r="D3103" t="s">
        <v>43</v>
      </c>
      <c r="E3103">
        <v>31</v>
      </c>
      <c r="F3103" t="s">
        <v>31</v>
      </c>
      <c r="G3103" s="1">
        <v>34343</v>
      </c>
      <c r="H3103" t="s">
        <v>6896</v>
      </c>
      <c r="I3103" s="2" t="str">
        <f t="shared" si="48"/>
        <v>+91-8083671466</v>
      </c>
      <c r="J3103">
        <f>91-8083671557</f>
        <v>-8083671466</v>
      </c>
      <c r="K3103" t="s">
        <v>33</v>
      </c>
      <c r="L3103" t="s">
        <v>34</v>
      </c>
      <c r="M3103">
        <v>905704</v>
      </c>
      <c r="N3103" s="1">
        <v>45179</v>
      </c>
      <c r="O3103" t="s">
        <v>28</v>
      </c>
      <c r="P3103">
        <v>6</v>
      </c>
      <c r="Q3103">
        <v>128356.57</v>
      </c>
    </row>
    <row r="3104" spans="1:17" x14ac:dyDescent="0.3">
      <c r="A3104" t="s">
        <v>6897</v>
      </c>
      <c r="B3104" t="s">
        <v>244</v>
      </c>
      <c r="C3104" s="2" t="str">
        <f>PROPER(TRIM(Table1[[#This Row],[Gender]]))</f>
        <v>Male</v>
      </c>
      <c r="D3104" t="s">
        <v>16</v>
      </c>
      <c r="E3104">
        <v>40</v>
      </c>
      <c r="F3104" t="s">
        <v>38</v>
      </c>
      <c r="G3104" s="1">
        <v>31058</v>
      </c>
      <c r="H3104" t="s">
        <v>4458</v>
      </c>
      <c r="I3104" s="2" t="str">
        <f t="shared" si="48"/>
        <v>+91-8920214866</v>
      </c>
      <c r="J3104">
        <f>91-8920214957</f>
        <v>-8920214866</v>
      </c>
      <c r="K3104" t="s">
        <v>202</v>
      </c>
      <c r="L3104" t="s">
        <v>191</v>
      </c>
      <c r="M3104">
        <v>874309</v>
      </c>
      <c r="N3104" s="1">
        <v>45399</v>
      </c>
      <c r="O3104" t="s">
        <v>28</v>
      </c>
      <c r="P3104">
        <v>7</v>
      </c>
      <c r="Q3104">
        <v>168905.27</v>
      </c>
    </row>
    <row r="3105" spans="1:17" x14ac:dyDescent="0.3">
      <c r="A3105" t="s">
        <v>6898</v>
      </c>
      <c r="B3105" t="s">
        <v>4220</v>
      </c>
      <c r="C3105" s="2" t="str">
        <f>PROPER(TRIM(Table1[[#This Row],[Gender]]))</f>
        <v>Male</v>
      </c>
      <c r="D3105" t="s">
        <v>16</v>
      </c>
      <c r="E3105">
        <v>27</v>
      </c>
      <c r="F3105" t="s">
        <v>31</v>
      </c>
      <c r="G3105" s="1">
        <v>35803</v>
      </c>
      <c r="H3105" t="s">
        <v>6532</v>
      </c>
      <c r="I3105" s="2" t="str">
        <f t="shared" si="48"/>
        <v>+91-9282343757</v>
      </c>
      <c r="J3105">
        <f>91-9282343848</f>
        <v>-9282343757</v>
      </c>
      <c r="K3105" t="s">
        <v>178</v>
      </c>
      <c r="L3105" t="s">
        <v>27</v>
      </c>
      <c r="M3105">
        <v>532485</v>
      </c>
      <c r="N3105" s="1">
        <v>45217</v>
      </c>
      <c r="O3105" t="s">
        <v>28</v>
      </c>
      <c r="P3105">
        <v>6</v>
      </c>
      <c r="Q3105">
        <v>99750</v>
      </c>
    </row>
    <row r="3106" spans="1:17" x14ac:dyDescent="0.3">
      <c r="A3106" t="s">
        <v>6899</v>
      </c>
      <c r="B3106" t="s">
        <v>490</v>
      </c>
      <c r="C3106" s="2" t="str">
        <f>PROPER(TRIM(Table1[[#This Row],[Gender]]))</f>
        <v>Male</v>
      </c>
      <c r="D3106" t="s">
        <v>16</v>
      </c>
      <c r="E3106">
        <v>53</v>
      </c>
      <c r="F3106" t="s">
        <v>17</v>
      </c>
      <c r="G3106" s="1">
        <v>26313</v>
      </c>
      <c r="H3106" t="s">
        <v>6900</v>
      </c>
      <c r="I3106" s="2" t="str">
        <f t="shared" si="48"/>
        <v>+91-8401500669</v>
      </c>
      <c r="J3106">
        <f>91-8401500760</f>
        <v>-8401500669</v>
      </c>
      <c r="K3106" t="s">
        <v>64</v>
      </c>
      <c r="L3106" t="s">
        <v>20</v>
      </c>
      <c r="M3106">
        <v>708236</v>
      </c>
      <c r="N3106" s="1">
        <v>45201</v>
      </c>
      <c r="O3106" t="s">
        <v>28</v>
      </c>
      <c r="P3106">
        <v>4</v>
      </c>
      <c r="Q3106">
        <v>99013.95</v>
      </c>
    </row>
    <row r="3107" spans="1:17" x14ac:dyDescent="0.3">
      <c r="A3107" t="s">
        <v>6901</v>
      </c>
      <c r="B3107" t="s">
        <v>1283</v>
      </c>
      <c r="C3107" s="2" t="str">
        <f>PROPER(TRIM(Table1[[#This Row],[Gender]]))</f>
        <v>Female</v>
      </c>
      <c r="D3107" t="s">
        <v>43</v>
      </c>
      <c r="E3107">
        <v>56</v>
      </c>
      <c r="F3107" t="s">
        <v>58</v>
      </c>
      <c r="G3107" s="1">
        <v>25218</v>
      </c>
      <c r="H3107" t="s">
        <v>6902</v>
      </c>
      <c r="I3107" s="2" t="str">
        <f t="shared" si="48"/>
        <v>+91-9349890805</v>
      </c>
      <c r="J3107">
        <f>91-9349890896</f>
        <v>-9349890805</v>
      </c>
      <c r="K3107" t="s">
        <v>165</v>
      </c>
      <c r="L3107" t="s">
        <v>52</v>
      </c>
      <c r="M3107">
        <v>724166</v>
      </c>
      <c r="N3107" s="1">
        <v>45090</v>
      </c>
      <c r="O3107" t="s">
        <v>21</v>
      </c>
      <c r="P3107">
        <v>6</v>
      </c>
      <c r="Q3107">
        <v>34843.550000000003</v>
      </c>
    </row>
    <row r="3108" spans="1:17" x14ac:dyDescent="0.3">
      <c r="A3108" t="s">
        <v>6903</v>
      </c>
      <c r="B3108" t="s">
        <v>5196</v>
      </c>
      <c r="C3108" s="2" t="str">
        <f>PROPER(TRIM(Table1[[#This Row],[Gender]]))</f>
        <v>Female</v>
      </c>
      <c r="D3108" t="s">
        <v>43</v>
      </c>
      <c r="E3108">
        <v>22</v>
      </c>
      <c r="F3108" t="s">
        <v>49</v>
      </c>
      <c r="G3108" s="1">
        <v>37628</v>
      </c>
      <c r="H3108" t="s">
        <v>6904</v>
      </c>
      <c r="I3108" s="2" t="str">
        <f t="shared" si="48"/>
        <v>+91-9458141371</v>
      </c>
      <c r="J3108">
        <f>91-9458141462</f>
        <v>-9458141371</v>
      </c>
      <c r="K3108" t="s">
        <v>249</v>
      </c>
      <c r="L3108" t="s">
        <v>34</v>
      </c>
      <c r="M3108">
        <v>264598</v>
      </c>
      <c r="N3108" s="1">
        <v>45282</v>
      </c>
      <c r="O3108" t="s">
        <v>21</v>
      </c>
      <c r="P3108">
        <v>4</v>
      </c>
      <c r="Q3108">
        <v>21197.97</v>
      </c>
    </row>
    <row r="3109" spans="1:17" x14ac:dyDescent="0.3">
      <c r="A3109" t="s">
        <v>6905</v>
      </c>
      <c r="B3109" t="s">
        <v>324</v>
      </c>
      <c r="C3109" s="2" t="str">
        <f>PROPER(TRIM(Table1[[#This Row],[Gender]]))</f>
        <v>Female</v>
      </c>
      <c r="D3109" t="s">
        <v>43</v>
      </c>
      <c r="E3109">
        <v>26</v>
      </c>
      <c r="F3109" t="s">
        <v>31</v>
      </c>
      <c r="G3109" s="1">
        <v>36168</v>
      </c>
      <c r="H3109" t="s">
        <v>6906</v>
      </c>
      <c r="I3109" s="2" t="str">
        <f t="shared" si="48"/>
        <v>+91-8302651110</v>
      </c>
      <c r="J3109">
        <f>91-8302651201</f>
        <v>-8302651110</v>
      </c>
      <c r="K3109" t="s">
        <v>138</v>
      </c>
      <c r="L3109" t="s">
        <v>90</v>
      </c>
      <c r="M3109">
        <v>332757</v>
      </c>
      <c r="N3109" s="1">
        <v>45080</v>
      </c>
      <c r="O3109" t="s">
        <v>28</v>
      </c>
      <c r="P3109">
        <v>6</v>
      </c>
      <c r="Q3109">
        <v>215703.83</v>
      </c>
    </row>
    <row r="3110" spans="1:17" x14ac:dyDescent="0.3">
      <c r="A3110" t="s">
        <v>6907</v>
      </c>
      <c r="B3110" t="s">
        <v>2651</v>
      </c>
      <c r="C3110" s="2" t="str">
        <f>PROPER(TRIM(Table1[[#This Row],[Gender]]))</f>
        <v>Male</v>
      </c>
      <c r="D3110" t="s">
        <v>16</v>
      </c>
      <c r="E3110">
        <v>44</v>
      </c>
      <c r="F3110" t="s">
        <v>38</v>
      </c>
      <c r="G3110" s="1">
        <v>29598</v>
      </c>
      <c r="H3110" t="s">
        <v>6629</v>
      </c>
      <c r="I3110" s="2" t="str">
        <f t="shared" si="48"/>
        <v>+91-8091370208</v>
      </c>
      <c r="J3110">
        <f>91-8091370299</f>
        <v>-8091370208</v>
      </c>
      <c r="K3110" t="s">
        <v>239</v>
      </c>
      <c r="L3110" t="s">
        <v>191</v>
      </c>
      <c r="M3110">
        <v>906825</v>
      </c>
      <c r="N3110" s="1">
        <v>45427</v>
      </c>
      <c r="O3110" t="s">
        <v>28</v>
      </c>
      <c r="P3110">
        <v>6</v>
      </c>
      <c r="Q3110">
        <v>105283.31</v>
      </c>
    </row>
    <row r="3111" spans="1:17" x14ac:dyDescent="0.3">
      <c r="A3111" t="s">
        <v>6908</v>
      </c>
      <c r="B3111" t="s">
        <v>445</v>
      </c>
      <c r="C3111" s="2" t="str">
        <f>PROPER(TRIM(Table1[[#This Row],[Gender]]))</f>
        <v>Male</v>
      </c>
      <c r="D3111" t="s">
        <v>16</v>
      </c>
      <c r="E3111">
        <v>30</v>
      </c>
      <c r="F3111" t="s">
        <v>31</v>
      </c>
      <c r="G3111" s="1">
        <v>34708</v>
      </c>
      <c r="H3111" t="s">
        <v>6909</v>
      </c>
      <c r="I3111" s="2" t="str">
        <f t="shared" si="48"/>
        <v>+91-7843448196</v>
      </c>
      <c r="J3111">
        <f>91-7843448287</f>
        <v>-7843448196</v>
      </c>
      <c r="K3111" t="s">
        <v>40</v>
      </c>
      <c r="L3111" t="s">
        <v>27</v>
      </c>
      <c r="M3111">
        <v>524981</v>
      </c>
      <c r="N3111" s="1">
        <v>45356</v>
      </c>
      <c r="O3111" t="s">
        <v>35</v>
      </c>
      <c r="P3111">
        <v>1</v>
      </c>
      <c r="Q3111">
        <v>6683.58</v>
      </c>
    </row>
    <row r="3112" spans="1:17" x14ac:dyDescent="0.3">
      <c r="A3112" t="s">
        <v>6910</v>
      </c>
      <c r="B3112" t="s">
        <v>1046</v>
      </c>
      <c r="C3112" s="2" t="str">
        <f>PROPER(TRIM(Table1[[#This Row],[Gender]]))</f>
        <v>Female</v>
      </c>
      <c r="D3112" t="s">
        <v>43</v>
      </c>
      <c r="E3112">
        <v>21</v>
      </c>
      <c r="F3112" t="s">
        <v>49</v>
      </c>
      <c r="G3112" s="1">
        <v>37993</v>
      </c>
      <c r="H3112" t="s">
        <v>1047</v>
      </c>
      <c r="I3112" s="2" t="str">
        <f t="shared" si="48"/>
        <v>+91-9630520389</v>
      </c>
      <c r="J3112">
        <f>91-9630520480</f>
        <v>-9630520389</v>
      </c>
      <c r="K3112" t="s">
        <v>125</v>
      </c>
      <c r="L3112" t="s">
        <v>52</v>
      </c>
      <c r="M3112">
        <v>124914</v>
      </c>
      <c r="N3112" s="1">
        <v>45245</v>
      </c>
      <c r="O3112" t="s">
        <v>35</v>
      </c>
      <c r="P3112">
        <v>3</v>
      </c>
      <c r="Q3112">
        <v>13189.99</v>
      </c>
    </row>
    <row r="3113" spans="1:17" x14ac:dyDescent="0.3">
      <c r="A3113" t="s">
        <v>6911</v>
      </c>
      <c r="B3113" t="s">
        <v>4758</v>
      </c>
      <c r="C3113" s="2" t="str">
        <f>PROPER(TRIM(Table1[[#This Row],[Gender]]))</f>
        <v>Male</v>
      </c>
      <c r="D3113" t="s">
        <v>16</v>
      </c>
      <c r="E3113">
        <v>20</v>
      </c>
      <c r="F3113" t="s">
        <v>49</v>
      </c>
      <c r="G3113" s="1">
        <v>38358</v>
      </c>
      <c r="H3113" t="s">
        <v>6912</v>
      </c>
      <c r="I3113" s="2" t="str">
        <f t="shared" si="48"/>
        <v>+91-8984966861</v>
      </c>
      <c r="J3113">
        <f>91-8984966952</f>
        <v>-8984966861</v>
      </c>
      <c r="K3113" t="s">
        <v>109</v>
      </c>
      <c r="L3113" t="s">
        <v>46</v>
      </c>
      <c r="M3113">
        <v>846057</v>
      </c>
      <c r="N3113" s="1">
        <v>45163</v>
      </c>
      <c r="O3113" t="s">
        <v>28</v>
      </c>
      <c r="P3113">
        <v>1</v>
      </c>
      <c r="Q3113">
        <v>57991.76</v>
      </c>
    </row>
    <row r="3114" spans="1:17" x14ac:dyDescent="0.3">
      <c r="A3114" t="s">
        <v>6913</v>
      </c>
      <c r="B3114" t="s">
        <v>2808</v>
      </c>
      <c r="C3114" s="2" t="str">
        <f>PROPER(TRIM(Table1[[#This Row],[Gender]]))</f>
        <v>Male</v>
      </c>
      <c r="D3114" t="s">
        <v>16</v>
      </c>
      <c r="E3114">
        <v>49</v>
      </c>
      <c r="F3114" t="s">
        <v>17</v>
      </c>
      <c r="G3114" s="1">
        <v>27773</v>
      </c>
      <c r="H3114" t="s">
        <v>6914</v>
      </c>
      <c r="I3114" s="2" t="str">
        <f t="shared" si="48"/>
        <v>+91-8627040833</v>
      </c>
      <c r="J3114">
        <f>91-8627040924</f>
        <v>-8627040833</v>
      </c>
      <c r="K3114" t="s">
        <v>125</v>
      </c>
      <c r="L3114" t="s">
        <v>52</v>
      </c>
      <c r="M3114">
        <v>866863</v>
      </c>
      <c r="N3114" s="1">
        <v>45376</v>
      </c>
      <c r="O3114" t="s">
        <v>28</v>
      </c>
      <c r="P3114">
        <v>9</v>
      </c>
      <c r="Q3114">
        <v>177768.57</v>
      </c>
    </row>
    <row r="3115" spans="1:17" x14ac:dyDescent="0.3">
      <c r="A3115" t="s">
        <v>6915</v>
      </c>
      <c r="B3115" t="s">
        <v>2038</v>
      </c>
      <c r="C3115" s="2" t="str">
        <f>PROPER(TRIM(Table1[[#This Row],[Gender]]))</f>
        <v>Female</v>
      </c>
      <c r="D3115" t="s">
        <v>43</v>
      </c>
      <c r="E3115">
        <v>33</v>
      </c>
      <c r="F3115" t="s">
        <v>31</v>
      </c>
      <c r="G3115" s="1">
        <v>33613</v>
      </c>
      <c r="H3115" t="s">
        <v>6916</v>
      </c>
      <c r="I3115" s="2" t="str">
        <f t="shared" si="48"/>
        <v>+91-7671832408</v>
      </c>
      <c r="J3115">
        <f>91-7671832499</f>
        <v>-7671832408</v>
      </c>
      <c r="K3115" t="s">
        <v>369</v>
      </c>
      <c r="L3115" t="s">
        <v>191</v>
      </c>
      <c r="M3115">
        <v>905064</v>
      </c>
      <c r="N3115" s="1">
        <v>45431</v>
      </c>
      <c r="O3115" t="s">
        <v>28</v>
      </c>
      <c r="P3115">
        <v>3</v>
      </c>
      <c r="Q3115">
        <v>303588.46000000002</v>
      </c>
    </row>
    <row r="3116" spans="1:17" x14ac:dyDescent="0.3">
      <c r="A3116" t="s">
        <v>6917</v>
      </c>
      <c r="B3116" t="s">
        <v>3464</v>
      </c>
      <c r="C3116" s="2" t="str">
        <f>PROPER(TRIM(Table1[[#This Row],[Gender]]))</f>
        <v>Female</v>
      </c>
      <c r="D3116" t="s">
        <v>43</v>
      </c>
      <c r="E3116">
        <v>31</v>
      </c>
      <c r="F3116" t="s">
        <v>31</v>
      </c>
      <c r="G3116" s="1">
        <v>34343</v>
      </c>
      <c r="H3116" t="s">
        <v>6918</v>
      </c>
      <c r="I3116" s="2" t="str">
        <f t="shared" si="48"/>
        <v>+91-7358280843</v>
      </c>
      <c r="J3116">
        <f>91-7358280934</f>
        <v>-7358280843</v>
      </c>
      <c r="K3116" t="s">
        <v>580</v>
      </c>
      <c r="L3116" t="s">
        <v>85</v>
      </c>
      <c r="M3116">
        <v>206486</v>
      </c>
      <c r="N3116" s="1">
        <v>45150</v>
      </c>
      <c r="O3116" t="s">
        <v>28</v>
      </c>
      <c r="P3116">
        <v>6</v>
      </c>
      <c r="Q3116">
        <v>351985.15</v>
      </c>
    </row>
    <row r="3117" spans="1:17" x14ac:dyDescent="0.3">
      <c r="A3117" t="s">
        <v>6919</v>
      </c>
      <c r="B3117" t="s">
        <v>1554</v>
      </c>
      <c r="C3117" s="2" t="str">
        <f>PROPER(TRIM(Table1[[#This Row],[Gender]]))</f>
        <v>Female</v>
      </c>
      <c r="D3117" t="s">
        <v>43</v>
      </c>
      <c r="E3117">
        <v>20</v>
      </c>
      <c r="F3117" t="s">
        <v>49</v>
      </c>
      <c r="G3117" s="1">
        <v>38358</v>
      </c>
      <c r="H3117" t="s">
        <v>6920</v>
      </c>
      <c r="I3117" s="2" t="str">
        <f t="shared" si="48"/>
        <v>+91-7092814425</v>
      </c>
      <c r="J3117">
        <f>91-7092814516</f>
        <v>-7092814425</v>
      </c>
      <c r="K3117" t="s">
        <v>113</v>
      </c>
      <c r="L3117" t="s">
        <v>34</v>
      </c>
      <c r="M3117">
        <v>190709</v>
      </c>
      <c r="N3117" s="1">
        <v>45183</v>
      </c>
      <c r="O3117" t="s">
        <v>35</v>
      </c>
      <c r="P3117">
        <v>2</v>
      </c>
      <c r="Q3117">
        <v>5730.61</v>
      </c>
    </row>
    <row r="3118" spans="1:17" x14ac:dyDescent="0.3">
      <c r="A3118" t="s">
        <v>6921</v>
      </c>
      <c r="B3118" t="s">
        <v>1428</v>
      </c>
      <c r="C3118" s="2" t="str">
        <f>PROPER(TRIM(Table1[[#This Row],[Gender]]))</f>
        <v>Female</v>
      </c>
      <c r="D3118" t="s">
        <v>43</v>
      </c>
      <c r="E3118">
        <v>21</v>
      </c>
      <c r="F3118" t="s">
        <v>49</v>
      </c>
      <c r="G3118" s="1">
        <v>37993</v>
      </c>
      <c r="H3118" t="s">
        <v>6922</v>
      </c>
      <c r="I3118" s="2" t="str">
        <f t="shared" si="48"/>
        <v>+91-9209012912</v>
      </c>
      <c r="J3118">
        <f>91-9209013003</f>
        <v>-9209012912</v>
      </c>
      <c r="K3118" t="s">
        <v>19</v>
      </c>
      <c r="L3118" t="s">
        <v>20</v>
      </c>
      <c r="M3118">
        <v>195292</v>
      </c>
      <c r="N3118" s="1">
        <v>45382</v>
      </c>
      <c r="O3118" t="s">
        <v>28</v>
      </c>
      <c r="P3118">
        <v>5</v>
      </c>
      <c r="Q3118">
        <v>126921.14</v>
      </c>
    </row>
    <row r="3119" spans="1:17" x14ac:dyDescent="0.3">
      <c r="A3119" t="s">
        <v>6923</v>
      </c>
      <c r="B3119" t="s">
        <v>1655</v>
      </c>
      <c r="C3119" s="2" t="str">
        <f>PROPER(TRIM(Table1[[#This Row],[Gender]]))</f>
        <v>Female</v>
      </c>
      <c r="D3119" t="s">
        <v>43</v>
      </c>
      <c r="E3119">
        <v>27</v>
      </c>
      <c r="F3119" t="s">
        <v>31</v>
      </c>
      <c r="G3119" s="1">
        <v>35803</v>
      </c>
      <c r="H3119" t="s">
        <v>6924</v>
      </c>
      <c r="I3119" s="2" t="str">
        <f t="shared" si="48"/>
        <v>+91-9433699808</v>
      </c>
      <c r="J3119">
        <f>91-9433699899</f>
        <v>-9433699808</v>
      </c>
      <c r="K3119" t="s">
        <v>178</v>
      </c>
      <c r="L3119" t="s">
        <v>27</v>
      </c>
      <c r="M3119">
        <v>891688</v>
      </c>
      <c r="N3119" s="1">
        <v>45377</v>
      </c>
      <c r="O3119" t="s">
        <v>28</v>
      </c>
      <c r="P3119">
        <v>6</v>
      </c>
      <c r="Q3119">
        <v>171109.02</v>
      </c>
    </row>
    <row r="3120" spans="1:17" x14ac:dyDescent="0.3">
      <c r="A3120" t="s">
        <v>6925</v>
      </c>
      <c r="B3120" t="s">
        <v>1892</v>
      </c>
      <c r="C3120" s="2" t="str">
        <f>PROPER(TRIM(Table1[[#This Row],[Gender]]))</f>
        <v>Male</v>
      </c>
      <c r="D3120" t="s">
        <v>16</v>
      </c>
      <c r="E3120">
        <v>35</v>
      </c>
      <c r="F3120" t="s">
        <v>31</v>
      </c>
      <c r="G3120" s="1">
        <v>32883</v>
      </c>
      <c r="H3120" t="s">
        <v>6926</v>
      </c>
      <c r="I3120" s="2" t="str">
        <f t="shared" si="48"/>
        <v>+91-9993367496</v>
      </c>
      <c r="J3120">
        <f>91-9993367587</f>
        <v>-9993367496</v>
      </c>
      <c r="K3120" t="s">
        <v>202</v>
      </c>
      <c r="L3120" t="s">
        <v>191</v>
      </c>
      <c r="M3120">
        <v>986725</v>
      </c>
      <c r="N3120" s="1">
        <v>45363</v>
      </c>
      <c r="O3120" t="s">
        <v>28</v>
      </c>
      <c r="P3120">
        <v>6</v>
      </c>
      <c r="Q3120">
        <v>186005.47</v>
      </c>
    </row>
    <row r="3121" spans="1:17" x14ac:dyDescent="0.3">
      <c r="A3121" t="s">
        <v>6927</v>
      </c>
      <c r="B3121" t="s">
        <v>6928</v>
      </c>
      <c r="C3121" s="2" t="str">
        <f>PROPER(TRIM(Table1[[#This Row],[Gender]]))</f>
        <v>Female</v>
      </c>
      <c r="D3121" t="s">
        <v>43</v>
      </c>
      <c r="E3121">
        <v>51</v>
      </c>
      <c r="F3121" t="s">
        <v>17</v>
      </c>
      <c r="G3121" s="1">
        <v>27043</v>
      </c>
      <c r="H3121" t="s">
        <v>6929</v>
      </c>
      <c r="I3121" s="2" t="str">
        <f t="shared" si="48"/>
        <v>+91-9096562354</v>
      </c>
      <c r="J3121">
        <f>91-9096562445</f>
        <v>-9096562354</v>
      </c>
      <c r="K3121" t="s">
        <v>174</v>
      </c>
      <c r="L3121" t="s">
        <v>90</v>
      </c>
      <c r="M3121">
        <v>515698</v>
      </c>
      <c r="N3121" s="1">
        <v>45263</v>
      </c>
      <c r="O3121" t="s">
        <v>28</v>
      </c>
      <c r="P3121">
        <v>7</v>
      </c>
      <c r="Q3121">
        <v>53387.32</v>
      </c>
    </row>
    <row r="3122" spans="1:17" x14ac:dyDescent="0.3">
      <c r="A3122" t="s">
        <v>6930</v>
      </c>
      <c r="B3122" t="s">
        <v>686</v>
      </c>
      <c r="C3122" s="2" t="str">
        <f>PROPER(TRIM(Table1[[#This Row],[Gender]]))</f>
        <v>Male</v>
      </c>
      <c r="D3122" t="s">
        <v>16</v>
      </c>
      <c r="E3122">
        <v>29</v>
      </c>
      <c r="F3122" t="s">
        <v>31</v>
      </c>
      <c r="G3122" s="1">
        <v>35073</v>
      </c>
      <c r="H3122" t="s">
        <v>6931</v>
      </c>
      <c r="I3122" s="2" t="str">
        <f t="shared" si="48"/>
        <v>+91-8123949840</v>
      </c>
      <c r="J3122">
        <f>91-8123949931</f>
        <v>-8123949840</v>
      </c>
      <c r="K3122" t="s">
        <v>80</v>
      </c>
      <c r="L3122" t="s">
        <v>20</v>
      </c>
      <c r="M3122">
        <v>995178</v>
      </c>
      <c r="N3122" s="1">
        <v>45143</v>
      </c>
      <c r="O3122" t="s">
        <v>28</v>
      </c>
      <c r="P3122">
        <v>5</v>
      </c>
      <c r="Q3122">
        <v>172664.1</v>
      </c>
    </row>
    <row r="3123" spans="1:17" x14ac:dyDescent="0.3">
      <c r="A3123" t="s">
        <v>6932</v>
      </c>
      <c r="B3123" t="s">
        <v>5722</v>
      </c>
      <c r="C3123" s="2" t="str">
        <f>PROPER(TRIM(Table1[[#This Row],[Gender]]))</f>
        <v>Female</v>
      </c>
      <c r="D3123" t="s">
        <v>43</v>
      </c>
      <c r="E3123">
        <v>37</v>
      </c>
      <c r="F3123" t="s">
        <v>38</v>
      </c>
      <c r="G3123" s="1">
        <v>32153</v>
      </c>
      <c r="H3123" t="s">
        <v>6933</v>
      </c>
      <c r="I3123" s="2" t="str">
        <f t="shared" si="48"/>
        <v>+91-9376010616</v>
      </c>
      <c r="J3123">
        <f>91-9376010707</f>
        <v>-9376010616</v>
      </c>
      <c r="K3123" t="s">
        <v>117</v>
      </c>
      <c r="L3123" t="s">
        <v>52</v>
      </c>
      <c r="M3123">
        <v>230857</v>
      </c>
      <c r="N3123" s="1">
        <v>45382</v>
      </c>
      <c r="O3123" t="s">
        <v>35</v>
      </c>
      <c r="P3123">
        <v>3</v>
      </c>
      <c r="Q3123">
        <v>2246.44</v>
      </c>
    </row>
    <row r="3124" spans="1:17" x14ac:dyDescent="0.3">
      <c r="A3124" t="s">
        <v>6934</v>
      </c>
      <c r="B3124" t="s">
        <v>865</v>
      </c>
      <c r="C3124" s="2" t="str">
        <f>PROPER(TRIM(Table1[[#This Row],[Gender]]))</f>
        <v>Male</v>
      </c>
      <c r="D3124" t="s">
        <v>16</v>
      </c>
      <c r="E3124">
        <v>45</v>
      </c>
      <c r="F3124" t="s">
        <v>38</v>
      </c>
      <c r="G3124" s="1">
        <v>29233</v>
      </c>
      <c r="H3124" t="s">
        <v>6935</v>
      </c>
      <c r="I3124" s="2" t="str">
        <f t="shared" si="48"/>
        <v>+91-8525050917</v>
      </c>
      <c r="J3124">
        <f>91-8525051008</f>
        <v>-8525050917</v>
      </c>
      <c r="K3124" t="s">
        <v>249</v>
      </c>
      <c r="L3124" t="s">
        <v>34</v>
      </c>
      <c r="M3124">
        <v>575317</v>
      </c>
      <c r="N3124" s="1">
        <v>45128</v>
      </c>
      <c r="O3124" t="s">
        <v>28</v>
      </c>
      <c r="P3124">
        <v>6</v>
      </c>
      <c r="Q3124">
        <v>139930.35</v>
      </c>
    </row>
    <row r="3125" spans="1:17" x14ac:dyDescent="0.3">
      <c r="A3125" t="s">
        <v>6936</v>
      </c>
      <c r="B3125" t="s">
        <v>318</v>
      </c>
      <c r="C3125" s="2" t="str">
        <f>PROPER(TRIM(Table1[[#This Row],[Gender]]))</f>
        <v>Female</v>
      </c>
      <c r="D3125" t="s">
        <v>43</v>
      </c>
      <c r="E3125">
        <v>58</v>
      </c>
      <c r="F3125" t="s">
        <v>58</v>
      </c>
      <c r="G3125" s="1">
        <v>24488</v>
      </c>
      <c r="H3125" t="s">
        <v>4714</v>
      </c>
      <c r="I3125" s="2" t="str">
        <f t="shared" si="48"/>
        <v>+91-8331729908</v>
      </c>
      <c r="J3125">
        <f>91-8331729999</f>
        <v>-8331729908</v>
      </c>
      <c r="K3125" t="s">
        <v>76</v>
      </c>
      <c r="L3125" t="s">
        <v>46</v>
      </c>
      <c r="M3125">
        <v>120034</v>
      </c>
      <c r="N3125" s="1">
        <v>45113</v>
      </c>
      <c r="O3125" t="s">
        <v>35</v>
      </c>
      <c r="P3125">
        <v>4</v>
      </c>
      <c r="Q3125">
        <v>10554.99</v>
      </c>
    </row>
    <row r="3126" spans="1:17" x14ac:dyDescent="0.3">
      <c r="A3126" t="s">
        <v>6937</v>
      </c>
      <c r="B3126" t="s">
        <v>2043</v>
      </c>
      <c r="C3126" s="2" t="str">
        <f>PROPER(TRIM(Table1[[#This Row],[Gender]]))</f>
        <v>Female</v>
      </c>
      <c r="D3126" t="s">
        <v>43</v>
      </c>
      <c r="E3126">
        <v>27</v>
      </c>
      <c r="F3126" t="s">
        <v>31</v>
      </c>
      <c r="G3126" s="1">
        <v>35803</v>
      </c>
      <c r="H3126" t="s">
        <v>6938</v>
      </c>
      <c r="I3126" s="2" t="str">
        <f t="shared" si="48"/>
        <v>+91-7718309543</v>
      </c>
      <c r="J3126">
        <f>91-7718309634</f>
        <v>-7718309543</v>
      </c>
      <c r="K3126" t="s">
        <v>19</v>
      </c>
      <c r="L3126" t="s">
        <v>20</v>
      </c>
      <c r="M3126">
        <v>315617</v>
      </c>
      <c r="N3126" s="1">
        <v>45272</v>
      </c>
      <c r="O3126" t="s">
        <v>21</v>
      </c>
      <c r="P3126">
        <v>1</v>
      </c>
      <c r="Q3126">
        <v>38894.42</v>
      </c>
    </row>
    <row r="3127" spans="1:17" x14ac:dyDescent="0.3">
      <c r="A3127" t="s">
        <v>6939</v>
      </c>
      <c r="B3127" t="s">
        <v>1173</v>
      </c>
      <c r="C3127" s="2" t="str">
        <f>PROPER(TRIM(Table1[[#This Row],[Gender]]))</f>
        <v>Female</v>
      </c>
      <c r="D3127" t="s">
        <v>43</v>
      </c>
      <c r="E3127">
        <v>26</v>
      </c>
      <c r="F3127" t="s">
        <v>31</v>
      </c>
      <c r="G3127" s="1">
        <v>36168</v>
      </c>
      <c r="H3127" t="s">
        <v>6940</v>
      </c>
      <c r="I3127" s="2" t="str">
        <f t="shared" si="48"/>
        <v>+91-7189974159</v>
      </c>
      <c r="J3127">
        <f>91-7189974250</f>
        <v>-7189974159</v>
      </c>
      <c r="K3127" t="s">
        <v>89</v>
      </c>
      <c r="L3127" t="s">
        <v>90</v>
      </c>
      <c r="M3127">
        <v>315376</v>
      </c>
      <c r="N3127" s="1">
        <v>45280</v>
      </c>
      <c r="O3127" t="s">
        <v>28</v>
      </c>
      <c r="P3127">
        <v>9</v>
      </c>
      <c r="Q3127">
        <v>219620.38</v>
      </c>
    </row>
    <row r="3128" spans="1:17" x14ac:dyDescent="0.3">
      <c r="A3128" t="s">
        <v>6941</v>
      </c>
      <c r="B3128" t="s">
        <v>428</v>
      </c>
      <c r="C3128" s="2" t="str">
        <f>PROPER(TRIM(Table1[[#This Row],[Gender]]))</f>
        <v>Male</v>
      </c>
      <c r="D3128" t="s">
        <v>16</v>
      </c>
      <c r="E3128">
        <v>24</v>
      </c>
      <c r="F3128" t="s">
        <v>49</v>
      </c>
      <c r="G3128" s="1">
        <v>36898</v>
      </c>
      <c r="H3128" t="s">
        <v>6942</v>
      </c>
      <c r="I3128" s="2" t="str">
        <f t="shared" si="48"/>
        <v>+91-9148613684</v>
      </c>
      <c r="J3128">
        <f>91-9148613775</f>
        <v>-9148613684</v>
      </c>
      <c r="K3128" t="s">
        <v>26</v>
      </c>
      <c r="L3128" t="s">
        <v>27</v>
      </c>
      <c r="M3128">
        <v>808158</v>
      </c>
      <c r="N3128" s="1">
        <v>45328</v>
      </c>
      <c r="O3128" t="s">
        <v>35</v>
      </c>
      <c r="P3128">
        <v>1</v>
      </c>
      <c r="Q3128">
        <v>2419.61</v>
      </c>
    </row>
    <row r="3129" spans="1:17" x14ac:dyDescent="0.3">
      <c r="A3129" t="s">
        <v>6943</v>
      </c>
      <c r="B3129" t="s">
        <v>1040</v>
      </c>
      <c r="C3129" s="2" t="str">
        <f>PROPER(TRIM(Table1[[#This Row],[Gender]]))</f>
        <v>Male</v>
      </c>
      <c r="D3129" t="s">
        <v>16</v>
      </c>
      <c r="E3129">
        <v>64</v>
      </c>
      <c r="F3129" t="s">
        <v>58</v>
      </c>
      <c r="G3129" s="1">
        <v>22298</v>
      </c>
      <c r="H3129" t="s">
        <v>6944</v>
      </c>
      <c r="I3129" s="2" t="str">
        <f t="shared" si="48"/>
        <v>+91-8279805523</v>
      </c>
      <c r="J3129">
        <f>91-8279805614</f>
        <v>-8279805523</v>
      </c>
      <c r="K3129" t="s">
        <v>178</v>
      </c>
      <c r="L3129" t="s">
        <v>27</v>
      </c>
      <c r="M3129">
        <v>796896</v>
      </c>
      <c r="N3129" s="1">
        <v>45378</v>
      </c>
      <c r="O3129" t="s">
        <v>35</v>
      </c>
      <c r="P3129">
        <v>4</v>
      </c>
      <c r="Q3129">
        <v>8585.23</v>
      </c>
    </row>
    <row r="3130" spans="1:17" x14ac:dyDescent="0.3">
      <c r="A3130" t="s">
        <v>6945</v>
      </c>
      <c r="B3130" t="s">
        <v>1471</v>
      </c>
      <c r="C3130" s="2" t="str">
        <f>PROPER(TRIM(Table1[[#This Row],[Gender]]))</f>
        <v>Female</v>
      </c>
      <c r="D3130" t="s">
        <v>43</v>
      </c>
      <c r="E3130">
        <v>22</v>
      </c>
      <c r="F3130" t="s">
        <v>49</v>
      </c>
      <c r="G3130" s="1">
        <v>37628</v>
      </c>
      <c r="H3130" t="s">
        <v>6946</v>
      </c>
      <c r="I3130" s="2" t="str">
        <f t="shared" si="48"/>
        <v>+91-9408235470</v>
      </c>
      <c r="J3130">
        <f>91-9408235561</f>
        <v>-9408235470</v>
      </c>
      <c r="K3130" t="s">
        <v>273</v>
      </c>
      <c r="L3130" t="s">
        <v>46</v>
      </c>
      <c r="M3130">
        <v>415671</v>
      </c>
      <c r="N3130" s="1">
        <v>45148</v>
      </c>
      <c r="O3130" t="s">
        <v>28</v>
      </c>
      <c r="P3130">
        <v>2</v>
      </c>
      <c r="Q3130">
        <v>130227.51</v>
      </c>
    </row>
    <row r="3131" spans="1:17" x14ac:dyDescent="0.3">
      <c r="A3131" t="s">
        <v>6947</v>
      </c>
      <c r="B3131" t="s">
        <v>4833</v>
      </c>
      <c r="C3131" s="2" t="str">
        <f>PROPER(TRIM(Table1[[#This Row],[Gender]]))</f>
        <v>Male</v>
      </c>
      <c r="D3131" t="s">
        <v>16</v>
      </c>
      <c r="E3131">
        <v>28</v>
      </c>
      <c r="F3131" t="s">
        <v>31</v>
      </c>
      <c r="G3131" s="1">
        <v>35438</v>
      </c>
      <c r="H3131" t="s">
        <v>6948</v>
      </c>
      <c r="I3131" s="2" t="str">
        <f t="shared" si="48"/>
        <v>+91-9935498625</v>
      </c>
      <c r="J3131">
        <f>91-9935498716</f>
        <v>-9935498625</v>
      </c>
      <c r="K3131" t="s">
        <v>580</v>
      </c>
      <c r="L3131" t="s">
        <v>85</v>
      </c>
      <c r="M3131">
        <v>705413</v>
      </c>
      <c r="N3131" s="1">
        <v>45316</v>
      </c>
      <c r="O3131" t="s">
        <v>35</v>
      </c>
      <c r="P3131">
        <v>2</v>
      </c>
      <c r="Q3131">
        <v>15553.15</v>
      </c>
    </row>
    <row r="3132" spans="1:17" x14ac:dyDescent="0.3">
      <c r="A3132" t="s">
        <v>6949</v>
      </c>
      <c r="B3132" t="s">
        <v>2399</v>
      </c>
      <c r="C3132" s="2" t="str">
        <f>PROPER(TRIM(Table1[[#This Row],[Gender]]))</f>
        <v>Male</v>
      </c>
      <c r="D3132" t="s">
        <v>16</v>
      </c>
      <c r="E3132">
        <v>24</v>
      </c>
      <c r="F3132" t="s">
        <v>49</v>
      </c>
      <c r="G3132" s="1">
        <v>36898</v>
      </c>
      <c r="H3132" t="s">
        <v>2895</v>
      </c>
      <c r="I3132" s="2" t="str">
        <f t="shared" si="48"/>
        <v>+91-7511705732</v>
      </c>
      <c r="J3132">
        <f>91-7511705823</f>
        <v>-7511705732</v>
      </c>
      <c r="K3132" t="s">
        <v>331</v>
      </c>
      <c r="L3132" t="s">
        <v>143</v>
      </c>
      <c r="M3132">
        <v>539842</v>
      </c>
      <c r="N3132" s="1">
        <v>45140</v>
      </c>
      <c r="O3132" t="s">
        <v>28</v>
      </c>
      <c r="P3132">
        <v>8</v>
      </c>
      <c r="Q3132">
        <v>277652.56</v>
      </c>
    </row>
    <row r="3133" spans="1:17" x14ac:dyDescent="0.3">
      <c r="A3133" t="s">
        <v>6950</v>
      </c>
      <c r="B3133" t="s">
        <v>6951</v>
      </c>
      <c r="C3133" s="2" t="str">
        <f>PROPER(TRIM(Table1[[#This Row],[Gender]]))</f>
        <v>Male</v>
      </c>
      <c r="D3133" t="s">
        <v>16</v>
      </c>
      <c r="E3133">
        <v>31</v>
      </c>
      <c r="F3133" t="s">
        <v>31</v>
      </c>
      <c r="G3133" s="1">
        <v>34343</v>
      </c>
      <c r="H3133" t="s">
        <v>6952</v>
      </c>
      <c r="I3133" s="2" t="str">
        <f t="shared" si="48"/>
        <v>+91-8005332368</v>
      </c>
      <c r="J3133">
        <f>91-8005332459</f>
        <v>-8005332368</v>
      </c>
      <c r="K3133" t="s">
        <v>415</v>
      </c>
      <c r="L3133" t="s">
        <v>90</v>
      </c>
      <c r="M3133">
        <v>291759</v>
      </c>
      <c r="N3133" s="1">
        <v>45370</v>
      </c>
      <c r="O3133" t="s">
        <v>28</v>
      </c>
      <c r="P3133">
        <v>5</v>
      </c>
      <c r="Q3133">
        <v>76204.5</v>
      </c>
    </row>
    <row r="3134" spans="1:17" x14ac:dyDescent="0.3">
      <c r="A3134" t="s">
        <v>6953</v>
      </c>
      <c r="B3134" t="s">
        <v>3005</v>
      </c>
      <c r="C3134" s="2" t="str">
        <f>PROPER(TRIM(Table1[[#This Row],[Gender]]))</f>
        <v>Male</v>
      </c>
      <c r="D3134" t="s">
        <v>16</v>
      </c>
      <c r="E3134">
        <v>19</v>
      </c>
      <c r="F3134" t="s">
        <v>49</v>
      </c>
      <c r="G3134" s="1">
        <v>38723</v>
      </c>
      <c r="H3134" t="s">
        <v>6954</v>
      </c>
      <c r="I3134" s="2" t="str">
        <f t="shared" si="48"/>
        <v>+91-9458064122</v>
      </c>
      <c r="J3134">
        <f>91-9458064213</f>
        <v>-9458064122</v>
      </c>
      <c r="K3134" t="s">
        <v>147</v>
      </c>
      <c r="L3134" t="s">
        <v>143</v>
      </c>
      <c r="M3134">
        <v>523369</v>
      </c>
      <c r="N3134" s="1">
        <v>45257</v>
      </c>
      <c r="O3134" t="s">
        <v>28</v>
      </c>
      <c r="P3134">
        <v>9</v>
      </c>
      <c r="Q3134">
        <v>227404.1</v>
      </c>
    </row>
    <row r="3135" spans="1:17" x14ac:dyDescent="0.3">
      <c r="A3135" t="s">
        <v>6955</v>
      </c>
      <c r="B3135" t="s">
        <v>159</v>
      </c>
      <c r="C3135" s="2" t="str">
        <f>PROPER(TRIM(Table1[[#This Row],[Gender]]))</f>
        <v>Female</v>
      </c>
      <c r="D3135" t="s">
        <v>43</v>
      </c>
      <c r="E3135">
        <v>25</v>
      </c>
      <c r="F3135" t="s">
        <v>49</v>
      </c>
      <c r="G3135" s="1">
        <v>36533</v>
      </c>
      <c r="H3135" t="s">
        <v>6956</v>
      </c>
      <c r="I3135" s="2" t="str">
        <f t="shared" si="48"/>
        <v>+91-9809315228</v>
      </c>
      <c r="J3135">
        <f>91-9809315319</f>
        <v>-9809315228</v>
      </c>
      <c r="K3135" t="s">
        <v>174</v>
      </c>
      <c r="L3135" t="s">
        <v>90</v>
      </c>
      <c r="M3135">
        <v>178948</v>
      </c>
      <c r="N3135" s="1">
        <v>45434</v>
      </c>
      <c r="O3135" t="s">
        <v>28</v>
      </c>
      <c r="P3135">
        <v>7</v>
      </c>
      <c r="Q3135">
        <v>348678.35</v>
      </c>
    </row>
    <row r="3136" spans="1:17" x14ac:dyDescent="0.3">
      <c r="A3136" t="s">
        <v>6957</v>
      </c>
      <c r="B3136" t="s">
        <v>1289</v>
      </c>
      <c r="C3136" s="2" t="str">
        <f>PROPER(TRIM(Table1[[#This Row],[Gender]]))</f>
        <v>Male</v>
      </c>
      <c r="D3136" t="s">
        <v>16</v>
      </c>
      <c r="E3136">
        <v>37</v>
      </c>
      <c r="F3136" t="s">
        <v>38</v>
      </c>
      <c r="G3136" s="1">
        <v>32153</v>
      </c>
      <c r="H3136" t="s">
        <v>6958</v>
      </c>
      <c r="I3136" s="2" t="str">
        <f t="shared" si="48"/>
        <v>+91-8434012488</v>
      </c>
      <c r="J3136">
        <f>91-8434012579</f>
        <v>-8434012488</v>
      </c>
      <c r="K3136" t="s">
        <v>40</v>
      </c>
      <c r="L3136" t="s">
        <v>27</v>
      </c>
      <c r="M3136">
        <v>643575</v>
      </c>
      <c r="N3136" s="1">
        <v>45378</v>
      </c>
      <c r="O3136" t="s">
        <v>28</v>
      </c>
      <c r="P3136">
        <v>3</v>
      </c>
      <c r="Q3136">
        <v>86256.21</v>
      </c>
    </row>
    <row r="3137" spans="1:17" x14ac:dyDescent="0.3">
      <c r="A3137" t="s">
        <v>6959</v>
      </c>
      <c r="B3137" t="s">
        <v>1608</v>
      </c>
      <c r="C3137" s="2" t="str">
        <f>PROPER(TRIM(Table1[[#This Row],[Gender]]))</f>
        <v>Male</v>
      </c>
      <c r="D3137" t="s">
        <v>16</v>
      </c>
      <c r="E3137">
        <v>25</v>
      </c>
      <c r="F3137" t="s">
        <v>49</v>
      </c>
      <c r="G3137" s="1">
        <v>36533</v>
      </c>
      <c r="H3137" t="s">
        <v>6960</v>
      </c>
      <c r="I3137" s="2" t="str">
        <f t="shared" si="48"/>
        <v>+91-7466140440</v>
      </c>
      <c r="J3137">
        <f>91-7466140531</f>
        <v>-7466140440</v>
      </c>
      <c r="K3137" t="s">
        <v>202</v>
      </c>
      <c r="L3137" t="s">
        <v>191</v>
      </c>
      <c r="M3137">
        <v>708938</v>
      </c>
      <c r="N3137" s="1">
        <v>45129</v>
      </c>
      <c r="O3137" t="s">
        <v>28</v>
      </c>
      <c r="P3137">
        <v>6</v>
      </c>
      <c r="Q3137">
        <v>196169.96</v>
      </c>
    </row>
    <row r="3138" spans="1:17" x14ac:dyDescent="0.3">
      <c r="A3138" t="s">
        <v>6961</v>
      </c>
      <c r="B3138" t="s">
        <v>234</v>
      </c>
      <c r="C3138" s="2" t="str">
        <f>PROPER(TRIM(Table1[[#This Row],[Gender]]))</f>
        <v>Female</v>
      </c>
      <c r="D3138" t="s">
        <v>43</v>
      </c>
      <c r="E3138">
        <v>43</v>
      </c>
      <c r="F3138" t="s">
        <v>38</v>
      </c>
      <c r="G3138" s="1">
        <v>29963</v>
      </c>
      <c r="H3138" t="s">
        <v>6962</v>
      </c>
      <c r="I3138" s="2" t="str">
        <f t="shared" ref="I3138:I3201" si="49">"+91"&amp;TEXT(J3138,"0000000000")</f>
        <v>+91-9602471699</v>
      </c>
      <c r="J3138">
        <f>91-9602471790</f>
        <v>-9602471699</v>
      </c>
      <c r="K3138" t="s">
        <v>109</v>
      </c>
      <c r="L3138" t="s">
        <v>46</v>
      </c>
      <c r="M3138">
        <v>128095</v>
      </c>
      <c r="N3138" s="1">
        <v>45222</v>
      </c>
      <c r="O3138" t="s">
        <v>35</v>
      </c>
      <c r="P3138">
        <v>1</v>
      </c>
      <c r="Q3138">
        <v>497.36</v>
      </c>
    </row>
    <row r="3139" spans="1:17" x14ac:dyDescent="0.3">
      <c r="A3139" t="s">
        <v>6963</v>
      </c>
      <c r="B3139" t="s">
        <v>839</v>
      </c>
      <c r="C3139" s="2" t="str">
        <f>PROPER(TRIM(Table1[[#This Row],[Gender]]))</f>
        <v>Male</v>
      </c>
      <c r="D3139" t="s">
        <v>16</v>
      </c>
      <c r="E3139">
        <v>65</v>
      </c>
      <c r="F3139" t="s">
        <v>58</v>
      </c>
      <c r="G3139" s="1">
        <v>21933</v>
      </c>
      <c r="H3139" t="s">
        <v>6964</v>
      </c>
      <c r="I3139" s="2" t="str">
        <f t="shared" si="49"/>
        <v>+91-7054448884</v>
      </c>
      <c r="J3139">
        <f>91-7054448975</f>
        <v>-7054448884</v>
      </c>
      <c r="K3139" t="s">
        <v>51</v>
      </c>
      <c r="L3139" t="s">
        <v>52</v>
      </c>
      <c r="M3139">
        <v>445766</v>
      </c>
      <c r="N3139" s="1">
        <v>45134</v>
      </c>
      <c r="O3139" t="s">
        <v>21</v>
      </c>
      <c r="P3139">
        <v>5</v>
      </c>
      <c r="Q3139">
        <v>34419.4</v>
      </c>
    </row>
    <row r="3140" spans="1:17" x14ac:dyDescent="0.3">
      <c r="A3140" t="s">
        <v>6965</v>
      </c>
      <c r="B3140" t="s">
        <v>1337</v>
      </c>
      <c r="C3140" s="2" t="str">
        <f>PROPER(TRIM(Table1[[#This Row],[Gender]]))</f>
        <v>Female</v>
      </c>
      <c r="D3140" t="s">
        <v>43</v>
      </c>
      <c r="E3140">
        <v>54</v>
      </c>
      <c r="F3140" t="s">
        <v>17</v>
      </c>
      <c r="G3140" s="1">
        <v>25948</v>
      </c>
      <c r="H3140" t="s">
        <v>6966</v>
      </c>
      <c r="I3140" s="2" t="str">
        <f t="shared" si="49"/>
        <v>+91-8207933144</v>
      </c>
      <c r="J3140">
        <f>91-8207933235</f>
        <v>-8207933144</v>
      </c>
      <c r="K3140" t="s">
        <v>154</v>
      </c>
      <c r="L3140" t="s">
        <v>46</v>
      </c>
      <c r="M3140">
        <v>384572</v>
      </c>
      <c r="N3140" s="1">
        <v>45173</v>
      </c>
      <c r="O3140" t="s">
        <v>21</v>
      </c>
      <c r="P3140">
        <v>3</v>
      </c>
      <c r="Q3140">
        <v>49979.15</v>
      </c>
    </row>
    <row r="3141" spans="1:17" x14ac:dyDescent="0.3">
      <c r="A3141" t="s">
        <v>6967</v>
      </c>
      <c r="B3141" t="s">
        <v>787</v>
      </c>
      <c r="C3141" s="2" t="str">
        <f>PROPER(TRIM(Table1[[#This Row],[Gender]]))</f>
        <v>Female</v>
      </c>
      <c r="D3141" t="s">
        <v>43</v>
      </c>
      <c r="E3141">
        <v>26</v>
      </c>
      <c r="F3141" t="s">
        <v>31</v>
      </c>
      <c r="G3141" s="1">
        <v>36168</v>
      </c>
      <c r="H3141" t="s">
        <v>5638</v>
      </c>
      <c r="I3141" s="2" t="str">
        <f t="shared" si="49"/>
        <v>+91-9107261821</v>
      </c>
      <c r="J3141">
        <f>91-9107261912</f>
        <v>-9107261821</v>
      </c>
      <c r="K3141" t="s">
        <v>195</v>
      </c>
      <c r="L3141" t="s">
        <v>102</v>
      </c>
      <c r="M3141">
        <v>883535</v>
      </c>
      <c r="N3141" s="1">
        <v>45394</v>
      </c>
      <c r="O3141" t="s">
        <v>28</v>
      </c>
      <c r="P3141">
        <v>7</v>
      </c>
      <c r="Q3141">
        <v>157224.44</v>
      </c>
    </row>
    <row r="3142" spans="1:17" x14ac:dyDescent="0.3">
      <c r="A3142" t="s">
        <v>6968</v>
      </c>
      <c r="B3142" t="s">
        <v>1028</v>
      </c>
      <c r="C3142" s="2" t="str">
        <f>PROPER(TRIM(Table1[[#This Row],[Gender]]))</f>
        <v>Male</v>
      </c>
      <c r="D3142" t="s">
        <v>16</v>
      </c>
      <c r="E3142">
        <v>23</v>
      </c>
      <c r="F3142" t="s">
        <v>49</v>
      </c>
      <c r="G3142" s="1">
        <v>37263</v>
      </c>
      <c r="H3142" t="s">
        <v>6969</v>
      </c>
      <c r="I3142" s="2" t="str">
        <f t="shared" si="49"/>
        <v>+91-8910786331</v>
      </c>
      <c r="J3142">
        <f>91-8910786422</f>
        <v>-8910786331</v>
      </c>
      <c r="K3142" t="s">
        <v>273</v>
      </c>
      <c r="L3142" t="s">
        <v>46</v>
      </c>
      <c r="M3142">
        <v>444148</v>
      </c>
      <c r="N3142" s="1">
        <v>45281</v>
      </c>
      <c r="O3142" t="s">
        <v>28</v>
      </c>
      <c r="P3142">
        <v>8</v>
      </c>
      <c r="Q3142">
        <v>93320.99</v>
      </c>
    </row>
    <row r="3143" spans="1:17" x14ac:dyDescent="0.3">
      <c r="A3143" t="s">
        <v>6970</v>
      </c>
      <c r="B3143" t="s">
        <v>845</v>
      </c>
      <c r="C3143" s="2" t="str">
        <f>PROPER(TRIM(Table1[[#This Row],[Gender]]))</f>
        <v>Male</v>
      </c>
      <c r="D3143" t="s">
        <v>16</v>
      </c>
      <c r="E3143">
        <v>59</v>
      </c>
      <c r="F3143" t="s">
        <v>58</v>
      </c>
      <c r="G3143" s="1">
        <v>24123</v>
      </c>
      <c r="H3143" t="s">
        <v>1697</v>
      </c>
      <c r="I3143" s="2" t="str">
        <f t="shared" si="49"/>
        <v>+91-7528346913</v>
      </c>
      <c r="J3143">
        <f>91-7528347004</f>
        <v>-7528346913</v>
      </c>
      <c r="K3143" t="s">
        <v>580</v>
      </c>
      <c r="L3143" t="s">
        <v>85</v>
      </c>
      <c r="M3143">
        <v>893911</v>
      </c>
      <c r="N3143" s="1">
        <v>45355</v>
      </c>
      <c r="O3143" t="s">
        <v>35</v>
      </c>
      <c r="P3143">
        <v>3</v>
      </c>
      <c r="Q3143">
        <v>11424.54</v>
      </c>
    </row>
    <row r="3144" spans="1:17" x14ac:dyDescent="0.3">
      <c r="A3144" t="s">
        <v>6971</v>
      </c>
      <c r="B3144" t="s">
        <v>6680</v>
      </c>
      <c r="C3144" s="2" t="str">
        <f>PROPER(TRIM(Table1[[#This Row],[Gender]]))</f>
        <v>Female</v>
      </c>
      <c r="D3144" t="s">
        <v>43</v>
      </c>
      <c r="E3144">
        <v>18</v>
      </c>
      <c r="F3144" t="s">
        <v>49</v>
      </c>
      <c r="G3144" s="1">
        <v>39088</v>
      </c>
      <c r="H3144" t="s">
        <v>6972</v>
      </c>
      <c r="I3144" s="2" t="str">
        <f t="shared" si="49"/>
        <v>+91-9195107788</v>
      </c>
      <c r="J3144">
        <f>91-9195107879</f>
        <v>-9195107788</v>
      </c>
      <c r="K3144" t="s">
        <v>273</v>
      </c>
      <c r="L3144" t="s">
        <v>46</v>
      </c>
      <c r="M3144">
        <v>795106</v>
      </c>
      <c r="N3144" s="1">
        <v>45080</v>
      </c>
      <c r="O3144" t="s">
        <v>28</v>
      </c>
      <c r="P3144">
        <v>4</v>
      </c>
      <c r="Q3144">
        <v>176536.33</v>
      </c>
    </row>
    <row r="3145" spans="1:17" x14ac:dyDescent="0.3">
      <c r="A3145" t="s">
        <v>6973</v>
      </c>
      <c r="B3145" t="s">
        <v>2130</v>
      </c>
      <c r="C3145" s="2" t="str">
        <f>PROPER(TRIM(Table1[[#This Row],[Gender]]))</f>
        <v>Female</v>
      </c>
      <c r="D3145" t="s">
        <v>43</v>
      </c>
      <c r="E3145">
        <v>40</v>
      </c>
      <c r="F3145" t="s">
        <v>38</v>
      </c>
      <c r="G3145" s="1">
        <v>31058</v>
      </c>
      <c r="H3145" t="s">
        <v>6974</v>
      </c>
      <c r="I3145" s="2" t="str">
        <f t="shared" si="49"/>
        <v>+91-8858200554</v>
      </c>
      <c r="J3145">
        <f>91-8858200645</f>
        <v>-8858200554</v>
      </c>
      <c r="K3145" t="s">
        <v>40</v>
      </c>
      <c r="L3145" t="s">
        <v>27</v>
      </c>
      <c r="M3145">
        <v>377363</v>
      </c>
      <c r="N3145" s="1">
        <v>45400</v>
      </c>
      <c r="O3145" t="s">
        <v>28</v>
      </c>
      <c r="P3145">
        <v>9</v>
      </c>
      <c r="Q3145">
        <v>130155.56</v>
      </c>
    </row>
    <row r="3146" spans="1:17" x14ac:dyDescent="0.3">
      <c r="A3146" t="s">
        <v>6975</v>
      </c>
      <c r="B3146" t="s">
        <v>119</v>
      </c>
      <c r="C3146" s="2" t="str">
        <f>PROPER(TRIM(Table1[[#This Row],[Gender]]))</f>
        <v>Male</v>
      </c>
      <c r="D3146" t="s">
        <v>16</v>
      </c>
      <c r="E3146">
        <v>29</v>
      </c>
      <c r="F3146" t="s">
        <v>31</v>
      </c>
      <c r="G3146" s="1">
        <v>35073</v>
      </c>
      <c r="H3146" t="s">
        <v>6976</v>
      </c>
      <c r="I3146" s="2" t="str">
        <f t="shared" si="49"/>
        <v>+91-9039357730</v>
      </c>
      <c r="J3146">
        <f>91-9039357821</f>
        <v>-9039357730</v>
      </c>
      <c r="K3146" t="s">
        <v>113</v>
      </c>
      <c r="L3146" t="s">
        <v>34</v>
      </c>
      <c r="M3146">
        <v>953298</v>
      </c>
      <c r="N3146" s="1">
        <v>45342</v>
      </c>
      <c r="O3146" t="s">
        <v>21</v>
      </c>
      <c r="P3146">
        <v>2</v>
      </c>
      <c r="Q3146">
        <v>25935.200000000001</v>
      </c>
    </row>
    <row r="3147" spans="1:17" x14ac:dyDescent="0.3">
      <c r="A3147" t="s">
        <v>6977</v>
      </c>
      <c r="B3147" t="s">
        <v>2674</v>
      </c>
      <c r="C3147" s="2" t="str">
        <f>PROPER(TRIM(Table1[[#This Row],[Gender]]))</f>
        <v>Female</v>
      </c>
      <c r="D3147" t="s">
        <v>43</v>
      </c>
      <c r="E3147">
        <v>26</v>
      </c>
      <c r="F3147" t="s">
        <v>31</v>
      </c>
      <c r="G3147" s="1">
        <v>36168</v>
      </c>
      <c r="H3147" t="s">
        <v>6978</v>
      </c>
      <c r="I3147" s="2" t="str">
        <f t="shared" si="49"/>
        <v>+91-7973376444</v>
      </c>
      <c r="J3147">
        <f>91-7973376535</f>
        <v>-7973376444</v>
      </c>
      <c r="K3147" t="s">
        <v>165</v>
      </c>
      <c r="L3147" t="s">
        <v>52</v>
      </c>
      <c r="M3147">
        <v>542073</v>
      </c>
      <c r="N3147" s="1">
        <v>45181</v>
      </c>
      <c r="O3147" t="s">
        <v>28</v>
      </c>
      <c r="P3147">
        <v>4</v>
      </c>
      <c r="Q3147">
        <v>120157.34</v>
      </c>
    </row>
    <row r="3148" spans="1:17" x14ac:dyDescent="0.3">
      <c r="A3148" t="s">
        <v>6979</v>
      </c>
      <c r="B3148" t="s">
        <v>6928</v>
      </c>
      <c r="C3148" s="2" t="str">
        <f>PROPER(TRIM(Table1[[#This Row],[Gender]]))</f>
        <v>Female</v>
      </c>
      <c r="D3148" t="s">
        <v>43</v>
      </c>
      <c r="E3148">
        <v>26</v>
      </c>
      <c r="F3148" t="s">
        <v>31</v>
      </c>
      <c r="G3148" s="1">
        <v>36168</v>
      </c>
      <c r="H3148" t="s">
        <v>6980</v>
      </c>
      <c r="I3148" s="2" t="str">
        <f t="shared" si="49"/>
        <v>+91-7018884726</v>
      </c>
      <c r="J3148">
        <f>91-7018884817</f>
        <v>-7018884726</v>
      </c>
      <c r="K3148" t="s">
        <v>76</v>
      </c>
      <c r="L3148" t="s">
        <v>46</v>
      </c>
      <c r="M3148">
        <v>978972</v>
      </c>
      <c r="N3148" s="1">
        <v>45213</v>
      </c>
      <c r="O3148" t="s">
        <v>21</v>
      </c>
      <c r="P3148">
        <v>2</v>
      </c>
      <c r="Q3148">
        <v>23688.21</v>
      </c>
    </row>
    <row r="3149" spans="1:17" x14ac:dyDescent="0.3">
      <c r="A3149" t="s">
        <v>6981</v>
      </c>
      <c r="B3149" t="s">
        <v>1564</v>
      </c>
      <c r="C3149" s="2" t="str">
        <f>PROPER(TRIM(Table1[[#This Row],[Gender]]))</f>
        <v>Female</v>
      </c>
      <c r="D3149" t="s">
        <v>43</v>
      </c>
      <c r="E3149">
        <v>50</v>
      </c>
      <c r="F3149" t="s">
        <v>17</v>
      </c>
      <c r="G3149" s="1">
        <v>27408</v>
      </c>
      <c r="H3149" t="s">
        <v>6982</v>
      </c>
      <c r="I3149" s="2" t="str">
        <f t="shared" si="49"/>
        <v>+91-9240766712</v>
      </c>
      <c r="J3149">
        <f>91-9240766803</f>
        <v>-9240766712</v>
      </c>
      <c r="K3149" t="s">
        <v>249</v>
      </c>
      <c r="L3149" t="s">
        <v>34</v>
      </c>
      <c r="M3149">
        <v>631609</v>
      </c>
      <c r="N3149" s="1">
        <v>45150</v>
      </c>
      <c r="O3149" t="s">
        <v>35</v>
      </c>
      <c r="P3149">
        <v>3</v>
      </c>
      <c r="Q3149">
        <v>18709.009999999998</v>
      </c>
    </row>
    <row r="3150" spans="1:17" x14ac:dyDescent="0.3">
      <c r="A3150" t="s">
        <v>6983</v>
      </c>
      <c r="B3150" t="s">
        <v>3120</v>
      </c>
      <c r="C3150" s="2" t="str">
        <f>PROPER(TRIM(Table1[[#This Row],[Gender]]))</f>
        <v>Female</v>
      </c>
      <c r="D3150" t="s">
        <v>43</v>
      </c>
      <c r="E3150">
        <v>27</v>
      </c>
      <c r="F3150" t="s">
        <v>31</v>
      </c>
      <c r="G3150" s="1">
        <v>35803</v>
      </c>
      <c r="H3150" t="s">
        <v>6984</v>
      </c>
      <c r="I3150" s="2" t="str">
        <f t="shared" si="49"/>
        <v>+91-8540279081</v>
      </c>
      <c r="J3150">
        <f>91-8540279172</f>
        <v>-8540279081</v>
      </c>
      <c r="K3150" t="s">
        <v>249</v>
      </c>
      <c r="L3150" t="s">
        <v>34</v>
      </c>
      <c r="M3150">
        <v>802848</v>
      </c>
      <c r="N3150" s="1">
        <v>45218</v>
      </c>
      <c r="O3150" t="s">
        <v>21</v>
      </c>
      <c r="P3150">
        <v>3</v>
      </c>
      <c r="Q3150">
        <v>25513.18</v>
      </c>
    </row>
    <row r="3151" spans="1:17" x14ac:dyDescent="0.3">
      <c r="A3151" t="s">
        <v>6985</v>
      </c>
      <c r="B3151" t="s">
        <v>3306</v>
      </c>
      <c r="C3151" s="2" t="str">
        <f>PROPER(TRIM(Table1[[#This Row],[Gender]]))</f>
        <v>Male</v>
      </c>
      <c r="D3151" t="s">
        <v>16</v>
      </c>
      <c r="E3151">
        <v>19</v>
      </c>
      <c r="F3151" t="s">
        <v>49</v>
      </c>
      <c r="G3151" s="1">
        <v>38723</v>
      </c>
      <c r="H3151" t="s">
        <v>6986</v>
      </c>
      <c r="I3151" s="2" t="str">
        <f t="shared" si="49"/>
        <v>+91-9695321802</v>
      </c>
      <c r="J3151">
        <f>91-9695321893</f>
        <v>-9695321802</v>
      </c>
      <c r="K3151" t="s">
        <v>89</v>
      </c>
      <c r="L3151" t="s">
        <v>90</v>
      </c>
      <c r="M3151">
        <v>564673</v>
      </c>
      <c r="N3151" s="1">
        <v>45235</v>
      </c>
      <c r="O3151" t="s">
        <v>28</v>
      </c>
      <c r="P3151">
        <v>11</v>
      </c>
      <c r="Q3151">
        <v>711513.5</v>
      </c>
    </row>
    <row r="3152" spans="1:17" x14ac:dyDescent="0.3">
      <c r="A3152" t="s">
        <v>6987</v>
      </c>
      <c r="B3152" t="s">
        <v>6988</v>
      </c>
      <c r="C3152" s="2" t="str">
        <f>PROPER(TRIM(Table1[[#This Row],[Gender]]))</f>
        <v>Male</v>
      </c>
      <c r="D3152" t="s">
        <v>16</v>
      </c>
      <c r="E3152">
        <v>23</v>
      </c>
      <c r="F3152" t="s">
        <v>49</v>
      </c>
      <c r="G3152" s="1">
        <v>37263</v>
      </c>
      <c r="H3152" t="s">
        <v>6989</v>
      </c>
      <c r="I3152" s="2" t="str">
        <f t="shared" si="49"/>
        <v>+91-8659436112</v>
      </c>
      <c r="J3152">
        <f>91-8659436203</f>
        <v>-8659436112</v>
      </c>
      <c r="K3152" t="s">
        <v>51</v>
      </c>
      <c r="L3152" t="s">
        <v>52</v>
      </c>
      <c r="M3152">
        <v>641199</v>
      </c>
      <c r="N3152" s="1">
        <v>45117</v>
      </c>
      <c r="O3152" t="s">
        <v>28</v>
      </c>
      <c r="P3152">
        <v>6</v>
      </c>
      <c r="Q3152">
        <v>84589.03</v>
      </c>
    </row>
    <row r="3153" spans="1:17" x14ac:dyDescent="0.3">
      <c r="A3153" t="s">
        <v>6990</v>
      </c>
      <c r="B3153" t="s">
        <v>1286</v>
      </c>
      <c r="C3153" s="2" t="str">
        <f>PROPER(TRIM(Table1[[#This Row],[Gender]]))</f>
        <v>Male</v>
      </c>
      <c r="D3153" t="s">
        <v>16</v>
      </c>
      <c r="E3153">
        <v>24</v>
      </c>
      <c r="F3153" t="s">
        <v>49</v>
      </c>
      <c r="G3153" s="1">
        <v>36898</v>
      </c>
      <c r="H3153" t="s">
        <v>6991</v>
      </c>
      <c r="I3153" s="2" t="str">
        <f t="shared" si="49"/>
        <v>+91-7753818421</v>
      </c>
      <c r="J3153">
        <f>91-7753818512</f>
        <v>-7753818421</v>
      </c>
      <c r="K3153" t="s">
        <v>117</v>
      </c>
      <c r="L3153" t="s">
        <v>52</v>
      </c>
      <c r="M3153">
        <v>611838</v>
      </c>
      <c r="N3153" s="1">
        <v>45092</v>
      </c>
      <c r="O3153" t="s">
        <v>28</v>
      </c>
      <c r="P3153">
        <v>7</v>
      </c>
      <c r="Q3153">
        <v>168081</v>
      </c>
    </row>
    <row r="3154" spans="1:17" x14ac:dyDescent="0.3">
      <c r="A3154" t="s">
        <v>6992</v>
      </c>
      <c r="B3154" t="s">
        <v>921</v>
      </c>
      <c r="C3154" s="2" t="str">
        <f>PROPER(TRIM(Table1[[#This Row],[Gender]]))</f>
        <v>Female</v>
      </c>
      <c r="D3154" t="s">
        <v>43</v>
      </c>
      <c r="E3154">
        <v>35</v>
      </c>
      <c r="F3154" t="s">
        <v>31</v>
      </c>
      <c r="G3154" s="1">
        <v>32883</v>
      </c>
      <c r="H3154" t="s">
        <v>6993</v>
      </c>
      <c r="I3154" s="2" t="str">
        <f t="shared" si="49"/>
        <v>+91-8625674806</v>
      </c>
      <c r="J3154">
        <f>91-8625674897</f>
        <v>-8625674806</v>
      </c>
      <c r="K3154" t="s">
        <v>40</v>
      </c>
      <c r="L3154" t="s">
        <v>27</v>
      </c>
      <c r="M3154">
        <v>323865</v>
      </c>
      <c r="N3154" s="1">
        <v>45116</v>
      </c>
      <c r="O3154" t="s">
        <v>28</v>
      </c>
      <c r="P3154">
        <v>4</v>
      </c>
      <c r="Q3154">
        <v>76119.97</v>
      </c>
    </row>
    <row r="3155" spans="1:17" x14ac:dyDescent="0.3">
      <c r="A3155" t="s">
        <v>6994</v>
      </c>
      <c r="B3155" t="s">
        <v>176</v>
      </c>
      <c r="C3155" s="2" t="str">
        <f>PROPER(TRIM(Table1[[#This Row],[Gender]]))</f>
        <v>Female</v>
      </c>
      <c r="D3155" t="s">
        <v>43</v>
      </c>
      <c r="E3155">
        <v>61</v>
      </c>
      <c r="F3155" t="s">
        <v>58</v>
      </c>
      <c r="G3155" s="1">
        <v>23393</v>
      </c>
      <c r="H3155" t="s">
        <v>6995</v>
      </c>
      <c r="I3155" s="2" t="str">
        <f t="shared" si="49"/>
        <v>+91-7769160323</v>
      </c>
      <c r="J3155">
        <f>91-7769160414</f>
        <v>-7769160323</v>
      </c>
      <c r="K3155" t="s">
        <v>64</v>
      </c>
      <c r="L3155" t="s">
        <v>20</v>
      </c>
      <c r="M3155">
        <v>984620</v>
      </c>
      <c r="N3155" s="1">
        <v>45398</v>
      </c>
      <c r="O3155" t="s">
        <v>21</v>
      </c>
      <c r="P3155">
        <v>5</v>
      </c>
      <c r="Q3155">
        <v>31539.14</v>
      </c>
    </row>
    <row r="3156" spans="1:17" x14ac:dyDescent="0.3">
      <c r="A3156" t="s">
        <v>6996</v>
      </c>
      <c r="B3156" t="s">
        <v>180</v>
      </c>
      <c r="C3156" s="2" t="str">
        <f>PROPER(TRIM(Table1[[#This Row],[Gender]]))</f>
        <v>Female</v>
      </c>
      <c r="D3156" t="s">
        <v>43</v>
      </c>
      <c r="E3156">
        <v>34</v>
      </c>
      <c r="F3156" t="s">
        <v>31</v>
      </c>
      <c r="G3156" s="1">
        <v>33248</v>
      </c>
      <c r="H3156" t="s">
        <v>6997</v>
      </c>
      <c r="I3156" s="2" t="str">
        <f t="shared" si="49"/>
        <v>+91-7968568472</v>
      </c>
      <c r="J3156">
        <f>91-7968568563</f>
        <v>-7968568472</v>
      </c>
      <c r="K3156" t="s">
        <v>190</v>
      </c>
      <c r="L3156" t="s">
        <v>191</v>
      </c>
      <c r="M3156">
        <v>894125</v>
      </c>
      <c r="N3156" s="1">
        <v>45132</v>
      </c>
      <c r="O3156" t="s">
        <v>21</v>
      </c>
      <c r="P3156">
        <v>3</v>
      </c>
      <c r="Q3156">
        <v>41919.870000000003</v>
      </c>
    </row>
    <row r="3157" spans="1:17" x14ac:dyDescent="0.3">
      <c r="A3157" t="s">
        <v>6998</v>
      </c>
      <c r="B3157" t="s">
        <v>2989</v>
      </c>
      <c r="C3157" s="2" t="str">
        <f>PROPER(TRIM(Table1[[#This Row],[Gender]]))</f>
        <v>Female</v>
      </c>
      <c r="D3157" t="s">
        <v>43</v>
      </c>
      <c r="E3157">
        <v>26</v>
      </c>
      <c r="F3157" t="s">
        <v>31</v>
      </c>
      <c r="G3157" s="1">
        <v>36168</v>
      </c>
      <c r="H3157" t="s">
        <v>6999</v>
      </c>
      <c r="I3157" s="2" t="str">
        <f t="shared" si="49"/>
        <v>+91-9646457255</v>
      </c>
      <c r="J3157">
        <f>91-9646457346</f>
        <v>-9646457255</v>
      </c>
      <c r="K3157" t="s">
        <v>40</v>
      </c>
      <c r="L3157" t="s">
        <v>27</v>
      </c>
      <c r="M3157">
        <v>857332</v>
      </c>
      <c r="N3157" s="1">
        <v>45249</v>
      </c>
      <c r="O3157" t="s">
        <v>28</v>
      </c>
      <c r="P3157">
        <v>6</v>
      </c>
      <c r="Q3157">
        <v>127450.34</v>
      </c>
    </row>
    <row r="3158" spans="1:17" x14ac:dyDescent="0.3">
      <c r="A3158" t="s">
        <v>7000</v>
      </c>
      <c r="B3158" t="s">
        <v>3464</v>
      </c>
      <c r="C3158" s="2" t="str">
        <f>PROPER(TRIM(Table1[[#This Row],[Gender]]))</f>
        <v>Female</v>
      </c>
      <c r="D3158" t="s">
        <v>43</v>
      </c>
      <c r="E3158">
        <v>32</v>
      </c>
      <c r="F3158" t="s">
        <v>31</v>
      </c>
      <c r="G3158" s="1">
        <v>33978</v>
      </c>
      <c r="H3158" t="s">
        <v>7001</v>
      </c>
      <c r="I3158" s="2" t="str">
        <f t="shared" si="49"/>
        <v>+91-9743467975</v>
      </c>
      <c r="J3158">
        <f>91-9743468066</f>
        <v>-9743467975</v>
      </c>
      <c r="K3158" t="s">
        <v>331</v>
      </c>
      <c r="L3158" t="s">
        <v>143</v>
      </c>
      <c r="M3158">
        <v>778068</v>
      </c>
      <c r="N3158" s="1">
        <v>45207</v>
      </c>
      <c r="O3158" t="s">
        <v>28</v>
      </c>
      <c r="P3158">
        <v>4</v>
      </c>
      <c r="Q3158">
        <v>56664.71</v>
      </c>
    </row>
    <row r="3159" spans="1:17" x14ac:dyDescent="0.3">
      <c r="A3159" t="s">
        <v>7002</v>
      </c>
      <c r="B3159" t="s">
        <v>862</v>
      </c>
      <c r="C3159" s="2" t="str">
        <f>PROPER(TRIM(Table1[[#This Row],[Gender]]))</f>
        <v>Male</v>
      </c>
      <c r="D3159" t="s">
        <v>16</v>
      </c>
      <c r="E3159">
        <v>41</v>
      </c>
      <c r="F3159" t="s">
        <v>38</v>
      </c>
      <c r="G3159" s="1">
        <v>30693</v>
      </c>
      <c r="H3159" t="s">
        <v>7003</v>
      </c>
      <c r="I3159" s="2" t="str">
        <f t="shared" si="49"/>
        <v>+91-7772887599</v>
      </c>
      <c r="J3159">
        <f>91-7772887690</f>
        <v>-7772887599</v>
      </c>
      <c r="K3159" t="s">
        <v>161</v>
      </c>
      <c r="L3159" t="s">
        <v>102</v>
      </c>
      <c r="M3159">
        <v>228090</v>
      </c>
      <c r="N3159" s="1">
        <v>45230</v>
      </c>
      <c r="O3159" t="s">
        <v>28</v>
      </c>
      <c r="P3159">
        <v>8</v>
      </c>
      <c r="Q3159">
        <v>320978.77</v>
      </c>
    </row>
    <row r="3160" spans="1:17" x14ac:dyDescent="0.3">
      <c r="A3160" t="s">
        <v>7004</v>
      </c>
      <c r="B3160" t="s">
        <v>2372</v>
      </c>
      <c r="C3160" s="2" t="str">
        <f>PROPER(TRIM(Table1[[#This Row],[Gender]]))</f>
        <v>Female</v>
      </c>
      <c r="D3160" t="s">
        <v>43</v>
      </c>
      <c r="E3160">
        <v>48</v>
      </c>
      <c r="F3160" t="s">
        <v>17</v>
      </c>
      <c r="G3160" s="1">
        <v>28138</v>
      </c>
      <c r="H3160" t="s">
        <v>7005</v>
      </c>
      <c r="I3160" s="2" t="str">
        <f t="shared" si="49"/>
        <v>+91-8148748911</v>
      </c>
      <c r="J3160">
        <f>91-8148749002</f>
        <v>-8148748911</v>
      </c>
      <c r="K3160" t="s">
        <v>84</v>
      </c>
      <c r="L3160" t="s">
        <v>85</v>
      </c>
      <c r="M3160">
        <v>526650</v>
      </c>
      <c r="N3160" s="1">
        <v>45362</v>
      </c>
      <c r="O3160" t="s">
        <v>28</v>
      </c>
      <c r="P3160">
        <v>5</v>
      </c>
      <c r="Q3160">
        <v>73786</v>
      </c>
    </row>
    <row r="3161" spans="1:17" x14ac:dyDescent="0.3">
      <c r="A3161" t="s">
        <v>7006</v>
      </c>
      <c r="B3161" t="s">
        <v>2890</v>
      </c>
      <c r="C3161" s="2" t="str">
        <f>PROPER(TRIM(Table1[[#This Row],[Gender]]))</f>
        <v>Female</v>
      </c>
      <c r="D3161" t="s">
        <v>43</v>
      </c>
      <c r="E3161">
        <v>24</v>
      </c>
      <c r="F3161" t="s">
        <v>49</v>
      </c>
      <c r="G3161" s="1">
        <v>36898</v>
      </c>
      <c r="H3161" t="s">
        <v>7007</v>
      </c>
      <c r="I3161" s="2" t="str">
        <f t="shared" si="49"/>
        <v>+91-7371259774</v>
      </c>
      <c r="J3161">
        <f>91-7371259865</f>
        <v>-7371259774</v>
      </c>
      <c r="K3161" t="s">
        <v>138</v>
      </c>
      <c r="L3161" t="s">
        <v>90</v>
      </c>
      <c r="M3161">
        <v>681818</v>
      </c>
      <c r="N3161" s="1">
        <v>45199</v>
      </c>
      <c r="O3161" t="s">
        <v>28</v>
      </c>
      <c r="P3161">
        <v>3</v>
      </c>
      <c r="Q3161">
        <v>96184.88</v>
      </c>
    </row>
    <row r="3162" spans="1:17" x14ac:dyDescent="0.3">
      <c r="A3162" t="s">
        <v>7008</v>
      </c>
      <c r="B3162" t="s">
        <v>3041</v>
      </c>
      <c r="C3162" s="2" t="str">
        <f>PROPER(TRIM(Table1[[#This Row],[Gender]]))</f>
        <v>Male</v>
      </c>
      <c r="D3162" t="s">
        <v>16</v>
      </c>
      <c r="E3162">
        <v>33</v>
      </c>
      <c r="F3162" t="s">
        <v>31</v>
      </c>
      <c r="G3162" s="1">
        <v>33613</v>
      </c>
      <c r="H3162" t="s">
        <v>7009</v>
      </c>
      <c r="I3162" s="2" t="str">
        <f t="shared" si="49"/>
        <v>+91-8527200690</v>
      </c>
      <c r="J3162">
        <f>91-8527200781</f>
        <v>-8527200690</v>
      </c>
      <c r="K3162" t="s">
        <v>80</v>
      </c>
      <c r="L3162" t="s">
        <v>20</v>
      </c>
      <c r="M3162">
        <v>779153</v>
      </c>
      <c r="N3162" s="1">
        <v>45200</v>
      </c>
      <c r="O3162" t="s">
        <v>21</v>
      </c>
      <c r="P3162">
        <v>5</v>
      </c>
      <c r="Q3162">
        <v>47459.79</v>
      </c>
    </row>
    <row r="3163" spans="1:17" x14ac:dyDescent="0.3">
      <c r="A3163" t="s">
        <v>7010</v>
      </c>
      <c r="B3163" t="s">
        <v>3521</v>
      </c>
      <c r="C3163" s="2" t="str">
        <f>PROPER(TRIM(Table1[[#This Row],[Gender]]))</f>
        <v>Female</v>
      </c>
      <c r="D3163" t="s">
        <v>43</v>
      </c>
      <c r="E3163">
        <v>22</v>
      </c>
      <c r="F3163" t="s">
        <v>49</v>
      </c>
      <c r="G3163" s="1">
        <v>37628</v>
      </c>
      <c r="H3163" t="s">
        <v>7011</v>
      </c>
      <c r="I3163" s="2" t="str">
        <f t="shared" si="49"/>
        <v>+91-7380205471</v>
      </c>
      <c r="J3163">
        <f>91-7380205562</f>
        <v>-7380205471</v>
      </c>
      <c r="K3163" t="s">
        <v>202</v>
      </c>
      <c r="L3163" t="s">
        <v>191</v>
      </c>
      <c r="M3163">
        <v>968909</v>
      </c>
      <c r="N3163" s="1">
        <v>45166</v>
      </c>
      <c r="O3163" t="s">
        <v>21</v>
      </c>
      <c r="P3163">
        <v>4</v>
      </c>
      <c r="Q3163">
        <v>36829.300000000003</v>
      </c>
    </row>
    <row r="3164" spans="1:17" x14ac:dyDescent="0.3">
      <c r="A3164" t="s">
        <v>7012</v>
      </c>
      <c r="B3164" t="s">
        <v>1449</v>
      </c>
      <c r="C3164" s="2" t="str">
        <f>PROPER(TRIM(Table1[[#This Row],[Gender]]))</f>
        <v>Female</v>
      </c>
      <c r="D3164" t="s">
        <v>43</v>
      </c>
      <c r="E3164">
        <v>45</v>
      </c>
      <c r="F3164" t="s">
        <v>38</v>
      </c>
      <c r="G3164" s="1">
        <v>29233</v>
      </c>
      <c r="H3164" t="s">
        <v>7013</v>
      </c>
      <c r="I3164" s="2" t="str">
        <f t="shared" si="49"/>
        <v>+91-8036387269</v>
      </c>
      <c r="J3164">
        <f>91-8036387360</f>
        <v>-8036387269</v>
      </c>
      <c r="K3164" t="s">
        <v>138</v>
      </c>
      <c r="L3164" t="s">
        <v>90</v>
      </c>
      <c r="M3164">
        <v>147360</v>
      </c>
      <c r="N3164" s="1">
        <v>45088</v>
      </c>
      <c r="O3164" t="s">
        <v>28</v>
      </c>
      <c r="P3164">
        <v>2</v>
      </c>
      <c r="Q3164">
        <v>72043.759999999995</v>
      </c>
    </row>
    <row r="3165" spans="1:17" x14ac:dyDescent="0.3">
      <c r="A3165" t="s">
        <v>7014</v>
      </c>
      <c r="B3165" t="s">
        <v>7015</v>
      </c>
      <c r="C3165" s="2" t="str">
        <f>PROPER(TRIM(Table1[[#This Row],[Gender]]))</f>
        <v>Male</v>
      </c>
      <c r="D3165" t="s">
        <v>16</v>
      </c>
      <c r="E3165">
        <v>33</v>
      </c>
      <c r="F3165" t="s">
        <v>31</v>
      </c>
      <c r="G3165" s="1">
        <v>33613</v>
      </c>
      <c r="H3165" t="s">
        <v>7016</v>
      </c>
      <c r="I3165" s="2" t="str">
        <f t="shared" si="49"/>
        <v>+91-8216912683</v>
      </c>
      <c r="J3165">
        <f>91-8216912774</f>
        <v>-8216912683</v>
      </c>
      <c r="K3165" t="s">
        <v>249</v>
      </c>
      <c r="L3165" t="s">
        <v>34</v>
      </c>
      <c r="M3165">
        <v>473084</v>
      </c>
      <c r="N3165" s="1">
        <v>45161</v>
      </c>
      <c r="O3165" t="s">
        <v>28</v>
      </c>
      <c r="P3165">
        <v>7</v>
      </c>
      <c r="Q3165">
        <v>208422.46</v>
      </c>
    </row>
    <row r="3166" spans="1:17" x14ac:dyDescent="0.3">
      <c r="A3166" t="s">
        <v>7017</v>
      </c>
      <c r="B3166" t="s">
        <v>534</v>
      </c>
      <c r="C3166" s="2" t="str">
        <f>PROPER(TRIM(Table1[[#This Row],[Gender]]))</f>
        <v>Female</v>
      </c>
      <c r="D3166" t="s">
        <v>43</v>
      </c>
      <c r="E3166">
        <v>32</v>
      </c>
      <c r="F3166" t="s">
        <v>31</v>
      </c>
      <c r="G3166" s="1">
        <v>33978</v>
      </c>
      <c r="H3166" t="s">
        <v>7018</v>
      </c>
      <c r="I3166" s="2" t="str">
        <f t="shared" si="49"/>
        <v>+91-9880778548</v>
      </c>
      <c r="J3166">
        <f>91-9880778639</f>
        <v>-9880778548</v>
      </c>
      <c r="K3166" t="s">
        <v>51</v>
      </c>
      <c r="L3166" t="s">
        <v>52</v>
      </c>
      <c r="M3166">
        <v>108194</v>
      </c>
      <c r="N3166" s="1">
        <v>45423</v>
      </c>
      <c r="O3166" t="s">
        <v>28</v>
      </c>
      <c r="P3166">
        <v>2</v>
      </c>
      <c r="Q3166">
        <v>67713.63</v>
      </c>
    </row>
    <row r="3167" spans="1:17" x14ac:dyDescent="0.3">
      <c r="A3167" t="s">
        <v>7019</v>
      </c>
      <c r="B3167" t="s">
        <v>257</v>
      </c>
      <c r="C3167" s="2" t="str">
        <f>PROPER(TRIM(Table1[[#This Row],[Gender]]))</f>
        <v>Male</v>
      </c>
      <c r="D3167" t="s">
        <v>16</v>
      </c>
      <c r="E3167">
        <v>56</v>
      </c>
      <c r="F3167" t="s">
        <v>58</v>
      </c>
      <c r="G3167" s="1">
        <v>25218</v>
      </c>
      <c r="H3167" t="s">
        <v>7020</v>
      </c>
      <c r="I3167" s="2" t="str">
        <f t="shared" si="49"/>
        <v>+91-7176978934</v>
      </c>
      <c r="J3167">
        <f>91-7176979025</f>
        <v>-7176978934</v>
      </c>
      <c r="K3167" t="s">
        <v>19</v>
      </c>
      <c r="L3167" t="s">
        <v>20</v>
      </c>
      <c r="M3167">
        <v>177511</v>
      </c>
      <c r="N3167" s="1">
        <v>45080</v>
      </c>
      <c r="O3167" t="s">
        <v>21</v>
      </c>
      <c r="P3167">
        <v>6</v>
      </c>
      <c r="Q3167">
        <v>41165.35</v>
      </c>
    </row>
    <row r="3168" spans="1:17" x14ac:dyDescent="0.3">
      <c r="A3168" t="s">
        <v>7021</v>
      </c>
      <c r="B3168" t="s">
        <v>3165</v>
      </c>
      <c r="C3168" s="2" t="str">
        <f>PROPER(TRIM(Table1[[#This Row],[Gender]]))</f>
        <v>Male</v>
      </c>
      <c r="D3168" t="s">
        <v>16</v>
      </c>
      <c r="E3168">
        <v>29</v>
      </c>
      <c r="F3168" t="s">
        <v>31</v>
      </c>
      <c r="G3168" s="1">
        <v>35073</v>
      </c>
      <c r="H3168" t="s">
        <v>7022</v>
      </c>
      <c r="I3168" s="2" t="str">
        <f t="shared" si="49"/>
        <v>+91-7357825420</v>
      </c>
      <c r="J3168">
        <f>91-7357825511</f>
        <v>-7357825420</v>
      </c>
      <c r="K3168" t="s">
        <v>33</v>
      </c>
      <c r="L3168" t="s">
        <v>34</v>
      </c>
      <c r="M3168">
        <v>456259</v>
      </c>
      <c r="N3168" s="1">
        <v>45232</v>
      </c>
      <c r="O3168" t="s">
        <v>28</v>
      </c>
      <c r="P3168">
        <v>4</v>
      </c>
      <c r="Q3168">
        <v>149136.60999999999</v>
      </c>
    </row>
    <row r="3169" spans="1:17" x14ac:dyDescent="0.3">
      <c r="A3169" t="s">
        <v>7023</v>
      </c>
      <c r="B3169" t="s">
        <v>4045</v>
      </c>
      <c r="C3169" s="2" t="str">
        <f>PROPER(TRIM(Table1[[#This Row],[Gender]]))</f>
        <v>Female</v>
      </c>
      <c r="D3169" t="s">
        <v>43</v>
      </c>
      <c r="E3169">
        <v>30</v>
      </c>
      <c r="F3169" t="s">
        <v>31</v>
      </c>
      <c r="G3169" s="1">
        <v>34708</v>
      </c>
      <c r="H3169" t="s">
        <v>7024</v>
      </c>
      <c r="I3169" s="2" t="str">
        <f t="shared" si="49"/>
        <v>+91-8987820708</v>
      </c>
      <c r="J3169">
        <f>91-8987820799</f>
        <v>-8987820708</v>
      </c>
      <c r="K3169" t="s">
        <v>161</v>
      </c>
      <c r="L3169" t="s">
        <v>102</v>
      </c>
      <c r="M3169">
        <v>540699</v>
      </c>
      <c r="N3169" s="1">
        <v>45323</v>
      </c>
      <c r="O3169" t="s">
        <v>21</v>
      </c>
      <c r="P3169">
        <v>3</v>
      </c>
      <c r="Q3169">
        <v>23536.83</v>
      </c>
    </row>
    <row r="3170" spans="1:17" x14ac:dyDescent="0.3">
      <c r="A3170" t="s">
        <v>7025</v>
      </c>
      <c r="B3170" t="s">
        <v>4945</v>
      </c>
      <c r="C3170" s="2" t="str">
        <f>PROPER(TRIM(Table1[[#This Row],[Gender]]))</f>
        <v>Male</v>
      </c>
      <c r="D3170" t="s">
        <v>16</v>
      </c>
      <c r="E3170">
        <v>27</v>
      </c>
      <c r="F3170" t="s">
        <v>31</v>
      </c>
      <c r="G3170" s="1">
        <v>35803</v>
      </c>
      <c r="H3170" t="s">
        <v>5779</v>
      </c>
      <c r="I3170" s="2" t="str">
        <f t="shared" si="49"/>
        <v>+91-8177387590</v>
      </c>
      <c r="J3170">
        <f>91-8177387681</f>
        <v>-8177387590</v>
      </c>
      <c r="K3170" t="s">
        <v>249</v>
      </c>
      <c r="L3170" t="s">
        <v>34</v>
      </c>
      <c r="M3170">
        <v>311870</v>
      </c>
      <c r="N3170" s="1">
        <v>45329</v>
      </c>
      <c r="O3170" t="s">
        <v>28</v>
      </c>
      <c r="P3170">
        <v>4</v>
      </c>
      <c r="Q3170">
        <v>123497.1</v>
      </c>
    </row>
    <row r="3171" spans="1:17" x14ac:dyDescent="0.3">
      <c r="A3171" t="s">
        <v>7026</v>
      </c>
      <c r="B3171" t="s">
        <v>972</v>
      </c>
      <c r="C3171" s="2" t="str">
        <f>PROPER(TRIM(Table1[[#This Row],[Gender]]))</f>
        <v>Male</v>
      </c>
      <c r="D3171" t="s">
        <v>16</v>
      </c>
      <c r="E3171">
        <v>32</v>
      </c>
      <c r="F3171" t="s">
        <v>31</v>
      </c>
      <c r="G3171" s="1">
        <v>33978</v>
      </c>
      <c r="H3171" t="s">
        <v>7027</v>
      </c>
      <c r="I3171" s="2" t="str">
        <f t="shared" si="49"/>
        <v>+91-9604632010</v>
      </c>
      <c r="J3171">
        <f>91-9604632101</f>
        <v>-9604632010</v>
      </c>
      <c r="K3171" t="s">
        <v>76</v>
      </c>
      <c r="L3171" t="s">
        <v>46</v>
      </c>
      <c r="M3171">
        <v>325083</v>
      </c>
      <c r="N3171" s="1">
        <v>45443</v>
      </c>
      <c r="O3171" t="s">
        <v>28</v>
      </c>
      <c r="P3171">
        <v>8</v>
      </c>
      <c r="Q3171">
        <v>203239.83</v>
      </c>
    </row>
    <row r="3172" spans="1:17" x14ac:dyDescent="0.3">
      <c r="A3172" t="s">
        <v>7028</v>
      </c>
      <c r="B3172" t="s">
        <v>487</v>
      </c>
      <c r="C3172" s="2" t="str">
        <f>PROPER(TRIM(Table1[[#This Row],[Gender]]))</f>
        <v>Female</v>
      </c>
      <c r="D3172" t="s">
        <v>43</v>
      </c>
      <c r="E3172">
        <v>24</v>
      </c>
      <c r="F3172" t="s">
        <v>49</v>
      </c>
      <c r="G3172" s="1">
        <v>36898</v>
      </c>
      <c r="H3172" t="s">
        <v>7029</v>
      </c>
      <c r="I3172" s="2" t="str">
        <f t="shared" si="49"/>
        <v>+91-9863076102</v>
      </c>
      <c r="J3172">
        <f>91-9863076193</f>
        <v>-9863076102</v>
      </c>
      <c r="K3172" t="s">
        <v>68</v>
      </c>
      <c r="L3172" t="s">
        <v>52</v>
      </c>
      <c r="M3172">
        <v>608362</v>
      </c>
      <c r="N3172" s="1">
        <v>45098</v>
      </c>
      <c r="O3172" t="s">
        <v>21</v>
      </c>
      <c r="P3172">
        <v>4</v>
      </c>
      <c r="Q3172">
        <v>37915.47</v>
      </c>
    </row>
    <row r="3173" spans="1:17" x14ac:dyDescent="0.3">
      <c r="A3173" t="s">
        <v>7030</v>
      </c>
      <c r="B3173" t="s">
        <v>1591</v>
      </c>
      <c r="C3173" s="2" t="str">
        <f>PROPER(TRIM(Table1[[#This Row],[Gender]]))</f>
        <v>Female</v>
      </c>
      <c r="D3173" t="s">
        <v>43</v>
      </c>
      <c r="E3173">
        <v>25</v>
      </c>
      <c r="F3173" t="s">
        <v>49</v>
      </c>
      <c r="G3173" s="1">
        <v>36533</v>
      </c>
      <c r="H3173" t="s">
        <v>7031</v>
      </c>
      <c r="I3173" s="2" t="str">
        <f t="shared" si="49"/>
        <v>+91-9901233032</v>
      </c>
      <c r="J3173">
        <f>91-9901233123</f>
        <v>-9901233032</v>
      </c>
      <c r="K3173" t="s">
        <v>45</v>
      </c>
      <c r="L3173" t="s">
        <v>46</v>
      </c>
      <c r="M3173">
        <v>113063</v>
      </c>
      <c r="N3173" s="1">
        <v>45320</v>
      </c>
      <c r="O3173" t="s">
        <v>28</v>
      </c>
      <c r="P3173">
        <v>5</v>
      </c>
      <c r="Q3173">
        <v>73379.31</v>
      </c>
    </row>
    <row r="3174" spans="1:17" x14ac:dyDescent="0.3">
      <c r="A3174" t="s">
        <v>7032</v>
      </c>
      <c r="B3174" t="s">
        <v>1989</v>
      </c>
      <c r="C3174" s="2" t="str">
        <f>PROPER(TRIM(Table1[[#This Row],[Gender]]))</f>
        <v>Female</v>
      </c>
      <c r="D3174" t="s">
        <v>43</v>
      </c>
      <c r="E3174">
        <v>48</v>
      </c>
      <c r="F3174" t="s">
        <v>17</v>
      </c>
      <c r="G3174" s="1">
        <v>28138</v>
      </c>
      <c r="H3174" t="s">
        <v>7033</v>
      </c>
      <c r="I3174" s="2" t="str">
        <f t="shared" si="49"/>
        <v>+91-8984941287</v>
      </c>
      <c r="J3174">
        <f>91-8984941378</f>
        <v>-8984941287</v>
      </c>
      <c r="K3174" t="s">
        <v>19</v>
      </c>
      <c r="L3174" t="s">
        <v>20</v>
      </c>
      <c r="M3174">
        <v>414786</v>
      </c>
      <c r="N3174" s="1">
        <v>45122</v>
      </c>
      <c r="O3174" t="s">
        <v>21</v>
      </c>
      <c r="P3174">
        <v>4</v>
      </c>
      <c r="Q3174">
        <v>44133.9</v>
      </c>
    </row>
    <row r="3175" spans="1:17" x14ac:dyDescent="0.3">
      <c r="A3175" t="s">
        <v>7034</v>
      </c>
      <c r="B3175" t="s">
        <v>2999</v>
      </c>
      <c r="C3175" s="2" t="str">
        <f>PROPER(TRIM(Table1[[#This Row],[Gender]]))</f>
        <v>Female</v>
      </c>
      <c r="D3175" t="s">
        <v>43</v>
      </c>
      <c r="E3175">
        <v>56</v>
      </c>
      <c r="F3175" t="s">
        <v>58</v>
      </c>
      <c r="G3175" s="1">
        <v>25218</v>
      </c>
      <c r="H3175" t="s">
        <v>7035</v>
      </c>
      <c r="I3175" s="2" t="str">
        <f t="shared" si="49"/>
        <v>+91-7438347801</v>
      </c>
      <c r="J3175">
        <f>91-7438347892</f>
        <v>-7438347801</v>
      </c>
      <c r="K3175" t="s">
        <v>580</v>
      </c>
      <c r="L3175" t="s">
        <v>85</v>
      </c>
      <c r="M3175">
        <v>431047</v>
      </c>
      <c r="N3175" s="1">
        <v>45079</v>
      </c>
      <c r="O3175" t="s">
        <v>35</v>
      </c>
      <c r="P3175">
        <v>2</v>
      </c>
      <c r="Q3175">
        <v>4218.74</v>
      </c>
    </row>
    <row r="3176" spans="1:17" x14ac:dyDescent="0.3">
      <c r="A3176" t="s">
        <v>7036</v>
      </c>
      <c r="B3176" t="s">
        <v>908</v>
      </c>
      <c r="C3176" s="2" t="str">
        <f>PROPER(TRIM(Table1[[#This Row],[Gender]]))</f>
        <v>Female</v>
      </c>
      <c r="D3176" t="s">
        <v>43</v>
      </c>
      <c r="E3176">
        <v>47</v>
      </c>
      <c r="F3176" t="s">
        <v>17</v>
      </c>
      <c r="G3176" s="1">
        <v>28503</v>
      </c>
      <c r="H3176" t="s">
        <v>7037</v>
      </c>
      <c r="I3176" s="2" t="str">
        <f t="shared" si="49"/>
        <v>+91-7877846604</v>
      </c>
      <c r="J3176">
        <f>91-7877846695</f>
        <v>-7877846604</v>
      </c>
      <c r="K3176" t="s">
        <v>84</v>
      </c>
      <c r="L3176" t="s">
        <v>85</v>
      </c>
      <c r="M3176">
        <v>859684</v>
      </c>
      <c r="N3176" s="1">
        <v>45285</v>
      </c>
      <c r="O3176" t="s">
        <v>28</v>
      </c>
      <c r="P3176">
        <v>8</v>
      </c>
      <c r="Q3176">
        <v>73670.539999999994</v>
      </c>
    </row>
    <row r="3177" spans="1:17" x14ac:dyDescent="0.3">
      <c r="A3177" t="s">
        <v>7038</v>
      </c>
      <c r="B3177" t="s">
        <v>2864</v>
      </c>
      <c r="C3177" s="2" t="str">
        <f>PROPER(TRIM(Table1[[#This Row],[Gender]]))</f>
        <v>Male</v>
      </c>
      <c r="D3177" t="s">
        <v>16</v>
      </c>
      <c r="E3177">
        <v>33</v>
      </c>
      <c r="F3177" t="s">
        <v>31</v>
      </c>
      <c r="G3177" s="1">
        <v>33613</v>
      </c>
      <c r="H3177" t="s">
        <v>7039</v>
      </c>
      <c r="I3177" s="2" t="str">
        <f t="shared" si="49"/>
        <v>+91-9739329562</v>
      </c>
      <c r="J3177">
        <f>91-9739329653</f>
        <v>-9739329562</v>
      </c>
      <c r="K3177" t="s">
        <v>80</v>
      </c>
      <c r="L3177" t="s">
        <v>20</v>
      </c>
      <c r="M3177">
        <v>874535</v>
      </c>
      <c r="N3177" s="1">
        <v>45330</v>
      </c>
      <c r="O3177" t="s">
        <v>28</v>
      </c>
      <c r="P3177">
        <v>7</v>
      </c>
      <c r="Q3177">
        <v>176290.4</v>
      </c>
    </row>
    <row r="3178" spans="1:17" x14ac:dyDescent="0.3">
      <c r="A3178" t="s">
        <v>7040</v>
      </c>
      <c r="B3178" t="s">
        <v>903</v>
      </c>
      <c r="C3178" s="2" t="str">
        <f>PROPER(TRIM(Table1[[#This Row],[Gender]]))</f>
        <v>Male</v>
      </c>
      <c r="D3178" t="s">
        <v>16</v>
      </c>
      <c r="E3178">
        <v>26</v>
      </c>
      <c r="F3178" t="s">
        <v>31</v>
      </c>
      <c r="G3178" s="1">
        <v>36168</v>
      </c>
      <c r="H3178" t="s">
        <v>7041</v>
      </c>
      <c r="I3178" s="2" t="str">
        <f t="shared" si="49"/>
        <v>+91-8860146909</v>
      </c>
      <c r="J3178">
        <f>91-8860147000</f>
        <v>-8860146909</v>
      </c>
      <c r="K3178" t="s">
        <v>26</v>
      </c>
      <c r="L3178" t="s">
        <v>27</v>
      </c>
      <c r="M3178">
        <v>237804</v>
      </c>
      <c r="N3178" s="1">
        <v>45433</v>
      </c>
      <c r="O3178" t="s">
        <v>28</v>
      </c>
      <c r="P3178">
        <v>5</v>
      </c>
      <c r="Q3178">
        <v>56870.48</v>
      </c>
    </row>
    <row r="3179" spans="1:17" x14ac:dyDescent="0.3">
      <c r="A3179" t="s">
        <v>7042</v>
      </c>
      <c r="B3179" t="s">
        <v>765</v>
      </c>
      <c r="C3179" s="2" t="str">
        <f>PROPER(TRIM(Table1[[#This Row],[Gender]]))</f>
        <v>Male</v>
      </c>
      <c r="D3179" t="s">
        <v>16</v>
      </c>
      <c r="E3179">
        <v>43</v>
      </c>
      <c r="F3179" t="s">
        <v>38</v>
      </c>
      <c r="G3179" s="1">
        <v>29963</v>
      </c>
      <c r="H3179" t="s">
        <v>7043</v>
      </c>
      <c r="I3179" s="2" t="str">
        <f t="shared" si="49"/>
        <v>+91-8113205088</v>
      </c>
      <c r="J3179">
        <f>91-8113205179</f>
        <v>-8113205088</v>
      </c>
      <c r="K3179" t="s">
        <v>239</v>
      </c>
      <c r="L3179" t="s">
        <v>191</v>
      </c>
      <c r="M3179">
        <v>973114</v>
      </c>
      <c r="N3179" s="1">
        <v>45394</v>
      </c>
      <c r="O3179" t="s">
        <v>28</v>
      </c>
      <c r="P3179">
        <v>7</v>
      </c>
      <c r="Q3179">
        <v>112322.3</v>
      </c>
    </row>
    <row r="3180" spans="1:17" x14ac:dyDescent="0.3">
      <c r="A3180" t="s">
        <v>7044</v>
      </c>
      <c r="B3180" t="s">
        <v>6292</v>
      </c>
      <c r="C3180" s="2" t="str">
        <f>PROPER(TRIM(Table1[[#This Row],[Gender]]))</f>
        <v>Male</v>
      </c>
      <c r="D3180" t="s">
        <v>16</v>
      </c>
      <c r="E3180">
        <v>32</v>
      </c>
      <c r="F3180" t="s">
        <v>31</v>
      </c>
      <c r="G3180" s="1">
        <v>33978</v>
      </c>
      <c r="H3180" t="s">
        <v>7045</v>
      </c>
      <c r="I3180" s="2" t="str">
        <f t="shared" si="49"/>
        <v>+91-7331877528</v>
      </c>
      <c r="J3180">
        <f>91-7331877619</f>
        <v>-7331877528</v>
      </c>
      <c r="K3180" t="s">
        <v>273</v>
      </c>
      <c r="L3180" t="s">
        <v>46</v>
      </c>
      <c r="M3180">
        <v>908123</v>
      </c>
      <c r="N3180" s="1">
        <v>45109</v>
      </c>
      <c r="O3180" t="s">
        <v>21</v>
      </c>
      <c r="P3180">
        <v>3</v>
      </c>
      <c r="Q3180">
        <v>37011.64</v>
      </c>
    </row>
    <row r="3181" spans="1:17" x14ac:dyDescent="0.3">
      <c r="A3181" t="s">
        <v>7046</v>
      </c>
      <c r="B3181" t="s">
        <v>1865</v>
      </c>
      <c r="C3181" s="2" t="str">
        <f>PROPER(TRIM(Table1[[#This Row],[Gender]]))</f>
        <v>Female</v>
      </c>
      <c r="D3181" t="s">
        <v>43</v>
      </c>
      <c r="E3181">
        <v>26</v>
      </c>
      <c r="F3181" t="s">
        <v>31</v>
      </c>
      <c r="G3181" s="1">
        <v>36168</v>
      </c>
      <c r="H3181" t="s">
        <v>7047</v>
      </c>
      <c r="I3181" s="2" t="str">
        <f t="shared" si="49"/>
        <v>+91-7550785162</v>
      </c>
      <c r="J3181">
        <f>91-7550785253</f>
        <v>-7550785162</v>
      </c>
      <c r="K3181" t="s">
        <v>142</v>
      </c>
      <c r="L3181" t="s">
        <v>143</v>
      </c>
      <c r="M3181">
        <v>511246</v>
      </c>
      <c r="N3181" s="1">
        <v>45201</v>
      </c>
      <c r="O3181" t="s">
        <v>28</v>
      </c>
      <c r="P3181">
        <v>3</v>
      </c>
      <c r="Q3181">
        <v>185170.32</v>
      </c>
    </row>
    <row r="3182" spans="1:17" x14ac:dyDescent="0.3">
      <c r="A3182" t="s">
        <v>7048</v>
      </c>
      <c r="B3182" t="s">
        <v>1800</v>
      </c>
      <c r="C3182" s="2" t="str">
        <f>PROPER(TRIM(Table1[[#This Row],[Gender]]))</f>
        <v>Female</v>
      </c>
      <c r="D3182" t="s">
        <v>43</v>
      </c>
      <c r="E3182">
        <v>27</v>
      </c>
      <c r="F3182" t="s">
        <v>31</v>
      </c>
      <c r="G3182" s="1">
        <v>35803</v>
      </c>
      <c r="H3182" t="s">
        <v>7049</v>
      </c>
      <c r="I3182" s="2" t="str">
        <f t="shared" si="49"/>
        <v>+91-8378463184</v>
      </c>
      <c r="J3182">
        <f>91-8378463275</f>
        <v>-8378463184</v>
      </c>
      <c r="K3182" t="s">
        <v>72</v>
      </c>
      <c r="L3182" t="s">
        <v>34</v>
      </c>
      <c r="M3182">
        <v>590613</v>
      </c>
      <c r="N3182" s="1">
        <v>45397</v>
      </c>
      <c r="O3182" t="s">
        <v>28</v>
      </c>
      <c r="P3182">
        <v>5</v>
      </c>
      <c r="Q3182">
        <v>128821.4</v>
      </c>
    </row>
    <row r="3183" spans="1:17" x14ac:dyDescent="0.3">
      <c r="A3183" t="s">
        <v>7050</v>
      </c>
      <c r="B3183" t="s">
        <v>918</v>
      </c>
      <c r="C3183" s="2" t="str">
        <f>PROPER(TRIM(Table1[[#This Row],[Gender]]))</f>
        <v>Male</v>
      </c>
      <c r="D3183" t="s">
        <v>16</v>
      </c>
      <c r="E3183">
        <v>63</v>
      </c>
      <c r="F3183" t="s">
        <v>58</v>
      </c>
      <c r="G3183" s="1">
        <v>22663</v>
      </c>
      <c r="H3183" t="s">
        <v>7051</v>
      </c>
      <c r="I3183" s="2" t="str">
        <f t="shared" si="49"/>
        <v>+91-8154107496</v>
      </c>
      <c r="J3183">
        <f>91-8154107587</f>
        <v>-8154107496</v>
      </c>
      <c r="K3183" t="s">
        <v>165</v>
      </c>
      <c r="L3183" t="s">
        <v>52</v>
      </c>
      <c r="M3183">
        <v>987365</v>
      </c>
      <c r="N3183" s="1">
        <v>45365</v>
      </c>
      <c r="O3183" t="s">
        <v>35</v>
      </c>
      <c r="P3183">
        <v>3</v>
      </c>
      <c r="Q3183">
        <v>2465.41</v>
      </c>
    </row>
    <row r="3184" spans="1:17" x14ac:dyDescent="0.3">
      <c r="A3184" t="s">
        <v>7052</v>
      </c>
      <c r="B3184" t="s">
        <v>1989</v>
      </c>
      <c r="C3184" s="2" t="str">
        <f>PROPER(TRIM(Table1[[#This Row],[Gender]]))</f>
        <v>Female</v>
      </c>
      <c r="D3184" t="s">
        <v>43</v>
      </c>
      <c r="E3184">
        <v>48</v>
      </c>
      <c r="F3184" t="s">
        <v>17</v>
      </c>
      <c r="G3184" s="1">
        <v>28138</v>
      </c>
      <c r="H3184" t="s">
        <v>1990</v>
      </c>
      <c r="I3184" s="2" t="str">
        <f t="shared" si="49"/>
        <v>+91-7507442045</v>
      </c>
      <c r="J3184">
        <f>91-7507442136</f>
        <v>-7507442045</v>
      </c>
      <c r="K3184" t="s">
        <v>142</v>
      </c>
      <c r="L3184" t="s">
        <v>143</v>
      </c>
      <c r="M3184">
        <v>718639</v>
      </c>
      <c r="N3184" s="1">
        <v>45252</v>
      </c>
      <c r="O3184" t="s">
        <v>21</v>
      </c>
      <c r="P3184">
        <v>3</v>
      </c>
      <c r="Q3184">
        <v>37441.19</v>
      </c>
    </row>
    <row r="3185" spans="1:17" x14ac:dyDescent="0.3">
      <c r="A3185" t="s">
        <v>7053</v>
      </c>
      <c r="B3185" t="s">
        <v>1808</v>
      </c>
      <c r="C3185" s="2" t="str">
        <f>PROPER(TRIM(Table1[[#This Row],[Gender]]))</f>
        <v>Female</v>
      </c>
      <c r="D3185" t="s">
        <v>43</v>
      </c>
      <c r="E3185">
        <v>30</v>
      </c>
      <c r="F3185" t="s">
        <v>31</v>
      </c>
      <c r="G3185" s="1">
        <v>34708</v>
      </c>
      <c r="H3185" t="s">
        <v>7054</v>
      </c>
      <c r="I3185" s="2" t="str">
        <f t="shared" si="49"/>
        <v>+91-9231940514</v>
      </c>
      <c r="J3185">
        <f>91-9231940605</f>
        <v>-9231940514</v>
      </c>
      <c r="K3185" t="s">
        <v>415</v>
      </c>
      <c r="L3185" t="s">
        <v>90</v>
      </c>
      <c r="M3185">
        <v>485310</v>
      </c>
      <c r="N3185" s="1">
        <v>45205</v>
      </c>
      <c r="O3185" t="s">
        <v>28</v>
      </c>
      <c r="P3185">
        <v>5</v>
      </c>
      <c r="Q3185">
        <v>123473.95</v>
      </c>
    </row>
    <row r="3186" spans="1:17" x14ac:dyDescent="0.3">
      <c r="A3186" t="s">
        <v>7055</v>
      </c>
      <c r="B3186" t="s">
        <v>241</v>
      </c>
      <c r="C3186" s="2" t="str">
        <f>PROPER(TRIM(Table1[[#This Row],[Gender]]))</f>
        <v>Male</v>
      </c>
      <c r="D3186" t="s">
        <v>16</v>
      </c>
      <c r="E3186">
        <v>19</v>
      </c>
      <c r="F3186" t="s">
        <v>49</v>
      </c>
      <c r="G3186" s="1">
        <v>38723</v>
      </c>
      <c r="H3186" t="s">
        <v>7056</v>
      </c>
      <c r="I3186" s="2" t="str">
        <f t="shared" si="49"/>
        <v>+91-9533090584</v>
      </c>
      <c r="J3186">
        <f>91-9533090675</f>
        <v>-9533090584</v>
      </c>
      <c r="K3186" t="s">
        <v>239</v>
      </c>
      <c r="L3186" t="s">
        <v>191</v>
      </c>
      <c r="M3186">
        <v>867755</v>
      </c>
      <c r="N3186" s="1">
        <v>45306</v>
      </c>
      <c r="O3186" t="s">
        <v>28</v>
      </c>
      <c r="P3186">
        <v>4</v>
      </c>
      <c r="Q3186">
        <v>107936.44</v>
      </c>
    </row>
    <row r="3187" spans="1:17" x14ac:dyDescent="0.3">
      <c r="A3187" t="s">
        <v>7057</v>
      </c>
      <c r="B3187" t="s">
        <v>3829</v>
      </c>
      <c r="C3187" s="2" t="str">
        <f>PROPER(TRIM(Table1[[#This Row],[Gender]]))</f>
        <v>Female</v>
      </c>
      <c r="D3187" t="s">
        <v>43</v>
      </c>
      <c r="E3187">
        <v>26</v>
      </c>
      <c r="F3187" t="s">
        <v>31</v>
      </c>
      <c r="G3187" s="1">
        <v>36168</v>
      </c>
      <c r="H3187" t="s">
        <v>7058</v>
      </c>
      <c r="I3187" s="2" t="str">
        <f t="shared" si="49"/>
        <v>+91-8466565875</v>
      </c>
      <c r="J3187">
        <f>91-8466565966</f>
        <v>-8466565875</v>
      </c>
      <c r="K3187" t="s">
        <v>178</v>
      </c>
      <c r="L3187" t="s">
        <v>27</v>
      </c>
      <c r="M3187">
        <v>129462</v>
      </c>
      <c r="N3187" s="1">
        <v>45303</v>
      </c>
      <c r="O3187" t="s">
        <v>28</v>
      </c>
      <c r="P3187">
        <v>3</v>
      </c>
      <c r="Q3187">
        <v>74442.679999999993</v>
      </c>
    </row>
    <row r="3188" spans="1:17" x14ac:dyDescent="0.3">
      <c r="A3188" t="s">
        <v>7059</v>
      </c>
      <c r="B3188" t="s">
        <v>54</v>
      </c>
      <c r="C3188" s="2" t="str">
        <f>PROPER(TRIM(Table1[[#This Row],[Gender]]))</f>
        <v>Male</v>
      </c>
      <c r="D3188" t="s">
        <v>16</v>
      </c>
      <c r="E3188">
        <v>28</v>
      </c>
      <c r="F3188" t="s">
        <v>31</v>
      </c>
      <c r="G3188" s="1">
        <v>35438</v>
      </c>
      <c r="H3188" t="s">
        <v>7060</v>
      </c>
      <c r="I3188" s="2" t="str">
        <f t="shared" si="49"/>
        <v>+91-7077600742</v>
      </c>
      <c r="J3188">
        <f>91-7077600833</f>
        <v>-7077600742</v>
      </c>
      <c r="K3188" t="s">
        <v>195</v>
      </c>
      <c r="L3188" t="s">
        <v>102</v>
      </c>
      <c r="M3188">
        <v>113354</v>
      </c>
      <c r="N3188" s="1">
        <v>45371</v>
      </c>
      <c r="O3188" t="s">
        <v>28</v>
      </c>
      <c r="P3188">
        <v>5</v>
      </c>
      <c r="Q3188">
        <v>253085.37</v>
      </c>
    </row>
    <row r="3189" spans="1:17" x14ac:dyDescent="0.3">
      <c r="A3189" t="s">
        <v>7061</v>
      </c>
      <c r="B3189" t="s">
        <v>1725</v>
      </c>
      <c r="C3189" s="2" t="str">
        <f>PROPER(TRIM(Table1[[#This Row],[Gender]]))</f>
        <v>Male</v>
      </c>
      <c r="D3189" t="s">
        <v>16</v>
      </c>
      <c r="E3189">
        <v>34</v>
      </c>
      <c r="F3189" t="s">
        <v>31</v>
      </c>
      <c r="G3189" s="1">
        <v>33248</v>
      </c>
      <c r="H3189" t="s">
        <v>7062</v>
      </c>
      <c r="I3189" s="2" t="str">
        <f t="shared" si="49"/>
        <v>+91-9244170905</v>
      </c>
      <c r="J3189">
        <f>91-9244170996</f>
        <v>-9244170905</v>
      </c>
      <c r="K3189" t="s">
        <v>113</v>
      </c>
      <c r="L3189" t="s">
        <v>34</v>
      </c>
      <c r="M3189">
        <v>881453</v>
      </c>
      <c r="N3189" s="1">
        <v>45410</v>
      </c>
      <c r="O3189" t="s">
        <v>28</v>
      </c>
      <c r="P3189">
        <v>5</v>
      </c>
      <c r="Q3189">
        <v>278128.52</v>
      </c>
    </row>
    <row r="3190" spans="1:17" x14ac:dyDescent="0.3">
      <c r="A3190" t="s">
        <v>7063</v>
      </c>
      <c r="B3190" t="s">
        <v>1502</v>
      </c>
      <c r="C3190" s="2" t="str">
        <f>PROPER(TRIM(Table1[[#This Row],[Gender]]))</f>
        <v>Female</v>
      </c>
      <c r="D3190" t="s">
        <v>43</v>
      </c>
      <c r="E3190">
        <v>31</v>
      </c>
      <c r="F3190" t="s">
        <v>31</v>
      </c>
      <c r="G3190" s="1">
        <v>34343</v>
      </c>
      <c r="H3190" t="s">
        <v>7064</v>
      </c>
      <c r="I3190" s="2" t="str">
        <f t="shared" si="49"/>
        <v>+91-7486126062</v>
      </c>
      <c r="J3190">
        <f>91-7486126153</f>
        <v>-7486126062</v>
      </c>
      <c r="K3190" t="s">
        <v>33</v>
      </c>
      <c r="L3190" t="s">
        <v>34</v>
      </c>
      <c r="M3190">
        <v>759415</v>
      </c>
      <c r="N3190" s="1">
        <v>45335</v>
      </c>
      <c r="O3190" t="s">
        <v>28</v>
      </c>
      <c r="P3190">
        <v>9</v>
      </c>
      <c r="Q3190">
        <v>512035.48</v>
      </c>
    </row>
    <row r="3191" spans="1:17" x14ac:dyDescent="0.3">
      <c r="A3191" t="s">
        <v>7065</v>
      </c>
      <c r="B3191" t="s">
        <v>1862</v>
      </c>
      <c r="C3191" s="2" t="str">
        <f>PROPER(TRIM(Table1[[#This Row],[Gender]]))</f>
        <v>Female</v>
      </c>
      <c r="D3191" t="s">
        <v>43</v>
      </c>
      <c r="E3191">
        <v>52</v>
      </c>
      <c r="F3191" t="s">
        <v>17</v>
      </c>
      <c r="G3191" s="1">
        <v>26678</v>
      </c>
      <c r="H3191" t="s">
        <v>7066</v>
      </c>
      <c r="I3191" s="2" t="str">
        <f t="shared" si="49"/>
        <v>+91-9918784391</v>
      </c>
      <c r="J3191">
        <f>91-9918784482</f>
        <v>-9918784391</v>
      </c>
      <c r="K3191" t="s">
        <v>51</v>
      </c>
      <c r="L3191" t="s">
        <v>52</v>
      </c>
      <c r="M3191">
        <v>893455</v>
      </c>
      <c r="N3191" s="1">
        <v>45408</v>
      </c>
      <c r="O3191" t="s">
        <v>35</v>
      </c>
      <c r="P3191">
        <v>4</v>
      </c>
      <c r="Q3191">
        <v>2849.5</v>
      </c>
    </row>
    <row r="3192" spans="1:17" x14ac:dyDescent="0.3">
      <c r="A3192" t="s">
        <v>7067</v>
      </c>
      <c r="B3192" t="s">
        <v>454</v>
      </c>
      <c r="C3192" s="2" t="str">
        <f>PROPER(TRIM(Table1[[#This Row],[Gender]]))</f>
        <v>Male</v>
      </c>
      <c r="D3192" t="s">
        <v>16</v>
      </c>
      <c r="E3192">
        <v>29</v>
      </c>
      <c r="F3192" t="s">
        <v>31</v>
      </c>
      <c r="G3192" s="1">
        <v>35073</v>
      </c>
      <c r="H3192" t="s">
        <v>2897</v>
      </c>
      <c r="I3192" s="2" t="str">
        <f t="shared" si="49"/>
        <v>+91-8712519636</v>
      </c>
      <c r="J3192">
        <f>91-8712519727</f>
        <v>-8712519636</v>
      </c>
      <c r="K3192" t="s">
        <v>190</v>
      </c>
      <c r="L3192" t="s">
        <v>191</v>
      </c>
      <c r="M3192">
        <v>417563</v>
      </c>
      <c r="N3192" s="1">
        <v>45204</v>
      </c>
      <c r="O3192" t="s">
        <v>21</v>
      </c>
      <c r="P3192">
        <v>1</v>
      </c>
      <c r="Q3192">
        <v>21956.2</v>
      </c>
    </row>
    <row r="3193" spans="1:17" x14ac:dyDescent="0.3">
      <c r="A3193" t="s">
        <v>7068</v>
      </c>
      <c r="B3193" t="s">
        <v>1454</v>
      </c>
      <c r="C3193" s="2" t="str">
        <f>PROPER(TRIM(Table1[[#This Row],[Gender]]))</f>
        <v>Female</v>
      </c>
      <c r="D3193" t="s">
        <v>43</v>
      </c>
      <c r="E3193">
        <v>46</v>
      </c>
      <c r="F3193" t="s">
        <v>17</v>
      </c>
      <c r="G3193" s="1">
        <v>28868</v>
      </c>
      <c r="H3193" t="s">
        <v>1455</v>
      </c>
      <c r="I3193" s="2" t="str">
        <f t="shared" si="49"/>
        <v>+91-8160970021</v>
      </c>
      <c r="J3193">
        <f>91-8160970112</f>
        <v>-8160970021</v>
      </c>
      <c r="K3193" t="s">
        <v>94</v>
      </c>
      <c r="L3193" t="s">
        <v>20</v>
      </c>
      <c r="M3193">
        <v>959488</v>
      </c>
      <c r="N3193" s="1">
        <v>45152</v>
      </c>
      <c r="O3193" t="s">
        <v>28</v>
      </c>
      <c r="P3193">
        <v>5</v>
      </c>
      <c r="Q3193">
        <v>50648.97</v>
      </c>
    </row>
    <row r="3194" spans="1:17" x14ac:dyDescent="0.3">
      <c r="A3194" t="s">
        <v>7069</v>
      </c>
      <c r="B3194" t="s">
        <v>4848</v>
      </c>
      <c r="C3194" s="2" t="str">
        <f>PROPER(TRIM(Table1[[#This Row],[Gender]]))</f>
        <v>Female</v>
      </c>
      <c r="D3194" t="s">
        <v>43</v>
      </c>
      <c r="E3194">
        <v>63</v>
      </c>
      <c r="F3194" t="s">
        <v>58</v>
      </c>
      <c r="G3194" s="1">
        <v>22663</v>
      </c>
      <c r="H3194" t="s">
        <v>7070</v>
      </c>
      <c r="I3194" s="2" t="str">
        <f t="shared" si="49"/>
        <v>+91-9373139413</v>
      </c>
      <c r="J3194">
        <f>91-9373139504</f>
        <v>-9373139413</v>
      </c>
      <c r="K3194" t="s">
        <v>26</v>
      </c>
      <c r="L3194" t="s">
        <v>27</v>
      </c>
      <c r="M3194">
        <v>262838</v>
      </c>
      <c r="N3194" s="1">
        <v>45111</v>
      </c>
      <c r="O3194" t="s">
        <v>35</v>
      </c>
      <c r="P3194">
        <v>2</v>
      </c>
      <c r="Q3194">
        <v>14404.79</v>
      </c>
    </row>
    <row r="3195" spans="1:17" x14ac:dyDescent="0.3">
      <c r="A3195" t="s">
        <v>7071</v>
      </c>
      <c r="B3195" t="s">
        <v>457</v>
      </c>
      <c r="C3195" s="2" t="str">
        <f>PROPER(TRIM(Table1[[#This Row],[Gender]]))</f>
        <v>Female</v>
      </c>
      <c r="D3195" t="s">
        <v>43</v>
      </c>
      <c r="E3195">
        <v>27</v>
      </c>
      <c r="F3195" t="s">
        <v>31</v>
      </c>
      <c r="G3195" s="1">
        <v>35803</v>
      </c>
      <c r="H3195" t="s">
        <v>7072</v>
      </c>
      <c r="I3195" s="2" t="str">
        <f t="shared" si="49"/>
        <v>+91-9061779867</v>
      </c>
      <c r="J3195">
        <f>91-9061779958</f>
        <v>-9061779867</v>
      </c>
      <c r="K3195" t="s">
        <v>147</v>
      </c>
      <c r="L3195" t="s">
        <v>143</v>
      </c>
      <c r="M3195">
        <v>935153</v>
      </c>
      <c r="N3195" s="1">
        <v>45175</v>
      </c>
      <c r="O3195" t="s">
        <v>35</v>
      </c>
      <c r="P3195">
        <v>0</v>
      </c>
      <c r="Q3195">
        <v>0</v>
      </c>
    </row>
    <row r="3196" spans="1:17" x14ac:dyDescent="0.3">
      <c r="A3196" t="s">
        <v>7073</v>
      </c>
      <c r="B3196" t="s">
        <v>207</v>
      </c>
      <c r="C3196" s="2" t="str">
        <f>PROPER(TRIM(Table1[[#This Row],[Gender]]))</f>
        <v>Female</v>
      </c>
      <c r="D3196" t="s">
        <v>43</v>
      </c>
      <c r="E3196">
        <v>29</v>
      </c>
      <c r="F3196" t="s">
        <v>31</v>
      </c>
      <c r="G3196" s="1">
        <v>35073</v>
      </c>
      <c r="H3196" t="s">
        <v>706</v>
      </c>
      <c r="I3196" s="2" t="str">
        <f t="shared" si="49"/>
        <v>+91-9971715011</v>
      </c>
      <c r="J3196">
        <f>91-9971715102</f>
        <v>-9971715011</v>
      </c>
      <c r="K3196" t="s">
        <v>415</v>
      </c>
      <c r="L3196" t="s">
        <v>90</v>
      </c>
      <c r="M3196">
        <v>852118</v>
      </c>
      <c r="N3196" s="1">
        <v>45313</v>
      </c>
      <c r="O3196" t="s">
        <v>28</v>
      </c>
      <c r="P3196">
        <v>2</v>
      </c>
      <c r="Q3196">
        <v>100487.59</v>
      </c>
    </row>
    <row r="3197" spans="1:17" x14ac:dyDescent="0.3">
      <c r="A3197" t="s">
        <v>7074</v>
      </c>
      <c r="B3197" t="s">
        <v>859</v>
      </c>
      <c r="C3197" s="2" t="str">
        <f>PROPER(TRIM(Table1[[#This Row],[Gender]]))</f>
        <v>Male</v>
      </c>
      <c r="D3197" t="s">
        <v>16</v>
      </c>
      <c r="E3197">
        <v>40</v>
      </c>
      <c r="F3197" t="s">
        <v>38</v>
      </c>
      <c r="G3197" s="1">
        <v>31058</v>
      </c>
      <c r="H3197" t="s">
        <v>7075</v>
      </c>
      <c r="I3197" s="2" t="str">
        <f t="shared" si="49"/>
        <v>+91-9033451761</v>
      </c>
      <c r="J3197">
        <f>91-9033451852</f>
        <v>-9033451761</v>
      </c>
      <c r="K3197" t="s">
        <v>101</v>
      </c>
      <c r="L3197" t="s">
        <v>102</v>
      </c>
      <c r="M3197">
        <v>611229</v>
      </c>
      <c r="N3197" s="1">
        <v>45088</v>
      </c>
      <c r="O3197" t="s">
        <v>21</v>
      </c>
      <c r="P3197">
        <v>2</v>
      </c>
      <c r="Q3197">
        <v>25567.23</v>
      </c>
    </row>
    <row r="3198" spans="1:17" x14ac:dyDescent="0.3">
      <c r="A3198" t="s">
        <v>7076</v>
      </c>
      <c r="B3198" t="s">
        <v>349</v>
      </c>
      <c r="C3198" s="2" t="str">
        <f>PROPER(TRIM(Table1[[#This Row],[Gender]]))</f>
        <v>Female</v>
      </c>
      <c r="D3198" t="s">
        <v>43</v>
      </c>
      <c r="E3198">
        <v>52</v>
      </c>
      <c r="F3198" t="s">
        <v>17</v>
      </c>
      <c r="G3198" s="1">
        <v>26678</v>
      </c>
      <c r="H3198" t="s">
        <v>7077</v>
      </c>
      <c r="I3198" s="2" t="str">
        <f t="shared" si="49"/>
        <v>+91-7866693974</v>
      </c>
      <c r="J3198">
        <f>91-7866694065</f>
        <v>-7866693974</v>
      </c>
      <c r="K3198" t="s">
        <v>33</v>
      </c>
      <c r="L3198" t="s">
        <v>34</v>
      </c>
      <c r="M3198">
        <v>313346</v>
      </c>
      <c r="N3198" s="1">
        <v>45295</v>
      </c>
      <c r="O3198" t="s">
        <v>28</v>
      </c>
      <c r="P3198">
        <v>6</v>
      </c>
      <c r="Q3198">
        <v>79440.070000000007</v>
      </c>
    </row>
    <row r="3199" spans="1:17" x14ac:dyDescent="0.3">
      <c r="A3199" t="s">
        <v>7078</v>
      </c>
      <c r="B3199" t="s">
        <v>1051</v>
      </c>
      <c r="C3199" s="2" t="str">
        <f>PROPER(TRIM(Table1[[#This Row],[Gender]]))</f>
        <v>Male</v>
      </c>
      <c r="D3199" t="s">
        <v>16</v>
      </c>
      <c r="E3199">
        <v>20</v>
      </c>
      <c r="F3199" t="s">
        <v>49</v>
      </c>
      <c r="G3199" s="1">
        <v>38358</v>
      </c>
      <c r="H3199" t="s">
        <v>7079</v>
      </c>
      <c r="I3199" s="2" t="str">
        <f t="shared" si="49"/>
        <v>+91-9563427673</v>
      </c>
      <c r="J3199">
        <f>91-9563427764</f>
        <v>-9563427673</v>
      </c>
      <c r="K3199" t="s">
        <v>174</v>
      </c>
      <c r="L3199" t="s">
        <v>90</v>
      </c>
      <c r="M3199">
        <v>460434</v>
      </c>
      <c r="N3199" s="1">
        <v>45078</v>
      </c>
      <c r="O3199" t="s">
        <v>28</v>
      </c>
      <c r="P3199">
        <v>4</v>
      </c>
      <c r="Q3199">
        <v>272585.99</v>
      </c>
    </row>
    <row r="3200" spans="1:17" x14ac:dyDescent="0.3">
      <c r="A3200" t="s">
        <v>7080</v>
      </c>
      <c r="B3200" t="s">
        <v>1437</v>
      </c>
      <c r="C3200" s="2" t="str">
        <f>PROPER(TRIM(Table1[[#This Row],[Gender]]))</f>
        <v>Female</v>
      </c>
      <c r="D3200" t="s">
        <v>43</v>
      </c>
      <c r="E3200">
        <v>31</v>
      </c>
      <c r="F3200" t="s">
        <v>31</v>
      </c>
      <c r="G3200" s="1">
        <v>34343</v>
      </c>
      <c r="H3200" t="s">
        <v>7081</v>
      </c>
      <c r="I3200" s="2" t="str">
        <f t="shared" si="49"/>
        <v>+91-9044199977</v>
      </c>
      <c r="J3200">
        <f>91-9044200068</f>
        <v>-9044199977</v>
      </c>
      <c r="K3200" t="s">
        <v>117</v>
      </c>
      <c r="L3200" t="s">
        <v>52</v>
      </c>
      <c r="M3200">
        <v>387758</v>
      </c>
      <c r="N3200" s="1">
        <v>45198</v>
      </c>
      <c r="O3200" t="s">
        <v>28</v>
      </c>
      <c r="P3200">
        <v>5</v>
      </c>
      <c r="Q3200">
        <v>62306.85</v>
      </c>
    </row>
    <row r="3201" spans="1:17" x14ac:dyDescent="0.3">
      <c r="A3201" t="s">
        <v>7082</v>
      </c>
      <c r="B3201" t="s">
        <v>1322</v>
      </c>
      <c r="C3201" s="2" t="str">
        <f>PROPER(TRIM(Table1[[#This Row],[Gender]]))</f>
        <v>Male</v>
      </c>
      <c r="D3201" t="s">
        <v>16</v>
      </c>
      <c r="E3201">
        <v>18</v>
      </c>
      <c r="F3201" t="s">
        <v>49</v>
      </c>
      <c r="G3201" s="1">
        <v>39088</v>
      </c>
      <c r="H3201" t="s">
        <v>1323</v>
      </c>
      <c r="I3201" s="2" t="str">
        <f t="shared" si="49"/>
        <v>+91-9736717568</v>
      </c>
      <c r="J3201">
        <f>91-9736717659</f>
        <v>-9736717568</v>
      </c>
      <c r="K3201" t="s">
        <v>190</v>
      </c>
      <c r="L3201" t="s">
        <v>191</v>
      </c>
      <c r="M3201">
        <v>992317</v>
      </c>
      <c r="N3201" s="1">
        <v>45300</v>
      </c>
      <c r="O3201" t="s">
        <v>28</v>
      </c>
      <c r="P3201">
        <v>2</v>
      </c>
      <c r="Q3201">
        <v>154758.70000000001</v>
      </c>
    </row>
    <row r="3202" spans="1:17" x14ac:dyDescent="0.3">
      <c r="A3202" t="s">
        <v>7083</v>
      </c>
      <c r="B3202" t="s">
        <v>1187</v>
      </c>
      <c r="C3202" s="2" t="str">
        <f>PROPER(TRIM(Table1[[#This Row],[Gender]]))</f>
        <v>Female</v>
      </c>
      <c r="D3202" t="s">
        <v>43</v>
      </c>
      <c r="E3202">
        <v>27</v>
      </c>
      <c r="F3202" t="s">
        <v>31</v>
      </c>
      <c r="G3202" s="1">
        <v>35803</v>
      </c>
      <c r="H3202" t="s">
        <v>7084</v>
      </c>
      <c r="I3202" s="2" t="str">
        <f t="shared" ref="I3202:I3265" si="50">"+91"&amp;TEXT(J3202,"0000000000")</f>
        <v>+91-9410870360</v>
      </c>
      <c r="J3202">
        <f>91-9410870451</f>
        <v>-9410870360</v>
      </c>
      <c r="K3202" t="s">
        <v>45</v>
      </c>
      <c r="L3202" t="s">
        <v>46</v>
      </c>
      <c r="M3202">
        <v>855784</v>
      </c>
      <c r="N3202" s="1">
        <v>45168</v>
      </c>
      <c r="O3202" t="s">
        <v>28</v>
      </c>
      <c r="P3202">
        <v>2</v>
      </c>
      <c r="Q3202">
        <v>80316.33</v>
      </c>
    </row>
    <row r="3203" spans="1:17" x14ac:dyDescent="0.3">
      <c r="A3203" t="s">
        <v>7085</v>
      </c>
      <c r="B3203" t="s">
        <v>1686</v>
      </c>
      <c r="C3203" s="2" t="str">
        <f>PROPER(TRIM(Table1[[#This Row],[Gender]]))</f>
        <v>Female</v>
      </c>
      <c r="D3203" t="s">
        <v>43</v>
      </c>
      <c r="E3203">
        <v>55</v>
      </c>
      <c r="F3203" t="s">
        <v>17</v>
      </c>
      <c r="G3203" s="1">
        <v>25583</v>
      </c>
      <c r="H3203" t="s">
        <v>7086</v>
      </c>
      <c r="I3203" s="2" t="str">
        <f t="shared" si="50"/>
        <v>+91-8635535575</v>
      </c>
      <c r="J3203">
        <f>91-8635535666</f>
        <v>-8635535575</v>
      </c>
      <c r="K3203" t="s">
        <v>76</v>
      </c>
      <c r="L3203" t="s">
        <v>46</v>
      </c>
      <c r="M3203">
        <v>119868</v>
      </c>
      <c r="N3203" s="1">
        <v>45417</v>
      </c>
      <c r="O3203" t="s">
        <v>35</v>
      </c>
      <c r="P3203">
        <v>9</v>
      </c>
      <c r="Q3203">
        <v>14608.72</v>
      </c>
    </row>
    <row r="3204" spans="1:17" x14ac:dyDescent="0.3">
      <c r="A3204" t="s">
        <v>7087</v>
      </c>
      <c r="B3204" t="s">
        <v>5853</v>
      </c>
      <c r="C3204" s="2" t="str">
        <f>PROPER(TRIM(Table1[[#This Row],[Gender]]))</f>
        <v>Male</v>
      </c>
      <c r="D3204" t="s">
        <v>16</v>
      </c>
      <c r="E3204">
        <v>40</v>
      </c>
      <c r="F3204" t="s">
        <v>38</v>
      </c>
      <c r="G3204" s="1">
        <v>31058</v>
      </c>
      <c r="H3204" t="s">
        <v>7088</v>
      </c>
      <c r="I3204" s="2" t="str">
        <f t="shared" si="50"/>
        <v>+91-8350023239</v>
      </c>
      <c r="J3204">
        <f>91-8350023330</f>
        <v>-8350023239</v>
      </c>
      <c r="K3204" t="s">
        <v>580</v>
      </c>
      <c r="L3204" t="s">
        <v>85</v>
      </c>
      <c r="M3204">
        <v>254599</v>
      </c>
      <c r="N3204" s="1">
        <v>45118</v>
      </c>
      <c r="O3204" t="s">
        <v>28</v>
      </c>
      <c r="P3204">
        <v>3</v>
      </c>
      <c r="Q3204">
        <v>162129.37</v>
      </c>
    </row>
    <row r="3205" spans="1:17" x14ac:dyDescent="0.3">
      <c r="A3205" t="s">
        <v>7089</v>
      </c>
      <c r="B3205" t="s">
        <v>176</v>
      </c>
      <c r="C3205" s="2" t="str">
        <f>PROPER(TRIM(Table1[[#This Row],[Gender]]))</f>
        <v>Female</v>
      </c>
      <c r="D3205" t="s">
        <v>43</v>
      </c>
      <c r="E3205">
        <v>27</v>
      </c>
      <c r="F3205" t="s">
        <v>31</v>
      </c>
      <c r="G3205" s="1">
        <v>35803</v>
      </c>
      <c r="H3205" t="s">
        <v>7090</v>
      </c>
      <c r="I3205" s="2" t="str">
        <f t="shared" si="50"/>
        <v>+91-7437996144</v>
      </c>
      <c r="J3205">
        <f>91-7437996235</f>
        <v>-7437996144</v>
      </c>
      <c r="K3205" t="s">
        <v>19</v>
      </c>
      <c r="L3205" t="s">
        <v>20</v>
      </c>
      <c r="M3205">
        <v>924281</v>
      </c>
      <c r="N3205" s="1">
        <v>45360</v>
      </c>
      <c r="O3205" t="s">
        <v>28</v>
      </c>
      <c r="P3205">
        <v>6</v>
      </c>
      <c r="Q3205">
        <v>311530.31</v>
      </c>
    </row>
    <row r="3206" spans="1:17" x14ac:dyDescent="0.3">
      <c r="A3206" t="s">
        <v>7091</v>
      </c>
      <c r="B3206" t="s">
        <v>1561</v>
      </c>
      <c r="C3206" s="2" t="str">
        <f>PROPER(TRIM(Table1[[#This Row],[Gender]]))</f>
        <v>Female</v>
      </c>
      <c r="D3206" t="s">
        <v>43</v>
      </c>
      <c r="E3206">
        <v>32</v>
      </c>
      <c r="F3206" t="s">
        <v>31</v>
      </c>
      <c r="G3206" s="1">
        <v>33978</v>
      </c>
      <c r="H3206" t="s">
        <v>7092</v>
      </c>
      <c r="I3206" s="2" t="str">
        <f t="shared" si="50"/>
        <v>+91-8934954678</v>
      </c>
      <c r="J3206">
        <f>91-8934954769</f>
        <v>-8934954678</v>
      </c>
      <c r="K3206" t="s">
        <v>121</v>
      </c>
      <c r="L3206" t="s">
        <v>85</v>
      </c>
      <c r="M3206">
        <v>411849</v>
      </c>
      <c r="N3206" s="1">
        <v>45342</v>
      </c>
      <c r="O3206" t="s">
        <v>28</v>
      </c>
      <c r="P3206">
        <v>8</v>
      </c>
      <c r="Q3206">
        <v>105991.82</v>
      </c>
    </row>
    <row r="3207" spans="1:17" x14ac:dyDescent="0.3">
      <c r="A3207" t="s">
        <v>7093</v>
      </c>
      <c r="B3207" t="s">
        <v>1932</v>
      </c>
      <c r="C3207" s="2" t="str">
        <f>PROPER(TRIM(Table1[[#This Row],[Gender]]))</f>
        <v>Female</v>
      </c>
      <c r="D3207" t="s">
        <v>43</v>
      </c>
      <c r="E3207">
        <v>24</v>
      </c>
      <c r="F3207" t="s">
        <v>49</v>
      </c>
      <c r="G3207" s="1">
        <v>36898</v>
      </c>
      <c r="H3207" t="s">
        <v>7094</v>
      </c>
      <c r="I3207" s="2" t="str">
        <f t="shared" si="50"/>
        <v>+91-9470240382</v>
      </c>
      <c r="J3207">
        <f>91-9470240473</f>
        <v>-9470240382</v>
      </c>
      <c r="K3207" t="s">
        <v>138</v>
      </c>
      <c r="L3207" t="s">
        <v>90</v>
      </c>
      <c r="M3207">
        <v>457062</v>
      </c>
      <c r="N3207" s="1">
        <v>45237</v>
      </c>
      <c r="O3207" t="s">
        <v>35</v>
      </c>
      <c r="P3207">
        <v>5</v>
      </c>
      <c r="Q3207">
        <v>12416.84</v>
      </c>
    </row>
    <row r="3208" spans="1:17" x14ac:dyDescent="0.3">
      <c r="A3208" t="s">
        <v>7095</v>
      </c>
      <c r="B3208" t="s">
        <v>498</v>
      </c>
      <c r="C3208" s="2" t="str">
        <f>PROPER(TRIM(Table1[[#This Row],[Gender]]))</f>
        <v>Female</v>
      </c>
      <c r="D3208" t="s">
        <v>43</v>
      </c>
      <c r="E3208">
        <v>33</v>
      </c>
      <c r="F3208" t="s">
        <v>31</v>
      </c>
      <c r="G3208" s="1">
        <v>33613</v>
      </c>
      <c r="H3208" t="s">
        <v>4981</v>
      </c>
      <c r="I3208" s="2" t="str">
        <f t="shared" si="50"/>
        <v>+91-7894279188</v>
      </c>
      <c r="J3208">
        <f>91-7894279279</f>
        <v>-7894279188</v>
      </c>
      <c r="K3208" t="s">
        <v>369</v>
      </c>
      <c r="L3208" t="s">
        <v>191</v>
      </c>
      <c r="M3208">
        <v>827833</v>
      </c>
      <c r="N3208" s="1">
        <v>45325</v>
      </c>
      <c r="O3208" t="s">
        <v>21</v>
      </c>
      <c r="P3208">
        <v>5</v>
      </c>
      <c r="Q3208">
        <v>34239.79</v>
      </c>
    </row>
    <row r="3209" spans="1:17" x14ac:dyDescent="0.3">
      <c r="A3209" t="s">
        <v>7096</v>
      </c>
      <c r="B3209" t="s">
        <v>2458</v>
      </c>
      <c r="C3209" s="2" t="str">
        <f>PROPER(TRIM(Table1[[#This Row],[Gender]]))</f>
        <v>Female</v>
      </c>
      <c r="D3209" t="s">
        <v>43</v>
      </c>
      <c r="E3209">
        <v>63</v>
      </c>
      <c r="F3209" t="s">
        <v>58</v>
      </c>
      <c r="G3209" s="1">
        <v>22663</v>
      </c>
      <c r="H3209" t="s">
        <v>7097</v>
      </c>
      <c r="I3209" s="2" t="str">
        <f t="shared" si="50"/>
        <v>+91-9403313457</v>
      </c>
      <c r="J3209">
        <f>91-9403313548</f>
        <v>-9403313457</v>
      </c>
      <c r="K3209" t="s">
        <v>239</v>
      </c>
      <c r="L3209" t="s">
        <v>191</v>
      </c>
      <c r="M3209">
        <v>417618</v>
      </c>
      <c r="N3209" s="1">
        <v>45397</v>
      </c>
      <c r="O3209" t="s">
        <v>35</v>
      </c>
      <c r="P3209">
        <v>4</v>
      </c>
      <c r="Q3209">
        <v>11139.56</v>
      </c>
    </row>
    <row r="3210" spans="1:17" x14ac:dyDescent="0.3">
      <c r="A3210" t="s">
        <v>7098</v>
      </c>
      <c r="B3210" t="s">
        <v>3471</v>
      </c>
      <c r="C3210" s="2" t="str">
        <f>PROPER(TRIM(Table1[[#This Row],[Gender]]))</f>
        <v>Male</v>
      </c>
      <c r="D3210" t="s">
        <v>16</v>
      </c>
      <c r="E3210">
        <v>38</v>
      </c>
      <c r="F3210" t="s">
        <v>38</v>
      </c>
      <c r="G3210" s="1">
        <v>31788</v>
      </c>
      <c r="H3210" t="s">
        <v>7099</v>
      </c>
      <c r="I3210" s="2" t="str">
        <f t="shared" si="50"/>
        <v>+91-9769687198</v>
      </c>
      <c r="J3210">
        <f>91-9769687289</f>
        <v>-9769687198</v>
      </c>
      <c r="K3210" t="s">
        <v>40</v>
      </c>
      <c r="L3210" t="s">
        <v>27</v>
      </c>
      <c r="M3210">
        <v>717519</v>
      </c>
      <c r="N3210" s="1">
        <v>45422</v>
      </c>
      <c r="O3210" t="s">
        <v>28</v>
      </c>
      <c r="P3210">
        <v>4</v>
      </c>
      <c r="Q3210">
        <v>291768.3</v>
      </c>
    </row>
    <row r="3211" spans="1:17" x14ac:dyDescent="0.3">
      <c r="A3211" t="s">
        <v>7100</v>
      </c>
      <c r="B3211" t="s">
        <v>2859</v>
      </c>
      <c r="C3211" s="2" t="str">
        <f>PROPER(TRIM(Table1[[#This Row],[Gender]]))</f>
        <v>Female</v>
      </c>
      <c r="D3211" t="s">
        <v>43</v>
      </c>
      <c r="E3211">
        <v>26</v>
      </c>
      <c r="F3211" t="s">
        <v>31</v>
      </c>
      <c r="G3211" s="1">
        <v>36168</v>
      </c>
      <c r="H3211" t="s">
        <v>7101</v>
      </c>
      <c r="I3211" s="2" t="str">
        <f t="shared" si="50"/>
        <v>+91-8522032846</v>
      </c>
      <c r="J3211">
        <f>91-8522032937</f>
        <v>-8522032846</v>
      </c>
      <c r="K3211" t="s">
        <v>89</v>
      </c>
      <c r="L3211" t="s">
        <v>90</v>
      </c>
      <c r="M3211">
        <v>115847</v>
      </c>
      <c r="N3211" s="1">
        <v>45349</v>
      </c>
      <c r="O3211" t="s">
        <v>28</v>
      </c>
      <c r="P3211">
        <v>6</v>
      </c>
      <c r="Q3211">
        <v>172219.42</v>
      </c>
    </row>
    <row r="3212" spans="1:17" x14ac:dyDescent="0.3">
      <c r="A3212" t="s">
        <v>7102</v>
      </c>
      <c r="B3212" t="s">
        <v>546</v>
      </c>
      <c r="C3212" s="2" t="str">
        <f>PROPER(TRIM(Table1[[#This Row],[Gender]]))</f>
        <v>Female</v>
      </c>
      <c r="D3212" t="s">
        <v>43</v>
      </c>
      <c r="E3212">
        <v>41</v>
      </c>
      <c r="F3212" t="s">
        <v>38</v>
      </c>
      <c r="G3212" s="1">
        <v>30693</v>
      </c>
      <c r="H3212" t="s">
        <v>7103</v>
      </c>
      <c r="I3212" s="2" t="str">
        <f t="shared" si="50"/>
        <v>+91-9994197500</v>
      </c>
      <c r="J3212">
        <f>91-9994197591</f>
        <v>-9994197500</v>
      </c>
      <c r="K3212" t="s">
        <v>113</v>
      </c>
      <c r="L3212" t="s">
        <v>34</v>
      </c>
      <c r="M3212">
        <v>444941</v>
      </c>
      <c r="N3212" s="1">
        <v>45089</v>
      </c>
      <c r="O3212" t="s">
        <v>35</v>
      </c>
      <c r="P3212">
        <v>1</v>
      </c>
      <c r="Q3212">
        <v>8478.2199999999993</v>
      </c>
    </row>
    <row r="3213" spans="1:17" x14ac:dyDescent="0.3">
      <c r="A3213" t="s">
        <v>7104</v>
      </c>
      <c r="B3213" t="s">
        <v>3949</v>
      </c>
      <c r="C3213" s="2" t="str">
        <f>PROPER(TRIM(Table1[[#This Row],[Gender]]))</f>
        <v>Female</v>
      </c>
      <c r="D3213" t="s">
        <v>43</v>
      </c>
      <c r="E3213">
        <v>45</v>
      </c>
      <c r="F3213" t="s">
        <v>38</v>
      </c>
      <c r="G3213" s="1">
        <v>29233</v>
      </c>
      <c r="H3213" t="s">
        <v>7105</v>
      </c>
      <c r="I3213" s="2" t="str">
        <f t="shared" si="50"/>
        <v>+91-7596844202</v>
      </c>
      <c r="J3213">
        <f>91-7596844293</f>
        <v>-7596844202</v>
      </c>
      <c r="K3213" t="s">
        <v>113</v>
      </c>
      <c r="L3213" t="s">
        <v>34</v>
      </c>
      <c r="M3213">
        <v>399129</v>
      </c>
      <c r="N3213" s="1">
        <v>45243</v>
      </c>
      <c r="O3213" t="s">
        <v>28</v>
      </c>
      <c r="P3213">
        <v>5</v>
      </c>
      <c r="Q3213">
        <v>67137.899999999994</v>
      </c>
    </row>
    <row r="3214" spans="1:17" x14ac:dyDescent="0.3">
      <c r="A3214" t="s">
        <v>7106</v>
      </c>
      <c r="B3214" t="s">
        <v>1882</v>
      </c>
      <c r="C3214" s="2" t="str">
        <f>PROPER(TRIM(Table1[[#This Row],[Gender]]))</f>
        <v>Female</v>
      </c>
      <c r="D3214" t="s">
        <v>43</v>
      </c>
      <c r="E3214">
        <v>29</v>
      </c>
      <c r="F3214" t="s">
        <v>31</v>
      </c>
      <c r="G3214" s="1">
        <v>35073</v>
      </c>
      <c r="H3214" t="s">
        <v>7107</v>
      </c>
      <c r="I3214" s="2" t="str">
        <f t="shared" si="50"/>
        <v>+91-8557871821</v>
      </c>
      <c r="J3214">
        <f>91-8557871912</f>
        <v>-8557871821</v>
      </c>
      <c r="K3214" t="s">
        <v>72</v>
      </c>
      <c r="L3214" t="s">
        <v>34</v>
      </c>
      <c r="M3214">
        <v>981981</v>
      </c>
      <c r="N3214" s="1">
        <v>45173</v>
      </c>
      <c r="O3214" t="s">
        <v>28</v>
      </c>
      <c r="P3214">
        <v>7</v>
      </c>
      <c r="Q3214">
        <v>171428.87</v>
      </c>
    </row>
    <row r="3215" spans="1:17" x14ac:dyDescent="0.3">
      <c r="A3215" t="s">
        <v>7108</v>
      </c>
      <c r="B3215" t="s">
        <v>633</v>
      </c>
      <c r="C3215" s="2" t="str">
        <f>PROPER(TRIM(Table1[[#This Row],[Gender]]))</f>
        <v>Female</v>
      </c>
      <c r="D3215" t="s">
        <v>43</v>
      </c>
      <c r="E3215">
        <v>18</v>
      </c>
      <c r="F3215" t="s">
        <v>49</v>
      </c>
      <c r="G3215" s="1">
        <v>39088</v>
      </c>
      <c r="H3215" t="s">
        <v>7109</v>
      </c>
      <c r="I3215" s="2" t="str">
        <f t="shared" si="50"/>
        <v>+91-7618441404</v>
      </c>
      <c r="J3215">
        <f>91-7618441495</f>
        <v>-7618441404</v>
      </c>
      <c r="K3215" t="s">
        <v>40</v>
      </c>
      <c r="L3215" t="s">
        <v>27</v>
      </c>
      <c r="M3215">
        <v>353357</v>
      </c>
      <c r="N3215" s="1">
        <v>45393</v>
      </c>
      <c r="O3215" t="s">
        <v>28</v>
      </c>
      <c r="P3215">
        <v>9</v>
      </c>
      <c r="Q3215">
        <v>413810.15</v>
      </c>
    </row>
    <row r="3216" spans="1:17" x14ac:dyDescent="0.3">
      <c r="A3216" t="s">
        <v>7110</v>
      </c>
      <c r="B3216" t="s">
        <v>1513</v>
      </c>
      <c r="C3216" s="2" t="str">
        <f>PROPER(TRIM(Table1[[#This Row],[Gender]]))</f>
        <v>Female</v>
      </c>
      <c r="D3216" t="s">
        <v>43</v>
      </c>
      <c r="E3216">
        <v>28</v>
      </c>
      <c r="F3216" t="s">
        <v>31</v>
      </c>
      <c r="G3216" s="1">
        <v>35438</v>
      </c>
      <c r="H3216" t="s">
        <v>7111</v>
      </c>
      <c r="I3216" s="2" t="str">
        <f t="shared" si="50"/>
        <v>+91-9922139552</v>
      </c>
      <c r="J3216">
        <f>91-9922139643</f>
        <v>-9922139552</v>
      </c>
      <c r="K3216" t="s">
        <v>142</v>
      </c>
      <c r="L3216" t="s">
        <v>143</v>
      </c>
      <c r="M3216">
        <v>436624</v>
      </c>
      <c r="N3216" s="1">
        <v>45144</v>
      </c>
      <c r="O3216" t="s">
        <v>28</v>
      </c>
      <c r="P3216">
        <v>3</v>
      </c>
      <c r="Q3216">
        <v>82830.77</v>
      </c>
    </row>
    <row r="3217" spans="1:17" x14ac:dyDescent="0.3">
      <c r="A3217" t="s">
        <v>7112</v>
      </c>
      <c r="B3217" t="s">
        <v>4266</v>
      </c>
      <c r="C3217" s="2" t="str">
        <f>PROPER(TRIM(Table1[[#This Row],[Gender]]))</f>
        <v>Male</v>
      </c>
      <c r="D3217" t="s">
        <v>16</v>
      </c>
      <c r="E3217">
        <v>26</v>
      </c>
      <c r="F3217" t="s">
        <v>31</v>
      </c>
      <c r="G3217" s="1">
        <v>36168</v>
      </c>
      <c r="H3217" t="s">
        <v>7113</v>
      </c>
      <c r="I3217" s="2" t="str">
        <f t="shared" si="50"/>
        <v>+91-8975726423</v>
      </c>
      <c r="J3217">
        <f>91-8975726514</f>
        <v>-8975726423</v>
      </c>
      <c r="K3217" t="s">
        <v>117</v>
      </c>
      <c r="L3217" t="s">
        <v>52</v>
      </c>
      <c r="M3217">
        <v>906263</v>
      </c>
      <c r="N3217" s="1">
        <v>45156</v>
      </c>
      <c r="O3217" t="s">
        <v>28</v>
      </c>
      <c r="P3217">
        <v>4</v>
      </c>
      <c r="Q3217">
        <v>74288.11</v>
      </c>
    </row>
    <row r="3218" spans="1:17" x14ac:dyDescent="0.3">
      <c r="A3218" t="s">
        <v>7114</v>
      </c>
      <c r="B3218" t="s">
        <v>2043</v>
      </c>
      <c r="C3218" s="2" t="str">
        <f>PROPER(TRIM(Table1[[#This Row],[Gender]]))</f>
        <v>Female</v>
      </c>
      <c r="D3218" t="s">
        <v>43</v>
      </c>
      <c r="E3218">
        <v>43</v>
      </c>
      <c r="F3218" t="s">
        <v>38</v>
      </c>
      <c r="G3218" s="1">
        <v>29963</v>
      </c>
      <c r="H3218" t="s">
        <v>7115</v>
      </c>
      <c r="I3218" s="2" t="str">
        <f t="shared" si="50"/>
        <v>+91-8260540881</v>
      </c>
      <c r="J3218">
        <f>91-8260540972</f>
        <v>-8260540881</v>
      </c>
      <c r="K3218" t="s">
        <v>121</v>
      </c>
      <c r="L3218" t="s">
        <v>85</v>
      </c>
      <c r="M3218">
        <v>357520</v>
      </c>
      <c r="N3218" s="1">
        <v>45395</v>
      </c>
      <c r="O3218" t="s">
        <v>28</v>
      </c>
      <c r="P3218">
        <v>3</v>
      </c>
      <c r="Q3218">
        <v>81329.53</v>
      </c>
    </row>
    <row r="3219" spans="1:17" x14ac:dyDescent="0.3">
      <c r="A3219" t="s">
        <v>7116</v>
      </c>
      <c r="B3219" t="s">
        <v>932</v>
      </c>
      <c r="C3219" s="2" t="str">
        <f>PROPER(TRIM(Table1[[#This Row],[Gender]]))</f>
        <v>Female</v>
      </c>
      <c r="D3219" t="s">
        <v>43</v>
      </c>
      <c r="E3219">
        <v>32</v>
      </c>
      <c r="F3219" t="s">
        <v>31</v>
      </c>
      <c r="G3219" s="1">
        <v>33978</v>
      </c>
      <c r="H3219" t="s">
        <v>7117</v>
      </c>
      <c r="I3219" s="2" t="str">
        <f t="shared" si="50"/>
        <v>+91-9945710495</v>
      </c>
      <c r="J3219">
        <f>91-9945710586</f>
        <v>-9945710495</v>
      </c>
      <c r="K3219" t="s">
        <v>89</v>
      </c>
      <c r="L3219" t="s">
        <v>90</v>
      </c>
      <c r="M3219">
        <v>515080</v>
      </c>
      <c r="N3219" s="1">
        <v>45256</v>
      </c>
      <c r="O3219" t="s">
        <v>28</v>
      </c>
      <c r="P3219">
        <v>11</v>
      </c>
      <c r="Q3219">
        <v>283968.44</v>
      </c>
    </row>
    <row r="3220" spans="1:17" x14ac:dyDescent="0.3">
      <c r="A3220" t="s">
        <v>7118</v>
      </c>
      <c r="B3220" t="s">
        <v>2922</v>
      </c>
      <c r="C3220" s="2" t="str">
        <f>PROPER(TRIM(Table1[[#This Row],[Gender]]))</f>
        <v>Female</v>
      </c>
      <c r="D3220" t="s">
        <v>43</v>
      </c>
      <c r="E3220">
        <v>27</v>
      </c>
      <c r="F3220" t="s">
        <v>31</v>
      </c>
      <c r="G3220" s="1">
        <v>35803</v>
      </c>
      <c r="H3220" t="s">
        <v>7119</v>
      </c>
      <c r="I3220" s="2" t="str">
        <f t="shared" si="50"/>
        <v>+91-8945728810</v>
      </c>
      <c r="J3220">
        <f>91-8945728901</f>
        <v>-8945728810</v>
      </c>
      <c r="K3220" t="s">
        <v>60</v>
      </c>
      <c r="L3220" t="s">
        <v>34</v>
      </c>
      <c r="M3220">
        <v>907725</v>
      </c>
      <c r="N3220" s="1">
        <v>45225</v>
      </c>
      <c r="O3220" t="s">
        <v>28</v>
      </c>
      <c r="P3220">
        <v>7</v>
      </c>
      <c r="Q3220">
        <v>247262.09</v>
      </c>
    </row>
    <row r="3221" spans="1:17" x14ac:dyDescent="0.3">
      <c r="A3221" t="s">
        <v>7120</v>
      </c>
      <c r="B3221" t="s">
        <v>1617</v>
      </c>
      <c r="C3221" s="2" t="str">
        <f>PROPER(TRIM(Table1[[#This Row],[Gender]]))</f>
        <v>Female</v>
      </c>
      <c r="D3221" t="s">
        <v>43</v>
      </c>
      <c r="E3221">
        <v>71</v>
      </c>
      <c r="F3221" t="s">
        <v>24</v>
      </c>
      <c r="G3221" s="1">
        <v>19743</v>
      </c>
      <c r="H3221" t="s">
        <v>7121</v>
      </c>
      <c r="I3221" s="2" t="str">
        <f t="shared" si="50"/>
        <v>+91-7045972999</v>
      </c>
      <c r="J3221">
        <f>91-7045973090</f>
        <v>-7045972999</v>
      </c>
      <c r="K3221" t="s">
        <v>19</v>
      </c>
      <c r="L3221" t="s">
        <v>20</v>
      </c>
      <c r="M3221">
        <v>146617</v>
      </c>
      <c r="N3221" s="1">
        <v>45370</v>
      </c>
      <c r="O3221" t="s">
        <v>35</v>
      </c>
      <c r="P3221">
        <v>6</v>
      </c>
      <c r="Q3221">
        <v>9398.52</v>
      </c>
    </row>
    <row r="3222" spans="1:17" x14ac:dyDescent="0.3">
      <c r="A3222" t="s">
        <v>7122</v>
      </c>
      <c r="B3222" t="s">
        <v>7123</v>
      </c>
      <c r="C3222" s="2" t="str">
        <f>PROPER(TRIM(Table1[[#This Row],[Gender]]))</f>
        <v>Male</v>
      </c>
      <c r="D3222" t="s">
        <v>16</v>
      </c>
      <c r="E3222">
        <v>42</v>
      </c>
      <c r="F3222" t="s">
        <v>38</v>
      </c>
      <c r="G3222" s="1">
        <v>30328</v>
      </c>
      <c r="H3222" t="s">
        <v>7124</v>
      </c>
      <c r="I3222" s="2" t="str">
        <f t="shared" si="50"/>
        <v>+91-8205654199</v>
      </c>
      <c r="J3222">
        <f>91-8205654290</f>
        <v>-8205654199</v>
      </c>
      <c r="K3222" t="s">
        <v>101</v>
      </c>
      <c r="L3222" t="s">
        <v>102</v>
      </c>
      <c r="M3222">
        <v>849511</v>
      </c>
      <c r="N3222" s="1">
        <v>45265</v>
      </c>
      <c r="O3222" t="s">
        <v>21</v>
      </c>
      <c r="P3222">
        <v>7</v>
      </c>
      <c r="Q3222">
        <v>43779.85</v>
      </c>
    </row>
    <row r="3223" spans="1:17" x14ac:dyDescent="0.3">
      <c r="A3223" t="s">
        <v>7125</v>
      </c>
      <c r="B3223" t="s">
        <v>5750</v>
      </c>
      <c r="C3223" s="2" t="str">
        <f>PROPER(TRIM(Table1[[#This Row],[Gender]]))</f>
        <v>Male</v>
      </c>
      <c r="D3223" t="s">
        <v>16</v>
      </c>
      <c r="E3223">
        <v>27</v>
      </c>
      <c r="F3223" t="s">
        <v>31</v>
      </c>
      <c r="G3223" s="1">
        <v>35803</v>
      </c>
      <c r="H3223" t="s">
        <v>7126</v>
      </c>
      <c r="I3223" s="2" t="str">
        <f t="shared" si="50"/>
        <v>+91-8630838397</v>
      </c>
      <c r="J3223">
        <f>91-8630838488</f>
        <v>-8630838397</v>
      </c>
      <c r="K3223" t="s">
        <v>89</v>
      </c>
      <c r="L3223" t="s">
        <v>90</v>
      </c>
      <c r="M3223">
        <v>765333</v>
      </c>
      <c r="N3223" s="1">
        <v>45327</v>
      </c>
      <c r="O3223" t="s">
        <v>28</v>
      </c>
      <c r="P3223">
        <v>2</v>
      </c>
      <c r="Q3223">
        <v>57306.18</v>
      </c>
    </row>
    <row r="3224" spans="1:17" x14ac:dyDescent="0.3">
      <c r="A3224" t="s">
        <v>7127</v>
      </c>
      <c r="B3224" t="s">
        <v>1356</v>
      </c>
      <c r="C3224" s="2" t="str">
        <f>PROPER(TRIM(Table1[[#This Row],[Gender]]))</f>
        <v>Female</v>
      </c>
      <c r="D3224" t="s">
        <v>43</v>
      </c>
      <c r="E3224">
        <v>27</v>
      </c>
      <c r="F3224" t="s">
        <v>31</v>
      </c>
      <c r="G3224" s="1">
        <v>35803</v>
      </c>
      <c r="H3224" t="s">
        <v>3792</v>
      </c>
      <c r="I3224" s="2" t="str">
        <f t="shared" si="50"/>
        <v>+91-8412793696</v>
      </c>
      <c r="J3224">
        <f>91-8412793787</f>
        <v>-8412793696</v>
      </c>
      <c r="K3224" t="s">
        <v>121</v>
      </c>
      <c r="L3224" t="s">
        <v>85</v>
      </c>
      <c r="M3224">
        <v>119961</v>
      </c>
      <c r="N3224" s="1">
        <v>45187</v>
      </c>
      <c r="O3224" t="s">
        <v>28</v>
      </c>
      <c r="P3224">
        <v>6</v>
      </c>
      <c r="Q3224">
        <v>170677.17</v>
      </c>
    </row>
    <row r="3225" spans="1:17" x14ac:dyDescent="0.3">
      <c r="A3225" t="s">
        <v>7128</v>
      </c>
      <c r="B3225" t="s">
        <v>6620</v>
      </c>
      <c r="C3225" s="2" t="str">
        <f>PROPER(TRIM(Table1[[#This Row],[Gender]]))</f>
        <v>Female</v>
      </c>
      <c r="D3225" t="s">
        <v>43</v>
      </c>
      <c r="E3225">
        <v>53</v>
      </c>
      <c r="F3225" t="s">
        <v>17</v>
      </c>
      <c r="G3225" s="1">
        <v>26313</v>
      </c>
      <c r="H3225" t="s">
        <v>7129</v>
      </c>
      <c r="I3225" s="2" t="str">
        <f t="shared" si="50"/>
        <v>+91-8939201408</v>
      </c>
      <c r="J3225">
        <f>91-8939201499</f>
        <v>-8939201408</v>
      </c>
      <c r="K3225" t="s">
        <v>161</v>
      </c>
      <c r="L3225" t="s">
        <v>102</v>
      </c>
      <c r="M3225">
        <v>972010</v>
      </c>
      <c r="N3225" s="1">
        <v>45404</v>
      </c>
      <c r="O3225" t="s">
        <v>21</v>
      </c>
      <c r="P3225">
        <v>6</v>
      </c>
      <c r="Q3225">
        <v>32353.3</v>
      </c>
    </row>
    <row r="3226" spans="1:17" x14ac:dyDescent="0.3">
      <c r="A3226" t="s">
        <v>7130</v>
      </c>
      <c r="B3226" t="s">
        <v>1778</v>
      </c>
      <c r="C3226" s="2" t="str">
        <f>PROPER(TRIM(Table1[[#This Row],[Gender]]))</f>
        <v>Female</v>
      </c>
      <c r="D3226" t="s">
        <v>43</v>
      </c>
      <c r="E3226">
        <v>32</v>
      </c>
      <c r="F3226" t="s">
        <v>31</v>
      </c>
      <c r="G3226" s="1">
        <v>33978</v>
      </c>
      <c r="H3226" t="s">
        <v>7131</v>
      </c>
      <c r="I3226" s="2" t="str">
        <f t="shared" si="50"/>
        <v>+91-7389402646</v>
      </c>
      <c r="J3226">
        <f>91-7389402737</f>
        <v>-7389402646</v>
      </c>
      <c r="K3226" t="s">
        <v>68</v>
      </c>
      <c r="L3226" t="s">
        <v>52</v>
      </c>
      <c r="M3226">
        <v>803665</v>
      </c>
      <c r="N3226" s="1">
        <v>45403</v>
      </c>
      <c r="O3226" t="s">
        <v>28</v>
      </c>
      <c r="P3226">
        <v>6</v>
      </c>
      <c r="Q3226">
        <v>325688.57</v>
      </c>
    </row>
    <row r="3227" spans="1:17" x14ac:dyDescent="0.3">
      <c r="A3227" t="s">
        <v>7132</v>
      </c>
      <c r="B3227" t="s">
        <v>4034</v>
      </c>
      <c r="C3227" s="2" t="str">
        <f>PROPER(TRIM(Table1[[#This Row],[Gender]]))</f>
        <v>Female</v>
      </c>
      <c r="D3227" t="s">
        <v>43</v>
      </c>
      <c r="E3227">
        <v>41</v>
      </c>
      <c r="F3227" t="s">
        <v>38</v>
      </c>
      <c r="G3227" s="1">
        <v>30693</v>
      </c>
      <c r="H3227" t="s">
        <v>7133</v>
      </c>
      <c r="I3227" s="2" t="str">
        <f t="shared" si="50"/>
        <v>+91-9734500283</v>
      </c>
      <c r="J3227">
        <f>91-9734500374</f>
        <v>-9734500283</v>
      </c>
      <c r="K3227" t="s">
        <v>195</v>
      </c>
      <c r="L3227" t="s">
        <v>102</v>
      </c>
      <c r="M3227">
        <v>263550</v>
      </c>
      <c r="N3227" s="1">
        <v>45178</v>
      </c>
      <c r="O3227" t="s">
        <v>21</v>
      </c>
      <c r="P3227">
        <v>4</v>
      </c>
      <c r="Q3227">
        <v>49809.69</v>
      </c>
    </row>
    <row r="3228" spans="1:17" x14ac:dyDescent="0.3">
      <c r="A3228" t="s">
        <v>7134</v>
      </c>
      <c r="B3228" t="s">
        <v>2871</v>
      </c>
      <c r="C3228" s="2" t="str">
        <f>PROPER(TRIM(Table1[[#This Row],[Gender]]))</f>
        <v>Male</v>
      </c>
      <c r="D3228" t="s">
        <v>16</v>
      </c>
      <c r="E3228">
        <v>22</v>
      </c>
      <c r="F3228" t="s">
        <v>49</v>
      </c>
      <c r="G3228" s="1">
        <v>37628</v>
      </c>
      <c r="H3228" t="s">
        <v>7135</v>
      </c>
      <c r="I3228" s="2" t="str">
        <f t="shared" si="50"/>
        <v>+91-8963938234</v>
      </c>
      <c r="J3228">
        <f>91-8963938325</f>
        <v>-8963938234</v>
      </c>
      <c r="K3228" t="s">
        <v>64</v>
      </c>
      <c r="L3228" t="s">
        <v>20</v>
      </c>
      <c r="M3228">
        <v>961989</v>
      </c>
      <c r="N3228" s="1">
        <v>45434</v>
      </c>
      <c r="O3228" t="s">
        <v>35</v>
      </c>
      <c r="P3228">
        <v>5</v>
      </c>
      <c r="Q3228">
        <v>18761.36</v>
      </c>
    </row>
    <row r="3229" spans="1:17" x14ac:dyDescent="0.3">
      <c r="A3229" t="s">
        <v>7136</v>
      </c>
      <c r="B3229" t="s">
        <v>759</v>
      </c>
      <c r="C3229" s="2" t="str">
        <f>PROPER(TRIM(Table1[[#This Row],[Gender]]))</f>
        <v>Female</v>
      </c>
      <c r="D3229" t="s">
        <v>43</v>
      </c>
      <c r="E3229">
        <v>42</v>
      </c>
      <c r="F3229" t="s">
        <v>38</v>
      </c>
      <c r="G3229" s="1">
        <v>30328</v>
      </c>
      <c r="H3229" t="s">
        <v>7137</v>
      </c>
      <c r="I3229" s="2" t="str">
        <f t="shared" si="50"/>
        <v>+91-7965967463</v>
      </c>
      <c r="J3229">
        <f>91-7965967554</f>
        <v>-7965967463</v>
      </c>
      <c r="K3229" t="s">
        <v>26</v>
      </c>
      <c r="L3229" t="s">
        <v>27</v>
      </c>
      <c r="M3229">
        <v>174997</v>
      </c>
      <c r="N3229" s="1">
        <v>45247</v>
      </c>
      <c r="O3229" t="s">
        <v>28</v>
      </c>
      <c r="P3229">
        <v>7</v>
      </c>
      <c r="Q3229">
        <v>390556.17</v>
      </c>
    </row>
    <row r="3230" spans="1:17" x14ac:dyDescent="0.3">
      <c r="A3230" t="s">
        <v>7138</v>
      </c>
      <c r="B3230" t="s">
        <v>608</v>
      </c>
      <c r="C3230" s="2" t="str">
        <f>PROPER(TRIM(Table1[[#This Row],[Gender]]))</f>
        <v>Female</v>
      </c>
      <c r="D3230" t="s">
        <v>43</v>
      </c>
      <c r="E3230">
        <v>29</v>
      </c>
      <c r="F3230" t="s">
        <v>31</v>
      </c>
      <c r="G3230" s="1">
        <v>35073</v>
      </c>
      <c r="H3230" t="s">
        <v>7139</v>
      </c>
      <c r="I3230" s="2" t="str">
        <f t="shared" si="50"/>
        <v>+91-9736651852</v>
      </c>
      <c r="J3230">
        <f>91-9736651943</f>
        <v>-9736651852</v>
      </c>
      <c r="K3230" t="s">
        <v>40</v>
      </c>
      <c r="L3230" t="s">
        <v>27</v>
      </c>
      <c r="M3230">
        <v>698314</v>
      </c>
      <c r="N3230" s="1">
        <v>45290</v>
      </c>
      <c r="O3230" t="s">
        <v>28</v>
      </c>
      <c r="P3230">
        <v>3</v>
      </c>
      <c r="Q3230">
        <v>84300.62</v>
      </c>
    </row>
    <row r="3231" spans="1:17" x14ac:dyDescent="0.3">
      <c r="A3231" t="s">
        <v>7140</v>
      </c>
      <c r="B3231" t="s">
        <v>633</v>
      </c>
      <c r="C3231" s="2" t="str">
        <f>PROPER(TRIM(Table1[[#This Row],[Gender]]))</f>
        <v>Female</v>
      </c>
      <c r="D3231" t="s">
        <v>43</v>
      </c>
      <c r="E3231">
        <v>36</v>
      </c>
      <c r="F3231" t="s">
        <v>38</v>
      </c>
      <c r="G3231" s="1">
        <v>32518</v>
      </c>
      <c r="H3231" t="s">
        <v>7141</v>
      </c>
      <c r="I3231" s="2" t="str">
        <f t="shared" si="50"/>
        <v>+91-8894620030</v>
      </c>
      <c r="J3231">
        <f>91-8894620121</f>
        <v>-8894620030</v>
      </c>
      <c r="K3231" t="s">
        <v>138</v>
      </c>
      <c r="L3231" t="s">
        <v>90</v>
      </c>
      <c r="M3231">
        <v>564604</v>
      </c>
      <c r="N3231" s="1">
        <v>45164</v>
      </c>
      <c r="O3231" t="s">
        <v>21</v>
      </c>
      <c r="P3231">
        <v>4</v>
      </c>
      <c r="Q3231">
        <v>31870.639999999999</v>
      </c>
    </row>
    <row r="3232" spans="1:17" x14ac:dyDescent="0.3">
      <c r="A3232" t="s">
        <v>7142</v>
      </c>
      <c r="B3232" t="s">
        <v>3279</v>
      </c>
      <c r="C3232" s="2" t="str">
        <f>PROPER(TRIM(Table1[[#This Row],[Gender]]))</f>
        <v>Male</v>
      </c>
      <c r="D3232" t="s">
        <v>16</v>
      </c>
      <c r="E3232">
        <v>22</v>
      </c>
      <c r="F3232" t="s">
        <v>49</v>
      </c>
      <c r="G3232" s="1">
        <v>37628</v>
      </c>
      <c r="H3232" t="s">
        <v>5458</v>
      </c>
      <c r="I3232" s="2" t="str">
        <f t="shared" si="50"/>
        <v>+91-8966025882</v>
      </c>
      <c r="J3232">
        <f>91-8966025973</f>
        <v>-8966025882</v>
      </c>
      <c r="K3232" t="s">
        <v>19</v>
      </c>
      <c r="L3232" t="s">
        <v>20</v>
      </c>
      <c r="M3232">
        <v>902138</v>
      </c>
      <c r="N3232" s="1">
        <v>45406</v>
      </c>
      <c r="O3232" t="s">
        <v>28</v>
      </c>
      <c r="P3232">
        <v>11</v>
      </c>
      <c r="Q3232">
        <v>325047.77</v>
      </c>
    </row>
    <row r="3233" spans="1:17" x14ac:dyDescent="0.3">
      <c r="A3233" t="s">
        <v>7143</v>
      </c>
      <c r="B3233" t="s">
        <v>2674</v>
      </c>
      <c r="C3233" s="2" t="str">
        <f>PROPER(TRIM(Table1[[#This Row],[Gender]]))</f>
        <v>Female</v>
      </c>
      <c r="D3233" t="s">
        <v>43</v>
      </c>
      <c r="E3233">
        <v>22</v>
      </c>
      <c r="F3233" t="s">
        <v>49</v>
      </c>
      <c r="G3233" s="1">
        <v>37628</v>
      </c>
      <c r="H3233" t="s">
        <v>2675</v>
      </c>
      <c r="I3233" s="2" t="str">
        <f t="shared" si="50"/>
        <v>+91-9725398889</v>
      </c>
      <c r="J3233">
        <f>91-9725398980</f>
        <v>-9725398889</v>
      </c>
      <c r="K3233" t="s">
        <v>125</v>
      </c>
      <c r="L3233" t="s">
        <v>52</v>
      </c>
      <c r="M3233">
        <v>781312</v>
      </c>
      <c r="N3233" s="1">
        <v>45182</v>
      </c>
      <c r="O3233" t="s">
        <v>28</v>
      </c>
      <c r="P3233">
        <v>8</v>
      </c>
      <c r="Q3233">
        <v>131442.18</v>
      </c>
    </row>
    <row r="3234" spans="1:17" x14ac:dyDescent="0.3">
      <c r="A3234" t="s">
        <v>7144</v>
      </c>
      <c r="B3234" t="s">
        <v>359</v>
      </c>
      <c r="C3234" s="2" t="str">
        <f>PROPER(TRIM(Table1[[#This Row],[Gender]]))</f>
        <v>Male</v>
      </c>
      <c r="D3234" t="s">
        <v>16</v>
      </c>
      <c r="E3234">
        <v>34</v>
      </c>
      <c r="F3234" t="s">
        <v>31</v>
      </c>
      <c r="G3234" s="1">
        <v>33248</v>
      </c>
      <c r="H3234" t="s">
        <v>7145</v>
      </c>
      <c r="I3234" s="2" t="str">
        <f t="shared" si="50"/>
        <v>+91-9909060723</v>
      </c>
      <c r="J3234">
        <f>91-9909060814</f>
        <v>-9909060723</v>
      </c>
      <c r="K3234" t="s">
        <v>190</v>
      </c>
      <c r="L3234" t="s">
        <v>191</v>
      </c>
      <c r="M3234">
        <v>332567</v>
      </c>
      <c r="N3234" s="1">
        <v>45394</v>
      </c>
      <c r="O3234" t="s">
        <v>28</v>
      </c>
      <c r="P3234">
        <v>6</v>
      </c>
      <c r="Q3234">
        <v>171300.47</v>
      </c>
    </row>
    <row r="3235" spans="1:17" x14ac:dyDescent="0.3">
      <c r="A3235" t="s">
        <v>7146</v>
      </c>
      <c r="B3235" t="s">
        <v>2848</v>
      </c>
      <c r="C3235" s="2" t="str">
        <f>PROPER(TRIM(Table1[[#This Row],[Gender]]))</f>
        <v>Male</v>
      </c>
      <c r="D3235" t="s">
        <v>16</v>
      </c>
      <c r="E3235">
        <v>21</v>
      </c>
      <c r="F3235" t="s">
        <v>49</v>
      </c>
      <c r="G3235" s="1">
        <v>37993</v>
      </c>
      <c r="H3235" t="s">
        <v>7147</v>
      </c>
      <c r="I3235" s="2" t="str">
        <f t="shared" si="50"/>
        <v>+91-7287386615</v>
      </c>
      <c r="J3235">
        <f>91-7287386706</f>
        <v>-7287386615</v>
      </c>
      <c r="K3235" t="s">
        <v>76</v>
      </c>
      <c r="L3235" t="s">
        <v>46</v>
      </c>
      <c r="M3235">
        <v>334715</v>
      </c>
      <c r="N3235" s="1">
        <v>45184</v>
      </c>
      <c r="O3235" t="s">
        <v>28</v>
      </c>
      <c r="P3235">
        <v>6</v>
      </c>
      <c r="Q3235">
        <v>316428.90000000002</v>
      </c>
    </row>
    <row r="3236" spans="1:17" x14ac:dyDescent="0.3">
      <c r="A3236" t="s">
        <v>7148</v>
      </c>
      <c r="B3236" t="s">
        <v>87</v>
      </c>
      <c r="C3236" s="2" t="str">
        <f>PROPER(TRIM(Table1[[#This Row],[Gender]]))</f>
        <v>Female</v>
      </c>
      <c r="D3236" t="s">
        <v>43</v>
      </c>
      <c r="E3236">
        <v>44</v>
      </c>
      <c r="F3236" t="s">
        <v>38</v>
      </c>
      <c r="G3236" s="1">
        <v>29598</v>
      </c>
      <c r="H3236" t="s">
        <v>7149</v>
      </c>
      <c r="I3236" s="2" t="str">
        <f t="shared" si="50"/>
        <v>+91-8547344870</v>
      </c>
      <c r="J3236">
        <f>91-8547344961</f>
        <v>-8547344870</v>
      </c>
      <c r="K3236" t="s">
        <v>117</v>
      </c>
      <c r="L3236" t="s">
        <v>52</v>
      </c>
      <c r="M3236">
        <v>744984</v>
      </c>
      <c r="N3236" s="1">
        <v>45423</v>
      </c>
      <c r="O3236" t="s">
        <v>28</v>
      </c>
      <c r="P3236">
        <v>6</v>
      </c>
      <c r="Q3236">
        <v>202719.67</v>
      </c>
    </row>
    <row r="3237" spans="1:17" x14ac:dyDescent="0.3">
      <c r="A3237" t="s">
        <v>7150</v>
      </c>
      <c r="B3237" t="s">
        <v>4085</v>
      </c>
      <c r="C3237" s="2" t="str">
        <f>PROPER(TRIM(Table1[[#This Row],[Gender]]))</f>
        <v>Female</v>
      </c>
      <c r="D3237" t="s">
        <v>43</v>
      </c>
      <c r="E3237">
        <v>22</v>
      </c>
      <c r="F3237" t="s">
        <v>49</v>
      </c>
      <c r="G3237" s="1">
        <v>37628</v>
      </c>
      <c r="H3237" t="s">
        <v>7151</v>
      </c>
      <c r="I3237" s="2" t="str">
        <f t="shared" si="50"/>
        <v>+91-8948023215</v>
      </c>
      <c r="J3237">
        <f>91-8948023306</f>
        <v>-8948023215</v>
      </c>
      <c r="K3237" t="s">
        <v>89</v>
      </c>
      <c r="L3237" t="s">
        <v>90</v>
      </c>
      <c r="M3237">
        <v>903090</v>
      </c>
      <c r="N3237" s="1">
        <v>45163</v>
      </c>
      <c r="O3237" t="s">
        <v>35</v>
      </c>
      <c r="P3237">
        <v>5</v>
      </c>
      <c r="Q3237">
        <v>7214.96</v>
      </c>
    </row>
    <row r="3238" spans="1:17" x14ac:dyDescent="0.3">
      <c r="A3238" t="s">
        <v>7152</v>
      </c>
      <c r="B3238" t="s">
        <v>4034</v>
      </c>
      <c r="C3238" s="2" t="str">
        <f>PROPER(TRIM(Table1[[#This Row],[Gender]]))</f>
        <v>Female</v>
      </c>
      <c r="D3238" t="s">
        <v>43</v>
      </c>
      <c r="E3238">
        <v>25</v>
      </c>
      <c r="F3238" t="s">
        <v>49</v>
      </c>
      <c r="G3238" s="1">
        <v>36533</v>
      </c>
      <c r="H3238" t="s">
        <v>7153</v>
      </c>
      <c r="I3238" s="2" t="str">
        <f t="shared" si="50"/>
        <v>+91-9297821352</v>
      </c>
      <c r="J3238">
        <f>91-9297821443</f>
        <v>-9297821352</v>
      </c>
      <c r="K3238" t="s">
        <v>113</v>
      </c>
      <c r="L3238" t="s">
        <v>34</v>
      </c>
      <c r="M3238">
        <v>185381</v>
      </c>
      <c r="N3238" s="1">
        <v>45216</v>
      </c>
      <c r="O3238" t="s">
        <v>28</v>
      </c>
      <c r="P3238">
        <v>9</v>
      </c>
      <c r="Q3238">
        <v>176016.04</v>
      </c>
    </row>
    <row r="3239" spans="1:17" x14ac:dyDescent="0.3">
      <c r="A3239" t="s">
        <v>7154</v>
      </c>
      <c r="B3239" t="s">
        <v>2751</v>
      </c>
      <c r="C3239" s="2" t="str">
        <f>PROPER(TRIM(Table1[[#This Row],[Gender]]))</f>
        <v>Male</v>
      </c>
      <c r="D3239" t="s">
        <v>16</v>
      </c>
      <c r="E3239">
        <v>36</v>
      </c>
      <c r="F3239" t="s">
        <v>38</v>
      </c>
      <c r="G3239" s="1">
        <v>32518</v>
      </c>
      <c r="H3239" t="s">
        <v>7155</v>
      </c>
      <c r="I3239" s="2" t="str">
        <f t="shared" si="50"/>
        <v>+91-9758522891</v>
      </c>
      <c r="J3239">
        <f>91-9758522982</f>
        <v>-9758522891</v>
      </c>
      <c r="K3239" t="s">
        <v>273</v>
      </c>
      <c r="L3239" t="s">
        <v>46</v>
      </c>
      <c r="M3239">
        <v>434661</v>
      </c>
      <c r="N3239" s="1">
        <v>45242</v>
      </c>
      <c r="O3239" t="s">
        <v>21</v>
      </c>
      <c r="P3239">
        <v>6</v>
      </c>
      <c r="Q3239">
        <v>46113.86</v>
      </c>
    </row>
    <row r="3240" spans="1:17" x14ac:dyDescent="0.3">
      <c r="A3240" t="s">
        <v>7156</v>
      </c>
      <c r="B3240" t="s">
        <v>257</v>
      </c>
      <c r="C3240" s="2" t="str">
        <f>PROPER(TRIM(Table1[[#This Row],[Gender]]))</f>
        <v>Male</v>
      </c>
      <c r="D3240" t="s">
        <v>16</v>
      </c>
      <c r="E3240">
        <v>19</v>
      </c>
      <c r="F3240" t="s">
        <v>49</v>
      </c>
      <c r="G3240" s="1">
        <v>38723</v>
      </c>
      <c r="H3240" t="s">
        <v>7157</v>
      </c>
      <c r="I3240" s="2" t="str">
        <f t="shared" si="50"/>
        <v>+91-8900232320</v>
      </c>
      <c r="J3240">
        <f>91-8900232411</f>
        <v>-8900232320</v>
      </c>
      <c r="K3240" t="s">
        <v>33</v>
      </c>
      <c r="L3240" t="s">
        <v>34</v>
      </c>
      <c r="M3240">
        <v>242945</v>
      </c>
      <c r="N3240" s="1">
        <v>45178</v>
      </c>
      <c r="O3240" t="s">
        <v>28</v>
      </c>
      <c r="P3240">
        <v>7</v>
      </c>
      <c r="Q3240">
        <v>178503.67</v>
      </c>
    </row>
    <row r="3241" spans="1:17" x14ac:dyDescent="0.3">
      <c r="A3241" t="s">
        <v>7158</v>
      </c>
      <c r="B3241" t="s">
        <v>275</v>
      </c>
      <c r="C3241" s="2" t="str">
        <f>PROPER(TRIM(Table1[[#This Row],[Gender]]))</f>
        <v>Female</v>
      </c>
      <c r="D3241" t="s">
        <v>43</v>
      </c>
      <c r="E3241">
        <v>19</v>
      </c>
      <c r="F3241" t="s">
        <v>49</v>
      </c>
      <c r="G3241" s="1">
        <v>38723</v>
      </c>
      <c r="H3241" t="s">
        <v>7159</v>
      </c>
      <c r="I3241" s="2" t="str">
        <f t="shared" si="50"/>
        <v>+91-7765507184</v>
      </c>
      <c r="J3241">
        <f>91-7765507275</f>
        <v>-7765507184</v>
      </c>
      <c r="K3241" t="s">
        <v>273</v>
      </c>
      <c r="L3241" t="s">
        <v>46</v>
      </c>
      <c r="M3241">
        <v>474815</v>
      </c>
      <c r="N3241" s="1">
        <v>45430</v>
      </c>
      <c r="O3241" t="s">
        <v>21</v>
      </c>
      <c r="P3241">
        <v>3</v>
      </c>
      <c r="Q3241">
        <v>31204.36</v>
      </c>
    </row>
    <row r="3242" spans="1:17" x14ac:dyDescent="0.3">
      <c r="A3242" t="s">
        <v>7160</v>
      </c>
      <c r="B3242" t="s">
        <v>6269</v>
      </c>
      <c r="C3242" s="2" t="str">
        <f>PROPER(TRIM(Table1[[#This Row],[Gender]]))</f>
        <v>Female</v>
      </c>
      <c r="D3242" t="s">
        <v>43</v>
      </c>
      <c r="E3242">
        <v>23</v>
      </c>
      <c r="F3242" t="s">
        <v>49</v>
      </c>
      <c r="G3242" s="1">
        <v>37263</v>
      </c>
      <c r="H3242" t="s">
        <v>7161</v>
      </c>
      <c r="I3242" s="2" t="str">
        <f t="shared" si="50"/>
        <v>+91-9447484031</v>
      </c>
      <c r="J3242">
        <f>91-9447484122</f>
        <v>-9447484031</v>
      </c>
      <c r="K3242" t="s">
        <v>76</v>
      </c>
      <c r="L3242" t="s">
        <v>46</v>
      </c>
      <c r="M3242">
        <v>854403</v>
      </c>
      <c r="N3242" s="1">
        <v>45270</v>
      </c>
      <c r="O3242" t="s">
        <v>28</v>
      </c>
      <c r="P3242">
        <v>6</v>
      </c>
      <c r="Q3242">
        <v>172369.51</v>
      </c>
    </row>
    <row r="3243" spans="1:17" x14ac:dyDescent="0.3">
      <c r="A3243" t="s">
        <v>7162</v>
      </c>
      <c r="B3243" t="s">
        <v>2449</v>
      </c>
      <c r="C3243" s="2" t="str">
        <f>PROPER(TRIM(Table1[[#This Row],[Gender]]))</f>
        <v>Male</v>
      </c>
      <c r="D3243" t="s">
        <v>16</v>
      </c>
      <c r="E3243">
        <v>30</v>
      </c>
      <c r="F3243" t="s">
        <v>31</v>
      </c>
      <c r="G3243" s="1">
        <v>34708</v>
      </c>
      <c r="H3243" t="s">
        <v>7163</v>
      </c>
      <c r="I3243" s="2" t="str">
        <f t="shared" si="50"/>
        <v>+91-9901329695</v>
      </c>
      <c r="J3243">
        <f>91-9901329786</f>
        <v>-9901329695</v>
      </c>
      <c r="K3243" t="s">
        <v>51</v>
      </c>
      <c r="L3243" t="s">
        <v>52</v>
      </c>
      <c r="M3243">
        <v>112386</v>
      </c>
      <c r="N3243" s="1">
        <v>45271</v>
      </c>
      <c r="O3243" t="s">
        <v>35</v>
      </c>
      <c r="P3243">
        <v>2</v>
      </c>
      <c r="Q3243">
        <v>4273.1499999999996</v>
      </c>
    </row>
    <row r="3244" spans="1:17" x14ac:dyDescent="0.3">
      <c r="A3244" t="s">
        <v>7164</v>
      </c>
      <c r="B3244" t="s">
        <v>1588</v>
      </c>
      <c r="C3244" s="2" t="str">
        <f>PROPER(TRIM(Table1[[#This Row],[Gender]]))</f>
        <v>Female</v>
      </c>
      <c r="D3244" t="s">
        <v>43</v>
      </c>
      <c r="E3244">
        <v>18</v>
      </c>
      <c r="F3244" t="s">
        <v>49</v>
      </c>
      <c r="G3244" s="1">
        <v>39088</v>
      </c>
      <c r="H3244" t="s">
        <v>5660</v>
      </c>
      <c r="I3244" s="2" t="str">
        <f t="shared" si="50"/>
        <v>+91-7996326950</v>
      </c>
      <c r="J3244">
        <f>91-7996327041</f>
        <v>-7996326950</v>
      </c>
      <c r="K3244" t="s">
        <v>33</v>
      </c>
      <c r="L3244" t="s">
        <v>34</v>
      </c>
      <c r="M3244">
        <v>641199</v>
      </c>
      <c r="N3244" s="1">
        <v>45184</v>
      </c>
      <c r="O3244" t="s">
        <v>35</v>
      </c>
      <c r="P3244">
        <v>5</v>
      </c>
      <c r="Q3244">
        <v>18090.77</v>
      </c>
    </row>
    <row r="3245" spans="1:17" x14ac:dyDescent="0.3">
      <c r="A3245" t="s">
        <v>7165</v>
      </c>
      <c r="B3245" t="s">
        <v>6762</v>
      </c>
      <c r="C3245" s="2" t="str">
        <f>PROPER(TRIM(Table1[[#This Row],[Gender]]))</f>
        <v>Female</v>
      </c>
      <c r="D3245" t="s">
        <v>43</v>
      </c>
      <c r="E3245">
        <v>44</v>
      </c>
      <c r="F3245" t="s">
        <v>38</v>
      </c>
      <c r="G3245" s="1">
        <v>29598</v>
      </c>
      <c r="H3245" t="s">
        <v>7166</v>
      </c>
      <c r="I3245" s="2" t="str">
        <f t="shared" si="50"/>
        <v>+91-7009042770</v>
      </c>
      <c r="J3245">
        <f>91-7009042861</f>
        <v>-7009042770</v>
      </c>
      <c r="K3245" t="s">
        <v>109</v>
      </c>
      <c r="L3245" t="s">
        <v>46</v>
      </c>
      <c r="M3245">
        <v>345568</v>
      </c>
      <c r="N3245" s="1">
        <v>45351</v>
      </c>
      <c r="O3245" t="s">
        <v>28</v>
      </c>
      <c r="P3245">
        <v>7</v>
      </c>
      <c r="Q3245">
        <v>144153.44</v>
      </c>
    </row>
    <row r="3246" spans="1:17" x14ac:dyDescent="0.3">
      <c r="A3246" t="s">
        <v>7167</v>
      </c>
      <c r="B3246" t="s">
        <v>2994</v>
      </c>
      <c r="C3246" s="2" t="str">
        <f>PROPER(TRIM(Table1[[#This Row],[Gender]]))</f>
        <v>Female</v>
      </c>
      <c r="D3246" t="s">
        <v>43</v>
      </c>
      <c r="E3246">
        <v>64</v>
      </c>
      <c r="F3246" t="s">
        <v>58</v>
      </c>
      <c r="G3246" s="1">
        <v>22298</v>
      </c>
      <c r="H3246" t="s">
        <v>7168</v>
      </c>
      <c r="I3246" s="2" t="str">
        <f t="shared" si="50"/>
        <v>+91-8679561396</v>
      </c>
      <c r="J3246">
        <f>91-8679561487</f>
        <v>-8679561396</v>
      </c>
      <c r="K3246" t="s">
        <v>117</v>
      </c>
      <c r="L3246" t="s">
        <v>52</v>
      </c>
      <c r="M3246">
        <v>492063</v>
      </c>
      <c r="N3246" s="1">
        <v>45318</v>
      </c>
      <c r="O3246" t="s">
        <v>28</v>
      </c>
      <c r="P3246">
        <v>4</v>
      </c>
      <c r="Q3246">
        <v>64371.85</v>
      </c>
    </row>
    <row r="3247" spans="1:17" x14ac:dyDescent="0.3">
      <c r="A3247" t="s">
        <v>7169</v>
      </c>
      <c r="B3247" t="s">
        <v>1569</v>
      </c>
      <c r="C3247" s="2" t="str">
        <f>PROPER(TRIM(Table1[[#This Row],[Gender]]))</f>
        <v>Female</v>
      </c>
      <c r="D3247" t="s">
        <v>43</v>
      </c>
      <c r="E3247">
        <v>27</v>
      </c>
      <c r="F3247" t="s">
        <v>31</v>
      </c>
      <c r="G3247" s="1">
        <v>35803</v>
      </c>
      <c r="H3247" t="s">
        <v>7170</v>
      </c>
      <c r="I3247" s="2" t="str">
        <f t="shared" si="50"/>
        <v>+91-7019532922</v>
      </c>
      <c r="J3247">
        <f>91-7019533013</f>
        <v>-7019532922</v>
      </c>
      <c r="K3247" t="s">
        <v>64</v>
      </c>
      <c r="L3247" t="s">
        <v>20</v>
      </c>
      <c r="M3247">
        <v>155594</v>
      </c>
      <c r="N3247" s="1">
        <v>45168</v>
      </c>
      <c r="O3247" t="s">
        <v>28</v>
      </c>
      <c r="P3247">
        <v>5</v>
      </c>
      <c r="Q3247">
        <v>50352.79</v>
      </c>
    </row>
    <row r="3248" spans="1:17" x14ac:dyDescent="0.3">
      <c r="A3248" t="s">
        <v>7171</v>
      </c>
      <c r="B3248" t="s">
        <v>4808</v>
      </c>
      <c r="C3248" s="2" t="str">
        <f>PROPER(TRIM(Table1[[#This Row],[Gender]]))</f>
        <v>Male</v>
      </c>
      <c r="D3248" t="s">
        <v>16</v>
      </c>
      <c r="E3248">
        <v>23</v>
      </c>
      <c r="F3248" t="s">
        <v>49</v>
      </c>
      <c r="G3248" s="1">
        <v>37263</v>
      </c>
      <c r="H3248" t="s">
        <v>7172</v>
      </c>
      <c r="I3248" s="2" t="str">
        <f t="shared" si="50"/>
        <v>+91-9314891215</v>
      </c>
      <c r="J3248">
        <f>91-9314891306</f>
        <v>-9314891215</v>
      </c>
      <c r="K3248" t="s">
        <v>190</v>
      </c>
      <c r="L3248" t="s">
        <v>191</v>
      </c>
      <c r="M3248">
        <v>841537</v>
      </c>
      <c r="N3248" s="1">
        <v>45170</v>
      </c>
      <c r="O3248" t="s">
        <v>35</v>
      </c>
      <c r="P3248">
        <v>3</v>
      </c>
      <c r="Q3248">
        <v>17177.57</v>
      </c>
    </row>
    <row r="3249" spans="1:17" x14ac:dyDescent="0.3">
      <c r="A3249" t="s">
        <v>7173</v>
      </c>
      <c r="B3249" t="s">
        <v>622</v>
      </c>
      <c r="C3249" s="2" t="str">
        <f>PROPER(TRIM(Table1[[#This Row],[Gender]]))</f>
        <v>Female</v>
      </c>
      <c r="D3249" t="s">
        <v>43</v>
      </c>
      <c r="E3249">
        <v>41</v>
      </c>
      <c r="F3249" t="s">
        <v>38</v>
      </c>
      <c r="G3249" s="1">
        <v>30693</v>
      </c>
      <c r="H3249" t="s">
        <v>7174</v>
      </c>
      <c r="I3249" s="2" t="str">
        <f t="shared" si="50"/>
        <v>+91-9452270693</v>
      </c>
      <c r="J3249">
        <f>91-9452270784</f>
        <v>-9452270693</v>
      </c>
      <c r="K3249" t="s">
        <v>19</v>
      </c>
      <c r="L3249" t="s">
        <v>20</v>
      </c>
      <c r="M3249">
        <v>862039</v>
      </c>
      <c r="N3249" s="1">
        <v>45139</v>
      </c>
      <c r="O3249" t="s">
        <v>28</v>
      </c>
      <c r="P3249">
        <v>6</v>
      </c>
      <c r="Q3249">
        <v>212307.16</v>
      </c>
    </row>
    <row r="3250" spans="1:17" x14ac:dyDescent="0.3">
      <c r="A3250" t="s">
        <v>7175</v>
      </c>
      <c r="B3250" t="s">
        <v>7176</v>
      </c>
      <c r="C3250" s="2" t="str">
        <f>PROPER(TRIM(Table1[[#This Row],[Gender]]))</f>
        <v>Male</v>
      </c>
      <c r="D3250" t="s">
        <v>16</v>
      </c>
      <c r="E3250">
        <v>33</v>
      </c>
      <c r="F3250" t="s">
        <v>31</v>
      </c>
      <c r="G3250" s="1">
        <v>33613</v>
      </c>
      <c r="H3250" t="s">
        <v>7177</v>
      </c>
      <c r="I3250" s="2" t="str">
        <f t="shared" si="50"/>
        <v>+91-9386032363</v>
      </c>
      <c r="J3250">
        <f>91-9386032454</f>
        <v>-9386032363</v>
      </c>
      <c r="K3250" t="s">
        <v>80</v>
      </c>
      <c r="L3250" t="s">
        <v>20</v>
      </c>
      <c r="M3250">
        <v>501552</v>
      </c>
      <c r="N3250" s="1">
        <v>45139</v>
      </c>
      <c r="O3250" t="s">
        <v>28</v>
      </c>
      <c r="P3250">
        <v>5</v>
      </c>
      <c r="Q3250">
        <v>68829.2</v>
      </c>
    </row>
    <row r="3251" spans="1:17" x14ac:dyDescent="0.3">
      <c r="A3251" t="s">
        <v>7178</v>
      </c>
      <c r="B3251" t="s">
        <v>3072</v>
      </c>
      <c r="C3251" s="2" t="str">
        <f>PROPER(TRIM(Table1[[#This Row],[Gender]]))</f>
        <v>Male</v>
      </c>
      <c r="D3251" t="s">
        <v>16</v>
      </c>
      <c r="E3251">
        <v>34</v>
      </c>
      <c r="F3251" t="s">
        <v>31</v>
      </c>
      <c r="G3251" s="1">
        <v>33248</v>
      </c>
      <c r="H3251" t="s">
        <v>7179</v>
      </c>
      <c r="I3251" s="2" t="str">
        <f t="shared" si="50"/>
        <v>+91-7351278177</v>
      </c>
      <c r="J3251">
        <f>91-7351278268</f>
        <v>-7351278177</v>
      </c>
      <c r="K3251" t="s">
        <v>165</v>
      </c>
      <c r="L3251" t="s">
        <v>52</v>
      </c>
      <c r="M3251">
        <v>319460</v>
      </c>
      <c r="N3251" s="1">
        <v>45330</v>
      </c>
      <c r="O3251" t="s">
        <v>28</v>
      </c>
      <c r="P3251">
        <v>4</v>
      </c>
      <c r="Q3251">
        <v>183328.42</v>
      </c>
    </row>
    <row r="3252" spans="1:17" x14ac:dyDescent="0.3">
      <c r="A3252" t="s">
        <v>7180</v>
      </c>
      <c r="B3252" t="s">
        <v>3693</v>
      </c>
      <c r="C3252" s="2" t="str">
        <f>PROPER(TRIM(Table1[[#This Row],[Gender]]))</f>
        <v>Female</v>
      </c>
      <c r="D3252" t="s">
        <v>43</v>
      </c>
      <c r="E3252">
        <v>18</v>
      </c>
      <c r="F3252" t="s">
        <v>49</v>
      </c>
      <c r="G3252" s="1">
        <v>39088</v>
      </c>
      <c r="H3252" t="s">
        <v>7181</v>
      </c>
      <c r="I3252" s="2" t="str">
        <f t="shared" si="50"/>
        <v>+91-9636170764</v>
      </c>
      <c r="J3252">
        <f>91-9636170855</f>
        <v>-9636170764</v>
      </c>
      <c r="K3252" t="s">
        <v>202</v>
      </c>
      <c r="L3252" t="s">
        <v>191</v>
      </c>
      <c r="M3252">
        <v>232381</v>
      </c>
      <c r="N3252" s="1">
        <v>45220</v>
      </c>
      <c r="O3252" t="s">
        <v>28</v>
      </c>
      <c r="P3252">
        <v>5</v>
      </c>
      <c r="Q3252">
        <v>174627.8</v>
      </c>
    </row>
    <row r="3253" spans="1:17" x14ac:dyDescent="0.3">
      <c r="A3253" t="s">
        <v>7182</v>
      </c>
      <c r="B3253" t="s">
        <v>1181</v>
      </c>
      <c r="C3253" s="2" t="str">
        <f>PROPER(TRIM(Table1[[#This Row],[Gender]]))</f>
        <v>Male</v>
      </c>
      <c r="D3253" t="s">
        <v>16</v>
      </c>
      <c r="E3253">
        <v>26</v>
      </c>
      <c r="F3253" t="s">
        <v>31</v>
      </c>
      <c r="G3253" s="1">
        <v>36168</v>
      </c>
      <c r="H3253" t="s">
        <v>1673</v>
      </c>
      <c r="I3253" s="2" t="str">
        <f t="shared" si="50"/>
        <v>+91-7761282961</v>
      </c>
      <c r="J3253">
        <f>91-7761283052</f>
        <v>-7761282961</v>
      </c>
      <c r="K3253" t="s">
        <v>26</v>
      </c>
      <c r="L3253" t="s">
        <v>27</v>
      </c>
      <c r="M3253">
        <v>463937</v>
      </c>
      <c r="N3253" s="1">
        <v>45106</v>
      </c>
      <c r="O3253" t="s">
        <v>28</v>
      </c>
      <c r="P3253">
        <v>5</v>
      </c>
      <c r="Q3253">
        <v>296202.34000000003</v>
      </c>
    </row>
    <row r="3254" spans="1:17" x14ac:dyDescent="0.3">
      <c r="A3254" t="s">
        <v>7183</v>
      </c>
      <c r="B3254" t="s">
        <v>820</v>
      </c>
      <c r="C3254" s="2" t="str">
        <f>PROPER(TRIM(Table1[[#This Row],[Gender]]))</f>
        <v>Male</v>
      </c>
      <c r="D3254" t="s">
        <v>16</v>
      </c>
      <c r="E3254">
        <v>49</v>
      </c>
      <c r="F3254" t="s">
        <v>17</v>
      </c>
      <c r="G3254" s="1">
        <v>27773</v>
      </c>
      <c r="H3254" t="s">
        <v>7184</v>
      </c>
      <c r="I3254" s="2" t="str">
        <f t="shared" si="50"/>
        <v>+91-7075051110</v>
      </c>
      <c r="J3254">
        <f>91-7075051201</f>
        <v>-7075051110</v>
      </c>
      <c r="K3254" t="s">
        <v>147</v>
      </c>
      <c r="L3254" t="s">
        <v>143</v>
      </c>
      <c r="M3254">
        <v>645577</v>
      </c>
      <c r="N3254" s="1">
        <v>45379</v>
      </c>
      <c r="O3254" t="s">
        <v>21</v>
      </c>
      <c r="P3254">
        <v>4</v>
      </c>
      <c r="Q3254">
        <v>32212.63</v>
      </c>
    </row>
    <row r="3255" spans="1:17" x14ac:dyDescent="0.3">
      <c r="A3255" t="s">
        <v>7185</v>
      </c>
      <c r="B3255" t="s">
        <v>2271</v>
      </c>
      <c r="C3255" s="2" t="str">
        <f>PROPER(TRIM(Table1[[#This Row],[Gender]]))</f>
        <v>Female</v>
      </c>
      <c r="D3255" t="s">
        <v>43</v>
      </c>
      <c r="E3255">
        <v>29</v>
      </c>
      <c r="F3255" t="s">
        <v>31</v>
      </c>
      <c r="G3255" s="1">
        <v>35073</v>
      </c>
      <c r="H3255" t="s">
        <v>7186</v>
      </c>
      <c r="I3255" s="2" t="str">
        <f t="shared" si="50"/>
        <v>+91-9565328118</v>
      </c>
      <c r="J3255">
        <f>91-9565328209</f>
        <v>-9565328118</v>
      </c>
      <c r="K3255" t="s">
        <v>174</v>
      </c>
      <c r="L3255" t="s">
        <v>90</v>
      </c>
      <c r="M3255">
        <v>918777</v>
      </c>
      <c r="N3255" s="1">
        <v>45334</v>
      </c>
      <c r="O3255" t="s">
        <v>28</v>
      </c>
      <c r="P3255">
        <v>5</v>
      </c>
      <c r="Q3255">
        <v>173108.39</v>
      </c>
    </row>
    <row r="3256" spans="1:17" x14ac:dyDescent="0.3">
      <c r="A3256" t="s">
        <v>7187</v>
      </c>
      <c r="B3256" t="s">
        <v>1494</v>
      </c>
      <c r="C3256" s="2" t="str">
        <f>PROPER(TRIM(Table1[[#This Row],[Gender]]))</f>
        <v>Female</v>
      </c>
      <c r="D3256" t="s">
        <v>43</v>
      </c>
      <c r="E3256">
        <v>40</v>
      </c>
      <c r="F3256" t="s">
        <v>38</v>
      </c>
      <c r="G3256" s="1">
        <v>31058</v>
      </c>
      <c r="H3256" t="s">
        <v>7188</v>
      </c>
      <c r="I3256" s="2" t="str">
        <f t="shared" si="50"/>
        <v>+91-7814479251</v>
      </c>
      <c r="J3256">
        <f>91-7814479342</f>
        <v>-7814479251</v>
      </c>
      <c r="K3256" t="s">
        <v>117</v>
      </c>
      <c r="L3256" t="s">
        <v>52</v>
      </c>
      <c r="M3256">
        <v>998266</v>
      </c>
      <c r="N3256" s="1">
        <v>45182</v>
      </c>
      <c r="O3256" t="s">
        <v>28</v>
      </c>
      <c r="P3256">
        <v>6</v>
      </c>
      <c r="Q3256">
        <v>329882.86</v>
      </c>
    </row>
    <row r="3257" spans="1:17" x14ac:dyDescent="0.3">
      <c r="A3257" t="s">
        <v>7189</v>
      </c>
      <c r="B3257" t="s">
        <v>1400</v>
      </c>
      <c r="C3257" s="2" t="str">
        <f>PROPER(TRIM(Table1[[#This Row],[Gender]]))</f>
        <v>Male</v>
      </c>
      <c r="D3257" t="s">
        <v>16</v>
      </c>
      <c r="E3257">
        <v>38</v>
      </c>
      <c r="F3257" t="s">
        <v>38</v>
      </c>
      <c r="G3257" s="1">
        <v>31788</v>
      </c>
      <c r="H3257" t="s">
        <v>7190</v>
      </c>
      <c r="I3257" s="2" t="str">
        <f t="shared" si="50"/>
        <v>+91-9171144482</v>
      </c>
      <c r="J3257">
        <f>91-9171144573</f>
        <v>-9171144482</v>
      </c>
      <c r="K3257" t="s">
        <v>89</v>
      </c>
      <c r="L3257" t="s">
        <v>90</v>
      </c>
      <c r="M3257">
        <v>140589</v>
      </c>
      <c r="N3257" s="1">
        <v>45098</v>
      </c>
      <c r="O3257" t="s">
        <v>28</v>
      </c>
      <c r="P3257">
        <v>8</v>
      </c>
      <c r="Q3257">
        <v>255074.56</v>
      </c>
    </row>
    <row r="3258" spans="1:17" x14ac:dyDescent="0.3">
      <c r="A3258" t="s">
        <v>7191</v>
      </c>
      <c r="B3258" t="s">
        <v>5789</v>
      </c>
      <c r="C3258" s="2" t="str">
        <f>PROPER(TRIM(Table1[[#This Row],[Gender]]))</f>
        <v>Male</v>
      </c>
      <c r="D3258" t="s">
        <v>16</v>
      </c>
      <c r="E3258">
        <v>34</v>
      </c>
      <c r="F3258" t="s">
        <v>31</v>
      </c>
      <c r="G3258" s="1">
        <v>33248</v>
      </c>
      <c r="H3258" t="s">
        <v>7192</v>
      </c>
      <c r="I3258" s="2" t="str">
        <f t="shared" si="50"/>
        <v>+91-7725685999</v>
      </c>
      <c r="J3258">
        <f>91-7725686090</f>
        <v>-7725685999</v>
      </c>
      <c r="K3258" t="s">
        <v>101</v>
      </c>
      <c r="L3258" t="s">
        <v>102</v>
      </c>
      <c r="M3258">
        <v>623931</v>
      </c>
      <c r="N3258" s="1">
        <v>45422</v>
      </c>
      <c r="O3258" t="s">
        <v>28</v>
      </c>
      <c r="P3258">
        <v>4</v>
      </c>
      <c r="Q3258">
        <v>144024.51999999999</v>
      </c>
    </row>
    <row r="3259" spans="1:17" x14ac:dyDescent="0.3">
      <c r="A3259" t="s">
        <v>7193</v>
      </c>
      <c r="B3259" t="s">
        <v>1482</v>
      </c>
      <c r="C3259" s="2" t="str">
        <f>PROPER(TRIM(Table1[[#This Row],[Gender]]))</f>
        <v>Male</v>
      </c>
      <c r="D3259" t="s">
        <v>16</v>
      </c>
      <c r="E3259">
        <v>36</v>
      </c>
      <c r="F3259" t="s">
        <v>38</v>
      </c>
      <c r="G3259" s="1">
        <v>32518</v>
      </c>
      <c r="H3259" t="s">
        <v>7194</v>
      </c>
      <c r="I3259" s="2" t="str">
        <f t="shared" si="50"/>
        <v>+91-9486471297</v>
      </c>
      <c r="J3259">
        <f>91-9486471388</f>
        <v>-9486471297</v>
      </c>
      <c r="K3259" t="s">
        <v>40</v>
      </c>
      <c r="L3259" t="s">
        <v>27</v>
      </c>
      <c r="M3259">
        <v>722118</v>
      </c>
      <c r="N3259" s="1">
        <v>45328</v>
      </c>
      <c r="O3259" t="s">
        <v>28</v>
      </c>
      <c r="P3259">
        <v>5</v>
      </c>
      <c r="Q3259">
        <v>443187.37</v>
      </c>
    </row>
    <row r="3260" spans="1:17" x14ac:dyDescent="0.3">
      <c r="A3260" t="s">
        <v>7195</v>
      </c>
      <c r="B3260" t="s">
        <v>2399</v>
      </c>
      <c r="C3260" s="2" t="str">
        <f>PROPER(TRIM(Table1[[#This Row],[Gender]]))</f>
        <v>Male</v>
      </c>
      <c r="D3260" t="s">
        <v>16</v>
      </c>
      <c r="E3260">
        <v>30</v>
      </c>
      <c r="F3260" t="s">
        <v>31</v>
      </c>
      <c r="G3260" s="1">
        <v>34708</v>
      </c>
      <c r="H3260" t="s">
        <v>2895</v>
      </c>
      <c r="I3260" s="2" t="str">
        <f t="shared" si="50"/>
        <v>+91-8812638216</v>
      </c>
      <c r="J3260">
        <f>91-8812638307</f>
        <v>-8812638216</v>
      </c>
      <c r="K3260" t="s">
        <v>84</v>
      </c>
      <c r="L3260" t="s">
        <v>85</v>
      </c>
      <c r="M3260">
        <v>720888</v>
      </c>
      <c r="N3260" s="1">
        <v>45252</v>
      </c>
      <c r="O3260" t="s">
        <v>28</v>
      </c>
      <c r="P3260">
        <v>4</v>
      </c>
      <c r="Q3260">
        <v>97381.17</v>
      </c>
    </row>
    <row r="3261" spans="1:17" x14ac:dyDescent="0.3">
      <c r="A3261" t="s">
        <v>7196</v>
      </c>
      <c r="B3261" t="s">
        <v>2568</v>
      </c>
      <c r="C3261" s="2" t="str">
        <f>PROPER(TRIM(Table1[[#This Row],[Gender]]))</f>
        <v>Male</v>
      </c>
      <c r="D3261" t="s">
        <v>16</v>
      </c>
      <c r="E3261">
        <v>32</v>
      </c>
      <c r="F3261" t="s">
        <v>31</v>
      </c>
      <c r="G3261" s="1">
        <v>33978</v>
      </c>
      <c r="H3261" t="s">
        <v>7197</v>
      </c>
      <c r="I3261" s="2" t="str">
        <f t="shared" si="50"/>
        <v>+91-7893111879</v>
      </c>
      <c r="J3261">
        <f>91-7893111970</f>
        <v>-7893111879</v>
      </c>
      <c r="K3261" t="s">
        <v>147</v>
      </c>
      <c r="L3261" t="s">
        <v>143</v>
      </c>
      <c r="M3261">
        <v>721953</v>
      </c>
      <c r="N3261" s="1">
        <v>45351</v>
      </c>
      <c r="O3261" t="s">
        <v>28</v>
      </c>
      <c r="P3261">
        <v>5</v>
      </c>
      <c r="Q3261">
        <v>100718.47</v>
      </c>
    </row>
    <row r="3262" spans="1:17" x14ac:dyDescent="0.3">
      <c r="A3262" t="s">
        <v>7198</v>
      </c>
      <c r="B3262" t="s">
        <v>7199</v>
      </c>
      <c r="C3262" s="2" t="str">
        <f>PROPER(TRIM(Table1[[#This Row],[Gender]]))</f>
        <v>Male</v>
      </c>
      <c r="D3262" t="s">
        <v>16</v>
      </c>
      <c r="E3262">
        <v>23</v>
      </c>
      <c r="F3262" t="s">
        <v>49</v>
      </c>
      <c r="G3262" s="1">
        <v>37263</v>
      </c>
      <c r="H3262" t="s">
        <v>7200</v>
      </c>
      <c r="I3262" s="2" t="str">
        <f t="shared" si="50"/>
        <v>+91-8608019034</v>
      </c>
      <c r="J3262">
        <f>91-8608019125</f>
        <v>-8608019034</v>
      </c>
      <c r="K3262" t="s">
        <v>113</v>
      </c>
      <c r="L3262" t="s">
        <v>34</v>
      </c>
      <c r="M3262">
        <v>895169</v>
      </c>
      <c r="N3262" s="1">
        <v>45204</v>
      </c>
      <c r="O3262" t="s">
        <v>28</v>
      </c>
      <c r="P3262">
        <v>4</v>
      </c>
      <c r="Q3262">
        <v>141216.57</v>
      </c>
    </row>
    <row r="3263" spans="1:17" x14ac:dyDescent="0.3">
      <c r="A3263" t="s">
        <v>7201</v>
      </c>
      <c r="B3263" t="s">
        <v>104</v>
      </c>
      <c r="C3263" s="2" t="str">
        <f>PROPER(TRIM(Table1[[#This Row],[Gender]]))</f>
        <v>Female</v>
      </c>
      <c r="D3263" t="s">
        <v>43</v>
      </c>
      <c r="E3263">
        <v>34</v>
      </c>
      <c r="F3263" t="s">
        <v>31</v>
      </c>
      <c r="G3263" s="1">
        <v>33248</v>
      </c>
      <c r="H3263" t="s">
        <v>3092</v>
      </c>
      <c r="I3263" s="2" t="str">
        <f t="shared" si="50"/>
        <v>+91-8342992887</v>
      </c>
      <c r="J3263">
        <f>91-8342992978</f>
        <v>-8342992887</v>
      </c>
      <c r="K3263" t="s">
        <v>580</v>
      </c>
      <c r="L3263" t="s">
        <v>85</v>
      </c>
      <c r="M3263">
        <v>508841</v>
      </c>
      <c r="N3263" s="1">
        <v>45195</v>
      </c>
      <c r="O3263" t="s">
        <v>28</v>
      </c>
      <c r="P3263">
        <v>5</v>
      </c>
      <c r="Q3263">
        <v>57967.040000000001</v>
      </c>
    </row>
    <row r="3264" spans="1:17" x14ac:dyDescent="0.3">
      <c r="A3264" t="s">
        <v>7202</v>
      </c>
      <c r="B3264" t="s">
        <v>2587</v>
      </c>
      <c r="C3264" s="2" t="str">
        <f>PROPER(TRIM(Table1[[#This Row],[Gender]]))</f>
        <v>Female</v>
      </c>
      <c r="D3264" t="s">
        <v>43</v>
      </c>
      <c r="E3264">
        <v>32</v>
      </c>
      <c r="F3264" t="s">
        <v>31</v>
      </c>
      <c r="G3264" s="1">
        <v>33978</v>
      </c>
      <c r="H3264" t="s">
        <v>7203</v>
      </c>
      <c r="I3264" s="2" t="str">
        <f t="shared" si="50"/>
        <v>+91-7995216429</v>
      </c>
      <c r="J3264">
        <f>91-7995216520</f>
        <v>-7995216429</v>
      </c>
      <c r="K3264" t="s">
        <v>331</v>
      </c>
      <c r="L3264" t="s">
        <v>143</v>
      </c>
      <c r="M3264">
        <v>882836</v>
      </c>
      <c r="N3264" s="1">
        <v>45439</v>
      </c>
      <c r="O3264" t="s">
        <v>28</v>
      </c>
      <c r="P3264">
        <v>8</v>
      </c>
      <c r="Q3264">
        <v>340287.05</v>
      </c>
    </row>
    <row r="3265" spans="1:17" x14ac:dyDescent="0.3">
      <c r="A3265" t="s">
        <v>7204</v>
      </c>
      <c r="B3265" t="s">
        <v>398</v>
      </c>
      <c r="C3265" s="2" t="str">
        <f>PROPER(TRIM(Table1[[#This Row],[Gender]]))</f>
        <v>Male</v>
      </c>
      <c r="D3265" t="s">
        <v>16</v>
      </c>
      <c r="E3265">
        <v>30</v>
      </c>
      <c r="F3265" t="s">
        <v>31</v>
      </c>
      <c r="G3265" s="1">
        <v>34708</v>
      </c>
      <c r="H3265" t="s">
        <v>7205</v>
      </c>
      <c r="I3265" s="2" t="str">
        <f t="shared" si="50"/>
        <v>+91-7732925658</v>
      </c>
      <c r="J3265">
        <f>91-7732925749</f>
        <v>-7732925658</v>
      </c>
      <c r="K3265" t="s">
        <v>154</v>
      </c>
      <c r="L3265" t="s">
        <v>46</v>
      </c>
      <c r="M3265">
        <v>235792</v>
      </c>
      <c r="N3265" s="1">
        <v>45136</v>
      </c>
      <c r="O3265" t="s">
        <v>28</v>
      </c>
      <c r="P3265">
        <v>4</v>
      </c>
      <c r="Q3265">
        <v>194696.31</v>
      </c>
    </row>
    <row r="3266" spans="1:17" x14ac:dyDescent="0.3">
      <c r="A3266" t="s">
        <v>7206</v>
      </c>
      <c r="B3266" t="s">
        <v>7207</v>
      </c>
      <c r="C3266" s="2" t="str">
        <f>PROPER(TRIM(Table1[[#This Row],[Gender]]))</f>
        <v>Male</v>
      </c>
      <c r="D3266" t="s">
        <v>16</v>
      </c>
      <c r="E3266">
        <v>46</v>
      </c>
      <c r="F3266" t="s">
        <v>17</v>
      </c>
      <c r="G3266" s="1">
        <v>28868</v>
      </c>
      <c r="H3266" t="s">
        <v>7208</v>
      </c>
      <c r="I3266" s="2" t="str">
        <f t="shared" ref="I3266:I3329" si="51">"+91"&amp;TEXT(J3266,"0000000000")</f>
        <v>+91-8430354894</v>
      </c>
      <c r="J3266">
        <f>91-8430354985</f>
        <v>-8430354894</v>
      </c>
      <c r="K3266" t="s">
        <v>101</v>
      </c>
      <c r="L3266" t="s">
        <v>102</v>
      </c>
      <c r="M3266">
        <v>406946</v>
      </c>
      <c r="N3266" s="1">
        <v>45334</v>
      </c>
      <c r="O3266" t="s">
        <v>28</v>
      </c>
      <c r="P3266">
        <v>7</v>
      </c>
      <c r="Q3266">
        <v>76271.210000000006</v>
      </c>
    </row>
    <row r="3267" spans="1:17" x14ac:dyDescent="0.3">
      <c r="A3267" t="s">
        <v>7209</v>
      </c>
      <c r="B3267" t="s">
        <v>672</v>
      </c>
      <c r="C3267" s="2" t="str">
        <f>PROPER(TRIM(Table1[[#This Row],[Gender]]))</f>
        <v>Female</v>
      </c>
      <c r="D3267" t="s">
        <v>43</v>
      </c>
      <c r="E3267">
        <v>45</v>
      </c>
      <c r="F3267" t="s">
        <v>38</v>
      </c>
      <c r="G3267" s="1">
        <v>29233</v>
      </c>
      <c r="H3267" t="s">
        <v>7210</v>
      </c>
      <c r="I3267" s="2" t="str">
        <f t="shared" si="51"/>
        <v>+91-9159518092</v>
      </c>
      <c r="J3267">
        <f>91-9159518183</f>
        <v>-9159518092</v>
      </c>
      <c r="K3267" t="s">
        <v>109</v>
      </c>
      <c r="L3267" t="s">
        <v>46</v>
      </c>
      <c r="M3267">
        <v>334992</v>
      </c>
      <c r="N3267" s="1">
        <v>45212</v>
      </c>
      <c r="O3267" t="s">
        <v>28</v>
      </c>
      <c r="P3267">
        <v>6</v>
      </c>
      <c r="Q3267">
        <v>166685.76999999999</v>
      </c>
    </row>
    <row r="3268" spans="1:17" x14ac:dyDescent="0.3">
      <c r="A3268" t="s">
        <v>7211</v>
      </c>
      <c r="B3268" t="s">
        <v>608</v>
      </c>
      <c r="C3268" s="2" t="str">
        <f>PROPER(TRIM(Table1[[#This Row],[Gender]]))</f>
        <v>Female</v>
      </c>
      <c r="D3268" t="s">
        <v>43</v>
      </c>
      <c r="E3268">
        <v>50</v>
      </c>
      <c r="F3268" t="s">
        <v>17</v>
      </c>
      <c r="G3268" s="1">
        <v>27408</v>
      </c>
      <c r="H3268" t="s">
        <v>7139</v>
      </c>
      <c r="I3268" s="2" t="str">
        <f t="shared" si="51"/>
        <v>+91-9080734795</v>
      </c>
      <c r="J3268">
        <f>91-9080734886</f>
        <v>-9080734795</v>
      </c>
      <c r="K3268" t="s">
        <v>165</v>
      </c>
      <c r="L3268" t="s">
        <v>52</v>
      </c>
      <c r="M3268">
        <v>780152</v>
      </c>
      <c r="N3268" s="1">
        <v>45226</v>
      </c>
      <c r="O3268" t="s">
        <v>28</v>
      </c>
      <c r="P3268">
        <v>5</v>
      </c>
      <c r="Q3268">
        <v>67654.98</v>
      </c>
    </row>
    <row r="3269" spans="1:17" x14ac:dyDescent="0.3">
      <c r="A3269" t="s">
        <v>7212</v>
      </c>
      <c r="B3269" t="s">
        <v>5320</v>
      </c>
      <c r="C3269" s="2" t="str">
        <f>PROPER(TRIM(Table1[[#This Row],[Gender]]))</f>
        <v>Male</v>
      </c>
      <c r="D3269" t="s">
        <v>16</v>
      </c>
      <c r="E3269">
        <v>18</v>
      </c>
      <c r="F3269" t="s">
        <v>49</v>
      </c>
      <c r="G3269" s="1">
        <v>39088</v>
      </c>
      <c r="H3269" t="s">
        <v>7213</v>
      </c>
      <c r="I3269" s="2" t="str">
        <f t="shared" si="51"/>
        <v>+91-9352722430</v>
      </c>
      <c r="J3269">
        <f>91-9352722521</f>
        <v>-9352722430</v>
      </c>
      <c r="K3269" t="s">
        <v>142</v>
      </c>
      <c r="L3269" t="s">
        <v>143</v>
      </c>
      <c r="M3269">
        <v>209520</v>
      </c>
      <c r="N3269" s="1">
        <v>45264</v>
      </c>
      <c r="O3269" t="s">
        <v>28</v>
      </c>
      <c r="P3269">
        <v>5</v>
      </c>
      <c r="Q3269">
        <v>161503.79999999999</v>
      </c>
    </row>
    <row r="3270" spans="1:17" x14ac:dyDescent="0.3">
      <c r="A3270" t="s">
        <v>7214</v>
      </c>
      <c r="B3270" t="s">
        <v>7215</v>
      </c>
      <c r="C3270" s="2" t="str">
        <f>PROPER(TRIM(Table1[[#This Row],[Gender]]))</f>
        <v>Male</v>
      </c>
      <c r="D3270" t="s">
        <v>16</v>
      </c>
      <c r="E3270">
        <v>41</v>
      </c>
      <c r="F3270" t="s">
        <v>38</v>
      </c>
      <c r="G3270" s="1">
        <v>30693</v>
      </c>
      <c r="H3270" t="s">
        <v>7216</v>
      </c>
      <c r="I3270" s="2" t="str">
        <f t="shared" si="51"/>
        <v>+91-9243327264</v>
      </c>
      <c r="J3270">
        <f>91-9243327355</f>
        <v>-9243327264</v>
      </c>
      <c r="K3270" t="s">
        <v>72</v>
      </c>
      <c r="L3270" t="s">
        <v>34</v>
      </c>
      <c r="M3270">
        <v>482884</v>
      </c>
      <c r="N3270" s="1">
        <v>45299</v>
      </c>
      <c r="O3270" t="s">
        <v>28</v>
      </c>
      <c r="P3270">
        <v>9</v>
      </c>
      <c r="Q3270">
        <v>458904.06</v>
      </c>
    </row>
    <row r="3271" spans="1:17" x14ac:dyDescent="0.3">
      <c r="A3271" t="s">
        <v>7217</v>
      </c>
      <c r="B3271" t="s">
        <v>2162</v>
      </c>
      <c r="C3271" s="2" t="str">
        <f>PROPER(TRIM(Table1[[#This Row],[Gender]]))</f>
        <v>Male</v>
      </c>
      <c r="D3271" t="s">
        <v>16</v>
      </c>
      <c r="E3271">
        <v>28</v>
      </c>
      <c r="F3271" t="s">
        <v>31</v>
      </c>
      <c r="G3271" s="1">
        <v>35438</v>
      </c>
      <c r="H3271" t="s">
        <v>7218</v>
      </c>
      <c r="I3271" s="2" t="str">
        <f t="shared" si="51"/>
        <v>+91-9133371750</v>
      </c>
      <c r="J3271">
        <f>91-9133371841</f>
        <v>-9133371750</v>
      </c>
      <c r="K3271" t="s">
        <v>415</v>
      </c>
      <c r="L3271" t="s">
        <v>90</v>
      </c>
      <c r="M3271">
        <v>964769</v>
      </c>
      <c r="N3271" s="1">
        <v>45226</v>
      </c>
      <c r="O3271" t="s">
        <v>28</v>
      </c>
      <c r="P3271">
        <v>9</v>
      </c>
      <c r="Q3271">
        <v>225999.51</v>
      </c>
    </row>
    <row r="3272" spans="1:17" x14ac:dyDescent="0.3">
      <c r="A3272" t="s">
        <v>7219</v>
      </c>
      <c r="B3272" t="s">
        <v>1297</v>
      </c>
      <c r="C3272" s="2" t="str">
        <f>PROPER(TRIM(Table1[[#This Row],[Gender]]))</f>
        <v>Male</v>
      </c>
      <c r="D3272" t="s">
        <v>16</v>
      </c>
      <c r="E3272">
        <v>48</v>
      </c>
      <c r="F3272" t="s">
        <v>17</v>
      </c>
      <c r="G3272" s="1">
        <v>28138</v>
      </c>
      <c r="H3272" t="s">
        <v>3116</v>
      </c>
      <c r="I3272" s="2" t="str">
        <f t="shared" si="51"/>
        <v>+91-7063826979</v>
      </c>
      <c r="J3272">
        <f>91-7063827070</f>
        <v>-7063826979</v>
      </c>
      <c r="K3272" t="s">
        <v>80</v>
      </c>
      <c r="L3272" t="s">
        <v>20</v>
      </c>
      <c r="M3272">
        <v>854646</v>
      </c>
      <c r="N3272" s="1">
        <v>45296</v>
      </c>
      <c r="O3272" t="s">
        <v>28</v>
      </c>
      <c r="P3272">
        <v>6</v>
      </c>
      <c r="Q3272">
        <v>96090.86</v>
      </c>
    </row>
    <row r="3273" spans="1:17" x14ac:dyDescent="0.3">
      <c r="A3273" t="s">
        <v>7220</v>
      </c>
      <c r="B3273" t="s">
        <v>504</v>
      </c>
      <c r="C3273" s="2" t="str">
        <f>PROPER(TRIM(Table1[[#This Row],[Gender]]))</f>
        <v>Male</v>
      </c>
      <c r="D3273" t="s">
        <v>16</v>
      </c>
      <c r="E3273">
        <v>28</v>
      </c>
      <c r="F3273" t="s">
        <v>31</v>
      </c>
      <c r="G3273" s="1">
        <v>35438</v>
      </c>
      <c r="H3273" t="s">
        <v>7221</v>
      </c>
      <c r="I3273" s="2" t="str">
        <f t="shared" si="51"/>
        <v>+91-7590835005</v>
      </c>
      <c r="J3273">
        <f>91-7590835096</f>
        <v>-7590835005</v>
      </c>
      <c r="K3273" t="s">
        <v>45</v>
      </c>
      <c r="L3273" t="s">
        <v>46</v>
      </c>
      <c r="M3273">
        <v>743910</v>
      </c>
      <c r="N3273" s="1">
        <v>45098</v>
      </c>
      <c r="O3273" t="s">
        <v>28</v>
      </c>
      <c r="P3273">
        <v>5</v>
      </c>
      <c r="Q3273">
        <v>70370.89</v>
      </c>
    </row>
    <row r="3274" spans="1:17" x14ac:dyDescent="0.3">
      <c r="A3274" t="s">
        <v>7222</v>
      </c>
      <c r="B3274" t="s">
        <v>1741</v>
      </c>
      <c r="C3274" s="2" t="str">
        <f>PROPER(TRIM(Table1[[#This Row],[Gender]]))</f>
        <v>Female</v>
      </c>
      <c r="D3274" t="s">
        <v>43</v>
      </c>
      <c r="E3274">
        <v>50</v>
      </c>
      <c r="F3274" t="s">
        <v>17</v>
      </c>
      <c r="G3274" s="1">
        <v>27408</v>
      </c>
      <c r="H3274" t="s">
        <v>5900</v>
      </c>
      <c r="I3274" s="2" t="str">
        <f t="shared" si="51"/>
        <v>+91-7573519826</v>
      </c>
      <c r="J3274">
        <f>91-7573519917</f>
        <v>-7573519826</v>
      </c>
      <c r="K3274" t="s">
        <v>26</v>
      </c>
      <c r="L3274" t="s">
        <v>27</v>
      </c>
      <c r="M3274">
        <v>326650</v>
      </c>
      <c r="N3274" s="1">
        <v>45243</v>
      </c>
      <c r="O3274" t="s">
        <v>28</v>
      </c>
      <c r="P3274">
        <v>7</v>
      </c>
      <c r="Q3274">
        <v>61075.17</v>
      </c>
    </row>
    <row r="3275" spans="1:17" x14ac:dyDescent="0.3">
      <c r="A3275" t="s">
        <v>7223</v>
      </c>
      <c r="B3275" t="s">
        <v>5822</v>
      </c>
      <c r="C3275" s="2" t="str">
        <f>PROPER(TRIM(Table1[[#This Row],[Gender]]))</f>
        <v>Male</v>
      </c>
      <c r="D3275" t="s">
        <v>16</v>
      </c>
      <c r="E3275">
        <v>62</v>
      </c>
      <c r="F3275" t="s">
        <v>58</v>
      </c>
      <c r="G3275" s="1">
        <v>23028</v>
      </c>
      <c r="H3275" t="s">
        <v>7224</v>
      </c>
      <c r="I3275" s="2" t="str">
        <f t="shared" si="51"/>
        <v>+91-7287403877</v>
      </c>
      <c r="J3275">
        <f>91-7287403968</f>
        <v>-7287403877</v>
      </c>
      <c r="K3275" t="s">
        <v>415</v>
      </c>
      <c r="L3275" t="s">
        <v>90</v>
      </c>
      <c r="M3275">
        <v>611113</v>
      </c>
      <c r="N3275" s="1">
        <v>45376</v>
      </c>
      <c r="O3275" t="s">
        <v>28</v>
      </c>
      <c r="P3275">
        <v>6</v>
      </c>
      <c r="Q3275">
        <v>57900.91</v>
      </c>
    </row>
    <row r="3276" spans="1:17" x14ac:dyDescent="0.3">
      <c r="A3276" t="s">
        <v>7225</v>
      </c>
      <c r="B3276" t="s">
        <v>2518</v>
      </c>
      <c r="C3276" s="2" t="str">
        <f>PROPER(TRIM(Table1[[#This Row],[Gender]]))</f>
        <v>Male</v>
      </c>
      <c r="D3276" t="s">
        <v>16</v>
      </c>
      <c r="E3276">
        <v>48</v>
      </c>
      <c r="F3276" t="s">
        <v>17</v>
      </c>
      <c r="G3276" s="1">
        <v>28138</v>
      </c>
      <c r="H3276" t="s">
        <v>7226</v>
      </c>
      <c r="I3276" s="2" t="str">
        <f t="shared" si="51"/>
        <v>+91-7604424943</v>
      </c>
      <c r="J3276">
        <f>91-7604425034</f>
        <v>-7604424943</v>
      </c>
      <c r="K3276" t="s">
        <v>76</v>
      </c>
      <c r="L3276" t="s">
        <v>46</v>
      </c>
      <c r="M3276">
        <v>562542</v>
      </c>
      <c r="N3276" s="1">
        <v>45087</v>
      </c>
      <c r="O3276" t="s">
        <v>28</v>
      </c>
      <c r="P3276">
        <v>6</v>
      </c>
      <c r="Q3276">
        <v>115876.31</v>
      </c>
    </row>
    <row r="3277" spans="1:17" x14ac:dyDescent="0.3">
      <c r="A3277" t="s">
        <v>7227</v>
      </c>
      <c r="B3277" t="s">
        <v>2210</v>
      </c>
      <c r="C3277" s="2" t="str">
        <f>PROPER(TRIM(Table1[[#This Row],[Gender]]))</f>
        <v>Female</v>
      </c>
      <c r="D3277" t="s">
        <v>43</v>
      </c>
      <c r="E3277">
        <v>64</v>
      </c>
      <c r="F3277" t="s">
        <v>58</v>
      </c>
      <c r="G3277" s="1">
        <v>22298</v>
      </c>
      <c r="H3277" t="s">
        <v>7228</v>
      </c>
      <c r="I3277" s="2" t="str">
        <f t="shared" si="51"/>
        <v>+91-9721454757</v>
      </c>
      <c r="J3277">
        <f>91-9721454848</f>
        <v>-9721454757</v>
      </c>
      <c r="K3277" t="s">
        <v>89</v>
      </c>
      <c r="L3277" t="s">
        <v>90</v>
      </c>
      <c r="M3277">
        <v>960685</v>
      </c>
      <c r="N3277" s="1">
        <v>45367</v>
      </c>
      <c r="O3277" t="s">
        <v>35</v>
      </c>
      <c r="P3277">
        <v>3</v>
      </c>
      <c r="Q3277">
        <v>15221.55</v>
      </c>
    </row>
    <row r="3278" spans="1:17" x14ac:dyDescent="0.3">
      <c r="A3278" t="s">
        <v>7229</v>
      </c>
      <c r="B3278" t="s">
        <v>2927</v>
      </c>
      <c r="C3278" s="2" t="str">
        <f>PROPER(TRIM(Table1[[#This Row],[Gender]]))</f>
        <v>Male</v>
      </c>
      <c r="D3278" t="s">
        <v>16</v>
      </c>
      <c r="E3278">
        <v>44</v>
      </c>
      <c r="F3278" t="s">
        <v>38</v>
      </c>
      <c r="G3278" s="1">
        <v>29598</v>
      </c>
      <c r="H3278" t="s">
        <v>7230</v>
      </c>
      <c r="I3278" s="2" t="str">
        <f t="shared" si="51"/>
        <v>+91-8138503953</v>
      </c>
      <c r="J3278">
        <f>91-8138504044</f>
        <v>-8138503953</v>
      </c>
      <c r="K3278" t="s">
        <v>109</v>
      </c>
      <c r="L3278" t="s">
        <v>46</v>
      </c>
      <c r="M3278">
        <v>406662</v>
      </c>
      <c r="N3278" s="1">
        <v>45243</v>
      </c>
      <c r="O3278" t="s">
        <v>28</v>
      </c>
      <c r="P3278">
        <v>9</v>
      </c>
      <c r="Q3278">
        <v>101465.54</v>
      </c>
    </row>
    <row r="3279" spans="1:17" x14ac:dyDescent="0.3">
      <c r="A3279" t="s">
        <v>7231</v>
      </c>
      <c r="B3279" t="s">
        <v>2848</v>
      </c>
      <c r="C3279" s="2" t="str">
        <f>PROPER(TRIM(Table1[[#This Row],[Gender]]))</f>
        <v>Male</v>
      </c>
      <c r="D3279" t="s">
        <v>16</v>
      </c>
      <c r="E3279">
        <v>32</v>
      </c>
      <c r="F3279" t="s">
        <v>31</v>
      </c>
      <c r="G3279" s="1">
        <v>33978</v>
      </c>
      <c r="H3279" t="s">
        <v>7232</v>
      </c>
      <c r="I3279" s="2" t="str">
        <f t="shared" si="51"/>
        <v>+91-8098898017</v>
      </c>
      <c r="J3279">
        <f>91-8098898108</f>
        <v>-8098898017</v>
      </c>
      <c r="K3279" t="s">
        <v>174</v>
      </c>
      <c r="L3279" t="s">
        <v>90</v>
      </c>
      <c r="M3279">
        <v>228283</v>
      </c>
      <c r="N3279" s="1">
        <v>45147</v>
      </c>
      <c r="O3279" t="s">
        <v>28</v>
      </c>
      <c r="P3279">
        <v>8</v>
      </c>
      <c r="Q3279">
        <v>273145.28999999998</v>
      </c>
    </row>
    <row r="3280" spans="1:17" x14ac:dyDescent="0.3">
      <c r="A3280" t="s">
        <v>7233</v>
      </c>
      <c r="B3280" t="s">
        <v>445</v>
      </c>
      <c r="C3280" s="2" t="str">
        <f>PROPER(TRIM(Table1[[#This Row],[Gender]]))</f>
        <v>Male</v>
      </c>
      <c r="D3280" t="s">
        <v>16</v>
      </c>
      <c r="E3280">
        <v>28</v>
      </c>
      <c r="F3280" t="s">
        <v>31</v>
      </c>
      <c r="G3280" s="1">
        <v>35438</v>
      </c>
      <c r="H3280" t="s">
        <v>7234</v>
      </c>
      <c r="I3280" s="2" t="str">
        <f t="shared" si="51"/>
        <v>+91-8771130985</v>
      </c>
      <c r="J3280">
        <f>91-8771131076</f>
        <v>-8771130985</v>
      </c>
      <c r="K3280" t="s">
        <v>84</v>
      </c>
      <c r="L3280" t="s">
        <v>85</v>
      </c>
      <c r="M3280">
        <v>424101</v>
      </c>
      <c r="N3280" s="1">
        <v>45440</v>
      </c>
      <c r="O3280" t="s">
        <v>28</v>
      </c>
      <c r="P3280">
        <v>6</v>
      </c>
      <c r="Q3280">
        <v>104878.79</v>
      </c>
    </row>
    <row r="3281" spans="1:17" x14ac:dyDescent="0.3">
      <c r="A3281" t="s">
        <v>7235</v>
      </c>
      <c r="B3281" t="s">
        <v>1868</v>
      </c>
      <c r="C3281" s="2" t="str">
        <f>PROPER(TRIM(Table1[[#This Row],[Gender]]))</f>
        <v>Female</v>
      </c>
      <c r="D3281" t="s">
        <v>43</v>
      </c>
      <c r="E3281">
        <v>23</v>
      </c>
      <c r="F3281" t="s">
        <v>49</v>
      </c>
      <c r="G3281" s="1">
        <v>37263</v>
      </c>
      <c r="H3281" t="s">
        <v>7236</v>
      </c>
      <c r="I3281" s="2" t="str">
        <f t="shared" si="51"/>
        <v>+91-8337419310</v>
      </c>
      <c r="J3281">
        <f>91-8337419401</f>
        <v>-8337419310</v>
      </c>
      <c r="K3281" t="s">
        <v>68</v>
      </c>
      <c r="L3281" t="s">
        <v>52</v>
      </c>
      <c r="M3281">
        <v>811040</v>
      </c>
      <c r="N3281" s="1">
        <v>45154</v>
      </c>
      <c r="O3281" t="s">
        <v>28</v>
      </c>
      <c r="P3281">
        <v>4</v>
      </c>
      <c r="Q3281">
        <v>295814.89</v>
      </c>
    </row>
    <row r="3282" spans="1:17" x14ac:dyDescent="0.3">
      <c r="A3282" t="s">
        <v>7237</v>
      </c>
      <c r="B3282" t="s">
        <v>960</v>
      </c>
      <c r="C3282" s="2" t="str">
        <f>PROPER(TRIM(Table1[[#This Row],[Gender]]))</f>
        <v>Male</v>
      </c>
      <c r="D3282" t="s">
        <v>16</v>
      </c>
      <c r="E3282">
        <v>20</v>
      </c>
      <c r="F3282" t="s">
        <v>49</v>
      </c>
      <c r="G3282" s="1">
        <v>38358</v>
      </c>
      <c r="H3282" t="s">
        <v>7238</v>
      </c>
      <c r="I3282" s="2" t="str">
        <f t="shared" si="51"/>
        <v>+91-7442016549</v>
      </c>
      <c r="J3282">
        <f>91-7442016640</f>
        <v>-7442016549</v>
      </c>
      <c r="K3282" t="s">
        <v>202</v>
      </c>
      <c r="L3282" t="s">
        <v>191</v>
      </c>
      <c r="M3282">
        <v>760033</v>
      </c>
      <c r="N3282" s="1">
        <v>45261</v>
      </c>
      <c r="O3282" t="s">
        <v>28</v>
      </c>
      <c r="P3282">
        <v>5</v>
      </c>
      <c r="Q3282">
        <v>88998.38</v>
      </c>
    </row>
    <row r="3283" spans="1:17" x14ac:dyDescent="0.3">
      <c r="A3283" t="s">
        <v>7239</v>
      </c>
      <c r="B3283" t="s">
        <v>672</v>
      </c>
      <c r="C3283" s="2" t="str">
        <f>PROPER(TRIM(Table1[[#This Row],[Gender]]))</f>
        <v>Female</v>
      </c>
      <c r="D3283" t="s">
        <v>43</v>
      </c>
      <c r="E3283">
        <v>24</v>
      </c>
      <c r="F3283" t="s">
        <v>49</v>
      </c>
      <c r="G3283" s="1">
        <v>36898</v>
      </c>
      <c r="H3283" t="s">
        <v>7240</v>
      </c>
      <c r="I3283" s="2" t="str">
        <f t="shared" si="51"/>
        <v>+91-8823399627</v>
      </c>
      <c r="J3283">
        <f>91-8823399718</f>
        <v>-8823399627</v>
      </c>
      <c r="K3283" t="s">
        <v>121</v>
      </c>
      <c r="L3283" t="s">
        <v>85</v>
      </c>
      <c r="M3283">
        <v>711348</v>
      </c>
      <c r="N3283" s="1">
        <v>45188</v>
      </c>
      <c r="O3283" t="s">
        <v>35</v>
      </c>
      <c r="P3283">
        <v>3</v>
      </c>
      <c r="Q3283">
        <v>2395.44</v>
      </c>
    </row>
    <row r="3284" spans="1:17" x14ac:dyDescent="0.3">
      <c r="A3284" t="s">
        <v>7241</v>
      </c>
      <c r="B3284" t="s">
        <v>2088</v>
      </c>
      <c r="C3284" s="2" t="str">
        <f>PROPER(TRIM(Table1[[#This Row],[Gender]]))</f>
        <v>Male</v>
      </c>
      <c r="D3284" t="s">
        <v>16</v>
      </c>
      <c r="E3284">
        <v>33</v>
      </c>
      <c r="F3284" t="s">
        <v>31</v>
      </c>
      <c r="G3284" s="1">
        <v>33613</v>
      </c>
      <c r="H3284" t="s">
        <v>7242</v>
      </c>
      <c r="I3284" s="2" t="str">
        <f t="shared" si="51"/>
        <v>+91-7476494250</v>
      </c>
      <c r="J3284">
        <f>91-7476494341</f>
        <v>-7476494250</v>
      </c>
      <c r="K3284" t="s">
        <v>109</v>
      </c>
      <c r="L3284" t="s">
        <v>46</v>
      </c>
      <c r="M3284">
        <v>782070</v>
      </c>
      <c r="N3284" s="1">
        <v>45335</v>
      </c>
      <c r="O3284" t="s">
        <v>28</v>
      </c>
      <c r="P3284">
        <v>5</v>
      </c>
      <c r="Q3284">
        <v>85056.24</v>
      </c>
    </row>
    <row r="3285" spans="1:17" x14ac:dyDescent="0.3">
      <c r="A3285" t="s">
        <v>7243</v>
      </c>
      <c r="B3285" t="s">
        <v>2046</v>
      </c>
      <c r="C3285" s="2" t="str">
        <f>PROPER(TRIM(Table1[[#This Row],[Gender]]))</f>
        <v>Female</v>
      </c>
      <c r="D3285" t="s">
        <v>43</v>
      </c>
      <c r="E3285">
        <v>31</v>
      </c>
      <c r="F3285" t="s">
        <v>31</v>
      </c>
      <c r="G3285" s="1">
        <v>34343</v>
      </c>
      <c r="H3285" t="s">
        <v>7244</v>
      </c>
      <c r="I3285" s="2" t="str">
        <f t="shared" si="51"/>
        <v>+91-9826142598</v>
      </c>
      <c r="J3285">
        <f>91-9826142689</f>
        <v>-9826142598</v>
      </c>
      <c r="K3285" t="s">
        <v>101</v>
      </c>
      <c r="L3285" t="s">
        <v>102</v>
      </c>
      <c r="M3285">
        <v>501599</v>
      </c>
      <c r="N3285" s="1">
        <v>45410</v>
      </c>
      <c r="O3285" t="s">
        <v>28</v>
      </c>
      <c r="P3285">
        <v>5</v>
      </c>
      <c r="Q3285">
        <v>399116.75</v>
      </c>
    </row>
    <row r="3286" spans="1:17" x14ac:dyDescent="0.3">
      <c r="A3286" t="s">
        <v>7245</v>
      </c>
      <c r="B3286" t="s">
        <v>149</v>
      </c>
      <c r="C3286" s="2" t="str">
        <f>PROPER(TRIM(Table1[[#This Row],[Gender]]))</f>
        <v>Male</v>
      </c>
      <c r="D3286" t="s">
        <v>16</v>
      </c>
      <c r="E3286">
        <v>49</v>
      </c>
      <c r="F3286" t="s">
        <v>17</v>
      </c>
      <c r="G3286" s="1">
        <v>27773</v>
      </c>
      <c r="H3286" t="s">
        <v>7246</v>
      </c>
      <c r="I3286" s="2" t="str">
        <f t="shared" si="51"/>
        <v>+91-8633600909</v>
      </c>
      <c r="J3286">
        <f>91-8633601000</f>
        <v>-8633600909</v>
      </c>
      <c r="K3286" t="s">
        <v>174</v>
      </c>
      <c r="L3286" t="s">
        <v>90</v>
      </c>
      <c r="M3286">
        <v>672624</v>
      </c>
      <c r="N3286" s="1">
        <v>45327</v>
      </c>
      <c r="O3286" t="s">
        <v>21</v>
      </c>
      <c r="P3286">
        <v>5</v>
      </c>
      <c r="Q3286">
        <v>34384.870000000003</v>
      </c>
    </row>
    <row r="3287" spans="1:17" x14ac:dyDescent="0.3">
      <c r="A3287" t="s">
        <v>7247</v>
      </c>
      <c r="B3287" t="s">
        <v>653</v>
      </c>
      <c r="C3287" s="2" t="str">
        <f>PROPER(TRIM(Table1[[#This Row],[Gender]]))</f>
        <v>Male</v>
      </c>
      <c r="D3287" t="s">
        <v>16</v>
      </c>
      <c r="E3287">
        <v>30</v>
      </c>
      <c r="F3287" t="s">
        <v>31</v>
      </c>
      <c r="G3287" s="1">
        <v>34708</v>
      </c>
      <c r="H3287" t="s">
        <v>4351</v>
      </c>
      <c r="I3287" s="2" t="str">
        <f t="shared" si="51"/>
        <v>+91-8638816911</v>
      </c>
      <c r="J3287">
        <f>91-8638817002</f>
        <v>-8638816911</v>
      </c>
      <c r="K3287" t="s">
        <v>64</v>
      </c>
      <c r="L3287" t="s">
        <v>20</v>
      </c>
      <c r="M3287">
        <v>584308</v>
      </c>
      <c r="N3287" s="1">
        <v>45413</v>
      </c>
      <c r="O3287" t="s">
        <v>28</v>
      </c>
      <c r="P3287">
        <v>8</v>
      </c>
      <c r="Q3287">
        <v>114634.16</v>
      </c>
    </row>
    <row r="3288" spans="1:17" x14ac:dyDescent="0.3">
      <c r="A3288" t="s">
        <v>7248</v>
      </c>
      <c r="B3288" t="s">
        <v>4691</v>
      </c>
      <c r="C3288" s="2" t="str">
        <f>PROPER(TRIM(Table1[[#This Row],[Gender]]))</f>
        <v>Male</v>
      </c>
      <c r="D3288" t="s">
        <v>16</v>
      </c>
      <c r="E3288">
        <v>35</v>
      </c>
      <c r="F3288" t="s">
        <v>31</v>
      </c>
      <c r="G3288" s="1">
        <v>32883</v>
      </c>
      <c r="H3288" t="s">
        <v>7249</v>
      </c>
      <c r="I3288" s="2" t="str">
        <f t="shared" si="51"/>
        <v>+91-9662058117</v>
      </c>
      <c r="J3288">
        <f>91-9662058208</f>
        <v>-9662058117</v>
      </c>
      <c r="K3288" t="s">
        <v>369</v>
      </c>
      <c r="L3288" t="s">
        <v>191</v>
      </c>
      <c r="M3288">
        <v>281785</v>
      </c>
      <c r="N3288" s="1">
        <v>45100</v>
      </c>
      <c r="O3288" t="s">
        <v>28</v>
      </c>
      <c r="P3288">
        <v>7</v>
      </c>
      <c r="Q3288">
        <v>422217.85</v>
      </c>
    </row>
    <row r="3289" spans="1:17" x14ac:dyDescent="0.3">
      <c r="A3289" t="s">
        <v>7250</v>
      </c>
      <c r="B3289" t="s">
        <v>1528</v>
      </c>
      <c r="C3289" s="2" t="str">
        <f>PROPER(TRIM(Table1[[#This Row],[Gender]]))</f>
        <v>Male</v>
      </c>
      <c r="D3289" t="s">
        <v>16</v>
      </c>
      <c r="E3289">
        <v>26</v>
      </c>
      <c r="F3289" t="s">
        <v>31</v>
      </c>
      <c r="G3289" s="1">
        <v>36168</v>
      </c>
      <c r="H3289" t="s">
        <v>7251</v>
      </c>
      <c r="I3289" s="2" t="str">
        <f t="shared" si="51"/>
        <v>+91-9816719902</v>
      </c>
      <c r="J3289">
        <f>91-9816719993</f>
        <v>-9816719902</v>
      </c>
      <c r="K3289" t="s">
        <v>138</v>
      </c>
      <c r="L3289" t="s">
        <v>90</v>
      </c>
      <c r="M3289">
        <v>750376</v>
      </c>
      <c r="N3289" s="1">
        <v>45280</v>
      </c>
      <c r="O3289" t="s">
        <v>21</v>
      </c>
      <c r="P3289">
        <v>6</v>
      </c>
      <c r="Q3289">
        <v>49110.35</v>
      </c>
    </row>
    <row r="3290" spans="1:17" x14ac:dyDescent="0.3">
      <c r="A3290" t="s">
        <v>7252</v>
      </c>
      <c r="B3290" t="s">
        <v>87</v>
      </c>
      <c r="C3290" s="2" t="str">
        <f>PROPER(TRIM(Table1[[#This Row],[Gender]]))</f>
        <v>Female</v>
      </c>
      <c r="D3290" t="s">
        <v>43</v>
      </c>
      <c r="E3290">
        <v>24</v>
      </c>
      <c r="F3290" t="s">
        <v>49</v>
      </c>
      <c r="G3290" s="1">
        <v>36898</v>
      </c>
      <c r="H3290" t="s">
        <v>2545</v>
      </c>
      <c r="I3290" s="2" t="str">
        <f t="shared" si="51"/>
        <v>+91-9843622741</v>
      </c>
      <c r="J3290">
        <f>91-9843622832</f>
        <v>-9843622741</v>
      </c>
      <c r="K3290" t="s">
        <v>101</v>
      </c>
      <c r="L3290" t="s">
        <v>102</v>
      </c>
      <c r="M3290">
        <v>315725</v>
      </c>
      <c r="N3290" s="1">
        <v>45200</v>
      </c>
      <c r="O3290" t="s">
        <v>28</v>
      </c>
      <c r="P3290">
        <v>8</v>
      </c>
      <c r="Q3290">
        <v>216044.53</v>
      </c>
    </row>
    <row r="3291" spans="1:17" x14ac:dyDescent="0.3">
      <c r="A3291" t="s">
        <v>7253</v>
      </c>
      <c r="B3291" t="s">
        <v>1663</v>
      </c>
      <c r="C3291" s="2" t="str">
        <f>PROPER(TRIM(Table1[[#This Row],[Gender]]))</f>
        <v>Female</v>
      </c>
      <c r="D3291" t="s">
        <v>43</v>
      </c>
      <c r="E3291">
        <v>18</v>
      </c>
      <c r="F3291" t="s">
        <v>49</v>
      </c>
      <c r="G3291" s="1">
        <v>39088</v>
      </c>
      <c r="H3291" t="s">
        <v>3673</v>
      </c>
      <c r="I3291" s="2" t="str">
        <f t="shared" si="51"/>
        <v>+91-8150125525</v>
      </c>
      <c r="J3291">
        <f>91-8150125616</f>
        <v>-8150125525</v>
      </c>
      <c r="K3291" t="s">
        <v>142</v>
      </c>
      <c r="L3291" t="s">
        <v>143</v>
      </c>
      <c r="M3291">
        <v>336320</v>
      </c>
      <c r="N3291" s="1">
        <v>45405</v>
      </c>
      <c r="O3291" t="s">
        <v>28</v>
      </c>
      <c r="P3291">
        <v>7</v>
      </c>
      <c r="Q3291">
        <v>206417.32</v>
      </c>
    </row>
    <row r="3292" spans="1:17" x14ac:dyDescent="0.3">
      <c r="A3292" t="s">
        <v>7254</v>
      </c>
      <c r="B3292" t="s">
        <v>2662</v>
      </c>
      <c r="C3292" s="2" t="str">
        <f>PROPER(TRIM(Table1[[#This Row],[Gender]]))</f>
        <v>Male</v>
      </c>
      <c r="D3292" t="s">
        <v>16</v>
      </c>
      <c r="E3292">
        <v>37</v>
      </c>
      <c r="F3292" t="s">
        <v>38</v>
      </c>
      <c r="G3292" s="1">
        <v>32153</v>
      </c>
      <c r="H3292" t="s">
        <v>7255</v>
      </c>
      <c r="I3292" s="2" t="str">
        <f t="shared" si="51"/>
        <v>+91-8451608305</v>
      </c>
      <c r="J3292">
        <f>91-8451608396</f>
        <v>-8451608305</v>
      </c>
      <c r="K3292" t="s">
        <v>60</v>
      </c>
      <c r="L3292" t="s">
        <v>34</v>
      </c>
      <c r="M3292">
        <v>148841</v>
      </c>
      <c r="N3292" s="1">
        <v>45094</v>
      </c>
      <c r="O3292" t="s">
        <v>21</v>
      </c>
      <c r="P3292">
        <v>2</v>
      </c>
      <c r="Q3292">
        <v>42059.06</v>
      </c>
    </row>
    <row r="3293" spans="1:17" x14ac:dyDescent="0.3">
      <c r="A3293" t="s">
        <v>7256</v>
      </c>
      <c r="B3293" t="s">
        <v>70</v>
      </c>
      <c r="C3293" s="2" t="str">
        <f>PROPER(TRIM(Table1[[#This Row],[Gender]]))</f>
        <v>Female</v>
      </c>
      <c r="D3293" t="s">
        <v>43</v>
      </c>
      <c r="E3293">
        <v>29</v>
      </c>
      <c r="F3293" t="s">
        <v>31</v>
      </c>
      <c r="G3293" s="1">
        <v>35073</v>
      </c>
      <c r="H3293" t="s">
        <v>7257</v>
      </c>
      <c r="I3293" s="2" t="str">
        <f t="shared" si="51"/>
        <v>+91-9441581146</v>
      </c>
      <c r="J3293">
        <f>91-9441581237</f>
        <v>-9441581146</v>
      </c>
      <c r="K3293" t="s">
        <v>125</v>
      </c>
      <c r="L3293" t="s">
        <v>52</v>
      </c>
      <c r="M3293">
        <v>845652</v>
      </c>
      <c r="N3293" s="1">
        <v>45386</v>
      </c>
      <c r="O3293" t="s">
        <v>28</v>
      </c>
      <c r="P3293">
        <v>4</v>
      </c>
      <c r="Q3293">
        <v>72985.740000000005</v>
      </c>
    </row>
    <row r="3294" spans="1:17" x14ac:dyDescent="0.3">
      <c r="A3294" t="s">
        <v>7258</v>
      </c>
      <c r="B3294" t="s">
        <v>2739</v>
      </c>
      <c r="C3294" s="2" t="str">
        <f>PROPER(TRIM(Table1[[#This Row],[Gender]]))</f>
        <v>Female</v>
      </c>
      <c r="D3294" t="s">
        <v>43</v>
      </c>
      <c r="E3294">
        <v>25</v>
      </c>
      <c r="F3294" t="s">
        <v>49</v>
      </c>
      <c r="G3294" s="1">
        <v>36533</v>
      </c>
      <c r="H3294" t="s">
        <v>5579</v>
      </c>
      <c r="I3294" s="2" t="str">
        <f t="shared" si="51"/>
        <v>+91-8340146271</v>
      </c>
      <c r="J3294">
        <f>91-8340146362</f>
        <v>-8340146271</v>
      </c>
      <c r="K3294" t="s">
        <v>117</v>
      </c>
      <c r="L3294" t="s">
        <v>52</v>
      </c>
      <c r="M3294">
        <v>373199</v>
      </c>
      <c r="N3294" s="1">
        <v>45189</v>
      </c>
      <c r="O3294" t="s">
        <v>28</v>
      </c>
      <c r="P3294">
        <v>4</v>
      </c>
      <c r="Q3294">
        <v>66808.69</v>
      </c>
    </row>
    <row r="3295" spans="1:17" x14ac:dyDescent="0.3">
      <c r="A3295" t="s">
        <v>7259</v>
      </c>
      <c r="B3295" t="s">
        <v>726</v>
      </c>
      <c r="C3295" s="2" t="str">
        <f>PROPER(TRIM(Table1[[#This Row],[Gender]]))</f>
        <v>Male</v>
      </c>
      <c r="D3295" t="s">
        <v>16</v>
      </c>
      <c r="E3295">
        <v>50</v>
      </c>
      <c r="F3295" t="s">
        <v>17</v>
      </c>
      <c r="G3295" s="1">
        <v>27408</v>
      </c>
      <c r="H3295" t="s">
        <v>7260</v>
      </c>
      <c r="I3295" s="2" t="str">
        <f t="shared" si="51"/>
        <v>+91-9173846143</v>
      </c>
      <c r="J3295">
        <f>91-9173846234</f>
        <v>-9173846143</v>
      </c>
      <c r="K3295" t="s">
        <v>89</v>
      </c>
      <c r="L3295" t="s">
        <v>90</v>
      </c>
      <c r="M3295">
        <v>331971</v>
      </c>
      <c r="N3295" s="1">
        <v>45361</v>
      </c>
      <c r="O3295" t="s">
        <v>28</v>
      </c>
      <c r="P3295">
        <v>8</v>
      </c>
      <c r="Q3295">
        <v>103178.66</v>
      </c>
    </row>
    <row r="3296" spans="1:17" x14ac:dyDescent="0.3">
      <c r="A3296" t="s">
        <v>7261</v>
      </c>
      <c r="B3296" t="s">
        <v>546</v>
      </c>
      <c r="C3296" s="2" t="str">
        <f>PROPER(TRIM(Table1[[#This Row],[Gender]]))</f>
        <v>Female</v>
      </c>
      <c r="D3296" t="s">
        <v>43</v>
      </c>
      <c r="E3296">
        <v>38</v>
      </c>
      <c r="F3296" t="s">
        <v>38</v>
      </c>
      <c r="G3296" s="1">
        <v>31788</v>
      </c>
      <c r="H3296" t="s">
        <v>1268</v>
      </c>
      <c r="I3296" s="2" t="str">
        <f t="shared" si="51"/>
        <v>+91-7893452492</v>
      </c>
      <c r="J3296">
        <f>91-7893452583</f>
        <v>-7893452492</v>
      </c>
      <c r="K3296" t="s">
        <v>84</v>
      </c>
      <c r="L3296" t="s">
        <v>85</v>
      </c>
      <c r="M3296">
        <v>983452</v>
      </c>
      <c r="N3296" s="1">
        <v>45093</v>
      </c>
      <c r="O3296" t="s">
        <v>28</v>
      </c>
      <c r="P3296">
        <v>6</v>
      </c>
      <c r="Q3296">
        <v>143849.56</v>
      </c>
    </row>
    <row r="3297" spans="1:17" x14ac:dyDescent="0.3">
      <c r="A3297" t="s">
        <v>7262</v>
      </c>
      <c r="B3297" t="s">
        <v>422</v>
      </c>
      <c r="C3297" s="2" t="str">
        <f>PROPER(TRIM(Table1[[#This Row],[Gender]]))</f>
        <v>Male</v>
      </c>
      <c r="D3297" t="s">
        <v>16</v>
      </c>
      <c r="E3297">
        <v>34</v>
      </c>
      <c r="F3297" t="s">
        <v>31</v>
      </c>
      <c r="G3297" s="1">
        <v>33248</v>
      </c>
      <c r="H3297" t="s">
        <v>7263</v>
      </c>
      <c r="I3297" s="2" t="str">
        <f t="shared" si="51"/>
        <v>+91-7126155169</v>
      </c>
      <c r="J3297">
        <f>91-7126155260</f>
        <v>-7126155169</v>
      </c>
      <c r="K3297" t="s">
        <v>138</v>
      </c>
      <c r="L3297" t="s">
        <v>90</v>
      </c>
      <c r="M3297">
        <v>100703</v>
      </c>
      <c r="N3297" s="1">
        <v>45339</v>
      </c>
      <c r="O3297" t="s">
        <v>28</v>
      </c>
      <c r="P3297">
        <v>10</v>
      </c>
      <c r="Q3297">
        <v>269388.46999999997</v>
      </c>
    </row>
    <row r="3298" spans="1:17" x14ac:dyDescent="0.3">
      <c r="A3298" t="s">
        <v>7264</v>
      </c>
      <c r="B3298" t="s">
        <v>5731</v>
      </c>
      <c r="C3298" s="2" t="str">
        <f>PROPER(TRIM(Table1[[#This Row],[Gender]]))</f>
        <v>Male</v>
      </c>
      <c r="D3298" t="s">
        <v>16</v>
      </c>
      <c r="E3298">
        <v>63</v>
      </c>
      <c r="F3298" t="s">
        <v>58</v>
      </c>
      <c r="G3298" s="1">
        <v>22663</v>
      </c>
      <c r="H3298" t="s">
        <v>5732</v>
      </c>
      <c r="I3298" s="2" t="str">
        <f t="shared" si="51"/>
        <v>+91-9047181304</v>
      </c>
      <c r="J3298">
        <f>91-9047181395</f>
        <v>-9047181304</v>
      </c>
      <c r="K3298" t="s">
        <v>161</v>
      </c>
      <c r="L3298" t="s">
        <v>102</v>
      </c>
      <c r="M3298">
        <v>490622</v>
      </c>
      <c r="N3298" s="1">
        <v>45397</v>
      </c>
      <c r="O3298" t="s">
        <v>35</v>
      </c>
      <c r="P3298">
        <v>3</v>
      </c>
      <c r="Q3298">
        <v>2066.6799999999998</v>
      </c>
    </row>
    <row r="3299" spans="1:17" x14ac:dyDescent="0.3">
      <c r="A3299" t="s">
        <v>7265</v>
      </c>
      <c r="B3299" t="s">
        <v>2372</v>
      </c>
      <c r="C3299" s="2" t="str">
        <f>PROPER(TRIM(Table1[[#This Row],[Gender]]))</f>
        <v>Female</v>
      </c>
      <c r="D3299" t="s">
        <v>43</v>
      </c>
      <c r="E3299">
        <v>56</v>
      </c>
      <c r="F3299" t="s">
        <v>58</v>
      </c>
      <c r="G3299" s="1">
        <v>25218</v>
      </c>
      <c r="H3299" t="s">
        <v>7266</v>
      </c>
      <c r="I3299" s="2" t="str">
        <f t="shared" si="51"/>
        <v>+91-8179457520</v>
      </c>
      <c r="J3299">
        <f>91-8179457611</f>
        <v>-8179457520</v>
      </c>
      <c r="K3299" t="s">
        <v>138</v>
      </c>
      <c r="L3299" t="s">
        <v>90</v>
      </c>
      <c r="M3299">
        <v>836491</v>
      </c>
      <c r="N3299" s="1">
        <v>45239</v>
      </c>
      <c r="O3299" t="s">
        <v>21</v>
      </c>
      <c r="P3299">
        <v>5</v>
      </c>
      <c r="Q3299">
        <v>33157.160000000003</v>
      </c>
    </row>
    <row r="3300" spans="1:17" x14ac:dyDescent="0.3">
      <c r="A3300" t="s">
        <v>7267</v>
      </c>
      <c r="B3300" t="s">
        <v>204</v>
      </c>
      <c r="C3300" s="2" t="str">
        <f>PROPER(TRIM(Table1[[#This Row],[Gender]]))</f>
        <v>Female</v>
      </c>
      <c r="D3300" t="s">
        <v>43</v>
      </c>
      <c r="E3300">
        <v>19</v>
      </c>
      <c r="F3300" t="s">
        <v>49</v>
      </c>
      <c r="G3300" s="1">
        <v>38723</v>
      </c>
      <c r="H3300" t="s">
        <v>7268</v>
      </c>
      <c r="I3300" s="2" t="str">
        <f t="shared" si="51"/>
        <v>+91-7381530340</v>
      </c>
      <c r="J3300">
        <f>91-7381530431</f>
        <v>-7381530340</v>
      </c>
      <c r="K3300" t="s">
        <v>26</v>
      </c>
      <c r="L3300" t="s">
        <v>27</v>
      </c>
      <c r="M3300">
        <v>677596</v>
      </c>
      <c r="N3300" s="1">
        <v>45328</v>
      </c>
      <c r="O3300" t="s">
        <v>21</v>
      </c>
      <c r="P3300">
        <v>4</v>
      </c>
      <c r="Q3300">
        <v>33953.29</v>
      </c>
    </row>
    <row r="3301" spans="1:17" x14ac:dyDescent="0.3">
      <c r="A3301" t="s">
        <v>7269</v>
      </c>
      <c r="B3301" t="s">
        <v>4231</v>
      </c>
      <c r="C3301" s="2" t="str">
        <f>PROPER(TRIM(Table1[[#This Row],[Gender]]))</f>
        <v>Male</v>
      </c>
      <c r="D3301" t="s">
        <v>16</v>
      </c>
      <c r="E3301">
        <v>47</v>
      </c>
      <c r="F3301" t="s">
        <v>17</v>
      </c>
      <c r="G3301" s="1">
        <v>28503</v>
      </c>
      <c r="H3301" t="s">
        <v>7270</v>
      </c>
      <c r="I3301" s="2" t="str">
        <f t="shared" si="51"/>
        <v>+91-7925367196</v>
      </c>
      <c r="J3301">
        <f>91-7925367287</f>
        <v>-7925367196</v>
      </c>
      <c r="K3301" t="s">
        <v>76</v>
      </c>
      <c r="L3301" t="s">
        <v>46</v>
      </c>
      <c r="M3301">
        <v>496003</v>
      </c>
      <c r="N3301" s="1">
        <v>45244</v>
      </c>
      <c r="O3301" t="s">
        <v>35</v>
      </c>
      <c r="P3301">
        <v>4</v>
      </c>
      <c r="Q3301">
        <v>17918.849999999999</v>
      </c>
    </row>
    <row r="3302" spans="1:17" x14ac:dyDescent="0.3">
      <c r="A3302" t="s">
        <v>7271</v>
      </c>
      <c r="B3302" t="s">
        <v>1935</v>
      </c>
      <c r="C3302" s="2" t="str">
        <f>PROPER(TRIM(Table1[[#This Row],[Gender]]))</f>
        <v>Female</v>
      </c>
      <c r="D3302" t="s">
        <v>43</v>
      </c>
      <c r="E3302">
        <v>34</v>
      </c>
      <c r="F3302" t="s">
        <v>31</v>
      </c>
      <c r="G3302" s="1">
        <v>33248</v>
      </c>
      <c r="H3302" t="s">
        <v>7272</v>
      </c>
      <c r="I3302" s="2" t="str">
        <f t="shared" si="51"/>
        <v>+91-9507312588</v>
      </c>
      <c r="J3302">
        <f>91-9507312679</f>
        <v>-9507312588</v>
      </c>
      <c r="K3302" t="s">
        <v>161</v>
      </c>
      <c r="L3302" t="s">
        <v>102</v>
      </c>
      <c r="M3302">
        <v>403272</v>
      </c>
      <c r="N3302" s="1">
        <v>45433</v>
      </c>
      <c r="O3302" t="s">
        <v>28</v>
      </c>
      <c r="P3302">
        <v>7</v>
      </c>
      <c r="Q3302">
        <v>260585.76</v>
      </c>
    </row>
    <row r="3303" spans="1:17" x14ac:dyDescent="0.3">
      <c r="A3303" t="s">
        <v>7273</v>
      </c>
      <c r="B3303" t="s">
        <v>4059</v>
      </c>
      <c r="C3303" s="2" t="str">
        <f>PROPER(TRIM(Table1[[#This Row],[Gender]]))</f>
        <v>Male</v>
      </c>
      <c r="D3303" t="s">
        <v>16</v>
      </c>
      <c r="E3303">
        <v>45</v>
      </c>
      <c r="F3303" t="s">
        <v>38</v>
      </c>
      <c r="G3303" s="1">
        <v>29233</v>
      </c>
      <c r="H3303" t="s">
        <v>7274</v>
      </c>
      <c r="I3303" s="2" t="str">
        <f t="shared" si="51"/>
        <v>+91-9522566083</v>
      </c>
      <c r="J3303">
        <f>91-9522566174</f>
        <v>-9522566083</v>
      </c>
      <c r="K3303" t="s">
        <v>331</v>
      </c>
      <c r="L3303" t="s">
        <v>143</v>
      </c>
      <c r="M3303">
        <v>143892</v>
      </c>
      <c r="N3303" s="1">
        <v>45277</v>
      </c>
      <c r="O3303" t="s">
        <v>28</v>
      </c>
      <c r="P3303">
        <v>6</v>
      </c>
      <c r="Q3303">
        <v>366004.61</v>
      </c>
    </row>
    <row r="3304" spans="1:17" x14ac:dyDescent="0.3">
      <c r="A3304" t="s">
        <v>7275</v>
      </c>
      <c r="B3304" t="s">
        <v>1211</v>
      </c>
      <c r="C3304" s="2" t="str">
        <f>PROPER(TRIM(Table1[[#This Row],[Gender]]))</f>
        <v>Female</v>
      </c>
      <c r="D3304" t="s">
        <v>43</v>
      </c>
      <c r="E3304">
        <v>35</v>
      </c>
      <c r="F3304" t="s">
        <v>31</v>
      </c>
      <c r="G3304" s="1">
        <v>32883</v>
      </c>
      <c r="H3304" t="s">
        <v>7276</v>
      </c>
      <c r="I3304" s="2" t="str">
        <f t="shared" si="51"/>
        <v>+91-7505115810</v>
      </c>
      <c r="J3304">
        <f>91-7505115901</f>
        <v>-7505115810</v>
      </c>
      <c r="K3304" t="s">
        <v>76</v>
      </c>
      <c r="L3304" t="s">
        <v>46</v>
      </c>
      <c r="M3304">
        <v>650915</v>
      </c>
      <c r="N3304" s="1">
        <v>45324</v>
      </c>
      <c r="O3304" t="s">
        <v>28</v>
      </c>
      <c r="P3304">
        <v>4</v>
      </c>
      <c r="Q3304">
        <v>122237.14</v>
      </c>
    </row>
    <row r="3305" spans="1:17" x14ac:dyDescent="0.3">
      <c r="A3305" t="s">
        <v>7277</v>
      </c>
      <c r="B3305" t="s">
        <v>593</v>
      </c>
      <c r="C3305" s="2" t="str">
        <f>PROPER(TRIM(Table1[[#This Row],[Gender]]))</f>
        <v>Female</v>
      </c>
      <c r="D3305" t="s">
        <v>43</v>
      </c>
      <c r="E3305">
        <v>53</v>
      </c>
      <c r="F3305" t="s">
        <v>17</v>
      </c>
      <c r="G3305" s="1">
        <v>26313</v>
      </c>
      <c r="H3305" t="s">
        <v>7278</v>
      </c>
      <c r="I3305" s="2" t="str">
        <f t="shared" si="51"/>
        <v>+91-9965096696</v>
      </c>
      <c r="J3305">
        <f>91-9965096787</f>
        <v>-9965096696</v>
      </c>
      <c r="K3305" t="s">
        <v>273</v>
      </c>
      <c r="L3305" t="s">
        <v>46</v>
      </c>
      <c r="M3305">
        <v>858055</v>
      </c>
      <c r="N3305" s="1">
        <v>45095</v>
      </c>
      <c r="O3305" t="s">
        <v>35</v>
      </c>
      <c r="P3305">
        <v>4</v>
      </c>
      <c r="Q3305">
        <v>15821.51</v>
      </c>
    </row>
    <row r="3306" spans="1:17" x14ac:dyDescent="0.3">
      <c r="A3306" t="s">
        <v>7279</v>
      </c>
      <c r="B3306" t="s">
        <v>3901</v>
      </c>
      <c r="C3306" s="2" t="str">
        <f>PROPER(TRIM(Table1[[#This Row],[Gender]]))</f>
        <v>Male</v>
      </c>
      <c r="D3306" t="s">
        <v>16</v>
      </c>
      <c r="E3306">
        <v>19</v>
      </c>
      <c r="F3306" t="s">
        <v>49</v>
      </c>
      <c r="G3306" s="1">
        <v>38723</v>
      </c>
      <c r="H3306" t="s">
        <v>7280</v>
      </c>
      <c r="I3306" s="2" t="str">
        <f t="shared" si="51"/>
        <v>+91-8267550925</v>
      </c>
      <c r="J3306">
        <f>91-8267551016</f>
        <v>-8267550925</v>
      </c>
      <c r="K3306" t="s">
        <v>138</v>
      </c>
      <c r="L3306" t="s">
        <v>90</v>
      </c>
      <c r="M3306">
        <v>852017</v>
      </c>
      <c r="N3306" s="1">
        <v>45165</v>
      </c>
      <c r="O3306" t="s">
        <v>35</v>
      </c>
      <c r="P3306">
        <v>2</v>
      </c>
      <c r="Q3306">
        <v>6938.2</v>
      </c>
    </row>
    <row r="3307" spans="1:17" x14ac:dyDescent="0.3">
      <c r="A3307" t="s">
        <v>7281</v>
      </c>
      <c r="B3307" t="s">
        <v>836</v>
      </c>
      <c r="C3307" s="2" t="str">
        <f>PROPER(TRIM(Table1[[#This Row],[Gender]]))</f>
        <v>Female</v>
      </c>
      <c r="D3307" t="s">
        <v>43</v>
      </c>
      <c r="E3307">
        <v>18</v>
      </c>
      <c r="F3307" t="s">
        <v>49</v>
      </c>
      <c r="G3307" s="1">
        <v>39088</v>
      </c>
      <c r="H3307" t="s">
        <v>7282</v>
      </c>
      <c r="I3307" s="2" t="str">
        <f t="shared" si="51"/>
        <v>+91-9951305488</v>
      </c>
      <c r="J3307">
        <f>91-9951305579</f>
        <v>-9951305488</v>
      </c>
      <c r="K3307" t="s">
        <v>84</v>
      </c>
      <c r="L3307" t="s">
        <v>85</v>
      </c>
      <c r="M3307">
        <v>503439</v>
      </c>
      <c r="N3307" s="1">
        <v>45173</v>
      </c>
      <c r="O3307" t="s">
        <v>28</v>
      </c>
      <c r="P3307">
        <v>6</v>
      </c>
      <c r="Q3307">
        <v>96049.42</v>
      </c>
    </row>
    <row r="3308" spans="1:17" x14ac:dyDescent="0.3">
      <c r="A3308" t="s">
        <v>7283</v>
      </c>
      <c r="B3308" t="s">
        <v>2396</v>
      </c>
      <c r="C3308" s="2" t="str">
        <f>PROPER(TRIM(Table1[[#This Row],[Gender]]))</f>
        <v>Female</v>
      </c>
      <c r="D3308" t="s">
        <v>43</v>
      </c>
      <c r="E3308">
        <v>25</v>
      </c>
      <c r="F3308" t="s">
        <v>49</v>
      </c>
      <c r="G3308" s="1">
        <v>36533</v>
      </c>
      <c r="H3308" t="s">
        <v>7284</v>
      </c>
      <c r="I3308" s="2" t="str">
        <f t="shared" si="51"/>
        <v>+91-8519461328</v>
      </c>
      <c r="J3308">
        <f>91-8519461419</f>
        <v>-8519461328</v>
      </c>
      <c r="K3308" t="s">
        <v>89</v>
      </c>
      <c r="L3308" t="s">
        <v>90</v>
      </c>
      <c r="M3308">
        <v>105072</v>
      </c>
      <c r="N3308" s="1">
        <v>45421</v>
      </c>
      <c r="O3308" t="s">
        <v>28</v>
      </c>
      <c r="P3308">
        <v>5</v>
      </c>
      <c r="Q3308">
        <v>173072.48</v>
      </c>
    </row>
    <row r="3309" spans="1:17" x14ac:dyDescent="0.3">
      <c r="A3309" t="s">
        <v>7285</v>
      </c>
      <c r="B3309" t="s">
        <v>4808</v>
      </c>
      <c r="C3309" s="2" t="str">
        <f>PROPER(TRIM(Table1[[#This Row],[Gender]]))</f>
        <v>Male</v>
      </c>
      <c r="D3309" t="s">
        <v>16</v>
      </c>
      <c r="E3309">
        <v>27</v>
      </c>
      <c r="F3309" t="s">
        <v>31</v>
      </c>
      <c r="G3309" s="1">
        <v>35803</v>
      </c>
      <c r="H3309" t="s">
        <v>7286</v>
      </c>
      <c r="I3309" s="2" t="str">
        <f t="shared" si="51"/>
        <v>+91-8115633841</v>
      </c>
      <c r="J3309">
        <f>91-8115633932</f>
        <v>-8115633841</v>
      </c>
      <c r="K3309" t="s">
        <v>84</v>
      </c>
      <c r="L3309" t="s">
        <v>85</v>
      </c>
      <c r="M3309">
        <v>790305</v>
      </c>
      <c r="N3309" s="1">
        <v>45324</v>
      </c>
      <c r="O3309" t="s">
        <v>28</v>
      </c>
      <c r="P3309">
        <v>4</v>
      </c>
      <c r="Q3309">
        <v>151372.87</v>
      </c>
    </row>
    <row r="3310" spans="1:17" x14ac:dyDescent="0.3">
      <c r="A3310" t="s">
        <v>7287</v>
      </c>
      <c r="B3310" t="s">
        <v>6481</v>
      </c>
      <c r="C3310" s="2" t="str">
        <f>PROPER(TRIM(Table1[[#This Row],[Gender]]))</f>
        <v>Male</v>
      </c>
      <c r="D3310" t="s">
        <v>16</v>
      </c>
      <c r="E3310">
        <v>24</v>
      </c>
      <c r="F3310" t="s">
        <v>49</v>
      </c>
      <c r="G3310" s="1">
        <v>36898</v>
      </c>
      <c r="H3310" t="s">
        <v>7288</v>
      </c>
      <c r="I3310" s="2" t="str">
        <f t="shared" si="51"/>
        <v>+91-9986552603</v>
      </c>
      <c r="J3310">
        <f>91-9986552694</f>
        <v>-9986552603</v>
      </c>
      <c r="K3310" t="s">
        <v>165</v>
      </c>
      <c r="L3310" t="s">
        <v>52</v>
      </c>
      <c r="M3310">
        <v>613130</v>
      </c>
      <c r="N3310" s="1">
        <v>45105</v>
      </c>
      <c r="O3310" t="s">
        <v>28</v>
      </c>
      <c r="P3310">
        <v>1</v>
      </c>
      <c r="Q3310">
        <v>108205.39</v>
      </c>
    </row>
    <row r="3311" spans="1:17" x14ac:dyDescent="0.3">
      <c r="A3311" t="s">
        <v>7289</v>
      </c>
      <c r="B3311" t="s">
        <v>975</v>
      </c>
      <c r="C3311" s="2" t="str">
        <f>PROPER(TRIM(Table1[[#This Row],[Gender]]))</f>
        <v>Male</v>
      </c>
      <c r="D3311" t="s">
        <v>16</v>
      </c>
      <c r="E3311">
        <v>35</v>
      </c>
      <c r="F3311" t="s">
        <v>31</v>
      </c>
      <c r="G3311" s="1">
        <v>32883</v>
      </c>
      <c r="H3311" t="s">
        <v>7290</v>
      </c>
      <c r="I3311" s="2" t="str">
        <f t="shared" si="51"/>
        <v>+91-7556294804</v>
      </c>
      <c r="J3311">
        <f>91-7556294895</f>
        <v>-7556294804</v>
      </c>
      <c r="K3311" t="s">
        <v>68</v>
      </c>
      <c r="L3311" t="s">
        <v>52</v>
      </c>
      <c r="M3311">
        <v>898759</v>
      </c>
      <c r="N3311" s="1">
        <v>45177</v>
      </c>
      <c r="O3311" t="s">
        <v>35</v>
      </c>
      <c r="P3311">
        <v>2</v>
      </c>
      <c r="Q3311">
        <v>11669.49</v>
      </c>
    </row>
    <row r="3312" spans="1:17" x14ac:dyDescent="0.3">
      <c r="A3312" t="s">
        <v>7291</v>
      </c>
      <c r="B3312" t="s">
        <v>1004</v>
      </c>
      <c r="C3312" s="2" t="str">
        <f>PROPER(TRIM(Table1[[#This Row],[Gender]]))</f>
        <v>Female</v>
      </c>
      <c r="D3312" t="s">
        <v>43</v>
      </c>
      <c r="E3312">
        <v>19</v>
      </c>
      <c r="F3312" t="s">
        <v>49</v>
      </c>
      <c r="G3312" s="1">
        <v>38723</v>
      </c>
      <c r="H3312" t="s">
        <v>7292</v>
      </c>
      <c r="I3312" s="2" t="str">
        <f t="shared" si="51"/>
        <v>+91-7627260641</v>
      </c>
      <c r="J3312">
        <f>91-7627260732</f>
        <v>-7627260641</v>
      </c>
      <c r="K3312" t="s">
        <v>117</v>
      </c>
      <c r="L3312" t="s">
        <v>52</v>
      </c>
      <c r="M3312">
        <v>989299</v>
      </c>
      <c r="N3312" s="1">
        <v>45383</v>
      </c>
      <c r="O3312" t="s">
        <v>28</v>
      </c>
      <c r="P3312">
        <v>6</v>
      </c>
      <c r="Q3312">
        <v>63929.02</v>
      </c>
    </row>
    <row r="3313" spans="1:17" x14ac:dyDescent="0.3">
      <c r="A3313" t="s">
        <v>7293</v>
      </c>
      <c r="B3313" t="s">
        <v>2594</v>
      </c>
      <c r="C3313" s="2" t="str">
        <f>PROPER(TRIM(Table1[[#This Row],[Gender]]))</f>
        <v>Female</v>
      </c>
      <c r="D3313" t="s">
        <v>43</v>
      </c>
      <c r="E3313">
        <v>30</v>
      </c>
      <c r="F3313" t="s">
        <v>31</v>
      </c>
      <c r="G3313" s="1">
        <v>34708</v>
      </c>
      <c r="H3313" t="s">
        <v>7294</v>
      </c>
      <c r="I3313" s="2" t="str">
        <f t="shared" si="51"/>
        <v>+91-9189843414</v>
      </c>
      <c r="J3313">
        <f>91-9189843505</f>
        <v>-9189843414</v>
      </c>
      <c r="K3313" t="s">
        <v>40</v>
      </c>
      <c r="L3313" t="s">
        <v>27</v>
      </c>
      <c r="M3313">
        <v>704413</v>
      </c>
      <c r="N3313" s="1">
        <v>45234</v>
      </c>
      <c r="O3313" t="s">
        <v>28</v>
      </c>
      <c r="P3313">
        <v>5</v>
      </c>
      <c r="Q3313">
        <v>50197.37</v>
      </c>
    </row>
    <row r="3314" spans="1:17" x14ac:dyDescent="0.3">
      <c r="A3314" t="s">
        <v>7295</v>
      </c>
      <c r="B3314" t="s">
        <v>1330</v>
      </c>
      <c r="C3314" s="2" t="str">
        <f>PROPER(TRIM(Table1[[#This Row],[Gender]]))</f>
        <v>Male</v>
      </c>
      <c r="D3314" t="s">
        <v>16</v>
      </c>
      <c r="E3314">
        <v>56</v>
      </c>
      <c r="F3314" t="s">
        <v>58</v>
      </c>
      <c r="G3314" s="1">
        <v>25218</v>
      </c>
      <c r="H3314" t="s">
        <v>7296</v>
      </c>
      <c r="I3314" s="2" t="str">
        <f t="shared" si="51"/>
        <v>+91-9501976238</v>
      </c>
      <c r="J3314">
        <f>91-9501976329</f>
        <v>-9501976238</v>
      </c>
      <c r="K3314" t="s">
        <v>165</v>
      </c>
      <c r="L3314" t="s">
        <v>52</v>
      </c>
      <c r="M3314">
        <v>894453</v>
      </c>
      <c r="N3314" s="1">
        <v>45261</v>
      </c>
      <c r="O3314" t="s">
        <v>28</v>
      </c>
      <c r="P3314">
        <v>4</v>
      </c>
      <c r="Q3314">
        <v>58050.12</v>
      </c>
    </row>
    <row r="3315" spans="1:17" x14ac:dyDescent="0.3">
      <c r="A3315" t="s">
        <v>7297</v>
      </c>
      <c r="B3315" t="s">
        <v>669</v>
      </c>
      <c r="C3315" s="2" t="str">
        <f>PROPER(TRIM(Table1[[#This Row],[Gender]]))</f>
        <v>Female</v>
      </c>
      <c r="D3315" t="s">
        <v>43</v>
      </c>
      <c r="E3315">
        <v>22</v>
      </c>
      <c r="F3315" t="s">
        <v>49</v>
      </c>
      <c r="G3315" s="1">
        <v>37628</v>
      </c>
      <c r="H3315" t="s">
        <v>7298</v>
      </c>
      <c r="I3315" s="2" t="str">
        <f t="shared" si="51"/>
        <v>+91-9025360122</v>
      </c>
      <c r="J3315">
        <f>91-9025360213</f>
        <v>-9025360122</v>
      </c>
      <c r="K3315" t="s">
        <v>239</v>
      </c>
      <c r="L3315" t="s">
        <v>191</v>
      </c>
      <c r="M3315">
        <v>273706</v>
      </c>
      <c r="N3315" s="1">
        <v>45381</v>
      </c>
      <c r="O3315" t="s">
        <v>28</v>
      </c>
      <c r="P3315">
        <v>2</v>
      </c>
      <c r="Q3315">
        <v>102390.08</v>
      </c>
    </row>
    <row r="3316" spans="1:17" x14ac:dyDescent="0.3">
      <c r="A3316" t="s">
        <v>7299</v>
      </c>
      <c r="B3316" t="s">
        <v>107</v>
      </c>
      <c r="C3316" s="2" t="str">
        <f>PROPER(TRIM(Table1[[#This Row],[Gender]]))</f>
        <v>Female</v>
      </c>
      <c r="D3316" t="s">
        <v>43</v>
      </c>
      <c r="E3316">
        <v>29</v>
      </c>
      <c r="F3316" t="s">
        <v>31</v>
      </c>
      <c r="G3316" s="1">
        <v>35073</v>
      </c>
      <c r="H3316" t="s">
        <v>7300</v>
      </c>
      <c r="I3316" s="2" t="str">
        <f t="shared" si="51"/>
        <v>+91-8140278087</v>
      </c>
      <c r="J3316">
        <f>91-8140278178</f>
        <v>-8140278087</v>
      </c>
      <c r="K3316" t="s">
        <v>147</v>
      </c>
      <c r="L3316" t="s">
        <v>143</v>
      </c>
      <c r="M3316">
        <v>797742</v>
      </c>
      <c r="N3316" s="1">
        <v>45287</v>
      </c>
      <c r="O3316" t="s">
        <v>28</v>
      </c>
      <c r="P3316">
        <v>4</v>
      </c>
      <c r="Q3316">
        <v>74687.149999999994</v>
      </c>
    </row>
    <row r="3317" spans="1:17" x14ac:dyDescent="0.3">
      <c r="A3317" t="s">
        <v>7301</v>
      </c>
      <c r="B3317" t="s">
        <v>5412</v>
      </c>
      <c r="C3317" s="2" t="str">
        <f>PROPER(TRIM(Table1[[#This Row],[Gender]]))</f>
        <v>Male</v>
      </c>
      <c r="D3317" t="s">
        <v>16</v>
      </c>
      <c r="E3317">
        <v>52</v>
      </c>
      <c r="F3317" t="s">
        <v>17</v>
      </c>
      <c r="G3317" s="1">
        <v>26678</v>
      </c>
      <c r="H3317" t="s">
        <v>7302</v>
      </c>
      <c r="I3317" s="2" t="str">
        <f t="shared" si="51"/>
        <v>+91-7905610787</v>
      </c>
      <c r="J3317">
        <f>91-7905610878</f>
        <v>-7905610787</v>
      </c>
      <c r="K3317" t="s">
        <v>80</v>
      </c>
      <c r="L3317" t="s">
        <v>20</v>
      </c>
      <c r="M3317">
        <v>323688</v>
      </c>
      <c r="N3317" s="1">
        <v>45212</v>
      </c>
      <c r="O3317" t="s">
        <v>21</v>
      </c>
      <c r="P3317">
        <v>6</v>
      </c>
      <c r="Q3317">
        <v>33405.699999999997</v>
      </c>
    </row>
    <row r="3318" spans="1:17" x14ac:dyDescent="0.3">
      <c r="A3318" t="s">
        <v>7303</v>
      </c>
      <c r="B3318" t="s">
        <v>163</v>
      </c>
      <c r="C3318" s="2" t="str">
        <f>PROPER(TRIM(Table1[[#This Row],[Gender]]))</f>
        <v>Female</v>
      </c>
      <c r="D3318" t="s">
        <v>43</v>
      </c>
      <c r="E3318">
        <v>30</v>
      </c>
      <c r="F3318" t="s">
        <v>31</v>
      </c>
      <c r="G3318" s="1">
        <v>34708</v>
      </c>
      <c r="H3318" t="s">
        <v>164</v>
      </c>
      <c r="I3318" s="2" t="str">
        <f t="shared" si="51"/>
        <v>+91-8104253766</v>
      </c>
      <c r="J3318">
        <f>91-8104253857</f>
        <v>-8104253766</v>
      </c>
      <c r="K3318" t="s">
        <v>165</v>
      </c>
      <c r="L3318" t="s">
        <v>52</v>
      </c>
      <c r="M3318">
        <v>749949</v>
      </c>
      <c r="N3318" s="1">
        <v>45175</v>
      </c>
      <c r="O3318" t="s">
        <v>28</v>
      </c>
      <c r="P3318">
        <v>9</v>
      </c>
      <c r="Q3318">
        <v>244719.87</v>
      </c>
    </row>
    <row r="3319" spans="1:17" x14ac:dyDescent="0.3">
      <c r="A3319" t="s">
        <v>7304</v>
      </c>
      <c r="B3319" t="s">
        <v>3255</v>
      </c>
      <c r="C3319" s="2" t="str">
        <f>PROPER(TRIM(Table1[[#This Row],[Gender]]))</f>
        <v>Female</v>
      </c>
      <c r="D3319" t="s">
        <v>43</v>
      </c>
      <c r="E3319">
        <v>71</v>
      </c>
      <c r="F3319" t="s">
        <v>24</v>
      </c>
      <c r="G3319" s="1">
        <v>19743</v>
      </c>
      <c r="H3319" t="s">
        <v>7305</v>
      </c>
      <c r="I3319" s="2" t="str">
        <f t="shared" si="51"/>
        <v>+91-9078987975</v>
      </c>
      <c r="J3319">
        <f>91-9078988066</f>
        <v>-9078987975</v>
      </c>
      <c r="K3319" t="s">
        <v>190</v>
      </c>
      <c r="L3319" t="s">
        <v>191</v>
      </c>
      <c r="M3319">
        <v>243615</v>
      </c>
      <c r="N3319" s="1">
        <v>45284</v>
      </c>
      <c r="O3319" t="s">
        <v>35</v>
      </c>
      <c r="P3319">
        <v>3</v>
      </c>
      <c r="Q3319">
        <v>2731.52</v>
      </c>
    </row>
    <row r="3320" spans="1:17" x14ac:dyDescent="0.3">
      <c r="A3320" t="s">
        <v>7306</v>
      </c>
      <c r="B3320" t="s">
        <v>3735</v>
      </c>
      <c r="C3320" s="2" t="str">
        <f>PROPER(TRIM(Table1[[#This Row],[Gender]]))</f>
        <v>Female</v>
      </c>
      <c r="D3320" t="s">
        <v>43</v>
      </c>
      <c r="E3320">
        <v>23</v>
      </c>
      <c r="F3320" t="s">
        <v>49</v>
      </c>
      <c r="G3320" s="1">
        <v>37263</v>
      </c>
      <c r="H3320" t="s">
        <v>7307</v>
      </c>
      <c r="I3320" s="2" t="str">
        <f t="shared" si="51"/>
        <v>+91-8720899741</v>
      </c>
      <c r="J3320">
        <f>91-8720899832</f>
        <v>-8720899741</v>
      </c>
      <c r="K3320" t="s">
        <v>142</v>
      </c>
      <c r="L3320" t="s">
        <v>143</v>
      </c>
      <c r="M3320">
        <v>177384</v>
      </c>
      <c r="N3320" s="1">
        <v>45412</v>
      </c>
      <c r="O3320" t="s">
        <v>35</v>
      </c>
      <c r="P3320">
        <v>3</v>
      </c>
      <c r="Q3320">
        <v>3694.55</v>
      </c>
    </row>
    <row r="3321" spans="1:17" x14ac:dyDescent="0.3">
      <c r="A3321" t="s">
        <v>7308</v>
      </c>
      <c r="B3321" t="s">
        <v>848</v>
      </c>
      <c r="C3321" s="2" t="str">
        <f>PROPER(TRIM(Table1[[#This Row],[Gender]]))</f>
        <v>Female</v>
      </c>
      <c r="D3321" t="s">
        <v>43</v>
      </c>
      <c r="E3321">
        <v>18</v>
      </c>
      <c r="F3321" t="s">
        <v>49</v>
      </c>
      <c r="G3321" s="1">
        <v>39088</v>
      </c>
      <c r="H3321" t="s">
        <v>7309</v>
      </c>
      <c r="I3321" s="2" t="str">
        <f t="shared" si="51"/>
        <v>+91-7662632879</v>
      </c>
      <c r="J3321">
        <f>91-7662632970</f>
        <v>-7662632879</v>
      </c>
      <c r="K3321" t="s">
        <v>121</v>
      </c>
      <c r="L3321" t="s">
        <v>85</v>
      </c>
      <c r="M3321">
        <v>237444</v>
      </c>
      <c r="N3321" s="1">
        <v>45215</v>
      </c>
      <c r="O3321" t="s">
        <v>21</v>
      </c>
      <c r="P3321">
        <v>3</v>
      </c>
      <c r="Q3321">
        <v>47094.26</v>
      </c>
    </row>
    <row r="3322" spans="1:17" x14ac:dyDescent="0.3">
      <c r="A3322" t="s">
        <v>7310</v>
      </c>
      <c r="B3322" t="s">
        <v>998</v>
      </c>
      <c r="C3322" s="2" t="str">
        <f>PROPER(TRIM(Table1[[#This Row],[Gender]]))</f>
        <v>Female</v>
      </c>
      <c r="D3322" t="s">
        <v>43</v>
      </c>
      <c r="E3322">
        <v>25</v>
      </c>
      <c r="F3322" t="s">
        <v>49</v>
      </c>
      <c r="G3322" s="1">
        <v>36533</v>
      </c>
      <c r="H3322" t="s">
        <v>7311</v>
      </c>
      <c r="I3322" s="2" t="str">
        <f t="shared" si="51"/>
        <v>+91-9541550849</v>
      </c>
      <c r="J3322">
        <f>91-9541550940</f>
        <v>-9541550849</v>
      </c>
      <c r="K3322" t="s">
        <v>94</v>
      </c>
      <c r="L3322" t="s">
        <v>20</v>
      </c>
      <c r="M3322">
        <v>630116</v>
      </c>
      <c r="N3322" s="1">
        <v>45277</v>
      </c>
      <c r="O3322" t="s">
        <v>28</v>
      </c>
      <c r="P3322">
        <v>5</v>
      </c>
      <c r="Q3322">
        <v>131056.13</v>
      </c>
    </row>
    <row r="3323" spans="1:17" x14ac:dyDescent="0.3">
      <c r="A3323" t="s">
        <v>7312</v>
      </c>
      <c r="B3323" t="s">
        <v>7313</v>
      </c>
      <c r="C3323" s="2" t="str">
        <f>PROPER(TRIM(Table1[[#This Row],[Gender]]))</f>
        <v>Male</v>
      </c>
      <c r="D3323" t="s">
        <v>16</v>
      </c>
      <c r="E3323">
        <v>39</v>
      </c>
      <c r="F3323" t="s">
        <v>38</v>
      </c>
      <c r="G3323" s="1">
        <v>31423</v>
      </c>
      <c r="H3323" t="s">
        <v>7314</v>
      </c>
      <c r="I3323" s="2" t="str">
        <f t="shared" si="51"/>
        <v>+91-8824818022</v>
      </c>
      <c r="J3323">
        <f>91-8824818113</f>
        <v>-8824818022</v>
      </c>
      <c r="K3323" t="s">
        <v>72</v>
      </c>
      <c r="L3323" t="s">
        <v>34</v>
      </c>
      <c r="M3323">
        <v>960145</v>
      </c>
      <c r="N3323" s="1">
        <v>45088</v>
      </c>
      <c r="O3323" t="s">
        <v>28</v>
      </c>
      <c r="P3323">
        <v>9</v>
      </c>
      <c r="Q3323">
        <v>182309.19</v>
      </c>
    </row>
    <row r="3324" spans="1:17" x14ac:dyDescent="0.3">
      <c r="A3324" t="s">
        <v>7315</v>
      </c>
      <c r="B3324" t="s">
        <v>2288</v>
      </c>
      <c r="C3324" s="2" t="str">
        <f>PROPER(TRIM(Table1[[#This Row],[Gender]]))</f>
        <v>Male</v>
      </c>
      <c r="D3324" t="s">
        <v>16</v>
      </c>
      <c r="E3324">
        <v>28</v>
      </c>
      <c r="F3324" t="s">
        <v>31</v>
      </c>
      <c r="G3324" s="1">
        <v>35438</v>
      </c>
      <c r="H3324" t="s">
        <v>7316</v>
      </c>
      <c r="I3324" s="2" t="str">
        <f t="shared" si="51"/>
        <v>+91-7417494413</v>
      </c>
      <c r="J3324">
        <f>91-7417494504</f>
        <v>-7417494413</v>
      </c>
      <c r="K3324" t="s">
        <v>76</v>
      </c>
      <c r="L3324" t="s">
        <v>46</v>
      </c>
      <c r="M3324">
        <v>399785</v>
      </c>
      <c r="N3324" s="1">
        <v>45315</v>
      </c>
      <c r="O3324" t="s">
        <v>28</v>
      </c>
      <c r="P3324">
        <v>5</v>
      </c>
      <c r="Q3324">
        <v>52323.97</v>
      </c>
    </row>
    <row r="3325" spans="1:17" x14ac:dyDescent="0.3">
      <c r="A3325" t="s">
        <v>7317</v>
      </c>
      <c r="B3325" t="s">
        <v>167</v>
      </c>
      <c r="C3325" s="2" t="str">
        <f>PROPER(TRIM(Table1[[#This Row],[Gender]]))</f>
        <v>Female</v>
      </c>
      <c r="D3325" t="s">
        <v>43</v>
      </c>
      <c r="E3325">
        <v>45</v>
      </c>
      <c r="F3325" t="s">
        <v>38</v>
      </c>
      <c r="G3325" s="1">
        <v>29233</v>
      </c>
      <c r="H3325" t="s">
        <v>2453</v>
      </c>
      <c r="I3325" s="2" t="str">
        <f t="shared" si="51"/>
        <v>+91-7308402181</v>
      </c>
      <c r="J3325">
        <f>91-7308402272</f>
        <v>-7308402181</v>
      </c>
      <c r="K3325" t="s">
        <v>101</v>
      </c>
      <c r="L3325" t="s">
        <v>102</v>
      </c>
      <c r="M3325">
        <v>472178</v>
      </c>
      <c r="N3325" s="1">
        <v>45426</v>
      </c>
      <c r="O3325" t="s">
        <v>28</v>
      </c>
      <c r="P3325">
        <v>7</v>
      </c>
      <c r="Q3325">
        <v>449031.41</v>
      </c>
    </row>
    <row r="3326" spans="1:17" x14ac:dyDescent="0.3">
      <c r="A3326" t="s">
        <v>7318</v>
      </c>
      <c r="B3326" t="s">
        <v>4439</v>
      </c>
      <c r="C3326" s="2" t="str">
        <f>PROPER(TRIM(Table1[[#This Row],[Gender]]))</f>
        <v>Male</v>
      </c>
      <c r="D3326" t="s">
        <v>16</v>
      </c>
      <c r="E3326">
        <v>64</v>
      </c>
      <c r="F3326" t="s">
        <v>58</v>
      </c>
      <c r="G3326" s="1">
        <v>22298</v>
      </c>
      <c r="H3326" t="s">
        <v>7319</v>
      </c>
      <c r="I3326" s="2" t="str">
        <f t="shared" si="51"/>
        <v>+91-9861984217</v>
      </c>
      <c r="J3326">
        <f>91-9861984308</f>
        <v>-9861984217</v>
      </c>
      <c r="K3326" t="s">
        <v>580</v>
      </c>
      <c r="L3326" t="s">
        <v>85</v>
      </c>
      <c r="M3326">
        <v>330707</v>
      </c>
      <c r="N3326" s="1">
        <v>45360</v>
      </c>
      <c r="O3326" t="s">
        <v>35</v>
      </c>
      <c r="P3326">
        <v>3</v>
      </c>
      <c r="Q3326">
        <v>19830.52</v>
      </c>
    </row>
    <row r="3327" spans="1:17" x14ac:dyDescent="0.3">
      <c r="A3327" t="s">
        <v>7320</v>
      </c>
      <c r="B3327" t="s">
        <v>6310</v>
      </c>
      <c r="C3327" s="2" t="str">
        <f>PROPER(TRIM(Table1[[#This Row],[Gender]]))</f>
        <v>Female</v>
      </c>
      <c r="D3327" t="s">
        <v>43</v>
      </c>
      <c r="E3327">
        <v>37</v>
      </c>
      <c r="F3327" t="s">
        <v>38</v>
      </c>
      <c r="G3327" s="1">
        <v>32153</v>
      </c>
      <c r="H3327" t="s">
        <v>7321</v>
      </c>
      <c r="I3327" s="2" t="str">
        <f t="shared" si="51"/>
        <v>+91-8890462592</v>
      </c>
      <c r="J3327">
        <f>91-8890462683</f>
        <v>-8890462592</v>
      </c>
      <c r="K3327" t="s">
        <v>195</v>
      </c>
      <c r="L3327" t="s">
        <v>102</v>
      </c>
      <c r="M3327">
        <v>744909</v>
      </c>
      <c r="N3327" s="1">
        <v>45381</v>
      </c>
      <c r="O3327" t="s">
        <v>21</v>
      </c>
      <c r="P3327">
        <v>3</v>
      </c>
      <c r="Q3327">
        <v>27289.89</v>
      </c>
    </row>
    <row r="3328" spans="1:17" x14ac:dyDescent="0.3">
      <c r="A3328" t="s">
        <v>7322</v>
      </c>
      <c r="B3328" t="s">
        <v>658</v>
      </c>
      <c r="C3328" s="2" t="str">
        <f>PROPER(TRIM(Table1[[#This Row],[Gender]]))</f>
        <v>Male</v>
      </c>
      <c r="D3328" t="s">
        <v>16</v>
      </c>
      <c r="E3328">
        <v>54</v>
      </c>
      <c r="F3328" t="s">
        <v>17</v>
      </c>
      <c r="G3328" s="1">
        <v>25948</v>
      </c>
      <c r="H3328" t="s">
        <v>7323</v>
      </c>
      <c r="I3328" s="2" t="str">
        <f t="shared" si="51"/>
        <v>+91-7511949654</v>
      </c>
      <c r="J3328">
        <f>91-7511949745</f>
        <v>-7511949654</v>
      </c>
      <c r="K3328" t="s">
        <v>113</v>
      </c>
      <c r="L3328" t="s">
        <v>34</v>
      </c>
      <c r="M3328">
        <v>550716</v>
      </c>
      <c r="N3328" s="1">
        <v>45430</v>
      </c>
      <c r="O3328" t="s">
        <v>28</v>
      </c>
      <c r="P3328">
        <v>5</v>
      </c>
      <c r="Q3328">
        <v>72446.48</v>
      </c>
    </row>
    <row r="3329" spans="1:17" x14ac:dyDescent="0.3">
      <c r="A3329" t="s">
        <v>7324</v>
      </c>
      <c r="B3329" t="s">
        <v>1919</v>
      </c>
      <c r="C3329" s="2" t="str">
        <f>PROPER(TRIM(Table1[[#This Row],[Gender]]))</f>
        <v>Male</v>
      </c>
      <c r="D3329" t="s">
        <v>16</v>
      </c>
      <c r="E3329">
        <v>25</v>
      </c>
      <c r="F3329" t="s">
        <v>49</v>
      </c>
      <c r="G3329" s="1">
        <v>36533</v>
      </c>
      <c r="H3329" t="s">
        <v>5673</v>
      </c>
      <c r="I3329" s="2" t="str">
        <f t="shared" si="51"/>
        <v>+91-8019614909</v>
      </c>
      <c r="J3329">
        <f>91-8019615000</f>
        <v>-8019614909</v>
      </c>
      <c r="K3329" t="s">
        <v>113</v>
      </c>
      <c r="L3329" t="s">
        <v>34</v>
      </c>
      <c r="M3329">
        <v>997725</v>
      </c>
      <c r="N3329" s="1">
        <v>45198</v>
      </c>
      <c r="O3329" t="s">
        <v>28</v>
      </c>
      <c r="P3329">
        <v>3</v>
      </c>
      <c r="Q3329">
        <v>57666.76</v>
      </c>
    </row>
    <row r="3330" spans="1:17" x14ac:dyDescent="0.3">
      <c r="A3330" t="s">
        <v>7325</v>
      </c>
      <c r="B3330" t="s">
        <v>2054</v>
      </c>
      <c r="C3330" s="2" t="str">
        <f>PROPER(TRIM(Table1[[#This Row],[Gender]]))</f>
        <v>Female</v>
      </c>
      <c r="D3330" t="s">
        <v>43</v>
      </c>
      <c r="E3330">
        <v>30</v>
      </c>
      <c r="F3330" t="s">
        <v>31</v>
      </c>
      <c r="G3330" s="1">
        <v>34708</v>
      </c>
      <c r="H3330" t="s">
        <v>5176</v>
      </c>
      <c r="I3330" s="2" t="str">
        <f t="shared" ref="I3330:I3393" si="52">"+91"&amp;TEXT(J3330,"0000000000")</f>
        <v>+91-9635460466</v>
      </c>
      <c r="J3330">
        <f>91-9635460557</f>
        <v>-9635460466</v>
      </c>
      <c r="K3330" t="s">
        <v>138</v>
      </c>
      <c r="L3330" t="s">
        <v>90</v>
      </c>
      <c r="M3330">
        <v>571758</v>
      </c>
      <c r="N3330" s="1">
        <v>45268</v>
      </c>
      <c r="O3330" t="s">
        <v>28</v>
      </c>
      <c r="P3330">
        <v>7</v>
      </c>
      <c r="Q3330">
        <v>136441.74</v>
      </c>
    </row>
    <row r="3331" spans="1:17" x14ac:dyDescent="0.3">
      <c r="A3331" t="s">
        <v>7326</v>
      </c>
      <c r="B3331" t="s">
        <v>115</v>
      </c>
      <c r="C3331" s="2" t="str">
        <f>PROPER(TRIM(Table1[[#This Row],[Gender]]))</f>
        <v>Male</v>
      </c>
      <c r="D3331" t="s">
        <v>16</v>
      </c>
      <c r="E3331">
        <v>27</v>
      </c>
      <c r="F3331" t="s">
        <v>31</v>
      </c>
      <c r="G3331" s="1">
        <v>35803</v>
      </c>
      <c r="H3331" t="s">
        <v>7327</v>
      </c>
      <c r="I3331" s="2" t="str">
        <f t="shared" si="52"/>
        <v>+91-8678118900</v>
      </c>
      <c r="J3331">
        <f>91-8678118991</f>
        <v>-8678118900</v>
      </c>
      <c r="K3331" t="s">
        <v>161</v>
      </c>
      <c r="L3331" t="s">
        <v>102</v>
      </c>
      <c r="M3331">
        <v>139075</v>
      </c>
      <c r="N3331" s="1">
        <v>45212</v>
      </c>
      <c r="O3331" t="s">
        <v>28</v>
      </c>
      <c r="P3331">
        <v>4</v>
      </c>
      <c r="Q3331">
        <v>122482.48</v>
      </c>
    </row>
    <row r="3332" spans="1:17" x14ac:dyDescent="0.3">
      <c r="A3332" t="s">
        <v>7328</v>
      </c>
      <c r="B3332" t="s">
        <v>1926</v>
      </c>
      <c r="C3332" s="2" t="str">
        <f>PROPER(TRIM(Table1[[#This Row],[Gender]]))</f>
        <v>Female</v>
      </c>
      <c r="D3332" t="s">
        <v>43</v>
      </c>
      <c r="E3332">
        <v>25</v>
      </c>
      <c r="F3332" t="s">
        <v>49</v>
      </c>
      <c r="G3332" s="1">
        <v>36533</v>
      </c>
      <c r="H3332" t="s">
        <v>4428</v>
      </c>
      <c r="I3332" s="2" t="str">
        <f t="shared" si="52"/>
        <v>+91-7187288987</v>
      </c>
      <c r="J3332">
        <f>91-7187289078</f>
        <v>-7187288987</v>
      </c>
      <c r="K3332" t="s">
        <v>125</v>
      </c>
      <c r="L3332" t="s">
        <v>52</v>
      </c>
      <c r="M3332">
        <v>875238</v>
      </c>
      <c r="N3332" s="1">
        <v>45170</v>
      </c>
      <c r="O3332" t="s">
        <v>28</v>
      </c>
      <c r="P3332">
        <v>3</v>
      </c>
      <c r="Q3332">
        <v>68549.25</v>
      </c>
    </row>
    <row r="3333" spans="1:17" x14ac:dyDescent="0.3">
      <c r="A3333" t="s">
        <v>7329</v>
      </c>
      <c r="B3333" t="s">
        <v>413</v>
      </c>
      <c r="C3333" s="2" t="str">
        <f>PROPER(TRIM(Table1[[#This Row],[Gender]]))</f>
        <v>Female</v>
      </c>
      <c r="D3333" t="s">
        <v>43</v>
      </c>
      <c r="E3333">
        <v>29</v>
      </c>
      <c r="F3333" t="s">
        <v>31</v>
      </c>
      <c r="G3333" s="1">
        <v>35073</v>
      </c>
      <c r="H3333" t="s">
        <v>7330</v>
      </c>
      <c r="I3333" s="2" t="str">
        <f t="shared" si="52"/>
        <v>+91-9378322086</v>
      </c>
      <c r="J3333">
        <f>91-9378322177</f>
        <v>-9378322086</v>
      </c>
      <c r="K3333" t="s">
        <v>51</v>
      </c>
      <c r="L3333" t="s">
        <v>52</v>
      </c>
      <c r="M3333">
        <v>477712</v>
      </c>
      <c r="N3333" s="1">
        <v>45238</v>
      </c>
      <c r="O3333" t="s">
        <v>28</v>
      </c>
      <c r="P3333">
        <v>6</v>
      </c>
      <c r="Q3333">
        <v>343001.51</v>
      </c>
    </row>
    <row r="3334" spans="1:17" x14ac:dyDescent="0.3">
      <c r="A3334" t="s">
        <v>7331</v>
      </c>
      <c r="B3334" t="s">
        <v>4157</v>
      </c>
      <c r="C3334" s="2" t="str">
        <f>PROPER(TRIM(Table1[[#This Row],[Gender]]))</f>
        <v>Female</v>
      </c>
      <c r="D3334" t="s">
        <v>43</v>
      </c>
      <c r="E3334">
        <v>37</v>
      </c>
      <c r="F3334" t="s">
        <v>38</v>
      </c>
      <c r="G3334" s="1">
        <v>32153</v>
      </c>
      <c r="H3334" t="s">
        <v>7332</v>
      </c>
      <c r="I3334" s="2" t="str">
        <f t="shared" si="52"/>
        <v>+91-7833957843</v>
      </c>
      <c r="J3334">
        <f>91-7833957934</f>
        <v>-7833957843</v>
      </c>
      <c r="K3334" t="s">
        <v>64</v>
      </c>
      <c r="L3334" t="s">
        <v>20</v>
      </c>
      <c r="M3334">
        <v>954133</v>
      </c>
      <c r="N3334" s="1">
        <v>45358</v>
      </c>
      <c r="O3334" t="s">
        <v>28</v>
      </c>
      <c r="P3334">
        <v>4</v>
      </c>
      <c r="Q3334">
        <v>347407.87</v>
      </c>
    </row>
    <row r="3335" spans="1:17" x14ac:dyDescent="0.3">
      <c r="A3335" t="s">
        <v>7333</v>
      </c>
      <c r="B3335" t="s">
        <v>1228</v>
      </c>
      <c r="C3335" s="2" t="str">
        <f>PROPER(TRIM(Table1[[#This Row],[Gender]]))</f>
        <v>Female</v>
      </c>
      <c r="D3335" t="s">
        <v>43</v>
      </c>
      <c r="E3335">
        <v>28</v>
      </c>
      <c r="F3335" t="s">
        <v>31</v>
      </c>
      <c r="G3335" s="1">
        <v>35438</v>
      </c>
      <c r="H3335" t="s">
        <v>7334</v>
      </c>
      <c r="I3335" s="2" t="str">
        <f t="shared" si="52"/>
        <v>+91-9221469229</v>
      </c>
      <c r="J3335">
        <f>91-9221469320</f>
        <v>-9221469229</v>
      </c>
      <c r="K3335" t="s">
        <v>40</v>
      </c>
      <c r="L3335" t="s">
        <v>27</v>
      </c>
      <c r="M3335">
        <v>487461</v>
      </c>
      <c r="N3335" s="1">
        <v>45129</v>
      </c>
      <c r="O3335" t="s">
        <v>28</v>
      </c>
      <c r="P3335">
        <v>8</v>
      </c>
      <c r="Q3335">
        <v>280854.28999999998</v>
      </c>
    </row>
    <row r="3336" spans="1:17" x14ac:dyDescent="0.3">
      <c r="A3336" t="s">
        <v>7335</v>
      </c>
      <c r="B3336" t="s">
        <v>4080</v>
      </c>
      <c r="C3336" s="2" t="str">
        <f>PROPER(TRIM(Table1[[#This Row],[Gender]]))</f>
        <v>Male</v>
      </c>
      <c r="D3336" t="s">
        <v>16</v>
      </c>
      <c r="E3336">
        <v>43</v>
      </c>
      <c r="F3336" t="s">
        <v>38</v>
      </c>
      <c r="G3336" s="1">
        <v>29963</v>
      </c>
      <c r="H3336" t="s">
        <v>7336</v>
      </c>
      <c r="I3336" s="2" t="str">
        <f t="shared" si="52"/>
        <v>+91-9538939291</v>
      </c>
      <c r="J3336">
        <f>91-9538939382</f>
        <v>-9538939291</v>
      </c>
      <c r="K3336" t="s">
        <v>161</v>
      </c>
      <c r="L3336" t="s">
        <v>102</v>
      </c>
      <c r="M3336">
        <v>975428</v>
      </c>
      <c r="N3336" s="1">
        <v>45434</v>
      </c>
      <c r="O3336" t="s">
        <v>28</v>
      </c>
      <c r="P3336">
        <v>4</v>
      </c>
      <c r="Q3336">
        <v>99757.39</v>
      </c>
    </row>
    <row r="3337" spans="1:17" x14ac:dyDescent="0.3">
      <c r="A3337" t="s">
        <v>7337</v>
      </c>
      <c r="B3337" t="s">
        <v>563</v>
      </c>
      <c r="C3337" s="2" t="str">
        <f>PROPER(TRIM(Table1[[#This Row],[Gender]]))</f>
        <v>Male</v>
      </c>
      <c r="D3337" t="s">
        <v>16</v>
      </c>
      <c r="E3337">
        <v>22</v>
      </c>
      <c r="F3337" t="s">
        <v>49</v>
      </c>
      <c r="G3337" s="1">
        <v>37628</v>
      </c>
      <c r="H3337" t="s">
        <v>7338</v>
      </c>
      <c r="I3337" s="2" t="str">
        <f t="shared" si="52"/>
        <v>+91-7545821556</v>
      </c>
      <c r="J3337">
        <f>91-7545821647</f>
        <v>-7545821556</v>
      </c>
      <c r="K3337" t="s">
        <v>117</v>
      </c>
      <c r="L3337" t="s">
        <v>52</v>
      </c>
      <c r="M3337">
        <v>190918</v>
      </c>
      <c r="N3337" s="1">
        <v>45144</v>
      </c>
      <c r="O3337" t="s">
        <v>28</v>
      </c>
      <c r="P3337">
        <v>7</v>
      </c>
      <c r="Q3337">
        <v>63674.3</v>
      </c>
    </row>
    <row r="3338" spans="1:17" x14ac:dyDescent="0.3">
      <c r="A3338" t="s">
        <v>7339</v>
      </c>
      <c r="B3338" t="s">
        <v>7340</v>
      </c>
      <c r="C3338" s="2" t="str">
        <f>PROPER(TRIM(Table1[[#This Row],[Gender]]))</f>
        <v>Male</v>
      </c>
      <c r="D3338" t="s">
        <v>16</v>
      </c>
      <c r="E3338">
        <v>29</v>
      </c>
      <c r="F3338" t="s">
        <v>31</v>
      </c>
      <c r="G3338" s="1">
        <v>35073</v>
      </c>
      <c r="H3338" t="s">
        <v>7341</v>
      </c>
      <c r="I3338" s="2" t="str">
        <f t="shared" si="52"/>
        <v>+91-7293714748</v>
      </c>
      <c r="J3338">
        <f>91-7293714839</f>
        <v>-7293714748</v>
      </c>
      <c r="K3338" t="s">
        <v>26</v>
      </c>
      <c r="L3338" t="s">
        <v>27</v>
      </c>
      <c r="M3338">
        <v>173155</v>
      </c>
      <c r="N3338" s="1">
        <v>45100</v>
      </c>
      <c r="O3338" t="s">
        <v>28</v>
      </c>
      <c r="P3338">
        <v>9</v>
      </c>
      <c r="Q3338">
        <v>121295.98</v>
      </c>
    </row>
    <row r="3339" spans="1:17" x14ac:dyDescent="0.3">
      <c r="A3339" t="s">
        <v>7342</v>
      </c>
      <c r="B3339" t="s">
        <v>2271</v>
      </c>
      <c r="C3339" s="2" t="str">
        <f>PROPER(TRIM(Table1[[#This Row],[Gender]]))</f>
        <v>Female</v>
      </c>
      <c r="D3339" t="s">
        <v>43</v>
      </c>
      <c r="E3339">
        <v>35</v>
      </c>
      <c r="F3339" t="s">
        <v>31</v>
      </c>
      <c r="G3339" s="1">
        <v>32883</v>
      </c>
      <c r="H3339" t="s">
        <v>7343</v>
      </c>
      <c r="I3339" s="2" t="str">
        <f t="shared" si="52"/>
        <v>+91-8868385553</v>
      </c>
      <c r="J3339">
        <f>91-8868385644</f>
        <v>-8868385553</v>
      </c>
      <c r="K3339" t="s">
        <v>80</v>
      </c>
      <c r="L3339" t="s">
        <v>20</v>
      </c>
      <c r="M3339">
        <v>925991</v>
      </c>
      <c r="N3339" s="1">
        <v>45344</v>
      </c>
      <c r="O3339" t="s">
        <v>28</v>
      </c>
      <c r="P3339">
        <v>7</v>
      </c>
      <c r="Q3339">
        <v>58580.95</v>
      </c>
    </row>
    <row r="3340" spans="1:17" x14ac:dyDescent="0.3">
      <c r="A3340" t="s">
        <v>7344</v>
      </c>
      <c r="B3340" t="s">
        <v>543</v>
      </c>
      <c r="C3340" s="2" t="str">
        <f>PROPER(TRIM(Table1[[#This Row],[Gender]]))</f>
        <v>Female</v>
      </c>
      <c r="D3340" t="s">
        <v>43</v>
      </c>
      <c r="E3340">
        <v>34</v>
      </c>
      <c r="F3340" t="s">
        <v>31</v>
      </c>
      <c r="G3340" s="1">
        <v>33248</v>
      </c>
      <c r="H3340" t="s">
        <v>7345</v>
      </c>
      <c r="I3340" s="2" t="str">
        <f t="shared" si="52"/>
        <v>+91-8838403036</v>
      </c>
      <c r="J3340">
        <f>91-8838403127</f>
        <v>-8838403036</v>
      </c>
      <c r="K3340" t="s">
        <v>64</v>
      </c>
      <c r="L3340" t="s">
        <v>20</v>
      </c>
      <c r="M3340">
        <v>132819</v>
      </c>
      <c r="N3340" s="1">
        <v>45142</v>
      </c>
      <c r="O3340" t="s">
        <v>28</v>
      </c>
      <c r="P3340">
        <v>4</v>
      </c>
      <c r="Q3340">
        <v>187722</v>
      </c>
    </row>
    <row r="3341" spans="1:17" x14ac:dyDescent="0.3">
      <c r="A3341" t="s">
        <v>7346</v>
      </c>
      <c r="B3341" t="s">
        <v>3778</v>
      </c>
      <c r="C3341" s="2" t="str">
        <f>PROPER(TRIM(Table1[[#This Row],[Gender]]))</f>
        <v>Female</v>
      </c>
      <c r="D3341" t="s">
        <v>43</v>
      </c>
      <c r="E3341">
        <v>37</v>
      </c>
      <c r="F3341" t="s">
        <v>38</v>
      </c>
      <c r="G3341" s="1">
        <v>32153</v>
      </c>
      <c r="H3341" t="s">
        <v>7347</v>
      </c>
      <c r="I3341" s="2" t="str">
        <f t="shared" si="52"/>
        <v>+91-7663359303</v>
      </c>
      <c r="J3341">
        <f>91-7663359394</f>
        <v>-7663359303</v>
      </c>
      <c r="K3341" t="s">
        <v>178</v>
      </c>
      <c r="L3341" t="s">
        <v>27</v>
      </c>
      <c r="M3341">
        <v>949707</v>
      </c>
      <c r="N3341" s="1">
        <v>45410</v>
      </c>
      <c r="O3341" t="s">
        <v>28</v>
      </c>
      <c r="P3341">
        <v>5</v>
      </c>
      <c r="Q3341">
        <v>148011.62</v>
      </c>
    </row>
    <row r="3342" spans="1:17" x14ac:dyDescent="0.3">
      <c r="A3342" t="s">
        <v>7348</v>
      </c>
      <c r="B3342" t="s">
        <v>2834</v>
      </c>
      <c r="C3342" s="2" t="str">
        <f>PROPER(TRIM(Table1[[#This Row],[Gender]]))</f>
        <v>Male</v>
      </c>
      <c r="D3342" t="s">
        <v>16</v>
      </c>
      <c r="E3342">
        <v>46</v>
      </c>
      <c r="F3342" t="s">
        <v>17</v>
      </c>
      <c r="G3342" s="1">
        <v>28868</v>
      </c>
      <c r="H3342" t="s">
        <v>7349</v>
      </c>
      <c r="I3342" s="2" t="str">
        <f t="shared" si="52"/>
        <v>+91-7555718843</v>
      </c>
      <c r="J3342">
        <f>91-7555718934</f>
        <v>-7555718843</v>
      </c>
      <c r="K3342" t="s">
        <v>174</v>
      </c>
      <c r="L3342" t="s">
        <v>90</v>
      </c>
      <c r="M3342">
        <v>266211</v>
      </c>
      <c r="N3342" s="1">
        <v>45127</v>
      </c>
      <c r="O3342" t="s">
        <v>35</v>
      </c>
      <c r="P3342">
        <v>1</v>
      </c>
      <c r="Q3342">
        <v>156.66999999999999</v>
      </c>
    </row>
    <row r="3343" spans="1:17" x14ac:dyDescent="0.3">
      <c r="A3343" t="s">
        <v>7350</v>
      </c>
      <c r="B3343" t="s">
        <v>7340</v>
      </c>
      <c r="C3343" s="2" t="str">
        <f>PROPER(TRIM(Table1[[#This Row],[Gender]]))</f>
        <v>Male</v>
      </c>
      <c r="D3343" t="s">
        <v>16</v>
      </c>
      <c r="E3343">
        <v>46</v>
      </c>
      <c r="F3343" t="s">
        <v>17</v>
      </c>
      <c r="G3343" s="1">
        <v>28868</v>
      </c>
      <c r="H3343" t="s">
        <v>7351</v>
      </c>
      <c r="I3343" s="2" t="str">
        <f t="shared" si="52"/>
        <v>+91-8193977926</v>
      </c>
      <c r="J3343">
        <f>91-8193978017</f>
        <v>-8193977926</v>
      </c>
      <c r="K3343" t="s">
        <v>60</v>
      </c>
      <c r="L3343" t="s">
        <v>34</v>
      </c>
      <c r="M3343">
        <v>985004</v>
      </c>
      <c r="N3343" s="1">
        <v>45186</v>
      </c>
      <c r="O3343" t="s">
        <v>35</v>
      </c>
      <c r="P3343">
        <v>1</v>
      </c>
      <c r="Q3343">
        <v>17887.43</v>
      </c>
    </row>
    <row r="3344" spans="1:17" x14ac:dyDescent="0.3">
      <c r="A3344" t="s">
        <v>7352</v>
      </c>
      <c r="B3344" t="s">
        <v>7353</v>
      </c>
      <c r="C3344" s="2" t="str">
        <f>PROPER(TRIM(Table1[[#This Row],[Gender]]))</f>
        <v>Male</v>
      </c>
      <c r="D3344" t="s">
        <v>16</v>
      </c>
      <c r="E3344">
        <v>22</v>
      </c>
      <c r="F3344" t="s">
        <v>49</v>
      </c>
      <c r="G3344" s="1">
        <v>37628</v>
      </c>
      <c r="H3344" t="s">
        <v>7354</v>
      </c>
      <c r="I3344" s="2" t="str">
        <f t="shared" si="52"/>
        <v>+91-7311459530</v>
      </c>
      <c r="J3344">
        <f>91-7311459621</f>
        <v>-7311459530</v>
      </c>
      <c r="K3344" t="s">
        <v>147</v>
      </c>
      <c r="L3344" t="s">
        <v>143</v>
      </c>
      <c r="M3344">
        <v>180656</v>
      </c>
      <c r="N3344" s="1">
        <v>45154</v>
      </c>
      <c r="O3344" t="s">
        <v>35</v>
      </c>
      <c r="P3344">
        <v>1</v>
      </c>
      <c r="Q3344">
        <v>156.16999999999999</v>
      </c>
    </row>
    <row r="3345" spans="1:17" x14ac:dyDescent="0.3">
      <c r="A3345" t="s">
        <v>7355</v>
      </c>
      <c r="B3345" t="s">
        <v>1043</v>
      </c>
      <c r="C3345" s="2" t="str">
        <f>PROPER(TRIM(Table1[[#This Row],[Gender]]))</f>
        <v>Female</v>
      </c>
      <c r="D3345" t="s">
        <v>43</v>
      </c>
      <c r="E3345">
        <v>18</v>
      </c>
      <c r="F3345" t="s">
        <v>49</v>
      </c>
      <c r="G3345" s="1">
        <v>39088</v>
      </c>
      <c r="H3345" t="s">
        <v>6431</v>
      </c>
      <c r="I3345" s="2" t="str">
        <f t="shared" si="52"/>
        <v>+91-8636177657</v>
      </c>
      <c r="J3345">
        <f>91-8636177748</f>
        <v>-8636177657</v>
      </c>
      <c r="K3345" t="s">
        <v>331</v>
      </c>
      <c r="L3345" t="s">
        <v>143</v>
      </c>
      <c r="M3345">
        <v>121968</v>
      </c>
      <c r="N3345" s="1">
        <v>45385</v>
      </c>
      <c r="O3345" t="s">
        <v>28</v>
      </c>
      <c r="P3345">
        <v>4</v>
      </c>
      <c r="Q3345">
        <v>59096.04</v>
      </c>
    </row>
    <row r="3346" spans="1:17" x14ac:dyDescent="0.3">
      <c r="A3346" t="s">
        <v>7356</v>
      </c>
      <c r="B3346" t="s">
        <v>1205</v>
      </c>
      <c r="C3346" s="2" t="str">
        <f>PROPER(TRIM(Table1[[#This Row],[Gender]]))</f>
        <v>Male</v>
      </c>
      <c r="D3346" t="s">
        <v>16</v>
      </c>
      <c r="E3346">
        <v>22</v>
      </c>
      <c r="F3346" t="s">
        <v>49</v>
      </c>
      <c r="G3346" s="1">
        <v>37628</v>
      </c>
      <c r="H3346" t="s">
        <v>4907</v>
      </c>
      <c r="I3346" s="2" t="str">
        <f t="shared" si="52"/>
        <v>+91-8594086437</v>
      </c>
      <c r="J3346">
        <f>91-8594086528</f>
        <v>-8594086437</v>
      </c>
      <c r="K3346" t="s">
        <v>51</v>
      </c>
      <c r="L3346" t="s">
        <v>52</v>
      </c>
      <c r="M3346">
        <v>162444</v>
      </c>
      <c r="N3346" s="1">
        <v>45140</v>
      </c>
      <c r="O3346" t="s">
        <v>28</v>
      </c>
      <c r="P3346">
        <v>8</v>
      </c>
      <c r="Q3346">
        <v>154334.51</v>
      </c>
    </row>
    <row r="3347" spans="1:17" x14ac:dyDescent="0.3">
      <c r="A3347" t="s">
        <v>7357</v>
      </c>
      <c r="B3347" t="s">
        <v>608</v>
      </c>
      <c r="C3347" s="2" t="str">
        <f>PROPER(TRIM(Table1[[#This Row],[Gender]]))</f>
        <v>Female</v>
      </c>
      <c r="D3347" t="s">
        <v>43</v>
      </c>
      <c r="E3347">
        <v>46</v>
      </c>
      <c r="F3347" t="s">
        <v>17</v>
      </c>
      <c r="G3347" s="1">
        <v>28868</v>
      </c>
      <c r="H3347" t="s">
        <v>7358</v>
      </c>
      <c r="I3347" s="2" t="str">
        <f t="shared" si="52"/>
        <v>+91-8741717767</v>
      </c>
      <c r="J3347">
        <f>91-8741717858</f>
        <v>-8741717767</v>
      </c>
      <c r="K3347" t="s">
        <v>415</v>
      </c>
      <c r="L3347" t="s">
        <v>90</v>
      </c>
      <c r="M3347">
        <v>787805</v>
      </c>
      <c r="N3347" s="1">
        <v>45176</v>
      </c>
      <c r="O3347" t="s">
        <v>28</v>
      </c>
      <c r="P3347">
        <v>12</v>
      </c>
      <c r="Q3347">
        <v>209518.56</v>
      </c>
    </row>
    <row r="3348" spans="1:17" x14ac:dyDescent="0.3">
      <c r="A3348" t="s">
        <v>7359</v>
      </c>
      <c r="B3348" t="s">
        <v>1787</v>
      </c>
      <c r="C3348" s="2" t="str">
        <f>PROPER(TRIM(Table1[[#This Row],[Gender]]))</f>
        <v>Male</v>
      </c>
      <c r="D3348" t="s">
        <v>16</v>
      </c>
      <c r="E3348">
        <v>25</v>
      </c>
      <c r="F3348" t="s">
        <v>49</v>
      </c>
      <c r="G3348" s="1">
        <v>36533</v>
      </c>
      <c r="H3348" t="s">
        <v>1788</v>
      </c>
      <c r="I3348" s="2" t="str">
        <f t="shared" si="52"/>
        <v>+91-9039125383</v>
      </c>
      <c r="J3348">
        <f>91-9039125474</f>
        <v>-9039125383</v>
      </c>
      <c r="K3348" t="s">
        <v>161</v>
      </c>
      <c r="L3348" t="s">
        <v>102</v>
      </c>
      <c r="M3348">
        <v>851102</v>
      </c>
      <c r="N3348" s="1">
        <v>45309</v>
      </c>
      <c r="O3348" t="s">
        <v>28</v>
      </c>
      <c r="P3348">
        <v>8</v>
      </c>
      <c r="Q3348">
        <v>226668.51</v>
      </c>
    </row>
    <row r="3349" spans="1:17" x14ac:dyDescent="0.3">
      <c r="A3349" t="s">
        <v>7360</v>
      </c>
      <c r="B3349" t="s">
        <v>1275</v>
      </c>
      <c r="C3349" s="2" t="str">
        <f>PROPER(TRIM(Table1[[#This Row],[Gender]]))</f>
        <v>Female</v>
      </c>
      <c r="D3349" t="s">
        <v>43</v>
      </c>
      <c r="E3349">
        <v>29</v>
      </c>
      <c r="F3349" t="s">
        <v>31</v>
      </c>
      <c r="G3349" s="1">
        <v>35073</v>
      </c>
      <c r="H3349" t="s">
        <v>7361</v>
      </c>
      <c r="I3349" s="2" t="str">
        <f t="shared" si="52"/>
        <v>+91-7850510190</v>
      </c>
      <c r="J3349">
        <f>91-7850510281</f>
        <v>-7850510190</v>
      </c>
      <c r="K3349" t="s">
        <v>202</v>
      </c>
      <c r="L3349" t="s">
        <v>191</v>
      </c>
      <c r="M3349">
        <v>225234</v>
      </c>
      <c r="N3349" s="1">
        <v>45281</v>
      </c>
      <c r="O3349" t="s">
        <v>35</v>
      </c>
      <c r="P3349">
        <v>3</v>
      </c>
      <c r="Q3349">
        <v>12513.35</v>
      </c>
    </row>
    <row r="3350" spans="1:17" x14ac:dyDescent="0.3">
      <c r="A3350" t="s">
        <v>7362</v>
      </c>
      <c r="B3350" t="s">
        <v>4439</v>
      </c>
      <c r="C3350" s="2" t="str">
        <f>PROPER(TRIM(Table1[[#This Row],[Gender]]))</f>
        <v>Male</v>
      </c>
      <c r="D3350" t="s">
        <v>16</v>
      </c>
      <c r="E3350">
        <v>37</v>
      </c>
      <c r="F3350" t="s">
        <v>38</v>
      </c>
      <c r="G3350" s="1">
        <v>32153</v>
      </c>
      <c r="H3350" t="s">
        <v>7363</v>
      </c>
      <c r="I3350" s="2" t="str">
        <f t="shared" si="52"/>
        <v>+91-9181257612</v>
      </c>
      <c r="J3350">
        <f>91-9181257703</f>
        <v>-9181257612</v>
      </c>
      <c r="K3350" t="s">
        <v>249</v>
      </c>
      <c r="L3350" t="s">
        <v>34</v>
      </c>
      <c r="M3350">
        <v>492186</v>
      </c>
      <c r="N3350" s="1">
        <v>45078</v>
      </c>
      <c r="O3350" t="s">
        <v>21</v>
      </c>
      <c r="P3350">
        <v>4</v>
      </c>
      <c r="Q3350">
        <v>49585.89</v>
      </c>
    </row>
    <row r="3351" spans="1:17" x14ac:dyDescent="0.3">
      <c r="A3351" t="s">
        <v>7364</v>
      </c>
      <c r="B3351" t="s">
        <v>3839</v>
      </c>
      <c r="C3351" s="2" t="str">
        <f>PROPER(TRIM(Table1[[#This Row],[Gender]]))</f>
        <v>Male</v>
      </c>
      <c r="D3351" t="s">
        <v>16</v>
      </c>
      <c r="E3351">
        <v>26</v>
      </c>
      <c r="F3351" t="s">
        <v>31</v>
      </c>
      <c r="G3351" s="1">
        <v>36168</v>
      </c>
      <c r="H3351" t="s">
        <v>7365</v>
      </c>
      <c r="I3351" s="2" t="str">
        <f t="shared" si="52"/>
        <v>+91-9846672136</v>
      </c>
      <c r="J3351">
        <f>91-9846672227</f>
        <v>-9846672136</v>
      </c>
      <c r="K3351" t="s">
        <v>415</v>
      </c>
      <c r="L3351" t="s">
        <v>90</v>
      </c>
      <c r="M3351">
        <v>928837</v>
      </c>
      <c r="N3351" s="1">
        <v>45334</v>
      </c>
      <c r="O3351" t="s">
        <v>28</v>
      </c>
      <c r="P3351">
        <v>5</v>
      </c>
      <c r="Q3351">
        <v>60077.26</v>
      </c>
    </row>
    <row r="3352" spans="1:17" x14ac:dyDescent="0.3">
      <c r="A3352" t="s">
        <v>7366</v>
      </c>
      <c r="B3352" t="s">
        <v>413</v>
      </c>
      <c r="C3352" s="2" t="str">
        <f>PROPER(TRIM(Table1[[#This Row],[Gender]]))</f>
        <v>Female</v>
      </c>
      <c r="D3352" t="s">
        <v>43</v>
      </c>
      <c r="E3352">
        <v>37</v>
      </c>
      <c r="F3352" t="s">
        <v>38</v>
      </c>
      <c r="G3352" s="1">
        <v>32153</v>
      </c>
      <c r="H3352" t="s">
        <v>7367</v>
      </c>
      <c r="I3352" s="2" t="str">
        <f t="shared" si="52"/>
        <v>+91-9935309701</v>
      </c>
      <c r="J3352">
        <f>91-9935309792</f>
        <v>-9935309701</v>
      </c>
      <c r="K3352" t="s">
        <v>68</v>
      </c>
      <c r="L3352" t="s">
        <v>52</v>
      </c>
      <c r="M3352">
        <v>318518</v>
      </c>
      <c r="N3352" s="1">
        <v>45333</v>
      </c>
      <c r="O3352" t="s">
        <v>28</v>
      </c>
      <c r="P3352">
        <v>7</v>
      </c>
      <c r="Q3352">
        <v>396363.56</v>
      </c>
    </row>
    <row r="3353" spans="1:17" x14ac:dyDescent="0.3">
      <c r="A3353" t="s">
        <v>7368</v>
      </c>
      <c r="B3353" t="s">
        <v>4296</v>
      </c>
      <c r="C3353" s="2" t="str">
        <f>PROPER(TRIM(Table1[[#This Row],[Gender]]))</f>
        <v>Male</v>
      </c>
      <c r="D3353" t="s">
        <v>16</v>
      </c>
      <c r="E3353">
        <v>27</v>
      </c>
      <c r="F3353" t="s">
        <v>31</v>
      </c>
      <c r="G3353" s="1">
        <v>35803</v>
      </c>
      <c r="H3353" t="s">
        <v>7369</v>
      </c>
      <c r="I3353" s="2" t="str">
        <f t="shared" si="52"/>
        <v>+91-8843088605</v>
      </c>
      <c r="J3353">
        <f>91-8843088696</f>
        <v>-8843088605</v>
      </c>
      <c r="K3353" t="s">
        <v>45</v>
      </c>
      <c r="L3353" t="s">
        <v>46</v>
      </c>
      <c r="M3353">
        <v>194360</v>
      </c>
      <c r="N3353" s="1">
        <v>45104</v>
      </c>
      <c r="O3353" t="s">
        <v>28</v>
      </c>
      <c r="P3353">
        <v>4</v>
      </c>
      <c r="Q3353">
        <v>76490.36</v>
      </c>
    </row>
    <row r="3354" spans="1:17" x14ac:dyDescent="0.3">
      <c r="A3354" t="s">
        <v>7370</v>
      </c>
      <c r="B3354" t="s">
        <v>823</v>
      </c>
      <c r="C3354" s="2" t="str">
        <f>PROPER(TRIM(Table1[[#This Row],[Gender]]))</f>
        <v>Female</v>
      </c>
      <c r="D3354" t="s">
        <v>43</v>
      </c>
      <c r="E3354">
        <v>40</v>
      </c>
      <c r="F3354" t="s">
        <v>38</v>
      </c>
      <c r="G3354" s="1">
        <v>31058</v>
      </c>
      <c r="H3354" t="s">
        <v>7371</v>
      </c>
      <c r="I3354" s="2" t="str">
        <f t="shared" si="52"/>
        <v>+91-9375333788</v>
      </c>
      <c r="J3354">
        <f>91-9375333879</f>
        <v>-9375333788</v>
      </c>
      <c r="K3354" t="s">
        <v>26</v>
      </c>
      <c r="L3354" t="s">
        <v>27</v>
      </c>
      <c r="M3354">
        <v>459341</v>
      </c>
      <c r="N3354" s="1">
        <v>45369</v>
      </c>
      <c r="O3354" t="s">
        <v>28</v>
      </c>
      <c r="P3354">
        <v>7</v>
      </c>
      <c r="Q3354">
        <v>292032.62</v>
      </c>
    </row>
    <row r="3355" spans="1:17" x14ac:dyDescent="0.3">
      <c r="A3355" t="s">
        <v>7372</v>
      </c>
      <c r="B3355" t="s">
        <v>2853</v>
      </c>
      <c r="C3355" s="2" t="str">
        <f>PROPER(TRIM(Table1[[#This Row],[Gender]]))</f>
        <v>Male</v>
      </c>
      <c r="D3355" t="s">
        <v>16</v>
      </c>
      <c r="E3355">
        <v>44</v>
      </c>
      <c r="F3355" t="s">
        <v>38</v>
      </c>
      <c r="G3355" s="1">
        <v>29598</v>
      </c>
      <c r="H3355" t="s">
        <v>7373</v>
      </c>
      <c r="I3355" s="2" t="str">
        <f t="shared" si="52"/>
        <v>+91-7051365178</v>
      </c>
      <c r="J3355">
        <f>91-7051365269</f>
        <v>-7051365178</v>
      </c>
      <c r="K3355" t="s">
        <v>33</v>
      </c>
      <c r="L3355" t="s">
        <v>34</v>
      </c>
      <c r="M3355">
        <v>609599</v>
      </c>
      <c r="N3355" s="1">
        <v>45340</v>
      </c>
      <c r="O3355" t="s">
        <v>28</v>
      </c>
      <c r="P3355">
        <v>4</v>
      </c>
      <c r="Q3355">
        <v>94747.57</v>
      </c>
    </row>
    <row r="3356" spans="1:17" x14ac:dyDescent="0.3">
      <c r="A3356" t="s">
        <v>7374</v>
      </c>
      <c r="B3356" t="s">
        <v>2927</v>
      </c>
      <c r="C3356" s="2" t="str">
        <f>PROPER(TRIM(Table1[[#This Row],[Gender]]))</f>
        <v>Male</v>
      </c>
      <c r="D3356" t="s">
        <v>16</v>
      </c>
      <c r="E3356">
        <v>22</v>
      </c>
      <c r="F3356" t="s">
        <v>49</v>
      </c>
      <c r="G3356" s="1">
        <v>37628</v>
      </c>
      <c r="H3356" t="s">
        <v>7375</v>
      </c>
      <c r="I3356" s="2" t="str">
        <f t="shared" si="52"/>
        <v>+91-8402519294</v>
      </c>
      <c r="J3356">
        <f>91-8402519385</f>
        <v>-8402519294</v>
      </c>
      <c r="K3356" t="s">
        <v>165</v>
      </c>
      <c r="L3356" t="s">
        <v>52</v>
      </c>
      <c r="M3356">
        <v>286056</v>
      </c>
      <c r="N3356" s="1">
        <v>45244</v>
      </c>
      <c r="O3356" t="s">
        <v>28</v>
      </c>
      <c r="P3356">
        <v>5</v>
      </c>
      <c r="Q3356">
        <v>112284.97</v>
      </c>
    </row>
    <row r="3357" spans="1:17" x14ac:dyDescent="0.3">
      <c r="A3357" t="s">
        <v>7376</v>
      </c>
      <c r="B3357" t="s">
        <v>1428</v>
      </c>
      <c r="C3357" s="2" t="str">
        <f>PROPER(TRIM(Table1[[#This Row],[Gender]]))</f>
        <v>Female</v>
      </c>
      <c r="D3357" t="s">
        <v>43</v>
      </c>
      <c r="E3357">
        <v>28</v>
      </c>
      <c r="F3357" t="s">
        <v>31</v>
      </c>
      <c r="G3357" s="1">
        <v>35438</v>
      </c>
      <c r="H3357" t="s">
        <v>7377</v>
      </c>
      <c r="I3357" s="2" t="str">
        <f t="shared" si="52"/>
        <v>+91-8872946372</v>
      </c>
      <c r="J3357">
        <f>91-8872946463</f>
        <v>-8872946372</v>
      </c>
      <c r="K3357" t="s">
        <v>178</v>
      </c>
      <c r="L3357" t="s">
        <v>27</v>
      </c>
      <c r="M3357">
        <v>402005</v>
      </c>
      <c r="N3357" s="1">
        <v>45097</v>
      </c>
      <c r="O3357" t="s">
        <v>28</v>
      </c>
      <c r="P3357">
        <v>3</v>
      </c>
      <c r="Q3357">
        <v>101667.59</v>
      </c>
    </row>
    <row r="3358" spans="1:17" x14ac:dyDescent="0.3">
      <c r="A3358" t="s">
        <v>7378</v>
      </c>
      <c r="B3358" t="s">
        <v>845</v>
      </c>
      <c r="C3358" s="2" t="str">
        <f>PROPER(TRIM(Table1[[#This Row],[Gender]]))</f>
        <v>Male</v>
      </c>
      <c r="D3358" t="s">
        <v>16</v>
      </c>
      <c r="E3358">
        <v>50</v>
      </c>
      <c r="F3358" t="s">
        <v>17</v>
      </c>
      <c r="G3358" s="1">
        <v>27408</v>
      </c>
      <c r="H3358" t="s">
        <v>6027</v>
      </c>
      <c r="I3358" s="2" t="str">
        <f t="shared" si="52"/>
        <v>+91-7285454151</v>
      </c>
      <c r="J3358">
        <f>91-7285454242</f>
        <v>-7285454151</v>
      </c>
      <c r="K3358" t="s">
        <v>76</v>
      </c>
      <c r="L3358" t="s">
        <v>46</v>
      </c>
      <c r="M3358">
        <v>962916</v>
      </c>
      <c r="N3358" s="1">
        <v>45137</v>
      </c>
      <c r="O3358" t="s">
        <v>35</v>
      </c>
      <c r="P3358">
        <v>4</v>
      </c>
      <c r="Q3358">
        <v>13002.59</v>
      </c>
    </row>
    <row r="3359" spans="1:17" x14ac:dyDescent="0.3">
      <c r="A3359" t="s">
        <v>7379</v>
      </c>
      <c r="B3359" t="s">
        <v>1046</v>
      </c>
      <c r="C3359" s="2" t="str">
        <f>PROPER(TRIM(Table1[[#This Row],[Gender]]))</f>
        <v>Female</v>
      </c>
      <c r="D3359" t="s">
        <v>43</v>
      </c>
      <c r="E3359">
        <v>32</v>
      </c>
      <c r="F3359" t="s">
        <v>31</v>
      </c>
      <c r="G3359" s="1">
        <v>33978</v>
      </c>
      <c r="H3359" t="s">
        <v>1047</v>
      </c>
      <c r="I3359" s="2" t="str">
        <f t="shared" si="52"/>
        <v>+91-7035260627</v>
      </c>
      <c r="J3359">
        <f>91-7035260718</f>
        <v>-7035260627</v>
      </c>
      <c r="K3359" t="s">
        <v>147</v>
      </c>
      <c r="L3359" t="s">
        <v>143</v>
      </c>
      <c r="M3359">
        <v>938787</v>
      </c>
      <c r="N3359" s="1">
        <v>45391</v>
      </c>
      <c r="O3359" t="s">
        <v>28</v>
      </c>
      <c r="P3359">
        <v>5</v>
      </c>
      <c r="Q3359">
        <v>55276.59</v>
      </c>
    </row>
    <row r="3360" spans="1:17" x14ac:dyDescent="0.3">
      <c r="A3360" t="s">
        <v>7380</v>
      </c>
      <c r="B3360" t="s">
        <v>2984</v>
      </c>
      <c r="C3360" s="2" t="str">
        <f>PROPER(TRIM(Table1[[#This Row],[Gender]]))</f>
        <v>Female</v>
      </c>
      <c r="D3360" t="s">
        <v>43</v>
      </c>
      <c r="E3360">
        <v>35</v>
      </c>
      <c r="F3360" t="s">
        <v>31</v>
      </c>
      <c r="G3360" s="1">
        <v>32883</v>
      </c>
      <c r="H3360" t="s">
        <v>7381</v>
      </c>
      <c r="I3360" s="2" t="str">
        <f t="shared" si="52"/>
        <v>+91-8636533330</v>
      </c>
      <c r="J3360">
        <f>91-8636533421</f>
        <v>-8636533330</v>
      </c>
      <c r="K3360" t="s">
        <v>113</v>
      </c>
      <c r="L3360" t="s">
        <v>34</v>
      </c>
      <c r="M3360">
        <v>183886</v>
      </c>
      <c r="N3360" s="1">
        <v>45300</v>
      </c>
      <c r="O3360" t="s">
        <v>28</v>
      </c>
      <c r="P3360">
        <v>7</v>
      </c>
      <c r="Q3360">
        <v>386828.9</v>
      </c>
    </row>
    <row r="3361" spans="1:17" x14ac:dyDescent="0.3">
      <c r="A3361" t="s">
        <v>7382</v>
      </c>
      <c r="B3361" t="s">
        <v>6620</v>
      </c>
      <c r="C3361" s="2" t="str">
        <f>PROPER(TRIM(Table1[[#This Row],[Gender]]))</f>
        <v>Female</v>
      </c>
      <c r="D3361" t="s">
        <v>43</v>
      </c>
      <c r="E3361">
        <v>56</v>
      </c>
      <c r="F3361" t="s">
        <v>58</v>
      </c>
      <c r="G3361" s="1">
        <v>25218</v>
      </c>
      <c r="H3361" t="s">
        <v>7383</v>
      </c>
      <c r="I3361" s="2" t="str">
        <f t="shared" si="52"/>
        <v>+91-7708310710</v>
      </c>
      <c r="J3361">
        <f>91-7708310801</f>
        <v>-7708310710</v>
      </c>
      <c r="K3361" t="s">
        <v>249</v>
      </c>
      <c r="L3361" t="s">
        <v>34</v>
      </c>
      <c r="M3361">
        <v>854619</v>
      </c>
      <c r="N3361" s="1">
        <v>45346</v>
      </c>
      <c r="O3361" t="s">
        <v>21</v>
      </c>
      <c r="P3361">
        <v>5</v>
      </c>
      <c r="Q3361">
        <v>24068.14</v>
      </c>
    </row>
    <row r="3362" spans="1:17" x14ac:dyDescent="0.3">
      <c r="A3362" t="s">
        <v>7384</v>
      </c>
      <c r="B3362" t="s">
        <v>3233</v>
      </c>
      <c r="C3362" s="2" t="str">
        <f>PROPER(TRIM(Table1[[#This Row],[Gender]]))</f>
        <v>Female</v>
      </c>
      <c r="D3362" t="s">
        <v>43</v>
      </c>
      <c r="E3362">
        <v>19</v>
      </c>
      <c r="F3362" t="s">
        <v>49</v>
      </c>
      <c r="G3362" s="1">
        <v>38723</v>
      </c>
      <c r="H3362" t="s">
        <v>5656</v>
      </c>
      <c r="I3362" s="2" t="str">
        <f t="shared" si="52"/>
        <v>+91-7535811521</v>
      </c>
      <c r="J3362">
        <f>91-7535811612</f>
        <v>-7535811521</v>
      </c>
      <c r="K3362" t="s">
        <v>580</v>
      </c>
      <c r="L3362" t="s">
        <v>85</v>
      </c>
      <c r="M3362">
        <v>946279</v>
      </c>
      <c r="N3362" s="1">
        <v>45286</v>
      </c>
      <c r="O3362" t="s">
        <v>35</v>
      </c>
      <c r="P3362">
        <v>1</v>
      </c>
      <c r="Q3362">
        <v>815.63</v>
      </c>
    </row>
    <row r="3363" spans="1:17" x14ac:dyDescent="0.3">
      <c r="A3363" t="s">
        <v>7385</v>
      </c>
      <c r="B3363" t="s">
        <v>929</v>
      </c>
      <c r="C3363" s="2" t="str">
        <f>PROPER(TRIM(Table1[[#This Row],[Gender]]))</f>
        <v>Female</v>
      </c>
      <c r="D3363" t="s">
        <v>43</v>
      </c>
      <c r="E3363">
        <v>39</v>
      </c>
      <c r="F3363" t="s">
        <v>38</v>
      </c>
      <c r="G3363" s="1">
        <v>31423</v>
      </c>
      <c r="H3363" t="s">
        <v>7386</v>
      </c>
      <c r="I3363" s="2" t="str">
        <f t="shared" si="52"/>
        <v>+91-8977630758</v>
      </c>
      <c r="J3363">
        <f>91-8977630849</f>
        <v>-8977630758</v>
      </c>
      <c r="K3363" t="s">
        <v>45</v>
      </c>
      <c r="L3363" t="s">
        <v>46</v>
      </c>
      <c r="M3363">
        <v>140259</v>
      </c>
      <c r="N3363" s="1">
        <v>45229</v>
      </c>
      <c r="O3363" t="s">
        <v>28</v>
      </c>
      <c r="P3363">
        <v>7</v>
      </c>
      <c r="Q3363">
        <v>215078.12</v>
      </c>
    </row>
    <row r="3364" spans="1:17" x14ac:dyDescent="0.3">
      <c r="A3364" t="s">
        <v>7387</v>
      </c>
      <c r="B3364" t="s">
        <v>1888</v>
      </c>
      <c r="C3364" s="2" t="str">
        <f>PROPER(TRIM(Table1[[#This Row],[Gender]]))</f>
        <v>Female</v>
      </c>
      <c r="D3364" t="s">
        <v>43</v>
      </c>
      <c r="E3364">
        <v>36</v>
      </c>
      <c r="F3364" t="s">
        <v>38</v>
      </c>
      <c r="G3364" s="1">
        <v>32518</v>
      </c>
      <c r="H3364" t="s">
        <v>7388</v>
      </c>
      <c r="I3364" s="2" t="str">
        <f t="shared" si="52"/>
        <v>+91-9943087113</v>
      </c>
      <c r="J3364">
        <f>91-9943087204</f>
        <v>-9943087113</v>
      </c>
      <c r="K3364" t="s">
        <v>64</v>
      </c>
      <c r="L3364" t="s">
        <v>20</v>
      </c>
      <c r="M3364">
        <v>679381</v>
      </c>
      <c r="N3364" s="1">
        <v>45200</v>
      </c>
      <c r="O3364" t="s">
        <v>28</v>
      </c>
      <c r="P3364">
        <v>7</v>
      </c>
      <c r="Q3364">
        <v>128712.53</v>
      </c>
    </row>
    <row r="3365" spans="1:17" x14ac:dyDescent="0.3">
      <c r="A3365" t="s">
        <v>7389</v>
      </c>
      <c r="B3365" t="s">
        <v>638</v>
      </c>
      <c r="C3365" s="2" t="str">
        <f>PROPER(TRIM(Table1[[#This Row],[Gender]]))</f>
        <v>Female</v>
      </c>
      <c r="D3365" t="s">
        <v>43</v>
      </c>
      <c r="E3365">
        <v>59</v>
      </c>
      <c r="F3365" t="s">
        <v>58</v>
      </c>
      <c r="G3365" s="1">
        <v>24123</v>
      </c>
      <c r="H3365" t="s">
        <v>7390</v>
      </c>
      <c r="I3365" s="2" t="str">
        <f t="shared" si="52"/>
        <v>+91-8417078507</v>
      </c>
      <c r="J3365">
        <f>91-8417078598</f>
        <v>-8417078507</v>
      </c>
      <c r="K3365" t="s">
        <v>113</v>
      </c>
      <c r="L3365" t="s">
        <v>34</v>
      </c>
      <c r="M3365">
        <v>602230</v>
      </c>
      <c r="N3365" s="1">
        <v>45227</v>
      </c>
      <c r="O3365" t="s">
        <v>21</v>
      </c>
      <c r="P3365">
        <v>4</v>
      </c>
      <c r="Q3365">
        <v>33590.15</v>
      </c>
    </row>
    <row r="3366" spans="1:17" x14ac:dyDescent="0.3">
      <c r="A3366" t="s">
        <v>7391</v>
      </c>
      <c r="B3366" t="s">
        <v>804</v>
      </c>
      <c r="C3366" s="2" t="str">
        <f>PROPER(TRIM(Table1[[#This Row],[Gender]]))</f>
        <v>Male</v>
      </c>
      <c r="D3366" t="s">
        <v>16</v>
      </c>
      <c r="E3366">
        <v>35</v>
      </c>
      <c r="F3366" t="s">
        <v>31</v>
      </c>
      <c r="G3366" s="1">
        <v>32883</v>
      </c>
      <c r="H3366" t="s">
        <v>805</v>
      </c>
      <c r="I3366" s="2" t="str">
        <f t="shared" si="52"/>
        <v>+91-8798849768</v>
      </c>
      <c r="J3366">
        <f>91-8798849859</f>
        <v>-8798849768</v>
      </c>
      <c r="K3366" t="s">
        <v>84</v>
      </c>
      <c r="L3366" t="s">
        <v>85</v>
      </c>
      <c r="M3366">
        <v>745113</v>
      </c>
      <c r="N3366" s="1">
        <v>45439</v>
      </c>
      <c r="O3366" t="s">
        <v>28</v>
      </c>
      <c r="P3366">
        <v>3</v>
      </c>
      <c r="Q3366">
        <v>168803.95</v>
      </c>
    </row>
    <row r="3367" spans="1:17" x14ac:dyDescent="0.3">
      <c r="A3367" t="s">
        <v>7392</v>
      </c>
      <c r="B3367" t="s">
        <v>3789</v>
      </c>
      <c r="C3367" s="2" t="str">
        <f>PROPER(TRIM(Table1[[#This Row],[Gender]]))</f>
        <v>Male</v>
      </c>
      <c r="D3367" t="s">
        <v>16</v>
      </c>
      <c r="E3367">
        <v>21</v>
      </c>
      <c r="F3367" t="s">
        <v>49</v>
      </c>
      <c r="G3367" s="1">
        <v>37993</v>
      </c>
      <c r="H3367" t="s">
        <v>7393</v>
      </c>
      <c r="I3367" s="2" t="str">
        <f t="shared" si="52"/>
        <v>+91-7797950310</v>
      </c>
      <c r="J3367">
        <f>91-7797950401</f>
        <v>-7797950310</v>
      </c>
      <c r="K3367" t="s">
        <v>109</v>
      </c>
      <c r="L3367" t="s">
        <v>46</v>
      </c>
      <c r="M3367">
        <v>979529</v>
      </c>
      <c r="N3367" s="1">
        <v>45351</v>
      </c>
      <c r="O3367" t="s">
        <v>21</v>
      </c>
      <c r="P3367">
        <v>5</v>
      </c>
      <c r="Q3367">
        <v>35622.519999999997</v>
      </c>
    </row>
    <row r="3368" spans="1:17" x14ac:dyDescent="0.3">
      <c r="A3368" t="s">
        <v>7394</v>
      </c>
      <c r="B3368" t="s">
        <v>1316</v>
      </c>
      <c r="C3368" s="2" t="str">
        <f>PROPER(TRIM(Table1[[#This Row],[Gender]]))</f>
        <v>Female</v>
      </c>
      <c r="D3368" t="s">
        <v>43</v>
      </c>
      <c r="E3368">
        <v>69</v>
      </c>
      <c r="F3368" t="s">
        <v>24</v>
      </c>
      <c r="G3368" s="1">
        <v>20473</v>
      </c>
      <c r="H3368" t="s">
        <v>7395</v>
      </c>
      <c r="I3368" s="2" t="str">
        <f t="shared" si="52"/>
        <v>+91-8833175062</v>
      </c>
      <c r="J3368">
        <f>91-8833175153</f>
        <v>-8833175062</v>
      </c>
      <c r="K3368" t="s">
        <v>76</v>
      </c>
      <c r="L3368" t="s">
        <v>46</v>
      </c>
      <c r="M3368">
        <v>256081</v>
      </c>
      <c r="N3368" s="1">
        <v>45103</v>
      </c>
      <c r="O3368" t="s">
        <v>28</v>
      </c>
      <c r="P3368">
        <v>8</v>
      </c>
      <c r="Q3368">
        <v>99597.84</v>
      </c>
    </row>
    <row r="3369" spans="1:17" x14ac:dyDescent="0.3">
      <c r="A3369" t="s">
        <v>7396</v>
      </c>
      <c r="B3369" t="s">
        <v>853</v>
      </c>
      <c r="C3369" s="2" t="str">
        <f>PROPER(TRIM(Table1[[#This Row],[Gender]]))</f>
        <v>Male</v>
      </c>
      <c r="D3369" t="s">
        <v>16</v>
      </c>
      <c r="E3369">
        <v>23</v>
      </c>
      <c r="F3369" t="s">
        <v>49</v>
      </c>
      <c r="G3369" s="1">
        <v>37263</v>
      </c>
      <c r="H3369" t="s">
        <v>7397</v>
      </c>
      <c r="I3369" s="2" t="str">
        <f t="shared" si="52"/>
        <v>+91-9577303917</v>
      </c>
      <c r="J3369">
        <f>91-9577304008</f>
        <v>-9577303917</v>
      </c>
      <c r="K3369" t="s">
        <v>113</v>
      </c>
      <c r="L3369" t="s">
        <v>34</v>
      </c>
      <c r="M3369">
        <v>938758</v>
      </c>
      <c r="N3369" s="1">
        <v>45352</v>
      </c>
      <c r="O3369" t="s">
        <v>28</v>
      </c>
      <c r="P3369">
        <v>9</v>
      </c>
      <c r="Q3369">
        <v>90590.29</v>
      </c>
    </row>
    <row r="3370" spans="1:17" x14ac:dyDescent="0.3">
      <c r="A3370" t="s">
        <v>7398</v>
      </c>
      <c r="B3370" t="s">
        <v>3312</v>
      </c>
      <c r="C3370" s="2" t="str">
        <f>PROPER(TRIM(Table1[[#This Row],[Gender]]))</f>
        <v>Male</v>
      </c>
      <c r="D3370" t="s">
        <v>16</v>
      </c>
      <c r="E3370">
        <v>29</v>
      </c>
      <c r="F3370" t="s">
        <v>31</v>
      </c>
      <c r="G3370" s="1">
        <v>35073</v>
      </c>
      <c r="H3370" t="s">
        <v>7399</v>
      </c>
      <c r="I3370" s="2" t="str">
        <f t="shared" si="52"/>
        <v>+91-7632892598</v>
      </c>
      <c r="J3370">
        <f>91-7632892689</f>
        <v>-7632892598</v>
      </c>
      <c r="K3370" t="s">
        <v>415</v>
      </c>
      <c r="L3370" t="s">
        <v>90</v>
      </c>
      <c r="M3370">
        <v>994205</v>
      </c>
      <c r="N3370" s="1">
        <v>45441</v>
      </c>
      <c r="O3370" t="s">
        <v>28</v>
      </c>
      <c r="P3370">
        <v>4</v>
      </c>
      <c r="Q3370">
        <v>55218.22</v>
      </c>
    </row>
    <row r="3371" spans="1:17" x14ac:dyDescent="0.3">
      <c r="A3371" t="s">
        <v>7400</v>
      </c>
      <c r="B3371" t="s">
        <v>1741</v>
      </c>
      <c r="C3371" s="2" t="str">
        <f>PROPER(TRIM(Table1[[#This Row],[Gender]]))</f>
        <v>Female</v>
      </c>
      <c r="D3371" t="s">
        <v>43</v>
      </c>
      <c r="E3371">
        <v>30</v>
      </c>
      <c r="F3371" t="s">
        <v>31</v>
      </c>
      <c r="G3371" s="1">
        <v>34708</v>
      </c>
      <c r="H3371" t="s">
        <v>7401</v>
      </c>
      <c r="I3371" s="2" t="str">
        <f t="shared" si="52"/>
        <v>+91-7886868029</v>
      </c>
      <c r="J3371">
        <f>91-7886868120</f>
        <v>-7886868029</v>
      </c>
      <c r="K3371" t="s">
        <v>174</v>
      </c>
      <c r="L3371" t="s">
        <v>90</v>
      </c>
      <c r="M3371">
        <v>267716</v>
      </c>
      <c r="N3371" s="1">
        <v>45392</v>
      </c>
      <c r="O3371" t="s">
        <v>28</v>
      </c>
      <c r="P3371">
        <v>4</v>
      </c>
      <c r="Q3371">
        <v>119160.68</v>
      </c>
    </row>
    <row r="3372" spans="1:17" x14ac:dyDescent="0.3">
      <c r="A3372" t="s">
        <v>7402</v>
      </c>
      <c r="B3372" t="s">
        <v>1926</v>
      </c>
      <c r="C3372" s="2" t="str">
        <f>PROPER(TRIM(Table1[[#This Row],[Gender]]))</f>
        <v>Female</v>
      </c>
      <c r="D3372" t="s">
        <v>43</v>
      </c>
      <c r="E3372">
        <v>37</v>
      </c>
      <c r="F3372" t="s">
        <v>38</v>
      </c>
      <c r="G3372" s="1">
        <v>32153</v>
      </c>
      <c r="H3372" t="s">
        <v>7403</v>
      </c>
      <c r="I3372" s="2" t="str">
        <f t="shared" si="52"/>
        <v>+91-7959051059</v>
      </c>
      <c r="J3372">
        <f>91-7959051150</f>
        <v>-7959051059</v>
      </c>
      <c r="K3372" t="s">
        <v>51</v>
      </c>
      <c r="L3372" t="s">
        <v>52</v>
      </c>
      <c r="M3372">
        <v>543270</v>
      </c>
      <c r="N3372" s="1">
        <v>45428</v>
      </c>
      <c r="O3372" t="s">
        <v>28</v>
      </c>
      <c r="P3372">
        <v>7</v>
      </c>
      <c r="Q3372">
        <v>149727.35999999999</v>
      </c>
    </row>
    <row r="3373" spans="1:17" x14ac:dyDescent="0.3">
      <c r="A3373" t="s">
        <v>7404</v>
      </c>
      <c r="B3373" t="s">
        <v>2190</v>
      </c>
      <c r="C3373" s="2" t="str">
        <f>PROPER(TRIM(Table1[[#This Row],[Gender]]))</f>
        <v>Male</v>
      </c>
      <c r="D3373" t="s">
        <v>16</v>
      </c>
      <c r="E3373">
        <v>20</v>
      </c>
      <c r="F3373" t="s">
        <v>49</v>
      </c>
      <c r="G3373" s="1">
        <v>38358</v>
      </c>
      <c r="H3373" t="s">
        <v>7405</v>
      </c>
      <c r="I3373" s="2" t="str">
        <f t="shared" si="52"/>
        <v>+91-9399443839</v>
      </c>
      <c r="J3373">
        <f>91-9399443930</f>
        <v>-9399443839</v>
      </c>
      <c r="K3373" t="s">
        <v>138</v>
      </c>
      <c r="L3373" t="s">
        <v>90</v>
      </c>
      <c r="M3373">
        <v>357101</v>
      </c>
      <c r="N3373" s="1">
        <v>45426</v>
      </c>
      <c r="O3373" t="s">
        <v>28</v>
      </c>
      <c r="P3373">
        <v>9</v>
      </c>
      <c r="Q3373">
        <v>283080.40000000002</v>
      </c>
    </row>
    <row r="3374" spans="1:17" x14ac:dyDescent="0.3">
      <c r="A3374" t="s">
        <v>7406</v>
      </c>
      <c r="B3374" t="s">
        <v>6516</v>
      </c>
      <c r="C3374" s="2" t="str">
        <f>PROPER(TRIM(Table1[[#This Row],[Gender]]))</f>
        <v>Male</v>
      </c>
      <c r="D3374" t="s">
        <v>16</v>
      </c>
      <c r="E3374">
        <v>46</v>
      </c>
      <c r="F3374" t="s">
        <v>17</v>
      </c>
      <c r="G3374" s="1">
        <v>28868</v>
      </c>
      <c r="H3374" t="s">
        <v>7407</v>
      </c>
      <c r="I3374" s="2" t="str">
        <f t="shared" si="52"/>
        <v>+91-7941461730</v>
      </c>
      <c r="J3374">
        <f>91-7941461821</f>
        <v>-7941461730</v>
      </c>
      <c r="K3374" t="s">
        <v>40</v>
      </c>
      <c r="L3374" t="s">
        <v>27</v>
      </c>
      <c r="M3374">
        <v>103982</v>
      </c>
      <c r="N3374" s="1">
        <v>45088</v>
      </c>
      <c r="O3374" t="s">
        <v>21</v>
      </c>
      <c r="P3374">
        <v>2</v>
      </c>
      <c r="Q3374">
        <v>21678.33</v>
      </c>
    </row>
    <row r="3375" spans="1:17" x14ac:dyDescent="0.3">
      <c r="A3375" t="s">
        <v>7408</v>
      </c>
      <c r="B3375" t="s">
        <v>6266</v>
      </c>
      <c r="C3375" s="2" t="str">
        <f>PROPER(TRIM(Table1[[#This Row],[Gender]]))</f>
        <v>Female</v>
      </c>
      <c r="D3375" t="s">
        <v>43</v>
      </c>
      <c r="E3375">
        <v>63</v>
      </c>
      <c r="F3375" t="s">
        <v>58</v>
      </c>
      <c r="G3375" s="1">
        <v>22663</v>
      </c>
      <c r="H3375" t="s">
        <v>7409</v>
      </c>
      <c r="I3375" s="2" t="str">
        <f t="shared" si="52"/>
        <v>+91-8058267921</v>
      </c>
      <c r="J3375">
        <f>91-8058268012</f>
        <v>-8058267921</v>
      </c>
      <c r="K3375" t="s">
        <v>51</v>
      </c>
      <c r="L3375" t="s">
        <v>52</v>
      </c>
      <c r="M3375">
        <v>994989</v>
      </c>
      <c r="N3375" s="1">
        <v>45351</v>
      </c>
      <c r="O3375" t="s">
        <v>28</v>
      </c>
      <c r="P3375">
        <v>7</v>
      </c>
      <c r="Q3375">
        <v>73796.33</v>
      </c>
    </row>
    <row r="3376" spans="1:17" x14ac:dyDescent="0.3">
      <c r="A3376" t="s">
        <v>7410</v>
      </c>
      <c r="B3376" t="s">
        <v>54</v>
      </c>
      <c r="C3376" s="2" t="str">
        <f>PROPER(TRIM(Table1[[#This Row],[Gender]]))</f>
        <v>Male</v>
      </c>
      <c r="D3376" t="s">
        <v>16</v>
      </c>
      <c r="E3376">
        <v>40</v>
      </c>
      <c r="F3376" t="s">
        <v>38</v>
      </c>
      <c r="G3376" s="1">
        <v>31058</v>
      </c>
      <c r="H3376" t="s">
        <v>7411</v>
      </c>
      <c r="I3376" s="2" t="str">
        <f t="shared" si="52"/>
        <v>+91-7281081805</v>
      </c>
      <c r="J3376">
        <f>91-7281081896</f>
        <v>-7281081805</v>
      </c>
      <c r="K3376" t="s">
        <v>142</v>
      </c>
      <c r="L3376" t="s">
        <v>143</v>
      </c>
      <c r="M3376">
        <v>689924</v>
      </c>
      <c r="N3376" s="1">
        <v>45199</v>
      </c>
      <c r="O3376" t="s">
        <v>21</v>
      </c>
      <c r="P3376">
        <v>4</v>
      </c>
      <c r="Q3376">
        <v>36591.97</v>
      </c>
    </row>
    <row r="3377" spans="1:17" x14ac:dyDescent="0.3">
      <c r="A3377" t="s">
        <v>7412</v>
      </c>
      <c r="B3377" t="s">
        <v>352</v>
      </c>
      <c r="C3377" s="2" t="str">
        <f>PROPER(TRIM(Table1[[#This Row],[Gender]]))</f>
        <v>Male</v>
      </c>
      <c r="D3377" t="s">
        <v>16</v>
      </c>
      <c r="E3377">
        <v>19</v>
      </c>
      <c r="F3377" t="s">
        <v>49</v>
      </c>
      <c r="G3377" s="1">
        <v>38723</v>
      </c>
      <c r="H3377" t="s">
        <v>4247</v>
      </c>
      <c r="I3377" s="2" t="str">
        <f t="shared" si="52"/>
        <v>+91-7635873625</v>
      </c>
      <c r="J3377">
        <f>91-7635873716</f>
        <v>-7635873625</v>
      </c>
      <c r="K3377" t="s">
        <v>94</v>
      </c>
      <c r="L3377" t="s">
        <v>20</v>
      </c>
      <c r="M3377">
        <v>591061</v>
      </c>
      <c r="N3377" s="1">
        <v>45414</v>
      </c>
      <c r="O3377" t="s">
        <v>35</v>
      </c>
      <c r="P3377">
        <v>3</v>
      </c>
      <c r="Q3377">
        <v>10339.200000000001</v>
      </c>
    </row>
    <row r="3378" spans="1:17" x14ac:dyDescent="0.3">
      <c r="A3378" t="s">
        <v>7413</v>
      </c>
      <c r="B3378" t="s">
        <v>2003</v>
      </c>
      <c r="C3378" s="2" t="str">
        <f>PROPER(TRIM(Table1[[#This Row],[Gender]]))</f>
        <v>Male</v>
      </c>
      <c r="D3378" t="s">
        <v>16</v>
      </c>
      <c r="E3378">
        <v>57</v>
      </c>
      <c r="F3378" t="s">
        <v>58</v>
      </c>
      <c r="G3378" s="1">
        <v>24853</v>
      </c>
      <c r="H3378" t="s">
        <v>7414</v>
      </c>
      <c r="I3378" s="2" t="str">
        <f t="shared" si="52"/>
        <v>+91-8314667804</v>
      </c>
      <c r="J3378">
        <f>91-8314667895</f>
        <v>-8314667804</v>
      </c>
      <c r="K3378" t="s">
        <v>26</v>
      </c>
      <c r="L3378" t="s">
        <v>27</v>
      </c>
      <c r="M3378">
        <v>578173</v>
      </c>
      <c r="N3378" s="1">
        <v>45122</v>
      </c>
      <c r="O3378" t="s">
        <v>35</v>
      </c>
      <c r="P3378">
        <v>2</v>
      </c>
      <c r="Q3378">
        <v>3824.59</v>
      </c>
    </row>
    <row r="3379" spans="1:17" x14ac:dyDescent="0.3">
      <c r="A3379" t="s">
        <v>7415</v>
      </c>
      <c r="B3379" t="s">
        <v>433</v>
      </c>
      <c r="C3379" s="2" t="str">
        <f>PROPER(TRIM(Table1[[#This Row],[Gender]]))</f>
        <v>Female</v>
      </c>
      <c r="D3379" t="s">
        <v>43</v>
      </c>
      <c r="E3379">
        <v>21</v>
      </c>
      <c r="F3379" t="s">
        <v>49</v>
      </c>
      <c r="G3379" s="1">
        <v>37993</v>
      </c>
      <c r="H3379" t="s">
        <v>7416</v>
      </c>
      <c r="I3379" s="2" t="str">
        <f t="shared" si="52"/>
        <v>+91-8796982258</v>
      </c>
      <c r="J3379">
        <f>91-8796982349</f>
        <v>-8796982258</v>
      </c>
      <c r="K3379" t="s">
        <v>113</v>
      </c>
      <c r="L3379" t="s">
        <v>34</v>
      </c>
      <c r="M3379">
        <v>138250</v>
      </c>
      <c r="N3379" s="1">
        <v>45089</v>
      </c>
      <c r="O3379" t="s">
        <v>28</v>
      </c>
      <c r="P3379">
        <v>7</v>
      </c>
      <c r="Q3379">
        <v>157931.47</v>
      </c>
    </row>
    <row r="3380" spans="1:17" x14ac:dyDescent="0.3">
      <c r="A3380" t="s">
        <v>7417</v>
      </c>
      <c r="B3380" t="s">
        <v>7215</v>
      </c>
      <c r="C3380" s="2" t="str">
        <f>PROPER(TRIM(Table1[[#This Row],[Gender]]))</f>
        <v>Male</v>
      </c>
      <c r="D3380" t="s">
        <v>16</v>
      </c>
      <c r="E3380">
        <v>38</v>
      </c>
      <c r="F3380" t="s">
        <v>38</v>
      </c>
      <c r="G3380" s="1">
        <v>31788</v>
      </c>
      <c r="H3380" t="s">
        <v>7418</v>
      </c>
      <c r="I3380" s="2" t="str">
        <f t="shared" si="52"/>
        <v>+91-9075354610</v>
      </c>
      <c r="J3380">
        <f>91-9075354701</f>
        <v>-9075354610</v>
      </c>
      <c r="K3380" t="s">
        <v>147</v>
      </c>
      <c r="L3380" t="s">
        <v>143</v>
      </c>
      <c r="M3380">
        <v>153853</v>
      </c>
      <c r="N3380" s="1">
        <v>45264</v>
      </c>
      <c r="O3380" t="s">
        <v>28</v>
      </c>
      <c r="P3380">
        <v>2</v>
      </c>
      <c r="Q3380">
        <v>51051.88</v>
      </c>
    </row>
    <row r="3381" spans="1:17" x14ac:dyDescent="0.3">
      <c r="A3381" t="s">
        <v>7419</v>
      </c>
      <c r="B3381" t="s">
        <v>2748</v>
      </c>
      <c r="C3381" s="2" t="str">
        <f>PROPER(TRIM(Table1[[#This Row],[Gender]]))</f>
        <v>Female</v>
      </c>
      <c r="D3381" t="s">
        <v>43</v>
      </c>
      <c r="E3381">
        <v>22</v>
      </c>
      <c r="F3381" t="s">
        <v>49</v>
      </c>
      <c r="G3381" s="1">
        <v>37628</v>
      </c>
      <c r="H3381" t="s">
        <v>7420</v>
      </c>
      <c r="I3381" s="2" t="str">
        <f t="shared" si="52"/>
        <v>+91-8610906941</v>
      </c>
      <c r="J3381">
        <f>91-8610907032</f>
        <v>-8610906941</v>
      </c>
      <c r="K3381" t="s">
        <v>142</v>
      </c>
      <c r="L3381" t="s">
        <v>143</v>
      </c>
      <c r="M3381">
        <v>356574</v>
      </c>
      <c r="N3381" s="1">
        <v>45136</v>
      </c>
      <c r="O3381" t="s">
        <v>28</v>
      </c>
      <c r="P3381">
        <v>6</v>
      </c>
      <c r="Q3381">
        <v>69516.679999999993</v>
      </c>
    </row>
    <row r="3382" spans="1:17" x14ac:dyDescent="0.3">
      <c r="A3382" t="s">
        <v>7421</v>
      </c>
      <c r="B3382" t="s">
        <v>1708</v>
      </c>
      <c r="C3382" s="2" t="str">
        <f>PROPER(TRIM(Table1[[#This Row],[Gender]]))</f>
        <v>Female</v>
      </c>
      <c r="D3382" t="s">
        <v>43</v>
      </c>
      <c r="E3382">
        <v>28</v>
      </c>
      <c r="F3382" t="s">
        <v>31</v>
      </c>
      <c r="G3382" s="1">
        <v>35438</v>
      </c>
      <c r="H3382" t="s">
        <v>7422</v>
      </c>
      <c r="I3382" s="2" t="str">
        <f t="shared" si="52"/>
        <v>+91-9141192682</v>
      </c>
      <c r="J3382">
        <f>91-9141192773</f>
        <v>-9141192682</v>
      </c>
      <c r="K3382" t="s">
        <v>147</v>
      </c>
      <c r="L3382" t="s">
        <v>143</v>
      </c>
      <c r="M3382">
        <v>234368</v>
      </c>
      <c r="N3382" s="1">
        <v>45100</v>
      </c>
      <c r="O3382" t="s">
        <v>28</v>
      </c>
      <c r="P3382">
        <v>7</v>
      </c>
      <c r="Q3382">
        <v>87124.95</v>
      </c>
    </row>
    <row r="3383" spans="1:17" x14ac:dyDescent="0.3">
      <c r="A3383" t="s">
        <v>7423</v>
      </c>
      <c r="B3383" t="s">
        <v>1231</v>
      </c>
      <c r="C3383" s="2" t="str">
        <f>PROPER(TRIM(Table1[[#This Row],[Gender]]))</f>
        <v>Male</v>
      </c>
      <c r="D3383" t="s">
        <v>16</v>
      </c>
      <c r="E3383">
        <v>44</v>
      </c>
      <c r="F3383" t="s">
        <v>38</v>
      </c>
      <c r="G3383" s="1">
        <v>29598</v>
      </c>
      <c r="H3383" t="s">
        <v>1232</v>
      </c>
      <c r="I3383" s="2" t="str">
        <f t="shared" si="52"/>
        <v>+91-9135398151</v>
      </c>
      <c r="J3383">
        <f>91-9135398242</f>
        <v>-9135398151</v>
      </c>
      <c r="K3383" t="s">
        <v>273</v>
      </c>
      <c r="L3383" t="s">
        <v>46</v>
      </c>
      <c r="M3383">
        <v>970179</v>
      </c>
      <c r="N3383" s="1">
        <v>45119</v>
      </c>
      <c r="O3383" t="s">
        <v>28</v>
      </c>
      <c r="P3383">
        <v>7</v>
      </c>
      <c r="Q3383">
        <v>212527.9</v>
      </c>
    </row>
    <row r="3384" spans="1:17" x14ac:dyDescent="0.3">
      <c r="A3384" t="s">
        <v>7424</v>
      </c>
      <c r="B3384" t="s">
        <v>1330</v>
      </c>
      <c r="C3384" s="2" t="str">
        <f>PROPER(TRIM(Table1[[#This Row],[Gender]]))</f>
        <v>Male</v>
      </c>
      <c r="D3384" t="s">
        <v>16</v>
      </c>
      <c r="E3384">
        <v>62</v>
      </c>
      <c r="F3384" t="s">
        <v>58</v>
      </c>
      <c r="G3384" s="1">
        <v>23028</v>
      </c>
      <c r="H3384" t="s">
        <v>7425</v>
      </c>
      <c r="I3384" s="2" t="str">
        <f t="shared" si="52"/>
        <v>+91-7832576252</v>
      </c>
      <c r="J3384">
        <f>91-7832576343</f>
        <v>-7832576252</v>
      </c>
      <c r="K3384" t="s">
        <v>84</v>
      </c>
      <c r="L3384" t="s">
        <v>85</v>
      </c>
      <c r="M3384">
        <v>726263</v>
      </c>
      <c r="N3384" s="1">
        <v>45240</v>
      </c>
      <c r="O3384" t="s">
        <v>28</v>
      </c>
      <c r="P3384">
        <v>5</v>
      </c>
      <c r="Q3384">
        <v>78825.149999999994</v>
      </c>
    </row>
    <row r="3385" spans="1:17" x14ac:dyDescent="0.3">
      <c r="A3385" t="s">
        <v>7426</v>
      </c>
      <c r="B3385" t="s">
        <v>4450</v>
      </c>
      <c r="C3385" s="2" t="str">
        <f>PROPER(TRIM(Table1[[#This Row],[Gender]]))</f>
        <v>Male</v>
      </c>
      <c r="D3385" t="s">
        <v>16</v>
      </c>
      <c r="E3385">
        <v>22</v>
      </c>
      <c r="F3385" t="s">
        <v>49</v>
      </c>
      <c r="G3385" s="1">
        <v>37628</v>
      </c>
      <c r="H3385" t="s">
        <v>7427</v>
      </c>
      <c r="I3385" s="2" t="str">
        <f t="shared" si="52"/>
        <v>+91-8881668222</v>
      </c>
      <c r="J3385">
        <f>91-8881668313</f>
        <v>-8881668222</v>
      </c>
      <c r="K3385" t="s">
        <v>84</v>
      </c>
      <c r="L3385" t="s">
        <v>85</v>
      </c>
      <c r="M3385">
        <v>733593</v>
      </c>
      <c r="N3385" s="1">
        <v>45122</v>
      </c>
      <c r="O3385" t="s">
        <v>28</v>
      </c>
      <c r="P3385">
        <v>3</v>
      </c>
      <c r="Q3385">
        <v>124100.71</v>
      </c>
    </row>
    <row r="3386" spans="1:17" x14ac:dyDescent="0.3">
      <c r="A3386" t="s">
        <v>7428</v>
      </c>
      <c r="B3386" t="s">
        <v>2644</v>
      </c>
      <c r="C3386" s="2" t="str">
        <f>PROPER(TRIM(Table1[[#This Row],[Gender]]))</f>
        <v>Male</v>
      </c>
      <c r="D3386" t="s">
        <v>16</v>
      </c>
      <c r="E3386">
        <v>48</v>
      </c>
      <c r="F3386" t="s">
        <v>17</v>
      </c>
      <c r="G3386" s="1">
        <v>28138</v>
      </c>
      <c r="H3386" t="s">
        <v>7429</v>
      </c>
      <c r="I3386" s="2" t="str">
        <f t="shared" si="52"/>
        <v>+91-9472312003</v>
      </c>
      <c r="J3386">
        <f>91-9472312094</f>
        <v>-9472312003</v>
      </c>
      <c r="K3386" t="s">
        <v>249</v>
      </c>
      <c r="L3386" t="s">
        <v>34</v>
      </c>
      <c r="M3386">
        <v>216006</v>
      </c>
      <c r="N3386" s="1">
        <v>45406</v>
      </c>
      <c r="O3386" t="s">
        <v>28</v>
      </c>
      <c r="P3386">
        <v>10</v>
      </c>
      <c r="Q3386">
        <v>77644.34</v>
      </c>
    </row>
    <row r="3387" spans="1:17" x14ac:dyDescent="0.3">
      <c r="A3387" t="s">
        <v>7430</v>
      </c>
      <c r="B3387" t="s">
        <v>1195</v>
      </c>
      <c r="C3387" s="2" t="str">
        <f>PROPER(TRIM(Table1[[#This Row],[Gender]]))</f>
        <v>Female</v>
      </c>
      <c r="D3387" t="s">
        <v>43</v>
      </c>
      <c r="E3387">
        <v>26</v>
      </c>
      <c r="F3387" t="s">
        <v>31</v>
      </c>
      <c r="G3387" s="1">
        <v>36168</v>
      </c>
      <c r="H3387" t="s">
        <v>7431</v>
      </c>
      <c r="I3387" s="2" t="str">
        <f t="shared" si="52"/>
        <v>+91-9307620071</v>
      </c>
      <c r="J3387">
        <f>91-9307620162</f>
        <v>-9307620071</v>
      </c>
      <c r="K3387" t="s">
        <v>249</v>
      </c>
      <c r="L3387" t="s">
        <v>34</v>
      </c>
      <c r="M3387">
        <v>888357</v>
      </c>
      <c r="N3387" s="1">
        <v>45128</v>
      </c>
      <c r="O3387" t="s">
        <v>21</v>
      </c>
      <c r="P3387">
        <v>3</v>
      </c>
      <c r="Q3387">
        <v>38972.120000000003</v>
      </c>
    </row>
    <row r="3388" spans="1:17" x14ac:dyDescent="0.3">
      <c r="A3388" t="s">
        <v>7432</v>
      </c>
      <c r="B3388" t="s">
        <v>3363</v>
      </c>
      <c r="C3388" s="2" t="str">
        <f>PROPER(TRIM(Table1[[#This Row],[Gender]]))</f>
        <v>Female</v>
      </c>
      <c r="D3388" t="s">
        <v>43</v>
      </c>
      <c r="E3388">
        <v>26</v>
      </c>
      <c r="F3388" t="s">
        <v>31</v>
      </c>
      <c r="G3388" s="1">
        <v>36168</v>
      </c>
      <c r="H3388" t="s">
        <v>7433</v>
      </c>
      <c r="I3388" s="2" t="str">
        <f t="shared" si="52"/>
        <v>+91-9378058737</v>
      </c>
      <c r="J3388">
        <f>91-9378058828</f>
        <v>-9378058737</v>
      </c>
      <c r="K3388" t="s">
        <v>113</v>
      </c>
      <c r="L3388" t="s">
        <v>34</v>
      </c>
      <c r="M3388">
        <v>562325</v>
      </c>
      <c r="N3388" s="1">
        <v>45103</v>
      </c>
      <c r="O3388" t="s">
        <v>21</v>
      </c>
      <c r="P3388">
        <v>5</v>
      </c>
      <c r="Q3388">
        <v>26020.78</v>
      </c>
    </row>
    <row r="3389" spans="1:17" x14ac:dyDescent="0.3">
      <c r="A3389" t="s">
        <v>7434</v>
      </c>
      <c r="B3389" t="s">
        <v>487</v>
      </c>
      <c r="C3389" s="2" t="str">
        <f>PROPER(TRIM(Table1[[#This Row],[Gender]]))</f>
        <v>Female</v>
      </c>
      <c r="D3389" t="s">
        <v>43</v>
      </c>
      <c r="E3389">
        <v>35</v>
      </c>
      <c r="F3389" t="s">
        <v>31</v>
      </c>
      <c r="G3389" s="1">
        <v>32883</v>
      </c>
      <c r="H3389" t="s">
        <v>7435</v>
      </c>
      <c r="I3389" s="2" t="str">
        <f t="shared" si="52"/>
        <v>+91-9541686985</v>
      </c>
      <c r="J3389">
        <f>91-9541687076</f>
        <v>-9541686985</v>
      </c>
      <c r="K3389" t="s">
        <v>121</v>
      </c>
      <c r="L3389" t="s">
        <v>85</v>
      </c>
      <c r="M3389">
        <v>209215</v>
      </c>
      <c r="N3389" s="1">
        <v>45279</v>
      </c>
      <c r="O3389" t="s">
        <v>28</v>
      </c>
      <c r="P3389">
        <v>3</v>
      </c>
      <c r="Q3389">
        <v>102295.29</v>
      </c>
    </row>
    <row r="3390" spans="1:17" x14ac:dyDescent="0.3">
      <c r="A3390" t="s">
        <v>7436</v>
      </c>
      <c r="B3390" t="s">
        <v>3371</v>
      </c>
      <c r="C3390" s="2" t="str">
        <f>PROPER(TRIM(Table1[[#This Row],[Gender]]))</f>
        <v>Female</v>
      </c>
      <c r="D3390" t="s">
        <v>43</v>
      </c>
      <c r="E3390">
        <v>31</v>
      </c>
      <c r="F3390" t="s">
        <v>31</v>
      </c>
      <c r="G3390" s="1">
        <v>34343</v>
      </c>
      <c r="H3390" t="s">
        <v>7437</v>
      </c>
      <c r="I3390" s="2" t="str">
        <f t="shared" si="52"/>
        <v>+91-7085630806</v>
      </c>
      <c r="J3390">
        <f>91-7085630897</f>
        <v>-7085630806</v>
      </c>
      <c r="K3390" t="s">
        <v>195</v>
      </c>
      <c r="L3390" t="s">
        <v>102</v>
      </c>
      <c r="M3390">
        <v>392904</v>
      </c>
      <c r="N3390" s="1">
        <v>45118</v>
      </c>
      <c r="O3390" t="s">
        <v>28</v>
      </c>
      <c r="P3390">
        <v>9</v>
      </c>
      <c r="Q3390">
        <v>219230.27</v>
      </c>
    </row>
    <row r="3391" spans="1:17" x14ac:dyDescent="0.3">
      <c r="A3391" t="s">
        <v>7438</v>
      </c>
      <c r="B3391" t="s">
        <v>3083</v>
      </c>
      <c r="C3391" s="2" t="str">
        <f>PROPER(TRIM(Table1[[#This Row],[Gender]]))</f>
        <v>Male</v>
      </c>
      <c r="D3391" t="s">
        <v>16</v>
      </c>
      <c r="E3391">
        <v>20</v>
      </c>
      <c r="F3391" t="s">
        <v>49</v>
      </c>
      <c r="G3391" s="1">
        <v>38358</v>
      </c>
      <c r="H3391" t="s">
        <v>7439</v>
      </c>
      <c r="I3391" s="2" t="str">
        <f t="shared" si="52"/>
        <v>+91-7011116354</v>
      </c>
      <c r="J3391">
        <f>91-7011116445</f>
        <v>-7011116354</v>
      </c>
      <c r="K3391" t="s">
        <v>249</v>
      </c>
      <c r="L3391" t="s">
        <v>34</v>
      </c>
      <c r="M3391">
        <v>669538</v>
      </c>
      <c r="N3391" s="1">
        <v>45084</v>
      </c>
      <c r="O3391" t="s">
        <v>35</v>
      </c>
      <c r="P3391">
        <v>3</v>
      </c>
      <c r="Q3391">
        <v>10463.57</v>
      </c>
    </row>
    <row r="3392" spans="1:17" x14ac:dyDescent="0.3">
      <c r="A3392" t="s">
        <v>7440</v>
      </c>
      <c r="B3392" t="s">
        <v>425</v>
      </c>
      <c r="C3392" s="2" t="str">
        <f>PROPER(TRIM(Table1[[#This Row],[Gender]]))</f>
        <v>Male</v>
      </c>
      <c r="D3392" t="s">
        <v>16</v>
      </c>
      <c r="E3392">
        <v>35</v>
      </c>
      <c r="F3392" t="s">
        <v>31</v>
      </c>
      <c r="G3392" s="1">
        <v>32883</v>
      </c>
      <c r="H3392" t="s">
        <v>7441</v>
      </c>
      <c r="I3392" s="2" t="str">
        <f t="shared" si="52"/>
        <v>+91-9857244986</v>
      </c>
      <c r="J3392">
        <f>91-9857245077</f>
        <v>-9857244986</v>
      </c>
      <c r="K3392" t="s">
        <v>101</v>
      </c>
      <c r="L3392" t="s">
        <v>102</v>
      </c>
      <c r="M3392">
        <v>356419</v>
      </c>
      <c r="N3392" s="1">
        <v>45080</v>
      </c>
      <c r="O3392" t="s">
        <v>28</v>
      </c>
      <c r="P3392">
        <v>8</v>
      </c>
      <c r="Q3392">
        <v>212183.92</v>
      </c>
    </row>
    <row r="3393" spans="1:17" x14ac:dyDescent="0.3">
      <c r="A3393" t="s">
        <v>7442</v>
      </c>
      <c r="B3393" t="s">
        <v>1569</v>
      </c>
      <c r="C3393" s="2" t="str">
        <f>PROPER(TRIM(Table1[[#This Row],[Gender]]))</f>
        <v>Female</v>
      </c>
      <c r="D3393" t="s">
        <v>43</v>
      </c>
      <c r="E3393">
        <v>52</v>
      </c>
      <c r="F3393" t="s">
        <v>17</v>
      </c>
      <c r="G3393" s="1">
        <v>26678</v>
      </c>
      <c r="H3393" t="s">
        <v>7170</v>
      </c>
      <c r="I3393" s="2" t="str">
        <f t="shared" si="52"/>
        <v>+91-9162204180</v>
      </c>
      <c r="J3393">
        <f>91-9162204271</f>
        <v>-9162204180</v>
      </c>
      <c r="K3393" t="s">
        <v>45</v>
      </c>
      <c r="L3393" t="s">
        <v>46</v>
      </c>
      <c r="M3393">
        <v>771864</v>
      </c>
      <c r="N3393" s="1">
        <v>45344</v>
      </c>
      <c r="O3393" t="s">
        <v>35</v>
      </c>
      <c r="P3393">
        <v>3</v>
      </c>
      <c r="Q3393">
        <v>8589.59</v>
      </c>
    </row>
    <row r="3394" spans="1:17" x14ac:dyDescent="0.3">
      <c r="A3394" t="s">
        <v>7443</v>
      </c>
      <c r="B3394" t="s">
        <v>284</v>
      </c>
      <c r="C3394" s="2" t="str">
        <f>PROPER(TRIM(Table1[[#This Row],[Gender]]))</f>
        <v>Female</v>
      </c>
      <c r="D3394" t="s">
        <v>43</v>
      </c>
      <c r="E3394">
        <v>20</v>
      </c>
      <c r="F3394" t="s">
        <v>49</v>
      </c>
      <c r="G3394" s="1">
        <v>38358</v>
      </c>
      <c r="H3394" t="s">
        <v>7444</v>
      </c>
      <c r="I3394" s="2" t="str">
        <f t="shared" ref="I3394:I3457" si="53">"+91"&amp;TEXT(J3394,"0000000000")</f>
        <v>+91-8308134219</v>
      </c>
      <c r="J3394">
        <f>91-8308134310</f>
        <v>-8308134219</v>
      </c>
      <c r="K3394" t="s">
        <v>76</v>
      </c>
      <c r="L3394" t="s">
        <v>46</v>
      </c>
      <c r="M3394">
        <v>987259</v>
      </c>
      <c r="N3394" s="1">
        <v>45139</v>
      </c>
      <c r="O3394" t="s">
        <v>28</v>
      </c>
      <c r="P3394">
        <v>4</v>
      </c>
      <c r="Q3394">
        <v>84029.58</v>
      </c>
    </row>
    <row r="3395" spans="1:17" x14ac:dyDescent="0.3">
      <c r="A3395" t="s">
        <v>7445</v>
      </c>
      <c r="B3395" t="s">
        <v>2945</v>
      </c>
      <c r="C3395" s="2" t="str">
        <f>PROPER(TRIM(Table1[[#This Row],[Gender]]))</f>
        <v>Female</v>
      </c>
      <c r="D3395" t="s">
        <v>43</v>
      </c>
      <c r="E3395">
        <v>56</v>
      </c>
      <c r="F3395" t="s">
        <v>58</v>
      </c>
      <c r="G3395" s="1">
        <v>25218</v>
      </c>
      <c r="H3395" t="s">
        <v>7446</v>
      </c>
      <c r="I3395" s="2" t="str">
        <f t="shared" si="53"/>
        <v>+91-9772960549</v>
      </c>
      <c r="J3395">
        <f>91-9772960640</f>
        <v>-9772960549</v>
      </c>
      <c r="K3395" t="s">
        <v>64</v>
      </c>
      <c r="L3395" t="s">
        <v>20</v>
      </c>
      <c r="M3395">
        <v>102088</v>
      </c>
      <c r="N3395" s="1">
        <v>45377</v>
      </c>
      <c r="O3395" t="s">
        <v>21</v>
      </c>
      <c r="P3395">
        <v>5</v>
      </c>
      <c r="Q3395">
        <v>31879.119999999999</v>
      </c>
    </row>
    <row r="3396" spans="1:17" x14ac:dyDescent="0.3">
      <c r="A3396" t="s">
        <v>7447</v>
      </c>
      <c r="B3396" t="s">
        <v>3580</v>
      </c>
      <c r="C3396" s="2" t="str">
        <f>PROPER(TRIM(Table1[[#This Row],[Gender]]))</f>
        <v>Male</v>
      </c>
      <c r="D3396" t="s">
        <v>16</v>
      </c>
      <c r="E3396">
        <v>24</v>
      </c>
      <c r="F3396" t="s">
        <v>49</v>
      </c>
      <c r="G3396" s="1">
        <v>36898</v>
      </c>
      <c r="H3396" t="s">
        <v>7448</v>
      </c>
      <c r="I3396" s="2" t="str">
        <f t="shared" si="53"/>
        <v>+91-7900409615</v>
      </c>
      <c r="J3396">
        <f>91-7900409706</f>
        <v>-7900409615</v>
      </c>
      <c r="K3396" t="s">
        <v>580</v>
      </c>
      <c r="L3396" t="s">
        <v>85</v>
      </c>
      <c r="M3396">
        <v>316914</v>
      </c>
      <c r="N3396" s="1">
        <v>45326</v>
      </c>
      <c r="O3396" t="s">
        <v>21</v>
      </c>
      <c r="P3396">
        <v>4</v>
      </c>
      <c r="Q3396">
        <v>29438.79</v>
      </c>
    </row>
    <row r="3397" spans="1:17" x14ac:dyDescent="0.3">
      <c r="A3397" t="s">
        <v>7449</v>
      </c>
      <c r="B3397" t="s">
        <v>587</v>
      </c>
      <c r="C3397" s="2" t="str">
        <f>PROPER(TRIM(Table1[[#This Row],[Gender]]))</f>
        <v>Female</v>
      </c>
      <c r="D3397" t="s">
        <v>43</v>
      </c>
      <c r="E3397">
        <v>20</v>
      </c>
      <c r="F3397" t="s">
        <v>49</v>
      </c>
      <c r="G3397" s="1">
        <v>38358</v>
      </c>
      <c r="H3397" t="s">
        <v>7450</v>
      </c>
      <c r="I3397" s="2" t="str">
        <f t="shared" si="53"/>
        <v>+91-9204437783</v>
      </c>
      <c r="J3397">
        <f>91-9204437874</f>
        <v>-9204437783</v>
      </c>
      <c r="K3397" t="s">
        <v>273</v>
      </c>
      <c r="L3397" t="s">
        <v>46</v>
      </c>
      <c r="M3397">
        <v>477161</v>
      </c>
      <c r="N3397" s="1">
        <v>45287</v>
      </c>
      <c r="O3397" t="s">
        <v>28</v>
      </c>
      <c r="P3397">
        <v>5</v>
      </c>
      <c r="Q3397">
        <v>231276.33</v>
      </c>
    </row>
    <row r="3398" spans="1:17" x14ac:dyDescent="0.3">
      <c r="A3398" t="s">
        <v>7451</v>
      </c>
      <c r="B3398" t="s">
        <v>887</v>
      </c>
      <c r="C3398" s="2" t="str">
        <f>PROPER(TRIM(Table1[[#This Row],[Gender]]))</f>
        <v>Female</v>
      </c>
      <c r="D3398" t="s">
        <v>43</v>
      </c>
      <c r="E3398">
        <v>33</v>
      </c>
      <c r="F3398" t="s">
        <v>31</v>
      </c>
      <c r="G3398" s="1">
        <v>33613</v>
      </c>
      <c r="H3398" t="s">
        <v>1903</v>
      </c>
      <c r="I3398" s="2" t="str">
        <f t="shared" si="53"/>
        <v>+91-8195437544</v>
      </c>
      <c r="J3398">
        <f>91-8195437635</f>
        <v>-8195437544</v>
      </c>
      <c r="K3398" t="s">
        <v>273</v>
      </c>
      <c r="L3398" t="s">
        <v>46</v>
      </c>
      <c r="M3398">
        <v>863143</v>
      </c>
      <c r="N3398" s="1">
        <v>45292</v>
      </c>
      <c r="O3398" t="s">
        <v>28</v>
      </c>
      <c r="P3398">
        <v>5</v>
      </c>
      <c r="Q3398">
        <v>134894.85</v>
      </c>
    </row>
    <row r="3399" spans="1:17" x14ac:dyDescent="0.3">
      <c r="A3399" t="s">
        <v>7452</v>
      </c>
      <c r="B3399" t="s">
        <v>213</v>
      </c>
      <c r="C3399" s="2" t="str">
        <f>PROPER(TRIM(Table1[[#This Row],[Gender]]))</f>
        <v>Female</v>
      </c>
      <c r="D3399" t="s">
        <v>43</v>
      </c>
      <c r="E3399">
        <v>71</v>
      </c>
      <c r="F3399" t="s">
        <v>24</v>
      </c>
      <c r="G3399" s="1">
        <v>19743</v>
      </c>
      <c r="H3399" t="s">
        <v>7453</v>
      </c>
      <c r="I3399" s="2" t="str">
        <f t="shared" si="53"/>
        <v>+91-9411413629</v>
      </c>
      <c r="J3399">
        <f>91-9411413720</f>
        <v>-9411413629</v>
      </c>
      <c r="K3399" t="s">
        <v>101</v>
      </c>
      <c r="L3399" t="s">
        <v>102</v>
      </c>
      <c r="M3399">
        <v>522402</v>
      </c>
      <c r="N3399" s="1">
        <v>45103</v>
      </c>
      <c r="O3399" t="s">
        <v>21</v>
      </c>
      <c r="P3399">
        <v>8</v>
      </c>
      <c r="Q3399">
        <v>33870.92</v>
      </c>
    </row>
    <row r="3400" spans="1:17" x14ac:dyDescent="0.3">
      <c r="A3400" t="s">
        <v>7454</v>
      </c>
      <c r="B3400" t="s">
        <v>4552</v>
      </c>
      <c r="C3400" s="2" t="str">
        <f>PROPER(TRIM(Table1[[#This Row],[Gender]]))</f>
        <v>Male</v>
      </c>
      <c r="D3400" t="s">
        <v>16</v>
      </c>
      <c r="E3400">
        <v>39</v>
      </c>
      <c r="F3400" t="s">
        <v>38</v>
      </c>
      <c r="G3400" s="1">
        <v>31423</v>
      </c>
      <c r="H3400" t="s">
        <v>4553</v>
      </c>
      <c r="I3400" s="2" t="str">
        <f t="shared" si="53"/>
        <v>+91-8603417807</v>
      </c>
      <c r="J3400">
        <f>91-8603417898</f>
        <v>-8603417807</v>
      </c>
      <c r="K3400" t="s">
        <v>40</v>
      </c>
      <c r="L3400" t="s">
        <v>27</v>
      </c>
      <c r="M3400">
        <v>213000</v>
      </c>
      <c r="N3400" s="1">
        <v>45222</v>
      </c>
      <c r="O3400" t="s">
        <v>28</v>
      </c>
      <c r="P3400">
        <v>2</v>
      </c>
      <c r="Q3400">
        <v>129932.12</v>
      </c>
    </row>
    <row r="3401" spans="1:17" x14ac:dyDescent="0.3">
      <c r="A3401" t="s">
        <v>7455</v>
      </c>
      <c r="B3401" t="s">
        <v>1115</v>
      </c>
      <c r="C3401" s="2" t="str">
        <f>PROPER(TRIM(Table1[[#This Row],[Gender]]))</f>
        <v>Female</v>
      </c>
      <c r="D3401" t="s">
        <v>43</v>
      </c>
      <c r="E3401">
        <v>30</v>
      </c>
      <c r="F3401" t="s">
        <v>31</v>
      </c>
      <c r="G3401" s="1">
        <v>34708</v>
      </c>
      <c r="H3401" t="s">
        <v>7456</v>
      </c>
      <c r="I3401" s="2" t="str">
        <f t="shared" si="53"/>
        <v>+91-7505255122</v>
      </c>
      <c r="J3401">
        <f>91-7505255213</f>
        <v>-7505255122</v>
      </c>
      <c r="K3401" t="s">
        <v>84</v>
      </c>
      <c r="L3401" t="s">
        <v>85</v>
      </c>
      <c r="M3401">
        <v>617042</v>
      </c>
      <c r="N3401" s="1">
        <v>45377</v>
      </c>
      <c r="O3401" t="s">
        <v>28</v>
      </c>
      <c r="P3401">
        <v>2</v>
      </c>
      <c r="Q3401">
        <v>305918.62</v>
      </c>
    </row>
    <row r="3402" spans="1:17" x14ac:dyDescent="0.3">
      <c r="A3402" t="s">
        <v>7457</v>
      </c>
      <c r="B3402" t="s">
        <v>1208</v>
      </c>
      <c r="C3402" s="2" t="str">
        <f>PROPER(TRIM(Table1[[#This Row],[Gender]]))</f>
        <v>Male</v>
      </c>
      <c r="D3402" t="s">
        <v>16</v>
      </c>
      <c r="E3402">
        <v>44</v>
      </c>
      <c r="F3402" t="s">
        <v>38</v>
      </c>
      <c r="G3402" s="1">
        <v>29598</v>
      </c>
      <c r="H3402" t="s">
        <v>7458</v>
      </c>
      <c r="I3402" s="2" t="str">
        <f t="shared" si="53"/>
        <v>+91-8583034044</v>
      </c>
      <c r="J3402">
        <f>91-8583034135</f>
        <v>-8583034044</v>
      </c>
      <c r="K3402" t="s">
        <v>89</v>
      </c>
      <c r="L3402" t="s">
        <v>90</v>
      </c>
      <c r="M3402">
        <v>452669</v>
      </c>
      <c r="N3402" s="1">
        <v>45135</v>
      </c>
      <c r="O3402" t="s">
        <v>28</v>
      </c>
      <c r="P3402">
        <v>9</v>
      </c>
      <c r="Q3402">
        <v>339223.79</v>
      </c>
    </row>
    <row r="3403" spans="1:17" x14ac:dyDescent="0.3">
      <c r="A3403" t="s">
        <v>7459</v>
      </c>
      <c r="B3403" t="s">
        <v>4098</v>
      </c>
      <c r="C3403" s="2" t="str">
        <f>PROPER(TRIM(Table1[[#This Row],[Gender]]))</f>
        <v>Male</v>
      </c>
      <c r="D3403" t="s">
        <v>16</v>
      </c>
      <c r="E3403">
        <v>47</v>
      </c>
      <c r="F3403" t="s">
        <v>17</v>
      </c>
      <c r="G3403" s="1">
        <v>28503</v>
      </c>
      <c r="H3403" t="s">
        <v>7460</v>
      </c>
      <c r="I3403" s="2" t="str">
        <f t="shared" si="53"/>
        <v>+91-9958657338</v>
      </c>
      <c r="J3403">
        <f>91-9958657429</f>
        <v>-9958657338</v>
      </c>
      <c r="K3403" t="s">
        <v>45</v>
      </c>
      <c r="L3403" t="s">
        <v>46</v>
      </c>
      <c r="M3403">
        <v>844229</v>
      </c>
      <c r="N3403" s="1">
        <v>45374</v>
      </c>
      <c r="O3403" t="s">
        <v>21</v>
      </c>
      <c r="P3403">
        <v>3</v>
      </c>
      <c r="Q3403">
        <v>27195.63</v>
      </c>
    </row>
    <row r="3404" spans="1:17" x14ac:dyDescent="0.3">
      <c r="A3404" t="s">
        <v>7461</v>
      </c>
      <c r="B3404" t="s">
        <v>4808</v>
      </c>
      <c r="C3404" s="2" t="str">
        <f>PROPER(TRIM(Table1[[#This Row],[Gender]]))</f>
        <v>Male</v>
      </c>
      <c r="D3404" t="s">
        <v>16</v>
      </c>
      <c r="E3404">
        <v>21</v>
      </c>
      <c r="F3404" t="s">
        <v>49</v>
      </c>
      <c r="G3404" s="1">
        <v>37993</v>
      </c>
      <c r="H3404" t="s">
        <v>7462</v>
      </c>
      <c r="I3404" s="2" t="str">
        <f t="shared" si="53"/>
        <v>+91-9615178955</v>
      </c>
      <c r="J3404">
        <f>91-9615179046</f>
        <v>-9615178955</v>
      </c>
      <c r="K3404" t="s">
        <v>113</v>
      </c>
      <c r="L3404" t="s">
        <v>34</v>
      </c>
      <c r="M3404">
        <v>444565</v>
      </c>
      <c r="N3404" s="1">
        <v>45138</v>
      </c>
      <c r="O3404" t="s">
        <v>21</v>
      </c>
      <c r="P3404">
        <v>3</v>
      </c>
      <c r="Q3404">
        <v>46000.99</v>
      </c>
    </row>
    <row r="3405" spans="1:17" x14ac:dyDescent="0.3">
      <c r="A3405" t="s">
        <v>7463</v>
      </c>
      <c r="B3405" t="s">
        <v>2013</v>
      </c>
      <c r="C3405" s="2" t="str">
        <f>PROPER(TRIM(Table1[[#This Row],[Gender]]))</f>
        <v>Male</v>
      </c>
      <c r="D3405" t="s">
        <v>16</v>
      </c>
      <c r="E3405">
        <v>22</v>
      </c>
      <c r="F3405" t="s">
        <v>49</v>
      </c>
      <c r="G3405" s="1">
        <v>37628</v>
      </c>
      <c r="H3405" t="s">
        <v>7464</v>
      </c>
      <c r="I3405" s="2" t="str">
        <f t="shared" si="53"/>
        <v>+91-8621947850</v>
      </c>
      <c r="J3405">
        <f>91-8621947941</f>
        <v>-8621947850</v>
      </c>
      <c r="K3405" t="s">
        <v>154</v>
      </c>
      <c r="L3405" t="s">
        <v>46</v>
      </c>
      <c r="M3405">
        <v>790337</v>
      </c>
      <c r="N3405" s="1">
        <v>45187</v>
      </c>
      <c r="O3405" t="s">
        <v>28</v>
      </c>
      <c r="P3405">
        <v>2</v>
      </c>
      <c r="Q3405">
        <v>79644.479999999996</v>
      </c>
    </row>
    <row r="3406" spans="1:17" x14ac:dyDescent="0.3">
      <c r="A3406" t="s">
        <v>7465</v>
      </c>
      <c r="B3406" t="s">
        <v>5467</v>
      </c>
      <c r="C3406" s="2" t="str">
        <f>PROPER(TRIM(Table1[[#This Row],[Gender]]))</f>
        <v>Male</v>
      </c>
      <c r="D3406" t="s">
        <v>16</v>
      </c>
      <c r="E3406">
        <v>46</v>
      </c>
      <c r="F3406" t="s">
        <v>17</v>
      </c>
      <c r="G3406" s="1">
        <v>28868</v>
      </c>
      <c r="H3406" t="s">
        <v>7466</v>
      </c>
      <c r="I3406" s="2" t="str">
        <f t="shared" si="53"/>
        <v>+91-9552434401</v>
      </c>
      <c r="J3406">
        <f>91-9552434492</f>
        <v>-9552434401</v>
      </c>
      <c r="K3406" t="s">
        <v>80</v>
      </c>
      <c r="L3406" t="s">
        <v>20</v>
      </c>
      <c r="M3406">
        <v>697795</v>
      </c>
      <c r="N3406" s="1">
        <v>45148</v>
      </c>
      <c r="O3406" t="s">
        <v>21</v>
      </c>
      <c r="P3406">
        <v>2</v>
      </c>
      <c r="Q3406">
        <v>37747.46</v>
      </c>
    </row>
    <row r="3407" spans="1:17" x14ac:dyDescent="0.3">
      <c r="A3407" t="s">
        <v>7467</v>
      </c>
      <c r="B3407" t="s">
        <v>1967</v>
      </c>
      <c r="C3407" s="2" t="str">
        <f>PROPER(TRIM(Table1[[#This Row],[Gender]]))</f>
        <v>Male</v>
      </c>
      <c r="D3407" t="s">
        <v>16</v>
      </c>
      <c r="E3407">
        <v>22</v>
      </c>
      <c r="F3407" t="s">
        <v>49</v>
      </c>
      <c r="G3407" s="1">
        <v>37628</v>
      </c>
      <c r="H3407" t="s">
        <v>7468</v>
      </c>
      <c r="I3407" s="2" t="str">
        <f t="shared" si="53"/>
        <v>+91-9367705828</v>
      </c>
      <c r="J3407">
        <f>91-9367705919</f>
        <v>-9367705828</v>
      </c>
      <c r="K3407" t="s">
        <v>89</v>
      </c>
      <c r="L3407" t="s">
        <v>90</v>
      </c>
      <c r="M3407">
        <v>645144</v>
      </c>
      <c r="N3407" s="1">
        <v>45415</v>
      </c>
      <c r="O3407" t="s">
        <v>28</v>
      </c>
      <c r="P3407">
        <v>4</v>
      </c>
      <c r="Q3407">
        <v>96197.9</v>
      </c>
    </row>
    <row r="3408" spans="1:17" x14ac:dyDescent="0.3">
      <c r="A3408" t="s">
        <v>7469</v>
      </c>
      <c r="B3408" t="s">
        <v>4080</v>
      </c>
      <c r="C3408" s="2" t="str">
        <f>PROPER(TRIM(Table1[[#This Row],[Gender]]))</f>
        <v>Male</v>
      </c>
      <c r="D3408" t="s">
        <v>16</v>
      </c>
      <c r="E3408">
        <v>34</v>
      </c>
      <c r="F3408" t="s">
        <v>31</v>
      </c>
      <c r="G3408" s="1">
        <v>33248</v>
      </c>
      <c r="H3408" t="s">
        <v>7470</v>
      </c>
      <c r="I3408" s="2" t="str">
        <f t="shared" si="53"/>
        <v>+91-7442333514</v>
      </c>
      <c r="J3408">
        <f>91-7442333605</f>
        <v>-7442333514</v>
      </c>
      <c r="K3408" t="s">
        <v>273</v>
      </c>
      <c r="L3408" t="s">
        <v>46</v>
      </c>
      <c r="M3408">
        <v>562052</v>
      </c>
      <c r="N3408" s="1">
        <v>45116</v>
      </c>
      <c r="O3408" t="s">
        <v>28</v>
      </c>
      <c r="P3408">
        <v>4</v>
      </c>
      <c r="Q3408">
        <v>68501.279999999999</v>
      </c>
    </row>
    <row r="3409" spans="1:17" x14ac:dyDescent="0.3">
      <c r="A3409" t="s">
        <v>7471</v>
      </c>
      <c r="B3409" t="s">
        <v>507</v>
      </c>
      <c r="C3409" s="2" t="str">
        <f>PROPER(TRIM(Table1[[#This Row],[Gender]]))</f>
        <v>Male</v>
      </c>
      <c r="D3409" t="s">
        <v>16</v>
      </c>
      <c r="E3409">
        <v>23</v>
      </c>
      <c r="F3409" t="s">
        <v>49</v>
      </c>
      <c r="G3409" s="1">
        <v>37263</v>
      </c>
      <c r="H3409" t="s">
        <v>7472</v>
      </c>
      <c r="I3409" s="2" t="str">
        <f t="shared" si="53"/>
        <v>+91-7902632210</v>
      </c>
      <c r="J3409">
        <f>91-7902632301</f>
        <v>-7902632210</v>
      </c>
      <c r="K3409" t="s">
        <v>117</v>
      </c>
      <c r="L3409" t="s">
        <v>52</v>
      </c>
      <c r="M3409">
        <v>188694</v>
      </c>
      <c r="N3409" s="1">
        <v>45239</v>
      </c>
      <c r="O3409" t="s">
        <v>28</v>
      </c>
      <c r="P3409">
        <v>5</v>
      </c>
      <c r="Q3409">
        <v>229162.08</v>
      </c>
    </row>
    <row r="3410" spans="1:17" x14ac:dyDescent="0.3">
      <c r="A3410" t="s">
        <v>7473</v>
      </c>
      <c r="B3410" t="s">
        <v>469</v>
      </c>
      <c r="C3410" s="2" t="str">
        <f>PROPER(TRIM(Table1[[#This Row],[Gender]]))</f>
        <v>Male</v>
      </c>
      <c r="D3410" t="s">
        <v>16</v>
      </c>
      <c r="E3410">
        <v>30</v>
      </c>
      <c r="F3410" t="s">
        <v>31</v>
      </c>
      <c r="G3410" s="1">
        <v>34708</v>
      </c>
      <c r="H3410" t="s">
        <v>470</v>
      </c>
      <c r="I3410" s="2" t="str">
        <f t="shared" si="53"/>
        <v>+91-7564344437</v>
      </c>
      <c r="J3410">
        <f>91-7564344528</f>
        <v>-7564344437</v>
      </c>
      <c r="K3410" t="s">
        <v>76</v>
      </c>
      <c r="L3410" t="s">
        <v>46</v>
      </c>
      <c r="M3410">
        <v>927070</v>
      </c>
      <c r="N3410" s="1">
        <v>45406</v>
      </c>
      <c r="O3410" t="s">
        <v>28</v>
      </c>
      <c r="P3410">
        <v>7</v>
      </c>
      <c r="Q3410">
        <v>110189.09</v>
      </c>
    </row>
    <row r="3411" spans="1:17" x14ac:dyDescent="0.3">
      <c r="A3411" t="s">
        <v>7474</v>
      </c>
      <c r="B3411" t="s">
        <v>1286</v>
      </c>
      <c r="C3411" s="2" t="str">
        <f>PROPER(TRIM(Table1[[#This Row],[Gender]]))</f>
        <v>Male</v>
      </c>
      <c r="D3411" t="s">
        <v>16</v>
      </c>
      <c r="E3411">
        <v>41</v>
      </c>
      <c r="F3411" t="s">
        <v>38</v>
      </c>
      <c r="G3411" s="1">
        <v>30693</v>
      </c>
      <c r="H3411" t="s">
        <v>7475</v>
      </c>
      <c r="I3411" s="2" t="str">
        <f t="shared" si="53"/>
        <v>+91-7716343136</v>
      </c>
      <c r="J3411">
        <f>91-7716343227</f>
        <v>-7716343136</v>
      </c>
      <c r="K3411" t="s">
        <v>174</v>
      </c>
      <c r="L3411" t="s">
        <v>90</v>
      </c>
      <c r="M3411">
        <v>731088</v>
      </c>
      <c r="N3411" s="1">
        <v>45226</v>
      </c>
      <c r="O3411" t="s">
        <v>28</v>
      </c>
      <c r="P3411">
        <v>5</v>
      </c>
      <c r="Q3411">
        <v>97134.59</v>
      </c>
    </row>
    <row r="3412" spans="1:17" x14ac:dyDescent="0.3">
      <c r="A3412" t="s">
        <v>7476</v>
      </c>
      <c r="B3412" t="s">
        <v>136</v>
      </c>
      <c r="C3412" s="2" t="str">
        <f>PROPER(TRIM(Table1[[#This Row],[Gender]]))</f>
        <v>Female</v>
      </c>
      <c r="D3412" t="s">
        <v>43</v>
      </c>
      <c r="E3412">
        <v>31</v>
      </c>
      <c r="F3412" t="s">
        <v>31</v>
      </c>
      <c r="G3412" s="1">
        <v>34343</v>
      </c>
      <c r="H3412" t="s">
        <v>7477</v>
      </c>
      <c r="I3412" s="2" t="str">
        <f t="shared" si="53"/>
        <v>+91-9869180954</v>
      </c>
      <c r="J3412">
        <f>91-9869181045</f>
        <v>-9869180954</v>
      </c>
      <c r="K3412" t="s">
        <v>239</v>
      </c>
      <c r="L3412" t="s">
        <v>191</v>
      </c>
      <c r="M3412">
        <v>571605</v>
      </c>
      <c r="N3412" s="1">
        <v>45407</v>
      </c>
      <c r="O3412" t="s">
        <v>28</v>
      </c>
      <c r="P3412">
        <v>5</v>
      </c>
      <c r="Q3412">
        <v>144724.37</v>
      </c>
    </row>
    <row r="3413" spans="1:17" x14ac:dyDescent="0.3">
      <c r="A3413" t="s">
        <v>7478</v>
      </c>
      <c r="B3413" t="s">
        <v>2150</v>
      </c>
      <c r="C3413" s="2" t="str">
        <f>PROPER(TRIM(Table1[[#This Row],[Gender]]))</f>
        <v>Female</v>
      </c>
      <c r="D3413" t="s">
        <v>43</v>
      </c>
      <c r="E3413">
        <v>56</v>
      </c>
      <c r="F3413" t="s">
        <v>58</v>
      </c>
      <c r="G3413" s="1">
        <v>25218</v>
      </c>
      <c r="H3413" t="s">
        <v>7479</v>
      </c>
      <c r="I3413" s="2" t="str">
        <f t="shared" si="53"/>
        <v>+91-7276126039</v>
      </c>
      <c r="J3413">
        <f>91-7276126130</f>
        <v>-7276126039</v>
      </c>
      <c r="K3413" t="s">
        <v>117</v>
      </c>
      <c r="L3413" t="s">
        <v>52</v>
      </c>
      <c r="M3413">
        <v>706423</v>
      </c>
      <c r="N3413" s="1">
        <v>45262</v>
      </c>
      <c r="O3413" t="s">
        <v>35</v>
      </c>
      <c r="P3413">
        <v>6</v>
      </c>
      <c r="Q3413">
        <v>4768.37</v>
      </c>
    </row>
    <row r="3414" spans="1:17" x14ac:dyDescent="0.3">
      <c r="A3414" t="s">
        <v>7480</v>
      </c>
      <c r="B3414" t="s">
        <v>790</v>
      </c>
      <c r="C3414" s="2" t="str">
        <f>PROPER(TRIM(Table1[[#This Row],[Gender]]))</f>
        <v>Female</v>
      </c>
      <c r="D3414" t="s">
        <v>43</v>
      </c>
      <c r="E3414">
        <v>28</v>
      </c>
      <c r="F3414" t="s">
        <v>31</v>
      </c>
      <c r="G3414" s="1">
        <v>35438</v>
      </c>
      <c r="H3414" t="s">
        <v>7481</v>
      </c>
      <c r="I3414" s="2" t="str">
        <f t="shared" si="53"/>
        <v>+91-7723997539</v>
      </c>
      <c r="J3414">
        <f>91-7723997630</f>
        <v>-7723997539</v>
      </c>
      <c r="K3414" t="s">
        <v>51</v>
      </c>
      <c r="L3414" t="s">
        <v>52</v>
      </c>
      <c r="M3414">
        <v>610827</v>
      </c>
      <c r="N3414" s="1">
        <v>45232</v>
      </c>
      <c r="O3414" t="s">
        <v>28</v>
      </c>
      <c r="P3414">
        <v>3</v>
      </c>
      <c r="Q3414">
        <v>95757.71</v>
      </c>
    </row>
    <row r="3415" spans="1:17" x14ac:dyDescent="0.3">
      <c r="A3415" t="s">
        <v>7482</v>
      </c>
      <c r="B3415" t="s">
        <v>1004</v>
      </c>
      <c r="C3415" s="2" t="str">
        <f>PROPER(TRIM(Table1[[#This Row],[Gender]]))</f>
        <v>Female</v>
      </c>
      <c r="D3415" t="s">
        <v>43</v>
      </c>
      <c r="E3415">
        <v>31</v>
      </c>
      <c r="F3415" t="s">
        <v>31</v>
      </c>
      <c r="G3415" s="1">
        <v>34343</v>
      </c>
      <c r="H3415" t="s">
        <v>7483</v>
      </c>
      <c r="I3415" s="2" t="str">
        <f t="shared" si="53"/>
        <v>+91-8224451597</v>
      </c>
      <c r="J3415">
        <f>91-8224451688</f>
        <v>-8224451597</v>
      </c>
      <c r="K3415" t="s">
        <v>190</v>
      </c>
      <c r="L3415" t="s">
        <v>191</v>
      </c>
      <c r="M3415">
        <v>823906</v>
      </c>
      <c r="N3415" s="1">
        <v>45199</v>
      </c>
      <c r="O3415" t="s">
        <v>35</v>
      </c>
      <c r="P3415">
        <v>1</v>
      </c>
      <c r="Q3415">
        <v>17770.43</v>
      </c>
    </row>
    <row r="3416" spans="1:17" x14ac:dyDescent="0.3">
      <c r="A3416" t="s">
        <v>7484</v>
      </c>
      <c r="B3416" t="s">
        <v>4450</v>
      </c>
      <c r="C3416" s="2" t="str">
        <f>PROPER(TRIM(Table1[[#This Row],[Gender]]))</f>
        <v>Male</v>
      </c>
      <c r="D3416" t="s">
        <v>16</v>
      </c>
      <c r="E3416">
        <v>25</v>
      </c>
      <c r="F3416" t="s">
        <v>49</v>
      </c>
      <c r="G3416" s="1">
        <v>36533</v>
      </c>
      <c r="H3416" t="s">
        <v>7485</v>
      </c>
      <c r="I3416" s="2" t="str">
        <f t="shared" si="53"/>
        <v>+91-9444464266</v>
      </c>
      <c r="J3416">
        <f>91-9444464357</f>
        <v>-9444464266</v>
      </c>
      <c r="K3416" t="s">
        <v>142</v>
      </c>
      <c r="L3416" t="s">
        <v>143</v>
      </c>
      <c r="M3416">
        <v>235265</v>
      </c>
      <c r="N3416" s="1">
        <v>45202</v>
      </c>
      <c r="O3416" t="s">
        <v>35</v>
      </c>
      <c r="P3416">
        <v>4</v>
      </c>
      <c r="Q3416">
        <v>13215.59</v>
      </c>
    </row>
    <row r="3417" spans="1:17" x14ac:dyDescent="0.3">
      <c r="A3417" t="s">
        <v>7486</v>
      </c>
      <c r="B3417" t="s">
        <v>543</v>
      </c>
      <c r="C3417" s="2" t="str">
        <f>PROPER(TRIM(Table1[[#This Row],[Gender]]))</f>
        <v>Female</v>
      </c>
      <c r="D3417" t="s">
        <v>43</v>
      </c>
      <c r="E3417">
        <v>27</v>
      </c>
      <c r="F3417" t="s">
        <v>31</v>
      </c>
      <c r="G3417" s="1">
        <v>35803</v>
      </c>
      <c r="H3417" t="s">
        <v>544</v>
      </c>
      <c r="I3417" s="2" t="str">
        <f t="shared" si="53"/>
        <v>+91-8551250288</v>
      </c>
      <c r="J3417">
        <f>91-8551250379</f>
        <v>-8551250288</v>
      </c>
      <c r="K3417" t="s">
        <v>26</v>
      </c>
      <c r="L3417" t="s">
        <v>27</v>
      </c>
      <c r="M3417">
        <v>709955</v>
      </c>
      <c r="N3417" s="1">
        <v>45243</v>
      </c>
      <c r="O3417" t="s">
        <v>28</v>
      </c>
      <c r="P3417">
        <v>3</v>
      </c>
      <c r="Q3417">
        <v>111793.83</v>
      </c>
    </row>
    <row r="3418" spans="1:17" x14ac:dyDescent="0.3">
      <c r="A3418" t="s">
        <v>7487</v>
      </c>
      <c r="B3418" t="s">
        <v>5412</v>
      </c>
      <c r="C3418" s="2" t="str">
        <f>PROPER(TRIM(Table1[[#This Row],[Gender]]))</f>
        <v>Male</v>
      </c>
      <c r="D3418" t="s">
        <v>16</v>
      </c>
      <c r="E3418">
        <v>43</v>
      </c>
      <c r="F3418" t="s">
        <v>38</v>
      </c>
      <c r="G3418" s="1">
        <v>29963</v>
      </c>
      <c r="H3418" t="s">
        <v>7488</v>
      </c>
      <c r="I3418" s="2" t="str">
        <f t="shared" si="53"/>
        <v>+91-8176467441</v>
      </c>
      <c r="J3418">
        <f>91-8176467532</f>
        <v>-8176467441</v>
      </c>
      <c r="K3418" t="s">
        <v>190</v>
      </c>
      <c r="L3418" t="s">
        <v>191</v>
      </c>
      <c r="M3418">
        <v>581070</v>
      </c>
      <c r="N3418" s="1">
        <v>45255</v>
      </c>
      <c r="O3418" t="s">
        <v>28</v>
      </c>
      <c r="P3418">
        <v>1</v>
      </c>
      <c r="Q3418">
        <v>62978.45</v>
      </c>
    </row>
    <row r="3419" spans="1:17" x14ac:dyDescent="0.3">
      <c r="A3419" t="s">
        <v>7489</v>
      </c>
      <c r="B3419" t="s">
        <v>554</v>
      </c>
      <c r="C3419" s="2" t="str">
        <f>PROPER(TRIM(Table1[[#This Row],[Gender]]))</f>
        <v>Male</v>
      </c>
      <c r="D3419" t="s">
        <v>16</v>
      </c>
      <c r="E3419">
        <v>42</v>
      </c>
      <c r="F3419" t="s">
        <v>38</v>
      </c>
      <c r="G3419" s="1">
        <v>30328</v>
      </c>
      <c r="H3419" t="s">
        <v>3712</v>
      </c>
      <c r="I3419" s="2" t="str">
        <f t="shared" si="53"/>
        <v>+91-7837466133</v>
      </c>
      <c r="J3419">
        <f>91-7837466224</f>
        <v>-7837466133</v>
      </c>
      <c r="K3419" t="s">
        <v>125</v>
      </c>
      <c r="L3419" t="s">
        <v>52</v>
      </c>
      <c r="M3419">
        <v>406449</v>
      </c>
      <c r="N3419" s="1">
        <v>45310</v>
      </c>
      <c r="O3419" t="s">
        <v>28</v>
      </c>
      <c r="P3419">
        <v>3</v>
      </c>
      <c r="Q3419">
        <v>115679.4</v>
      </c>
    </row>
    <row r="3420" spans="1:17" x14ac:dyDescent="0.3">
      <c r="A3420" t="s">
        <v>7490</v>
      </c>
      <c r="B3420" t="s">
        <v>407</v>
      </c>
      <c r="C3420" s="2" t="str">
        <f>PROPER(TRIM(Table1[[#This Row],[Gender]]))</f>
        <v>Male</v>
      </c>
      <c r="D3420" t="s">
        <v>16</v>
      </c>
      <c r="E3420">
        <v>18</v>
      </c>
      <c r="F3420" t="s">
        <v>49</v>
      </c>
      <c r="G3420" s="1">
        <v>39088</v>
      </c>
      <c r="H3420" t="s">
        <v>7491</v>
      </c>
      <c r="I3420" s="2" t="str">
        <f t="shared" si="53"/>
        <v>+91-9888244737</v>
      </c>
      <c r="J3420">
        <f>91-9888244828</f>
        <v>-9888244737</v>
      </c>
      <c r="K3420" t="s">
        <v>202</v>
      </c>
      <c r="L3420" t="s">
        <v>191</v>
      </c>
      <c r="M3420">
        <v>557806</v>
      </c>
      <c r="N3420" s="1">
        <v>45176</v>
      </c>
      <c r="O3420" t="s">
        <v>21</v>
      </c>
      <c r="P3420">
        <v>2</v>
      </c>
      <c r="Q3420">
        <v>30888.76</v>
      </c>
    </row>
    <row r="3421" spans="1:17" x14ac:dyDescent="0.3">
      <c r="A3421" t="s">
        <v>7492</v>
      </c>
      <c r="B3421" t="s">
        <v>7493</v>
      </c>
      <c r="C3421" s="2" t="str">
        <f>PROPER(TRIM(Table1[[#This Row],[Gender]]))</f>
        <v>Male</v>
      </c>
      <c r="D3421" t="s">
        <v>16</v>
      </c>
      <c r="E3421">
        <v>67</v>
      </c>
      <c r="F3421" t="s">
        <v>24</v>
      </c>
      <c r="G3421" s="1">
        <v>21203</v>
      </c>
      <c r="H3421" t="s">
        <v>7494</v>
      </c>
      <c r="I3421" s="2" t="str">
        <f t="shared" si="53"/>
        <v>+91-7711749015</v>
      </c>
      <c r="J3421">
        <f>91-7711749106</f>
        <v>-7711749015</v>
      </c>
      <c r="K3421" t="s">
        <v>68</v>
      </c>
      <c r="L3421" t="s">
        <v>52</v>
      </c>
      <c r="M3421">
        <v>591734</v>
      </c>
      <c r="N3421" s="1">
        <v>45118</v>
      </c>
      <c r="O3421" t="s">
        <v>21</v>
      </c>
      <c r="P3421">
        <v>3</v>
      </c>
      <c r="Q3421">
        <v>38988.699999999997</v>
      </c>
    </row>
    <row r="3422" spans="1:17" x14ac:dyDescent="0.3">
      <c r="A3422" t="s">
        <v>7495</v>
      </c>
      <c r="B3422" t="s">
        <v>734</v>
      </c>
      <c r="C3422" s="2" t="str">
        <f>PROPER(TRIM(Table1[[#This Row],[Gender]]))</f>
        <v>Female</v>
      </c>
      <c r="D3422" t="s">
        <v>43</v>
      </c>
      <c r="E3422">
        <v>30</v>
      </c>
      <c r="F3422" t="s">
        <v>31</v>
      </c>
      <c r="G3422" s="1">
        <v>34708</v>
      </c>
      <c r="H3422" t="s">
        <v>1666</v>
      </c>
      <c r="I3422" s="2" t="str">
        <f t="shared" si="53"/>
        <v>+91-9505906733</v>
      </c>
      <c r="J3422">
        <f>91-9505906824</f>
        <v>-9505906733</v>
      </c>
      <c r="K3422" t="s">
        <v>195</v>
      </c>
      <c r="L3422" t="s">
        <v>102</v>
      </c>
      <c r="M3422">
        <v>952144</v>
      </c>
      <c r="N3422" s="1">
        <v>45158</v>
      </c>
      <c r="O3422" t="s">
        <v>28</v>
      </c>
      <c r="P3422">
        <v>8</v>
      </c>
      <c r="Q3422">
        <v>288024.28999999998</v>
      </c>
    </row>
    <row r="3423" spans="1:17" x14ac:dyDescent="0.3">
      <c r="A3423" t="s">
        <v>7496</v>
      </c>
      <c r="B3423" t="s">
        <v>3306</v>
      </c>
      <c r="C3423" s="2" t="str">
        <f>PROPER(TRIM(Table1[[#This Row],[Gender]]))</f>
        <v>Male</v>
      </c>
      <c r="D3423" t="s">
        <v>16</v>
      </c>
      <c r="E3423">
        <v>32</v>
      </c>
      <c r="F3423" t="s">
        <v>31</v>
      </c>
      <c r="G3423" s="1">
        <v>33978</v>
      </c>
      <c r="H3423" t="s">
        <v>7497</v>
      </c>
      <c r="I3423" s="2" t="str">
        <f t="shared" si="53"/>
        <v>+91-9437816637</v>
      </c>
      <c r="J3423">
        <f>91-9437816728</f>
        <v>-9437816637</v>
      </c>
      <c r="K3423" t="s">
        <v>202</v>
      </c>
      <c r="L3423" t="s">
        <v>191</v>
      </c>
      <c r="M3423">
        <v>177484</v>
      </c>
      <c r="N3423" s="1">
        <v>45441</v>
      </c>
      <c r="O3423" t="s">
        <v>28</v>
      </c>
      <c r="P3423">
        <v>7</v>
      </c>
      <c r="Q3423">
        <v>82113.67</v>
      </c>
    </row>
    <row r="3424" spans="1:17" x14ac:dyDescent="0.3">
      <c r="A3424" t="s">
        <v>7498</v>
      </c>
      <c r="B3424" t="s">
        <v>546</v>
      </c>
      <c r="C3424" s="2" t="str">
        <f>PROPER(TRIM(Table1[[#This Row],[Gender]]))</f>
        <v>Female</v>
      </c>
      <c r="D3424" t="s">
        <v>43</v>
      </c>
      <c r="E3424">
        <v>38</v>
      </c>
      <c r="F3424" t="s">
        <v>38</v>
      </c>
      <c r="G3424" s="1">
        <v>31788</v>
      </c>
      <c r="H3424" t="s">
        <v>7499</v>
      </c>
      <c r="I3424" s="2" t="str">
        <f t="shared" si="53"/>
        <v>+91-7105856531</v>
      </c>
      <c r="J3424">
        <f>91-7105856622</f>
        <v>-7105856531</v>
      </c>
      <c r="K3424" t="s">
        <v>72</v>
      </c>
      <c r="L3424" t="s">
        <v>34</v>
      </c>
      <c r="M3424">
        <v>719081</v>
      </c>
      <c r="N3424" s="1">
        <v>45146</v>
      </c>
      <c r="O3424" t="s">
        <v>21</v>
      </c>
      <c r="P3424">
        <v>4</v>
      </c>
      <c r="Q3424">
        <v>24878.65</v>
      </c>
    </row>
    <row r="3425" spans="1:17" x14ac:dyDescent="0.3">
      <c r="A3425" t="s">
        <v>7500</v>
      </c>
      <c r="B3425" t="s">
        <v>7501</v>
      </c>
      <c r="C3425" s="2" t="str">
        <f>PROPER(TRIM(Table1[[#This Row],[Gender]]))</f>
        <v>Female</v>
      </c>
      <c r="D3425" t="s">
        <v>43</v>
      </c>
      <c r="E3425">
        <v>37</v>
      </c>
      <c r="F3425" t="s">
        <v>38</v>
      </c>
      <c r="G3425" s="1">
        <v>32153</v>
      </c>
      <c r="H3425" t="s">
        <v>7502</v>
      </c>
      <c r="I3425" s="2" t="str">
        <f t="shared" si="53"/>
        <v>+91-7805533330</v>
      </c>
      <c r="J3425">
        <f>91-7805533421</f>
        <v>-7805533330</v>
      </c>
      <c r="K3425" t="s">
        <v>142</v>
      </c>
      <c r="L3425" t="s">
        <v>143</v>
      </c>
      <c r="M3425">
        <v>330337</v>
      </c>
      <c r="N3425" s="1">
        <v>45114</v>
      </c>
      <c r="O3425" t="s">
        <v>28</v>
      </c>
      <c r="P3425">
        <v>6</v>
      </c>
      <c r="Q3425">
        <v>67410.36</v>
      </c>
    </row>
    <row r="3426" spans="1:17" x14ac:dyDescent="0.3">
      <c r="A3426" t="s">
        <v>7503</v>
      </c>
      <c r="B3426" t="s">
        <v>836</v>
      </c>
      <c r="C3426" s="2" t="str">
        <f>PROPER(TRIM(Table1[[#This Row],[Gender]]))</f>
        <v>Female</v>
      </c>
      <c r="D3426" t="s">
        <v>43</v>
      </c>
      <c r="E3426">
        <v>30</v>
      </c>
      <c r="F3426" t="s">
        <v>31</v>
      </c>
      <c r="G3426" s="1">
        <v>34708</v>
      </c>
      <c r="H3426" t="s">
        <v>7504</v>
      </c>
      <c r="I3426" s="2" t="str">
        <f t="shared" si="53"/>
        <v>+91-7655743337</v>
      </c>
      <c r="J3426">
        <f>91-7655743428</f>
        <v>-7655743337</v>
      </c>
      <c r="K3426" t="s">
        <v>142</v>
      </c>
      <c r="L3426" t="s">
        <v>143</v>
      </c>
      <c r="M3426">
        <v>124630</v>
      </c>
      <c r="N3426" s="1">
        <v>45217</v>
      </c>
      <c r="O3426" t="s">
        <v>28</v>
      </c>
      <c r="P3426">
        <v>7</v>
      </c>
      <c r="Q3426">
        <v>188242.55</v>
      </c>
    </row>
    <row r="3427" spans="1:17" x14ac:dyDescent="0.3">
      <c r="A3427" t="s">
        <v>7505</v>
      </c>
      <c r="B3427" t="s">
        <v>6637</v>
      </c>
      <c r="C3427" s="2" t="str">
        <f>PROPER(TRIM(Table1[[#This Row],[Gender]]))</f>
        <v>Female</v>
      </c>
      <c r="D3427" t="s">
        <v>43</v>
      </c>
      <c r="E3427">
        <v>50</v>
      </c>
      <c r="F3427" t="s">
        <v>17</v>
      </c>
      <c r="G3427" s="1">
        <v>27408</v>
      </c>
      <c r="H3427" t="s">
        <v>7506</v>
      </c>
      <c r="I3427" s="2" t="str">
        <f t="shared" si="53"/>
        <v>+91-8434518905</v>
      </c>
      <c r="J3427">
        <f>91-8434518996</f>
        <v>-8434518905</v>
      </c>
      <c r="K3427" t="s">
        <v>109</v>
      </c>
      <c r="L3427" t="s">
        <v>46</v>
      </c>
      <c r="M3427">
        <v>711118</v>
      </c>
      <c r="N3427" s="1">
        <v>45417</v>
      </c>
      <c r="O3427" t="s">
        <v>21</v>
      </c>
      <c r="P3427">
        <v>5</v>
      </c>
      <c r="Q3427">
        <v>29884.15</v>
      </c>
    </row>
    <row r="3428" spans="1:17" x14ac:dyDescent="0.3">
      <c r="A3428" t="s">
        <v>7507</v>
      </c>
      <c r="B3428" t="s">
        <v>5146</v>
      </c>
      <c r="C3428" s="2" t="str">
        <f>PROPER(TRIM(Table1[[#This Row],[Gender]]))</f>
        <v>Male</v>
      </c>
      <c r="D3428" t="s">
        <v>16</v>
      </c>
      <c r="E3428">
        <v>41</v>
      </c>
      <c r="F3428" t="s">
        <v>38</v>
      </c>
      <c r="G3428" s="1">
        <v>30693</v>
      </c>
      <c r="H3428" t="s">
        <v>7508</v>
      </c>
      <c r="I3428" s="2" t="str">
        <f t="shared" si="53"/>
        <v>+91-7918048755</v>
      </c>
      <c r="J3428">
        <f>91-7918048846</f>
        <v>-7918048755</v>
      </c>
      <c r="K3428" t="s">
        <v>174</v>
      </c>
      <c r="L3428" t="s">
        <v>90</v>
      </c>
      <c r="M3428">
        <v>414359</v>
      </c>
      <c r="N3428" s="1">
        <v>45163</v>
      </c>
      <c r="O3428" t="s">
        <v>35</v>
      </c>
      <c r="P3428">
        <v>3</v>
      </c>
      <c r="Q3428">
        <v>9063</v>
      </c>
    </row>
    <row r="3429" spans="1:17" x14ac:dyDescent="0.3">
      <c r="A3429" t="s">
        <v>7509</v>
      </c>
      <c r="B3429" t="s">
        <v>2338</v>
      </c>
      <c r="C3429" s="2" t="str">
        <f>PROPER(TRIM(Table1[[#This Row],[Gender]]))</f>
        <v>Male</v>
      </c>
      <c r="D3429" t="s">
        <v>16</v>
      </c>
      <c r="E3429">
        <v>62</v>
      </c>
      <c r="F3429" t="s">
        <v>58</v>
      </c>
      <c r="G3429" s="1">
        <v>23028</v>
      </c>
      <c r="H3429" t="s">
        <v>7510</v>
      </c>
      <c r="I3429" s="2" t="str">
        <f t="shared" si="53"/>
        <v>+91-8807504116</v>
      </c>
      <c r="J3429">
        <f>91-8807504207</f>
        <v>-8807504116</v>
      </c>
      <c r="K3429" t="s">
        <v>51</v>
      </c>
      <c r="L3429" t="s">
        <v>52</v>
      </c>
      <c r="M3429">
        <v>668907</v>
      </c>
      <c r="N3429" s="1">
        <v>45169</v>
      </c>
      <c r="O3429" t="s">
        <v>35</v>
      </c>
      <c r="P3429">
        <v>3</v>
      </c>
      <c r="Q3429">
        <v>18108.18</v>
      </c>
    </row>
    <row r="3430" spans="1:17" x14ac:dyDescent="0.3">
      <c r="A3430" t="s">
        <v>7511</v>
      </c>
      <c r="B3430" t="s">
        <v>801</v>
      </c>
      <c r="C3430" s="2" t="str">
        <f>PROPER(TRIM(Table1[[#This Row],[Gender]]))</f>
        <v>Female</v>
      </c>
      <c r="D3430" t="s">
        <v>43</v>
      </c>
      <c r="E3430">
        <v>55</v>
      </c>
      <c r="F3430" t="s">
        <v>17</v>
      </c>
      <c r="G3430" s="1">
        <v>25583</v>
      </c>
      <c r="H3430" t="s">
        <v>5448</v>
      </c>
      <c r="I3430" s="2" t="str">
        <f t="shared" si="53"/>
        <v>+91-7463247989</v>
      </c>
      <c r="J3430">
        <f>91-7463248080</f>
        <v>-7463247989</v>
      </c>
      <c r="K3430" t="s">
        <v>101</v>
      </c>
      <c r="L3430" t="s">
        <v>102</v>
      </c>
      <c r="M3430">
        <v>532733</v>
      </c>
      <c r="N3430" s="1">
        <v>45146</v>
      </c>
      <c r="O3430" t="s">
        <v>28</v>
      </c>
      <c r="P3430">
        <v>6</v>
      </c>
      <c r="Q3430">
        <v>54130.41</v>
      </c>
    </row>
    <row r="3431" spans="1:17" x14ac:dyDescent="0.3">
      <c r="A3431" t="s">
        <v>7512</v>
      </c>
      <c r="B3431" t="s">
        <v>5664</v>
      </c>
      <c r="C3431" s="2" t="str">
        <f>PROPER(TRIM(Table1[[#This Row],[Gender]]))</f>
        <v>Male</v>
      </c>
      <c r="D3431" t="s">
        <v>16</v>
      </c>
      <c r="E3431">
        <v>32</v>
      </c>
      <c r="F3431" t="s">
        <v>31</v>
      </c>
      <c r="G3431" s="1">
        <v>33978</v>
      </c>
      <c r="H3431" t="s">
        <v>5665</v>
      </c>
      <c r="I3431" s="2" t="str">
        <f t="shared" si="53"/>
        <v>+91-8338820926</v>
      </c>
      <c r="J3431">
        <f>91-8338821017</f>
        <v>-8338820926</v>
      </c>
      <c r="K3431" t="s">
        <v>154</v>
      </c>
      <c r="L3431" t="s">
        <v>46</v>
      </c>
      <c r="M3431">
        <v>429527</v>
      </c>
      <c r="N3431" s="1">
        <v>45261</v>
      </c>
      <c r="O3431" t="s">
        <v>28</v>
      </c>
      <c r="P3431">
        <v>7</v>
      </c>
      <c r="Q3431">
        <v>171568.48</v>
      </c>
    </row>
    <row r="3432" spans="1:17" x14ac:dyDescent="0.3">
      <c r="A3432" t="s">
        <v>7513</v>
      </c>
      <c r="B3432" t="s">
        <v>1588</v>
      </c>
      <c r="C3432" s="2" t="str">
        <f>PROPER(TRIM(Table1[[#This Row],[Gender]]))</f>
        <v>Female</v>
      </c>
      <c r="D3432" t="s">
        <v>43</v>
      </c>
      <c r="E3432">
        <v>45</v>
      </c>
      <c r="F3432" t="s">
        <v>38</v>
      </c>
      <c r="G3432" s="1">
        <v>29233</v>
      </c>
      <c r="H3432" t="s">
        <v>7514</v>
      </c>
      <c r="I3432" s="2" t="str">
        <f t="shared" si="53"/>
        <v>+91-8196839626</v>
      </c>
      <c r="J3432">
        <f>91-8196839717</f>
        <v>-8196839626</v>
      </c>
      <c r="K3432" t="s">
        <v>101</v>
      </c>
      <c r="L3432" t="s">
        <v>102</v>
      </c>
      <c r="M3432">
        <v>667607</v>
      </c>
      <c r="N3432" s="1">
        <v>45424</v>
      </c>
      <c r="O3432" t="s">
        <v>28</v>
      </c>
      <c r="P3432">
        <v>5</v>
      </c>
      <c r="Q3432">
        <v>118896.36</v>
      </c>
    </row>
    <row r="3433" spans="1:17" x14ac:dyDescent="0.3">
      <c r="A3433" t="s">
        <v>7515</v>
      </c>
      <c r="B3433" t="s">
        <v>487</v>
      </c>
      <c r="C3433" s="2" t="str">
        <f>PROPER(TRIM(Table1[[#This Row],[Gender]]))</f>
        <v>Female</v>
      </c>
      <c r="D3433" t="s">
        <v>43</v>
      </c>
      <c r="E3433">
        <v>27</v>
      </c>
      <c r="F3433" t="s">
        <v>31</v>
      </c>
      <c r="G3433" s="1">
        <v>35803</v>
      </c>
      <c r="H3433" t="s">
        <v>7516</v>
      </c>
      <c r="I3433" s="2" t="str">
        <f t="shared" si="53"/>
        <v>+91-7955429862</v>
      </c>
      <c r="J3433">
        <f>91-7955429953</f>
        <v>-7955429862</v>
      </c>
      <c r="K3433" t="s">
        <v>154</v>
      </c>
      <c r="L3433" t="s">
        <v>46</v>
      </c>
      <c r="M3433">
        <v>339050</v>
      </c>
      <c r="N3433" s="1">
        <v>45120</v>
      </c>
      <c r="O3433" t="s">
        <v>28</v>
      </c>
      <c r="P3433">
        <v>7</v>
      </c>
      <c r="Q3433">
        <v>152347.9</v>
      </c>
    </row>
    <row r="3434" spans="1:17" x14ac:dyDescent="0.3">
      <c r="A3434" t="s">
        <v>7517</v>
      </c>
      <c r="B3434" t="s">
        <v>7518</v>
      </c>
      <c r="C3434" s="2" t="str">
        <f>PROPER(TRIM(Table1[[#This Row],[Gender]]))</f>
        <v>Male</v>
      </c>
      <c r="D3434" t="s">
        <v>16</v>
      </c>
      <c r="E3434">
        <v>31</v>
      </c>
      <c r="F3434" t="s">
        <v>31</v>
      </c>
      <c r="G3434" s="1">
        <v>34343</v>
      </c>
      <c r="H3434" t="s">
        <v>7519</v>
      </c>
      <c r="I3434" s="2" t="str">
        <f t="shared" si="53"/>
        <v>+91-9246744236</v>
      </c>
      <c r="J3434">
        <f>91-9246744327</f>
        <v>-9246744236</v>
      </c>
      <c r="K3434" t="s">
        <v>51</v>
      </c>
      <c r="L3434" t="s">
        <v>52</v>
      </c>
      <c r="M3434">
        <v>181267</v>
      </c>
      <c r="N3434" s="1">
        <v>45404</v>
      </c>
      <c r="O3434" t="s">
        <v>28</v>
      </c>
      <c r="P3434">
        <v>5</v>
      </c>
      <c r="Q3434">
        <v>144394.26</v>
      </c>
    </row>
    <row r="3435" spans="1:17" x14ac:dyDescent="0.3">
      <c r="A3435" t="s">
        <v>7520</v>
      </c>
      <c r="B3435" t="s">
        <v>7215</v>
      </c>
      <c r="C3435" s="2" t="str">
        <f>PROPER(TRIM(Table1[[#This Row],[Gender]]))</f>
        <v>Male</v>
      </c>
      <c r="D3435" t="s">
        <v>16</v>
      </c>
      <c r="E3435">
        <v>45</v>
      </c>
      <c r="F3435" t="s">
        <v>38</v>
      </c>
      <c r="G3435" s="1">
        <v>29233</v>
      </c>
      <c r="H3435" t="s">
        <v>7521</v>
      </c>
      <c r="I3435" s="2" t="str">
        <f t="shared" si="53"/>
        <v>+91-9874378501</v>
      </c>
      <c r="J3435">
        <f>91-9874378592</f>
        <v>-9874378501</v>
      </c>
      <c r="K3435" t="s">
        <v>60</v>
      </c>
      <c r="L3435" t="s">
        <v>34</v>
      </c>
      <c r="M3435">
        <v>351601</v>
      </c>
      <c r="N3435" s="1">
        <v>45237</v>
      </c>
      <c r="O3435" t="s">
        <v>28</v>
      </c>
      <c r="P3435">
        <v>4</v>
      </c>
      <c r="Q3435">
        <v>165322.32999999999</v>
      </c>
    </row>
    <row r="3436" spans="1:17" x14ac:dyDescent="0.3">
      <c r="A3436" t="s">
        <v>7522</v>
      </c>
      <c r="B3436" t="s">
        <v>210</v>
      </c>
      <c r="C3436" s="2" t="str">
        <f>PROPER(TRIM(Table1[[#This Row],[Gender]]))</f>
        <v>Female</v>
      </c>
      <c r="D3436" t="s">
        <v>43</v>
      </c>
      <c r="E3436">
        <v>19</v>
      </c>
      <c r="F3436" t="s">
        <v>49</v>
      </c>
      <c r="G3436" s="1">
        <v>38723</v>
      </c>
      <c r="H3436" t="s">
        <v>7523</v>
      </c>
      <c r="I3436" s="2" t="str">
        <f t="shared" si="53"/>
        <v>+91-7037650679</v>
      </c>
      <c r="J3436">
        <f>91-7037650770</f>
        <v>-7037650679</v>
      </c>
      <c r="K3436" t="s">
        <v>109</v>
      </c>
      <c r="L3436" t="s">
        <v>46</v>
      </c>
      <c r="M3436">
        <v>133904</v>
      </c>
      <c r="N3436" s="1">
        <v>45091</v>
      </c>
      <c r="O3436" t="s">
        <v>21</v>
      </c>
      <c r="P3436">
        <v>4</v>
      </c>
      <c r="Q3436">
        <v>22270.83</v>
      </c>
    </row>
    <row r="3437" spans="1:17" x14ac:dyDescent="0.3">
      <c r="A3437" t="s">
        <v>7524</v>
      </c>
      <c r="B3437" t="s">
        <v>4402</v>
      </c>
      <c r="C3437" s="2" t="str">
        <f>PROPER(TRIM(Table1[[#This Row],[Gender]]))</f>
        <v>Male</v>
      </c>
      <c r="D3437" t="s">
        <v>16</v>
      </c>
      <c r="E3437">
        <v>30</v>
      </c>
      <c r="F3437" t="s">
        <v>31</v>
      </c>
      <c r="G3437" s="1">
        <v>34708</v>
      </c>
      <c r="H3437" t="s">
        <v>7525</v>
      </c>
      <c r="I3437" s="2" t="str">
        <f t="shared" si="53"/>
        <v>+91-8478730526</v>
      </c>
      <c r="J3437">
        <f>91-8478730617</f>
        <v>-8478730526</v>
      </c>
      <c r="K3437" t="s">
        <v>239</v>
      </c>
      <c r="L3437" t="s">
        <v>191</v>
      </c>
      <c r="M3437">
        <v>186587</v>
      </c>
      <c r="N3437" s="1">
        <v>45351</v>
      </c>
      <c r="O3437" t="s">
        <v>28</v>
      </c>
      <c r="P3437">
        <v>4</v>
      </c>
      <c r="Q3437">
        <v>184891.36</v>
      </c>
    </row>
    <row r="3438" spans="1:17" x14ac:dyDescent="0.3">
      <c r="A3438" t="s">
        <v>7526</v>
      </c>
      <c r="B3438" t="s">
        <v>3386</v>
      </c>
      <c r="C3438" s="2" t="str">
        <f>PROPER(TRIM(Table1[[#This Row],[Gender]]))</f>
        <v>Female</v>
      </c>
      <c r="D3438" t="s">
        <v>43</v>
      </c>
      <c r="E3438">
        <v>18</v>
      </c>
      <c r="F3438" t="s">
        <v>49</v>
      </c>
      <c r="G3438" s="1">
        <v>39088</v>
      </c>
      <c r="H3438" t="s">
        <v>7527</v>
      </c>
      <c r="I3438" s="2" t="str">
        <f t="shared" si="53"/>
        <v>+91-7304208944</v>
      </c>
      <c r="J3438">
        <f>91-7304209035</f>
        <v>-7304208944</v>
      </c>
      <c r="K3438" t="s">
        <v>45</v>
      </c>
      <c r="L3438" t="s">
        <v>46</v>
      </c>
      <c r="M3438">
        <v>997785</v>
      </c>
      <c r="N3438" s="1">
        <v>45337</v>
      </c>
      <c r="O3438" t="s">
        <v>28</v>
      </c>
      <c r="P3438">
        <v>8</v>
      </c>
      <c r="Q3438">
        <v>136945.79999999999</v>
      </c>
    </row>
    <row r="3439" spans="1:17" x14ac:dyDescent="0.3">
      <c r="A3439" t="s">
        <v>7528</v>
      </c>
      <c r="B3439" t="s">
        <v>87</v>
      </c>
      <c r="C3439" s="2" t="str">
        <f>PROPER(TRIM(Table1[[#This Row],[Gender]]))</f>
        <v>Female</v>
      </c>
      <c r="D3439" t="s">
        <v>43</v>
      </c>
      <c r="E3439">
        <v>30</v>
      </c>
      <c r="F3439" t="s">
        <v>31</v>
      </c>
      <c r="G3439" s="1">
        <v>34708</v>
      </c>
      <c r="H3439" t="s">
        <v>2799</v>
      </c>
      <c r="I3439" s="2" t="str">
        <f t="shared" si="53"/>
        <v>+91-8381546396</v>
      </c>
      <c r="J3439">
        <f>91-8381546487</f>
        <v>-8381546396</v>
      </c>
      <c r="K3439" t="s">
        <v>142</v>
      </c>
      <c r="L3439" t="s">
        <v>143</v>
      </c>
      <c r="M3439">
        <v>482727</v>
      </c>
      <c r="N3439" s="1">
        <v>45138</v>
      </c>
      <c r="O3439" t="s">
        <v>28</v>
      </c>
      <c r="P3439">
        <v>10</v>
      </c>
      <c r="Q3439">
        <v>375925.81</v>
      </c>
    </row>
    <row r="3440" spans="1:17" x14ac:dyDescent="0.3">
      <c r="A3440" t="s">
        <v>7529</v>
      </c>
      <c r="B3440" t="s">
        <v>680</v>
      </c>
      <c r="C3440" s="2" t="str">
        <f>PROPER(TRIM(Table1[[#This Row],[Gender]]))</f>
        <v>Female</v>
      </c>
      <c r="D3440" t="s">
        <v>43</v>
      </c>
      <c r="E3440">
        <v>55</v>
      </c>
      <c r="F3440" t="s">
        <v>17</v>
      </c>
      <c r="G3440" s="1">
        <v>25583</v>
      </c>
      <c r="H3440" t="s">
        <v>7530</v>
      </c>
      <c r="I3440" s="2" t="str">
        <f t="shared" si="53"/>
        <v>+91-9167352836</v>
      </c>
      <c r="J3440">
        <f>91-9167352927</f>
        <v>-9167352836</v>
      </c>
      <c r="K3440" t="s">
        <v>273</v>
      </c>
      <c r="L3440" t="s">
        <v>46</v>
      </c>
      <c r="M3440">
        <v>775030</v>
      </c>
      <c r="N3440" s="1">
        <v>45354</v>
      </c>
      <c r="O3440" t="s">
        <v>21</v>
      </c>
      <c r="P3440">
        <v>3</v>
      </c>
      <c r="Q3440">
        <v>30624.400000000001</v>
      </c>
    </row>
    <row r="3441" spans="1:17" x14ac:dyDescent="0.3">
      <c r="A3441" t="s">
        <v>7531</v>
      </c>
      <c r="B3441" t="s">
        <v>481</v>
      </c>
      <c r="C3441" s="2" t="str">
        <f>PROPER(TRIM(Table1[[#This Row],[Gender]]))</f>
        <v>Female</v>
      </c>
      <c r="D3441" t="s">
        <v>43</v>
      </c>
      <c r="E3441">
        <v>58</v>
      </c>
      <c r="F3441" t="s">
        <v>58</v>
      </c>
      <c r="G3441" s="1">
        <v>24488</v>
      </c>
      <c r="H3441" t="s">
        <v>7532</v>
      </c>
      <c r="I3441" s="2" t="str">
        <f t="shared" si="53"/>
        <v>+91-9545276124</v>
      </c>
      <c r="J3441">
        <f>91-9545276215</f>
        <v>-9545276124</v>
      </c>
      <c r="K3441" t="s">
        <v>26</v>
      </c>
      <c r="L3441" t="s">
        <v>27</v>
      </c>
      <c r="M3441">
        <v>273894</v>
      </c>
      <c r="N3441" s="1">
        <v>45416</v>
      </c>
      <c r="O3441" t="s">
        <v>21</v>
      </c>
      <c r="P3441">
        <v>5</v>
      </c>
      <c r="Q3441">
        <v>39247.46</v>
      </c>
    </row>
    <row r="3442" spans="1:17" x14ac:dyDescent="0.3">
      <c r="A3442" t="s">
        <v>7533</v>
      </c>
      <c r="B3442" t="s">
        <v>7534</v>
      </c>
      <c r="C3442" s="2" t="str">
        <f>PROPER(TRIM(Table1[[#This Row],[Gender]]))</f>
        <v>Male</v>
      </c>
      <c r="D3442" t="s">
        <v>16</v>
      </c>
      <c r="E3442">
        <v>24</v>
      </c>
      <c r="F3442" t="s">
        <v>49</v>
      </c>
      <c r="G3442" s="1">
        <v>36898</v>
      </c>
      <c r="H3442" t="s">
        <v>7535</v>
      </c>
      <c r="I3442" s="2" t="str">
        <f t="shared" si="53"/>
        <v>+91-8419458087</v>
      </c>
      <c r="J3442">
        <f>91-8419458178</f>
        <v>-8419458087</v>
      </c>
      <c r="K3442" t="s">
        <v>40</v>
      </c>
      <c r="L3442" t="s">
        <v>27</v>
      </c>
      <c r="M3442">
        <v>385962</v>
      </c>
      <c r="N3442" s="1">
        <v>45433</v>
      </c>
      <c r="O3442" t="s">
        <v>28</v>
      </c>
      <c r="P3442">
        <v>2</v>
      </c>
      <c r="Q3442">
        <v>60067.47</v>
      </c>
    </row>
    <row r="3443" spans="1:17" x14ac:dyDescent="0.3">
      <c r="A3443" t="s">
        <v>7536</v>
      </c>
      <c r="B3443" t="s">
        <v>3046</v>
      </c>
      <c r="C3443" s="2" t="str">
        <f>PROPER(TRIM(Table1[[#This Row],[Gender]]))</f>
        <v>Female</v>
      </c>
      <c r="D3443" t="s">
        <v>43</v>
      </c>
      <c r="E3443">
        <v>25</v>
      </c>
      <c r="F3443" t="s">
        <v>49</v>
      </c>
      <c r="G3443" s="1">
        <v>36533</v>
      </c>
      <c r="H3443" t="s">
        <v>7537</v>
      </c>
      <c r="I3443" s="2" t="str">
        <f t="shared" si="53"/>
        <v>+91-9871177701</v>
      </c>
      <c r="J3443">
        <f>91-9871177792</f>
        <v>-9871177701</v>
      </c>
      <c r="K3443" t="s">
        <v>190</v>
      </c>
      <c r="L3443" t="s">
        <v>191</v>
      </c>
      <c r="M3443">
        <v>744744</v>
      </c>
      <c r="N3443" s="1">
        <v>45092</v>
      </c>
      <c r="O3443" t="s">
        <v>28</v>
      </c>
      <c r="P3443">
        <v>7</v>
      </c>
      <c r="Q3443">
        <v>163360.17000000001</v>
      </c>
    </row>
    <row r="3444" spans="1:17" x14ac:dyDescent="0.3">
      <c r="A3444" t="s">
        <v>7538</v>
      </c>
      <c r="B3444" t="s">
        <v>2994</v>
      </c>
      <c r="C3444" s="2" t="str">
        <f>PROPER(TRIM(Table1[[#This Row],[Gender]]))</f>
        <v>Female</v>
      </c>
      <c r="D3444" t="s">
        <v>43</v>
      </c>
      <c r="E3444">
        <v>35</v>
      </c>
      <c r="F3444" t="s">
        <v>31</v>
      </c>
      <c r="G3444" s="1">
        <v>32883</v>
      </c>
      <c r="H3444" t="s">
        <v>7539</v>
      </c>
      <c r="I3444" s="2" t="str">
        <f t="shared" si="53"/>
        <v>+91-7780534735</v>
      </c>
      <c r="J3444">
        <f>91-7780534826</f>
        <v>-7780534735</v>
      </c>
      <c r="K3444" t="s">
        <v>72</v>
      </c>
      <c r="L3444" t="s">
        <v>34</v>
      </c>
      <c r="M3444">
        <v>306306</v>
      </c>
      <c r="N3444" s="1">
        <v>45150</v>
      </c>
      <c r="O3444" t="s">
        <v>28</v>
      </c>
      <c r="P3444">
        <v>4</v>
      </c>
      <c r="Q3444">
        <v>63773.71</v>
      </c>
    </row>
    <row r="3445" spans="1:17" x14ac:dyDescent="0.3">
      <c r="A3445" t="s">
        <v>7540</v>
      </c>
      <c r="B3445" t="s">
        <v>1647</v>
      </c>
      <c r="C3445" s="2" t="str">
        <f>PROPER(TRIM(Table1[[#This Row],[Gender]]))</f>
        <v>Male</v>
      </c>
      <c r="D3445" t="s">
        <v>16</v>
      </c>
      <c r="E3445">
        <v>31</v>
      </c>
      <c r="F3445" t="s">
        <v>31</v>
      </c>
      <c r="G3445" s="1">
        <v>34343</v>
      </c>
      <c r="H3445" t="s">
        <v>7541</v>
      </c>
      <c r="I3445" s="2" t="str">
        <f t="shared" si="53"/>
        <v>+91-8925690325</v>
      </c>
      <c r="J3445">
        <f>91-8925690416</f>
        <v>-8925690325</v>
      </c>
      <c r="K3445" t="s">
        <v>45</v>
      </c>
      <c r="L3445" t="s">
        <v>46</v>
      </c>
      <c r="M3445">
        <v>659960</v>
      </c>
      <c r="N3445" s="1">
        <v>45384</v>
      </c>
      <c r="O3445" t="s">
        <v>21</v>
      </c>
      <c r="P3445">
        <v>4</v>
      </c>
      <c r="Q3445">
        <v>30756.5</v>
      </c>
    </row>
    <row r="3446" spans="1:17" x14ac:dyDescent="0.3">
      <c r="A3446" t="s">
        <v>7542</v>
      </c>
      <c r="B3446" t="s">
        <v>998</v>
      </c>
      <c r="C3446" s="2" t="str">
        <f>PROPER(TRIM(Table1[[#This Row],[Gender]]))</f>
        <v>Female</v>
      </c>
      <c r="D3446" t="s">
        <v>43</v>
      </c>
      <c r="E3446">
        <v>26</v>
      </c>
      <c r="F3446" t="s">
        <v>31</v>
      </c>
      <c r="G3446" s="1">
        <v>36168</v>
      </c>
      <c r="H3446" t="s">
        <v>7543</v>
      </c>
      <c r="I3446" s="2" t="str">
        <f t="shared" si="53"/>
        <v>+91-9067794567</v>
      </c>
      <c r="J3446">
        <f>91-9067794658</f>
        <v>-9067794567</v>
      </c>
      <c r="K3446" t="s">
        <v>89</v>
      </c>
      <c r="L3446" t="s">
        <v>90</v>
      </c>
      <c r="M3446">
        <v>366066</v>
      </c>
      <c r="N3446" s="1">
        <v>45333</v>
      </c>
      <c r="O3446" t="s">
        <v>35</v>
      </c>
      <c r="P3446">
        <v>1</v>
      </c>
      <c r="Q3446">
        <v>277.18</v>
      </c>
    </row>
    <row r="3447" spans="1:17" x14ac:dyDescent="0.3">
      <c r="A3447" t="s">
        <v>7544</v>
      </c>
      <c r="B3447" t="s">
        <v>1916</v>
      </c>
      <c r="C3447" s="2" t="str">
        <f>PROPER(TRIM(Table1[[#This Row],[Gender]]))</f>
        <v>Male</v>
      </c>
      <c r="D3447" t="s">
        <v>16</v>
      </c>
      <c r="E3447">
        <v>26</v>
      </c>
      <c r="F3447" t="s">
        <v>31</v>
      </c>
      <c r="G3447" s="1">
        <v>36168</v>
      </c>
      <c r="H3447" t="s">
        <v>7545</v>
      </c>
      <c r="I3447" s="2" t="str">
        <f t="shared" si="53"/>
        <v>+91-9218313043</v>
      </c>
      <c r="J3447">
        <f>91-9218313134</f>
        <v>-9218313043</v>
      </c>
      <c r="K3447" t="s">
        <v>64</v>
      </c>
      <c r="L3447" t="s">
        <v>20</v>
      </c>
      <c r="M3447">
        <v>413987</v>
      </c>
      <c r="N3447" s="1">
        <v>45356</v>
      </c>
      <c r="O3447" t="s">
        <v>28</v>
      </c>
      <c r="P3447">
        <v>3</v>
      </c>
      <c r="Q3447">
        <v>109457.04</v>
      </c>
    </row>
    <row r="3448" spans="1:17" x14ac:dyDescent="0.3">
      <c r="A3448" t="s">
        <v>7546</v>
      </c>
      <c r="B3448" t="s">
        <v>525</v>
      </c>
      <c r="C3448" s="2" t="str">
        <f>PROPER(TRIM(Table1[[#This Row],[Gender]]))</f>
        <v>Female</v>
      </c>
      <c r="D3448" t="s">
        <v>43</v>
      </c>
      <c r="E3448">
        <v>42</v>
      </c>
      <c r="F3448" t="s">
        <v>38</v>
      </c>
      <c r="G3448" s="1">
        <v>30328</v>
      </c>
      <c r="H3448" t="s">
        <v>7547</v>
      </c>
      <c r="I3448" s="2" t="str">
        <f t="shared" si="53"/>
        <v>+91-7946747484</v>
      </c>
      <c r="J3448">
        <f>91-7946747575</f>
        <v>-7946747484</v>
      </c>
      <c r="K3448" t="s">
        <v>138</v>
      </c>
      <c r="L3448" t="s">
        <v>90</v>
      </c>
      <c r="M3448">
        <v>784812</v>
      </c>
      <c r="N3448" s="1">
        <v>45257</v>
      </c>
      <c r="O3448" t="s">
        <v>28</v>
      </c>
      <c r="P3448">
        <v>7</v>
      </c>
      <c r="Q3448">
        <v>173084.15</v>
      </c>
    </row>
    <row r="3449" spans="1:17" x14ac:dyDescent="0.3">
      <c r="A3449" t="s">
        <v>7548</v>
      </c>
      <c r="B3449" t="s">
        <v>4744</v>
      </c>
      <c r="C3449" s="2" t="str">
        <f>PROPER(TRIM(Table1[[#This Row],[Gender]]))</f>
        <v>Female</v>
      </c>
      <c r="D3449" t="s">
        <v>43</v>
      </c>
      <c r="E3449">
        <v>20</v>
      </c>
      <c r="F3449" t="s">
        <v>49</v>
      </c>
      <c r="G3449" s="1">
        <v>38358</v>
      </c>
      <c r="H3449" t="s">
        <v>7549</v>
      </c>
      <c r="I3449" s="2" t="str">
        <f t="shared" si="53"/>
        <v>+91-8254791576</v>
      </c>
      <c r="J3449">
        <f>91-8254791667</f>
        <v>-8254791576</v>
      </c>
      <c r="K3449" t="s">
        <v>121</v>
      </c>
      <c r="L3449" t="s">
        <v>85</v>
      </c>
      <c r="M3449">
        <v>850715</v>
      </c>
      <c r="N3449" s="1">
        <v>45317</v>
      </c>
      <c r="O3449" t="s">
        <v>28</v>
      </c>
      <c r="P3449">
        <v>6</v>
      </c>
      <c r="Q3449">
        <v>91590.8</v>
      </c>
    </row>
    <row r="3450" spans="1:17" x14ac:dyDescent="0.3">
      <c r="A3450" t="s">
        <v>7550</v>
      </c>
      <c r="B3450" t="s">
        <v>2853</v>
      </c>
      <c r="C3450" s="2" t="str">
        <f>PROPER(TRIM(Table1[[#This Row],[Gender]]))</f>
        <v>Male</v>
      </c>
      <c r="D3450" t="s">
        <v>16</v>
      </c>
      <c r="E3450">
        <v>23</v>
      </c>
      <c r="F3450" t="s">
        <v>49</v>
      </c>
      <c r="G3450" s="1">
        <v>37263</v>
      </c>
      <c r="H3450" t="s">
        <v>7551</v>
      </c>
      <c r="I3450" s="2" t="str">
        <f t="shared" si="53"/>
        <v>+91-7264313034</v>
      </c>
      <c r="J3450">
        <f>91-7264313125</f>
        <v>-7264313034</v>
      </c>
      <c r="K3450" t="s">
        <v>64</v>
      </c>
      <c r="L3450" t="s">
        <v>20</v>
      </c>
      <c r="M3450">
        <v>498911</v>
      </c>
      <c r="N3450" s="1">
        <v>45223</v>
      </c>
      <c r="O3450" t="s">
        <v>35</v>
      </c>
      <c r="P3450">
        <v>3</v>
      </c>
      <c r="Q3450">
        <v>1320.8</v>
      </c>
    </row>
    <row r="3451" spans="1:17" x14ac:dyDescent="0.3">
      <c r="A3451" t="s">
        <v>7552</v>
      </c>
      <c r="B3451" t="s">
        <v>1816</v>
      </c>
      <c r="C3451" s="2" t="str">
        <f>PROPER(TRIM(Table1[[#This Row],[Gender]]))</f>
        <v>Female</v>
      </c>
      <c r="D3451" t="s">
        <v>43</v>
      </c>
      <c r="E3451">
        <v>22</v>
      </c>
      <c r="F3451" t="s">
        <v>49</v>
      </c>
      <c r="G3451" s="1">
        <v>37628</v>
      </c>
      <c r="H3451" t="s">
        <v>7553</v>
      </c>
      <c r="I3451" s="2" t="str">
        <f t="shared" si="53"/>
        <v>+91-8235365579</v>
      </c>
      <c r="J3451">
        <f>91-8235365670</f>
        <v>-8235365579</v>
      </c>
      <c r="K3451" t="s">
        <v>89</v>
      </c>
      <c r="L3451" t="s">
        <v>90</v>
      </c>
      <c r="M3451">
        <v>173394</v>
      </c>
      <c r="N3451" s="1">
        <v>45406</v>
      </c>
      <c r="O3451" t="s">
        <v>35</v>
      </c>
      <c r="P3451">
        <v>5</v>
      </c>
      <c r="Q3451">
        <v>18840.27</v>
      </c>
    </row>
    <row r="3452" spans="1:17" x14ac:dyDescent="0.3">
      <c r="A3452" t="s">
        <v>7554</v>
      </c>
      <c r="B3452" t="s">
        <v>2406</v>
      </c>
      <c r="C3452" s="2" t="str">
        <f>PROPER(TRIM(Table1[[#This Row],[Gender]]))</f>
        <v>Female</v>
      </c>
      <c r="D3452" t="s">
        <v>43</v>
      </c>
      <c r="E3452">
        <v>51</v>
      </c>
      <c r="F3452" t="s">
        <v>17</v>
      </c>
      <c r="G3452" s="1">
        <v>27043</v>
      </c>
      <c r="H3452" t="s">
        <v>7555</v>
      </c>
      <c r="I3452" s="2" t="str">
        <f t="shared" si="53"/>
        <v>+91-8757485037</v>
      </c>
      <c r="J3452">
        <f>91-8757485128</f>
        <v>-8757485037</v>
      </c>
      <c r="K3452" t="s">
        <v>19</v>
      </c>
      <c r="L3452" t="s">
        <v>20</v>
      </c>
      <c r="M3452">
        <v>626087</v>
      </c>
      <c r="N3452" s="1">
        <v>45159</v>
      </c>
      <c r="O3452" t="s">
        <v>21</v>
      </c>
      <c r="P3452">
        <v>9</v>
      </c>
      <c r="Q3452">
        <v>48269.2</v>
      </c>
    </row>
    <row r="3453" spans="1:17" x14ac:dyDescent="0.3">
      <c r="A3453" t="s">
        <v>7556</v>
      </c>
      <c r="B3453" t="s">
        <v>2088</v>
      </c>
      <c r="C3453" s="2" t="str">
        <f>PROPER(TRIM(Table1[[#This Row],[Gender]]))</f>
        <v>Male</v>
      </c>
      <c r="D3453" t="s">
        <v>16</v>
      </c>
      <c r="E3453">
        <v>20</v>
      </c>
      <c r="F3453" t="s">
        <v>49</v>
      </c>
      <c r="G3453" s="1">
        <v>38358</v>
      </c>
      <c r="H3453" t="s">
        <v>7557</v>
      </c>
      <c r="I3453" s="2" t="str">
        <f t="shared" si="53"/>
        <v>+91-8798503472</v>
      </c>
      <c r="J3453">
        <f>91-8798503563</f>
        <v>-8798503472</v>
      </c>
      <c r="K3453" t="s">
        <v>33</v>
      </c>
      <c r="L3453" t="s">
        <v>34</v>
      </c>
      <c r="M3453">
        <v>704369</v>
      </c>
      <c r="N3453" s="1">
        <v>45124</v>
      </c>
      <c r="O3453" t="s">
        <v>35</v>
      </c>
      <c r="P3453">
        <v>2</v>
      </c>
      <c r="Q3453">
        <v>1567.55</v>
      </c>
    </row>
    <row r="3454" spans="1:17" x14ac:dyDescent="0.3">
      <c r="A3454" t="s">
        <v>7558</v>
      </c>
      <c r="B3454" t="s">
        <v>422</v>
      </c>
      <c r="C3454" s="2" t="str">
        <f>PROPER(TRIM(Table1[[#This Row],[Gender]]))</f>
        <v>Male</v>
      </c>
      <c r="D3454" t="s">
        <v>16</v>
      </c>
      <c r="E3454">
        <v>31</v>
      </c>
      <c r="F3454" t="s">
        <v>31</v>
      </c>
      <c r="G3454" s="1">
        <v>34343</v>
      </c>
      <c r="H3454" t="s">
        <v>3918</v>
      </c>
      <c r="I3454" s="2" t="str">
        <f t="shared" si="53"/>
        <v>+91-8510527375</v>
      </c>
      <c r="J3454">
        <f>91-8510527466</f>
        <v>-8510527375</v>
      </c>
      <c r="K3454" t="s">
        <v>147</v>
      </c>
      <c r="L3454" t="s">
        <v>143</v>
      </c>
      <c r="M3454">
        <v>899990</v>
      </c>
      <c r="N3454" s="1">
        <v>45263</v>
      </c>
      <c r="O3454" t="s">
        <v>21</v>
      </c>
      <c r="P3454">
        <v>3</v>
      </c>
      <c r="Q3454">
        <v>34705.19</v>
      </c>
    </row>
    <row r="3455" spans="1:17" x14ac:dyDescent="0.3">
      <c r="A3455" t="s">
        <v>7559</v>
      </c>
      <c r="B3455" t="s">
        <v>1591</v>
      </c>
      <c r="C3455" s="2" t="str">
        <f>PROPER(TRIM(Table1[[#This Row],[Gender]]))</f>
        <v>Female</v>
      </c>
      <c r="D3455" t="s">
        <v>43</v>
      </c>
      <c r="E3455">
        <v>21</v>
      </c>
      <c r="F3455" t="s">
        <v>49</v>
      </c>
      <c r="G3455" s="1">
        <v>37993</v>
      </c>
      <c r="H3455" t="s">
        <v>1592</v>
      </c>
      <c r="I3455" s="2" t="str">
        <f t="shared" si="53"/>
        <v>+91-7242090194</v>
      </c>
      <c r="J3455">
        <f>91-7242090285</f>
        <v>-7242090194</v>
      </c>
      <c r="K3455" t="s">
        <v>101</v>
      </c>
      <c r="L3455" t="s">
        <v>102</v>
      </c>
      <c r="M3455">
        <v>337536</v>
      </c>
      <c r="N3455" s="1">
        <v>45388</v>
      </c>
      <c r="O3455" t="s">
        <v>35</v>
      </c>
      <c r="P3455">
        <v>0</v>
      </c>
      <c r="Q3455">
        <v>0</v>
      </c>
    </row>
    <row r="3456" spans="1:17" x14ac:dyDescent="0.3">
      <c r="A3456" t="s">
        <v>7560</v>
      </c>
      <c r="B3456" t="s">
        <v>759</v>
      </c>
      <c r="C3456" s="2" t="str">
        <f>PROPER(TRIM(Table1[[#This Row],[Gender]]))</f>
        <v>Female</v>
      </c>
      <c r="D3456" t="s">
        <v>43</v>
      </c>
      <c r="E3456">
        <v>47</v>
      </c>
      <c r="F3456" t="s">
        <v>17</v>
      </c>
      <c r="G3456" s="1">
        <v>28503</v>
      </c>
      <c r="H3456" t="s">
        <v>3571</v>
      </c>
      <c r="I3456" s="2" t="str">
        <f t="shared" si="53"/>
        <v>+91-8229820987</v>
      </c>
      <c r="J3456">
        <f>91-8229821078</f>
        <v>-8229820987</v>
      </c>
      <c r="K3456" t="s">
        <v>68</v>
      </c>
      <c r="L3456" t="s">
        <v>52</v>
      </c>
      <c r="M3456">
        <v>167803</v>
      </c>
      <c r="N3456" s="1">
        <v>45146</v>
      </c>
      <c r="O3456" t="s">
        <v>21</v>
      </c>
      <c r="P3456">
        <v>7</v>
      </c>
      <c r="Q3456">
        <v>32621.27</v>
      </c>
    </row>
    <row r="3457" spans="1:17" x14ac:dyDescent="0.3">
      <c r="A3457" t="s">
        <v>7561</v>
      </c>
      <c r="B3457" t="s">
        <v>1256</v>
      </c>
      <c r="C3457" s="2" t="str">
        <f>PROPER(TRIM(Table1[[#This Row],[Gender]]))</f>
        <v>Male</v>
      </c>
      <c r="D3457" t="s">
        <v>16</v>
      </c>
      <c r="E3457">
        <v>48</v>
      </c>
      <c r="F3457" t="s">
        <v>17</v>
      </c>
      <c r="G3457" s="1">
        <v>28138</v>
      </c>
      <c r="H3457" t="s">
        <v>7562</v>
      </c>
      <c r="I3457" s="2" t="str">
        <f t="shared" si="53"/>
        <v>+91-8865666987</v>
      </c>
      <c r="J3457">
        <f>91-8865667078</f>
        <v>-8865666987</v>
      </c>
      <c r="K3457" t="s">
        <v>72</v>
      </c>
      <c r="L3457" t="s">
        <v>34</v>
      </c>
      <c r="M3457">
        <v>534129</v>
      </c>
      <c r="N3457" s="1">
        <v>45084</v>
      </c>
      <c r="O3457" t="s">
        <v>35</v>
      </c>
      <c r="P3457">
        <v>4</v>
      </c>
      <c r="Q3457">
        <v>5998.38</v>
      </c>
    </row>
    <row r="3458" spans="1:17" x14ac:dyDescent="0.3">
      <c r="A3458" t="s">
        <v>7563</v>
      </c>
      <c r="B3458" t="s">
        <v>584</v>
      </c>
      <c r="C3458" s="2" t="str">
        <f>PROPER(TRIM(Table1[[#This Row],[Gender]]))</f>
        <v>Male</v>
      </c>
      <c r="D3458" t="s">
        <v>16</v>
      </c>
      <c r="E3458">
        <v>27</v>
      </c>
      <c r="F3458" t="s">
        <v>31</v>
      </c>
      <c r="G3458" s="1">
        <v>35803</v>
      </c>
      <c r="H3458" t="s">
        <v>7564</v>
      </c>
      <c r="I3458" s="2" t="str">
        <f t="shared" ref="I3458:I3521" si="54">"+91"&amp;TEXT(J3458,"0000000000")</f>
        <v>+91-9817197662</v>
      </c>
      <c r="J3458">
        <f>91-9817197753</f>
        <v>-9817197662</v>
      </c>
      <c r="K3458" t="s">
        <v>174</v>
      </c>
      <c r="L3458" t="s">
        <v>90</v>
      </c>
      <c r="M3458">
        <v>202233</v>
      </c>
      <c r="N3458" s="1">
        <v>45130</v>
      </c>
      <c r="O3458" t="s">
        <v>28</v>
      </c>
      <c r="P3458">
        <v>7</v>
      </c>
      <c r="Q3458">
        <v>98128.320000000007</v>
      </c>
    </row>
    <row r="3459" spans="1:17" x14ac:dyDescent="0.3">
      <c r="A3459" t="s">
        <v>7565</v>
      </c>
      <c r="B3459" t="s">
        <v>908</v>
      </c>
      <c r="C3459" s="2" t="str">
        <f>PROPER(TRIM(Table1[[#This Row],[Gender]]))</f>
        <v>Female</v>
      </c>
      <c r="D3459" t="s">
        <v>43</v>
      </c>
      <c r="E3459">
        <v>54</v>
      </c>
      <c r="F3459" t="s">
        <v>17</v>
      </c>
      <c r="G3459" s="1">
        <v>25948</v>
      </c>
      <c r="H3459" t="s">
        <v>7037</v>
      </c>
      <c r="I3459" s="2" t="str">
        <f t="shared" si="54"/>
        <v>+91-8056102524</v>
      </c>
      <c r="J3459">
        <f>91-8056102615</f>
        <v>-8056102524</v>
      </c>
      <c r="K3459" t="s">
        <v>68</v>
      </c>
      <c r="L3459" t="s">
        <v>52</v>
      </c>
      <c r="M3459">
        <v>495915</v>
      </c>
      <c r="N3459" s="1">
        <v>45314</v>
      </c>
      <c r="O3459" t="s">
        <v>21</v>
      </c>
      <c r="P3459">
        <v>2</v>
      </c>
      <c r="Q3459">
        <v>33801.31</v>
      </c>
    </row>
    <row r="3460" spans="1:17" x14ac:dyDescent="0.3">
      <c r="A3460" t="s">
        <v>7566</v>
      </c>
      <c r="B3460" t="s">
        <v>2820</v>
      </c>
      <c r="C3460" s="2" t="str">
        <f>PROPER(TRIM(Table1[[#This Row],[Gender]]))</f>
        <v>Male</v>
      </c>
      <c r="D3460" t="s">
        <v>16</v>
      </c>
      <c r="E3460">
        <v>59</v>
      </c>
      <c r="F3460" t="s">
        <v>58</v>
      </c>
      <c r="G3460" s="1">
        <v>24123</v>
      </c>
      <c r="H3460" t="s">
        <v>5143</v>
      </c>
      <c r="I3460" s="2" t="str">
        <f t="shared" si="54"/>
        <v>+91-9208101025</v>
      </c>
      <c r="J3460">
        <f>91-9208101116</f>
        <v>-9208101025</v>
      </c>
      <c r="K3460" t="s">
        <v>147</v>
      </c>
      <c r="L3460" t="s">
        <v>143</v>
      </c>
      <c r="M3460">
        <v>808627</v>
      </c>
      <c r="N3460" s="1">
        <v>45248</v>
      </c>
      <c r="O3460" t="s">
        <v>21</v>
      </c>
      <c r="P3460">
        <v>2</v>
      </c>
      <c r="Q3460">
        <v>48750.71</v>
      </c>
    </row>
    <row r="3461" spans="1:17" x14ac:dyDescent="0.3">
      <c r="A3461" t="s">
        <v>7567</v>
      </c>
      <c r="B3461" t="s">
        <v>5439</v>
      </c>
      <c r="C3461" s="2" t="str">
        <f>PROPER(TRIM(Table1[[#This Row],[Gender]]))</f>
        <v>Male</v>
      </c>
      <c r="D3461" t="s">
        <v>16</v>
      </c>
      <c r="E3461">
        <v>27</v>
      </c>
      <c r="F3461" t="s">
        <v>31</v>
      </c>
      <c r="G3461" s="1">
        <v>35803</v>
      </c>
      <c r="H3461" t="s">
        <v>5440</v>
      </c>
      <c r="I3461" s="2" t="str">
        <f t="shared" si="54"/>
        <v>+91-7747994859</v>
      </c>
      <c r="J3461">
        <f>91-7747994950</f>
        <v>-7747994859</v>
      </c>
      <c r="K3461" t="s">
        <v>113</v>
      </c>
      <c r="L3461" t="s">
        <v>34</v>
      </c>
      <c r="M3461">
        <v>329236</v>
      </c>
      <c r="N3461" s="1">
        <v>45297</v>
      </c>
      <c r="O3461" t="s">
        <v>21</v>
      </c>
      <c r="P3461">
        <v>3</v>
      </c>
      <c r="Q3461">
        <v>36258.959999999999</v>
      </c>
    </row>
    <row r="3462" spans="1:17" x14ac:dyDescent="0.3">
      <c r="A3462" t="s">
        <v>7568</v>
      </c>
      <c r="B3462" t="s">
        <v>4571</v>
      </c>
      <c r="C3462" s="2" t="str">
        <f>PROPER(TRIM(Table1[[#This Row],[Gender]]))</f>
        <v>Female</v>
      </c>
      <c r="D3462" t="s">
        <v>43</v>
      </c>
      <c r="E3462">
        <v>24</v>
      </c>
      <c r="F3462" t="s">
        <v>49</v>
      </c>
      <c r="G3462" s="1">
        <v>36898</v>
      </c>
      <c r="H3462" t="s">
        <v>6286</v>
      </c>
      <c r="I3462" s="2" t="str">
        <f t="shared" si="54"/>
        <v>+91-9276859278</v>
      </c>
      <c r="J3462">
        <f>91-9276859369</f>
        <v>-9276859278</v>
      </c>
      <c r="K3462" t="s">
        <v>190</v>
      </c>
      <c r="L3462" t="s">
        <v>191</v>
      </c>
      <c r="M3462">
        <v>100588</v>
      </c>
      <c r="N3462" s="1">
        <v>45234</v>
      </c>
      <c r="O3462" t="s">
        <v>28</v>
      </c>
      <c r="P3462">
        <v>5</v>
      </c>
      <c r="Q3462">
        <v>380342.85</v>
      </c>
    </row>
    <row r="3463" spans="1:17" x14ac:dyDescent="0.3">
      <c r="A3463" t="s">
        <v>7569</v>
      </c>
      <c r="B3463" t="s">
        <v>4528</v>
      </c>
      <c r="C3463" s="2" t="str">
        <f>PROPER(TRIM(Table1[[#This Row],[Gender]]))</f>
        <v>Female</v>
      </c>
      <c r="D3463" t="s">
        <v>43</v>
      </c>
      <c r="E3463">
        <v>30</v>
      </c>
      <c r="F3463" t="s">
        <v>31</v>
      </c>
      <c r="G3463" s="1">
        <v>34708</v>
      </c>
      <c r="H3463" t="s">
        <v>7570</v>
      </c>
      <c r="I3463" s="2" t="str">
        <f t="shared" si="54"/>
        <v>+91-7763549450</v>
      </c>
      <c r="J3463">
        <f>91-7763549541</f>
        <v>-7763549450</v>
      </c>
      <c r="K3463" t="s">
        <v>94</v>
      </c>
      <c r="L3463" t="s">
        <v>20</v>
      </c>
      <c r="M3463">
        <v>607839</v>
      </c>
      <c r="N3463" s="1">
        <v>45427</v>
      </c>
      <c r="O3463" t="s">
        <v>28</v>
      </c>
      <c r="P3463">
        <v>5</v>
      </c>
      <c r="Q3463">
        <v>225666.92</v>
      </c>
    </row>
    <row r="3464" spans="1:17" x14ac:dyDescent="0.3">
      <c r="A3464" t="s">
        <v>7571</v>
      </c>
      <c r="B3464" t="s">
        <v>1644</v>
      </c>
      <c r="C3464" s="2" t="str">
        <f>PROPER(TRIM(Table1[[#This Row],[Gender]]))</f>
        <v>Male</v>
      </c>
      <c r="D3464" t="s">
        <v>16</v>
      </c>
      <c r="E3464">
        <v>29</v>
      </c>
      <c r="F3464" t="s">
        <v>31</v>
      </c>
      <c r="G3464" s="1">
        <v>35073</v>
      </c>
      <c r="H3464" t="s">
        <v>7572</v>
      </c>
      <c r="I3464" s="2" t="str">
        <f t="shared" si="54"/>
        <v>+91-7986029441</v>
      </c>
      <c r="J3464">
        <f>91-7986029532</f>
        <v>-7986029441</v>
      </c>
      <c r="K3464" t="s">
        <v>239</v>
      </c>
      <c r="L3464" t="s">
        <v>191</v>
      </c>
      <c r="M3464">
        <v>987047</v>
      </c>
      <c r="N3464" s="1">
        <v>45326</v>
      </c>
      <c r="O3464" t="s">
        <v>28</v>
      </c>
      <c r="P3464">
        <v>5</v>
      </c>
      <c r="Q3464">
        <v>177140.45</v>
      </c>
    </row>
    <row r="3465" spans="1:17" x14ac:dyDescent="0.3">
      <c r="A3465" t="s">
        <v>7573</v>
      </c>
      <c r="B3465" t="s">
        <v>3920</v>
      </c>
      <c r="C3465" s="2" t="str">
        <f>PROPER(TRIM(Table1[[#This Row],[Gender]]))</f>
        <v>Male</v>
      </c>
      <c r="D3465" t="s">
        <v>16</v>
      </c>
      <c r="E3465">
        <v>28</v>
      </c>
      <c r="F3465" t="s">
        <v>31</v>
      </c>
      <c r="G3465" s="1">
        <v>35438</v>
      </c>
      <c r="H3465" t="s">
        <v>3921</v>
      </c>
      <c r="I3465" s="2" t="str">
        <f t="shared" si="54"/>
        <v>+91-7723926493</v>
      </c>
      <c r="J3465">
        <f>91-7723926584</f>
        <v>-7723926493</v>
      </c>
      <c r="K3465" t="s">
        <v>51</v>
      </c>
      <c r="L3465" t="s">
        <v>52</v>
      </c>
      <c r="M3465">
        <v>731893</v>
      </c>
      <c r="N3465" s="1">
        <v>45282</v>
      </c>
      <c r="O3465" t="s">
        <v>28</v>
      </c>
      <c r="P3465">
        <v>7</v>
      </c>
      <c r="Q3465">
        <v>51666.14</v>
      </c>
    </row>
    <row r="3466" spans="1:17" x14ac:dyDescent="0.3">
      <c r="A3466" t="s">
        <v>7574</v>
      </c>
      <c r="B3466" t="s">
        <v>4833</v>
      </c>
      <c r="C3466" s="2" t="str">
        <f>PROPER(TRIM(Table1[[#This Row],[Gender]]))</f>
        <v>Male</v>
      </c>
      <c r="D3466" t="s">
        <v>16</v>
      </c>
      <c r="E3466">
        <v>53</v>
      </c>
      <c r="F3466" t="s">
        <v>17</v>
      </c>
      <c r="G3466" s="1">
        <v>26313</v>
      </c>
      <c r="H3466" t="s">
        <v>7575</v>
      </c>
      <c r="I3466" s="2" t="str">
        <f t="shared" si="54"/>
        <v>+91-8773441894</v>
      </c>
      <c r="J3466">
        <f>91-8773441985</f>
        <v>-8773441894</v>
      </c>
      <c r="K3466" t="s">
        <v>138</v>
      </c>
      <c r="L3466" t="s">
        <v>90</v>
      </c>
      <c r="M3466">
        <v>502607</v>
      </c>
      <c r="N3466" s="1">
        <v>45227</v>
      </c>
      <c r="O3466" t="s">
        <v>35</v>
      </c>
      <c r="P3466">
        <v>1</v>
      </c>
      <c r="Q3466">
        <v>1374.64</v>
      </c>
    </row>
    <row r="3467" spans="1:17" x14ac:dyDescent="0.3">
      <c r="A3467" t="s">
        <v>7576</v>
      </c>
      <c r="B3467" t="s">
        <v>2651</v>
      </c>
      <c r="C3467" s="2" t="str">
        <f>PROPER(TRIM(Table1[[#This Row],[Gender]]))</f>
        <v>Male</v>
      </c>
      <c r="D3467" t="s">
        <v>16</v>
      </c>
      <c r="E3467">
        <v>34</v>
      </c>
      <c r="F3467" t="s">
        <v>31</v>
      </c>
      <c r="G3467" s="1">
        <v>33248</v>
      </c>
      <c r="H3467" t="s">
        <v>7577</v>
      </c>
      <c r="I3467" s="2" t="str">
        <f t="shared" si="54"/>
        <v>+91-8785770969</v>
      </c>
      <c r="J3467">
        <f>91-8785771060</f>
        <v>-8785770969</v>
      </c>
      <c r="K3467" t="s">
        <v>101</v>
      </c>
      <c r="L3467" t="s">
        <v>102</v>
      </c>
      <c r="M3467">
        <v>749494</v>
      </c>
      <c r="N3467" s="1">
        <v>45153</v>
      </c>
      <c r="O3467" t="s">
        <v>28</v>
      </c>
      <c r="P3467">
        <v>9</v>
      </c>
      <c r="Q3467">
        <v>397281.02</v>
      </c>
    </row>
    <row r="3468" spans="1:17" x14ac:dyDescent="0.3">
      <c r="A3468" t="s">
        <v>7578</v>
      </c>
      <c r="B3468" t="s">
        <v>4998</v>
      </c>
      <c r="C3468" s="2" t="str">
        <f>PROPER(TRIM(Table1[[#This Row],[Gender]]))</f>
        <v>Female</v>
      </c>
      <c r="D3468" t="s">
        <v>43</v>
      </c>
      <c r="E3468">
        <v>19</v>
      </c>
      <c r="F3468" t="s">
        <v>49</v>
      </c>
      <c r="G3468" s="1">
        <v>38723</v>
      </c>
      <c r="H3468" t="s">
        <v>7579</v>
      </c>
      <c r="I3468" s="2" t="str">
        <f t="shared" si="54"/>
        <v>+91-9303705517</v>
      </c>
      <c r="J3468">
        <f>91-9303705608</f>
        <v>-9303705517</v>
      </c>
      <c r="K3468" t="s">
        <v>68</v>
      </c>
      <c r="L3468" t="s">
        <v>52</v>
      </c>
      <c r="M3468">
        <v>512366</v>
      </c>
      <c r="N3468" s="1">
        <v>45239</v>
      </c>
      <c r="O3468" t="s">
        <v>21</v>
      </c>
      <c r="P3468">
        <v>5</v>
      </c>
      <c r="Q3468">
        <v>47834.92</v>
      </c>
    </row>
    <row r="3469" spans="1:17" x14ac:dyDescent="0.3">
      <c r="A3469" t="s">
        <v>7580</v>
      </c>
      <c r="B3469" t="s">
        <v>2948</v>
      </c>
      <c r="C3469" s="2" t="str">
        <f>PROPER(TRIM(Table1[[#This Row],[Gender]]))</f>
        <v>Male</v>
      </c>
      <c r="D3469" t="s">
        <v>16</v>
      </c>
      <c r="E3469">
        <v>20</v>
      </c>
      <c r="F3469" t="s">
        <v>49</v>
      </c>
      <c r="G3469" s="1">
        <v>38358</v>
      </c>
      <c r="H3469" t="s">
        <v>7581</v>
      </c>
      <c r="I3469" s="2" t="str">
        <f t="shared" si="54"/>
        <v>+91-7166604986</v>
      </c>
      <c r="J3469">
        <f>91-7166605077</f>
        <v>-7166604986</v>
      </c>
      <c r="K3469" t="s">
        <v>154</v>
      </c>
      <c r="L3469" t="s">
        <v>46</v>
      </c>
      <c r="M3469">
        <v>807189</v>
      </c>
      <c r="N3469" s="1">
        <v>45250</v>
      </c>
      <c r="O3469" t="s">
        <v>28</v>
      </c>
      <c r="P3469">
        <v>5</v>
      </c>
      <c r="Q3469">
        <v>93566.06</v>
      </c>
    </row>
    <row r="3470" spans="1:17" x14ac:dyDescent="0.3">
      <c r="A3470" t="s">
        <v>7582</v>
      </c>
      <c r="B3470" t="s">
        <v>1025</v>
      </c>
      <c r="C3470" s="2" t="str">
        <f>PROPER(TRIM(Table1[[#This Row],[Gender]]))</f>
        <v>Female</v>
      </c>
      <c r="D3470" t="s">
        <v>43</v>
      </c>
      <c r="E3470">
        <v>54</v>
      </c>
      <c r="F3470" t="s">
        <v>17</v>
      </c>
      <c r="G3470" s="1">
        <v>25948</v>
      </c>
      <c r="H3470" t="s">
        <v>3435</v>
      </c>
      <c r="I3470" s="2" t="str">
        <f t="shared" si="54"/>
        <v>+91-9354976311</v>
      </c>
      <c r="J3470">
        <f>91-9354976402</f>
        <v>-9354976311</v>
      </c>
      <c r="K3470" t="s">
        <v>94</v>
      </c>
      <c r="L3470" t="s">
        <v>20</v>
      </c>
      <c r="M3470">
        <v>612924</v>
      </c>
      <c r="N3470" s="1">
        <v>45099</v>
      </c>
      <c r="O3470" t="s">
        <v>35</v>
      </c>
      <c r="P3470">
        <v>2</v>
      </c>
      <c r="Q3470">
        <v>8878.92</v>
      </c>
    </row>
    <row r="3471" spans="1:17" x14ac:dyDescent="0.3">
      <c r="A3471" t="s">
        <v>7583</v>
      </c>
      <c r="B3471" t="s">
        <v>3338</v>
      </c>
      <c r="C3471" s="2" t="str">
        <f>PROPER(TRIM(Table1[[#This Row],[Gender]]))</f>
        <v>Male</v>
      </c>
      <c r="D3471" t="s">
        <v>16</v>
      </c>
      <c r="E3471">
        <v>37</v>
      </c>
      <c r="F3471" t="s">
        <v>38</v>
      </c>
      <c r="G3471" s="1">
        <v>32153</v>
      </c>
      <c r="H3471" t="s">
        <v>7584</v>
      </c>
      <c r="I3471" s="2" t="str">
        <f t="shared" si="54"/>
        <v>+91-8627325027</v>
      </c>
      <c r="J3471">
        <f>91-8627325118</f>
        <v>-8627325027</v>
      </c>
      <c r="K3471" t="s">
        <v>580</v>
      </c>
      <c r="L3471" t="s">
        <v>85</v>
      </c>
      <c r="M3471">
        <v>348806</v>
      </c>
      <c r="N3471" s="1">
        <v>45319</v>
      </c>
      <c r="O3471" t="s">
        <v>28</v>
      </c>
      <c r="P3471">
        <v>7</v>
      </c>
      <c r="Q3471">
        <v>105665.14</v>
      </c>
    </row>
    <row r="3472" spans="1:17" x14ac:dyDescent="0.3">
      <c r="A3472" t="s">
        <v>7585</v>
      </c>
      <c r="B3472" t="s">
        <v>4808</v>
      </c>
      <c r="C3472" s="2" t="str">
        <f>PROPER(TRIM(Table1[[#This Row],[Gender]]))</f>
        <v>Male</v>
      </c>
      <c r="D3472" t="s">
        <v>16</v>
      </c>
      <c r="E3472">
        <v>52</v>
      </c>
      <c r="F3472" t="s">
        <v>17</v>
      </c>
      <c r="G3472" s="1">
        <v>26678</v>
      </c>
      <c r="H3472" t="s">
        <v>7586</v>
      </c>
      <c r="I3472" s="2" t="str">
        <f t="shared" si="54"/>
        <v>+91-8681462006</v>
      </c>
      <c r="J3472">
        <f>91-8681462097</f>
        <v>-8681462006</v>
      </c>
      <c r="K3472" t="s">
        <v>84</v>
      </c>
      <c r="L3472" t="s">
        <v>85</v>
      </c>
      <c r="M3472">
        <v>496297</v>
      </c>
      <c r="N3472" s="1">
        <v>45124</v>
      </c>
      <c r="O3472" t="s">
        <v>21</v>
      </c>
      <c r="P3472">
        <v>7</v>
      </c>
      <c r="Q3472">
        <v>36369.279999999999</v>
      </c>
    </row>
    <row r="3473" spans="1:17" x14ac:dyDescent="0.3">
      <c r="A3473" t="s">
        <v>7587</v>
      </c>
      <c r="B3473" t="s">
        <v>484</v>
      </c>
      <c r="C3473" s="2" t="str">
        <f>PROPER(TRIM(Table1[[#This Row],[Gender]]))</f>
        <v>Male</v>
      </c>
      <c r="D3473" t="s">
        <v>16</v>
      </c>
      <c r="E3473">
        <v>45</v>
      </c>
      <c r="F3473" t="s">
        <v>38</v>
      </c>
      <c r="G3473" s="1">
        <v>29233</v>
      </c>
      <c r="H3473" t="s">
        <v>7588</v>
      </c>
      <c r="I3473" s="2" t="str">
        <f t="shared" si="54"/>
        <v>+91-7864409185</v>
      </c>
      <c r="J3473">
        <f>91-7864409276</f>
        <v>-7864409185</v>
      </c>
      <c r="K3473" t="s">
        <v>165</v>
      </c>
      <c r="L3473" t="s">
        <v>52</v>
      </c>
      <c r="M3473">
        <v>347882</v>
      </c>
      <c r="N3473" s="1">
        <v>45285</v>
      </c>
      <c r="O3473" t="s">
        <v>28</v>
      </c>
      <c r="P3473">
        <v>6</v>
      </c>
      <c r="Q3473">
        <v>134114.70000000001</v>
      </c>
    </row>
    <row r="3474" spans="1:17" x14ac:dyDescent="0.3">
      <c r="A3474" t="s">
        <v>7589</v>
      </c>
      <c r="B3474" t="s">
        <v>534</v>
      </c>
      <c r="C3474" s="2" t="str">
        <f>PROPER(TRIM(Table1[[#This Row],[Gender]]))</f>
        <v>Female</v>
      </c>
      <c r="D3474" t="s">
        <v>43</v>
      </c>
      <c r="E3474">
        <v>46</v>
      </c>
      <c r="F3474" t="s">
        <v>17</v>
      </c>
      <c r="G3474" s="1">
        <v>28868</v>
      </c>
      <c r="H3474" t="s">
        <v>7590</v>
      </c>
      <c r="I3474" s="2" t="str">
        <f t="shared" si="54"/>
        <v>+91-9972773745</v>
      </c>
      <c r="J3474">
        <f>91-9972773836</f>
        <v>-9972773745</v>
      </c>
      <c r="K3474" t="s">
        <v>72</v>
      </c>
      <c r="L3474" t="s">
        <v>34</v>
      </c>
      <c r="M3474">
        <v>173689</v>
      </c>
      <c r="N3474" s="1">
        <v>45246</v>
      </c>
      <c r="O3474" t="s">
        <v>21</v>
      </c>
      <c r="P3474">
        <v>2</v>
      </c>
      <c r="Q3474">
        <v>31681.56</v>
      </c>
    </row>
    <row r="3475" spans="1:17" x14ac:dyDescent="0.3">
      <c r="A3475" t="s">
        <v>7591</v>
      </c>
      <c r="B3475" t="s">
        <v>7592</v>
      </c>
      <c r="C3475" s="2" t="str">
        <f>PROPER(TRIM(Table1[[#This Row],[Gender]]))</f>
        <v>Male</v>
      </c>
      <c r="D3475" t="s">
        <v>16</v>
      </c>
      <c r="E3475">
        <v>22</v>
      </c>
      <c r="F3475" t="s">
        <v>49</v>
      </c>
      <c r="G3475" s="1">
        <v>37628</v>
      </c>
      <c r="H3475" t="s">
        <v>7593</v>
      </c>
      <c r="I3475" s="2" t="str">
        <f t="shared" si="54"/>
        <v>+91-7352534717</v>
      </c>
      <c r="J3475">
        <f>91-7352534808</f>
        <v>-7352534717</v>
      </c>
      <c r="K3475" t="s">
        <v>147</v>
      </c>
      <c r="L3475" t="s">
        <v>143</v>
      </c>
      <c r="M3475">
        <v>189751</v>
      </c>
      <c r="N3475" s="1">
        <v>45099</v>
      </c>
      <c r="O3475" t="s">
        <v>21</v>
      </c>
      <c r="P3475">
        <v>3</v>
      </c>
      <c r="Q3475">
        <v>45086.879999999997</v>
      </c>
    </row>
    <row r="3476" spans="1:17" x14ac:dyDescent="0.3">
      <c r="A3476" t="s">
        <v>7594</v>
      </c>
      <c r="B3476" t="s">
        <v>1611</v>
      </c>
      <c r="C3476" s="2" t="str">
        <f>PROPER(TRIM(Table1[[#This Row],[Gender]]))</f>
        <v>Female</v>
      </c>
      <c r="D3476" t="s">
        <v>43</v>
      </c>
      <c r="E3476">
        <v>31</v>
      </c>
      <c r="F3476" t="s">
        <v>31</v>
      </c>
      <c r="G3476" s="1">
        <v>34343</v>
      </c>
      <c r="H3476" t="s">
        <v>7595</v>
      </c>
      <c r="I3476" s="2" t="str">
        <f t="shared" si="54"/>
        <v>+91-8534929185</v>
      </c>
      <c r="J3476">
        <f>91-8534929276</f>
        <v>-8534929185</v>
      </c>
      <c r="K3476" t="s">
        <v>51</v>
      </c>
      <c r="L3476" t="s">
        <v>52</v>
      </c>
      <c r="M3476">
        <v>986294</v>
      </c>
      <c r="N3476" s="1">
        <v>45141</v>
      </c>
      <c r="O3476" t="s">
        <v>28</v>
      </c>
      <c r="P3476">
        <v>5</v>
      </c>
      <c r="Q3476">
        <v>115276.67</v>
      </c>
    </row>
    <row r="3477" spans="1:17" x14ac:dyDescent="0.3">
      <c r="A3477" t="s">
        <v>7596</v>
      </c>
      <c r="B3477" t="s">
        <v>1808</v>
      </c>
      <c r="C3477" s="2" t="str">
        <f>PROPER(TRIM(Table1[[#This Row],[Gender]]))</f>
        <v>Female</v>
      </c>
      <c r="D3477" t="s">
        <v>43</v>
      </c>
      <c r="E3477">
        <v>22</v>
      </c>
      <c r="F3477" t="s">
        <v>49</v>
      </c>
      <c r="G3477" s="1">
        <v>37628</v>
      </c>
      <c r="H3477" t="s">
        <v>1809</v>
      </c>
      <c r="I3477" s="2" t="str">
        <f t="shared" si="54"/>
        <v>+91-7681203046</v>
      </c>
      <c r="J3477">
        <f>91-7681203137</f>
        <v>-7681203046</v>
      </c>
      <c r="K3477" t="s">
        <v>147</v>
      </c>
      <c r="L3477" t="s">
        <v>143</v>
      </c>
      <c r="M3477">
        <v>182238</v>
      </c>
      <c r="N3477" s="1">
        <v>45085</v>
      </c>
      <c r="O3477" t="s">
        <v>35</v>
      </c>
      <c r="P3477">
        <v>2</v>
      </c>
      <c r="Q3477">
        <v>11418.8</v>
      </c>
    </row>
    <row r="3478" spans="1:17" x14ac:dyDescent="0.3">
      <c r="A3478" t="s">
        <v>7597</v>
      </c>
      <c r="B3478" t="s">
        <v>4613</v>
      </c>
      <c r="C3478" s="2" t="str">
        <f>PROPER(TRIM(Table1[[#This Row],[Gender]]))</f>
        <v>Male</v>
      </c>
      <c r="D3478" t="s">
        <v>16</v>
      </c>
      <c r="E3478">
        <v>31</v>
      </c>
      <c r="F3478" t="s">
        <v>31</v>
      </c>
      <c r="G3478" s="1">
        <v>34343</v>
      </c>
      <c r="H3478" t="s">
        <v>4645</v>
      </c>
      <c r="I3478" s="2" t="str">
        <f t="shared" si="54"/>
        <v>+91-9751259799</v>
      </c>
      <c r="J3478">
        <f>91-9751259890</f>
        <v>-9751259799</v>
      </c>
      <c r="K3478" t="s">
        <v>273</v>
      </c>
      <c r="L3478" t="s">
        <v>46</v>
      </c>
      <c r="M3478">
        <v>600670</v>
      </c>
      <c r="N3478" s="1">
        <v>45268</v>
      </c>
      <c r="O3478" t="s">
        <v>35</v>
      </c>
      <c r="P3478">
        <v>4</v>
      </c>
      <c r="Q3478">
        <v>14207.44</v>
      </c>
    </row>
    <row r="3479" spans="1:17" x14ac:dyDescent="0.3">
      <c r="A3479" t="s">
        <v>7598</v>
      </c>
      <c r="B3479" t="s">
        <v>7599</v>
      </c>
      <c r="C3479" s="2" t="str">
        <f>PROPER(TRIM(Table1[[#This Row],[Gender]]))</f>
        <v>Male</v>
      </c>
      <c r="D3479" t="s">
        <v>16</v>
      </c>
      <c r="E3479">
        <v>55</v>
      </c>
      <c r="F3479" t="s">
        <v>17</v>
      </c>
      <c r="G3479" s="1">
        <v>25583</v>
      </c>
      <c r="H3479" t="s">
        <v>7600</v>
      </c>
      <c r="I3479" s="2" t="str">
        <f t="shared" si="54"/>
        <v>+91-9087804940</v>
      </c>
      <c r="J3479">
        <f>91-9087805031</f>
        <v>-9087804940</v>
      </c>
      <c r="K3479" t="s">
        <v>415</v>
      </c>
      <c r="L3479" t="s">
        <v>90</v>
      </c>
      <c r="M3479">
        <v>175389</v>
      </c>
      <c r="N3479" s="1">
        <v>45346</v>
      </c>
      <c r="O3479" t="s">
        <v>21</v>
      </c>
      <c r="P3479">
        <v>4</v>
      </c>
      <c r="Q3479">
        <v>20114.63</v>
      </c>
    </row>
    <row r="3480" spans="1:17" x14ac:dyDescent="0.3">
      <c r="A3480" t="s">
        <v>7601</v>
      </c>
      <c r="B3480" t="s">
        <v>425</v>
      </c>
      <c r="C3480" s="2" t="str">
        <f>PROPER(TRIM(Table1[[#This Row],[Gender]]))</f>
        <v>Male</v>
      </c>
      <c r="D3480" t="s">
        <v>16</v>
      </c>
      <c r="E3480">
        <v>28</v>
      </c>
      <c r="F3480" t="s">
        <v>31</v>
      </c>
      <c r="G3480" s="1">
        <v>35438</v>
      </c>
      <c r="H3480" t="s">
        <v>3241</v>
      </c>
      <c r="I3480" s="2" t="str">
        <f t="shared" si="54"/>
        <v>+91-7421090301</v>
      </c>
      <c r="J3480">
        <f>91-7421090392</f>
        <v>-7421090301</v>
      </c>
      <c r="K3480" t="s">
        <v>84</v>
      </c>
      <c r="L3480" t="s">
        <v>85</v>
      </c>
      <c r="M3480">
        <v>956366</v>
      </c>
      <c r="N3480" s="1">
        <v>45282</v>
      </c>
      <c r="O3480" t="s">
        <v>35</v>
      </c>
      <c r="P3480">
        <v>1</v>
      </c>
      <c r="Q3480">
        <v>16020.3</v>
      </c>
    </row>
    <row r="3481" spans="1:17" x14ac:dyDescent="0.3">
      <c r="A3481" t="s">
        <v>7602</v>
      </c>
      <c r="B3481" t="s">
        <v>478</v>
      </c>
      <c r="C3481" s="2" t="str">
        <f>PROPER(TRIM(Table1[[#This Row],[Gender]]))</f>
        <v>Male</v>
      </c>
      <c r="D3481" t="s">
        <v>16</v>
      </c>
      <c r="E3481">
        <v>18</v>
      </c>
      <c r="F3481" t="s">
        <v>49</v>
      </c>
      <c r="G3481" s="1">
        <v>39088</v>
      </c>
      <c r="H3481" t="s">
        <v>5456</v>
      </c>
      <c r="I3481" s="2" t="str">
        <f t="shared" si="54"/>
        <v>+91-8904962102</v>
      </c>
      <c r="J3481">
        <f>91-8904962193</f>
        <v>-8904962102</v>
      </c>
      <c r="K3481" t="s">
        <v>195</v>
      </c>
      <c r="L3481" t="s">
        <v>102</v>
      </c>
      <c r="M3481">
        <v>248688</v>
      </c>
      <c r="N3481" s="1">
        <v>45322</v>
      </c>
      <c r="O3481" t="s">
        <v>28</v>
      </c>
      <c r="P3481">
        <v>6</v>
      </c>
      <c r="Q3481">
        <v>61141.64</v>
      </c>
    </row>
    <row r="3482" spans="1:17" x14ac:dyDescent="0.3">
      <c r="A3482" t="s">
        <v>7603</v>
      </c>
      <c r="B3482" t="s">
        <v>3744</v>
      </c>
      <c r="C3482" s="2" t="str">
        <f>PROPER(TRIM(Table1[[#This Row],[Gender]]))</f>
        <v>Female</v>
      </c>
      <c r="D3482" t="s">
        <v>43</v>
      </c>
      <c r="E3482">
        <v>19</v>
      </c>
      <c r="F3482" t="s">
        <v>49</v>
      </c>
      <c r="G3482" s="1">
        <v>38723</v>
      </c>
      <c r="H3482" t="s">
        <v>3745</v>
      </c>
      <c r="I3482" s="2" t="str">
        <f t="shared" si="54"/>
        <v>+91-8898108984</v>
      </c>
      <c r="J3482">
        <f>91-8898109075</f>
        <v>-8898108984</v>
      </c>
      <c r="K3482" t="s">
        <v>72</v>
      </c>
      <c r="L3482" t="s">
        <v>34</v>
      </c>
      <c r="M3482">
        <v>126134</v>
      </c>
      <c r="N3482" s="1">
        <v>45103</v>
      </c>
      <c r="O3482" t="s">
        <v>21</v>
      </c>
      <c r="P3482">
        <v>6</v>
      </c>
      <c r="Q3482">
        <v>24187.69</v>
      </c>
    </row>
    <row r="3483" spans="1:17" x14ac:dyDescent="0.3">
      <c r="A3483" t="s">
        <v>7604</v>
      </c>
      <c r="B3483" t="s">
        <v>439</v>
      </c>
      <c r="C3483" s="2" t="str">
        <f>PROPER(TRIM(Table1[[#This Row],[Gender]]))</f>
        <v>Male</v>
      </c>
      <c r="D3483" t="s">
        <v>16</v>
      </c>
      <c r="E3483">
        <v>34</v>
      </c>
      <c r="F3483" t="s">
        <v>31</v>
      </c>
      <c r="G3483" s="1">
        <v>33248</v>
      </c>
      <c r="H3483" t="s">
        <v>440</v>
      </c>
      <c r="I3483" s="2" t="str">
        <f t="shared" si="54"/>
        <v>+91-8771246798</v>
      </c>
      <c r="J3483">
        <f>91-8771246889</f>
        <v>-8771246798</v>
      </c>
      <c r="K3483" t="s">
        <v>165</v>
      </c>
      <c r="L3483" t="s">
        <v>52</v>
      </c>
      <c r="M3483">
        <v>412457</v>
      </c>
      <c r="N3483" s="1">
        <v>45262</v>
      </c>
      <c r="O3483" t="s">
        <v>28</v>
      </c>
      <c r="P3483">
        <v>4</v>
      </c>
      <c r="Q3483">
        <v>212955.55</v>
      </c>
    </row>
    <row r="3484" spans="1:17" x14ac:dyDescent="0.3">
      <c r="A3484" t="s">
        <v>7605</v>
      </c>
      <c r="B3484" t="s">
        <v>133</v>
      </c>
      <c r="C3484" s="2" t="str">
        <f>PROPER(TRIM(Table1[[#This Row],[Gender]]))</f>
        <v>Male</v>
      </c>
      <c r="D3484" t="s">
        <v>16</v>
      </c>
      <c r="E3484">
        <v>40</v>
      </c>
      <c r="F3484" t="s">
        <v>38</v>
      </c>
      <c r="G3484" s="1">
        <v>31058</v>
      </c>
      <c r="H3484" t="s">
        <v>7606</v>
      </c>
      <c r="I3484" s="2" t="str">
        <f t="shared" si="54"/>
        <v>+91-8950346194</v>
      </c>
      <c r="J3484">
        <f>91-8950346285</f>
        <v>-8950346194</v>
      </c>
      <c r="K3484" t="s">
        <v>76</v>
      </c>
      <c r="L3484" t="s">
        <v>46</v>
      </c>
      <c r="M3484">
        <v>651608</v>
      </c>
      <c r="N3484" s="1">
        <v>45337</v>
      </c>
      <c r="O3484" t="s">
        <v>28</v>
      </c>
      <c r="P3484">
        <v>5</v>
      </c>
      <c r="Q3484">
        <v>112036.91</v>
      </c>
    </row>
    <row r="3485" spans="1:17" x14ac:dyDescent="0.3">
      <c r="A3485" t="s">
        <v>7607</v>
      </c>
      <c r="B3485" t="s">
        <v>2639</v>
      </c>
      <c r="C3485" s="2" t="str">
        <f>PROPER(TRIM(Table1[[#This Row],[Gender]]))</f>
        <v>Female</v>
      </c>
      <c r="D3485" t="s">
        <v>43</v>
      </c>
      <c r="E3485">
        <v>24</v>
      </c>
      <c r="F3485" t="s">
        <v>49</v>
      </c>
      <c r="G3485" s="1">
        <v>36898</v>
      </c>
      <c r="H3485" t="s">
        <v>7608</v>
      </c>
      <c r="I3485" s="2" t="str">
        <f t="shared" si="54"/>
        <v>+91-8237166842</v>
      </c>
      <c r="J3485">
        <f>91-8237166933</f>
        <v>-8237166842</v>
      </c>
      <c r="K3485" t="s">
        <v>165</v>
      </c>
      <c r="L3485" t="s">
        <v>52</v>
      </c>
      <c r="M3485">
        <v>332214</v>
      </c>
      <c r="N3485" s="1">
        <v>45087</v>
      </c>
      <c r="O3485" t="s">
        <v>21</v>
      </c>
      <c r="P3485">
        <v>3</v>
      </c>
      <c r="Q3485">
        <v>47261.95</v>
      </c>
    </row>
    <row r="3486" spans="1:17" x14ac:dyDescent="0.3">
      <c r="A3486" t="s">
        <v>7609</v>
      </c>
      <c r="B3486" t="s">
        <v>1741</v>
      </c>
      <c r="C3486" s="2" t="str">
        <f>PROPER(TRIM(Table1[[#This Row],[Gender]]))</f>
        <v>Female</v>
      </c>
      <c r="D3486" t="s">
        <v>43</v>
      </c>
      <c r="E3486">
        <v>33</v>
      </c>
      <c r="F3486" t="s">
        <v>31</v>
      </c>
      <c r="G3486" s="1">
        <v>33613</v>
      </c>
      <c r="H3486" t="s">
        <v>7610</v>
      </c>
      <c r="I3486" s="2" t="str">
        <f t="shared" si="54"/>
        <v>+91-8858143778</v>
      </c>
      <c r="J3486">
        <f>91-8858143869</f>
        <v>-8858143778</v>
      </c>
      <c r="K3486" t="s">
        <v>239</v>
      </c>
      <c r="L3486" t="s">
        <v>191</v>
      </c>
      <c r="M3486">
        <v>271756</v>
      </c>
      <c r="N3486" s="1">
        <v>45420</v>
      </c>
      <c r="O3486" t="s">
        <v>28</v>
      </c>
      <c r="P3486">
        <v>9</v>
      </c>
      <c r="Q3486">
        <v>108563.48</v>
      </c>
    </row>
    <row r="3487" spans="1:17" x14ac:dyDescent="0.3">
      <c r="A3487" t="s">
        <v>7611</v>
      </c>
      <c r="B3487" t="s">
        <v>1319</v>
      </c>
      <c r="C3487" s="2" t="str">
        <f>PROPER(TRIM(Table1[[#This Row],[Gender]]))</f>
        <v>Male</v>
      </c>
      <c r="D3487" t="s">
        <v>16</v>
      </c>
      <c r="E3487">
        <v>40</v>
      </c>
      <c r="F3487" t="s">
        <v>38</v>
      </c>
      <c r="G3487" s="1">
        <v>31058</v>
      </c>
      <c r="H3487" t="s">
        <v>7612</v>
      </c>
      <c r="I3487" s="2" t="str">
        <f t="shared" si="54"/>
        <v>+91-8674859471</v>
      </c>
      <c r="J3487">
        <f>91-8674859562</f>
        <v>-8674859471</v>
      </c>
      <c r="K3487" t="s">
        <v>174</v>
      </c>
      <c r="L3487" t="s">
        <v>90</v>
      </c>
      <c r="M3487">
        <v>556820</v>
      </c>
      <c r="N3487" s="1">
        <v>45369</v>
      </c>
      <c r="O3487" t="s">
        <v>28</v>
      </c>
      <c r="P3487">
        <v>6</v>
      </c>
      <c r="Q3487">
        <v>175390.64</v>
      </c>
    </row>
    <row r="3488" spans="1:17" x14ac:dyDescent="0.3">
      <c r="A3488" t="s">
        <v>7613</v>
      </c>
      <c r="B3488" t="s">
        <v>5196</v>
      </c>
      <c r="C3488" s="2" t="str">
        <f>PROPER(TRIM(Table1[[#This Row],[Gender]]))</f>
        <v>Female</v>
      </c>
      <c r="D3488" t="s">
        <v>43</v>
      </c>
      <c r="E3488">
        <v>40</v>
      </c>
      <c r="F3488" t="s">
        <v>38</v>
      </c>
      <c r="G3488" s="1">
        <v>31058</v>
      </c>
      <c r="H3488" t="s">
        <v>7614</v>
      </c>
      <c r="I3488" s="2" t="str">
        <f t="shared" si="54"/>
        <v>+91-7725276727</v>
      </c>
      <c r="J3488">
        <f>91-7725276818</f>
        <v>-7725276727</v>
      </c>
      <c r="K3488" t="s">
        <v>19</v>
      </c>
      <c r="L3488" t="s">
        <v>20</v>
      </c>
      <c r="M3488">
        <v>928114</v>
      </c>
      <c r="N3488" s="1">
        <v>45435</v>
      </c>
      <c r="O3488" t="s">
        <v>28</v>
      </c>
      <c r="P3488">
        <v>8</v>
      </c>
      <c r="Q3488">
        <v>790413.46</v>
      </c>
    </row>
    <row r="3489" spans="1:17" x14ac:dyDescent="0.3">
      <c r="A3489" t="s">
        <v>7615</v>
      </c>
      <c r="B3489" t="s">
        <v>1611</v>
      </c>
      <c r="C3489" s="2" t="str">
        <f>PROPER(TRIM(Table1[[#This Row],[Gender]]))</f>
        <v>Female</v>
      </c>
      <c r="D3489" t="s">
        <v>43</v>
      </c>
      <c r="E3489">
        <v>45</v>
      </c>
      <c r="F3489" t="s">
        <v>38</v>
      </c>
      <c r="G3489" s="1">
        <v>29233</v>
      </c>
      <c r="H3489" t="s">
        <v>7616</v>
      </c>
      <c r="I3489" s="2" t="str">
        <f t="shared" si="54"/>
        <v>+91-9977533163</v>
      </c>
      <c r="J3489">
        <f>91-9977533254</f>
        <v>-9977533163</v>
      </c>
      <c r="K3489" t="s">
        <v>190</v>
      </c>
      <c r="L3489" t="s">
        <v>191</v>
      </c>
      <c r="M3489">
        <v>186883</v>
      </c>
      <c r="N3489" s="1">
        <v>45430</v>
      </c>
      <c r="O3489" t="s">
        <v>21</v>
      </c>
      <c r="P3489">
        <v>5</v>
      </c>
      <c r="Q3489">
        <v>42037.83</v>
      </c>
    </row>
    <row r="3490" spans="1:17" x14ac:dyDescent="0.3">
      <c r="A3490" t="s">
        <v>7617</v>
      </c>
      <c r="B3490" t="s">
        <v>2021</v>
      </c>
      <c r="C3490" s="2" t="str">
        <f>PROPER(TRIM(Table1[[#This Row],[Gender]]))</f>
        <v>Male</v>
      </c>
      <c r="D3490" t="s">
        <v>16</v>
      </c>
      <c r="E3490">
        <v>23</v>
      </c>
      <c r="F3490" t="s">
        <v>49</v>
      </c>
      <c r="G3490" s="1">
        <v>37263</v>
      </c>
      <c r="H3490" t="s">
        <v>3341</v>
      </c>
      <c r="I3490" s="2" t="str">
        <f t="shared" si="54"/>
        <v>+91-7165088436</v>
      </c>
      <c r="J3490">
        <f>91-7165088527</f>
        <v>-7165088436</v>
      </c>
      <c r="K3490" t="s">
        <v>239</v>
      </c>
      <c r="L3490" t="s">
        <v>191</v>
      </c>
      <c r="M3490">
        <v>571477</v>
      </c>
      <c r="N3490" s="1">
        <v>45214</v>
      </c>
      <c r="O3490" t="s">
        <v>35</v>
      </c>
      <c r="P3490">
        <v>1</v>
      </c>
      <c r="Q3490">
        <v>2428.06</v>
      </c>
    </row>
    <row r="3491" spans="1:17" x14ac:dyDescent="0.3">
      <c r="A3491" t="s">
        <v>7618</v>
      </c>
      <c r="B3491" t="s">
        <v>1839</v>
      </c>
      <c r="C3491" s="2" t="str">
        <f>PROPER(TRIM(Table1[[#This Row],[Gender]]))</f>
        <v>Male</v>
      </c>
      <c r="D3491" t="s">
        <v>16</v>
      </c>
      <c r="E3491">
        <v>55</v>
      </c>
      <c r="F3491" t="s">
        <v>17</v>
      </c>
      <c r="G3491" s="1">
        <v>25583</v>
      </c>
      <c r="H3491" t="s">
        <v>7619</v>
      </c>
      <c r="I3491" s="2" t="str">
        <f t="shared" si="54"/>
        <v>+91-7825170527</v>
      </c>
      <c r="J3491">
        <f>91-7825170618</f>
        <v>-7825170527</v>
      </c>
      <c r="K3491" t="s">
        <v>249</v>
      </c>
      <c r="L3491" t="s">
        <v>34</v>
      </c>
      <c r="M3491">
        <v>624974</v>
      </c>
      <c r="N3491" s="1">
        <v>45136</v>
      </c>
      <c r="O3491" t="s">
        <v>35</v>
      </c>
      <c r="P3491">
        <v>5</v>
      </c>
      <c r="Q3491">
        <v>5805.94</v>
      </c>
    </row>
    <row r="3492" spans="1:17" x14ac:dyDescent="0.3">
      <c r="A3492" t="s">
        <v>7620</v>
      </c>
      <c r="B3492" t="s">
        <v>4945</v>
      </c>
      <c r="C3492" s="2" t="str">
        <f>PROPER(TRIM(Table1[[#This Row],[Gender]]))</f>
        <v>Male</v>
      </c>
      <c r="D3492" t="s">
        <v>16</v>
      </c>
      <c r="E3492">
        <v>44</v>
      </c>
      <c r="F3492" t="s">
        <v>38</v>
      </c>
      <c r="G3492" s="1">
        <v>29598</v>
      </c>
      <c r="H3492" t="s">
        <v>7621</v>
      </c>
      <c r="I3492" s="2" t="str">
        <f t="shared" si="54"/>
        <v>+91-8444792584</v>
      </c>
      <c r="J3492">
        <f>91-8444792675</f>
        <v>-8444792584</v>
      </c>
      <c r="K3492" t="s">
        <v>51</v>
      </c>
      <c r="L3492" t="s">
        <v>52</v>
      </c>
      <c r="M3492">
        <v>747111</v>
      </c>
      <c r="N3492" s="1">
        <v>45428</v>
      </c>
      <c r="O3492" t="s">
        <v>28</v>
      </c>
      <c r="P3492">
        <v>4</v>
      </c>
      <c r="Q3492">
        <v>138805.45000000001</v>
      </c>
    </row>
    <row r="3493" spans="1:17" x14ac:dyDescent="0.3">
      <c r="A3493" t="s">
        <v>7622</v>
      </c>
      <c r="B3493" t="s">
        <v>3648</v>
      </c>
      <c r="C3493" s="2" t="str">
        <f>PROPER(TRIM(Table1[[#This Row],[Gender]]))</f>
        <v>Male</v>
      </c>
      <c r="D3493" t="s">
        <v>16</v>
      </c>
      <c r="E3493">
        <v>22</v>
      </c>
      <c r="F3493" t="s">
        <v>49</v>
      </c>
      <c r="G3493" s="1">
        <v>37628</v>
      </c>
      <c r="H3493" t="s">
        <v>7623</v>
      </c>
      <c r="I3493" s="2" t="str">
        <f t="shared" si="54"/>
        <v>+91-8762979774</v>
      </c>
      <c r="J3493">
        <f>91-8762979865</f>
        <v>-8762979774</v>
      </c>
      <c r="K3493" t="s">
        <v>249</v>
      </c>
      <c r="L3493" t="s">
        <v>34</v>
      </c>
      <c r="M3493">
        <v>316488</v>
      </c>
      <c r="N3493" s="1">
        <v>45363</v>
      </c>
      <c r="O3493" t="s">
        <v>21</v>
      </c>
      <c r="P3493">
        <v>6</v>
      </c>
      <c r="Q3493">
        <v>36760.58</v>
      </c>
    </row>
    <row r="3494" spans="1:17" x14ac:dyDescent="0.3">
      <c r="A3494" t="s">
        <v>7624</v>
      </c>
      <c r="B3494" t="s">
        <v>2304</v>
      </c>
      <c r="C3494" s="2" t="str">
        <f>PROPER(TRIM(Table1[[#This Row],[Gender]]))</f>
        <v>Male</v>
      </c>
      <c r="D3494" t="s">
        <v>16</v>
      </c>
      <c r="E3494">
        <v>27</v>
      </c>
      <c r="F3494" t="s">
        <v>31</v>
      </c>
      <c r="G3494" s="1">
        <v>35803</v>
      </c>
      <c r="H3494" t="s">
        <v>7625</v>
      </c>
      <c r="I3494" s="2" t="str">
        <f t="shared" si="54"/>
        <v>+91-9962910972</v>
      </c>
      <c r="J3494">
        <f>91-9962911063</f>
        <v>-9962910972</v>
      </c>
      <c r="K3494" t="s">
        <v>76</v>
      </c>
      <c r="L3494" t="s">
        <v>46</v>
      </c>
      <c r="M3494">
        <v>164072</v>
      </c>
      <c r="N3494" s="1">
        <v>45244</v>
      </c>
      <c r="O3494" t="s">
        <v>28</v>
      </c>
      <c r="P3494">
        <v>6</v>
      </c>
      <c r="Q3494">
        <v>67254.009999999995</v>
      </c>
    </row>
    <row r="3495" spans="1:17" x14ac:dyDescent="0.3">
      <c r="A3495" t="s">
        <v>7626</v>
      </c>
      <c r="B3495" t="s">
        <v>4263</v>
      </c>
      <c r="C3495" s="2" t="str">
        <f>PROPER(TRIM(Table1[[#This Row],[Gender]]))</f>
        <v>Female</v>
      </c>
      <c r="D3495" t="s">
        <v>43</v>
      </c>
      <c r="E3495">
        <v>56</v>
      </c>
      <c r="F3495" t="s">
        <v>58</v>
      </c>
      <c r="G3495" s="1">
        <v>25218</v>
      </c>
      <c r="H3495" t="s">
        <v>7627</v>
      </c>
      <c r="I3495" s="2" t="str">
        <f t="shared" si="54"/>
        <v>+91-8628830197</v>
      </c>
      <c r="J3495">
        <f>91-8628830288</f>
        <v>-8628830197</v>
      </c>
      <c r="K3495" t="s">
        <v>165</v>
      </c>
      <c r="L3495" t="s">
        <v>52</v>
      </c>
      <c r="M3495">
        <v>444731</v>
      </c>
      <c r="N3495" s="1">
        <v>45286</v>
      </c>
      <c r="O3495" t="s">
        <v>28</v>
      </c>
      <c r="P3495">
        <v>6</v>
      </c>
      <c r="Q3495">
        <v>92524.07</v>
      </c>
    </row>
    <row r="3496" spans="1:17" x14ac:dyDescent="0.3">
      <c r="A3496" t="s">
        <v>7628</v>
      </c>
      <c r="B3496" t="s">
        <v>2945</v>
      </c>
      <c r="C3496" s="2" t="str">
        <f>PROPER(TRIM(Table1[[#This Row],[Gender]]))</f>
        <v>Female</v>
      </c>
      <c r="D3496" t="s">
        <v>43</v>
      </c>
      <c r="E3496">
        <v>43</v>
      </c>
      <c r="F3496" t="s">
        <v>38</v>
      </c>
      <c r="G3496" s="1">
        <v>29963</v>
      </c>
      <c r="H3496" t="s">
        <v>7629</v>
      </c>
      <c r="I3496" s="2" t="str">
        <f t="shared" si="54"/>
        <v>+91-7264847128</v>
      </c>
      <c r="J3496">
        <f>91-7264847219</f>
        <v>-7264847128</v>
      </c>
      <c r="K3496" t="s">
        <v>40</v>
      </c>
      <c r="L3496" t="s">
        <v>27</v>
      </c>
      <c r="M3496">
        <v>817126</v>
      </c>
      <c r="N3496" s="1">
        <v>45114</v>
      </c>
      <c r="O3496" t="s">
        <v>35</v>
      </c>
      <c r="P3496">
        <v>2</v>
      </c>
      <c r="Q3496">
        <v>18200.46</v>
      </c>
    </row>
    <row r="3497" spans="1:17" x14ac:dyDescent="0.3">
      <c r="A3497" t="s">
        <v>7630</v>
      </c>
      <c r="B3497" t="s">
        <v>1109</v>
      </c>
      <c r="C3497" s="2" t="str">
        <f>PROPER(TRIM(Table1[[#This Row],[Gender]]))</f>
        <v>Male</v>
      </c>
      <c r="D3497" t="s">
        <v>16</v>
      </c>
      <c r="E3497">
        <v>42</v>
      </c>
      <c r="F3497" t="s">
        <v>38</v>
      </c>
      <c r="G3497" s="1">
        <v>30328</v>
      </c>
      <c r="H3497" t="s">
        <v>7631</v>
      </c>
      <c r="I3497" s="2" t="str">
        <f t="shared" si="54"/>
        <v>+91-9424763360</v>
      </c>
      <c r="J3497">
        <f>91-9424763451</f>
        <v>-9424763360</v>
      </c>
      <c r="K3497" t="s">
        <v>142</v>
      </c>
      <c r="L3497" t="s">
        <v>143</v>
      </c>
      <c r="M3497">
        <v>281823</v>
      </c>
      <c r="N3497" s="1">
        <v>45333</v>
      </c>
      <c r="O3497" t="s">
        <v>28</v>
      </c>
      <c r="P3497">
        <v>9</v>
      </c>
      <c r="Q3497">
        <v>385530.6</v>
      </c>
    </row>
    <row r="3498" spans="1:17" x14ac:dyDescent="0.3">
      <c r="A3498" t="s">
        <v>7632</v>
      </c>
      <c r="B3498" t="s">
        <v>4080</v>
      </c>
      <c r="C3498" s="2" t="str">
        <f>PROPER(TRIM(Table1[[#This Row],[Gender]]))</f>
        <v>Male</v>
      </c>
      <c r="D3498" t="s">
        <v>16</v>
      </c>
      <c r="E3498">
        <v>44</v>
      </c>
      <c r="F3498" t="s">
        <v>38</v>
      </c>
      <c r="G3498" s="1">
        <v>29598</v>
      </c>
      <c r="H3498" t="s">
        <v>7633</v>
      </c>
      <c r="I3498" s="2" t="str">
        <f t="shared" si="54"/>
        <v>+91-8133671834</v>
      </c>
      <c r="J3498">
        <f>91-8133671925</f>
        <v>-8133671834</v>
      </c>
      <c r="K3498" t="s">
        <v>369</v>
      </c>
      <c r="L3498" t="s">
        <v>191</v>
      </c>
      <c r="M3498">
        <v>484691</v>
      </c>
      <c r="N3498" s="1">
        <v>45095</v>
      </c>
      <c r="O3498" t="s">
        <v>28</v>
      </c>
      <c r="P3498">
        <v>5</v>
      </c>
      <c r="Q3498">
        <v>96669.01</v>
      </c>
    </row>
    <row r="3499" spans="1:17" x14ac:dyDescent="0.3">
      <c r="A3499" t="s">
        <v>7634</v>
      </c>
      <c r="B3499" t="s">
        <v>4077</v>
      </c>
      <c r="C3499" s="2" t="str">
        <f>PROPER(TRIM(Table1[[#This Row],[Gender]]))</f>
        <v>Female</v>
      </c>
      <c r="D3499" t="s">
        <v>43</v>
      </c>
      <c r="E3499">
        <v>32</v>
      </c>
      <c r="F3499" t="s">
        <v>31</v>
      </c>
      <c r="G3499" s="1">
        <v>33978</v>
      </c>
      <c r="H3499" t="s">
        <v>7635</v>
      </c>
      <c r="I3499" s="2" t="str">
        <f t="shared" si="54"/>
        <v>+91-8172732312</v>
      </c>
      <c r="J3499">
        <f>91-8172732403</f>
        <v>-8172732312</v>
      </c>
      <c r="K3499" t="s">
        <v>273</v>
      </c>
      <c r="L3499" t="s">
        <v>46</v>
      </c>
      <c r="M3499">
        <v>743184</v>
      </c>
      <c r="N3499" s="1">
        <v>45119</v>
      </c>
      <c r="O3499" t="s">
        <v>28</v>
      </c>
      <c r="P3499">
        <v>3</v>
      </c>
      <c r="Q3499">
        <v>113692.85</v>
      </c>
    </row>
    <row r="3500" spans="1:17" x14ac:dyDescent="0.3">
      <c r="A3500" t="s">
        <v>7636</v>
      </c>
      <c r="B3500" t="s">
        <v>804</v>
      </c>
      <c r="C3500" s="2" t="str">
        <f>PROPER(TRIM(Table1[[#This Row],[Gender]]))</f>
        <v>Male</v>
      </c>
      <c r="D3500" t="s">
        <v>16</v>
      </c>
      <c r="E3500">
        <v>26</v>
      </c>
      <c r="F3500" t="s">
        <v>31</v>
      </c>
      <c r="G3500" s="1">
        <v>36168</v>
      </c>
      <c r="H3500" t="s">
        <v>805</v>
      </c>
      <c r="I3500" s="2" t="str">
        <f t="shared" si="54"/>
        <v>+91-8643497909</v>
      </c>
      <c r="J3500">
        <f>91-8643498000</f>
        <v>-8643497909</v>
      </c>
      <c r="K3500" t="s">
        <v>580</v>
      </c>
      <c r="L3500" t="s">
        <v>85</v>
      </c>
      <c r="M3500">
        <v>218447</v>
      </c>
      <c r="N3500" s="1">
        <v>45364</v>
      </c>
      <c r="O3500" t="s">
        <v>28</v>
      </c>
      <c r="P3500">
        <v>6</v>
      </c>
      <c r="Q3500">
        <v>149088.68</v>
      </c>
    </row>
    <row r="3501" spans="1:17" x14ac:dyDescent="0.3">
      <c r="A3501" t="s">
        <v>7637</v>
      </c>
      <c r="B3501" t="s">
        <v>3338</v>
      </c>
      <c r="C3501" s="2" t="str">
        <f>PROPER(TRIM(Table1[[#This Row],[Gender]]))</f>
        <v>Male</v>
      </c>
      <c r="D3501" t="s">
        <v>16</v>
      </c>
      <c r="E3501">
        <v>64</v>
      </c>
      <c r="F3501" t="s">
        <v>58</v>
      </c>
      <c r="G3501" s="1">
        <v>22298</v>
      </c>
      <c r="H3501" t="s">
        <v>3339</v>
      </c>
      <c r="I3501" s="2" t="str">
        <f t="shared" si="54"/>
        <v>+91-9629422762</v>
      </c>
      <c r="J3501">
        <f>91-9629422853</f>
        <v>-9629422762</v>
      </c>
      <c r="K3501" t="s">
        <v>84</v>
      </c>
      <c r="L3501" t="s">
        <v>85</v>
      </c>
      <c r="M3501">
        <v>303469</v>
      </c>
      <c r="N3501" s="1">
        <v>45279</v>
      </c>
      <c r="O3501" t="s">
        <v>35</v>
      </c>
      <c r="P3501">
        <v>3</v>
      </c>
      <c r="Q3501">
        <v>17816.560000000001</v>
      </c>
    </row>
    <row r="3502" spans="1:17" x14ac:dyDescent="0.3">
      <c r="A3502" t="s">
        <v>7638</v>
      </c>
      <c r="B3502" t="s">
        <v>3808</v>
      </c>
      <c r="C3502" s="2" t="str">
        <f>PROPER(TRIM(Table1[[#This Row],[Gender]]))</f>
        <v>Male</v>
      </c>
      <c r="D3502" t="s">
        <v>16</v>
      </c>
      <c r="E3502">
        <v>35</v>
      </c>
      <c r="F3502" t="s">
        <v>31</v>
      </c>
      <c r="G3502" s="1">
        <v>32883</v>
      </c>
      <c r="H3502" t="s">
        <v>7639</v>
      </c>
      <c r="I3502" s="2" t="str">
        <f t="shared" si="54"/>
        <v>+91-9112154957</v>
      </c>
      <c r="J3502">
        <f>91-9112155048</f>
        <v>-9112154957</v>
      </c>
      <c r="K3502" t="s">
        <v>331</v>
      </c>
      <c r="L3502" t="s">
        <v>143</v>
      </c>
      <c r="M3502">
        <v>702490</v>
      </c>
      <c r="N3502" s="1">
        <v>45271</v>
      </c>
      <c r="O3502" t="s">
        <v>28</v>
      </c>
      <c r="P3502">
        <v>5</v>
      </c>
      <c r="Q3502">
        <v>79972.210000000006</v>
      </c>
    </row>
    <row r="3503" spans="1:17" x14ac:dyDescent="0.3">
      <c r="A3503" t="s">
        <v>7640</v>
      </c>
      <c r="B3503" t="s">
        <v>1713</v>
      </c>
      <c r="C3503" s="2" t="str">
        <f>PROPER(TRIM(Table1[[#This Row],[Gender]]))</f>
        <v>Female</v>
      </c>
      <c r="D3503" t="s">
        <v>43</v>
      </c>
      <c r="E3503">
        <v>24</v>
      </c>
      <c r="F3503" t="s">
        <v>49</v>
      </c>
      <c r="G3503" s="1">
        <v>36898</v>
      </c>
      <c r="H3503" t="s">
        <v>2968</v>
      </c>
      <c r="I3503" s="2" t="str">
        <f t="shared" si="54"/>
        <v>+91-9335445014</v>
      </c>
      <c r="J3503">
        <f>91-9335445105</f>
        <v>-9335445014</v>
      </c>
      <c r="K3503" t="s">
        <v>72</v>
      </c>
      <c r="L3503" t="s">
        <v>34</v>
      </c>
      <c r="M3503">
        <v>584441</v>
      </c>
      <c r="N3503" s="1">
        <v>45268</v>
      </c>
      <c r="O3503" t="s">
        <v>28</v>
      </c>
      <c r="P3503">
        <v>3</v>
      </c>
      <c r="Q3503">
        <v>68408.92</v>
      </c>
    </row>
    <row r="3504" spans="1:17" x14ac:dyDescent="0.3">
      <c r="A3504" t="s">
        <v>7641</v>
      </c>
      <c r="B3504" t="s">
        <v>3398</v>
      </c>
      <c r="C3504" s="2" t="str">
        <f>PROPER(TRIM(Table1[[#This Row],[Gender]]))</f>
        <v>Male</v>
      </c>
      <c r="D3504" t="s">
        <v>16</v>
      </c>
      <c r="E3504">
        <v>44</v>
      </c>
      <c r="F3504" t="s">
        <v>38</v>
      </c>
      <c r="G3504" s="1">
        <v>29598</v>
      </c>
      <c r="H3504" t="s">
        <v>6172</v>
      </c>
      <c r="I3504" s="2" t="str">
        <f t="shared" si="54"/>
        <v>+91-9498624200</v>
      </c>
      <c r="J3504">
        <f>91-9498624291</f>
        <v>-9498624200</v>
      </c>
      <c r="K3504" t="s">
        <v>76</v>
      </c>
      <c r="L3504" t="s">
        <v>46</v>
      </c>
      <c r="M3504">
        <v>865727</v>
      </c>
      <c r="N3504" s="1">
        <v>45081</v>
      </c>
      <c r="O3504" t="s">
        <v>21</v>
      </c>
      <c r="P3504">
        <v>1</v>
      </c>
      <c r="Q3504">
        <v>24086.65</v>
      </c>
    </row>
    <row r="3505" spans="1:17" x14ac:dyDescent="0.3">
      <c r="A3505" t="s">
        <v>7642</v>
      </c>
      <c r="B3505" t="s">
        <v>516</v>
      </c>
      <c r="C3505" s="2" t="str">
        <f>PROPER(TRIM(Table1[[#This Row],[Gender]]))</f>
        <v>Female</v>
      </c>
      <c r="D3505" t="s">
        <v>43</v>
      </c>
      <c r="E3505">
        <v>26</v>
      </c>
      <c r="F3505" t="s">
        <v>31</v>
      </c>
      <c r="G3505" s="1">
        <v>36168</v>
      </c>
      <c r="H3505" t="s">
        <v>7643</v>
      </c>
      <c r="I3505" s="2" t="str">
        <f t="shared" si="54"/>
        <v>+91-8588613129</v>
      </c>
      <c r="J3505">
        <f>91-8588613220</f>
        <v>-8588613129</v>
      </c>
      <c r="K3505" t="s">
        <v>117</v>
      </c>
      <c r="L3505" t="s">
        <v>52</v>
      </c>
      <c r="M3505">
        <v>194665</v>
      </c>
      <c r="N3505" s="1">
        <v>45283</v>
      </c>
      <c r="O3505" t="s">
        <v>28</v>
      </c>
      <c r="P3505">
        <v>5</v>
      </c>
      <c r="Q3505">
        <v>61642.55</v>
      </c>
    </row>
    <row r="3506" spans="1:17" x14ac:dyDescent="0.3">
      <c r="A3506" t="s">
        <v>7644</v>
      </c>
      <c r="B3506" t="s">
        <v>3471</v>
      </c>
      <c r="C3506" s="2" t="str">
        <f>PROPER(TRIM(Table1[[#This Row],[Gender]]))</f>
        <v>Male</v>
      </c>
      <c r="D3506" t="s">
        <v>16</v>
      </c>
      <c r="E3506">
        <v>24</v>
      </c>
      <c r="F3506" t="s">
        <v>49</v>
      </c>
      <c r="G3506" s="1">
        <v>36898</v>
      </c>
      <c r="H3506" t="s">
        <v>7645</v>
      </c>
      <c r="I3506" s="2" t="str">
        <f t="shared" si="54"/>
        <v>+91-8494300739</v>
      </c>
      <c r="J3506">
        <f>91-8494300830</f>
        <v>-8494300739</v>
      </c>
      <c r="K3506" t="s">
        <v>84</v>
      </c>
      <c r="L3506" t="s">
        <v>85</v>
      </c>
      <c r="M3506">
        <v>153537</v>
      </c>
      <c r="N3506" s="1">
        <v>45318</v>
      </c>
      <c r="O3506" t="s">
        <v>28</v>
      </c>
      <c r="P3506">
        <v>5</v>
      </c>
      <c r="Q3506">
        <v>58237.68</v>
      </c>
    </row>
    <row r="3507" spans="1:17" x14ac:dyDescent="0.3">
      <c r="A3507" t="s">
        <v>7646</v>
      </c>
      <c r="B3507" t="s">
        <v>321</v>
      </c>
      <c r="C3507" s="2" t="str">
        <f>PROPER(TRIM(Table1[[#This Row],[Gender]]))</f>
        <v>Female</v>
      </c>
      <c r="D3507" t="s">
        <v>43</v>
      </c>
      <c r="E3507">
        <v>32</v>
      </c>
      <c r="F3507" t="s">
        <v>31</v>
      </c>
      <c r="G3507" s="1">
        <v>33978</v>
      </c>
      <c r="H3507" t="s">
        <v>7647</v>
      </c>
      <c r="I3507" s="2" t="str">
        <f t="shared" si="54"/>
        <v>+91-7210152067</v>
      </c>
      <c r="J3507">
        <f>91-7210152158</f>
        <v>-7210152067</v>
      </c>
      <c r="K3507" t="s">
        <v>165</v>
      </c>
      <c r="L3507" t="s">
        <v>52</v>
      </c>
      <c r="M3507">
        <v>419155</v>
      </c>
      <c r="N3507" s="1">
        <v>45404</v>
      </c>
      <c r="O3507" t="s">
        <v>28</v>
      </c>
      <c r="P3507">
        <v>6</v>
      </c>
      <c r="Q3507">
        <v>111152.96000000001</v>
      </c>
    </row>
    <row r="3508" spans="1:17" x14ac:dyDescent="0.3">
      <c r="A3508" t="s">
        <v>7648</v>
      </c>
      <c r="B3508" t="s">
        <v>1370</v>
      </c>
      <c r="C3508" s="2" t="str">
        <f>PROPER(TRIM(Table1[[#This Row],[Gender]]))</f>
        <v>Male</v>
      </c>
      <c r="D3508" t="s">
        <v>16</v>
      </c>
      <c r="E3508">
        <v>62</v>
      </c>
      <c r="F3508" t="s">
        <v>58</v>
      </c>
      <c r="G3508" s="1">
        <v>23028</v>
      </c>
      <c r="H3508" t="s">
        <v>7649</v>
      </c>
      <c r="I3508" s="2" t="str">
        <f t="shared" si="54"/>
        <v>+91-7214800544</v>
      </c>
      <c r="J3508">
        <f>91-7214800635</f>
        <v>-7214800544</v>
      </c>
      <c r="K3508" t="s">
        <v>273</v>
      </c>
      <c r="L3508" t="s">
        <v>46</v>
      </c>
      <c r="M3508">
        <v>198262</v>
      </c>
      <c r="N3508" s="1">
        <v>45183</v>
      </c>
      <c r="O3508" t="s">
        <v>35</v>
      </c>
      <c r="P3508">
        <v>5</v>
      </c>
      <c r="Q3508">
        <v>7640.52</v>
      </c>
    </row>
    <row r="3509" spans="1:17" x14ac:dyDescent="0.3">
      <c r="A3509" t="s">
        <v>7650</v>
      </c>
      <c r="B3509" t="s">
        <v>3227</v>
      </c>
      <c r="C3509" s="2" t="str">
        <f>PROPER(TRIM(Table1[[#This Row],[Gender]]))</f>
        <v>Female</v>
      </c>
      <c r="D3509" t="s">
        <v>43</v>
      </c>
      <c r="E3509">
        <v>42</v>
      </c>
      <c r="F3509" t="s">
        <v>38</v>
      </c>
      <c r="G3509" s="1">
        <v>30328</v>
      </c>
      <c r="H3509" t="s">
        <v>7651</v>
      </c>
      <c r="I3509" s="2" t="str">
        <f t="shared" si="54"/>
        <v>+91-8097239033</v>
      </c>
      <c r="J3509">
        <f>91-8097239124</f>
        <v>-8097239033</v>
      </c>
      <c r="K3509" t="s">
        <v>121</v>
      </c>
      <c r="L3509" t="s">
        <v>85</v>
      </c>
      <c r="M3509">
        <v>100190</v>
      </c>
      <c r="N3509" s="1">
        <v>45299</v>
      </c>
      <c r="O3509" t="s">
        <v>28</v>
      </c>
      <c r="P3509">
        <v>5</v>
      </c>
      <c r="Q3509">
        <v>51807.76</v>
      </c>
    </row>
    <row r="3510" spans="1:17" x14ac:dyDescent="0.3">
      <c r="A3510" t="s">
        <v>7652</v>
      </c>
      <c r="B3510" t="s">
        <v>4638</v>
      </c>
      <c r="C3510" s="2" t="str">
        <f>PROPER(TRIM(Table1[[#This Row],[Gender]]))</f>
        <v>Male</v>
      </c>
      <c r="D3510" t="s">
        <v>16</v>
      </c>
      <c r="E3510">
        <v>29</v>
      </c>
      <c r="F3510" t="s">
        <v>31</v>
      </c>
      <c r="G3510" s="1">
        <v>35073</v>
      </c>
      <c r="H3510" t="s">
        <v>7653</v>
      </c>
      <c r="I3510" s="2" t="str">
        <f t="shared" si="54"/>
        <v>+91-9044129593</v>
      </c>
      <c r="J3510">
        <f>91-9044129684</f>
        <v>-9044129593</v>
      </c>
      <c r="K3510" t="s">
        <v>331</v>
      </c>
      <c r="L3510" t="s">
        <v>143</v>
      </c>
      <c r="M3510">
        <v>796813</v>
      </c>
      <c r="N3510" s="1">
        <v>45367</v>
      </c>
      <c r="O3510" t="s">
        <v>28</v>
      </c>
      <c r="P3510">
        <v>7</v>
      </c>
      <c r="Q3510">
        <v>146085.57</v>
      </c>
    </row>
    <row r="3511" spans="1:17" x14ac:dyDescent="0.3">
      <c r="A3511" t="s">
        <v>7654</v>
      </c>
      <c r="B3511" t="s">
        <v>5853</v>
      </c>
      <c r="C3511" s="2" t="str">
        <f>PROPER(TRIM(Table1[[#This Row],[Gender]]))</f>
        <v>Male</v>
      </c>
      <c r="D3511" t="s">
        <v>16</v>
      </c>
      <c r="E3511">
        <v>48</v>
      </c>
      <c r="F3511" t="s">
        <v>17</v>
      </c>
      <c r="G3511" s="1">
        <v>28138</v>
      </c>
      <c r="H3511" t="s">
        <v>7655</v>
      </c>
      <c r="I3511" s="2" t="str">
        <f t="shared" si="54"/>
        <v>+91-9673510500</v>
      </c>
      <c r="J3511">
        <f>91-9673510591</f>
        <v>-9673510500</v>
      </c>
      <c r="K3511" t="s">
        <v>202</v>
      </c>
      <c r="L3511" t="s">
        <v>191</v>
      </c>
      <c r="M3511">
        <v>865812</v>
      </c>
      <c r="N3511" s="1">
        <v>45091</v>
      </c>
      <c r="O3511" t="s">
        <v>35</v>
      </c>
      <c r="P3511">
        <v>3</v>
      </c>
      <c r="Q3511">
        <v>8383.4599999999991</v>
      </c>
    </row>
    <row r="3512" spans="1:17" x14ac:dyDescent="0.3">
      <c r="A3512" t="s">
        <v>7656</v>
      </c>
      <c r="B3512" t="s">
        <v>2771</v>
      </c>
      <c r="C3512" s="2" t="str">
        <f>PROPER(TRIM(Table1[[#This Row],[Gender]]))</f>
        <v>Female</v>
      </c>
      <c r="D3512" t="s">
        <v>43</v>
      </c>
      <c r="E3512">
        <v>26</v>
      </c>
      <c r="F3512" t="s">
        <v>31</v>
      </c>
      <c r="G3512" s="1">
        <v>36168</v>
      </c>
      <c r="H3512" t="s">
        <v>7657</v>
      </c>
      <c r="I3512" s="2" t="str">
        <f t="shared" si="54"/>
        <v>+91-8774015805</v>
      </c>
      <c r="J3512">
        <f>91-8774015896</f>
        <v>-8774015805</v>
      </c>
      <c r="K3512" t="s">
        <v>580</v>
      </c>
      <c r="L3512" t="s">
        <v>85</v>
      </c>
      <c r="M3512">
        <v>286646</v>
      </c>
      <c r="N3512" s="1">
        <v>45132</v>
      </c>
      <c r="O3512" t="s">
        <v>28</v>
      </c>
      <c r="P3512">
        <v>6</v>
      </c>
      <c r="Q3512">
        <v>76801.86</v>
      </c>
    </row>
    <row r="3513" spans="1:17" x14ac:dyDescent="0.3">
      <c r="A3513" t="s">
        <v>7658</v>
      </c>
      <c r="B3513" t="s">
        <v>2108</v>
      </c>
      <c r="C3513" s="2" t="str">
        <f>PROPER(TRIM(Table1[[#This Row],[Gender]]))</f>
        <v>Male</v>
      </c>
      <c r="D3513" t="s">
        <v>16</v>
      </c>
      <c r="E3513">
        <v>42</v>
      </c>
      <c r="F3513" t="s">
        <v>38</v>
      </c>
      <c r="G3513" s="1">
        <v>30328</v>
      </c>
      <c r="H3513" t="s">
        <v>7659</v>
      </c>
      <c r="I3513" s="2" t="str">
        <f t="shared" si="54"/>
        <v>+91-7650339674</v>
      </c>
      <c r="J3513">
        <f>91-7650339765</f>
        <v>-7650339674</v>
      </c>
      <c r="K3513" t="s">
        <v>89</v>
      </c>
      <c r="L3513" t="s">
        <v>90</v>
      </c>
      <c r="M3513">
        <v>917098</v>
      </c>
      <c r="N3513" s="1">
        <v>45211</v>
      </c>
      <c r="O3513" t="s">
        <v>28</v>
      </c>
      <c r="P3513">
        <v>4</v>
      </c>
      <c r="Q3513">
        <v>174769.51</v>
      </c>
    </row>
    <row r="3514" spans="1:17" x14ac:dyDescent="0.3">
      <c r="A3514" t="s">
        <v>7660</v>
      </c>
      <c r="B3514" t="s">
        <v>4353</v>
      </c>
      <c r="C3514" s="2" t="str">
        <f>PROPER(TRIM(Table1[[#This Row],[Gender]]))</f>
        <v>Male</v>
      </c>
      <c r="D3514" t="s">
        <v>16</v>
      </c>
      <c r="E3514">
        <v>62</v>
      </c>
      <c r="F3514" t="s">
        <v>58</v>
      </c>
      <c r="G3514" s="1">
        <v>23028</v>
      </c>
      <c r="H3514" t="s">
        <v>7661</v>
      </c>
      <c r="I3514" s="2" t="str">
        <f t="shared" si="54"/>
        <v>+91-8755477064</v>
      </c>
      <c r="J3514">
        <f>91-8755477155</f>
        <v>-8755477064</v>
      </c>
      <c r="K3514" t="s">
        <v>249</v>
      </c>
      <c r="L3514" t="s">
        <v>34</v>
      </c>
      <c r="M3514">
        <v>617673</v>
      </c>
      <c r="N3514" s="1">
        <v>45240</v>
      </c>
      <c r="O3514" t="s">
        <v>28</v>
      </c>
      <c r="P3514">
        <v>8</v>
      </c>
      <c r="Q3514">
        <v>85579.55</v>
      </c>
    </row>
    <row r="3515" spans="1:17" x14ac:dyDescent="0.3">
      <c r="A3515" t="s">
        <v>7662</v>
      </c>
      <c r="B3515" t="s">
        <v>7663</v>
      </c>
      <c r="C3515" s="2" t="str">
        <f>PROPER(TRIM(Table1[[#This Row],[Gender]]))</f>
        <v>Female</v>
      </c>
      <c r="D3515" t="s">
        <v>43</v>
      </c>
      <c r="E3515">
        <v>23</v>
      </c>
      <c r="F3515" t="s">
        <v>49</v>
      </c>
      <c r="G3515" s="1">
        <v>37263</v>
      </c>
      <c r="H3515" t="s">
        <v>7664</v>
      </c>
      <c r="I3515" s="2" t="str">
        <f t="shared" si="54"/>
        <v>+91-7573085145</v>
      </c>
      <c r="J3515">
        <f>91-7573085236</f>
        <v>-7573085145</v>
      </c>
      <c r="K3515" t="s">
        <v>68</v>
      </c>
      <c r="L3515" t="s">
        <v>52</v>
      </c>
      <c r="M3515">
        <v>485559</v>
      </c>
      <c r="N3515" s="1">
        <v>45414</v>
      </c>
      <c r="O3515" t="s">
        <v>21</v>
      </c>
      <c r="P3515">
        <v>4</v>
      </c>
      <c r="Q3515">
        <v>40105.279999999999</v>
      </c>
    </row>
    <row r="3516" spans="1:17" x14ac:dyDescent="0.3">
      <c r="A3516" t="s">
        <v>7665</v>
      </c>
      <c r="B3516" t="s">
        <v>932</v>
      </c>
      <c r="C3516" s="2" t="str">
        <f>PROPER(TRIM(Table1[[#This Row],[Gender]]))</f>
        <v>Female</v>
      </c>
      <c r="D3516" t="s">
        <v>43</v>
      </c>
      <c r="E3516">
        <v>55</v>
      </c>
      <c r="F3516" t="s">
        <v>17</v>
      </c>
      <c r="G3516" s="1">
        <v>25583</v>
      </c>
      <c r="H3516" t="s">
        <v>7666</v>
      </c>
      <c r="I3516" s="2" t="str">
        <f t="shared" si="54"/>
        <v>+91-8568372968</v>
      </c>
      <c r="J3516">
        <f>91-8568373059</f>
        <v>-8568372968</v>
      </c>
      <c r="K3516" t="s">
        <v>121</v>
      </c>
      <c r="L3516" t="s">
        <v>85</v>
      </c>
      <c r="M3516">
        <v>440887</v>
      </c>
      <c r="N3516" s="1">
        <v>45200</v>
      </c>
      <c r="O3516" t="s">
        <v>21</v>
      </c>
      <c r="P3516">
        <v>6</v>
      </c>
      <c r="Q3516">
        <v>33952.519999999997</v>
      </c>
    </row>
    <row r="3517" spans="1:17" x14ac:dyDescent="0.3">
      <c r="A3517" t="s">
        <v>7667</v>
      </c>
      <c r="B3517" t="s">
        <v>1106</v>
      </c>
      <c r="C3517" s="2" t="str">
        <f>PROPER(TRIM(Table1[[#This Row],[Gender]]))</f>
        <v>Male</v>
      </c>
      <c r="D3517" t="s">
        <v>16</v>
      </c>
      <c r="E3517">
        <v>31</v>
      </c>
      <c r="F3517" t="s">
        <v>31</v>
      </c>
      <c r="G3517" s="1">
        <v>34343</v>
      </c>
      <c r="H3517" t="s">
        <v>7668</v>
      </c>
      <c r="I3517" s="2" t="str">
        <f t="shared" si="54"/>
        <v>+91-8927061557</v>
      </c>
      <c r="J3517">
        <f>91-8927061648</f>
        <v>-8927061557</v>
      </c>
      <c r="K3517" t="s">
        <v>68</v>
      </c>
      <c r="L3517" t="s">
        <v>52</v>
      </c>
      <c r="M3517">
        <v>521947</v>
      </c>
      <c r="N3517" s="1">
        <v>45255</v>
      </c>
      <c r="O3517" t="s">
        <v>28</v>
      </c>
      <c r="P3517">
        <v>6</v>
      </c>
      <c r="Q3517">
        <v>72047.16</v>
      </c>
    </row>
    <row r="3518" spans="1:17" x14ac:dyDescent="0.3">
      <c r="A3518" t="s">
        <v>7669</v>
      </c>
      <c r="B3518" t="s">
        <v>2594</v>
      </c>
      <c r="C3518" s="2" t="str">
        <f>PROPER(TRIM(Table1[[#This Row],[Gender]]))</f>
        <v>Female</v>
      </c>
      <c r="D3518" t="s">
        <v>43</v>
      </c>
      <c r="E3518">
        <v>32</v>
      </c>
      <c r="F3518" t="s">
        <v>31</v>
      </c>
      <c r="G3518" s="1">
        <v>33978</v>
      </c>
      <c r="H3518" t="s">
        <v>7670</v>
      </c>
      <c r="I3518" s="2" t="str">
        <f t="shared" si="54"/>
        <v>+91-9268174133</v>
      </c>
      <c r="J3518">
        <f>91-9268174224</f>
        <v>-9268174133</v>
      </c>
      <c r="K3518" t="s">
        <v>68</v>
      </c>
      <c r="L3518" t="s">
        <v>52</v>
      </c>
      <c r="M3518">
        <v>334494</v>
      </c>
      <c r="N3518" s="1">
        <v>45381</v>
      </c>
      <c r="O3518" t="s">
        <v>21</v>
      </c>
      <c r="P3518">
        <v>7</v>
      </c>
      <c r="Q3518">
        <v>47897.21</v>
      </c>
    </row>
    <row r="3519" spans="1:17" x14ac:dyDescent="0.3">
      <c r="A3519" t="s">
        <v>7671</v>
      </c>
      <c r="B3519" t="s">
        <v>3645</v>
      </c>
      <c r="C3519" s="2" t="str">
        <f>PROPER(TRIM(Table1[[#This Row],[Gender]]))</f>
        <v>Male</v>
      </c>
      <c r="D3519" t="s">
        <v>16</v>
      </c>
      <c r="E3519">
        <v>45</v>
      </c>
      <c r="F3519" t="s">
        <v>38</v>
      </c>
      <c r="G3519" s="1">
        <v>29233</v>
      </c>
      <c r="H3519" t="s">
        <v>7672</v>
      </c>
      <c r="I3519" s="2" t="str">
        <f t="shared" si="54"/>
        <v>+91-9647070374</v>
      </c>
      <c r="J3519">
        <f>91-9647070465</f>
        <v>-9647070374</v>
      </c>
      <c r="K3519" t="s">
        <v>94</v>
      </c>
      <c r="L3519" t="s">
        <v>20</v>
      </c>
      <c r="M3519">
        <v>974102</v>
      </c>
      <c r="N3519" s="1">
        <v>45139</v>
      </c>
      <c r="O3519" t="s">
        <v>28</v>
      </c>
      <c r="P3519">
        <v>2</v>
      </c>
      <c r="Q3519">
        <v>71005.48</v>
      </c>
    </row>
    <row r="3520" spans="1:17" x14ac:dyDescent="0.3">
      <c r="A3520" t="s">
        <v>7673</v>
      </c>
      <c r="B3520" t="s">
        <v>1133</v>
      </c>
      <c r="C3520" s="2" t="str">
        <f>PROPER(TRIM(Table1[[#This Row],[Gender]]))</f>
        <v>Female</v>
      </c>
      <c r="D3520" t="s">
        <v>43</v>
      </c>
      <c r="E3520">
        <v>26</v>
      </c>
      <c r="F3520" t="s">
        <v>31</v>
      </c>
      <c r="G3520" s="1">
        <v>36168</v>
      </c>
      <c r="H3520" t="s">
        <v>3192</v>
      </c>
      <c r="I3520" s="2" t="str">
        <f t="shared" si="54"/>
        <v>+91-9089627850</v>
      </c>
      <c r="J3520">
        <f>91-9089627941</f>
        <v>-9089627850</v>
      </c>
      <c r="K3520" t="s">
        <v>89</v>
      </c>
      <c r="L3520" t="s">
        <v>90</v>
      </c>
      <c r="M3520">
        <v>198906</v>
      </c>
      <c r="N3520" s="1">
        <v>45277</v>
      </c>
      <c r="O3520" t="s">
        <v>28</v>
      </c>
      <c r="P3520">
        <v>9</v>
      </c>
      <c r="Q3520">
        <v>174506.49</v>
      </c>
    </row>
    <row r="3521" spans="1:17" x14ac:dyDescent="0.3">
      <c r="A3521" t="s">
        <v>7674</v>
      </c>
      <c r="B3521" t="s">
        <v>908</v>
      </c>
      <c r="C3521" s="2" t="str">
        <f>PROPER(TRIM(Table1[[#This Row],[Gender]]))</f>
        <v>Female</v>
      </c>
      <c r="D3521" t="s">
        <v>43</v>
      </c>
      <c r="E3521">
        <v>32</v>
      </c>
      <c r="F3521" t="s">
        <v>31</v>
      </c>
      <c r="G3521" s="1">
        <v>33978</v>
      </c>
      <c r="H3521" t="s">
        <v>5342</v>
      </c>
      <c r="I3521" s="2" t="str">
        <f t="shared" si="54"/>
        <v>+91-8747835739</v>
      </c>
      <c r="J3521">
        <f>91-8747835830</f>
        <v>-8747835739</v>
      </c>
      <c r="K3521" t="s">
        <v>195</v>
      </c>
      <c r="L3521" t="s">
        <v>102</v>
      </c>
      <c r="M3521">
        <v>625313</v>
      </c>
      <c r="N3521" s="1">
        <v>45227</v>
      </c>
      <c r="O3521" t="s">
        <v>28</v>
      </c>
      <c r="P3521">
        <v>7</v>
      </c>
      <c r="Q3521">
        <v>403812.04</v>
      </c>
    </row>
    <row r="3522" spans="1:17" x14ac:dyDescent="0.3">
      <c r="A3522" t="s">
        <v>7675</v>
      </c>
      <c r="B3522" t="s">
        <v>1800</v>
      </c>
      <c r="C3522" s="2" t="str">
        <f>PROPER(TRIM(Table1[[#This Row],[Gender]]))</f>
        <v>Female</v>
      </c>
      <c r="D3522" t="s">
        <v>43</v>
      </c>
      <c r="E3522">
        <v>31</v>
      </c>
      <c r="F3522" t="s">
        <v>31</v>
      </c>
      <c r="G3522" s="1">
        <v>34343</v>
      </c>
      <c r="H3522" t="s">
        <v>7676</v>
      </c>
      <c r="I3522" s="2" t="str">
        <f t="shared" ref="I3522:I3585" si="55">"+91"&amp;TEXT(J3522,"0000000000")</f>
        <v>+91-7519600540</v>
      </c>
      <c r="J3522">
        <f>91-7519600631</f>
        <v>-7519600540</v>
      </c>
      <c r="K3522" t="s">
        <v>45</v>
      </c>
      <c r="L3522" t="s">
        <v>46</v>
      </c>
      <c r="M3522">
        <v>927661</v>
      </c>
      <c r="N3522" s="1">
        <v>45198</v>
      </c>
      <c r="O3522" t="s">
        <v>28</v>
      </c>
      <c r="P3522">
        <v>8</v>
      </c>
      <c r="Q3522">
        <v>320842.46000000002</v>
      </c>
    </row>
    <row r="3523" spans="1:17" x14ac:dyDescent="0.3">
      <c r="A3523" t="s">
        <v>7677</v>
      </c>
      <c r="B3523" t="s">
        <v>1916</v>
      </c>
      <c r="C3523" s="2" t="str">
        <f>PROPER(TRIM(Table1[[#This Row],[Gender]]))</f>
        <v>Male</v>
      </c>
      <c r="D3523" t="s">
        <v>16</v>
      </c>
      <c r="E3523">
        <v>38</v>
      </c>
      <c r="F3523" t="s">
        <v>38</v>
      </c>
      <c r="G3523" s="1">
        <v>31788</v>
      </c>
      <c r="H3523" t="s">
        <v>7678</v>
      </c>
      <c r="I3523" s="2" t="str">
        <f t="shared" si="55"/>
        <v>+91-9748144385</v>
      </c>
      <c r="J3523">
        <f>91-9748144476</f>
        <v>-9748144385</v>
      </c>
      <c r="K3523" t="s">
        <v>72</v>
      </c>
      <c r="L3523" t="s">
        <v>34</v>
      </c>
      <c r="M3523">
        <v>626740</v>
      </c>
      <c r="N3523" s="1">
        <v>45420</v>
      </c>
      <c r="O3523" t="s">
        <v>35</v>
      </c>
      <c r="P3523">
        <v>1</v>
      </c>
      <c r="Q3523">
        <v>324.24</v>
      </c>
    </row>
    <row r="3524" spans="1:17" x14ac:dyDescent="0.3">
      <c r="A3524" t="s">
        <v>7679</v>
      </c>
      <c r="B3524" t="s">
        <v>448</v>
      </c>
      <c r="C3524" s="2" t="str">
        <f>PROPER(TRIM(Table1[[#This Row],[Gender]]))</f>
        <v>Female</v>
      </c>
      <c r="D3524" t="s">
        <v>43</v>
      </c>
      <c r="E3524">
        <v>25</v>
      </c>
      <c r="F3524" t="s">
        <v>49</v>
      </c>
      <c r="G3524" s="1">
        <v>36533</v>
      </c>
      <c r="H3524" t="s">
        <v>7680</v>
      </c>
      <c r="I3524" s="2" t="str">
        <f t="shared" si="55"/>
        <v>+91-8614553679</v>
      </c>
      <c r="J3524">
        <f>91-8614553770</f>
        <v>-8614553679</v>
      </c>
      <c r="K3524" t="s">
        <v>195</v>
      </c>
      <c r="L3524" t="s">
        <v>102</v>
      </c>
      <c r="M3524">
        <v>142319</v>
      </c>
      <c r="N3524" s="1">
        <v>45163</v>
      </c>
      <c r="O3524" t="s">
        <v>28</v>
      </c>
      <c r="P3524">
        <v>3</v>
      </c>
      <c r="Q3524">
        <v>84672.92</v>
      </c>
    </row>
    <row r="3525" spans="1:17" x14ac:dyDescent="0.3">
      <c r="A3525" t="s">
        <v>7681</v>
      </c>
      <c r="B3525" t="s">
        <v>1319</v>
      </c>
      <c r="C3525" s="2" t="str">
        <f>PROPER(TRIM(Table1[[#This Row],[Gender]]))</f>
        <v>Male</v>
      </c>
      <c r="D3525" t="s">
        <v>16</v>
      </c>
      <c r="E3525">
        <v>31</v>
      </c>
      <c r="F3525" t="s">
        <v>31</v>
      </c>
      <c r="G3525" s="1">
        <v>34343</v>
      </c>
      <c r="H3525" t="s">
        <v>7682</v>
      </c>
      <c r="I3525" s="2" t="str">
        <f t="shared" si="55"/>
        <v>+91-9772087479</v>
      </c>
      <c r="J3525">
        <f>91-9772087570</f>
        <v>-9772087479</v>
      </c>
      <c r="K3525" t="s">
        <v>80</v>
      </c>
      <c r="L3525" t="s">
        <v>20</v>
      </c>
      <c r="M3525">
        <v>539745</v>
      </c>
      <c r="N3525" s="1">
        <v>45129</v>
      </c>
      <c r="O3525" t="s">
        <v>35</v>
      </c>
      <c r="P3525">
        <v>2</v>
      </c>
      <c r="Q3525">
        <v>4787.4799999999996</v>
      </c>
    </row>
    <row r="3526" spans="1:17" x14ac:dyDescent="0.3">
      <c r="A3526" t="s">
        <v>7683</v>
      </c>
      <c r="B3526" t="s">
        <v>1995</v>
      </c>
      <c r="C3526" s="2" t="str">
        <f>PROPER(TRIM(Table1[[#This Row],[Gender]]))</f>
        <v>Male</v>
      </c>
      <c r="D3526" t="s">
        <v>16</v>
      </c>
      <c r="E3526">
        <v>29</v>
      </c>
      <c r="F3526" t="s">
        <v>31</v>
      </c>
      <c r="G3526" s="1">
        <v>35073</v>
      </c>
      <c r="H3526" t="s">
        <v>7684</v>
      </c>
      <c r="I3526" s="2" t="str">
        <f t="shared" si="55"/>
        <v>+91-9389161179</v>
      </c>
      <c r="J3526">
        <f>91-9389161270</f>
        <v>-9389161179</v>
      </c>
      <c r="K3526" t="s">
        <v>94</v>
      </c>
      <c r="L3526" t="s">
        <v>20</v>
      </c>
      <c r="M3526">
        <v>606261</v>
      </c>
      <c r="N3526" s="1">
        <v>45119</v>
      </c>
      <c r="O3526" t="s">
        <v>28</v>
      </c>
      <c r="P3526">
        <v>4</v>
      </c>
      <c r="Q3526">
        <v>287063.28000000003</v>
      </c>
    </row>
    <row r="3527" spans="1:17" x14ac:dyDescent="0.3">
      <c r="A3527" t="s">
        <v>7685</v>
      </c>
      <c r="B3527" t="s">
        <v>2079</v>
      </c>
      <c r="C3527" s="2" t="str">
        <f>PROPER(TRIM(Table1[[#This Row],[Gender]]))</f>
        <v>Male</v>
      </c>
      <c r="D3527" t="s">
        <v>16</v>
      </c>
      <c r="E3527">
        <v>34</v>
      </c>
      <c r="F3527" t="s">
        <v>31</v>
      </c>
      <c r="G3527" s="1">
        <v>33248</v>
      </c>
      <c r="H3527" t="s">
        <v>7686</v>
      </c>
      <c r="I3527" s="2" t="str">
        <f t="shared" si="55"/>
        <v>+91-7628444651</v>
      </c>
      <c r="J3527">
        <f>91-7628444742</f>
        <v>-7628444651</v>
      </c>
      <c r="K3527" t="s">
        <v>40</v>
      </c>
      <c r="L3527" t="s">
        <v>27</v>
      </c>
      <c r="M3527">
        <v>377720</v>
      </c>
      <c r="N3527" s="1">
        <v>45370</v>
      </c>
      <c r="O3527" t="s">
        <v>28</v>
      </c>
      <c r="P3527">
        <v>6</v>
      </c>
      <c r="Q3527">
        <v>123454.02</v>
      </c>
    </row>
    <row r="3528" spans="1:17" x14ac:dyDescent="0.3">
      <c r="A3528" t="s">
        <v>7687</v>
      </c>
      <c r="B3528" t="s">
        <v>207</v>
      </c>
      <c r="C3528" s="2" t="str">
        <f>PROPER(TRIM(Table1[[#This Row],[Gender]]))</f>
        <v>Female</v>
      </c>
      <c r="D3528" t="s">
        <v>43</v>
      </c>
      <c r="E3528">
        <v>29</v>
      </c>
      <c r="F3528" t="s">
        <v>31</v>
      </c>
      <c r="G3528" s="1">
        <v>35073</v>
      </c>
      <c r="H3528" t="s">
        <v>706</v>
      </c>
      <c r="I3528" s="2" t="str">
        <f t="shared" si="55"/>
        <v>+91-9443766410</v>
      </c>
      <c r="J3528">
        <f>91-9443766501</f>
        <v>-9443766410</v>
      </c>
      <c r="K3528" t="s">
        <v>161</v>
      </c>
      <c r="L3528" t="s">
        <v>102</v>
      </c>
      <c r="M3528">
        <v>601178</v>
      </c>
      <c r="N3528" s="1">
        <v>45352</v>
      </c>
      <c r="O3528" t="s">
        <v>28</v>
      </c>
      <c r="P3528">
        <v>4</v>
      </c>
      <c r="Q3528">
        <v>53165.8</v>
      </c>
    </row>
    <row r="3529" spans="1:17" x14ac:dyDescent="0.3">
      <c r="A3529" t="s">
        <v>7688</v>
      </c>
      <c r="B3529" t="s">
        <v>364</v>
      </c>
      <c r="C3529" s="2" t="str">
        <f>PROPER(TRIM(Table1[[#This Row],[Gender]]))</f>
        <v>Female</v>
      </c>
      <c r="D3529" t="s">
        <v>43</v>
      </c>
      <c r="E3529">
        <v>32</v>
      </c>
      <c r="F3529" t="s">
        <v>31</v>
      </c>
      <c r="G3529" s="1">
        <v>33978</v>
      </c>
      <c r="H3529" t="s">
        <v>7689</v>
      </c>
      <c r="I3529" s="2" t="str">
        <f t="shared" si="55"/>
        <v>+91-8742710242</v>
      </c>
      <c r="J3529">
        <f>91-8742710333</f>
        <v>-8742710242</v>
      </c>
      <c r="K3529" t="s">
        <v>195</v>
      </c>
      <c r="L3529" t="s">
        <v>102</v>
      </c>
      <c r="M3529">
        <v>859249</v>
      </c>
      <c r="N3529" s="1">
        <v>45401</v>
      </c>
      <c r="O3529" t="s">
        <v>28</v>
      </c>
      <c r="P3529">
        <v>4</v>
      </c>
      <c r="Q3529">
        <v>134127.95000000001</v>
      </c>
    </row>
    <row r="3530" spans="1:17" x14ac:dyDescent="0.3">
      <c r="A3530" t="s">
        <v>7690</v>
      </c>
      <c r="B3530" t="s">
        <v>2283</v>
      </c>
      <c r="C3530" s="2" t="str">
        <f>PROPER(TRIM(Table1[[#This Row],[Gender]]))</f>
        <v>Female</v>
      </c>
      <c r="D3530" t="s">
        <v>43</v>
      </c>
      <c r="E3530">
        <v>29</v>
      </c>
      <c r="F3530" t="s">
        <v>31</v>
      </c>
      <c r="G3530" s="1">
        <v>35073</v>
      </c>
      <c r="H3530" t="s">
        <v>7691</v>
      </c>
      <c r="I3530" s="2" t="str">
        <f t="shared" si="55"/>
        <v>+91-9408687672</v>
      </c>
      <c r="J3530">
        <f>91-9408687763</f>
        <v>-9408687672</v>
      </c>
      <c r="K3530" t="s">
        <v>109</v>
      </c>
      <c r="L3530" t="s">
        <v>46</v>
      </c>
      <c r="M3530">
        <v>814171</v>
      </c>
      <c r="N3530" s="1">
        <v>45400</v>
      </c>
      <c r="O3530" t="s">
        <v>21</v>
      </c>
      <c r="P3530">
        <v>4</v>
      </c>
      <c r="Q3530">
        <v>20997.05</v>
      </c>
    </row>
    <row r="3531" spans="1:17" x14ac:dyDescent="0.3">
      <c r="A3531" t="s">
        <v>7692</v>
      </c>
      <c r="B3531" t="s">
        <v>7693</v>
      </c>
      <c r="C3531" s="2" t="str">
        <f>PROPER(TRIM(Table1[[#This Row],[Gender]]))</f>
        <v>Male</v>
      </c>
      <c r="D3531" t="s">
        <v>16</v>
      </c>
      <c r="E3531">
        <v>31</v>
      </c>
      <c r="F3531" t="s">
        <v>31</v>
      </c>
      <c r="G3531" s="1">
        <v>34343</v>
      </c>
      <c r="H3531" t="s">
        <v>7694</v>
      </c>
      <c r="I3531" s="2" t="str">
        <f t="shared" si="55"/>
        <v>+91-9631116528</v>
      </c>
      <c r="J3531">
        <f>91-9631116619</f>
        <v>-9631116528</v>
      </c>
      <c r="K3531" t="s">
        <v>68</v>
      </c>
      <c r="L3531" t="s">
        <v>52</v>
      </c>
      <c r="M3531">
        <v>911210</v>
      </c>
      <c r="N3531" s="1">
        <v>45274</v>
      </c>
      <c r="O3531" t="s">
        <v>28</v>
      </c>
      <c r="P3531">
        <v>4</v>
      </c>
      <c r="Q3531">
        <v>230457</v>
      </c>
    </row>
    <row r="3532" spans="1:17" x14ac:dyDescent="0.3">
      <c r="A3532" t="s">
        <v>7695</v>
      </c>
      <c r="B3532" t="s">
        <v>3349</v>
      </c>
      <c r="C3532" s="2" t="str">
        <f>PROPER(TRIM(Table1[[#This Row],[Gender]]))</f>
        <v>Male</v>
      </c>
      <c r="D3532" t="s">
        <v>16</v>
      </c>
      <c r="E3532">
        <v>31</v>
      </c>
      <c r="F3532" t="s">
        <v>31</v>
      </c>
      <c r="G3532" s="1">
        <v>34343</v>
      </c>
      <c r="H3532" t="s">
        <v>7696</v>
      </c>
      <c r="I3532" s="2" t="str">
        <f t="shared" si="55"/>
        <v>+91-9842745776</v>
      </c>
      <c r="J3532">
        <f>91-9842745867</f>
        <v>-9842745776</v>
      </c>
      <c r="K3532" t="s">
        <v>125</v>
      </c>
      <c r="L3532" t="s">
        <v>52</v>
      </c>
      <c r="M3532">
        <v>690156</v>
      </c>
      <c r="N3532" s="1">
        <v>45198</v>
      </c>
      <c r="O3532" t="s">
        <v>35</v>
      </c>
      <c r="P3532">
        <v>2</v>
      </c>
      <c r="Q3532">
        <v>6674.02</v>
      </c>
    </row>
    <row r="3533" spans="1:17" x14ac:dyDescent="0.3">
      <c r="A3533" t="s">
        <v>7697</v>
      </c>
      <c r="B3533" t="s">
        <v>507</v>
      </c>
      <c r="C3533" s="2" t="str">
        <f>PROPER(TRIM(Table1[[#This Row],[Gender]]))</f>
        <v>Male</v>
      </c>
      <c r="D3533" t="s">
        <v>16</v>
      </c>
      <c r="E3533">
        <v>35</v>
      </c>
      <c r="F3533" t="s">
        <v>31</v>
      </c>
      <c r="G3533" s="1">
        <v>32883</v>
      </c>
      <c r="H3533" t="s">
        <v>7698</v>
      </c>
      <c r="I3533" s="2" t="str">
        <f t="shared" si="55"/>
        <v>+91-9394460901</v>
      </c>
      <c r="J3533">
        <f>91-9394460992</f>
        <v>-9394460901</v>
      </c>
      <c r="K3533" t="s">
        <v>161</v>
      </c>
      <c r="L3533" t="s">
        <v>102</v>
      </c>
      <c r="M3533">
        <v>342735</v>
      </c>
      <c r="N3533" s="1">
        <v>45105</v>
      </c>
      <c r="O3533" t="s">
        <v>21</v>
      </c>
      <c r="P3533">
        <v>5</v>
      </c>
      <c r="Q3533">
        <v>48995.14</v>
      </c>
    </row>
    <row r="3534" spans="1:17" x14ac:dyDescent="0.3">
      <c r="A3534" t="s">
        <v>7699</v>
      </c>
      <c r="B3534" t="s">
        <v>759</v>
      </c>
      <c r="C3534" s="2" t="str">
        <f>PROPER(TRIM(Table1[[#This Row],[Gender]]))</f>
        <v>Female</v>
      </c>
      <c r="D3534" t="s">
        <v>43</v>
      </c>
      <c r="E3534">
        <v>35</v>
      </c>
      <c r="F3534" t="s">
        <v>31</v>
      </c>
      <c r="G3534" s="1">
        <v>32883</v>
      </c>
      <c r="H3534" t="s">
        <v>7700</v>
      </c>
      <c r="I3534" s="2" t="str">
        <f t="shared" si="55"/>
        <v>+91-7329672322</v>
      </c>
      <c r="J3534">
        <f>91-7329672413</f>
        <v>-7329672322</v>
      </c>
      <c r="K3534" t="s">
        <v>331</v>
      </c>
      <c r="L3534" t="s">
        <v>143</v>
      </c>
      <c r="M3534">
        <v>345325</v>
      </c>
      <c r="N3534" s="1">
        <v>45358</v>
      </c>
      <c r="O3534" t="s">
        <v>35</v>
      </c>
      <c r="P3534">
        <v>3</v>
      </c>
      <c r="Q3534">
        <v>15428.86</v>
      </c>
    </row>
    <row r="3535" spans="1:17" x14ac:dyDescent="0.3">
      <c r="A3535" t="s">
        <v>7701</v>
      </c>
      <c r="B3535" t="s">
        <v>324</v>
      </c>
      <c r="C3535" s="2" t="str">
        <f>PROPER(TRIM(Table1[[#This Row],[Gender]]))</f>
        <v>Female</v>
      </c>
      <c r="D3535" t="s">
        <v>43</v>
      </c>
      <c r="E3535">
        <v>54</v>
      </c>
      <c r="F3535" t="s">
        <v>17</v>
      </c>
      <c r="G3535" s="1">
        <v>25948</v>
      </c>
      <c r="H3535" t="s">
        <v>7702</v>
      </c>
      <c r="I3535" s="2" t="str">
        <f t="shared" si="55"/>
        <v>+91-9423958328</v>
      </c>
      <c r="J3535">
        <f>91-9423958419</f>
        <v>-9423958328</v>
      </c>
      <c r="K3535" t="s">
        <v>60</v>
      </c>
      <c r="L3535" t="s">
        <v>34</v>
      </c>
      <c r="M3535">
        <v>926991</v>
      </c>
      <c r="N3535" s="1">
        <v>45247</v>
      </c>
      <c r="O3535" t="s">
        <v>35</v>
      </c>
      <c r="P3535">
        <v>6</v>
      </c>
      <c r="Q3535">
        <v>16293.32</v>
      </c>
    </row>
    <row r="3536" spans="1:17" x14ac:dyDescent="0.3">
      <c r="A3536" t="s">
        <v>7703</v>
      </c>
      <c r="B3536" t="s">
        <v>6762</v>
      </c>
      <c r="C3536" s="2" t="str">
        <f>PROPER(TRIM(Table1[[#This Row],[Gender]]))</f>
        <v>Female</v>
      </c>
      <c r="D3536" t="s">
        <v>43</v>
      </c>
      <c r="E3536">
        <v>36</v>
      </c>
      <c r="F3536" t="s">
        <v>38</v>
      </c>
      <c r="G3536" s="1">
        <v>32518</v>
      </c>
      <c r="H3536" t="s">
        <v>7704</v>
      </c>
      <c r="I3536" s="2" t="str">
        <f t="shared" si="55"/>
        <v>+91-7604837740</v>
      </c>
      <c r="J3536">
        <f>91-7604837831</f>
        <v>-7604837740</v>
      </c>
      <c r="K3536" t="s">
        <v>60</v>
      </c>
      <c r="L3536" t="s">
        <v>34</v>
      </c>
      <c r="M3536">
        <v>260434</v>
      </c>
      <c r="N3536" s="1">
        <v>45273</v>
      </c>
      <c r="O3536" t="s">
        <v>28</v>
      </c>
      <c r="P3536">
        <v>3</v>
      </c>
      <c r="Q3536">
        <v>53254.41</v>
      </c>
    </row>
    <row r="3537" spans="1:17" x14ac:dyDescent="0.3">
      <c r="A3537" t="s">
        <v>7705</v>
      </c>
      <c r="B3537" t="s">
        <v>1139</v>
      </c>
      <c r="C3537" s="2" t="str">
        <f>PROPER(TRIM(Table1[[#This Row],[Gender]]))</f>
        <v>Male</v>
      </c>
      <c r="D3537" t="s">
        <v>16</v>
      </c>
      <c r="E3537">
        <v>24</v>
      </c>
      <c r="F3537" t="s">
        <v>49</v>
      </c>
      <c r="G3537" s="1">
        <v>36898</v>
      </c>
      <c r="H3537" t="s">
        <v>7706</v>
      </c>
      <c r="I3537" s="2" t="str">
        <f t="shared" si="55"/>
        <v>+91-9337293929</v>
      </c>
      <c r="J3537">
        <f>91-9337294020</f>
        <v>-9337293929</v>
      </c>
      <c r="K3537" t="s">
        <v>174</v>
      </c>
      <c r="L3537" t="s">
        <v>90</v>
      </c>
      <c r="M3537">
        <v>975174</v>
      </c>
      <c r="N3537" s="1">
        <v>45153</v>
      </c>
      <c r="O3537" t="s">
        <v>28</v>
      </c>
      <c r="P3537">
        <v>3</v>
      </c>
      <c r="Q3537">
        <v>167742.54999999999</v>
      </c>
    </row>
    <row r="3538" spans="1:17" x14ac:dyDescent="0.3">
      <c r="A3538" t="s">
        <v>7707</v>
      </c>
      <c r="B3538" t="s">
        <v>868</v>
      </c>
      <c r="C3538" s="2" t="str">
        <f>PROPER(TRIM(Table1[[#This Row],[Gender]]))</f>
        <v>Female</v>
      </c>
      <c r="D3538" t="s">
        <v>43</v>
      </c>
      <c r="E3538">
        <v>24</v>
      </c>
      <c r="F3538" t="s">
        <v>49</v>
      </c>
      <c r="G3538" s="1">
        <v>36898</v>
      </c>
      <c r="H3538" t="s">
        <v>869</v>
      </c>
      <c r="I3538" s="2" t="str">
        <f t="shared" si="55"/>
        <v>+91-7286919236</v>
      </c>
      <c r="J3538">
        <f>91-7286919327</f>
        <v>-7286919236</v>
      </c>
      <c r="K3538" t="s">
        <v>33</v>
      </c>
      <c r="L3538" t="s">
        <v>34</v>
      </c>
      <c r="M3538">
        <v>255465</v>
      </c>
      <c r="N3538" s="1">
        <v>45396</v>
      </c>
      <c r="O3538" t="s">
        <v>28</v>
      </c>
      <c r="P3538">
        <v>3</v>
      </c>
      <c r="Q3538">
        <v>145609.39000000001</v>
      </c>
    </row>
    <row r="3539" spans="1:17" x14ac:dyDescent="0.3">
      <c r="A3539" t="s">
        <v>7708</v>
      </c>
      <c r="B3539" t="s">
        <v>4793</v>
      </c>
      <c r="C3539" s="2" t="str">
        <f>PROPER(TRIM(Table1[[#This Row],[Gender]]))</f>
        <v>Female</v>
      </c>
      <c r="D3539" t="s">
        <v>43</v>
      </c>
      <c r="E3539">
        <v>35</v>
      </c>
      <c r="F3539" t="s">
        <v>31</v>
      </c>
      <c r="G3539" s="1">
        <v>32883</v>
      </c>
      <c r="H3539" t="s">
        <v>7709</v>
      </c>
      <c r="I3539" s="2" t="str">
        <f t="shared" si="55"/>
        <v>+91-7013703562</v>
      </c>
      <c r="J3539">
        <f>91-7013703653</f>
        <v>-7013703562</v>
      </c>
      <c r="K3539" t="s">
        <v>195</v>
      </c>
      <c r="L3539" t="s">
        <v>102</v>
      </c>
      <c r="M3539">
        <v>457358</v>
      </c>
      <c r="N3539" s="1">
        <v>45171</v>
      </c>
      <c r="O3539" t="s">
        <v>21</v>
      </c>
      <c r="P3539">
        <v>4</v>
      </c>
      <c r="Q3539">
        <v>23404.58</v>
      </c>
    </row>
    <row r="3540" spans="1:17" x14ac:dyDescent="0.3">
      <c r="A3540" t="s">
        <v>7710</v>
      </c>
      <c r="B3540" t="s">
        <v>457</v>
      </c>
      <c r="C3540" s="2" t="str">
        <f>PROPER(TRIM(Table1[[#This Row],[Gender]]))</f>
        <v>Female</v>
      </c>
      <c r="D3540" t="s">
        <v>43</v>
      </c>
      <c r="E3540">
        <v>32</v>
      </c>
      <c r="F3540" t="s">
        <v>31</v>
      </c>
      <c r="G3540" s="1">
        <v>33978</v>
      </c>
      <c r="H3540" t="s">
        <v>7711</v>
      </c>
      <c r="I3540" s="2" t="str">
        <f t="shared" si="55"/>
        <v>+91-9173954257</v>
      </c>
      <c r="J3540">
        <f>91-9173954348</f>
        <v>-9173954257</v>
      </c>
      <c r="K3540" t="s">
        <v>40</v>
      </c>
      <c r="L3540" t="s">
        <v>27</v>
      </c>
      <c r="M3540">
        <v>139520</v>
      </c>
      <c r="N3540" s="1">
        <v>45231</v>
      </c>
      <c r="O3540" t="s">
        <v>28</v>
      </c>
      <c r="P3540">
        <v>4</v>
      </c>
      <c r="Q3540">
        <v>339307.56</v>
      </c>
    </row>
    <row r="3541" spans="1:17" x14ac:dyDescent="0.3">
      <c r="A3541" t="s">
        <v>7712</v>
      </c>
      <c r="B3541" t="s">
        <v>4249</v>
      </c>
      <c r="C3541" s="2" t="str">
        <f>PROPER(TRIM(Table1[[#This Row],[Gender]]))</f>
        <v>Male</v>
      </c>
      <c r="D3541" t="s">
        <v>16</v>
      </c>
      <c r="E3541">
        <v>21</v>
      </c>
      <c r="F3541" t="s">
        <v>49</v>
      </c>
      <c r="G3541" s="1">
        <v>37993</v>
      </c>
      <c r="H3541" t="s">
        <v>6575</v>
      </c>
      <c r="I3541" s="2" t="str">
        <f t="shared" si="55"/>
        <v>+91-8931153868</v>
      </c>
      <c r="J3541">
        <f>91-8931153959</f>
        <v>-8931153868</v>
      </c>
      <c r="K3541" t="s">
        <v>142</v>
      </c>
      <c r="L3541" t="s">
        <v>143</v>
      </c>
      <c r="M3541">
        <v>539873</v>
      </c>
      <c r="N3541" s="1">
        <v>45163</v>
      </c>
      <c r="O3541" t="s">
        <v>28</v>
      </c>
      <c r="P3541">
        <v>2</v>
      </c>
      <c r="Q3541">
        <v>113295.99</v>
      </c>
    </row>
    <row r="3542" spans="1:17" x14ac:dyDescent="0.3">
      <c r="A3542" t="s">
        <v>7713</v>
      </c>
      <c r="B3542" t="s">
        <v>1337</v>
      </c>
      <c r="C3542" s="2" t="str">
        <f>PROPER(TRIM(Table1[[#This Row],[Gender]]))</f>
        <v>Female</v>
      </c>
      <c r="D3542" t="s">
        <v>43</v>
      </c>
      <c r="E3542">
        <v>24</v>
      </c>
      <c r="F3542" t="s">
        <v>49</v>
      </c>
      <c r="G3542" s="1">
        <v>36898</v>
      </c>
      <c r="H3542" t="s">
        <v>1338</v>
      </c>
      <c r="I3542" s="2" t="str">
        <f t="shared" si="55"/>
        <v>+91-7460600825</v>
      </c>
      <c r="J3542">
        <f>91-7460600916</f>
        <v>-7460600825</v>
      </c>
      <c r="K3542" t="s">
        <v>415</v>
      </c>
      <c r="L3542" t="s">
        <v>90</v>
      </c>
      <c r="M3542">
        <v>845574</v>
      </c>
      <c r="N3542" s="1">
        <v>45203</v>
      </c>
      <c r="O3542" t="s">
        <v>28</v>
      </c>
      <c r="P3542">
        <v>10</v>
      </c>
      <c r="Q3542">
        <v>185330.92</v>
      </c>
    </row>
    <row r="3543" spans="1:17" x14ac:dyDescent="0.3">
      <c r="A3543" t="s">
        <v>7714</v>
      </c>
      <c r="B3543" t="s">
        <v>4439</v>
      </c>
      <c r="C3543" s="2" t="str">
        <f>PROPER(TRIM(Table1[[#This Row],[Gender]]))</f>
        <v>Male</v>
      </c>
      <c r="D3543" t="s">
        <v>16</v>
      </c>
      <c r="E3543">
        <v>19</v>
      </c>
      <c r="F3543" t="s">
        <v>49</v>
      </c>
      <c r="G3543" s="1">
        <v>38723</v>
      </c>
      <c r="H3543" t="s">
        <v>7715</v>
      </c>
      <c r="I3543" s="2" t="str">
        <f t="shared" si="55"/>
        <v>+91-9095968861</v>
      </c>
      <c r="J3543">
        <f>91-9095968952</f>
        <v>-9095968861</v>
      </c>
      <c r="K3543" t="s">
        <v>161</v>
      </c>
      <c r="L3543" t="s">
        <v>102</v>
      </c>
      <c r="M3543">
        <v>129030</v>
      </c>
      <c r="N3543" s="1">
        <v>45295</v>
      </c>
      <c r="O3543" t="s">
        <v>28</v>
      </c>
      <c r="P3543">
        <v>8</v>
      </c>
      <c r="Q3543">
        <v>60896.49</v>
      </c>
    </row>
    <row r="3544" spans="1:17" x14ac:dyDescent="0.3">
      <c r="A3544" t="s">
        <v>7716</v>
      </c>
      <c r="B3544" t="s">
        <v>890</v>
      </c>
      <c r="C3544" s="2" t="str">
        <f>PROPER(TRIM(Table1[[#This Row],[Gender]]))</f>
        <v>Female</v>
      </c>
      <c r="D3544" t="s">
        <v>43</v>
      </c>
      <c r="E3544">
        <v>18</v>
      </c>
      <c r="F3544" t="s">
        <v>49</v>
      </c>
      <c r="G3544" s="1">
        <v>39088</v>
      </c>
      <c r="H3544" t="s">
        <v>7717</v>
      </c>
      <c r="I3544" s="2" t="str">
        <f t="shared" si="55"/>
        <v>+91-9716185418</v>
      </c>
      <c r="J3544">
        <f>91-9716185509</f>
        <v>-9716185418</v>
      </c>
      <c r="K3544" t="s">
        <v>195</v>
      </c>
      <c r="L3544" t="s">
        <v>102</v>
      </c>
      <c r="M3544">
        <v>568736</v>
      </c>
      <c r="N3544" s="1">
        <v>45364</v>
      </c>
      <c r="O3544" t="s">
        <v>28</v>
      </c>
      <c r="P3544">
        <v>12</v>
      </c>
      <c r="Q3544">
        <v>123860.86</v>
      </c>
    </row>
    <row r="3545" spans="1:17" x14ac:dyDescent="0.3">
      <c r="A3545" t="s">
        <v>7718</v>
      </c>
      <c r="B3545" t="s">
        <v>3778</v>
      </c>
      <c r="C3545" s="2" t="str">
        <f>PROPER(TRIM(Table1[[#This Row],[Gender]]))</f>
        <v>Female</v>
      </c>
      <c r="D3545" t="s">
        <v>43</v>
      </c>
      <c r="E3545">
        <v>36</v>
      </c>
      <c r="F3545" t="s">
        <v>38</v>
      </c>
      <c r="G3545" s="1">
        <v>32518</v>
      </c>
      <c r="H3545" t="s">
        <v>7719</v>
      </c>
      <c r="I3545" s="2" t="str">
        <f t="shared" si="55"/>
        <v>+91-8704475275</v>
      </c>
      <c r="J3545">
        <f>91-8704475366</f>
        <v>-8704475275</v>
      </c>
      <c r="K3545" t="s">
        <v>142</v>
      </c>
      <c r="L3545" t="s">
        <v>143</v>
      </c>
      <c r="M3545">
        <v>342281</v>
      </c>
      <c r="N3545" s="1">
        <v>45353</v>
      </c>
      <c r="O3545" t="s">
        <v>21</v>
      </c>
      <c r="P3545">
        <v>6</v>
      </c>
      <c r="Q3545">
        <v>48100.4</v>
      </c>
    </row>
    <row r="3546" spans="1:17" x14ac:dyDescent="0.3">
      <c r="A3546" t="s">
        <v>7720</v>
      </c>
      <c r="B3546" t="s">
        <v>413</v>
      </c>
      <c r="C3546" s="2" t="str">
        <f>PROPER(TRIM(Table1[[#This Row],[Gender]]))</f>
        <v>Female</v>
      </c>
      <c r="D3546" t="s">
        <v>43</v>
      </c>
      <c r="E3546">
        <v>19</v>
      </c>
      <c r="F3546" t="s">
        <v>49</v>
      </c>
      <c r="G3546" s="1">
        <v>38723</v>
      </c>
      <c r="H3546" t="s">
        <v>7721</v>
      </c>
      <c r="I3546" s="2" t="str">
        <f t="shared" si="55"/>
        <v>+91-9826104074</v>
      </c>
      <c r="J3546">
        <f>91-9826104165</f>
        <v>-9826104074</v>
      </c>
      <c r="K3546" t="s">
        <v>84</v>
      </c>
      <c r="L3546" t="s">
        <v>85</v>
      </c>
      <c r="M3546">
        <v>811267</v>
      </c>
      <c r="N3546" s="1">
        <v>45151</v>
      </c>
      <c r="O3546" t="s">
        <v>21</v>
      </c>
      <c r="P3546">
        <v>5</v>
      </c>
      <c r="Q3546">
        <v>43286.42</v>
      </c>
    </row>
    <row r="3547" spans="1:17" x14ac:dyDescent="0.3">
      <c r="A3547" t="s">
        <v>7722</v>
      </c>
      <c r="B3547" t="s">
        <v>3177</v>
      </c>
      <c r="C3547" s="2" t="str">
        <f>PROPER(TRIM(Table1[[#This Row],[Gender]]))</f>
        <v>Female</v>
      </c>
      <c r="D3547" t="s">
        <v>43</v>
      </c>
      <c r="E3547">
        <v>73</v>
      </c>
      <c r="F3547" t="s">
        <v>24</v>
      </c>
      <c r="G3547" s="1">
        <v>19013</v>
      </c>
      <c r="H3547" t="s">
        <v>7723</v>
      </c>
      <c r="I3547" s="2" t="str">
        <f t="shared" si="55"/>
        <v>+91-9335831696</v>
      </c>
      <c r="J3547">
        <f>91-9335831787</f>
        <v>-9335831696</v>
      </c>
      <c r="K3547" t="s">
        <v>178</v>
      </c>
      <c r="L3547" t="s">
        <v>27</v>
      </c>
      <c r="M3547">
        <v>758385</v>
      </c>
      <c r="N3547" s="1">
        <v>45281</v>
      </c>
      <c r="O3547" t="s">
        <v>21</v>
      </c>
      <c r="P3547">
        <v>4</v>
      </c>
      <c r="Q3547">
        <v>31961.72</v>
      </c>
    </row>
    <row r="3548" spans="1:17" x14ac:dyDescent="0.3">
      <c r="A3548" t="s">
        <v>7724</v>
      </c>
      <c r="B3548" t="s">
        <v>5706</v>
      </c>
      <c r="C3548" s="2" t="str">
        <f>PROPER(TRIM(Table1[[#This Row],[Gender]]))</f>
        <v>Female</v>
      </c>
      <c r="D3548" t="s">
        <v>43</v>
      </c>
      <c r="E3548">
        <v>27</v>
      </c>
      <c r="F3548" t="s">
        <v>31</v>
      </c>
      <c r="G3548" s="1">
        <v>35803</v>
      </c>
      <c r="H3548" t="s">
        <v>7725</v>
      </c>
      <c r="I3548" s="2" t="str">
        <f t="shared" si="55"/>
        <v>+91-7660832805</v>
      </c>
      <c r="J3548">
        <f>91-7660832896</f>
        <v>-7660832805</v>
      </c>
      <c r="K3548" t="s">
        <v>142</v>
      </c>
      <c r="L3548" t="s">
        <v>143</v>
      </c>
      <c r="M3548">
        <v>500458</v>
      </c>
      <c r="N3548" s="1">
        <v>45135</v>
      </c>
      <c r="O3548" t="s">
        <v>21</v>
      </c>
      <c r="P3548">
        <v>4</v>
      </c>
      <c r="Q3548">
        <v>34967.49</v>
      </c>
    </row>
    <row r="3549" spans="1:17" x14ac:dyDescent="0.3">
      <c r="A3549" t="s">
        <v>7726</v>
      </c>
      <c r="B3549" t="s">
        <v>683</v>
      </c>
      <c r="C3549" s="2" t="str">
        <f>PROPER(TRIM(Table1[[#This Row],[Gender]]))</f>
        <v>Female</v>
      </c>
      <c r="D3549" t="s">
        <v>43</v>
      </c>
      <c r="E3549">
        <v>20</v>
      </c>
      <c r="F3549" t="s">
        <v>49</v>
      </c>
      <c r="G3549" s="1">
        <v>38358</v>
      </c>
      <c r="H3549" t="s">
        <v>7727</v>
      </c>
      <c r="I3549" s="2" t="str">
        <f t="shared" si="55"/>
        <v>+91-7496731706</v>
      </c>
      <c r="J3549">
        <f>91-7496731797</f>
        <v>-7496731706</v>
      </c>
      <c r="K3549" t="s">
        <v>249</v>
      </c>
      <c r="L3549" t="s">
        <v>34</v>
      </c>
      <c r="M3549">
        <v>545142</v>
      </c>
      <c r="N3549" s="1">
        <v>45247</v>
      </c>
      <c r="O3549" t="s">
        <v>21</v>
      </c>
      <c r="P3549">
        <v>6</v>
      </c>
      <c r="Q3549">
        <v>20647.34</v>
      </c>
    </row>
    <row r="3550" spans="1:17" x14ac:dyDescent="0.3">
      <c r="A3550" t="s">
        <v>7728</v>
      </c>
      <c r="B3550" t="s">
        <v>1195</v>
      </c>
      <c r="C3550" s="2" t="str">
        <f>PROPER(TRIM(Table1[[#This Row],[Gender]]))</f>
        <v>Female</v>
      </c>
      <c r="D3550" t="s">
        <v>43</v>
      </c>
      <c r="E3550">
        <v>23</v>
      </c>
      <c r="F3550" t="s">
        <v>49</v>
      </c>
      <c r="G3550" s="1">
        <v>37263</v>
      </c>
      <c r="H3550" t="s">
        <v>7729</v>
      </c>
      <c r="I3550" s="2" t="str">
        <f t="shared" si="55"/>
        <v>+91-8499729781</v>
      </c>
      <c r="J3550">
        <f>91-8499729872</f>
        <v>-8499729781</v>
      </c>
      <c r="K3550" t="s">
        <v>101</v>
      </c>
      <c r="L3550" t="s">
        <v>102</v>
      </c>
      <c r="M3550">
        <v>282028</v>
      </c>
      <c r="N3550" s="1">
        <v>45157</v>
      </c>
      <c r="O3550" t="s">
        <v>28</v>
      </c>
      <c r="P3550">
        <v>6</v>
      </c>
      <c r="Q3550">
        <v>100689.13</v>
      </c>
    </row>
    <row r="3551" spans="1:17" x14ac:dyDescent="0.3">
      <c r="A3551" t="s">
        <v>7730</v>
      </c>
      <c r="B3551" t="s">
        <v>4118</v>
      </c>
      <c r="C3551" s="2" t="str">
        <f>PROPER(TRIM(Table1[[#This Row],[Gender]]))</f>
        <v>Male</v>
      </c>
      <c r="D3551" t="s">
        <v>16</v>
      </c>
      <c r="E3551">
        <v>36</v>
      </c>
      <c r="F3551" t="s">
        <v>38</v>
      </c>
      <c r="G3551" s="1">
        <v>32518</v>
      </c>
      <c r="H3551" t="s">
        <v>7731</v>
      </c>
      <c r="I3551" s="2" t="str">
        <f t="shared" si="55"/>
        <v>+91-8699632097</v>
      </c>
      <c r="J3551">
        <f>91-8699632188</f>
        <v>-8699632097</v>
      </c>
      <c r="K3551" t="s">
        <v>369</v>
      </c>
      <c r="L3551" t="s">
        <v>191</v>
      </c>
      <c r="M3551">
        <v>342590</v>
      </c>
      <c r="N3551" s="1">
        <v>45194</v>
      </c>
      <c r="O3551" t="s">
        <v>28</v>
      </c>
      <c r="P3551">
        <v>4</v>
      </c>
      <c r="Q3551">
        <v>151114.20000000001</v>
      </c>
    </row>
    <row r="3552" spans="1:17" x14ac:dyDescent="0.3">
      <c r="A3552" t="s">
        <v>7732</v>
      </c>
      <c r="B3552" t="s">
        <v>784</v>
      </c>
      <c r="C3552" s="2" t="str">
        <f>PROPER(TRIM(Table1[[#This Row],[Gender]]))</f>
        <v>Male</v>
      </c>
      <c r="D3552" t="s">
        <v>16</v>
      </c>
      <c r="E3552">
        <v>32</v>
      </c>
      <c r="F3552" t="s">
        <v>31</v>
      </c>
      <c r="G3552" s="1">
        <v>33978</v>
      </c>
      <c r="H3552" t="s">
        <v>7733</v>
      </c>
      <c r="I3552" s="2" t="str">
        <f t="shared" si="55"/>
        <v>+91-8379681774</v>
      </c>
      <c r="J3552">
        <f>91-8379681865</f>
        <v>-8379681774</v>
      </c>
      <c r="K3552" t="s">
        <v>113</v>
      </c>
      <c r="L3552" t="s">
        <v>34</v>
      </c>
      <c r="M3552">
        <v>123809</v>
      </c>
      <c r="N3552" s="1">
        <v>45199</v>
      </c>
      <c r="O3552" t="s">
        <v>21</v>
      </c>
      <c r="P3552">
        <v>3</v>
      </c>
      <c r="Q3552">
        <v>30362.43</v>
      </c>
    </row>
    <row r="3553" spans="1:17" x14ac:dyDescent="0.3">
      <c r="A3553" t="s">
        <v>7734</v>
      </c>
      <c r="B3553" t="s">
        <v>804</v>
      </c>
      <c r="C3553" s="2" t="str">
        <f>PROPER(TRIM(Table1[[#This Row],[Gender]]))</f>
        <v>Male</v>
      </c>
      <c r="D3553" t="s">
        <v>16</v>
      </c>
      <c r="E3553">
        <v>24</v>
      </c>
      <c r="F3553" t="s">
        <v>49</v>
      </c>
      <c r="G3553" s="1">
        <v>36898</v>
      </c>
      <c r="H3553" t="s">
        <v>7735</v>
      </c>
      <c r="I3553" s="2" t="str">
        <f t="shared" si="55"/>
        <v>+91-9197262534</v>
      </c>
      <c r="J3553">
        <f>91-9197262625</f>
        <v>-9197262534</v>
      </c>
      <c r="K3553" t="s">
        <v>161</v>
      </c>
      <c r="L3553" t="s">
        <v>102</v>
      </c>
      <c r="M3553">
        <v>870896</v>
      </c>
      <c r="N3553" s="1">
        <v>45226</v>
      </c>
      <c r="O3553" t="s">
        <v>28</v>
      </c>
      <c r="P3553">
        <v>7</v>
      </c>
      <c r="Q3553">
        <v>223655.88</v>
      </c>
    </row>
    <row r="3554" spans="1:17" x14ac:dyDescent="0.3">
      <c r="A3554" t="s">
        <v>7736</v>
      </c>
      <c r="B3554" t="s">
        <v>213</v>
      </c>
      <c r="C3554" s="2" t="str">
        <f>PROPER(TRIM(Table1[[#This Row],[Gender]]))</f>
        <v>Female</v>
      </c>
      <c r="D3554" t="s">
        <v>43</v>
      </c>
      <c r="E3554">
        <v>18</v>
      </c>
      <c r="F3554" t="s">
        <v>49</v>
      </c>
      <c r="G3554" s="1">
        <v>39088</v>
      </c>
      <c r="H3554" t="s">
        <v>7737</v>
      </c>
      <c r="I3554" s="2" t="str">
        <f t="shared" si="55"/>
        <v>+91-9351763663</v>
      </c>
      <c r="J3554">
        <f>91-9351763754</f>
        <v>-9351763663</v>
      </c>
      <c r="K3554" t="s">
        <v>121</v>
      </c>
      <c r="L3554" t="s">
        <v>85</v>
      </c>
      <c r="M3554">
        <v>610450</v>
      </c>
      <c r="N3554" s="1">
        <v>45197</v>
      </c>
      <c r="O3554" t="s">
        <v>28</v>
      </c>
      <c r="P3554">
        <v>6</v>
      </c>
      <c r="Q3554">
        <v>103852.61</v>
      </c>
    </row>
    <row r="3555" spans="1:17" x14ac:dyDescent="0.3">
      <c r="A3555" t="s">
        <v>7738</v>
      </c>
      <c r="B3555" t="s">
        <v>1663</v>
      </c>
      <c r="C3555" s="2" t="str">
        <f>PROPER(TRIM(Table1[[#This Row],[Gender]]))</f>
        <v>Female</v>
      </c>
      <c r="D3555" t="s">
        <v>43</v>
      </c>
      <c r="E3555">
        <v>33</v>
      </c>
      <c r="F3555" t="s">
        <v>31</v>
      </c>
      <c r="G3555" s="1">
        <v>33613</v>
      </c>
      <c r="H3555" t="s">
        <v>7739</v>
      </c>
      <c r="I3555" s="2" t="str">
        <f t="shared" si="55"/>
        <v>+91-8626079452</v>
      </c>
      <c r="J3555">
        <f>91-8626079543</f>
        <v>-8626079452</v>
      </c>
      <c r="K3555" t="s">
        <v>101</v>
      </c>
      <c r="L3555" t="s">
        <v>102</v>
      </c>
      <c r="M3555">
        <v>771912</v>
      </c>
      <c r="N3555" s="1">
        <v>45109</v>
      </c>
      <c r="O3555" t="s">
        <v>28</v>
      </c>
      <c r="P3555">
        <v>4</v>
      </c>
      <c r="Q3555">
        <v>52537.8</v>
      </c>
    </row>
    <row r="3556" spans="1:17" x14ac:dyDescent="0.3">
      <c r="A3556" t="s">
        <v>7740</v>
      </c>
      <c r="B3556" t="s">
        <v>1668</v>
      </c>
      <c r="C3556" s="2" t="str">
        <f>PROPER(TRIM(Table1[[#This Row],[Gender]]))</f>
        <v>Male</v>
      </c>
      <c r="D3556" t="s">
        <v>16</v>
      </c>
      <c r="E3556">
        <v>20</v>
      </c>
      <c r="F3556" t="s">
        <v>49</v>
      </c>
      <c r="G3556" s="1">
        <v>38358</v>
      </c>
      <c r="H3556" t="s">
        <v>7741</v>
      </c>
      <c r="I3556" s="2" t="str">
        <f t="shared" si="55"/>
        <v>+91-9363499147</v>
      </c>
      <c r="J3556">
        <f>91-9363499238</f>
        <v>-9363499147</v>
      </c>
      <c r="K3556" t="s">
        <v>161</v>
      </c>
      <c r="L3556" t="s">
        <v>102</v>
      </c>
      <c r="M3556">
        <v>136317</v>
      </c>
      <c r="N3556" s="1">
        <v>45134</v>
      </c>
      <c r="O3556" t="s">
        <v>28</v>
      </c>
      <c r="P3556">
        <v>6</v>
      </c>
      <c r="Q3556">
        <v>447977.1</v>
      </c>
    </row>
    <row r="3557" spans="1:17" x14ac:dyDescent="0.3">
      <c r="A3557" t="s">
        <v>7742</v>
      </c>
      <c r="B3557" t="s">
        <v>57</v>
      </c>
      <c r="C3557" s="2" t="str">
        <f>PROPER(TRIM(Table1[[#This Row],[Gender]]))</f>
        <v>Female</v>
      </c>
      <c r="D3557" t="s">
        <v>43</v>
      </c>
      <c r="E3557">
        <v>25</v>
      </c>
      <c r="F3557" t="s">
        <v>49</v>
      </c>
      <c r="G3557" s="1">
        <v>36533</v>
      </c>
      <c r="H3557" t="s">
        <v>7743</v>
      </c>
      <c r="I3557" s="2" t="str">
        <f t="shared" si="55"/>
        <v>+91-7087290462</v>
      </c>
      <c r="J3557">
        <f>91-7087290553</f>
        <v>-7087290462</v>
      </c>
      <c r="K3557" t="s">
        <v>121</v>
      </c>
      <c r="L3557" t="s">
        <v>85</v>
      </c>
      <c r="M3557">
        <v>707773</v>
      </c>
      <c r="N3557" s="1">
        <v>45160</v>
      </c>
      <c r="O3557" t="s">
        <v>28</v>
      </c>
      <c r="P3557">
        <v>3</v>
      </c>
      <c r="Q3557">
        <v>184381.35</v>
      </c>
    </row>
    <row r="3558" spans="1:17" x14ac:dyDescent="0.3">
      <c r="A3558" t="s">
        <v>7744</v>
      </c>
      <c r="B3558" t="s">
        <v>848</v>
      </c>
      <c r="C3558" s="2" t="str">
        <f>PROPER(TRIM(Table1[[#This Row],[Gender]]))</f>
        <v>Female</v>
      </c>
      <c r="D3558" t="s">
        <v>43</v>
      </c>
      <c r="E3558">
        <v>51</v>
      </c>
      <c r="F3558" t="s">
        <v>17</v>
      </c>
      <c r="G3558" s="1">
        <v>27043</v>
      </c>
      <c r="H3558" t="s">
        <v>7745</v>
      </c>
      <c r="I3558" s="2" t="str">
        <f t="shared" si="55"/>
        <v>+91-7673489634</v>
      </c>
      <c r="J3558">
        <f>91-7673489725</f>
        <v>-7673489634</v>
      </c>
      <c r="K3558" t="s">
        <v>415</v>
      </c>
      <c r="L3558" t="s">
        <v>90</v>
      </c>
      <c r="M3558">
        <v>476805</v>
      </c>
      <c r="N3558" s="1">
        <v>45084</v>
      </c>
      <c r="O3558" t="s">
        <v>35</v>
      </c>
      <c r="P3558">
        <v>2</v>
      </c>
      <c r="Q3558">
        <v>4701.4399999999996</v>
      </c>
    </row>
    <row r="3559" spans="1:17" x14ac:dyDescent="0.3">
      <c r="A3559" t="s">
        <v>7746</v>
      </c>
      <c r="B3559" t="s">
        <v>3094</v>
      </c>
      <c r="C3559" s="2" t="str">
        <f>PROPER(TRIM(Table1[[#This Row],[Gender]]))</f>
        <v>Female</v>
      </c>
      <c r="D3559" t="s">
        <v>43</v>
      </c>
      <c r="E3559">
        <v>43</v>
      </c>
      <c r="F3559" t="s">
        <v>38</v>
      </c>
      <c r="G3559" s="1">
        <v>29963</v>
      </c>
      <c r="H3559" t="s">
        <v>7747</v>
      </c>
      <c r="I3559" s="2" t="str">
        <f t="shared" si="55"/>
        <v>+91-7736335894</v>
      </c>
      <c r="J3559">
        <f>91-7736335985</f>
        <v>-7736335894</v>
      </c>
      <c r="K3559" t="s">
        <v>202</v>
      </c>
      <c r="L3559" t="s">
        <v>191</v>
      </c>
      <c r="M3559">
        <v>796691</v>
      </c>
      <c r="N3559" s="1">
        <v>45111</v>
      </c>
      <c r="O3559" t="s">
        <v>35</v>
      </c>
      <c r="P3559">
        <v>2</v>
      </c>
      <c r="Q3559">
        <v>7541.33</v>
      </c>
    </row>
    <row r="3560" spans="1:17" x14ac:dyDescent="0.3">
      <c r="A3560" t="s">
        <v>7748</v>
      </c>
      <c r="B3560" t="s">
        <v>1124</v>
      </c>
      <c r="C3560" s="2" t="str">
        <f>PROPER(TRIM(Table1[[#This Row],[Gender]]))</f>
        <v>Female</v>
      </c>
      <c r="D3560" t="s">
        <v>43</v>
      </c>
      <c r="E3560">
        <v>31</v>
      </c>
      <c r="F3560" t="s">
        <v>31</v>
      </c>
      <c r="G3560" s="1">
        <v>34343</v>
      </c>
      <c r="H3560" t="s">
        <v>7749</v>
      </c>
      <c r="I3560" s="2" t="str">
        <f t="shared" si="55"/>
        <v>+91-8822690813</v>
      </c>
      <c r="J3560">
        <f>91-8822690904</f>
        <v>-8822690813</v>
      </c>
      <c r="K3560" t="s">
        <v>178</v>
      </c>
      <c r="L3560" t="s">
        <v>27</v>
      </c>
      <c r="M3560">
        <v>639132</v>
      </c>
      <c r="N3560" s="1">
        <v>45150</v>
      </c>
      <c r="O3560" t="s">
        <v>28</v>
      </c>
      <c r="P3560">
        <v>6</v>
      </c>
      <c r="Q3560">
        <v>369824.21</v>
      </c>
    </row>
    <row r="3561" spans="1:17" x14ac:dyDescent="0.3">
      <c r="A3561" t="s">
        <v>7750</v>
      </c>
      <c r="B3561" t="s">
        <v>172</v>
      </c>
      <c r="C3561" s="2" t="str">
        <f>PROPER(TRIM(Table1[[#This Row],[Gender]]))</f>
        <v>Male</v>
      </c>
      <c r="D3561" t="s">
        <v>16</v>
      </c>
      <c r="E3561">
        <v>70</v>
      </c>
      <c r="F3561" t="s">
        <v>24</v>
      </c>
      <c r="G3561" s="1">
        <v>20108</v>
      </c>
      <c r="H3561" t="s">
        <v>7751</v>
      </c>
      <c r="I3561" s="2" t="str">
        <f t="shared" si="55"/>
        <v>+91-7980435406</v>
      </c>
      <c r="J3561">
        <f>91-7980435497</f>
        <v>-7980435406</v>
      </c>
      <c r="K3561" t="s">
        <v>142</v>
      </c>
      <c r="L3561" t="s">
        <v>143</v>
      </c>
      <c r="M3561">
        <v>679804</v>
      </c>
      <c r="N3561" s="1">
        <v>45361</v>
      </c>
      <c r="O3561" t="s">
        <v>21</v>
      </c>
      <c r="P3561">
        <v>6</v>
      </c>
      <c r="Q3561">
        <v>41625.33</v>
      </c>
    </row>
    <row r="3562" spans="1:17" x14ac:dyDescent="0.3">
      <c r="A3562" t="s">
        <v>7752</v>
      </c>
      <c r="B3562" t="s">
        <v>99</v>
      </c>
      <c r="C3562" s="2" t="str">
        <f>PROPER(TRIM(Table1[[#This Row],[Gender]]))</f>
        <v>Female</v>
      </c>
      <c r="D3562" t="s">
        <v>43</v>
      </c>
      <c r="E3562">
        <v>74</v>
      </c>
      <c r="F3562" t="s">
        <v>24</v>
      </c>
      <c r="G3562" s="1">
        <v>18648</v>
      </c>
      <c r="H3562" t="s">
        <v>7753</v>
      </c>
      <c r="I3562" s="2" t="str">
        <f t="shared" si="55"/>
        <v>+91-8200265373</v>
      </c>
      <c r="J3562">
        <f>91-8200265464</f>
        <v>-8200265373</v>
      </c>
      <c r="K3562" t="s">
        <v>415</v>
      </c>
      <c r="L3562" t="s">
        <v>90</v>
      </c>
      <c r="M3562">
        <v>535329</v>
      </c>
      <c r="N3562" s="1">
        <v>45407</v>
      </c>
      <c r="O3562" t="s">
        <v>21</v>
      </c>
      <c r="P3562">
        <v>7</v>
      </c>
      <c r="Q3562">
        <v>34582.22</v>
      </c>
    </row>
    <row r="3563" spans="1:17" x14ac:dyDescent="0.3">
      <c r="A3563" t="s">
        <v>7754</v>
      </c>
      <c r="B3563" t="s">
        <v>1419</v>
      </c>
      <c r="C3563" s="2" t="str">
        <f>PROPER(TRIM(Table1[[#This Row],[Gender]]))</f>
        <v>Female</v>
      </c>
      <c r="D3563" t="s">
        <v>43</v>
      </c>
      <c r="E3563">
        <v>39</v>
      </c>
      <c r="F3563" t="s">
        <v>38</v>
      </c>
      <c r="G3563" s="1">
        <v>31423</v>
      </c>
      <c r="H3563" t="s">
        <v>7755</v>
      </c>
      <c r="I3563" s="2" t="str">
        <f t="shared" si="55"/>
        <v>+91-9031642716</v>
      </c>
      <c r="J3563">
        <f>91-9031642807</f>
        <v>-9031642716</v>
      </c>
      <c r="K3563" t="s">
        <v>89</v>
      </c>
      <c r="L3563" t="s">
        <v>90</v>
      </c>
      <c r="M3563">
        <v>483200</v>
      </c>
      <c r="N3563" s="1">
        <v>45208</v>
      </c>
      <c r="O3563" t="s">
        <v>28</v>
      </c>
      <c r="P3563">
        <v>7</v>
      </c>
      <c r="Q3563">
        <v>208662.59</v>
      </c>
    </row>
    <row r="3564" spans="1:17" x14ac:dyDescent="0.3">
      <c r="A3564" t="s">
        <v>7756</v>
      </c>
      <c r="B3564" t="s">
        <v>1330</v>
      </c>
      <c r="C3564" s="2" t="str">
        <f>PROPER(TRIM(Table1[[#This Row],[Gender]]))</f>
        <v>Male</v>
      </c>
      <c r="D3564" t="s">
        <v>16</v>
      </c>
      <c r="E3564">
        <v>26</v>
      </c>
      <c r="F3564" t="s">
        <v>31</v>
      </c>
      <c r="G3564" s="1">
        <v>36168</v>
      </c>
      <c r="H3564" t="s">
        <v>3482</v>
      </c>
      <c r="I3564" s="2" t="str">
        <f t="shared" si="55"/>
        <v>+91-7454924869</v>
      </c>
      <c r="J3564">
        <f>91-7454924960</f>
        <v>-7454924869</v>
      </c>
      <c r="K3564" t="s">
        <v>60</v>
      </c>
      <c r="L3564" t="s">
        <v>34</v>
      </c>
      <c r="M3564">
        <v>455971</v>
      </c>
      <c r="N3564" s="1">
        <v>45249</v>
      </c>
      <c r="O3564" t="s">
        <v>35</v>
      </c>
      <c r="P3564">
        <v>3</v>
      </c>
      <c r="Q3564">
        <v>8925.2199999999993</v>
      </c>
    </row>
    <row r="3565" spans="1:17" x14ac:dyDescent="0.3">
      <c r="A3565" t="s">
        <v>7757</v>
      </c>
      <c r="B3565" t="s">
        <v>831</v>
      </c>
      <c r="C3565" s="2" t="str">
        <f>PROPER(TRIM(Table1[[#This Row],[Gender]]))</f>
        <v>Male</v>
      </c>
      <c r="D3565" t="s">
        <v>16</v>
      </c>
      <c r="E3565">
        <v>40</v>
      </c>
      <c r="F3565" t="s">
        <v>38</v>
      </c>
      <c r="G3565" s="1">
        <v>31058</v>
      </c>
      <c r="H3565" t="s">
        <v>7758</v>
      </c>
      <c r="I3565" s="2" t="str">
        <f t="shared" si="55"/>
        <v>+91-8177211876</v>
      </c>
      <c r="J3565">
        <f>91-8177211967</f>
        <v>-8177211876</v>
      </c>
      <c r="K3565" t="s">
        <v>94</v>
      </c>
      <c r="L3565" t="s">
        <v>20</v>
      </c>
      <c r="M3565">
        <v>513498</v>
      </c>
      <c r="N3565" s="1">
        <v>45080</v>
      </c>
      <c r="O3565" t="s">
        <v>28</v>
      </c>
      <c r="P3565">
        <v>5</v>
      </c>
      <c r="Q3565">
        <v>208432.92</v>
      </c>
    </row>
    <row r="3566" spans="1:17" x14ac:dyDescent="0.3">
      <c r="A3566" t="s">
        <v>7759</v>
      </c>
      <c r="B3566" t="s">
        <v>6860</v>
      </c>
      <c r="C3566" s="2" t="str">
        <f>PROPER(TRIM(Table1[[#This Row],[Gender]]))</f>
        <v>Female</v>
      </c>
      <c r="D3566" t="s">
        <v>43</v>
      </c>
      <c r="E3566">
        <v>40</v>
      </c>
      <c r="F3566" t="s">
        <v>38</v>
      </c>
      <c r="G3566" s="1">
        <v>31058</v>
      </c>
      <c r="H3566" t="s">
        <v>7760</v>
      </c>
      <c r="I3566" s="2" t="str">
        <f t="shared" si="55"/>
        <v>+91-9827642789</v>
      </c>
      <c r="J3566">
        <f>91-9827642880</f>
        <v>-9827642789</v>
      </c>
      <c r="K3566" t="s">
        <v>580</v>
      </c>
      <c r="L3566" t="s">
        <v>85</v>
      </c>
      <c r="M3566">
        <v>251841</v>
      </c>
      <c r="N3566" s="1">
        <v>45334</v>
      </c>
      <c r="O3566" t="s">
        <v>28</v>
      </c>
      <c r="P3566">
        <v>4</v>
      </c>
      <c r="Q3566">
        <v>120000.07</v>
      </c>
    </row>
    <row r="3567" spans="1:17" x14ac:dyDescent="0.3">
      <c r="A3567" t="s">
        <v>7761</v>
      </c>
      <c r="B3567" t="s">
        <v>2803</v>
      </c>
      <c r="C3567" s="2" t="str">
        <f>PROPER(TRIM(Table1[[#This Row],[Gender]]))</f>
        <v>Female</v>
      </c>
      <c r="D3567" t="s">
        <v>43</v>
      </c>
      <c r="E3567">
        <v>29</v>
      </c>
      <c r="F3567" t="s">
        <v>31</v>
      </c>
      <c r="G3567" s="1">
        <v>35073</v>
      </c>
      <c r="H3567" t="s">
        <v>7762</v>
      </c>
      <c r="I3567" s="2" t="str">
        <f t="shared" si="55"/>
        <v>+91-7490190463</v>
      </c>
      <c r="J3567">
        <f>91-7490190554</f>
        <v>-7490190463</v>
      </c>
      <c r="K3567" t="s">
        <v>125</v>
      </c>
      <c r="L3567" t="s">
        <v>52</v>
      </c>
      <c r="M3567">
        <v>328865</v>
      </c>
      <c r="N3567" s="1">
        <v>45126</v>
      </c>
      <c r="O3567" t="s">
        <v>28</v>
      </c>
      <c r="P3567">
        <v>4</v>
      </c>
      <c r="Q3567">
        <v>148567.42000000001</v>
      </c>
    </row>
    <row r="3568" spans="1:17" x14ac:dyDescent="0.3">
      <c r="A3568" t="s">
        <v>7763</v>
      </c>
      <c r="B3568" t="s">
        <v>1639</v>
      </c>
      <c r="C3568" s="2" t="str">
        <f>PROPER(TRIM(Table1[[#This Row],[Gender]]))</f>
        <v>Male</v>
      </c>
      <c r="D3568" t="s">
        <v>16</v>
      </c>
      <c r="E3568">
        <v>35</v>
      </c>
      <c r="F3568" t="s">
        <v>31</v>
      </c>
      <c r="G3568" s="1">
        <v>32883</v>
      </c>
      <c r="H3568" t="s">
        <v>5112</v>
      </c>
      <c r="I3568" s="2" t="str">
        <f t="shared" si="55"/>
        <v>+91-7348355355</v>
      </c>
      <c r="J3568">
        <f>91-7348355446</f>
        <v>-7348355355</v>
      </c>
      <c r="K3568" t="s">
        <v>76</v>
      </c>
      <c r="L3568" t="s">
        <v>46</v>
      </c>
      <c r="M3568">
        <v>147894</v>
      </c>
      <c r="N3568" s="1">
        <v>45302</v>
      </c>
      <c r="O3568" t="s">
        <v>28</v>
      </c>
      <c r="P3568">
        <v>3</v>
      </c>
      <c r="Q3568">
        <v>68318.47</v>
      </c>
    </row>
    <row r="3569" spans="1:17" x14ac:dyDescent="0.3">
      <c r="A3569" t="s">
        <v>7764</v>
      </c>
      <c r="B3569" t="s">
        <v>3227</v>
      </c>
      <c r="C3569" s="2" t="str">
        <f>PROPER(TRIM(Table1[[#This Row],[Gender]]))</f>
        <v>Female</v>
      </c>
      <c r="D3569" t="s">
        <v>43</v>
      </c>
      <c r="E3569">
        <v>24</v>
      </c>
      <c r="F3569" t="s">
        <v>49</v>
      </c>
      <c r="G3569" s="1">
        <v>36898</v>
      </c>
      <c r="H3569" t="s">
        <v>7765</v>
      </c>
      <c r="I3569" s="2" t="str">
        <f t="shared" si="55"/>
        <v>+91-9829858584</v>
      </c>
      <c r="J3569">
        <f>91-9829858675</f>
        <v>-9829858584</v>
      </c>
      <c r="K3569" t="s">
        <v>174</v>
      </c>
      <c r="L3569" t="s">
        <v>90</v>
      </c>
      <c r="M3569">
        <v>629016</v>
      </c>
      <c r="N3569" s="1">
        <v>45329</v>
      </c>
      <c r="O3569" t="s">
        <v>28</v>
      </c>
      <c r="P3569">
        <v>6</v>
      </c>
      <c r="Q3569">
        <v>99094.78</v>
      </c>
    </row>
    <row r="3570" spans="1:17" x14ac:dyDescent="0.3">
      <c r="A3570" t="s">
        <v>7766</v>
      </c>
      <c r="B3570" t="s">
        <v>1956</v>
      </c>
      <c r="C3570" s="2" t="str">
        <f>PROPER(TRIM(Table1[[#This Row],[Gender]]))</f>
        <v>Female</v>
      </c>
      <c r="D3570" t="s">
        <v>43</v>
      </c>
      <c r="E3570">
        <v>22</v>
      </c>
      <c r="F3570" t="s">
        <v>49</v>
      </c>
      <c r="G3570" s="1">
        <v>37628</v>
      </c>
      <c r="H3570" t="s">
        <v>7767</v>
      </c>
      <c r="I3570" s="2" t="str">
        <f t="shared" si="55"/>
        <v>+91-8004222377</v>
      </c>
      <c r="J3570">
        <f>91-8004222468</f>
        <v>-8004222377</v>
      </c>
      <c r="K3570" t="s">
        <v>117</v>
      </c>
      <c r="L3570" t="s">
        <v>52</v>
      </c>
      <c r="M3570">
        <v>178181</v>
      </c>
      <c r="N3570" s="1">
        <v>45172</v>
      </c>
      <c r="O3570" t="s">
        <v>28</v>
      </c>
      <c r="P3570">
        <v>2</v>
      </c>
      <c r="Q3570">
        <v>62591.95</v>
      </c>
    </row>
    <row r="3571" spans="1:17" x14ac:dyDescent="0.3">
      <c r="A3571" t="s">
        <v>7768</v>
      </c>
      <c r="B3571" t="s">
        <v>6860</v>
      </c>
      <c r="C3571" s="2" t="str">
        <f>PROPER(TRIM(Table1[[#This Row],[Gender]]))</f>
        <v>Female</v>
      </c>
      <c r="D3571" t="s">
        <v>43</v>
      </c>
      <c r="E3571">
        <v>27</v>
      </c>
      <c r="F3571" t="s">
        <v>31</v>
      </c>
      <c r="G3571" s="1">
        <v>35803</v>
      </c>
      <c r="H3571" t="s">
        <v>7769</v>
      </c>
      <c r="I3571" s="2" t="str">
        <f t="shared" si="55"/>
        <v>+91-8696610615</v>
      </c>
      <c r="J3571">
        <f>91-8696610706</f>
        <v>-8696610615</v>
      </c>
      <c r="K3571" t="s">
        <v>72</v>
      </c>
      <c r="L3571" t="s">
        <v>34</v>
      </c>
      <c r="M3571">
        <v>823031</v>
      </c>
      <c r="N3571" s="1">
        <v>45358</v>
      </c>
      <c r="O3571" t="s">
        <v>35</v>
      </c>
      <c r="P3571">
        <v>1</v>
      </c>
      <c r="Q3571">
        <v>9588.08</v>
      </c>
    </row>
    <row r="3572" spans="1:17" x14ac:dyDescent="0.3">
      <c r="A3572" t="s">
        <v>7770</v>
      </c>
      <c r="B3572" t="s">
        <v>413</v>
      </c>
      <c r="C3572" s="2" t="str">
        <f>PROPER(TRIM(Table1[[#This Row],[Gender]]))</f>
        <v>Female</v>
      </c>
      <c r="D3572" t="s">
        <v>43</v>
      </c>
      <c r="E3572">
        <v>31</v>
      </c>
      <c r="F3572" t="s">
        <v>31</v>
      </c>
      <c r="G3572" s="1">
        <v>34343</v>
      </c>
      <c r="H3572" t="s">
        <v>7771</v>
      </c>
      <c r="I3572" s="2" t="str">
        <f t="shared" si="55"/>
        <v>+91-8040759986</v>
      </c>
      <c r="J3572">
        <f>91-8040760077</f>
        <v>-8040759986</v>
      </c>
      <c r="K3572" t="s">
        <v>68</v>
      </c>
      <c r="L3572" t="s">
        <v>52</v>
      </c>
      <c r="M3572">
        <v>263380</v>
      </c>
      <c r="N3572" s="1">
        <v>45416</v>
      </c>
      <c r="O3572" t="s">
        <v>28</v>
      </c>
      <c r="P3572">
        <v>3</v>
      </c>
      <c r="Q3572">
        <v>66906.240000000005</v>
      </c>
    </row>
    <row r="3573" spans="1:17" x14ac:dyDescent="0.3">
      <c r="A3573" t="s">
        <v>7772</v>
      </c>
      <c r="B3573" t="s">
        <v>599</v>
      </c>
      <c r="C3573" s="2" t="str">
        <f>PROPER(TRIM(Table1[[#This Row],[Gender]]))</f>
        <v>Male</v>
      </c>
      <c r="D3573" t="s">
        <v>16</v>
      </c>
      <c r="E3573">
        <v>37</v>
      </c>
      <c r="F3573" t="s">
        <v>38</v>
      </c>
      <c r="G3573" s="1">
        <v>32153</v>
      </c>
      <c r="H3573" t="s">
        <v>600</v>
      </c>
      <c r="I3573" s="2" t="str">
        <f t="shared" si="55"/>
        <v>+91-7342172366</v>
      </c>
      <c r="J3573">
        <f>91-7342172457</f>
        <v>-7342172366</v>
      </c>
      <c r="K3573" t="s">
        <v>415</v>
      </c>
      <c r="L3573" t="s">
        <v>90</v>
      </c>
      <c r="M3573">
        <v>247440</v>
      </c>
      <c r="N3573" s="1">
        <v>45255</v>
      </c>
      <c r="O3573" t="s">
        <v>28</v>
      </c>
      <c r="P3573">
        <v>3</v>
      </c>
      <c r="Q3573">
        <v>117206.52</v>
      </c>
    </row>
    <row r="3574" spans="1:17" x14ac:dyDescent="0.3">
      <c r="A3574" t="s">
        <v>7773</v>
      </c>
      <c r="B3574" t="s">
        <v>1795</v>
      </c>
      <c r="C3574" s="2" t="str">
        <f>PROPER(TRIM(Table1[[#This Row],[Gender]]))</f>
        <v>Male</v>
      </c>
      <c r="D3574" t="s">
        <v>16</v>
      </c>
      <c r="E3574">
        <v>22</v>
      </c>
      <c r="F3574" t="s">
        <v>49</v>
      </c>
      <c r="G3574" s="1">
        <v>37628</v>
      </c>
      <c r="H3574" t="s">
        <v>7774</v>
      </c>
      <c r="I3574" s="2" t="str">
        <f t="shared" si="55"/>
        <v>+91-9900044328</v>
      </c>
      <c r="J3574">
        <f>91-9900044419</f>
        <v>-9900044328</v>
      </c>
      <c r="K3574" t="s">
        <v>178</v>
      </c>
      <c r="L3574" t="s">
        <v>27</v>
      </c>
      <c r="M3574">
        <v>994849</v>
      </c>
      <c r="N3574" s="1">
        <v>45369</v>
      </c>
      <c r="O3574" t="s">
        <v>35</v>
      </c>
      <c r="P3574">
        <v>3</v>
      </c>
      <c r="Q3574">
        <v>6941.64</v>
      </c>
    </row>
    <row r="3575" spans="1:17" x14ac:dyDescent="0.3">
      <c r="A3575" t="s">
        <v>7775</v>
      </c>
      <c r="B3575" t="s">
        <v>3120</v>
      </c>
      <c r="C3575" s="2" t="str">
        <f>PROPER(TRIM(Table1[[#This Row],[Gender]]))</f>
        <v>Female</v>
      </c>
      <c r="D3575" t="s">
        <v>43</v>
      </c>
      <c r="E3575">
        <v>20</v>
      </c>
      <c r="F3575" t="s">
        <v>49</v>
      </c>
      <c r="G3575" s="1">
        <v>38358</v>
      </c>
      <c r="H3575" t="s">
        <v>7776</v>
      </c>
      <c r="I3575" s="2" t="str">
        <f t="shared" si="55"/>
        <v>+91-9115509877</v>
      </c>
      <c r="J3575">
        <f>91-9115509968</f>
        <v>-9115509877</v>
      </c>
      <c r="K3575" t="s">
        <v>40</v>
      </c>
      <c r="L3575" t="s">
        <v>27</v>
      </c>
      <c r="M3575">
        <v>490128</v>
      </c>
      <c r="N3575" s="1">
        <v>45145</v>
      </c>
      <c r="O3575" t="s">
        <v>28</v>
      </c>
      <c r="P3575">
        <v>7</v>
      </c>
      <c r="Q3575">
        <v>63545.05</v>
      </c>
    </row>
    <row r="3576" spans="1:17" x14ac:dyDescent="0.3">
      <c r="A3576" t="s">
        <v>7777</v>
      </c>
      <c r="B3576" t="s">
        <v>3949</v>
      </c>
      <c r="C3576" s="2" t="str">
        <f>PROPER(TRIM(Table1[[#This Row],[Gender]]))</f>
        <v>Female</v>
      </c>
      <c r="D3576" t="s">
        <v>43</v>
      </c>
      <c r="E3576">
        <v>31</v>
      </c>
      <c r="F3576" t="s">
        <v>31</v>
      </c>
      <c r="G3576" s="1">
        <v>34343</v>
      </c>
      <c r="H3576" t="s">
        <v>7778</v>
      </c>
      <c r="I3576" s="2" t="str">
        <f t="shared" si="55"/>
        <v>+91-8910133726</v>
      </c>
      <c r="J3576">
        <f>91-8910133817</f>
        <v>-8910133726</v>
      </c>
      <c r="K3576" t="s">
        <v>26</v>
      </c>
      <c r="L3576" t="s">
        <v>27</v>
      </c>
      <c r="M3576">
        <v>363690</v>
      </c>
      <c r="N3576" s="1">
        <v>45104</v>
      </c>
      <c r="O3576" t="s">
        <v>28</v>
      </c>
      <c r="P3576">
        <v>3</v>
      </c>
      <c r="Q3576">
        <v>57763.57</v>
      </c>
    </row>
    <row r="3577" spans="1:17" x14ac:dyDescent="0.3">
      <c r="A3577" t="s">
        <v>7779</v>
      </c>
      <c r="B3577" t="s">
        <v>2785</v>
      </c>
      <c r="C3577" s="2" t="str">
        <f>PROPER(TRIM(Table1[[#This Row],[Gender]]))</f>
        <v>Female</v>
      </c>
      <c r="D3577" t="s">
        <v>43</v>
      </c>
      <c r="E3577">
        <v>42</v>
      </c>
      <c r="F3577" t="s">
        <v>38</v>
      </c>
      <c r="G3577" s="1">
        <v>30328</v>
      </c>
      <c r="H3577" t="s">
        <v>7780</v>
      </c>
      <c r="I3577" s="2" t="str">
        <f t="shared" si="55"/>
        <v>+91-8858041904</v>
      </c>
      <c r="J3577">
        <f>91-8858041995</f>
        <v>-8858041904</v>
      </c>
      <c r="K3577" t="s">
        <v>202</v>
      </c>
      <c r="L3577" t="s">
        <v>191</v>
      </c>
      <c r="M3577">
        <v>852154</v>
      </c>
      <c r="N3577" s="1">
        <v>45418</v>
      </c>
      <c r="O3577" t="s">
        <v>28</v>
      </c>
      <c r="P3577">
        <v>3</v>
      </c>
      <c r="Q3577">
        <v>108346.41</v>
      </c>
    </row>
    <row r="3578" spans="1:17" x14ac:dyDescent="0.3">
      <c r="A3578" t="s">
        <v>7781</v>
      </c>
      <c r="B3578" t="s">
        <v>104</v>
      </c>
      <c r="C3578" s="2" t="str">
        <f>PROPER(TRIM(Table1[[#This Row],[Gender]]))</f>
        <v>Female</v>
      </c>
      <c r="D3578" t="s">
        <v>43</v>
      </c>
      <c r="E3578">
        <v>58</v>
      </c>
      <c r="F3578" t="s">
        <v>58</v>
      </c>
      <c r="G3578" s="1">
        <v>24488</v>
      </c>
      <c r="H3578" t="s">
        <v>7782</v>
      </c>
      <c r="I3578" s="2" t="str">
        <f t="shared" si="55"/>
        <v>+91-7775579749</v>
      </c>
      <c r="J3578">
        <f>91-7775579840</f>
        <v>-7775579749</v>
      </c>
      <c r="K3578" t="s">
        <v>51</v>
      </c>
      <c r="L3578" t="s">
        <v>52</v>
      </c>
      <c r="M3578">
        <v>485121</v>
      </c>
      <c r="N3578" s="1">
        <v>45388</v>
      </c>
      <c r="O3578" t="s">
        <v>35</v>
      </c>
      <c r="P3578">
        <v>7</v>
      </c>
      <c r="Q3578">
        <v>14384.48</v>
      </c>
    </row>
    <row r="3579" spans="1:17" x14ac:dyDescent="0.3">
      <c r="A3579" t="s">
        <v>7783</v>
      </c>
      <c r="B3579" t="s">
        <v>1650</v>
      </c>
      <c r="C3579" s="2" t="str">
        <f>PROPER(TRIM(Table1[[#This Row],[Gender]]))</f>
        <v>Male</v>
      </c>
      <c r="D3579" t="s">
        <v>16</v>
      </c>
      <c r="E3579">
        <v>27</v>
      </c>
      <c r="F3579" t="s">
        <v>31</v>
      </c>
      <c r="G3579" s="1">
        <v>35803</v>
      </c>
      <c r="H3579" t="s">
        <v>7784</v>
      </c>
      <c r="I3579" s="2" t="str">
        <f t="shared" si="55"/>
        <v>+91-8665014085</v>
      </c>
      <c r="J3579">
        <f>91-8665014176</f>
        <v>-8665014085</v>
      </c>
      <c r="K3579" t="s">
        <v>64</v>
      </c>
      <c r="L3579" t="s">
        <v>20</v>
      </c>
      <c r="M3579">
        <v>592082</v>
      </c>
      <c r="N3579" s="1">
        <v>45152</v>
      </c>
      <c r="O3579" t="s">
        <v>28</v>
      </c>
      <c r="P3579">
        <v>10</v>
      </c>
      <c r="Q3579">
        <v>192008.38</v>
      </c>
    </row>
    <row r="3580" spans="1:17" x14ac:dyDescent="0.3">
      <c r="A3580" t="s">
        <v>7785</v>
      </c>
      <c r="B3580" t="s">
        <v>1051</v>
      </c>
      <c r="C3580" s="2" t="str">
        <f>PROPER(TRIM(Table1[[#This Row],[Gender]]))</f>
        <v>Male</v>
      </c>
      <c r="D3580" t="s">
        <v>16</v>
      </c>
      <c r="E3580">
        <v>18</v>
      </c>
      <c r="F3580" t="s">
        <v>49</v>
      </c>
      <c r="G3580" s="1">
        <v>39088</v>
      </c>
      <c r="H3580" t="s">
        <v>7786</v>
      </c>
      <c r="I3580" s="2" t="str">
        <f t="shared" si="55"/>
        <v>+91-7021130492</v>
      </c>
      <c r="J3580">
        <f>91-7021130583</f>
        <v>-7021130492</v>
      </c>
      <c r="K3580" t="s">
        <v>94</v>
      </c>
      <c r="L3580" t="s">
        <v>20</v>
      </c>
      <c r="M3580">
        <v>693557</v>
      </c>
      <c r="N3580" s="1">
        <v>45243</v>
      </c>
      <c r="O3580" t="s">
        <v>28</v>
      </c>
      <c r="P3580">
        <v>4</v>
      </c>
      <c r="Q3580">
        <v>246866.95</v>
      </c>
    </row>
    <row r="3581" spans="1:17" x14ac:dyDescent="0.3">
      <c r="A3581" t="s">
        <v>7787</v>
      </c>
      <c r="B3581" t="s">
        <v>633</v>
      </c>
      <c r="C3581" s="2" t="str">
        <f>PROPER(TRIM(Table1[[#This Row],[Gender]]))</f>
        <v>Female</v>
      </c>
      <c r="D3581" t="s">
        <v>43</v>
      </c>
      <c r="E3581">
        <v>55</v>
      </c>
      <c r="F3581" t="s">
        <v>17</v>
      </c>
      <c r="G3581" s="1">
        <v>25583</v>
      </c>
      <c r="H3581" t="s">
        <v>7788</v>
      </c>
      <c r="I3581" s="2" t="str">
        <f t="shared" si="55"/>
        <v>+91-7413022461</v>
      </c>
      <c r="J3581">
        <f>91-7413022552</f>
        <v>-7413022461</v>
      </c>
      <c r="K3581" t="s">
        <v>142</v>
      </c>
      <c r="L3581" t="s">
        <v>143</v>
      </c>
      <c r="M3581">
        <v>145322</v>
      </c>
      <c r="N3581" s="1">
        <v>45143</v>
      </c>
      <c r="O3581" t="s">
        <v>28</v>
      </c>
      <c r="P3581">
        <v>9</v>
      </c>
      <c r="Q3581">
        <v>102510.25</v>
      </c>
    </row>
    <row r="3582" spans="1:17" x14ac:dyDescent="0.3">
      <c r="A3582" t="s">
        <v>7789</v>
      </c>
      <c r="B3582" t="s">
        <v>2489</v>
      </c>
      <c r="C3582" s="2" t="str">
        <f>PROPER(TRIM(Table1[[#This Row],[Gender]]))</f>
        <v>Male</v>
      </c>
      <c r="D3582" t="s">
        <v>16</v>
      </c>
      <c r="E3582">
        <v>39</v>
      </c>
      <c r="F3582" t="s">
        <v>38</v>
      </c>
      <c r="G3582" s="1">
        <v>31423</v>
      </c>
      <c r="H3582" t="s">
        <v>7790</v>
      </c>
      <c r="I3582" s="2" t="str">
        <f t="shared" si="55"/>
        <v>+91-9236416528</v>
      </c>
      <c r="J3582">
        <f>91-9236416619</f>
        <v>-9236416528</v>
      </c>
      <c r="K3582" t="s">
        <v>40</v>
      </c>
      <c r="L3582" t="s">
        <v>27</v>
      </c>
      <c r="M3582">
        <v>351054</v>
      </c>
      <c r="N3582" s="1">
        <v>45400</v>
      </c>
      <c r="O3582" t="s">
        <v>28</v>
      </c>
      <c r="P3582">
        <v>6</v>
      </c>
      <c r="Q3582">
        <v>275023.7</v>
      </c>
    </row>
    <row r="3583" spans="1:17" x14ac:dyDescent="0.3">
      <c r="A3583" t="s">
        <v>7791</v>
      </c>
      <c r="B3583" t="s">
        <v>410</v>
      </c>
      <c r="C3583" s="2" t="str">
        <f>PROPER(TRIM(Table1[[#This Row],[Gender]]))</f>
        <v>Male</v>
      </c>
      <c r="D3583" t="s">
        <v>16</v>
      </c>
      <c r="E3583">
        <v>50</v>
      </c>
      <c r="F3583" t="s">
        <v>17</v>
      </c>
      <c r="G3583" s="1">
        <v>27408</v>
      </c>
      <c r="H3583" t="s">
        <v>7792</v>
      </c>
      <c r="I3583" s="2" t="str">
        <f t="shared" si="55"/>
        <v>+91-7989184554</v>
      </c>
      <c r="J3583">
        <f>91-7989184645</f>
        <v>-7989184554</v>
      </c>
      <c r="K3583" t="s">
        <v>84</v>
      </c>
      <c r="L3583" t="s">
        <v>85</v>
      </c>
      <c r="M3583">
        <v>459611</v>
      </c>
      <c r="N3583" s="1">
        <v>45322</v>
      </c>
      <c r="O3583" t="s">
        <v>21</v>
      </c>
      <c r="P3583">
        <v>9</v>
      </c>
      <c r="Q3583">
        <v>26513.87</v>
      </c>
    </row>
    <row r="3584" spans="1:17" x14ac:dyDescent="0.3">
      <c r="A3584" t="s">
        <v>7793</v>
      </c>
      <c r="B3584" t="s">
        <v>7794</v>
      </c>
      <c r="C3584" s="2" t="str">
        <f>PROPER(TRIM(Table1[[#This Row],[Gender]]))</f>
        <v>Male</v>
      </c>
      <c r="D3584" t="s">
        <v>16</v>
      </c>
      <c r="E3584">
        <v>22</v>
      </c>
      <c r="F3584" t="s">
        <v>49</v>
      </c>
      <c r="G3584" s="1">
        <v>37628</v>
      </c>
      <c r="H3584" t="s">
        <v>7795</v>
      </c>
      <c r="I3584" s="2" t="str">
        <f t="shared" si="55"/>
        <v>+91-8544229831</v>
      </c>
      <c r="J3584">
        <f>91-8544229922</f>
        <v>-8544229831</v>
      </c>
      <c r="K3584" t="s">
        <v>117</v>
      </c>
      <c r="L3584" t="s">
        <v>52</v>
      </c>
      <c r="M3584">
        <v>813260</v>
      </c>
      <c r="N3584" s="1">
        <v>45208</v>
      </c>
      <c r="O3584" t="s">
        <v>28</v>
      </c>
      <c r="P3584">
        <v>4</v>
      </c>
      <c r="Q3584">
        <v>253319.06</v>
      </c>
    </row>
    <row r="3585" spans="1:17" x14ac:dyDescent="0.3">
      <c r="A3585" t="s">
        <v>7796</v>
      </c>
      <c r="B3585" t="s">
        <v>2130</v>
      </c>
      <c r="C3585" s="2" t="str">
        <f>PROPER(TRIM(Table1[[#This Row],[Gender]]))</f>
        <v>Female</v>
      </c>
      <c r="D3585" t="s">
        <v>43</v>
      </c>
      <c r="E3585">
        <v>20</v>
      </c>
      <c r="F3585" t="s">
        <v>49</v>
      </c>
      <c r="G3585" s="1">
        <v>38358</v>
      </c>
      <c r="H3585" t="s">
        <v>7797</v>
      </c>
      <c r="I3585" s="2" t="str">
        <f t="shared" si="55"/>
        <v>+91-9043963090</v>
      </c>
      <c r="J3585">
        <f>91-9043963181</f>
        <v>-9043963090</v>
      </c>
      <c r="K3585" t="s">
        <v>147</v>
      </c>
      <c r="L3585" t="s">
        <v>143</v>
      </c>
      <c r="M3585">
        <v>207124</v>
      </c>
      <c r="N3585" s="1">
        <v>45155</v>
      </c>
      <c r="O3585" t="s">
        <v>28</v>
      </c>
      <c r="P3585">
        <v>7</v>
      </c>
      <c r="Q3585">
        <v>299298.05</v>
      </c>
    </row>
    <row r="3586" spans="1:17" x14ac:dyDescent="0.3">
      <c r="A3586" t="s">
        <v>7798</v>
      </c>
      <c r="B3586" t="s">
        <v>3898</v>
      </c>
      <c r="C3586" s="2" t="str">
        <f>PROPER(TRIM(Table1[[#This Row],[Gender]]))</f>
        <v>Male</v>
      </c>
      <c r="D3586" t="s">
        <v>16</v>
      </c>
      <c r="E3586">
        <v>52</v>
      </c>
      <c r="F3586" t="s">
        <v>17</v>
      </c>
      <c r="G3586" s="1">
        <v>26678</v>
      </c>
      <c r="H3586" t="s">
        <v>3899</v>
      </c>
      <c r="I3586" s="2" t="str">
        <f t="shared" ref="I3586:I3649" si="56">"+91"&amp;TEXT(J3586,"0000000000")</f>
        <v>+91-9408774472</v>
      </c>
      <c r="J3586">
        <f>91-9408774563</f>
        <v>-9408774472</v>
      </c>
      <c r="K3586" t="s">
        <v>80</v>
      </c>
      <c r="L3586" t="s">
        <v>20</v>
      </c>
      <c r="M3586">
        <v>208950</v>
      </c>
      <c r="N3586" s="1">
        <v>45223</v>
      </c>
      <c r="O3586" t="s">
        <v>28</v>
      </c>
      <c r="P3586">
        <v>4</v>
      </c>
      <c r="Q3586">
        <v>77532.84</v>
      </c>
    </row>
    <row r="3587" spans="1:17" x14ac:dyDescent="0.3">
      <c r="A3587" t="s">
        <v>7799</v>
      </c>
      <c r="B3587" t="s">
        <v>3693</v>
      </c>
      <c r="C3587" s="2" t="str">
        <f>PROPER(TRIM(Table1[[#This Row],[Gender]]))</f>
        <v>Female</v>
      </c>
      <c r="D3587" t="s">
        <v>43</v>
      </c>
      <c r="E3587">
        <v>47</v>
      </c>
      <c r="F3587" t="s">
        <v>17</v>
      </c>
      <c r="G3587" s="1">
        <v>28503</v>
      </c>
      <c r="H3587" t="s">
        <v>7800</v>
      </c>
      <c r="I3587" s="2" t="str">
        <f t="shared" si="56"/>
        <v>+91-8184896079</v>
      </c>
      <c r="J3587">
        <f>91-8184896170</f>
        <v>-8184896079</v>
      </c>
      <c r="K3587" t="s">
        <v>45</v>
      </c>
      <c r="L3587" t="s">
        <v>46</v>
      </c>
      <c r="M3587">
        <v>115210</v>
      </c>
      <c r="N3587" s="1">
        <v>45244</v>
      </c>
      <c r="O3587" t="s">
        <v>35</v>
      </c>
      <c r="P3587">
        <v>9</v>
      </c>
      <c r="Q3587">
        <v>15112.62</v>
      </c>
    </row>
    <row r="3588" spans="1:17" x14ac:dyDescent="0.3">
      <c r="A3588" t="s">
        <v>7801</v>
      </c>
      <c r="B3588" t="s">
        <v>510</v>
      </c>
      <c r="C3588" s="2" t="str">
        <f>PROPER(TRIM(Table1[[#This Row],[Gender]]))</f>
        <v>Male</v>
      </c>
      <c r="D3588" t="s">
        <v>16</v>
      </c>
      <c r="E3588">
        <v>33</v>
      </c>
      <c r="F3588" t="s">
        <v>31</v>
      </c>
      <c r="G3588" s="1">
        <v>33613</v>
      </c>
      <c r="H3588" t="s">
        <v>7802</v>
      </c>
      <c r="I3588" s="2" t="str">
        <f t="shared" si="56"/>
        <v>+91-7533618551</v>
      </c>
      <c r="J3588">
        <f>91-7533618642</f>
        <v>-7533618551</v>
      </c>
      <c r="K3588" t="s">
        <v>190</v>
      </c>
      <c r="L3588" t="s">
        <v>191</v>
      </c>
      <c r="M3588">
        <v>594421</v>
      </c>
      <c r="N3588" s="1">
        <v>45195</v>
      </c>
      <c r="O3588" t="s">
        <v>28</v>
      </c>
      <c r="P3588">
        <v>5</v>
      </c>
      <c r="Q3588">
        <v>146744.20000000001</v>
      </c>
    </row>
    <row r="3589" spans="1:17" x14ac:dyDescent="0.3">
      <c r="A3589" t="s">
        <v>7803</v>
      </c>
      <c r="B3589" t="s">
        <v>3696</v>
      </c>
      <c r="C3589" s="2" t="str">
        <f>PROPER(TRIM(Table1[[#This Row],[Gender]]))</f>
        <v>Male</v>
      </c>
      <c r="D3589" t="s">
        <v>16</v>
      </c>
      <c r="E3589">
        <v>50</v>
      </c>
      <c r="F3589" t="s">
        <v>17</v>
      </c>
      <c r="G3589" s="1">
        <v>27408</v>
      </c>
      <c r="H3589" t="s">
        <v>7804</v>
      </c>
      <c r="I3589" s="2" t="str">
        <f t="shared" si="56"/>
        <v>+91-8971119978</v>
      </c>
      <c r="J3589">
        <f>91-8971120069</f>
        <v>-8971119978</v>
      </c>
      <c r="K3589" t="s">
        <v>195</v>
      </c>
      <c r="L3589" t="s">
        <v>102</v>
      </c>
      <c r="M3589">
        <v>154916</v>
      </c>
      <c r="N3589" s="1">
        <v>45186</v>
      </c>
      <c r="O3589" t="s">
        <v>21</v>
      </c>
      <c r="P3589">
        <v>3</v>
      </c>
      <c r="Q3589">
        <v>32180.49</v>
      </c>
    </row>
    <row r="3590" spans="1:17" x14ac:dyDescent="0.3">
      <c r="A3590" t="s">
        <v>7805</v>
      </c>
      <c r="B3590" t="s">
        <v>522</v>
      </c>
      <c r="C3590" s="2" t="str">
        <f>PROPER(TRIM(Table1[[#This Row],[Gender]]))</f>
        <v>Female</v>
      </c>
      <c r="D3590" t="s">
        <v>43</v>
      </c>
      <c r="E3590">
        <v>40</v>
      </c>
      <c r="F3590" t="s">
        <v>38</v>
      </c>
      <c r="G3590" s="1">
        <v>31058</v>
      </c>
      <c r="H3590" t="s">
        <v>7806</v>
      </c>
      <c r="I3590" s="2" t="str">
        <f t="shared" si="56"/>
        <v>+91-7069052793</v>
      </c>
      <c r="J3590">
        <f>91-7069052884</f>
        <v>-7069052793</v>
      </c>
      <c r="K3590" t="s">
        <v>415</v>
      </c>
      <c r="L3590" t="s">
        <v>90</v>
      </c>
      <c r="M3590">
        <v>776721</v>
      </c>
      <c r="N3590" s="1">
        <v>45297</v>
      </c>
      <c r="O3590" t="s">
        <v>28</v>
      </c>
      <c r="P3590">
        <v>2</v>
      </c>
      <c r="Q3590">
        <v>155140.69</v>
      </c>
    </row>
    <row r="3591" spans="1:17" x14ac:dyDescent="0.3">
      <c r="A3591" t="s">
        <v>7807</v>
      </c>
      <c r="B3591" t="s">
        <v>781</v>
      </c>
      <c r="C3591" s="2" t="str">
        <f>PROPER(TRIM(Table1[[#This Row],[Gender]]))</f>
        <v>Male</v>
      </c>
      <c r="D3591" t="s">
        <v>16</v>
      </c>
      <c r="E3591">
        <v>48</v>
      </c>
      <c r="F3591" t="s">
        <v>17</v>
      </c>
      <c r="G3591" s="1">
        <v>28138</v>
      </c>
      <c r="H3591" t="s">
        <v>7808</v>
      </c>
      <c r="I3591" s="2" t="str">
        <f t="shared" si="56"/>
        <v>+91-9313599312</v>
      </c>
      <c r="J3591">
        <f>91-9313599403</f>
        <v>-9313599312</v>
      </c>
      <c r="K3591" t="s">
        <v>178</v>
      </c>
      <c r="L3591" t="s">
        <v>27</v>
      </c>
      <c r="M3591">
        <v>293262</v>
      </c>
      <c r="N3591" s="1">
        <v>45155</v>
      </c>
      <c r="O3591" t="s">
        <v>21</v>
      </c>
      <c r="P3591">
        <v>10</v>
      </c>
      <c r="Q3591">
        <v>31811.11</v>
      </c>
    </row>
    <row r="3592" spans="1:17" x14ac:dyDescent="0.3">
      <c r="A3592" t="s">
        <v>7809</v>
      </c>
      <c r="B3592" t="s">
        <v>2707</v>
      </c>
      <c r="C3592" s="2" t="str">
        <f>PROPER(TRIM(Table1[[#This Row],[Gender]]))</f>
        <v>Male</v>
      </c>
      <c r="D3592" t="s">
        <v>16</v>
      </c>
      <c r="E3592">
        <v>20</v>
      </c>
      <c r="F3592" t="s">
        <v>49</v>
      </c>
      <c r="G3592" s="1">
        <v>38358</v>
      </c>
      <c r="H3592" t="s">
        <v>7810</v>
      </c>
      <c r="I3592" s="2" t="str">
        <f t="shared" si="56"/>
        <v>+91-9068051847</v>
      </c>
      <c r="J3592">
        <f>91-9068051938</f>
        <v>-9068051847</v>
      </c>
      <c r="K3592" t="s">
        <v>19</v>
      </c>
      <c r="L3592" t="s">
        <v>20</v>
      </c>
      <c r="M3592">
        <v>263874</v>
      </c>
      <c r="N3592" s="1">
        <v>45349</v>
      </c>
      <c r="O3592" t="s">
        <v>21</v>
      </c>
      <c r="P3592">
        <v>5</v>
      </c>
      <c r="Q3592">
        <v>42272.63</v>
      </c>
    </row>
    <row r="3593" spans="1:17" x14ac:dyDescent="0.3">
      <c r="A3593" t="s">
        <v>7811</v>
      </c>
      <c r="B3593" t="s">
        <v>513</v>
      </c>
      <c r="C3593" s="2" t="str">
        <f>PROPER(TRIM(Table1[[#This Row],[Gender]]))</f>
        <v>Female</v>
      </c>
      <c r="D3593" t="s">
        <v>43</v>
      </c>
      <c r="E3593">
        <v>33</v>
      </c>
      <c r="F3593" t="s">
        <v>31</v>
      </c>
      <c r="G3593" s="1">
        <v>33613</v>
      </c>
      <c r="H3593" t="s">
        <v>5092</v>
      </c>
      <c r="I3593" s="2" t="str">
        <f t="shared" si="56"/>
        <v>+91-7266340341</v>
      </c>
      <c r="J3593">
        <f>91-7266340432</f>
        <v>-7266340341</v>
      </c>
      <c r="K3593" t="s">
        <v>101</v>
      </c>
      <c r="L3593" t="s">
        <v>102</v>
      </c>
      <c r="M3593">
        <v>620374</v>
      </c>
      <c r="N3593" s="1">
        <v>45082</v>
      </c>
      <c r="O3593" t="s">
        <v>28</v>
      </c>
      <c r="P3593">
        <v>3</v>
      </c>
      <c r="Q3593">
        <v>310091.84999999998</v>
      </c>
    </row>
    <row r="3594" spans="1:17" x14ac:dyDescent="0.3">
      <c r="A3594" t="s">
        <v>7812</v>
      </c>
      <c r="B3594" t="s">
        <v>795</v>
      </c>
      <c r="C3594" s="2" t="str">
        <f>PROPER(TRIM(Table1[[#This Row],[Gender]]))</f>
        <v>Male</v>
      </c>
      <c r="D3594" t="s">
        <v>16</v>
      </c>
      <c r="E3594">
        <v>42</v>
      </c>
      <c r="F3594" t="s">
        <v>38</v>
      </c>
      <c r="G3594" s="1">
        <v>30328</v>
      </c>
      <c r="H3594" t="s">
        <v>4950</v>
      </c>
      <c r="I3594" s="2" t="str">
        <f t="shared" si="56"/>
        <v>+91-7296007610</v>
      </c>
      <c r="J3594">
        <f>91-7296007701</f>
        <v>-7296007610</v>
      </c>
      <c r="K3594" t="s">
        <v>26</v>
      </c>
      <c r="L3594" t="s">
        <v>27</v>
      </c>
      <c r="M3594">
        <v>732211</v>
      </c>
      <c r="N3594" s="1">
        <v>45111</v>
      </c>
      <c r="O3594" t="s">
        <v>21</v>
      </c>
      <c r="P3594">
        <v>4</v>
      </c>
      <c r="Q3594">
        <v>32712.68</v>
      </c>
    </row>
    <row r="3595" spans="1:17" x14ac:dyDescent="0.3">
      <c r="A3595" t="s">
        <v>7813</v>
      </c>
      <c r="B3595" t="s">
        <v>3994</v>
      </c>
      <c r="C3595" s="2" t="str">
        <f>PROPER(TRIM(Table1[[#This Row],[Gender]]))</f>
        <v>Female</v>
      </c>
      <c r="D3595" t="s">
        <v>43</v>
      </c>
      <c r="E3595">
        <v>47</v>
      </c>
      <c r="F3595" t="s">
        <v>17</v>
      </c>
      <c r="G3595" s="1">
        <v>28503</v>
      </c>
      <c r="H3595" t="s">
        <v>7814</v>
      </c>
      <c r="I3595" s="2" t="str">
        <f t="shared" si="56"/>
        <v>+91-8115395929</v>
      </c>
      <c r="J3595">
        <f>91-8115396020</f>
        <v>-8115395929</v>
      </c>
      <c r="K3595" t="s">
        <v>147</v>
      </c>
      <c r="L3595" t="s">
        <v>143</v>
      </c>
      <c r="M3595">
        <v>394609</v>
      </c>
      <c r="N3595" s="1">
        <v>45138</v>
      </c>
      <c r="O3595" t="s">
        <v>28</v>
      </c>
      <c r="P3595">
        <v>4</v>
      </c>
      <c r="Q3595">
        <v>106418.18</v>
      </c>
    </row>
    <row r="3596" spans="1:17" x14ac:dyDescent="0.3">
      <c r="A3596" t="s">
        <v>7815</v>
      </c>
      <c r="B3596" t="s">
        <v>2147</v>
      </c>
      <c r="C3596" s="2" t="str">
        <f>PROPER(TRIM(Table1[[#This Row],[Gender]]))</f>
        <v>Female</v>
      </c>
      <c r="D3596" t="s">
        <v>43</v>
      </c>
      <c r="E3596">
        <v>39</v>
      </c>
      <c r="F3596" t="s">
        <v>38</v>
      </c>
      <c r="G3596" s="1">
        <v>31423</v>
      </c>
      <c r="H3596" t="s">
        <v>7816</v>
      </c>
      <c r="I3596" s="2" t="str">
        <f t="shared" si="56"/>
        <v>+91-8570066231</v>
      </c>
      <c r="J3596">
        <f>91-8570066322</f>
        <v>-8570066231</v>
      </c>
      <c r="K3596" t="s">
        <v>45</v>
      </c>
      <c r="L3596" t="s">
        <v>46</v>
      </c>
      <c r="M3596">
        <v>438044</v>
      </c>
      <c r="N3596" s="1">
        <v>45254</v>
      </c>
      <c r="O3596" t="s">
        <v>28</v>
      </c>
      <c r="P3596">
        <v>6</v>
      </c>
      <c r="Q3596">
        <v>135160.32000000001</v>
      </c>
    </row>
    <row r="3597" spans="1:17" x14ac:dyDescent="0.3">
      <c r="A3597" t="s">
        <v>7817</v>
      </c>
      <c r="B3597" t="s">
        <v>2817</v>
      </c>
      <c r="C3597" s="2" t="str">
        <f>PROPER(TRIM(Table1[[#This Row],[Gender]]))</f>
        <v>Male</v>
      </c>
      <c r="D3597" t="s">
        <v>16</v>
      </c>
      <c r="E3597">
        <v>19</v>
      </c>
      <c r="F3597" t="s">
        <v>49</v>
      </c>
      <c r="G3597" s="1">
        <v>38723</v>
      </c>
      <c r="H3597" t="s">
        <v>7818</v>
      </c>
      <c r="I3597" s="2" t="str">
        <f t="shared" si="56"/>
        <v>+91-7036099868</v>
      </c>
      <c r="J3597">
        <f>91-7036099959</f>
        <v>-7036099868</v>
      </c>
      <c r="K3597" t="s">
        <v>76</v>
      </c>
      <c r="L3597" t="s">
        <v>46</v>
      </c>
      <c r="M3597">
        <v>254093</v>
      </c>
      <c r="N3597" s="1">
        <v>45231</v>
      </c>
      <c r="O3597" t="s">
        <v>28</v>
      </c>
      <c r="P3597">
        <v>12</v>
      </c>
      <c r="Q3597">
        <v>285462.43</v>
      </c>
    </row>
    <row r="3598" spans="1:17" x14ac:dyDescent="0.3">
      <c r="A3598" t="s">
        <v>7819</v>
      </c>
      <c r="B3598" t="s">
        <v>884</v>
      </c>
      <c r="C3598" s="2" t="str">
        <f>PROPER(TRIM(Table1[[#This Row],[Gender]]))</f>
        <v>Male</v>
      </c>
      <c r="D3598" t="s">
        <v>16</v>
      </c>
      <c r="E3598">
        <v>63</v>
      </c>
      <c r="F3598" t="s">
        <v>58</v>
      </c>
      <c r="G3598" s="1">
        <v>22663</v>
      </c>
      <c r="H3598" t="s">
        <v>7820</v>
      </c>
      <c r="I3598" s="2" t="str">
        <f t="shared" si="56"/>
        <v>+91-8758492480</v>
      </c>
      <c r="J3598">
        <f>91-8758492571</f>
        <v>-8758492480</v>
      </c>
      <c r="K3598" t="s">
        <v>142</v>
      </c>
      <c r="L3598" t="s">
        <v>143</v>
      </c>
      <c r="M3598">
        <v>302586</v>
      </c>
      <c r="N3598" s="1">
        <v>45270</v>
      </c>
      <c r="O3598" t="s">
        <v>21</v>
      </c>
      <c r="P3598">
        <v>4</v>
      </c>
      <c r="Q3598">
        <v>25804.240000000002</v>
      </c>
    </row>
    <row r="3599" spans="1:17" x14ac:dyDescent="0.3">
      <c r="A3599" t="s">
        <v>7821</v>
      </c>
      <c r="B3599" t="s">
        <v>2864</v>
      </c>
      <c r="C3599" s="2" t="str">
        <f>PROPER(TRIM(Table1[[#This Row],[Gender]]))</f>
        <v>Male</v>
      </c>
      <c r="D3599" t="s">
        <v>16</v>
      </c>
      <c r="E3599">
        <v>61</v>
      </c>
      <c r="F3599" t="s">
        <v>58</v>
      </c>
      <c r="G3599" s="1">
        <v>23393</v>
      </c>
      <c r="H3599" t="s">
        <v>7822</v>
      </c>
      <c r="I3599" s="2" t="str">
        <f t="shared" si="56"/>
        <v>+91-8544084572</v>
      </c>
      <c r="J3599">
        <f>91-8544084663</f>
        <v>-8544084572</v>
      </c>
      <c r="K3599" t="s">
        <v>80</v>
      </c>
      <c r="L3599" t="s">
        <v>20</v>
      </c>
      <c r="M3599">
        <v>203486</v>
      </c>
      <c r="N3599" s="1">
        <v>45333</v>
      </c>
      <c r="O3599" t="s">
        <v>21</v>
      </c>
      <c r="P3599">
        <v>6</v>
      </c>
      <c r="Q3599">
        <v>36808.83</v>
      </c>
    </row>
    <row r="3600" spans="1:17" x14ac:dyDescent="0.3">
      <c r="A3600" t="s">
        <v>7823</v>
      </c>
      <c r="B3600" t="s">
        <v>4476</v>
      </c>
      <c r="C3600" s="2" t="str">
        <f>PROPER(TRIM(Table1[[#This Row],[Gender]]))</f>
        <v>Male</v>
      </c>
      <c r="D3600" t="s">
        <v>16</v>
      </c>
      <c r="E3600">
        <v>18</v>
      </c>
      <c r="F3600" t="s">
        <v>49</v>
      </c>
      <c r="G3600" s="1">
        <v>39088</v>
      </c>
      <c r="H3600" t="s">
        <v>7824</v>
      </c>
      <c r="I3600" s="2" t="str">
        <f t="shared" si="56"/>
        <v>+91-9396539741</v>
      </c>
      <c r="J3600">
        <f>91-9396539832</f>
        <v>-9396539741</v>
      </c>
      <c r="K3600" t="s">
        <v>138</v>
      </c>
      <c r="L3600" t="s">
        <v>90</v>
      </c>
      <c r="M3600">
        <v>157863</v>
      </c>
      <c r="N3600" s="1">
        <v>45333</v>
      </c>
      <c r="O3600" t="s">
        <v>35</v>
      </c>
      <c r="P3600">
        <v>4</v>
      </c>
      <c r="Q3600">
        <v>5455.2</v>
      </c>
    </row>
    <row r="3601" spans="1:17" x14ac:dyDescent="0.3">
      <c r="A3601" t="s">
        <v>7825</v>
      </c>
      <c r="B3601" t="s">
        <v>7826</v>
      </c>
      <c r="C3601" s="2" t="str">
        <f>PROPER(TRIM(Table1[[#This Row],[Gender]]))</f>
        <v>Male</v>
      </c>
      <c r="D3601" t="s">
        <v>16</v>
      </c>
      <c r="E3601">
        <v>55</v>
      </c>
      <c r="F3601" t="s">
        <v>17</v>
      </c>
      <c r="G3601" s="1">
        <v>25583</v>
      </c>
      <c r="H3601" t="s">
        <v>7827</v>
      </c>
      <c r="I3601" s="2" t="str">
        <f t="shared" si="56"/>
        <v>+91-7022334105</v>
      </c>
      <c r="J3601">
        <f>91-7022334196</f>
        <v>-7022334105</v>
      </c>
      <c r="K3601" t="s">
        <v>80</v>
      </c>
      <c r="L3601" t="s">
        <v>20</v>
      </c>
      <c r="M3601">
        <v>865532</v>
      </c>
      <c r="N3601" s="1">
        <v>45235</v>
      </c>
      <c r="O3601" t="s">
        <v>35</v>
      </c>
      <c r="P3601">
        <v>5</v>
      </c>
      <c r="Q3601">
        <v>5966.93</v>
      </c>
    </row>
    <row r="3602" spans="1:17" x14ac:dyDescent="0.3">
      <c r="A3602" t="s">
        <v>7828</v>
      </c>
      <c r="B3602" t="s">
        <v>686</v>
      </c>
      <c r="C3602" s="2" t="str">
        <f>PROPER(TRIM(Table1[[#This Row],[Gender]]))</f>
        <v>Male</v>
      </c>
      <c r="D3602" t="s">
        <v>16</v>
      </c>
      <c r="E3602">
        <v>36</v>
      </c>
      <c r="F3602" t="s">
        <v>38</v>
      </c>
      <c r="G3602" s="1">
        <v>32518</v>
      </c>
      <c r="H3602" t="s">
        <v>7829</v>
      </c>
      <c r="I3602" s="2" t="str">
        <f t="shared" si="56"/>
        <v>+91-8220156307</v>
      </c>
      <c r="J3602">
        <f>91-8220156398</f>
        <v>-8220156307</v>
      </c>
      <c r="K3602" t="s">
        <v>580</v>
      </c>
      <c r="L3602" t="s">
        <v>85</v>
      </c>
      <c r="M3602">
        <v>357355</v>
      </c>
      <c r="N3602" s="1">
        <v>45187</v>
      </c>
      <c r="O3602" t="s">
        <v>35</v>
      </c>
      <c r="P3602">
        <v>0</v>
      </c>
      <c r="Q3602">
        <v>0</v>
      </c>
    </row>
    <row r="3603" spans="1:17" x14ac:dyDescent="0.3">
      <c r="A3603" t="s">
        <v>7830</v>
      </c>
      <c r="B3603" t="s">
        <v>2449</v>
      </c>
      <c r="C3603" s="2" t="str">
        <f>PROPER(TRIM(Table1[[#This Row],[Gender]]))</f>
        <v>Male</v>
      </c>
      <c r="D3603" t="s">
        <v>16</v>
      </c>
      <c r="E3603">
        <v>18</v>
      </c>
      <c r="F3603" t="s">
        <v>49</v>
      </c>
      <c r="G3603" s="1">
        <v>39088</v>
      </c>
      <c r="H3603" t="s">
        <v>2690</v>
      </c>
      <c r="I3603" s="2" t="str">
        <f t="shared" si="56"/>
        <v>+91-8695732490</v>
      </c>
      <c r="J3603">
        <f>91-8695732581</f>
        <v>-8695732490</v>
      </c>
      <c r="K3603" t="s">
        <v>76</v>
      </c>
      <c r="L3603" t="s">
        <v>46</v>
      </c>
      <c r="M3603">
        <v>484054</v>
      </c>
      <c r="N3603" s="1">
        <v>45191</v>
      </c>
      <c r="O3603" t="s">
        <v>28</v>
      </c>
      <c r="P3603">
        <v>12</v>
      </c>
      <c r="Q3603">
        <v>437350.7</v>
      </c>
    </row>
    <row r="3604" spans="1:17" x14ac:dyDescent="0.3">
      <c r="A3604" t="s">
        <v>7831</v>
      </c>
      <c r="B3604" t="s">
        <v>584</v>
      </c>
      <c r="C3604" s="2" t="str">
        <f>PROPER(TRIM(Table1[[#This Row],[Gender]]))</f>
        <v>Male</v>
      </c>
      <c r="D3604" t="s">
        <v>16</v>
      </c>
      <c r="E3604">
        <v>18</v>
      </c>
      <c r="F3604" t="s">
        <v>49</v>
      </c>
      <c r="G3604" s="1">
        <v>39088</v>
      </c>
      <c r="H3604" t="s">
        <v>3253</v>
      </c>
      <c r="I3604" s="2" t="str">
        <f t="shared" si="56"/>
        <v>+91-9428163121</v>
      </c>
      <c r="J3604">
        <f>91-9428163212</f>
        <v>-9428163121</v>
      </c>
      <c r="K3604" t="s">
        <v>109</v>
      </c>
      <c r="L3604" t="s">
        <v>46</v>
      </c>
      <c r="M3604">
        <v>837311</v>
      </c>
      <c r="N3604" s="1">
        <v>45317</v>
      </c>
      <c r="O3604" t="s">
        <v>35</v>
      </c>
      <c r="P3604">
        <v>1</v>
      </c>
      <c r="Q3604">
        <v>18704.009999999998</v>
      </c>
    </row>
    <row r="3605" spans="1:17" x14ac:dyDescent="0.3">
      <c r="A3605" t="s">
        <v>7832</v>
      </c>
      <c r="B3605" t="s">
        <v>176</v>
      </c>
      <c r="C3605" s="2" t="str">
        <f>PROPER(TRIM(Table1[[#This Row],[Gender]]))</f>
        <v>Female</v>
      </c>
      <c r="D3605" t="s">
        <v>43</v>
      </c>
      <c r="E3605">
        <v>24</v>
      </c>
      <c r="F3605" t="s">
        <v>49</v>
      </c>
      <c r="G3605" s="1">
        <v>36898</v>
      </c>
      <c r="H3605" t="s">
        <v>7833</v>
      </c>
      <c r="I3605" s="2" t="str">
        <f t="shared" si="56"/>
        <v>+91-8371223000</v>
      </c>
      <c r="J3605">
        <f>91-8371223091</f>
        <v>-8371223000</v>
      </c>
      <c r="K3605" t="s">
        <v>174</v>
      </c>
      <c r="L3605" t="s">
        <v>90</v>
      </c>
      <c r="M3605">
        <v>428505</v>
      </c>
      <c r="N3605" s="1">
        <v>45307</v>
      </c>
      <c r="O3605" t="s">
        <v>35</v>
      </c>
      <c r="P3605">
        <v>3</v>
      </c>
      <c r="Q3605">
        <v>1797.16</v>
      </c>
    </row>
    <row r="3606" spans="1:17" x14ac:dyDescent="0.3">
      <c r="A3606" t="s">
        <v>7834</v>
      </c>
      <c r="B3606" t="s">
        <v>1037</v>
      </c>
      <c r="C3606" s="2" t="str">
        <f>PROPER(TRIM(Table1[[#This Row],[Gender]]))</f>
        <v>Male</v>
      </c>
      <c r="D3606" t="s">
        <v>16</v>
      </c>
      <c r="E3606">
        <v>18</v>
      </c>
      <c r="F3606" t="s">
        <v>49</v>
      </c>
      <c r="G3606" s="1">
        <v>39088</v>
      </c>
      <c r="H3606" t="s">
        <v>7835</v>
      </c>
      <c r="I3606" s="2" t="str">
        <f t="shared" si="56"/>
        <v>+91-9032437987</v>
      </c>
      <c r="J3606">
        <f>91-9032438078</f>
        <v>-9032437987</v>
      </c>
      <c r="K3606" t="s">
        <v>33</v>
      </c>
      <c r="L3606" t="s">
        <v>34</v>
      </c>
      <c r="M3606">
        <v>770913</v>
      </c>
      <c r="N3606" s="1">
        <v>45267</v>
      </c>
      <c r="O3606" t="s">
        <v>28</v>
      </c>
      <c r="P3606">
        <v>6</v>
      </c>
      <c r="Q3606">
        <v>96406.51</v>
      </c>
    </row>
    <row r="3607" spans="1:17" x14ac:dyDescent="0.3">
      <c r="A3607" t="s">
        <v>7836</v>
      </c>
      <c r="B3607" t="s">
        <v>1115</v>
      </c>
      <c r="C3607" s="2" t="str">
        <f>PROPER(TRIM(Table1[[#This Row],[Gender]]))</f>
        <v>Female</v>
      </c>
      <c r="D3607" t="s">
        <v>43</v>
      </c>
      <c r="E3607">
        <v>26</v>
      </c>
      <c r="F3607" t="s">
        <v>31</v>
      </c>
      <c r="G3607" s="1">
        <v>36168</v>
      </c>
      <c r="H3607" t="s">
        <v>7837</v>
      </c>
      <c r="I3607" s="2" t="str">
        <f t="shared" si="56"/>
        <v>+91-8412321555</v>
      </c>
      <c r="J3607">
        <f>91-8412321646</f>
        <v>-8412321555</v>
      </c>
      <c r="K3607" t="s">
        <v>101</v>
      </c>
      <c r="L3607" t="s">
        <v>102</v>
      </c>
      <c r="M3607">
        <v>691476</v>
      </c>
      <c r="N3607" s="1">
        <v>45270</v>
      </c>
      <c r="O3607" t="s">
        <v>28</v>
      </c>
      <c r="P3607">
        <v>6</v>
      </c>
      <c r="Q3607">
        <v>155555.29999999999</v>
      </c>
    </row>
    <row r="3608" spans="1:17" x14ac:dyDescent="0.3">
      <c r="A3608" t="s">
        <v>7838</v>
      </c>
      <c r="B3608" t="s">
        <v>268</v>
      </c>
      <c r="C3608" s="2" t="str">
        <f>PROPER(TRIM(Table1[[#This Row],[Gender]]))</f>
        <v>Female</v>
      </c>
      <c r="D3608" t="s">
        <v>43</v>
      </c>
      <c r="E3608">
        <v>51</v>
      </c>
      <c r="F3608" t="s">
        <v>17</v>
      </c>
      <c r="G3608" s="1">
        <v>27043</v>
      </c>
      <c r="H3608" t="s">
        <v>7839</v>
      </c>
      <c r="I3608" s="2" t="str">
        <f t="shared" si="56"/>
        <v>+91-8578424809</v>
      </c>
      <c r="J3608">
        <f>91-8578424900</f>
        <v>-8578424809</v>
      </c>
      <c r="K3608" t="s">
        <v>273</v>
      </c>
      <c r="L3608" t="s">
        <v>46</v>
      </c>
      <c r="M3608">
        <v>123962</v>
      </c>
      <c r="N3608" s="1">
        <v>45137</v>
      </c>
      <c r="O3608" t="s">
        <v>35</v>
      </c>
      <c r="P3608">
        <v>5</v>
      </c>
      <c r="Q3608">
        <v>13177.75</v>
      </c>
    </row>
    <row r="3609" spans="1:17" x14ac:dyDescent="0.3">
      <c r="A3609" t="s">
        <v>7840</v>
      </c>
      <c r="B3609" t="s">
        <v>48</v>
      </c>
      <c r="C3609" s="2" t="str">
        <f>PROPER(TRIM(Table1[[#This Row],[Gender]]))</f>
        <v>Female</v>
      </c>
      <c r="D3609" t="s">
        <v>43</v>
      </c>
      <c r="E3609">
        <v>18</v>
      </c>
      <c r="F3609" t="s">
        <v>49</v>
      </c>
      <c r="G3609" s="1">
        <v>39088</v>
      </c>
      <c r="H3609" t="s">
        <v>7841</v>
      </c>
      <c r="I3609" s="2" t="str">
        <f t="shared" si="56"/>
        <v>+91-8365581194</v>
      </c>
      <c r="J3609">
        <f>91-8365581285</f>
        <v>-8365581194</v>
      </c>
      <c r="K3609" t="s">
        <v>113</v>
      </c>
      <c r="L3609" t="s">
        <v>34</v>
      </c>
      <c r="M3609">
        <v>865095</v>
      </c>
      <c r="N3609" s="1">
        <v>45236</v>
      </c>
      <c r="O3609" t="s">
        <v>28</v>
      </c>
      <c r="P3609">
        <v>6</v>
      </c>
      <c r="Q3609">
        <v>95006.75</v>
      </c>
    </row>
    <row r="3610" spans="1:17" x14ac:dyDescent="0.3">
      <c r="A3610" t="s">
        <v>7842</v>
      </c>
      <c r="B3610" t="s">
        <v>3839</v>
      </c>
      <c r="C3610" s="2" t="str">
        <f>PROPER(TRIM(Table1[[#This Row],[Gender]]))</f>
        <v>Male</v>
      </c>
      <c r="D3610" t="s">
        <v>16</v>
      </c>
      <c r="E3610">
        <v>18</v>
      </c>
      <c r="F3610" t="s">
        <v>49</v>
      </c>
      <c r="G3610" s="1">
        <v>39088</v>
      </c>
      <c r="H3610" t="s">
        <v>7843</v>
      </c>
      <c r="I3610" s="2" t="str">
        <f t="shared" si="56"/>
        <v>+91-7769169862</v>
      </c>
      <c r="J3610">
        <f>91-7769169953</f>
        <v>-7769169862</v>
      </c>
      <c r="K3610" t="s">
        <v>190</v>
      </c>
      <c r="L3610" t="s">
        <v>191</v>
      </c>
      <c r="M3610">
        <v>638274</v>
      </c>
      <c r="N3610" s="1">
        <v>45370</v>
      </c>
      <c r="O3610" t="s">
        <v>28</v>
      </c>
      <c r="P3610">
        <v>3</v>
      </c>
      <c r="Q3610">
        <v>77709.86</v>
      </c>
    </row>
    <row r="3611" spans="1:17" x14ac:dyDescent="0.3">
      <c r="A3611" t="s">
        <v>7844</v>
      </c>
      <c r="B3611" t="s">
        <v>493</v>
      </c>
      <c r="C3611" s="2" t="str">
        <f>PROPER(TRIM(Table1[[#This Row],[Gender]]))</f>
        <v>Female</v>
      </c>
      <c r="D3611" t="s">
        <v>43</v>
      </c>
      <c r="E3611">
        <v>38</v>
      </c>
      <c r="F3611" t="s">
        <v>38</v>
      </c>
      <c r="G3611" s="1">
        <v>31788</v>
      </c>
      <c r="H3611" t="s">
        <v>3997</v>
      </c>
      <c r="I3611" s="2" t="str">
        <f t="shared" si="56"/>
        <v>+91-8629294184</v>
      </c>
      <c r="J3611">
        <f>91-8629294275</f>
        <v>-8629294184</v>
      </c>
      <c r="K3611" t="s">
        <v>109</v>
      </c>
      <c r="L3611" t="s">
        <v>46</v>
      </c>
      <c r="M3611">
        <v>642893</v>
      </c>
      <c r="N3611" s="1">
        <v>45164</v>
      </c>
      <c r="O3611" t="s">
        <v>28</v>
      </c>
      <c r="P3611">
        <v>6</v>
      </c>
      <c r="Q3611">
        <v>56172.47</v>
      </c>
    </row>
    <row r="3612" spans="1:17" x14ac:dyDescent="0.3">
      <c r="A3612" t="s">
        <v>7845</v>
      </c>
      <c r="B3612" t="s">
        <v>7534</v>
      </c>
      <c r="C3612" s="2" t="str">
        <f>PROPER(TRIM(Table1[[#This Row],[Gender]]))</f>
        <v>Male</v>
      </c>
      <c r="D3612" t="s">
        <v>16</v>
      </c>
      <c r="E3612">
        <v>42</v>
      </c>
      <c r="F3612" t="s">
        <v>38</v>
      </c>
      <c r="G3612" s="1">
        <v>30328</v>
      </c>
      <c r="H3612" t="s">
        <v>7846</v>
      </c>
      <c r="I3612" s="2" t="str">
        <f t="shared" si="56"/>
        <v>+91-9986594004</v>
      </c>
      <c r="J3612">
        <f>91-9986594095</f>
        <v>-9986594004</v>
      </c>
      <c r="K3612" t="s">
        <v>138</v>
      </c>
      <c r="L3612" t="s">
        <v>90</v>
      </c>
      <c r="M3612">
        <v>172083</v>
      </c>
      <c r="N3612" s="1">
        <v>45171</v>
      </c>
      <c r="O3612" t="s">
        <v>28</v>
      </c>
      <c r="P3612">
        <v>10</v>
      </c>
      <c r="Q3612">
        <v>265985.99</v>
      </c>
    </row>
    <row r="3613" spans="1:17" x14ac:dyDescent="0.3">
      <c r="A3613" t="s">
        <v>7847</v>
      </c>
      <c r="B3613" t="s">
        <v>133</v>
      </c>
      <c r="C3613" s="2" t="str">
        <f>PROPER(TRIM(Table1[[#This Row],[Gender]]))</f>
        <v>Male</v>
      </c>
      <c r="D3613" t="s">
        <v>16</v>
      </c>
      <c r="E3613">
        <v>35</v>
      </c>
      <c r="F3613" t="s">
        <v>31</v>
      </c>
      <c r="G3613" s="1">
        <v>32883</v>
      </c>
      <c r="H3613" t="s">
        <v>7848</v>
      </c>
      <c r="I3613" s="2" t="str">
        <f t="shared" si="56"/>
        <v>+91-8877159883</v>
      </c>
      <c r="J3613">
        <f>91-8877159974</f>
        <v>-8877159883</v>
      </c>
      <c r="K3613" t="s">
        <v>33</v>
      </c>
      <c r="L3613" t="s">
        <v>34</v>
      </c>
      <c r="M3613">
        <v>941663</v>
      </c>
      <c r="N3613" s="1">
        <v>45106</v>
      </c>
      <c r="O3613" t="s">
        <v>21</v>
      </c>
      <c r="P3613">
        <v>1</v>
      </c>
      <c r="Q3613">
        <v>28689.7</v>
      </c>
    </row>
    <row r="3614" spans="1:17" x14ac:dyDescent="0.3">
      <c r="A3614" t="s">
        <v>7849</v>
      </c>
      <c r="B3614" t="s">
        <v>593</v>
      </c>
      <c r="C3614" s="2" t="str">
        <f>PROPER(TRIM(Table1[[#This Row],[Gender]]))</f>
        <v>Female</v>
      </c>
      <c r="D3614" t="s">
        <v>43</v>
      </c>
      <c r="E3614">
        <v>50</v>
      </c>
      <c r="F3614" t="s">
        <v>17</v>
      </c>
      <c r="G3614" s="1">
        <v>27408</v>
      </c>
      <c r="H3614" t="s">
        <v>7850</v>
      </c>
      <c r="I3614" s="2" t="str">
        <f t="shared" si="56"/>
        <v>+91-8873342427</v>
      </c>
      <c r="J3614">
        <f>91-8873342518</f>
        <v>-8873342427</v>
      </c>
      <c r="K3614" t="s">
        <v>125</v>
      </c>
      <c r="L3614" t="s">
        <v>52</v>
      </c>
      <c r="M3614">
        <v>171079</v>
      </c>
      <c r="N3614" s="1">
        <v>45115</v>
      </c>
      <c r="O3614" t="s">
        <v>35</v>
      </c>
      <c r="P3614">
        <v>2</v>
      </c>
      <c r="Q3614">
        <v>6569.67</v>
      </c>
    </row>
    <row r="3615" spans="1:17" x14ac:dyDescent="0.3">
      <c r="A3615" t="s">
        <v>7851</v>
      </c>
      <c r="B3615" t="s">
        <v>804</v>
      </c>
      <c r="C3615" s="2" t="str">
        <f>PROPER(TRIM(Table1[[#This Row],[Gender]]))</f>
        <v>Male</v>
      </c>
      <c r="D3615" t="s">
        <v>16</v>
      </c>
      <c r="E3615">
        <v>29</v>
      </c>
      <c r="F3615" t="s">
        <v>31</v>
      </c>
      <c r="G3615" s="1">
        <v>35073</v>
      </c>
      <c r="H3615" t="s">
        <v>7852</v>
      </c>
      <c r="I3615" s="2" t="str">
        <f t="shared" si="56"/>
        <v>+91-8701554757</v>
      </c>
      <c r="J3615">
        <f>91-8701554848</f>
        <v>-8701554757</v>
      </c>
      <c r="K3615" t="s">
        <v>84</v>
      </c>
      <c r="L3615" t="s">
        <v>85</v>
      </c>
      <c r="M3615">
        <v>799929</v>
      </c>
      <c r="N3615" s="1">
        <v>45353</v>
      </c>
      <c r="O3615" t="s">
        <v>21</v>
      </c>
      <c r="P3615">
        <v>1</v>
      </c>
      <c r="Q3615">
        <v>22027.46</v>
      </c>
    </row>
    <row r="3616" spans="1:17" x14ac:dyDescent="0.3">
      <c r="A3616" t="s">
        <v>7853</v>
      </c>
      <c r="B3616" t="s">
        <v>3487</v>
      </c>
      <c r="C3616" s="2" t="str">
        <f>PROPER(TRIM(Table1[[#This Row],[Gender]]))</f>
        <v>Male</v>
      </c>
      <c r="D3616" t="s">
        <v>16</v>
      </c>
      <c r="E3616">
        <v>21</v>
      </c>
      <c r="F3616" t="s">
        <v>49</v>
      </c>
      <c r="G3616" s="1">
        <v>37993</v>
      </c>
      <c r="H3616" t="s">
        <v>7854</v>
      </c>
      <c r="I3616" s="2" t="str">
        <f t="shared" si="56"/>
        <v>+91-8093348610</v>
      </c>
      <c r="J3616">
        <f>91-8093348701</f>
        <v>-8093348610</v>
      </c>
      <c r="K3616" t="s">
        <v>415</v>
      </c>
      <c r="L3616" t="s">
        <v>90</v>
      </c>
      <c r="M3616">
        <v>866032</v>
      </c>
      <c r="N3616" s="1">
        <v>45421</v>
      </c>
      <c r="O3616" t="s">
        <v>28</v>
      </c>
      <c r="P3616">
        <v>6</v>
      </c>
      <c r="Q3616">
        <v>196255.31</v>
      </c>
    </row>
    <row r="3617" spans="1:17" x14ac:dyDescent="0.3">
      <c r="A3617" t="s">
        <v>7855</v>
      </c>
      <c r="B3617" t="s">
        <v>2932</v>
      </c>
      <c r="C3617" s="2" t="str">
        <f>PROPER(TRIM(Table1[[#This Row],[Gender]]))</f>
        <v>Female</v>
      </c>
      <c r="D3617" t="s">
        <v>43</v>
      </c>
      <c r="E3617">
        <v>19</v>
      </c>
      <c r="F3617" t="s">
        <v>49</v>
      </c>
      <c r="G3617" s="1">
        <v>38723</v>
      </c>
      <c r="H3617" t="s">
        <v>7856</v>
      </c>
      <c r="I3617" s="2" t="str">
        <f t="shared" si="56"/>
        <v>+91-9990376317</v>
      </c>
      <c r="J3617">
        <f>91-9990376408</f>
        <v>-9990376317</v>
      </c>
      <c r="K3617" t="s">
        <v>51</v>
      </c>
      <c r="L3617" t="s">
        <v>52</v>
      </c>
      <c r="M3617">
        <v>291300</v>
      </c>
      <c r="N3617" s="1">
        <v>45152</v>
      </c>
      <c r="O3617" t="s">
        <v>28</v>
      </c>
      <c r="P3617">
        <v>7</v>
      </c>
      <c r="Q3617">
        <v>238470.74</v>
      </c>
    </row>
    <row r="3618" spans="1:17" x14ac:dyDescent="0.3">
      <c r="A3618" t="s">
        <v>7857</v>
      </c>
      <c r="B3618" t="s">
        <v>2142</v>
      </c>
      <c r="C3618" s="2" t="str">
        <f>PROPER(TRIM(Table1[[#This Row],[Gender]]))</f>
        <v>Male</v>
      </c>
      <c r="D3618" t="s">
        <v>16</v>
      </c>
      <c r="E3618">
        <v>29</v>
      </c>
      <c r="F3618" t="s">
        <v>31</v>
      </c>
      <c r="G3618" s="1">
        <v>35073</v>
      </c>
      <c r="H3618" t="s">
        <v>7858</v>
      </c>
      <c r="I3618" s="2" t="str">
        <f t="shared" si="56"/>
        <v>+91-7293038803</v>
      </c>
      <c r="J3618">
        <f>91-7293038894</f>
        <v>-7293038803</v>
      </c>
      <c r="K3618" t="s">
        <v>249</v>
      </c>
      <c r="L3618" t="s">
        <v>34</v>
      </c>
      <c r="M3618">
        <v>683284</v>
      </c>
      <c r="N3618" s="1">
        <v>45400</v>
      </c>
      <c r="O3618" t="s">
        <v>28</v>
      </c>
      <c r="P3618">
        <v>3</v>
      </c>
      <c r="Q3618">
        <v>126502.08</v>
      </c>
    </row>
    <row r="3619" spans="1:17" x14ac:dyDescent="0.3">
      <c r="A3619" t="s">
        <v>7859</v>
      </c>
      <c r="B3619" t="s">
        <v>718</v>
      </c>
      <c r="C3619" s="2" t="str">
        <f>PROPER(TRIM(Table1[[#This Row],[Gender]]))</f>
        <v>Female</v>
      </c>
      <c r="D3619" t="s">
        <v>43</v>
      </c>
      <c r="E3619">
        <v>20</v>
      </c>
      <c r="F3619" t="s">
        <v>49</v>
      </c>
      <c r="G3619" s="1">
        <v>38358</v>
      </c>
      <c r="H3619" t="s">
        <v>7860</v>
      </c>
      <c r="I3619" s="2" t="str">
        <f t="shared" si="56"/>
        <v>+91-8408027819</v>
      </c>
      <c r="J3619">
        <f>91-8408027910</f>
        <v>-8408027819</v>
      </c>
      <c r="K3619" t="s">
        <v>580</v>
      </c>
      <c r="L3619" t="s">
        <v>85</v>
      </c>
      <c r="M3619">
        <v>169269</v>
      </c>
      <c r="N3619" s="1">
        <v>45394</v>
      </c>
      <c r="O3619" t="s">
        <v>28</v>
      </c>
      <c r="P3619">
        <v>5</v>
      </c>
      <c r="Q3619">
        <v>110195.94</v>
      </c>
    </row>
    <row r="3620" spans="1:17" x14ac:dyDescent="0.3">
      <c r="A3620" t="s">
        <v>7861</v>
      </c>
      <c r="B3620" t="s">
        <v>3458</v>
      </c>
      <c r="C3620" s="2" t="str">
        <f>PROPER(TRIM(Table1[[#This Row],[Gender]]))</f>
        <v>Male</v>
      </c>
      <c r="D3620" t="s">
        <v>16</v>
      </c>
      <c r="E3620">
        <v>20</v>
      </c>
      <c r="F3620" t="s">
        <v>49</v>
      </c>
      <c r="G3620" s="1">
        <v>38358</v>
      </c>
      <c r="H3620" t="s">
        <v>7862</v>
      </c>
      <c r="I3620" s="2" t="str">
        <f t="shared" si="56"/>
        <v>+91-8543345673</v>
      </c>
      <c r="J3620">
        <f>91-8543345764</f>
        <v>-8543345673</v>
      </c>
      <c r="K3620" t="s">
        <v>331</v>
      </c>
      <c r="L3620" t="s">
        <v>143</v>
      </c>
      <c r="M3620">
        <v>216210</v>
      </c>
      <c r="N3620" s="1">
        <v>45090</v>
      </c>
      <c r="O3620" t="s">
        <v>28</v>
      </c>
      <c r="P3620">
        <v>4</v>
      </c>
      <c r="Q3620">
        <v>56777.93</v>
      </c>
    </row>
    <row r="3621" spans="1:17" x14ac:dyDescent="0.3">
      <c r="A3621" t="s">
        <v>7863</v>
      </c>
      <c r="B3621" t="s">
        <v>795</v>
      </c>
      <c r="C3621" s="2" t="str">
        <f>PROPER(TRIM(Table1[[#This Row],[Gender]]))</f>
        <v>Male</v>
      </c>
      <c r="D3621" t="s">
        <v>16</v>
      </c>
      <c r="E3621">
        <v>23</v>
      </c>
      <c r="F3621" t="s">
        <v>49</v>
      </c>
      <c r="G3621" s="1">
        <v>37263</v>
      </c>
      <c r="H3621" t="s">
        <v>7864</v>
      </c>
      <c r="I3621" s="2" t="str">
        <f t="shared" si="56"/>
        <v>+91-8965550233</v>
      </c>
      <c r="J3621">
        <f>91-8965550324</f>
        <v>-8965550233</v>
      </c>
      <c r="K3621" t="s">
        <v>109</v>
      </c>
      <c r="L3621" t="s">
        <v>46</v>
      </c>
      <c r="M3621">
        <v>364755</v>
      </c>
      <c r="N3621" s="1">
        <v>45105</v>
      </c>
      <c r="O3621" t="s">
        <v>28</v>
      </c>
      <c r="P3621">
        <v>4</v>
      </c>
      <c r="Q3621">
        <v>51328.55</v>
      </c>
    </row>
    <row r="3622" spans="1:17" x14ac:dyDescent="0.3">
      <c r="A3622" t="s">
        <v>7865</v>
      </c>
      <c r="B3622" t="s">
        <v>307</v>
      </c>
      <c r="C3622" s="2" t="str">
        <f>PROPER(TRIM(Table1[[#This Row],[Gender]]))</f>
        <v>Female</v>
      </c>
      <c r="D3622" t="s">
        <v>43</v>
      </c>
      <c r="E3622">
        <v>23</v>
      </c>
      <c r="F3622" t="s">
        <v>49</v>
      </c>
      <c r="G3622" s="1">
        <v>37263</v>
      </c>
      <c r="H3622" t="s">
        <v>7866</v>
      </c>
      <c r="I3622" s="2" t="str">
        <f t="shared" si="56"/>
        <v>+91-7063911617</v>
      </c>
      <c r="J3622">
        <f>91-7063911708</f>
        <v>-7063911617</v>
      </c>
      <c r="K3622" t="s">
        <v>33</v>
      </c>
      <c r="L3622" t="s">
        <v>34</v>
      </c>
      <c r="M3622">
        <v>234548</v>
      </c>
      <c r="N3622" s="1">
        <v>45225</v>
      </c>
      <c r="O3622" t="s">
        <v>28</v>
      </c>
      <c r="P3622">
        <v>5</v>
      </c>
      <c r="Q3622">
        <v>265935.14</v>
      </c>
    </row>
    <row r="3623" spans="1:17" x14ac:dyDescent="0.3">
      <c r="A3623" t="s">
        <v>7867</v>
      </c>
      <c r="B3623" t="s">
        <v>2190</v>
      </c>
      <c r="C3623" s="2" t="str">
        <f>PROPER(TRIM(Table1[[#This Row],[Gender]]))</f>
        <v>Male</v>
      </c>
      <c r="D3623" t="s">
        <v>16</v>
      </c>
      <c r="E3623">
        <v>43</v>
      </c>
      <c r="F3623" t="s">
        <v>38</v>
      </c>
      <c r="G3623" s="1">
        <v>29963</v>
      </c>
      <c r="H3623" t="s">
        <v>7868</v>
      </c>
      <c r="I3623" s="2" t="str">
        <f t="shared" si="56"/>
        <v>+91-9552662251</v>
      </c>
      <c r="J3623">
        <f>91-9552662342</f>
        <v>-9552662251</v>
      </c>
      <c r="K3623" t="s">
        <v>273</v>
      </c>
      <c r="L3623" t="s">
        <v>46</v>
      </c>
      <c r="M3623">
        <v>682729</v>
      </c>
      <c r="N3623" s="1">
        <v>45299</v>
      </c>
      <c r="O3623" t="s">
        <v>28</v>
      </c>
      <c r="P3623">
        <v>5</v>
      </c>
      <c r="Q3623">
        <v>178461.8</v>
      </c>
    </row>
    <row r="3624" spans="1:17" x14ac:dyDescent="0.3">
      <c r="A3624" t="s">
        <v>7869</v>
      </c>
      <c r="B3624" t="s">
        <v>2130</v>
      </c>
      <c r="C3624" s="2" t="str">
        <f>PROPER(TRIM(Table1[[#This Row],[Gender]]))</f>
        <v>Female</v>
      </c>
      <c r="D3624" t="s">
        <v>43</v>
      </c>
      <c r="E3624">
        <v>18</v>
      </c>
      <c r="F3624" t="s">
        <v>49</v>
      </c>
      <c r="G3624" s="1">
        <v>39088</v>
      </c>
      <c r="H3624" t="s">
        <v>7870</v>
      </c>
      <c r="I3624" s="2" t="str">
        <f t="shared" si="56"/>
        <v>+91-9667730085</v>
      </c>
      <c r="J3624">
        <f>91-9667730176</f>
        <v>-9667730085</v>
      </c>
      <c r="K3624" t="s">
        <v>109</v>
      </c>
      <c r="L3624" t="s">
        <v>46</v>
      </c>
      <c r="M3624">
        <v>676163</v>
      </c>
      <c r="N3624" s="1">
        <v>45355</v>
      </c>
      <c r="O3624" t="s">
        <v>28</v>
      </c>
      <c r="P3624">
        <v>7</v>
      </c>
      <c r="Q3624">
        <v>198192.01</v>
      </c>
    </row>
    <row r="3625" spans="1:17" x14ac:dyDescent="0.3">
      <c r="A3625" t="s">
        <v>7871</v>
      </c>
      <c r="B3625" t="s">
        <v>2782</v>
      </c>
      <c r="C3625" s="2" t="str">
        <f>PROPER(TRIM(Table1[[#This Row],[Gender]]))</f>
        <v>Female</v>
      </c>
      <c r="D3625" t="s">
        <v>43</v>
      </c>
      <c r="E3625">
        <v>32</v>
      </c>
      <c r="F3625" t="s">
        <v>31</v>
      </c>
      <c r="G3625" s="1">
        <v>33978</v>
      </c>
      <c r="H3625" t="s">
        <v>7872</v>
      </c>
      <c r="I3625" s="2" t="str">
        <f t="shared" si="56"/>
        <v>+91-7299434828</v>
      </c>
      <c r="J3625">
        <f>91-7299434919</f>
        <v>-7299434828</v>
      </c>
      <c r="K3625" t="s">
        <v>72</v>
      </c>
      <c r="L3625" t="s">
        <v>34</v>
      </c>
      <c r="M3625">
        <v>132080</v>
      </c>
      <c r="N3625" s="1">
        <v>45404</v>
      </c>
      <c r="O3625" t="s">
        <v>28</v>
      </c>
      <c r="P3625">
        <v>4</v>
      </c>
      <c r="Q3625">
        <v>149779.75</v>
      </c>
    </row>
    <row r="3626" spans="1:17" x14ac:dyDescent="0.3">
      <c r="A3626" t="s">
        <v>7873</v>
      </c>
      <c r="B3626" t="s">
        <v>6928</v>
      </c>
      <c r="C3626" s="2" t="str">
        <f>PROPER(TRIM(Table1[[#This Row],[Gender]]))</f>
        <v>Female</v>
      </c>
      <c r="D3626" t="s">
        <v>43</v>
      </c>
      <c r="E3626">
        <v>23</v>
      </c>
      <c r="F3626" t="s">
        <v>49</v>
      </c>
      <c r="G3626" s="1">
        <v>37263</v>
      </c>
      <c r="H3626" t="s">
        <v>7874</v>
      </c>
      <c r="I3626" s="2" t="str">
        <f t="shared" si="56"/>
        <v>+91-9651572215</v>
      </c>
      <c r="J3626">
        <f>91-9651572306</f>
        <v>-9651572215</v>
      </c>
      <c r="K3626" t="s">
        <v>89</v>
      </c>
      <c r="L3626" t="s">
        <v>90</v>
      </c>
      <c r="M3626">
        <v>272002</v>
      </c>
      <c r="N3626" s="1">
        <v>45155</v>
      </c>
      <c r="O3626" t="s">
        <v>28</v>
      </c>
      <c r="P3626">
        <v>4</v>
      </c>
      <c r="Q3626">
        <v>158599.56</v>
      </c>
    </row>
    <row r="3627" spans="1:17" x14ac:dyDescent="0.3">
      <c r="A3627" t="s">
        <v>7875</v>
      </c>
      <c r="B3627" t="s">
        <v>6779</v>
      </c>
      <c r="C3627" s="2" t="str">
        <f>PROPER(TRIM(Table1[[#This Row],[Gender]]))</f>
        <v>Female</v>
      </c>
      <c r="D3627" t="s">
        <v>43</v>
      </c>
      <c r="E3627">
        <v>26</v>
      </c>
      <c r="F3627" t="s">
        <v>31</v>
      </c>
      <c r="G3627" s="1">
        <v>36168</v>
      </c>
      <c r="H3627" t="s">
        <v>7876</v>
      </c>
      <c r="I3627" s="2" t="str">
        <f t="shared" si="56"/>
        <v>+91-7221670881</v>
      </c>
      <c r="J3627">
        <f>91-7221670972</f>
        <v>-7221670881</v>
      </c>
      <c r="K3627" t="s">
        <v>147</v>
      </c>
      <c r="L3627" t="s">
        <v>143</v>
      </c>
      <c r="M3627">
        <v>920562</v>
      </c>
      <c r="N3627" s="1">
        <v>45395</v>
      </c>
      <c r="O3627" t="s">
        <v>28</v>
      </c>
      <c r="P3627">
        <v>6</v>
      </c>
      <c r="Q3627">
        <v>126469.63</v>
      </c>
    </row>
    <row r="3628" spans="1:17" x14ac:dyDescent="0.3">
      <c r="A3628" t="s">
        <v>7877</v>
      </c>
      <c r="B3628" t="s">
        <v>321</v>
      </c>
      <c r="C3628" s="2" t="str">
        <f>PROPER(TRIM(Table1[[#This Row],[Gender]]))</f>
        <v>Female</v>
      </c>
      <c r="D3628" t="s">
        <v>43</v>
      </c>
      <c r="E3628">
        <v>22</v>
      </c>
      <c r="F3628" t="s">
        <v>49</v>
      </c>
      <c r="G3628" s="1">
        <v>37628</v>
      </c>
      <c r="H3628" t="s">
        <v>1122</v>
      </c>
      <c r="I3628" s="2" t="str">
        <f t="shared" si="56"/>
        <v>+91-8969018655</v>
      </c>
      <c r="J3628">
        <f>91-8969018746</f>
        <v>-8969018655</v>
      </c>
      <c r="K3628" t="s">
        <v>64</v>
      </c>
      <c r="L3628" t="s">
        <v>20</v>
      </c>
      <c r="M3628">
        <v>240100</v>
      </c>
      <c r="N3628" s="1">
        <v>45104</v>
      </c>
      <c r="O3628" t="s">
        <v>28</v>
      </c>
      <c r="P3628">
        <v>5</v>
      </c>
      <c r="Q3628">
        <v>136415.03</v>
      </c>
    </row>
    <row r="3629" spans="1:17" x14ac:dyDescent="0.3">
      <c r="A3629" t="s">
        <v>7878</v>
      </c>
      <c r="B3629" t="s">
        <v>1808</v>
      </c>
      <c r="C3629" s="2" t="str">
        <f>PROPER(TRIM(Table1[[#This Row],[Gender]]))</f>
        <v>Female</v>
      </c>
      <c r="D3629" t="s">
        <v>43</v>
      </c>
      <c r="E3629">
        <v>26</v>
      </c>
      <c r="F3629" t="s">
        <v>31</v>
      </c>
      <c r="G3629" s="1">
        <v>36168</v>
      </c>
      <c r="H3629" t="s">
        <v>1809</v>
      </c>
      <c r="I3629" s="2" t="str">
        <f t="shared" si="56"/>
        <v>+91-9607227757</v>
      </c>
      <c r="J3629">
        <f>91-9607227848</f>
        <v>-9607227757</v>
      </c>
      <c r="K3629" t="s">
        <v>174</v>
      </c>
      <c r="L3629" t="s">
        <v>90</v>
      </c>
      <c r="M3629">
        <v>688454</v>
      </c>
      <c r="N3629" s="1">
        <v>45369</v>
      </c>
      <c r="O3629" t="s">
        <v>28</v>
      </c>
      <c r="P3629">
        <v>8</v>
      </c>
      <c r="Q3629">
        <v>149110.01999999999</v>
      </c>
    </row>
    <row r="3630" spans="1:17" x14ac:dyDescent="0.3">
      <c r="A3630" t="s">
        <v>7879</v>
      </c>
      <c r="B3630" t="s">
        <v>1228</v>
      </c>
      <c r="C3630" s="2" t="str">
        <f>PROPER(TRIM(Table1[[#This Row],[Gender]]))</f>
        <v>Female</v>
      </c>
      <c r="D3630" t="s">
        <v>43</v>
      </c>
      <c r="E3630">
        <v>22</v>
      </c>
      <c r="F3630" t="s">
        <v>49</v>
      </c>
      <c r="G3630" s="1">
        <v>37628</v>
      </c>
      <c r="H3630" t="s">
        <v>1229</v>
      </c>
      <c r="I3630" s="2" t="str">
        <f t="shared" si="56"/>
        <v>+91-9408626476</v>
      </c>
      <c r="J3630">
        <f>91-9408626567</f>
        <v>-9408626476</v>
      </c>
      <c r="K3630" t="s">
        <v>147</v>
      </c>
      <c r="L3630" t="s">
        <v>143</v>
      </c>
      <c r="M3630">
        <v>366719</v>
      </c>
      <c r="N3630" s="1">
        <v>45121</v>
      </c>
      <c r="O3630" t="s">
        <v>28</v>
      </c>
      <c r="P3630">
        <v>6</v>
      </c>
      <c r="Q3630">
        <v>221167.94</v>
      </c>
    </row>
    <row r="3631" spans="1:17" x14ac:dyDescent="0.3">
      <c r="A3631" t="s">
        <v>7880</v>
      </c>
      <c r="B3631" t="s">
        <v>2185</v>
      </c>
      <c r="C3631" s="2" t="str">
        <f>PROPER(TRIM(Table1[[#This Row],[Gender]]))</f>
        <v>Female</v>
      </c>
      <c r="D3631" t="s">
        <v>43</v>
      </c>
      <c r="E3631">
        <v>44</v>
      </c>
      <c r="F3631" t="s">
        <v>38</v>
      </c>
      <c r="G3631" s="1">
        <v>29598</v>
      </c>
      <c r="H3631" t="s">
        <v>7881</v>
      </c>
      <c r="I3631" s="2" t="str">
        <f t="shared" si="56"/>
        <v>+91-8200140002</v>
      </c>
      <c r="J3631">
        <f>91-8200140093</f>
        <v>-8200140002</v>
      </c>
      <c r="K3631" t="s">
        <v>154</v>
      </c>
      <c r="L3631" t="s">
        <v>46</v>
      </c>
      <c r="M3631">
        <v>345595</v>
      </c>
      <c r="N3631" s="1">
        <v>45439</v>
      </c>
      <c r="O3631" t="s">
        <v>21</v>
      </c>
      <c r="P3631">
        <v>5</v>
      </c>
      <c r="Q3631">
        <v>31667.61</v>
      </c>
    </row>
    <row r="3632" spans="1:17" x14ac:dyDescent="0.3">
      <c r="A3632" t="s">
        <v>7882</v>
      </c>
      <c r="B3632" t="s">
        <v>487</v>
      </c>
      <c r="C3632" s="2" t="str">
        <f>PROPER(TRIM(Table1[[#This Row],[Gender]]))</f>
        <v>Female</v>
      </c>
      <c r="D3632" t="s">
        <v>43</v>
      </c>
      <c r="E3632">
        <v>23</v>
      </c>
      <c r="F3632" t="s">
        <v>49</v>
      </c>
      <c r="G3632" s="1">
        <v>37263</v>
      </c>
      <c r="H3632" t="s">
        <v>7435</v>
      </c>
      <c r="I3632" s="2" t="str">
        <f t="shared" si="56"/>
        <v>+91-8489250852</v>
      </c>
      <c r="J3632">
        <f>91-8489250943</f>
        <v>-8489250852</v>
      </c>
      <c r="K3632" t="s">
        <v>195</v>
      </c>
      <c r="L3632" t="s">
        <v>102</v>
      </c>
      <c r="M3632">
        <v>648225</v>
      </c>
      <c r="N3632" s="1">
        <v>45298</v>
      </c>
      <c r="O3632" t="s">
        <v>28</v>
      </c>
      <c r="P3632">
        <v>5</v>
      </c>
      <c r="Q3632">
        <v>327728.58</v>
      </c>
    </row>
    <row r="3633" spans="1:17" x14ac:dyDescent="0.3">
      <c r="A3633" t="s">
        <v>7883</v>
      </c>
      <c r="B3633" t="s">
        <v>3521</v>
      </c>
      <c r="C3633" s="2" t="str">
        <f>PROPER(TRIM(Table1[[#This Row],[Gender]]))</f>
        <v>Female</v>
      </c>
      <c r="D3633" t="s">
        <v>43</v>
      </c>
      <c r="E3633">
        <v>50</v>
      </c>
      <c r="F3633" t="s">
        <v>17</v>
      </c>
      <c r="G3633" s="1">
        <v>27408</v>
      </c>
      <c r="H3633" t="s">
        <v>7884</v>
      </c>
      <c r="I3633" s="2" t="str">
        <f t="shared" si="56"/>
        <v>+91-9731554808</v>
      </c>
      <c r="J3633">
        <f>91-9731554899</f>
        <v>-9731554808</v>
      </c>
      <c r="K3633" t="s">
        <v>84</v>
      </c>
      <c r="L3633" t="s">
        <v>85</v>
      </c>
      <c r="M3633">
        <v>589498</v>
      </c>
      <c r="N3633" s="1">
        <v>45099</v>
      </c>
      <c r="O3633" t="s">
        <v>21</v>
      </c>
      <c r="P3633">
        <v>4</v>
      </c>
      <c r="Q3633">
        <v>46238.12</v>
      </c>
    </row>
    <row r="3634" spans="1:17" x14ac:dyDescent="0.3">
      <c r="A3634" t="s">
        <v>7885</v>
      </c>
      <c r="B3634" t="s">
        <v>371</v>
      </c>
      <c r="C3634" s="2" t="str">
        <f>PROPER(TRIM(Table1[[#This Row],[Gender]]))</f>
        <v>Female</v>
      </c>
      <c r="D3634" t="s">
        <v>43</v>
      </c>
      <c r="E3634">
        <v>43</v>
      </c>
      <c r="F3634" t="s">
        <v>38</v>
      </c>
      <c r="G3634" s="1">
        <v>29963</v>
      </c>
      <c r="H3634" t="s">
        <v>7886</v>
      </c>
      <c r="I3634" s="2" t="str">
        <f t="shared" si="56"/>
        <v>+91-7332368397</v>
      </c>
      <c r="J3634">
        <f>91-7332368488</f>
        <v>-7332368397</v>
      </c>
      <c r="K3634" t="s">
        <v>147</v>
      </c>
      <c r="L3634" t="s">
        <v>143</v>
      </c>
      <c r="M3634">
        <v>922334</v>
      </c>
      <c r="N3634" s="1">
        <v>45317</v>
      </c>
      <c r="O3634" t="s">
        <v>28</v>
      </c>
      <c r="P3634">
        <v>8</v>
      </c>
      <c r="Q3634">
        <v>130330.19</v>
      </c>
    </row>
    <row r="3635" spans="1:17" x14ac:dyDescent="0.3">
      <c r="A3635" t="s">
        <v>7887</v>
      </c>
      <c r="B3635" t="s">
        <v>664</v>
      </c>
      <c r="C3635" s="2" t="str">
        <f>PROPER(TRIM(Table1[[#This Row],[Gender]]))</f>
        <v>Male</v>
      </c>
      <c r="D3635" t="s">
        <v>16</v>
      </c>
      <c r="E3635">
        <v>35</v>
      </c>
      <c r="F3635" t="s">
        <v>31</v>
      </c>
      <c r="G3635" s="1">
        <v>32883</v>
      </c>
      <c r="H3635" t="s">
        <v>7888</v>
      </c>
      <c r="I3635" s="2" t="str">
        <f t="shared" si="56"/>
        <v>+91-8984693557</v>
      </c>
      <c r="J3635">
        <f>91-8984693648</f>
        <v>-8984693557</v>
      </c>
      <c r="K3635" t="s">
        <v>249</v>
      </c>
      <c r="L3635" t="s">
        <v>34</v>
      </c>
      <c r="M3635">
        <v>240297</v>
      </c>
      <c r="N3635" s="1">
        <v>45179</v>
      </c>
      <c r="O3635" t="s">
        <v>35</v>
      </c>
      <c r="P3635">
        <v>3</v>
      </c>
      <c r="Q3635">
        <v>13688.95</v>
      </c>
    </row>
    <row r="3636" spans="1:17" x14ac:dyDescent="0.3">
      <c r="A3636" t="s">
        <v>7889</v>
      </c>
      <c r="B3636" t="s">
        <v>1381</v>
      </c>
      <c r="C3636" s="2" t="str">
        <f>PROPER(TRIM(Table1[[#This Row],[Gender]]))</f>
        <v>Female</v>
      </c>
      <c r="D3636" t="s">
        <v>43</v>
      </c>
      <c r="E3636">
        <v>20</v>
      </c>
      <c r="F3636" t="s">
        <v>49</v>
      </c>
      <c r="G3636" s="1">
        <v>38358</v>
      </c>
      <c r="H3636" t="s">
        <v>7890</v>
      </c>
      <c r="I3636" s="2" t="str">
        <f t="shared" si="56"/>
        <v>+91-8141174900</v>
      </c>
      <c r="J3636">
        <f>91-8141174991</f>
        <v>-8141174900</v>
      </c>
      <c r="K3636" t="s">
        <v>147</v>
      </c>
      <c r="L3636" t="s">
        <v>143</v>
      </c>
      <c r="M3636">
        <v>684032</v>
      </c>
      <c r="N3636" s="1">
        <v>45386</v>
      </c>
      <c r="O3636" t="s">
        <v>35</v>
      </c>
      <c r="P3636">
        <v>2</v>
      </c>
      <c r="Q3636">
        <v>10516.31</v>
      </c>
    </row>
    <row r="3637" spans="1:17" x14ac:dyDescent="0.3">
      <c r="A3637" t="s">
        <v>7891</v>
      </c>
      <c r="B3637" t="s">
        <v>1442</v>
      </c>
      <c r="C3637" s="2" t="str">
        <f>PROPER(TRIM(Table1[[#This Row],[Gender]]))</f>
        <v>Male</v>
      </c>
      <c r="D3637" t="s">
        <v>16</v>
      </c>
      <c r="E3637">
        <v>24</v>
      </c>
      <c r="F3637" t="s">
        <v>49</v>
      </c>
      <c r="G3637" s="1">
        <v>36898</v>
      </c>
      <c r="H3637" t="s">
        <v>7892</v>
      </c>
      <c r="I3637" s="2" t="str">
        <f t="shared" si="56"/>
        <v>+91-9872361927</v>
      </c>
      <c r="J3637">
        <f>91-9872362018</f>
        <v>-9872361927</v>
      </c>
      <c r="K3637" t="s">
        <v>195</v>
      </c>
      <c r="L3637" t="s">
        <v>102</v>
      </c>
      <c r="M3637">
        <v>519681</v>
      </c>
      <c r="N3637" s="1">
        <v>45305</v>
      </c>
      <c r="O3637" t="s">
        <v>28</v>
      </c>
      <c r="P3637">
        <v>10</v>
      </c>
      <c r="Q3637">
        <v>214384.89</v>
      </c>
    </row>
    <row r="3638" spans="1:17" x14ac:dyDescent="0.3">
      <c r="A3638" t="s">
        <v>7893</v>
      </c>
      <c r="B3638" t="s">
        <v>4793</v>
      </c>
      <c r="C3638" s="2" t="str">
        <f>PROPER(TRIM(Table1[[#This Row],[Gender]]))</f>
        <v>Female</v>
      </c>
      <c r="D3638" t="s">
        <v>43</v>
      </c>
      <c r="E3638">
        <v>50</v>
      </c>
      <c r="F3638" t="s">
        <v>17</v>
      </c>
      <c r="G3638" s="1">
        <v>27408</v>
      </c>
      <c r="H3638" t="s">
        <v>7894</v>
      </c>
      <c r="I3638" s="2" t="str">
        <f t="shared" si="56"/>
        <v>+91-7898827879</v>
      </c>
      <c r="J3638">
        <f>91-7898827970</f>
        <v>-7898827879</v>
      </c>
      <c r="K3638" t="s">
        <v>45</v>
      </c>
      <c r="L3638" t="s">
        <v>46</v>
      </c>
      <c r="M3638">
        <v>795471</v>
      </c>
      <c r="N3638" s="1">
        <v>45213</v>
      </c>
      <c r="O3638" t="s">
        <v>28</v>
      </c>
      <c r="P3638">
        <v>7</v>
      </c>
      <c r="Q3638">
        <v>79728.94</v>
      </c>
    </row>
    <row r="3639" spans="1:17" x14ac:dyDescent="0.3">
      <c r="A3639" t="s">
        <v>7895</v>
      </c>
      <c r="B3639" t="s">
        <v>448</v>
      </c>
      <c r="C3639" s="2" t="str">
        <f>PROPER(TRIM(Table1[[#This Row],[Gender]]))</f>
        <v>Female</v>
      </c>
      <c r="D3639" t="s">
        <v>43</v>
      </c>
      <c r="E3639">
        <v>30</v>
      </c>
      <c r="F3639" t="s">
        <v>31</v>
      </c>
      <c r="G3639" s="1">
        <v>34708</v>
      </c>
      <c r="H3639" t="s">
        <v>7896</v>
      </c>
      <c r="I3639" s="2" t="str">
        <f t="shared" si="56"/>
        <v>+91-9244103626</v>
      </c>
      <c r="J3639">
        <f>91-9244103717</f>
        <v>-9244103626</v>
      </c>
      <c r="K3639" t="s">
        <v>68</v>
      </c>
      <c r="L3639" t="s">
        <v>52</v>
      </c>
      <c r="M3639">
        <v>379908</v>
      </c>
      <c r="N3639" s="1">
        <v>45340</v>
      </c>
      <c r="O3639" t="s">
        <v>21</v>
      </c>
      <c r="P3639">
        <v>5</v>
      </c>
      <c r="Q3639">
        <v>29484.89</v>
      </c>
    </row>
    <row r="3640" spans="1:17" x14ac:dyDescent="0.3">
      <c r="A3640" t="s">
        <v>7897</v>
      </c>
      <c r="B3640" t="s">
        <v>519</v>
      </c>
      <c r="C3640" s="2" t="str">
        <f>PROPER(TRIM(Table1[[#This Row],[Gender]]))</f>
        <v>Male</v>
      </c>
      <c r="D3640" t="s">
        <v>16</v>
      </c>
      <c r="E3640">
        <v>34</v>
      </c>
      <c r="F3640" t="s">
        <v>31</v>
      </c>
      <c r="G3640" s="1">
        <v>33248</v>
      </c>
      <c r="H3640" t="s">
        <v>7898</v>
      </c>
      <c r="I3640" s="2" t="str">
        <f t="shared" si="56"/>
        <v>+91-9372839112</v>
      </c>
      <c r="J3640">
        <f>91-9372839203</f>
        <v>-9372839112</v>
      </c>
      <c r="K3640" t="s">
        <v>161</v>
      </c>
      <c r="L3640" t="s">
        <v>102</v>
      </c>
      <c r="M3640">
        <v>900596</v>
      </c>
      <c r="N3640" s="1">
        <v>45095</v>
      </c>
      <c r="O3640" t="s">
        <v>21</v>
      </c>
      <c r="P3640">
        <v>3</v>
      </c>
      <c r="Q3640">
        <v>37302.339999999997</v>
      </c>
    </row>
    <row r="3641" spans="1:17" x14ac:dyDescent="0.3">
      <c r="A3641" t="s">
        <v>7899</v>
      </c>
      <c r="B3641" t="s">
        <v>2358</v>
      </c>
      <c r="C3641" s="2" t="str">
        <f>PROPER(TRIM(Table1[[#This Row],[Gender]]))</f>
        <v>Female</v>
      </c>
      <c r="D3641" t="s">
        <v>43</v>
      </c>
      <c r="E3641">
        <v>29</v>
      </c>
      <c r="F3641" t="s">
        <v>31</v>
      </c>
      <c r="G3641" s="1">
        <v>35073</v>
      </c>
      <c r="H3641" t="s">
        <v>7900</v>
      </c>
      <c r="I3641" s="2" t="str">
        <f t="shared" si="56"/>
        <v>+91-7327112884</v>
      </c>
      <c r="J3641">
        <f>91-7327112975</f>
        <v>-7327112884</v>
      </c>
      <c r="K3641" t="s">
        <v>273</v>
      </c>
      <c r="L3641" t="s">
        <v>46</v>
      </c>
      <c r="M3641">
        <v>276046</v>
      </c>
      <c r="N3641" s="1">
        <v>45302</v>
      </c>
      <c r="O3641" t="s">
        <v>28</v>
      </c>
      <c r="P3641">
        <v>3</v>
      </c>
      <c r="Q3641">
        <v>60152.36</v>
      </c>
    </row>
    <row r="3642" spans="1:17" x14ac:dyDescent="0.3">
      <c r="A3642" t="s">
        <v>7901</v>
      </c>
      <c r="B3642" t="s">
        <v>963</v>
      </c>
      <c r="C3642" s="2" t="str">
        <f>PROPER(TRIM(Table1[[#This Row],[Gender]]))</f>
        <v>Male</v>
      </c>
      <c r="D3642" t="s">
        <v>16</v>
      </c>
      <c r="E3642">
        <v>34</v>
      </c>
      <c r="F3642" t="s">
        <v>31</v>
      </c>
      <c r="G3642" s="1">
        <v>33248</v>
      </c>
      <c r="H3642" t="s">
        <v>7902</v>
      </c>
      <c r="I3642" s="2" t="str">
        <f t="shared" si="56"/>
        <v>+91-9257055511</v>
      </c>
      <c r="J3642">
        <f>91-9257055602</f>
        <v>-9257055511</v>
      </c>
      <c r="K3642" t="s">
        <v>113</v>
      </c>
      <c r="L3642" t="s">
        <v>34</v>
      </c>
      <c r="M3642">
        <v>360596</v>
      </c>
      <c r="N3642" s="1">
        <v>45272</v>
      </c>
      <c r="O3642" t="s">
        <v>28</v>
      </c>
      <c r="P3642">
        <v>3</v>
      </c>
      <c r="Q3642">
        <v>85878.54</v>
      </c>
    </row>
    <row r="3643" spans="1:17" x14ac:dyDescent="0.3">
      <c r="A3643" t="s">
        <v>7903</v>
      </c>
      <c r="B3643" t="s">
        <v>531</v>
      </c>
      <c r="C3643" s="2" t="str">
        <f>PROPER(TRIM(Table1[[#This Row],[Gender]]))</f>
        <v>Male</v>
      </c>
      <c r="D3643" t="s">
        <v>16</v>
      </c>
      <c r="E3643">
        <v>29</v>
      </c>
      <c r="F3643" t="s">
        <v>31</v>
      </c>
      <c r="G3643" s="1">
        <v>35073</v>
      </c>
      <c r="H3643" t="s">
        <v>7904</v>
      </c>
      <c r="I3643" s="2" t="str">
        <f t="shared" si="56"/>
        <v>+91-9978187496</v>
      </c>
      <c r="J3643">
        <f>91-9978187587</f>
        <v>-9978187496</v>
      </c>
      <c r="K3643" t="s">
        <v>113</v>
      </c>
      <c r="L3643" t="s">
        <v>34</v>
      </c>
      <c r="M3643">
        <v>502988</v>
      </c>
      <c r="N3643" s="1">
        <v>45151</v>
      </c>
      <c r="O3643" t="s">
        <v>28</v>
      </c>
      <c r="P3643">
        <v>6</v>
      </c>
      <c r="Q3643">
        <v>308859.28999999998</v>
      </c>
    </row>
    <row r="3644" spans="1:17" x14ac:dyDescent="0.3">
      <c r="A3644" t="s">
        <v>7905</v>
      </c>
      <c r="B3644" t="s">
        <v>602</v>
      </c>
      <c r="C3644" s="2" t="str">
        <f>PROPER(TRIM(Table1[[#This Row],[Gender]]))</f>
        <v>Female</v>
      </c>
      <c r="D3644" t="s">
        <v>43</v>
      </c>
      <c r="E3644">
        <v>18</v>
      </c>
      <c r="F3644" t="s">
        <v>49</v>
      </c>
      <c r="G3644" s="1">
        <v>39088</v>
      </c>
      <c r="H3644" t="s">
        <v>7906</v>
      </c>
      <c r="I3644" s="2" t="str">
        <f t="shared" si="56"/>
        <v>+91-7131260972</v>
      </c>
      <c r="J3644">
        <f>91-7131261063</f>
        <v>-7131260972</v>
      </c>
      <c r="K3644" t="s">
        <v>109</v>
      </c>
      <c r="L3644" t="s">
        <v>46</v>
      </c>
      <c r="M3644">
        <v>718963</v>
      </c>
      <c r="N3644" s="1">
        <v>45093</v>
      </c>
      <c r="O3644" t="s">
        <v>35</v>
      </c>
      <c r="P3644">
        <v>2</v>
      </c>
      <c r="Q3644">
        <v>13384.42</v>
      </c>
    </row>
    <row r="3645" spans="1:17" x14ac:dyDescent="0.3">
      <c r="A3645" t="s">
        <v>7907</v>
      </c>
      <c r="B3645" t="s">
        <v>1499</v>
      </c>
      <c r="C3645" s="2" t="str">
        <f>PROPER(TRIM(Table1[[#This Row],[Gender]]))</f>
        <v>Male</v>
      </c>
      <c r="D3645" t="s">
        <v>16</v>
      </c>
      <c r="E3645">
        <v>39</v>
      </c>
      <c r="F3645" t="s">
        <v>38</v>
      </c>
      <c r="G3645" s="1">
        <v>31423</v>
      </c>
      <c r="H3645" t="s">
        <v>7908</v>
      </c>
      <c r="I3645" s="2" t="str">
        <f t="shared" si="56"/>
        <v>+91-8085239133</v>
      </c>
      <c r="J3645">
        <f>91-8085239224</f>
        <v>-8085239133</v>
      </c>
      <c r="K3645" t="s">
        <v>84</v>
      </c>
      <c r="L3645" t="s">
        <v>85</v>
      </c>
      <c r="M3645">
        <v>989695</v>
      </c>
      <c r="N3645" s="1">
        <v>45379</v>
      </c>
      <c r="O3645" t="s">
        <v>28</v>
      </c>
      <c r="P3645">
        <v>6</v>
      </c>
      <c r="Q3645">
        <v>142839.87</v>
      </c>
    </row>
    <row r="3646" spans="1:17" x14ac:dyDescent="0.3">
      <c r="A3646" t="s">
        <v>7909</v>
      </c>
      <c r="B3646" t="s">
        <v>2324</v>
      </c>
      <c r="C3646" s="2" t="str">
        <f>PROPER(TRIM(Table1[[#This Row],[Gender]]))</f>
        <v>Female</v>
      </c>
      <c r="D3646" t="s">
        <v>43</v>
      </c>
      <c r="E3646">
        <v>29</v>
      </c>
      <c r="F3646" t="s">
        <v>31</v>
      </c>
      <c r="G3646" s="1">
        <v>35073</v>
      </c>
      <c r="H3646" t="s">
        <v>7910</v>
      </c>
      <c r="I3646" s="2" t="str">
        <f t="shared" si="56"/>
        <v>+91-7190518130</v>
      </c>
      <c r="J3646">
        <f>91-7190518221</f>
        <v>-7190518130</v>
      </c>
      <c r="K3646" t="s">
        <v>147</v>
      </c>
      <c r="L3646" t="s">
        <v>143</v>
      </c>
      <c r="M3646">
        <v>210713</v>
      </c>
      <c r="N3646" s="1">
        <v>45154</v>
      </c>
      <c r="O3646" t="s">
        <v>28</v>
      </c>
      <c r="P3646">
        <v>6</v>
      </c>
      <c r="Q3646">
        <v>188309.6</v>
      </c>
    </row>
    <row r="3647" spans="1:17" x14ac:dyDescent="0.3">
      <c r="A3647" t="s">
        <v>7911</v>
      </c>
      <c r="B3647" t="s">
        <v>2372</v>
      </c>
      <c r="C3647" s="2" t="str">
        <f>PROPER(TRIM(Table1[[#This Row],[Gender]]))</f>
        <v>Female</v>
      </c>
      <c r="D3647" t="s">
        <v>43</v>
      </c>
      <c r="E3647">
        <v>32</v>
      </c>
      <c r="F3647" t="s">
        <v>31</v>
      </c>
      <c r="G3647" s="1">
        <v>33978</v>
      </c>
      <c r="H3647" t="s">
        <v>7912</v>
      </c>
      <c r="I3647" s="2" t="str">
        <f t="shared" si="56"/>
        <v>+91-7053704989</v>
      </c>
      <c r="J3647">
        <f>91-7053705080</f>
        <v>-7053704989</v>
      </c>
      <c r="K3647" t="s">
        <v>174</v>
      </c>
      <c r="L3647" t="s">
        <v>90</v>
      </c>
      <c r="M3647">
        <v>332697</v>
      </c>
      <c r="N3647" s="1">
        <v>45365</v>
      </c>
      <c r="O3647" t="s">
        <v>28</v>
      </c>
      <c r="P3647">
        <v>10</v>
      </c>
      <c r="Q3647">
        <v>348394.9</v>
      </c>
    </row>
    <row r="3648" spans="1:17" x14ac:dyDescent="0.3">
      <c r="A3648" t="s">
        <v>7913</v>
      </c>
      <c r="B3648" t="s">
        <v>2597</v>
      </c>
      <c r="C3648" s="2" t="str">
        <f>PROPER(TRIM(Table1[[#This Row],[Gender]]))</f>
        <v>Female</v>
      </c>
      <c r="D3648" t="s">
        <v>43</v>
      </c>
      <c r="E3648">
        <v>27</v>
      </c>
      <c r="F3648" t="s">
        <v>31</v>
      </c>
      <c r="G3648" s="1">
        <v>35803</v>
      </c>
      <c r="H3648" t="s">
        <v>7914</v>
      </c>
      <c r="I3648" s="2" t="str">
        <f t="shared" si="56"/>
        <v>+91-9545053764</v>
      </c>
      <c r="J3648">
        <f>91-9545053855</f>
        <v>-9545053764</v>
      </c>
      <c r="K3648" t="s">
        <v>26</v>
      </c>
      <c r="L3648" t="s">
        <v>27</v>
      </c>
      <c r="M3648">
        <v>834039</v>
      </c>
      <c r="N3648" s="1">
        <v>45338</v>
      </c>
      <c r="O3648" t="s">
        <v>28</v>
      </c>
      <c r="P3648">
        <v>2</v>
      </c>
      <c r="Q3648">
        <v>57914.45</v>
      </c>
    </row>
    <row r="3649" spans="1:17" x14ac:dyDescent="0.3">
      <c r="A3649" t="s">
        <v>7915</v>
      </c>
      <c r="B3649" t="s">
        <v>507</v>
      </c>
      <c r="C3649" s="2" t="str">
        <f>PROPER(TRIM(Table1[[#This Row],[Gender]]))</f>
        <v>Male</v>
      </c>
      <c r="D3649" t="s">
        <v>16</v>
      </c>
      <c r="E3649">
        <v>75</v>
      </c>
      <c r="F3649" t="s">
        <v>24</v>
      </c>
      <c r="G3649" s="1">
        <v>18283</v>
      </c>
      <c r="H3649" t="s">
        <v>7472</v>
      </c>
      <c r="I3649" s="2" t="str">
        <f t="shared" si="56"/>
        <v>+91-8418231807</v>
      </c>
      <c r="J3649">
        <f>91-8418231898</f>
        <v>-8418231807</v>
      </c>
      <c r="K3649" t="s">
        <v>76</v>
      </c>
      <c r="L3649" t="s">
        <v>46</v>
      </c>
      <c r="M3649">
        <v>143668</v>
      </c>
      <c r="N3649" s="1">
        <v>45166</v>
      </c>
      <c r="O3649" t="s">
        <v>35</v>
      </c>
      <c r="P3649">
        <v>2</v>
      </c>
      <c r="Q3649">
        <v>1670.81</v>
      </c>
    </row>
    <row r="3650" spans="1:17" x14ac:dyDescent="0.3">
      <c r="A3650" t="s">
        <v>7916</v>
      </c>
      <c r="B3650" t="s">
        <v>1600</v>
      </c>
      <c r="C3650" s="2" t="str">
        <f>PROPER(TRIM(Table1[[#This Row],[Gender]]))</f>
        <v>Male</v>
      </c>
      <c r="D3650" t="s">
        <v>16</v>
      </c>
      <c r="E3650">
        <v>28</v>
      </c>
      <c r="F3650" t="s">
        <v>31</v>
      </c>
      <c r="G3650" s="1">
        <v>35438</v>
      </c>
      <c r="H3650" t="s">
        <v>6120</v>
      </c>
      <c r="I3650" s="2" t="str">
        <f t="shared" ref="I3650:I3713" si="57">"+91"&amp;TEXT(J3650,"0000000000")</f>
        <v>+91-8715992458</v>
      </c>
      <c r="J3650">
        <f>91-8715992549</f>
        <v>-8715992458</v>
      </c>
      <c r="K3650" t="s">
        <v>415</v>
      </c>
      <c r="L3650" t="s">
        <v>90</v>
      </c>
      <c r="M3650">
        <v>529191</v>
      </c>
      <c r="N3650" s="1">
        <v>45401</v>
      </c>
      <c r="O3650" t="s">
        <v>21</v>
      </c>
      <c r="P3650">
        <v>3</v>
      </c>
      <c r="Q3650">
        <v>28147.97</v>
      </c>
    </row>
    <row r="3651" spans="1:17" x14ac:dyDescent="0.3">
      <c r="A3651" t="s">
        <v>7917</v>
      </c>
      <c r="B3651" t="s">
        <v>3580</v>
      </c>
      <c r="C3651" s="2" t="str">
        <f>PROPER(TRIM(Table1[[#This Row],[Gender]]))</f>
        <v>Male</v>
      </c>
      <c r="D3651" t="s">
        <v>16</v>
      </c>
      <c r="E3651">
        <v>23</v>
      </c>
      <c r="F3651" t="s">
        <v>49</v>
      </c>
      <c r="G3651" s="1">
        <v>37263</v>
      </c>
      <c r="H3651" t="s">
        <v>7918</v>
      </c>
      <c r="I3651" s="2" t="str">
        <f t="shared" si="57"/>
        <v>+91-7881765025</v>
      </c>
      <c r="J3651">
        <f>91-7881765116</f>
        <v>-7881765025</v>
      </c>
      <c r="K3651" t="s">
        <v>161</v>
      </c>
      <c r="L3651" t="s">
        <v>102</v>
      </c>
      <c r="M3651">
        <v>735834</v>
      </c>
      <c r="N3651" s="1">
        <v>45211</v>
      </c>
      <c r="O3651" t="s">
        <v>28</v>
      </c>
      <c r="P3651">
        <v>7</v>
      </c>
      <c r="Q3651">
        <v>160400.67000000001</v>
      </c>
    </row>
    <row r="3652" spans="1:17" x14ac:dyDescent="0.3">
      <c r="A3652" t="s">
        <v>7919</v>
      </c>
      <c r="B3652" t="s">
        <v>1068</v>
      </c>
      <c r="C3652" s="2" t="str">
        <f>PROPER(TRIM(Table1[[#This Row],[Gender]]))</f>
        <v>Male</v>
      </c>
      <c r="D3652" t="s">
        <v>16</v>
      </c>
      <c r="E3652">
        <v>37</v>
      </c>
      <c r="F3652" t="s">
        <v>38</v>
      </c>
      <c r="G3652" s="1">
        <v>32153</v>
      </c>
      <c r="H3652" t="s">
        <v>5973</v>
      </c>
      <c r="I3652" s="2" t="str">
        <f t="shared" si="57"/>
        <v>+91-9889462015</v>
      </c>
      <c r="J3652">
        <f>91-9889462106</f>
        <v>-9889462015</v>
      </c>
      <c r="K3652" t="s">
        <v>138</v>
      </c>
      <c r="L3652" t="s">
        <v>90</v>
      </c>
      <c r="M3652">
        <v>782817</v>
      </c>
      <c r="N3652" s="1">
        <v>45092</v>
      </c>
      <c r="O3652" t="s">
        <v>28</v>
      </c>
      <c r="P3652">
        <v>4</v>
      </c>
      <c r="Q3652">
        <v>62645.01</v>
      </c>
    </row>
    <row r="3653" spans="1:17" x14ac:dyDescent="0.3">
      <c r="A3653" t="s">
        <v>7920</v>
      </c>
      <c r="B3653" t="s">
        <v>2432</v>
      </c>
      <c r="C3653" s="2" t="str">
        <f>PROPER(TRIM(Table1[[#This Row],[Gender]]))</f>
        <v>Male</v>
      </c>
      <c r="D3653" t="s">
        <v>16</v>
      </c>
      <c r="E3653">
        <v>19</v>
      </c>
      <c r="F3653" t="s">
        <v>49</v>
      </c>
      <c r="G3653" s="1">
        <v>38723</v>
      </c>
      <c r="H3653" t="s">
        <v>7921</v>
      </c>
      <c r="I3653" s="2" t="str">
        <f t="shared" si="57"/>
        <v>+91-9692805007</v>
      </c>
      <c r="J3653">
        <f>91-9692805098</f>
        <v>-9692805007</v>
      </c>
      <c r="K3653" t="s">
        <v>80</v>
      </c>
      <c r="L3653" t="s">
        <v>20</v>
      </c>
      <c r="M3653">
        <v>917071</v>
      </c>
      <c r="N3653" s="1">
        <v>45188</v>
      </c>
      <c r="O3653" t="s">
        <v>28</v>
      </c>
      <c r="P3653">
        <v>6</v>
      </c>
      <c r="Q3653">
        <v>278974.95</v>
      </c>
    </row>
    <row r="3654" spans="1:17" x14ac:dyDescent="0.3">
      <c r="A3654" t="s">
        <v>7922</v>
      </c>
      <c r="B3654" t="s">
        <v>2739</v>
      </c>
      <c r="C3654" s="2" t="str">
        <f>PROPER(TRIM(Table1[[#This Row],[Gender]]))</f>
        <v>Female</v>
      </c>
      <c r="D3654" t="s">
        <v>43</v>
      </c>
      <c r="E3654">
        <v>53</v>
      </c>
      <c r="F3654" t="s">
        <v>17</v>
      </c>
      <c r="G3654" s="1">
        <v>26313</v>
      </c>
      <c r="H3654" t="s">
        <v>7923</v>
      </c>
      <c r="I3654" s="2" t="str">
        <f t="shared" si="57"/>
        <v>+91-9418086920</v>
      </c>
      <c r="J3654">
        <f>91-9418087011</f>
        <v>-9418086920</v>
      </c>
      <c r="K3654" t="s">
        <v>19</v>
      </c>
      <c r="L3654" t="s">
        <v>20</v>
      </c>
      <c r="M3654">
        <v>751551</v>
      </c>
      <c r="N3654" s="1">
        <v>45108</v>
      </c>
      <c r="O3654" t="s">
        <v>21</v>
      </c>
      <c r="P3654">
        <v>4</v>
      </c>
      <c r="Q3654">
        <v>23271.97</v>
      </c>
    </row>
    <row r="3655" spans="1:17" x14ac:dyDescent="0.3">
      <c r="A3655" t="s">
        <v>7924</v>
      </c>
      <c r="B3655" t="s">
        <v>2221</v>
      </c>
      <c r="C3655" s="2" t="str">
        <f>PROPER(TRIM(Table1[[#This Row],[Gender]]))</f>
        <v>Male</v>
      </c>
      <c r="D3655" t="s">
        <v>16</v>
      </c>
      <c r="E3655">
        <v>41</v>
      </c>
      <c r="F3655" t="s">
        <v>38</v>
      </c>
      <c r="G3655" s="1">
        <v>30693</v>
      </c>
      <c r="H3655" t="s">
        <v>7925</v>
      </c>
      <c r="I3655" s="2" t="str">
        <f t="shared" si="57"/>
        <v>+91-8278862603</v>
      </c>
      <c r="J3655">
        <f>91-8278862694</f>
        <v>-8278862603</v>
      </c>
      <c r="K3655" t="s">
        <v>26</v>
      </c>
      <c r="L3655" t="s">
        <v>27</v>
      </c>
      <c r="M3655">
        <v>721539</v>
      </c>
      <c r="N3655" s="1">
        <v>45311</v>
      </c>
      <c r="O3655" t="s">
        <v>28</v>
      </c>
      <c r="P3655">
        <v>5</v>
      </c>
      <c r="Q3655">
        <v>210290.95</v>
      </c>
    </row>
    <row r="3656" spans="1:17" x14ac:dyDescent="0.3">
      <c r="A3656" t="s">
        <v>7926</v>
      </c>
      <c r="B3656" t="s">
        <v>428</v>
      </c>
      <c r="C3656" s="2" t="str">
        <f>PROPER(TRIM(Table1[[#This Row],[Gender]]))</f>
        <v>Male</v>
      </c>
      <c r="D3656" t="s">
        <v>16</v>
      </c>
      <c r="E3656">
        <v>24</v>
      </c>
      <c r="F3656" t="s">
        <v>49</v>
      </c>
      <c r="G3656" s="1">
        <v>36898</v>
      </c>
      <c r="H3656" t="s">
        <v>7927</v>
      </c>
      <c r="I3656" s="2" t="str">
        <f t="shared" si="57"/>
        <v>+91-8124098731</v>
      </c>
      <c r="J3656">
        <f>91-8124098822</f>
        <v>-8124098731</v>
      </c>
      <c r="K3656" t="s">
        <v>72</v>
      </c>
      <c r="L3656" t="s">
        <v>34</v>
      </c>
      <c r="M3656">
        <v>361406</v>
      </c>
      <c r="N3656" s="1">
        <v>45199</v>
      </c>
      <c r="O3656" t="s">
        <v>28</v>
      </c>
      <c r="P3656">
        <v>3</v>
      </c>
      <c r="Q3656">
        <v>82813.89</v>
      </c>
    </row>
    <row r="3657" spans="1:17" x14ac:dyDescent="0.3">
      <c r="A3657" t="s">
        <v>7928</v>
      </c>
      <c r="B3657" t="s">
        <v>3842</v>
      </c>
      <c r="C3657" s="2" t="str">
        <f>PROPER(TRIM(Table1[[#This Row],[Gender]]))</f>
        <v>Female</v>
      </c>
      <c r="D3657" t="s">
        <v>43</v>
      </c>
      <c r="E3657">
        <v>30</v>
      </c>
      <c r="F3657" t="s">
        <v>31</v>
      </c>
      <c r="G3657" s="1">
        <v>34708</v>
      </c>
      <c r="H3657" t="s">
        <v>7929</v>
      </c>
      <c r="I3657" s="2" t="str">
        <f t="shared" si="57"/>
        <v>+91-8424386045</v>
      </c>
      <c r="J3657">
        <f>91-8424386136</f>
        <v>-8424386045</v>
      </c>
      <c r="K3657" t="s">
        <v>40</v>
      </c>
      <c r="L3657" t="s">
        <v>27</v>
      </c>
      <c r="M3657">
        <v>809611</v>
      </c>
      <c r="N3657" s="1">
        <v>45201</v>
      </c>
      <c r="O3657" t="s">
        <v>21</v>
      </c>
      <c r="P3657">
        <v>4</v>
      </c>
      <c r="Q3657">
        <v>26544.58</v>
      </c>
    </row>
    <row r="3658" spans="1:17" x14ac:dyDescent="0.3">
      <c r="A3658" t="s">
        <v>7930</v>
      </c>
      <c r="B3658" t="s">
        <v>3645</v>
      </c>
      <c r="C3658" s="2" t="str">
        <f>PROPER(TRIM(Table1[[#This Row],[Gender]]))</f>
        <v>Male</v>
      </c>
      <c r="D3658" t="s">
        <v>16</v>
      </c>
      <c r="E3658">
        <v>29</v>
      </c>
      <c r="F3658" t="s">
        <v>31</v>
      </c>
      <c r="G3658" s="1">
        <v>35073</v>
      </c>
      <c r="H3658" t="s">
        <v>7931</v>
      </c>
      <c r="I3658" s="2" t="str">
        <f t="shared" si="57"/>
        <v>+91-7952384689</v>
      </c>
      <c r="J3658">
        <f>91-7952384780</f>
        <v>-7952384689</v>
      </c>
      <c r="K3658" t="s">
        <v>142</v>
      </c>
      <c r="L3658" t="s">
        <v>143</v>
      </c>
      <c r="M3658">
        <v>824746</v>
      </c>
      <c r="N3658" s="1">
        <v>45334</v>
      </c>
      <c r="O3658" t="s">
        <v>28</v>
      </c>
      <c r="P3658">
        <v>6</v>
      </c>
      <c r="Q3658">
        <v>104660.49</v>
      </c>
    </row>
    <row r="3659" spans="1:17" x14ac:dyDescent="0.3">
      <c r="A3659" t="s">
        <v>7932</v>
      </c>
      <c r="B3659" t="s">
        <v>23</v>
      </c>
      <c r="C3659" s="2" t="str">
        <f>PROPER(TRIM(Table1[[#This Row],[Gender]]))</f>
        <v>Male</v>
      </c>
      <c r="D3659" t="s">
        <v>16</v>
      </c>
      <c r="E3659">
        <v>47</v>
      </c>
      <c r="F3659" t="s">
        <v>17</v>
      </c>
      <c r="G3659" s="1">
        <v>28503</v>
      </c>
      <c r="H3659" t="s">
        <v>7933</v>
      </c>
      <c r="I3659" s="2" t="str">
        <f t="shared" si="57"/>
        <v>+91-7645473987</v>
      </c>
      <c r="J3659">
        <f>91-7645474078</f>
        <v>-7645473987</v>
      </c>
      <c r="K3659" t="s">
        <v>80</v>
      </c>
      <c r="L3659" t="s">
        <v>20</v>
      </c>
      <c r="M3659">
        <v>883635</v>
      </c>
      <c r="N3659" s="1">
        <v>45337</v>
      </c>
      <c r="O3659" t="s">
        <v>35</v>
      </c>
      <c r="P3659">
        <v>3</v>
      </c>
      <c r="Q3659">
        <v>7336.74</v>
      </c>
    </row>
    <row r="3660" spans="1:17" x14ac:dyDescent="0.3">
      <c r="A3660" t="s">
        <v>7934</v>
      </c>
      <c r="B3660" t="s">
        <v>3215</v>
      </c>
      <c r="C3660" s="2" t="str">
        <f>PROPER(TRIM(Table1[[#This Row],[Gender]]))</f>
        <v>Male</v>
      </c>
      <c r="D3660" t="s">
        <v>16</v>
      </c>
      <c r="E3660">
        <v>52</v>
      </c>
      <c r="F3660" t="s">
        <v>17</v>
      </c>
      <c r="G3660" s="1">
        <v>26678</v>
      </c>
      <c r="H3660" t="s">
        <v>7935</v>
      </c>
      <c r="I3660" s="2" t="str">
        <f t="shared" si="57"/>
        <v>+91-9804138371</v>
      </c>
      <c r="J3660">
        <f>91-9804138462</f>
        <v>-9804138371</v>
      </c>
      <c r="K3660" t="s">
        <v>72</v>
      </c>
      <c r="L3660" t="s">
        <v>34</v>
      </c>
      <c r="M3660">
        <v>690336</v>
      </c>
      <c r="N3660" s="1">
        <v>45330</v>
      </c>
      <c r="O3660" t="s">
        <v>35</v>
      </c>
      <c r="P3660">
        <v>6</v>
      </c>
      <c r="Q3660">
        <v>16494.580000000002</v>
      </c>
    </row>
    <row r="3661" spans="1:17" x14ac:dyDescent="0.3">
      <c r="A3661" t="s">
        <v>7936</v>
      </c>
      <c r="B3661" t="s">
        <v>784</v>
      </c>
      <c r="C3661" s="2" t="str">
        <f>PROPER(TRIM(Table1[[#This Row],[Gender]]))</f>
        <v>Male</v>
      </c>
      <c r="D3661" t="s">
        <v>16</v>
      </c>
      <c r="E3661">
        <v>48</v>
      </c>
      <c r="F3661" t="s">
        <v>17</v>
      </c>
      <c r="G3661" s="1">
        <v>28138</v>
      </c>
      <c r="H3661" t="s">
        <v>4487</v>
      </c>
      <c r="I3661" s="2" t="str">
        <f t="shared" si="57"/>
        <v>+91-7675443975</v>
      </c>
      <c r="J3661">
        <f>91-7675444066</f>
        <v>-7675443975</v>
      </c>
      <c r="K3661" t="s">
        <v>19</v>
      </c>
      <c r="L3661" t="s">
        <v>20</v>
      </c>
      <c r="M3661">
        <v>236640</v>
      </c>
      <c r="N3661" s="1">
        <v>45200</v>
      </c>
      <c r="O3661" t="s">
        <v>35</v>
      </c>
      <c r="P3661">
        <v>2</v>
      </c>
      <c r="Q3661">
        <v>18533.29</v>
      </c>
    </row>
    <row r="3662" spans="1:17" x14ac:dyDescent="0.3">
      <c r="A3662" t="s">
        <v>7937</v>
      </c>
      <c r="B3662" t="s">
        <v>540</v>
      </c>
      <c r="C3662" s="2" t="str">
        <f>PROPER(TRIM(Table1[[#This Row],[Gender]]))</f>
        <v>Female</v>
      </c>
      <c r="D3662" t="s">
        <v>43</v>
      </c>
      <c r="E3662">
        <v>75</v>
      </c>
      <c r="F3662" t="s">
        <v>24</v>
      </c>
      <c r="G3662" s="1">
        <v>18283</v>
      </c>
      <c r="H3662" t="s">
        <v>7938</v>
      </c>
      <c r="I3662" s="2" t="str">
        <f t="shared" si="57"/>
        <v>+91-7372091564</v>
      </c>
      <c r="J3662">
        <f>91-7372091655</f>
        <v>-7372091564</v>
      </c>
      <c r="K3662" t="s">
        <v>60</v>
      </c>
      <c r="L3662" t="s">
        <v>34</v>
      </c>
      <c r="M3662">
        <v>149012</v>
      </c>
      <c r="N3662" s="1">
        <v>45113</v>
      </c>
      <c r="O3662" t="s">
        <v>28</v>
      </c>
      <c r="P3662">
        <v>5</v>
      </c>
      <c r="Q3662">
        <v>53878.91</v>
      </c>
    </row>
    <row r="3663" spans="1:17" x14ac:dyDescent="0.3">
      <c r="A3663" t="s">
        <v>7939</v>
      </c>
      <c r="B3663" t="s">
        <v>975</v>
      </c>
      <c r="C3663" s="2" t="str">
        <f>PROPER(TRIM(Table1[[#This Row],[Gender]]))</f>
        <v>Male</v>
      </c>
      <c r="D3663" t="s">
        <v>16</v>
      </c>
      <c r="E3663">
        <v>30</v>
      </c>
      <c r="F3663" t="s">
        <v>31</v>
      </c>
      <c r="G3663" s="1">
        <v>34708</v>
      </c>
      <c r="H3663" t="s">
        <v>7940</v>
      </c>
      <c r="I3663" s="2" t="str">
        <f t="shared" si="57"/>
        <v>+91-9119337147</v>
      </c>
      <c r="J3663">
        <f>91-9119337238</f>
        <v>-9119337147</v>
      </c>
      <c r="K3663" t="s">
        <v>138</v>
      </c>
      <c r="L3663" t="s">
        <v>90</v>
      </c>
      <c r="M3663">
        <v>150498</v>
      </c>
      <c r="N3663" s="1">
        <v>45287</v>
      </c>
      <c r="O3663" t="s">
        <v>28</v>
      </c>
      <c r="P3663">
        <v>4</v>
      </c>
      <c r="Q3663">
        <v>206065.51</v>
      </c>
    </row>
    <row r="3664" spans="1:17" x14ac:dyDescent="0.3">
      <c r="A3664" t="s">
        <v>7941</v>
      </c>
      <c r="B3664" t="s">
        <v>2003</v>
      </c>
      <c r="C3664" s="2" t="str">
        <f>PROPER(TRIM(Table1[[#This Row],[Gender]]))</f>
        <v>Male</v>
      </c>
      <c r="D3664" t="s">
        <v>16</v>
      </c>
      <c r="E3664">
        <v>20</v>
      </c>
      <c r="F3664" t="s">
        <v>49</v>
      </c>
      <c r="G3664" s="1">
        <v>38358</v>
      </c>
      <c r="H3664" t="s">
        <v>7942</v>
      </c>
      <c r="I3664" s="2" t="str">
        <f t="shared" si="57"/>
        <v>+91-9841780254</v>
      </c>
      <c r="J3664">
        <f>91-9841780345</f>
        <v>-9841780254</v>
      </c>
      <c r="K3664" t="s">
        <v>580</v>
      </c>
      <c r="L3664" t="s">
        <v>85</v>
      </c>
      <c r="M3664">
        <v>848421</v>
      </c>
      <c r="N3664" s="1">
        <v>45325</v>
      </c>
      <c r="O3664" t="s">
        <v>28</v>
      </c>
      <c r="P3664">
        <v>4</v>
      </c>
      <c r="Q3664">
        <v>201669.92</v>
      </c>
    </row>
    <row r="3665" spans="1:17" x14ac:dyDescent="0.3">
      <c r="A3665" t="s">
        <v>7943</v>
      </c>
      <c r="B3665" t="s">
        <v>2932</v>
      </c>
      <c r="C3665" s="2" t="str">
        <f>PROPER(TRIM(Table1[[#This Row],[Gender]]))</f>
        <v>Female</v>
      </c>
      <c r="D3665" t="s">
        <v>43</v>
      </c>
      <c r="E3665">
        <v>29</v>
      </c>
      <c r="F3665" t="s">
        <v>31</v>
      </c>
      <c r="G3665" s="1">
        <v>35073</v>
      </c>
      <c r="H3665" t="s">
        <v>7944</v>
      </c>
      <c r="I3665" s="2" t="str">
        <f t="shared" si="57"/>
        <v>+91-9247484007</v>
      </c>
      <c r="J3665">
        <f>91-9247484098</f>
        <v>-9247484007</v>
      </c>
      <c r="K3665" t="s">
        <v>190</v>
      </c>
      <c r="L3665" t="s">
        <v>191</v>
      </c>
      <c r="M3665">
        <v>193224</v>
      </c>
      <c r="N3665" s="1">
        <v>45325</v>
      </c>
      <c r="O3665" t="s">
        <v>28</v>
      </c>
      <c r="P3665">
        <v>9</v>
      </c>
      <c r="Q3665">
        <v>348021.68</v>
      </c>
    </row>
    <row r="3666" spans="1:17" x14ac:dyDescent="0.3">
      <c r="A3666" t="s">
        <v>7945</v>
      </c>
      <c r="B3666" t="s">
        <v>197</v>
      </c>
      <c r="C3666" s="2" t="str">
        <f>PROPER(TRIM(Table1[[#This Row],[Gender]]))</f>
        <v>Male</v>
      </c>
      <c r="D3666" t="s">
        <v>16</v>
      </c>
      <c r="E3666">
        <v>34</v>
      </c>
      <c r="F3666" t="s">
        <v>31</v>
      </c>
      <c r="G3666" s="1">
        <v>33248</v>
      </c>
      <c r="H3666" t="s">
        <v>7946</v>
      </c>
      <c r="I3666" s="2" t="str">
        <f t="shared" si="57"/>
        <v>+91-8110985190</v>
      </c>
      <c r="J3666">
        <f>91-8110985281</f>
        <v>-8110985190</v>
      </c>
      <c r="K3666" t="s">
        <v>239</v>
      </c>
      <c r="L3666" t="s">
        <v>191</v>
      </c>
      <c r="M3666">
        <v>526564</v>
      </c>
      <c r="N3666" s="1">
        <v>45297</v>
      </c>
      <c r="O3666" t="s">
        <v>28</v>
      </c>
      <c r="P3666">
        <v>4</v>
      </c>
      <c r="Q3666">
        <v>68228.899999999994</v>
      </c>
    </row>
    <row r="3667" spans="1:17" x14ac:dyDescent="0.3">
      <c r="A3667" t="s">
        <v>7947</v>
      </c>
      <c r="B3667" t="s">
        <v>5664</v>
      </c>
      <c r="C3667" s="2" t="str">
        <f>PROPER(TRIM(Table1[[#This Row],[Gender]]))</f>
        <v>Male</v>
      </c>
      <c r="D3667" t="s">
        <v>16</v>
      </c>
      <c r="E3667">
        <v>28</v>
      </c>
      <c r="F3667" t="s">
        <v>31</v>
      </c>
      <c r="G3667" s="1">
        <v>35438</v>
      </c>
      <c r="H3667" t="s">
        <v>7948</v>
      </c>
      <c r="I3667" s="2" t="str">
        <f t="shared" si="57"/>
        <v>+91-7382356855</v>
      </c>
      <c r="J3667">
        <f>91-7382356946</f>
        <v>-7382356855</v>
      </c>
      <c r="K3667" t="s">
        <v>45</v>
      </c>
      <c r="L3667" t="s">
        <v>46</v>
      </c>
      <c r="M3667">
        <v>269883</v>
      </c>
      <c r="N3667" s="1">
        <v>45160</v>
      </c>
      <c r="O3667" t="s">
        <v>28</v>
      </c>
      <c r="P3667">
        <v>3</v>
      </c>
      <c r="Q3667">
        <v>89796.98</v>
      </c>
    </row>
    <row r="3668" spans="1:17" x14ac:dyDescent="0.3">
      <c r="A3668" t="s">
        <v>7949</v>
      </c>
      <c r="B3668" t="s">
        <v>1485</v>
      </c>
      <c r="C3668" s="2" t="str">
        <f>PROPER(TRIM(Table1[[#This Row],[Gender]]))</f>
        <v>Female</v>
      </c>
      <c r="D3668" t="s">
        <v>43</v>
      </c>
      <c r="E3668">
        <v>22</v>
      </c>
      <c r="F3668" t="s">
        <v>49</v>
      </c>
      <c r="G3668" s="1">
        <v>37628</v>
      </c>
      <c r="H3668" t="s">
        <v>7950</v>
      </c>
      <c r="I3668" s="2" t="str">
        <f t="shared" si="57"/>
        <v>+91-8463717550</v>
      </c>
      <c r="J3668">
        <f>91-8463717641</f>
        <v>-8463717550</v>
      </c>
      <c r="K3668" t="s">
        <v>125</v>
      </c>
      <c r="L3668" t="s">
        <v>52</v>
      </c>
      <c r="M3668">
        <v>242743</v>
      </c>
      <c r="N3668" s="1">
        <v>45135</v>
      </c>
      <c r="O3668" t="s">
        <v>28</v>
      </c>
      <c r="P3668">
        <v>6</v>
      </c>
      <c r="Q3668">
        <v>253135.52</v>
      </c>
    </row>
    <row r="3669" spans="1:17" x14ac:dyDescent="0.3">
      <c r="A3669" t="s">
        <v>7951</v>
      </c>
      <c r="B3669" t="s">
        <v>1580</v>
      </c>
      <c r="C3669" s="2" t="str">
        <f>PROPER(TRIM(Table1[[#This Row],[Gender]]))</f>
        <v>Male</v>
      </c>
      <c r="D3669" t="s">
        <v>16</v>
      </c>
      <c r="E3669">
        <v>21</v>
      </c>
      <c r="F3669" t="s">
        <v>49</v>
      </c>
      <c r="G3669" s="1">
        <v>37993</v>
      </c>
      <c r="H3669" t="s">
        <v>7952</v>
      </c>
      <c r="I3669" s="2" t="str">
        <f t="shared" si="57"/>
        <v>+91-7369894991</v>
      </c>
      <c r="J3669">
        <f>91-7369895082</f>
        <v>-7369894991</v>
      </c>
      <c r="K3669" t="s">
        <v>415</v>
      </c>
      <c r="L3669" t="s">
        <v>90</v>
      </c>
      <c r="M3669">
        <v>210391</v>
      </c>
      <c r="N3669" s="1">
        <v>45094</v>
      </c>
      <c r="O3669" t="s">
        <v>28</v>
      </c>
      <c r="P3669">
        <v>7</v>
      </c>
      <c r="Q3669">
        <v>266390.3</v>
      </c>
    </row>
    <row r="3670" spans="1:17" x14ac:dyDescent="0.3">
      <c r="A3670" t="s">
        <v>7953</v>
      </c>
      <c r="B3670" t="s">
        <v>6481</v>
      </c>
      <c r="C3670" s="2" t="str">
        <f>PROPER(TRIM(Table1[[#This Row],[Gender]]))</f>
        <v>Male</v>
      </c>
      <c r="D3670" t="s">
        <v>16</v>
      </c>
      <c r="E3670">
        <v>18</v>
      </c>
      <c r="F3670" t="s">
        <v>49</v>
      </c>
      <c r="G3670" s="1">
        <v>39088</v>
      </c>
      <c r="H3670" t="s">
        <v>7954</v>
      </c>
      <c r="I3670" s="2" t="str">
        <f t="shared" si="57"/>
        <v>+91-9797093081</v>
      </c>
      <c r="J3670">
        <f>91-9797093172</f>
        <v>-9797093081</v>
      </c>
      <c r="K3670" t="s">
        <v>94</v>
      </c>
      <c r="L3670" t="s">
        <v>20</v>
      </c>
      <c r="M3670">
        <v>354498</v>
      </c>
      <c r="N3670" s="1">
        <v>45264</v>
      </c>
      <c r="O3670" t="s">
        <v>28</v>
      </c>
      <c r="P3670">
        <v>5</v>
      </c>
      <c r="Q3670">
        <v>240114.81</v>
      </c>
    </row>
    <row r="3671" spans="1:17" x14ac:dyDescent="0.3">
      <c r="A3671" t="s">
        <v>7955</v>
      </c>
      <c r="B3671" t="s">
        <v>504</v>
      </c>
      <c r="C3671" s="2" t="str">
        <f>PROPER(TRIM(Table1[[#This Row],[Gender]]))</f>
        <v>Male</v>
      </c>
      <c r="D3671" t="s">
        <v>16</v>
      </c>
      <c r="E3671">
        <v>54</v>
      </c>
      <c r="F3671" t="s">
        <v>17</v>
      </c>
      <c r="G3671" s="1">
        <v>25948</v>
      </c>
      <c r="H3671" t="s">
        <v>7956</v>
      </c>
      <c r="I3671" s="2" t="str">
        <f t="shared" si="57"/>
        <v>+91-8729884944</v>
      </c>
      <c r="J3671">
        <f>91-8729885035</f>
        <v>-8729884944</v>
      </c>
      <c r="K3671" t="s">
        <v>174</v>
      </c>
      <c r="L3671" t="s">
        <v>90</v>
      </c>
      <c r="M3671">
        <v>431818</v>
      </c>
      <c r="N3671" s="1">
        <v>45348</v>
      </c>
      <c r="O3671" t="s">
        <v>35</v>
      </c>
      <c r="P3671">
        <v>3</v>
      </c>
      <c r="Q3671">
        <v>7962.89</v>
      </c>
    </row>
    <row r="3672" spans="1:17" x14ac:dyDescent="0.3">
      <c r="A3672" t="s">
        <v>7957</v>
      </c>
      <c r="B3672" t="s">
        <v>3297</v>
      </c>
      <c r="C3672" s="2" t="str">
        <f>PROPER(TRIM(Table1[[#This Row],[Gender]]))</f>
        <v>Female</v>
      </c>
      <c r="D3672" t="s">
        <v>43</v>
      </c>
      <c r="E3672">
        <v>21</v>
      </c>
      <c r="F3672" t="s">
        <v>49</v>
      </c>
      <c r="G3672" s="1">
        <v>37993</v>
      </c>
      <c r="H3672" t="s">
        <v>7958</v>
      </c>
      <c r="I3672" s="2" t="str">
        <f t="shared" si="57"/>
        <v>+91-8767596395</v>
      </c>
      <c r="J3672">
        <f>91-8767596486</f>
        <v>-8767596395</v>
      </c>
      <c r="K3672" t="s">
        <v>580</v>
      </c>
      <c r="L3672" t="s">
        <v>85</v>
      </c>
      <c r="M3672">
        <v>574177</v>
      </c>
      <c r="N3672" s="1">
        <v>45126</v>
      </c>
      <c r="O3672" t="s">
        <v>28</v>
      </c>
      <c r="P3672">
        <v>6</v>
      </c>
      <c r="Q3672">
        <v>77044.679999999993</v>
      </c>
    </row>
    <row r="3673" spans="1:17" x14ac:dyDescent="0.3">
      <c r="A3673" t="s">
        <v>7959</v>
      </c>
      <c r="B3673" t="s">
        <v>5077</v>
      </c>
      <c r="C3673" s="2" t="str">
        <f>PROPER(TRIM(Table1[[#This Row],[Gender]]))</f>
        <v>Male</v>
      </c>
      <c r="D3673" t="s">
        <v>16</v>
      </c>
      <c r="E3673">
        <v>32</v>
      </c>
      <c r="F3673" t="s">
        <v>31</v>
      </c>
      <c r="G3673" s="1">
        <v>33978</v>
      </c>
      <c r="H3673" t="s">
        <v>7960</v>
      </c>
      <c r="I3673" s="2" t="str">
        <f t="shared" si="57"/>
        <v>+91-7406692917</v>
      </c>
      <c r="J3673">
        <f>91-7406693008</f>
        <v>-7406692917</v>
      </c>
      <c r="K3673" t="s">
        <v>60</v>
      </c>
      <c r="L3673" t="s">
        <v>34</v>
      </c>
      <c r="M3673">
        <v>911112</v>
      </c>
      <c r="N3673" s="1">
        <v>45284</v>
      </c>
      <c r="O3673" t="s">
        <v>21</v>
      </c>
      <c r="P3673">
        <v>5</v>
      </c>
      <c r="Q3673">
        <v>20261.419999999998</v>
      </c>
    </row>
    <row r="3674" spans="1:17" x14ac:dyDescent="0.3">
      <c r="A3674" t="s">
        <v>7961</v>
      </c>
      <c r="B3674" t="s">
        <v>3898</v>
      </c>
      <c r="C3674" s="2" t="str">
        <f>PROPER(TRIM(Table1[[#This Row],[Gender]]))</f>
        <v>Male</v>
      </c>
      <c r="D3674" t="s">
        <v>16</v>
      </c>
      <c r="E3674">
        <v>29</v>
      </c>
      <c r="F3674" t="s">
        <v>31</v>
      </c>
      <c r="G3674" s="1">
        <v>35073</v>
      </c>
      <c r="H3674" t="s">
        <v>7962</v>
      </c>
      <c r="I3674" s="2" t="str">
        <f t="shared" si="57"/>
        <v>+91-9097342288</v>
      </c>
      <c r="J3674">
        <f>91-9097342379</f>
        <v>-9097342288</v>
      </c>
      <c r="K3674" t="s">
        <v>249</v>
      </c>
      <c r="L3674" t="s">
        <v>34</v>
      </c>
      <c r="M3674">
        <v>219130</v>
      </c>
      <c r="N3674" s="1">
        <v>45428</v>
      </c>
      <c r="O3674" t="s">
        <v>28</v>
      </c>
      <c r="P3674">
        <v>5</v>
      </c>
      <c r="Q3674">
        <v>143747.85</v>
      </c>
    </row>
    <row r="3675" spans="1:17" x14ac:dyDescent="0.3">
      <c r="A3675" t="s">
        <v>7963</v>
      </c>
      <c r="B3675" t="s">
        <v>4231</v>
      </c>
      <c r="C3675" s="2" t="str">
        <f>PROPER(TRIM(Table1[[#This Row],[Gender]]))</f>
        <v>Male</v>
      </c>
      <c r="D3675" t="s">
        <v>16</v>
      </c>
      <c r="E3675">
        <v>20</v>
      </c>
      <c r="F3675" t="s">
        <v>49</v>
      </c>
      <c r="G3675" s="1">
        <v>38358</v>
      </c>
      <c r="H3675" t="s">
        <v>7964</v>
      </c>
      <c r="I3675" s="2" t="str">
        <f t="shared" si="57"/>
        <v>+91-8559989591</v>
      </c>
      <c r="J3675">
        <f>91-8559989682</f>
        <v>-8559989591</v>
      </c>
      <c r="K3675" t="s">
        <v>249</v>
      </c>
      <c r="L3675" t="s">
        <v>34</v>
      </c>
      <c r="M3675">
        <v>800689</v>
      </c>
      <c r="N3675" s="1">
        <v>45364</v>
      </c>
      <c r="O3675" t="s">
        <v>35</v>
      </c>
      <c r="P3675">
        <v>2</v>
      </c>
      <c r="Q3675">
        <v>3417.98</v>
      </c>
    </row>
    <row r="3676" spans="1:17" x14ac:dyDescent="0.3">
      <c r="A3676" t="s">
        <v>7965</v>
      </c>
      <c r="B3676" t="s">
        <v>289</v>
      </c>
      <c r="C3676" s="2" t="str">
        <f>PROPER(TRIM(Table1[[#This Row],[Gender]]))</f>
        <v>Male</v>
      </c>
      <c r="D3676" t="s">
        <v>16</v>
      </c>
      <c r="E3676">
        <v>30</v>
      </c>
      <c r="F3676" t="s">
        <v>31</v>
      </c>
      <c r="G3676" s="1">
        <v>34708</v>
      </c>
      <c r="H3676" t="s">
        <v>4798</v>
      </c>
      <c r="I3676" s="2" t="str">
        <f t="shared" si="57"/>
        <v>+91-9445965331</v>
      </c>
      <c r="J3676">
        <f>91-9445965422</f>
        <v>-9445965331</v>
      </c>
      <c r="K3676" t="s">
        <v>68</v>
      </c>
      <c r="L3676" t="s">
        <v>52</v>
      </c>
      <c r="M3676">
        <v>845475</v>
      </c>
      <c r="N3676" s="1">
        <v>45302</v>
      </c>
      <c r="O3676" t="s">
        <v>28</v>
      </c>
      <c r="P3676">
        <v>8</v>
      </c>
      <c r="Q3676">
        <v>146118.35</v>
      </c>
    </row>
    <row r="3677" spans="1:17" x14ac:dyDescent="0.3">
      <c r="A3677" t="s">
        <v>7966</v>
      </c>
      <c r="B3677" t="s">
        <v>1428</v>
      </c>
      <c r="C3677" s="2" t="str">
        <f>PROPER(TRIM(Table1[[#This Row],[Gender]]))</f>
        <v>Female</v>
      </c>
      <c r="D3677" t="s">
        <v>43</v>
      </c>
      <c r="E3677">
        <v>42</v>
      </c>
      <c r="F3677" t="s">
        <v>38</v>
      </c>
      <c r="G3677" s="1">
        <v>30328</v>
      </c>
      <c r="H3677" t="s">
        <v>7967</v>
      </c>
      <c r="I3677" s="2" t="str">
        <f t="shared" si="57"/>
        <v>+91-8846369392</v>
      </c>
      <c r="J3677">
        <f>91-8846369483</f>
        <v>-8846369392</v>
      </c>
      <c r="K3677" t="s">
        <v>94</v>
      </c>
      <c r="L3677" t="s">
        <v>20</v>
      </c>
      <c r="M3677">
        <v>220176</v>
      </c>
      <c r="N3677" s="1">
        <v>45107</v>
      </c>
      <c r="O3677" t="s">
        <v>28</v>
      </c>
      <c r="P3677">
        <v>6</v>
      </c>
      <c r="Q3677">
        <v>119839.99</v>
      </c>
    </row>
    <row r="3678" spans="1:17" x14ac:dyDescent="0.3">
      <c r="A3678" t="s">
        <v>7968</v>
      </c>
      <c r="B3678" t="s">
        <v>321</v>
      </c>
      <c r="C3678" s="2" t="str">
        <f>PROPER(TRIM(Table1[[#This Row],[Gender]]))</f>
        <v>Female</v>
      </c>
      <c r="D3678" t="s">
        <v>43</v>
      </c>
      <c r="E3678">
        <v>50</v>
      </c>
      <c r="F3678" t="s">
        <v>17</v>
      </c>
      <c r="G3678" s="1">
        <v>27408</v>
      </c>
      <c r="H3678" t="s">
        <v>7969</v>
      </c>
      <c r="I3678" s="2" t="str">
        <f t="shared" si="57"/>
        <v>+91-7807248941</v>
      </c>
      <c r="J3678">
        <f>91-7807249032</f>
        <v>-7807248941</v>
      </c>
      <c r="K3678" t="s">
        <v>190</v>
      </c>
      <c r="L3678" t="s">
        <v>191</v>
      </c>
      <c r="M3678">
        <v>231941</v>
      </c>
      <c r="N3678" s="1">
        <v>45325</v>
      </c>
      <c r="O3678" t="s">
        <v>28</v>
      </c>
      <c r="P3678">
        <v>6</v>
      </c>
      <c r="Q3678">
        <v>85108.11</v>
      </c>
    </row>
    <row r="3679" spans="1:17" x14ac:dyDescent="0.3">
      <c r="A3679" t="s">
        <v>7970</v>
      </c>
      <c r="B3679" t="s">
        <v>1600</v>
      </c>
      <c r="C3679" s="2" t="str">
        <f>PROPER(TRIM(Table1[[#This Row],[Gender]]))</f>
        <v>Male</v>
      </c>
      <c r="D3679" t="s">
        <v>16</v>
      </c>
      <c r="E3679">
        <v>45</v>
      </c>
      <c r="F3679" t="s">
        <v>38</v>
      </c>
      <c r="G3679" s="1">
        <v>29233</v>
      </c>
      <c r="H3679" t="s">
        <v>7971</v>
      </c>
      <c r="I3679" s="2" t="str">
        <f t="shared" si="57"/>
        <v>+91-7365262323</v>
      </c>
      <c r="J3679">
        <f>91-7365262414</f>
        <v>-7365262323</v>
      </c>
      <c r="K3679" t="s">
        <v>142</v>
      </c>
      <c r="L3679" t="s">
        <v>143</v>
      </c>
      <c r="M3679">
        <v>513585</v>
      </c>
      <c r="N3679" s="1">
        <v>45095</v>
      </c>
      <c r="O3679" t="s">
        <v>28</v>
      </c>
      <c r="P3679">
        <v>6</v>
      </c>
      <c r="Q3679">
        <v>203955.08</v>
      </c>
    </row>
    <row r="3680" spans="1:17" x14ac:dyDescent="0.3">
      <c r="A3680" t="s">
        <v>7972</v>
      </c>
      <c r="B3680" t="s">
        <v>197</v>
      </c>
      <c r="C3680" s="2" t="str">
        <f>PROPER(TRIM(Table1[[#This Row],[Gender]]))</f>
        <v>Male</v>
      </c>
      <c r="D3680" t="s">
        <v>16</v>
      </c>
      <c r="E3680">
        <v>59</v>
      </c>
      <c r="F3680" t="s">
        <v>58</v>
      </c>
      <c r="G3680" s="1">
        <v>24123</v>
      </c>
      <c r="H3680" t="s">
        <v>7973</v>
      </c>
      <c r="I3680" s="2" t="str">
        <f t="shared" si="57"/>
        <v>+91-9835364928</v>
      </c>
      <c r="J3680">
        <f>91-9835365019</f>
        <v>-9835364928</v>
      </c>
      <c r="K3680" t="s">
        <v>45</v>
      </c>
      <c r="L3680" t="s">
        <v>46</v>
      </c>
      <c r="M3680">
        <v>984983</v>
      </c>
      <c r="N3680" s="1">
        <v>45326</v>
      </c>
      <c r="O3680" t="s">
        <v>21</v>
      </c>
      <c r="P3680">
        <v>8</v>
      </c>
      <c r="Q3680">
        <v>29199.54</v>
      </c>
    </row>
    <row r="3681" spans="1:17" x14ac:dyDescent="0.3">
      <c r="A3681" t="s">
        <v>7974</v>
      </c>
      <c r="B3681" t="s">
        <v>251</v>
      </c>
      <c r="C3681" s="2" t="str">
        <f>PROPER(TRIM(Table1[[#This Row],[Gender]]))</f>
        <v>Female</v>
      </c>
      <c r="D3681" t="s">
        <v>43</v>
      </c>
      <c r="E3681">
        <v>29</v>
      </c>
      <c r="F3681" t="s">
        <v>31</v>
      </c>
      <c r="G3681" s="1">
        <v>35073</v>
      </c>
      <c r="H3681" t="s">
        <v>7975</v>
      </c>
      <c r="I3681" s="2" t="str">
        <f t="shared" si="57"/>
        <v>+91-7883844032</v>
      </c>
      <c r="J3681">
        <f>91-7883844123</f>
        <v>-7883844032</v>
      </c>
      <c r="K3681" t="s">
        <v>113</v>
      </c>
      <c r="L3681" t="s">
        <v>34</v>
      </c>
      <c r="M3681">
        <v>203634</v>
      </c>
      <c r="N3681" s="1">
        <v>45144</v>
      </c>
      <c r="O3681" t="s">
        <v>28</v>
      </c>
      <c r="P3681">
        <v>5</v>
      </c>
      <c r="Q3681">
        <v>321790.94</v>
      </c>
    </row>
    <row r="3682" spans="1:17" x14ac:dyDescent="0.3">
      <c r="A3682" t="s">
        <v>7976</v>
      </c>
      <c r="B3682" t="s">
        <v>672</v>
      </c>
      <c r="C3682" s="2" t="str">
        <f>PROPER(TRIM(Table1[[#This Row],[Gender]]))</f>
        <v>Female</v>
      </c>
      <c r="D3682" t="s">
        <v>43</v>
      </c>
      <c r="E3682">
        <v>75</v>
      </c>
      <c r="F3682" t="s">
        <v>24</v>
      </c>
      <c r="G3682" s="1">
        <v>18283</v>
      </c>
      <c r="H3682" t="s">
        <v>7977</v>
      </c>
      <c r="I3682" s="2" t="str">
        <f t="shared" si="57"/>
        <v>+91-8757434872</v>
      </c>
      <c r="J3682">
        <f>91-8757434963</f>
        <v>-8757434872</v>
      </c>
      <c r="K3682" t="s">
        <v>84</v>
      </c>
      <c r="L3682" t="s">
        <v>85</v>
      </c>
      <c r="M3682">
        <v>501659</v>
      </c>
      <c r="N3682" s="1">
        <v>45411</v>
      </c>
      <c r="O3682" t="s">
        <v>28</v>
      </c>
      <c r="P3682">
        <v>6</v>
      </c>
      <c r="Q3682">
        <v>72877.570000000007</v>
      </c>
    </row>
    <row r="3683" spans="1:17" x14ac:dyDescent="0.3">
      <c r="A3683" t="s">
        <v>7978</v>
      </c>
      <c r="B3683" t="s">
        <v>2651</v>
      </c>
      <c r="C3683" s="2" t="str">
        <f>PROPER(TRIM(Table1[[#This Row],[Gender]]))</f>
        <v>Male</v>
      </c>
      <c r="D3683" t="s">
        <v>16</v>
      </c>
      <c r="E3683">
        <v>21</v>
      </c>
      <c r="F3683" t="s">
        <v>49</v>
      </c>
      <c r="G3683" s="1">
        <v>37993</v>
      </c>
      <c r="H3683" t="s">
        <v>7979</v>
      </c>
      <c r="I3683" s="2" t="str">
        <f t="shared" si="57"/>
        <v>+91-8179803627</v>
      </c>
      <c r="J3683">
        <f>91-8179803718</f>
        <v>-8179803627</v>
      </c>
      <c r="K3683" t="s">
        <v>19</v>
      </c>
      <c r="L3683" t="s">
        <v>20</v>
      </c>
      <c r="M3683">
        <v>887133</v>
      </c>
      <c r="N3683" s="1">
        <v>45138</v>
      </c>
      <c r="O3683" t="s">
        <v>35</v>
      </c>
      <c r="P3683">
        <v>3</v>
      </c>
      <c r="Q3683">
        <v>9692.76</v>
      </c>
    </row>
    <row r="3684" spans="1:17" x14ac:dyDescent="0.3">
      <c r="A3684" t="s">
        <v>7980</v>
      </c>
      <c r="B3684" t="s">
        <v>349</v>
      </c>
      <c r="C3684" s="2" t="str">
        <f>PROPER(TRIM(Table1[[#This Row],[Gender]]))</f>
        <v>Female</v>
      </c>
      <c r="D3684" t="s">
        <v>43</v>
      </c>
      <c r="E3684">
        <v>30</v>
      </c>
      <c r="F3684" t="s">
        <v>31</v>
      </c>
      <c r="G3684" s="1">
        <v>34708</v>
      </c>
      <c r="H3684" t="s">
        <v>7981</v>
      </c>
      <c r="I3684" s="2" t="str">
        <f t="shared" si="57"/>
        <v>+91-7862270400</v>
      </c>
      <c r="J3684">
        <f>91-7862270491</f>
        <v>-7862270400</v>
      </c>
      <c r="K3684" t="s">
        <v>94</v>
      </c>
      <c r="L3684" t="s">
        <v>20</v>
      </c>
      <c r="M3684">
        <v>756065</v>
      </c>
      <c r="N3684" s="1">
        <v>45295</v>
      </c>
      <c r="O3684" t="s">
        <v>28</v>
      </c>
      <c r="P3684">
        <v>9</v>
      </c>
      <c r="Q3684">
        <v>319274.40000000002</v>
      </c>
    </row>
    <row r="3685" spans="1:17" x14ac:dyDescent="0.3">
      <c r="A3685" t="s">
        <v>7982</v>
      </c>
      <c r="B3685" t="s">
        <v>969</v>
      </c>
      <c r="C3685" s="2" t="str">
        <f>PROPER(TRIM(Table1[[#This Row],[Gender]]))</f>
        <v>Male</v>
      </c>
      <c r="D3685" t="s">
        <v>16</v>
      </c>
      <c r="E3685">
        <v>35</v>
      </c>
      <c r="F3685" t="s">
        <v>31</v>
      </c>
      <c r="G3685" s="1">
        <v>32883</v>
      </c>
      <c r="H3685" t="s">
        <v>7983</v>
      </c>
      <c r="I3685" s="2" t="str">
        <f t="shared" si="57"/>
        <v>+91-9985199036</v>
      </c>
      <c r="J3685">
        <f>91-9985199127</f>
        <v>-9985199036</v>
      </c>
      <c r="K3685" t="s">
        <v>19</v>
      </c>
      <c r="L3685" t="s">
        <v>20</v>
      </c>
      <c r="M3685">
        <v>874085</v>
      </c>
      <c r="N3685" s="1">
        <v>45203</v>
      </c>
      <c r="O3685" t="s">
        <v>28</v>
      </c>
      <c r="P3685">
        <v>3</v>
      </c>
      <c r="Q3685">
        <v>179018.1</v>
      </c>
    </row>
    <row r="3686" spans="1:17" x14ac:dyDescent="0.3">
      <c r="A3686" t="s">
        <v>7984</v>
      </c>
      <c r="B3686" t="s">
        <v>1885</v>
      </c>
      <c r="C3686" s="2" t="str">
        <f>PROPER(TRIM(Table1[[#This Row],[Gender]]))</f>
        <v>Male</v>
      </c>
      <c r="D3686" t="s">
        <v>16</v>
      </c>
      <c r="E3686">
        <v>28</v>
      </c>
      <c r="F3686" t="s">
        <v>31</v>
      </c>
      <c r="G3686" s="1">
        <v>35438</v>
      </c>
      <c r="H3686" t="s">
        <v>7985</v>
      </c>
      <c r="I3686" s="2" t="str">
        <f t="shared" si="57"/>
        <v>+91-9821346787</v>
      </c>
      <c r="J3686">
        <f>91-9821346878</f>
        <v>-9821346787</v>
      </c>
      <c r="K3686" t="s">
        <v>154</v>
      </c>
      <c r="L3686" t="s">
        <v>46</v>
      </c>
      <c r="M3686">
        <v>800549</v>
      </c>
      <c r="N3686" s="1">
        <v>45247</v>
      </c>
      <c r="O3686" t="s">
        <v>28</v>
      </c>
      <c r="P3686">
        <v>4</v>
      </c>
      <c r="Q3686">
        <v>138059.57999999999</v>
      </c>
    </row>
    <row r="3687" spans="1:17" x14ac:dyDescent="0.3">
      <c r="A3687" t="s">
        <v>7986</v>
      </c>
      <c r="B3687" t="s">
        <v>7987</v>
      </c>
      <c r="C3687" s="2" t="str">
        <f>PROPER(TRIM(Table1[[#This Row],[Gender]]))</f>
        <v>Male</v>
      </c>
      <c r="D3687" t="s">
        <v>16</v>
      </c>
      <c r="E3687">
        <v>23</v>
      </c>
      <c r="F3687" t="s">
        <v>49</v>
      </c>
      <c r="G3687" s="1">
        <v>37263</v>
      </c>
      <c r="H3687" t="s">
        <v>7988</v>
      </c>
      <c r="I3687" s="2" t="str">
        <f t="shared" si="57"/>
        <v>+91-9490371581</v>
      </c>
      <c r="J3687">
        <f>91-9490371672</f>
        <v>-9490371581</v>
      </c>
      <c r="K3687" t="s">
        <v>64</v>
      </c>
      <c r="L3687" t="s">
        <v>20</v>
      </c>
      <c r="M3687">
        <v>302916</v>
      </c>
      <c r="N3687" s="1">
        <v>45156</v>
      </c>
      <c r="O3687" t="s">
        <v>28</v>
      </c>
      <c r="P3687">
        <v>8</v>
      </c>
      <c r="Q3687">
        <v>190277.46</v>
      </c>
    </row>
    <row r="3688" spans="1:17" x14ac:dyDescent="0.3">
      <c r="A3688" t="s">
        <v>7989</v>
      </c>
      <c r="B3688" t="s">
        <v>324</v>
      </c>
      <c r="C3688" s="2" t="str">
        <f>PROPER(TRIM(Table1[[#This Row],[Gender]]))</f>
        <v>Female</v>
      </c>
      <c r="D3688" t="s">
        <v>43</v>
      </c>
      <c r="E3688">
        <v>44</v>
      </c>
      <c r="F3688" t="s">
        <v>38</v>
      </c>
      <c r="G3688" s="1">
        <v>29598</v>
      </c>
      <c r="H3688" t="s">
        <v>7990</v>
      </c>
      <c r="I3688" s="2" t="str">
        <f t="shared" si="57"/>
        <v>+91-8701905323</v>
      </c>
      <c r="J3688">
        <f>91-8701905414</f>
        <v>-8701905323</v>
      </c>
      <c r="K3688" t="s">
        <v>45</v>
      </c>
      <c r="L3688" t="s">
        <v>46</v>
      </c>
      <c r="M3688">
        <v>863775</v>
      </c>
      <c r="N3688" s="1">
        <v>45436</v>
      </c>
      <c r="O3688" t="s">
        <v>21</v>
      </c>
      <c r="P3688">
        <v>4</v>
      </c>
      <c r="Q3688">
        <v>27302.65</v>
      </c>
    </row>
    <row r="3689" spans="1:17" x14ac:dyDescent="0.3">
      <c r="A3689" t="s">
        <v>7991</v>
      </c>
      <c r="B3689" t="s">
        <v>359</v>
      </c>
      <c r="C3689" s="2" t="str">
        <f>PROPER(TRIM(Table1[[#This Row],[Gender]]))</f>
        <v>Male</v>
      </c>
      <c r="D3689" t="s">
        <v>16</v>
      </c>
      <c r="E3689">
        <v>34</v>
      </c>
      <c r="F3689" t="s">
        <v>31</v>
      </c>
      <c r="G3689" s="1">
        <v>33248</v>
      </c>
      <c r="H3689" t="s">
        <v>7145</v>
      </c>
      <c r="I3689" s="2" t="str">
        <f t="shared" si="57"/>
        <v>+91-7794879151</v>
      </c>
      <c r="J3689">
        <f>91-7794879242</f>
        <v>-7794879151</v>
      </c>
      <c r="K3689" t="s">
        <v>89</v>
      </c>
      <c r="L3689" t="s">
        <v>90</v>
      </c>
      <c r="M3689">
        <v>675387</v>
      </c>
      <c r="N3689" s="1">
        <v>45082</v>
      </c>
      <c r="O3689" t="s">
        <v>28</v>
      </c>
      <c r="P3689">
        <v>7</v>
      </c>
      <c r="Q3689">
        <v>207116.42</v>
      </c>
    </row>
    <row r="3690" spans="1:17" x14ac:dyDescent="0.3">
      <c r="A3690" t="s">
        <v>7992</v>
      </c>
      <c r="B3690" t="s">
        <v>1588</v>
      </c>
      <c r="C3690" s="2" t="str">
        <f>PROPER(TRIM(Table1[[#This Row],[Gender]]))</f>
        <v>Female</v>
      </c>
      <c r="D3690" t="s">
        <v>43</v>
      </c>
      <c r="E3690">
        <v>43</v>
      </c>
      <c r="F3690" t="s">
        <v>38</v>
      </c>
      <c r="G3690" s="1">
        <v>29963</v>
      </c>
      <c r="H3690" t="s">
        <v>7993</v>
      </c>
      <c r="I3690" s="2" t="str">
        <f t="shared" si="57"/>
        <v>+91-7456898028</v>
      </c>
      <c r="J3690">
        <f>91-7456898119</f>
        <v>-7456898028</v>
      </c>
      <c r="K3690" t="s">
        <v>89</v>
      </c>
      <c r="L3690" t="s">
        <v>90</v>
      </c>
      <c r="M3690">
        <v>413406</v>
      </c>
      <c r="N3690" s="1">
        <v>45282</v>
      </c>
      <c r="O3690" t="s">
        <v>35</v>
      </c>
      <c r="P3690">
        <v>2</v>
      </c>
      <c r="Q3690">
        <v>1287.93</v>
      </c>
    </row>
    <row r="3691" spans="1:17" x14ac:dyDescent="0.3">
      <c r="A3691" t="s">
        <v>7994</v>
      </c>
      <c r="B3691" t="s">
        <v>2927</v>
      </c>
      <c r="C3691" s="2" t="str">
        <f>PROPER(TRIM(Table1[[#This Row],[Gender]]))</f>
        <v>Male</v>
      </c>
      <c r="D3691" t="s">
        <v>16</v>
      </c>
      <c r="E3691">
        <v>36</v>
      </c>
      <c r="F3691" t="s">
        <v>38</v>
      </c>
      <c r="G3691" s="1">
        <v>32518</v>
      </c>
      <c r="H3691" t="s">
        <v>7995</v>
      </c>
      <c r="I3691" s="2" t="str">
        <f t="shared" si="57"/>
        <v>+91-9742203035</v>
      </c>
      <c r="J3691">
        <f>91-9742203126</f>
        <v>-9742203035</v>
      </c>
      <c r="K3691" t="s">
        <v>19</v>
      </c>
      <c r="L3691" t="s">
        <v>20</v>
      </c>
      <c r="M3691">
        <v>649625</v>
      </c>
      <c r="N3691" s="1">
        <v>45335</v>
      </c>
      <c r="O3691" t="s">
        <v>28</v>
      </c>
      <c r="P3691">
        <v>7</v>
      </c>
      <c r="Q3691">
        <v>121335.67</v>
      </c>
    </row>
    <row r="3692" spans="1:17" x14ac:dyDescent="0.3">
      <c r="A3692" t="s">
        <v>7996</v>
      </c>
      <c r="B3692" t="s">
        <v>367</v>
      </c>
      <c r="C3692" s="2" t="str">
        <f>PROPER(TRIM(Table1[[#This Row],[Gender]]))</f>
        <v>Male</v>
      </c>
      <c r="D3692" t="s">
        <v>16</v>
      </c>
      <c r="E3692">
        <v>19</v>
      </c>
      <c r="F3692" t="s">
        <v>49</v>
      </c>
      <c r="G3692" s="1">
        <v>38723</v>
      </c>
      <c r="H3692" t="s">
        <v>7997</v>
      </c>
      <c r="I3692" s="2" t="str">
        <f t="shared" si="57"/>
        <v>+91-9603756377</v>
      </c>
      <c r="J3692">
        <f>91-9603756468</f>
        <v>-9603756377</v>
      </c>
      <c r="K3692" t="s">
        <v>19</v>
      </c>
      <c r="L3692" t="s">
        <v>20</v>
      </c>
      <c r="M3692">
        <v>619490</v>
      </c>
      <c r="N3692" s="1">
        <v>45427</v>
      </c>
      <c r="O3692" t="s">
        <v>28</v>
      </c>
      <c r="P3692">
        <v>3</v>
      </c>
      <c r="Q3692">
        <v>76452.960000000006</v>
      </c>
    </row>
    <row r="3693" spans="1:17" x14ac:dyDescent="0.3">
      <c r="A3693" t="s">
        <v>7998</v>
      </c>
      <c r="B3693" t="s">
        <v>3808</v>
      </c>
      <c r="C3693" s="2" t="str">
        <f>PROPER(TRIM(Table1[[#This Row],[Gender]]))</f>
        <v>Male</v>
      </c>
      <c r="D3693" t="s">
        <v>16</v>
      </c>
      <c r="E3693">
        <v>22</v>
      </c>
      <c r="F3693" t="s">
        <v>49</v>
      </c>
      <c r="G3693" s="1">
        <v>37628</v>
      </c>
      <c r="H3693" t="s">
        <v>7999</v>
      </c>
      <c r="I3693" s="2" t="str">
        <f t="shared" si="57"/>
        <v>+91-9115063633</v>
      </c>
      <c r="J3693">
        <f>91-9115063724</f>
        <v>-9115063633</v>
      </c>
      <c r="K3693" t="s">
        <v>72</v>
      </c>
      <c r="L3693" t="s">
        <v>34</v>
      </c>
      <c r="M3693">
        <v>990725</v>
      </c>
      <c r="N3693" s="1">
        <v>45223</v>
      </c>
      <c r="O3693" t="s">
        <v>28</v>
      </c>
      <c r="P3693">
        <v>4</v>
      </c>
      <c r="Q3693">
        <v>105091.59</v>
      </c>
    </row>
    <row r="3694" spans="1:17" x14ac:dyDescent="0.3">
      <c r="A3694" t="s">
        <v>8000</v>
      </c>
      <c r="B3694" t="s">
        <v>2351</v>
      </c>
      <c r="C3694" s="2" t="str">
        <f>PROPER(TRIM(Table1[[#This Row],[Gender]]))</f>
        <v>Female</v>
      </c>
      <c r="D3694" t="s">
        <v>43</v>
      </c>
      <c r="E3694">
        <v>56</v>
      </c>
      <c r="F3694" t="s">
        <v>58</v>
      </c>
      <c r="G3694" s="1">
        <v>25218</v>
      </c>
      <c r="H3694" t="s">
        <v>8001</v>
      </c>
      <c r="I3694" s="2" t="str">
        <f t="shared" si="57"/>
        <v>+91-8630244448</v>
      </c>
      <c r="J3694">
        <f>91-8630244539</f>
        <v>-8630244448</v>
      </c>
      <c r="K3694" t="s">
        <v>273</v>
      </c>
      <c r="L3694" t="s">
        <v>46</v>
      </c>
      <c r="M3694">
        <v>220019</v>
      </c>
      <c r="N3694" s="1">
        <v>45363</v>
      </c>
      <c r="O3694" t="s">
        <v>28</v>
      </c>
      <c r="P3694">
        <v>6</v>
      </c>
      <c r="Q3694">
        <v>73235.759999999995</v>
      </c>
    </row>
    <row r="3695" spans="1:17" x14ac:dyDescent="0.3">
      <c r="A3695" t="s">
        <v>8002</v>
      </c>
      <c r="B3695" t="s">
        <v>6236</v>
      </c>
      <c r="C3695" s="2" t="str">
        <f>PROPER(TRIM(Table1[[#This Row],[Gender]]))</f>
        <v>Male</v>
      </c>
      <c r="D3695" t="s">
        <v>16</v>
      </c>
      <c r="E3695">
        <v>43</v>
      </c>
      <c r="F3695" t="s">
        <v>38</v>
      </c>
      <c r="G3695" s="1">
        <v>29963</v>
      </c>
      <c r="H3695" t="s">
        <v>8003</v>
      </c>
      <c r="I3695" s="2" t="str">
        <f t="shared" si="57"/>
        <v>+91-8128585926</v>
      </c>
      <c r="J3695">
        <f>91-8128586017</f>
        <v>-8128585926</v>
      </c>
      <c r="K3695" t="s">
        <v>117</v>
      </c>
      <c r="L3695" t="s">
        <v>52</v>
      </c>
      <c r="M3695">
        <v>835092</v>
      </c>
      <c r="N3695" s="1">
        <v>45324</v>
      </c>
      <c r="O3695" t="s">
        <v>35</v>
      </c>
      <c r="P3695">
        <v>2</v>
      </c>
      <c r="Q3695">
        <v>2418.6</v>
      </c>
    </row>
    <row r="3696" spans="1:17" x14ac:dyDescent="0.3">
      <c r="A3696" t="s">
        <v>8004</v>
      </c>
      <c r="B3696" t="s">
        <v>180</v>
      </c>
      <c r="C3696" s="2" t="str">
        <f>PROPER(TRIM(Table1[[#This Row],[Gender]]))</f>
        <v>Female</v>
      </c>
      <c r="D3696" t="s">
        <v>43</v>
      </c>
      <c r="E3696">
        <v>29</v>
      </c>
      <c r="F3696" t="s">
        <v>31</v>
      </c>
      <c r="G3696" s="1">
        <v>35073</v>
      </c>
      <c r="H3696" t="s">
        <v>8005</v>
      </c>
      <c r="I3696" s="2" t="str">
        <f t="shared" si="57"/>
        <v>+91-7226300907</v>
      </c>
      <c r="J3696">
        <f>91-7226300998</f>
        <v>-7226300907</v>
      </c>
      <c r="K3696" t="s">
        <v>273</v>
      </c>
      <c r="L3696" t="s">
        <v>46</v>
      </c>
      <c r="M3696">
        <v>311208</v>
      </c>
      <c r="N3696" s="1">
        <v>45311</v>
      </c>
      <c r="O3696" t="s">
        <v>28</v>
      </c>
      <c r="P3696">
        <v>9</v>
      </c>
      <c r="Q3696">
        <v>359981.71</v>
      </c>
    </row>
    <row r="3697" spans="1:17" x14ac:dyDescent="0.3">
      <c r="A3697" t="s">
        <v>8006</v>
      </c>
      <c r="B3697" t="s">
        <v>374</v>
      </c>
      <c r="C3697" s="2" t="str">
        <f>PROPER(TRIM(Table1[[#This Row],[Gender]]))</f>
        <v>Male</v>
      </c>
      <c r="D3697" t="s">
        <v>16</v>
      </c>
      <c r="E3697">
        <v>44</v>
      </c>
      <c r="F3697" t="s">
        <v>38</v>
      </c>
      <c r="G3697" s="1">
        <v>29598</v>
      </c>
      <c r="H3697" t="s">
        <v>2461</v>
      </c>
      <c r="I3697" s="2" t="str">
        <f t="shared" si="57"/>
        <v>+91-7835105635</v>
      </c>
      <c r="J3697">
        <f>91-7835105726</f>
        <v>-7835105635</v>
      </c>
      <c r="K3697" t="s">
        <v>45</v>
      </c>
      <c r="L3697" t="s">
        <v>46</v>
      </c>
      <c r="M3697">
        <v>415034</v>
      </c>
      <c r="N3697" s="1">
        <v>45348</v>
      </c>
      <c r="O3697" t="s">
        <v>28</v>
      </c>
      <c r="P3697">
        <v>8</v>
      </c>
      <c r="Q3697">
        <v>145266.85999999999</v>
      </c>
    </row>
    <row r="3698" spans="1:17" x14ac:dyDescent="0.3">
      <c r="A3698" t="s">
        <v>8007</v>
      </c>
      <c r="B3698" t="s">
        <v>1322</v>
      </c>
      <c r="C3698" s="2" t="str">
        <f>PROPER(TRIM(Table1[[#This Row],[Gender]]))</f>
        <v>Male</v>
      </c>
      <c r="D3698" t="s">
        <v>16</v>
      </c>
      <c r="E3698">
        <v>43</v>
      </c>
      <c r="F3698" t="s">
        <v>38</v>
      </c>
      <c r="G3698" s="1">
        <v>29963</v>
      </c>
      <c r="H3698" t="s">
        <v>8008</v>
      </c>
      <c r="I3698" s="2" t="str">
        <f t="shared" si="57"/>
        <v>+91-9597813261</v>
      </c>
      <c r="J3698">
        <f>91-9597813352</f>
        <v>-9597813261</v>
      </c>
      <c r="K3698" t="s">
        <v>178</v>
      </c>
      <c r="L3698" t="s">
        <v>27</v>
      </c>
      <c r="M3698">
        <v>309355</v>
      </c>
      <c r="N3698" s="1">
        <v>45300</v>
      </c>
      <c r="O3698" t="s">
        <v>21</v>
      </c>
      <c r="P3698">
        <v>3</v>
      </c>
      <c r="Q3698">
        <v>34716.71</v>
      </c>
    </row>
    <row r="3699" spans="1:17" x14ac:dyDescent="0.3">
      <c r="A3699" t="s">
        <v>8009</v>
      </c>
      <c r="B3699" t="s">
        <v>104</v>
      </c>
      <c r="C3699" s="2" t="str">
        <f>PROPER(TRIM(Table1[[#This Row],[Gender]]))</f>
        <v>Female</v>
      </c>
      <c r="D3699" t="s">
        <v>43</v>
      </c>
      <c r="E3699">
        <v>44</v>
      </c>
      <c r="F3699" t="s">
        <v>38</v>
      </c>
      <c r="G3699" s="1">
        <v>29598</v>
      </c>
      <c r="H3699" t="s">
        <v>8010</v>
      </c>
      <c r="I3699" s="2" t="str">
        <f t="shared" si="57"/>
        <v>+91-7989906677</v>
      </c>
      <c r="J3699">
        <f>91-7989906768</f>
        <v>-7989906677</v>
      </c>
      <c r="K3699" t="s">
        <v>40</v>
      </c>
      <c r="L3699" t="s">
        <v>27</v>
      </c>
      <c r="M3699">
        <v>285606</v>
      </c>
      <c r="N3699" s="1">
        <v>45179</v>
      </c>
      <c r="O3699" t="s">
        <v>28</v>
      </c>
      <c r="P3699">
        <v>5</v>
      </c>
      <c r="Q3699">
        <v>186602.93</v>
      </c>
    </row>
    <row r="3700" spans="1:17" x14ac:dyDescent="0.3">
      <c r="A3700" t="s">
        <v>8011</v>
      </c>
      <c r="B3700" t="s">
        <v>1647</v>
      </c>
      <c r="C3700" s="2" t="str">
        <f>PROPER(TRIM(Table1[[#This Row],[Gender]]))</f>
        <v>Male</v>
      </c>
      <c r="D3700" t="s">
        <v>16</v>
      </c>
      <c r="E3700">
        <v>46</v>
      </c>
      <c r="F3700" t="s">
        <v>17</v>
      </c>
      <c r="G3700" s="1">
        <v>28868</v>
      </c>
      <c r="H3700" t="s">
        <v>8012</v>
      </c>
      <c r="I3700" s="2" t="str">
        <f t="shared" si="57"/>
        <v>+91-7628614862</v>
      </c>
      <c r="J3700">
        <f>91-7628614953</f>
        <v>-7628614862</v>
      </c>
      <c r="K3700" t="s">
        <v>113</v>
      </c>
      <c r="L3700" t="s">
        <v>34</v>
      </c>
      <c r="M3700">
        <v>952591</v>
      </c>
      <c r="N3700" s="1">
        <v>45234</v>
      </c>
      <c r="O3700" t="s">
        <v>28</v>
      </c>
      <c r="P3700">
        <v>7</v>
      </c>
      <c r="Q3700">
        <v>69599.3</v>
      </c>
    </row>
    <row r="3701" spans="1:17" x14ac:dyDescent="0.3">
      <c r="A3701" t="s">
        <v>8013</v>
      </c>
      <c r="B3701" t="s">
        <v>3560</v>
      </c>
      <c r="C3701" s="2" t="str">
        <f>PROPER(TRIM(Table1[[#This Row],[Gender]]))</f>
        <v>Female</v>
      </c>
      <c r="D3701" t="s">
        <v>43</v>
      </c>
      <c r="E3701">
        <v>35</v>
      </c>
      <c r="F3701" t="s">
        <v>31</v>
      </c>
      <c r="G3701" s="1">
        <v>32883</v>
      </c>
      <c r="H3701" t="s">
        <v>8014</v>
      </c>
      <c r="I3701" s="2" t="str">
        <f t="shared" si="57"/>
        <v>+91-9008030112</v>
      </c>
      <c r="J3701">
        <f>91-9008030203</f>
        <v>-9008030112</v>
      </c>
      <c r="K3701" t="s">
        <v>109</v>
      </c>
      <c r="L3701" t="s">
        <v>46</v>
      </c>
      <c r="M3701">
        <v>574698</v>
      </c>
      <c r="N3701" s="1">
        <v>45078</v>
      </c>
      <c r="O3701" t="s">
        <v>21</v>
      </c>
      <c r="P3701">
        <v>6</v>
      </c>
      <c r="Q3701">
        <v>37847.97</v>
      </c>
    </row>
    <row r="3702" spans="1:17" x14ac:dyDescent="0.3">
      <c r="A3702" t="s">
        <v>8015</v>
      </c>
      <c r="B3702" t="s">
        <v>6860</v>
      </c>
      <c r="C3702" s="2" t="str">
        <f>PROPER(TRIM(Table1[[#This Row],[Gender]]))</f>
        <v>Female</v>
      </c>
      <c r="D3702" t="s">
        <v>43</v>
      </c>
      <c r="E3702">
        <v>33</v>
      </c>
      <c r="F3702" t="s">
        <v>31</v>
      </c>
      <c r="G3702" s="1">
        <v>33613</v>
      </c>
      <c r="H3702" t="s">
        <v>8016</v>
      </c>
      <c r="I3702" s="2" t="str">
        <f t="shared" si="57"/>
        <v>+91-9973675593</v>
      </c>
      <c r="J3702">
        <f>91-9973675684</f>
        <v>-9973675593</v>
      </c>
      <c r="K3702" t="s">
        <v>239</v>
      </c>
      <c r="L3702" t="s">
        <v>191</v>
      </c>
      <c r="M3702">
        <v>550698</v>
      </c>
      <c r="N3702" s="1">
        <v>45421</v>
      </c>
      <c r="O3702" t="s">
        <v>28</v>
      </c>
      <c r="P3702">
        <v>8</v>
      </c>
      <c r="Q3702">
        <v>183426.45</v>
      </c>
    </row>
    <row r="3703" spans="1:17" x14ac:dyDescent="0.3">
      <c r="A3703" t="s">
        <v>8017</v>
      </c>
      <c r="B3703" t="s">
        <v>2518</v>
      </c>
      <c r="C3703" s="2" t="str">
        <f>PROPER(TRIM(Table1[[#This Row],[Gender]]))</f>
        <v>Male</v>
      </c>
      <c r="D3703" t="s">
        <v>16</v>
      </c>
      <c r="E3703">
        <v>27</v>
      </c>
      <c r="F3703" t="s">
        <v>31</v>
      </c>
      <c r="G3703" s="1">
        <v>35803</v>
      </c>
      <c r="H3703" t="s">
        <v>2519</v>
      </c>
      <c r="I3703" s="2" t="str">
        <f t="shared" si="57"/>
        <v>+91-7539277425</v>
      </c>
      <c r="J3703">
        <f>91-7539277516</f>
        <v>-7539277425</v>
      </c>
      <c r="K3703" t="s">
        <v>26</v>
      </c>
      <c r="L3703" t="s">
        <v>27</v>
      </c>
      <c r="M3703">
        <v>636553</v>
      </c>
      <c r="N3703" s="1">
        <v>45119</v>
      </c>
      <c r="O3703" t="s">
        <v>28</v>
      </c>
      <c r="P3703">
        <v>4</v>
      </c>
      <c r="Q3703">
        <v>216264.88</v>
      </c>
    </row>
    <row r="3704" spans="1:17" x14ac:dyDescent="0.3">
      <c r="A3704" t="s">
        <v>8018</v>
      </c>
      <c r="B3704" t="s">
        <v>207</v>
      </c>
      <c r="C3704" s="2" t="str">
        <f>PROPER(TRIM(Table1[[#This Row],[Gender]]))</f>
        <v>Female</v>
      </c>
      <c r="D3704" t="s">
        <v>43</v>
      </c>
      <c r="E3704">
        <v>29</v>
      </c>
      <c r="F3704" t="s">
        <v>31</v>
      </c>
      <c r="G3704" s="1">
        <v>35073</v>
      </c>
      <c r="H3704" t="s">
        <v>1842</v>
      </c>
      <c r="I3704" s="2" t="str">
        <f t="shared" si="57"/>
        <v>+91-8895568650</v>
      </c>
      <c r="J3704">
        <f>91-8895568741</f>
        <v>-8895568650</v>
      </c>
      <c r="K3704" t="s">
        <v>33</v>
      </c>
      <c r="L3704" t="s">
        <v>34</v>
      </c>
      <c r="M3704">
        <v>577359</v>
      </c>
      <c r="N3704" s="1">
        <v>45347</v>
      </c>
      <c r="O3704" t="s">
        <v>28</v>
      </c>
      <c r="P3704">
        <v>4</v>
      </c>
      <c r="Q3704">
        <v>132340.70000000001</v>
      </c>
    </row>
    <row r="3705" spans="1:17" x14ac:dyDescent="0.3">
      <c r="A3705" t="s">
        <v>8019</v>
      </c>
      <c r="B3705" t="s">
        <v>4390</v>
      </c>
      <c r="C3705" s="2" t="str">
        <f>PROPER(TRIM(Table1[[#This Row],[Gender]]))</f>
        <v>Female</v>
      </c>
      <c r="D3705" t="s">
        <v>43</v>
      </c>
      <c r="E3705">
        <v>27</v>
      </c>
      <c r="F3705" t="s">
        <v>31</v>
      </c>
      <c r="G3705" s="1">
        <v>35803</v>
      </c>
      <c r="H3705" t="s">
        <v>8020</v>
      </c>
      <c r="I3705" s="2" t="str">
        <f t="shared" si="57"/>
        <v>+91-9991083035</v>
      </c>
      <c r="J3705">
        <f>91-9991083126</f>
        <v>-9991083035</v>
      </c>
      <c r="K3705" t="s">
        <v>415</v>
      </c>
      <c r="L3705" t="s">
        <v>90</v>
      </c>
      <c r="M3705">
        <v>229146</v>
      </c>
      <c r="N3705" s="1">
        <v>45432</v>
      </c>
      <c r="O3705" t="s">
        <v>21</v>
      </c>
      <c r="P3705">
        <v>1</v>
      </c>
      <c r="Q3705">
        <v>48986.6</v>
      </c>
    </row>
    <row r="3706" spans="1:17" x14ac:dyDescent="0.3">
      <c r="A3706" t="s">
        <v>8021</v>
      </c>
      <c r="B3706" t="s">
        <v>3778</v>
      </c>
      <c r="C3706" s="2" t="str">
        <f>PROPER(TRIM(Table1[[#This Row],[Gender]]))</f>
        <v>Female</v>
      </c>
      <c r="D3706" t="s">
        <v>43</v>
      </c>
      <c r="E3706">
        <v>25</v>
      </c>
      <c r="F3706" t="s">
        <v>49</v>
      </c>
      <c r="G3706" s="1">
        <v>36533</v>
      </c>
      <c r="H3706" t="s">
        <v>8022</v>
      </c>
      <c r="I3706" s="2" t="str">
        <f t="shared" si="57"/>
        <v>+91-9728595258</v>
      </c>
      <c r="J3706">
        <f>91-9728595349</f>
        <v>-9728595258</v>
      </c>
      <c r="K3706" t="s">
        <v>154</v>
      </c>
      <c r="L3706" t="s">
        <v>46</v>
      </c>
      <c r="M3706">
        <v>443738</v>
      </c>
      <c r="N3706" s="1">
        <v>45360</v>
      </c>
      <c r="O3706" t="s">
        <v>28</v>
      </c>
      <c r="P3706">
        <v>6</v>
      </c>
      <c r="Q3706">
        <v>108050.19</v>
      </c>
    </row>
    <row r="3707" spans="1:17" x14ac:dyDescent="0.3">
      <c r="A3707" t="s">
        <v>8023</v>
      </c>
      <c r="B3707" t="s">
        <v>1256</v>
      </c>
      <c r="C3707" s="2" t="str">
        <f>PROPER(TRIM(Table1[[#This Row],[Gender]]))</f>
        <v>Male</v>
      </c>
      <c r="D3707" t="s">
        <v>16</v>
      </c>
      <c r="E3707">
        <v>40</v>
      </c>
      <c r="F3707" t="s">
        <v>38</v>
      </c>
      <c r="G3707" s="1">
        <v>31058</v>
      </c>
      <c r="H3707" t="s">
        <v>8024</v>
      </c>
      <c r="I3707" s="2" t="str">
        <f t="shared" si="57"/>
        <v>+91-8607007157</v>
      </c>
      <c r="J3707">
        <f>91-8607007248</f>
        <v>-8607007157</v>
      </c>
      <c r="K3707" t="s">
        <v>45</v>
      </c>
      <c r="L3707" t="s">
        <v>46</v>
      </c>
      <c r="M3707">
        <v>486592</v>
      </c>
      <c r="N3707" s="1">
        <v>45421</v>
      </c>
      <c r="O3707" t="s">
        <v>28</v>
      </c>
      <c r="P3707">
        <v>7</v>
      </c>
      <c r="Q3707">
        <v>204742.9</v>
      </c>
    </row>
    <row r="3708" spans="1:17" x14ac:dyDescent="0.3">
      <c r="A3708" t="s">
        <v>8025</v>
      </c>
      <c r="B3708" t="s">
        <v>219</v>
      </c>
      <c r="C3708" s="2" t="str">
        <f>PROPER(TRIM(Table1[[#This Row],[Gender]]))</f>
        <v>Female</v>
      </c>
      <c r="D3708" t="s">
        <v>43</v>
      </c>
      <c r="E3708">
        <v>53</v>
      </c>
      <c r="F3708" t="s">
        <v>17</v>
      </c>
      <c r="G3708" s="1">
        <v>26313</v>
      </c>
      <c r="H3708" t="s">
        <v>8026</v>
      </c>
      <c r="I3708" s="2" t="str">
        <f t="shared" si="57"/>
        <v>+91-7284195400</v>
      </c>
      <c r="J3708">
        <f>91-7284195491</f>
        <v>-7284195400</v>
      </c>
      <c r="K3708" t="s">
        <v>580</v>
      </c>
      <c r="L3708" t="s">
        <v>85</v>
      </c>
      <c r="M3708">
        <v>620155</v>
      </c>
      <c r="N3708" s="1">
        <v>45423</v>
      </c>
      <c r="O3708" t="s">
        <v>28</v>
      </c>
      <c r="P3708">
        <v>4</v>
      </c>
      <c r="Q3708">
        <v>52360</v>
      </c>
    </row>
    <row r="3709" spans="1:17" x14ac:dyDescent="0.3">
      <c r="A3709" t="s">
        <v>8027</v>
      </c>
      <c r="B3709" t="s">
        <v>395</v>
      </c>
      <c r="C3709" s="2" t="str">
        <f>PROPER(TRIM(Table1[[#This Row],[Gender]]))</f>
        <v>Female</v>
      </c>
      <c r="D3709" t="s">
        <v>43</v>
      </c>
      <c r="E3709">
        <v>55</v>
      </c>
      <c r="F3709" t="s">
        <v>17</v>
      </c>
      <c r="G3709" s="1">
        <v>25583</v>
      </c>
      <c r="H3709" t="s">
        <v>8028</v>
      </c>
      <c r="I3709" s="2" t="str">
        <f t="shared" si="57"/>
        <v>+91-8219459269</v>
      </c>
      <c r="J3709">
        <f>91-8219459360</f>
        <v>-8219459269</v>
      </c>
      <c r="K3709" t="s">
        <v>161</v>
      </c>
      <c r="L3709" t="s">
        <v>102</v>
      </c>
      <c r="M3709">
        <v>683273</v>
      </c>
      <c r="N3709" s="1">
        <v>45208</v>
      </c>
      <c r="O3709" t="s">
        <v>35</v>
      </c>
      <c r="P3709">
        <v>3</v>
      </c>
      <c r="Q3709">
        <v>4675.26</v>
      </c>
    </row>
    <row r="3710" spans="1:17" x14ac:dyDescent="0.3">
      <c r="A3710" t="s">
        <v>8029</v>
      </c>
      <c r="B3710" t="s">
        <v>1800</v>
      </c>
      <c r="C3710" s="2" t="str">
        <f>PROPER(TRIM(Table1[[#This Row],[Gender]]))</f>
        <v>Female</v>
      </c>
      <c r="D3710" t="s">
        <v>43</v>
      </c>
      <c r="E3710">
        <v>27</v>
      </c>
      <c r="F3710" t="s">
        <v>31</v>
      </c>
      <c r="G3710" s="1">
        <v>35803</v>
      </c>
      <c r="H3710" t="s">
        <v>8030</v>
      </c>
      <c r="I3710" s="2" t="str">
        <f t="shared" si="57"/>
        <v>+91-7629747448</v>
      </c>
      <c r="J3710">
        <f>91-7629747539</f>
        <v>-7629747448</v>
      </c>
      <c r="K3710" t="s">
        <v>60</v>
      </c>
      <c r="L3710" t="s">
        <v>34</v>
      </c>
      <c r="M3710">
        <v>764545</v>
      </c>
      <c r="N3710" s="1">
        <v>45369</v>
      </c>
      <c r="O3710" t="s">
        <v>28</v>
      </c>
      <c r="P3710">
        <v>4</v>
      </c>
      <c r="Q3710">
        <v>65828.52</v>
      </c>
    </row>
    <row r="3711" spans="1:17" x14ac:dyDescent="0.3">
      <c r="A3711" t="s">
        <v>8031</v>
      </c>
      <c r="B3711" t="s">
        <v>37</v>
      </c>
      <c r="C3711" s="2" t="str">
        <f>PROPER(TRIM(Table1[[#This Row],[Gender]]))</f>
        <v>Male</v>
      </c>
      <c r="D3711" t="s">
        <v>16</v>
      </c>
      <c r="E3711">
        <v>22</v>
      </c>
      <c r="F3711" t="s">
        <v>49</v>
      </c>
      <c r="G3711" s="1">
        <v>37628</v>
      </c>
      <c r="H3711" t="s">
        <v>2298</v>
      </c>
      <c r="I3711" s="2" t="str">
        <f t="shared" si="57"/>
        <v>+91-7408431411</v>
      </c>
      <c r="J3711">
        <f>91-7408431502</f>
        <v>-7408431411</v>
      </c>
      <c r="K3711" t="s">
        <v>113</v>
      </c>
      <c r="L3711" t="s">
        <v>34</v>
      </c>
      <c r="M3711">
        <v>254129</v>
      </c>
      <c r="N3711" s="1">
        <v>45166</v>
      </c>
      <c r="O3711" t="s">
        <v>28</v>
      </c>
      <c r="P3711">
        <v>10</v>
      </c>
      <c r="Q3711">
        <v>104254.06</v>
      </c>
    </row>
    <row r="3712" spans="1:17" x14ac:dyDescent="0.3">
      <c r="A3712" t="s">
        <v>8032</v>
      </c>
      <c r="B3712" t="s">
        <v>352</v>
      </c>
      <c r="C3712" s="2" t="str">
        <f>PROPER(TRIM(Table1[[#This Row],[Gender]]))</f>
        <v>Male</v>
      </c>
      <c r="D3712" t="s">
        <v>16</v>
      </c>
      <c r="E3712">
        <v>34</v>
      </c>
      <c r="F3712" t="s">
        <v>31</v>
      </c>
      <c r="G3712" s="1">
        <v>33248</v>
      </c>
      <c r="H3712" t="s">
        <v>8033</v>
      </c>
      <c r="I3712" s="2" t="str">
        <f t="shared" si="57"/>
        <v>+91-8092740586</v>
      </c>
      <c r="J3712">
        <f>91-8092740677</f>
        <v>-8092740586</v>
      </c>
      <c r="K3712" t="s">
        <v>80</v>
      </c>
      <c r="L3712" t="s">
        <v>20</v>
      </c>
      <c r="M3712">
        <v>882558</v>
      </c>
      <c r="N3712" s="1">
        <v>45434</v>
      </c>
      <c r="O3712" t="s">
        <v>28</v>
      </c>
      <c r="P3712">
        <v>6</v>
      </c>
      <c r="Q3712">
        <v>214083.19</v>
      </c>
    </row>
    <row r="3713" spans="1:17" x14ac:dyDescent="0.3">
      <c r="A3713" t="s">
        <v>8034</v>
      </c>
      <c r="B3713" t="s">
        <v>3645</v>
      </c>
      <c r="C3713" s="2" t="str">
        <f>PROPER(TRIM(Table1[[#This Row],[Gender]]))</f>
        <v>Male</v>
      </c>
      <c r="D3713" t="s">
        <v>16</v>
      </c>
      <c r="E3713">
        <v>24</v>
      </c>
      <c r="F3713" t="s">
        <v>49</v>
      </c>
      <c r="G3713" s="1">
        <v>36898</v>
      </c>
      <c r="H3713" t="s">
        <v>6447</v>
      </c>
      <c r="I3713" s="2" t="str">
        <f t="shared" si="57"/>
        <v>+91-8412891508</v>
      </c>
      <c r="J3713">
        <f>91-8412891599</f>
        <v>-8412891508</v>
      </c>
      <c r="K3713" t="s">
        <v>369</v>
      </c>
      <c r="L3713" t="s">
        <v>191</v>
      </c>
      <c r="M3713">
        <v>346979</v>
      </c>
      <c r="N3713" s="1">
        <v>45111</v>
      </c>
      <c r="O3713" t="s">
        <v>28</v>
      </c>
      <c r="P3713">
        <v>4</v>
      </c>
      <c r="Q3713">
        <v>165019.09</v>
      </c>
    </row>
    <row r="3714" spans="1:17" x14ac:dyDescent="0.3">
      <c r="A3714" t="s">
        <v>8035</v>
      </c>
      <c r="B3714" t="s">
        <v>842</v>
      </c>
      <c r="C3714" s="2" t="str">
        <f>PROPER(TRIM(Table1[[#This Row],[Gender]]))</f>
        <v>Female</v>
      </c>
      <c r="D3714" t="s">
        <v>43</v>
      </c>
      <c r="E3714">
        <v>35</v>
      </c>
      <c r="F3714" t="s">
        <v>31</v>
      </c>
      <c r="G3714" s="1">
        <v>32883</v>
      </c>
      <c r="H3714" t="s">
        <v>8036</v>
      </c>
      <c r="I3714" s="2" t="str">
        <f t="shared" ref="I3714:I3777" si="58">"+91"&amp;TEXT(J3714,"0000000000")</f>
        <v>+91-8231937359</v>
      </c>
      <c r="J3714">
        <f>91-8231937450</f>
        <v>-8231937359</v>
      </c>
      <c r="K3714" t="s">
        <v>178</v>
      </c>
      <c r="L3714" t="s">
        <v>27</v>
      </c>
      <c r="M3714">
        <v>917787</v>
      </c>
      <c r="N3714" s="1">
        <v>45152</v>
      </c>
      <c r="O3714" t="s">
        <v>35</v>
      </c>
      <c r="P3714">
        <v>1</v>
      </c>
      <c r="Q3714">
        <v>10990.07</v>
      </c>
    </row>
    <row r="3715" spans="1:17" x14ac:dyDescent="0.3">
      <c r="A3715" t="s">
        <v>8037</v>
      </c>
      <c r="B3715" t="s">
        <v>7987</v>
      </c>
      <c r="C3715" s="2" t="str">
        <f>PROPER(TRIM(Table1[[#This Row],[Gender]]))</f>
        <v>Male</v>
      </c>
      <c r="D3715" t="s">
        <v>16</v>
      </c>
      <c r="E3715">
        <v>35</v>
      </c>
      <c r="F3715" t="s">
        <v>31</v>
      </c>
      <c r="G3715" s="1">
        <v>32883</v>
      </c>
      <c r="H3715" t="s">
        <v>8038</v>
      </c>
      <c r="I3715" s="2" t="str">
        <f t="shared" si="58"/>
        <v>+91-8889735262</v>
      </c>
      <c r="J3715">
        <f>91-8889735353</f>
        <v>-8889735262</v>
      </c>
      <c r="K3715" t="s">
        <v>64</v>
      </c>
      <c r="L3715" t="s">
        <v>20</v>
      </c>
      <c r="M3715">
        <v>550542</v>
      </c>
      <c r="N3715" s="1">
        <v>45325</v>
      </c>
      <c r="O3715" t="s">
        <v>21</v>
      </c>
      <c r="P3715">
        <v>4</v>
      </c>
      <c r="Q3715">
        <v>23872.61</v>
      </c>
    </row>
    <row r="3716" spans="1:17" x14ac:dyDescent="0.3">
      <c r="A3716" t="s">
        <v>8039</v>
      </c>
      <c r="B3716" t="s">
        <v>3041</v>
      </c>
      <c r="C3716" s="2" t="str">
        <f>PROPER(TRIM(Table1[[#This Row],[Gender]]))</f>
        <v>Male</v>
      </c>
      <c r="D3716" t="s">
        <v>16</v>
      </c>
      <c r="E3716">
        <v>52</v>
      </c>
      <c r="F3716" t="s">
        <v>17</v>
      </c>
      <c r="G3716" s="1">
        <v>26678</v>
      </c>
      <c r="H3716" t="s">
        <v>5727</v>
      </c>
      <c r="I3716" s="2" t="str">
        <f t="shared" si="58"/>
        <v>+91-9239080898</v>
      </c>
      <c r="J3716">
        <f>91-9239080989</f>
        <v>-9239080898</v>
      </c>
      <c r="K3716" t="s">
        <v>331</v>
      </c>
      <c r="L3716" t="s">
        <v>143</v>
      </c>
      <c r="M3716">
        <v>782416</v>
      </c>
      <c r="N3716" s="1">
        <v>45250</v>
      </c>
      <c r="O3716" t="s">
        <v>28</v>
      </c>
      <c r="P3716">
        <v>8</v>
      </c>
      <c r="Q3716">
        <v>120647.06</v>
      </c>
    </row>
    <row r="3717" spans="1:17" x14ac:dyDescent="0.3">
      <c r="A3717" t="s">
        <v>8040</v>
      </c>
      <c r="B3717" t="s">
        <v>99</v>
      </c>
      <c r="C3717" s="2" t="str">
        <f>PROPER(TRIM(Table1[[#This Row],[Gender]]))</f>
        <v>Female</v>
      </c>
      <c r="D3717" t="s">
        <v>43</v>
      </c>
      <c r="E3717">
        <v>36</v>
      </c>
      <c r="F3717" t="s">
        <v>38</v>
      </c>
      <c r="G3717" s="1">
        <v>32518</v>
      </c>
      <c r="H3717" t="s">
        <v>8041</v>
      </c>
      <c r="I3717" s="2" t="str">
        <f t="shared" si="58"/>
        <v>+91-7274845036</v>
      </c>
      <c r="J3717">
        <f>91-7274845127</f>
        <v>-7274845036</v>
      </c>
      <c r="K3717" t="s">
        <v>72</v>
      </c>
      <c r="L3717" t="s">
        <v>34</v>
      </c>
      <c r="M3717">
        <v>465503</v>
      </c>
      <c r="N3717" s="1">
        <v>45193</v>
      </c>
      <c r="O3717" t="s">
        <v>28</v>
      </c>
      <c r="P3717">
        <v>6</v>
      </c>
      <c r="Q3717">
        <v>105113.32</v>
      </c>
    </row>
    <row r="3718" spans="1:17" x14ac:dyDescent="0.3">
      <c r="A3718" t="s">
        <v>8042</v>
      </c>
      <c r="B3718" t="s">
        <v>2782</v>
      </c>
      <c r="C3718" s="2" t="str">
        <f>PROPER(TRIM(Table1[[#This Row],[Gender]]))</f>
        <v>Female</v>
      </c>
      <c r="D3718" t="s">
        <v>43</v>
      </c>
      <c r="E3718">
        <v>18</v>
      </c>
      <c r="F3718" t="s">
        <v>49</v>
      </c>
      <c r="G3718" s="1">
        <v>39088</v>
      </c>
      <c r="H3718" t="s">
        <v>8043</v>
      </c>
      <c r="I3718" s="2" t="str">
        <f t="shared" si="58"/>
        <v>+91-8828653485</v>
      </c>
      <c r="J3718">
        <f>91-8828653576</f>
        <v>-8828653485</v>
      </c>
      <c r="K3718" t="s">
        <v>239</v>
      </c>
      <c r="L3718" t="s">
        <v>191</v>
      </c>
      <c r="M3718">
        <v>927360</v>
      </c>
      <c r="N3718" s="1">
        <v>45158</v>
      </c>
      <c r="O3718" t="s">
        <v>28</v>
      </c>
      <c r="P3718">
        <v>5</v>
      </c>
      <c r="Q3718">
        <v>58790.13</v>
      </c>
    </row>
    <row r="3719" spans="1:17" x14ac:dyDescent="0.3">
      <c r="A3719" t="s">
        <v>8044</v>
      </c>
      <c r="B3719" t="s">
        <v>587</v>
      </c>
      <c r="C3719" s="2" t="str">
        <f>PROPER(TRIM(Table1[[#This Row],[Gender]]))</f>
        <v>Female</v>
      </c>
      <c r="D3719" t="s">
        <v>43</v>
      </c>
      <c r="E3719">
        <v>25</v>
      </c>
      <c r="F3719" t="s">
        <v>49</v>
      </c>
      <c r="G3719" s="1">
        <v>36533</v>
      </c>
      <c r="H3719" t="s">
        <v>3750</v>
      </c>
      <c r="I3719" s="2" t="str">
        <f t="shared" si="58"/>
        <v>+91-9268821605</v>
      </c>
      <c r="J3719">
        <f>91-9268821696</f>
        <v>-9268821605</v>
      </c>
      <c r="K3719" t="s">
        <v>40</v>
      </c>
      <c r="L3719" t="s">
        <v>27</v>
      </c>
      <c r="M3719">
        <v>666168</v>
      </c>
      <c r="N3719" s="1">
        <v>45174</v>
      </c>
      <c r="O3719" t="s">
        <v>28</v>
      </c>
      <c r="P3719">
        <v>5</v>
      </c>
      <c r="Q3719">
        <v>126364.09</v>
      </c>
    </row>
    <row r="3720" spans="1:17" x14ac:dyDescent="0.3">
      <c r="A3720" t="s">
        <v>8045</v>
      </c>
      <c r="B3720" t="s">
        <v>1278</v>
      </c>
      <c r="C3720" s="2" t="str">
        <f>PROPER(TRIM(Table1[[#This Row],[Gender]]))</f>
        <v>Male</v>
      </c>
      <c r="D3720" t="s">
        <v>16</v>
      </c>
      <c r="E3720">
        <v>57</v>
      </c>
      <c r="F3720" t="s">
        <v>58</v>
      </c>
      <c r="G3720" s="1">
        <v>24853</v>
      </c>
      <c r="H3720" t="s">
        <v>8046</v>
      </c>
      <c r="I3720" s="2" t="str">
        <f t="shared" si="58"/>
        <v>+91-9544035827</v>
      </c>
      <c r="J3720">
        <f>91-9544035918</f>
        <v>-9544035827</v>
      </c>
      <c r="K3720" t="s">
        <v>273</v>
      </c>
      <c r="L3720" t="s">
        <v>46</v>
      </c>
      <c r="M3720">
        <v>131297</v>
      </c>
      <c r="N3720" s="1">
        <v>45186</v>
      </c>
      <c r="O3720" t="s">
        <v>35</v>
      </c>
      <c r="P3720">
        <v>4</v>
      </c>
      <c r="Q3720">
        <v>2895.35</v>
      </c>
    </row>
    <row r="3721" spans="1:17" x14ac:dyDescent="0.3">
      <c r="A3721" t="s">
        <v>8047</v>
      </c>
      <c r="B3721" t="s">
        <v>2046</v>
      </c>
      <c r="C3721" s="2" t="str">
        <f>PROPER(TRIM(Table1[[#This Row],[Gender]]))</f>
        <v>Female</v>
      </c>
      <c r="D3721" t="s">
        <v>43</v>
      </c>
      <c r="E3721">
        <v>35</v>
      </c>
      <c r="F3721" t="s">
        <v>31</v>
      </c>
      <c r="G3721" s="1">
        <v>32883</v>
      </c>
      <c r="H3721" t="s">
        <v>8048</v>
      </c>
      <c r="I3721" s="2" t="str">
        <f t="shared" si="58"/>
        <v>+91-8724724878</v>
      </c>
      <c r="J3721">
        <f>91-8724724969</f>
        <v>-8724724878</v>
      </c>
      <c r="K3721" t="s">
        <v>195</v>
      </c>
      <c r="L3721" t="s">
        <v>102</v>
      </c>
      <c r="M3721">
        <v>389328</v>
      </c>
      <c r="N3721" s="1">
        <v>45386</v>
      </c>
      <c r="O3721" t="s">
        <v>21</v>
      </c>
      <c r="P3721">
        <v>3</v>
      </c>
      <c r="Q3721">
        <v>43232.59</v>
      </c>
    </row>
    <row r="3722" spans="1:17" x14ac:dyDescent="0.3">
      <c r="A3722" t="s">
        <v>8049</v>
      </c>
      <c r="B3722" t="s">
        <v>1611</v>
      </c>
      <c r="C3722" s="2" t="str">
        <f>PROPER(TRIM(Table1[[#This Row],[Gender]]))</f>
        <v>Female</v>
      </c>
      <c r="D3722" t="s">
        <v>43</v>
      </c>
      <c r="E3722">
        <v>50</v>
      </c>
      <c r="F3722" t="s">
        <v>17</v>
      </c>
      <c r="G3722" s="1">
        <v>27408</v>
      </c>
      <c r="H3722" t="s">
        <v>8050</v>
      </c>
      <c r="I3722" s="2" t="str">
        <f t="shared" si="58"/>
        <v>+91-9928273046</v>
      </c>
      <c r="J3722">
        <f>91-9928273137</f>
        <v>-9928273046</v>
      </c>
      <c r="K3722" t="s">
        <v>249</v>
      </c>
      <c r="L3722" t="s">
        <v>34</v>
      </c>
      <c r="M3722">
        <v>979362</v>
      </c>
      <c r="N3722" s="1">
        <v>45353</v>
      </c>
      <c r="O3722" t="s">
        <v>21</v>
      </c>
      <c r="P3722">
        <v>4</v>
      </c>
      <c r="Q3722">
        <v>27317.19</v>
      </c>
    </row>
    <row r="3723" spans="1:17" x14ac:dyDescent="0.3">
      <c r="A3723" t="s">
        <v>8051</v>
      </c>
      <c r="B3723" t="s">
        <v>1989</v>
      </c>
      <c r="C3723" s="2" t="str">
        <f>PROPER(TRIM(Table1[[#This Row],[Gender]]))</f>
        <v>Female</v>
      </c>
      <c r="D3723" t="s">
        <v>43</v>
      </c>
      <c r="E3723">
        <v>24</v>
      </c>
      <c r="F3723" t="s">
        <v>49</v>
      </c>
      <c r="G3723" s="1">
        <v>36898</v>
      </c>
      <c r="H3723" t="s">
        <v>8052</v>
      </c>
      <c r="I3723" s="2" t="str">
        <f t="shared" si="58"/>
        <v>+91-8528670824</v>
      </c>
      <c r="J3723">
        <f>91-8528670915</f>
        <v>-8528670824</v>
      </c>
      <c r="K3723" t="s">
        <v>84</v>
      </c>
      <c r="L3723" t="s">
        <v>85</v>
      </c>
      <c r="M3723">
        <v>389759</v>
      </c>
      <c r="N3723" s="1">
        <v>45238</v>
      </c>
      <c r="O3723" t="s">
        <v>28</v>
      </c>
      <c r="P3723">
        <v>7</v>
      </c>
      <c r="Q3723">
        <v>117654.8</v>
      </c>
    </row>
    <row r="3724" spans="1:17" x14ac:dyDescent="0.3">
      <c r="A3724" t="s">
        <v>8053</v>
      </c>
      <c r="B3724" t="s">
        <v>1882</v>
      </c>
      <c r="C3724" s="2" t="str">
        <f>PROPER(TRIM(Table1[[#This Row],[Gender]]))</f>
        <v>Female</v>
      </c>
      <c r="D3724" t="s">
        <v>43</v>
      </c>
      <c r="E3724">
        <v>47</v>
      </c>
      <c r="F3724" t="s">
        <v>17</v>
      </c>
      <c r="G3724" s="1">
        <v>28503</v>
      </c>
      <c r="H3724" t="s">
        <v>8054</v>
      </c>
      <c r="I3724" s="2" t="str">
        <f t="shared" si="58"/>
        <v>+91-8501983054</v>
      </c>
      <c r="J3724">
        <f>91-8501983145</f>
        <v>-8501983054</v>
      </c>
      <c r="K3724" t="s">
        <v>72</v>
      </c>
      <c r="L3724" t="s">
        <v>34</v>
      </c>
      <c r="M3724">
        <v>761844</v>
      </c>
      <c r="N3724" s="1">
        <v>45220</v>
      </c>
      <c r="O3724" t="s">
        <v>21</v>
      </c>
      <c r="P3724">
        <v>4</v>
      </c>
      <c r="Q3724">
        <v>27955.85</v>
      </c>
    </row>
    <row r="3725" spans="1:17" x14ac:dyDescent="0.3">
      <c r="A3725" t="s">
        <v>8055</v>
      </c>
      <c r="B3725" t="s">
        <v>534</v>
      </c>
      <c r="C3725" s="2" t="str">
        <f>PROPER(TRIM(Table1[[#This Row],[Gender]]))</f>
        <v>Female</v>
      </c>
      <c r="D3725" t="s">
        <v>43</v>
      </c>
      <c r="E3725">
        <v>25</v>
      </c>
      <c r="F3725" t="s">
        <v>49</v>
      </c>
      <c r="G3725" s="1">
        <v>36533</v>
      </c>
      <c r="H3725" t="s">
        <v>8056</v>
      </c>
      <c r="I3725" s="2" t="str">
        <f t="shared" si="58"/>
        <v>+91-7632465718</v>
      </c>
      <c r="J3725">
        <f>91-7632465809</f>
        <v>-7632465718</v>
      </c>
      <c r="K3725" t="s">
        <v>249</v>
      </c>
      <c r="L3725" t="s">
        <v>34</v>
      </c>
      <c r="M3725">
        <v>856749</v>
      </c>
      <c r="N3725" s="1">
        <v>45434</v>
      </c>
      <c r="O3725" t="s">
        <v>28</v>
      </c>
      <c r="P3725">
        <v>5</v>
      </c>
      <c r="Q3725">
        <v>84232.55</v>
      </c>
    </row>
    <row r="3726" spans="1:17" x14ac:dyDescent="0.3">
      <c r="A3726" t="s">
        <v>8057</v>
      </c>
      <c r="B3726" t="s">
        <v>321</v>
      </c>
      <c r="C3726" s="2" t="str">
        <f>PROPER(TRIM(Table1[[#This Row],[Gender]]))</f>
        <v>Female</v>
      </c>
      <c r="D3726" t="s">
        <v>43</v>
      </c>
      <c r="E3726">
        <v>21</v>
      </c>
      <c r="F3726" t="s">
        <v>49</v>
      </c>
      <c r="G3726" s="1">
        <v>37993</v>
      </c>
      <c r="H3726" t="s">
        <v>8058</v>
      </c>
      <c r="I3726" s="2" t="str">
        <f t="shared" si="58"/>
        <v>+91-7168795245</v>
      </c>
      <c r="J3726">
        <f>91-7168795336</f>
        <v>-7168795245</v>
      </c>
      <c r="K3726" t="s">
        <v>113</v>
      </c>
      <c r="L3726" t="s">
        <v>34</v>
      </c>
      <c r="M3726">
        <v>352827</v>
      </c>
      <c r="N3726" s="1">
        <v>45178</v>
      </c>
      <c r="O3726" t="s">
        <v>35</v>
      </c>
      <c r="P3726">
        <v>2</v>
      </c>
      <c r="Q3726">
        <v>8071.93</v>
      </c>
    </row>
    <row r="3727" spans="1:17" x14ac:dyDescent="0.3">
      <c r="A3727" t="s">
        <v>8059</v>
      </c>
      <c r="B3727" t="s">
        <v>798</v>
      </c>
      <c r="C3727" s="2" t="str">
        <f>PROPER(TRIM(Table1[[#This Row],[Gender]]))</f>
        <v>Female</v>
      </c>
      <c r="D3727" t="s">
        <v>43</v>
      </c>
      <c r="E3727">
        <v>48</v>
      </c>
      <c r="F3727" t="s">
        <v>17</v>
      </c>
      <c r="G3727" s="1">
        <v>28138</v>
      </c>
      <c r="H3727" t="s">
        <v>8060</v>
      </c>
      <c r="I3727" s="2" t="str">
        <f t="shared" si="58"/>
        <v>+91-9308213513</v>
      </c>
      <c r="J3727">
        <f>91-9308213604</f>
        <v>-9308213513</v>
      </c>
      <c r="K3727" t="s">
        <v>239</v>
      </c>
      <c r="L3727" t="s">
        <v>191</v>
      </c>
      <c r="M3727">
        <v>891334</v>
      </c>
      <c r="N3727" s="1">
        <v>45302</v>
      </c>
      <c r="O3727" t="s">
        <v>35</v>
      </c>
      <c r="P3727">
        <v>5</v>
      </c>
      <c r="Q3727">
        <v>6379.7</v>
      </c>
    </row>
    <row r="3728" spans="1:17" x14ac:dyDescent="0.3">
      <c r="A3728" t="s">
        <v>8061</v>
      </c>
      <c r="B3728" t="s">
        <v>1028</v>
      </c>
      <c r="C3728" s="2" t="str">
        <f>PROPER(TRIM(Table1[[#This Row],[Gender]]))</f>
        <v>Male</v>
      </c>
      <c r="D3728" t="s">
        <v>16</v>
      </c>
      <c r="E3728">
        <v>52</v>
      </c>
      <c r="F3728" t="s">
        <v>17</v>
      </c>
      <c r="G3728" s="1">
        <v>26678</v>
      </c>
      <c r="H3728" t="s">
        <v>8062</v>
      </c>
      <c r="I3728" s="2" t="str">
        <f t="shared" si="58"/>
        <v>+91-8691596383</v>
      </c>
      <c r="J3728">
        <f>91-8691596474</f>
        <v>-8691596383</v>
      </c>
      <c r="K3728" t="s">
        <v>94</v>
      </c>
      <c r="L3728" t="s">
        <v>20</v>
      </c>
      <c r="M3728">
        <v>135896</v>
      </c>
      <c r="N3728" s="1">
        <v>45288</v>
      </c>
      <c r="O3728" t="s">
        <v>21</v>
      </c>
      <c r="P3728">
        <v>6</v>
      </c>
      <c r="Q3728">
        <v>23424.27</v>
      </c>
    </row>
    <row r="3729" spans="1:17" x14ac:dyDescent="0.3">
      <c r="A3729" t="s">
        <v>8063</v>
      </c>
      <c r="B3729" t="s">
        <v>746</v>
      </c>
      <c r="C3729" s="2" t="str">
        <f>PROPER(TRIM(Table1[[#This Row],[Gender]]))</f>
        <v>Male</v>
      </c>
      <c r="D3729" t="s">
        <v>16</v>
      </c>
      <c r="E3729">
        <v>35</v>
      </c>
      <c r="F3729" t="s">
        <v>31</v>
      </c>
      <c r="G3729" s="1">
        <v>32883</v>
      </c>
      <c r="H3729" t="s">
        <v>8064</v>
      </c>
      <c r="I3729" s="2" t="str">
        <f t="shared" si="58"/>
        <v>+91-7766191973</v>
      </c>
      <c r="J3729">
        <f>91-7766192064</f>
        <v>-7766191973</v>
      </c>
      <c r="K3729" t="s">
        <v>51</v>
      </c>
      <c r="L3729" t="s">
        <v>52</v>
      </c>
      <c r="M3729">
        <v>218971</v>
      </c>
      <c r="N3729" s="1">
        <v>45442</v>
      </c>
      <c r="O3729" t="s">
        <v>28</v>
      </c>
      <c r="P3729">
        <v>8</v>
      </c>
      <c r="Q3729">
        <v>306189.86</v>
      </c>
    </row>
    <row r="3730" spans="1:17" x14ac:dyDescent="0.3">
      <c r="A3730" t="s">
        <v>8065</v>
      </c>
      <c r="B3730" t="s">
        <v>5196</v>
      </c>
      <c r="C3730" s="2" t="str">
        <f>PROPER(TRIM(Table1[[#This Row],[Gender]]))</f>
        <v>Female</v>
      </c>
      <c r="D3730" t="s">
        <v>43</v>
      </c>
      <c r="E3730">
        <v>25</v>
      </c>
      <c r="F3730" t="s">
        <v>49</v>
      </c>
      <c r="G3730" s="1">
        <v>36533</v>
      </c>
      <c r="H3730" t="s">
        <v>8066</v>
      </c>
      <c r="I3730" s="2" t="str">
        <f t="shared" si="58"/>
        <v>+91-7158802096</v>
      </c>
      <c r="J3730">
        <f>91-7158802187</f>
        <v>-7158802096</v>
      </c>
      <c r="K3730" t="s">
        <v>89</v>
      </c>
      <c r="L3730" t="s">
        <v>90</v>
      </c>
      <c r="M3730">
        <v>592407</v>
      </c>
      <c r="N3730" s="1">
        <v>45090</v>
      </c>
      <c r="O3730" t="s">
        <v>28</v>
      </c>
      <c r="P3730">
        <v>6</v>
      </c>
      <c r="Q3730">
        <v>211395.6</v>
      </c>
    </row>
    <row r="3731" spans="1:17" x14ac:dyDescent="0.3">
      <c r="A3731" t="s">
        <v>8067</v>
      </c>
      <c r="B3731" t="s">
        <v>6554</v>
      </c>
      <c r="C3731" s="2" t="str">
        <f>PROPER(TRIM(Table1[[#This Row],[Gender]]))</f>
        <v>Male</v>
      </c>
      <c r="D3731" t="s">
        <v>16</v>
      </c>
      <c r="E3731">
        <v>45</v>
      </c>
      <c r="F3731" t="s">
        <v>38</v>
      </c>
      <c r="G3731" s="1">
        <v>29233</v>
      </c>
      <c r="H3731" t="s">
        <v>8068</v>
      </c>
      <c r="I3731" s="2" t="str">
        <f t="shared" si="58"/>
        <v>+91-8927423552</v>
      </c>
      <c r="J3731">
        <f>91-8927423643</f>
        <v>-8927423552</v>
      </c>
      <c r="K3731" t="s">
        <v>64</v>
      </c>
      <c r="L3731" t="s">
        <v>20</v>
      </c>
      <c r="M3731">
        <v>542060</v>
      </c>
      <c r="N3731" s="1">
        <v>45125</v>
      </c>
      <c r="O3731" t="s">
        <v>28</v>
      </c>
      <c r="P3731">
        <v>3</v>
      </c>
      <c r="Q3731">
        <v>82874.73</v>
      </c>
    </row>
    <row r="3732" spans="1:17" x14ac:dyDescent="0.3">
      <c r="A3732" t="s">
        <v>8069</v>
      </c>
      <c r="B3732" t="s">
        <v>3988</v>
      </c>
      <c r="C3732" s="2" t="str">
        <f>PROPER(TRIM(Table1[[#This Row],[Gender]]))</f>
        <v>Female</v>
      </c>
      <c r="D3732" t="s">
        <v>43</v>
      </c>
      <c r="E3732">
        <v>24</v>
      </c>
      <c r="F3732" t="s">
        <v>49</v>
      </c>
      <c r="G3732" s="1">
        <v>36898</v>
      </c>
      <c r="H3732" t="s">
        <v>8070</v>
      </c>
      <c r="I3732" s="2" t="str">
        <f t="shared" si="58"/>
        <v>+91-8633231968</v>
      </c>
      <c r="J3732">
        <f>91-8633232059</f>
        <v>-8633231968</v>
      </c>
      <c r="K3732" t="s">
        <v>195</v>
      </c>
      <c r="L3732" t="s">
        <v>102</v>
      </c>
      <c r="M3732">
        <v>474216</v>
      </c>
      <c r="N3732" s="1">
        <v>45128</v>
      </c>
      <c r="O3732" t="s">
        <v>21</v>
      </c>
      <c r="P3732">
        <v>4</v>
      </c>
      <c r="Q3732">
        <v>22800.33</v>
      </c>
    </row>
    <row r="3733" spans="1:17" x14ac:dyDescent="0.3">
      <c r="A3733" t="s">
        <v>8071</v>
      </c>
      <c r="B3733" t="s">
        <v>119</v>
      </c>
      <c r="C3733" s="2" t="str">
        <f>PROPER(TRIM(Table1[[#This Row],[Gender]]))</f>
        <v>Male</v>
      </c>
      <c r="D3733" t="s">
        <v>16</v>
      </c>
      <c r="E3733">
        <v>42</v>
      </c>
      <c r="F3733" t="s">
        <v>38</v>
      </c>
      <c r="G3733" s="1">
        <v>30328</v>
      </c>
      <c r="H3733" t="s">
        <v>2370</v>
      </c>
      <c r="I3733" s="2" t="str">
        <f t="shared" si="58"/>
        <v>+91-8862008627</v>
      </c>
      <c r="J3733">
        <f>91-8862008718</f>
        <v>-8862008627</v>
      </c>
      <c r="K3733" t="s">
        <v>33</v>
      </c>
      <c r="L3733" t="s">
        <v>34</v>
      </c>
      <c r="M3733">
        <v>380316</v>
      </c>
      <c r="N3733" s="1">
        <v>45228</v>
      </c>
      <c r="O3733" t="s">
        <v>28</v>
      </c>
      <c r="P3733">
        <v>2</v>
      </c>
      <c r="Q3733">
        <v>103213.67</v>
      </c>
    </row>
    <row r="3734" spans="1:17" x14ac:dyDescent="0.3">
      <c r="A3734" t="s">
        <v>8072</v>
      </c>
      <c r="B3734" t="s">
        <v>197</v>
      </c>
      <c r="C3734" s="2" t="str">
        <f>PROPER(TRIM(Table1[[#This Row],[Gender]]))</f>
        <v>Male</v>
      </c>
      <c r="D3734" t="s">
        <v>16</v>
      </c>
      <c r="E3734">
        <v>40</v>
      </c>
      <c r="F3734" t="s">
        <v>38</v>
      </c>
      <c r="G3734" s="1">
        <v>31058</v>
      </c>
      <c r="H3734" t="s">
        <v>198</v>
      </c>
      <c r="I3734" s="2" t="str">
        <f t="shared" si="58"/>
        <v>+91-9469122736</v>
      </c>
      <c r="J3734">
        <f>91-9469122827</f>
        <v>-9469122736</v>
      </c>
      <c r="K3734" t="s">
        <v>174</v>
      </c>
      <c r="L3734" t="s">
        <v>90</v>
      </c>
      <c r="M3734">
        <v>492399</v>
      </c>
      <c r="N3734" s="1">
        <v>45085</v>
      </c>
      <c r="O3734" t="s">
        <v>28</v>
      </c>
      <c r="P3734">
        <v>9</v>
      </c>
      <c r="Q3734">
        <v>193699.3</v>
      </c>
    </row>
    <row r="3735" spans="1:17" x14ac:dyDescent="0.3">
      <c r="A3735" t="s">
        <v>8073</v>
      </c>
      <c r="B3735" t="s">
        <v>54</v>
      </c>
      <c r="C3735" s="2" t="str">
        <f>PROPER(TRIM(Table1[[#This Row],[Gender]]))</f>
        <v>Male</v>
      </c>
      <c r="D3735" t="s">
        <v>16</v>
      </c>
      <c r="E3735">
        <v>35</v>
      </c>
      <c r="F3735" t="s">
        <v>31</v>
      </c>
      <c r="G3735" s="1">
        <v>32883</v>
      </c>
      <c r="H3735" t="s">
        <v>8074</v>
      </c>
      <c r="I3735" s="2" t="str">
        <f t="shared" si="58"/>
        <v>+91-8157049110</v>
      </c>
      <c r="J3735">
        <f>91-8157049201</f>
        <v>-8157049110</v>
      </c>
      <c r="K3735" t="s">
        <v>580</v>
      </c>
      <c r="L3735" t="s">
        <v>85</v>
      </c>
      <c r="M3735">
        <v>781024</v>
      </c>
      <c r="N3735" s="1">
        <v>45385</v>
      </c>
      <c r="O3735" t="s">
        <v>28</v>
      </c>
      <c r="P3735">
        <v>6</v>
      </c>
      <c r="Q3735">
        <v>291520.99</v>
      </c>
    </row>
    <row r="3736" spans="1:17" x14ac:dyDescent="0.3">
      <c r="A3736" t="s">
        <v>8075</v>
      </c>
      <c r="B3736" t="s">
        <v>1731</v>
      </c>
      <c r="C3736" s="2" t="str">
        <f>PROPER(TRIM(Table1[[#This Row],[Gender]]))</f>
        <v>Male</v>
      </c>
      <c r="D3736" t="s">
        <v>16</v>
      </c>
      <c r="E3736">
        <v>37</v>
      </c>
      <c r="F3736" t="s">
        <v>38</v>
      </c>
      <c r="G3736" s="1">
        <v>32153</v>
      </c>
      <c r="H3736" t="s">
        <v>1873</v>
      </c>
      <c r="I3736" s="2" t="str">
        <f t="shared" si="58"/>
        <v>+91-7577071259</v>
      </c>
      <c r="J3736">
        <f>91-7577071350</f>
        <v>-7577071259</v>
      </c>
      <c r="K3736" t="s">
        <v>72</v>
      </c>
      <c r="L3736" t="s">
        <v>34</v>
      </c>
      <c r="M3736">
        <v>419841</v>
      </c>
      <c r="N3736" s="1">
        <v>45333</v>
      </c>
      <c r="O3736" t="s">
        <v>28</v>
      </c>
      <c r="P3736">
        <v>8</v>
      </c>
      <c r="Q3736">
        <v>202687.1</v>
      </c>
    </row>
    <row r="3737" spans="1:17" x14ac:dyDescent="0.3">
      <c r="A3737" t="s">
        <v>8076</v>
      </c>
      <c r="B3737" t="s">
        <v>4450</v>
      </c>
      <c r="C3737" s="2" t="str">
        <f>PROPER(TRIM(Table1[[#This Row],[Gender]]))</f>
        <v>Male</v>
      </c>
      <c r="D3737" t="s">
        <v>16</v>
      </c>
      <c r="E3737">
        <v>38</v>
      </c>
      <c r="F3737" t="s">
        <v>38</v>
      </c>
      <c r="G3737" s="1">
        <v>31788</v>
      </c>
      <c r="H3737" t="s">
        <v>8077</v>
      </c>
      <c r="I3737" s="2" t="str">
        <f t="shared" si="58"/>
        <v>+91-7311490359</v>
      </c>
      <c r="J3737">
        <f>91-7311490450</f>
        <v>-7311490359</v>
      </c>
      <c r="K3737" t="s">
        <v>415</v>
      </c>
      <c r="L3737" t="s">
        <v>90</v>
      </c>
      <c r="M3737">
        <v>779475</v>
      </c>
      <c r="N3737" s="1">
        <v>45133</v>
      </c>
      <c r="O3737" t="s">
        <v>28</v>
      </c>
      <c r="P3737">
        <v>7</v>
      </c>
      <c r="Q3737">
        <v>148796.89000000001</v>
      </c>
    </row>
    <row r="3738" spans="1:17" x14ac:dyDescent="0.3">
      <c r="A3738" t="s">
        <v>8078</v>
      </c>
      <c r="B3738" t="s">
        <v>1337</v>
      </c>
      <c r="C3738" s="2" t="str">
        <f>PROPER(TRIM(Table1[[#This Row],[Gender]]))</f>
        <v>Female</v>
      </c>
      <c r="D3738" t="s">
        <v>43</v>
      </c>
      <c r="E3738">
        <v>32</v>
      </c>
      <c r="F3738" t="s">
        <v>31</v>
      </c>
      <c r="G3738" s="1">
        <v>33978</v>
      </c>
      <c r="H3738" t="s">
        <v>8079</v>
      </c>
      <c r="I3738" s="2" t="str">
        <f t="shared" si="58"/>
        <v>+91-8914863098</v>
      </c>
      <c r="J3738">
        <f>91-8914863189</f>
        <v>-8914863098</v>
      </c>
      <c r="K3738" t="s">
        <v>142</v>
      </c>
      <c r="L3738" t="s">
        <v>143</v>
      </c>
      <c r="M3738">
        <v>468492</v>
      </c>
      <c r="N3738" s="1">
        <v>45142</v>
      </c>
      <c r="O3738" t="s">
        <v>21</v>
      </c>
      <c r="P3738">
        <v>4</v>
      </c>
      <c r="Q3738">
        <v>49484.85</v>
      </c>
    </row>
    <row r="3739" spans="1:17" x14ac:dyDescent="0.3">
      <c r="A3739" t="s">
        <v>8080</v>
      </c>
      <c r="B3739" t="s">
        <v>3391</v>
      </c>
      <c r="C3739" s="2" t="str">
        <f>PROPER(TRIM(Table1[[#This Row],[Gender]]))</f>
        <v>Female</v>
      </c>
      <c r="D3739" t="s">
        <v>43</v>
      </c>
      <c r="E3739">
        <v>18</v>
      </c>
      <c r="F3739" t="s">
        <v>49</v>
      </c>
      <c r="G3739" s="1">
        <v>39088</v>
      </c>
      <c r="H3739" t="s">
        <v>8081</v>
      </c>
      <c r="I3739" s="2" t="str">
        <f t="shared" si="58"/>
        <v>+91-7128540665</v>
      </c>
      <c r="J3739">
        <f>91-7128540756</f>
        <v>-7128540665</v>
      </c>
      <c r="K3739" t="s">
        <v>415</v>
      </c>
      <c r="L3739" t="s">
        <v>90</v>
      </c>
      <c r="M3739">
        <v>245109</v>
      </c>
      <c r="N3739" s="1">
        <v>45327</v>
      </c>
      <c r="O3739" t="s">
        <v>28</v>
      </c>
      <c r="P3739">
        <v>4</v>
      </c>
      <c r="Q3739">
        <v>184689.37</v>
      </c>
    </row>
    <row r="3740" spans="1:17" x14ac:dyDescent="0.3">
      <c r="A3740" t="s">
        <v>8082</v>
      </c>
      <c r="B3740" t="s">
        <v>1022</v>
      </c>
      <c r="C3740" s="2" t="str">
        <f>PROPER(TRIM(Table1[[#This Row],[Gender]]))</f>
        <v>Female</v>
      </c>
      <c r="D3740" t="s">
        <v>43</v>
      </c>
      <c r="E3740">
        <v>22</v>
      </c>
      <c r="F3740" t="s">
        <v>49</v>
      </c>
      <c r="G3740" s="1">
        <v>37628</v>
      </c>
      <c r="H3740" t="s">
        <v>8083</v>
      </c>
      <c r="I3740" s="2" t="str">
        <f t="shared" si="58"/>
        <v>+91-7049175162</v>
      </c>
      <c r="J3740">
        <f>91-7049175253</f>
        <v>-7049175162</v>
      </c>
      <c r="K3740" t="s">
        <v>121</v>
      </c>
      <c r="L3740" t="s">
        <v>85</v>
      </c>
      <c r="M3740">
        <v>676146</v>
      </c>
      <c r="N3740" s="1">
        <v>45132</v>
      </c>
      <c r="O3740" t="s">
        <v>21</v>
      </c>
      <c r="P3740">
        <v>2</v>
      </c>
      <c r="Q3740">
        <v>39215.71</v>
      </c>
    </row>
    <row r="3741" spans="1:17" x14ac:dyDescent="0.3">
      <c r="A3741" t="s">
        <v>8084</v>
      </c>
      <c r="B3741" t="s">
        <v>231</v>
      </c>
      <c r="C3741" s="2" t="str">
        <f>PROPER(TRIM(Table1[[#This Row],[Gender]]))</f>
        <v>Male</v>
      </c>
      <c r="D3741" t="s">
        <v>16</v>
      </c>
      <c r="E3741">
        <v>70</v>
      </c>
      <c r="F3741" t="s">
        <v>24</v>
      </c>
      <c r="G3741" s="1">
        <v>20108</v>
      </c>
      <c r="H3741" t="s">
        <v>8085</v>
      </c>
      <c r="I3741" s="2" t="str">
        <f t="shared" si="58"/>
        <v>+91-9880000202</v>
      </c>
      <c r="J3741">
        <f>91-9880000293</f>
        <v>-9880000202</v>
      </c>
      <c r="K3741" t="s">
        <v>19</v>
      </c>
      <c r="L3741" t="s">
        <v>20</v>
      </c>
      <c r="M3741">
        <v>477774</v>
      </c>
      <c r="N3741" s="1">
        <v>45099</v>
      </c>
      <c r="O3741" t="s">
        <v>28</v>
      </c>
      <c r="P3741">
        <v>6</v>
      </c>
      <c r="Q3741">
        <v>78369.22</v>
      </c>
    </row>
    <row r="3742" spans="1:17" x14ac:dyDescent="0.3">
      <c r="A3742" t="s">
        <v>8086</v>
      </c>
      <c r="B3742" t="s">
        <v>3696</v>
      </c>
      <c r="C3742" s="2" t="str">
        <f>PROPER(TRIM(Table1[[#This Row],[Gender]]))</f>
        <v>Male</v>
      </c>
      <c r="D3742" t="s">
        <v>16</v>
      </c>
      <c r="E3742">
        <v>49</v>
      </c>
      <c r="F3742" t="s">
        <v>17</v>
      </c>
      <c r="G3742" s="1">
        <v>27773</v>
      </c>
      <c r="H3742" t="s">
        <v>8087</v>
      </c>
      <c r="I3742" s="2" t="str">
        <f t="shared" si="58"/>
        <v>+91-7223567694</v>
      </c>
      <c r="J3742">
        <f>91-7223567785</f>
        <v>-7223567694</v>
      </c>
      <c r="K3742" t="s">
        <v>273</v>
      </c>
      <c r="L3742" t="s">
        <v>46</v>
      </c>
      <c r="M3742">
        <v>169369</v>
      </c>
      <c r="N3742" s="1">
        <v>45338</v>
      </c>
      <c r="O3742" t="s">
        <v>21</v>
      </c>
      <c r="P3742">
        <v>4</v>
      </c>
      <c r="Q3742">
        <v>26758.92</v>
      </c>
    </row>
    <row r="3743" spans="1:17" x14ac:dyDescent="0.3">
      <c r="A3743" t="s">
        <v>8088</v>
      </c>
      <c r="B3743" t="s">
        <v>349</v>
      </c>
      <c r="C3743" s="2" t="str">
        <f>PROPER(TRIM(Table1[[#This Row],[Gender]]))</f>
        <v>Female</v>
      </c>
      <c r="D3743" t="s">
        <v>43</v>
      </c>
      <c r="E3743">
        <v>28</v>
      </c>
      <c r="F3743" t="s">
        <v>31</v>
      </c>
      <c r="G3743" s="1">
        <v>35438</v>
      </c>
      <c r="H3743" t="s">
        <v>8089</v>
      </c>
      <c r="I3743" s="2" t="str">
        <f t="shared" si="58"/>
        <v>+91-7403479088</v>
      </c>
      <c r="J3743">
        <f>91-7403479179</f>
        <v>-7403479088</v>
      </c>
      <c r="K3743" t="s">
        <v>161</v>
      </c>
      <c r="L3743" t="s">
        <v>102</v>
      </c>
      <c r="M3743">
        <v>958786</v>
      </c>
      <c r="N3743" s="1">
        <v>45434</v>
      </c>
      <c r="O3743" t="s">
        <v>28</v>
      </c>
      <c r="P3743">
        <v>9</v>
      </c>
      <c r="Q3743">
        <v>235456.82</v>
      </c>
    </row>
    <row r="3744" spans="1:17" x14ac:dyDescent="0.3">
      <c r="A3744" t="s">
        <v>8090</v>
      </c>
      <c r="B3744" t="s">
        <v>8091</v>
      </c>
      <c r="C3744" s="2" t="str">
        <f>PROPER(TRIM(Table1[[#This Row],[Gender]]))</f>
        <v>Male</v>
      </c>
      <c r="D3744" t="s">
        <v>16</v>
      </c>
      <c r="E3744">
        <v>41</v>
      </c>
      <c r="F3744" t="s">
        <v>38</v>
      </c>
      <c r="G3744" s="1">
        <v>30693</v>
      </c>
      <c r="H3744" t="s">
        <v>8092</v>
      </c>
      <c r="I3744" s="2" t="str">
        <f t="shared" si="58"/>
        <v>+91-9336884294</v>
      </c>
      <c r="J3744">
        <f>91-9336884385</f>
        <v>-9336884294</v>
      </c>
      <c r="K3744" t="s">
        <v>117</v>
      </c>
      <c r="L3744" t="s">
        <v>52</v>
      </c>
      <c r="M3744">
        <v>323869</v>
      </c>
      <c r="N3744" s="1">
        <v>45438</v>
      </c>
      <c r="O3744" t="s">
        <v>28</v>
      </c>
      <c r="P3744">
        <v>6</v>
      </c>
      <c r="Q3744">
        <v>430130.75</v>
      </c>
    </row>
    <row r="3745" spans="1:17" x14ac:dyDescent="0.3">
      <c r="A3745" t="s">
        <v>8093</v>
      </c>
      <c r="B3745" t="s">
        <v>1386</v>
      </c>
      <c r="C3745" s="2" t="str">
        <f>PROPER(TRIM(Table1[[#This Row],[Gender]]))</f>
        <v>Female</v>
      </c>
      <c r="D3745" t="s">
        <v>43</v>
      </c>
      <c r="E3745">
        <v>24</v>
      </c>
      <c r="F3745" t="s">
        <v>49</v>
      </c>
      <c r="G3745" s="1">
        <v>36898</v>
      </c>
      <c r="H3745" t="s">
        <v>8094</v>
      </c>
      <c r="I3745" s="2" t="str">
        <f t="shared" si="58"/>
        <v>+91-9276584119</v>
      </c>
      <c r="J3745">
        <f>91-9276584210</f>
        <v>-9276584119</v>
      </c>
      <c r="K3745" t="s">
        <v>125</v>
      </c>
      <c r="L3745" t="s">
        <v>52</v>
      </c>
      <c r="M3745">
        <v>466467</v>
      </c>
      <c r="N3745" s="1">
        <v>45174</v>
      </c>
      <c r="O3745" t="s">
        <v>21</v>
      </c>
      <c r="P3745">
        <v>9</v>
      </c>
      <c r="Q3745">
        <v>44899.77</v>
      </c>
    </row>
    <row r="3746" spans="1:17" x14ac:dyDescent="0.3">
      <c r="A3746" t="s">
        <v>8095</v>
      </c>
      <c r="B3746" t="s">
        <v>1926</v>
      </c>
      <c r="C3746" s="2" t="str">
        <f>PROPER(TRIM(Table1[[#This Row],[Gender]]))</f>
        <v>Female</v>
      </c>
      <c r="D3746" t="s">
        <v>43</v>
      </c>
      <c r="E3746">
        <v>35</v>
      </c>
      <c r="F3746" t="s">
        <v>31</v>
      </c>
      <c r="G3746" s="1">
        <v>32883</v>
      </c>
      <c r="H3746" t="s">
        <v>8096</v>
      </c>
      <c r="I3746" s="2" t="str">
        <f t="shared" si="58"/>
        <v>+91-9430059574</v>
      </c>
      <c r="J3746">
        <f>91-9430059665</f>
        <v>-9430059574</v>
      </c>
      <c r="K3746" t="s">
        <v>60</v>
      </c>
      <c r="L3746" t="s">
        <v>34</v>
      </c>
      <c r="M3746">
        <v>830890</v>
      </c>
      <c r="N3746" s="1">
        <v>45107</v>
      </c>
      <c r="O3746" t="s">
        <v>28</v>
      </c>
      <c r="P3746">
        <v>5</v>
      </c>
      <c r="Q3746">
        <v>136320.76</v>
      </c>
    </row>
    <row r="3747" spans="1:17" x14ac:dyDescent="0.3">
      <c r="A3747" t="s">
        <v>8097</v>
      </c>
      <c r="B3747" t="s">
        <v>6620</v>
      </c>
      <c r="C3747" s="2" t="str">
        <f>PROPER(TRIM(Table1[[#This Row],[Gender]]))</f>
        <v>Female</v>
      </c>
      <c r="D3747" t="s">
        <v>43</v>
      </c>
      <c r="E3747">
        <v>22</v>
      </c>
      <c r="F3747" t="s">
        <v>49</v>
      </c>
      <c r="G3747" s="1">
        <v>37628</v>
      </c>
      <c r="H3747" t="s">
        <v>8098</v>
      </c>
      <c r="I3747" s="2" t="str">
        <f t="shared" si="58"/>
        <v>+91-8176732408</v>
      </c>
      <c r="J3747">
        <f>91-8176732499</f>
        <v>-8176732408</v>
      </c>
      <c r="K3747" t="s">
        <v>68</v>
      </c>
      <c r="L3747" t="s">
        <v>52</v>
      </c>
      <c r="M3747">
        <v>118662</v>
      </c>
      <c r="N3747" s="1">
        <v>45173</v>
      </c>
      <c r="O3747" t="s">
        <v>28</v>
      </c>
      <c r="P3747">
        <v>3</v>
      </c>
      <c r="Q3747">
        <v>89924.14</v>
      </c>
    </row>
    <row r="3748" spans="1:17" x14ac:dyDescent="0.3">
      <c r="A3748" t="s">
        <v>8099</v>
      </c>
      <c r="B3748" t="s">
        <v>2890</v>
      </c>
      <c r="C3748" s="2" t="str">
        <f>PROPER(TRIM(Table1[[#This Row],[Gender]]))</f>
        <v>Female</v>
      </c>
      <c r="D3748" t="s">
        <v>43</v>
      </c>
      <c r="E3748">
        <v>30</v>
      </c>
      <c r="F3748" t="s">
        <v>31</v>
      </c>
      <c r="G3748" s="1">
        <v>34708</v>
      </c>
      <c r="H3748" t="s">
        <v>8100</v>
      </c>
      <c r="I3748" s="2" t="str">
        <f t="shared" si="58"/>
        <v>+91-8983131006</v>
      </c>
      <c r="J3748">
        <f>91-8983131097</f>
        <v>-8983131006</v>
      </c>
      <c r="K3748" t="s">
        <v>76</v>
      </c>
      <c r="L3748" t="s">
        <v>46</v>
      </c>
      <c r="M3748">
        <v>309209</v>
      </c>
      <c r="N3748" s="1">
        <v>45274</v>
      </c>
      <c r="O3748" t="s">
        <v>21</v>
      </c>
      <c r="P3748">
        <v>2</v>
      </c>
      <c r="Q3748">
        <v>24705.82</v>
      </c>
    </row>
    <row r="3749" spans="1:17" x14ac:dyDescent="0.3">
      <c r="A3749" t="s">
        <v>8101</v>
      </c>
      <c r="B3749" t="s">
        <v>3549</v>
      </c>
      <c r="C3749" s="2" t="str">
        <f>PROPER(TRIM(Table1[[#This Row],[Gender]]))</f>
        <v>Female</v>
      </c>
      <c r="D3749" t="s">
        <v>43</v>
      </c>
      <c r="E3749">
        <v>43</v>
      </c>
      <c r="F3749" t="s">
        <v>38</v>
      </c>
      <c r="G3749" s="1">
        <v>29963</v>
      </c>
      <c r="H3749" t="s">
        <v>8102</v>
      </c>
      <c r="I3749" s="2" t="str">
        <f t="shared" si="58"/>
        <v>+91-8484461596</v>
      </c>
      <c r="J3749">
        <f>91-8484461687</f>
        <v>-8484461596</v>
      </c>
      <c r="K3749" t="s">
        <v>72</v>
      </c>
      <c r="L3749" t="s">
        <v>34</v>
      </c>
      <c r="M3749">
        <v>286090</v>
      </c>
      <c r="N3749" s="1">
        <v>45268</v>
      </c>
      <c r="O3749" t="s">
        <v>28</v>
      </c>
      <c r="P3749">
        <v>9</v>
      </c>
      <c r="Q3749">
        <v>215461.89</v>
      </c>
    </row>
    <row r="3750" spans="1:17" x14ac:dyDescent="0.3">
      <c r="A3750" t="s">
        <v>8103</v>
      </c>
      <c r="B3750" t="s">
        <v>2384</v>
      </c>
      <c r="C3750" s="2" t="str">
        <f>PROPER(TRIM(Table1[[#This Row],[Gender]]))</f>
        <v>Male</v>
      </c>
      <c r="D3750" t="s">
        <v>16</v>
      </c>
      <c r="E3750">
        <v>26</v>
      </c>
      <c r="F3750" t="s">
        <v>31</v>
      </c>
      <c r="G3750" s="1">
        <v>36168</v>
      </c>
      <c r="H3750" t="s">
        <v>8104</v>
      </c>
      <c r="I3750" s="2" t="str">
        <f t="shared" si="58"/>
        <v>+91-8934049447</v>
      </c>
      <c r="J3750">
        <f>91-8934049538</f>
        <v>-8934049447</v>
      </c>
      <c r="K3750" t="s">
        <v>369</v>
      </c>
      <c r="L3750" t="s">
        <v>191</v>
      </c>
      <c r="M3750">
        <v>691876</v>
      </c>
      <c r="N3750" s="1">
        <v>45249</v>
      </c>
      <c r="O3750" t="s">
        <v>21</v>
      </c>
      <c r="P3750">
        <v>6</v>
      </c>
      <c r="Q3750">
        <v>43240.56</v>
      </c>
    </row>
    <row r="3751" spans="1:17" x14ac:dyDescent="0.3">
      <c r="A3751" t="s">
        <v>8105</v>
      </c>
      <c r="B3751" t="s">
        <v>8106</v>
      </c>
      <c r="C3751" s="2" t="str">
        <f>PROPER(TRIM(Table1[[#This Row],[Gender]]))</f>
        <v>Male</v>
      </c>
      <c r="D3751" t="s">
        <v>16</v>
      </c>
      <c r="E3751">
        <v>28</v>
      </c>
      <c r="F3751" t="s">
        <v>31</v>
      </c>
      <c r="G3751" s="1">
        <v>35438</v>
      </c>
      <c r="H3751" t="s">
        <v>8107</v>
      </c>
      <c r="I3751" s="2" t="str">
        <f t="shared" si="58"/>
        <v>+91-9409545258</v>
      </c>
      <c r="J3751">
        <f>91-9409545349</f>
        <v>-9409545258</v>
      </c>
      <c r="K3751" t="s">
        <v>101</v>
      </c>
      <c r="L3751" t="s">
        <v>102</v>
      </c>
      <c r="M3751">
        <v>758984</v>
      </c>
      <c r="N3751" s="1">
        <v>45351</v>
      </c>
      <c r="O3751" t="s">
        <v>35</v>
      </c>
      <c r="P3751">
        <v>1</v>
      </c>
      <c r="Q3751">
        <v>4355.05</v>
      </c>
    </row>
    <row r="3752" spans="1:17" x14ac:dyDescent="0.3">
      <c r="A3752" t="s">
        <v>8108</v>
      </c>
      <c r="B3752" t="s">
        <v>2266</v>
      </c>
      <c r="C3752" s="2" t="str">
        <f>PROPER(TRIM(Table1[[#This Row],[Gender]]))</f>
        <v>Male</v>
      </c>
      <c r="D3752" t="s">
        <v>16</v>
      </c>
      <c r="E3752">
        <v>44</v>
      </c>
      <c r="F3752" t="s">
        <v>38</v>
      </c>
      <c r="G3752" s="1">
        <v>29598</v>
      </c>
      <c r="H3752" t="s">
        <v>8109</v>
      </c>
      <c r="I3752" s="2" t="str">
        <f t="shared" si="58"/>
        <v>+91-8703552609</v>
      </c>
      <c r="J3752">
        <f>91-8703552700</f>
        <v>-8703552609</v>
      </c>
      <c r="K3752" t="s">
        <v>239</v>
      </c>
      <c r="L3752" t="s">
        <v>191</v>
      </c>
      <c r="M3752">
        <v>256221</v>
      </c>
      <c r="N3752" s="1">
        <v>45170</v>
      </c>
      <c r="O3752" t="s">
        <v>28</v>
      </c>
      <c r="P3752">
        <v>4</v>
      </c>
      <c r="Q3752">
        <v>108789.94</v>
      </c>
    </row>
    <row r="3753" spans="1:17" x14ac:dyDescent="0.3">
      <c r="A3753" t="s">
        <v>8110</v>
      </c>
      <c r="B3753" t="s">
        <v>1830</v>
      </c>
      <c r="C3753" s="2" t="str">
        <f>PROPER(TRIM(Table1[[#This Row],[Gender]]))</f>
        <v>Male</v>
      </c>
      <c r="D3753" t="s">
        <v>16</v>
      </c>
      <c r="E3753">
        <v>44</v>
      </c>
      <c r="F3753" t="s">
        <v>38</v>
      </c>
      <c r="G3753" s="1">
        <v>29598</v>
      </c>
      <c r="H3753" t="s">
        <v>8111</v>
      </c>
      <c r="I3753" s="2" t="str">
        <f t="shared" si="58"/>
        <v>+91-7697384531</v>
      </c>
      <c r="J3753">
        <f>91-7697384622</f>
        <v>-7697384531</v>
      </c>
      <c r="K3753" t="s">
        <v>64</v>
      </c>
      <c r="L3753" t="s">
        <v>20</v>
      </c>
      <c r="M3753">
        <v>565270</v>
      </c>
      <c r="N3753" s="1">
        <v>45222</v>
      </c>
      <c r="O3753" t="s">
        <v>35</v>
      </c>
      <c r="P3753">
        <v>1</v>
      </c>
      <c r="Q3753">
        <v>1827.49</v>
      </c>
    </row>
    <row r="3754" spans="1:17" x14ac:dyDescent="0.3">
      <c r="A3754" t="s">
        <v>8112</v>
      </c>
      <c r="B3754" t="s">
        <v>2162</v>
      </c>
      <c r="C3754" s="2" t="str">
        <f>PROPER(TRIM(Table1[[#This Row],[Gender]]))</f>
        <v>Male</v>
      </c>
      <c r="D3754" t="s">
        <v>16</v>
      </c>
      <c r="E3754">
        <v>53</v>
      </c>
      <c r="F3754" t="s">
        <v>17</v>
      </c>
      <c r="G3754" s="1">
        <v>26313</v>
      </c>
      <c r="H3754" t="s">
        <v>8113</v>
      </c>
      <c r="I3754" s="2" t="str">
        <f t="shared" si="58"/>
        <v>+91-7270653073</v>
      </c>
      <c r="J3754">
        <f>91-7270653164</f>
        <v>-7270653073</v>
      </c>
      <c r="K3754" t="s">
        <v>147</v>
      </c>
      <c r="L3754" t="s">
        <v>143</v>
      </c>
      <c r="M3754">
        <v>131151</v>
      </c>
      <c r="N3754" s="1">
        <v>45131</v>
      </c>
      <c r="O3754" t="s">
        <v>21</v>
      </c>
      <c r="P3754">
        <v>8</v>
      </c>
      <c r="Q3754">
        <v>28225.67</v>
      </c>
    </row>
    <row r="3755" spans="1:17" x14ac:dyDescent="0.3">
      <c r="A3755" t="s">
        <v>8114</v>
      </c>
      <c r="B3755" t="s">
        <v>718</v>
      </c>
      <c r="C3755" s="2" t="str">
        <f>PROPER(TRIM(Table1[[#This Row],[Gender]]))</f>
        <v>Female</v>
      </c>
      <c r="D3755" t="s">
        <v>43</v>
      </c>
      <c r="E3755">
        <v>31</v>
      </c>
      <c r="F3755" t="s">
        <v>31</v>
      </c>
      <c r="G3755" s="1">
        <v>34343</v>
      </c>
      <c r="H3755" t="s">
        <v>8115</v>
      </c>
      <c r="I3755" s="2" t="str">
        <f t="shared" si="58"/>
        <v>+91-9173650929</v>
      </c>
      <c r="J3755">
        <f>91-9173651020</f>
        <v>-9173650929</v>
      </c>
      <c r="K3755" t="s">
        <v>273</v>
      </c>
      <c r="L3755" t="s">
        <v>46</v>
      </c>
      <c r="M3755">
        <v>419871</v>
      </c>
      <c r="N3755" s="1">
        <v>45233</v>
      </c>
      <c r="O3755" t="s">
        <v>35</v>
      </c>
      <c r="P3755">
        <v>4</v>
      </c>
      <c r="Q3755">
        <v>17003.919999999998</v>
      </c>
    </row>
    <row r="3756" spans="1:17" x14ac:dyDescent="0.3">
      <c r="A3756" t="s">
        <v>8116</v>
      </c>
      <c r="B3756" t="s">
        <v>2674</v>
      </c>
      <c r="C3756" s="2" t="str">
        <f>PROPER(TRIM(Table1[[#This Row],[Gender]]))</f>
        <v>Female</v>
      </c>
      <c r="D3756" t="s">
        <v>43</v>
      </c>
      <c r="E3756">
        <v>44</v>
      </c>
      <c r="F3756" t="s">
        <v>38</v>
      </c>
      <c r="G3756" s="1">
        <v>29598</v>
      </c>
      <c r="H3756" t="s">
        <v>8117</v>
      </c>
      <c r="I3756" s="2" t="str">
        <f t="shared" si="58"/>
        <v>+91-9817271696</v>
      </c>
      <c r="J3756">
        <f>91-9817271787</f>
        <v>-9817271696</v>
      </c>
      <c r="K3756" t="s">
        <v>117</v>
      </c>
      <c r="L3756" t="s">
        <v>52</v>
      </c>
      <c r="M3756">
        <v>131608</v>
      </c>
      <c r="N3756" s="1">
        <v>45404</v>
      </c>
      <c r="O3756" t="s">
        <v>28</v>
      </c>
      <c r="P3756">
        <v>9</v>
      </c>
      <c r="Q3756">
        <v>251473.05</v>
      </c>
    </row>
    <row r="3757" spans="1:17" x14ac:dyDescent="0.3">
      <c r="A3757" t="s">
        <v>8118</v>
      </c>
      <c r="B3757" t="s">
        <v>3808</v>
      </c>
      <c r="C3757" s="2" t="str">
        <f>PROPER(TRIM(Table1[[#This Row],[Gender]]))</f>
        <v>Male</v>
      </c>
      <c r="D3757" t="s">
        <v>16</v>
      </c>
      <c r="E3757">
        <v>46</v>
      </c>
      <c r="F3757" t="s">
        <v>17</v>
      </c>
      <c r="G3757" s="1">
        <v>28868</v>
      </c>
      <c r="H3757" t="s">
        <v>8119</v>
      </c>
      <c r="I3757" s="2" t="str">
        <f t="shared" si="58"/>
        <v>+91-7103046094</v>
      </c>
      <c r="J3757">
        <f>91-7103046185</f>
        <v>-7103046094</v>
      </c>
      <c r="K3757" t="s">
        <v>580</v>
      </c>
      <c r="L3757" t="s">
        <v>85</v>
      </c>
      <c r="M3757">
        <v>295104</v>
      </c>
      <c r="N3757" s="1">
        <v>45105</v>
      </c>
      <c r="O3757" t="s">
        <v>35</v>
      </c>
      <c r="P3757">
        <v>2</v>
      </c>
      <c r="Q3757">
        <v>12571.96</v>
      </c>
    </row>
    <row r="3758" spans="1:17" x14ac:dyDescent="0.3">
      <c r="A3758" t="s">
        <v>8120</v>
      </c>
      <c r="B3758" t="s">
        <v>2444</v>
      </c>
      <c r="C3758" s="2" t="str">
        <f>PROPER(TRIM(Table1[[#This Row],[Gender]]))</f>
        <v>Female</v>
      </c>
      <c r="D3758" t="s">
        <v>43</v>
      </c>
      <c r="E3758">
        <v>26</v>
      </c>
      <c r="F3758" t="s">
        <v>31</v>
      </c>
      <c r="G3758" s="1">
        <v>36168</v>
      </c>
      <c r="H3758" t="s">
        <v>8121</v>
      </c>
      <c r="I3758" s="2" t="str">
        <f t="shared" si="58"/>
        <v>+91-9272824577</v>
      </c>
      <c r="J3758">
        <f>91-9272824668</f>
        <v>-9272824577</v>
      </c>
      <c r="K3758" t="s">
        <v>76</v>
      </c>
      <c r="L3758" t="s">
        <v>46</v>
      </c>
      <c r="M3758">
        <v>587964</v>
      </c>
      <c r="N3758" s="1">
        <v>45350</v>
      </c>
      <c r="O3758" t="s">
        <v>21</v>
      </c>
      <c r="P3758">
        <v>4</v>
      </c>
      <c r="Q3758">
        <v>34736.160000000003</v>
      </c>
    </row>
    <row r="3759" spans="1:17" x14ac:dyDescent="0.3">
      <c r="A3759" t="s">
        <v>8122</v>
      </c>
      <c r="B3759" t="s">
        <v>1100</v>
      </c>
      <c r="C3759" s="2" t="str">
        <f>PROPER(TRIM(Table1[[#This Row],[Gender]]))</f>
        <v>Male</v>
      </c>
      <c r="D3759" t="s">
        <v>16</v>
      </c>
      <c r="E3759">
        <v>27</v>
      </c>
      <c r="F3759" t="s">
        <v>31</v>
      </c>
      <c r="G3759" s="1">
        <v>35803</v>
      </c>
      <c r="H3759" t="s">
        <v>8123</v>
      </c>
      <c r="I3759" s="2" t="str">
        <f t="shared" si="58"/>
        <v>+91-7468268381</v>
      </c>
      <c r="J3759">
        <f>91-7468268472</f>
        <v>-7468268381</v>
      </c>
      <c r="K3759" t="s">
        <v>273</v>
      </c>
      <c r="L3759" t="s">
        <v>46</v>
      </c>
      <c r="M3759">
        <v>625741</v>
      </c>
      <c r="N3759" s="1">
        <v>45346</v>
      </c>
      <c r="O3759" t="s">
        <v>21</v>
      </c>
      <c r="P3759">
        <v>4</v>
      </c>
      <c r="Q3759">
        <v>41327.85</v>
      </c>
    </row>
    <row r="3760" spans="1:17" x14ac:dyDescent="0.3">
      <c r="A3760" t="s">
        <v>8124</v>
      </c>
      <c r="B3760" t="s">
        <v>2021</v>
      </c>
      <c r="C3760" s="2" t="str">
        <f>PROPER(TRIM(Table1[[#This Row],[Gender]]))</f>
        <v>Male</v>
      </c>
      <c r="D3760" t="s">
        <v>16</v>
      </c>
      <c r="E3760">
        <v>40</v>
      </c>
      <c r="F3760" t="s">
        <v>38</v>
      </c>
      <c r="G3760" s="1">
        <v>31058</v>
      </c>
      <c r="H3760" t="s">
        <v>8125</v>
      </c>
      <c r="I3760" s="2" t="str">
        <f t="shared" si="58"/>
        <v>+91-9750498705</v>
      </c>
      <c r="J3760">
        <f>91-9750498796</f>
        <v>-9750498705</v>
      </c>
      <c r="K3760" t="s">
        <v>26</v>
      </c>
      <c r="L3760" t="s">
        <v>27</v>
      </c>
      <c r="M3760">
        <v>304113</v>
      </c>
      <c r="N3760" s="1">
        <v>45087</v>
      </c>
      <c r="O3760" t="s">
        <v>28</v>
      </c>
      <c r="P3760">
        <v>5</v>
      </c>
      <c r="Q3760">
        <v>165942.51</v>
      </c>
    </row>
    <row r="3761" spans="1:17" x14ac:dyDescent="0.3">
      <c r="A3761" t="s">
        <v>8126</v>
      </c>
      <c r="B3761" t="s">
        <v>2363</v>
      </c>
      <c r="C3761" s="2" t="str">
        <f>PROPER(TRIM(Table1[[#This Row],[Gender]]))</f>
        <v>Male</v>
      </c>
      <c r="D3761" t="s">
        <v>16</v>
      </c>
      <c r="E3761">
        <v>30</v>
      </c>
      <c r="F3761" t="s">
        <v>31</v>
      </c>
      <c r="G3761" s="1">
        <v>34708</v>
      </c>
      <c r="H3761" t="s">
        <v>8127</v>
      </c>
      <c r="I3761" s="2" t="str">
        <f t="shared" si="58"/>
        <v>+91-8756198570</v>
      </c>
      <c r="J3761">
        <f>91-8756198661</f>
        <v>-8756198570</v>
      </c>
      <c r="K3761" t="s">
        <v>26</v>
      </c>
      <c r="L3761" t="s">
        <v>27</v>
      </c>
      <c r="M3761">
        <v>840423</v>
      </c>
      <c r="N3761" s="1">
        <v>45339</v>
      </c>
      <c r="O3761" t="s">
        <v>21</v>
      </c>
      <c r="P3761">
        <v>5</v>
      </c>
      <c r="Q3761">
        <v>33810.32</v>
      </c>
    </row>
    <row r="3762" spans="1:17" x14ac:dyDescent="0.3">
      <c r="A3762" t="s">
        <v>8128</v>
      </c>
      <c r="B3762" t="s">
        <v>3398</v>
      </c>
      <c r="C3762" s="2" t="str">
        <f>PROPER(TRIM(Table1[[#This Row],[Gender]]))</f>
        <v>Male</v>
      </c>
      <c r="D3762" t="s">
        <v>16</v>
      </c>
      <c r="E3762">
        <v>25</v>
      </c>
      <c r="F3762" t="s">
        <v>49</v>
      </c>
      <c r="G3762" s="1">
        <v>36533</v>
      </c>
      <c r="H3762" t="s">
        <v>6172</v>
      </c>
      <c r="I3762" s="2" t="str">
        <f t="shared" si="58"/>
        <v>+91-8024718968</v>
      </c>
      <c r="J3762">
        <f>91-8024719059</f>
        <v>-8024718968</v>
      </c>
      <c r="K3762" t="s">
        <v>33</v>
      </c>
      <c r="L3762" t="s">
        <v>34</v>
      </c>
      <c r="M3762">
        <v>809609</v>
      </c>
      <c r="N3762" s="1">
        <v>45297</v>
      </c>
      <c r="O3762" t="s">
        <v>28</v>
      </c>
      <c r="P3762">
        <v>4</v>
      </c>
      <c r="Q3762">
        <v>184228.82</v>
      </c>
    </row>
    <row r="3763" spans="1:17" x14ac:dyDescent="0.3">
      <c r="A3763" t="s">
        <v>8129</v>
      </c>
      <c r="B3763" t="s">
        <v>3937</v>
      </c>
      <c r="C3763" s="2" t="str">
        <f>PROPER(TRIM(Table1[[#This Row],[Gender]]))</f>
        <v>Female</v>
      </c>
      <c r="D3763" t="s">
        <v>43</v>
      </c>
      <c r="E3763">
        <v>72</v>
      </c>
      <c r="F3763" t="s">
        <v>24</v>
      </c>
      <c r="G3763" s="1">
        <v>19378</v>
      </c>
      <c r="H3763" t="s">
        <v>8130</v>
      </c>
      <c r="I3763" s="2" t="str">
        <f t="shared" si="58"/>
        <v>+91-8687202170</v>
      </c>
      <c r="J3763">
        <f>91-8687202261</f>
        <v>-8687202170</v>
      </c>
      <c r="K3763" t="s">
        <v>113</v>
      </c>
      <c r="L3763" t="s">
        <v>34</v>
      </c>
      <c r="M3763">
        <v>526252</v>
      </c>
      <c r="N3763" s="1">
        <v>45146</v>
      </c>
      <c r="O3763" t="s">
        <v>28</v>
      </c>
      <c r="P3763">
        <v>5</v>
      </c>
      <c r="Q3763">
        <v>51496.44</v>
      </c>
    </row>
    <row r="3764" spans="1:17" x14ac:dyDescent="0.3">
      <c r="A3764" t="s">
        <v>8131</v>
      </c>
      <c r="B3764" t="s">
        <v>133</v>
      </c>
      <c r="C3764" s="2" t="str">
        <f>PROPER(TRIM(Table1[[#This Row],[Gender]]))</f>
        <v>Male</v>
      </c>
      <c r="D3764" t="s">
        <v>16</v>
      </c>
      <c r="E3764">
        <v>48</v>
      </c>
      <c r="F3764" t="s">
        <v>17</v>
      </c>
      <c r="G3764" s="1">
        <v>28138</v>
      </c>
      <c r="H3764" t="s">
        <v>8132</v>
      </c>
      <c r="I3764" s="2" t="str">
        <f t="shared" si="58"/>
        <v>+91-7160850868</v>
      </c>
      <c r="J3764">
        <f>91-7160850959</f>
        <v>-7160850868</v>
      </c>
      <c r="K3764" t="s">
        <v>45</v>
      </c>
      <c r="L3764" t="s">
        <v>46</v>
      </c>
      <c r="M3764">
        <v>289681</v>
      </c>
      <c r="N3764" s="1">
        <v>45304</v>
      </c>
      <c r="O3764" t="s">
        <v>21</v>
      </c>
      <c r="P3764">
        <v>4</v>
      </c>
      <c r="Q3764">
        <v>30945.119999999999</v>
      </c>
    </row>
    <row r="3765" spans="1:17" x14ac:dyDescent="0.3">
      <c r="A3765" t="s">
        <v>8133</v>
      </c>
      <c r="B3765" t="s">
        <v>8134</v>
      </c>
      <c r="C3765" s="2" t="str">
        <f>PROPER(TRIM(Table1[[#This Row],[Gender]]))</f>
        <v>Female</v>
      </c>
      <c r="D3765" t="s">
        <v>43</v>
      </c>
      <c r="E3765">
        <v>48</v>
      </c>
      <c r="F3765" t="s">
        <v>17</v>
      </c>
      <c r="G3765" s="1">
        <v>28138</v>
      </c>
      <c r="H3765" t="s">
        <v>8135</v>
      </c>
      <c r="I3765" s="2" t="str">
        <f t="shared" si="58"/>
        <v>+91-7735296304</v>
      </c>
      <c r="J3765">
        <f>91-7735296395</f>
        <v>-7735296304</v>
      </c>
      <c r="K3765" t="s">
        <v>165</v>
      </c>
      <c r="L3765" t="s">
        <v>52</v>
      </c>
      <c r="M3765">
        <v>590997</v>
      </c>
      <c r="N3765" s="1">
        <v>45331</v>
      </c>
      <c r="O3765" t="s">
        <v>21</v>
      </c>
      <c r="P3765">
        <v>5</v>
      </c>
      <c r="Q3765">
        <v>31757.03</v>
      </c>
    </row>
    <row r="3766" spans="1:17" x14ac:dyDescent="0.3">
      <c r="A3766" t="s">
        <v>8136</v>
      </c>
      <c r="B3766" t="s">
        <v>104</v>
      </c>
      <c r="C3766" s="2" t="str">
        <f>PROPER(TRIM(Table1[[#This Row],[Gender]]))</f>
        <v>Female</v>
      </c>
      <c r="D3766" t="s">
        <v>43</v>
      </c>
      <c r="E3766">
        <v>49</v>
      </c>
      <c r="F3766" t="s">
        <v>17</v>
      </c>
      <c r="G3766" s="1">
        <v>27773</v>
      </c>
      <c r="H3766" t="s">
        <v>8137</v>
      </c>
      <c r="I3766" s="2" t="str">
        <f t="shared" si="58"/>
        <v>+91-7028791367</v>
      </c>
      <c r="J3766">
        <f>91-7028791458</f>
        <v>-7028791367</v>
      </c>
      <c r="K3766" t="s">
        <v>331</v>
      </c>
      <c r="L3766" t="s">
        <v>143</v>
      </c>
      <c r="M3766">
        <v>650476</v>
      </c>
      <c r="N3766" s="1">
        <v>45100</v>
      </c>
      <c r="O3766" t="s">
        <v>28</v>
      </c>
      <c r="P3766">
        <v>8</v>
      </c>
      <c r="Q3766">
        <v>159919.29999999999</v>
      </c>
    </row>
    <row r="3767" spans="1:17" x14ac:dyDescent="0.3">
      <c r="A3767" t="s">
        <v>8138</v>
      </c>
      <c r="B3767" t="s">
        <v>1916</v>
      </c>
      <c r="C3767" s="2" t="str">
        <f>PROPER(TRIM(Table1[[#This Row],[Gender]]))</f>
        <v>Male</v>
      </c>
      <c r="D3767" t="s">
        <v>16</v>
      </c>
      <c r="E3767">
        <v>19</v>
      </c>
      <c r="F3767" t="s">
        <v>49</v>
      </c>
      <c r="G3767" s="1">
        <v>38723</v>
      </c>
      <c r="H3767" t="s">
        <v>8139</v>
      </c>
      <c r="I3767" s="2" t="str">
        <f t="shared" si="58"/>
        <v>+91-9463210046</v>
      </c>
      <c r="J3767">
        <f>91-9463210137</f>
        <v>-9463210046</v>
      </c>
      <c r="K3767" t="s">
        <v>60</v>
      </c>
      <c r="L3767" t="s">
        <v>34</v>
      </c>
      <c r="M3767">
        <v>265032</v>
      </c>
      <c r="N3767" s="1">
        <v>45372</v>
      </c>
      <c r="O3767" t="s">
        <v>21</v>
      </c>
      <c r="P3767">
        <v>6</v>
      </c>
      <c r="Q3767">
        <v>42567.97</v>
      </c>
    </row>
    <row r="3768" spans="1:17" x14ac:dyDescent="0.3">
      <c r="A3768" t="s">
        <v>8140</v>
      </c>
      <c r="B3768" t="s">
        <v>2399</v>
      </c>
      <c r="C3768" s="2" t="str">
        <f>PROPER(TRIM(Table1[[#This Row],[Gender]]))</f>
        <v>Male</v>
      </c>
      <c r="D3768" t="s">
        <v>16</v>
      </c>
      <c r="E3768">
        <v>45</v>
      </c>
      <c r="F3768" t="s">
        <v>38</v>
      </c>
      <c r="G3768" s="1">
        <v>29233</v>
      </c>
      <c r="H3768" t="s">
        <v>8141</v>
      </c>
      <c r="I3768" s="2" t="str">
        <f t="shared" si="58"/>
        <v>+91-8757687005</v>
      </c>
      <c r="J3768">
        <f>91-8757687096</f>
        <v>-8757687005</v>
      </c>
      <c r="K3768" t="s">
        <v>331</v>
      </c>
      <c r="L3768" t="s">
        <v>143</v>
      </c>
      <c r="M3768">
        <v>692292</v>
      </c>
      <c r="N3768" s="1">
        <v>45210</v>
      </c>
      <c r="O3768" t="s">
        <v>28</v>
      </c>
      <c r="P3768">
        <v>3</v>
      </c>
      <c r="Q3768">
        <v>218310.12</v>
      </c>
    </row>
    <row r="3769" spans="1:17" x14ac:dyDescent="0.3">
      <c r="A3769" t="s">
        <v>8142</v>
      </c>
      <c r="B3769" t="s">
        <v>641</v>
      </c>
      <c r="C3769" s="2" t="str">
        <f>PROPER(TRIM(Table1[[#This Row],[Gender]]))</f>
        <v>Male</v>
      </c>
      <c r="D3769" t="s">
        <v>16</v>
      </c>
      <c r="E3769">
        <v>29</v>
      </c>
      <c r="F3769" t="s">
        <v>31</v>
      </c>
      <c r="G3769" s="1">
        <v>35073</v>
      </c>
      <c r="H3769" t="s">
        <v>8143</v>
      </c>
      <c r="I3769" s="2" t="str">
        <f t="shared" si="58"/>
        <v>+91-7537653320</v>
      </c>
      <c r="J3769">
        <f>91-7537653411</f>
        <v>-7537653320</v>
      </c>
      <c r="K3769" t="s">
        <v>51</v>
      </c>
      <c r="L3769" t="s">
        <v>52</v>
      </c>
      <c r="M3769">
        <v>188145</v>
      </c>
      <c r="N3769" s="1">
        <v>45401</v>
      </c>
      <c r="O3769" t="s">
        <v>28</v>
      </c>
      <c r="P3769">
        <v>3</v>
      </c>
      <c r="Q3769">
        <v>72273.87</v>
      </c>
    </row>
    <row r="3770" spans="1:17" x14ac:dyDescent="0.3">
      <c r="A3770" t="s">
        <v>8144</v>
      </c>
      <c r="B3770" t="s">
        <v>1228</v>
      </c>
      <c r="C3770" s="2" t="str">
        <f>PROPER(TRIM(Table1[[#This Row],[Gender]]))</f>
        <v>Female</v>
      </c>
      <c r="D3770" t="s">
        <v>43</v>
      </c>
      <c r="E3770">
        <v>53</v>
      </c>
      <c r="F3770" t="s">
        <v>17</v>
      </c>
      <c r="G3770" s="1">
        <v>26313</v>
      </c>
      <c r="H3770" t="s">
        <v>8145</v>
      </c>
      <c r="I3770" s="2" t="str">
        <f t="shared" si="58"/>
        <v>+91-9357670333</v>
      </c>
      <c r="J3770">
        <f>91-9357670424</f>
        <v>-9357670333</v>
      </c>
      <c r="K3770" t="s">
        <v>138</v>
      </c>
      <c r="L3770" t="s">
        <v>90</v>
      </c>
      <c r="M3770">
        <v>549747</v>
      </c>
      <c r="N3770" s="1">
        <v>45367</v>
      </c>
      <c r="O3770" t="s">
        <v>28</v>
      </c>
      <c r="P3770">
        <v>8</v>
      </c>
      <c r="Q3770">
        <v>58203.07</v>
      </c>
    </row>
    <row r="3771" spans="1:17" x14ac:dyDescent="0.3">
      <c r="A3771" t="s">
        <v>8146</v>
      </c>
      <c r="B3771" t="s">
        <v>619</v>
      </c>
      <c r="C3771" s="2" t="str">
        <f>PROPER(TRIM(Table1[[#This Row],[Gender]]))</f>
        <v>Male</v>
      </c>
      <c r="D3771" t="s">
        <v>16</v>
      </c>
      <c r="E3771">
        <v>24</v>
      </c>
      <c r="F3771" t="s">
        <v>49</v>
      </c>
      <c r="G3771" s="1">
        <v>36898</v>
      </c>
      <c r="H3771" t="s">
        <v>8147</v>
      </c>
      <c r="I3771" s="2" t="str">
        <f t="shared" si="58"/>
        <v>+91-8814655486</v>
      </c>
      <c r="J3771">
        <f>91-8814655577</f>
        <v>-8814655486</v>
      </c>
      <c r="K3771" t="s">
        <v>109</v>
      </c>
      <c r="L3771" t="s">
        <v>46</v>
      </c>
      <c r="M3771">
        <v>755219</v>
      </c>
      <c r="N3771" s="1">
        <v>45179</v>
      </c>
      <c r="O3771" t="s">
        <v>28</v>
      </c>
      <c r="P3771">
        <v>5</v>
      </c>
      <c r="Q3771">
        <v>206967.19</v>
      </c>
    </row>
    <row r="3772" spans="1:17" x14ac:dyDescent="0.3">
      <c r="A3772" t="s">
        <v>8148</v>
      </c>
      <c r="B3772" t="s">
        <v>1319</v>
      </c>
      <c r="C3772" s="2" t="str">
        <f>PROPER(TRIM(Table1[[#This Row],[Gender]]))</f>
        <v>Male</v>
      </c>
      <c r="D3772" t="s">
        <v>16</v>
      </c>
      <c r="E3772">
        <v>61</v>
      </c>
      <c r="F3772" t="s">
        <v>58</v>
      </c>
      <c r="G3772" s="1">
        <v>23393</v>
      </c>
      <c r="H3772" t="s">
        <v>8149</v>
      </c>
      <c r="I3772" s="2" t="str">
        <f t="shared" si="58"/>
        <v>+91-9378750836</v>
      </c>
      <c r="J3772">
        <f>91-9378750927</f>
        <v>-9378750836</v>
      </c>
      <c r="K3772" t="s">
        <v>190</v>
      </c>
      <c r="L3772" t="s">
        <v>191</v>
      </c>
      <c r="M3772">
        <v>231769</v>
      </c>
      <c r="N3772" s="1">
        <v>45438</v>
      </c>
      <c r="O3772" t="s">
        <v>28</v>
      </c>
      <c r="P3772">
        <v>8</v>
      </c>
      <c r="Q3772">
        <v>58843.62</v>
      </c>
    </row>
    <row r="3773" spans="1:17" x14ac:dyDescent="0.3">
      <c r="A3773" t="s">
        <v>8150</v>
      </c>
      <c r="B3773" t="s">
        <v>1591</v>
      </c>
      <c r="C3773" s="2" t="str">
        <f>PROPER(TRIM(Table1[[#This Row],[Gender]]))</f>
        <v>Female</v>
      </c>
      <c r="D3773" t="s">
        <v>43</v>
      </c>
      <c r="E3773">
        <v>26</v>
      </c>
      <c r="F3773" t="s">
        <v>31</v>
      </c>
      <c r="G3773" s="1">
        <v>36168</v>
      </c>
      <c r="H3773" t="s">
        <v>8151</v>
      </c>
      <c r="I3773" s="2" t="str">
        <f t="shared" si="58"/>
        <v>+91-9877686764</v>
      </c>
      <c r="J3773">
        <f>91-9877686855</f>
        <v>-9877686764</v>
      </c>
      <c r="K3773" t="s">
        <v>51</v>
      </c>
      <c r="L3773" t="s">
        <v>52</v>
      </c>
      <c r="M3773">
        <v>638889</v>
      </c>
      <c r="N3773" s="1">
        <v>45438</v>
      </c>
      <c r="O3773" t="s">
        <v>28</v>
      </c>
      <c r="P3773">
        <v>7</v>
      </c>
      <c r="Q3773">
        <v>133654.91</v>
      </c>
    </row>
    <row r="3774" spans="1:17" x14ac:dyDescent="0.3">
      <c r="A3774" t="s">
        <v>8152</v>
      </c>
      <c r="B3774" t="s">
        <v>271</v>
      </c>
      <c r="C3774" s="2" t="str">
        <f>PROPER(TRIM(Table1[[#This Row],[Gender]]))</f>
        <v>Male</v>
      </c>
      <c r="D3774" t="s">
        <v>16</v>
      </c>
      <c r="E3774">
        <v>34</v>
      </c>
      <c r="F3774" t="s">
        <v>31</v>
      </c>
      <c r="G3774" s="1">
        <v>33248</v>
      </c>
      <c r="H3774" t="s">
        <v>8153</v>
      </c>
      <c r="I3774" s="2" t="str">
        <f t="shared" si="58"/>
        <v>+91-8838908193</v>
      </c>
      <c r="J3774">
        <f>91-8838908284</f>
        <v>-8838908193</v>
      </c>
      <c r="K3774" t="s">
        <v>195</v>
      </c>
      <c r="L3774" t="s">
        <v>102</v>
      </c>
      <c r="M3774">
        <v>365734</v>
      </c>
      <c r="N3774" s="1">
        <v>45190</v>
      </c>
      <c r="O3774" t="s">
        <v>28</v>
      </c>
      <c r="P3774">
        <v>3</v>
      </c>
      <c r="Q3774">
        <v>385964.31</v>
      </c>
    </row>
    <row r="3775" spans="1:17" x14ac:dyDescent="0.3">
      <c r="A3775" t="s">
        <v>8154</v>
      </c>
      <c r="B3775" t="s">
        <v>1741</v>
      </c>
      <c r="C3775" s="2" t="str">
        <f>PROPER(TRIM(Table1[[#This Row],[Gender]]))</f>
        <v>Female</v>
      </c>
      <c r="D3775" t="s">
        <v>43</v>
      </c>
      <c r="E3775">
        <v>50</v>
      </c>
      <c r="F3775" t="s">
        <v>17</v>
      </c>
      <c r="G3775" s="1">
        <v>27408</v>
      </c>
      <c r="H3775" t="s">
        <v>8155</v>
      </c>
      <c r="I3775" s="2" t="str">
        <f t="shared" si="58"/>
        <v>+91-7214886345</v>
      </c>
      <c r="J3775">
        <f>91-7214886436</f>
        <v>-7214886345</v>
      </c>
      <c r="K3775" t="s">
        <v>45</v>
      </c>
      <c r="L3775" t="s">
        <v>46</v>
      </c>
      <c r="M3775">
        <v>140168</v>
      </c>
      <c r="N3775" s="1">
        <v>45078</v>
      </c>
      <c r="O3775" t="s">
        <v>28</v>
      </c>
      <c r="P3775">
        <v>4</v>
      </c>
      <c r="Q3775">
        <v>75807.62</v>
      </c>
    </row>
    <row r="3776" spans="1:17" x14ac:dyDescent="0.3">
      <c r="A3776" t="s">
        <v>8156</v>
      </c>
      <c r="B3776" t="s">
        <v>1694</v>
      </c>
      <c r="C3776" s="2" t="str">
        <f>PROPER(TRIM(Table1[[#This Row],[Gender]]))</f>
        <v>Female</v>
      </c>
      <c r="D3776" t="s">
        <v>43</v>
      </c>
      <c r="E3776">
        <v>54</v>
      </c>
      <c r="F3776" t="s">
        <v>17</v>
      </c>
      <c r="G3776" s="1">
        <v>25948</v>
      </c>
      <c r="H3776" t="s">
        <v>8157</v>
      </c>
      <c r="I3776" s="2" t="str">
        <f t="shared" si="58"/>
        <v>+91-8101512330</v>
      </c>
      <c r="J3776">
        <f>91-8101512421</f>
        <v>-8101512330</v>
      </c>
      <c r="K3776" t="s">
        <v>165</v>
      </c>
      <c r="L3776" t="s">
        <v>52</v>
      </c>
      <c r="M3776">
        <v>572433</v>
      </c>
      <c r="N3776" s="1">
        <v>45299</v>
      </c>
      <c r="O3776" t="s">
        <v>21</v>
      </c>
      <c r="P3776">
        <v>4</v>
      </c>
      <c r="Q3776">
        <v>28796.05</v>
      </c>
    </row>
    <row r="3777" spans="1:17" x14ac:dyDescent="0.3">
      <c r="A3777" t="s">
        <v>8158</v>
      </c>
      <c r="B3777" t="s">
        <v>3648</v>
      </c>
      <c r="C3777" s="2" t="str">
        <f>PROPER(TRIM(Table1[[#This Row],[Gender]]))</f>
        <v>Male</v>
      </c>
      <c r="D3777" t="s">
        <v>16</v>
      </c>
      <c r="E3777">
        <v>36</v>
      </c>
      <c r="F3777" t="s">
        <v>38</v>
      </c>
      <c r="G3777" s="1">
        <v>32518</v>
      </c>
      <c r="H3777" t="s">
        <v>8159</v>
      </c>
      <c r="I3777" s="2" t="str">
        <f t="shared" si="58"/>
        <v>+91-8176077496</v>
      </c>
      <c r="J3777">
        <f>91-8176077587</f>
        <v>-8176077496</v>
      </c>
      <c r="K3777" t="s">
        <v>249</v>
      </c>
      <c r="L3777" t="s">
        <v>34</v>
      </c>
      <c r="M3777">
        <v>766039</v>
      </c>
      <c r="N3777" s="1">
        <v>45126</v>
      </c>
      <c r="O3777" t="s">
        <v>28</v>
      </c>
      <c r="P3777">
        <v>6</v>
      </c>
      <c r="Q3777">
        <v>193245.02</v>
      </c>
    </row>
    <row r="3778" spans="1:17" x14ac:dyDescent="0.3">
      <c r="A3778" t="s">
        <v>8160</v>
      </c>
      <c r="B3778" t="s">
        <v>3386</v>
      </c>
      <c r="C3778" s="2" t="str">
        <f>PROPER(TRIM(Table1[[#This Row],[Gender]]))</f>
        <v>Female</v>
      </c>
      <c r="D3778" t="s">
        <v>43</v>
      </c>
      <c r="E3778">
        <v>27</v>
      </c>
      <c r="F3778" t="s">
        <v>31</v>
      </c>
      <c r="G3778" s="1">
        <v>35803</v>
      </c>
      <c r="H3778" t="s">
        <v>7527</v>
      </c>
      <c r="I3778" s="2" t="str">
        <f t="shared" ref="I3778:I3841" si="59">"+91"&amp;TEXT(J3778,"0000000000")</f>
        <v>+91-7016047495</v>
      </c>
      <c r="J3778">
        <f>91-7016047586</f>
        <v>-7016047495</v>
      </c>
      <c r="K3778" t="s">
        <v>26</v>
      </c>
      <c r="L3778" t="s">
        <v>27</v>
      </c>
      <c r="M3778">
        <v>754334</v>
      </c>
      <c r="N3778" s="1">
        <v>45240</v>
      </c>
      <c r="O3778" t="s">
        <v>28</v>
      </c>
      <c r="P3778">
        <v>5</v>
      </c>
      <c r="Q3778">
        <v>51055.61</v>
      </c>
    </row>
    <row r="3779" spans="1:17" x14ac:dyDescent="0.3">
      <c r="A3779" t="s">
        <v>8161</v>
      </c>
      <c r="B3779" t="s">
        <v>5731</v>
      </c>
      <c r="C3779" s="2" t="str">
        <f>PROPER(TRIM(Table1[[#This Row],[Gender]]))</f>
        <v>Male</v>
      </c>
      <c r="D3779" t="s">
        <v>16</v>
      </c>
      <c r="E3779">
        <v>35</v>
      </c>
      <c r="F3779" t="s">
        <v>31</v>
      </c>
      <c r="G3779" s="1">
        <v>32883</v>
      </c>
      <c r="H3779" t="s">
        <v>8162</v>
      </c>
      <c r="I3779" s="2" t="str">
        <f t="shared" si="59"/>
        <v>+91-9585305405</v>
      </c>
      <c r="J3779">
        <f>91-9585305496</f>
        <v>-9585305405</v>
      </c>
      <c r="K3779" t="s">
        <v>174</v>
      </c>
      <c r="L3779" t="s">
        <v>90</v>
      </c>
      <c r="M3779">
        <v>123319</v>
      </c>
      <c r="N3779" s="1">
        <v>45186</v>
      </c>
      <c r="O3779" t="s">
        <v>28</v>
      </c>
      <c r="P3779">
        <v>6</v>
      </c>
      <c r="Q3779">
        <v>194753.34</v>
      </c>
    </row>
    <row r="3780" spans="1:17" x14ac:dyDescent="0.3">
      <c r="A3780" t="s">
        <v>8163</v>
      </c>
      <c r="B3780" t="s">
        <v>943</v>
      </c>
      <c r="C3780" s="2" t="str">
        <f>PROPER(TRIM(Table1[[#This Row],[Gender]]))</f>
        <v>Male</v>
      </c>
      <c r="D3780" t="s">
        <v>16</v>
      </c>
      <c r="E3780">
        <v>23</v>
      </c>
      <c r="F3780" t="s">
        <v>49</v>
      </c>
      <c r="G3780" s="1">
        <v>37263</v>
      </c>
      <c r="H3780" t="s">
        <v>8164</v>
      </c>
      <c r="I3780" s="2" t="str">
        <f t="shared" si="59"/>
        <v>+91-9857521523</v>
      </c>
      <c r="J3780">
        <f>91-9857521614</f>
        <v>-9857521523</v>
      </c>
      <c r="K3780" t="s">
        <v>202</v>
      </c>
      <c r="L3780" t="s">
        <v>191</v>
      </c>
      <c r="M3780">
        <v>837934</v>
      </c>
      <c r="N3780" s="1">
        <v>45116</v>
      </c>
      <c r="O3780" t="s">
        <v>28</v>
      </c>
      <c r="P3780">
        <v>5</v>
      </c>
      <c r="Q3780">
        <v>139908.42000000001</v>
      </c>
    </row>
    <row r="3781" spans="1:17" x14ac:dyDescent="0.3">
      <c r="A3781" t="s">
        <v>8165</v>
      </c>
      <c r="B3781" t="s">
        <v>1073</v>
      </c>
      <c r="C3781" s="2" t="str">
        <f>PROPER(TRIM(Table1[[#This Row],[Gender]]))</f>
        <v>Female</v>
      </c>
      <c r="D3781" t="s">
        <v>43</v>
      </c>
      <c r="E3781">
        <v>64</v>
      </c>
      <c r="F3781" t="s">
        <v>58</v>
      </c>
      <c r="G3781" s="1">
        <v>22298</v>
      </c>
      <c r="H3781" t="s">
        <v>8166</v>
      </c>
      <c r="I3781" s="2" t="str">
        <f t="shared" si="59"/>
        <v>+91-9575491123</v>
      </c>
      <c r="J3781">
        <f>91-9575491214</f>
        <v>-9575491123</v>
      </c>
      <c r="K3781" t="s">
        <v>165</v>
      </c>
      <c r="L3781" t="s">
        <v>52</v>
      </c>
      <c r="M3781">
        <v>957436</v>
      </c>
      <c r="N3781" s="1">
        <v>45116</v>
      </c>
      <c r="O3781" t="s">
        <v>35</v>
      </c>
      <c r="P3781">
        <v>3</v>
      </c>
      <c r="Q3781">
        <v>6390.46</v>
      </c>
    </row>
    <row r="3782" spans="1:17" x14ac:dyDescent="0.3">
      <c r="A3782" t="s">
        <v>8167</v>
      </c>
      <c r="B3782" t="s">
        <v>82</v>
      </c>
      <c r="C3782" s="2" t="str">
        <f>PROPER(TRIM(Table1[[#This Row],[Gender]]))</f>
        <v>Female</v>
      </c>
      <c r="D3782" t="s">
        <v>43</v>
      </c>
      <c r="E3782">
        <v>35</v>
      </c>
      <c r="F3782" t="s">
        <v>31</v>
      </c>
      <c r="G3782" s="1">
        <v>32883</v>
      </c>
      <c r="H3782" t="s">
        <v>3774</v>
      </c>
      <c r="I3782" s="2" t="str">
        <f t="shared" si="59"/>
        <v>+91-9522970823</v>
      </c>
      <c r="J3782">
        <f>91-9522970914</f>
        <v>-9522970823</v>
      </c>
      <c r="K3782" t="s">
        <v>60</v>
      </c>
      <c r="L3782" t="s">
        <v>34</v>
      </c>
      <c r="M3782">
        <v>376601</v>
      </c>
      <c r="N3782" s="1">
        <v>45172</v>
      </c>
      <c r="O3782" t="s">
        <v>28</v>
      </c>
      <c r="P3782">
        <v>7</v>
      </c>
      <c r="Q3782">
        <v>85774.12</v>
      </c>
    </row>
    <row r="3783" spans="1:17" x14ac:dyDescent="0.3">
      <c r="A3783" t="s">
        <v>8168</v>
      </c>
      <c r="B3783" t="s">
        <v>3230</v>
      </c>
      <c r="C3783" s="2" t="str">
        <f>PROPER(TRIM(Table1[[#This Row],[Gender]]))</f>
        <v>Male</v>
      </c>
      <c r="D3783" t="s">
        <v>16</v>
      </c>
      <c r="E3783">
        <v>50</v>
      </c>
      <c r="F3783" t="s">
        <v>17</v>
      </c>
      <c r="G3783" s="1">
        <v>27408</v>
      </c>
      <c r="H3783" t="s">
        <v>8169</v>
      </c>
      <c r="I3783" s="2" t="str">
        <f t="shared" si="59"/>
        <v>+91-9133354884</v>
      </c>
      <c r="J3783">
        <f>91-9133354975</f>
        <v>-9133354884</v>
      </c>
      <c r="K3783" t="s">
        <v>80</v>
      </c>
      <c r="L3783" t="s">
        <v>20</v>
      </c>
      <c r="M3783">
        <v>755462</v>
      </c>
      <c r="N3783" s="1">
        <v>45225</v>
      </c>
      <c r="O3783" t="s">
        <v>35</v>
      </c>
      <c r="P3783">
        <v>7</v>
      </c>
      <c r="Q3783">
        <v>18795.23</v>
      </c>
    </row>
    <row r="3784" spans="1:17" x14ac:dyDescent="0.3">
      <c r="A3784" t="s">
        <v>8170</v>
      </c>
      <c r="B3784" t="s">
        <v>6160</v>
      </c>
      <c r="C3784" s="2" t="str">
        <f>PROPER(TRIM(Table1[[#This Row],[Gender]]))</f>
        <v>Male</v>
      </c>
      <c r="D3784" t="s">
        <v>16</v>
      </c>
      <c r="E3784">
        <v>30</v>
      </c>
      <c r="F3784" t="s">
        <v>31</v>
      </c>
      <c r="G3784" s="1">
        <v>34708</v>
      </c>
      <c r="H3784" t="s">
        <v>8171</v>
      </c>
      <c r="I3784" s="2" t="str">
        <f t="shared" si="59"/>
        <v>+91-8502887076</v>
      </c>
      <c r="J3784">
        <f>91-8502887167</f>
        <v>-8502887076</v>
      </c>
      <c r="K3784" t="s">
        <v>165</v>
      </c>
      <c r="L3784" t="s">
        <v>52</v>
      </c>
      <c r="M3784">
        <v>629403</v>
      </c>
      <c r="N3784" s="1">
        <v>45310</v>
      </c>
      <c r="O3784" t="s">
        <v>28</v>
      </c>
      <c r="P3784">
        <v>6</v>
      </c>
      <c r="Q3784">
        <v>145869.35999999999</v>
      </c>
    </row>
    <row r="3785" spans="1:17" x14ac:dyDescent="0.3">
      <c r="A3785" t="s">
        <v>8172</v>
      </c>
      <c r="B3785" t="s">
        <v>2984</v>
      </c>
      <c r="C3785" s="2" t="str">
        <f>PROPER(TRIM(Table1[[#This Row],[Gender]]))</f>
        <v>Female</v>
      </c>
      <c r="D3785" t="s">
        <v>43</v>
      </c>
      <c r="E3785">
        <v>35</v>
      </c>
      <c r="F3785" t="s">
        <v>31</v>
      </c>
      <c r="G3785" s="1">
        <v>32883</v>
      </c>
      <c r="H3785" t="s">
        <v>8173</v>
      </c>
      <c r="I3785" s="2" t="str">
        <f t="shared" si="59"/>
        <v>+91-8936492520</v>
      </c>
      <c r="J3785">
        <f>91-8936492611</f>
        <v>-8936492520</v>
      </c>
      <c r="K3785" t="s">
        <v>51</v>
      </c>
      <c r="L3785" t="s">
        <v>52</v>
      </c>
      <c r="M3785">
        <v>643967</v>
      </c>
      <c r="N3785" s="1">
        <v>45234</v>
      </c>
      <c r="O3785" t="s">
        <v>28</v>
      </c>
      <c r="P3785">
        <v>10</v>
      </c>
      <c r="Q3785">
        <v>449524</v>
      </c>
    </row>
    <row r="3786" spans="1:17" x14ac:dyDescent="0.3">
      <c r="A3786" t="s">
        <v>8174</v>
      </c>
      <c r="B3786" t="s">
        <v>2864</v>
      </c>
      <c r="C3786" s="2" t="str">
        <f>PROPER(TRIM(Table1[[#This Row],[Gender]]))</f>
        <v>Male</v>
      </c>
      <c r="D3786" t="s">
        <v>16</v>
      </c>
      <c r="E3786">
        <v>26</v>
      </c>
      <c r="F3786" t="s">
        <v>31</v>
      </c>
      <c r="G3786" s="1">
        <v>36168</v>
      </c>
      <c r="H3786" t="s">
        <v>8175</v>
      </c>
      <c r="I3786" s="2" t="str">
        <f t="shared" si="59"/>
        <v>+91-7267750840</v>
      </c>
      <c r="J3786">
        <f>91-7267750931</f>
        <v>-7267750840</v>
      </c>
      <c r="K3786" t="s">
        <v>415</v>
      </c>
      <c r="L3786" t="s">
        <v>90</v>
      </c>
      <c r="M3786">
        <v>973245</v>
      </c>
      <c r="N3786" s="1">
        <v>45234</v>
      </c>
      <c r="O3786" t="s">
        <v>28</v>
      </c>
      <c r="P3786">
        <v>8</v>
      </c>
      <c r="Q3786">
        <v>209602.69</v>
      </c>
    </row>
    <row r="3787" spans="1:17" x14ac:dyDescent="0.3">
      <c r="A3787" t="s">
        <v>8176</v>
      </c>
      <c r="B3787" t="s">
        <v>284</v>
      </c>
      <c r="C3787" s="2" t="str">
        <f>PROPER(TRIM(Table1[[#This Row],[Gender]]))</f>
        <v>Female</v>
      </c>
      <c r="D3787" t="s">
        <v>43</v>
      </c>
      <c r="E3787">
        <v>65</v>
      </c>
      <c r="F3787" t="s">
        <v>58</v>
      </c>
      <c r="G3787" s="1">
        <v>21933</v>
      </c>
      <c r="H3787" t="s">
        <v>8177</v>
      </c>
      <c r="I3787" s="2" t="str">
        <f t="shared" si="59"/>
        <v>+91-8861793664</v>
      </c>
      <c r="J3787">
        <f>91-8861793755</f>
        <v>-8861793664</v>
      </c>
      <c r="K3787" t="s">
        <v>239</v>
      </c>
      <c r="L3787" t="s">
        <v>191</v>
      </c>
      <c r="M3787">
        <v>745503</v>
      </c>
      <c r="N3787" s="1">
        <v>45192</v>
      </c>
      <c r="O3787" t="s">
        <v>35</v>
      </c>
      <c r="P3787">
        <v>1</v>
      </c>
      <c r="Q3787">
        <v>3784.53</v>
      </c>
    </row>
    <row r="3788" spans="1:17" x14ac:dyDescent="0.3">
      <c r="A3788" t="s">
        <v>8178</v>
      </c>
      <c r="B3788" t="s">
        <v>1663</v>
      </c>
      <c r="C3788" s="2" t="str">
        <f>PROPER(TRIM(Table1[[#This Row],[Gender]]))</f>
        <v>Female</v>
      </c>
      <c r="D3788" t="s">
        <v>43</v>
      </c>
      <c r="E3788">
        <v>21</v>
      </c>
      <c r="F3788" t="s">
        <v>49</v>
      </c>
      <c r="G3788" s="1">
        <v>37993</v>
      </c>
      <c r="H3788" t="s">
        <v>8179</v>
      </c>
      <c r="I3788" s="2" t="str">
        <f t="shared" si="59"/>
        <v>+91-7501675429</v>
      </c>
      <c r="J3788">
        <f>91-7501675520</f>
        <v>-7501675429</v>
      </c>
      <c r="K3788" t="s">
        <v>202</v>
      </c>
      <c r="L3788" t="s">
        <v>191</v>
      </c>
      <c r="M3788">
        <v>877081</v>
      </c>
      <c r="N3788" s="1">
        <v>45209</v>
      </c>
      <c r="O3788" t="s">
        <v>28</v>
      </c>
      <c r="P3788">
        <v>5</v>
      </c>
      <c r="Q3788">
        <v>233049.87</v>
      </c>
    </row>
    <row r="3789" spans="1:17" x14ac:dyDescent="0.3">
      <c r="A3789" t="s">
        <v>8180</v>
      </c>
      <c r="B3789" t="s">
        <v>2372</v>
      </c>
      <c r="C3789" s="2" t="str">
        <f>PROPER(TRIM(Table1[[#This Row],[Gender]]))</f>
        <v>Female</v>
      </c>
      <c r="D3789" t="s">
        <v>43</v>
      </c>
      <c r="E3789">
        <v>23</v>
      </c>
      <c r="F3789" t="s">
        <v>49</v>
      </c>
      <c r="G3789" s="1">
        <v>37263</v>
      </c>
      <c r="H3789" t="s">
        <v>2373</v>
      </c>
      <c r="I3789" s="2" t="str">
        <f t="shared" si="59"/>
        <v>+91-9405567395</v>
      </c>
      <c r="J3789">
        <f>91-9405567486</f>
        <v>-9405567395</v>
      </c>
      <c r="K3789" t="s">
        <v>165</v>
      </c>
      <c r="L3789" t="s">
        <v>52</v>
      </c>
      <c r="M3789">
        <v>894161</v>
      </c>
      <c r="N3789" s="1">
        <v>45199</v>
      </c>
      <c r="O3789" t="s">
        <v>28</v>
      </c>
      <c r="P3789">
        <v>7</v>
      </c>
      <c r="Q3789">
        <v>176878.2</v>
      </c>
    </row>
    <row r="3790" spans="1:17" x14ac:dyDescent="0.3">
      <c r="A3790" t="s">
        <v>8181</v>
      </c>
      <c r="B3790" t="s">
        <v>247</v>
      </c>
      <c r="C3790" s="2" t="str">
        <f>PROPER(TRIM(Table1[[#This Row],[Gender]]))</f>
        <v>Female</v>
      </c>
      <c r="D3790" t="s">
        <v>43</v>
      </c>
      <c r="E3790">
        <v>35</v>
      </c>
      <c r="F3790" t="s">
        <v>31</v>
      </c>
      <c r="G3790" s="1">
        <v>32883</v>
      </c>
      <c r="H3790" t="s">
        <v>8182</v>
      </c>
      <c r="I3790" s="2" t="str">
        <f t="shared" si="59"/>
        <v>+91-8610497032</v>
      </c>
      <c r="J3790">
        <f>91-8610497123</f>
        <v>-8610497032</v>
      </c>
      <c r="K3790" t="s">
        <v>195</v>
      </c>
      <c r="L3790" t="s">
        <v>102</v>
      </c>
      <c r="M3790">
        <v>177134</v>
      </c>
      <c r="N3790" s="1">
        <v>45078</v>
      </c>
      <c r="O3790" t="s">
        <v>28</v>
      </c>
      <c r="P3790">
        <v>4</v>
      </c>
      <c r="Q3790">
        <v>78808.009999999995</v>
      </c>
    </row>
    <row r="3791" spans="1:17" x14ac:dyDescent="0.3">
      <c r="A3791" t="s">
        <v>8183</v>
      </c>
      <c r="B3791" t="s">
        <v>765</v>
      </c>
      <c r="C3791" s="2" t="str">
        <f>PROPER(TRIM(Table1[[#This Row],[Gender]]))</f>
        <v>Male</v>
      </c>
      <c r="D3791" t="s">
        <v>16</v>
      </c>
      <c r="E3791">
        <v>32</v>
      </c>
      <c r="F3791" t="s">
        <v>31</v>
      </c>
      <c r="G3791" s="1">
        <v>33978</v>
      </c>
      <c r="H3791" t="s">
        <v>8184</v>
      </c>
      <c r="I3791" s="2" t="str">
        <f t="shared" si="59"/>
        <v>+91-7414892861</v>
      </c>
      <c r="J3791">
        <f>91-7414892952</f>
        <v>-7414892861</v>
      </c>
      <c r="K3791" t="s">
        <v>142</v>
      </c>
      <c r="L3791" t="s">
        <v>143</v>
      </c>
      <c r="M3791">
        <v>646788</v>
      </c>
      <c r="N3791" s="1">
        <v>45398</v>
      </c>
      <c r="O3791" t="s">
        <v>28</v>
      </c>
      <c r="P3791">
        <v>10</v>
      </c>
      <c r="Q3791">
        <v>301244.08</v>
      </c>
    </row>
    <row r="3792" spans="1:17" x14ac:dyDescent="0.3">
      <c r="A3792" t="s">
        <v>8185</v>
      </c>
      <c r="B3792" t="s">
        <v>7493</v>
      </c>
      <c r="C3792" s="2" t="str">
        <f>PROPER(TRIM(Table1[[#This Row],[Gender]]))</f>
        <v>Male</v>
      </c>
      <c r="D3792" t="s">
        <v>16</v>
      </c>
      <c r="E3792">
        <v>28</v>
      </c>
      <c r="F3792" t="s">
        <v>31</v>
      </c>
      <c r="G3792" s="1">
        <v>35438</v>
      </c>
      <c r="H3792" t="s">
        <v>8186</v>
      </c>
      <c r="I3792" s="2" t="str">
        <f t="shared" si="59"/>
        <v>+91-8625354488</v>
      </c>
      <c r="J3792">
        <f>91-8625354579</f>
        <v>-8625354488</v>
      </c>
      <c r="K3792" t="s">
        <v>40</v>
      </c>
      <c r="L3792" t="s">
        <v>27</v>
      </c>
      <c r="M3792">
        <v>929084</v>
      </c>
      <c r="N3792" s="1">
        <v>45438</v>
      </c>
      <c r="O3792" t="s">
        <v>28</v>
      </c>
      <c r="P3792">
        <v>7</v>
      </c>
      <c r="Q3792">
        <v>193570.83</v>
      </c>
    </row>
    <row r="3793" spans="1:17" x14ac:dyDescent="0.3">
      <c r="A3793" t="s">
        <v>8187</v>
      </c>
      <c r="B3793" t="s">
        <v>1356</v>
      </c>
      <c r="C3793" s="2" t="str">
        <f>PROPER(TRIM(Table1[[#This Row],[Gender]]))</f>
        <v>Female</v>
      </c>
      <c r="D3793" t="s">
        <v>43</v>
      </c>
      <c r="E3793">
        <v>58</v>
      </c>
      <c r="F3793" t="s">
        <v>58</v>
      </c>
      <c r="G3793" s="1">
        <v>24488</v>
      </c>
      <c r="H3793" t="s">
        <v>8188</v>
      </c>
      <c r="I3793" s="2" t="str">
        <f t="shared" si="59"/>
        <v>+91-9192082707</v>
      </c>
      <c r="J3793">
        <f>91-9192082798</f>
        <v>-9192082707</v>
      </c>
      <c r="K3793" t="s">
        <v>33</v>
      </c>
      <c r="L3793" t="s">
        <v>34</v>
      </c>
      <c r="M3793">
        <v>339317</v>
      </c>
      <c r="N3793" s="1">
        <v>45166</v>
      </c>
      <c r="O3793" t="s">
        <v>28</v>
      </c>
      <c r="P3793">
        <v>4</v>
      </c>
      <c r="Q3793">
        <v>104090.05</v>
      </c>
    </row>
    <row r="3794" spans="1:17" x14ac:dyDescent="0.3">
      <c r="A3794" t="s">
        <v>8189</v>
      </c>
      <c r="B3794" t="s">
        <v>4147</v>
      </c>
      <c r="C3794" s="2" t="str">
        <f>PROPER(TRIM(Table1[[#This Row],[Gender]]))</f>
        <v>Female</v>
      </c>
      <c r="D3794" t="s">
        <v>43</v>
      </c>
      <c r="E3794">
        <v>54</v>
      </c>
      <c r="F3794" t="s">
        <v>17</v>
      </c>
      <c r="G3794" s="1">
        <v>25948</v>
      </c>
      <c r="H3794" t="s">
        <v>8190</v>
      </c>
      <c r="I3794" s="2" t="str">
        <f t="shared" si="59"/>
        <v>+91-9153848904</v>
      </c>
      <c r="J3794">
        <f>91-9153848995</f>
        <v>-9153848904</v>
      </c>
      <c r="K3794" t="s">
        <v>94</v>
      </c>
      <c r="L3794" t="s">
        <v>20</v>
      </c>
      <c r="M3794">
        <v>485289</v>
      </c>
      <c r="N3794" s="1">
        <v>45271</v>
      </c>
      <c r="O3794" t="s">
        <v>21</v>
      </c>
      <c r="P3794">
        <v>3</v>
      </c>
      <c r="Q3794">
        <v>20229.72</v>
      </c>
    </row>
    <row r="3795" spans="1:17" x14ac:dyDescent="0.3">
      <c r="A3795" t="s">
        <v>8191</v>
      </c>
      <c r="B3795" t="s">
        <v>2266</v>
      </c>
      <c r="C3795" s="2" t="str">
        <f>PROPER(TRIM(Table1[[#This Row],[Gender]]))</f>
        <v>Male</v>
      </c>
      <c r="D3795" t="s">
        <v>16</v>
      </c>
      <c r="E3795">
        <v>23</v>
      </c>
      <c r="F3795" t="s">
        <v>49</v>
      </c>
      <c r="G3795" s="1">
        <v>37263</v>
      </c>
      <c r="H3795" t="s">
        <v>8192</v>
      </c>
      <c r="I3795" s="2" t="str">
        <f t="shared" si="59"/>
        <v>+91-9691635080</v>
      </c>
      <c r="J3795">
        <f>91-9691635171</f>
        <v>-9691635080</v>
      </c>
      <c r="K3795" t="s">
        <v>72</v>
      </c>
      <c r="L3795" t="s">
        <v>34</v>
      </c>
      <c r="M3795">
        <v>441692</v>
      </c>
      <c r="N3795" s="1">
        <v>45137</v>
      </c>
      <c r="O3795" t="s">
        <v>35</v>
      </c>
      <c r="P3795">
        <v>2</v>
      </c>
      <c r="Q3795">
        <v>2573.4699999999998</v>
      </c>
    </row>
    <row r="3796" spans="1:17" x14ac:dyDescent="0.3">
      <c r="A3796" t="s">
        <v>8193</v>
      </c>
      <c r="B3796" t="s">
        <v>2610</v>
      </c>
      <c r="C3796" s="2" t="str">
        <f>PROPER(TRIM(Table1[[#This Row],[Gender]]))</f>
        <v>Male</v>
      </c>
      <c r="D3796" t="s">
        <v>16</v>
      </c>
      <c r="E3796">
        <v>70</v>
      </c>
      <c r="F3796" t="s">
        <v>24</v>
      </c>
      <c r="G3796" s="1">
        <v>20108</v>
      </c>
      <c r="H3796" t="s">
        <v>8194</v>
      </c>
      <c r="I3796" s="2" t="str">
        <f t="shared" si="59"/>
        <v>+91-8796075485</v>
      </c>
      <c r="J3796">
        <f>91-8796075576</f>
        <v>-8796075485</v>
      </c>
      <c r="K3796" t="s">
        <v>125</v>
      </c>
      <c r="L3796" t="s">
        <v>52</v>
      </c>
      <c r="M3796">
        <v>569227</v>
      </c>
      <c r="N3796" s="1">
        <v>45416</v>
      </c>
      <c r="O3796" t="s">
        <v>28</v>
      </c>
      <c r="P3796">
        <v>3</v>
      </c>
      <c r="Q3796">
        <v>53008.53</v>
      </c>
    </row>
    <row r="3797" spans="1:17" x14ac:dyDescent="0.3">
      <c r="A3797" t="s">
        <v>8195</v>
      </c>
      <c r="B3797" t="s">
        <v>1499</v>
      </c>
      <c r="C3797" s="2" t="str">
        <f>PROPER(TRIM(Table1[[#This Row],[Gender]]))</f>
        <v>Male</v>
      </c>
      <c r="D3797" t="s">
        <v>16</v>
      </c>
      <c r="E3797">
        <v>26</v>
      </c>
      <c r="F3797" t="s">
        <v>31</v>
      </c>
      <c r="G3797" s="1">
        <v>36168</v>
      </c>
      <c r="H3797" t="s">
        <v>8196</v>
      </c>
      <c r="I3797" s="2" t="str">
        <f t="shared" si="59"/>
        <v>+91-7753857437</v>
      </c>
      <c r="J3797">
        <f>91-7753857528</f>
        <v>-7753857437</v>
      </c>
      <c r="K3797" t="s">
        <v>109</v>
      </c>
      <c r="L3797" t="s">
        <v>46</v>
      </c>
      <c r="M3797">
        <v>698874</v>
      </c>
      <c r="N3797" s="1">
        <v>45220</v>
      </c>
      <c r="O3797" t="s">
        <v>28</v>
      </c>
      <c r="P3797">
        <v>7</v>
      </c>
      <c r="Q3797">
        <v>191583.41</v>
      </c>
    </row>
    <row r="3798" spans="1:17" x14ac:dyDescent="0.3">
      <c r="A3798" t="s">
        <v>8197</v>
      </c>
      <c r="B3798" t="s">
        <v>4491</v>
      </c>
      <c r="C3798" s="2" t="str">
        <f>PROPER(TRIM(Table1[[#This Row],[Gender]]))</f>
        <v>Female</v>
      </c>
      <c r="D3798" t="s">
        <v>43</v>
      </c>
      <c r="E3798">
        <v>24</v>
      </c>
      <c r="F3798" t="s">
        <v>49</v>
      </c>
      <c r="G3798" s="1">
        <v>36898</v>
      </c>
      <c r="H3798" t="s">
        <v>8198</v>
      </c>
      <c r="I3798" s="2" t="str">
        <f t="shared" si="59"/>
        <v>+91-7202799561</v>
      </c>
      <c r="J3798">
        <f>91-7202799652</f>
        <v>-7202799561</v>
      </c>
      <c r="K3798" t="s">
        <v>239</v>
      </c>
      <c r="L3798" t="s">
        <v>191</v>
      </c>
      <c r="M3798">
        <v>246136</v>
      </c>
      <c r="N3798" s="1">
        <v>45165</v>
      </c>
      <c r="O3798" t="s">
        <v>21</v>
      </c>
      <c r="P3798">
        <v>6</v>
      </c>
      <c r="Q3798">
        <v>46011.73</v>
      </c>
    </row>
    <row r="3799" spans="1:17" x14ac:dyDescent="0.3">
      <c r="A3799" t="s">
        <v>8199</v>
      </c>
      <c r="B3799" t="s">
        <v>4638</v>
      </c>
      <c r="C3799" s="2" t="str">
        <f>PROPER(TRIM(Table1[[#This Row],[Gender]]))</f>
        <v>Male</v>
      </c>
      <c r="D3799" t="s">
        <v>16</v>
      </c>
      <c r="E3799">
        <v>25</v>
      </c>
      <c r="F3799" t="s">
        <v>49</v>
      </c>
      <c r="G3799" s="1">
        <v>36533</v>
      </c>
      <c r="H3799" t="s">
        <v>6678</v>
      </c>
      <c r="I3799" s="2" t="str">
        <f t="shared" si="59"/>
        <v>+91-8322785673</v>
      </c>
      <c r="J3799">
        <f>91-8322785764</f>
        <v>-8322785673</v>
      </c>
      <c r="K3799" t="s">
        <v>142</v>
      </c>
      <c r="L3799" t="s">
        <v>143</v>
      </c>
      <c r="M3799">
        <v>134792</v>
      </c>
      <c r="N3799" s="1">
        <v>45141</v>
      </c>
      <c r="O3799" t="s">
        <v>28</v>
      </c>
      <c r="P3799">
        <v>7</v>
      </c>
      <c r="Q3799">
        <v>120726.77</v>
      </c>
    </row>
    <row r="3800" spans="1:17" x14ac:dyDescent="0.3">
      <c r="A3800" t="s">
        <v>8200</v>
      </c>
      <c r="B3800" t="s">
        <v>683</v>
      </c>
      <c r="C3800" s="2" t="str">
        <f>PROPER(TRIM(Table1[[#This Row],[Gender]]))</f>
        <v>Female</v>
      </c>
      <c r="D3800" t="s">
        <v>43</v>
      </c>
      <c r="E3800">
        <v>54</v>
      </c>
      <c r="F3800" t="s">
        <v>17</v>
      </c>
      <c r="G3800" s="1">
        <v>25948</v>
      </c>
      <c r="H3800" t="s">
        <v>8201</v>
      </c>
      <c r="I3800" s="2" t="str">
        <f t="shared" si="59"/>
        <v>+91-7912622051</v>
      </c>
      <c r="J3800">
        <f>91-7912622142</f>
        <v>-7912622051</v>
      </c>
      <c r="K3800" t="s">
        <v>89</v>
      </c>
      <c r="L3800" t="s">
        <v>90</v>
      </c>
      <c r="M3800">
        <v>245932</v>
      </c>
      <c r="N3800" s="1">
        <v>45347</v>
      </c>
      <c r="O3800" t="s">
        <v>28</v>
      </c>
      <c r="P3800">
        <v>10</v>
      </c>
      <c r="Q3800">
        <v>64473.58</v>
      </c>
    </row>
    <row r="3801" spans="1:17" x14ac:dyDescent="0.3">
      <c r="A3801" t="s">
        <v>8202</v>
      </c>
      <c r="B3801" t="s">
        <v>3842</v>
      </c>
      <c r="C3801" s="2" t="str">
        <f>PROPER(TRIM(Table1[[#This Row],[Gender]]))</f>
        <v>Female</v>
      </c>
      <c r="D3801" t="s">
        <v>43</v>
      </c>
      <c r="E3801">
        <v>48</v>
      </c>
      <c r="F3801" t="s">
        <v>17</v>
      </c>
      <c r="G3801" s="1">
        <v>28138</v>
      </c>
      <c r="H3801" t="s">
        <v>7929</v>
      </c>
      <c r="I3801" s="2" t="str">
        <f t="shared" si="59"/>
        <v>+91-9743314644</v>
      </c>
      <c r="J3801">
        <f>91-9743314735</f>
        <v>-9743314644</v>
      </c>
      <c r="K3801" t="s">
        <v>202</v>
      </c>
      <c r="L3801" t="s">
        <v>191</v>
      </c>
      <c r="M3801">
        <v>306358</v>
      </c>
      <c r="N3801" s="1">
        <v>45243</v>
      </c>
      <c r="O3801" t="s">
        <v>21</v>
      </c>
      <c r="P3801">
        <v>2</v>
      </c>
      <c r="Q3801">
        <v>26664.09</v>
      </c>
    </row>
    <row r="3802" spans="1:17" x14ac:dyDescent="0.3">
      <c r="A3802" t="s">
        <v>8203</v>
      </c>
      <c r="B3802" t="s">
        <v>1677</v>
      </c>
      <c r="C3802" s="2" t="str">
        <f>PROPER(TRIM(Table1[[#This Row],[Gender]]))</f>
        <v>Female</v>
      </c>
      <c r="D3802" t="s">
        <v>43</v>
      </c>
      <c r="E3802">
        <v>32</v>
      </c>
      <c r="F3802" t="s">
        <v>31</v>
      </c>
      <c r="G3802" s="1">
        <v>33978</v>
      </c>
      <c r="H3802" t="s">
        <v>8204</v>
      </c>
      <c r="I3802" s="2" t="str">
        <f t="shared" si="59"/>
        <v>+91-8942459849</v>
      </c>
      <c r="J3802">
        <f>91-8942459940</f>
        <v>-8942459849</v>
      </c>
      <c r="K3802" t="s">
        <v>202</v>
      </c>
      <c r="L3802" t="s">
        <v>191</v>
      </c>
      <c r="M3802">
        <v>309647</v>
      </c>
      <c r="N3802" s="1">
        <v>45433</v>
      </c>
      <c r="O3802" t="s">
        <v>28</v>
      </c>
      <c r="P3802">
        <v>4</v>
      </c>
      <c r="Q3802">
        <v>75792.539999999994</v>
      </c>
    </row>
    <row r="3803" spans="1:17" x14ac:dyDescent="0.3">
      <c r="A3803" t="s">
        <v>8205</v>
      </c>
      <c r="B3803" t="s">
        <v>115</v>
      </c>
      <c r="C3803" s="2" t="str">
        <f>PROPER(TRIM(Table1[[#This Row],[Gender]]))</f>
        <v>Male</v>
      </c>
      <c r="D3803" t="s">
        <v>16</v>
      </c>
      <c r="E3803">
        <v>39</v>
      </c>
      <c r="F3803" t="s">
        <v>38</v>
      </c>
      <c r="G3803" s="1">
        <v>31423</v>
      </c>
      <c r="H3803" t="s">
        <v>8206</v>
      </c>
      <c r="I3803" s="2" t="str">
        <f t="shared" si="59"/>
        <v>+91-9208048442</v>
      </c>
      <c r="J3803">
        <f>91-9208048533</f>
        <v>-9208048442</v>
      </c>
      <c r="K3803" t="s">
        <v>94</v>
      </c>
      <c r="L3803" t="s">
        <v>20</v>
      </c>
      <c r="M3803">
        <v>150229</v>
      </c>
      <c r="N3803" s="1">
        <v>45400</v>
      </c>
      <c r="O3803" t="s">
        <v>28</v>
      </c>
      <c r="P3803">
        <v>5</v>
      </c>
      <c r="Q3803">
        <v>177536.34</v>
      </c>
    </row>
    <row r="3804" spans="1:17" x14ac:dyDescent="0.3">
      <c r="A3804" t="s">
        <v>8207</v>
      </c>
      <c r="B3804" t="s">
        <v>439</v>
      </c>
      <c r="C3804" s="2" t="str">
        <f>PROPER(TRIM(Table1[[#This Row],[Gender]]))</f>
        <v>Male</v>
      </c>
      <c r="D3804" t="s">
        <v>16</v>
      </c>
      <c r="E3804">
        <v>25</v>
      </c>
      <c r="F3804" t="s">
        <v>49</v>
      </c>
      <c r="G3804" s="1">
        <v>36533</v>
      </c>
      <c r="H3804" t="s">
        <v>8208</v>
      </c>
      <c r="I3804" s="2" t="str">
        <f t="shared" si="59"/>
        <v>+91-9214407068</v>
      </c>
      <c r="J3804">
        <f>91-9214407159</f>
        <v>-9214407068</v>
      </c>
      <c r="K3804" t="s">
        <v>154</v>
      </c>
      <c r="L3804" t="s">
        <v>46</v>
      </c>
      <c r="M3804">
        <v>618324</v>
      </c>
      <c r="N3804" s="1">
        <v>45138</v>
      </c>
      <c r="O3804" t="s">
        <v>28</v>
      </c>
      <c r="P3804">
        <v>9</v>
      </c>
      <c r="Q3804">
        <v>250605.53</v>
      </c>
    </row>
    <row r="3805" spans="1:17" x14ac:dyDescent="0.3">
      <c r="A3805" t="s">
        <v>8209</v>
      </c>
      <c r="B3805" t="s">
        <v>1935</v>
      </c>
      <c r="C3805" s="2" t="str">
        <f>PROPER(TRIM(Table1[[#This Row],[Gender]]))</f>
        <v>Female</v>
      </c>
      <c r="D3805" t="s">
        <v>43</v>
      </c>
      <c r="E3805">
        <v>21</v>
      </c>
      <c r="F3805" t="s">
        <v>49</v>
      </c>
      <c r="G3805" s="1">
        <v>37993</v>
      </c>
      <c r="H3805" t="s">
        <v>8210</v>
      </c>
      <c r="I3805" s="2" t="str">
        <f t="shared" si="59"/>
        <v>+91-7387052586</v>
      </c>
      <c r="J3805">
        <f>91-7387052677</f>
        <v>-7387052586</v>
      </c>
      <c r="K3805" t="s">
        <v>113</v>
      </c>
      <c r="L3805" t="s">
        <v>34</v>
      </c>
      <c r="M3805">
        <v>188349</v>
      </c>
      <c r="N3805" s="1">
        <v>45236</v>
      </c>
      <c r="O3805" t="s">
        <v>28</v>
      </c>
      <c r="P3805">
        <v>5</v>
      </c>
      <c r="Q3805">
        <v>143716.29</v>
      </c>
    </row>
    <row r="3806" spans="1:17" x14ac:dyDescent="0.3">
      <c r="A3806" t="s">
        <v>8211</v>
      </c>
      <c r="B3806" t="s">
        <v>698</v>
      </c>
      <c r="C3806" s="2" t="str">
        <f>PROPER(TRIM(Table1[[#This Row],[Gender]]))</f>
        <v>Female</v>
      </c>
      <c r="D3806" t="s">
        <v>43</v>
      </c>
      <c r="E3806">
        <v>61</v>
      </c>
      <c r="F3806" t="s">
        <v>58</v>
      </c>
      <c r="G3806" s="1">
        <v>23393</v>
      </c>
      <c r="H3806" t="s">
        <v>8212</v>
      </c>
      <c r="I3806" s="2" t="str">
        <f t="shared" si="59"/>
        <v>+91-9834014215</v>
      </c>
      <c r="J3806">
        <f>91-9834014306</f>
        <v>-9834014215</v>
      </c>
      <c r="K3806" t="s">
        <v>142</v>
      </c>
      <c r="L3806" t="s">
        <v>143</v>
      </c>
      <c r="M3806">
        <v>736470</v>
      </c>
      <c r="N3806" s="1">
        <v>45216</v>
      </c>
      <c r="O3806" t="s">
        <v>21</v>
      </c>
      <c r="P3806">
        <v>4</v>
      </c>
      <c r="Q3806">
        <v>42433.51</v>
      </c>
    </row>
    <row r="3807" spans="1:17" x14ac:dyDescent="0.3">
      <c r="A3807" t="s">
        <v>8213</v>
      </c>
      <c r="B3807" t="s">
        <v>2820</v>
      </c>
      <c r="C3807" s="2" t="str">
        <f>PROPER(TRIM(Table1[[#This Row],[Gender]]))</f>
        <v>Male</v>
      </c>
      <c r="D3807" t="s">
        <v>16</v>
      </c>
      <c r="E3807">
        <v>48</v>
      </c>
      <c r="F3807" t="s">
        <v>17</v>
      </c>
      <c r="G3807" s="1">
        <v>28138</v>
      </c>
      <c r="H3807" t="s">
        <v>8214</v>
      </c>
      <c r="I3807" s="2" t="str">
        <f t="shared" si="59"/>
        <v>+91-8359747699</v>
      </c>
      <c r="J3807">
        <f>91-8359747790</f>
        <v>-8359747699</v>
      </c>
      <c r="K3807" t="s">
        <v>94</v>
      </c>
      <c r="L3807" t="s">
        <v>20</v>
      </c>
      <c r="M3807">
        <v>380078</v>
      </c>
      <c r="N3807" s="1">
        <v>45210</v>
      </c>
      <c r="O3807" t="s">
        <v>35</v>
      </c>
      <c r="P3807">
        <v>4</v>
      </c>
      <c r="Q3807">
        <v>3500.27</v>
      </c>
    </row>
    <row r="3808" spans="1:17" x14ac:dyDescent="0.3">
      <c r="A3808" t="s">
        <v>8215</v>
      </c>
      <c r="B3808" t="s">
        <v>2338</v>
      </c>
      <c r="C3808" s="2" t="str">
        <f>PROPER(TRIM(Table1[[#This Row],[Gender]]))</f>
        <v>Male</v>
      </c>
      <c r="D3808" t="s">
        <v>16</v>
      </c>
      <c r="E3808">
        <v>53</v>
      </c>
      <c r="F3808" t="s">
        <v>17</v>
      </c>
      <c r="G3808" s="1">
        <v>26313</v>
      </c>
      <c r="H3808" t="s">
        <v>8216</v>
      </c>
      <c r="I3808" s="2" t="str">
        <f t="shared" si="59"/>
        <v>+91-9277545505</v>
      </c>
      <c r="J3808">
        <f>91-9277545596</f>
        <v>-9277545505</v>
      </c>
      <c r="K3808" t="s">
        <v>142</v>
      </c>
      <c r="L3808" t="s">
        <v>143</v>
      </c>
      <c r="M3808">
        <v>924017</v>
      </c>
      <c r="N3808" s="1">
        <v>45124</v>
      </c>
      <c r="O3808" t="s">
        <v>35</v>
      </c>
      <c r="P3808">
        <v>3</v>
      </c>
      <c r="Q3808">
        <v>13468.85</v>
      </c>
    </row>
    <row r="3809" spans="1:17" x14ac:dyDescent="0.3">
      <c r="A3809" t="s">
        <v>8217</v>
      </c>
      <c r="B3809" t="s">
        <v>884</v>
      </c>
      <c r="C3809" s="2" t="str">
        <f>PROPER(TRIM(Table1[[#This Row],[Gender]]))</f>
        <v>Male</v>
      </c>
      <c r="D3809" t="s">
        <v>16</v>
      </c>
      <c r="E3809">
        <v>49</v>
      </c>
      <c r="F3809" t="s">
        <v>17</v>
      </c>
      <c r="G3809" s="1">
        <v>27773</v>
      </c>
      <c r="H3809" t="s">
        <v>8218</v>
      </c>
      <c r="I3809" s="2" t="str">
        <f t="shared" si="59"/>
        <v>+91-7404297571</v>
      </c>
      <c r="J3809">
        <f>91-7404297662</f>
        <v>-7404297571</v>
      </c>
      <c r="K3809" t="s">
        <v>60</v>
      </c>
      <c r="L3809" t="s">
        <v>34</v>
      </c>
      <c r="M3809">
        <v>192859</v>
      </c>
      <c r="N3809" s="1">
        <v>45366</v>
      </c>
      <c r="O3809" t="s">
        <v>21</v>
      </c>
      <c r="P3809">
        <v>3</v>
      </c>
      <c r="Q3809">
        <v>22951.78</v>
      </c>
    </row>
    <row r="3810" spans="1:17" x14ac:dyDescent="0.3">
      <c r="A3810" t="s">
        <v>8219</v>
      </c>
      <c r="B3810" t="s">
        <v>188</v>
      </c>
      <c r="C3810" s="2" t="str">
        <f>PROPER(TRIM(Table1[[#This Row],[Gender]]))</f>
        <v>Female</v>
      </c>
      <c r="D3810" t="s">
        <v>43</v>
      </c>
      <c r="E3810">
        <v>50</v>
      </c>
      <c r="F3810" t="s">
        <v>17</v>
      </c>
      <c r="G3810" s="1">
        <v>27408</v>
      </c>
      <c r="H3810" t="s">
        <v>8220</v>
      </c>
      <c r="I3810" s="2" t="str">
        <f t="shared" si="59"/>
        <v>+91-8268166974</v>
      </c>
      <c r="J3810">
        <f>91-8268167065</f>
        <v>-8268166974</v>
      </c>
      <c r="K3810" t="s">
        <v>273</v>
      </c>
      <c r="L3810" t="s">
        <v>46</v>
      </c>
      <c r="M3810">
        <v>923471</v>
      </c>
      <c r="N3810" s="1">
        <v>45123</v>
      </c>
      <c r="O3810" t="s">
        <v>21</v>
      </c>
      <c r="P3810">
        <v>6</v>
      </c>
      <c r="Q3810">
        <v>28676.63</v>
      </c>
    </row>
    <row r="3811" spans="1:17" x14ac:dyDescent="0.3">
      <c r="A3811" t="s">
        <v>8221</v>
      </c>
      <c r="B3811" t="s">
        <v>6988</v>
      </c>
      <c r="C3811" s="2" t="str">
        <f>PROPER(TRIM(Table1[[#This Row],[Gender]]))</f>
        <v>Male</v>
      </c>
      <c r="D3811" t="s">
        <v>16</v>
      </c>
      <c r="E3811">
        <v>29</v>
      </c>
      <c r="F3811" t="s">
        <v>31</v>
      </c>
      <c r="G3811" s="1">
        <v>35073</v>
      </c>
      <c r="H3811" t="s">
        <v>8222</v>
      </c>
      <c r="I3811" s="2" t="str">
        <f t="shared" si="59"/>
        <v>+91-7278522296</v>
      </c>
      <c r="J3811">
        <f>91-7278522387</f>
        <v>-7278522296</v>
      </c>
      <c r="K3811" t="s">
        <v>121</v>
      </c>
      <c r="L3811" t="s">
        <v>85</v>
      </c>
      <c r="M3811">
        <v>757945</v>
      </c>
      <c r="N3811" s="1">
        <v>45212</v>
      </c>
      <c r="O3811" t="s">
        <v>28</v>
      </c>
      <c r="P3811">
        <v>9</v>
      </c>
      <c r="Q3811">
        <v>107676.27</v>
      </c>
    </row>
    <row r="3812" spans="1:17" x14ac:dyDescent="0.3">
      <c r="A3812" t="s">
        <v>8223</v>
      </c>
      <c r="B3812" t="s">
        <v>4353</v>
      </c>
      <c r="C3812" s="2" t="str">
        <f>PROPER(TRIM(Table1[[#This Row],[Gender]]))</f>
        <v>Male</v>
      </c>
      <c r="D3812" t="s">
        <v>16</v>
      </c>
      <c r="E3812">
        <v>39</v>
      </c>
      <c r="F3812" t="s">
        <v>38</v>
      </c>
      <c r="G3812" s="1">
        <v>31423</v>
      </c>
      <c r="H3812" t="s">
        <v>8224</v>
      </c>
      <c r="I3812" s="2" t="str">
        <f t="shared" si="59"/>
        <v>+91-7082348115</v>
      </c>
      <c r="J3812">
        <f>91-7082348206</f>
        <v>-7082348115</v>
      </c>
      <c r="K3812" t="s">
        <v>84</v>
      </c>
      <c r="L3812" t="s">
        <v>85</v>
      </c>
      <c r="M3812">
        <v>359154</v>
      </c>
      <c r="N3812" s="1">
        <v>45332</v>
      </c>
      <c r="O3812" t="s">
        <v>28</v>
      </c>
      <c r="P3812">
        <v>4</v>
      </c>
      <c r="Q3812">
        <v>156303.92000000001</v>
      </c>
    </row>
    <row r="3813" spans="1:17" x14ac:dyDescent="0.3">
      <c r="A3813" t="s">
        <v>8225</v>
      </c>
      <c r="B3813" t="s">
        <v>422</v>
      </c>
      <c r="C3813" s="2" t="str">
        <f>PROPER(TRIM(Table1[[#This Row],[Gender]]))</f>
        <v>Male</v>
      </c>
      <c r="D3813" t="s">
        <v>16</v>
      </c>
      <c r="E3813">
        <v>30</v>
      </c>
      <c r="F3813" t="s">
        <v>31</v>
      </c>
      <c r="G3813" s="1">
        <v>34708</v>
      </c>
      <c r="H3813" t="s">
        <v>8226</v>
      </c>
      <c r="I3813" s="2" t="str">
        <f t="shared" si="59"/>
        <v>+91-9314479899</v>
      </c>
      <c r="J3813">
        <f>91-9314479990</f>
        <v>-9314479899</v>
      </c>
      <c r="K3813" t="s">
        <v>60</v>
      </c>
      <c r="L3813" t="s">
        <v>34</v>
      </c>
      <c r="M3813">
        <v>110737</v>
      </c>
      <c r="N3813" s="1">
        <v>45363</v>
      </c>
      <c r="O3813" t="s">
        <v>21</v>
      </c>
      <c r="P3813">
        <v>6</v>
      </c>
      <c r="Q3813">
        <v>38657.31</v>
      </c>
    </row>
    <row r="3814" spans="1:17" x14ac:dyDescent="0.3">
      <c r="A3814" t="s">
        <v>8227</v>
      </c>
      <c r="B3814" t="s">
        <v>2384</v>
      </c>
      <c r="C3814" s="2" t="str">
        <f>PROPER(TRIM(Table1[[#This Row],[Gender]]))</f>
        <v>Male</v>
      </c>
      <c r="D3814" t="s">
        <v>16</v>
      </c>
      <c r="E3814">
        <v>25</v>
      </c>
      <c r="F3814" t="s">
        <v>49</v>
      </c>
      <c r="G3814" s="1">
        <v>36533</v>
      </c>
      <c r="H3814" t="s">
        <v>8228</v>
      </c>
      <c r="I3814" s="2" t="str">
        <f t="shared" si="59"/>
        <v>+91-9985445589</v>
      </c>
      <c r="J3814">
        <f>91-9985445680</f>
        <v>-9985445589</v>
      </c>
      <c r="K3814" t="s">
        <v>161</v>
      </c>
      <c r="L3814" t="s">
        <v>102</v>
      </c>
      <c r="M3814">
        <v>805991</v>
      </c>
      <c r="N3814" s="1">
        <v>45310</v>
      </c>
      <c r="O3814" t="s">
        <v>28</v>
      </c>
      <c r="P3814">
        <v>8</v>
      </c>
      <c r="Q3814">
        <v>298804.87</v>
      </c>
    </row>
    <row r="3815" spans="1:17" x14ac:dyDescent="0.3">
      <c r="A3815" t="s">
        <v>8229</v>
      </c>
      <c r="B3815" t="s">
        <v>342</v>
      </c>
      <c r="C3815" s="2" t="str">
        <f>PROPER(TRIM(Table1[[#This Row],[Gender]]))</f>
        <v>Male</v>
      </c>
      <c r="D3815" t="s">
        <v>16</v>
      </c>
      <c r="E3815">
        <v>20</v>
      </c>
      <c r="F3815" t="s">
        <v>49</v>
      </c>
      <c r="G3815" s="1">
        <v>38358</v>
      </c>
      <c r="H3815" t="s">
        <v>8230</v>
      </c>
      <c r="I3815" s="2" t="str">
        <f t="shared" si="59"/>
        <v>+91-9355139169</v>
      </c>
      <c r="J3815">
        <f>91-9355139260</f>
        <v>-9355139169</v>
      </c>
      <c r="K3815" t="s">
        <v>64</v>
      </c>
      <c r="L3815" t="s">
        <v>20</v>
      </c>
      <c r="M3815">
        <v>969245</v>
      </c>
      <c r="N3815" s="1">
        <v>45182</v>
      </c>
      <c r="O3815" t="s">
        <v>28</v>
      </c>
      <c r="P3815">
        <v>3</v>
      </c>
      <c r="Q3815">
        <v>84296.98</v>
      </c>
    </row>
    <row r="3816" spans="1:17" x14ac:dyDescent="0.3">
      <c r="A3816" t="s">
        <v>8231</v>
      </c>
      <c r="B3816" t="s">
        <v>2644</v>
      </c>
      <c r="C3816" s="2" t="str">
        <f>PROPER(TRIM(Table1[[#This Row],[Gender]]))</f>
        <v>Male</v>
      </c>
      <c r="D3816" t="s">
        <v>16</v>
      </c>
      <c r="E3816">
        <v>31</v>
      </c>
      <c r="F3816" t="s">
        <v>31</v>
      </c>
      <c r="G3816" s="1">
        <v>34343</v>
      </c>
      <c r="H3816" t="s">
        <v>8232</v>
      </c>
      <c r="I3816" s="2" t="str">
        <f t="shared" si="59"/>
        <v>+91-7801059027</v>
      </c>
      <c r="J3816">
        <f>91-7801059118</f>
        <v>-7801059027</v>
      </c>
      <c r="K3816" t="s">
        <v>72</v>
      </c>
      <c r="L3816" t="s">
        <v>34</v>
      </c>
      <c r="M3816">
        <v>925676</v>
      </c>
      <c r="N3816" s="1">
        <v>45263</v>
      </c>
      <c r="O3816" t="s">
        <v>28</v>
      </c>
      <c r="P3816">
        <v>6</v>
      </c>
      <c r="Q3816">
        <v>268047.68</v>
      </c>
    </row>
    <row r="3817" spans="1:17" x14ac:dyDescent="0.3">
      <c r="A3817" t="s">
        <v>8233</v>
      </c>
      <c r="B3817" t="s">
        <v>622</v>
      </c>
      <c r="C3817" s="2" t="str">
        <f>PROPER(TRIM(Table1[[#This Row],[Gender]]))</f>
        <v>Female</v>
      </c>
      <c r="D3817" t="s">
        <v>43</v>
      </c>
      <c r="E3817">
        <v>31</v>
      </c>
      <c r="F3817" t="s">
        <v>31</v>
      </c>
      <c r="G3817" s="1">
        <v>34343</v>
      </c>
      <c r="H3817" t="s">
        <v>8234</v>
      </c>
      <c r="I3817" s="2" t="str">
        <f t="shared" si="59"/>
        <v>+91-8668647532</v>
      </c>
      <c r="J3817">
        <f>91-8668647623</f>
        <v>-8668647532</v>
      </c>
      <c r="K3817" t="s">
        <v>33</v>
      </c>
      <c r="L3817" t="s">
        <v>34</v>
      </c>
      <c r="M3817">
        <v>905809</v>
      </c>
      <c r="N3817" s="1">
        <v>45189</v>
      </c>
      <c r="O3817" t="s">
        <v>28</v>
      </c>
      <c r="P3817">
        <v>4</v>
      </c>
      <c r="Q3817">
        <v>145538.20000000001</v>
      </c>
    </row>
    <row r="3818" spans="1:17" x14ac:dyDescent="0.3">
      <c r="A3818" t="s">
        <v>8235</v>
      </c>
      <c r="B3818" t="s">
        <v>1260</v>
      </c>
      <c r="C3818" s="2" t="str">
        <f>PROPER(TRIM(Table1[[#This Row],[Gender]]))</f>
        <v>Female</v>
      </c>
      <c r="D3818" t="s">
        <v>43</v>
      </c>
      <c r="E3818">
        <v>32</v>
      </c>
      <c r="F3818" t="s">
        <v>31</v>
      </c>
      <c r="G3818" s="1">
        <v>33978</v>
      </c>
      <c r="H3818" t="s">
        <v>8236</v>
      </c>
      <c r="I3818" s="2" t="str">
        <f t="shared" si="59"/>
        <v>+91-8379029934</v>
      </c>
      <c r="J3818">
        <f>91-8379030025</f>
        <v>-8379029934</v>
      </c>
      <c r="K3818" t="s">
        <v>33</v>
      </c>
      <c r="L3818" t="s">
        <v>34</v>
      </c>
      <c r="M3818">
        <v>763355</v>
      </c>
      <c r="N3818" s="1">
        <v>45087</v>
      </c>
      <c r="O3818" t="s">
        <v>28</v>
      </c>
      <c r="P3818">
        <v>5</v>
      </c>
      <c r="Q3818">
        <v>125701.6</v>
      </c>
    </row>
    <row r="3819" spans="1:17" x14ac:dyDescent="0.3">
      <c r="A3819" t="s">
        <v>8237</v>
      </c>
      <c r="B3819" t="s">
        <v>315</v>
      </c>
      <c r="C3819" s="2" t="str">
        <f>PROPER(TRIM(Table1[[#This Row],[Gender]]))</f>
        <v>Female</v>
      </c>
      <c r="D3819" t="s">
        <v>43</v>
      </c>
      <c r="E3819">
        <v>26</v>
      </c>
      <c r="F3819" t="s">
        <v>31</v>
      </c>
      <c r="G3819" s="1">
        <v>36168</v>
      </c>
      <c r="H3819" t="s">
        <v>8238</v>
      </c>
      <c r="I3819" s="2" t="str">
        <f t="shared" si="59"/>
        <v>+91-7610023978</v>
      </c>
      <c r="J3819">
        <f>91-7610024069</f>
        <v>-7610023978</v>
      </c>
      <c r="K3819" t="s">
        <v>161</v>
      </c>
      <c r="L3819" t="s">
        <v>102</v>
      </c>
      <c r="M3819">
        <v>110943</v>
      </c>
      <c r="N3819" s="1">
        <v>45210</v>
      </c>
      <c r="O3819" t="s">
        <v>28</v>
      </c>
      <c r="P3819">
        <v>5</v>
      </c>
      <c r="Q3819">
        <v>250043.64</v>
      </c>
    </row>
    <row r="3820" spans="1:17" x14ac:dyDescent="0.3">
      <c r="A3820" t="s">
        <v>8239</v>
      </c>
      <c r="B3820" t="s">
        <v>1294</v>
      </c>
      <c r="C3820" s="2" t="str">
        <f>PROPER(TRIM(Table1[[#This Row],[Gender]]))</f>
        <v>Male</v>
      </c>
      <c r="D3820" t="s">
        <v>16</v>
      </c>
      <c r="E3820">
        <v>29</v>
      </c>
      <c r="F3820" t="s">
        <v>31</v>
      </c>
      <c r="G3820" s="1">
        <v>35073</v>
      </c>
      <c r="H3820" t="s">
        <v>8240</v>
      </c>
      <c r="I3820" s="2" t="str">
        <f t="shared" si="59"/>
        <v>+91-8554674547</v>
      </c>
      <c r="J3820">
        <f>91-8554674638</f>
        <v>-8554674547</v>
      </c>
      <c r="K3820" t="s">
        <v>178</v>
      </c>
      <c r="L3820" t="s">
        <v>27</v>
      </c>
      <c r="M3820">
        <v>526915</v>
      </c>
      <c r="N3820" s="1">
        <v>45167</v>
      </c>
      <c r="O3820" t="s">
        <v>21</v>
      </c>
      <c r="P3820">
        <v>6</v>
      </c>
      <c r="Q3820">
        <v>23885.95</v>
      </c>
    </row>
    <row r="3821" spans="1:17" x14ac:dyDescent="0.3">
      <c r="A3821" t="s">
        <v>8241</v>
      </c>
      <c r="B3821" t="s">
        <v>3544</v>
      </c>
      <c r="C3821" s="2" t="str">
        <f>PROPER(TRIM(Table1[[#This Row],[Gender]]))</f>
        <v>Male</v>
      </c>
      <c r="D3821" t="s">
        <v>16</v>
      </c>
      <c r="E3821">
        <v>26</v>
      </c>
      <c r="F3821" t="s">
        <v>31</v>
      </c>
      <c r="G3821" s="1">
        <v>36168</v>
      </c>
      <c r="H3821" t="s">
        <v>8242</v>
      </c>
      <c r="I3821" s="2" t="str">
        <f t="shared" si="59"/>
        <v>+91-8914467807</v>
      </c>
      <c r="J3821">
        <f>91-8914467898</f>
        <v>-8914467807</v>
      </c>
      <c r="K3821" t="s">
        <v>89</v>
      </c>
      <c r="L3821" t="s">
        <v>90</v>
      </c>
      <c r="M3821">
        <v>756051</v>
      </c>
      <c r="N3821" s="1">
        <v>45172</v>
      </c>
      <c r="O3821" t="s">
        <v>28</v>
      </c>
      <c r="P3821">
        <v>7</v>
      </c>
      <c r="Q3821">
        <v>169535.74</v>
      </c>
    </row>
    <row r="3822" spans="1:17" x14ac:dyDescent="0.3">
      <c r="A3822" t="s">
        <v>8243</v>
      </c>
      <c r="B3822" t="s">
        <v>1694</v>
      </c>
      <c r="C3822" s="2" t="str">
        <f>PROPER(TRIM(Table1[[#This Row],[Gender]]))</f>
        <v>Female</v>
      </c>
      <c r="D3822" t="s">
        <v>43</v>
      </c>
      <c r="E3822">
        <v>28</v>
      </c>
      <c r="F3822" t="s">
        <v>31</v>
      </c>
      <c r="G3822" s="1">
        <v>35438</v>
      </c>
      <c r="H3822" t="s">
        <v>3044</v>
      </c>
      <c r="I3822" s="2" t="str">
        <f t="shared" si="59"/>
        <v>+91-8539548008</v>
      </c>
      <c r="J3822">
        <f>91-8539548099</f>
        <v>-8539548008</v>
      </c>
      <c r="K3822" t="s">
        <v>154</v>
      </c>
      <c r="L3822" t="s">
        <v>46</v>
      </c>
      <c r="M3822">
        <v>880397</v>
      </c>
      <c r="N3822" s="1">
        <v>45420</v>
      </c>
      <c r="O3822" t="s">
        <v>28</v>
      </c>
      <c r="P3822">
        <v>7</v>
      </c>
      <c r="Q3822">
        <v>262680.84999999998</v>
      </c>
    </row>
    <row r="3823" spans="1:17" x14ac:dyDescent="0.3">
      <c r="A3823" t="s">
        <v>8244</v>
      </c>
      <c r="B3823" t="s">
        <v>2213</v>
      </c>
      <c r="C3823" s="2" t="str">
        <f>PROPER(TRIM(Table1[[#This Row],[Gender]]))</f>
        <v>Male</v>
      </c>
      <c r="D3823" t="s">
        <v>16</v>
      </c>
      <c r="E3823">
        <v>26</v>
      </c>
      <c r="F3823" t="s">
        <v>31</v>
      </c>
      <c r="G3823" s="1">
        <v>36168</v>
      </c>
      <c r="H3823" t="s">
        <v>8245</v>
      </c>
      <c r="I3823" s="2" t="str">
        <f t="shared" si="59"/>
        <v>+91-9823724202</v>
      </c>
      <c r="J3823">
        <f>91-9823724293</f>
        <v>-9823724202</v>
      </c>
      <c r="K3823" t="s">
        <v>165</v>
      </c>
      <c r="L3823" t="s">
        <v>52</v>
      </c>
      <c r="M3823">
        <v>896313</v>
      </c>
      <c r="N3823" s="1">
        <v>45357</v>
      </c>
      <c r="O3823" t="s">
        <v>28</v>
      </c>
      <c r="P3823">
        <v>4</v>
      </c>
      <c r="Q3823">
        <v>116250.36</v>
      </c>
    </row>
    <row r="3824" spans="1:17" x14ac:dyDescent="0.3">
      <c r="A3824" t="s">
        <v>8246</v>
      </c>
      <c r="B3824" t="s">
        <v>1350</v>
      </c>
      <c r="C3824" s="2" t="str">
        <f>PROPER(TRIM(Table1[[#This Row],[Gender]]))</f>
        <v>Female</v>
      </c>
      <c r="D3824" t="s">
        <v>43</v>
      </c>
      <c r="E3824">
        <v>54</v>
      </c>
      <c r="F3824" t="s">
        <v>17</v>
      </c>
      <c r="G3824" s="1">
        <v>25948</v>
      </c>
      <c r="H3824" t="s">
        <v>8247</v>
      </c>
      <c r="I3824" s="2" t="str">
        <f t="shared" si="59"/>
        <v>+91-8817921774</v>
      </c>
      <c r="J3824">
        <f>91-8817921865</f>
        <v>-8817921774</v>
      </c>
      <c r="K3824" t="s">
        <v>51</v>
      </c>
      <c r="L3824" t="s">
        <v>52</v>
      </c>
      <c r="M3824">
        <v>187124</v>
      </c>
      <c r="N3824" s="1">
        <v>45151</v>
      </c>
      <c r="O3824" t="s">
        <v>28</v>
      </c>
      <c r="P3824">
        <v>6</v>
      </c>
      <c r="Q3824">
        <v>52102.92</v>
      </c>
    </row>
    <row r="3825" spans="1:17" x14ac:dyDescent="0.3">
      <c r="A3825" t="s">
        <v>8248</v>
      </c>
      <c r="B3825" t="s">
        <v>2984</v>
      </c>
      <c r="C3825" s="2" t="str">
        <f>PROPER(TRIM(Table1[[#This Row],[Gender]]))</f>
        <v>Female</v>
      </c>
      <c r="D3825" t="s">
        <v>43</v>
      </c>
      <c r="E3825">
        <v>26</v>
      </c>
      <c r="F3825" t="s">
        <v>31</v>
      </c>
      <c r="G3825" s="1">
        <v>36168</v>
      </c>
      <c r="H3825" t="s">
        <v>8249</v>
      </c>
      <c r="I3825" s="2" t="str">
        <f t="shared" si="59"/>
        <v>+91-9563632653</v>
      </c>
      <c r="J3825">
        <f>91-9563632744</f>
        <v>-9563632653</v>
      </c>
      <c r="K3825" t="s">
        <v>249</v>
      </c>
      <c r="L3825" t="s">
        <v>34</v>
      </c>
      <c r="M3825">
        <v>629463</v>
      </c>
      <c r="N3825" s="1">
        <v>45412</v>
      </c>
      <c r="O3825" t="s">
        <v>28</v>
      </c>
      <c r="P3825">
        <v>5</v>
      </c>
      <c r="Q3825">
        <v>77551.77</v>
      </c>
    </row>
    <row r="3826" spans="1:17" x14ac:dyDescent="0.3">
      <c r="A3826" t="s">
        <v>8250</v>
      </c>
      <c r="B3826" t="s">
        <v>442</v>
      </c>
      <c r="C3826" s="2" t="str">
        <f>PROPER(TRIM(Table1[[#This Row],[Gender]]))</f>
        <v>Male</v>
      </c>
      <c r="D3826" t="s">
        <v>16</v>
      </c>
      <c r="E3826">
        <v>51</v>
      </c>
      <c r="F3826" t="s">
        <v>17</v>
      </c>
      <c r="G3826" s="1">
        <v>27043</v>
      </c>
      <c r="H3826" t="s">
        <v>4201</v>
      </c>
      <c r="I3826" s="2" t="str">
        <f t="shared" si="59"/>
        <v>+91-7153721991</v>
      </c>
      <c r="J3826">
        <f>91-7153722082</f>
        <v>-7153721991</v>
      </c>
      <c r="K3826" t="s">
        <v>80</v>
      </c>
      <c r="L3826" t="s">
        <v>20</v>
      </c>
      <c r="M3826">
        <v>551660</v>
      </c>
      <c r="N3826" s="1">
        <v>45206</v>
      </c>
      <c r="O3826" t="s">
        <v>28</v>
      </c>
      <c r="P3826">
        <v>10</v>
      </c>
      <c r="Q3826">
        <v>116436.4</v>
      </c>
    </row>
    <row r="3827" spans="1:17" x14ac:dyDescent="0.3">
      <c r="A3827" t="s">
        <v>8251</v>
      </c>
      <c r="B3827" t="s">
        <v>638</v>
      </c>
      <c r="C3827" s="2" t="str">
        <f>PROPER(TRIM(Table1[[#This Row],[Gender]]))</f>
        <v>Female</v>
      </c>
      <c r="D3827" t="s">
        <v>43</v>
      </c>
      <c r="E3827">
        <v>24</v>
      </c>
      <c r="F3827" t="s">
        <v>49</v>
      </c>
      <c r="G3827" s="1">
        <v>36898</v>
      </c>
      <c r="H3827" t="s">
        <v>639</v>
      </c>
      <c r="I3827" s="2" t="str">
        <f t="shared" si="59"/>
        <v>+91-8906612865</v>
      </c>
      <c r="J3827">
        <f>91-8906612956</f>
        <v>-8906612865</v>
      </c>
      <c r="K3827" t="s">
        <v>40</v>
      </c>
      <c r="L3827" t="s">
        <v>27</v>
      </c>
      <c r="M3827">
        <v>338311</v>
      </c>
      <c r="N3827" s="1">
        <v>45208</v>
      </c>
      <c r="O3827" t="s">
        <v>28</v>
      </c>
      <c r="P3827">
        <v>7</v>
      </c>
      <c r="Q3827">
        <v>403369.42</v>
      </c>
    </row>
    <row r="3828" spans="1:17" x14ac:dyDescent="0.3">
      <c r="A3828" t="s">
        <v>8252</v>
      </c>
      <c r="B3828" t="s">
        <v>367</v>
      </c>
      <c r="C3828" s="2" t="str">
        <f>PROPER(TRIM(Table1[[#This Row],[Gender]]))</f>
        <v>Male</v>
      </c>
      <c r="D3828" t="s">
        <v>16</v>
      </c>
      <c r="E3828">
        <v>34</v>
      </c>
      <c r="F3828" t="s">
        <v>31</v>
      </c>
      <c r="G3828" s="1">
        <v>33248</v>
      </c>
      <c r="H3828" t="s">
        <v>8253</v>
      </c>
      <c r="I3828" s="2" t="str">
        <f t="shared" si="59"/>
        <v>+91-9362484050</v>
      </c>
      <c r="J3828">
        <f>91-9362484141</f>
        <v>-9362484050</v>
      </c>
      <c r="K3828" t="s">
        <v>331</v>
      </c>
      <c r="L3828" t="s">
        <v>143</v>
      </c>
      <c r="M3828">
        <v>746401</v>
      </c>
      <c r="N3828" s="1">
        <v>45345</v>
      </c>
      <c r="O3828" t="s">
        <v>21</v>
      </c>
      <c r="P3828">
        <v>3</v>
      </c>
      <c r="Q3828">
        <v>34174.97</v>
      </c>
    </row>
    <row r="3829" spans="1:17" x14ac:dyDescent="0.3">
      <c r="A3829" t="s">
        <v>8254</v>
      </c>
      <c r="B3829" t="s">
        <v>2216</v>
      </c>
      <c r="C3829" s="2" t="str">
        <f>PROPER(TRIM(Table1[[#This Row],[Gender]]))</f>
        <v>Male</v>
      </c>
      <c r="D3829" t="s">
        <v>16</v>
      </c>
      <c r="E3829">
        <v>36</v>
      </c>
      <c r="F3829" t="s">
        <v>38</v>
      </c>
      <c r="G3829" s="1">
        <v>32518</v>
      </c>
      <c r="H3829" t="s">
        <v>8255</v>
      </c>
      <c r="I3829" s="2" t="str">
        <f t="shared" si="59"/>
        <v>+91-9891137610</v>
      </c>
      <c r="J3829">
        <f>91-9891137701</f>
        <v>-9891137610</v>
      </c>
      <c r="K3829" t="s">
        <v>84</v>
      </c>
      <c r="L3829" t="s">
        <v>85</v>
      </c>
      <c r="M3829">
        <v>849024</v>
      </c>
      <c r="N3829" s="1">
        <v>45333</v>
      </c>
      <c r="O3829" t="s">
        <v>28</v>
      </c>
      <c r="P3829">
        <v>5</v>
      </c>
      <c r="Q3829">
        <v>248463.88</v>
      </c>
    </row>
    <row r="3830" spans="1:17" x14ac:dyDescent="0.3">
      <c r="A3830" t="s">
        <v>8256</v>
      </c>
      <c r="B3830" t="s">
        <v>3735</v>
      </c>
      <c r="C3830" s="2" t="str">
        <f>PROPER(TRIM(Table1[[#This Row],[Gender]]))</f>
        <v>Female</v>
      </c>
      <c r="D3830" t="s">
        <v>43</v>
      </c>
      <c r="E3830">
        <v>28</v>
      </c>
      <c r="F3830" t="s">
        <v>31</v>
      </c>
      <c r="G3830" s="1">
        <v>35438</v>
      </c>
      <c r="H3830" t="s">
        <v>8257</v>
      </c>
      <c r="I3830" s="2" t="str">
        <f t="shared" si="59"/>
        <v>+91-7733323553</v>
      </c>
      <c r="J3830">
        <f>91-7733323644</f>
        <v>-7733323553</v>
      </c>
      <c r="K3830" t="s">
        <v>19</v>
      </c>
      <c r="L3830" t="s">
        <v>20</v>
      </c>
      <c r="M3830">
        <v>846888</v>
      </c>
      <c r="N3830" s="1">
        <v>45171</v>
      </c>
      <c r="O3830" t="s">
        <v>28</v>
      </c>
      <c r="P3830">
        <v>4</v>
      </c>
      <c r="Q3830">
        <v>171549.02</v>
      </c>
    </row>
    <row r="3831" spans="1:17" x14ac:dyDescent="0.3">
      <c r="A3831" t="s">
        <v>8258</v>
      </c>
      <c r="B3831" t="s">
        <v>4945</v>
      </c>
      <c r="C3831" s="2" t="str">
        <f>PROPER(TRIM(Table1[[#This Row],[Gender]]))</f>
        <v>Male</v>
      </c>
      <c r="D3831" t="s">
        <v>16</v>
      </c>
      <c r="E3831">
        <v>54</v>
      </c>
      <c r="F3831" t="s">
        <v>17</v>
      </c>
      <c r="G3831" s="1">
        <v>25948</v>
      </c>
      <c r="H3831" t="s">
        <v>7621</v>
      </c>
      <c r="I3831" s="2" t="str">
        <f t="shared" si="59"/>
        <v>+91-7851657711</v>
      </c>
      <c r="J3831">
        <f>91-7851657802</f>
        <v>-7851657711</v>
      </c>
      <c r="K3831" t="s">
        <v>45</v>
      </c>
      <c r="L3831" t="s">
        <v>46</v>
      </c>
      <c r="M3831">
        <v>155667</v>
      </c>
      <c r="N3831" s="1">
        <v>45244</v>
      </c>
      <c r="O3831" t="s">
        <v>35</v>
      </c>
      <c r="P3831">
        <v>2</v>
      </c>
      <c r="Q3831">
        <v>3342.69</v>
      </c>
    </row>
    <row r="3832" spans="1:17" x14ac:dyDescent="0.3">
      <c r="A3832" t="s">
        <v>8259</v>
      </c>
      <c r="B3832" t="s">
        <v>204</v>
      </c>
      <c r="C3832" s="2" t="str">
        <f>PROPER(TRIM(Table1[[#This Row],[Gender]]))</f>
        <v>Female</v>
      </c>
      <c r="D3832" t="s">
        <v>43</v>
      </c>
      <c r="E3832">
        <v>41</v>
      </c>
      <c r="F3832" t="s">
        <v>38</v>
      </c>
      <c r="G3832" s="1">
        <v>30693</v>
      </c>
      <c r="H3832" t="s">
        <v>8260</v>
      </c>
      <c r="I3832" s="2" t="str">
        <f t="shared" si="59"/>
        <v>+91-9448798688</v>
      </c>
      <c r="J3832">
        <f>91-9448798779</f>
        <v>-9448798688</v>
      </c>
      <c r="K3832" t="s">
        <v>113</v>
      </c>
      <c r="L3832" t="s">
        <v>34</v>
      </c>
      <c r="M3832">
        <v>670578</v>
      </c>
      <c r="N3832" s="1">
        <v>45083</v>
      </c>
      <c r="O3832" t="s">
        <v>35</v>
      </c>
      <c r="P3832">
        <v>3</v>
      </c>
      <c r="Q3832">
        <v>2742</v>
      </c>
    </row>
    <row r="3833" spans="1:17" x14ac:dyDescent="0.3">
      <c r="A3833" t="s">
        <v>8261</v>
      </c>
      <c r="B3833" t="s">
        <v>8262</v>
      </c>
      <c r="C3833" s="2" t="str">
        <f>PROPER(TRIM(Table1[[#This Row],[Gender]]))</f>
        <v>Male</v>
      </c>
      <c r="D3833" t="s">
        <v>16</v>
      </c>
      <c r="E3833">
        <v>21</v>
      </c>
      <c r="F3833" t="s">
        <v>49</v>
      </c>
      <c r="G3833" s="1">
        <v>37993</v>
      </c>
      <c r="H3833" t="s">
        <v>8263</v>
      </c>
      <c r="I3833" s="2" t="str">
        <f t="shared" si="59"/>
        <v>+91-8137473741</v>
      </c>
      <c r="J3833">
        <f>91-8137473832</f>
        <v>-8137473741</v>
      </c>
      <c r="K3833" t="s">
        <v>45</v>
      </c>
      <c r="L3833" t="s">
        <v>46</v>
      </c>
      <c r="M3833">
        <v>712719</v>
      </c>
      <c r="N3833" s="1">
        <v>45149</v>
      </c>
      <c r="O3833" t="s">
        <v>35</v>
      </c>
      <c r="P3833">
        <v>7</v>
      </c>
      <c r="Q3833">
        <v>14472.81</v>
      </c>
    </row>
    <row r="3834" spans="1:17" x14ac:dyDescent="0.3">
      <c r="A3834" t="s">
        <v>8264</v>
      </c>
      <c r="B3834" t="s">
        <v>1811</v>
      </c>
      <c r="C3834" s="2" t="str">
        <f>PROPER(TRIM(Table1[[#This Row],[Gender]]))</f>
        <v>Female</v>
      </c>
      <c r="D3834" t="s">
        <v>43</v>
      </c>
      <c r="E3834">
        <v>50</v>
      </c>
      <c r="F3834" t="s">
        <v>17</v>
      </c>
      <c r="G3834" s="1">
        <v>27408</v>
      </c>
      <c r="H3834" t="s">
        <v>8265</v>
      </c>
      <c r="I3834" s="2" t="str">
        <f t="shared" si="59"/>
        <v>+91-8288091603</v>
      </c>
      <c r="J3834">
        <f>91-8288091694</f>
        <v>-8288091603</v>
      </c>
      <c r="K3834" t="s">
        <v>26</v>
      </c>
      <c r="L3834" t="s">
        <v>27</v>
      </c>
      <c r="M3834">
        <v>659294</v>
      </c>
      <c r="N3834" s="1">
        <v>45415</v>
      </c>
      <c r="O3834" t="s">
        <v>21</v>
      </c>
      <c r="P3834">
        <v>7</v>
      </c>
      <c r="Q3834">
        <v>42994.42</v>
      </c>
    </row>
    <row r="3835" spans="1:17" x14ac:dyDescent="0.3">
      <c r="A3835" t="s">
        <v>8266</v>
      </c>
      <c r="B3835" t="s">
        <v>475</v>
      </c>
      <c r="C3835" s="2" t="str">
        <f>PROPER(TRIM(Table1[[#This Row],[Gender]]))</f>
        <v>Female</v>
      </c>
      <c r="D3835" t="s">
        <v>43</v>
      </c>
      <c r="E3835">
        <v>25</v>
      </c>
      <c r="F3835" t="s">
        <v>49</v>
      </c>
      <c r="G3835" s="1">
        <v>36533</v>
      </c>
      <c r="H3835" t="s">
        <v>8267</v>
      </c>
      <c r="I3835" s="2" t="str">
        <f t="shared" si="59"/>
        <v>+91-9277240925</v>
      </c>
      <c r="J3835">
        <f>91-9277241016</f>
        <v>-9277240925</v>
      </c>
      <c r="K3835" t="s">
        <v>125</v>
      </c>
      <c r="L3835" t="s">
        <v>52</v>
      </c>
      <c r="M3835">
        <v>793515</v>
      </c>
      <c r="N3835" s="1">
        <v>45387</v>
      </c>
      <c r="O3835" t="s">
        <v>28</v>
      </c>
      <c r="P3835">
        <v>7</v>
      </c>
      <c r="Q3835">
        <v>105989</v>
      </c>
    </row>
    <row r="3836" spans="1:17" x14ac:dyDescent="0.3">
      <c r="A3836" t="s">
        <v>8268</v>
      </c>
      <c r="B3836" t="s">
        <v>1168</v>
      </c>
      <c r="C3836" s="2" t="str">
        <f>PROPER(TRIM(Table1[[#This Row],[Gender]]))</f>
        <v>Female</v>
      </c>
      <c r="D3836" t="s">
        <v>43</v>
      </c>
      <c r="E3836">
        <v>47</v>
      </c>
      <c r="F3836" t="s">
        <v>17</v>
      </c>
      <c r="G3836" s="1">
        <v>28503</v>
      </c>
      <c r="H3836" t="s">
        <v>1169</v>
      </c>
      <c r="I3836" s="2" t="str">
        <f t="shared" si="59"/>
        <v>+91-9950276756</v>
      </c>
      <c r="J3836">
        <f>91-9950276847</f>
        <v>-9950276756</v>
      </c>
      <c r="K3836" t="s">
        <v>113</v>
      </c>
      <c r="L3836" t="s">
        <v>34</v>
      </c>
      <c r="M3836">
        <v>468832</v>
      </c>
      <c r="N3836" s="1">
        <v>45208</v>
      </c>
      <c r="O3836" t="s">
        <v>35</v>
      </c>
      <c r="P3836">
        <v>2</v>
      </c>
      <c r="Q3836">
        <v>1300.08</v>
      </c>
    </row>
    <row r="3837" spans="1:17" x14ac:dyDescent="0.3">
      <c r="A3837" t="s">
        <v>8269</v>
      </c>
      <c r="B3837" t="s">
        <v>2024</v>
      </c>
      <c r="C3837" s="2" t="str">
        <f>PROPER(TRIM(Table1[[#This Row],[Gender]]))</f>
        <v>Female</v>
      </c>
      <c r="D3837" t="s">
        <v>43</v>
      </c>
      <c r="E3837">
        <v>43</v>
      </c>
      <c r="F3837" t="s">
        <v>38</v>
      </c>
      <c r="G3837" s="1">
        <v>29963</v>
      </c>
      <c r="H3837" t="s">
        <v>8270</v>
      </c>
      <c r="I3837" s="2" t="str">
        <f t="shared" si="59"/>
        <v>+91-7203861248</v>
      </c>
      <c r="J3837">
        <f>91-7203861339</f>
        <v>-7203861248</v>
      </c>
      <c r="K3837" t="s">
        <v>109</v>
      </c>
      <c r="L3837" t="s">
        <v>46</v>
      </c>
      <c r="M3837">
        <v>450507</v>
      </c>
      <c r="N3837" s="1">
        <v>45300</v>
      </c>
      <c r="O3837" t="s">
        <v>28</v>
      </c>
      <c r="P3837">
        <v>4</v>
      </c>
      <c r="Q3837">
        <v>192330.74</v>
      </c>
    </row>
    <row r="3838" spans="1:17" x14ac:dyDescent="0.3">
      <c r="A3838" t="s">
        <v>8271</v>
      </c>
      <c r="B3838" t="s">
        <v>197</v>
      </c>
      <c r="C3838" s="2" t="str">
        <f>PROPER(TRIM(Table1[[#This Row],[Gender]]))</f>
        <v>Male</v>
      </c>
      <c r="D3838" t="s">
        <v>16</v>
      </c>
      <c r="E3838">
        <v>40</v>
      </c>
      <c r="F3838" t="s">
        <v>38</v>
      </c>
      <c r="G3838" s="1">
        <v>31058</v>
      </c>
      <c r="H3838" t="s">
        <v>8272</v>
      </c>
      <c r="I3838" s="2" t="str">
        <f t="shared" si="59"/>
        <v>+91-9724211927</v>
      </c>
      <c r="J3838">
        <f>91-9724212018</f>
        <v>-9724211927</v>
      </c>
      <c r="K3838" t="s">
        <v>40</v>
      </c>
      <c r="L3838" t="s">
        <v>27</v>
      </c>
      <c r="M3838">
        <v>352974</v>
      </c>
      <c r="N3838" s="1">
        <v>45151</v>
      </c>
      <c r="O3838" t="s">
        <v>35</v>
      </c>
      <c r="P3838">
        <v>3</v>
      </c>
      <c r="Q3838">
        <v>2065.9</v>
      </c>
    </row>
    <row r="3839" spans="1:17" x14ac:dyDescent="0.3">
      <c r="A3839" t="s">
        <v>8273</v>
      </c>
      <c r="B3839" t="s">
        <v>957</v>
      </c>
      <c r="C3839" s="2" t="str">
        <f>PROPER(TRIM(Table1[[#This Row],[Gender]]))</f>
        <v>Female</v>
      </c>
      <c r="D3839" t="s">
        <v>43</v>
      </c>
      <c r="E3839">
        <v>40</v>
      </c>
      <c r="F3839" t="s">
        <v>38</v>
      </c>
      <c r="G3839" s="1">
        <v>31058</v>
      </c>
      <c r="H3839" t="s">
        <v>4322</v>
      </c>
      <c r="I3839" s="2" t="str">
        <f t="shared" si="59"/>
        <v>+91-8100017920</v>
      </c>
      <c r="J3839">
        <f>91-8100018011</f>
        <v>-8100017920</v>
      </c>
      <c r="K3839" t="s">
        <v>94</v>
      </c>
      <c r="L3839" t="s">
        <v>20</v>
      </c>
      <c r="M3839">
        <v>293893</v>
      </c>
      <c r="N3839" s="1">
        <v>45211</v>
      </c>
      <c r="O3839" t="s">
        <v>28</v>
      </c>
      <c r="P3839">
        <v>5</v>
      </c>
      <c r="Q3839">
        <v>151766.82999999999</v>
      </c>
    </row>
    <row r="3840" spans="1:17" x14ac:dyDescent="0.3">
      <c r="A3840" t="s">
        <v>8274</v>
      </c>
      <c r="B3840" t="s">
        <v>8275</v>
      </c>
      <c r="C3840" s="2" t="str">
        <f>PROPER(TRIM(Table1[[#This Row],[Gender]]))</f>
        <v>Male</v>
      </c>
      <c r="D3840" t="s">
        <v>16</v>
      </c>
      <c r="E3840">
        <v>22</v>
      </c>
      <c r="F3840" t="s">
        <v>49</v>
      </c>
      <c r="G3840" s="1">
        <v>37628</v>
      </c>
      <c r="H3840" t="s">
        <v>8276</v>
      </c>
      <c r="I3840" s="2" t="str">
        <f t="shared" si="59"/>
        <v>+91-9279139549</v>
      </c>
      <c r="J3840">
        <f>91-9279139640</f>
        <v>-9279139549</v>
      </c>
      <c r="K3840" t="s">
        <v>142</v>
      </c>
      <c r="L3840" t="s">
        <v>143</v>
      </c>
      <c r="M3840">
        <v>376458</v>
      </c>
      <c r="N3840" s="1">
        <v>45293</v>
      </c>
      <c r="O3840" t="s">
        <v>35</v>
      </c>
      <c r="P3840">
        <v>1</v>
      </c>
      <c r="Q3840">
        <v>12127.9</v>
      </c>
    </row>
    <row r="3841" spans="1:17" x14ac:dyDescent="0.3">
      <c r="A3841" t="s">
        <v>8277</v>
      </c>
      <c r="B3841" t="s">
        <v>1414</v>
      </c>
      <c r="C3841" s="2" t="str">
        <f>PROPER(TRIM(Table1[[#This Row],[Gender]]))</f>
        <v>Male</v>
      </c>
      <c r="D3841" t="s">
        <v>16</v>
      </c>
      <c r="E3841">
        <v>70</v>
      </c>
      <c r="F3841" t="s">
        <v>24</v>
      </c>
      <c r="G3841" s="1">
        <v>20108</v>
      </c>
      <c r="H3841" t="s">
        <v>8278</v>
      </c>
      <c r="I3841" s="2" t="str">
        <f t="shared" si="59"/>
        <v>+91-9057587577</v>
      </c>
      <c r="J3841">
        <f>91-9057587668</f>
        <v>-9057587577</v>
      </c>
      <c r="K3841" t="s">
        <v>331</v>
      </c>
      <c r="L3841" t="s">
        <v>143</v>
      </c>
      <c r="M3841">
        <v>169063</v>
      </c>
      <c r="N3841" s="1">
        <v>45281</v>
      </c>
      <c r="O3841" t="s">
        <v>35</v>
      </c>
      <c r="P3841">
        <v>2</v>
      </c>
      <c r="Q3841">
        <v>6343.81</v>
      </c>
    </row>
    <row r="3842" spans="1:17" x14ac:dyDescent="0.3">
      <c r="A3842" t="s">
        <v>8279</v>
      </c>
      <c r="B3842" t="s">
        <v>6433</v>
      </c>
      <c r="C3842" s="2" t="str">
        <f>PROPER(TRIM(Table1[[#This Row],[Gender]]))</f>
        <v>Male</v>
      </c>
      <c r="D3842" t="s">
        <v>16</v>
      </c>
      <c r="E3842">
        <v>35</v>
      </c>
      <c r="F3842" t="s">
        <v>31</v>
      </c>
      <c r="G3842" s="1">
        <v>32883</v>
      </c>
      <c r="H3842" t="s">
        <v>8280</v>
      </c>
      <c r="I3842" s="2" t="str">
        <f t="shared" ref="I3842:I3905" si="60">"+91"&amp;TEXT(J3842,"0000000000")</f>
        <v>+91-7909539468</v>
      </c>
      <c r="J3842">
        <f>91-7909539559</f>
        <v>-7909539468</v>
      </c>
      <c r="K3842" t="s">
        <v>26</v>
      </c>
      <c r="L3842" t="s">
        <v>27</v>
      </c>
      <c r="M3842">
        <v>879062</v>
      </c>
      <c r="N3842" s="1">
        <v>45130</v>
      </c>
      <c r="O3842" t="s">
        <v>28</v>
      </c>
      <c r="P3842">
        <v>5</v>
      </c>
      <c r="Q3842">
        <v>155144.67000000001</v>
      </c>
    </row>
    <row r="3843" spans="1:17" x14ac:dyDescent="0.3">
      <c r="A3843" t="s">
        <v>8281</v>
      </c>
      <c r="B3843" t="s">
        <v>1286</v>
      </c>
      <c r="C3843" s="2" t="str">
        <f>PROPER(TRIM(Table1[[#This Row],[Gender]]))</f>
        <v>Male</v>
      </c>
      <c r="D3843" t="s">
        <v>16</v>
      </c>
      <c r="E3843">
        <v>27</v>
      </c>
      <c r="F3843" t="s">
        <v>31</v>
      </c>
      <c r="G3843" s="1">
        <v>35803</v>
      </c>
      <c r="H3843" t="s">
        <v>8282</v>
      </c>
      <c r="I3843" s="2" t="str">
        <f t="shared" si="60"/>
        <v>+91-8170946912</v>
      </c>
      <c r="J3843">
        <f>91-8170947003</f>
        <v>-8170946912</v>
      </c>
      <c r="K3843" t="s">
        <v>68</v>
      </c>
      <c r="L3843" t="s">
        <v>52</v>
      </c>
      <c r="M3843">
        <v>253197</v>
      </c>
      <c r="N3843" s="1">
        <v>45090</v>
      </c>
      <c r="O3843" t="s">
        <v>21</v>
      </c>
      <c r="P3843">
        <v>3</v>
      </c>
      <c r="Q3843">
        <v>25793.25</v>
      </c>
    </row>
    <row r="3844" spans="1:17" x14ac:dyDescent="0.3">
      <c r="A3844" t="s">
        <v>8283</v>
      </c>
      <c r="B3844" t="s">
        <v>207</v>
      </c>
      <c r="C3844" s="2" t="str">
        <f>PROPER(TRIM(Table1[[#This Row],[Gender]]))</f>
        <v>Female</v>
      </c>
      <c r="D3844" t="s">
        <v>43</v>
      </c>
      <c r="E3844">
        <v>48</v>
      </c>
      <c r="F3844" t="s">
        <v>17</v>
      </c>
      <c r="G3844" s="1">
        <v>28138</v>
      </c>
      <c r="H3844" t="s">
        <v>8284</v>
      </c>
      <c r="I3844" s="2" t="str">
        <f t="shared" si="60"/>
        <v>+91-7050169192</v>
      </c>
      <c r="J3844">
        <f>91-7050169283</f>
        <v>-7050169192</v>
      </c>
      <c r="K3844" t="s">
        <v>165</v>
      </c>
      <c r="L3844" t="s">
        <v>52</v>
      </c>
      <c r="M3844">
        <v>480907</v>
      </c>
      <c r="N3844" s="1">
        <v>45343</v>
      </c>
      <c r="O3844" t="s">
        <v>28</v>
      </c>
      <c r="P3844">
        <v>7</v>
      </c>
      <c r="Q3844">
        <v>107880.79</v>
      </c>
    </row>
    <row r="3845" spans="1:17" x14ac:dyDescent="0.3">
      <c r="A3845" t="s">
        <v>8285</v>
      </c>
      <c r="B3845" t="s">
        <v>1043</v>
      </c>
      <c r="C3845" s="2" t="str">
        <f>PROPER(TRIM(Table1[[#This Row],[Gender]]))</f>
        <v>Female</v>
      </c>
      <c r="D3845" t="s">
        <v>43</v>
      </c>
      <c r="E3845">
        <v>23</v>
      </c>
      <c r="F3845" t="s">
        <v>49</v>
      </c>
      <c r="G3845" s="1">
        <v>37263</v>
      </c>
      <c r="H3845" t="s">
        <v>8286</v>
      </c>
      <c r="I3845" s="2" t="str">
        <f t="shared" si="60"/>
        <v>+91-8352931356</v>
      </c>
      <c r="J3845">
        <f>91-8352931447</f>
        <v>-8352931356</v>
      </c>
      <c r="K3845" t="s">
        <v>195</v>
      </c>
      <c r="L3845" t="s">
        <v>102</v>
      </c>
      <c r="M3845">
        <v>738213</v>
      </c>
      <c r="N3845" s="1">
        <v>45078</v>
      </c>
      <c r="O3845" t="s">
        <v>28</v>
      </c>
      <c r="P3845">
        <v>8</v>
      </c>
      <c r="Q3845">
        <v>596577.18999999994</v>
      </c>
    </row>
    <row r="3846" spans="1:17" x14ac:dyDescent="0.3">
      <c r="A3846" t="s">
        <v>8287</v>
      </c>
      <c r="B3846" t="s">
        <v>4718</v>
      </c>
      <c r="C3846" s="2" t="str">
        <f>PROPER(TRIM(Table1[[#This Row],[Gender]]))</f>
        <v>Female</v>
      </c>
      <c r="D3846" t="s">
        <v>43</v>
      </c>
      <c r="E3846">
        <v>46</v>
      </c>
      <c r="F3846" t="s">
        <v>17</v>
      </c>
      <c r="G3846" s="1">
        <v>28868</v>
      </c>
      <c r="H3846" t="s">
        <v>8288</v>
      </c>
      <c r="I3846" s="2" t="str">
        <f t="shared" si="60"/>
        <v>+91-8957020654</v>
      </c>
      <c r="J3846">
        <f>91-8957020745</f>
        <v>-8957020654</v>
      </c>
      <c r="K3846" t="s">
        <v>26</v>
      </c>
      <c r="L3846" t="s">
        <v>27</v>
      </c>
      <c r="M3846">
        <v>564316</v>
      </c>
      <c r="N3846" s="1">
        <v>45307</v>
      </c>
      <c r="O3846" t="s">
        <v>21</v>
      </c>
      <c r="P3846">
        <v>5</v>
      </c>
      <c r="Q3846">
        <v>30758.62</v>
      </c>
    </row>
    <row r="3847" spans="1:17" x14ac:dyDescent="0.3">
      <c r="A3847" t="s">
        <v>8289</v>
      </c>
      <c r="B3847" t="s">
        <v>2553</v>
      </c>
      <c r="C3847" s="2" t="str">
        <f>PROPER(TRIM(Table1[[#This Row],[Gender]]))</f>
        <v>Female</v>
      </c>
      <c r="D3847" t="s">
        <v>43</v>
      </c>
      <c r="E3847">
        <v>40</v>
      </c>
      <c r="F3847" t="s">
        <v>38</v>
      </c>
      <c r="G3847" s="1">
        <v>31058</v>
      </c>
      <c r="H3847" t="s">
        <v>8290</v>
      </c>
      <c r="I3847" s="2" t="str">
        <f t="shared" si="60"/>
        <v>+91-7288707748</v>
      </c>
      <c r="J3847">
        <f>91-7288707839</f>
        <v>-7288707748</v>
      </c>
      <c r="K3847" t="s">
        <v>60</v>
      </c>
      <c r="L3847" t="s">
        <v>34</v>
      </c>
      <c r="M3847">
        <v>142159</v>
      </c>
      <c r="N3847" s="1">
        <v>45287</v>
      </c>
      <c r="O3847" t="s">
        <v>35</v>
      </c>
      <c r="P3847">
        <v>3</v>
      </c>
      <c r="Q3847">
        <v>10606.07</v>
      </c>
    </row>
    <row r="3848" spans="1:17" x14ac:dyDescent="0.3">
      <c r="A3848" t="s">
        <v>8291</v>
      </c>
      <c r="B3848" t="s">
        <v>2788</v>
      </c>
      <c r="C3848" s="2" t="str">
        <f>PROPER(TRIM(Table1[[#This Row],[Gender]]))</f>
        <v>Male</v>
      </c>
      <c r="D3848" t="s">
        <v>16</v>
      </c>
      <c r="E3848">
        <v>18</v>
      </c>
      <c r="F3848" t="s">
        <v>49</v>
      </c>
      <c r="G3848" s="1">
        <v>39088</v>
      </c>
      <c r="H3848" t="s">
        <v>4192</v>
      </c>
      <c r="I3848" s="2" t="str">
        <f t="shared" si="60"/>
        <v>+91-8998178123</v>
      </c>
      <c r="J3848">
        <f>91-8998178214</f>
        <v>-8998178123</v>
      </c>
      <c r="K3848" t="s">
        <v>26</v>
      </c>
      <c r="L3848" t="s">
        <v>27</v>
      </c>
      <c r="M3848">
        <v>153505</v>
      </c>
      <c r="N3848" s="1">
        <v>45125</v>
      </c>
      <c r="O3848" t="s">
        <v>28</v>
      </c>
      <c r="P3848">
        <v>6</v>
      </c>
      <c r="Q3848">
        <v>185584.08</v>
      </c>
    </row>
    <row r="3849" spans="1:17" x14ac:dyDescent="0.3">
      <c r="A3849" t="s">
        <v>8292</v>
      </c>
      <c r="B3849" t="s">
        <v>493</v>
      </c>
      <c r="C3849" s="2" t="str">
        <f>PROPER(TRIM(Table1[[#This Row],[Gender]]))</f>
        <v>Female</v>
      </c>
      <c r="D3849" t="s">
        <v>43</v>
      </c>
      <c r="E3849">
        <v>32</v>
      </c>
      <c r="F3849" t="s">
        <v>31</v>
      </c>
      <c r="G3849" s="1">
        <v>33978</v>
      </c>
      <c r="H3849" t="s">
        <v>8293</v>
      </c>
      <c r="I3849" s="2" t="str">
        <f t="shared" si="60"/>
        <v>+91-9645613275</v>
      </c>
      <c r="J3849">
        <f>91-9645613366</f>
        <v>-9645613275</v>
      </c>
      <c r="K3849" t="s">
        <v>178</v>
      </c>
      <c r="L3849" t="s">
        <v>27</v>
      </c>
      <c r="M3849">
        <v>355130</v>
      </c>
      <c r="N3849" s="1">
        <v>45247</v>
      </c>
      <c r="O3849" t="s">
        <v>28</v>
      </c>
      <c r="P3849">
        <v>6</v>
      </c>
      <c r="Q3849">
        <v>175436.65</v>
      </c>
    </row>
    <row r="3850" spans="1:17" x14ac:dyDescent="0.3">
      <c r="A3850" t="s">
        <v>8294</v>
      </c>
      <c r="B3850" t="s">
        <v>8295</v>
      </c>
      <c r="C3850" s="2" t="str">
        <f>PROPER(TRIM(Table1[[#This Row],[Gender]]))</f>
        <v>Male</v>
      </c>
      <c r="D3850" t="s">
        <v>16</v>
      </c>
      <c r="E3850">
        <v>47</v>
      </c>
      <c r="F3850" t="s">
        <v>17</v>
      </c>
      <c r="G3850" s="1">
        <v>28503</v>
      </c>
      <c r="H3850" t="s">
        <v>8296</v>
      </c>
      <c r="I3850" s="2" t="str">
        <f t="shared" si="60"/>
        <v>+91-9248820822</v>
      </c>
      <c r="J3850">
        <f>91-9248820913</f>
        <v>-9248820822</v>
      </c>
      <c r="K3850" t="s">
        <v>89</v>
      </c>
      <c r="L3850" t="s">
        <v>90</v>
      </c>
      <c r="M3850">
        <v>302591</v>
      </c>
      <c r="N3850" s="1">
        <v>45282</v>
      </c>
      <c r="O3850" t="s">
        <v>21</v>
      </c>
      <c r="P3850">
        <v>8</v>
      </c>
      <c r="Q3850">
        <v>27520.01</v>
      </c>
    </row>
    <row r="3851" spans="1:17" x14ac:dyDescent="0.3">
      <c r="A3851" t="s">
        <v>8297</v>
      </c>
      <c r="B3851" t="s">
        <v>1765</v>
      </c>
      <c r="C3851" s="2" t="str">
        <f>PROPER(TRIM(Table1[[#This Row],[Gender]]))</f>
        <v>Female</v>
      </c>
      <c r="D3851" t="s">
        <v>43</v>
      </c>
      <c r="E3851">
        <v>54</v>
      </c>
      <c r="F3851" t="s">
        <v>17</v>
      </c>
      <c r="G3851" s="1">
        <v>25948</v>
      </c>
      <c r="H3851" t="s">
        <v>8298</v>
      </c>
      <c r="I3851" s="2" t="str">
        <f t="shared" si="60"/>
        <v>+91-8465804893</v>
      </c>
      <c r="J3851">
        <f>91-8465804984</f>
        <v>-8465804893</v>
      </c>
      <c r="K3851" t="s">
        <v>138</v>
      </c>
      <c r="L3851" t="s">
        <v>90</v>
      </c>
      <c r="M3851">
        <v>105416</v>
      </c>
      <c r="N3851" s="1">
        <v>45095</v>
      </c>
      <c r="O3851" t="s">
        <v>28</v>
      </c>
      <c r="P3851">
        <v>9</v>
      </c>
      <c r="Q3851">
        <v>58027.86</v>
      </c>
    </row>
    <row r="3852" spans="1:17" x14ac:dyDescent="0.3">
      <c r="A3852" t="s">
        <v>8299</v>
      </c>
      <c r="B3852" t="s">
        <v>398</v>
      </c>
      <c r="C3852" s="2" t="str">
        <f>PROPER(TRIM(Table1[[#This Row],[Gender]]))</f>
        <v>Male</v>
      </c>
      <c r="D3852" t="s">
        <v>16</v>
      </c>
      <c r="E3852">
        <v>44</v>
      </c>
      <c r="F3852" t="s">
        <v>38</v>
      </c>
      <c r="G3852" s="1">
        <v>29598</v>
      </c>
      <c r="H3852" t="s">
        <v>8300</v>
      </c>
      <c r="I3852" s="2" t="str">
        <f t="shared" si="60"/>
        <v>+91-8953955342</v>
      </c>
      <c r="J3852">
        <f>91-8953955433</f>
        <v>-8953955342</v>
      </c>
      <c r="K3852" t="s">
        <v>142</v>
      </c>
      <c r="L3852" t="s">
        <v>143</v>
      </c>
      <c r="M3852">
        <v>869828</v>
      </c>
      <c r="N3852" s="1">
        <v>45191</v>
      </c>
      <c r="O3852" t="s">
        <v>21</v>
      </c>
      <c r="P3852">
        <v>1</v>
      </c>
      <c r="Q3852">
        <v>24134.11</v>
      </c>
    </row>
    <row r="3853" spans="1:17" x14ac:dyDescent="0.3">
      <c r="A3853" t="s">
        <v>8301</v>
      </c>
      <c r="B3853" t="s">
        <v>504</v>
      </c>
      <c r="C3853" s="2" t="str">
        <f>PROPER(TRIM(Table1[[#This Row],[Gender]]))</f>
        <v>Male</v>
      </c>
      <c r="D3853" t="s">
        <v>16</v>
      </c>
      <c r="E3853">
        <v>26</v>
      </c>
      <c r="F3853" t="s">
        <v>31</v>
      </c>
      <c r="G3853" s="1">
        <v>36168</v>
      </c>
      <c r="H3853" t="s">
        <v>8302</v>
      </c>
      <c r="I3853" s="2" t="str">
        <f t="shared" si="60"/>
        <v>+91-8468375040</v>
      </c>
      <c r="J3853">
        <f>91-8468375131</f>
        <v>-8468375040</v>
      </c>
      <c r="K3853" t="s">
        <v>195</v>
      </c>
      <c r="L3853" t="s">
        <v>102</v>
      </c>
      <c r="M3853">
        <v>204784</v>
      </c>
      <c r="N3853" s="1">
        <v>45441</v>
      </c>
      <c r="O3853" t="s">
        <v>28</v>
      </c>
      <c r="P3853">
        <v>6</v>
      </c>
      <c r="Q3853">
        <v>151772.66</v>
      </c>
    </row>
    <row r="3854" spans="1:17" x14ac:dyDescent="0.3">
      <c r="A3854" t="s">
        <v>8303</v>
      </c>
      <c r="B3854" t="s">
        <v>1043</v>
      </c>
      <c r="C3854" s="2" t="str">
        <f>PROPER(TRIM(Table1[[#This Row],[Gender]]))</f>
        <v>Female</v>
      </c>
      <c r="D3854" t="s">
        <v>43</v>
      </c>
      <c r="E3854">
        <v>30</v>
      </c>
      <c r="F3854" t="s">
        <v>31</v>
      </c>
      <c r="G3854" s="1">
        <v>34708</v>
      </c>
      <c r="H3854" t="s">
        <v>3114</v>
      </c>
      <c r="I3854" s="2" t="str">
        <f t="shared" si="60"/>
        <v>+91-7876412070</v>
      </c>
      <c r="J3854">
        <f>91-7876412161</f>
        <v>-7876412070</v>
      </c>
      <c r="K3854" t="s">
        <v>138</v>
      </c>
      <c r="L3854" t="s">
        <v>90</v>
      </c>
      <c r="M3854">
        <v>316797</v>
      </c>
      <c r="N3854" s="1">
        <v>45343</v>
      </c>
      <c r="O3854" t="s">
        <v>28</v>
      </c>
      <c r="P3854">
        <v>4</v>
      </c>
      <c r="Q3854">
        <v>148602.32999999999</v>
      </c>
    </row>
    <row r="3855" spans="1:17" x14ac:dyDescent="0.3">
      <c r="A3855" t="s">
        <v>8304</v>
      </c>
      <c r="B3855" t="s">
        <v>2610</v>
      </c>
      <c r="C3855" s="2" t="str">
        <f>PROPER(TRIM(Table1[[#This Row],[Gender]]))</f>
        <v>Male</v>
      </c>
      <c r="D3855" t="s">
        <v>16</v>
      </c>
      <c r="E3855">
        <v>25</v>
      </c>
      <c r="F3855" t="s">
        <v>49</v>
      </c>
      <c r="G3855" s="1">
        <v>36533</v>
      </c>
      <c r="H3855" t="s">
        <v>8305</v>
      </c>
      <c r="I3855" s="2" t="str">
        <f t="shared" si="60"/>
        <v>+91-9530764078</v>
      </c>
      <c r="J3855">
        <f>91-9530764169</f>
        <v>-9530764078</v>
      </c>
      <c r="K3855" t="s">
        <v>19</v>
      </c>
      <c r="L3855" t="s">
        <v>20</v>
      </c>
      <c r="M3855">
        <v>262177</v>
      </c>
      <c r="N3855" s="1">
        <v>45188</v>
      </c>
      <c r="O3855" t="s">
        <v>28</v>
      </c>
      <c r="P3855">
        <v>7</v>
      </c>
      <c r="Q3855">
        <v>79524.58</v>
      </c>
    </row>
    <row r="3856" spans="1:17" x14ac:dyDescent="0.3">
      <c r="A3856" t="s">
        <v>8306</v>
      </c>
      <c r="B3856" t="s">
        <v>8307</v>
      </c>
      <c r="C3856" s="2" t="str">
        <f>PROPER(TRIM(Table1[[#This Row],[Gender]]))</f>
        <v>Female</v>
      </c>
      <c r="D3856" t="s">
        <v>43</v>
      </c>
      <c r="E3856">
        <v>19</v>
      </c>
      <c r="F3856" t="s">
        <v>49</v>
      </c>
      <c r="G3856" s="1">
        <v>38723</v>
      </c>
      <c r="H3856" t="s">
        <v>8308</v>
      </c>
      <c r="I3856" s="2" t="str">
        <f t="shared" si="60"/>
        <v>+91-8119795334</v>
      </c>
      <c r="J3856">
        <f>91-8119795425</f>
        <v>-8119795334</v>
      </c>
      <c r="K3856" t="s">
        <v>161</v>
      </c>
      <c r="L3856" t="s">
        <v>102</v>
      </c>
      <c r="M3856">
        <v>399346</v>
      </c>
      <c r="N3856" s="1">
        <v>45207</v>
      </c>
      <c r="O3856" t="s">
        <v>21</v>
      </c>
      <c r="P3856">
        <v>7</v>
      </c>
      <c r="Q3856">
        <v>37872.410000000003</v>
      </c>
    </row>
    <row r="3857" spans="1:17" x14ac:dyDescent="0.3">
      <c r="A3857" t="s">
        <v>8309</v>
      </c>
      <c r="B3857" t="s">
        <v>5792</v>
      </c>
      <c r="C3857" s="2" t="str">
        <f>PROPER(TRIM(Table1[[#This Row],[Gender]]))</f>
        <v>Male</v>
      </c>
      <c r="D3857" t="s">
        <v>16</v>
      </c>
      <c r="E3857">
        <v>43</v>
      </c>
      <c r="F3857" t="s">
        <v>38</v>
      </c>
      <c r="G3857" s="1">
        <v>29963</v>
      </c>
      <c r="H3857" t="s">
        <v>8310</v>
      </c>
      <c r="I3857" s="2" t="str">
        <f t="shared" si="60"/>
        <v>+91-8728055406</v>
      </c>
      <c r="J3857">
        <f>91-8728055497</f>
        <v>-8728055406</v>
      </c>
      <c r="K3857" t="s">
        <v>64</v>
      </c>
      <c r="L3857" t="s">
        <v>20</v>
      </c>
      <c r="M3857">
        <v>751849</v>
      </c>
      <c r="N3857" s="1">
        <v>45118</v>
      </c>
      <c r="O3857" t="s">
        <v>21</v>
      </c>
      <c r="P3857">
        <v>2</v>
      </c>
      <c r="Q3857">
        <v>45652.800000000003</v>
      </c>
    </row>
    <row r="3858" spans="1:17" x14ac:dyDescent="0.3">
      <c r="A3858" t="s">
        <v>8311</v>
      </c>
      <c r="B3858" t="s">
        <v>1808</v>
      </c>
      <c r="C3858" s="2" t="str">
        <f>PROPER(TRIM(Table1[[#This Row],[Gender]]))</f>
        <v>Female</v>
      </c>
      <c r="D3858" t="s">
        <v>43</v>
      </c>
      <c r="E3858">
        <v>44</v>
      </c>
      <c r="F3858" t="s">
        <v>38</v>
      </c>
      <c r="G3858" s="1">
        <v>29598</v>
      </c>
      <c r="H3858" t="s">
        <v>8312</v>
      </c>
      <c r="I3858" s="2" t="str">
        <f t="shared" si="60"/>
        <v>+91-7858661686</v>
      </c>
      <c r="J3858">
        <f>91-7858661777</f>
        <v>-7858661686</v>
      </c>
      <c r="K3858" t="s">
        <v>26</v>
      </c>
      <c r="L3858" t="s">
        <v>27</v>
      </c>
      <c r="M3858">
        <v>474376</v>
      </c>
      <c r="N3858" s="1">
        <v>45220</v>
      </c>
      <c r="O3858" t="s">
        <v>28</v>
      </c>
      <c r="P3858">
        <v>5</v>
      </c>
      <c r="Q3858">
        <v>71215.98</v>
      </c>
    </row>
    <row r="3859" spans="1:17" x14ac:dyDescent="0.3">
      <c r="A3859" t="s">
        <v>8313</v>
      </c>
      <c r="B3859" t="s">
        <v>448</v>
      </c>
      <c r="C3859" s="2" t="str">
        <f>PROPER(TRIM(Table1[[#This Row],[Gender]]))</f>
        <v>Female</v>
      </c>
      <c r="D3859" t="s">
        <v>43</v>
      </c>
      <c r="E3859">
        <v>24</v>
      </c>
      <c r="F3859" t="s">
        <v>49</v>
      </c>
      <c r="G3859" s="1">
        <v>36898</v>
      </c>
      <c r="H3859" t="s">
        <v>449</v>
      </c>
      <c r="I3859" s="2" t="str">
        <f t="shared" si="60"/>
        <v>+91-8232528884</v>
      </c>
      <c r="J3859">
        <f>91-8232528975</f>
        <v>-8232528884</v>
      </c>
      <c r="K3859" t="s">
        <v>60</v>
      </c>
      <c r="L3859" t="s">
        <v>34</v>
      </c>
      <c r="M3859">
        <v>925217</v>
      </c>
      <c r="N3859" s="1">
        <v>45253</v>
      </c>
      <c r="O3859" t="s">
        <v>35</v>
      </c>
      <c r="P3859">
        <v>4</v>
      </c>
      <c r="Q3859">
        <v>6097.37</v>
      </c>
    </row>
    <row r="3860" spans="1:17" x14ac:dyDescent="0.3">
      <c r="A3860" t="s">
        <v>8314</v>
      </c>
      <c r="B3860" t="s">
        <v>1184</v>
      </c>
      <c r="C3860" s="2" t="str">
        <f>PROPER(TRIM(Table1[[#This Row],[Gender]]))</f>
        <v>Male</v>
      </c>
      <c r="D3860" t="s">
        <v>16</v>
      </c>
      <c r="E3860">
        <v>27</v>
      </c>
      <c r="F3860" t="s">
        <v>31</v>
      </c>
      <c r="G3860" s="1">
        <v>35803</v>
      </c>
      <c r="H3860" t="s">
        <v>8315</v>
      </c>
      <c r="I3860" s="2" t="str">
        <f t="shared" si="60"/>
        <v>+91-7840564570</v>
      </c>
      <c r="J3860">
        <f>91-7840564661</f>
        <v>-7840564570</v>
      </c>
      <c r="K3860" t="s">
        <v>45</v>
      </c>
      <c r="L3860" t="s">
        <v>46</v>
      </c>
      <c r="M3860">
        <v>568107</v>
      </c>
      <c r="N3860" s="1">
        <v>45102</v>
      </c>
      <c r="O3860" t="s">
        <v>28</v>
      </c>
      <c r="P3860">
        <v>5</v>
      </c>
      <c r="Q3860">
        <v>211528.64</v>
      </c>
    </row>
    <row r="3861" spans="1:17" x14ac:dyDescent="0.3">
      <c r="A3861" t="s">
        <v>8316</v>
      </c>
      <c r="B3861" t="s">
        <v>1865</v>
      </c>
      <c r="C3861" s="2" t="str">
        <f>PROPER(TRIM(Table1[[#This Row],[Gender]]))</f>
        <v>Female</v>
      </c>
      <c r="D3861" t="s">
        <v>43</v>
      </c>
      <c r="E3861">
        <v>41</v>
      </c>
      <c r="F3861" t="s">
        <v>38</v>
      </c>
      <c r="G3861" s="1">
        <v>30693</v>
      </c>
      <c r="H3861" t="s">
        <v>8317</v>
      </c>
      <c r="I3861" s="2" t="str">
        <f t="shared" si="60"/>
        <v>+91-7272736565</v>
      </c>
      <c r="J3861">
        <f>91-7272736656</f>
        <v>-7272736565</v>
      </c>
      <c r="K3861" t="s">
        <v>26</v>
      </c>
      <c r="L3861" t="s">
        <v>27</v>
      </c>
      <c r="M3861">
        <v>107989</v>
      </c>
      <c r="N3861" s="1">
        <v>45232</v>
      </c>
      <c r="O3861" t="s">
        <v>28</v>
      </c>
      <c r="P3861">
        <v>4</v>
      </c>
      <c r="Q3861">
        <v>243963.81</v>
      </c>
    </row>
    <row r="3862" spans="1:17" x14ac:dyDescent="0.3">
      <c r="A3862" t="s">
        <v>8318</v>
      </c>
      <c r="B3862" t="s">
        <v>1437</v>
      </c>
      <c r="C3862" s="2" t="str">
        <f>PROPER(TRIM(Table1[[#This Row],[Gender]]))</f>
        <v>Female</v>
      </c>
      <c r="D3862" t="s">
        <v>43</v>
      </c>
      <c r="E3862">
        <v>24</v>
      </c>
      <c r="F3862" t="s">
        <v>49</v>
      </c>
      <c r="G3862" s="1">
        <v>36898</v>
      </c>
      <c r="H3862" t="s">
        <v>8319</v>
      </c>
      <c r="I3862" s="2" t="str">
        <f t="shared" si="60"/>
        <v>+91-8584520009</v>
      </c>
      <c r="J3862">
        <f>91-8584520100</f>
        <v>-8584520009</v>
      </c>
      <c r="K3862" t="s">
        <v>178</v>
      </c>
      <c r="L3862" t="s">
        <v>27</v>
      </c>
      <c r="M3862">
        <v>319191</v>
      </c>
      <c r="N3862" s="1">
        <v>45202</v>
      </c>
      <c r="O3862" t="s">
        <v>28</v>
      </c>
      <c r="P3862">
        <v>1</v>
      </c>
      <c r="Q3862">
        <v>92500.36</v>
      </c>
    </row>
    <row r="3863" spans="1:17" x14ac:dyDescent="0.3">
      <c r="A3863" t="s">
        <v>8320</v>
      </c>
      <c r="B3863" t="s">
        <v>1628</v>
      </c>
      <c r="C3863" s="2" t="str">
        <f>PROPER(TRIM(Table1[[#This Row],[Gender]]))</f>
        <v>Male</v>
      </c>
      <c r="D3863" t="s">
        <v>16</v>
      </c>
      <c r="E3863">
        <v>39</v>
      </c>
      <c r="F3863" t="s">
        <v>38</v>
      </c>
      <c r="G3863" s="1">
        <v>31423</v>
      </c>
      <c r="H3863" t="s">
        <v>8321</v>
      </c>
      <c r="I3863" s="2" t="str">
        <f t="shared" si="60"/>
        <v>+91-7770576545</v>
      </c>
      <c r="J3863">
        <f>91-7770576636</f>
        <v>-7770576545</v>
      </c>
      <c r="K3863" t="s">
        <v>147</v>
      </c>
      <c r="L3863" t="s">
        <v>143</v>
      </c>
      <c r="M3863">
        <v>514547</v>
      </c>
      <c r="N3863" s="1">
        <v>45301</v>
      </c>
      <c r="O3863" t="s">
        <v>28</v>
      </c>
      <c r="P3863">
        <v>6</v>
      </c>
      <c r="Q3863">
        <v>408629.84</v>
      </c>
    </row>
    <row r="3864" spans="1:17" x14ac:dyDescent="0.3">
      <c r="A3864" t="s">
        <v>8322</v>
      </c>
      <c r="B3864" t="s">
        <v>3845</v>
      </c>
      <c r="C3864" s="2" t="str">
        <f>PROPER(TRIM(Table1[[#This Row],[Gender]]))</f>
        <v>Female</v>
      </c>
      <c r="D3864" t="s">
        <v>43</v>
      </c>
      <c r="E3864">
        <v>30</v>
      </c>
      <c r="F3864" t="s">
        <v>31</v>
      </c>
      <c r="G3864" s="1">
        <v>34708</v>
      </c>
      <c r="H3864" t="s">
        <v>8323</v>
      </c>
      <c r="I3864" s="2" t="str">
        <f t="shared" si="60"/>
        <v>+91-7044331639</v>
      </c>
      <c r="J3864">
        <f>91-7044331730</f>
        <v>-7044331639</v>
      </c>
      <c r="K3864" t="s">
        <v>68</v>
      </c>
      <c r="L3864" t="s">
        <v>52</v>
      </c>
      <c r="M3864">
        <v>513237</v>
      </c>
      <c r="N3864" s="1">
        <v>45091</v>
      </c>
      <c r="O3864" t="s">
        <v>28</v>
      </c>
      <c r="P3864">
        <v>5</v>
      </c>
      <c r="Q3864">
        <v>213468.61</v>
      </c>
    </row>
    <row r="3865" spans="1:17" x14ac:dyDescent="0.3">
      <c r="A3865" t="s">
        <v>8324</v>
      </c>
      <c r="B3865" t="s">
        <v>3670</v>
      </c>
      <c r="C3865" s="2" t="str">
        <f>PROPER(TRIM(Table1[[#This Row],[Gender]]))</f>
        <v>Male</v>
      </c>
      <c r="D3865" t="s">
        <v>16</v>
      </c>
      <c r="E3865">
        <v>60</v>
      </c>
      <c r="F3865" t="s">
        <v>58</v>
      </c>
      <c r="G3865" s="1">
        <v>23758</v>
      </c>
      <c r="H3865" t="s">
        <v>5417</v>
      </c>
      <c r="I3865" s="2" t="str">
        <f t="shared" si="60"/>
        <v>+91-9356501653</v>
      </c>
      <c r="J3865">
        <f>91-9356501744</f>
        <v>-9356501653</v>
      </c>
      <c r="K3865" t="s">
        <v>202</v>
      </c>
      <c r="L3865" t="s">
        <v>191</v>
      </c>
      <c r="M3865">
        <v>257923</v>
      </c>
      <c r="N3865" s="1">
        <v>45183</v>
      </c>
      <c r="O3865" t="s">
        <v>28</v>
      </c>
      <c r="P3865">
        <v>6</v>
      </c>
      <c r="Q3865">
        <v>74965.440000000002</v>
      </c>
    </row>
    <row r="3866" spans="1:17" x14ac:dyDescent="0.3">
      <c r="A3866" t="s">
        <v>8325</v>
      </c>
      <c r="B3866" t="s">
        <v>1795</v>
      </c>
      <c r="C3866" s="2" t="str">
        <f>PROPER(TRIM(Table1[[#This Row],[Gender]]))</f>
        <v>Male</v>
      </c>
      <c r="D3866" t="s">
        <v>16</v>
      </c>
      <c r="E3866">
        <v>58</v>
      </c>
      <c r="F3866" t="s">
        <v>58</v>
      </c>
      <c r="G3866" s="1">
        <v>24488</v>
      </c>
      <c r="H3866" t="s">
        <v>8326</v>
      </c>
      <c r="I3866" s="2" t="str">
        <f t="shared" si="60"/>
        <v>+91-9764668353</v>
      </c>
      <c r="J3866">
        <f>91-9764668444</f>
        <v>-9764668353</v>
      </c>
      <c r="K3866" t="s">
        <v>33</v>
      </c>
      <c r="L3866" t="s">
        <v>34</v>
      </c>
      <c r="M3866">
        <v>610755</v>
      </c>
      <c r="N3866" s="1">
        <v>45109</v>
      </c>
      <c r="O3866" t="s">
        <v>35</v>
      </c>
      <c r="P3866">
        <v>5</v>
      </c>
      <c r="Q3866">
        <v>10725.69</v>
      </c>
    </row>
    <row r="3867" spans="1:17" x14ac:dyDescent="0.3">
      <c r="A3867" t="s">
        <v>8327</v>
      </c>
      <c r="B3867" t="s">
        <v>2351</v>
      </c>
      <c r="C3867" s="2" t="str">
        <f>PROPER(TRIM(Table1[[#This Row],[Gender]]))</f>
        <v>Female</v>
      </c>
      <c r="D3867" t="s">
        <v>43</v>
      </c>
      <c r="E3867">
        <v>23</v>
      </c>
      <c r="F3867" t="s">
        <v>49</v>
      </c>
      <c r="G3867" s="1">
        <v>37263</v>
      </c>
      <c r="H3867" t="s">
        <v>8328</v>
      </c>
      <c r="I3867" s="2" t="str">
        <f t="shared" si="60"/>
        <v>+91-7801027746</v>
      </c>
      <c r="J3867">
        <f>91-7801027837</f>
        <v>-7801027746</v>
      </c>
      <c r="K3867" t="s">
        <v>33</v>
      </c>
      <c r="L3867" t="s">
        <v>34</v>
      </c>
      <c r="M3867">
        <v>257929</v>
      </c>
      <c r="N3867" s="1">
        <v>45191</v>
      </c>
      <c r="O3867" t="s">
        <v>28</v>
      </c>
      <c r="P3867">
        <v>3</v>
      </c>
      <c r="Q3867">
        <v>129625.26</v>
      </c>
    </row>
    <row r="3868" spans="1:17" x14ac:dyDescent="0.3">
      <c r="A3868" t="s">
        <v>8329</v>
      </c>
      <c r="B3868" t="s">
        <v>1765</v>
      </c>
      <c r="C3868" s="2" t="str">
        <f>PROPER(TRIM(Table1[[#This Row],[Gender]]))</f>
        <v>Female</v>
      </c>
      <c r="D3868" t="s">
        <v>43</v>
      </c>
      <c r="E3868">
        <v>50</v>
      </c>
      <c r="F3868" t="s">
        <v>17</v>
      </c>
      <c r="G3868" s="1">
        <v>27408</v>
      </c>
      <c r="H3868" t="s">
        <v>8330</v>
      </c>
      <c r="I3868" s="2" t="str">
        <f t="shared" si="60"/>
        <v>+91-8563819522</v>
      </c>
      <c r="J3868">
        <f>91-8563819613</f>
        <v>-8563819522</v>
      </c>
      <c r="K3868" t="s">
        <v>113</v>
      </c>
      <c r="L3868" t="s">
        <v>34</v>
      </c>
      <c r="M3868">
        <v>760055</v>
      </c>
      <c r="N3868" s="1">
        <v>45092</v>
      </c>
      <c r="O3868" t="s">
        <v>28</v>
      </c>
      <c r="P3868">
        <v>7</v>
      </c>
      <c r="Q3868">
        <v>107815.99</v>
      </c>
    </row>
    <row r="3869" spans="1:17" x14ac:dyDescent="0.3">
      <c r="A3869" t="s">
        <v>8331</v>
      </c>
      <c r="B3869" t="s">
        <v>1510</v>
      </c>
      <c r="C3869" s="2" t="str">
        <f>PROPER(TRIM(Table1[[#This Row],[Gender]]))</f>
        <v>Male</v>
      </c>
      <c r="D3869" t="s">
        <v>16</v>
      </c>
      <c r="E3869">
        <v>26</v>
      </c>
      <c r="F3869" t="s">
        <v>31</v>
      </c>
      <c r="G3869" s="1">
        <v>36168</v>
      </c>
      <c r="H3869" t="s">
        <v>8332</v>
      </c>
      <c r="I3869" s="2" t="str">
        <f t="shared" si="60"/>
        <v>+91-9187474420</v>
      </c>
      <c r="J3869">
        <f>91-9187474511</f>
        <v>-9187474420</v>
      </c>
      <c r="K3869" t="s">
        <v>202</v>
      </c>
      <c r="L3869" t="s">
        <v>191</v>
      </c>
      <c r="M3869">
        <v>723373</v>
      </c>
      <c r="N3869" s="1">
        <v>45333</v>
      </c>
      <c r="O3869" t="s">
        <v>28</v>
      </c>
      <c r="P3869">
        <v>4</v>
      </c>
      <c r="Q3869">
        <v>80302.69</v>
      </c>
    </row>
    <row r="3870" spans="1:17" x14ac:dyDescent="0.3">
      <c r="A3870" t="s">
        <v>8333</v>
      </c>
      <c r="B3870" t="s">
        <v>1356</v>
      </c>
      <c r="C3870" s="2" t="str">
        <f>PROPER(TRIM(Table1[[#This Row],[Gender]]))</f>
        <v>Female</v>
      </c>
      <c r="D3870" t="s">
        <v>43</v>
      </c>
      <c r="E3870">
        <v>32</v>
      </c>
      <c r="F3870" t="s">
        <v>31</v>
      </c>
      <c r="G3870" s="1">
        <v>33978</v>
      </c>
      <c r="H3870" t="s">
        <v>8334</v>
      </c>
      <c r="I3870" s="2" t="str">
        <f t="shared" si="60"/>
        <v>+91-7213963496</v>
      </c>
      <c r="J3870">
        <f>91-7213963587</f>
        <v>-7213963496</v>
      </c>
      <c r="K3870" t="s">
        <v>195</v>
      </c>
      <c r="L3870" t="s">
        <v>102</v>
      </c>
      <c r="M3870">
        <v>862119</v>
      </c>
      <c r="N3870" s="1">
        <v>45206</v>
      </c>
      <c r="O3870" t="s">
        <v>28</v>
      </c>
      <c r="P3870">
        <v>6</v>
      </c>
      <c r="Q3870">
        <v>52601.01</v>
      </c>
    </row>
    <row r="3871" spans="1:17" x14ac:dyDescent="0.3">
      <c r="A3871" t="s">
        <v>8335</v>
      </c>
      <c r="B3871" t="s">
        <v>401</v>
      </c>
      <c r="C3871" s="2" t="str">
        <f>PROPER(TRIM(Table1[[#This Row],[Gender]]))</f>
        <v>Male</v>
      </c>
      <c r="D3871" t="s">
        <v>16</v>
      </c>
      <c r="E3871">
        <v>46</v>
      </c>
      <c r="F3871" t="s">
        <v>17</v>
      </c>
      <c r="G3871" s="1">
        <v>28868</v>
      </c>
      <c r="H3871" t="s">
        <v>8336</v>
      </c>
      <c r="I3871" s="2" t="str">
        <f t="shared" si="60"/>
        <v>+91-9757408050</v>
      </c>
      <c r="J3871">
        <f>91-9757408141</f>
        <v>-9757408050</v>
      </c>
      <c r="K3871" t="s">
        <v>76</v>
      </c>
      <c r="L3871" t="s">
        <v>46</v>
      </c>
      <c r="M3871">
        <v>782562</v>
      </c>
      <c r="N3871" s="1">
        <v>45239</v>
      </c>
      <c r="O3871" t="s">
        <v>28</v>
      </c>
      <c r="P3871">
        <v>6</v>
      </c>
      <c r="Q3871">
        <v>56633.67</v>
      </c>
    </row>
    <row r="3872" spans="1:17" x14ac:dyDescent="0.3">
      <c r="A3872" t="s">
        <v>8337</v>
      </c>
      <c r="B3872" t="s">
        <v>2387</v>
      </c>
      <c r="C3872" s="2" t="str">
        <f>PROPER(TRIM(Table1[[#This Row],[Gender]]))</f>
        <v>Male</v>
      </c>
      <c r="D3872" t="s">
        <v>16</v>
      </c>
      <c r="E3872">
        <v>30</v>
      </c>
      <c r="F3872" t="s">
        <v>31</v>
      </c>
      <c r="G3872" s="1">
        <v>34708</v>
      </c>
      <c r="H3872" t="s">
        <v>8338</v>
      </c>
      <c r="I3872" s="2" t="str">
        <f t="shared" si="60"/>
        <v>+91-7565176759</v>
      </c>
      <c r="J3872">
        <f>91-7565176850</f>
        <v>-7565176759</v>
      </c>
      <c r="K3872" t="s">
        <v>161</v>
      </c>
      <c r="L3872" t="s">
        <v>102</v>
      </c>
      <c r="M3872">
        <v>926520</v>
      </c>
      <c r="N3872" s="1">
        <v>45384</v>
      </c>
      <c r="O3872" t="s">
        <v>28</v>
      </c>
      <c r="P3872">
        <v>5</v>
      </c>
      <c r="Q3872">
        <v>165281.22</v>
      </c>
    </row>
    <row r="3873" spans="1:17" x14ac:dyDescent="0.3">
      <c r="A3873" t="s">
        <v>8339</v>
      </c>
      <c r="B3873" t="s">
        <v>3839</v>
      </c>
      <c r="C3873" s="2" t="str">
        <f>PROPER(TRIM(Table1[[#This Row],[Gender]]))</f>
        <v>Male</v>
      </c>
      <c r="D3873" t="s">
        <v>16</v>
      </c>
      <c r="E3873">
        <v>39</v>
      </c>
      <c r="F3873" t="s">
        <v>38</v>
      </c>
      <c r="G3873" s="1">
        <v>31423</v>
      </c>
      <c r="H3873" t="s">
        <v>8340</v>
      </c>
      <c r="I3873" s="2" t="str">
        <f t="shared" si="60"/>
        <v>+91-9534876314</v>
      </c>
      <c r="J3873">
        <f>91-9534876405</f>
        <v>-9534876314</v>
      </c>
      <c r="K3873" t="s">
        <v>84</v>
      </c>
      <c r="L3873" t="s">
        <v>85</v>
      </c>
      <c r="M3873">
        <v>914024</v>
      </c>
      <c r="N3873" s="1">
        <v>45306</v>
      </c>
      <c r="O3873" t="s">
        <v>21</v>
      </c>
      <c r="P3873">
        <v>6</v>
      </c>
      <c r="Q3873">
        <v>49052.24</v>
      </c>
    </row>
    <row r="3874" spans="1:17" x14ac:dyDescent="0.3">
      <c r="A3874" t="s">
        <v>8341</v>
      </c>
      <c r="B3874" t="s">
        <v>278</v>
      </c>
      <c r="C3874" s="2" t="str">
        <f>PROPER(TRIM(Table1[[#This Row],[Gender]]))</f>
        <v>Male</v>
      </c>
      <c r="D3874" t="s">
        <v>16</v>
      </c>
      <c r="E3874">
        <v>33</v>
      </c>
      <c r="F3874" t="s">
        <v>31</v>
      </c>
      <c r="G3874" s="1">
        <v>33613</v>
      </c>
      <c r="H3874" t="s">
        <v>851</v>
      </c>
      <c r="I3874" s="2" t="str">
        <f t="shared" si="60"/>
        <v>+91-9380812775</v>
      </c>
      <c r="J3874">
        <f>91-9380812866</f>
        <v>-9380812775</v>
      </c>
      <c r="K3874" t="s">
        <v>580</v>
      </c>
      <c r="L3874" t="s">
        <v>85</v>
      </c>
      <c r="M3874">
        <v>732785</v>
      </c>
      <c r="N3874" s="1">
        <v>45431</v>
      </c>
      <c r="O3874" t="s">
        <v>28</v>
      </c>
      <c r="P3874">
        <v>4</v>
      </c>
      <c r="Q3874">
        <v>120681.66</v>
      </c>
    </row>
    <row r="3875" spans="1:17" x14ac:dyDescent="0.3">
      <c r="A3875" t="s">
        <v>8342</v>
      </c>
      <c r="B3875" t="s">
        <v>2150</v>
      </c>
      <c r="C3875" s="2" t="str">
        <f>PROPER(TRIM(Table1[[#This Row],[Gender]]))</f>
        <v>Female</v>
      </c>
      <c r="D3875" t="s">
        <v>43</v>
      </c>
      <c r="E3875">
        <v>44</v>
      </c>
      <c r="F3875" t="s">
        <v>38</v>
      </c>
      <c r="G3875" s="1">
        <v>29598</v>
      </c>
      <c r="H3875" t="s">
        <v>8343</v>
      </c>
      <c r="I3875" s="2" t="str">
        <f t="shared" si="60"/>
        <v>+91-7603748267</v>
      </c>
      <c r="J3875">
        <f>91-7603748358</f>
        <v>-7603748267</v>
      </c>
      <c r="K3875" t="s">
        <v>202</v>
      </c>
      <c r="L3875" t="s">
        <v>191</v>
      </c>
      <c r="M3875">
        <v>858753</v>
      </c>
      <c r="N3875" s="1">
        <v>45348</v>
      </c>
      <c r="O3875" t="s">
        <v>28</v>
      </c>
      <c r="P3875">
        <v>6</v>
      </c>
      <c r="Q3875">
        <v>187652.34</v>
      </c>
    </row>
    <row r="3876" spans="1:17" x14ac:dyDescent="0.3">
      <c r="A3876" t="s">
        <v>8344</v>
      </c>
      <c r="B3876" t="s">
        <v>197</v>
      </c>
      <c r="C3876" s="2" t="str">
        <f>PROPER(TRIM(Table1[[#This Row],[Gender]]))</f>
        <v>Male</v>
      </c>
      <c r="D3876" t="s">
        <v>16</v>
      </c>
      <c r="E3876">
        <v>38</v>
      </c>
      <c r="F3876" t="s">
        <v>38</v>
      </c>
      <c r="G3876" s="1">
        <v>31788</v>
      </c>
      <c r="H3876" t="s">
        <v>8345</v>
      </c>
      <c r="I3876" s="2" t="str">
        <f t="shared" si="60"/>
        <v>+91-8422133739</v>
      </c>
      <c r="J3876">
        <f>91-8422133830</f>
        <v>-8422133739</v>
      </c>
      <c r="K3876" t="s">
        <v>84</v>
      </c>
      <c r="L3876" t="s">
        <v>85</v>
      </c>
      <c r="M3876">
        <v>257358</v>
      </c>
      <c r="N3876" s="1">
        <v>45106</v>
      </c>
      <c r="O3876" t="s">
        <v>28</v>
      </c>
      <c r="P3876">
        <v>12</v>
      </c>
      <c r="Q3876">
        <v>299655.13</v>
      </c>
    </row>
    <row r="3877" spans="1:17" x14ac:dyDescent="0.3">
      <c r="A3877" t="s">
        <v>8346</v>
      </c>
      <c r="B3877" t="s">
        <v>2831</v>
      </c>
      <c r="C3877" s="2" t="str">
        <f>PROPER(TRIM(Table1[[#This Row],[Gender]]))</f>
        <v>Male</v>
      </c>
      <c r="D3877" t="s">
        <v>16</v>
      </c>
      <c r="E3877">
        <v>58</v>
      </c>
      <c r="F3877" t="s">
        <v>58</v>
      </c>
      <c r="G3877" s="1">
        <v>24488</v>
      </c>
      <c r="H3877" t="s">
        <v>8347</v>
      </c>
      <c r="I3877" s="2" t="str">
        <f t="shared" si="60"/>
        <v>+91-7376456077</v>
      </c>
      <c r="J3877">
        <f>91-7376456168</f>
        <v>-7376456077</v>
      </c>
      <c r="K3877" t="s">
        <v>84</v>
      </c>
      <c r="L3877" t="s">
        <v>85</v>
      </c>
      <c r="M3877">
        <v>559184</v>
      </c>
      <c r="N3877" s="1">
        <v>45090</v>
      </c>
      <c r="O3877" t="s">
        <v>21</v>
      </c>
      <c r="P3877">
        <v>6</v>
      </c>
      <c r="Q3877">
        <v>47750.720000000001</v>
      </c>
    </row>
    <row r="3878" spans="1:17" x14ac:dyDescent="0.3">
      <c r="A3878" t="s">
        <v>8348</v>
      </c>
      <c r="B3878" t="s">
        <v>3297</v>
      </c>
      <c r="C3878" s="2" t="str">
        <f>PROPER(TRIM(Table1[[#This Row],[Gender]]))</f>
        <v>Female</v>
      </c>
      <c r="D3878" t="s">
        <v>43</v>
      </c>
      <c r="E3878">
        <v>19</v>
      </c>
      <c r="F3878" t="s">
        <v>49</v>
      </c>
      <c r="G3878" s="1">
        <v>38723</v>
      </c>
      <c r="H3878" t="s">
        <v>8349</v>
      </c>
      <c r="I3878" s="2" t="str">
        <f t="shared" si="60"/>
        <v>+91-8800433126</v>
      </c>
      <c r="J3878">
        <f>91-8800433217</f>
        <v>-8800433126</v>
      </c>
      <c r="K3878" t="s">
        <v>178</v>
      </c>
      <c r="L3878" t="s">
        <v>27</v>
      </c>
      <c r="M3878">
        <v>994441</v>
      </c>
      <c r="N3878" s="1">
        <v>45191</v>
      </c>
      <c r="O3878" t="s">
        <v>28</v>
      </c>
      <c r="P3878">
        <v>6</v>
      </c>
      <c r="Q3878">
        <v>90882.69</v>
      </c>
    </row>
    <row r="3879" spans="1:17" x14ac:dyDescent="0.3">
      <c r="A3879" t="s">
        <v>8350</v>
      </c>
      <c r="B3879" t="s">
        <v>4387</v>
      </c>
      <c r="C3879" s="2" t="str">
        <f>PROPER(TRIM(Table1[[#This Row],[Gender]]))</f>
        <v>Male</v>
      </c>
      <c r="D3879" t="s">
        <v>16</v>
      </c>
      <c r="E3879">
        <v>25</v>
      </c>
      <c r="F3879" t="s">
        <v>49</v>
      </c>
      <c r="G3879" s="1">
        <v>36533</v>
      </c>
      <c r="H3879" t="s">
        <v>8351</v>
      </c>
      <c r="I3879" s="2" t="str">
        <f t="shared" si="60"/>
        <v>+91-7720659038</v>
      </c>
      <c r="J3879">
        <f>91-7720659129</f>
        <v>-7720659038</v>
      </c>
      <c r="K3879" t="s">
        <v>113</v>
      </c>
      <c r="L3879" t="s">
        <v>34</v>
      </c>
      <c r="M3879">
        <v>331248</v>
      </c>
      <c r="N3879" s="1">
        <v>45302</v>
      </c>
      <c r="O3879" t="s">
        <v>21</v>
      </c>
      <c r="P3879">
        <v>2</v>
      </c>
      <c r="Q3879">
        <v>24918.95</v>
      </c>
    </row>
    <row r="3880" spans="1:17" x14ac:dyDescent="0.3">
      <c r="A3880" t="s">
        <v>8352</v>
      </c>
      <c r="B3880" t="s">
        <v>1428</v>
      </c>
      <c r="C3880" s="2" t="str">
        <f>PROPER(TRIM(Table1[[#This Row],[Gender]]))</f>
        <v>Female</v>
      </c>
      <c r="D3880" t="s">
        <v>43</v>
      </c>
      <c r="E3880">
        <v>67</v>
      </c>
      <c r="F3880" t="s">
        <v>24</v>
      </c>
      <c r="G3880" s="1">
        <v>21203</v>
      </c>
      <c r="H3880" t="s">
        <v>8353</v>
      </c>
      <c r="I3880" s="2" t="str">
        <f t="shared" si="60"/>
        <v>+91-9298320332</v>
      </c>
      <c r="J3880">
        <f>91-9298320423</f>
        <v>-9298320332</v>
      </c>
      <c r="K3880" t="s">
        <v>142</v>
      </c>
      <c r="L3880" t="s">
        <v>143</v>
      </c>
      <c r="M3880">
        <v>632345</v>
      </c>
      <c r="N3880" s="1">
        <v>45425</v>
      </c>
      <c r="O3880" t="s">
        <v>28</v>
      </c>
      <c r="P3880">
        <v>5</v>
      </c>
      <c r="Q3880">
        <v>112356.72</v>
      </c>
    </row>
    <row r="3881" spans="1:17" x14ac:dyDescent="0.3">
      <c r="A3881" t="s">
        <v>8354</v>
      </c>
      <c r="B3881" t="s">
        <v>5535</v>
      </c>
      <c r="C3881" s="2" t="str">
        <f>PROPER(TRIM(Table1[[#This Row],[Gender]]))</f>
        <v>Male</v>
      </c>
      <c r="D3881" t="s">
        <v>16</v>
      </c>
      <c r="E3881">
        <v>43</v>
      </c>
      <c r="F3881" t="s">
        <v>38</v>
      </c>
      <c r="G3881" s="1">
        <v>29963</v>
      </c>
      <c r="H3881" t="s">
        <v>8355</v>
      </c>
      <c r="I3881" s="2" t="str">
        <f t="shared" si="60"/>
        <v>+91-7355543629</v>
      </c>
      <c r="J3881">
        <f>91-7355543720</f>
        <v>-7355543629</v>
      </c>
      <c r="K3881" t="s">
        <v>195</v>
      </c>
      <c r="L3881" t="s">
        <v>102</v>
      </c>
      <c r="M3881">
        <v>613141</v>
      </c>
      <c r="N3881" s="1">
        <v>45323</v>
      </c>
      <c r="O3881" t="s">
        <v>28</v>
      </c>
      <c r="P3881">
        <v>4</v>
      </c>
      <c r="Q3881">
        <v>69892.88</v>
      </c>
    </row>
    <row r="3882" spans="1:17" x14ac:dyDescent="0.3">
      <c r="A3882" t="s">
        <v>8356</v>
      </c>
      <c r="B3882" t="s">
        <v>1327</v>
      </c>
      <c r="C3882" s="2" t="str">
        <f>PROPER(TRIM(Table1[[#This Row],[Gender]]))</f>
        <v>Male</v>
      </c>
      <c r="D3882" t="s">
        <v>16</v>
      </c>
      <c r="E3882">
        <v>20</v>
      </c>
      <c r="F3882" t="s">
        <v>49</v>
      </c>
      <c r="G3882" s="1">
        <v>38358</v>
      </c>
      <c r="H3882" t="s">
        <v>1328</v>
      </c>
      <c r="I3882" s="2" t="str">
        <f t="shared" si="60"/>
        <v>+91-8694466227</v>
      </c>
      <c r="J3882">
        <f>91-8694466318</f>
        <v>-8694466227</v>
      </c>
      <c r="K3882" t="s">
        <v>64</v>
      </c>
      <c r="L3882" t="s">
        <v>20</v>
      </c>
      <c r="M3882">
        <v>405221</v>
      </c>
      <c r="N3882" s="1">
        <v>45298</v>
      </c>
      <c r="O3882" t="s">
        <v>28</v>
      </c>
      <c r="P3882">
        <v>6</v>
      </c>
      <c r="Q3882">
        <v>127029.05</v>
      </c>
    </row>
    <row r="3883" spans="1:17" x14ac:dyDescent="0.3">
      <c r="A3883" t="s">
        <v>8357</v>
      </c>
      <c r="B3883" t="s">
        <v>6803</v>
      </c>
      <c r="C3883" s="2" t="str">
        <f>PROPER(TRIM(Table1[[#This Row],[Gender]]))</f>
        <v>Male</v>
      </c>
      <c r="D3883" t="s">
        <v>16</v>
      </c>
      <c r="E3883">
        <v>37</v>
      </c>
      <c r="F3883" t="s">
        <v>38</v>
      </c>
      <c r="G3883" s="1">
        <v>32153</v>
      </c>
      <c r="H3883" t="s">
        <v>8358</v>
      </c>
      <c r="I3883" s="2" t="str">
        <f t="shared" si="60"/>
        <v>+91-8955312403</v>
      </c>
      <c r="J3883">
        <f>91-8955312494</f>
        <v>-8955312403</v>
      </c>
      <c r="K3883" t="s">
        <v>19</v>
      </c>
      <c r="L3883" t="s">
        <v>20</v>
      </c>
      <c r="M3883">
        <v>224890</v>
      </c>
      <c r="N3883" s="1">
        <v>45237</v>
      </c>
      <c r="O3883" t="s">
        <v>28</v>
      </c>
      <c r="P3883">
        <v>3</v>
      </c>
      <c r="Q3883">
        <v>77797.3</v>
      </c>
    </row>
    <row r="3884" spans="1:17" x14ac:dyDescent="0.3">
      <c r="A3884" t="s">
        <v>8359</v>
      </c>
      <c r="B3884" t="s">
        <v>3063</v>
      </c>
      <c r="C3884" s="2" t="str">
        <f>PROPER(TRIM(Table1[[#This Row],[Gender]]))</f>
        <v>Female</v>
      </c>
      <c r="D3884" t="s">
        <v>43</v>
      </c>
      <c r="E3884">
        <v>21</v>
      </c>
      <c r="F3884" t="s">
        <v>49</v>
      </c>
      <c r="G3884" s="1">
        <v>37993</v>
      </c>
      <c r="H3884" t="s">
        <v>8360</v>
      </c>
      <c r="I3884" s="2" t="str">
        <f t="shared" si="60"/>
        <v>+91-9796327054</v>
      </c>
      <c r="J3884">
        <f>91-9796327145</f>
        <v>-9796327054</v>
      </c>
      <c r="K3884" t="s">
        <v>249</v>
      </c>
      <c r="L3884" t="s">
        <v>34</v>
      </c>
      <c r="M3884">
        <v>721458</v>
      </c>
      <c r="N3884" s="1">
        <v>45197</v>
      </c>
      <c r="O3884" t="s">
        <v>21</v>
      </c>
      <c r="P3884">
        <v>4</v>
      </c>
      <c r="Q3884">
        <v>40241.879999999997</v>
      </c>
    </row>
    <row r="3885" spans="1:17" x14ac:dyDescent="0.3">
      <c r="A3885" t="s">
        <v>8361</v>
      </c>
      <c r="B3885" t="s">
        <v>787</v>
      </c>
      <c r="C3885" s="2" t="str">
        <f>PROPER(TRIM(Table1[[#This Row],[Gender]]))</f>
        <v>Female</v>
      </c>
      <c r="D3885" t="s">
        <v>43</v>
      </c>
      <c r="E3885">
        <v>26</v>
      </c>
      <c r="F3885" t="s">
        <v>31</v>
      </c>
      <c r="G3885" s="1">
        <v>36168</v>
      </c>
      <c r="H3885" t="s">
        <v>8362</v>
      </c>
      <c r="I3885" s="2" t="str">
        <f t="shared" si="60"/>
        <v>+91-7798928581</v>
      </c>
      <c r="J3885">
        <f>91-7798928672</f>
        <v>-7798928581</v>
      </c>
      <c r="K3885" t="s">
        <v>121</v>
      </c>
      <c r="L3885" t="s">
        <v>85</v>
      </c>
      <c r="M3885">
        <v>892006</v>
      </c>
      <c r="N3885" s="1">
        <v>45123</v>
      </c>
      <c r="O3885" t="s">
        <v>28</v>
      </c>
      <c r="P3885">
        <v>6</v>
      </c>
      <c r="Q3885">
        <v>210782.21</v>
      </c>
    </row>
    <row r="3886" spans="1:17" x14ac:dyDescent="0.3">
      <c r="A3886" t="s">
        <v>8363</v>
      </c>
      <c r="B3886" t="s">
        <v>66</v>
      </c>
      <c r="C3886" s="2" t="str">
        <f>PROPER(TRIM(Table1[[#This Row],[Gender]]))</f>
        <v>Male</v>
      </c>
      <c r="D3886" t="s">
        <v>16</v>
      </c>
      <c r="E3886">
        <v>61</v>
      </c>
      <c r="F3886" t="s">
        <v>58</v>
      </c>
      <c r="G3886" s="1">
        <v>23393</v>
      </c>
      <c r="H3886" t="s">
        <v>2165</v>
      </c>
      <c r="I3886" s="2" t="str">
        <f t="shared" si="60"/>
        <v>+91-9879801067</v>
      </c>
      <c r="J3886">
        <f>91-9879801158</f>
        <v>-9879801067</v>
      </c>
      <c r="K3886" t="s">
        <v>331</v>
      </c>
      <c r="L3886" t="s">
        <v>143</v>
      </c>
      <c r="M3886">
        <v>248423</v>
      </c>
      <c r="N3886" s="1">
        <v>45309</v>
      </c>
      <c r="O3886" t="s">
        <v>35</v>
      </c>
      <c r="P3886">
        <v>1</v>
      </c>
      <c r="Q3886">
        <v>1474.02</v>
      </c>
    </row>
    <row r="3887" spans="1:17" x14ac:dyDescent="0.3">
      <c r="A3887" t="s">
        <v>8364</v>
      </c>
      <c r="B3887" t="s">
        <v>1778</v>
      </c>
      <c r="C3887" s="2" t="str">
        <f>PROPER(TRIM(Table1[[#This Row],[Gender]]))</f>
        <v>Female</v>
      </c>
      <c r="D3887" t="s">
        <v>43</v>
      </c>
      <c r="E3887">
        <v>35</v>
      </c>
      <c r="F3887" t="s">
        <v>31</v>
      </c>
      <c r="G3887" s="1">
        <v>32883</v>
      </c>
      <c r="H3887" t="s">
        <v>8365</v>
      </c>
      <c r="I3887" s="2" t="str">
        <f t="shared" si="60"/>
        <v>+91-8910960817</v>
      </c>
      <c r="J3887">
        <f>91-8910960908</f>
        <v>-8910960817</v>
      </c>
      <c r="K3887" t="s">
        <v>331</v>
      </c>
      <c r="L3887" t="s">
        <v>143</v>
      </c>
      <c r="M3887">
        <v>318325</v>
      </c>
      <c r="N3887" s="1">
        <v>45131</v>
      </c>
      <c r="O3887" t="s">
        <v>28</v>
      </c>
      <c r="P3887">
        <v>5</v>
      </c>
      <c r="Q3887">
        <v>156243.57</v>
      </c>
    </row>
    <row r="3888" spans="1:17" x14ac:dyDescent="0.3">
      <c r="A3888" t="s">
        <v>8366</v>
      </c>
      <c r="B3888" t="s">
        <v>695</v>
      </c>
      <c r="C3888" s="2" t="str">
        <f>PROPER(TRIM(Table1[[#This Row],[Gender]]))</f>
        <v>Male</v>
      </c>
      <c r="D3888" t="s">
        <v>16</v>
      </c>
      <c r="E3888">
        <v>36</v>
      </c>
      <c r="F3888" t="s">
        <v>38</v>
      </c>
      <c r="G3888" s="1">
        <v>32518</v>
      </c>
      <c r="H3888" t="s">
        <v>8367</v>
      </c>
      <c r="I3888" s="2" t="str">
        <f t="shared" si="60"/>
        <v>+91-9661086004</v>
      </c>
      <c r="J3888">
        <f>91-9661086095</f>
        <v>-9661086004</v>
      </c>
      <c r="K3888" t="s">
        <v>249</v>
      </c>
      <c r="L3888" t="s">
        <v>34</v>
      </c>
      <c r="M3888">
        <v>152767</v>
      </c>
      <c r="N3888" s="1">
        <v>45265</v>
      </c>
      <c r="O3888" t="s">
        <v>28</v>
      </c>
      <c r="P3888">
        <v>4</v>
      </c>
      <c r="Q3888">
        <v>85149.04</v>
      </c>
    </row>
    <row r="3889" spans="1:17" x14ac:dyDescent="0.3">
      <c r="A3889" t="s">
        <v>8368</v>
      </c>
      <c r="B3889" t="s">
        <v>4691</v>
      </c>
      <c r="C3889" s="2" t="str">
        <f>PROPER(TRIM(Table1[[#This Row],[Gender]]))</f>
        <v>Male</v>
      </c>
      <c r="D3889" t="s">
        <v>16</v>
      </c>
      <c r="E3889">
        <v>32</v>
      </c>
      <c r="F3889" t="s">
        <v>31</v>
      </c>
      <c r="G3889" s="1">
        <v>33978</v>
      </c>
      <c r="H3889" t="s">
        <v>8369</v>
      </c>
      <c r="I3889" s="2" t="str">
        <f t="shared" si="60"/>
        <v>+91-8614842191</v>
      </c>
      <c r="J3889">
        <f>91-8614842282</f>
        <v>-8614842191</v>
      </c>
      <c r="K3889" t="s">
        <v>84</v>
      </c>
      <c r="L3889" t="s">
        <v>85</v>
      </c>
      <c r="M3889">
        <v>297615</v>
      </c>
      <c r="N3889" s="1">
        <v>45108</v>
      </c>
      <c r="O3889" t="s">
        <v>28</v>
      </c>
      <c r="P3889">
        <v>3</v>
      </c>
      <c r="Q3889">
        <v>54994.62</v>
      </c>
    </row>
    <row r="3890" spans="1:17" x14ac:dyDescent="0.3">
      <c r="A3890" t="s">
        <v>8370</v>
      </c>
      <c r="B3890" t="s">
        <v>3215</v>
      </c>
      <c r="C3890" s="2" t="str">
        <f>PROPER(TRIM(Table1[[#This Row],[Gender]]))</f>
        <v>Male</v>
      </c>
      <c r="D3890" t="s">
        <v>16</v>
      </c>
      <c r="E3890">
        <v>53</v>
      </c>
      <c r="F3890" t="s">
        <v>17</v>
      </c>
      <c r="G3890" s="1">
        <v>26313</v>
      </c>
      <c r="H3890" t="s">
        <v>8371</v>
      </c>
      <c r="I3890" s="2" t="str">
        <f t="shared" si="60"/>
        <v>+91-8713258643</v>
      </c>
      <c r="J3890">
        <f>91-8713258734</f>
        <v>-8713258643</v>
      </c>
      <c r="K3890" t="s">
        <v>125</v>
      </c>
      <c r="L3890" t="s">
        <v>52</v>
      </c>
      <c r="M3890">
        <v>902010</v>
      </c>
      <c r="N3890" s="1">
        <v>45256</v>
      </c>
      <c r="O3890" t="s">
        <v>28</v>
      </c>
      <c r="P3890">
        <v>7</v>
      </c>
      <c r="Q3890">
        <v>165268.07</v>
      </c>
    </row>
    <row r="3891" spans="1:17" x14ac:dyDescent="0.3">
      <c r="A3891" t="s">
        <v>8372</v>
      </c>
      <c r="B3891" t="s">
        <v>1790</v>
      </c>
      <c r="C3891" s="2" t="str">
        <f>PROPER(TRIM(Table1[[#This Row],[Gender]]))</f>
        <v>Female</v>
      </c>
      <c r="D3891" t="s">
        <v>43</v>
      </c>
      <c r="E3891">
        <v>23</v>
      </c>
      <c r="F3891" t="s">
        <v>49</v>
      </c>
      <c r="G3891" s="1">
        <v>37263</v>
      </c>
      <c r="H3891" t="s">
        <v>8373</v>
      </c>
      <c r="I3891" s="2" t="str">
        <f t="shared" si="60"/>
        <v>+91-8182656791</v>
      </c>
      <c r="J3891">
        <f>91-8182656882</f>
        <v>-8182656791</v>
      </c>
      <c r="K3891" t="s">
        <v>89</v>
      </c>
      <c r="L3891" t="s">
        <v>90</v>
      </c>
      <c r="M3891">
        <v>423076</v>
      </c>
      <c r="N3891" s="1">
        <v>45143</v>
      </c>
      <c r="O3891" t="s">
        <v>28</v>
      </c>
      <c r="P3891">
        <v>7</v>
      </c>
      <c r="Q3891">
        <v>109519.03999999999</v>
      </c>
    </row>
    <row r="3892" spans="1:17" x14ac:dyDescent="0.3">
      <c r="A3892" t="s">
        <v>8374</v>
      </c>
      <c r="B3892" t="s">
        <v>2348</v>
      </c>
      <c r="C3892" s="2" t="str">
        <f>PROPER(TRIM(Table1[[#This Row],[Gender]]))</f>
        <v>Male</v>
      </c>
      <c r="D3892" t="s">
        <v>16</v>
      </c>
      <c r="E3892">
        <v>35</v>
      </c>
      <c r="F3892" t="s">
        <v>31</v>
      </c>
      <c r="G3892" s="1">
        <v>32883</v>
      </c>
      <c r="H3892" t="s">
        <v>8375</v>
      </c>
      <c r="I3892" s="2" t="str">
        <f t="shared" si="60"/>
        <v>+91-7302566335</v>
      </c>
      <c r="J3892">
        <f>91-7302566426</f>
        <v>-7302566335</v>
      </c>
      <c r="K3892" t="s">
        <v>415</v>
      </c>
      <c r="L3892" t="s">
        <v>90</v>
      </c>
      <c r="M3892">
        <v>674957</v>
      </c>
      <c r="N3892" s="1">
        <v>45371</v>
      </c>
      <c r="O3892" t="s">
        <v>28</v>
      </c>
      <c r="P3892">
        <v>6</v>
      </c>
      <c r="Q3892">
        <v>65959.070000000007</v>
      </c>
    </row>
    <row r="3893" spans="1:17" x14ac:dyDescent="0.3">
      <c r="A3893" t="s">
        <v>8376</v>
      </c>
      <c r="B3893" t="s">
        <v>3038</v>
      </c>
      <c r="C3893" s="2" t="str">
        <f>PROPER(TRIM(Table1[[#This Row],[Gender]]))</f>
        <v>Female</v>
      </c>
      <c r="D3893" t="s">
        <v>43</v>
      </c>
      <c r="E3893">
        <v>28</v>
      </c>
      <c r="F3893" t="s">
        <v>31</v>
      </c>
      <c r="G3893" s="1">
        <v>35438</v>
      </c>
      <c r="H3893" t="s">
        <v>8377</v>
      </c>
      <c r="I3893" s="2" t="str">
        <f t="shared" si="60"/>
        <v>+91-7023495741</v>
      </c>
      <c r="J3893">
        <f>91-7023495832</f>
        <v>-7023495741</v>
      </c>
      <c r="K3893" t="s">
        <v>51</v>
      </c>
      <c r="L3893" t="s">
        <v>52</v>
      </c>
      <c r="M3893">
        <v>180724</v>
      </c>
      <c r="N3893" s="1">
        <v>45152</v>
      </c>
      <c r="O3893" t="s">
        <v>28</v>
      </c>
      <c r="P3893">
        <v>4</v>
      </c>
      <c r="Q3893">
        <v>235263.08</v>
      </c>
    </row>
    <row r="3894" spans="1:17" x14ac:dyDescent="0.3">
      <c r="A3894" t="s">
        <v>8378</v>
      </c>
      <c r="B3894" t="s">
        <v>8134</v>
      </c>
      <c r="C3894" s="2" t="str">
        <f>PROPER(TRIM(Table1[[#This Row],[Gender]]))</f>
        <v>Female</v>
      </c>
      <c r="D3894" t="s">
        <v>43</v>
      </c>
      <c r="E3894">
        <v>51</v>
      </c>
      <c r="F3894" t="s">
        <v>17</v>
      </c>
      <c r="G3894" s="1">
        <v>27043</v>
      </c>
      <c r="H3894" t="s">
        <v>8379</v>
      </c>
      <c r="I3894" s="2" t="str">
        <f t="shared" si="60"/>
        <v>+91-7213535975</v>
      </c>
      <c r="J3894">
        <f>91-7213536066</f>
        <v>-7213535975</v>
      </c>
      <c r="K3894" t="s">
        <v>109</v>
      </c>
      <c r="L3894" t="s">
        <v>46</v>
      </c>
      <c r="M3894">
        <v>722809</v>
      </c>
      <c r="N3894" s="1">
        <v>45334</v>
      </c>
      <c r="O3894" t="s">
        <v>35</v>
      </c>
      <c r="P3894">
        <v>2</v>
      </c>
      <c r="Q3894">
        <v>3418.54</v>
      </c>
    </row>
    <row r="3895" spans="1:17" x14ac:dyDescent="0.3">
      <c r="A3895" t="s">
        <v>8380</v>
      </c>
      <c r="B3895" t="s">
        <v>1327</v>
      </c>
      <c r="C3895" s="2" t="str">
        <f>PROPER(TRIM(Table1[[#This Row],[Gender]]))</f>
        <v>Male</v>
      </c>
      <c r="D3895" t="s">
        <v>16</v>
      </c>
      <c r="E3895">
        <v>32</v>
      </c>
      <c r="F3895" t="s">
        <v>31</v>
      </c>
      <c r="G3895" s="1">
        <v>33978</v>
      </c>
      <c r="H3895" t="s">
        <v>8381</v>
      </c>
      <c r="I3895" s="2" t="str">
        <f t="shared" si="60"/>
        <v>+91-7309906944</v>
      </c>
      <c r="J3895">
        <f>91-7309907035</f>
        <v>-7309906944</v>
      </c>
      <c r="K3895" t="s">
        <v>51</v>
      </c>
      <c r="L3895" t="s">
        <v>52</v>
      </c>
      <c r="M3895">
        <v>197949</v>
      </c>
      <c r="N3895" s="1">
        <v>45269</v>
      </c>
      <c r="O3895" t="s">
        <v>28</v>
      </c>
      <c r="P3895">
        <v>5</v>
      </c>
      <c r="Q3895">
        <v>142088.20000000001</v>
      </c>
    </row>
    <row r="3896" spans="1:17" x14ac:dyDescent="0.3">
      <c r="A3896" t="s">
        <v>8382</v>
      </c>
      <c r="B3896" t="s">
        <v>4998</v>
      </c>
      <c r="C3896" s="2" t="str">
        <f>PROPER(TRIM(Table1[[#This Row],[Gender]]))</f>
        <v>Female</v>
      </c>
      <c r="D3896" t="s">
        <v>43</v>
      </c>
      <c r="E3896">
        <v>24</v>
      </c>
      <c r="F3896" t="s">
        <v>49</v>
      </c>
      <c r="G3896" s="1">
        <v>36898</v>
      </c>
      <c r="H3896" t="s">
        <v>7579</v>
      </c>
      <c r="I3896" s="2" t="str">
        <f t="shared" si="60"/>
        <v>+91-7575601383</v>
      </c>
      <c r="J3896">
        <f>91-7575601474</f>
        <v>-7575601383</v>
      </c>
      <c r="K3896" t="s">
        <v>84</v>
      </c>
      <c r="L3896" t="s">
        <v>85</v>
      </c>
      <c r="M3896">
        <v>631818</v>
      </c>
      <c r="N3896" s="1">
        <v>45095</v>
      </c>
      <c r="O3896" t="s">
        <v>28</v>
      </c>
      <c r="P3896">
        <v>4</v>
      </c>
      <c r="Q3896">
        <v>66435.289999999994</v>
      </c>
    </row>
    <row r="3897" spans="1:17" x14ac:dyDescent="0.3">
      <c r="A3897" t="s">
        <v>8383</v>
      </c>
      <c r="B3897" t="s">
        <v>1551</v>
      </c>
      <c r="C3897" s="2" t="str">
        <f>PROPER(TRIM(Table1[[#This Row],[Gender]]))</f>
        <v>Female</v>
      </c>
      <c r="D3897" t="s">
        <v>43</v>
      </c>
      <c r="E3897">
        <v>53</v>
      </c>
      <c r="F3897" t="s">
        <v>17</v>
      </c>
      <c r="G3897" s="1">
        <v>26313</v>
      </c>
      <c r="H3897" t="s">
        <v>8384</v>
      </c>
      <c r="I3897" s="2" t="str">
        <f t="shared" si="60"/>
        <v>+91-9176468754</v>
      </c>
      <c r="J3897">
        <f>91-9176468845</f>
        <v>-9176468754</v>
      </c>
      <c r="K3897" t="s">
        <v>101</v>
      </c>
      <c r="L3897" t="s">
        <v>102</v>
      </c>
      <c r="M3897">
        <v>298332</v>
      </c>
      <c r="N3897" s="1">
        <v>45240</v>
      </c>
      <c r="O3897" t="s">
        <v>35</v>
      </c>
      <c r="P3897">
        <v>0</v>
      </c>
      <c r="Q3897">
        <v>0</v>
      </c>
    </row>
    <row r="3898" spans="1:17" x14ac:dyDescent="0.3">
      <c r="A3898" t="s">
        <v>8385</v>
      </c>
      <c r="B3898" t="s">
        <v>1614</v>
      </c>
      <c r="C3898" s="2" t="str">
        <f>PROPER(TRIM(Table1[[#This Row],[Gender]]))</f>
        <v>Male</v>
      </c>
      <c r="D3898" t="s">
        <v>16</v>
      </c>
      <c r="E3898">
        <v>29</v>
      </c>
      <c r="F3898" t="s">
        <v>31</v>
      </c>
      <c r="G3898" s="1">
        <v>35073</v>
      </c>
      <c r="H3898" t="s">
        <v>8386</v>
      </c>
      <c r="I3898" s="2" t="str">
        <f t="shared" si="60"/>
        <v>+91-8001835315</v>
      </c>
      <c r="J3898">
        <f>91-8001835406</f>
        <v>-8001835315</v>
      </c>
      <c r="K3898" t="s">
        <v>68</v>
      </c>
      <c r="L3898" t="s">
        <v>52</v>
      </c>
      <c r="M3898">
        <v>341370</v>
      </c>
      <c r="N3898" s="1">
        <v>45442</v>
      </c>
      <c r="O3898" t="s">
        <v>21</v>
      </c>
      <c r="P3898">
        <v>8</v>
      </c>
      <c r="Q3898">
        <v>41773.08</v>
      </c>
    </row>
    <row r="3899" spans="1:17" x14ac:dyDescent="0.3">
      <c r="A3899" t="s">
        <v>8387</v>
      </c>
      <c r="B3899" t="s">
        <v>1046</v>
      </c>
      <c r="C3899" s="2" t="str">
        <f>PROPER(TRIM(Table1[[#This Row],[Gender]]))</f>
        <v>Female</v>
      </c>
      <c r="D3899" t="s">
        <v>43</v>
      </c>
      <c r="E3899">
        <v>50</v>
      </c>
      <c r="F3899" t="s">
        <v>17</v>
      </c>
      <c r="G3899" s="1">
        <v>27408</v>
      </c>
      <c r="H3899" t="s">
        <v>8388</v>
      </c>
      <c r="I3899" s="2" t="str">
        <f t="shared" si="60"/>
        <v>+91-8137111841</v>
      </c>
      <c r="J3899">
        <f>91-8137111932</f>
        <v>-8137111841</v>
      </c>
      <c r="K3899" t="s">
        <v>33</v>
      </c>
      <c r="L3899" t="s">
        <v>34</v>
      </c>
      <c r="M3899">
        <v>986262</v>
      </c>
      <c r="N3899" s="1">
        <v>45222</v>
      </c>
      <c r="O3899" t="s">
        <v>35</v>
      </c>
      <c r="P3899">
        <v>6</v>
      </c>
      <c r="Q3899">
        <v>7644.71</v>
      </c>
    </row>
    <row r="3900" spans="1:17" x14ac:dyDescent="0.3">
      <c r="A3900" t="s">
        <v>8389</v>
      </c>
      <c r="B3900" t="s">
        <v>1322</v>
      </c>
      <c r="C3900" s="2" t="str">
        <f>PROPER(TRIM(Table1[[#This Row],[Gender]]))</f>
        <v>Male</v>
      </c>
      <c r="D3900" t="s">
        <v>16</v>
      </c>
      <c r="E3900">
        <v>35</v>
      </c>
      <c r="F3900" t="s">
        <v>31</v>
      </c>
      <c r="G3900" s="1">
        <v>32883</v>
      </c>
      <c r="H3900" t="s">
        <v>1323</v>
      </c>
      <c r="I3900" s="2" t="str">
        <f t="shared" si="60"/>
        <v>+91-8166296251</v>
      </c>
      <c r="J3900">
        <f>91-8166296342</f>
        <v>-8166296251</v>
      </c>
      <c r="K3900" t="s">
        <v>121</v>
      </c>
      <c r="L3900" t="s">
        <v>85</v>
      </c>
      <c r="M3900">
        <v>839571</v>
      </c>
      <c r="N3900" s="1">
        <v>45305</v>
      </c>
      <c r="O3900" t="s">
        <v>21</v>
      </c>
      <c r="P3900">
        <v>3</v>
      </c>
      <c r="Q3900">
        <v>28904.16</v>
      </c>
    </row>
    <row r="3901" spans="1:17" x14ac:dyDescent="0.3">
      <c r="A3901" t="s">
        <v>8390</v>
      </c>
      <c r="B3901" t="s">
        <v>2293</v>
      </c>
      <c r="C3901" s="2" t="str">
        <f>PROPER(TRIM(Table1[[#This Row],[Gender]]))</f>
        <v>Female</v>
      </c>
      <c r="D3901" t="s">
        <v>43</v>
      </c>
      <c r="E3901">
        <v>56</v>
      </c>
      <c r="F3901" t="s">
        <v>58</v>
      </c>
      <c r="G3901" s="1">
        <v>25218</v>
      </c>
      <c r="H3901" t="s">
        <v>8391</v>
      </c>
      <c r="I3901" s="2" t="str">
        <f t="shared" si="60"/>
        <v>+91-9655789415</v>
      </c>
      <c r="J3901">
        <f>91-9655789506</f>
        <v>-9655789415</v>
      </c>
      <c r="K3901" t="s">
        <v>113</v>
      </c>
      <c r="L3901" t="s">
        <v>34</v>
      </c>
      <c r="M3901">
        <v>263264</v>
      </c>
      <c r="N3901" s="1">
        <v>45160</v>
      </c>
      <c r="O3901" t="s">
        <v>28</v>
      </c>
      <c r="P3901">
        <v>7</v>
      </c>
      <c r="Q3901">
        <v>53556.86</v>
      </c>
    </row>
    <row r="3902" spans="1:17" x14ac:dyDescent="0.3">
      <c r="A3902" t="s">
        <v>8392</v>
      </c>
      <c r="B3902" t="s">
        <v>3177</v>
      </c>
      <c r="C3902" s="2" t="str">
        <f>PROPER(TRIM(Table1[[#This Row],[Gender]]))</f>
        <v>Female</v>
      </c>
      <c r="D3902" t="s">
        <v>43</v>
      </c>
      <c r="E3902">
        <v>45</v>
      </c>
      <c r="F3902" t="s">
        <v>38</v>
      </c>
      <c r="G3902" s="1">
        <v>29233</v>
      </c>
      <c r="H3902" t="s">
        <v>8393</v>
      </c>
      <c r="I3902" s="2" t="str">
        <f t="shared" si="60"/>
        <v>+91-7710006215</v>
      </c>
      <c r="J3902">
        <f>91-7710006306</f>
        <v>-7710006215</v>
      </c>
      <c r="K3902" t="s">
        <v>89</v>
      </c>
      <c r="L3902" t="s">
        <v>90</v>
      </c>
      <c r="M3902">
        <v>872239</v>
      </c>
      <c r="N3902" s="1">
        <v>45270</v>
      </c>
      <c r="O3902" t="s">
        <v>28</v>
      </c>
      <c r="P3902">
        <v>4</v>
      </c>
      <c r="Q3902">
        <v>150776.42000000001</v>
      </c>
    </row>
    <row r="3903" spans="1:17" x14ac:dyDescent="0.3">
      <c r="A3903" t="s">
        <v>8394</v>
      </c>
      <c r="B3903" t="s">
        <v>2288</v>
      </c>
      <c r="C3903" s="2" t="str">
        <f>PROPER(TRIM(Table1[[#This Row],[Gender]]))</f>
        <v>Male</v>
      </c>
      <c r="D3903" t="s">
        <v>16</v>
      </c>
      <c r="E3903">
        <v>56</v>
      </c>
      <c r="F3903" t="s">
        <v>58</v>
      </c>
      <c r="G3903" s="1">
        <v>25218</v>
      </c>
      <c r="H3903" t="s">
        <v>8395</v>
      </c>
      <c r="I3903" s="2" t="str">
        <f t="shared" si="60"/>
        <v>+91-7266164765</v>
      </c>
      <c r="J3903">
        <f>91-7266164856</f>
        <v>-7266164765</v>
      </c>
      <c r="K3903" t="s">
        <v>89</v>
      </c>
      <c r="L3903" t="s">
        <v>90</v>
      </c>
      <c r="M3903">
        <v>622948</v>
      </c>
      <c r="N3903" s="1">
        <v>45402</v>
      </c>
      <c r="O3903" t="s">
        <v>21</v>
      </c>
      <c r="P3903">
        <v>5</v>
      </c>
      <c r="Q3903">
        <v>29508.59</v>
      </c>
    </row>
    <row r="3904" spans="1:17" x14ac:dyDescent="0.3">
      <c r="A3904" t="s">
        <v>8396</v>
      </c>
      <c r="B3904" t="s">
        <v>926</v>
      </c>
      <c r="C3904" s="2" t="str">
        <f>PROPER(TRIM(Table1[[#This Row],[Gender]]))</f>
        <v>Male</v>
      </c>
      <c r="D3904" t="s">
        <v>16</v>
      </c>
      <c r="E3904">
        <v>26</v>
      </c>
      <c r="F3904" t="s">
        <v>31</v>
      </c>
      <c r="G3904" s="1">
        <v>36168</v>
      </c>
      <c r="H3904" t="s">
        <v>8397</v>
      </c>
      <c r="I3904" s="2" t="str">
        <f t="shared" si="60"/>
        <v>+91-9837676173</v>
      </c>
      <c r="J3904">
        <f>91-9837676264</f>
        <v>-9837676173</v>
      </c>
      <c r="K3904" t="s">
        <v>154</v>
      </c>
      <c r="L3904" t="s">
        <v>46</v>
      </c>
      <c r="M3904">
        <v>521330</v>
      </c>
      <c r="N3904" s="1">
        <v>45098</v>
      </c>
      <c r="O3904" t="s">
        <v>28</v>
      </c>
      <c r="P3904">
        <v>7</v>
      </c>
      <c r="Q3904">
        <v>146726.62</v>
      </c>
    </row>
    <row r="3905" spans="1:17" x14ac:dyDescent="0.3">
      <c r="A3905" t="s">
        <v>8398</v>
      </c>
      <c r="B3905" t="s">
        <v>2429</v>
      </c>
      <c r="C3905" s="2" t="str">
        <f>PROPER(TRIM(Table1[[#This Row],[Gender]]))</f>
        <v>Female</v>
      </c>
      <c r="D3905" t="s">
        <v>43</v>
      </c>
      <c r="E3905">
        <v>40</v>
      </c>
      <c r="F3905" t="s">
        <v>38</v>
      </c>
      <c r="G3905" s="1">
        <v>31058</v>
      </c>
      <c r="H3905" t="s">
        <v>8399</v>
      </c>
      <c r="I3905" s="2" t="str">
        <f t="shared" si="60"/>
        <v>+91-9089329864</v>
      </c>
      <c r="J3905">
        <f>91-9089329955</f>
        <v>-9089329864</v>
      </c>
      <c r="K3905" t="s">
        <v>142</v>
      </c>
      <c r="L3905" t="s">
        <v>143</v>
      </c>
      <c r="M3905">
        <v>271906</v>
      </c>
      <c r="N3905" s="1">
        <v>45392</v>
      </c>
      <c r="O3905" t="s">
        <v>28</v>
      </c>
      <c r="P3905">
        <v>9</v>
      </c>
      <c r="Q3905">
        <v>226551.66</v>
      </c>
    </row>
    <row r="3906" spans="1:17" x14ac:dyDescent="0.3">
      <c r="A3906" t="s">
        <v>8400</v>
      </c>
      <c r="B3906" t="s">
        <v>66</v>
      </c>
      <c r="C3906" s="2" t="str">
        <f>PROPER(TRIM(Table1[[#This Row],[Gender]]))</f>
        <v>Male</v>
      </c>
      <c r="D3906" t="s">
        <v>16</v>
      </c>
      <c r="E3906">
        <v>25</v>
      </c>
      <c r="F3906" t="s">
        <v>49</v>
      </c>
      <c r="G3906" s="1">
        <v>36533</v>
      </c>
      <c r="H3906" t="s">
        <v>8401</v>
      </c>
      <c r="I3906" s="2" t="str">
        <f t="shared" ref="I3906:I3969" si="61">"+91"&amp;TEXT(J3906,"0000000000")</f>
        <v>+91-9700900224</v>
      </c>
      <c r="J3906">
        <f>91-9700900315</f>
        <v>-9700900224</v>
      </c>
      <c r="K3906" t="s">
        <v>68</v>
      </c>
      <c r="L3906" t="s">
        <v>52</v>
      </c>
      <c r="M3906">
        <v>209349</v>
      </c>
      <c r="N3906" s="1">
        <v>45442</v>
      </c>
      <c r="O3906" t="s">
        <v>28</v>
      </c>
      <c r="P3906">
        <v>10</v>
      </c>
      <c r="Q3906">
        <v>119895.28</v>
      </c>
    </row>
    <row r="3907" spans="1:17" x14ac:dyDescent="0.3">
      <c r="A3907" t="s">
        <v>8402</v>
      </c>
      <c r="B3907" t="s">
        <v>2239</v>
      </c>
      <c r="C3907" s="2" t="str">
        <f>PROPER(TRIM(Table1[[#This Row],[Gender]]))</f>
        <v>Male</v>
      </c>
      <c r="D3907" t="s">
        <v>16</v>
      </c>
      <c r="E3907">
        <v>25</v>
      </c>
      <c r="F3907" t="s">
        <v>49</v>
      </c>
      <c r="G3907" s="1">
        <v>36533</v>
      </c>
      <c r="H3907" t="s">
        <v>8403</v>
      </c>
      <c r="I3907" s="2" t="str">
        <f t="shared" si="61"/>
        <v>+91-8002755542</v>
      </c>
      <c r="J3907">
        <f>91-8002755633</f>
        <v>-8002755542</v>
      </c>
      <c r="K3907" t="s">
        <v>138</v>
      </c>
      <c r="L3907" t="s">
        <v>90</v>
      </c>
      <c r="M3907">
        <v>189400</v>
      </c>
      <c r="N3907" s="1">
        <v>45306</v>
      </c>
      <c r="O3907" t="s">
        <v>35</v>
      </c>
      <c r="P3907">
        <v>2</v>
      </c>
      <c r="Q3907">
        <v>1632.28</v>
      </c>
    </row>
    <row r="3908" spans="1:17" x14ac:dyDescent="0.3">
      <c r="A3908" t="s">
        <v>8404</v>
      </c>
      <c r="B3908" t="s">
        <v>563</v>
      </c>
      <c r="C3908" s="2" t="str">
        <f>PROPER(TRIM(Table1[[#This Row],[Gender]]))</f>
        <v>Male</v>
      </c>
      <c r="D3908" t="s">
        <v>16</v>
      </c>
      <c r="E3908">
        <v>22</v>
      </c>
      <c r="F3908" t="s">
        <v>49</v>
      </c>
      <c r="G3908" s="1">
        <v>37628</v>
      </c>
      <c r="H3908" t="s">
        <v>8405</v>
      </c>
      <c r="I3908" s="2" t="str">
        <f t="shared" si="61"/>
        <v>+91-7286198812</v>
      </c>
      <c r="J3908">
        <f>91-7286198903</f>
        <v>-7286198812</v>
      </c>
      <c r="K3908" t="s">
        <v>121</v>
      </c>
      <c r="L3908" t="s">
        <v>85</v>
      </c>
      <c r="M3908">
        <v>610308</v>
      </c>
      <c r="N3908" s="1">
        <v>45128</v>
      </c>
      <c r="O3908" t="s">
        <v>28</v>
      </c>
      <c r="P3908">
        <v>9</v>
      </c>
      <c r="Q3908">
        <v>165430.54</v>
      </c>
    </row>
    <row r="3909" spans="1:17" x14ac:dyDescent="0.3">
      <c r="A3909" t="s">
        <v>8406</v>
      </c>
      <c r="B3909" t="s">
        <v>2021</v>
      </c>
      <c r="C3909" s="2" t="str">
        <f>PROPER(TRIM(Table1[[#This Row],[Gender]]))</f>
        <v>Male</v>
      </c>
      <c r="D3909" t="s">
        <v>16</v>
      </c>
      <c r="E3909">
        <v>37</v>
      </c>
      <c r="F3909" t="s">
        <v>38</v>
      </c>
      <c r="G3909" s="1">
        <v>32153</v>
      </c>
      <c r="H3909" t="s">
        <v>8407</v>
      </c>
      <c r="I3909" s="2" t="str">
        <f t="shared" si="61"/>
        <v>+91-7099650418</v>
      </c>
      <c r="J3909">
        <f>91-7099650509</f>
        <v>-7099650418</v>
      </c>
      <c r="K3909" t="s">
        <v>60</v>
      </c>
      <c r="L3909" t="s">
        <v>34</v>
      </c>
      <c r="M3909">
        <v>182098</v>
      </c>
      <c r="N3909" s="1">
        <v>45399</v>
      </c>
      <c r="O3909" t="s">
        <v>28</v>
      </c>
      <c r="P3909">
        <v>6</v>
      </c>
      <c r="Q3909">
        <v>134800.88</v>
      </c>
    </row>
    <row r="3910" spans="1:17" x14ac:dyDescent="0.3">
      <c r="A3910" t="s">
        <v>8408</v>
      </c>
      <c r="B3910" t="s">
        <v>752</v>
      </c>
      <c r="C3910" s="2" t="str">
        <f>PROPER(TRIM(Table1[[#This Row],[Gender]]))</f>
        <v>Male</v>
      </c>
      <c r="D3910" t="s">
        <v>16</v>
      </c>
      <c r="E3910">
        <v>52</v>
      </c>
      <c r="F3910" t="s">
        <v>17</v>
      </c>
      <c r="G3910" s="1">
        <v>26678</v>
      </c>
      <c r="H3910" t="s">
        <v>8409</v>
      </c>
      <c r="I3910" s="2" t="str">
        <f t="shared" si="61"/>
        <v>+91-9186358545</v>
      </c>
      <c r="J3910">
        <f>91-9186358636</f>
        <v>-9186358545</v>
      </c>
      <c r="K3910" t="s">
        <v>580</v>
      </c>
      <c r="L3910" t="s">
        <v>85</v>
      </c>
      <c r="M3910">
        <v>168163</v>
      </c>
      <c r="N3910" s="1">
        <v>45080</v>
      </c>
      <c r="O3910" t="s">
        <v>28</v>
      </c>
      <c r="P3910">
        <v>6</v>
      </c>
      <c r="Q3910">
        <v>86033.19</v>
      </c>
    </row>
    <row r="3911" spans="1:17" x14ac:dyDescent="0.3">
      <c r="A3911" t="s">
        <v>8410</v>
      </c>
      <c r="B3911" t="s">
        <v>1494</v>
      </c>
      <c r="C3911" s="2" t="str">
        <f>PROPER(TRIM(Table1[[#This Row],[Gender]]))</f>
        <v>Female</v>
      </c>
      <c r="D3911" t="s">
        <v>43</v>
      </c>
      <c r="E3911">
        <v>24</v>
      </c>
      <c r="F3911" t="s">
        <v>49</v>
      </c>
      <c r="G3911" s="1">
        <v>36898</v>
      </c>
      <c r="H3911" t="s">
        <v>8411</v>
      </c>
      <c r="I3911" s="2" t="str">
        <f t="shared" si="61"/>
        <v>+91-7933473354</v>
      </c>
      <c r="J3911">
        <f>91-7933473445</f>
        <v>-7933473354</v>
      </c>
      <c r="K3911" t="s">
        <v>40</v>
      </c>
      <c r="L3911" t="s">
        <v>27</v>
      </c>
      <c r="M3911">
        <v>398337</v>
      </c>
      <c r="N3911" s="1">
        <v>45351</v>
      </c>
      <c r="O3911" t="s">
        <v>35</v>
      </c>
      <c r="P3911">
        <v>3</v>
      </c>
      <c r="Q3911">
        <v>8892.5</v>
      </c>
    </row>
    <row r="3912" spans="1:17" x14ac:dyDescent="0.3">
      <c r="A3912" t="s">
        <v>8412</v>
      </c>
      <c r="B3912" t="s">
        <v>787</v>
      </c>
      <c r="C3912" s="2" t="str">
        <f>PROPER(TRIM(Table1[[#This Row],[Gender]]))</f>
        <v>Female</v>
      </c>
      <c r="D3912" t="s">
        <v>43</v>
      </c>
      <c r="E3912">
        <v>33</v>
      </c>
      <c r="F3912" t="s">
        <v>31</v>
      </c>
      <c r="G3912" s="1">
        <v>33613</v>
      </c>
      <c r="H3912" t="s">
        <v>8413</v>
      </c>
      <c r="I3912" s="2" t="str">
        <f t="shared" si="61"/>
        <v>+91-9982108863</v>
      </c>
      <c r="J3912">
        <f>91-9982108954</f>
        <v>-9982108863</v>
      </c>
      <c r="K3912" t="s">
        <v>142</v>
      </c>
      <c r="L3912" t="s">
        <v>143</v>
      </c>
      <c r="M3912">
        <v>425644</v>
      </c>
      <c r="N3912" s="1">
        <v>45324</v>
      </c>
      <c r="O3912" t="s">
        <v>28</v>
      </c>
      <c r="P3912">
        <v>4</v>
      </c>
      <c r="Q3912">
        <v>160677.6</v>
      </c>
    </row>
    <row r="3913" spans="1:17" x14ac:dyDescent="0.3">
      <c r="A3913" t="s">
        <v>8414</v>
      </c>
      <c r="B3913" t="s">
        <v>1275</v>
      </c>
      <c r="C3913" s="2" t="str">
        <f>PROPER(TRIM(Table1[[#This Row],[Gender]]))</f>
        <v>Female</v>
      </c>
      <c r="D3913" t="s">
        <v>43</v>
      </c>
      <c r="E3913">
        <v>32</v>
      </c>
      <c r="F3913" t="s">
        <v>31</v>
      </c>
      <c r="G3913" s="1">
        <v>33978</v>
      </c>
      <c r="H3913" t="s">
        <v>8415</v>
      </c>
      <c r="I3913" s="2" t="str">
        <f t="shared" si="61"/>
        <v>+91-9083052602</v>
      </c>
      <c r="J3913">
        <f>91-9083052693</f>
        <v>-9083052602</v>
      </c>
      <c r="K3913" t="s">
        <v>142</v>
      </c>
      <c r="L3913" t="s">
        <v>143</v>
      </c>
      <c r="M3913">
        <v>423490</v>
      </c>
      <c r="N3913" s="1">
        <v>45365</v>
      </c>
      <c r="O3913" t="s">
        <v>28</v>
      </c>
      <c r="P3913">
        <v>6</v>
      </c>
      <c r="Q3913">
        <v>98276.160000000003</v>
      </c>
    </row>
    <row r="3914" spans="1:17" x14ac:dyDescent="0.3">
      <c r="A3914" t="s">
        <v>8416</v>
      </c>
      <c r="B3914" t="s">
        <v>352</v>
      </c>
      <c r="C3914" s="2" t="str">
        <f>PROPER(TRIM(Table1[[#This Row],[Gender]]))</f>
        <v>Male</v>
      </c>
      <c r="D3914" t="s">
        <v>16</v>
      </c>
      <c r="E3914">
        <v>33</v>
      </c>
      <c r="F3914" t="s">
        <v>31</v>
      </c>
      <c r="G3914" s="1">
        <v>33613</v>
      </c>
      <c r="H3914" t="s">
        <v>8417</v>
      </c>
      <c r="I3914" s="2" t="str">
        <f t="shared" si="61"/>
        <v>+91-7086135051</v>
      </c>
      <c r="J3914">
        <f>91-7086135142</f>
        <v>-7086135051</v>
      </c>
      <c r="K3914" t="s">
        <v>101</v>
      </c>
      <c r="L3914" t="s">
        <v>102</v>
      </c>
      <c r="M3914">
        <v>146347</v>
      </c>
      <c r="N3914" s="1">
        <v>45222</v>
      </c>
      <c r="O3914" t="s">
        <v>28</v>
      </c>
      <c r="P3914">
        <v>4</v>
      </c>
      <c r="Q3914">
        <v>111804.19</v>
      </c>
    </row>
    <row r="3915" spans="1:17" x14ac:dyDescent="0.3">
      <c r="A3915" t="s">
        <v>8418</v>
      </c>
      <c r="B3915" t="s">
        <v>4833</v>
      </c>
      <c r="C3915" s="2" t="str">
        <f>PROPER(TRIM(Table1[[#This Row],[Gender]]))</f>
        <v>Male</v>
      </c>
      <c r="D3915" t="s">
        <v>16</v>
      </c>
      <c r="E3915">
        <v>19</v>
      </c>
      <c r="F3915" t="s">
        <v>49</v>
      </c>
      <c r="G3915" s="1">
        <v>38723</v>
      </c>
      <c r="H3915" t="s">
        <v>8419</v>
      </c>
      <c r="I3915" s="2" t="str">
        <f t="shared" si="61"/>
        <v>+91-9289693706</v>
      </c>
      <c r="J3915">
        <f>91-9289693797</f>
        <v>-9289693706</v>
      </c>
      <c r="K3915" t="s">
        <v>84</v>
      </c>
      <c r="L3915" t="s">
        <v>85</v>
      </c>
      <c r="M3915">
        <v>265061</v>
      </c>
      <c r="N3915" s="1">
        <v>45112</v>
      </c>
      <c r="O3915" t="s">
        <v>28</v>
      </c>
      <c r="P3915">
        <v>5</v>
      </c>
      <c r="Q3915">
        <v>158700.73000000001</v>
      </c>
    </row>
    <row r="3916" spans="1:17" x14ac:dyDescent="0.3">
      <c r="A3916" t="s">
        <v>8420</v>
      </c>
      <c r="B3916" t="s">
        <v>6292</v>
      </c>
      <c r="C3916" s="2" t="str">
        <f>PROPER(TRIM(Table1[[#This Row],[Gender]]))</f>
        <v>Male</v>
      </c>
      <c r="D3916" t="s">
        <v>16</v>
      </c>
      <c r="E3916">
        <v>33</v>
      </c>
      <c r="F3916" t="s">
        <v>31</v>
      </c>
      <c r="G3916" s="1">
        <v>33613</v>
      </c>
      <c r="H3916" t="s">
        <v>8421</v>
      </c>
      <c r="I3916" s="2" t="str">
        <f t="shared" si="61"/>
        <v>+91-9633290427</v>
      </c>
      <c r="J3916">
        <f>91-9633290518</f>
        <v>-9633290427</v>
      </c>
      <c r="K3916" t="s">
        <v>415</v>
      </c>
      <c r="L3916" t="s">
        <v>90</v>
      </c>
      <c r="M3916">
        <v>331267</v>
      </c>
      <c r="N3916" s="1">
        <v>45227</v>
      </c>
      <c r="O3916" t="s">
        <v>21</v>
      </c>
      <c r="P3916">
        <v>3</v>
      </c>
      <c r="Q3916">
        <v>39157.74</v>
      </c>
    </row>
    <row r="3917" spans="1:17" x14ac:dyDescent="0.3">
      <c r="A3917" t="s">
        <v>8422</v>
      </c>
      <c r="B3917" t="s">
        <v>845</v>
      </c>
      <c r="C3917" s="2" t="str">
        <f>PROPER(TRIM(Table1[[#This Row],[Gender]]))</f>
        <v>Male</v>
      </c>
      <c r="D3917" t="s">
        <v>16</v>
      </c>
      <c r="E3917">
        <v>32</v>
      </c>
      <c r="F3917" t="s">
        <v>31</v>
      </c>
      <c r="G3917" s="1">
        <v>33978</v>
      </c>
      <c r="H3917" t="s">
        <v>8423</v>
      </c>
      <c r="I3917" s="2" t="str">
        <f t="shared" si="61"/>
        <v>+91-7028437056</v>
      </c>
      <c r="J3917">
        <f>91-7028437147</f>
        <v>-7028437056</v>
      </c>
      <c r="K3917" t="s">
        <v>84</v>
      </c>
      <c r="L3917" t="s">
        <v>85</v>
      </c>
      <c r="M3917">
        <v>165718</v>
      </c>
      <c r="N3917" s="1">
        <v>45333</v>
      </c>
      <c r="O3917" t="s">
        <v>28</v>
      </c>
      <c r="P3917">
        <v>3</v>
      </c>
      <c r="Q3917">
        <v>256761.62</v>
      </c>
    </row>
    <row r="3918" spans="1:17" x14ac:dyDescent="0.3">
      <c r="A3918" t="s">
        <v>8424</v>
      </c>
      <c r="B3918" t="s">
        <v>156</v>
      </c>
      <c r="C3918" s="2" t="str">
        <f>PROPER(TRIM(Table1[[#This Row],[Gender]]))</f>
        <v>Male</v>
      </c>
      <c r="D3918" t="s">
        <v>16</v>
      </c>
      <c r="E3918">
        <v>25</v>
      </c>
      <c r="F3918" t="s">
        <v>49</v>
      </c>
      <c r="G3918" s="1">
        <v>36533</v>
      </c>
      <c r="H3918" t="s">
        <v>8425</v>
      </c>
      <c r="I3918" s="2" t="str">
        <f t="shared" si="61"/>
        <v>+91-8454378588</v>
      </c>
      <c r="J3918">
        <f>91-8454378679</f>
        <v>-8454378588</v>
      </c>
      <c r="K3918" t="s">
        <v>174</v>
      </c>
      <c r="L3918" t="s">
        <v>90</v>
      </c>
      <c r="M3918">
        <v>999332</v>
      </c>
      <c r="N3918" s="1">
        <v>45304</v>
      </c>
      <c r="O3918" t="s">
        <v>21</v>
      </c>
      <c r="P3918">
        <v>4</v>
      </c>
      <c r="Q3918">
        <v>23845.57</v>
      </c>
    </row>
    <row r="3919" spans="1:17" x14ac:dyDescent="0.3">
      <c r="A3919" t="s">
        <v>8426</v>
      </c>
      <c r="B3919" t="s">
        <v>903</v>
      </c>
      <c r="C3919" s="2" t="str">
        <f>PROPER(TRIM(Table1[[#This Row],[Gender]]))</f>
        <v>Male</v>
      </c>
      <c r="D3919" t="s">
        <v>16</v>
      </c>
      <c r="E3919">
        <v>30</v>
      </c>
      <c r="F3919" t="s">
        <v>31</v>
      </c>
      <c r="G3919" s="1">
        <v>34708</v>
      </c>
      <c r="H3919" t="s">
        <v>8427</v>
      </c>
      <c r="I3919" s="2" t="str">
        <f t="shared" si="61"/>
        <v>+91-7891525552</v>
      </c>
      <c r="J3919">
        <f>91-7891525643</f>
        <v>-7891525552</v>
      </c>
      <c r="K3919" t="s">
        <v>147</v>
      </c>
      <c r="L3919" t="s">
        <v>143</v>
      </c>
      <c r="M3919">
        <v>420544</v>
      </c>
      <c r="N3919" s="1">
        <v>45106</v>
      </c>
      <c r="O3919" t="s">
        <v>28</v>
      </c>
      <c r="P3919">
        <v>8</v>
      </c>
      <c r="Q3919">
        <v>262156.68</v>
      </c>
    </row>
    <row r="3920" spans="1:17" x14ac:dyDescent="0.3">
      <c r="A3920" t="s">
        <v>8428</v>
      </c>
      <c r="B3920" t="s">
        <v>2984</v>
      </c>
      <c r="C3920" s="2" t="str">
        <f>PROPER(TRIM(Table1[[#This Row],[Gender]]))</f>
        <v>Female</v>
      </c>
      <c r="D3920" t="s">
        <v>43</v>
      </c>
      <c r="E3920">
        <v>45</v>
      </c>
      <c r="F3920" t="s">
        <v>38</v>
      </c>
      <c r="G3920" s="1">
        <v>29233</v>
      </c>
      <c r="H3920" t="s">
        <v>8429</v>
      </c>
      <c r="I3920" s="2" t="str">
        <f t="shared" si="61"/>
        <v>+91-9128540275</v>
      </c>
      <c r="J3920">
        <f>91-9128540366</f>
        <v>-9128540275</v>
      </c>
      <c r="K3920" t="s">
        <v>94</v>
      </c>
      <c r="L3920" t="s">
        <v>20</v>
      </c>
      <c r="M3920">
        <v>963382</v>
      </c>
      <c r="N3920" s="1">
        <v>45299</v>
      </c>
      <c r="O3920" t="s">
        <v>35</v>
      </c>
      <c r="P3920">
        <v>1</v>
      </c>
      <c r="Q3920">
        <v>2936.88</v>
      </c>
    </row>
    <row r="3921" spans="1:17" x14ac:dyDescent="0.3">
      <c r="A3921" t="s">
        <v>8430</v>
      </c>
      <c r="B3921" t="s">
        <v>1919</v>
      </c>
      <c r="C3921" s="2" t="str">
        <f>PROPER(TRIM(Table1[[#This Row],[Gender]]))</f>
        <v>Male</v>
      </c>
      <c r="D3921" t="s">
        <v>16</v>
      </c>
      <c r="E3921">
        <v>25</v>
      </c>
      <c r="F3921" t="s">
        <v>49</v>
      </c>
      <c r="G3921" s="1">
        <v>36533</v>
      </c>
      <c r="H3921" t="s">
        <v>8431</v>
      </c>
      <c r="I3921" s="2" t="str">
        <f t="shared" si="61"/>
        <v>+91-9118659910</v>
      </c>
      <c r="J3921">
        <f>91-9118660001</f>
        <v>-9118659910</v>
      </c>
      <c r="K3921" t="s">
        <v>45</v>
      </c>
      <c r="L3921" t="s">
        <v>46</v>
      </c>
      <c r="M3921">
        <v>824767</v>
      </c>
      <c r="N3921" s="1">
        <v>45439</v>
      </c>
      <c r="O3921" t="s">
        <v>28</v>
      </c>
      <c r="P3921">
        <v>8</v>
      </c>
      <c r="Q3921">
        <v>94214.79</v>
      </c>
    </row>
    <row r="3922" spans="1:17" x14ac:dyDescent="0.3">
      <c r="A3922" t="s">
        <v>8432</v>
      </c>
      <c r="B3922" t="s">
        <v>2027</v>
      </c>
      <c r="C3922" s="2" t="str">
        <f>PROPER(TRIM(Table1[[#This Row],[Gender]]))</f>
        <v>Female</v>
      </c>
      <c r="D3922" t="s">
        <v>43</v>
      </c>
      <c r="E3922">
        <v>32</v>
      </c>
      <c r="F3922" t="s">
        <v>31</v>
      </c>
      <c r="G3922" s="1">
        <v>33978</v>
      </c>
      <c r="H3922" t="s">
        <v>8433</v>
      </c>
      <c r="I3922" s="2" t="str">
        <f t="shared" si="61"/>
        <v>+91-9677640488</v>
      </c>
      <c r="J3922">
        <f>91-9677640579</f>
        <v>-9677640488</v>
      </c>
      <c r="K3922" t="s">
        <v>415</v>
      </c>
      <c r="L3922" t="s">
        <v>90</v>
      </c>
      <c r="M3922">
        <v>556257</v>
      </c>
      <c r="N3922" s="1">
        <v>45164</v>
      </c>
      <c r="O3922" t="s">
        <v>28</v>
      </c>
      <c r="P3922">
        <v>6</v>
      </c>
      <c r="Q3922">
        <v>119343.95</v>
      </c>
    </row>
    <row r="3923" spans="1:17" x14ac:dyDescent="0.3">
      <c r="A3923" t="s">
        <v>8434</v>
      </c>
      <c r="B3923" t="s">
        <v>271</v>
      </c>
      <c r="C3923" s="2" t="str">
        <f>PROPER(TRIM(Table1[[#This Row],[Gender]]))</f>
        <v>Male</v>
      </c>
      <c r="D3923" t="s">
        <v>16</v>
      </c>
      <c r="E3923">
        <v>33</v>
      </c>
      <c r="F3923" t="s">
        <v>31</v>
      </c>
      <c r="G3923" s="1">
        <v>33613</v>
      </c>
      <c r="H3923" t="s">
        <v>3715</v>
      </c>
      <c r="I3923" s="2" t="str">
        <f t="shared" si="61"/>
        <v>+91-9475192821</v>
      </c>
      <c r="J3923">
        <f>91-9475192912</f>
        <v>-9475192821</v>
      </c>
      <c r="K3923" t="s">
        <v>76</v>
      </c>
      <c r="L3923" t="s">
        <v>46</v>
      </c>
      <c r="M3923">
        <v>491107</v>
      </c>
      <c r="N3923" s="1">
        <v>45292</v>
      </c>
      <c r="O3923" t="s">
        <v>28</v>
      </c>
      <c r="P3923">
        <v>5</v>
      </c>
      <c r="Q3923">
        <v>379605.33</v>
      </c>
    </row>
    <row r="3924" spans="1:17" x14ac:dyDescent="0.3">
      <c r="A3924" t="s">
        <v>8435</v>
      </c>
      <c r="B3924" t="s">
        <v>1708</v>
      </c>
      <c r="C3924" s="2" t="str">
        <f>PROPER(TRIM(Table1[[#This Row],[Gender]]))</f>
        <v>Female</v>
      </c>
      <c r="D3924" t="s">
        <v>43</v>
      </c>
      <c r="E3924">
        <v>35</v>
      </c>
      <c r="F3924" t="s">
        <v>31</v>
      </c>
      <c r="G3924" s="1">
        <v>32883</v>
      </c>
      <c r="H3924" t="s">
        <v>1709</v>
      </c>
      <c r="I3924" s="2" t="str">
        <f t="shared" si="61"/>
        <v>+91-9291559666</v>
      </c>
      <c r="J3924">
        <f>91-9291559757</f>
        <v>-9291559666</v>
      </c>
      <c r="K3924" t="s">
        <v>415</v>
      </c>
      <c r="L3924" t="s">
        <v>90</v>
      </c>
      <c r="M3924">
        <v>761532</v>
      </c>
      <c r="N3924" s="1">
        <v>45117</v>
      </c>
      <c r="O3924" t="s">
        <v>28</v>
      </c>
      <c r="P3924">
        <v>5</v>
      </c>
      <c r="Q3924">
        <v>158456.01999999999</v>
      </c>
    </row>
    <row r="3925" spans="1:17" x14ac:dyDescent="0.3">
      <c r="A3925" t="s">
        <v>8436</v>
      </c>
      <c r="B3925" t="s">
        <v>6516</v>
      </c>
      <c r="C3925" s="2" t="str">
        <f>PROPER(TRIM(Table1[[#This Row],[Gender]]))</f>
        <v>Male</v>
      </c>
      <c r="D3925" t="s">
        <v>16</v>
      </c>
      <c r="E3925">
        <v>43</v>
      </c>
      <c r="F3925" t="s">
        <v>38</v>
      </c>
      <c r="G3925" s="1">
        <v>29963</v>
      </c>
      <c r="H3925" t="s">
        <v>8437</v>
      </c>
      <c r="I3925" s="2" t="str">
        <f t="shared" si="61"/>
        <v>+91-8373915566</v>
      </c>
      <c r="J3925">
        <f>91-8373915657</f>
        <v>-8373915566</v>
      </c>
      <c r="K3925" t="s">
        <v>249</v>
      </c>
      <c r="L3925" t="s">
        <v>34</v>
      </c>
      <c r="M3925">
        <v>405890</v>
      </c>
      <c r="N3925" s="1">
        <v>45247</v>
      </c>
      <c r="O3925" t="s">
        <v>21</v>
      </c>
      <c r="P3925">
        <v>2</v>
      </c>
      <c r="Q3925">
        <v>28666.48</v>
      </c>
    </row>
    <row r="3926" spans="1:17" x14ac:dyDescent="0.3">
      <c r="A3926" t="s">
        <v>8438</v>
      </c>
      <c r="B3926" t="s">
        <v>1190</v>
      </c>
      <c r="C3926" s="2" t="str">
        <f>PROPER(TRIM(Table1[[#This Row],[Gender]]))</f>
        <v>Female</v>
      </c>
      <c r="D3926" t="s">
        <v>43</v>
      </c>
      <c r="E3926">
        <v>42</v>
      </c>
      <c r="F3926" t="s">
        <v>38</v>
      </c>
      <c r="G3926" s="1">
        <v>30328</v>
      </c>
      <c r="H3926" t="s">
        <v>8439</v>
      </c>
      <c r="I3926" s="2" t="str">
        <f t="shared" si="61"/>
        <v>+91-7278899533</v>
      </c>
      <c r="J3926">
        <f>91-7278899624</f>
        <v>-7278899533</v>
      </c>
      <c r="K3926" t="s">
        <v>415</v>
      </c>
      <c r="L3926" t="s">
        <v>90</v>
      </c>
      <c r="M3926">
        <v>425826</v>
      </c>
      <c r="N3926" s="1">
        <v>45342</v>
      </c>
      <c r="O3926" t="s">
        <v>35</v>
      </c>
      <c r="P3926">
        <v>1</v>
      </c>
      <c r="Q3926">
        <v>865.78</v>
      </c>
    </row>
    <row r="3927" spans="1:17" x14ac:dyDescent="0.3">
      <c r="A3927" t="s">
        <v>8440</v>
      </c>
      <c r="B3927" t="s">
        <v>3901</v>
      </c>
      <c r="C3927" s="2" t="str">
        <f>PROPER(TRIM(Table1[[#This Row],[Gender]]))</f>
        <v>Male</v>
      </c>
      <c r="D3927" t="s">
        <v>16</v>
      </c>
      <c r="E3927">
        <v>34</v>
      </c>
      <c r="F3927" t="s">
        <v>31</v>
      </c>
      <c r="G3927" s="1">
        <v>33248</v>
      </c>
      <c r="H3927" t="s">
        <v>8441</v>
      </c>
      <c r="I3927" s="2" t="str">
        <f t="shared" si="61"/>
        <v>+91-9621060902</v>
      </c>
      <c r="J3927">
        <f>91-9621060993</f>
        <v>-9621060902</v>
      </c>
      <c r="K3927" t="s">
        <v>174</v>
      </c>
      <c r="L3927" t="s">
        <v>90</v>
      </c>
      <c r="M3927">
        <v>497707</v>
      </c>
      <c r="N3927" s="1">
        <v>45141</v>
      </c>
      <c r="O3927" t="s">
        <v>28</v>
      </c>
      <c r="P3927">
        <v>5</v>
      </c>
      <c r="Q3927">
        <v>131351.66</v>
      </c>
    </row>
    <row r="3928" spans="1:17" x14ac:dyDescent="0.3">
      <c r="A3928" t="s">
        <v>8442</v>
      </c>
      <c r="B3928" t="s">
        <v>6470</v>
      </c>
      <c r="C3928" s="2" t="str">
        <f>PROPER(TRIM(Table1[[#This Row],[Gender]]))</f>
        <v>Male</v>
      </c>
      <c r="D3928" t="s">
        <v>16</v>
      </c>
      <c r="E3928">
        <v>67</v>
      </c>
      <c r="F3928" t="s">
        <v>24</v>
      </c>
      <c r="G3928" s="1">
        <v>21203</v>
      </c>
      <c r="H3928" t="s">
        <v>8443</v>
      </c>
      <c r="I3928" s="2" t="str">
        <f t="shared" si="61"/>
        <v>+91-8697007292</v>
      </c>
      <c r="J3928">
        <f>91-8697007383</f>
        <v>-8697007292</v>
      </c>
      <c r="K3928" t="s">
        <v>190</v>
      </c>
      <c r="L3928" t="s">
        <v>191</v>
      </c>
      <c r="M3928">
        <v>947346</v>
      </c>
      <c r="N3928" s="1">
        <v>45421</v>
      </c>
      <c r="O3928" t="s">
        <v>21</v>
      </c>
      <c r="P3928">
        <v>7</v>
      </c>
      <c r="Q3928">
        <v>46946.19</v>
      </c>
    </row>
    <row r="3929" spans="1:17" x14ac:dyDescent="0.3">
      <c r="A3929" t="s">
        <v>8444</v>
      </c>
      <c r="B3929" t="s">
        <v>650</v>
      </c>
      <c r="C3929" s="2" t="str">
        <f>PROPER(TRIM(Table1[[#This Row],[Gender]]))</f>
        <v>Male</v>
      </c>
      <c r="D3929" t="s">
        <v>16</v>
      </c>
      <c r="E3929">
        <v>30</v>
      </c>
      <c r="F3929" t="s">
        <v>31</v>
      </c>
      <c r="G3929" s="1">
        <v>34708</v>
      </c>
      <c r="H3929" t="s">
        <v>8445</v>
      </c>
      <c r="I3929" s="2" t="str">
        <f t="shared" si="61"/>
        <v>+91-8541250284</v>
      </c>
      <c r="J3929">
        <f>91-8541250375</f>
        <v>-8541250284</v>
      </c>
      <c r="K3929" t="s">
        <v>195</v>
      </c>
      <c r="L3929" t="s">
        <v>102</v>
      </c>
      <c r="M3929">
        <v>762402</v>
      </c>
      <c r="N3929" s="1">
        <v>45136</v>
      </c>
      <c r="O3929" t="s">
        <v>28</v>
      </c>
      <c r="P3929">
        <v>10</v>
      </c>
      <c r="Q3929">
        <v>218932.46</v>
      </c>
    </row>
    <row r="3930" spans="1:17" x14ac:dyDescent="0.3">
      <c r="A3930" t="s">
        <v>8446</v>
      </c>
      <c r="B3930" t="s">
        <v>669</v>
      </c>
      <c r="C3930" s="2" t="str">
        <f>PROPER(TRIM(Table1[[#This Row],[Gender]]))</f>
        <v>Female</v>
      </c>
      <c r="D3930" t="s">
        <v>43</v>
      </c>
      <c r="E3930">
        <v>59</v>
      </c>
      <c r="F3930" t="s">
        <v>58</v>
      </c>
      <c r="G3930" s="1">
        <v>24123</v>
      </c>
      <c r="H3930" t="s">
        <v>8447</v>
      </c>
      <c r="I3930" s="2" t="str">
        <f t="shared" si="61"/>
        <v>+91-7654500144</v>
      </c>
      <c r="J3930">
        <f>91-7654500235</f>
        <v>-7654500144</v>
      </c>
      <c r="K3930" t="s">
        <v>190</v>
      </c>
      <c r="L3930" t="s">
        <v>191</v>
      </c>
      <c r="M3930">
        <v>170852</v>
      </c>
      <c r="N3930" s="1">
        <v>45157</v>
      </c>
      <c r="O3930" t="s">
        <v>28</v>
      </c>
      <c r="P3930">
        <v>8</v>
      </c>
      <c r="Q3930">
        <v>112477.46</v>
      </c>
    </row>
    <row r="3931" spans="1:17" x14ac:dyDescent="0.3">
      <c r="A3931" t="s">
        <v>8448</v>
      </c>
      <c r="B3931" t="s">
        <v>2796</v>
      </c>
      <c r="C3931" s="2" t="str">
        <f>PROPER(TRIM(Table1[[#This Row],[Gender]]))</f>
        <v>Male</v>
      </c>
      <c r="D3931" t="s">
        <v>16</v>
      </c>
      <c r="E3931">
        <v>24</v>
      </c>
      <c r="F3931" t="s">
        <v>49</v>
      </c>
      <c r="G3931" s="1">
        <v>36898</v>
      </c>
      <c r="H3931" t="s">
        <v>5562</v>
      </c>
      <c r="I3931" s="2" t="str">
        <f t="shared" si="61"/>
        <v>+91-9319185659</v>
      </c>
      <c r="J3931">
        <f>91-9319185750</f>
        <v>-9319185659</v>
      </c>
      <c r="K3931" t="s">
        <v>161</v>
      </c>
      <c r="L3931" t="s">
        <v>102</v>
      </c>
      <c r="M3931">
        <v>768066</v>
      </c>
      <c r="N3931" s="1">
        <v>45186</v>
      </c>
      <c r="O3931" t="s">
        <v>28</v>
      </c>
      <c r="P3931">
        <v>7</v>
      </c>
      <c r="Q3931">
        <v>125116.35</v>
      </c>
    </row>
    <row r="3932" spans="1:17" x14ac:dyDescent="0.3">
      <c r="A3932" t="s">
        <v>8449</v>
      </c>
      <c r="B3932" t="s">
        <v>3371</v>
      </c>
      <c r="C3932" s="2" t="str">
        <f>PROPER(TRIM(Table1[[#This Row],[Gender]]))</f>
        <v>Female</v>
      </c>
      <c r="D3932" t="s">
        <v>43</v>
      </c>
      <c r="E3932">
        <v>53</v>
      </c>
      <c r="F3932" t="s">
        <v>17</v>
      </c>
      <c r="G3932" s="1">
        <v>26313</v>
      </c>
      <c r="H3932" t="s">
        <v>8450</v>
      </c>
      <c r="I3932" s="2" t="str">
        <f t="shared" si="61"/>
        <v>+91-8264659788</v>
      </c>
      <c r="J3932">
        <f>91-8264659879</f>
        <v>-8264659788</v>
      </c>
      <c r="K3932" t="s">
        <v>142</v>
      </c>
      <c r="L3932" t="s">
        <v>143</v>
      </c>
      <c r="M3932">
        <v>599322</v>
      </c>
      <c r="N3932" s="1">
        <v>45166</v>
      </c>
      <c r="O3932" t="s">
        <v>28</v>
      </c>
      <c r="P3932">
        <v>10</v>
      </c>
      <c r="Q3932">
        <v>74964.83</v>
      </c>
    </row>
    <row r="3933" spans="1:17" x14ac:dyDescent="0.3">
      <c r="A3933" t="s">
        <v>8451</v>
      </c>
      <c r="B3933" t="s">
        <v>2049</v>
      </c>
      <c r="C3933" s="2" t="str">
        <f>PROPER(TRIM(Table1[[#This Row],[Gender]]))</f>
        <v>Female</v>
      </c>
      <c r="D3933" t="s">
        <v>43</v>
      </c>
      <c r="E3933">
        <v>29</v>
      </c>
      <c r="F3933" t="s">
        <v>31</v>
      </c>
      <c r="G3933" s="1">
        <v>35073</v>
      </c>
      <c r="H3933" t="s">
        <v>8452</v>
      </c>
      <c r="I3933" s="2" t="str">
        <f t="shared" si="61"/>
        <v>+91-8331857722</v>
      </c>
      <c r="J3933">
        <f>91-8331857813</f>
        <v>-8331857722</v>
      </c>
      <c r="K3933" t="s">
        <v>195</v>
      </c>
      <c r="L3933" t="s">
        <v>102</v>
      </c>
      <c r="M3933">
        <v>608601</v>
      </c>
      <c r="N3933" s="1">
        <v>45147</v>
      </c>
      <c r="O3933" t="s">
        <v>28</v>
      </c>
      <c r="P3933">
        <v>6</v>
      </c>
      <c r="Q3933">
        <v>82920.77</v>
      </c>
    </row>
    <row r="3934" spans="1:17" x14ac:dyDescent="0.3">
      <c r="A3934" t="s">
        <v>8453</v>
      </c>
      <c r="B3934" t="s">
        <v>2513</v>
      </c>
      <c r="C3934" s="2" t="str">
        <f>PROPER(TRIM(Table1[[#This Row],[Gender]]))</f>
        <v>Male</v>
      </c>
      <c r="D3934" t="s">
        <v>16</v>
      </c>
      <c r="E3934">
        <v>62</v>
      </c>
      <c r="F3934" t="s">
        <v>58</v>
      </c>
      <c r="G3934" s="1">
        <v>23028</v>
      </c>
      <c r="H3934" t="s">
        <v>4831</v>
      </c>
      <c r="I3934" s="2" t="str">
        <f t="shared" si="61"/>
        <v>+91-8422538869</v>
      </c>
      <c r="J3934">
        <f>91-8422538960</f>
        <v>-8422538869</v>
      </c>
      <c r="K3934" t="s">
        <v>174</v>
      </c>
      <c r="L3934" t="s">
        <v>90</v>
      </c>
      <c r="M3934">
        <v>564685</v>
      </c>
      <c r="N3934" s="1">
        <v>45195</v>
      </c>
      <c r="O3934" t="s">
        <v>35</v>
      </c>
      <c r="P3934">
        <v>3</v>
      </c>
      <c r="Q3934">
        <v>7954.52</v>
      </c>
    </row>
    <row r="3935" spans="1:17" x14ac:dyDescent="0.3">
      <c r="A3935" t="s">
        <v>8454</v>
      </c>
      <c r="B3935" t="s">
        <v>197</v>
      </c>
      <c r="C3935" s="2" t="str">
        <f>PROPER(TRIM(Table1[[#This Row],[Gender]]))</f>
        <v>Male</v>
      </c>
      <c r="D3935" t="s">
        <v>16</v>
      </c>
      <c r="E3935">
        <v>39</v>
      </c>
      <c r="F3935" t="s">
        <v>38</v>
      </c>
      <c r="G3935" s="1">
        <v>31423</v>
      </c>
      <c r="H3935" t="s">
        <v>8455</v>
      </c>
      <c r="I3935" s="2" t="str">
        <f t="shared" si="61"/>
        <v>+91-8238478180</v>
      </c>
      <c r="J3935">
        <f>91-8238478271</f>
        <v>-8238478180</v>
      </c>
      <c r="K3935" t="s">
        <v>580</v>
      </c>
      <c r="L3935" t="s">
        <v>85</v>
      </c>
      <c r="M3935">
        <v>601179</v>
      </c>
      <c r="N3935" s="1">
        <v>45298</v>
      </c>
      <c r="O3935" t="s">
        <v>35</v>
      </c>
      <c r="P3935">
        <v>1</v>
      </c>
      <c r="Q3935">
        <v>833.51</v>
      </c>
    </row>
    <row r="3936" spans="1:17" x14ac:dyDescent="0.3">
      <c r="A3936" t="s">
        <v>8456</v>
      </c>
      <c r="B3936" t="s">
        <v>4528</v>
      </c>
      <c r="C3936" s="2" t="str">
        <f>PROPER(TRIM(Table1[[#This Row],[Gender]]))</f>
        <v>Female</v>
      </c>
      <c r="D3936" t="s">
        <v>43</v>
      </c>
      <c r="E3936">
        <v>39</v>
      </c>
      <c r="F3936" t="s">
        <v>38</v>
      </c>
      <c r="G3936" s="1">
        <v>31423</v>
      </c>
      <c r="H3936" t="s">
        <v>8457</v>
      </c>
      <c r="I3936" s="2" t="str">
        <f t="shared" si="61"/>
        <v>+91-7261700009</v>
      </c>
      <c r="J3936">
        <f>91-7261700100</f>
        <v>-7261700009</v>
      </c>
      <c r="K3936" t="s">
        <v>239</v>
      </c>
      <c r="L3936" t="s">
        <v>191</v>
      </c>
      <c r="M3936">
        <v>933944</v>
      </c>
      <c r="N3936" s="1">
        <v>45215</v>
      </c>
      <c r="O3936" t="s">
        <v>28</v>
      </c>
      <c r="P3936">
        <v>7</v>
      </c>
      <c r="Q3936">
        <v>188308.2</v>
      </c>
    </row>
    <row r="3937" spans="1:17" x14ac:dyDescent="0.3">
      <c r="A3937" t="s">
        <v>8458</v>
      </c>
      <c r="B3937" t="s">
        <v>2707</v>
      </c>
      <c r="C3937" s="2" t="str">
        <f>PROPER(TRIM(Table1[[#This Row],[Gender]]))</f>
        <v>Male</v>
      </c>
      <c r="D3937" t="s">
        <v>16</v>
      </c>
      <c r="E3937">
        <v>39</v>
      </c>
      <c r="F3937" t="s">
        <v>38</v>
      </c>
      <c r="G3937" s="1">
        <v>31423</v>
      </c>
      <c r="H3937" t="s">
        <v>8459</v>
      </c>
      <c r="I3937" s="2" t="str">
        <f t="shared" si="61"/>
        <v>+91-8642095134</v>
      </c>
      <c r="J3937">
        <f>91-8642095225</f>
        <v>-8642095134</v>
      </c>
      <c r="K3937" t="s">
        <v>154</v>
      </c>
      <c r="L3937" t="s">
        <v>46</v>
      </c>
      <c r="M3937">
        <v>324370</v>
      </c>
      <c r="N3937" s="1">
        <v>45206</v>
      </c>
      <c r="O3937" t="s">
        <v>28</v>
      </c>
      <c r="P3937">
        <v>5</v>
      </c>
      <c r="Q3937">
        <v>191146.29</v>
      </c>
    </row>
    <row r="3938" spans="1:17" x14ac:dyDescent="0.3">
      <c r="A3938" t="s">
        <v>8460</v>
      </c>
      <c r="B3938" t="s">
        <v>133</v>
      </c>
      <c r="C3938" s="2" t="str">
        <f>PROPER(TRIM(Table1[[#This Row],[Gender]]))</f>
        <v>Male</v>
      </c>
      <c r="D3938" t="s">
        <v>16</v>
      </c>
      <c r="E3938">
        <v>21</v>
      </c>
      <c r="F3938" t="s">
        <v>49</v>
      </c>
      <c r="G3938" s="1">
        <v>37993</v>
      </c>
      <c r="H3938" t="s">
        <v>8461</v>
      </c>
      <c r="I3938" s="2" t="str">
        <f t="shared" si="61"/>
        <v>+91-8177053603</v>
      </c>
      <c r="J3938">
        <f>91-8177053694</f>
        <v>-8177053603</v>
      </c>
      <c r="K3938" t="s">
        <v>165</v>
      </c>
      <c r="L3938" t="s">
        <v>52</v>
      </c>
      <c r="M3938">
        <v>347222</v>
      </c>
      <c r="N3938" s="1">
        <v>45253</v>
      </c>
      <c r="O3938" t="s">
        <v>28</v>
      </c>
      <c r="P3938">
        <v>6</v>
      </c>
      <c r="Q3938">
        <v>135353.54</v>
      </c>
    </row>
    <row r="3939" spans="1:17" x14ac:dyDescent="0.3">
      <c r="A3939" t="s">
        <v>8462</v>
      </c>
      <c r="B3939" t="s">
        <v>3811</v>
      </c>
      <c r="C3939" s="2" t="str">
        <f>PROPER(TRIM(Table1[[#This Row],[Gender]]))</f>
        <v>Female</v>
      </c>
      <c r="D3939" t="s">
        <v>43</v>
      </c>
      <c r="E3939">
        <v>40</v>
      </c>
      <c r="F3939" t="s">
        <v>38</v>
      </c>
      <c r="G3939" s="1">
        <v>31058</v>
      </c>
      <c r="H3939" t="s">
        <v>8463</v>
      </c>
      <c r="I3939" s="2" t="str">
        <f t="shared" si="61"/>
        <v>+91-9998920026</v>
      </c>
      <c r="J3939">
        <f>91-9998920117</f>
        <v>-9998920026</v>
      </c>
      <c r="K3939" t="s">
        <v>331</v>
      </c>
      <c r="L3939" t="s">
        <v>143</v>
      </c>
      <c r="M3939">
        <v>227700</v>
      </c>
      <c r="N3939" s="1">
        <v>45214</v>
      </c>
      <c r="O3939" t="s">
        <v>28</v>
      </c>
      <c r="P3939">
        <v>4</v>
      </c>
      <c r="Q3939">
        <v>56739.15</v>
      </c>
    </row>
    <row r="3940" spans="1:17" x14ac:dyDescent="0.3">
      <c r="A3940" t="s">
        <v>8464</v>
      </c>
      <c r="B3940" t="s">
        <v>469</v>
      </c>
      <c r="C3940" s="2" t="str">
        <f>PROPER(TRIM(Table1[[#This Row],[Gender]]))</f>
        <v>Male</v>
      </c>
      <c r="D3940" t="s">
        <v>16</v>
      </c>
      <c r="E3940">
        <v>27</v>
      </c>
      <c r="F3940" t="s">
        <v>31</v>
      </c>
      <c r="G3940" s="1">
        <v>35803</v>
      </c>
      <c r="H3940" t="s">
        <v>8465</v>
      </c>
      <c r="I3940" s="2" t="str">
        <f t="shared" si="61"/>
        <v>+91-9628331697</v>
      </c>
      <c r="J3940">
        <f>91-9628331788</f>
        <v>-9628331697</v>
      </c>
      <c r="K3940" t="s">
        <v>369</v>
      </c>
      <c r="L3940" t="s">
        <v>191</v>
      </c>
      <c r="M3940">
        <v>895206</v>
      </c>
      <c r="N3940" s="1">
        <v>45397</v>
      </c>
      <c r="O3940" t="s">
        <v>28</v>
      </c>
      <c r="P3940">
        <v>7</v>
      </c>
      <c r="Q3940">
        <v>209301.87</v>
      </c>
    </row>
    <row r="3941" spans="1:17" x14ac:dyDescent="0.3">
      <c r="A3941" t="s">
        <v>8466</v>
      </c>
      <c r="B3941" t="s">
        <v>4494</v>
      </c>
      <c r="C3941" s="2" t="str">
        <f>PROPER(TRIM(Table1[[#This Row],[Gender]]))</f>
        <v>Male</v>
      </c>
      <c r="D3941" t="s">
        <v>16</v>
      </c>
      <c r="E3941">
        <v>44</v>
      </c>
      <c r="F3941" t="s">
        <v>38</v>
      </c>
      <c r="G3941" s="1">
        <v>29598</v>
      </c>
      <c r="H3941" t="s">
        <v>8467</v>
      </c>
      <c r="I3941" s="2" t="str">
        <f t="shared" si="61"/>
        <v>+91-9098570258</v>
      </c>
      <c r="J3941">
        <f>91-9098570349</f>
        <v>-9098570258</v>
      </c>
      <c r="K3941" t="s">
        <v>161</v>
      </c>
      <c r="L3941" t="s">
        <v>102</v>
      </c>
      <c r="M3941">
        <v>946351</v>
      </c>
      <c r="N3941" s="1">
        <v>45399</v>
      </c>
      <c r="O3941" t="s">
        <v>28</v>
      </c>
      <c r="P3941">
        <v>5</v>
      </c>
      <c r="Q3941">
        <v>91513.09</v>
      </c>
    </row>
    <row r="3942" spans="1:17" x14ac:dyDescent="0.3">
      <c r="A3942" t="s">
        <v>8468</v>
      </c>
      <c r="B3942" t="s">
        <v>2173</v>
      </c>
      <c r="C3942" s="2" t="str">
        <f>PROPER(TRIM(Table1[[#This Row],[Gender]]))</f>
        <v>Female</v>
      </c>
      <c r="D3942" t="s">
        <v>43</v>
      </c>
      <c r="E3942">
        <v>35</v>
      </c>
      <c r="F3942" t="s">
        <v>31</v>
      </c>
      <c r="G3942" s="1">
        <v>32883</v>
      </c>
      <c r="H3942" t="s">
        <v>8469</v>
      </c>
      <c r="I3942" s="2" t="str">
        <f t="shared" si="61"/>
        <v>+91-9011358772</v>
      </c>
      <c r="J3942">
        <f>91-9011358863</f>
        <v>-9011358772</v>
      </c>
      <c r="K3942" t="s">
        <v>109</v>
      </c>
      <c r="L3942" t="s">
        <v>46</v>
      </c>
      <c r="M3942">
        <v>471958</v>
      </c>
      <c r="N3942" s="1">
        <v>45306</v>
      </c>
      <c r="O3942" t="s">
        <v>28</v>
      </c>
      <c r="P3942">
        <v>5</v>
      </c>
      <c r="Q3942">
        <v>107983.35</v>
      </c>
    </row>
    <row r="3943" spans="1:17" x14ac:dyDescent="0.3">
      <c r="A3943" t="s">
        <v>8470</v>
      </c>
      <c r="B3943" t="s">
        <v>1419</v>
      </c>
      <c r="C3943" s="2" t="str">
        <f>PROPER(TRIM(Table1[[#This Row],[Gender]]))</f>
        <v>Female</v>
      </c>
      <c r="D3943" t="s">
        <v>43</v>
      </c>
      <c r="E3943">
        <v>38</v>
      </c>
      <c r="F3943" t="s">
        <v>38</v>
      </c>
      <c r="G3943" s="1">
        <v>31788</v>
      </c>
      <c r="H3943" t="s">
        <v>8471</v>
      </c>
      <c r="I3943" s="2" t="str">
        <f t="shared" si="61"/>
        <v>+91-8872506054</v>
      </c>
      <c r="J3943">
        <f>91-8872506145</f>
        <v>-8872506054</v>
      </c>
      <c r="K3943" t="s">
        <v>154</v>
      </c>
      <c r="L3943" t="s">
        <v>46</v>
      </c>
      <c r="M3943">
        <v>262852</v>
      </c>
      <c r="N3943" s="1">
        <v>45309</v>
      </c>
      <c r="O3943" t="s">
        <v>28</v>
      </c>
      <c r="P3943">
        <v>2</v>
      </c>
      <c r="Q3943">
        <v>77622.460000000006</v>
      </c>
    </row>
    <row r="3944" spans="1:17" x14ac:dyDescent="0.3">
      <c r="A3944" t="s">
        <v>8472</v>
      </c>
      <c r="B3944" t="s">
        <v>1474</v>
      </c>
      <c r="C3944" s="2" t="str">
        <f>PROPER(TRIM(Table1[[#This Row],[Gender]]))</f>
        <v>Female</v>
      </c>
      <c r="D3944" t="s">
        <v>43</v>
      </c>
      <c r="E3944">
        <v>56</v>
      </c>
      <c r="F3944" t="s">
        <v>58</v>
      </c>
      <c r="G3944" s="1">
        <v>25218</v>
      </c>
      <c r="H3944" t="s">
        <v>8473</v>
      </c>
      <c r="I3944" s="2" t="str">
        <f t="shared" si="61"/>
        <v>+91-9324024436</v>
      </c>
      <c r="J3944">
        <f>91-9324024527</f>
        <v>-9324024436</v>
      </c>
      <c r="K3944" t="s">
        <v>154</v>
      </c>
      <c r="L3944" t="s">
        <v>46</v>
      </c>
      <c r="M3944">
        <v>513903</v>
      </c>
      <c r="N3944" s="1">
        <v>45348</v>
      </c>
      <c r="O3944" t="s">
        <v>35</v>
      </c>
      <c r="P3944">
        <v>2</v>
      </c>
      <c r="Q3944">
        <v>1770.61</v>
      </c>
    </row>
    <row r="3945" spans="1:17" x14ac:dyDescent="0.3">
      <c r="A3945" t="s">
        <v>8474</v>
      </c>
      <c r="B3945" t="s">
        <v>4077</v>
      </c>
      <c r="C3945" s="2" t="str">
        <f>PROPER(TRIM(Table1[[#This Row],[Gender]]))</f>
        <v>Female</v>
      </c>
      <c r="D3945" t="s">
        <v>43</v>
      </c>
      <c r="E3945">
        <v>19</v>
      </c>
      <c r="F3945" t="s">
        <v>49</v>
      </c>
      <c r="G3945" s="1">
        <v>38723</v>
      </c>
      <c r="H3945" t="s">
        <v>8475</v>
      </c>
      <c r="I3945" s="2" t="str">
        <f t="shared" si="61"/>
        <v>+91-9614244582</v>
      </c>
      <c r="J3945">
        <f>91-9614244673</f>
        <v>-9614244582</v>
      </c>
      <c r="K3945" t="s">
        <v>76</v>
      </c>
      <c r="L3945" t="s">
        <v>46</v>
      </c>
      <c r="M3945">
        <v>868933</v>
      </c>
      <c r="N3945" s="1">
        <v>45171</v>
      </c>
      <c r="O3945" t="s">
        <v>28</v>
      </c>
      <c r="P3945">
        <v>10</v>
      </c>
      <c r="Q3945">
        <v>404032.62</v>
      </c>
    </row>
    <row r="3946" spans="1:17" x14ac:dyDescent="0.3">
      <c r="A3946" t="s">
        <v>8476</v>
      </c>
      <c r="B3946" t="s">
        <v>599</v>
      </c>
      <c r="C3946" s="2" t="str">
        <f>PROPER(TRIM(Table1[[#This Row],[Gender]]))</f>
        <v>Male</v>
      </c>
      <c r="D3946" t="s">
        <v>16</v>
      </c>
      <c r="E3946">
        <v>30</v>
      </c>
      <c r="F3946" t="s">
        <v>31</v>
      </c>
      <c r="G3946" s="1">
        <v>34708</v>
      </c>
      <c r="H3946" t="s">
        <v>8477</v>
      </c>
      <c r="I3946" s="2" t="str">
        <f t="shared" si="61"/>
        <v>+91-9018525357</v>
      </c>
      <c r="J3946">
        <f>91-9018525448</f>
        <v>-9018525357</v>
      </c>
      <c r="K3946" t="s">
        <v>109</v>
      </c>
      <c r="L3946" t="s">
        <v>46</v>
      </c>
      <c r="M3946">
        <v>332154</v>
      </c>
      <c r="N3946" s="1">
        <v>45183</v>
      </c>
      <c r="O3946" t="s">
        <v>28</v>
      </c>
      <c r="P3946">
        <v>7</v>
      </c>
      <c r="Q3946">
        <v>229253.62</v>
      </c>
    </row>
    <row r="3947" spans="1:17" x14ac:dyDescent="0.3">
      <c r="A3947" t="s">
        <v>8478</v>
      </c>
      <c r="B3947" t="s">
        <v>1139</v>
      </c>
      <c r="C3947" s="2" t="str">
        <f>PROPER(TRIM(Table1[[#This Row],[Gender]]))</f>
        <v>Male</v>
      </c>
      <c r="D3947" t="s">
        <v>16</v>
      </c>
      <c r="E3947">
        <v>40</v>
      </c>
      <c r="F3947" t="s">
        <v>38</v>
      </c>
      <c r="G3947" s="1">
        <v>31058</v>
      </c>
      <c r="H3947" t="s">
        <v>8479</v>
      </c>
      <c r="I3947" s="2" t="str">
        <f t="shared" si="61"/>
        <v>+91-9531307177</v>
      </c>
      <c r="J3947">
        <f>91-9531307268</f>
        <v>-9531307177</v>
      </c>
      <c r="K3947" t="s">
        <v>19</v>
      </c>
      <c r="L3947" t="s">
        <v>20</v>
      </c>
      <c r="M3947">
        <v>783161</v>
      </c>
      <c r="N3947" s="1">
        <v>45085</v>
      </c>
      <c r="O3947" t="s">
        <v>21</v>
      </c>
      <c r="P3947">
        <v>3</v>
      </c>
      <c r="Q3947">
        <v>38427.67</v>
      </c>
    </row>
    <row r="3948" spans="1:17" x14ac:dyDescent="0.3">
      <c r="A3948" t="s">
        <v>8480</v>
      </c>
      <c r="B3948" t="s">
        <v>4851</v>
      </c>
      <c r="C3948" s="2" t="str">
        <f>PROPER(TRIM(Table1[[#This Row],[Gender]]))</f>
        <v>Female</v>
      </c>
      <c r="D3948" t="s">
        <v>43</v>
      </c>
      <c r="E3948">
        <v>34</v>
      </c>
      <c r="F3948" t="s">
        <v>31</v>
      </c>
      <c r="G3948" s="1">
        <v>33248</v>
      </c>
      <c r="H3948" t="s">
        <v>8481</v>
      </c>
      <c r="I3948" s="2" t="str">
        <f t="shared" si="61"/>
        <v>+91-9450052311</v>
      </c>
      <c r="J3948">
        <f>91-9450052402</f>
        <v>-9450052311</v>
      </c>
      <c r="K3948" t="s">
        <v>84</v>
      </c>
      <c r="L3948" t="s">
        <v>85</v>
      </c>
      <c r="M3948">
        <v>154713</v>
      </c>
      <c r="N3948" s="1">
        <v>45132</v>
      </c>
      <c r="O3948" t="s">
        <v>28</v>
      </c>
      <c r="P3948">
        <v>5</v>
      </c>
      <c r="Q3948">
        <v>159598.78</v>
      </c>
    </row>
    <row r="3949" spans="1:17" x14ac:dyDescent="0.3">
      <c r="A3949" t="s">
        <v>8482</v>
      </c>
      <c r="B3949" t="s">
        <v>638</v>
      </c>
      <c r="C3949" s="2" t="str">
        <f>PROPER(TRIM(Table1[[#This Row],[Gender]]))</f>
        <v>Female</v>
      </c>
      <c r="D3949" t="s">
        <v>43</v>
      </c>
      <c r="E3949">
        <v>55</v>
      </c>
      <c r="F3949" t="s">
        <v>17</v>
      </c>
      <c r="G3949" s="1">
        <v>25583</v>
      </c>
      <c r="H3949" t="s">
        <v>8483</v>
      </c>
      <c r="I3949" s="2" t="str">
        <f t="shared" si="61"/>
        <v>+91-7250822770</v>
      </c>
      <c r="J3949">
        <f>91-7250822861</f>
        <v>-7250822770</v>
      </c>
      <c r="K3949" t="s">
        <v>125</v>
      </c>
      <c r="L3949" t="s">
        <v>52</v>
      </c>
      <c r="M3949">
        <v>186785</v>
      </c>
      <c r="N3949" s="1">
        <v>45155</v>
      </c>
      <c r="O3949" t="s">
        <v>35</v>
      </c>
      <c r="P3949">
        <v>5</v>
      </c>
      <c r="Q3949">
        <v>19568.41</v>
      </c>
    </row>
    <row r="3950" spans="1:17" x14ac:dyDescent="0.3">
      <c r="A3950" t="s">
        <v>8484</v>
      </c>
      <c r="B3950" t="s">
        <v>2922</v>
      </c>
      <c r="C3950" s="2" t="str">
        <f>PROPER(TRIM(Table1[[#This Row],[Gender]]))</f>
        <v>Female</v>
      </c>
      <c r="D3950" t="s">
        <v>43</v>
      </c>
      <c r="E3950">
        <v>52</v>
      </c>
      <c r="F3950" t="s">
        <v>17</v>
      </c>
      <c r="G3950" s="1">
        <v>26678</v>
      </c>
      <c r="H3950" t="s">
        <v>8485</v>
      </c>
      <c r="I3950" s="2" t="str">
        <f t="shared" si="61"/>
        <v>+91-7912564132</v>
      </c>
      <c r="J3950">
        <f>91-7912564223</f>
        <v>-7912564132</v>
      </c>
      <c r="K3950" t="s">
        <v>51</v>
      </c>
      <c r="L3950" t="s">
        <v>52</v>
      </c>
      <c r="M3950">
        <v>476423</v>
      </c>
      <c r="N3950" s="1">
        <v>45199</v>
      </c>
      <c r="O3950" t="s">
        <v>28</v>
      </c>
      <c r="P3950">
        <v>6</v>
      </c>
      <c r="Q3950">
        <v>118388.25</v>
      </c>
    </row>
    <row r="3951" spans="1:17" x14ac:dyDescent="0.3">
      <c r="A3951" t="s">
        <v>8486</v>
      </c>
      <c r="B3951" t="s">
        <v>3735</v>
      </c>
      <c r="C3951" s="2" t="str">
        <f>PROPER(TRIM(Table1[[#This Row],[Gender]]))</f>
        <v>Female</v>
      </c>
      <c r="D3951" t="s">
        <v>43</v>
      </c>
      <c r="E3951">
        <v>31</v>
      </c>
      <c r="F3951" t="s">
        <v>31</v>
      </c>
      <c r="G3951" s="1">
        <v>34343</v>
      </c>
      <c r="H3951" t="s">
        <v>8487</v>
      </c>
      <c r="I3951" s="2" t="str">
        <f t="shared" si="61"/>
        <v>+91-7633617522</v>
      </c>
      <c r="J3951">
        <f>91-7633617613</f>
        <v>-7633617522</v>
      </c>
      <c r="K3951" t="s">
        <v>84</v>
      </c>
      <c r="L3951" t="s">
        <v>85</v>
      </c>
      <c r="M3951">
        <v>999056</v>
      </c>
      <c r="N3951" s="1">
        <v>45248</v>
      </c>
      <c r="O3951" t="s">
        <v>28</v>
      </c>
      <c r="P3951">
        <v>4</v>
      </c>
      <c r="Q3951">
        <v>66422.33</v>
      </c>
    </row>
    <row r="3952" spans="1:17" x14ac:dyDescent="0.3">
      <c r="A3952" t="s">
        <v>8488</v>
      </c>
      <c r="B3952" t="s">
        <v>2426</v>
      </c>
      <c r="C3952" s="2" t="str">
        <f>PROPER(TRIM(Table1[[#This Row],[Gender]]))</f>
        <v>Male</v>
      </c>
      <c r="D3952" t="s">
        <v>16</v>
      </c>
      <c r="E3952">
        <v>35</v>
      </c>
      <c r="F3952" t="s">
        <v>31</v>
      </c>
      <c r="G3952" s="1">
        <v>32883</v>
      </c>
      <c r="H3952" t="s">
        <v>8489</v>
      </c>
      <c r="I3952" s="2" t="str">
        <f t="shared" si="61"/>
        <v>+91-7943994670</v>
      </c>
      <c r="J3952">
        <f>91-7943994761</f>
        <v>-7943994670</v>
      </c>
      <c r="K3952" t="s">
        <v>40</v>
      </c>
      <c r="L3952" t="s">
        <v>27</v>
      </c>
      <c r="M3952">
        <v>907881</v>
      </c>
      <c r="N3952" s="1">
        <v>45189</v>
      </c>
      <c r="O3952" t="s">
        <v>28</v>
      </c>
      <c r="P3952">
        <v>4</v>
      </c>
      <c r="Q3952">
        <v>112920.78</v>
      </c>
    </row>
    <row r="3953" spans="1:17" x14ac:dyDescent="0.3">
      <c r="A3953" t="s">
        <v>8490</v>
      </c>
      <c r="B3953" t="s">
        <v>3453</v>
      </c>
      <c r="C3953" s="2" t="str">
        <f>PROPER(TRIM(Table1[[#This Row],[Gender]]))</f>
        <v>Female</v>
      </c>
      <c r="D3953" t="s">
        <v>43</v>
      </c>
      <c r="E3953">
        <v>44</v>
      </c>
      <c r="F3953" t="s">
        <v>38</v>
      </c>
      <c r="G3953" s="1">
        <v>29598</v>
      </c>
      <c r="H3953" t="s">
        <v>8491</v>
      </c>
      <c r="I3953" s="2" t="str">
        <f t="shared" si="61"/>
        <v>+91-9258331889</v>
      </c>
      <c r="J3953">
        <f>91-9258331980</f>
        <v>-9258331889</v>
      </c>
      <c r="K3953" t="s">
        <v>101</v>
      </c>
      <c r="L3953" t="s">
        <v>102</v>
      </c>
      <c r="M3953">
        <v>191783</v>
      </c>
      <c r="N3953" s="1">
        <v>45384</v>
      </c>
      <c r="O3953" t="s">
        <v>28</v>
      </c>
      <c r="P3953">
        <v>4</v>
      </c>
      <c r="Q3953">
        <v>254729.31</v>
      </c>
    </row>
    <row r="3954" spans="1:17" x14ac:dyDescent="0.3">
      <c r="A3954" t="s">
        <v>8492</v>
      </c>
      <c r="B3954" t="s">
        <v>2771</v>
      </c>
      <c r="C3954" s="2" t="str">
        <f>PROPER(TRIM(Table1[[#This Row],[Gender]]))</f>
        <v>Female</v>
      </c>
      <c r="D3954" t="s">
        <v>43</v>
      </c>
      <c r="E3954">
        <v>25</v>
      </c>
      <c r="F3954" t="s">
        <v>49</v>
      </c>
      <c r="G3954" s="1">
        <v>36533</v>
      </c>
      <c r="H3954" t="s">
        <v>8493</v>
      </c>
      <c r="I3954" s="2" t="str">
        <f t="shared" si="61"/>
        <v>+91-8283021937</v>
      </c>
      <c r="J3954">
        <f>91-8283022028</f>
        <v>-8283021937</v>
      </c>
      <c r="K3954" t="s">
        <v>26</v>
      </c>
      <c r="L3954" t="s">
        <v>27</v>
      </c>
      <c r="M3954">
        <v>543056</v>
      </c>
      <c r="N3954" s="1">
        <v>45260</v>
      </c>
      <c r="O3954" t="s">
        <v>35</v>
      </c>
      <c r="P3954">
        <v>3</v>
      </c>
      <c r="Q3954">
        <v>3971.15</v>
      </c>
    </row>
    <row r="3955" spans="1:17" x14ac:dyDescent="0.3">
      <c r="A3955" t="s">
        <v>8494</v>
      </c>
      <c r="B3955" t="s">
        <v>507</v>
      </c>
      <c r="C3955" s="2" t="str">
        <f>PROPER(TRIM(Table1[[#This Row],[Gender]]))</f>
        <v>Male</v>
      </c>
      <c r="D3955" t="s">
        <v>16</v>
      </c>
      <c r="E3955">
        <v>37</v>
      </c>
      <c r="F3955" t="s">
        <v>38</v>
      </c>
      <c r="G3955" s="1">
        <v>32153</v>
      </c>
      <c r="H3955" t="s">
        <v>8495</v>
      </c>
      <c r="I3955" s="2" t="str">
        <f t="shared" si="61"/>
        <v>+91-9401359824</v>
      </c>
      <c r="J3955">
        <f>91-9401359915</f>
        <v>-9401359824</v>
      </c>
      <c r="K3955" t="s">
        <v>19</v>
      </c>
      <c r="L3955" t="s">
        <v>20</v>
      </c>
      <c r="M3955">
        <v>997105</v>
      </c>
      <c r="N3955" s="1">
        <v>45163</v>
      </c>
      <c r="O3955" t="s">
        <v>28</v>
      </c>
      <c r="P3955">
        <v>6</v>
      </c>
      <c r="Q3955">
        <v>164053.14000000001</v>
      </c>
    </row>
    <row r="3956" spans="1:17" x14ac:dyDescent="0.3">
      <c r="A3956" t="s">
        <v>8496</v>
      </c>
      <c r="B3956" t="s">
        <v>2351</v>
      </c>
      <c r="C3956" s="2" t="str">
        <f>PROPER(TRIM(Table1[[#This Row],[Gender]]))</f>
        <v>Female</v>
      </c>
      <c r="D3956" t="s">
        <v>43</v>
      </c>
      <c r="E3956">
        <v>19</v>
      </c>
      <c r="F3956" t="s">
        <v>49</v>
      </c>
      <c r="G3956" s="1">
        <v>38723</v>
      </c>
      <c r="H3956" t="s">
        <v>8497</v>
      </c>
      <c r="I3956" s="2" t="str">
        <f t="shared" si="61"/>
        <v>+91-7493893015</v>
      </c>
      <c r="J3956">
        <f>91-7493893106</f>
        <v>-7493893015</v>
      </c>
      <c r="K3956" t="s">
        <v>202</v>
      </c>
      <c r="L3956" t="s">
        <v>191</v>
      </c>
      <c r="M3956">
        <v>228912</v>
      </c>
      <c r="N3956" s="1">
        <v>45218</v>
      </c>
      <c r="O3956" t="s">
        <v>28</v>
      </c>
      <c r="P3956">
        <v>7</v>
      </c>
      <c r="Q3956">
        <v>137835.35</v>
      </c>
    </row>
    <row r="3957" spans="1:17" x14ac:dyDescent="0.3">
      <c r="A3957" t="s">
        <v>8498</v>
      </c>
      <c r="B3957" t="s">
        <v>419</v>
      </c>
      <c r="C3957" s="2" t="str">
        <f>PROPER(TRIM(Table1[[#This Row],[Gender]]))</f>
        <v>Male</v>
      </c>
      <c r="D3957" t="s">
        <v>16</v>
      </c>
      <c r="E3957">
        <v>64</v>
      </c>
      <c r="F3957" t="s">
        <v>58</v>
      </c>
      <c r="G3957" s="1">
        <v>22298</v>
      </c>
      <c r="H3957" t="s">
        <v>8499</v>
      </c>
      <c r="I3957" s="2" t="str">
        <f t="shared" si="61"/>
        <v>+91-9483608884</v>
      </c>
      <c r="J3957">
        <f>91-9483608975</f>
        <v>-9483608884</v>
      </c>
      <c r="K3957" t="s">
        <v>415</v>
      </c>
      <c r="L3957" t="s">
        <v>90</v>
      </c>
      <c r="M3957">
        <v>488345</v>
      </c>
      <c r="N3957" s="1">
        <v>45384</v>
      </c>
      <c r="O3957" t="s">
        <v>28</v>
      </c>
      <c r="P3957">
        <v>8</v>
      </c>
      <c r="Q3957">
        <v>64720.58</v>
      </c>
    </row>
    <row r="3958" spans="1:17" x14ac:dyDescent="0.3">
      <c r="A3958" t="s">
        <v>8500</v>
      </c>
      <c r="B3958" t="s">
        <v>1205</v>
      </c>
      <c r="C3958" s="2" t="str">
        <f>PROPER(TRIM(Table1[[#This Row],[Gender]]))</f>
        <v>Male</v>
      </c>
      <c r="D3958" t="s">
        <v>16</v>
      </c>
      <c r="E3958">
        <v>30</v>
      </c>
      <c r="F3958" t="s">
        <v>31</v>
      </c>
      <c r="G3958" s="1">
        <v>34708</v>
      </c>
      <c r="H3958" t="s">
        <v>4907</v>
      </c>
      <c r="I3958" s="2" t="str">
        <f t="shared" si="61"/>
        <v>+91-8395950207</v>
      </c>
      <c r="J3958">
        <f>91-8395950298</f>
        <v>-8395950207</v>
      </c>
      <c r="K3958" t="s">
        <v>580</v>
      </c>
      <c r="L3958" t="s">
        <v>85</v>
      </c>
      <c r="M3958">
        <v>237838</v>
      </c>
      <c r="N3958" s="1">
        <v>45145</v>
      </c>
      <c r="O3958" t="s">
        <v>28</v>
      </c>
      <c r="P3958">
        <v>5</v>
      </c>
      <c r="Q3958">
        <v>161724.84</v>
      </c>
    </row>
    <row r="3959" spans="1:17" x14ac:dyDescent="0.3">
      <c r="A3959" t="s">
        <v>8501</v>
      </c>
      <c r="B3959" t="s">
        <v>159</v>
      </c>
      <c r="C3959" s="2" t="str">
        <f>PROPER(TRIM(Table1[[#This Row],[Gender]]))</f>
        <v>Female</v>
      </c>
      <c r="D3959" t="s">
        <v>43</v>
      </c>
      <c r="E3959">
        <v>46</v>
      </c>
      <c r="F3959" t="s">
        <v>17</v>
      </c>
      <c r="G3959" s="1">
        <v>28868</v>
      </c>
      <c r="H3959" t="s">
        <v>8502</v>
      </c>
      <c r="I3959" s="2" t="str">
        <f t="shared" si="61"/>
        <v>+91-7063225600</v>
      </c>
      <c r="J3959">
        <f>91-7063225691</f>
        <v>-7063225600</v>
      </c>
      <c r="K3959" t="s">
        <v>178</v>
      </c>
      <c r="L3959" t="s">
        <v>27</v>
      </c>
      <c r="M3959">
        <v>868583</v>
      </c>
      <c r="N3959" s="1">
        <v>45125</v>
      </c>
      <c r="O3959" t="s">
        <v>21</v>
      </c>
      <c r="P3959">
        <v>5</v>
      </c>
      <c r="Q3959">
        <v>35159.68</v>
      </c>
    </row>
    <row r="3960" spans="1:17" x14ac:dyDescent="0.3">
      <c r="A3960" t="s">
        <v>8503</v>
      </c>
      <c r="B3960" t="s">
        <v>6554</v>
      </c>
      <c r="C3960" s="2" t="str">
        <f>PROPER(TRIM(Table1[[#This Row],[Gender]]))</f>
        <v>Male</v>
      </c>
      <c r="D3960" t="s">
        <v>16</v>
      </c>
      <c r="E3960">
        <v>26</v>
      </c>
      <c r="F3960" t="s">
        <v>31</v>
      </c>
      <c r="G3960" s="1">
        <v>36168</v>
      </c>
      <c r="H3960" t="s">
        <v>8504</v>
      </c>
      <c r="I3960" s="2" t="str">
        <f t="shared" si="61"/>
        <v>+91-7081535855</v>
      </c>
      <c r="J3960">
        <f>91-7081535946</f>
        <v>-7081535855</v>
      </c>
      <c r="K3960" t="s">
        <v>72</v>
      </c>
      <c r="L3960" t="s">
        <v>34</v>
      </c>
      <c r="M3960">
        <v>391797</v>
      </c>
      <c r="N3960" s="1">
        <v>45207</v>
      </c>
      <c r="O3960" t="s">
        <v>35</v>
      </c>
      <c r="P3960">
        <v>3</v>
      </c>
      <c r="Q3960">
        <v>19754.009999999998</v>
      </c>
    </row>
    <row r="3961" spans="1:17" x14ac:dyDescent="0.3">
      <c r="A3961" t="s">
        <v>8505</v>
      </c>
      <c r="B3961" t="s">
        <v>718</v>
      </c>
      <c r="C3961" s="2" t="str">
        <f>PROPER(TRIM(Table1[[#This Row],[Gender]]))</f>
        <v>Female</v>
      </c>
      <c r="D3961" t="s">
        <v>43</v>
      </c>
      <c r="E3961">
        <v>26</v>
      </c>
      <c r="F3961" t="s">
        <v>31</v>
      </c>
      <c r="G3961" s="1">
        <v>36168</v>
      </c>
      <c r="H3961" t="s">
        <v>8506</v>
      </c>
      <c r="I3961" s="2" t="str">
        <f t="shared" si="61"/>
        <v>+91-7040975903</v>
      </c>
      <c r="J3961">
        <f>91-7040975994</f>
        <v>-7040975903</v>
      </c>
      <c r="K3961" t="s">
        <v>138</v>
      </c>
      <c r="L3961" t="s">
        <v>90</v>
      </c>
      <c r="M3961">
        <v>751242</v>
      </c>
      <c r="N3961" s="1">
        <v>45378</v>
      </c>
      <c r="O3961" t="s">
        <v>28</v>
      </c>
      <c r="P3961">
        <v>7</v>
      </c>
      <c r="Q3961">
        <v>324012.79999999999</v>
      </c>
    </row>
    <row r="3962" spans="1:17" x14ac:dyDescent="0.3">
      <c r="A3962" t="s">
        <v>8507</v>
      </c>
      <c r="B3962" t="s">
        <v>127</v>
      </c>
      <c r="C3962" s="2" t="str">
        <f>PROPER(TRIM(Table1[[#This Row],[Gender]]))</f>
        <v>Male</v>
      </c>
      <c r="D3962" t="s">
        <v>16</v>
      </c>
      <c r="E3962">
        <v>20</v>
      </c>
      <c r="F3962" t="s">
        <v>49</v>
      </c>
      <c r="G3962" s="1">
        <v>38358</v>
      </c>
      <c r="H3962" t="s">
        <v>8508</v>
      </c>
      <c r="I3962" s="2" t="str">
        <f t="shared" si="61"/>
        <v>+91-7425146860</v>
      </c>
      <c r="J3962">
        <f>91-7425146951</f>
        <v>-7425146860</v>
      </c>
      <c r="K3962" t="s">
        <v>51</v>
      </c>
      <c r="L3962" t="s">
        <v>52</v>
      </c>
      <c r="M3962">
        <v>527591</v>
      </c>
      <c r="N3962" s="1">
        <v>45247</v>
      </c>
      <c r="O3962" t="s">
        <v>28</v>
      </c>
      <c r="P3962">
        <v>6</v>
      </c>
      <c r="Q3962">
        <v>55994.21</v>
      </c>
    </row>
    <row r="3963" spans="1:17" x14ac:dyDescent="0.3">
      <c r="A3963" t="s">
        <v>8509</v>
      </c>
      <c r="B3963" t="s">
        <v>1935</v>
      </c>
      <c r="C3963" s="2" t="str">
        <f>PROPER(TRIM(Table1[[#This Row],[Gender]]))</f>
        <v>Female</v>
      </c>
      <c r="D3963" t="s">
        <v>43</v>
      </c>
      <c r="E3963">
        <v>43</v>
      </c>
      <c r="F3963" t="s">
        <v>38</v>
      </c>
      <c r="G3963" s="1">
        <v>29963</v>
      </c>
      <c r="H3963" t="s">
        <v>8510</v>
      </c>
      <c r="I3963" s="2" t="str">
        <f t="shared" si="61"/>
        <v>+91-8575373546</v>
      </c>
      <c r="J3963">
        <f>91-8575373637</f>
        <v>-8575373546</v>
      </c>
      <c r="K3963" t="s">
        <v>239</v>
      </c>
      <c r="L3963" t="s">
        <v>191</v>
      </c>
      <c r="M3963">
        <v>832374</v>
      </c>
      <c r="N3963" s="1">
        <v>45113</v>
      </c>
      <c r="O3963" t="s">
        <v>28</v>
      </c>
      <c r="P3963">
        <v>5</v>
      </c>
      <c r="Q3963">
        <v>115448.54</v>
      </c>
    </row>
    <row r="3964" spans="1:17" x14ac:dyDescent="0.3">
      <c r="A3964" t="s">
        <v>8511</v>
      </c>
      <c r="B3964" t="s">
        <v>1155</v>
      </c>
      <c r="C3964" s="2" t="str">
        <f>PROPER(TRIM(Table1[[#This Row],[Gender]]))</f>
        <v>Male</v>
      </c>
      <c r="D3964" t="s">
        <v>16</v>
      </c>
      <c r="E3964">
        <v>31</v>
      </c>
      <c r="F3964" t="s">
        <v>31</v>
      </c>
      <c r="G3964" s="1">
        <v>34343</v>
      </c>
      <c r="H3964" t="s">
        <v>8512</v>
      </c>
      <c r="I3964" s="2" t="str">
        <f t="shared" si="61"/>
        <v>+91-9997304124</v>
      </c>
      <c r="J3964">
        <f>91-9997304215</f>
        <v>-9997304124</v>
      </c>
      <c r="K3964" t="s">
        <v>68</v>
      </c>
      <c r="L3964" t="s">
        <v>52</v>
      </c>
      <c r="M3964">
        <v>801134</v>
      </c>
      <c r="N3964" s="1">
        <v>45206</v>
      </c>
      <c r="O3964" t="s">
        <v>28</v>
      </c>
      <c r="P3964">
        <v>3</v>
      </c>
      <c r="Q3964">
        <v>73311.17</v>
      </c>
    </row>
    <row r="3965" spans="1:17" x14ac:dyDescent="0.3">
      <c r="A3965" t="s">
        <v>8513</v>
      </c>
      <c r="B3965" t="s">
        <v>1885</v>
      </c>
      <c r="C3965" s="2" t="str">
        <f>PROPER(TRIM(Table1[[#This Row],[Gender]]))</f>
        <v>Male</v>
      </c>
      <c r="D3965" t="s">
        <v>16</v>
      </c>
      <c r="E3965">
        <v>22</v>
      </c>
      <c r="F3965" t="s">
        <v>49</v>
      </c>
      <c r="G3965" s="1">
        <v>37628</v>
      </c>
      <c r="H3965" t="s">
        <v>8514</v>
      </c>
      <c r="I3965" s="2" t="str">
        <f t="shared" si="61"/>
        <v>+91-9769566785</v>
      </c>
      <c r="J3965">
        <f>91-9769566876</f>
        <v>-9769566785</v>
      </c>
      <c r="K3965" t="s">
        <v>154</v>
      </c>
      <c r="L3965" t="s">
        <v>46</v>
      </c>
      <c r="M3965">
        <v>796504</v>
      </c>
      <c r="N3965" s="1">
        <v>45344</v>
      </c>
      <c r="O3965" t="s">
        <v>28</v>
      </c>
      <c r="P3965">
        <v>6</v>
      </c>
      <c r="Q3965">
        <v>182894.03</v>
      </c>
    </row>
    <row r="3966" spans="1:17" x14ac:dyDescent="0.3">
      <c r="A3966" t="s">
        <v>8515</v>
      </c>
      <c r="B3966" t="s">
        <v>1381</v>
      </c>
      <c r="C3966" s="2" t="str">
        <f>PROPER(TRIM(Table1[[#This Row],[Gender]]))</f>
        <v>Female</v>
      </c>
      <c r="D3966" t="s">
        <v>43</v>
      </c>
      <c r="E3966">
        <v>19</v>
      </c>
      <c r="F3966" t="s">
        <v>49</v>
      </c>
      <c r="G3966" s="1">
        <v>38723</v>
      </c>
      <c r="H3966" t="s">
        <v>8516</v>
      </c>
      <c r="I3966" s="2" t="str">
        <f t="shared" si="61"/>
        <v>+91-9442425054</v>
      </c>
      <c r="J3966">
        <f>91-9442425145</f>
        <v>-9442425054</v>
      </c>
      <c r="K3966" t="s">
        <v>415</v>
      </c>
      <c r="L3966" t="s">
        <v>90</v>
      </c>
      <c r="M3966">
        <v>133915</v>
      </c>
      <c r="N3966" s="1">
        <v>45405</v>
      </c>
      <c r="O3966" t="s">
        <v>28</v>
      </c>
      <c r="P3966">
        <v>5</v>
      </c>
      <c r="Q3966">
        <v>90739.5</v>
      </c>
    </row>
    <row r="3967" spans="1:17" x14ac:dyDescent="0.3">
      <c r="A3967" t="s">
        <v>8517</v>
      </c>
      <c r="B3967" t="s">
        <v>4571</v>
      </c>
      <c r="C3967" s="2" t="str">
        <f>PROPER(TRIM(Table1[[#This Row],[Gender]]))</f>
        <v>Female</v>
      </c>
      <c r="D3967" t="s">
        <v>43</v>
      </c>
      <c r="E3967">
        <v>44</v>
      </c>
      <c r="F3967" t="s">
        <v>38</v>
      </c>
      <c r="G3967" s="1">
        <v>29598</v>
      </c>
      <c r="H3967" t="s">
        <v>8518</v>
      </c>
      <c r="I3967" s="2" t="str">
        <f t="shared" si="61"/>
        <v>+91-9982364746</v>
      </c>
      <c r="J3967">
        <f>91-9982364837</f>
        <v>-9982364746</v>
      </c>
      <c r="K3967" t="s">
        <v>190</v>
      </c>
      <c r="L3967" t="s">
        <v>191</v>
      </c>
      <c r="M3967">
        <v>543977</v>
      </c>
      <c r="N3967" s="1">
        <v>45432</v>
      </c>
      <c r="O3967" t="s">
        <v>28</v>
      </c>
      <c r="P3967">
        <v>5</v>
      </c>
      <c r="Q3967">
        <v>109173.43</v>
      </c>
    </row>
    <row r="3968" spans="1:17" x14ac:dyDescent="0.3">
      <c r="A3968" t="s">
        <v>8519</v>
      </c>
      <c r="B3968" t="s">
        <v>1327</v>
      </c>
      <c r="C3968" s="2" t="str">
        <f>PROPER(TRIM(Table1[[#This Row],[Gender]]))</f>
        <v>Male</v>
      </c>
      <c r="D3968" t="s">
        <v>16</v>
      </c>
      <c r="E3968">
        <v>25</v>
      </c>
      <c r="F3968" t="s">
        <v>49</v>
      </c>
      <c r="G3968" s="1">
        <v>36533</v>
      </c>
      <c r="H3968" t="s">
        <v>8520</v>
      </c>
      <c r="I3968" s="2" t="str">
        <f t="shared" si="61"/>
        <v>+91-8665193315</v>
      </c>
      <c r="J3968">
        <f>91-8665193406</f>
        <v>-8665193315</v>
      </c>
      <c r="K3968" t="s">
        <v>174</v>
      </c>
      <c r="L3968" t="s">
        <v>90</v>
      </c>
      <c r="M3968">
        <v>852981</v>
      </c>
      <c r="N3968" s="1">
        <v>45404</v>
      </c>
      <c r="O3968" t="s">
        <v>28</v>
      </c>
      <c r="P3968">
        <v>3</v>
      </c>
      <c r="Q3968">
        <v>267610.26</v>
      </c>
    </row>
    <row r="3969" spans="1:17" x14ac:dyDescent="0.3">
      <c r="A3969" t="s">
        <v>8521</v>
      </c>
      <c r="B3969" t="s">
        <v>2458</v>
      </c>
      <c r="C3969" s="2" t="str">
        <f>PROPER(TRIM(Table1[[#This Row],[Gender]]))</f>
        <v>Female</v>
      </c>
      <c r="D3969" t="s">
        <v>43</v>
      </c>
      <c r="E3969">
        <v>29</v>
      </c>
      <c r="F3969" t="s">
        <v>31</v>
      </c>
      <c r="G3969" s="1">
        <v>35073</v>
      </c>
      <c r="H3969" t="s">
        <v>6427</v>
      </c>
      <c r="I3969" s="2" t="str">
        <f t="shared" si="61"/>
        <v>+91-9562497392</v>
      </c>
      <c r="J3969">
        <f>91-9562497483</f>
        <v>-9562497392</v>
      </c>
      <c r="K3969" t="s">
        <v>121</v>
      </c>
      <c r="L3969" t="s">
        <v>85</v>
      </c>
      <c r="M3969">
        <v>748540</v>
      </c>
      <c r="N3969" s="1">
        <v>45147</v>
      </c>
      <c r="O3969" t="s">
        <v>28</v>
      </c>
      <c r="P3969">
        <v>3</v>
      </c>
      <c r="Q3969">
        <v>161301.19</v>
      </c>
    </row>
    <row r="3970" spans="1:17" x14ac:dyDescent="0.3">
      <c r="A3970" t="s">
        <v>8522</v>
      </c>
      <c r="B3970" t="s">
        <v>2033</v>
      </c>
      <c r="C3970" s="2" t="str">
        <f>PROPER(TRIM(Table1[[#This Row],[Gender]]))</f>
        <v>Female</v>
      </c>
      <c r="D3970" t="s">
        <v>43</v>
      </c>
      <c r="E3970">
        <v>26</v>
      </c>
      <c r="F3970" t="s">
        <v>31</v>
      </c>
      <c r="G3970" s="1">
        <v>36168</v>
      </c>
      <c r="H3970" t="s">
        <v>2274</v>
      </c>
      <c r="I3970" s="2" t="str">
        <f t="shared" ref="I3970:I4033" si="62">"+91"&amp;TEXT(J3970,"0000000000")</f>
        <v>+91-7889683358</v>
      </c>
      <c r="J3970">
        <f>91-7889683449</f>
        <v>-7889683358</v>
      </c>
      <c r="K3970" t="s">
        <v>76</v>
      </c>
      <c r="L3970" t="s">
        <v>46</v>
      </c>
      <c r="M3970">
        <v>587629</v>
      </c>
      <c r="N3970" s="1">
        <v>45410</v>
      </c>
      <c r="O3970" t="s">
        <v>28</v>
      </c>
      <c r="P3970">
        <v>6</v>
      </c>
      <c r="Q3970">
        <v>145893.88</v>
      </c>
    </row>
    <row r="3971" spans="1:17" x14ac:dyDescent="0.3">
      <c r="A3971" t="s">
        <v>8523</v>
      </c>
      <c r="B3971" t="s">
        <v>1655</v>
      </c>
      <c r="C3971" s="2" t="str">
        <f>PROPER(TRIM(Table1[[#This Row],[Gender]]))</f>
        <v>Female</v>
      </c>
      <c r="D3971" t="s">
        <v>43</v>
      </c>
      <c r="E3971">
        <v>64</v>
      </c>
      <c r="F3971" t="s">
        <v>58</v>
      </c>
      <c r="G3971" s="1">
        <v>22298</v>
      </c>
      <c r="H3971" t="s">
        <v>8524</v>
      </c>
      <c r="I3971" s="2" t="str">
        <f t="shared" si="62"/>
        <v>+91-9906675870</v>
      </c>
      <c r="J3971">
        <f>91-9906675961</f>
        <v>-9906675870</v>
      </c>
      <c r="K3971" t="s">
        <v>26</v>
      </c>
      <c r="L3971" t="s">
        <v>27</v>
      </c>
      <c r="M3971">
        <v>271550</v>
      </c>
      <c r="N3971" s="1">
        <v>45324</v>
      </c>
      <c r="O3971" t="s">
        <v>35</v>
      </c>
      <c r="P3971">
        <v>6</v>
      </c>
      <c r="Q3971">
        <v>9949.84</v>
      </c>
    </row>
    <row r="3972" spans="1:17" x14ac:dyDescent="0.3">
      <c r="A3972" t="s">
        <v>8525</v>
      </c>
      <c r="B3972" t="s">
        <v>8526</v>
      </c>
      <c r="C3972" s="2" t="str">
        <f>PROPER(TRIM(Table1[[#This Row],[Gender]]))</f>
        <v>Male</v>
      </c>
      <c r="D3972" t="s">
        <v>16</v>
      </c>
      <c r="E3972">
        <v>23</v>
      </c>
      <c r="F3972" t="s">
        <v>49</v>
      </c>
      <c r="G3972" s="1">
        <v>37263</v>
      </c>
      <c r="H3972" t="s">
        <v>8527</v>
      </c>
      <c r="I3972" s="2" t="str">
        <f t="shared" si="62"/>
        <v>+91-8517308272</v>
      </c>
      <c r="J3972">
        <f>91-8517308363</f>
        <v>-8517308272</v>
      </c>
      <c r="K3972" t="s">
        <v>109</v>
      </c>
      <c r="L3972" t="s">
        <v>46</v>
      </c>
      <c r="M3972">
        <v>246680</v>
      </c>
      <c r="N3972" s="1">
        <v>45256</v>
      </c>
      <c r="O3972" t="s">
        <v>28</v>
      </c>
      <c r="P3972">
        <v>7</v>
      </c>
      <c r="Q3972">
        <v>60378.19</v>
      </c>
    </row>
    <row r="3973" spans="1:17" x14ac:dyDescent="0.3">
      <c r="A3973" t="s">
        <v>8528</v>
      </c>
      <c r="B3973" t="s">
        <v>336</v>
      </c>
      <c r="C3973" s="2" t="str">
        <f>PROPER(TRIM(Table1[[#This Row],[Gender]]))</f>
        <v>Male</v>
      </c>
      <c r="D3973" t="s">
        <v>16</v>
      </c>
      <c r="E3973">
        <v>23</v>
      </c>
      <c r="F3973" t="s">
        <v>49</v>
      </c>
      <c r="G3973" s="1">
        <v>37263</v>
      </c>
      <c r="H3973" t="s">
        <v>8529</v>
      </c>
      <c r="I3973" s="2" t="str">
        <f t="shared" si="62"/>
        <v>+91-8149979619</v>
      </c>
      <c r="J3973">
        <f>91-8149979710</f>
        <v>-8149979619</v>
      </c>
      <c r="K3973" t="s">
        <v>80</v>
      </c>
      <c r="L3973" t="s">
        <v>20</v>
      </c>
      <c r="M3973">
        <v>220152</v>
      </c>
      <c r="N3973" s="1">
        <v>45411</v>
      </c>
      <c r="O3973" t="s">
        <v>28</v>
      </c>
      <c r="P3973">
        <v>6</v>
      </c>
      <c r="Q3973">
        <v>141848.15</v>
      </c>
    </row>
    <row r="3974" spans="1:17" x14ac:dyDescent="0.3">
      <c r="A3974" t="s">
        <v>8530</v>
      </c>
      <c r="B3974" t="s">
        <v>1830</v>
      </c>
      <c r="C3974" s="2" t="str">
        <f>PROPER(TRIM(Table1[[#This Row],[Gender]]))</f>
        <v>Male</v>
      </c>
      <c r="D3974" t="s">
        <v>16</v>
      </c>
      <c r="E3974">
        <v>34</v>
      </c>
      <c r="F3974" t="s">
        <v>31</v>
      </c>
      <c r="G3974" s="1">
        <v>33248</v>
      </c>
      <c r="H3974" t="s">
        <v>8531</v>
      </c>
      <c r="I3974" s="2" t="str">
        <f t="shared" si="62"/>
        <v>+91-7356526103</v>
      </c>
      <c r="J3974">
        <f>91-7356526194</f>
        <v>-7356526103</v>
      </c>
      <c r="K3974" t="s">
        <v>76</v>
      </c>
      <c r="L3974" t="s">
        <v>46</v>
      </c>
      <c r="M3974">
        <v>591460</v>
      </c>
      <c r="N3974" s="1">
        <v>45092</v>
      </c>
      <c r="O3974" t="s">
        <v>21</v>
      </c>
      <c r="P3974">
        <v>3</v>
      </c>
      <c r="Q3974">
        <v>23453.14</v>
      </c>
    </row>
    <row r="3975" spans="1:17" x14ac:dyDescent="0.3">
      <c r="A3975" t="s">
        <v>8532</v>
      </c>
      <c r="B3975" t="s">
        <v>5033</v>
      </c>
      <c r="C3975" s="2" t="str">
        <f>PROPER(TRIM(Table1[[#This Row],[Gender]]))</f>
        <v>Male</v>
      </c>
      <c r="D3975" t="s">
        <v>16</v>
      </c>
      <c r="E3975">
        <v>40</v>
      </c>
      <c r="F3975" t="s">
        <v>38</v>
      </c>
      <c r="G3975" s="1">
        <v>31058</v>
      </c>
      <c r="H3975" t="s">
        <v>8533</v>
      </c>
      <c r="I3975" s="2" t="str">
        <f t="shared" si="62"/>
        <v>+91-9520232507</v>
      </c>
      <c r="J3975">
        <f>91-9520232598</f>
        <v>-9520232507</v>
      </c>
      <c r="K3975" t="s">
        <v>415</v>
      </c>
      <c r="L3975" t="s">
        <v>90</v>
      </c>
      <c r="M3975">
        <v>892645</v>
      </c>
      <c r="N3975" s="1">
        <v>45288</v>
      </c>
      <c r="O3975" t="s">
        <v>28</v>
      </c>
      <c r="P3975">
        <v>4</v>
      </c>
      <c r="Q3975">
        <v>117423.36</v>
      </c>
    </row>
    <row r="3976" spans="1:17" x14ac:dyDescent="0.3">
      <c r="A3976" t="s">
        <v>8534</v>
      </c>
      <c r="B3976" t="s">
        <v>3140</v>
      </c>
      <c r="C3976" s="2" t="str">
        <f>PROPER(TRIM(Table1[[#This Row],[Gender]]))</f>
        <v>Female</v>
      </c>
      <c r="D3976" t="s">
        <v>43</v>
      </c>
      <c r="E3976">
        <v>42</v>
      </c>
      <c r="F3976" t="s">
        <v>38</v>
      </c>
      <c r="G3976" s="1">
        <v>30328</v>
      </c>
      <c r="H3976" t="s">
        <v>8535</v>
      </c>
      <c r="I3976" s="2" t="str">
        <f t="shared" si="62"/>
        <v>+91-9175668522</v>
      </c>
      <c r="J3976">
        <f>91-9175668613</f>
        <v>-9175668522</v>
      </c>
      <c r="K3976" t="s">
        <v>94</v>
      </c>
      <c r="L3976" t="s">
        <v>20</v>
      </c>
      <c r="M3976">
        <v>488742</v>
      </c>
      <c r="N3976" s="1">
        <v>45220</v>
      </c>
      <c r="O3976" t="s">
        <v>28</v>
      </c>
      <c r="P3976">
        <v>6</v>
      </c>
      <c r="Q3976">
        <v>127243.11</v>
      </c>
    </row>
    <row r="3977" spans="1:17" x14ac:dyDescent="0.3">
      <c r="A3977" t="s">
        <v>8536</v>
      </c>
      <c r="B3977" t="s">
        <v>1935</v>
      </c>
      <c r="C3977" s="2" t="str">
        <f>PROPER(TRIM(Table1[[#This Row],[Gender]]))</f>
        <v>Female</v>
      </c>
      <c r="D3977" t="s">
        <v>43</v>
      </c>
      <c r="E3977">
        <v>41</v>
      </c>
      <c r="F3977" t="s">
        <v>38</v>
      </c>
      <c r="G3977" s="1">
        <v>30693</v>
      </c>
      <c r="H3977" t="s">
        <v>8537</v>
      </c>
      <c r="I3977" s="2" t="str">
        <f t="shared" si="62"/>
        <v>+91-9454024971</v>
      </c>
      <c r="J3977">
        <f>91-9454025062</f>
        <v>-9454024971</v>
      </c>
      <c r="K3977" t="s">
        <v>76</v>
      </c>
      <c r="L3977" t="s">
        <v>46</v>
      </c>
      <c r="M3977">
        <v>205300</v>
      </c>
      <c r="N3977" s="1">
        <v>45117</v>
      </c>
      <c r="O3977" t="s">
        <v>28</v>
      </c>
      <c r="P3977">
        <v>2</v>
      </c>
      <c r="Q3977">
        <v>148154.32</v>
      </c>
    </row>
    <row r="3978" spans="1:17" x14ac:dyDescent="0.3">
      <c r="A3978" t="s">
        <v>8538</v>
      </c>
      <c r="B3978" t="s">
        <v>2387</v>
      </c>
      <c r="C3978" s="2" t="str">
        <f>PROPER(TRIM(Table1[[#This Row],[Gender]]))</f>
        <v>Male</v>
      </c>
      <c r="D3978" t="s">
        <v>16</v>
      </c>
      <c r="E3978">
        <v>28</v>
      </c>
      <c r="F3978" t="s">
        <v>31</v>
      </c>
      <c r="G3978" s="1">
        <v>35438</v>
      </c>
      <c r="H3978" t="s">
        <v>2388</v>
      </c>
      <c r="I3978" s="2" t="str">
        <f t="shared" si="62"/>
        <v>+91-7901642188</v>
      </c>
      <c r="J3978">
        <f>91-7901642279</f>
        <v>-7901642188</v>
      </c>
      <c r="K3978" t="s">
        <v>147</v>
      </c>
      <c r="L3978" t="s">
        <v>143</v>
      </c>
      <c r="M3978">
        <v>601683</v>
      </c>
      <c r="N3978" s="1">
        <v>45095</v>
      </c>
      <c r="O3978" t="s">
        <v>28</v>
      </c>
      <c r="P3978">
        <v>1</v>
      </c>
      <c r="Q3978">
        <v>103542.3</v>
      </c>
    </row>
    <row r="3979" spans="1:17" x14ac:dyDescent="0.3">
      <c r="A3979" t="s">
        <v>8539</v>
      </c>
      <c r="B3979" t="s">
        <v>798</v>
      </c>
      <c r="C3979" s="2" t="str">
        <f>PROPER(TRIM(Table1[[#This Row],[Gender]]))</f>
        <v>Female</v>
      </c>
      <c r="D3979" t="s">
        <v>43</v>
      </c>
      <c r="E3979">
        <v>24</v>
      </c>
      <c r="F3979" t="s">
        <v>49</v>
      </c>
      <c r="G3979" s="1">
        <v>36898</v>
      </c>
      <c r="H3979" t="s">
        <v>1325</v>
      </c>
      <c r="I3979" s="2" t="str">
        <f t="shared" si="62"/>
        <v>+91-7751754929</v>
      </c>
      <c r="J3979">
        <f>91-7751755020</f>
        <v>-7751754929</v>
      </c>
      <c r="K3979" t="s">
        <v>26</v>
      </c>
      <c r="L3979" t="s">
        <v>27</v>
      </c>
      <c r="M3979">
        <v>354283</v>
      </c>
      <c r="N3979" s="1">
        <v>45348</v>
      </c>
      <c r="O3979" t="s">
        <v>35</v>
      </c>
      <c r="P3979">
        <v>2</v>
      </c>
      <c r="Q3979">
        <v>7592.35</v>
      </c>
    </row>
    <row r="3980" spans="1:17" x14ac:dyDescent="0.3">
      <c r="A3980" t="s">
        <v>8540</v>
      </c>
      <c r="B3980" t="s">
        <v>1485</v>
      </c>
      <c r="C3980" s="2" t="str">
        <f>PROPER(TRIM(Table1[[#This Row],[Gender]]))</f>
        <v>Female</v>
      </c>
      <c r="D3980" t="s">
        <v>43</v>
      </c>
      <c r="E3980">
        <v>41</v>
      </c>
      <c r="F3980" t="s">
        <v>38</v>
      </c>
      <c r="G3980" s="1">
        <v>30693</v>
      </c>
      <c r="H3980" t="s">
        <v>2503</v>
      </c>
      <c r="I3980" s="2" t="str">
        <f t="shared" si="62"/>
        <v>+91-7180109231</v>
      </c>
      <c r="J3980">
        <f>91-7180109322</f>
        <v>-7180109231</v>
      </c>
      <c r="K3980" t="s">
        <v>273</v>
      </c>
      <c r="L3980" t="s">
        <v>46</v>
      </c>
      <c r="M3980">
        <v>545774</v>
      </c>
      <c r="N3980" s="1">
        <v>45357</v>
      </c>
      <c r="O3980" t="s">
        <v>28</v>
      </c>
      <c r="P3980">
        <v>8</v>
      </c>
      <c r="Q3980">
        <v>233020.75</v>
      </c>
    </row>
    <row r="3981" spans="1:17" x14ac:dyDescent="0.3">
      <c r="A3981" t="s">
        <v>8541</v>
      </c>
      <c r="B3981" t="s">
        <v>1636</v>
      </c>
      <c r="C3981" s="2" t="str">
        <f>PROPER(TRIM(Table1[[#This Row],[Gender]]))</f>
        <v>Male</v>
      </c>
      <c r="D3981" t="s">
        <v>16</v>
      </c>
      <c r="E3981">
        <v>47</v>
      </c>
      <c r="F3981" t="s">
        <v>17</v>
      </c>
      <c r="G3981" s="1">
        <v>28503</v>
      </c>
      <c r="H3981" t="s">
        <v>8542</v>
      </c>
      <c r="I3981" s="2" t="str">
        <f t="shared" si="62"/>
        <v>+91-9575338296</v>
      </c>
      <c r="J3981">
        <f>91-9575338387</f>
        <v>-9575338296</v>
      </c>
      <c r="K3981" t="s">
        <v>72</v>
      </c>
      <c r="L3981" t="s">
        <v>34</v>
      </c>
      <c r="M3981">
        <v>778762</v>
      </c>
      <c r="N3981" s="1">
        <v>45281</v>
      </c>
      <c r="O3981" t="s">
        <v>28</v>
      </c>
      <c r="P3981">
        <v>6</v>
      </c>
      <c r="Q3981">
        <v>78232.95</v>
      </c>
    </row>
    <row r="3982" spans="1:17" x14ac:dyDescent="0.3">
      <c r="A3982" t="s">
        <v>8543</v>
      </c>
      <c r="B3982" t="s">
        <v>2091</v>
      </c>
      <c r="C3982" s="2" t="str">
        <f>PROPER(TRIM(Table1[[#This Row],[Gender]]))</f>
        <v>Male</v>
      </c>
      <c r="D3982" t="s">
        <v>16</v>
      </c>
      <c r="E3982">
        <v>31</v>
      </c>
      <c r="F3982" t="s">
        <v>31</v>
      </c>
      <c r="G3982" s="1">
        <v>34343</v>
      </c>
      <c r="H3982" t="s">
        <v>8544</v>
      </c>
      <c r="I3982" s="2" t="str">
        <f t="shared" si="62"/>
        <v>+91-9394891296</v>
      </c>
      <c r="J3982">
        <f>91-9394891387</f>
        <v>-9394891296</v>
      </c>
      <c r="K3982" t="s">
        <v>60</v>
      </c>
      <c r="L3982" t="s">
        <v>34</v>
      </c>
      <c r="M3982">
        <v>650188</v>
      </c>
      <c r="N3982" s="1">
        <v>45217</v>
      </c>
      <c r="O3982" t="s">
        <v>28</v>
      </c>
      <c r="P3982">
        <v>6</v>
      </c>
      <c r="Q3982">
        <v>312286.15999999997</v>
      </c>
    </row>
    <row r="3983" spans="1:17" x14ac:dyDescent="0.3">
      <c r="A3983" t="s">
        <v>8545</v>
      </c>
      <c r="B3983" t="s">
        <v>204</v>
      </c>
      <c r="C3983" s="2" t="str">
        <f>PROPER(TRIM(Table1[[#This Row],[Gender]]))</f>
        <v>Female</v>
      </c>
      <c r="D3983" t="s">
        <v>43</v>
      </c>
      <c r="E3983">
        <v>22</v>
      </c>
      <c r="F3983" t="s">
        <v>49</v>
      </c>
      <c r="G3983" s="1">
        <v>37628</v>
      </c>
      <c r="H3983" t="s">
        <v>357</v>
      </c>
      <c r="I3983" s="2" t="str">
        <f t="shared" si="62"/>
        <v>+91-9479454101</v>
      </c>
      <c r="J3983">
        <f>91-9479454192</f>
        <v>-9479454101</v>
      </c>
      <c r="K3983" t="s">
        <v>68</v>
      </c>
      <c r="L3983" t="s">
        <v>52</v>
      </c>
      <c r="M3983">
        <v>231985</v>
      </c>
      <c r="N3983" s="1">
        <v>45177</v>
      </c>
      <c r="O3983" t="s">
        <v>35</v>
      </c>
      <c r="P3983">
        <v>3</v>
      </c>
      <c r="Q3983">
        <v>11573.24</v>
      </c>
    </row>
    <row r="3984" spans="1:17" x14ac:dyDescent="0.3">
      <c r="A3984" t="s">
        <v>8546</v>
      </c>
      <c r="B3984" t="s">
        <v>1260</v>
      </c>
      <c r="C3984" s="2" t="str">
        <f>PROPER(TRIM(Table1[[#This Row],[Gender]]))</f>
        <v>Female</v>
      </c>
      <c r="D3984" t="s">
        <v>43</v>
      </c>
      <c r="E3984">
        <v>27</v>
      </c>
      <c r="F3984" t="s">
        <v>31</v>
      </c>
      <c r="G3984" s="1">
        <v>35803</v>
      </c>
      <c r="H3984" t="s">
        <v>8547</v>
      </c>
      <c r="I3984" s="2" t="str">
        <f t="shared" si="62"/>
        <v>+91-9554469648</v>
      </c>
      <c r="J3984">
        <f>91-9554469739</f>
        <v>-9554469648</v>
      </c>
      <c r="K3984" t="s">
        <v>369</v>
      </c>
      <c r="L3984" t="s">
        <v>191</v>
      </c>
      <c r="M3984">
        <v>598759</v>
      </c>
      <c r="N3984" s="1">
        <v>45080</v>
      </c>
      <c r="O3984" t="s">
        <v>28</v>
      </c>
      <c r="P3984">
        <v>3</v>
      </c>
      <c r="Q3984">
        <v>52274.15</v>
      </c>
    </row>
    <row r="3985" spans="1:17" x14ac:dyDescent="0.3">
      <c r="A3985" t="s">
        <v>8548</v>
      </c>
      <c r="B3985" t="s">
        <v>463</v>
      </c>
      <c r="C3985" s="2" t="str">
        <f>PROPER(TRIM(Table1[[#This Row],[Gender]]))</f>
        <v>Female</v>
      </c>
      <c r="D3985" t="s">
        <v>43</v>
      </c>
      <c r="E3985">
        <v>35</v>
      </c>
      <c r="F3985" t="s">
        <v>31</v>
      </c>
      <c r="G3985" s="1">
        <v>32883</v>
      </c>
      <c r="H3985" t="s">
        <v>464</v>
      </c>
      <c r="I3985" s="2" t="str">
        <f t="shared" si="62"/>
        <v>+91-8061285109</v>
      </c>
      <c r="J3985">
        <f>91-8061285200</f>
        <v>-8061285109</v>
      </c>
      <c r="K3985" t="s">
        <v>60</v>
      </c>
      <c r="L3985" t="s">
        <v>34</v>
      </c>
      <c r="M3985">
        <v>173870</v>
      </c>
      <c r="N3985" s="1">
        <v>45220</v>
      </c>
      <c r="O3985" t="s">
        <v>28</v>
      </c>
      <c r="P3985">
        <v>7</v>
      </c>
      <c r="Q3985">
        <v>270342.28000000003</v>
      </c>
    </row>
    <row r="3986" spans="1:17" x14ac:dyDescent="0.3">
      <c r="A3986" t="s">
        <v>8549</v>
      </c>
      <c r="B3986" t="s">
        <v>3363</v>
      </c>
      <c r="C3986" s="2" t="str">
        <f>PROPER(TRIM(Table1[[#This Row],[Gender]]))</f>
        <v>Female</v>
      </c>
      <c r="D3986" t="s">
        <v>43</v>
      </c>
      <c r="E3986">
        <v>41</v>
      </c>
      <c r="F3986" t="s">
        <v>38</v>
      </c>
      <c r="G3986" s="1">
        <v>30693</v>
      </c>
      <c r="H3986" t="s">
        <v>8550</v>
      </c>
      <c r="I3986" s="2" t="str">
        <f t="shared" si="62"/>
        <v>+91-8831223075</v>
      </c>
      <c r="J3986">
        <f>91-8831223166</f>
        <v>-8831223075</v>
      </c>
      <c r="K3986" t="s">
        <v>190</v>
      </c>
      <c r="L3986" t="s">
        <v>191</v>
      </c>
      <c r="M3986">
        <v>936970</v>
      </c>
      <c r="N3986" s="1">
        <v>45368</v>
      </c>
      <c r="O3986" t="s">
        <v>28</v>
      </c>
      <c r="P3986">
        <v>3</v>
      </c>
      <c r="Q3986">
        <v>51324.57</v>
      </c>
    </row>
    <row r="3987" spans="1:17" x14ac:dyDescent="0.3">
      <c r="A3987" t="s">
        <v>8551</v>
      </c>
      <c r="B3987" t="s">
        <v>176</v>
      </c>
      <c r="C3987" s="2" t="str">
        <f>PROPER(TRIM(Table1[[#This Row],[Gender]]))</f>
        <v>Female</v>
      </c>
      <c r="D3987" t="s">
        <v>43</v>
      </c>
      <c r="E3987">
        <v>41</v>
      </c>
      <c r="F3987" t="s">
        <v>38</v>
      </c>
      <c r="G3987" s="1">
        <v>30693</v>
      </c>
      <c r="H3987" t="s">
        <v>8552</v>
      </c>
      <c r="I3987" s="2" t="str">
        <f t="shared" si="62"/>
        <v>+91-8389361304</v>
      </c>
      <c r="J3987">
        <f>91-8389361395</f>
        <v>-8389361304</v>
      </c>
      <c r="K3987" t="s">
        <v>72</v>
      </c>
      <c r="L3987" t="s">
        <v>34</v>
      </c>
      <c r="M3987">
        <v>927486</v>
      </c>
      <c r="N3987" s="1">
        <v>45298</v>
      </c>
      <c r="O3987" t="s">
        <v>28</v>
      </c>
      <c r="P3987">
        <v>9</v>
      </c>
      <c r="Q3987">
        <v>326436.96000000002</v>
      </c>
    </row>
    <row r="3988" spans="1:17" x14ac:dyDescent="0.3">
      <c r="A3988" t="s">
        <v>8553</v>
      </c>
      <c r="B3988" t="s">
        <v>713</v>
      </c>
      <c r="C3988" s="2" t="str">
        <f>PROPER(TRIM(Table1[[#This Row],[Gender]]))</f>
        <v>Male</v>
      </c>
      <c r="D3988" t="s">
        <v>16</v>
      </c>
      <c r="E3988">
        <v>27</v>
      </c>
      <c r="F3988" t="s">
        <v>31</v>
      </c>
      <c r="G3988" s="1">
        <v>35803</v>
      </c>
      <c r="H3988" t="s">
        <v>6510</v>
      </c>
      <c r="I3988" s="2" t="str">
        <f t="shared" si="62"/>
        <v>+91-9539616487</v>
      </c>
      <c r="J3988">
        <f>91-9539616578</f>
        <v>-9539616487</v>
      </c>
      <c r="K3988" t="s">
        <v>142</v>
      </c>
      <c r="L3988" t="s">
        <v>143</v>
      </c>
      <c r="M3988">
        <v>731850</v>
      </c>
      <c r="N3988" s="1">
        <v>45314</v>
      </c>
      <c r="O3988" t="s">
        <v>28</v>
      </c>
      <c r="P3988">
        <v>6</v>
      </c>
      <c r="Q3988">
        <v>104925.8</v>
      </c>
    </row>
    <row r="3989" spans="1:17" x14ac:dyDescent="0.3">
      <c r="A3989" t="s">
        <v>8554</v>
      </c>
      <c r="B3989" t="s">
        <v>204</v>
      </c>
      <c r="C3989" s="2" t="str">
        <f>PROPER(TRIM(Table1[[#This Row],[Gender]]))</f>
        <v>Female</v>
      </c>
      <c r="D3989" t="s">
        <v>43</v>
      </c>
      <c r="E3989">
        <v>51</v>
      </c>
      <c r="F3989" t="s">
        <v>17</v>
      </c>
      <c r="G3989" s="1">
        <v>27043</v>
      </c>
      <c r="H3989" t="s">
        <v>8555</v>
      </c>
      <c r="I3989" s="2" t="str">
        <f t="shared" si="62"/>
        <v>+91-8406560493</v>
      </c>
      <c r="J3989">
        <f>91-8406560584</f>
        <v>-8406560493</v>
      </c>
      <c r="K3989" t="s">
        <v>154</v>
      </c>
      <c r="L3989" t="s">
        <v>46</v>
      </c>
      <c r="M3989">
        <v>473419</v>
      </c>
      <c r="N3989" s="1">
        <v>45151</v>
      </c>
      <c r="O3989" t="s">
        <v>35</v>
      </c>
      <c r="P3989">
        <v>6</v>
      </c>
      <c r="Q3989">
        <v>19953.400000000001</v>
      </c>
    </row>
    <row r="3990" spans="1:17" x14ac:dyDescent="0.3">
      <c r="A3990" t="s">
        <v>8556</v>
      </c>
      <c r="B3990" t="s">
        <v>2994</v>
      </c>
      <c r="C3990" s="2" t="str">
        <f>PROPER(TRIM(Table1[[#This Row],[Gender]]))</f>
        <v>Female</v>
      </c>
      <c r="D3990" t="s">
        <v>43</v>
      </c>
      <c r="E3990">
        <v>37</v>
      </c>
      <c r="F3990" t="s">
        <v>38</v>
      </c>
      <c r="G3990" s="1">
        <v>32153</v>
      </c>
      <c r="H3990" t="s">
        <v>7168</v>
      </c>
      <c r="I3990" s="2" t="str">
        <f t="shared" si="62"/>
        <v>+91-8356365510</v>
      </c>
      <c r="J3990">
        <f>91-8356365601</f>
        <v>-8356365510</v>
      </c>
      <c r="K3990" t="s">
        <v>190</v>
      </c>
      <c r="L3990" t="s">
        <v>191</v>
      </c>
      <c r="M3990">
        <v>734723</v>
      </c>
      <c r="N3990" s="1">
        <v>45419</v>
      </c>
      <c r="O3990" t="s">
        <v>28</v>
      </c>
      <c r="P3990">
        <v>7</v>
      </c>
      <c r="Q3990">
        <v>68238.02</v>
      </c>
    </row>
    <row r="3991" spans="1:17" x14ac:dyDescent="0.3">
      <c r="A3991" t="s">
        <v>8557</v>
      </c>
      <c r="B3991" t="s">
        <v>4118</v>
      </c>
      <c r="C3991" s="2" t="str">
        <f>PROPER(TRIM(Table1[[#This Row],[Gender]]))</f>
        <v>Male</v>
      </c>
      <c r="D3991" t="s">
        <v>16</v>
      </c>
      <c r="E3991">
        <v>25</v>
      </c>
      <c r="F3991" t="s">
        <v>49</v>
      </c>
      <c r="G3991" s="1">
        <v>36533</v>
      </c>
      <c r="H3991" t="s">
        <v>8558</v>
      </c>
      <c r="I3991" s="2" t="str">
        <f t="shared" si="62"/>
        <v>+91-7722928144</v>
      </c>
      <c r="J3991">
        <f>91-7722928235</f>
        <v>-7722928144</v>
      </c>
      <c r="K3991" t="s">
        <v>174</v>
      </c>
      <c r="L3991" t="s">
        <v>90</v>
      </c>
      <c r="M3991">
        <v>140678</v>
      </c>
      <c r="N3991" s="1">
        <v>45378</v>
      </c>
      <c r="O3991" t="s">
        <v>28</v>
      </c>
      <c r="P3991">
        <v>5</v>
      </c>
      <c r="Q3991">
        <v>112354.49</v>
      </c>
    </row>
    <row r="3992" spans="1:17" x14ac:dyDescent="0.3">
      <c r="A3992" t="s">
        <v>8559</v>
      </c>
      <c r="B3992" t="s">
        <v>926</v>
      </c>
      <c r="C3992" s="2" t="str">
        <f>PROPER(TRIM(Table1[[#This Row],[Gender]]))</f>
        <v>Male</v>
      </c>
      <c r="D3992" t="s">
        <v>16</v>
      </c>
      <c r="E3992">
        <v>38</v>
      </c>
      <c r="F3992" t="s">
        <v>38</v>
      </c>
      <c r="G3992" s="1">
        <v>31788</v>
      </c>
      <c r="H3992" t="s">
        <v>8560</v>
      </c>
      <c r="I3992" s="2" t="str">
        <f t="shared" si="62"/>
        <v>+91-8005508284</v>
      </c>
      <c r="J3992">
        <f>91-8005508375</f>
        <v>-8005508284</v>
      </c>
      <c r="K3992" t="s">
        <v>80</v>
      </c>
      <c r="L3992" t="s">
        <v>20</v>
      </c>
      <c r="M3992">
        <v>785476</v>
      </c>
      <c r="N3992" s="1">
        <v>45334</v>
      </c>
      <c r="O3992" t="s">
        <v>28</v>
      </c>
      <c r="P3992">
        <v>5</v>
      </c>
      <c r="Q3992">
        <v>184329.82</v>
      </c>
    </row>
    <row r="3993" spans="1:17" x14ac:dyDescent="0.3">
      <c r="A3993" t="s">
        <v>8561</v>
      </c>
      <c r="B3993" t="s">
        <v>210</v>
      </c>
      <c r="C3993" s="2" t="str">
        <f>PROPER(TRIM(Table1[[#This Row],[Gender]]))</f>
        <v>Female</v>
      </c>
      <c r="D3993" t="s">
        <v>43</v>
      </c>
      <c r="E3993">
        <v>26</v>
      </c>
      <c r="F3993" t="s">
        <v>31</v>
      </c>
      <c r="G3993" s="1">
        <v>36168</v>
      </c>
      <c r="H3993" t="s">
        <v>8562</v>
      </c>
      <c r="I3993" s="2" t="str">
        <f t="shared" si="62"/>
        <v>+91-8614205949</v>
      </c>
      <c r="J3993">
        <f>91-8614206040</f>
        <v>-8614205949</v>
      </c>
      <c r="K3993" t="s">
        <v>109</v>
      </c>
      <c r="L3993" t="s">
        <v>46</v>
      </c>
      <c r="M3993">
        <v>177325</v>
      </c>
      <c r="N3993" s="1">
        <v>45388</v>
      </c>
      <c r="O3993" t="s">
        <v>21</v>
      </c>
      <c r="P3993">
        <v>3</v>
      </c>
      <c r="Q3993">
        <v>31229.39</v>
      </c>
    </row>
    <row r="3994" spans="1:17" x14ac:dyDescent="0.3">
      <c r="A3994" t="s">
        <v>8563</v>
      </c>
      <c r="B3994" t="s">
        <v>3560</v>
      </c>
      <c r="C3994" s="2" t="str">
        <f>PROPER(TRIM(Table1[[#This Row],[Gender]]))</f>
        <v>Female</v>
      </c>
      <c r="D3994" t="s">
        <v>43</v>
      </c>
      <c r="E3994">
        <v>67</v>
      </c>
      <c r="F3994" t="s">
        <v>24</v>
      </c>
      <c r="G3994" s="1">
        <v>21203</v>
      </c>
      <c r="H3994" t="s">
        <v>8014</v>
      </c>
      <c r="I3994" s="2" t="str">
        <f t="shared" si="62"/>
        <v>+91-8808265148</v>
      </c>
      <c r="J3994">
        <f>91-8808265239</f>
        <v>-8808265148</v>
      </c>
      <c r="K3994" t="s">
        <v>415</v>
      </c>
      <c r="L3994" t="s">
        <v>90</v>
      </c>
      <c r="M3994">
        <v>644741</v>
      </c>
      <c r="N3994" s="1">
        <v>45220</v>
      </c>
      <c r="O3994" t="s">
        <v>21</v>
      </c>
      <c r="P3994">
        <v>3</v>
      </c>
      <c r="Q3994">
        <v>29776.6</v>
      </c>
    </row>
    <row r="3995" spans="1:17" x14ac:dyDescent="0.3">
      <c r="A3995" t="s">
        <v>8564</v>
      </c>
      <c r="B3995" t="s">
        <v>2054</v>
      </c>
      <c r="C3995" s="2" t="str">
        <f>PROPER(TRIM(Table1[[#This Row],[Gender]]))</f>
        <v>Female</v>
      </c>
      <c r="D3995" t="s">
        <v>43</v>
      </c>
      <c r="E3995">
        <v>29</v>
      </c>
      <c r="F3995" t="s">
        <v>31</v>
      </c>
      <c r="G3995" s="1">
        <v>35073</v>
      </c>
      <c r="H3995" t="s">
        <v>8565</v>
      </c>
      <c r="I3995" s="2" t="str">
        <f t="shared" si="62"/>
        <v>+91-7738653589</v>
      </c>
      <c r="J3995">
        <f>91-7738653680</f>
        <v>-7738653589</v>
      </c>
      <c r="K3995" t="s">
        <v>51</v>
      </c>
      <c r="L3995" t="s">
        <v>52</v>
      </c>
      <c r="M3995">
        <v>344247</v>
      </c>
      <c r="N3995" s="1">
        <v>45164</v>
      </c>
      <c r="O3995" t="s">
        <v>28</v>
      </c>
      <c r="P3995">
        <v>4</v>
      </c>
      <c r="Q3995">
        <v>67269.77</v>
      </c>
    </row>
    <row r="3996" spans="1:17" x14ac:dyDescent="0.3">
      <c r="A3996" t="s">
        <v>8566</v>
      </c>
      <c r="B3996" t="s">
        <v>765</v>
      </c>
      <c r="C3996" s="2" t="str">
        <f>PROPER(TRIM(Table1[[#This Row],[Gender]]))</f>
        <v>Male</v>
      </c>
      <c r="D3996" t="s">
        <v>16</v>
      </c>
      <c r="E3996">
        <v>23</v>
      </c>
      <c r="F3996" t="s">
        <v>49</v>
      </c>
      <c r="G3996" s="1">
        <v>37263</v>
      </c>
      <c r="H3996" t="s">
        <v>8567</v>
      </c>
      <c r="I3996" s="2" t="str">
        <f t="shared" si="62"/>
        <v>+91-8747738758</v>
      </c>
      <c r="J3996">
        <f>91-8747738849</f>
        <v>-8747738758</v>
      </c>
      <c r="K3996" t="s">
        <v>76</v>
      </c>
      <c r="L3996" t="s">
        <v>46</v>
      </c>
      <c r="M3996">
        <v>569023</v>
      </c>
      <c r="N3996" s="1">
        <v>45148</v>
      </c>
      <c r="O3996" t="s">
        <v>28</v>
      </c>
      <c r="P3996">
        <v>5</v>
      </c>
      <c r="Q3996">
        <v>318921.90000000002</v>
      </c>
    </row>
    <row r="3997" spans="1:17" x14ac:dyDescent="0.3">
      <c r="A3997" t="s">
        <v>8568</v>
      </c>
      <c r="B3997" t="s">
        <v>3147</v>
      </c>
      <c r="C3997" s="2" t="str">
        <f>PROPER(TRIM(Table1[[#This Row],[Gender]]))</f>
        <v>Male</v>
      </c>
      <c r="D3997" t="s">
        <v>16</v>
      </c>
      <c r="E3997">
        <v>39</v>
      </c>
      <c r="F3997" t="s">
        <v>38</v>
      </c>
      <c r="G3997" s="1">
        <v>31423</v>
      </c>
      <c r="H3997" t="s">
        <v>8569</v>
      </c>
      <c r="I3997" s="2" t="str">
        <f t="shared" si="62"/>
        <v>+91-8114146299</v>
      </c>
      <c r="J3997">
        <f>91-8114146390</f>
        <v>-8114146299</v>
      </c>
      <c r="K3997" t="s">
        <v>33</v>
      </c>
      <c r="L3997" t="s">
        <v>34</v>
      </c>
      <c r="M3997">
        <v>548480</v>
      </c>
      <c r="N3997" s="1">
        <v>45078</v>
      </c>
      <c r="O3997" t="s">
        <v>28</v>
      </c>
      <c r="P3997">
        <v>4</v>
      </c>
      <c r="Q3997">
        <v>124768.87</v>
      </c>
    </row>
    <row r="3998" spans="1:17" x14ac:dyDescent="0.3">
      <c r="A3998" t="s">
        <v>8570</v>
      </c>
      <c r="B3998" t="s">
        <v>2070</v>
      </c>
      <c r="C3998" s="2" t="str">
        <f>PROPER(TRIM(Table1[[#This Row],[Gender]]))</f>
        <v>Male</v>
      </c>
      <c r="D3998" t="s">
        <v>16</v>
      </c>
      <c r="E3998">
        <v>36</v>
      </c>
      <c r="F3998" t="s">
        <v>38</v>
      </c>
      <c r="G3998" s="1">
        <v>32518</v>
      </c>
      <c r="H3998" t="s">
        <v>8571</v>
      </c>
      <c r="I3998" s="2" t="str">
        <f t="shared" si="62"/>
        <v>+91-7856022879</v>
      </c>
      <c r="J3998">
        <f>91-7856022970</f>
        <v>-7856022879</v>
      </c>
      <c r="K3998" t="s">
        <v>147</v>
      </c>
      <c r="L3998" t="s">
        <v>143</v>
      </c>
      <c r="M3998">
        <v>213314</v>
      </c>
      <c r="N3998" s="1">
        <v>45106</v>
      </c>
      <c r="O3998" t="s">
        <v>28</v>
      </c>
      <c r="P3998">
        <v>4</v>
      </c>
      <c r="Q3998">
        <v>158951.07999999999</v>
      </c>
    </row>
    <row r="3999" spans="1:17" x14ac:dyDescent="0.3">
      <c r="A3999" t="s">
        <v>8572</v>
      </c>
      <c r="B3999" t="s">
        <v>2890</v>
      </c>
      <c r="C3999" s="2" t="str">
        <f>PROPER(TRIM(Table1[[#This Row],[Gender]]))</f>
        <v>Female</v>
      </c>
      <c r="D3999" t="s">
        <v>43</v>
      </c>
      <c r="E3999">
        <v>44</v>
      </c>
      <c r="F3999" t="s">
        <v>38</v>
      </c>
      <c r="G3999" s="1">
        <v>29598</v>
      </c>
      <c r="H3999" t="s">
        <v>8573</v>
      </c>
      <c r="I3999" s="2" t="str">
        <f t="shared" si="62"/>
        <v>+91-8926127660</v>
      </c>
      <c r="J3999">
        <f>91-8926127751</f>
        <v>-8926127660</v>
      </c>
      <c r="K3999" t="s">
        <v>195</v>
      </c>
      <c r="L3999" t="s">
        <v>102</v>
      </c>
      <c r="M3999">
        <v>283862</v>
      </c>
      <c r="N3999" s="1">
        <v>45144</v>
      </c>
      <c r="O3999" t="s">
        <v>28</v>
      </c>
      <c r="P3999">
        <v>5</v>
      </c>
      <c r="Q3999">
        <v>89162.67</v>
      </c>
    </row>
    <row r="4000" spans="1:17" x14ac:dyDescent="0.3">
      <c r="A4000" t="s">
        <v>8574</v>
      </c>
      <c r="B4000" t="s">
        <v>8575</v>
      </c>
      <c r="C4000" s="2" t="str">
        <f>PROPER(TRIM(Table1[[#This Row],[Gender]]))</f>
        <v>Male</v>
      </c>
      <c r="D4000" t="s">
        <v>16</v>
      </c>
      <c r="E4000">
        <v>46</v>
      </c>
      <c r="F4000" t="s">
        <v>17</v>
      </c>
      <c r="G4000" s="1">
        <v>28868</v>
      </c>
      <c r="H4000" t="s">
        <v>8576</v>
      </c>
      <c r="I4000" s="2" t="str">
        <f t="shared" si="62"/>
        <v>+91-8945757206</v>
      </c>
      <c r="J4000">
        <f>91-8945757297</f>
        <v>-8945757206</v>
      </c>
      <c r="K4000" t="s">
        <v>125</v>
      </c>
      <c r="L4000" t="s">
        <v>52</v>
      </c>
      <c r="M4000">
        <v>613707</v>
      </c>
      <c r="N4000" s="1">
        <v>45148</v>
      </c>
      <c r="O4000" t="s">
        <v>21</v>
      </c>
      <c r="P4000">
        <v>7</v>
      </c>
      <c r="Q4000">
        <v>35476.14</v>
      </c>
    </row>
    <row r="4001" spans="1:17" x14ac:dyDescent="0.3">
      <c r="A4001" t="s">
        <v>8577</v>
      </c>
      <c r="B4001" t="s">
        <v>3165</v>
      </c>
      <c r="C4001" s="2" t="str">
        <f>PROPER(TRIM(Table1[[#This Row],[Gender]]))</f>
        <v>Male</v>
      </c>
      <c r="D4001" t="s">
        <v>16</v>
      </c>
      <c r="E4001">
        <v>63</v>
      </c>
      <c r="F4001" t="s">
        <v>58</v>
      </c>
      <c r="G4001" s="1">
        <v>22663</v>
      </c>
      <c r="H4001" t="s">
        <v>8578</v>
      </c>
      <c r="I4001" s="2" t="str">
        <f t="shared" si="62"/>
        <v>+91-7316755974</v>
      </c>
      <c r="J4001">
        <f>91-7316756065</f>
        <v>-7316755974</v>
      </c>
      <c r="K4001" t="s">
        <v>51</v>
      </c>
      <c r="L4001" t="s">
        <v>52</v>
      </c>
      <c r="M4001">
        <v>652521</v>
      </c>
      <c r="N4001" s="1">
        <v>45265</v>
      </c>
      <c r="O4001" t="s">
        <v>21</v>
      </c>
      <c r="P4001">
        <v>5</v>
      </c>
      <c r="Q4001">
        <v>22047.11</v>
      </c>
    </row>
    <row r="4002" spans="1:17" x14ac:dyDescent="0.3">
      <c r="G4002" s="1"/>
      <c r="N4002" s="1"/>
    </row>
    <row r="4003" spans="1:17" x14ac:dyDescent="0.3">
      <c r="G4003" s="1"/>
      <c r="N4003" s="1"/>
    </row>
    <row r="4004" spans="1:17" x14ac:dyDescent="0.3">
      <c r="G4004" s="1"/>
      <c r="N4004" s="1"/>
    </row>
    <row r="4005" spans="1:17" x14ac:dyDescent="0.3">
      <c r="G4005" s="1"/>
      <c r="N4005" s="1"/>
    </row>
    <row r="4006" spans="1:17" x14ac:dyDescent="0.3">
      <c r="G4006" s="1"/>
      <c r="N4006" s="1"/>
    </row>
    <row r="4007" spans="1:17" x14ac:dyDescent="0.3">
      <c r="G4007" s="1"/>
      <c r="N4007" s="1"/>
    </row>
    <row r="4008" spans="1:17" x14ac:dyDescent="0.3">
      <c r="G4008" s="1"/>
      <c r="N4008" s="1"/>
    </row>
    <row r="4009" spans="1:17" x14ac:dyDescent="0.3">
      <c r="G4009" s="1"/>
      <c r="N4009" s="1"/>
    </row>
    <row r="4010" spans="1:17" x14ac:dyDescent="0.3">
      <c r="G4010" s="1"/>
      <c r="N4010" s="1"/>
    </row>
    <row r="4011" spans="1:17" x14ac:dyDescent="0.3">
      <c r="G4011" s="1"/>
      <c r="N4011" s="1"/>
    </row>
    <row r="4012" spans="1:17" x14ac:dyDescent="0.3">
      <c r="G4012" s="1"/>
      <c r="N4012" s="1"/>
    </row>
    <row r="4013" spans="1:17" x14ac:dyDescent="0.3">
      <c r="G4013" s="1"/>
      <c r="N4013" s="1"/>
    </row>
    <row r="4014" spans="1:17" x14ac:dyDescent="0.3">
      <c r="G4014" s="1"/>
      <c r="N4014" s="1"/>
    </row>
    <row r="4015" spans="1:17" x14ac:dyDescent="0.3">
      <c r="G4015" s="1"/>
      <c r="N4015" s="1"/>
    </row>
    <row r="4016" spans="1:17" x14ac:dyDescent="0.3">
      <c r="G4016" s="1"/>
      <c r="N4016" s="1"/>
    </row>
    <row r="4017" spans="7:14" x14ac:dyDescent="0.3">
      <c r="G4017" s="1"/>
      <c r="N4017" s="1"/>
    </row>
    <row r="4018" spans="7:14" x14ac:dyDescent="0.3">
      <c r="G4018" s="1"/>
      <c r="N4018" s="1"/>
    </row>
    <row r="4019" spans="7:14" x14ac:dyDescent="0.3">
      <c r="G4019" s="1"/>
      <c r="N4019" s="1"/>
    </row>
    <row r="4020" spans="7:14" x14ac:dyDescent="0.3">
      <c r="G4020" s="1"/>
      <c r="N4020" s="1"/>
    </row>
    <row r="4021" spans="7:14" x14ac:dyDescent="0.3">
      <c r="G4021" s="1"/>
      <c r="N4021" s="1"/>
    </row>
    <row r="4022" spans="7:14" x14ac:dyDescent="0.3">
      <c r="G4022" s="1"/>
      <c r="N4022" s="1"/>
    </row>
    <row r="4023" spans="7:14" x14ac:dyDescent="0.3">
      <c r="G4023" s="1"/>
      <c r="N4023" s="1"/>
    </row>
    <row r="4024" spans="7:14" x14ac:dyDescent="0.3">
      <c r="G4024" s="1"/>
      <c r="N4024" s="1"/>
    </row>
    <row r="4025" spans="7:14" x14ac:dyDescent="0.3">
      <c r="G4025" s="1"/>
      <c r="N4025" s="1"/>
    </row>
    <row r="4026" spans="7:14" x14ac:dyDescent="0.3">
      <c r="G4026" s="1"/>
      <c r="N4026" s="1"/>
    </row>
    <row r="4027" spans="7:14" x14ac:dyDescent="0.3">
      <c r="G4027" s="1"/>
      <c r="N4027" s="1"/>
    </row>
    <row r="4028" spans="7:14" x14ac:dyDescent="0.3">
      <c r="G4028" s="1"/>
      <c r="N4028" s="1"/>
    </row>
    <row r="4029" spans="7:14" x14ac:dyDescent="0.3">
      <c r="G4029" s="1"/>
      <c r="N4029" s="1"/>
    </row>
    <row r="4030" spans="7:14" x14ac:dyDescent="0.3">
      <c r="G4030" s="1"/>
      <c r="N4030" s="1"/>
    </row>
    <row r="4031" spans="7:14" x14ac:dyDescent="0.3">
      <c r="G4031" s="1"/>
      <c r="N4031" s="1"/>
    </row>
    <row r="4032" spans="7:14" x14ac:dyDescent="0.3">
      <c r="G4032" s="1"/>
      <c r="N4032" s="1"/>
    </row>
    <row r="4033" spans="7:14" x14ac:dyDescent="0.3">
      <c r="G4033" s="1"/>
      <c r="N4033" s="1"/>
    </row>
    <row r="4034" spans="7:14" x14ac:dyDescent="0.3">
      <c r="G4034" s="1"/>
      <c r="N4034" s="1"/>
    </row>
    <row r="4035" spans="7:14" x14ac:dyDescent="0.3">
      <c r="G4035" s="1"/>
      <c r="N4035" s="1"/>
    </row>
    <row r="4036" spans="7:14" x14ac:dyDescent="0.3">
      <c r="G4036" s="1"/>
      <c r="N4036" s="1"/>
    </row>
    <row r="4037" spans="7:14" x14ac:dyDescent="0.3">
      <c r="G4037" s="1"/>
      <c r="N4037" s="1"/>
    </row>
    <row r="4038" spans="7:14" x14ac:dyDescent="0.3">
      <c r="G4038" s="1"/>
      <c r="N4038" s="1"/>
    </row>
    <row r="4039" spans="7:14" x14ac:dyDescent="0.3">
      <c r="G4039" s="1"/>
      <c r="N4039" s="1"/>
    </row>
    <row r="4040" spans="7:14" x14ac:dyDescent="0.3">
      <c r="G4040" s="1"/>
      <c r="N4040" s="1"/>
    </row>
    <row r="4041" spans="7:14" x14ac:dyDescent="0.3">
      <c r="G4041" s="1"/>
      <c r="N4041" s="1"/>
    </row>
    <row r="4042" spans="7:14" x14ac:dyDescent="0.3">
      <c r="G4042" s="1"/>
      <c r="N4042" s="1"/>
    </row>
    <row r="4043" spans="7:14" x14ac:dyDescent="0.3">
      <c r="G4043" s="1"/>
      <c r="N4043" s="1"/>
    </row>
    <row r="4044" spans="7:14" x14ac:dyDescent="0.3">
      <c r="G4044" s="1"/>
      <c r="N4044" s="1"/>
    </row>
    <row r="4045" spans="7:14" x14ac:dyDescent="0.3">
      <c r="G4045" s="1"/>
      <c r="N4045" s="1"/>
    </row>
    <row r="4046" spans="7:14" x14ac:dyDescent="0.3">
      <c r="G4046" s="1"/>
      <c r="N4046" s="1"/>
    </row>
    <row r="4047" spans="7:14" x14ac:dyDescent="0.3">
      <c r="G4047" s="1"/>
      <c r="N4047" s="1"/>
    </row>
    <row r="4048" spans="7:14" x14ac:dyDescent="0.3">
      <c r="G4048" s="1"/>
      <c r="N4048" s="1"/>
    </row>
    <row r="4049" spans="7:14" x14ac:dyDescent="0.3">
      <c r="G4049" s="1"/>
      <c r="N4049" s="1"/>
    </row>
    <row r="4050" spans="7:14" x14ac:dyDescent="0.3">
      <c r="G4050" s="1"/>
      <c r="N4050" s="1"/>
    </row>
    <row r="4051" spans="7:14" x14ac:dyDescent="0.3">
      <c r="G4051" s="1"/>
      <c r="N4051" s="1"/>
    </row>
    <row r="4052" spans="7:14" x14ac:dyDescent="0.3">
      <c r="G4052" s="1"/>
      <c r="N4052" s="1"/>
    </row>
    <row r="4053" spans="7:14" x14ac:dyDescent="0.3">
      <c r="G4053" s="1"/>
      <c r="N4053" s="1"/>
    </row>
    <row r="4054" spans="7:14" x14ac:dyDescent="0.3">
      <c r="G4054" s="1"/>
      <c r="N4054" s="1"/>
    </row>
    <row r="4055" spans="7:14" x14ac:dyDescent="0.3">
      <c r="G4055" s="1"/>
      <c r="N4055" s="1"/>
    </row>
    <row r="4056" spans="7:14" x14ac:dyDescent="0.3">
      <c r="G4056" s="1"/>
      <c r="N4056" s="1"/>
    </row>
    <row r="4057" spans="7:14" x14ac:dyDescent="0.3">
      <c r="G4057" s="1"/>
      <c r="N4057" s="1"/>
    </row>
    <row r="4058" spans="7:14" x14ac:dyDescent="0.3">
      <c r="G4058" s="1"/>
      <c r="N4058" s="1"/>
    </row>
    <row r="4059" spans="7:14" x14ac:dyDescent="0.3">
      <c r="G4059" s="1"/>
      <c r="N4059" s="1"/>
    </row>
    <row r="4060" spans="7:14" x14ac:dyDescent="0.3">
      <c r="G4060" s="1"/>
      <c r="N4060" s="1"/>
    </row>
    <row r="4061" spans="7:14" x14ac:dyDescent="0.3">
      <c r="G4061" s="1"/>
      <c r="N4061" s="1"/>
    </row>
    <row r="4062" spans="7:14" x14ac:dyDescent="0.3">
      <c r="G4062" s="1"/>
      <c r="N4062" s="1"/>
    </row>
    <row r="4063" spans="7:14" x14ac:dyDescent="0.3">
      <c r="G4063" s="1"/>
      <c r="N4063" s="1"/>
    </row>
    <row r="4064" spans="7:14" x14ac:dyDescent="0.3">
      <c r="G4064" s="1"/>
      <c r="N4064" s="1"/>
    </row>
    <row r="4065" spans="7:14" x14ac:dyDescent="0.3">
      <c r="G4065" s="1"/>
      <c r="N4065" s="1"/>
    </row>
    <row r="4066" spans="7:14" x14ac:dyDescent="0.3">
      <c r="G4066" s="1"/>
      <c r="N4066" s="1"/>
    </row>
    <row r="4067" spans="7:14" x14ac:dyDescent="0.3">
      <c r="G4067" s="1"/>
      <c r="N4067" s="1"/>
    </row>
    <row r="4068" spans="7:14" x14ac:dyDescent="0.3">
      <c r="G4068" s="1"/>
      <c r="N4068" s="1"/>
    </row>
    <row r="4069" spans="7:14" x14ac:dyDescent="0.3">
      <c r="G4069" s="1"/>
      <c r="N4069" s="1"/>
    </row>
    <row r="4070" spans="7:14" x14ac:dyDescent="0.3">
      <c r="G4070" s="1"/>
      <c r="N4070" s="1"/>
    </row>
    <row r="4071" spans="7:14" x14ac:dyDescent="0.3">
      <c r="G4071" s="1"/>
      <c r="N4071" s="1"/>
    </row>
    <row r="4072" spans="7:14" x14ac:dyDescent="0.3">
      <c r="G4072" s="1"/>
      <c r="N4072" s="1"/>
    </row>
    <row r="4073" spans="7:14" x14ac:dyDescent="0.3">
      <c r="G4073" s="1"/>
      <c r="N4073" s="1"/>
    </row>
    <row r="4074" spans="7:14" x14ac:dyDescent="0.3">
      <c r="G4074" s="1"/>
      <c r="N4074" s="1"/>
    </row>
    <row r="4075" spans="7:14" x14ac:dyDescent="0.3">
      <c r="G4075" s="1"/>
      <c r="N4075" s="1"/>
    </row>
    <row r="4076" spans="7:14" x14ac:dyDescent="0.3">
      <c r="G4076" s="1"/>
      <c r="N4076" s="1"/>
    </row>
    <row r="4077" spans="7:14" x14ac:dyDescent="0.3">
      <c r="G4077" s="1"/>
      <c r="N4077" s="1"/>
    </row>
    <row r="4078" spans="7:14" x14ac:dyDescent="0.3">
      <c r="G4078" s="1"/>
      <c r="N4078" s="1"/>
    </row>
    <row r="4079" spans="7:14" x14ac:dyDescent="0.3">
      <c r="G4079" s="1"/>
      <c r="N4079" s="1"/>
    </row>
    <row r="4080" spans="7:14" x14ac:dyDescent="0.3">
      <c r="G4080" s="1"/>
      <c r="N4080" s="1"/>
    </row>
    <row r="4081" spans="7:14" x14ac:dyDescent="0.3">
      <c r="G4081" s="1"/>
      <c r="N4081" s="1"/>
    </row>
    <row r="4082" spans="7:14" x14ac:dyDescent="0.3">
      <c r="G4082" s="1"/>
      <c r="N4082" s="1"/>
    </row>
    <row r="4083" spans="7:14" x14ac:dyDescent="0.3">
      <c r="G4083" s="1"/>
      <c r="N4083" s="1"/>
    </row>
    <row r="4084" spans="7:14" x14ac:dyDescent="0.3">
      <c r="G4084" s="1"/>
      <c r="N4084" s="1"/>
    </row>
    <row r="4085" spans="7:14" x14ac:dyDescent="0.3">
      <c r="G4085" s="1"/>
      <c r="N4085" s="1"/>
    </row>
    <row r="4086" spans="7:14" x14ac:dyDescent="0.3">
      <c r="G4086" s="1"/>
      <c r="N4086" s="1"/>
    </row>
    <row r="4087" spans="7:14" x14ac:dyDescent="0.3">
      <c r="G4087" s="1"/>
      <c r="N4087" s="1"/>
    </row>
    <row r="4088" spans="7:14" x14ac:dyDescent="0.3">
      <c r="G4088" s="1"/>
      <c r="N4088" s="1"/>
    </row>
    <row r="4089" spans="7:14" x14ac:dyDescent="0.3">
      <c r="G4089" s="1"/>
      <c r="N4089" s="1"/>
    </row>
    <row r="4090" spans="7:14" x14ac:dyDescent="0.3">
      <c r="G4090" s="1"/>
      <c r="N4090" s="1"/>
    </row>
    <row r="4091" spans="7:14" x14ac:dyDescent="0.3">
      <c r="G4091" s="1"/>
      <c r="N4091" s="1"/>
    </row>
    <row r="4092" spans="7:14" x14ac:dyDescent="0.3">
      <c r="G4092" s="1"/>
      <c r="N4092" s="1"/>
    </row>
    <row r="4093" spans="7:14" x14ac:dyDescent="0.3">
      <c r="G4093" s="1"/>
      <c r="N4093" s="1"/>
    </row>
    <row r="4094" spans="7:14" x14ac:dyDescent="0.3">
      <c r="G4094" s="1"/>
      <c r="N4094" s="1"/>
    </row>
    <row r="4095" spans="7:14" x14ac:dyDescent="0.3">
      <c r="G4095" s="1"/>
      <c r="N4095" s="1"/>
    </row>
    <row r="4096" spans="7:14" x14ac:dyDescent="0.3">
      <c r="G4096" s="1"/>
      <c r="N4096" s="1"/>
    </row>
    <row r="4097" spans="7:14" x14ac:dyDescent="0.3">
      <c r="G4097" s="1"/>
      <c r="N4097" s="1"/>
    </row>
    <row r="4098" spans="7:14" x14ac:dyDescent="0.3">
      <c r="G4098" s="1"/>
      <c r="N4098" s="1"/>
    </row>
    <row r="4099" spans="7:14" x14ac:dyDescent="0.3">
      <c r="G4099" s="1"/>
      <c r="N4099" s="1"/>
    </row>
    <row r="4100" spans="7:14" x14ac:dyDescent="0.3">
      <c r="G4100" s="1"/>
      <c r="N4100" s="1"/>
    </row>
    <row r="4101" spans="7:14" x14ac:dyDescent="0.3">
      <c r="G4101" s="1"/>
      <c r="N4101" s="1"/>
    </row>
    <row r="4102" spans="7:14" x14ac:dyDescent="0.3">
      <c r="G4102" s="1"/>
      <c r="N4102" s="1"/>
    </row>
    <row r="4103" spans="7:14" x14ac:dyDescent="0.3">
      <c r="G4103" s="1"/>
      <c r="N4103" s="1"/>
    </row>
    <row r="4104" spans="7:14" x14ac:dyDescent="0.3">
      <c r="G4104" s="1"/>
      <c r="N4104" s="1"/>
    </row>
    <row r="4105" spans="7:14" x14ac:dyDescent="0.3">
      <c r="G4105" s="1"/>
      <c r="N4105" s="1"/>
    </row>
    <row r="4106" spans="7:14" x14ac:dyDescent="0.3">
      <c r="G4106" s="1"/>
      <c r="N4106" s="1"/>
    </row>
    <row r="4107" spans="7:14" x14ac:dyDescent="0.3">
      <c r="G4107" s="1"/>
      <c r="N4107" s="1"/>
    </row>
    <row r="4108" spans="7:14" x14ac:dyDescent="0.3">
      <c r="G4108" s="1"/>
      <c r="N4108" s="1"/>
    </row>
    <row r="4109" spans="7:14" x14ac:dyDescent="0.3">
      <c r="G4109" s="1"/>
      <c r="N4109" s="1"/>
    </row>
    <row r="4110" spans="7:14" x14ac:dyDescent="0.3">
      <c r="G4110" s="1"/>
      <c r="N4110" s="1"/>
    </row>
    <row r="4111" spans="7:14" x14ac:dyDescent="0.3">
      <c r="G4111" s="1"/>
      <c r="N4111" s="1"/>
    </row>
    <row r="4112" spans="7:14" x14ac:dyDescent="0.3">
      <c r="G4112" s="1"/>
      <c r="N4112" s="1"/>
    </row>
    <row r="4113" spans="7:14" x14ac:dyDescent="0.3">
      <c r="G4113" s="1"/>
      <c r="N4113" s="1"/>
    </row>
    <row r="4114" spans="7:14" x14ac:dyDescent="0.3">
      <c r="G4114" s="1"/>
      <c r="N4114" s="1"/>
    </row>
    <row r="4115" spans="7:14" x14ac:dyDescent="0.3">
      <c r="G4115" s="1"/>
      <c r="N4115" s="1"/>
    </row>
    <row r="4116" spans="7:14" x14ac:dyDescent="0.3">
      <c r="G4116" s="1"/>
      <c r="N4116" s="1"/>
    </row>
    <row r="4117" spans="7:14" x14ac:dyDescent="0.3">
      <c r="G4117" s="1"/>
      <c r="N4117" s="1"/>
    </row>
    <row r="4118" spans="7:14" x14ac:dyDescent="0.3">
      <c r="G4118" s="1"/>
      <c r="N4118" s="1"/>
    </row>
    <row r="4119" spans="7:14" x14ac:dyDescent="0.3">
      <c r="G4119" s="1"/>
      <c r="N4119" s="1"/>
    </row>
    <row r="4120" spans="7:14" x14ac:dyDescent="0.3">
      <c r="G4120" s="1"/>
      <c r="N4120" s="1"/>
    </row>
    <row r="4121" spans="7:14" x14ac:dyDescent="0.3">
      <c r="G4121" s="1"/>
      <c r="N4121" s="1"/>
    </row>
    <row r="4122" spans="7:14" x14ac:dyDescent="0.3">
      <c r="G4122" s="1"/>
      <c r="N4122" s="1"/>
    </row>
    <row r="4123" spans="7:14" x14ac:dyDescent="0.3">
      <c r="G4123" s="1"/>
      <c r="N4123" s="1"/>
    </row>
    <row r="4124" spans="7:14" x14ac:dyDescent="0.3">
      <c r="G4124" s="1"/>
      <c r="N4124" s="1"/>
    </row>
    <row r="4125" spans="7:14" x14ac:dyDescent="0.3">
      <c r="G4125" s="1"/>
      <c r="N4125" s="1"/>
    </row>
    <row r="4126" spans="7:14" x14ac:dyDescent="0.3">
      <c r="G4126" s="1"/>
      <c r="N4126" s="1"/>
    </row>
    <row r="4127" spans="7:14" x14ac:dyDescent="0.3">
      <c r="G4127" s="1"/>
      <c r="N4127" s="1"/>
    </row>
    <row r="4128" spans="7:14" x14ac:dyDescent="0.3">
      <c r="G4128" s="1"/>
      <c r="N4128" s="1"/>
    </row>
    <row r="4129" spans="7:14" x14ac:dyDescent="0.3">
      <c r="G4129" s="1"/>
      <c r="N4129" s="1"/>
    </row>
    <row r="4130" spans="7:14" x14ac:dyDescent="0.3">
      <c r="G4130" s="1"/>
      <c r="N4130" s="1"/>
    </row>
    <row r="4131" spans="7:14" x14ac:dyDescent="0.3">
      <c r="G4131" s="1"/>
      <c r="N4131" s="1"/>
    </row>
    <row r="4132" spans="7:14" x14ac:dyDescent="0.3">
      <c r="G4132" s="1"/>
      <c r="N4132" s="1"/>
    </row>
    <row r="4133" spans="7:14" x14ac:dyDescent="0.3">
      <c r="G4133" s="1"/>
      <c r="N4133" s="1"/>
    </row>
    <row r="4134" spans="7:14" x14ac:dyDescent="0.3">
      <c r="G4134" s="1"/>
      <c r="N4134" s="1"/>
    </row>
    <row r="4135" spans="7:14" x14ac:dyDescent="0.3">
      <c r="G4135" s="1"/>
      <c r="N4135" s="1"/>
    </row>
    <row r="4136" spans="7:14" x14ac:dyDescent="0.3">
      <c r="G4136" s="1"/>
      <c r="N4136" s="1"/>
    </row>
    <row r="4137" spans="7:14" x14ac:dyDescent="0.3">
      <c r="G4137" s="1"/>
      <c r="N4137" s="1"/>
    </row>
    <row r="4138" spans="7:14" x14ac:dyDescent="0.3">
      <c r="G4138" s="1"/>
      <c r="N4138" s="1"/>
    </row>
    <row r="4139" spans="7:14" x14ac:dyDescent="0.3">
      <c r="G4139" s="1"/>
      <c r="N4139" s="1"/>
    </row>
    <row r="4140" spans="7:14" x14ac:dyDescent="0.3">
      <c r="G4140" s="1"/>
      <c r="N4140" s="1"/>
    </row>
    <row r="4141" spans="7:14" x14ac:dyDescent="0.3">
      <c r="G4141" s="1"/>
      <c r="N4141" s="1"/>
    </row>
    <row r="4142" spans="7:14" x14ac:dyDescent="0.3">
      <c r="G4142" s="1"/>
      <c r="N4142" s="1"/>
    </row>
    <row r="4143" spans="7:14" x14ac:dyDescent="0.3">
      <c r="G4143" s="1"/>
      <c r="N4143" s="1"/>
    </row>
    <row r="4144" spans="7:14" x14ac:dyDescent="0.3">
      <c r="G4144" s="1"/>
      <c r="N4144" s="1"/>
    </row>
    <row r="4145" spans="7:14" x14ac:dyDescent="0.3">
      <c r="G4145" s="1"/>
      <c r="N4145" s="1"/>
    </row>
    <row r="4146" spans="7:14" x14ac:dyDescent="0.3">
      <c r="G4146" s="1"/>
      <c r="N4146" s="1"/>
    </row>
    <row r="4147" spans="7:14" x14ac:dyDescent="0.3">
      <c r="G4147" s="1"/>
      <c r="N4147" s="1"/>
    </row>
    <row r="4148" spans="7:14" x14ac:dyDescent="0.3">
      <c r="G4148" s="1"/>
      <c r="N4148" s="1"/>
    </row>
    <row r="4149" spans="7:14" x14ac:dyDescent="0.3">
      <c r="G4149" s="1"/>
      <c r="N4149" s="1"/>
    </row>
    <row r="4150" spans="7:14" x14ac:dyDescent="0.3">
      <c r="G4150" s="1"/>
      <c r="N4150" s="1"/>
    </row>
    <row r="4151" spans="7:14" x14ac:dyDescent="0.3">
      <c r="G4151" s="1"/>
      <c r="N4151" s="1"/>
    </row>
    <row r="4152" spans="7:14" x14ac:dyDescent="0.3">
      <c r="G4152" s="1"/>
      <c r="N4152" s="1"/>
    </row>
    <row r="4153" spans="7:14" x14ac:dyDescent="0.3">
      <c r="G4153" s="1"/>
      <c r="N4153" s="1"/>
    </row>
    <row r="4154" spans="7:14" x14ac:dyDescent="0.3">
      <c r="G4154" s="1"/>
      <c r="N4154" s="1"/>
    </row>
    <row r="4155" spans="7:14" x14ac:dyDescent="0.3">
      <c r="G4155" s="1"/>
      <c r="N4155" s="1"/>
    </row>
    <row r="4156" spans="7:14" x14ac:dyDescent="0.3">
      <c r="G4156" s="1"/>
      <c r="N4156" s="1"/>
    </row>
    <row r="4157" spans="7:14" x14ac:dyDescent="0.3">
      <c r="G4157" s="1"/>
      <c r="N4157" s="1"/>
    </row>
    <row r="4158" spans="7:14" x14ac:dyDescent="0.3">
      <c r="G4158" s="1"/>
      <c r="N4158" s="1"/>
    </row>
    <row r="4159" spans="7:14" x14ac:dyDescent="0.3">
      <c r="G4159" s="1"/>
      <c r="N4159" s="1"/>
    </row>
    <row r="4160" spans="7:14" x14ac:dyDescent="0.3">
      <c r="G4160" s="1"/>
      <c r="N4160" s="1"/>
    </row>
    <row r="4161" spans="7:14" x14ac:dyDescent="0.3">
      <c r="G4161" s="1"/>
      <c r="N4161" s="1"/>
    </row>
    <row r="4162" spans="7:14" x14ac:dyDescent="0.3">
      <c r="G4162" s="1"/>
      <c r="N4162" s="1"/>
    </row>
    <row r="4163" spans="7:14" x14ac:dyDescent="0.3">
      <c r="G4163" s="1"/>
      <c r="N4163" s="1"/>
    </row>
    <row r="4164" spans="7:14" x14ac:dyDescent="0.3">
      <c r="G4164" s="1"/>
      <c r="N4164" s="1"/>
    </row>
    <row r="4165" spans="7:14" x14ac:dyDescent="0.3">
      <c r="G4165" s="1"/>
      <c r="N4165" s="1"/>
    </row>
    <row r="4166" spans="7:14" x14ac:dyDescent="0.3">
      <c r="G4166" s="1"/>
      <c r="N4166" s="1"/>
    </row>
    <row r="4167" spans="7:14" x14ac:dyDescent="0.3">
      <c r="G4167" s="1"/>
      <c r="N4167" s="1"/>
    </row>
    <row r="4168" spans="7:14" x14ac:dyDescent="0.3">
      <c r="G4168" s="1"/>
      <c r="N4168" s="1"/>
    </row>
    <row r="4169" spans="7:14" x14ac:dyDescent="0.3">
      <c r="G4169" s="1"/>
      <c r="N4169" s="1"/>
    </row>
    <row r="4170" spans="7:14" x14ac:dyDescent="0.3">
      <c r="G4170" s="1"/>
      <c r="N4170" s="1"/>
    </row>
    <row r="4171" spans="7:14" x14ac:dyDescent="0.3">
      <c r="G4171" s="1"/>
      <c r="N4171" s="1"/>
    </row>
    <row r="4172" spans="7:14" x14ac:dyDescent="0.3">
      <c r="G4172" s="1"/>
      <c r="N4172" s="1"/>
    </row>
    <row r="4173" spans="7:14" x14ac:dyDescent="0.3">
      <c r="G4173" s="1"/>
      <c r="N4173" s="1"/>
    </row>
    <row r="4174" spans="7:14" x14ac:dyDescent="0.3">
      <c r="G4174" s="1"/>
      <c r="N4174" s="1"/>
    </row>
    <row r="4175" spans="7:14" x14ac:dyDescent="0.3">
      <c r="G4175" s="1"/>
      <c r="N4175" s="1"/>
    </row>
    <row r="4176" spans="7:14" x14ac:dyDescent="0.3">
      <c r="G4176" s="1"/>
      <c r="N4176" s="1"/>
    </row>
    <row r="4177" spans="7:14" x14ac:dyDescent="0.3">
      <c r="G4177" s="1"/>
      <c r="N4177" s="1"/>
    </row>
    <row r="4178" spans="7:14" x14ac:dyDescent="0.3">
      <c r="G4178" s="1"/>
      <c r="N4178" s="1"/>
    </row>
    <row r="4179" spans="7:14" x14ac:dyDescent="0.3">
      <c r="G4179" s="1"/>
      <c r="N4179" s="1"/>
    </row>
    <row r="4180" spans="7:14" x14ac:dyDescent="0.3">
      <c r="G4180" s="1"/>
      <c r="N4180" s="1"/>
    </row>
    <row r="4181" spans="7:14" x14ac:dyDescent="0.3">
      <c r="G4181" s="1"/>
      <c r="N4181" s="1"/>
    </row>
    <row r="4182" spans="7:14" x14ac:dyDescent="0.3">
      <c r="G4182" s="1"/>
      <c r="N4182" s="1"/>
    </row>
    <row r="4183" spans="7:14" x14ac:dyDescent="0.3">
      <c r="G4183" s="1"/>
      <c r="N4183" s="1"/>
    </row>
    <row r="4184" spans="7:14" x14ac:dyDescent="0.3">
      <c r="G4184" s="1"/>
      <c r="N4184" s="1"/>
    </row>
    <row r="4185" spans="7:14" x14ac:dyDescent="0.3">
      <c r="G4185" s="1"/>
      <c r="N4185" s="1"/>
    </row>
    <row r="4186" spans="7:14" x14ac:dyDescent="0.3">
      <c r="G4186" s="1"/>
      <c r="N4186" s="1"/>
    </row>
    <row r="4187" spans="7:14" x14ac:dyDescent="0.3">
      <c r="G4187" s="1"/>
      <c r="N4187" s="1"/>
    </row>
    <row r="4188" spans="7:14" x14ac:dyDescent="0.3">
      <c r="G4188" s="1"/>
      <c r="N4188" s="1"/>
    </row>
    <row r="4189" spans="7:14" x14ac:dyDescent="0.3">
      <c r="G4189" s="1"/>
      <c r="N4189" s="1"/>
    </row>
    <row r="4190" spans="7:14" x14ac:dyDescent="0.3">
      <c r="G4190" s="1"/>
      <c r="N4190" s="1"/>
    </row>
    <row r="4191" spans="7:14" x14ac:dyDescent="0.3">
      <c r="G4191" s="1"/>
      <c r="N4191" s="1"/>
    </row>
    <row r="4192" spans="7:14" x14ac:dyDescent="0.3">
      <c r="G4192" s="1"/>
      <c r="N4192" s="1"/>
    </row>
    <row r="4193" spans="7:14" x14ac:dyDescent="0.3">
      <c r="G4193" s="1"/>
      <c r="N4193" s="1"/>
    </row>
    <row r="4194" spans="7:14" x14ac:dyDescent="0.3">
      <c r="G4194" s="1"/>
      <c r="N4194" s="1"/>
    </row>
    <row r="4195" spans="7:14" x14ac:dyDescent="0.3">
      <c r="G4195" s="1"/>
      <c r="N4195" s="1"/>
    </row>
    <row r="4196" spans="7:14" x14ac:dyDescent="0.3">
      <c r="G4196" s="1"/>
      <c r="N4196" s="1"/>
    </row>
    <row r="4197" spans="7:14" x14ac:dyDescent="0.3">
      <c r="G4197" s="1"/>
      <c r="N4197" s="1"/>
    </row>
    <row r="4198" spans="7:14" x14ac:dyDescent="0.3">
      <c r="G4198" s="1"/>
      <c r="N4198" s="1"/>
    </row>
    <row r="4199" spans="7:14" x14ac:dyDescent="0.3">
      <c r="G4199" s="1"/>
      <c r="N4199" s="1"/>
    </row>
    <row r="4200" spans="7:14" x14ac:dyDescent="0.3">
      <c r="G4200" s="1"/>
      <c r="N4200" s="1"/>
    </row>
    <row r="4201" spans="7:14" x14ac:dyDescent="0.3">
      <c r="G4201" s="1"/>
      <c r="N4201" s="1"/>
    </row>
    <row r="4202" spans="7:14" x14ac:dyDescent="0.3">
      <c r="G4202" s="1"/>
      <c r="N4202" s="1"/>
    </row>
    <row r="4203" spans="7:14" x14ac:dyDescent="0.3">
      <c r="G4203" s="1"/>
      <c r="N4203" s="1"/>
    </row>
    <row r="4204" spans="7:14" x14ac:dyDescent="0.3">
      <c r="G4204" s="1"/>
      <c r="N4204" s="1"/>
    </row>
    <row r="4205" spans="7:14" x14ac:dyDescent="0.3">
      <c r="G4205" s="1"/>
      <c r="N4205" s="1"/>
    </row>
    <row r="4206" spans="7:14" x14ac:dyDescent="0.3">
      <c r="G4206" s="1"/>
      <c r="N4206" s="1"/>
    </row>
    <row r="4207" spans="7:14" x14ac:dyDescent="0.3">
      <c r="G4207" s="1"/>
      <c r="N4207" s="1"/>
    </row>
    <row r="4208" spans="7:14" x14ac:dyDescent="0.3">
      <c r="G4208" s="1"/>
      <c r="N4208" s="1"/>
    </row>
    <row r="4209" spans="7:14" x14ac:dyDescent="0.3">
      <c r="G4209" s="1"/>
      <c r="N4209" s="1"/>
    </row>
    <row r="4210" spans="7:14" x14ac:dyDescent="0.3">
      <c r="G4210" s="1"/>
      <c r="N4210" s="1"/>
    </row>
    <row r="4211" spans="7:14" x14ac:dyDescent="0.3">
      <c r="G4211" s="1"/>
      <c r="N4211" s="1"/>
    </row>
    <row r="4212" spans="7:14" x14ac:dyDescent="0.3">
      <c r="G4212" s="1"/>
      <c r="N4212" s="1"/>
    </row>
    <row r="4213" spans="7:14" x14ac:dyDescent="0.3">
      <c r="G4213" s="1"/>
      <c r="N4213" s="1"/>
    </row>
    <row r="4214" spans="7:14" x14ac:dyDescent="0.3">
      <c r="G4214" s="1"/>
      <c r="N4214" s="1"/>
    </row>
    <row r="4215" spans="7:14" x14ac:dyDescent="0.3">
      <c r="G4215" s="1"/>
      <c r="N4215" s="1"/>
    </row>
    <row r="4216" spans="7:14" x14ac:dyDescent="0.3">
      <c r="G4216" s="1"/>
      <c r="N4216" s="1"/>
    </row>
    <row r="4217" spans="7:14" x14ac:dyDescent="0.3">
      <c r="G4217" s="1"/>
      <c r="N4217" s="1"/>
    </row>
    <row r="4218" spans="7:14" x14ac:dyDescent="0.3">
      <c r="G4218" s="1"/>
      <c r="N4218" s="1"/>
    </row>
    <row r="4219" spans="7:14" x14ac:dyDescent="0.3">
      <c r="G4219" s="1"/>
      <c r="N4219" s="1"/>
    </row>
    <row r="4220" spans="7:14" x14ac:dyDescent="0.3">
      <c r="G4220" s="1"/>
      <c r="N4220" s="1"/>
    </row>
    <row r="4221" spans="7:14" x14ac:dyDescent="0.3">
      <c r="G4221" s="1"/>
      <c r="N4221" s="1"/>
    </row>
    <row r="4222" spans="7:14" x14ac:dyDescent="0.3">
      <c r="G4222" s="1"/>
      <c r="N4222" s="1"/>
    </row>
    <row r="4223" spans="7:14" x14ac:dyDescent="0.3">
      <c r="G4223" s="1"/>
      <c r="N4223" s="1"/>
    </row>
    <row r="4224" spans="7:14" x14ac:dyDescent="0.3">
      <c r="G4224" s="1"/>
      <c r="N4224" s="1"/>
    </row>
    <row r="4225" spans="7:14" x14ac:dyDescent="0.3">
      <c r="G4225" s="1"/>
      <c r="N4225" s="1"/>
    </row>
    <row r="4226" spans="7:14" x14ac:dyDescent="0.3">
      <c r="G4226" s="1"/>
      <c r="N4226" s="1"/>
    </row>
    <row r="4227" spans="7:14" x14ac:dyDescent="0.3">
      <c r="G4227" s="1"/>
      <c r="N4227" s="1"/>
    </row>
    <row r="4228" spans="7:14" x14ac:dyDescent="0.3">
      <c r="G4228" s="1"/>
      <c r="N4228" s="1"/>
    </row>
    <row r="4229" spans="7:14" x14ac:dyDescent="0.3">
      <c r="G4229" s="1"/>
      <c r="N4229" s="1"/>
    </row>
    <row r="4230" spans="7:14" x14ac:dyDescent="0.3">
      <c r="G4230" s="1"/>
      <c r="N4230" s="1"/>
    </row>
    <row r="4231" spans="7:14" x14ac:dyDescent="0.3">
      <c r="G4231" s="1"/>
      <c r="N4231" s="1"/>
    </row>
    <row r="4232" spans="7:14" x14ac:dyDescent="0.3">
      <c r="G4232" s="1"/>
      <c r="N4232" s="1"/>
    </row>
    <row r="4233" spans="7:14" x14ac:dyDescent="0.3">
      <c r="G4233" s="1"/>
      <c r="N4233" s="1"/>
    </row>
    <row r="4234" spans="7:14" x14ac:dyDescent="0.3">
      <c r="G4234" s="1"/>
      <c r="N4234" s="1"/>
    </row>
    <row r="4235" spans="7:14" x14ac:dyDescent="0.3">
      <c r="G4235" s="1"/>
      <c r="N4235" s="1"/>
    </row>
    <row r="4236" spans="7:14" x14ac:dyDescent="0.3">
      <c r="G4236" s="1"/>
      <c r="N4236" s="1"/>
    </row>
    <row r="4237" spans="7:14" x14ac:dyDescent="0.3">
      <c r="G4237" s="1"/>
      <c r="N4237" s="1"/>
    </row>
    <row r="4238" spans="7:14" x14ac:dyDescent="0.3">
      <c r="G4238" s="1"/>
      <c r="N4238" s="1"/>
    </row>
    <row r="4239" spans="7:14" x14ac:dyDescent="0.3">
      <c r="G4239" s="1"/>
      <c r="N4239" s="1"/>
    </row>
    <row r="4240" spans="7:14" x14ac:dyDescent="0.3">
      <c r="G4240" s="1"/>
      <c r="N4240" s="1"/>
    </row>
    <row r="4241" spans="7:14" x14ac:dyDescent="0.3">
      <c r="G4241" s="1"/>
      <c r="N4241" s="1"/>
    </row>
    <row r="4242" spans="7:14" x14ac:dyDescent="0.3">
      <c r="G4242" s="1"/>
      <c r="N4242" s="1"/>
    </row>
    <row r="4243" spans="7:14" x14ac:dyDescent="0.3">
      <c r="G4243" s="1"/>
      <c r="N4243" s="1"/>
    </row>
    <row r="4244" spans="7:14" x14ac:dyDescent="0.3">
      <c r="G4244" s="1"/>
      <c r="N4244" s="1"/>
    </row>
    <row r="4245" spans="7:14" x14ac:dyDescent="0.3">
      <c r="G4245" s="1"/>
      <c r="N4245" s="1"/>
    </row>
    <row r="4246" spans="7:14" x14ac:dyDescent="0.3">
      <c r="G4246" s="1"/>
      <c r="N4246" s="1"/>
    </row>
    <row r="4247" spans="7:14" x14ac:dyDescent="0.3">
      <c r="G4247" s="1"/>
      <c r="N4247" s="1"/>
    </row>
    <row r="4248" spans="7:14" x14ac:dyDescent="0.3">
      <c r="G4248" s="1"/>
      <c r="N4248" s="1"/>
    </row>
    <row r="4249" spans="7:14" x14ac:dyDescent="0.3">
      <c r="G4249" s="1"/>
      <c r="N4249" s="1"/>
    </row>
    <row r="4250" spans="7:14" x14ac:dyDescent="0.3">
      <c r="G4250" s="1"/>
      <c r="N4250" s="1"/>
    </row>
    <row r="4251" spans="7:14" x14ac:dyDescent="0.3">
      <c r="G4251" s="1"/>
      <c r="N4251" s="1"/>
    </row>
    <row r="4252" spans="7:14" x14ac:dyDescent="0.3">
      <c r="G4252" s="1"/>
      <c r="N4252" s="1"/>
    </row>
    <row r="4253" spans="7:14" x14ac:dyDescent="0.3">
      <c r="G4253" s="1"/>
      <c r="N4253" s="1"/>
    </row>
    <row r="4254" spans="7:14" x14ac:dyDescent="0.3">
      <c r="G4254" s="1"/>
      <c r="N4254" s="1"/>
    </row>
    <row r="4255" spans="7:14" x14ac:dyDescent="0.3">
      <c r="G4255" s="1"/>
      <c r="N4255" s="1"/>
    </row>
    <row r="4256" spans="7:14" x14ac:dyDescent="0.3">
      <c r="G4256" s="1"/>
      <c r="N4256" s="1"/>
    </row>
    <row r="4257" spans="7:14" x14ac:dyDescent="0.3">
      <c r="G4257" s="1"/>
      <c r="N4257" s="1"/>
    </row>
    <row r="4258" spans="7:14" x14ac:dyDescent="0.3">
      <c r="G4258" s="1"/>
      <c r="N4258" s="1"/>
    </row>
    <row r="4259" spans="7:14" x14ac:dyDescent="0.3">
      <c r="G4259" s="1"/>
      <c r="N4259" s="1"/>
    </row>
    <row r="4260" spans="7:14" x14ac:dyDescent="0.3">
      <c r="G4260" s="1"/>
      <c r="N4260" s="1"/>
    </row>
    <row r="4261" spans="7:14" x14ac:dyDescent="0.3">
      <c r="G4261" s="1"/>
      <c r="N4261" s="1"/>
    </row>
    <row r="4262" spans="7:14" x14ac:dyDescent="0.3">
      <c r="G4262" s="1"/>
      <c r="N4262" s="1"/>
    </row>
    <row r="4263" spans="7:14" x14ac:dyDescent="0.3">
      <c r="G4263" s="1"/>
      <c r="N4263" s="1"/>
    </row>
    <row r="4264" spans="7:14" x14ac:dyDescent="0.3">
      <c r="G4264" s="1"/>
      <c r="N4264" s="1"/>
    </row>
    <row r="4265" spans="7:14" x14ac:dyDescent="0.3">
      <c r="G4265" s="1"/>
      <c r="N4265" s="1"/>
    </row>
    <row r="4266" spans="7:14" x14ac:dyDescent="0.3">
      <c r="G4266" s="1"/>
      <c r="N4266" s="1"/>
    </row>
    <row r="4267" spans="7:14" x14ac:dyDescent="0.3">
      <c r="G4267" s="1"/>
      <c r="N4267" s="1"/>
    </row>
    <row r="4268" spans="7:14" x14ac:dyDescent="0.3">
      <c r="G4268" s="1"/>
      <c r="N4268" s="1"/>
    </row>
    <row r="4269" spans="7:14" x14ac:dyDescent="0.3">
      <c r="G4269" s="1"/>
      <c r="N4269" s="1"/>
    </row>
    <row r="4270" spans="7:14" x14ac:dyDescent="0.3">
      <c r="G4270" s="1"/>
      <c r="N4270" s="1"/>
    </row>
    <row r="4271" spans="7:14" x14ac:dyDescent="0.3">
      <c r="G4271" s="1"/>
      <c r="N4271" s="1"/>
    </row>
    <row r="4272" spans="7:14" x14ac:dyDescent="0.3">
      <c r="G4272" s="1"/>
      <c r="N4272" s="1"/>
    </row>
    <row r="4273" spans="7:14" x14ac:dyDescent="0.3">
      <c r="G4273" s="1"/>
      <c r="N4273" s="1"/>
    </row>
    <row r="4274" spans="7:14" x14ac:dyDescent="0.3">
      <c r="G4274" s="1"/>
      <c r="N4274" s="1"/>
    </row>
    <row r="4275" spans="7:14" x14ac:dyDescent="0.3">
      <c r="G4275" s="1"/>
      <c r="N4275" s="1"/>
    </row>
    <row r="4276" spans="7:14" x14ac:dyDescent="0.3">
      <c r="G4276" s="1"/>
      <c r="N4276" s="1"/>
    </row>
    <row r="4277" spans="7:14" x14ac:dyDescent="0.3">
      <c r="G4277" s="1"/>
      <c r="N4277" s="1"/>
    </row>
    <row r="4278" spans="7:14" x14ac:dyDescent="0.3">
      <c r="G4278" s="1"/>
      <c r="N4278" s="1"/>
    </row>
    <row r="4279" spans="7:14" x14ac:dyDescent="0.3">
      <c r="G4279" s="1"/>
      <c r="N4279" s="1"/>
    </row>
    <row r="4280" spans="7:14" x14ac:dyDescent="0.3">
      <c r="G4280" s="1"/>
      <c r="N4280" s="1"/>
    </row>
    <row r="4281" spans="7:14" x14ac:dyDescent="0.3">
      <c r="G4281" s="1"/>
      <c r="N4281" s="1"/>
    </row>
    <row r="4282" spans="7:14" x14ac:dyDescent="0.3">
      <c r="G4282" s="1"/>
      <c r="N4282" s="1"/>
    </row>
    <row r="4283" spans="7:14" x14ac:dyDescent="0.3">
      <c r="G4283" s="1"/>
      <c r="N4283" s="1"/>
    </row>
    <row r="4284" spans="7:14" x14ac:dyDescent="0.3">
      <c r="G4284" s="1"/>
      <c r="N4284" s="1"/>
    </row>
    <row r="4285" spans="7:14" x14ac:dyDescent="0.3">
      <c r="G4285" s="1"/>
      <c r="N4285" s="1"/>
    </row>
    <row r="4286" spans="7:14" x14ac:dyDescent="0.3">
      <c r="G4286" s="1"/>
      <c r="N4286" s="1"/>
    </row>
    <row r="4287" spans="7:14" x14ac:dyDescent="0.3">
      <c r="G4287" s="1"/>
      <c r="N4287" s="1"/>
    </row>
    <row r="4288" spans="7:14" x14ac:dyDescent="0.3">
      <c r="G4288" s="1"/>
      <c r="N4288" s="1"/>
    </row>
    <row r="4289" spans="7:14" x14ac:dyDescent="0.3">
      <c r="G4289" s="1"/>
      <c r="N4289" s="1"/>
    </row>
    <row r="4290" spans="7:14" x14ac:dyDescent="0.3">
      <c r="G4290" s="1"/>
      <c r="N4290" s="1"/>
    </row>
    <row r="4291" spans="7:14" x14ac:dyDescent="0.3">
      <c r="G4291" s="1"/>
      <c r="N4291" s="1"/>
    </row>
    <row r="4292" spans="7:14" x14ac:dyDescent="0.3">
      <c r="G4292" s="1"/>
      <c r="N4292" s="1"/>
    </row>
    <row r="4293" spans="7:14" x14ac:dyDescent="0.3">
      <c r="G4293" s="1"/>
      <c r="N4293" s="1"/>
    </row>
    <row r="4294" spans="7:14" x14ac:dyDescent="0.3">
      <c r="G4294" s="1"/>
      <c r="N4294" s="1"/>
    </row>
    <row r="4295" spans="7:14" x14ac:dyDescent="0.3">
      <c r="G4295" s="1"/>
      <c r="N4295" s="1"/>
    </row>
    <row r="4296" spans="7:14" x14ac:dyDescent="0.3">
      <c r="G4296" s="1"/>
      <c r="N4296" s="1"/>
    </row>
    <row r="4297" spans="7:14" x14ac:dyDescent="0.3">
      <c r="G4297" s="1"/>
      <c r="N4297" s="1"/>
    </row>
    <row r="4298" spans="7:14" x14ac:dyDescent="0.3">
      <c r="G4298" s="1"/>
      <c r="N4298" s="1"/>
    </row>
    <row r="4299" spans="7:14" x14ac:dyDescent="0.3">
      <c r="G4299" s="1"/>
      <c r="N4299" s="1"/>
    </row>
    <row r="4300" spans="7:14" x14ac:dyDescent="0.3">
      <c r="G4300" s="1"/>
      <c r="N4300" s="1"/>
    </row>
    <row r="4301" spans="7:14" x14ac:dyDescent="0.3">
      <c r="G4301" s="1"/>
      <c r="N4301" s="1"/>
    </row>
    <row r="4302" spans="7:14" x14ac:dyDescent="0.3">
      <c r="G4302" s="1"/>
      <c r="N4302" s="1"/>
    </row>
    <row r="4303" spans="7:14" x14ac:dyDescent="0.3">
      <c r="G4303" s="1"/>
      <c r="N4303" s="1"/>
    </row>
    <row r="4304" spans="7:14" x14ac:dyDescent="0.3">
      <c r="G4304" s="1"/>
      <c r="N4304" s="1"/>
    </row>
    <row r="4305" spans="7:14" x14ac:dyDescent="0.3">
      <c r="G4305" s="1"/>
      <c r="N4305" s="1"/>
    </row>
    <row r="4306" spans="7:14" x14ac:dyDescent="0.3">
      <c r="G4306" s="1"/>
      <c r="N4306" s="1"/>
    </row>
    <row r="4307" spans="7:14" x14ac:dyDescent="0.3">
      <c r="G4307" s="1"/>
      <c r="N4307" s="1"/>
    </row>
    <row r="4308" spans="7:14" x14ac:dyDescent="0.3">
      <c r="G4308" s="1"/>
      <c r="N4308" s="1"/>
    </row>
    <row r="4309" spans="7:14" x14ac:dyDescent="0.3">
      <c r="G4309" s="1"/>
      <c r="N4309" s="1"/>
    </row>
    <row r="4310" spans="7:14" x14ac:dyDescent="0.3">
      <c r="G4310" s="1"/>
      <c r="N4310" s="1"/>
    </row>
    <row r="4311" spans="7:14" x14ac:dyDescent="0.3">
      <c r="G4311" s="1"/>
      <c r="N4311" s="1"/>
    </row>
    <row r="4312" spans="7:14" x14ac:dyDescent="0.3">
      <c r="G4312" s="1"/>
      <c r="N4312" s="1"/>
    </row>
    <row r="4313" spans="7:14" x14ac:dyDescent="0.3">
      <c r="G4313" s="1"/>
      <c r="N4313" s="1"/>
    </row>
    <row r="4314" spans="7:14" x14ac:dyDescent="0.3">
      <c r="G4314" s="1"/>
      <c r="N4314" s="1"/>
    </row>
    <row r="4315" spans="7:14" x14ac:dyDescent="0.3">
      <c r="G4315" s="1"/>
      <c r="N4315" s="1"/>
    </row>
    <row r="4316" spans="7:14" x14ac:dyDescent="0.3">
      <c r="G4316" s="1"/>
      <c r="N4316" s="1"/>
    </row>
    <row r="4317" spans="7:14" x14ac:dyDescent="0.3">
      <c r="G4317" s="1"/>
      <c r="N4317" s="1"/>
    </row>
    <row r="4318" spans="7:14" x14ac:dyDescent="0.3">
      <c r="G4318" s="1"/>
      <c r="N4318" s="1"/>
    </row>
    <row r="4319" spans="7:14" x14ac:dyDescent="0.3">
      <c r="G4319" s="1"/>
      <c r="N4319" s="1"/>
    </row>
    <row r="4320" spans="7:14" x14ac:dyDescent="0.3">
      <c r="G4320" s="1"/>
      <c r="N4320" s="1"/>
    </row>
    <row r="4321" spans="7:14" x14ac:dyDescent="0.3">
      <c r="G4321" s="1"/>
      <c r="N4321" s="1"/>
    </row>
    <row r="4322" spans="7:14" x14ac:dyDescent="0.3">
      <c r="G4322" s="1"/>
      <c r="N4322" s="1"/>
    </row>
    <row r="4323" spans="7:14" x14ac:dyDescent="0.3">
      <c r="G4323" s="1"/>
      <c r="N4323" s="1"/>
    </row>
    <row r="4324" spans="7:14" x14ac:dyDescent="0.3">
      <c r="G4324" s="1"/>
      <c r="N4324" s="1"/>
    </row>
    <row r="4325" spans="7:14" x14ac:dyDescent="0.3">
      <c r="G4325" s="1"/>
      <c r="N4325" s="1"/>
    </row>
    <row r="4326" spans="7:14" x14ac:dyDescent="0.3">
      <c r="G4326" s="1"/>
      <c r="N4326" s="1"/>
    </row>
    <row r="4327" spans="7:14" x14ac:dyDescent="0.3">
      <c r="G4327" s="1"/>
      <c r="N4327" s="1"/>
    </row>
    <row r="4328" spans="7:14" x14ac:dyDescent="0.3">
      <c r="G4328" s="1"/>
      <c r="N4328" s="1"/>
    </row>
    <row r="4329" spans="7:14" x14ac:dyDescent="0.3">
      <c r="G4329" s="1"/>
      <c r="N4329" s="1"/>
    </row>
    <row r="4330" spans="7:14" x14ac:dyDescent="0.3">
      <c r="G4330" s="1"/>
      <c r="N4330" s="1"/>
    </row>
    <row r="4331" spans="7:14" x14ac:dyDescent="0.3">
      <c r="G4331" s="1"/>
      <c r="N4331" s="1"/>
    </row>
    <row r="4332" spans="7:14" x14ac:dyDescent="0.3">
      <c r="G4332" s="1"/>
      <c r="N4332" s="1"/>
    </row>
    <row r="4333" spans="7:14" x14ac:dyDescent="0.3">
      <c r="G4333" s="1"/>
      <c r="N4333" s="1"/>
    </row>
    <row r="4334" spans="7:14" x14ac:dyDescent="0.3">
      <c r="G4334" s="1"/>
      <c r="N4334" s="1"/>
    </row>
    <row r="4335" spans="7:14" x14ac:dyDescent="0.3">
      <c r="G4335" s="1"/>
      <c r="N4335" s="1"/>
    </row>
    <row r="4336" spans="7:14" x14ac:dyDescent="0.3">
      <c r="G4336" s="1"/>
      <c r="N4336" s="1"/>
    </row>
    <row r="4337" spans="7:14" x14ac:dyDescent="0.3">
      <c r="G4337" s="1"/>
      <c r="N4337" s="1"/>
    </row>
    <row r="4338" spans="7:14" x14ac:dyDescent="0.3">
      <c r="G4338" s="1"/>
      <c r="N4338" s="1"/>
    </row>
    <row r="4339" spans="7:14" x14ac:dyDescent="0.3">
      <c r="G4339" s="1"/>
      <c r="N4339" s="1"/>
    </row>
    <row r="4340" spans="7:14" x14ac:dyDescent="0.3">
      <c r="G4340" s="1"/>
      <c r="N4340" s="1"/>
    </row>
    <row r="4341" spans="7:14" x14ac:dyDescent="0.3">
      <c r="G4341" s="1"/>
      <c r="N4341" s="1"/>
    </row>
    <row r="4342" spans="7:14" x14ac:dyDescent="0.3">
      <c r="G4342" s="1"/>
      <c r="N4342" s="1"/>
    </row>
    <row r="4343" spans="7:14" x14ac:dyDescent="0.3">
      <c r="G4343" s="1"/>
      <c r="N4343" s="1"/>
    </row>
    <row r="4344" spans="7:14" x14ac:dyDescent="0.3">
      <c r="G4344" s="1"/>
      <c r="N4344" s="1"/>
    </row>
    <row r="4345" spans="7:14" x14ac:dyDescent="0.3">
      <c r="G4345" s="1"/>
      <c r="N4345" s="1"/>
    </row>
    <row r="4346" spans="7:14" x14ac:dyDescent="0.3">
      <c r="G4346" s="1"/>
      <c r="N4346" s="1"/>
    </row>
    <row r="4347" spans="7:14" x14ac:dyDescent="0.3">
      <c r="G4347" s="1"/>
      <c r="N4347" s="1"/>
    </row>
    <row r="4348" spans="7:14" x14ac:dyDescent="0.3">
      <c r="G4348" s="1"/>
      <c r="N4348" s="1"/>
    </row>
    <row r="4349" spans="7:14" x14ac:dyDescent="0.3">
      <c r="G4349" s="1"/>
      <c r="N4349" s="1"/>
    </row>
    <row r="4350" spans="7:14" x14ac:dyDescent="0.3">
      <c r="G4350" s="1"/>
      <c r="N4350" s="1"/>
    </row>
    <row r="4351" spans="7:14" x14ac:dyDescent="0.3">
      <c r="G4351" s="1"/>
      <c r="N4351" s="1"/>
    </row>
    <row r="4352" spans="7:14" x14ac:dyDescent="0.3">
      <c r="G4352" s="1"/>
      <c r="N4352" s="1"/>
    </row>
    <row r="4353" spans="7:14" x14ac:dyDescent="0.3">
      <c r="G4353" s="1"/>
      <c r="N4353" s="1"/>
    </row>
    <row r="4354" spans="7:14" x14ac:dyDescent="0.3">
      <c r="G4354" s="1"/>
      <c r="N4354" s="1"/>
    </row>
    <row r="4355" spans="7:14" x14ac:dyDescent="0.3">
      <c r="G4355" s="1"/>
      <c r="N4355" s="1"/>
    </row>
    <row r="4356" spans="7:14" x14ac:dyDescent="0.3">
      <c r="G4356" s="1"/>
      <c r="N4356" s="1"/>
    </row>
    <row r="4357" spans="7:14" x14ac:dyDescent="0.3">
      <c r="G4357" s="1"/>
      <c r="N4357" s="1"/>
    </row>
    <row r="4358" spans="7:14" x14ac:dyDescent="0.3">
      <c r="G4358" s="1"/>
      <c r="N4358" s="1"/>
    </row>
    <row r="4359" spans="7:14" x14ac:dyDescent="0.3">
      <c r="G4359" s="1"/>
      <c r="N4359" s="1"/>
    </row>
    <row r="4360" spans="7:14" x14ac:dyDescent="0.3">
      <c r="G4360" s="1"/>
      <c r="N4360" s="1"/>
    </row>
    <row r="4361" spans="7:14" x14ac:dyDescent="0.3">
      <c r="G4361" s="1"/>
      <c r="N4361" s="1"/>
    </row>
    <row r="4362" spans="7:14" x14ac:dyDescent="0.3">
      <c r="G4362" s="1"/>
      <c r="N4362" s="1"/>
    </row>
    <row r="4363" spans="7:14" x14ac:dyDescent="0.3">
      <c r="G4363" s="1"/>
      <c r="N4363" s="1"/>
    </row>
    <row r="4364" spans="7:14" x14ac:dyDescent="0.3">
      <c r="G4364" s="1"/>
      <c r="N4364" s="1"/>
    </row>
    <row r="4365" spans="7:14" x14ac:dyDescent="0.3">
      <c r="G4365" s="1"/>
      <c r="N4365" s="1"/>
    </row>
    <row r="4366" spans="7:14" x14ac:dyDescent="0.3">
      <c r="G4366" s="1"/>
      <c r="N4366" s="1"/>
    </row>
    <row r="4367" spans="7:14" x14ac:dyDescent="0.3">
      <c r="G4367" s="1"/>
      <c r="N4367" s="1"/>
    </row>
    <row r="4368" spans="7:14" x14ac:dyDescent="0.3">
      <c r="G4368" s="1"/>
      <c r="N4368" s="1"/>
    </row>
    <row r="4369" spans="7:14" x14ac:dyDescent="0.3">
      <c r="G4369" s="1"/>
      <c r="N4369" s="1"/>
    </row>
    <row r="4370" spans="7:14" x14ac:dyDescent="0.3">
      <c r="G4370" s="1"/>
      <c r="N4370" s="1"/>
    </row>
    <row r="4371" spans="7:14" x14ac:dyDescent="0.3">
      <c r="G4371" s="1"/>
      <c r="N4371" s="1"/>
    </row>
    <row r="4372" spans="7:14" x14ac:dyDescent="0.3">
      <c r="G4372" s="1"/>
      <c r="N4372" s="1"/>
    </row>
    <row r="4373" spans="7:14" x14ac:dyDescent="0.3">
      <c r="G4373" s="1"/>
      <c r="N4373" s="1"/>
    </row>
    <row r="4374" spans="7:14" x14ac:dyDescent="0.3">
      <c r="G4374" s="1"/>
      <c r="N4374" s="1"/>
    </row>
    <row r="4375" spans="7:14" x14ac:dyDescent="0.3">
      <c r="G4375" s="1"/>
      <c r="N4375" s="1"/>
    </row>
    <row r="4376" spans="7:14" x14ac:dyDescent="0.3">
      <c r="G4376" s="1"/>
      <c r="N4376" s="1"/>
    </row>
    <row r="4377" spans="7:14" x14ac:dyDescent="0.3">
      <c r="G4377" s="1"/>
      <c r="N4377" s="1"/>
    </row>
    <row r="4378" spans="7:14" x14ac:dyDescent="0.3">
      <c r="G4378" s="1"/>
      <c r="N4378" s="1"/>
    </row>
    <row r="4379" spans="7:14" x14ac:dyDescent="0.3">
      <c r="G4379" s="1"/>
      <c r="N4379" s="1"/>
    </row>
    <row r="4380" spans="7:14" x14ac:dyDescent="0.3">
      <c r="G4380" s="1"/>
      <c r="N4380" s="1"/>
    </row>
    <row r="4381" spans="7:14" x14ac:dyDescent="0.3">
      <c r="G4381" s="1"/>
      <c r="N4381" s="1"/>
    </row>
    <row r="4382" spans="7:14" x14ac:dyDescent="0.3">
      <c r="G4382" s="1"/>
      <c r="N4382" s="1"/>
    </row>
    <row r="4383" spans="7:14" x14ac:dyDescent="0.3">
      <c r="G4383" s="1"/>
      <c r="N4383" s="1"/>
    </row>
    <row r="4384" spans="7:14" x14ac:dyDescent="0.3">
      <c r="G4384" s="1"/>
      <c r="N4384" s="1"/>
    </row>
    <row r="4385" spans="7:14" x14ac:dyDescent="0.3">
      <c r="G4385" s="1"/>
      <c r="N4385" s="1"/>
    </row>
    <row r="4386" spans="7:14" x14ac:dyDescent="0.3">
      <c r="G4386" s="1"/>
      <c r="N4386" s="1"/>
    </row>
    <row r="4387" spans="7:14" x14ac:dyDescent="0.3">
      <c r="G4387" s="1"/>
      <c r="N4387" s="1"/>
    </row>
    <row r="4388" spans="7:14" x14ac:dyDescent="0.3">
      <c r="G4388" s="1"/>
      <c r="N4388" s="1"/>
    </row>
    <row r="4389" spans="7:14" x14ac:dyDescent="0.3">
      <c r="G4389" s="1"/>
      <c r="N4389" s="1"/>
    </row>
    <row r="4390" spans="7:14" x14ac:dyDescent="0.3">
      <c r="G4390" s="1"/>
      <c r="N4390" s="1"/>
    </row>
    <row r="4391" spans="7:14" x14ac:dyDescent="0.3">
      <c r="G4391" s="1"/>
      <c r="N4391" s="1"/>
    </row>
    <row r="4392" spans="7:14" x14ac:dyDescent="0.3">
      <c r="G4392" s="1"/>
      <c r="N4392" s="1"/>
    </row>
    <row r="4393" spans="7:14" x14ac:dyDescent="0.3">
      <c r="G4393" s="1"/>
      <c r="N4393" s="1"/>
    </row>
    <row r="4394" spans="7:14" x14ac:dyDescent="0.3">
      <c r="G4394" s="1"/>
      <c r="N4394" s="1"/>
    </row>
    <row r="4395" spans="7:14" x14ac:dyDescent="0.3">
      <c r="G4395" s="1"/>
      <c r="N4395" s="1"/>
    </row>
    <row r="4396" spans="7:14" x14ac:dyDescent="0.3">
      <c r="G4396" s="1"/>
      <c r="N4396" s="1"/>
    </row>
    <row r="4397" spans="7:14" x14ac:dyDescent="0.3">
      <c r="G4397" s="1"/>
      <c r="N4397" s="1"/>
    </row>
    <row r="4398" spans="7:14" x14ac:dyDescent="0.3">
      <c r="G4398" s="1"/>
      <c r="N4398" s="1"/>
    </row>
    <row r="4399" spans="7:14" x14ac:dyDescent="0.3">
      <c r="G4399" s="1"/>
      <c r="N4399" s="1"/>
    </row>
    <row r="4400" spans="7:14" x14ac:dyDescent="0.3">
      <c r="G4400" s="1"/>
      <c r="N4400" s="1"/>
    </row>
    <row r="4401" spans="7:14" x14ac:dyDescent="0.3">
      <c r="G4401" s="1"/>
      <c r="N4401" s="1"/>
    </row>
    <row r="4402" spans="7:14" x14ac:dyDescent="0.3">
      <c r="G4402" s="1"/>
      <c r="N4402" s="1"/>
    </row>
    <row r="4403" spans="7:14" x14ac:dyDescent="0.3">
      <c r="G4403" s="1"/>
      <c r="N4403" s="1"/>
    </row>
    <row r="4404" spans="7:14" x14ac:dyDescent="0.3">
      <c r="G4404" s="1"/>
      <c r="N4404" s="1"/>
    </row>
    <row r="4405" spans="7:14" x14ac:dyDescent="0.3">
      <c r="G4405" s="1"/>
      <c r="N4405" s="1"/>
    </row>
    <row r="4406" spans="7:14" x14ac:dyDescent="0.3">
      <c r="G4406" s="1"/>
      <c r="N4406" s="1"/>
    </row>
    <row r="4407" spans="7:14" x14ac:dyDescent="0.3">
      <c r="G4407" s="1"/>
      <c r="N4407" s="1"/>
    </row>
    <row r="4408" spans="7:14" x14ac:dyDescent="0.3">
      <c r="G4408" s="1"/>
      <c r="N4408" s="1"/>
    </row>
    <row r="4409" spans="7:14" x14ac:dyDescent="0.3">
      <c r="G4409" s="1"/>
      <c r="N4409" s="1"/>
    </row>
    <row r="4410" spans="7:14" x14ac:dyDescent="0.3">
      <c r="G4410" s="1"/>
      <c r="N4410" s="1"/>
    </row>
    <row r="4411" spans="7:14" x14ac:dyDescent="0.3">
      <c r="G4411" s="1"/>
      <c r="N4411" s="1"/>
    </row>
    <row r="4412" spans="7:14" x14ac:dyDescent="0.3">
      <c r="G4412" s="1"/>
      <c r="N4412" s="1"/>
    </row>
    <row r="4413" spans="7:14" x14ac:dyDescent="0.3">
      <c r="G4413" s="1"/>
      <c r="N4413" s="1"/>
    </row>
    <row r="4414" spans="7:14" x14ac:dyDescent="0.3">
      <c r="G4414" s="1"/>
      <c r="N4414" s="1"/>
    </row>
    <row r="4415" spans="7:14" x14ac:dyDescent="0.3">
      <c r="G4415" s="1"/>
      <c r="N4415" s="1"/>
    </row>
    <row r="4416" spans="7:14" x14ac:dyDescent="0.3">
      <c r="G4416" s="1"/>
      <c r="N4416" s="1"/>
    </row>
    <row r="4417" spans="7:14" x14ac:dyDescent="0.3">
      <c r="G4417" s="1"/>
      <c r="N4417" s="1"/>
    </row>
    <row r="4418" spans="7:14" x14ac:dyDescent="0.3">
      <c r="G4418" s="1"/>
      <c r="N4418" s="1"/>
    </row>
    <row r="4419" spans="7:14" x14ac:dyDescent="0.3">
      <c r="G4419" s="1"/>
      <c r="N4419" s="1"/>
    </row>
    <row r="4420" spans="7:14" x14ac:dyDescent="0.3">
      <c r="G4420" s="1"/>
      <c r="N4420" s="1"/>
    </row>
    <row r="4421" spans="7:14" x14ac:dyDescent="0.3">
      <c r="G4421" s="1"/>
      <c r="N4421" s="1"/>
    </row>
    <row r="4422" spans="7:14" x14ac:dyDescent="0.3">
      <c r="G4422" s="1"/>
      <c r="N4422" s="1"/>
    </row>
    <row r="4423" spans="7:14" x14ac:dyDescent="0.3">
      <c r="G4423" s="1"/>
      <c r="N4423" s="1"/>
    </row>
    <row r="4424" spans="7:14" x14ac:dyDescent="0.3">
      <c r="G4424" s="1"/>
      <c r="N4424" s="1"/>
    </row>
    <row r="4425" spans="7:14" x14ac:dyDescent="0.3">
      <c r="G4425" s="1"/>
      <c r="N4425" s="1"/>
    </row>
    <row r="4426" spans="7:14" x14ac:dyDescent="0.3">
      <c r="G4426" s="1"/>
      <c r="N4426" s="1"/>
    </row>
    <row r="4427" spans="7:14" x14ac:dyDescent="0.3">
      <c r="G4427" s="1"/>
      <c r="N4427" s="1"/>
    </row>
    <row r="4428" spans="7:14" x14ac:dyDescent="0.3">
      <c r="G4428" s="1"/>
      <c r="N4428" s="1"/>
    </row>
    <row r="4429" spans="7:14" x14ac:dyDescent="0.3">
      <c r="G4429" s="1"/>
      <c r="N4429" s="1"/>
    </row>
    <row r="4430" spans="7:14" x14ac:dyDescent="0.3">
      <c r="G4430" s="1"/>
      <c r="N4430" s="1"/>
    </row>
    <row r="4431" spans="7:14" x14ac:dyDescent="0.3">
      <c r="G4431" s="1"/>
      <c r="N4431" s="1"/>
    </row>
    <row r="4432" spans="7:14" x14ac:dyDescent="0.3">
      <c r="G4432" s="1"/>
      <c r="N4432" s="1"/>
    </row>
    <row r="4433" spans="7:14" x14ac:dyDescent="0.3">
      <c r="G4433" s="1"/>
      <c r="N4433" s="1"/>
    </row>
    <row r="4434" spans="7:14" x14ac:dyDescent="0.3">
      <c r="G4434" s="1"/>
      <c r="N4434" s="1"/>
    </row>
    <row r="4435" spans="7:14" x14ac:dyDescent="0.3">
      <c r="G4435" s="1"/>
      <c r="N4435" s="1"/>
    </row>
    <row r="4436" spans="7:14" x14ac:dyDescent="0.3">
      <c r="G4436" s="1"/>
      <c r="N4436" s="1"/>
    </row>
    <row r="4437" spans="7:14" x14ac:dyDescent="0.3">
      <c r="G4437" s="1"/>
      <c r="N4437" s="1"/>
    </row>
    <row r="4438" spans="7:14" x14ac:dyDescent="0.3">
      <c r="G4438" s="1"/>
      <c r="N4438" s="1"/>
    </row>
    <row r="4439" spans="7:14" x14ac:dyDescent="0.3">
      <c r="G4439" s="1"/>
      <c r="N4439" s="1"/>
    </row>
    <row r="4440" spans="7:14" x14ac:dyDescent="0.3">
      <c r="G4440" s="1"/>
      <c r="N4440" s="1"/>
    </row>
    <row r="4441" spans="7:14" x14ac:dyDescent="0.3">
      <c r="G4441" s="1"/>
      <c r="N4441" s="1"/>
    </row>
    <row r="4442" spans="7:14" x14ac:dyDescent="0.3">
      <c r="G4442" s="1"/>
      <c r="N4442" s="1"/>
    </row>
    <row r="4443" spans="7:14" x14ac:dyDescent="0.3">
      <c r="G4443" s="1"/>
      <c r="N4443" s="1"/>
    </row>
    <row r="4444" spans="7:14" x14ac:dyDescent="0.3">
      <c r="G4444" s="1"/>
      <c r="N4444" s="1"/>
    </row>
    <row r="4445" spans="7:14" x14ac:dyDescent="0.3">
      <c r="G4445" s="1"/>
      <c r="N4445" s="1"/>
    </row>
    <row r="4446" spans="7:14" x14ac:dyDescent="0.3">
      <c r="G4446" s="1"/>
      <c r="N4446" s="1"/>
    </row>
    <row r="4447" spans="7:14" x14ac:dyDescent="0.3">
      <c r="G4447" s="1"/>
      <c r="N4447" s="1"/>
    </row>
    <row r="4448" spans="7:14" x14ac:dyDescent="0.3">
      <c r="G4448" s="1"/>
      <c r="N4448" s="1"/>
    </row>
    <row r="4449" spans="7:14" x14ac:dyDescent="0.3">
      <c r="G4449" s="1"/>
      <c r="N4449" s="1"/>
    </row>
    <row r="4450" spans="7:14" x14ac:dyDescent="0.3">
      <c r="G4450" s="1"/>
      <c r="N4450" s="1"/>
    </row>
    <row r="4451" spans="7:14" x14ac:dyDescent="0.3">
      <c r="G4451" s="1"/>
      <c r="N4451" s="1"/>
    </row>
    <row r="4452" spans="7:14" x14ac:dyDescent="0.3">
      <c r="G4452" s="1"/>
      <c r="N4452" s="1"/>
    </row>
    <row r="4453" spans="7:14" x14ac:dyDescent="0.3">
      <c r="G4453" s="1"/>
      <c r="N4453" s="1"/>
    </row>
    <row r="4454" spans="7:14" x14ac:dyDescent="0.3">
      <c r="G4454" s="1"/>
      <c r="N4454" s="1"/>
    </row>
    <row r="4455" spans="7:14" x14ac:dyDescent="0.3">
      <c r="G4455" s="1"/>
      <c r="N4455" s="1"/>
    </row>
    <row r="4456" spans="7:14" x14ac:dyDescent="0.3">
      <c r="G4456" s="1"/>
      <c r="N4456" s="1"/>
    </row>
    <row r="4457" spans="7:14" x14ac:dyDescent="0.3">
      <c r="G4457" s="1"/>
      <c r="N4457" s="1"/>
    </row>
    <row r="4458" spans="7:14" x14ac:dyDescent="0.3">
      <c r="G4458" s="1"/>
      <c r="N4458" s="1"/>
    </row>
    <row r="4459" spans="7:14" x14ac:dyDescent="0.3">
      <c r="G4459" s="1"/>
      <c r="N4459" s="1"/>
    </row>
    <row r="4460" spans="7:14" x14ac:dyDescent="0.3">
      <c r="G4460" s="1"/>
      <c r="N4460" s="1"/>
    </row>
    <row r="4461" spans="7:14" x14ac:dyDescent="0.3">
      <c r="G4461" s="1"/>
      <c r="N4461" s="1"/>
    </row>
    <row r="4462" spans="7:14" x14ac:dyDescent="0.3">
      <c r="G4462" s="1"/>
      <c r="N4462" s="1"/>
    </row>
    <row r="4463" spans="7:14" x14ac:dyDescent="0.3">
      <c r="G4463" s="1"/>
      <c r="N4463" s="1"/>
    </row>
    <row r="4464" spans="7:14" x14ac:dyDescent="0.3">
      <c r="G4464" s="1"/>
      <c r="N4464" s="1"/>
    </row>
    <row r="4465" spans="7:14" x14ac:dyDescent="0.3">
      <c r="G4465" s="1"/>
      <c r="N4465" s="1"/>
    </row>
    <row r="4466" spans="7:14" x14ac:dyDescent="0.3">
      <c r="G4466" s="1"/>
      <c r="N4466" s="1"/>
    </row>
    <row r="4467" spans="7:14" x14ac:dyDescent="0.3">
      <c r="G4467" s="1"/>
      <c r="N4467" s="1"/>
    </row>
    <row r="4468" spans="7:14" x14ac:dyDescent="0.3">
      <c r="G4468" s="1"/>
      <c r="N4468" s="1"/>
    </row>
    <row r="4469" spans="7:14" x14ac:dyDescent="0.3">
      <c r="G4469" s="1"/>
      <c r="N4469" s="1"/>
    </row>
    <row r="4470" spans="7:14" x14ac:dyDescent="0.3">
      <c r="G4470" s="1"/>
      <c r="N4470" s="1"/>
    </row>
    <row r="4471" spans="7:14" x14ac:dyDescent="0.3">
      <c r="G4471" s="1"/>
      <c r="N4471" s="1"/>
    </row>
    <row r="4472" spans="7:14" x14ac:dyDescent="0.3">
      <c r="G4472" s="1"/>
      <c r="N4472" s="1"/>
    </row>
    <row r="4473" spans="7:14" x14ac:dyDescent="0.3">
      <c r="G4473" s="1"/>
      <c r="N4473" s="1"/>
    </row>
    <row r="4474" spans="7:14" x14ac:dyDescent="0.3">
      <c r="G4474" s="1"/>
      <c r="N4474" s="1"/>
    </row>
    <row r="4475" spans="7:14" x14ac:dyDescent="0.3">
      <c r="G4475" s="1"/>
      <c r="N4475" s="1"/>
    </row>
    <row r="4476" spans="7:14" x14ac:dyDescent="0.3">
      <c r="G4476" s="1"/>
      <c r="N4476" s="1"/>
    </row>
    <row r="4477" spans="7:14" x14ac:dyDescent="0.3">
      <c r="G4477" s="1"/>
      <c r="N4477" s="1"/>
    </row>
    <row r="4478" spans="7:14" x14ac:dyDescent="0.3">
      <c r="G4478" s="1"/>
      <c r="N4478" s="1"/>
    </row>
    <row r="4479" spans="7:14" x14ac:dyDescent="0.3">
      <c r="G4479" s="1"/>
      <c r="N4479" s="1"/>
    </row>
    <row r="4480" spans="7:14" x14ac:dyDescent="0.3">
      <c r="G4480" s="1"/>
      <c r="N4480" s="1"/>
    </row>
    <row r="4481" spans="7:14" x14ac:dyDescent="0.3">
      <c r="G4481" s="1"/>
      <c r="N4481" s="1"/>
    </row>
    <row r="4482" spans="7:14" x14ac:dyDescent="0.3">
      <c r="G4482" s="1"/>
      <c r="N4482" s="1"/>
    </row>
    <row r="4483" spans="7:14" x14ac:dyDescent="0.3">
      <c r="G4483" s="1"/>
      <c r="N4483" s="1"/>
    </row>
    <row r="4484" spans="7:14" x14ac:dyDescent="0.3">
      <c r="G4484" s="1"/>
      <c r="N4484" s="1"/>
    </row>
    <row r="4485" spans="7:14" x14ac:dyDescent="0.3">
      <c r="G4485" s="1"/>
      <c r="N4485" s="1"/>
    </row>
    <row r="4486" spans="7:14" x14ac:dyDescent="0.3">
      <c r="G4486" s="1"/>
      <c r="N4486" s="1"/>
    </row>
    <row r="4487" spans="7:14" x14ac:dyDescent="0.3">
      <c r="G4487" s="1"/>
      <c r="N4487" s="1"/>
    </row>
    <row r="4488" spans="7:14" x14ac:dyDescent="0.3">
      <c r="G4488" s="1"/>
      <c r="N4488" s="1"/>
    </row>
    <row r="4489" spans="7:14" x14ac:dyDescent="0.3">
      <c r="G4489" s="1"/>
      <c r="N4489" s="1"/>
    </row>
    <row r="4490" spans="7:14" x14ac:dyDescent="0.3">
      <c r="G4490" s="1"/>
      <c r="N4490" s="1"/>
    </row>
    <row r="4491" spans="7:14" x14ac:dyDescent="0.3">
      <c r="G4491" s="1"/>
      <c r="N4491" s="1"/>
    </row>
    <row r="4492" spans="7:14" x14ac:dyDescent="0.3">
      <c r="G4492" s="1"/>
      <c r="N4492" s="1"/>
    </row>
    <row r="4493" spans="7:14" x14ac:dyDescent="0.3">
      <c r="G4493" s="1"/>
      <c r="N4493" s="1"/>
    </row>
    <row r="4494" spans="7:14" x14ac:dyDescent="0.3">
      <c r="G4494" s="1"/>
      <c r="N4494" s="1"/>
    </row>
    <row r="4495" spans="7:14" x14ac:dyDescent="0.3">
      <c r="G4495" s="1"/>
      <c r="N4495" s="1"/>
    </row>
    <row r="4496" spans="7:14" x14ac:dyDescent="0.3">
      <c r="G4496" s="1"/>
      <c r="N4496" s="1"/>
    </row>
    <row r="4497" spans="7:14" x14ac:dyDescent="0.3">
      <c r="G4497" s="1"/>
      <c r="N4497" s="1"/>
    </row>
    <row r="4498" spans="7:14" x14ac:dyDescent="0.3">
      <c r="G4498" s="1"/>
      <c r="N4498" s="1"/>
    </row>
    <row r="4499" spans="7:14" x14ac:dyDescent="0.3">
      <c r="G4499" s="1"/>
      <c r="N4499" s="1"/>
    </row>
    <row r="4500" spans="7:14" x14ac:dyDescent="0.3">
      <c r="G4500" s="1"/>
      <c r="N4500" s="1"/>
    </row>
    <row r="4501" spans="7:14" x14ac:dyDescent="0.3">
      <c r="G4501" s="1"/>
      <c r="N4501" s="1"/>
    </row>
    <row r="4502" spans="7:14" x14ac:dyDescent="0.3">
      <c r="G4502" s="1"/>
      <c r="N4502" s="1"/>
    </row>
    <row r="4503" spans="7:14" x14ac:dyDescent="0.3">
      <c r="G4503" s="1"/>
      <c r="N4503" s="1"/>
    </row>
    <row r="4504" spans="7:14" x14ac:dyDescent="0.3">
      <c r="G4504" s="1"/>
      <c r="N4504" s="1"/>
    </row>
    <row r="4505" spans="7:14" x14ac:dyDescent="0.3">
      <c r="G4505" s="1"/>
      <c r="N4505" s="1"/>
    </row>
    <row r="4506" spans="7:14" x14ac:dyDescent="0.3">
      <c r="G4506" s="1"/>
      <c r="N4506" s="1"/>
    </row>
    <row r="4507" spans="7:14" x14ac:dyDescent="0.3">
      <c r="G4507" s="1"/>
      <c r="N4507" s="1"/>
    </row>
    <row r="4508" spans="7:14" x14ac:dyDescent="0.3">
      <c r="G4508" s="1"/>
      <c r="N4508" s="1"/>
    </row>
    <row r="4509" spans="7:14" x14ac:dyDescent="0.3">
      <c r="G4509" s="1"/>
      <c r="N4509" s="1"/>
    </row>
    <row r="4510" spans="7:14" x14ac:dyDescent="0.3">
      <c r="G4510" s="1"/>
      <c r="N4510" s="1"/>
    </row>
    <row r="4511" spans="7:14" x14ac:dyDescent="0.3">
      <c r="G4511" s="1"/>
      <c r="N4511" s="1"/>
    </row>
    <row r="4512" spans="7:14" x14ac:dyDescent="0.3">
      <c r="G4512" s="1"/>
      <c r="N4512" s="1"/>
    </row>
    <row r="4513" spans="7:14" x14ac:dyDescent="0.3">
      <c r="G4513" s="1"/>
      <c r="N4513" s="1"/>
    </row>
    <row r="4514" spans="7:14" x14ac:dyDescent="0.3">
      <c r="G4514" s="1"/>
      <c r="N4514" s="1"/>
    </row>
    <row r="4515" spans="7:14" x14ac:dyDescent="0.3">
      <c r="G4515" s="1"/>
      <c r="N4515" s="1"/>
    </row>
    <row r="4516" spans="7:14" x14ac:dyDescent="0.3">
      <c r="G4516" s="1"/>
      <c r="N4516" s="1"/>
    </row>
    <row r="4517" spans="7:14" x14ac:dyDescent="0.3">
      <c r="G4517" s="1"/>
      <c r="N4517" s="1"/>
    </row>
    <row r="4518" spans="7:14" x14ac:dyDescent="0.3">
      <c r="G4518" s="1"/>
      <c r="N4518" s="1"/>
    </row>
    <row r="4519" spans="7:14" x14ac:dyDescent="0.3">
      <c r="G4519" s="1"/>
      <c r="N4519" s="1"/>
    </row>
    <row r="4520" spans="7:14" x14ac:dyDescent="0.3">
      <c r="G4520" s="1"/>
      <c r="N4520" s="1"/>
    </row>
    <row r="4521" spans="7:14" x14ac:dyDescent="0.3">
      <c r="G4521" s="1"/>
      <c r="N4521" s="1"/>
    </row>
    <row r="4522" spans="7:14" x14ac:dyDescent="0.3">
      <c r="G4522" s="1"/>
      <c r="N4522" s="1"/>
    </row>
    <row r="4523" spans="7:14" x14ac:dyDescent="0.3">
      <c r="G4523" s="1"/>
      <c r="N4523" s="1"/>
    </row>
    <row r="4524" spans="7:14" x14ac:dyDescent="0.3">
      <c r="G4524" s="1"/>
      <c r="N4524" s="1"/>
    </row>
    <row r="4525" spans="7:14" x14ac:dyDescent="0.3">
      <c r="G4525" s="1"/>
      <c r="N4525" s="1"/>
    </row>
    <row r="4526" spans="7:14" x14ac:dyDescent="0.3">
      <c r="G4526" s="1"/>
      <c r="N4526" s="1"/>
    </row>
    <row r="4527" spans="7:14" x14ac:dyDescent="0.3">
      <c r="G4527" s="1"/>
      <c r="N4527" s="1"/>
    </row>
    <row r="4528" spans="7:14" x14ac:dyDescent="0.3">
      <c r="G4528" s="1"/>
      <c r="N4528" s="1"/>
    </row>
    <row r="4529" spans="7:14" x14ac:dyDescent="0.3">
      <c r="G4529" s="1"/>
      <c r="N4529" s="1"/>
    </row>
    <row r="4530" spans="7:14" x14ac:dyDescent="0.3">
      <c r="G4530" s="1"/>
      <c r="N4530" s="1"/>
    </row>
    <row r="4531" spans="7:14" x14ac:dyDescent="0.3">
      <c r="G4531" s="1"/>
      <c r="N4531" s="1"/>
    </row>
    <row r="4532" spans="7:14" x14ac:dyDescent="0.3">
      <c r="G4532" s="1"/>
      <c r="N4532" s="1"/>
    </row>
    <row r="4533" spans="7:14" x14ac:dyDescent="0.3">
      <c r="G4533" s="1"/>
      <c r="N4533" s="1"/>
    </row>
    <row r="4534" spans="7:14" x14ac:dyDescent="0.3">
      <c r="G4534" s="1"/>
      <c r="N4534" s="1"/>
    </row>
    <row r="4535" spans="7:14" x14ac:dyDescent="0.3">
      <c r="G4535" s="1"/>
      <c r="N4535" s="1"/>
    </row>
    <row r="4536" spans="7:14" x14ac:dyDescent="0.3">
      <c r="G4536" s="1"/>
      <c r="N4536" s="1"/>
    </row>
    <row r="4537" spans="7:14" x14ac:dyDescent="0.3">
      <c r="G4537" s="1"/>
      <c r="N4537" s="1"/>
    </row>
    <row r="4538" spans="7:14" x14ac:dyDescent="0.3">
      <c r="G4538" s="1"/>
      <c r="N4538" s="1"/>
    </row>
    <row r="4539" spans="7:14" x14ac:dyDescent="0.3">
      <c r="G4539" s="1"/>
      <c r="N4539" s="1"/>
    </row>
    <row r="4540" spans="7:14" x14ac:dyDescent="0.3">
      <c r="G4540" s="1"/>
      <c r="N4540" s="1"/>
    </row>
    <row r="4541" spans="7:14" x14ac:dyDescent="0.3">
      <c r="G4541" s="1"/>
      <c r="N4541" s="1"/>
    </row>
    <row r="4542" spans="7:14" x14ac:dyDescent="0.3">
      <c r="G4542" s="1"/>
      <c r="N4542" s="1"/>
    </row>
    <row r="4543" spans="7:14" x14ac:dyDescent="0.3">
      <c r="G4543" s="1"/>
      <c r="N4543" s="1"/>
    </row>
    <row r="4544" spans="7:14" x14ac:dyDescent="0.3">
      <c r="G4544" s="1"/>
      <c r="N4544" s="1"/>
    </row>
    <row r="4545" spans="7:14" x14ac:dyDescent="0.3">
      <c r="G4545" s="1"/>
      <c r="N4545" s="1"/>
    </row>
    <row r="4546" spans="7:14" x14ac:dyDescent="0.3">
      <c r="G4546" s="1"/>
      <c r="N4546" s="1"/>
    </row>
    <row r="4547" spans="7:14" x14ac:dyDescent="0.3">
      <c r="G4547" s="1"/>
      <c r="N4547" s="1"/>
    </row>
    <row r="4548" spans="7:14" x14ac:dyDescent="0.3">
      <c r="G4548" s="1"/>
      <c r="N4548" s="1"/>
    </row>
    <row r="4549" spans="7:14" x14ac:dyDescent="0.3">
      <c r="G4549" s="1"/>
      <c r="N4549" s="1"/>
    </row>
    <row r="4550" spans="7:14" x14ac:dyDescent="0.3">
      <c r="G4550" s="1"/>
      <c r="N4550" s="1"/>
    </row>
    <row r="4551" spans="7:14" x14ac:dyDescent="0.3">
      <c r="G4551" s="1"/>
      <c r="N4551" s="1"/>
    </row>
    <row r="4552" spans="7:14" x14ac:dyDescent="0.3">
      <c r="G4552" s="1"/>
      <c r="N4552" s="1"/>
    </row>
    <row r="4553" spans="7:14" x14ac:dyDescent="0.3">
      <c r="G4553" s="1"/>
      <c r="N4553" s="1"/>
    </row>
    <row r="4554" spans="7:14" x14ac:dyDescent="0.3">
      <c r="G4554" s="1"/>
      <c r="N4554" s="1"/>
    </row>
    <row r="4555" spans="7:14" x14ac:dyDescent="0.3">
      <c r="G4555" s="1"/>
      <c r="N4555" s="1"/>
    </row>
    <row r="4556" spans="7:14" x14ac:dyDescent="0.3">
      <c r="G4556" s="1"/>
      <c r="N4556" s="1"/>
    </row>
    <row r="4557" spans="7:14" x14ac:dyDescent="0.3">
      <c r="G4557" s="1"/>
      <c r="N4557" s="1"/>
    </row>
    <row r="4558" spans="7:14" x14ac:dyDescent="0.3">
      <c r="G4558" s="1"/>
      <c r="N4558" s="1"/>
    </row>
    <row r="4559" spans="7:14" x14ac:dyDescent="0.3">
      <c r="G4559" s="1"/>
      <c r="N4559" s="1"/>
    </row>
    <row r="4560" spans="7:14" x14ac:dyDescent="0.3">
      <c r="G4560" s="1"/>
      <c r="N4560" s="1"/>
    </row>
    <row r="4561" spans="7:14" x14ac:dyDescent="0.3">
      <c r="G4561" s="1"/>
      <c r="N4561" s="1"/>
    </row>
    <row r="4562" spans="7:14" x14ac:dyDescent="0.3">
      <c r="G4562" s="1"/>
      <c r="N4562" s="1"/>
    </row>
    <row r="4563" spans="7:14" x14ac:dyDescent="0.3">
      <c r="G4563" s="1"/>
      <c r="N4563" s="1"/>
    </row>
    <row r="4564" spans="7:14" x14ac:dyDescent="0.3">
      <c r="G4564" s="1"/>
      <c r="N4564" s="1"/>
    </row>
    <row r="4565" spans="7:14" x14ac:dyDescent="0.3">
      <c r="G4565" s="1"/>
      <c r="N4565" s="1"/>
    </row>
    <row r="4566" spans="7:14" x14ac:dyDescent="0.3">
      <c r="G4566" s="1"/>
      <c r="N4566" s="1"/>
    </row>
    <row r="4567" spans="7:14" x14ac:dyDescent="0.3">
      <c r="G4567" s="1"/>
      <c r="N4567" s="1"/>
    </row>
    <row r="4568" spans="7:14" x14ac:dyDescent="0.3">
      <c r="G4568" s="1"/>
      <c r="N4568" s="1"/>
    </row>
    <row r="4569" spans="7:14" x14ac:dyDescent="0.3">
      <c r="G4569" s="1"/>
      <c r="N4569" s="1"/>
    </row>
    <row r="4570" spans="7:14" x14ac:dyDescent="0.3">
      <c r="G4570" s="1"/>
      <c r="N4570" s="1"/>
    </row>
    <row r="4571" spans="7:14" x14ac:dyDescent="0.3">
      <c r="G4571" s="1"/>
      <c r="N4571" s="1"/>
    </row>
    <row r="4572" spans="7:14" x14ac:dyDescent="0.3">
      <c r="G4572" s="1"/>
      <c r="N4572" s="1"/>
    </row>
    <row r="4573" spans="7:14" x14ac:dyDescent="0.3">
      <c r="G4573" s="1"/>
      <c r="N4573" s="1"/>
    </row>
    <row r="4574" spans="7:14" x14ac:dyDescent="0.3">
      <c r="G4574" s="1"/>
      <c r="N4574" s="1"/>
    </row>
    <row r="4575" spans="7:14" x14ac:dyDescent="0.3">
      <c r="G4575" s="1"/>
      <c r="N4575" s="1"/>
    </row>
    <row r="4576" spans="7:14" x14ac:dyDescent="0.3">
      <c r="G4576" s="1"/>
      <c r="N4576" s="1"/>
    </row>
    <row r="4577" spans="7:14" x14ac:dyDescent="0.3">
      <c r="G4577" s="1"/>
      <c r="N4577" s="1"/>
    </row>
    <row r="4578" spans="7:14" x14ac:dyDescent="0.3">
      <c r="G4578" s="1"/>
      <c r="N4578" s="1"/>
    </row>
    <row r="4579" spans="7:14" x14ac:dyDescent="0.3">
      <c r="G4579" s="1"/>
      <c r="N4579" s="1"/>
    </row>
    <row r="4580" spans="7:14" x14ac:dyDescent="0.3">
      <c r="G4580" s="1"/>
      <c r="N4580" s="1"/>
    </row>
    <row r="4581" spans="7:14" x14ac:dyDescent="0.3">
      <c r="G4581" s="1"/>
      <c r="N4581" s="1"/>
    </row>
    <row r="4582" spans="7:14" x14ac:dyDescent="0.3">
      <c r="G4582" s="1"/>
      <c r="N4582" s="1"/>
    </row>
    <row r="4583" spans="7:14" x14ac:dyDescent="0.3">
      <c r="G4583" s="1"/>
      <c r="N4583" s="1"/>
    </row>
    <row r="4584" spans="7:14" x14ac:dyDescent="0.3">
      <c r="G4584" s="1"/>
      <c r="N4584" s="1"/>
    </row>
    <row r="4585" spans="7:14" x14ac:dyDescent="0.3">
      <c r="G4585" s="1"/>
      <c r="N4585" s="1"/>
    </row>
    <row r="4586" spans="7:14" x14ac:dyDescent="0.3">
      <c r="G4586" s="1"/>
      <c r="N4586" s="1"/>
    </row>
    <row r="4587" spans="7:14" x14ac:dyDescent="0.3">
      <c r="G4587" s="1"/>
      <c r="N4587" s="1"/>
    </row>
    <row r="4588" spans="7:14" x14ac:dyDescent="0.3">
      <c r="G4588" s="1"/>
      <c r="N4588" s="1"/>
    </row>
    <row r="4589" spans="7:14" x14ac:dyDescent="0.3">
      <c r="G4589" s="1"/>
      <c r="N4589" s="1"/>
    </row>
    <row r="4590" spans="7:14" x14ac:dyDescent="0.3">
      <c r="G4590" s="1"/>
      <c r="N4590" s="1"/>
    </row>
    <row r="4591" spans="7:14" x14ac:dyDescent="0.3">
      <c r="G4591" s="1"/>
      <c r="N4591" s="1"/>
    </row>
    <row r="4592" spans="7:14" x14ac:dyDescent="0.3">
      <c r="G4592" s="1"/>
      <c r="N4592" s="1"/>
    </row>
    <row r="4593" spans="7:14" x14ac:dyDescent="0.3">
      <c r="G4593" s="1"/>
      <c r="N4593" s="1"/>
    </row>
    <row r="4594" spans="7:14" x14ac:dyDescent="0.3">
      <c r="G4594" s="1"/>
      <c r="N4594" s="1"/>
    </row>
    <row r="4595" spans="7:14" x14ac:dyDescent="0.3">
      <c r="G4595" s="1"/>
      <c r="N4595" s="1"/>
    </row>
    <row r="4596" spans="7:14" x14ac:dyDescent="0.3">
      <c r="G4596" s="1"/>
      <c r="N4596" s="1"/>
    </row>
    <row r="4597" spans="7:14" x14ac:dyDescent="0.3">
      <c r="G4597" s="1"/>
      <c r="N4597" s="1"/>
    </row>
    <row r="4598" spans="7:14" x14ac:dyDescent="0.3">
      <c r="G4598" s="1"/>
      <c r="N4598" s="1"/>
    </row>
    <row r="4599" spans="7:14" x14ac:dyDescent="0.3">
      <c r="G4599" s="1"/>
      <c r="N4599" s="1"/>
    </row>
    <row r="4600" spans="7:14" x14ac:dyDescent="0.3">
      <c r="G4600" s="1"/>
      <c r="N4600" s="1"/>
    </row>
    <row r="4601" spans="7:14" x14ac:dyDescent="0.3">
      <c r="G4601" s="1"/>
      <c r="N4601" s="1"/>
    </row>
    <row r="4602" spans="7:14" x14ac:dyDescent="0.3">
      <c r="G4602" s="1"/>
      <c r="N4602" s="1"/>
    </row>
    <row r="4603" spans="7:14" x14ac:dyDescent="0.3">
      <c r="G4603" s="1"/>
      <c r="N4603" s="1"/>
    </row>
    <row r="4604" spans="7:14" x14ac:dyDescent="0.3">
      <c r="G4604" s="1"/>
      <c r="N4604" s="1"/>
    </row>
    <row r="4605" spans="7:14" x14ac:dyDescent="0.3">
      <c r="G4605" s="1"/>
      <c r="N4605" s="1"/>
    </row>
    <row r="4606" spans="7:14" x14ac:dyDescent="0.3">
      <c r="G4606" s="1"/>
      <c r="N4606" s="1"/>
    </row>
    <row r="4607" spans="7:14" x14ac:dyDescent="0.3">
      <c r="G4607" s="1"/>
      <c r="N4607" s="1"/>
    </row>
    <row r="4608" spans="7:14" x14ac:dyDescent="0.3">
      <c r="G4608" s="1"/>
      <c r="N4608" s="1"/>
    </row>
    <row r="4609" spans="7:14" x14ac:dyDescent="0.3">
      <c r="G4609" s="1"/>
      <c r="N4609" s="1"/>
    </row>
    <row r="4610" spans="7:14" x14ac:dyDescent="0.3">
      <c r="G4610" s="1"/>
      <c r="N4610" s="1"/>
    </row>
    <row r="4611" spans="7:14" x14ac:dyDescent="0.3">
      <c r="G4611" s="1"/>
      <c r="N4611" s="1"/>
    </row>
    <row r="4612" spans="7:14" x14ac:dyDescent="0.3">
      <c r="G4612" s="1"/>
      <c r="N4612" s="1"/>
    </row>
    <row r="4613" spans="7:14" x14ac:dyDescent="0.3">
      <c r="G4613" s="1"/>
      <c r="N4613" s="1"/>
    </row>
    <row r="4614" spans="7:14" x14ac:dyDescent="0.3">
      <c r="G4614" s="1"/>
      <c r="N4614" s="1"/>
    </row>
    <row r="4615" spans="7:14" x14ac:dyDescent="0.3">
      <c r="G4615" s="1"/>
      <c r="N4615" s="1"/>
    </row>
    <row r="4616" spans="7:14" x14ac:dyDescent="0.3">
      <c r="G4616" s="1"/>
      <c r="N4616" s="1"/>
    </row>
    <row r="4617" spans="7:14" x14ac:dyDescent="0.3">
      <c r="G4617" s="1"/>
      <c r="N4617" s="1"/>
    </row>
    <row r="4618" spans="7:14" x14ac:dyDescent="0.3">
      <c r="G4618" s="1"/>
      <c r="N4618" s="1"/>
    </row>
    <row r="4619" spans="7:14" x14ac:dyDescent="0.3">
      <c r="G4619" s="1"/>
      <c r="N4619" s="1"/>
    </row>
    <row r="4620" spans="7:14" x14ac:dyDescent="0.3">
      <c r="G4620" s="1"/>
      <c r="N4620" s="1"/>
    </row>
    <row r="4621" spans="7:14" x14ac:dyDescent="0.3">
      <c r="G4621" s="1"/>
      <c r="N4621" s="1"/>
    </row>
    <row r="4622" spans="7:14" x14ac:dyDescent="0.3">
      <c r="G4622" s="1"/>
      <c r="N4622" s="1"/>
    </row>
    <row r="4623" spans="7:14" x14ac:dyDescent="0.3">
      <c r="G4623" s="1"/>
      <c r="N4623" s="1"/>
    </row>
    <row r="4624" spans="7:14" x14ac:dyDescent="0.3">
      <c r="G4624" s="1"/>
      <c r="N4624" s="1"/>
    </row>
    <row r="4625" spans="7:14" x14ac:dyDescent="0.3">
      <c r="G4625" s="1"/>
      <c r="N4625" s="1"/>
    </row>
    <row r="4626" spans="7:14" x14ac:dyDescent="0.3">
      <c r="G4626" s="1"/>
      <c r="N4626" s="1"/>
    </row>
    <row r="4627" spans="7:14" x14ac:dyDescent="0.3">
      <c r="G4627" s="1"/>
      <c r="N4627" s="1"/>
    </row>
    <row r="4628" spans="7:14" x14ac:dyDescent="0.3">
      <c r="G4628" s="1"/>
      <c r="N4628" s="1"/>
    </row>
    <row r="4629" spans="7:14" x14ac:dyDescent="0.3">
      <c r="G4629" s="1"/>
      <c r="N4629" s="1"/>
    </row>
    <row r="4630" spans="7:14" x14ac:dyDescent="0.3">
      <c r="G4630" s="1"/>
      <c r="N4630" s="1"/>
    </row>
    <row r="4631" spans="7:14" x14ac:dyDescent="0.3">
      <c r="G4631" s="1"/>
      <c r="N4631" s="1"/>
    </row>
    <row r="4632" spans="7:14" x14ac:dyDescent="0.3">
      <c r="G4632" s="1"/>
      <c r="N4632" s="1"/>
    </row>
    <row r="4633" spans="7:14" x14ac:dyDescent="0.3">
      <c r="G4633" s="1"/>
      <c r="N4633" s="1"/>
    </row>
    <row r="4634" spans="7:14" x14ac:dyDescent="0.3">
      <c r="G4634" s="1"/>
      <c r="N4634" s="1"/>
    </row>
    <row r="4635" spans="7:14" x14ac:dyDescent="0.3">
      <c r="G4635" s="1"/>
      <c r="N4635" s="1"/>
    </row>
    <row r="4636" spans="7:14" x14ac:dyDescent="0.3">
      <c r="G4636" s="1"/>
      <c r="N4636" s="1"/>
    </row>
    <row r="4637" spans="7:14" x14ac:dyDescent="0.3">
      <c r="G4637" s="1"/>
      <c r="N4637" s="1"/>
    </row>
    <row r="4638" spans="7:14" x14ac:dyDescent="0.3">
      <c r="G4638" s="1"/>
      <c r="N4638" s="1"/>
    </row>
    <row r="4639" spans="7:14" x14ac:dyDescent="0.3">
      <c r="G4639" s="1"/>
      <c r="N4639" s="1"/>
    </row>
    <row r="4640" spans="7:14" x14ac:dyDescent="0.3">
      <c r="G4640" s="1"/>
      <c r="N4640" s="1"/>
    </row>
    <row r="4641" spans="7:14" x14ac:dyDescent="0.3">
      <c r="G4641" s="1"/>
      <c r="N4641" s="1"/>
    </row>
    <row r="4642" spans="7:14" x14ac:dyDescent="0.3">
      <c r="G4642" s="1"/>
      <c r="N4642" s="1"/>
    </row>
    <row r="4643" spans="7:14" x14ac:dyDescent="0.3">
      <c r="G4643" s="1"/>
      <c r="N4643" s="1"/>
    </row>
    <row r="4644" spans="7:14" x14ac:dyDescent="0.3">
      <c r="G4644" s="1"/>
      <c r="N4644" s="1"/>
    </row>
    <row r="4645" spans="7:14" x14ac:dyDescent="0.3">
      <c r="G4645" s="1"/>
      <c r="N4645" s="1"/>
    </row>
    <row r="4646" spans="7:14" x14ac:dyDescent="0.3">
      <c r="G4646" s="1"/>
      <c r="N4646" s="1"/>
    </row>
    <row r="4647" spans="7:14" x14ac:dyDescent="0.3">
      <c r="G4647" s="1"/>
      <c r="N4647" s="1"/>
    </row>
    <row r="4648" spans="7:14" x14ac:dyDescent="0.3">
      <c r="G4648" s="1"/>
      <c r="N4648" s="1"/>
    </row>
    <row r="4649" spans="7:14" x14ac:dyDescent="0.3">
      <c r="G4649" s="1"/>
      <c r="N4649" s="1"/>
    </row>
    <row r="4650" spans="7:14" x14ac:dyDescent="0.3">
      <c r="G4650" s="1"/>
      <c r="N4650" s="1"/>
    </row>
    <row r="4651" spans="7:14" x14ac:dyDescent="0.3">
      <c r="G4651" s="1"/>
      <c r="N4651" s="1"/>
    </row>
    <row r="4652" spans="7:14" x14ac:dyDescent="0.3">
      <c r="G4652" s="1"/>
      <c r="N4652" s="1"/>
    </row>
    <row r="4653" spans="7:14" x14ac:dyDescent="0.3">
      <c r="G4653" s="1"/>
      <c r="N4653" s="1"/>
    </row>
    <row r="4654" spans="7:14" x14ac:dyDescent="0.3">
      <c r="G4654" s="1"/>
      <c r="N4654" s="1"/>
    </row>
    <row r="4655" spans="7:14" x14ac:dyDescent="0.3">
      <c r="G4655" s="1"/>
      <c r="N4655" s="1"/>
    </row>
    <row r="4656" spans="7:14" x14ac:dyDescent="0.3">
      <c r="G4656" s="1"/>
      <c r="N4656" s="1"/>
    </row>
    <row r="4657" spans="7:14" x14ac:dyDescent="0.3">
      <c r="G4657" s="1"/>
      <c r="N4657" s="1"/>
    </row>
    <row r="4658" spans="7:14" x14ac:dyDescent="0.3">
      <c r="G4658" s="1"/>
      <c r="N4658" s="1"/>
    </row>
    <row r="4659" spans="7:14" x14ac:dyDescent="0.3">
      <c r="G4659" s="1"/>
      <c r="N4659" s="1"/>
    </row>
    <row r="4660" spans="7:14" x14ac:dyDescent="0.3">
      <c r="G4660" s="1"/>
      <c r="N4660" s="1"/>
    </row>
    <row r="4661" spans="7:14" x14ac:dyDescent="0.3">
      <c r="G4661" s="1"/>
      <c r="N4661" s="1"/>
    </row>
    <row r="4662" spans="7:14" x14ac:dyDescent="0.3">
      <c r="G4662" s="1"/>
      <c r="N4662" s="1"/>
    </row>
    <row r="4663" spans="7:14" x14ac:dyDescent="0.3">
      <c r="G4663" s="1"/>
      <c r="N4663" s="1"/>
    </row>
    <row r="4664" spans="7:14" x14ac:dyDescent="0.3">
      <c r="G4664" s="1"/>
      <c r="N4664" s="1"/>
    </row>
    <row r="4665" spans="7:14" x14ac:dyDescent="0.3">
      <c r="G4665" s="1"/>
      <c r="N4665" s="1"/>
    </row>
    <row r="4666" spans="7:14" x14ac:dyDescent="0.3">
      <c r="G4666" s="1"/>
      <c r="N4666" s="1"/>
    </row>
    <row r="4667" spans="7:14" x14ac:dyDescent="0.3">
      <c r="G4667" s="1"/>
      <c r="N4667" s="1"/>
    </row>
    <row r="4668" spans="7:14" x14ac:dyDescent="0.3">
      <c r="G4668" s="1"/>
      <c r="N4668" s="1"/>
    </row>
    <row r="4669" spans="7:14" x14ac:dyDescent="0.3">
      <c r="G4669" s="1"/>
      <c r="N4669" s="1"/>
    </row>
    <row r="4670" spans="7:14" x14ac:dyDescent="0.3">
      <c r="G4670" s="1"/>
      <c r="N4670" s="1"/>
    </row>
    <row r="4671" spans="7:14" x14ac:dyDescent="0.3">
      <c r="G4671" s="1"/>
      <c r="N4671" s="1"/>
    </row>
    <row r="4672" spans="7:14" x14ac:dyDescent="0.3">
      <c r="G4672" s="1"/>
      <c r="N4672" s="1"/>
    </row>
    <row r="4673" spans="7:14" x14ac:dyDescent="0.3">
      <c r="G4673" s="1"/>
      <c r="N4673" s="1"/>
    </row>
    <row r="4674" spans="7:14" x14ac:dyDescent="0.3">
      <c r="G4674" s="1"/>
      <c r="N4674" s="1"/>
    </row>
    <row r="4675" spans="7:14" x14ac:dyDescent="0.3">
      <c r="G4675" s="1"/>
      <c r="N4675" s="1"/>
    </row>
    <row r="4676" spans="7:14" x14ac:dyDescent="0.3">
      <c r="G4676" s="1"/>
      <c r="N4676" s="1"/>
    </row>
    <row r="4677" spans="7:14" x14ac:dyDescent="0.3">
      <c r="G4677" s="1"/>
      <c r="N4677" s="1"/>
    </row>
    <row r="4678" spans="7:14" x14ac:dyDescent="0.3">
      <c r="G4678" s="1"/>
      <c r="N4678" s="1"/>
    </row>
    <row r="4679" spans="7:14" x14ac:dyDescent="0.3">
      <c r="G4679" s="1"/>
      <c r="N4679" s="1"/>
    </row>
    <row r="4680" spans="7:14" x14ac:dyDescent="0.3">
      <c r="G4680" s="1"/>
      <c r="N4680" s="1"/>
    </row>
    <row r="4681" spans="7:14" x14ac:dyDescent="0.3">
      <c r="G4681" s="1"/>
      <c r="N4681" s="1"/>
    </row>
    <row r="4682" spans="7:14" x14ac:dyDescent="0.3">
      <c r="G4682" s="1"/>
      <c r="N4682" s="1"/>
    </row>
    <row r="4683" spans="7:14" x14ac:dyDescent="0.3">
      <c r="G4683" s="1"/>
      <c r="N4683" s="1"/>
    </row>
    <row r="4684" spans="7:14" x14ac:dyDescent="0.3">
      <c r="G4684" s="1"/>
      <c r="N4684" s="1"/>
    </row>
    <row r="4685" spans="7:14" x14ac:dyDescent="0.3">
      <c r="G4685" s="1"/>
      <c r="N4685" s="1"/>
    </row>
    <row r="4686" spans="7:14" x14ac:dyDescent="0.3">
      <c r="G4686" s="1"/>
      <c r="N4686" s="1"/>
    </row>
    <row r="4687" spans="7:14" x14ac:dyDescent="0.3">
      <c r="G4687" s="1"/>
      <c r="N4687" s="1"/>
    </row>
    <row r="4688" spans="7:14" x14ac:dyDescent="0.3">
      <c r="G4688" s="1"/>
      <c r="N4688" s="1"/>
    </row>
    <row r="4689" spans="7:14" x14ac:dyDescent="0.3">
      <c r="G4689" s="1"/>
      <c r="N4689" s="1"/>
    </row>
    <row r="4690" spans="7:14" x14ac:dyDescent="0.3">
      <c r="G4690" s="1"/>
      <c r="N4690" s="1"/>
    </row>
    <row r="4691" spans="7:14" x14ac:dyDescent="0.3">
      <c r="G4691" s="1"/>
      <c r="N4691" s="1"/>
    </row>
    <row r="4692" spans="7:14" x14ac:dyDescent="0.3">
      <c r="G4692" s="1"/>
      <c r="N4692" s="1"/>
    </row>
    <row r="4693" spans="7:14" x14ac:dyDescent="0.3">
      <c r="G4693" s="1"/>
      <c r="N4693" s="1"/>
    </row>
    <row r="4694" spans="7:14" x14ac:dyDescent="0.3">
      <c r="G4694" s="1"/>
      <c r="N4694" s="1"/>
    </row>
    <row r="4695" spans="7:14" x14ac:dyDescent="0.3">
      <c r="G4695" s="1"/>
      <c r="N4695" s="1"/>
    </row>
    <row r="4696" spans="7:14" x14ac:dyDescent="0.3">
      <c r="G4696" s="1"/>
      <c r="N4696" s="1"/>
    </row>
    <row r="4697" spans="7:14" x14ac:dyDescent="0.3">
      <c r="G4697" s="1"/>
      <c r="N4697" s="1"/>
    </row>
    <row r="4698" spans="7:14" x14ac:dyDescent="0.3">
      <c r="G4698" s="1"/>
      <c r="N4698" s="1"/>
    </row>
    <row r="4699" spans="7:14" x14ac:dyDescent="0.3">
      <c r="G4699" s="1"/>
      <c r="N4699" s="1"/>
    </row>
    <row r="4700" spans="7:14" x14ac:dyDescent="0.3">
      <c r="G4700" s="1"/>
      <c r="N4700" s="1"/>
    </row>
    <row r="4701" spans="7:14" x14ac:dyDescent="0.3">
      <c r="G4701" s="1"/>
      <c r="N4701" s="1"/>
    </row>
    <row r="4702" spans="7:14" x14ac:dyDescent="0.3">
      <c r="G4702" s="1"/>
      <c r="N4702" s="1"/>
    </row>
    <row r="4703" spans="7:14" x14ac:dyDescent="0.3">
      <c r="G4703" s="1"/>
      <c r="N4703" s="1"/>
    </row>
    <row r="4704" spans="7:14" x14ac:dyDescent="0.3">
      <c r="G4704" s="1"/>
      <c r="N4704" s="1"/>
    </row>
    <row r="4705" spans="7:14" x14ac:dyDescent="0.3">
      <c r="G4705" s="1"/>
      <c r="N4705" s="1"/>
    </row>
    <row r="4706" spans="7:14" x14ac:dyDescent="0.3">
      <c r="G4706" s="1"/>
      <c r="N4706" s="1"/>
    </row>
    <row r="4707" spans="7:14" x14ac:dyDescent="0.3">
      <c r="G4707" s="1"/>
      <c r="N4707" s="1"/>
    </row>
    <row r="4708" spans="7:14" x14ac:dyDescent="0.3">
      <c r="G4708" s="1"/>
      <c r="N4708" s="1"/>
    </row>
    <row r="4709" spans="7:14" x14ac:dyDescent="0.3">
      <c r="G4709" s="1"/>
      <c r="N4709" s="1"/>
    </row>
    <row r="4710" spans="7:14" x14ac:dyDescent="0.3">
      <c r="G4710" s="1"/>
      <c r="N4710" s="1"/>
    </row>
    <row r="4711" spans="7:14" x14ac:dyDescent="0.3">
      <c r="G4711" s="1"/>
      <c r="N4711" s="1"/>
    </row>
    <row r="4712" spans="7:14" x14ac:dyDescent="0.3">
      <c r="G4712" s="1"/>
      <c r="N4712" s="1"/>
    </row>
    <row r="4713" spans="7:14" x14ac:dyDescent="0.3">
      <c r="G4713" s="1"/>
      <c r="N4713" s="1"/>
    </row>
    <row r="4714" spans="7:14" x14ac:dyDescent="0.3">
      <c r="G4714" s="1"/>
      <c r="N4714" s="1"/>
    </row>
    <row r="4715" spans="7:14" x14ac:dyDescent="0.3">
      <c r="G4715" s="1"/>
      <c r="N4715" s="1"/>
    </row>
    <row r="4716" spans="7:14" x14ac:dyDescent="0.3">
      <c r="G4716" s="1"/>
      <c r="N4716" s="1"/>
    </row>
    <row r="4717" spans="7:14" x14ac:dyDescent="0.3">
      <c r="G4717" s="1"/>
      <c r="N4717" s="1"/>
    </row>
    <row r="4718" spans="7:14" x14ac:dyDescent="0.3">
      <c r="G4718" s="1"/>
      <c r="N4718" s="1"/>
    </row>
    <row r="4719" spans="7:14" x14ac:dyDescent="0.3">
      <c r="G4719" s="1"/>
      <c r="N4719" s="1"/>
    </row>
    <row r="4720" spans="7:14" x14ac:dyDescent="0.3">
      <c r="G4720" s="1"/>
      <c r="N4720" s="1"/>
    </row>
    <row r="4721" spans="7:14" x14ac:dyDescent="0.3">
      <c r="G4721" s="1"/>
      <c r="N4721" s="1"/>
    </row>
    <row r="4722" spans="7:14" x14ac:dyDescent="0.3">
      <c r="G4722" s="1"/>
      <c r="N4722" s="1"/>
    </row>
    <row r="4723" spans="7:14" x14ac:dyDescent="0.3">
      <c r="G4723" s="1"/>
      <c r="N4723" s="1"/>
    </row>
    <row r="4724" spans="7:14" x14ac:dyDescent="0.3">
      <c r="G4724" s="1"/>
      <c r="N4724" s="1"/>
    </row>
    <row r="4725" spans="7:14" x14ac:dyDescent="0.3">
      <c r="G4725" s="1"/>
      <c r="N4725" s="1"/>
    </row>
    <row r="4726" spans="7:14" x14ac:dyDescent="0.3">
      <c r="G4726" s="1"/>
      <c r="N4726" s="1"/>
    </row>
    <row r="4727" spans="7:14" x14ac:dyDescent="0.3">
      <c r="G4727" s="1"/>
      <c r="N4727" s="1"/>
    </row>
    <row r="4728" spans="7:14" x14ac:dyDescent="0.3">
      <c r="G4728" s="1"/>
      <c r="N4728" s="1"/>
    </row>
    <row r="4729" spans="7:14" x14ac:dyDescent="0.3">
      <c r="G4729" s="1"/>
      <c r="N4729" s="1"/>
    </row>
    <row r="4730" spans="7:14" x14ac:dyDescent="0.3">
      <c r="G4730" s="1"/>
      <c r="N4730" s="1"/>
    </row>
    <row r="4731" spans="7:14" x14ac:dyDescent="0.3">
      <c r="G4731" s="1"/>
      <c r="N4731" s="1"/>
    </row>
    <row r="4732" spans="7:14" x14ac:dyDescent="0.3">
      <c r="G4732" s="1"/>
      <c r="N4732" s="1"/>
    </row>
    <row r="4733" spans="7:14" x14ac:dyDescent="0.3">
      <c r="G4733" s="1"/>
      <c r="N4733" s="1"/>
    </row>
    <row r="4734" spans="7:14" x14ac:dyDescent="0.3">
      <c r="G4734" s="1"/>
      <c r="N4734" s="1"/>
    </row>
    <row r="4735" spans="7:14" x14ac:dyDescent="0.3">
      <c r="G4735" s="1"/>
      <c r="N4735" s="1"/>
    </row>
    <row r="4736" spans="7:14" x14ac:dyDescent="0.3">
      <c r="G4736" s="1"/>
      <c r="N4736" s="1"/>
    </row>
    <row r="4737" spans="7:14" x14ac:dyDescent="0.3">
      <c r="G4737" s="1"/>
      <c r="N4737" s="1"/>
    </row>
    <row r="4738" spans="7:14" x14ac:dyDescent="0.3">
      <c r="G4738" s="1"/>
      <c r="N4738" s="1"/>
    </row>
    <row r="4739" spans="7:14" x14ac:dyDescent="0.3">
      <c r="G4739" s="1"/>
      <c r="N4739" s="1"/>
    </row>
    <row r="4740" spans="7:14" x14ac:dyDescent="0.3">
      <c r="G4740" s="1"/>
      <c r="N4740" s="1"/>
    </row>
    <row r="4741" spans="7:14" x14ac:dyDescent="0.3">
      <c r="G4741" s="1"/>
      <c r="N4741" s="1"/>
    </row>
    <row r="4742" spans="7:14" x14ac:dyDescent="0.3">
      <c r="G4742" s="1"/>
      <c r="N4742" s="1"/>
    </row>
    <row r="4743" spans="7:14" x14ac:dyDescent="0.3">
      <c r="G4743" s="1"/>
      <c r="N4743" s="1"/>
    </row>
    <row r="4744" spans="7:14" x14ac:dyDescent="0.3">
      <c r="G4744" s="1"/>
      <c r="N4744" s="1"/>
    </row>
    <row r="4745" spans="7:14" x14ac:dyDescent="0.3">
      <c r="G4745" s="1"/>
      <c r="N4745" s="1"/>
    </row>
    <row r="4746" spans="7:14" x14ac:dyDescent="0.3">
      <c r="G4746" s="1"/>
      <c r="N4746" s="1"/>
    </row>
    <row r="4747" spans="7:14" x14ac:dyDescent="0.3">
      <c r="G4747" s="1"/>
      <c r="N4747" s="1"/>
    </row>
    <row r="4748" spans="7:14" x14ac:dyDescent="0.3">
      <c r="G4748" s="1"/>
      <c r="N4748" s="1"/>
    </row>
    <row r="4749" spans="7:14" x14ac:dyDescent="0.3">
      <c r="G4749" s="1"/>
      <c r="N4749" s="1"/>
    </row>
    <row r="4750" spans="7:14" x14ac:dyDescent="0.3">
      <c r="G4750" s="1"/>
      <c r="N4750" s="1"/>
    </row>
    <row r="4751" spans="7:14" x14ac:dyDescent="0.3">
      <c r="G4751" s="1"/>
      <c r="N4751" s="1"/>
    </row>
    <row r="4752" spans="7:14" x14ac:dyDescent="0.3">
      <c r="G4752" s="1"/>
      <c r="N4752" s="1"/>
    </row>
    <row r="4753" spans="7:14" x14ac:dyDescent="0.3">
      <c r="G4753" s="1"/>
      <c r="N4753" s="1"/>
    </row>
    <row r="4754" spans="7:14" x14ac:dyDescent="0.3">
      <c r="G4754" s="1"/>
      <c r="N4754" s="1"/>
    </row>
    <row r="4755" spans="7:14" x14ac:dyDescent="0.3">
      <c r="G4755" s="1"/>
      <c r="N4755" s="1"/>
    </row>
    <row r="4756" spans="7:14" x14ac:dyDescent="0.3">
      <c r="G4756" s="1"/>
      <c r="N4756" s="1"/>
    </row>
    <row r="4757" spans="7:14" x14ac:dyDescent="0.3">
      <c r="G4757" s="1"/>
      <c r="N4757" s="1"/>
    </row>
    <row r="4758" spans="7:14" x14ac:dyDescent="0.3">
      <c r="G4758" s="1"/>
      <c r="N4758" s="1"/>
    </row>
    <row r="4759" spans="7:14" x14ac:dyDescent="0.3">
      <c r="G4759" s="1"/>
      <c r="N4759" s="1"/>
    </row>
    <row r="4760" spans="7:14" x14ac:dyDescent="0.3">
      <c r="G4760" s="1"/>
      <c r="N4760" s="1"/>
    </row>
    <row r="4761" spans="7:14" x14ac:dyDescent="0.3">
      <c r="G4761" s="1"/>
      <c r="N4761" s="1"/>
    </row>
    <row r="4762" spans="7:14" x14ac:dyDescent="0.3">
      <c r="G4762" s="1"/>
      <c r="N4762" s="1"/>
    </row>
    <row r="4763" spans="7:14" x14ac:dyDescent="0.3">
      <c r="G4763" s="1"/>
      <c r="N4763" s="1"/>
    </row>
    <row r="4764" spans="7:14" x14ac:dyDescent="0.3">
      <c r="G4764" s="1"/>
      <c r="N4764" s="1"/>
    </row>
    <row r="4765" spans="7:14" x14ac:dyDescent="0.3">
      <c r="G4765" s="1"/>
      <c r="N4765" s="1"/>
    </row>
    <row r="4766" spans="7:14" x14ac:dyDescent="0.3">
      <c r="G4766" s="1"/>
      <c r="N4766" s="1"/>
    </row>
    <row r="4767" spans="7:14" x14ac:dyDescent="0.3">
      <c r="G4767" s="1"/>
      <c r="N4767" s="1"/>
    </row>
    <row r="4768" spans="7:14" x14ac:dyDescent="0.3">
      <c r="G4768" s="1"/>
      <c r="N4768" s="1"/>
    </row>
    <row r="4769" spans="7:14" x14ac:dyDescent="0.3">
      <c r="G4769" s="1"/>
      <c r="N4769" s="1"/>
    </row>
    <row r="4770" spans="7:14" x14ac:dyDescent="0.3">
      <c r="G4770" s="1"/>
      <c r="N4770" s="1"/>
    </row>
    <row r="4771" spans="7:14" x14ac:dyDescent="0.3">
      <c r="G4771" s="1"/>
      <c r="N4771" s="1"/>
    </row>
    <row r="4772" spans="7:14" x14ac:dyDescent="0.3">
      <c r="G4772" s="1"/>
      <c r="N4772" s="1"/>
    </row>
    <row r="4773" spans="7:14" x14ac:dyDescent="0.3">
      <c r="G4773" s="1"/>
      <c r="N4773" s="1"/>
    </row>
    <row r="4774" spans="7:14" x14ac:dyDescent="0.3">
      <c r="G4774" s="1"/>
      <c r="N4774" s="1"/>
    </row>
    <row r="4775" spans="7:14" x14ac:dyDescent="0.3">
      <c r="G4775" s="1"/>
      <c r="N4775" s="1"/>
    </row>
    <row r="4776" spans="7:14" x14ac:dyDescent="0.3">
      <c r="G4776" s="1"/>
      <c r="N4776" s="1"/>
    </row>
    <row r="4777" spans="7:14" x14ac:dyDescent="0.3">
      <c r="G4777" s="1"/>
      <c r="N4777" s="1"/>
    </row>
    <row r="4778" spans="7:14" x14ac:dyDescent="0.3">
      <c r="G4778" s="1"/>
      <c r="N4778" s="1"/>
    </row>
    <row r="4779" spans="7:14" x14ac:dyDescent="0.3">
      <c r="G4779" s="1"/>
      <c r="N4779" s="1"/>
    </row>
    <row r="4780" spans="7:14" x14ac:dyDescent="0.3">
      <c r="G4780" s="1"/>
      <c r="N4780" s="1"/>
    </row>
    <row r="4781" spans="7:14" x14ac:dyDescent="0.3">
      <c r="G4781" s="1"/>
      <c r="N4781" s="1"/>
    </row>
    <row r="4782" spans="7:14" x14ac:dyDescent="0.3">
      <c r="G4782" s="1"/>
      <c r="N4782" s="1"/>
    </row>
    <row r="4783" spans="7:14" x14ac:dyDescent="0.3">
      <c r="G4783" s="1"/>
      <c r="N4783" s="1"/>
    </row>
    <row r="4784" spans="7:14" x14ac:dyDescent="0.3">
      <c r="G4784" s="1"/>
      <c r="N4784" s="1"/>
    </row>
    <row r="4785" spans="7:14" x14ac:dyDescent="0.3">
      <c r="G4785" s="1"/>
      <c r="N4785" s="1"/>
    </row>
    <row r="4786" spans="7:14" x14ac:dyDescent="0.3">
      <c r="G4786" s="1"/>
      <c r="N4786" s="1"/>
    </row>
    <row r="4787" spans="7:14" x14ac:dyDescent="0.3">
      <c r="G4787" s="1"/>
      <c r="N4787" s="1"/>
    </row>
    <row r="4788" spans="7:14" x14ac:dyDescent="0.3">
      <c r="G4788" s="1"/>
      <c r="N4788" s="1"/>
    </row>
    <row r="4789" spans="7:14" x14ac:dyDescent="0.3">
      <c r="G4789" s="1"/>
      <c r="N4789" s="1"/>
    </row>
    <row r="4790" spans="7:14" x14ac:dyDescent="0.3">
      <c r="G4790" s="1"/>
      <c r="N4790" s="1"/>
    </row>
    <row r="4791" spans="7:14" x14ac:dyDescent="0.3">
      <c r="G4791" s="1"/>
      <c r="N4791" s="1"/>
    </row>
    <row r="4792" spans="7:14" x14ac:dyDescent="0.3">
      <c r="G4792" s="1"/>
      <c r="N4792" s="1"/>
    </row>
    <row r="4793" spans="7:14" x14ac:dyDescent="0.3">
      <c r="G4793" s="1"/>
      <c r="N4793" s="1"/>
    </row>
    <row r="4794" spans="7:14" x14ac:dyDescent="0.3">
      <c r="G4794" s="1"/>
      <c r="N4794" s="1"/>
    </row>
    <row r="4795" spans="7:14" x14ac:dyDescent="0.3">
      <c r="G4795" s="1"/>
      <c r="N4795" s="1"/>
    </row>
    <row r="4796" spans="7:14" x14ac:dyDescent="0.3">
      <c r="G4796" s="1"/>
      <c r="N4796" s="1"/>
    </row>
    <row r="4797" spans="7:14" x14ac:dyDescent="0.3">
      <c r="G4797" s="1"/>
      <c r="N4797" s="1"/>
    </row>
    <row r="4798" spans="7:14" x14ac:dyDescent="0.3">
      <c r="G4798" s="1"/>
      <c r="N4798" s="1"/>
    </row>
    <row r="4799" spans="7:14" x14ac:dyDescent="0.3">
      <c r="G4799" s="1"/>
      <c r="N4799" s="1"/>
    </row>
    <row r="4800" spans="7:14" x14ac:dyDescent="0.3">
      <c r="G4800" s="1"/>
      <c r="N4800" s="1"/>
    </row>
    <row r="4801" spans="7:14" x14ac:dyDescent="0.3">
      <c r="G4801" s="1"/>
      <c r="N4801" s="1"/>
    </row>
    <row r="4802" spans="7:14" x14ac:dyDescent="0.3">
      <c r="G4802" s="1"/>
      <c r="N4802" s="1"/>
    </row>
    <row r="4803" spans="7:14" x14ac:dyDescent="0.3">
      <c r="G4803" s="1"/>
      <c r="N4803" s="1"/>
    </row>
    <row r="4804" spans="7:14" x14ac:dyDescent="0.3">
      <c r="G4804" s="1"/>
      <c r="N4804" s="1"/>
    </row>
    <row r="4805" spans="7:14" x14ac:dyDescent="0.3">
      <c r="G4805" s="1"/>
      <c r="N4805" s="1"/>
    </row>
    <row r="4806" spans="7:14" x14ac:dyDescent="0.3">
      <c r="G4806" s="1"/>
      <c r="N4806" s="1"/>
    </row>
    <row r="4807" spans="7:14" x14ac:dyDescent="0.3">
      <c r="G4807" s="1"/>
      <c r="N4807" s="1"/>
    </row>
    <row r="4808" spans="7:14" x14ac:dyDescent="0.3">
      <c r="G4808" s="1"/>
      <c r="N4808" s="1"/>
    </row>
    <row r="4809" spans="7:14" x14ac:dyDescent="0.3">
      <c r="G4809" s="1"/>
      <c r="N4809" s="1"/>
    </row>
    <row r="4810" spans="7:14" x14ac:dyDescent="0.3">
      <c r="G4810" s="1"/>
      <c r="N4810" s="1"/>
    </row>
    <row r="4811" spans="7:14" x14ac:dyDescent="0.3">
      <c r="G4811" s="1"/>
      <c r="N4811" s="1"/>
    </row>
    <row r="4812" spans="7:14" x14ac:dyDescent="0.3">
      <c r="G4812" s="1"/>
      <c r="N4812" s="1"/>
    </row>
    <row r="4813" spans="7:14" x14ac:dyDescent="0.3">
      <c r="G4813" s="1"/>
      <c r="N4813" s="1"/>
    </row>
    <row r="4814" spans="7:14" x14ac:dyDescent="0.3">
      <c r="G4814" s="1"/>
      <c r="N4814" s="1"/>
    </row>
    <row r="4815" spans="7:14" x14ac:dyDescent="0.3">
      <c r="G4815" s="1"/>
      <c r="N4815" s="1"/>
    </row>
    <row r="4816" spans="7:14" x14ac:dyDescent="0.3">
      <c r="G4816" s="1"/>
      <c r="N4816" s="1"/>
    </row>
    <row r="4817" spans="7:14" x14ac:dyDescent="0.3">
      <c r="G4817" s="1"/>
      <c r="N4817" s="1"/>
    </row>
    <row r="4818" spans="7:14" x14ac:dyDescent="0.3">
      <c r="G4818" s="1"/>
      <c r="N4818" s="1"/>
    </row>
    <row r="4819" spans="7:14" x14ac:dyDescent="0.3">
      <c r="G4819" s="1"/>
      <c r="N4819" s="1"/>
    </row>
    <row r="4820" spans="7:14" x14ac:dyDescent="0.3">
      <c r="G4820" s="1"/>
      <c r="N4820" s="1"/>
    </row>
    <row r="4821" spans="7:14" x14ac:dyDescent="0.3">
      <c r="G4821" s="1"/>
      <c r="N4821" s="1"/>
    </row>
    <row r="4822" spans="7:14" x14ac:dyDescent="0.3">
      <c r="G4822" s="1"/>
      <c r="N4822" s="1"/>
    </row>
    <row r="4823" spans="7:14" x14ac:dyDescent="0.3">
      <c r="G4823" s="1"/>
      <c r="N4823" s="1"/>
    </row>
    <row r="4824" spans="7:14" x14ac:dyDescent="0.3">
      <c r="G4824" s="1"/>
      <c r="N4824" s="1"/>
    </row>
    <row r="4825" spans="7:14" x14ac:dyDescent="0.3">
      <c r="G4825" s="1"/>
      <c r="N4825" s="1"/>
    </row>
    <row r="4826" spans="7:14" x14ac:dyDescent="0.3">
      <c r="G4826" s="1"/>
      <c r="N4826" s="1"/>
    </row>
    <row r="4827" spans="7:14" x14ac:dyDescent="0.3">
      <c r="G4827" s="1"/>
      <c r="N4827" s="1"/>
    </row>
    <row r="4828" spans="7:14" x14ac:dyDescent="0.3">
      <c r="G4828" s="1"/>
      <c r="N4828" s="1"/>
    </row>
    <row r="4829" spans="7:14" x14ac:dyDescent="0.3">
      <c r="G4829" s="1"/>
      <c r="N4829" s="1"/>
    </row>
    <row r="4830" spans="7:14" x14ac:dyDescent="0.3">
      <c r="G4830" s="1"/>
      <c r="N4830" s="1"/>
    </row>
    <row r="4831" spans="7:14" x14ac:dyDescent="0.3">
      <c r="G4831" s="1"/>
      <c r="N4831" s="1"/>
    </row>
    <row r="4832" spans="7:14" x14ac:dyDescent="0.3">
      <c r="G4832" s="1"/>
      <c r="N4832" s="1"/>
    </row>
    <row r="4833" spans="7:14" x14ac:dyDescent="0.3">
      <c r="G4833" s="1"/>
      <c r="N4833" s="1"/>
    </row>
    <row r="4834" spans="7:14" x14ac:dyDescent="0.3">
      <c r="G4834" s="1"/>
      <c r="N4834" s="1"/>
    </row>
    <row r="4835" spans="7:14" x14ac:dyDescent="0.3">
      <c r="G4835" s="1"/>
      <c r="N4835" s="1"/>
    </row>
    <row r="4836" spans="7:14" x14ac:dyDescent="0.3">
      <c r="G4836" s="1"/>
      <c r="N4836" s="1"/>
    </row>
    <row r="4837" spans="7:14" x14ac:dyDescent="0.3">
      <c r="G4837" s="1"/>
      <c r="N4837" s="1"/>
    </row>
    <row r="4838" spans="7:14" x14ac:dyDescent="0.3">
      <c r="G4838" s="1"/>
      <c r="N4838" s="1"/>
    </row>
    <row r="4839" spans="7:14" x14ac:dyDescent="0.3">
      <c r="G4839" s="1"/>
      <c r="N4839" s="1"/>
    </row>
    <row r="4840" spans="7:14" x14ac:dyDescent="0.3">
      <c r="G4840" s="1"/>
      <c r="N4840" s="1"/>
    </row>
    <row r="4841" spans="7:14" x14ac:dyDescent="0.3">
      <c r="G4841" s="1"/>
      <c r="N4841" s="1"/>
    </row>
    <row r="4842" spans="7:14" x14ac:dyDescent="0.3">
      <c r="G4842" s="1"/>
      <c r="N4842" s="1"/>
    </row>
    <row r="4843" spans="7:14" x14ac:dyDescent="0.3">
      <c r="G4843" s="1"/>
      <c r="N4843" s="1"/>
    </row>
    <row r="4844" spans="7:14" x14ac:dyDescent="0.3">
      <c r="G4844" s="1"/>
      <c r="N4844" s="1"/>
    </row>
    <row r="4845" spans="7:14" x14ac:dyDescent="0.3">
      <c r="G4845" s="1"/>
      <c r="N4845" s="1"/>
    </row>
    <row r="4846" spans="7:14" x14ac:dyDescent="0.3">
      <c r="G4846" s="1"/>
      <c r="N4846" s="1"/>
    </row>
    <row r="4847" spans="7:14" x14ac:dyDescent="0.3">
      <c r="G4847" s="1"/>
      <c r="N4847" s="1"/>
    </row>
    <row r="4848" spans="7:14" x14ac:dyDescent="0.3">
      <c r="G4848" s="1"/>
      <c r="N4848" s="1"/>
    </row>
    <row r="4849" spans="7:14" x14ac:dyDescent="0.3">
      <c r="G4849" s="1"/>
      <c r="N4849" s="1"/>
    </row>
    <row r="4850" spans="7:14" x14ac:dyDescent="0.3">
      <c r="G4850" s="1"/>
      <c r="N4850" s="1"/>
    </row>
    <row r="4851" spans="7:14" x14ac:dyDescent="0.3">
      <c r="G4851" s="1"/>
      <c r="N4851" s="1"/>
    </row>
    <row r="4852" spans="7:14" x14ac:dyDescent="0.3">
      <c r="G4852" s="1"/>
      <c r="N4852" s="1"/>
    </row>
    <row r="4853" spans="7:14" x14ac:dyDescent="0.3">
      <c r="G4853" s="1"/>
      <c r="N4853" s="1"/>
    </row>
    <row r="4854" spans="7:14" x14ac:dyDescent="0.3">
      <c r="G4854" s="1"/>
      <c r="N4854" s="1"/>
    </row>
    <row r="4855" spans="7:14" x14ac:dyDescent="0.3">
      <c r="G4855" s="1"/>
      <c r="N4855" s="1"/>
    </row>
    <row r="4856" spans="7:14" x14ac:dyDescent="0.3">
      <c r="G4856" s="1"/>
      <c r="N4856" s="1"/>
    </row>
    <row r="4857" spans="7:14" x14ac:dyDescent="0.3">
      <c r="G4857" s="1"/>
      <c r="N4857" s="1"/>
    </row>
    <row r="4858" spans="7:14" x14ac:dyDescent="0.3">
      <c r="G4858" s="1"/>
      <c r="N4858" s="1"/>
    </row>
    <row r="4859" spans="7:14" x14ac:dyDescent="0.3">
      <c r="G4859" s="1"/>
      <c r="N4859" s="1"/>
    </row>
    <row r="4860" spans="7:14" x14ac:dyDescent="0.3">
      <c r="G4860" s="1"/>
      <c r="N4860" s="1"/>
    </row>
    <row r="4861" spans="7:14" x14ac:dyDescent="0.3">
      <c r="G4861" s="1"/>
      <c r="N4861" s="1"/>
    </row>
    <row r="4862" spans="7:14" x14ac:dyDescent="0.3">
      <c r="G4862" s="1"/>
      <c r="N4862" s="1"/>
    </row>
    <row r="4863" spans="7:14" x14ac:dyDescent="0.3">
      <c r="G4863" s="1"/>
      <c r="N4863" s="1"/>
    </row>
    <row r="4864" spans="7:14" x14ac:dyDescent="0.3">
      <c r="G4864" s="1"/>
      <c r="N4864" s="1"/>
    </row>
    <row r="4865" spans="7:14" x14ac:dyDescent="0.3">
      <c r="G4865" s="1"/>
      <c r="N4865" s="1"/>
    </row>
    <row r="4866" spans="7:14" x14ac:dyDescent="0.3">
      <c r="G4866" s="1"/>
      <c r="N4866" s="1"/>
    </row>
    <row r="4867" spans="7:14" x14ac:dyDescent="0.3">
      <c r="G4867" s="1"/>
      <c r="N4867" s="1"/>
    </row>
    <row r="4868" spans="7:14" x14ac:dyDescent="0.3">
      <c r="G4868" s="1"/>
      <c r="N4868" s="1"/>
    </row>
    <row r="4869" spans="7:14" x14ac:dyDescent="0.3">
      <c r="G4869" s="1"/>
      <c r="N4869" s="1"/>
    </row>
    <row r="4870" spans="7:14" x14ac:dyDescent="0.3">
      <c r="G4870" s="1"/>
      <c r="N4870" s="1"/>
    </row>
    <row r="4871" spans="7:14" x14ac:dyDescent="0.3">
      <c r="G4871" s="1"/>
      <c r="N4871" s="1"/>
    </row>
    <row r="4872" spans="7:14" x14ac:dyDescent="0.3">
      <c r="G4872" s="1"/>
      <c r="N4872" s="1"/>
    </row>
    <row r="4873" spans="7:14" x14ac:dyDescent="0.3">
      <c r="G4873" s="1"/>
      <c r="N4873" s="1"/>
    </row>
    <row r="4874" spans="7:14" x14ac:dyDescent="0.3">
      <c r="G4874" s="1"/>
      <c r="N4874" s="1"/>
    </row>
    <row r="4875" spans="7:14" x14ac:dyDescent="0.3">
      <c r="G4875" s="1"/>
      <c r="N4875" s="1"/>
    </row>
    <row r="4876" spans="7:14" x14ac:dyDescent="0.3">
      <c r="G4876" s="1"/>
      <c r="N4876" s="1"/>
    </row>
    <row r="4877" spans="7:14" x14ac:dyDescent="0.3">
      <c r="G4877" s="1"/>
      <c r="N4877" s="1"/>
    </row>
    <row r="4878" spans="7:14" x14ac:dyDescent="0.3">
      <c r="G4878" s="1"/>
      <c r="N4878" s="1"/>
    </row>
    <row r="4879" spans="7:14" x14ac:dyDescent="0.3">
      <c r="G4879" s="1"/>
      <c r="N4879" s="1"/>
    </row>
    <row r="4880" spans="7:14" x14ac:dyDescent="0.3">
      <c r="G4880" s="1"/>
      <c r="N4880" s="1"/>
    </row>
    <row r="4881" spans="7:14" x14ac:dyDescent="0.3">
      <c r="G4881" s="1"/>
      <c r="N4881" s="1"/>
    </row>
    <row r="4882" spans="7:14" x14ac:dyDescent="0.3">
      <c r="G4882" s="1"/>
      <c r="N4882" s="1"/>
    </row>
    <row r="4883" spans="7:14" x14ac:dyDescent="0.3">
      <c r="G4883" s="1"/>
      <c r="N4883" s="1"/>
    </row>
    <row r="4884" spans="7:14" x14ac:dyDescent="0.3">
      <c r="G4884" s="1"/>
      <c r="N4884" s="1"/>
    </row>
    <row r="4885" spans="7:14" x14ac:dyDescent="0.3">
      <c r="G4885" s="1"/>
      <c r="N4885" s="1"/>
    </row>
    <row r="4886" spans="7:14" x14ac:dyDescent="0.3">
      <c r="G4886" s="1"/>
      <c r="N4886" s="1"/>
    </row>
    <row r="4887" spans="7:14" x14ac:dyDescent="0.3">
      <c r="G4887" s="1"/>
      <c r="N4887" s="1"/>
    </row>
    <row r="4888" spans="7:14" x14ac:dyDescent="0.3">
      <c r="G4888" s="1"/>
      <c r="N4888" s="1"/>
    </row>
    <row r="4889" spans="7:14" x14ac:dyDescent="0.3">
      <c r="G4889" s="1"/>
      <c r="N4889" s="1"/>
    </row>
    <row r="4890" spans="7:14" x14ac:dyDescent="0.3">
      <c r="G4890" s="1"/>
      <c r="N4890" s="1"/>
    </row>
    <row r="4891" spans="7:14" x14ac:dyDescent="0.3">
      <c r="G4891" s="1"/>
      <c r="N4891" s="1"/>
    </row>
    <row r="4892" spans="7:14" x14ac:dyDescent="0.3">
      <c r="G4892" s="1"/>
      <c r="N4892" s="1"/>
    </row>
    <row r="4893" spans="7:14" x14ac:dyDescent="0.3">
      <c r="G4893" s="1"/>
      <c r="N4893" s="1"/>
    </row>
    <row r="4894" spans="7:14" x14ac:dyDescent="0.3">
      <c r="G4894" s="1"/>
      <c r="N4894" s="1"/>
    </row>
    <row r="4895" spans="7:14" x14ac:dyDescent="0.3">
      <c r="G4895" s="1"/>
      <c r="N4895" s="1"/>
    </row>
    <row r="4896" spans="7:14" x14ac:dyDescent="0.3">
      <c r="G4896" s="1"/>
      <c r="N4896" s="1"/>
    </row>
    <row r="4897" spans="7:14" x14ac:dyDescent="0.3">
      <c r="G4897" s="1"/>
      <c r="N4897" s="1"/>
    </row>
    <row r="4898" spans="7:14" x14ac:dyDescent="0.3">
      <c r="G4898" s="1"/>
      <c r="N4898" s="1"/>
    </row>
    <row r="4899" spans="7:14" x14ac:dyDescent="0.3">
      <c r="G4899" s="1"/>
      <c r="N4899" s="1"/>
    </row>
    <row r="4900" spans="7:14" x14ac:dyDescent="0.3">
      <c r="G4900" s="1"/>
      <c r="N4900" s="1"/>
    </row>
    <row r="4901" spans="7:14" x14ac:dyDescent="0.3">
      <c r="G4901" s="1"/>
      <c r="N4901" s="1"/>
    </row>
    <row r="4902" spans="7:14" x14ac:dyDescent="0.3">
      <c r="G4902" s="1"/>
      <c r="N4902" s="1"/>
    </row>
    <row r="4903" spans="7:14" x14ac:dyDescent="0.3">
      <c r="G4903" s="1"/>
      <c r="N4903" s="1"/>
    </row>
    <row r="4904" spans="7:14" x14ac:dyDescent="0.3">
      <c r="G4904" s="1"/>
      <c r="N4904" s="1"/>
    </row>
    <row r="4905" spans="7:14" x14ac:dyDescent="0.3">
      <c r="G4905" s="1"/>
      <c r="N4905" s="1"/>
    </row>
    <row r="4906" spans="7:14" x14ac:dyDescent="0.3">
      <c r="G4906" s="1"/>
      <c r="N4906" s="1"/>
    </row>
    <row r="4907" spans="7:14" x14ac:dyDescent="0.3">
      <c r="G4907" s="1"/>
      <c r="N4907" s="1"/>
    </row>
    <row r="4908" spans="7:14" x14ac:dyDescent="0.3">
      <c r="G4908" s="1"/>
      <c r="N4908" s="1"/>
    </row>
    <row r="4909" spans="7:14" x14ac:dyDescent="0.3">
      <c r="G4909" s="1"/>
      <c r="N4909" s="1"/>
    </row>
    <row r="4910" spans="7:14" x14ac:dyDescent="0.3">
      <c r="G4910" s="1"/>
      <c r="N4910" s="1"/>
    </row>
    <row r="4911" spans="7:14" x14ac:dyDescent="0.3">
      <c r="G4911" s="1"/>
      <c r="N4911" s="1"/>
    </row>
    <row r="4912" spans="7:14" x14ac:dyDescent="0.3">
      <c r="G4912" s="1"/>
      <c r="N4912" s="1"/>
    </row>
    <row r="4913" spans="7:14" x14ac:dyDescent="0.3">
      <c r="G4913" s="1"/>
      <c r="N4913" s="1"/>
    </row>
    <row r="4914" spans="7:14" x14ac:dyDescent="0.3">
      <c r="G4914" s="1"/>
      <c r="N4914" s="1"/>
    </row>
    <row r="4915" spans="7:14" x14ac:dyDescent="0.3">
      <c r="G4915" s="1"/>
      <c r="N4915" s="1"/>
    </row>
    <row r="4916" spans="7:14" x14ac:dyDescent="0.3">
      <c r="G4916" s="1"/>
      <c r="N4916" s="1"/>
    </row>
    <row r="4917" spans="7:14" x14ac:dyDescent="0.3">
      <c r="G4917" s="1"/>
      <c r="N4917" s="1"/>
    </row>
    <row r="4918" spans="7:14" x14ac:dyDescent="0.3">
      <c r="G4918" s="1"/>
      <c r="N4918" s="1"/>
    </row>
    <row r="4919" spans="7:14" x14ac:dyDescent="0.3">
      <c r="G4919" s="1"/>
      <c r="N4919" s="1"/>
    </row>
    <row r="4920" spans="7:14" x14ac:dyDescent="0.3">
      <c r="G4920" s="1"/>
      <c r="N4920" s="1"/>
    </row>
    <row r="4921" spans="7:14" x14ac:dyDescent="0.3">
      <c r="G4921" s="1"/>
      <c r="N4921" s="1"/>
    </row>
    <row r="4922" spans="7:14" x14ac:dyDescent="0.3">
      <c r="G4922" s="1"/>
      <c r="N4922" s="1"/>
    </row>
    <row r="4923" spans="7:14" x14ac:dyDescent="0.3">
      <c r="G4923" s="1"/>
      <c r="N4923" s="1"/>
    </row>
    <row r="4924" spans="7:14" x14ac:dyDescent="0.3">
      <c r="G4924" s="1"/>
      <c r="N4924" s="1"/>
    </row>
    <row r="4925" spans="7:14" x14ac:dyDescent="0.3">
      <c r="G4925" s="1"/>
      <c r="N4925" s="1"/>
    </row>
    <row r="4926" spans="7:14" x14ac:dyDescent="0.3">
      <c r="G4926" s="1"/>
      <c r="N4926" s="1"/>
    </row>
    <row r="4927" spans="7:14" x14ac:dyDescent="0.3">
      <c r="G4927" s="1"/>
      <c r="N4927" s="1"/>
    </row>
    <row r="4928" spans="7:14" x14ac:dyDescent="0.3">
      <c r="G4928" s="1"/>
      <c r="N4928" s="1"/>
    </row>
    <row r="4929" spans="7:14" x14ac:dyDescent="0.3">
      <c r="G4929" s="1"/>
      <c r="N4929" s="1"/>
    </row>
    <row r="4930" spans="7:14" x14ac:dyDescent="0.3">
      <c r="G4930" s="1"/>
      <c r="N4930" s="1"/>
    </row>
    <row r="4931" spans="7:14" x14ac:dyDescent="0.3">
      <c r="G4931" s="1"/>
      <c r="N4931" s="1"/>
    </row>
    <row r="4932" spans="7:14" x14ac:dyDescent="0.3">
      <c r="G4932" s="1"/>
      <c r="N4932" s="1"/>
    </row>
    <row r="4933" spans="7:14" x14ac:dyDescent="0.3">
      <c r="G4933" s="1"/>
      <c r="N4933" s="1"/>
    </row>
    <row r="4934" spans="7:14" x14ac:dyDescent="0.3">
      <c r="G4934" s="1"/>
      <c r="N4934" s="1"/>
    </row>
    <row r="4935" spans="7:14" x14ac:dyDescent="0.3">
      <c r="G4935" s="1"/>
      <c r="N4935" s="1"/>
    </row>
    <row r="4936" spans="7:14" x14ac:dyDescent="0.3">
      <c r="G4936" s="1"/>
      <c r="N4936" s="1"/>
    </row>
    <row r="4937" spans="7:14" x14ac:dyDescent="0.3">
      <c r="G4937" s="1"/>
      <c r="N4937" s="1"/>
    </row>
    <row r="4938" spans="7:14" x14ac:dyDescent="0.3">
      <c r="G4938" s="1"/>
      <c r="N4938" s="1"/>
    </row>
    <row r="4939" spans="7:14" x14ac:dyDescent="0.3">
      <c r="G4939" s="1"/>
      <c r="N4939" s="1"/>
    </row>
    <row r="4940" spans="7:14" x14ac:dyDescent="0.3">
      <c r="G4940" s="1"/>
      <c r="N4940" s="1"/>
    </row>
    <row r="4941" spans="7:14" x14ac:dyDescent="0.3">
      <c r="G4941" s="1"/>
      <c r="N4941" s="1"/>
    </row>
    <row r="4942" spans="7:14" x14ac:dyDescent="0.3">
      <c r="G4942" s="1"/>
      <c r="N4942" s="1"/>
    </row>
    <row r="4943" spans="7:14" x14ac:dyDescent="0.3">
      <c r="G4943" s="1"/>
      <c r="N4943" s="1"/>
    </row>
    <row r="4944" spans="7:14" x14ac:dyDescent="0.3">
      <c r="G4944" s="1"/>
      <c r="N4944" s="1"/>
    </row>
    <row r="4945" spans="7:14" x14ac:dyDescent="0.3">
      <c r="G4945" s="1"/>
      <c r="N4945" s="1"/>
    </row>
    <row r="4946" spans="7:14" x14ac:dyDescent="0.3">
      <c r="G4946" s="1"/>
      <c r="N4946" s="1"/>
    </row>
    <row r="4947" spans="7:14" x14ac:dyDescent="0.3">
      <c r="G4947" s="1"/>
      <c r="N4947" s="1"/>
    </row>
    <row r="4948" spans="7:14" x14ac:dyDescent="0.3">
      <c r="G4948" s="1"/>
      <c r="N4948" s="1"/>
    </row>
    <row r="4949" spans="7:14" x14ac:dyDescent="0.3">
      <c r="G4949" s="1"/>
      <c r="N4949" s="1"/>
    </row>
    <row r="4950" spans="7:14" x14ac:dyDescent="0.3">
      <c r="G4950" s="1"/>
      <c r="N4950" s="1"/>
    </row>
    <row r="4951" spans="7:14" x14ac:dyDescent="0.3">
      <c r="G4951" s="1"/>
      <c r="N4951" s="1"/>
    </row>
    <row r="4952" spans="7:14" x14ac:dyDescent="0.3">
      <c r="G4952" s="1"/>
      <c r="N4952" s="1"/>
    </row>
    <row r="4953" spans="7:14" x14ac:dyDescent="0.3">
      <c r="G4953" s="1"/>
      <c r="N4953" s="1"/>
    </row>
    <row r="4954" spans="7:14" x14ac:dyDescent="0.3">
      <c r="G4954" s="1"/>
      <c r="N4954" s="1"/>
    </row>
    <row r="4955" spans="7:14" x14ac:dyDescent="0.3">
      <c r="G4955" s="1"/>
      <c r="N4955" s="1"/>
    </row>
    <row r="4956" spans="7:14" x14ac:dyDescent="0.3">
      <c r="G4956" s="1"/>
      <c r="N4956" s="1"/>
    </row>
    <row r="4957" spans="7:14" x14ac:dyDescent="0.3">
      <c r="G4957" s="1"/>
      <c r="N4957" s="1"/>
    </row>
    <row r="4958" spans="7:14" x14ac:dyDescent="0.3">
      <c r="G4958" s="1"/>
      <c r="N4958" s="1"/>
    </row>
    <row r="4959" spans="7:14" x14ac:dyDescent="0.3">
      <c r="G4959" s="1"/>
      <c r="N4959" s="1"/>
    </row>
    <row r="4960" spans="7:14" x14ac:dyDescent="0.3">
      <c r="G4960" s="1"/>
      <c r="N4960" s="1"/>
    </row>
    <row r="4961" spans="7:14" x14ac:dyDescent="0.3">
      <c r="G4961" s="1"/>
      <c r="N4961" s="1"/>
    </row>
    <row r="4962" spans="7:14" x14ac:dyDescent="0.3">
      <c r="G4962" s="1"/>
      <c r="N4962" s="1"/>
    </row>
    <row r="4963" spans="7:14" x14ac:dyDescent="0.3">
      <c r="G4963" s="1"/>
      <c r="N4963" s="1"/>
    </row>
    <row r="4964" spans="7:14" x14ac:dyDescent="0.3">
      <c r="G4964" s="1"/>
      <c r="N4964" s="1"/>
    </row>
    <row r="4965" spans="7:14" x14ac:dyDescent="0.3">
      <c r="G4965" s="1"/>
      <c r="N4965" s="1"/>
    </row>
    <row r="4966" spans="7:14" x14ac:dyDescent="0.3">
      <c r="G4966" s="1"/>
      <c r="N4966" s="1"/>
    </row>
    <row r="4967" spans="7:14" x14ac:dyDescent="0.3">
      <c r="G4967" s="1"/>
      <c r="N4967" s="1"/>
    </row>
    <row r="4968" spans="7:14" x14ac:dyDescent="0.3">
      <c r="G4968" s="1"/>
      <c r="N4968" s="1"/>
    </row>
    <row r="4969" spans="7:14" x14ac:dyDescent="0.3">
      <c r="G4969" s="1"/>
      <c r="N4969" s="1"/>
    </row>
    <row r="4970" spans="7:14" x14ac:dyDescent="0.3">
      <c r="G4970" s="1"/>
      <c r="N4970" s="1"/>
    </row>
    <row r="4971" spans="7:14" x14ac:dyDescent="0.3">
      <c r="G4971" s="1"/>
      <c r="N4971" s="1"/>
    </row>
    <row r="4972" spans="7:14" x14ac:dyDescent="0.3">
      <c r="G4972" s="1"/>
      <c r="N4972" s="1"/>
    </row>
    <row r="4973" spans="7:14" x14ac:dyDescent="0.3">
      <c r="G4973" s="1"/>
      <c r="N4973" s="1"/>
    </row>
    <row r="4974" spans="7:14" x14ac:dyDescent="0.3">
      <c r="G4974" s="1"/>
      <c r="N4974" s="1"/>
    </row>
    <row r="4975" spans="7:14" x14ac:dyDescent="0.3">
      <c r="G4975" s="1"/>
      <c r="N4975" s="1"/>
    </row>
    <row r="4976" spans="7:14" x14ac:dyDescent="0.3">
      <c r="G4976" s="1"/>
      <c r="N4976" s="1"/>
    </row>
    <row r="4977" spans="7:14" x14ac:dyDescent="0.3">
      <c r="G4977" s="1"/>
      <c r="N4977" s="1"/>
    </row>
    <row r="4978" spans="7:14" x14ac:dyDescent="0.3">
      <c r="G4978" s="1"/>
      <c r="N4978" s="1"/>
    </row>
    <row r="4979" spans="7:14" x14ac:dyDescent="0.3">
      <c r="G4979" s="1"/>
      <c r="N4979" s="1"/>
    </row>
    <row r="4980" spans="7:14" x14ac:dyDescent="0.3">
      <c r="G4980" s="1"/>
      <c r="N4980" s="1"/>
    </row>
    <row r="4981" spans="7:14" x14ac:dyDescent="0.3">
      <c r="G4981" s="1"/>
      <c r="N4981" s="1"/>
    </row>
    <row r="4982" spans="7:14" x14ac:dyDescent="0.3">
      <c r="G4982" s="1"/>
      <c r="N4982" s="1"/>
    </row>
    <row r="4983" spans="7:14" x14ac:dyDescent="0.3">
      <c r="G4983" s="1"/>
      <c r="N4983" s="1"/>
    </row>
    <row r="4984" spans="7:14" x14ac:dyDescent="0.3">
      <c r="G4984" s="1"/>
      <c r="N4984" s="1"/>
    </row>
    <row r="4985" spans="7:14" x14ac:dyDescent="0.3">
      <c r="G4985" s="1"/>
      <c r="N4985" s="1"/>
    </row>
    <row r="4986" spans="7:14" x14ac:dyDescent="0.3">
      <c r="G4986" s="1"/>
      <c r="N4986" s="1"/>
    </row>
    <row r="4987" spans="7:14" x14ac:dyDescent="0.3">
      <c r="G4987" s="1"/>
      <c r="N4987" s="1"/>
    </row>
    <row r="4988" spans="7:14" x14ac:dyDescent="0.3">
      <c r="G4988" s="1"/>
      <c r="N4988" s="1"/>
    </row>
    <row r="4989" spans="7:14" x14ac:dyDescent="0.3">
      <c r="G4989" s="1"/>
      <c r="N4989" s="1"/>
    </row>
    <row r="4990" spans="7:14" x14ac:dyDescent="0.3">
      <c r="G4990" s="1"/>
      <c r="N4990" s="1"/>
    </row>
    <row r="4991" spans="7:14" x14ac:dyDescent="0.3">
      <c r="G4991" s="1"/>
      <c r="N4991" s="1"/>
    </row>
    <row r="4992" spans="7:14" x14ac:dyDescent="0.3">
      <c r="G4992" s="1"/>
      <c r="N4992" s="1"/>
    </row>
    <row r="4993" spans="7:14" x14ac:dyDescent="0.3">
      <c r="G4993" s="1"/>
      <c r="N4993" s="1"/>
    </row>
    <row r="4994" spans="7:14" x14ac:dyDescent="0.3">
      <c r="G4994" s="1"/>
      <c r="N4994" s="1"/>
    </row>
    <row r="4995" spans="7:14" x14ac:dyDescent="0.3">
      <c r="G4995" s="1"/>
      <c r="N4995" s="1"/>
    </row>
    <row r="4996" spans="7:14" x14ac:dyDescent="0.3">
      <c r="G4996" s="1"/>
      <c r="N4996" s="1"/>
    </row>
    <row r="4997" spans="7:14" x14ac:dyDescent="0.3">
      <c r="G4997" s="1"/>
      <c r="N4997" s="1"/>
    </row>
    <row r="4998" spans="7:14" x14ac:dyDescent="0.3">
      <c r="G4998" s="1"/>
      <c r="N4998" s="1"/>
    </row>
    <row r="4999" spans="7:14" x14ac:dyDescent="0.3">
      <c r="G4999" s="1"/>
      <c r="N4999" s="1"/>
    </row>
    <row r="5000" spans="7:14" x14ac:dyDescent="0.3">
      <c r="G5000" s="1"/>
      <c r="N5000" s="1"/>
    </row>
    <row r="5001" spans="7:14" x14ac:dyDescent="0.3">
      <c r="G5001" s="1"/>
      <c r="N5001" s="1"/>
    </row>
    <row r="5002" spans="7:14" x14ac:dyDescent="0.3">
      <c r="G5002" s="1"/>
      <c r="N5002" s="1"/>
    </row>
    <row r="5003" spans="7:14" x14ac:dyDescent="0.3">
      <c r="G5003" s="1"/>
      <c r="N5003" s="1"/>
    </row>
    <row r="5004" spans="7:14" x14ac:dyDescent="0.3">
      <c r="G5004" s="1"/>
      <c r="N5004" s="1"/>
    </row>
    <row r="5005" spans="7:14" x14ac:dyDescent="0.3">
      <c r="G5005" s="1"/>
      <c r="N5005" s="1"/>
    </row>
    <row r="5006" spans="7:14" x14ac:dyDescent="0.3">
      <c r="G5006" s="1"/>
      <c r="N5006" s="1"/>
    </row>
    <row r="5007" spans="7:14" x14ac:dyDescent="0.3">
      <c r="G5007" s="1"/>
      <c r="N5007" s="1"/>
    </row>
    <row r="5008" spans="7:14" x14ac:dyDescent="0.3">
      <c r="G5008" s="1"/>
      <c r="N5008" s="1"/>
    </row>
    <row r="5009" spans="7:14" x14ac:dyDescent="0.3">
      <c r="G5009" s="1"/>
      <c r="N5009" s="1"/>
    </row>
    <row r="5010" spans="7:14" x14ac:dyDescent="0.3">
      <c r="G5010" s="1"/>
      <c r="N5010" s="1"/>
    </row>
    <row r="5011" spans="7:14" x14ac:dyDescent="0.3">
      <c r="G5011" s="1"/>
      <c r="N5011" s="1"/>
    </row>
    <row r="5012" spans="7:14" x14ac:dyDescent="0.3">
      <c r="G5012" s="1"/>
      <c r="N5012" s="1"/>
    </row>
    <row r="5013" spans="7:14" x14ac:dyDescent="0.3">
      <c r="G5013" s="1"/>
      <c r="N5013" s="1"/>
    </row>
    <row r="5014" spans="7:14" x14ac:dyDescent="0.3">
      <c r="G5014" s="1"/>
      <c r="N5014" s="1"/>
    </row>
    <row r="5015" spans="7:14" x14ac:dyDescent="0.3">
      <c r="G5015" s="1"/>
      <c r="N5015" s="1"/>
    </row>
    <row r="5016" spans="7:14" x14ac:dyDescent="0.3">
      <c r="G5016" s="1"/>
      <c r="N5016" s="1"/>
    </row>
    <row r="5017" spans="7:14" x14ac:dyDescent="0.3">
      <c r="G5017" s="1"/>
      <c r="N5017" s="1"/>
    </row>
    <row r="5018" spans="7:14" x14ac:dyDescent="0.3">
      <c r="G5018" s="1"/>
      <c r="N5018" s="1"/>
    </row>
    <row r="5019" spans="7:14" x14ac:dyDescent="0.3">
      <c r="G5019" s="1"/>
      <c r="N5019" s="1"/>
    </row>
    <row r="5020" spans="7:14" x14ac:dyDescent="0.3">
      <c r="G5020" s="1"/>
      <c r="N5020" s="1"/>
    </row>
    <row r="5021" spans="7:14" x14ac:dyDescent="0.3">
      <c r="G5021" s="1"/>
      <c r="N5021" s="1"/>
    </row>
    <row r="5022" spans="7:14" x14ac:dyDescent="0.3">
      <c r="G5022" s="1"/>
      <c r="N5022" s="1"/>
    </row>
    <row r="5023" spans="7:14" x14ac:dyDescent="0.3">
      <c r="G5023" s="1"/>
      <c r="N5023" s="1"/>
    </row>
    <row r="5024" spans="7:14" x14ac:dyDescent="0.3">
      <c r="G5024" s="1"/>
      <c r="N5024" s="1"/>
    </row>
    <row r="5025" spans="7:14" x14ac:dyDescent="0.3">
      <c r="G5025" s="1"/>
      <c r="N5025" s="1"/>
    </row>
    <row r="5026" spans="7:14" x14ac:dyDescent="0.3">
      <c r="G5026" s="1"/>
      <c r="N5026" s="1"/>
    </row>
    <row r="5027" spans="7:14" x14ac:dyDescent="0.3">
      <c r="G5027" s="1"/>
      <c r="N5027" s="1"/>
    </row>
    <row r="5028" spans="7:14" x14ac:dyDescent="0.3">
      <c r="G5028" s="1"/>
      <c r="N5028" s="1"/>
    </row>
    <row r="5029" spans="7:14" x14ac:dyDescent="0.3">
      <c r="G5029" s="1"/>
      <c r="N5029" s="1"/>
    </row>
    <row r="5030" spans="7:14" x14ac:dyDescent="0.3">
      <c r="G5030" s="1"/>
      <c r="N5030" s="1"/>
    </row>
    <row r="5031" spans="7:14" x14ac:dyDescent="0.3">
      <c r="G5031" s="1"/>
      <c r="N5031" s="1"/>
    </row>
    <row r="5032" spans="7:14" x14ac:dyDescent="0.3">
      <c r="G5032" s="1"/>
      <c r="N5032" s="1"/>
    </row>
    <row r="5033" spans="7:14" x14ac:dyDescent="0.3">
      <c r="G5033" s="1"/>
      <c r="N5033" s="1"/>
    </row>
    <row r="5034" spans="7:14" x14ac:dyDescent="0.3">
      <c r="G5034" s="1"/>
      <c r="N5034" s="1"/>
    </row>
    <row r="5035" spans="7:14" x14ac:dyDescent="0.3">
      <c r="G5035" s="1"/>
      <c r="N5035" s="1"/>
    </row>
    <row r="5036" spans="7:14" x14ac:dyDescent="0.3">
      <c r="G5036" s="1"/>
      <c r="N5036" s="1"/>
    </row>
    <row r="5037" spans="7:14" x14ac:dyDescent="0.3">
      <c r="G5037" s="1"/>
      <c r="N5037" s="1"/>
    </row>
    <row r="5038" spans="7:14" x14ac:dyDescent="0.3">
      <c r="G5038" s="1"/>
      <c r="N5038" s="1"/>
    </row>
    <row r="5039" spans="7:14" x14ac:dyDescent="0.3">
      <c r="G5039" s="1"/>
      <c r="N5039" s="1"/>
    </row>
    <row r="5040" spans="7:14" x14ac:dyDescent="0.3">
      <c r="G5040" s="1"/>
      <c r="N5040" s="1"/>
    </row>
    <row r="5041" spans="7:14" x14ac:dyDescent="0.3">
      <c r="G5041" s="1"/>
      <c r="N5041" s="1"/>
    </row>
    <row r="5042" spans="7:14" x14ac:dyDescent="0.3">
      <c r="G5042" s="1"/>
      <c r="N5042" s="1"/>
    </row>
    <row r="5043" spans="7:14" x14ac:dyDescent="0.3">
      <c r="G5043" s="1"/>
      <c r="N5043" s="1"/>
    </row>
    <row r="5044" spans="7:14" x14ac:dyDescent="0.3">
      <c r="G5044" s="1"/>
      <c r="N5044" s="1"/>
    </row>
    <row r="5045" spans="7:14" x14ac:dyDescent="0.3">
      <c r="G5045" s="1"/>
      <c r="N5045" s="1"/>
    </row>
    <row r="5046" spans="7:14" x14ac:dyDescent="0.3">
      <c r="G5046" s="1"/>
      <c r="N5046" s="1"/>
    </row>
    <row r="5047" spans="7:14" x14ac:dyDescent="0.3">
      <c r="G5047" s="1"/>
      <c r="N5047" s="1"/>
    </row>
    <row r="5048" spans="7:14" x14ac:dyDescent="0.3">
      <c r="G5048" s="1"/>
      <c r="N5048" s="1"/>
    </row>
    <row r="5049" spans="7:14" x14ac:dyDescent="0.3">
      <c r="G5049" s="1"/>
      <c r="N5049" s="1"/>
    </row>
    <row r="5050" spans="7:14" x14ac:dyDescent="0.3">
      <c r="G5050" s="1"/>
      <c r="N5050" s="1"/>
    </row>
    <row r="5051" spans="7:14" x14ac:dyDescent="0.3">
      <c r="G5051" s="1"/>
      <c r="N5051" s="1"/>
    </row>
    <row r="5052" spans="7:14" x14ac:dyDescent="0.3">
      <c r="G5052" s="1"/>
      <c r="N5052" s="1"/>
    </row>
    <row r="5053" spans="7:14" x14ac:dyDescent="0.3">
      <c r="G5053" s="1"/>
      <c r="N5053" s="1"/>
    </row>
    <row r="5054" spans="7:14" x14ac:dyDescent="0.3">
      <c r="G5054" s="1"/>
      <c r="N5054" s="1"/>
    </row>
    <row r="5055" spans="7:14" x14ac:dyDescent="0.3">
      <c r="G5055" s="1"/>
      <c r="N5055" s="1"/>
    </row>
    <row r="5056" spans="7:14" x14ac:dyDescent="0.3">
      <c r="G5056" s="1"/>
      <c r="N5056" s="1"/>
    </row>
    <row r="5057" spans="7:14" x14ac:dyDescent="0.3">
      <c r="G5057" s="1"/>
      <c r="N5057" s="1"/>
    </row>
    <row r="5058" spans="7:14" x14ac:dyDescent="0.3">
      <c r="G5058" s="1"/>
      <c r="N5058" s="1"/>
    </row>
    <row r="5059" spans="7:14" x14ac:dyDescent="0.3">
      <c r="G5059" s="1"/>
      <c r="N5059" s="1"/>
    </row>
    <row r="5060" spans="7:14" x14ac:dyDescent="0.3">
      <c r="G5060" s="1"/>
      <c r="N5060" s="1"/>
    </row>
    <row r="5061" spans="7:14" x14ac:dyDescent="0.3">
      <c r="G5061" s="1"/>
      <c r="N5061" s="1"/>
    </row>
    <row r="5062" spans="7:14" x14ac:dyDescent="0.3">
      <c r="G5062" s="1"/>
      <c r="N5062" s="1"/>
    </row>
    <row r="5063" spans="7:14" x14ac:dyDescent="0.3">
      <c r="G5063" s="1"/>
      <c r="N5063" s="1"/>
    </row>
    <row r="5064" spans="7:14" x14ac:dyDescent="0.3">
      <c r="G5064" s="1"/>
      <c r="N5064" s="1"/>
    </row>
    <row r="5065" spans="7:14" x14ac:dyDescent="0.3">
      <c r="G5065" s="1"/>
      <c r="N5065" s="1"/>
    </row>
    <row r="5066" spans="7:14" x14ac:dyDescent="0.3">
      <c r="G5066" s="1"/>
      <c r="N5066" s="1"/>
    </row>
    <row r="5067" spans="7:14" x14ac:dyDescent="0.3">
      <c r="G5067" s="1"/>
      <c r="N5067" s="1"/>
    </row>
    <row r="5068" spans="7:14" x14ac:dyDescent="0.3">
      <c r="G5068" s="1"/>
      <c r="N5068" s="1"/>
    </row>
    <row r="5069" spans="7:14" x14ac:dyDescent="0.3">
      <c r="G5069" s="1"/>
      <c r="N5069" s="1"/>
    </row>
    <row r="5070" spans="7:14" x14ac:dyDescent="0.3">
      <c r="G5070" s="1"/>
      <c r="N5070" s="1"/>
    </row>
    <row r="5071" spans="7:14" x14ac:dyDescent="0.3">
      <c r="G5071" s="1"/>
      <c r="N5071" s="1"/>
    </row>
    <row r="5072" spans="7:14" x14ac:dyDescent="0.3">
      <c r="G5072" s="1"/>
      <c r="N5072" s="1"/>
    </row>
    <row r="5073" spans="7:14" x14ac:dyDescent="0.3">
      <c r="G5073" s="1"/>
      <c r="N5073" s="1"/>
    </row>
    <row r="5074" spans="7:14" x14ac:dyDescent="0.3">
      <c r="G5074" s="1"/>
      <c r="N5074" s="1"/>
    </row>
    <row r="5075" spans="7:14" x14ac:dyDescent="0.3">
      <c r="G5075" s="1"/>
      <c r="N5075" s="1"/>
    </row>
    <row r="5076" spans="7:14" x14ac:dyDescent="0.3">
      <c r="G5076" s="1"/>
      <c r="N5076" s="1"/>
    </row>
    <row r="5077" spans="7:14" x14ac:dyDescent="0.3">
      <c r="G5077" s="1"/>
      <c r="N5077" s="1"/>
    </row>
    <row r="5078" spans="7:14" x14ac:dyDescent="0.3">
      <c r="G5078" s="1"/>
      <c r="N5078" s="1"/>
    </row>
    <row r="5079" spans="7:14" x14ac:dyDescent="0.3">
      <c r="G5079" s="1"/>
      <c r="N5079" s="1"/>
    </row>
    <row r="5080" spans="7:14" x14ac:dyDescent="0.3">
      <c r="G5080" s="1"/>
      <c r="N5080" s="1"/>
    </row>
    <row r="5081" spans="7:14" x14ac:dyDescent="0.3">
      <c r="G5081" s="1"/>
      <c r="N5081" s="1"/>
    </row>
    <row r="5082" spans="7:14" x14ac:dyDescent="0.3">
      <c r="G5082" s="1"/>
      <c r="N5082" s="1"/>
    </row>
    <row r="5083" spans="7:14" x14ac:dyDescent="0.3">
      <c r="G5083" s="1"/>
      <c r="N5083" s="1"/>
    </row>
    <row r="5084" spans="7:14" x14ac:dyDescent="0.3">
      <c r="G5084" s="1"/>
      <c r="N5084" s="1"/>
    </row>
    <row r="5085" spans="7:14" x14ac:dyDescent="0.3">
      <c r="G5085" s="1"/>
      <c r="N5085" s="1"/>
    </row>
    <row r="5086" spans="7:14" x14ac:dyDescent="0.3">
      <c r="G5086" s="1"/>
      <c r="N5086" s="1"/>
    </row>
    <row r="5087" spans="7:14" x14ac:dyDescent="0.3">
      <c r="G5087" s="1"/>
      <c r="N5087" s="1"/>
    </row>
    <row r="5088" spans="7:14" x14ac:dyDescent="0.3">
      <c r="G5088" s="1"/>
      <c r="N5088" s="1"/>
    </row>
    <row r="5089" spans="7:14" x14ac:dyDescent="0.3">
      <c r="G5089" s="1"/>
      <c r="N5089" s="1"/>
    </row>
    <row r="5090" spans="7:14" x14ac:dyDescent="0.3">
      <c r="G5090" s="1"/>
      <c r="N5090" s="1"/>
    </row>
    <row r="5091" spans="7:14" x14ac:dyDescent="0.3">
      <c r="G5091" s="1"/>
      <c r="N5091" s="1"/>
    </row>
    <row r="5092" spans="7:14" x14ac:dyDescent="0.3">
      <c r="G5092" s="1"/>
      <c r="N5092" s="1"/>
    </row>
    <row r="5093" spans="7:14" x14ac:dyDescent="0.3">
      <c r="G5093" s="1"/>
      <c r="N5093" s="1"/>
    </row>
    <row r="5094" spans="7:14" x14ac:dyDescent="0.3">
      <c r="G5094" s="1"/>
      <c r="N5094" s="1"/>
    </row>
    <row r="5095" spans="7:14" x14ac:dyDescent="0.3">
      <c r="G5095" s="1"/>
      <c r="N5095" s="1"/>
    </row>
    <row r="5096" spans="7:14" x14ac:dyDescent="0.3">
      <c r="G5096" s="1"/>
      <c r="N5096" s="1"/>
    </row>
    <row r="5097" spans="7:14" x14ac:dyDescent="0.3">
      <c r="G5097" s="1"/>
      <c r="N5097" s="1"/>
    </row>
    <row r="5098" spans="7:14" x14ac:dyDescent="0.3">
      <c r="G5098" s="1"/>
      <c r="N5098" s="1"/>
    </row>
    <row r="5099" spans="7:14" x14ac:dyDescent="0.3">
      <c r="G5099" s="1"/>
      <c r="N5099" s="1"/>
    </row>
    <row r="5100" spans="7:14" x14ac:dyDescent="0.3">
      <c r="G5100" s="1"/>
      <c r="N5100" s="1"/>
    </row>
    <row r="5101" spans="7:14" x14ac:dyDescent="0.3">
      <c r="G5101" s="1"/>
      <c r="N5101" s="1"/>
    </row>
    <row r="5102" spans="7:14" x14ac:dyDescent="0.3">
      <c r="G5102" s="1"/>
      <c r="N5102" s="1"/>
    </row>
    <row r="5103" spans="7:14" x14ac:dyDescent="0.3">
      <c r="G5103" s="1"/>
      <c r="N5103" s="1"/>
    </row>
    <row r="5104" spans="7:14" x14ac:dyDescent="0.3">
      <c r="G5104" s="1"/>
      <c r="N5104" s="1"/>
    </row>
    <row r="5105" spans="7:14" x14ac:dyDescent="0.3">
      <c r="G5105" s="1"/>
      <c r="N5105" s="1"/>
    </row>
    <row r="5106" spans="7:14" x14ac:dyDescent="0.3">
      <c r="G5106" s="1"/>
      <c r="N5106" s="1"/>
    </row>
    <row r="5107" spans="7:14" x14ac:dyDescent="0.3">
      <c r="G5107" s="1"/>
      <c r="N5107" s="1"/>
    </row>
    <row r="5108" spans="7:14" x14ac:dyDescent="0.3">
      <c r="G5108" s="1"/>
      <c r="N5108" s="1"/>
    </row>
    <row r="5109" spans="7:14" x14ac:dyDescent="0.3">
      <c r="G5109" s="1"/>
      <c r="N5109" s="1"/>
    </row>
    <row r="5110" spans="7:14" x14ac:dyDescent="0.3">
      <c r="G5110" s="1"/>
      <c r="N5110" s="1"/>
    </row>
    <row r="5111" spans="7:14" x14ac:dyDescent="0.3">
      <c r="G5111" s="1"/>
      <c r="N5111" s="1"/>
    </row>
    <row r="5112" spans="7:14" x14ac:dyDescent="0.3">
      <c r="G5112" s="1"/>
      <c r="N5112" s="1"/>
    </row>
    <row r="5113" spans="7:14" x14ac:dyDescent="0.3">
      <c r="G5113" s="1"/>
      <c r="N5113" s="1"/>
    </row>
    <row r="5114" spans="7:14" x14ac:dyDescent="0.3">
      <c r="G5114" s="1"/>
      <c r="N5114" s="1"/>
    </row>
    <row r="5115" spans="7:14" x14ac:dyDescent="0.3">
      <c r="G5115" s="1"/>
      <c r="N5115" s="1"/>
    </row>
    <row r="5116" spans="7:14" x14ac:dyDescent="0.3">
      <c r="G5116" s="1"/>
      <c r="N5116" s="1"/>
    </row>
    <row r="5117" spans="7:14" x14ac:dyDescent="0.3">
      <c r="G5117" s="1"/>
      <c r="N5117" s="1"/>
    </row>
    <row r="5118" spans="7:14" x14ac:dyDescent="0.3">
      <c r="G5118" s="1"/>
      <c r="N5118" s="1"/>
    </row>
    <row r="5119" spans="7:14" x14ac:dyDescent="0.3">
      <c r="G5119" s="1"/>
      <c r="N5119" s="1"/>
    </row>
    <row r="5120" spans="7:14" x14ac:dyDescent="0.3">
      <c r="G5120" s="1"/>
      <c r="N5120" s="1"/>
    </row>
    <row r="5121" spans="7:14" x14ac:dyDescent="0.3">
      <c r="G5121" s="1"/>
      <c r="N5121" s="1"/>
    </row>
    <row r="5122" spans="7:14" x14ac:dyDescent="0.3">
      <c r="G5122" s="1"/>
      <c r="N5122" s="1"/>
    </row>
    <row r="5123" spans="7:14" x14ac:dyDescent="0.3">
      <c r="G5123" s="1"/>
      <c r="N5123" s="1"/>
    </row>
    <row r="5124" spans="7:14" x14ac:dyDescent="0.3">
      <c r="G5124" s="1"/>
      <c r="N5124" s="1"/>
    </row>
    <row r="5125" spans="7:14" x14ac:dyDescent="0.3">
      <c r="G5125" s="1"/>
      <c r="N5125" s="1"/>
    </row>
    <row r="5126" spans="7:14" x14ac:dyDescent="0.3">
      <c r="G5126" s="1"/>
      <c r="N5126" s="1"/>
    </row>
    <row r="5127" spans="7:14" x14ac:dyDescent="0.3">
      <c r="G5127" s="1"/>
      <c r="N5127" s="1"/>
    </row>
    <row r="5128" spans="7:14" x14ac:dyDescent="0.3">
      <c r="G5128" s="1"/>
      <c r="N5128" s="1"/>
    </row>
    <row r="5129" spans="7:14" x14ac:dyDescent="0.3">
      <c r="G5129" s="1"/>
      <c r="N5129" s="1"/>
    </row>
    <row r="5130" spans="7:14" x14ac:dyDescent="0.3">
      <c r="G5130" s="1"/>
      <c r="N5130" s="1"/>
    </row>
    <row r="5131" spans="7:14" x14ac:dyDescent="0.3">
      <c r="G5131" s="1"/>
      <c r="N5131" s="1"/>
    </row>
    <row r="5132" spans="7:14" x14ac:dyDescent="0.3">
      <c r="G5132" s="1"/>
      <c r="N5132" s="1"/>
    </row>
    <row r="5133" spans="7:14" x14ac:dyDescent="0.3">
      <c r="G5133" s="1"/>
      <c r="N5133" s="1"/>
    </row>
    <row r="5134" spans="7:14" x14ac:dyDescent="0.3">
      <c r="G5134" s="1"/>
      <c r="N5134" s="1"/>
    </row>
    <row r="5135" spans="7:14" x14ac:dyDescent="0.3">
      <c r="G5135" s="1"/>
      <c r="N5135" s="1"/>
    </row>
    <row r="5136" spans="7:14" x14ac:dyDescent="0.3">
      <c r="G5136" s="1"/>
      <c r="N5136" s="1"/>
    </row>
    <row r="5137" spans="7:14" x14ac:dyDescent="0.3">
      <c r="G5137" s="1"/>
      <c r="N5137" s="1"/>
    </row>
    <row r="5138" spans="7:14" x14ac:dyDescent="0.3">
      <c r="G5138" s="1"/>
      <c r="N5138" s="1"/>
    </row>
    <row r="5139" spans="7:14" x14ac:dyDescent="0.3">
      <c r="G5139" s="1"/>
      <c r="N5139" s="1"/>
    </row>
    <row r="5140" spans="7:14" x14ac:dyDescent="0.3">
      <c r="G5140" s="1"/>
      <c r="N5140" s="1"/>
    </row>
    <row r="5141" spans="7:14" x14ac:dyDescent="0.3">
      <c r="G5141" s="1"/>
      <c r="N5141" s="1"/>
    </row>
    <row r="5142" spans="7:14" x14ac:dyDescent="0.3">
      <c r="G5142" s="1"/>
      <c r="N5142" s="1"/>
    </row>
    <row r="5143" spans="7:14" x14ac:dyDescent="0.3">
      <c r="G5143" s="1"/>
      <c r="N5143" s="1"/>
    </row>
    <row r="5144" spans="7:14" x14ac:dyDescent="0.3">
      <c r="G5144" s="1"/>
      <c r="N5144" s="1"/>
    </row>
    <row r="5145" spans="7:14" x14ac:dyDescent="0.3">
      <c r="G5145" s="1"/>
      <c r="N5145" s="1"/>
    </row>
    <row r="5146" spans="7:14" x14ac:dyDescent="0.3">
      <c r="G5146" s="1"/>
      <c r="N5146" s="1"/>
    </row>
    <row r="5147" spans="7:14" x14ac:dyDescent="0.3">
      <c r="G5147" s="1"/>
      <c r="N5147" s="1"/>
    </row>
    <row r="5148" spans="7:14" x14ac:dyDescent="0.3">
      <c r="G5148" s="1"/>
      <c r="N5148" s="1"/>
    </row>
    <row r="5149" spans="7:14" x14ac:dyDescent="0.3">
      <c r="G5149" s="1"/>
      <c r="N5149" s="1"/>
    </row>
    <row r="5150" spans="7:14" x14ac:dyDescent="0.3">
      <c r="G5150" s="1"/>
      <c r="N5150" s="1"/>
    </row>
    <row r="5151" spans="7:14" x14ac:dyDescent="0.3">
      <c r="G5151" s="1"/>
      <c r="N5151" s="1"/>
    </row>
    <row r="5152" spans="7:14" x14ac:dyDescent="0.3">
      <c r="G5152" s="1"/>
      <c r="N5152" s="1"/>
    </row>
    <row r="5153" spans="7:14" x14ac:dyDescent="0.3">
      <c r="G5153" s="1"/>
      <c r="N5153" s="1"/>
    </row>
    <row r="5154" spans="7:14" x14ac:dyDescent="0.3">
      <c r="G5154" s="1"/>
      <c r="N5154" s="1"/>
    </row>
    <row r="5155" spans="7:14" x14ac:dyDescent="0.3">
      <c r="G5155" s="1"/>
      <c r="N5155" s="1"/>
    </row>
    <row r="5156" spans="7:14" x14ac:dyDescent="0.3">
      <c r="G5156" s="1"/>
      <c r="N5156" s="1"/>
    </row>
    <row r="5157" spans="7:14" x14ac:dyDescent="0.3">
      <c r="G5157" s="1"/>
      <c r="N5157" s="1"/>
    </row>
    <row r="5158" spans="7:14" x14ac:dyDescent="0.3">
      <c r="G5158" s="1"/>
      <c r="N5158" s="1"/>
    </row>
    <row r="5159" spans="7:14" x14ac:dyDescent="0.3">
      <c r="G5159" s="1"/>
      <c r="N5159" s="1"/>
    </row>
    <row r="5160" spans="7:14" x14ac:dyDescent="0.3">
      <c r="G5160" s="1"/>
      <c r="N5160" s="1"/>
    </row>
    <row r="5161" spans="7:14" x14ac:dyDescent="0.3">
      <c r="G5161" s="1"/>
      <c r="N5161" s="1"/>
    </row>
    <row r="5162" spans="7:14" x14ac:dyDescent="0.3">
      <c r="G5162" s="1"/>
      <c r="N5162" s="1"/>
    </row>
    <row r="5163" spans="7:14" x14ac:dyDescent="0.3">
      <c r="G5163" s="1"/>
      <c r="N5163" s="1"/>
    </row>
    <row r="5164" spans="7:14" x14ac:dyDescent="0.3">
      <c r="G5164" s="1"/>
      <c r="N5164" s="1"/>
    </row>
    <row r="5165" spans="7:14" x14ac:dyDescent="0.3">
      <c r="G5165" s="1"/>
      <c r="N5165" s="1"/>
    </row>
    <row r="5166" spans="7:14" x14ac:dyDescent="0.3">
      <c r="G5166" s="1"/>
      <c r="N5166" s="1"/>
    </row>
    <row r="5167" spans="7:14" x14ac:dyDescent="0.3">
      <c r="G5167" s="1"/>
      <c r="N5167" s="1"/>
    </row>
    <row r="5168" spans="7:14" x14ac:dyDescent="0.3">
      <c r="G5168" s="1"/>
      <c r="N5168" s="1"/>
    </row>
    <row r="5169" spans="7:14" x14ac:dyDescent="0.3">
      <c r="G5169" s="1"/>
      <c r="N5169" s="1"/>
    </row>
    <row r="5170" spans="7:14" x14ac:dyDescent="0.3">
      <c r="G5170" s="1"/>
      <c r="N5170" s="1"/>
    </row>
    <row r="5171" spans="7:14" x14ac:dyDescent="0.3">
      <c r="G5171" s="1"/>
      <c r="N5171" s="1"/>
    </row>
    <row r="5172" spans="7:14" x14ac:dyDescent="0.3">
      <c r="G5172" s="1"/>
      <c r="N5172" s="1"/>
    </row>
    <row r="5173" spans="7:14" x14ac:dyDescent="0.3">
      <c r="G5173" s="1"/>
      <c r="N5173" s="1"/>
    </row>
    <row r="5174" spans="7:14" x14ac:dyDescent="0.3">
      <c r="G5174" s="1"/>
      <c r="N5174" s="1"/>
    </row>
    <row r="5175" spans="7:14" x14ac:dyDescent="0.3">
      <c r="G5175" s="1"/>
      <c r="N5175" s="1"/>
    </row>
    <row r="5176" spans="7:14" x14ac:dyDescent="0.3">
      <c r="G5176" s="1"/>
      <c r="N5176" s="1"/>
    </row>
    <row r="5177" spans="7:14" x14ac:dyDescent="0.3">
      <c r="G5177" s="1"/>
      <c r="N5177" s="1"/>
    </row>
    <row r="5178" spans="7:14" x14ac:dyDescent="0.3">
      <c r="G5178" s="1"/>
      <c r="N5178" s="1"/>
    </row>
    <row r="5179" spans="7:14" x14ac:dyDescent="0.3">
      <c r="G5179" s="1"/>
      <c r="N5179" s="1"/>
    </row>
    <row r="5180" spans="7:14" x14ac:dyDescent="0.3">
      <c r="G5180" s="1"/>
      <c r="N5180" s="1"/>
    </row>
    <row r="5181" spans="7:14" x14ac:dyDescent="0.3">
      <c r="G5181" s="1"/>
      <c r="N5181" s="1"/>
    </row>
    <row r="5182" spans="7:14" x14ac:dyDescent="0.3">
      <c r="G5182" s="1"/>
      <c r="N5182" s="1"/>
    </row>
    <row r="5183" spans="7:14" x14ac:dyDescent="0.3">
      <c r="G5183" s="1"/>
      <c r="N5183" s="1"/>
    </row>
    <row r="5184" spans="7:14" x14ac:dyDescent="0.3">
      <c r="G5184" s="1"/>
      <c r="N5184" s="1"/>
    </row>
    <row r="5185" spans="7:14" x14ac:dyDescent="0.3">
      <c r="G5185" s="1"/>
      <c r="N5185" s="1"/>
    </row>
    <row r="5186" spans="7:14" x14ac:dyDescent="0.3">
      <c r="G5186" s="1"/>
      <c r="N5186" s="1"/>
    </row>
    <row r="5187" spans="7:14" x14ac:dyDescent="0.3">
      <c r="G5187" s="1"/>
      <c r="N5187" s="1"/>
    </row>
    <row r="5188" spans="7:14" x14ac:dyDescent="0.3">
      <c r="G5188" s="1"/>
      <c r="N5188" s="1"/>
    </row>
    <row r="5189" spans="7:14" x14ac:dyDescent="0.3">
      <c r="G5189" s="1"/>
      <c r="N5189" s="1"/>
    </row>
    <row r="5190" spans="7:14" x14ac:dyDescent="0.3">
      <c r="G5190" s="1"/>
      <c r="N5190" s="1"/>
    </row>
    <row r="5191" spans="7:14" x14ac:dyDescent="0.3">
      <c r="G5191" s="1"/>
      <c r="N5191" s="1"/>
    </row>
    <row r="5192" spans="7:14" x14ac:dyDescent="0.3">
      <c r="G5192" s="1"/>
      <c r="N5192" s="1"/>
    </row>
    <row r="5193" spans="7:14" x14ac:dyDescent="0.3">
      <c r="G5193" s="1"/>
      <c r="N5193" s="1"/>
    </row>
    <row r="5194" spans="7:14" x14ac:dyDescent="0.3">
      <c r="G5194" s="1"/>
      <c r="N5194" s="1"/>
    </row>
    <row r="5195" spans="7:14" x14ac:dyDescent="0.3">
      <c r="G5195" s="1"/>
      <c r="N5195" s="1"/>
    </row>
    <row r="5196" spans="7:14" x14ac:dyDescent="0.3">
      <c r="G5196" s="1"/>
      <c r="N5196" s="1"/>
    </row>
    <row r="5197" spans="7:14" x14ac:dyDescent="0.3">
      <c r="G5197" s="1"/>
      <c r="N5197" s="1"/>
    </row>
    <row r="5198" spans="7:14" x14ac:dyDescent="0.3">
      <c r="G5198" s="1"/>
      <c r="N5198" s="1"/>
    </row>
    <row r="5199" spans="7:14" x14ac:dyDescent="0.3">
      <c r="G5199" s="1"/>
      <c r="N5199" s="1"/>
    </row>
    <row r="5200" spans="7:14" x14ac:dyDescent="0.3">
      <c r="G5200" s="1"/>
      <c r="N5200" s="1"/>
    </row>
    <row r="5201" spans="7:14" x14ac:dyDescent="0.3">
      <c r="G5201" s="1"/>
      <c r="N5201" s="1"/>
    </row>
    <row r="5202" spans="7:14" x14ac:dyDescent="0.3">
      <c r="G5202" s="1"/>
      <c r="N5202" s="1"/>
    </row>
    <row r="5203" spans="7:14" x14ac:dyDescent="0.3">
      <c r="G5203" s="1"/>
      <c r="N5203" s="1"/>
    </row>
    <row r="5204" spans="7:14" x14ac:dyDescent="0.3">
      <c r="G5204" s="1"/>
      <c r="N5204" s="1"/>
    </row>
    <row r="5205" spans="7:14" x14ac:dyDescent="0.3">
      <c r="G5205" s="1"/>
      <c r="N5205" s="1"/>
    </row>
    <row r="5206" spans="7:14" x14ac:dyDescent="0.3">
      <c r="G5206" s="1"/>
      <c r="N5206" s="1"/>
    </row>
    <row r="5207" spans="7:14" x14ac:dyDescent="0.3">
      <c r="G5207" s="1"/>
      <c r="N5207" s="1"/>
    </row>
    <row r="5208" spans="7:14" x14ac:dyDescent="0.3">
      <c r="G5208" s="1"/>
      <c r="N5208" s="1"/>
    </row>
    <row r="5209" spans="7:14" x14ac:dyDescent="0.3">
      <c r="G5209" s="1"/>
      <c r="N5209" s="1"/>
    </row>
    <row r="5210" spans="7:14" x14ac:dyDescent="0.3">
      <c r="G5210" s="1"/>
      <c r="N5210" s="1"/>
    </row>
    <row r="5211" spans="7:14" x14ac:dyDescent="0.3">
      <c r="G5211" s="1"/>
      <c r="N5211" s="1"/>
    </row>
    <row r="5212" spans="7:14" x14ac:dyDescent="0.3">
      <c r="G5212" s="1"/>
      <c r="N5212" s="1"/>
    </row>
    <row r="5213" spans="7:14" x14ac:dyDescent="0.3">
      <c r="G5213" s="1"/>
      <c r="N5213" s="1"/>
    </row>
    <row r="5214" spans="7:14" x14ac:dyDescent="0.3">
      <c r="G5214" s="1"/>
      <c r="N5214" s="1"/>
    </row>
    <row r="5215" spans="7:14" x14ac:dyDescent="0.3">
      <c r="G5215" s="1"/>
      <c r="N5215" s="1"/>
    </row>
    <row r="5216" spans="7:14" x14ac:dyDescent="0.3">
      <c r="G5216" s="1"/>
      <c r="N5216" s="1"/>
    </row>
    <row r="5217" spans="7:14" x14ac:dyDescent="0.3">
      <c r="G5217" s="1"/>
      <c r="N5217" s="1"/>
    </row>
    <row r="5218" spans="7:14" x14ac:dyDescent="0.3">
      <c r="G5218" s="1"/>
      <c r="N5218" s="1"/>
    </row>
    <row r="5219" spans="7:14" x14ac:dyDescent="0.3">
      <c r="G5219" s="1"/>
      <c r="N5219" s="1"/>
    </row>
    <row r="5220" spans="7:14" x14ac:dyDescent="0.3">
      <c r="G5220" s="1"/>
      <c r="N5220" s="1"/>
    </row>
    <row r="5221" spans="7:14" x14ac:dyDescent="0.3">
      <c r="G5221" s="1"/>
      <c r="N5221" s="1"/>
    </row>
    <row r="5222" spans="7:14" x14ac:dyDescent="0.3">
      <c r="G5222" s="1"/>
      <c r="N5222" s="1"/>
    </row>
    <row r="5223" spans="7:14" x14ac:dyDescent="0.3">
      <c r="G5223" s="1"/>
      <c r="N5223" s="1"/>
    </row>
    <row r="5224" spans="7:14" x14ac:dyDescent="0.3">
      <c r="G5224" s="1"/>
      <c r="N5224" s="1"/>
    </row>
    <row r="5225" spans="7:14" x14ac:dyDescent="0.3">
      <c r="G5225" s="1"/>
      <c r="N5225" s="1"/>
    </row>
    <row r="5226" spans="7:14" x14ac:dyDescent="0.3">
      <c r="G5226" s="1"/>
      <c r="N5226" s="1"/>
    </row>
    <row r="5227" spans="7:14" x14ac:dyDescent="0.3">
      <c r="G5227" s="1"/>
      <c r="N5227" s="1"/>
    </row>
    <row r="5228" spans="7:14" x14ac:dyDescent="0.3">
      <c r="G5228" s="1"/>
      <c r="N5228" s="1"/>
    </row>
    <row r="5229" spans="7:14" x14ac:dyDescent="0.3">
      <c r="G5229" s="1"/>
      <c r="N5229" s="1"/>
    </row>
    <row r="5230" spans="7:14" x14ac:dyDescent="0.3">
      <c r="G5230" s="1"/>
      <c r="N5230" s="1"/>
    </row>
    <row r="5231" spans="7:14" x14ac:dyDescent="0.3">
      <c r="G5231" s="1"/>
      <c r="N5231" s="1"/>
    </row>
    <row r="5232" spans="7:14" x14ac:dyDescent="0.3">
      <c r="G5232" s="1"/>
      <c r="N5232" s="1"/>
    </row>
    <row r="5233" spans="7:14" x14ac:dyDescent="0.3">
      <c r="G5233" s="1"/>
      <c r="N5233" s="1"/>
    </row>
    <row r="5234" spans="7:14" x14ac:dyDescent="0.3">
      <c r="G5234" s="1"/>
      <c r="N5234" s="1"/>
    </row>
    <row r="5235" spans="7:14" x14ac:dyDescent="0.3">
      <c r="G5235" s="1"/>
      <c r="N5235" s="1"/>
    </row>
    <row r="5236" spans="7:14" x14ac:dyDescent="0.3">
      <c r="G5236" s="1"/>
      <c r="N5236" s="1"/>
    </row>
    <row r="5237" spans="7:14" x14ac:dyDescent="0.3">
      <c r="G5237" s="1"/>
      <c r="N5237" s="1"/>
    </row>
    <row r="5238" spans="7:14" x14ac:dyDescent="0.3">
      <c r="G5238" s="1"/>
      <c r="N5238" s="1"/>
    </row>
    <row r="5239" spans="7:14" x14ac:dyDescent="0.3">
      <c r="G5239" s="1"/>
      <c r="N5239" s="1"/>
    </row>
    <row r="5240" spans="7:14" x14ac:dyDescent="0.3">
      <c r="G5240" s="1"/>
      <c r="N5240" s="1"/>
    </row>
    <row r="5241" spans="7:14" x14ac:dyDescent="0.3">
      <c r="G5241" s="1"/>
      <c r="N5241" s="1"/>
    </row>
    <row r="5242" spans="7:14" x14ac:dyDescent="0.3">
      <c r="G5242" s="1"/>
      <c r="N5242" s="1"/>
    </row>
    <row r="5243" spans="7:14" x14ac:dyDescent="0.3">
      <c r="G5243" s="1"/>
      <c r="N5243" s="1"/>
    </row>
    <row r="5244" spans="7:14" x14ac:dyDescent="0.3">
      <c r="G5244" s="1"/>
      <c r="N5244" s="1"/>
    </row>
    <row r="5245" spans="7:14" x14ac:dyDescent="0.3">
      <c r="G5245" s="1"/>
      <c r="N5245" s="1"/>
    </row>
    <row r="5246" spans="7:14" x14ac:dyDescent="0.3">
      <c r="G5246" s="1"/>
      <c r="N5246" s="1"/>
    </row>
    <row r="5247" spans="7:14" x14ac:dyDescent="0.3">
      <c r="G5247" s="1"/>
      <c r="N5247" s="1"/>
    </row>
    <row r="5248" spans="7:14" x14ac:dyDescent="0.3">
      <c r="G5248" s="1"/>
      <c r="N5248" s="1"/>
    </row>
    <row r="5249" spans="7:14" x14ac:dyDescent="0.3">
      <c r="G5249" s="1"/>
      <c r="N5249" s="1"/>
    </row>
    <row r="5250" spans="7:14" x14ac:dyDescent="0.3">
      <c r="G5250" s="1"/>
      <c r="N5250" s="1"/>
    </row>
    <row r="5251" spans="7:14" x14ac:dyDescent="0.3">
      <c r="G5251" s="1"/>
      <c r="N5251" s="1"/>
    </row>
    <row r="5252" spans="7:14" x14ac:dyDescent="0.3">
      <c r="G5252" s="1"/>
      <c r="N5252" s="1"/>
    </row>
    <row r="5253" spans="7:14" x14ac:dyDescent="0.3">
      <c r="G5253" s="1"/>
      <c r="N5253" s="1"/>
    </row>
    <row r="5254" spans="7:14" x14ac:dyDescent="0.3">
      <c r="G5254" s="1"/>
      <c r="N5254" s="1"/>
    </row>
    <row r="5255" spans="7:14" x14ac:dyDescent="0.3">
      <c r="G5255" s="1"/>
      <c r="N5255" s="1"/>
    </row>
    <row r="5256" spans="7:14" x14ac:dyDescent="0.3">
      <c r="G5256" s="1"/>
      <c r="N5256" s="1"/>
    </row>
    <row r="5257" spans="7:14" x14ac:dyDescent="0.3">
      <c r="G5257" s="1"/>
      <c r="N5257" s="1"/>
    </row>
    <row r="5258" spans="7:14" x14ac:dyDescent="0.3">
      <c r="G5258" s="1"/>
      <c r="N5258" s="1"/>
    </row>
    <row r="5259" spans="7:14" x14ac:dyDescent="0.3">
      <c r="G5259" s="1"/>
      <c r="N5259" s="1"/>
    </row>
    <row r="5260" spans="7:14" x14ac:dyDescent="0.3">
      <c r="G5260" s="1"/>
      <c r="N5260" s="1"/>
    </row>
    <row r="5261" spans="7:14" x14ac:dyDescent="0.3">
      <c r="G5261" s="1"/>
      <c r="N5261" s="1"/>
    </row>
    <row r="5262" spans="7:14" x14ac:dyDescent="0.3">
      <c r="G5262" s="1"/>
      <c r="N5262" s="1"/>
    </row>
    <row r="5263" spans="7:14" x14ac:dyDescent="0.3">
      <c r="G5263" s="1"/>
      <c r="N5263" s="1"/>
    </row>
    <row r="5264" spans="7:14" x14ac:dyDescent="0.3">
      <c r="G5264" s="1"/>
      <c r="N5264" s="1"/>
    </row>
    <row r="5265" spans="7:14" x14ac:dyDescent="0.3">
      <c r="G5265" s="1"/>
      <c r="N5265" s="1"/>
    </row>
    <row r="5266" spans="7:14" x14ac:dyDescent="0.3">
      <c r="G5266" s="1"/>
      <c r="N5266" s="1"/>
    </row>
    <row r="5267" spans="7:14" x14ac:dyDescent="0.3">
      <c r="G5267" s="1"/>
      <c r="N5267" s="1"/>
    </row>
    <row r="5268" spans="7:14" x14ac:dyDescent="0.3">
      <c r="G5268" s="1"/>
      <c r="N5268" s="1"/>
    </row>
    <row r="5269" spans="7:14" x14ac:dyDescent="0.3">
      <c r="G5269" s="1"/>
      <c r="N5269" s="1"/>
    </row>
    <row r="5270" spans="7:14" x14ac:dyDescent="0.3">
      <c r="G5270" s="1"/>
      <c r="N5270" s="1"/>
    </row>
    <row r="5271" spans="7:14" x14ac:dyDescent="0.3">
      <c r="G5271" s="1"/>
      <c r="N5271" s="1"/>
    </row>
    <row r="5272" spans="7:14" x14ac:dyDescent="0.3">
      <c r="G5272" s="1"/>
      <c r="N5272" s="1"/>
    </row>
    <row r="5273" spans="7:14" x14ac:dyDescent="0.3">
      <c r="G5273" s="1"/>
      <c r="N5273" s="1"/>
    </row>
    <row r="5274" spans="7:14" x14ac:dyDescent="0.3">
      <c r="G5274" s="1"/>
      <c r="N5274" s="1"/>
    </row>
    <row r="5275" spans="7:14" x14ac:dyDescent="0.3">
      <c r="G5275" s="1"/>
      <c r="N5275" s="1"/>
    </row>
    <row r="5276" spans="7:14" x14ac:dyDescent="0.3">
      <c r="G5276" s="1"/>
      <c r="N5276" s="1"/>
    </row>
    <row r="5277" spans="7:14" x14ac:dyDescent="0.3">
      <c r="G5277" s="1"/>
      <c r="N5277" s="1"/>
    </row>
    <row r="5278" spans="7:14" x14ac:dyDescent="0.3">
      <c r="G5278" s="1"/>
      <c r="N5278" s="1"/>
    </row>
    <row r="5279" spans="7:14" x14ac:dyDescent="0.3">
      <c r="G5279" s="1"/>
      <c r="N5279" s="1"/>
    </row>
    <row r="5280" spans="7:14" x14ac:dyDescent="0.3">
      <c r="G5280" s="1"/>
      <c r="N5280" s="1"/>
    </row>
    <row r="5281" spans="7:14" x14ac:dyDescent="0.3">
      <c r="G5281" s="1"/>
      <c r="N5281" s="1"/>
    </row>
    <row r="5282" spans="7:14" x14ac:dyDescent="0.3">
      <c r="G5282" s="1"/>
      <c r="N5282" s="1"/>
    </row>
    <row r="5283" spans="7:14" x14ac:dyDescent="0.3">
      <c r="G5283" s="1"/>
      <c r="N5283" s="1"/>
    </row>
    <row r="5284" spans="7:14" x14ac:dyDescent="0.3">
      <c r="G5284" s="1"/>
      <c r="N5284" s="1"/>
    </row>
    <row r="5285" spans="7:14" x14ac:dyDescent="0.3">
      <c r="G5285" s="1"/>
      <c r="N5285" s="1"/>
    </row>
    <row r="5286" spans="7:14" x14ac:dyDescent="0.3">
      <c r="G5286" s="1"/>
      <c r="N5286" s="1"/>
    </row>
    <row r="5287" spans="7:14" x14ac:dyDescent="0.3">
      <c r="G5287" s="1"/>
      <c r="N5287" s="1"/>
    </row>
    <row r="5288" spans="7:14" x14ac:dyDescent="0.3">
      <c r="G5288" s="1"/>
      <c r="N5288" s="1"/>
    </row>
    <row r="5289" spans="7:14" x14ac:dyDescent="0.3">
      <c r="G5289" s="1"/>
      <c r="N5289" s="1"/>
    </row>
    <row r="5290" spans="7:14" x14ac:dyDescent="0.3">
      <c r="G5290" s="1"/>
      <c r="N5290" s="1"/>
    </row>
    <row r="5291" spans="7:14" x14ac:dyDescent="0.3">
      <c r="G5291" s="1"/>
      <c r="N5291" s="1"/>
    </row>
    <row r="5292" spans="7:14" x14ac:dyDescent="0.3">
      <c r="G5292" s="1"/>
      <c r="N5292" s="1"/>
    </row>
    <row r="5293" spans="7:14" x14ac:dyDescent="0.3">
      <c r="G5293" s="1"/>
      <c r="N5293" s="1"/>
    </row>
    <row r="5294" spans="7:14" x14ac:dyDescent="0.3">
      <c r="G5294" s="1"/>
      <c r="N5294" s="1"/>
    </row>
    <row r="5295" spans="7:14" x14ac:dyDescent="0.3">
      <c r="G5295" s="1"/>
      <c r="N5295" s="1"/>
    </row>
    <row r="5296" spans="7:14" x14ac:dyDescent="0.3">
      <c r="G5296" s="1"/>
      <c r="N5296" s="1"/>
    </row>
    <row r="5297" spans="7:14" x14ac:dyDescent="0.3">
      <c r="G5297" s="1"/>
      <c r="N5297" s="1"/>
    </row>
    <row r="5298" spans="7:14" x14ac:dyDescent="0.3">
      <c r="G5298" s="1"/>
      <c r="N5298" s="1"/>
    </row>
    <row r="5299" spans="7:14" x14ac:dyDescent="0.3">
      <c r="G5299" s="1"/>
      <c r="N5299" s="1"/>
    </row>
    <row r="5300" spans="7:14" x14ac:dyDescent="0.3">
      <c r="G5300" s="1"/>
      <c r="N5300" s="1"/>
    </row>
    <row r="5301" spans="7:14" x14ac:dyDescent="0.3">
      <c r="G5301" s="1"/>
      <c r="N5301" s="1"/>
    </row>
    <row r="5302" spans="7:14" x14ac:dyDescent="0.3">
      <c r="G5302" s="1"/>
      <c r="N5302" s="1"/>
    </row>
    <row r="5303" spans="7:14" x14ac:dyDescent="0.3">
      <c r="G5303" s="1"/>
      <c r="N5303" s="1"/>
    </row>
    <row r="5304" spans="7:14" x14ac:dyDescent="0.3">
      <c r="G5304" s="1"/>
      <c r="N5304" s="1"/>
    </row>
    <row r="5305" spans="7:14" x14ac:dyDescent="0.3">
      <c r="G5305" s="1"/>
      <c r="N5305" s="1"/>
    </row>
    <row r="5306" spans="7:14" x14ac:dyDescent="0.3">
      <c r="G5306" s="1"/>
      <c r="N5306" s="1"/>
    </row>
    <row r="5307" spans="7:14" x14ac:dyDescent="0.3">
      <c r="G5307" s="1"/>
      <c r="N5307" s="1"/>
    </row>
    <row r="5308" spans="7:14" x14ac:dyDescent="0.3">
      <c r="G5308" s="1"/>
      <c r="N5308" s="1"/>
    </row>
    <row r="5309" spans="7:14" x14ac:dyDescent="0.3">
      <c r="G5309" s="1"/>
      <c r="N5309" s="1"/>
    </row>
    <row r="5310" spans="7:14" x14ac:dyDescent="0.3">
      <c r="G5310" s="1"/>
      <c r="N5310" s="1"/>
    </row>
    <row r="5311" spans="7:14" x14ac:dyDescent="0.3">
      <c r="G5311" s="1"/>
      <c r="N5311" s="1"/>
    </row>
    <row r="5312" spans="7:14" x14ac:dyDescent="0.3">
      <c r="G5312" s="1"/>
      <c r="N5312" s="1"/>
    </row>
    <row r="5313" spans="7:14" x14ac:dyDescent="0.3">
      <c r="G5313" s="1"/>
      <c r="N5313" s="1"/>
    </row>
    <row r="5314" spans="7:14" x14ac:dyDescent="0.3">
      <c r="G5314" s="1"/>
      <c r="N5314" s="1"/>
    </row>
    <row r="5315" spans="7:14" x14ac:dyDescent="0.3">
      <c r="G5315" s="1"/>
      <c r="N5315" s="1"/>
    </row>
    <row r="5316" spans="7:14" x14ac:dyDescent="0.3">
      <c r="G5316" s="1"/>
      <c r="N5316" s="1"/>
    </row>
    <row r="5317" spans="7:14" x14ac:dyDescent="0.3">
      <c r="G5317" s="1"/>
      <c r="N5317" s="1"/>
    </row>
    <row r="5318" spans="7:14" x14ac:dyDescent="0.3">
      <c r="G5318" s="1"/>
      <c r="N5318" s="1"/>
    </row>
    <row r="5319" spans="7:14" x14ac:dyDescent="0.3">
      <c r="G5319" s="1"/>
      <c r="N5319" s="1"/>
    </row>
    <row r="5320" spans="7:14" x14ac:dyDescent="0.3">
      <c r="G5320" s="1"/>
      <c r="N5320" s="1"/>
    </row>
    <row r="5321" spans="7:14" x14ac:dyDescent="0.3">
      <c r="G5321" s="1"/>
      <c r="N5321" s="1"/>
    </row>
    <row r="5322" spans="7:14" x14ac:dyDescent="0.3">
      <c r="G5322" s="1"/>
      <c r="N5322" s="1"/>
    </row>
    <row r="5323" spans="7:14" x14ac:dyDescent="0.3">
      <c r="G5323" s="1"/>
      <c r="N5323" s="1"/>
    </row>
    <row r="5324" spans="7:14" x14ac:dyDescent="0.3">
      <c r="G5324" s="1"/>
      <c r="N5324" s="1"/>
    </row>
    <row r="5325" spans="7:14" x14ac:dyDescent="0.3">
      <c r="G5325" s="1"/>
      <c r="N5325" s="1"/>
    </row>
    <row r="5326" spans="7:14" x14ac:dyDescent="0.3">
      <c r="G5326" s="1"/>
      <c r="N5326" s="1"/>
    </row>
    <row r="5327" spans="7:14" x14ac:dyDescent="0.3">
      <c r="G5327" s="1"/>
      <c r="N5327" s="1"/>
    </row>
    <row r="5328" spans="7:14" x14ac:dyDescent="0.3">
      <c r="G5328" s="1"/>
      <c r="N5328" s="1"/>
    </row>
    <row r="5329" spans="7:14" x14ac:dyDescent="0.3">
      <c r="G5329" s="1"/>
      <c r="N5329" s="1"/>
    </row>
    <row r="5330" spans="7:14" x14ac:dyDescent="0.3">
      <c r="G5330" s="1"/>
      <c r="N5330" s="1"/>
    </row>
    <row r="5331" spans="7:14" x14ac:dyDescent="0.3">
      <c r="G5331" s="1"/>
      <c r="N5331" s="1"/>
    </row>
    <row r="5332" spans="7:14" x14ac:dyDescent="0.3">
      <c r="G5332" s="1"/>
      <c r="N5332" s="1"/>
    </row>
    <row r="5333" spans="7:14" x14ac:dyDescent="0.3">
      <c r="G5333" s="1"/>
      <c r="N5333" s="1"/>
    </row>
    <row r="5334" spans="7:14" x14ac:dyDescent="0.3">
      <c r="G5334" s="1"/>
      <c r="N5334" s="1"/>
    </row>
    <row r="5335" spans="7:14" x14ac:dyDescent="0.3">
      <c r="G5335" s="1"/>
      <c r="N5335" s="1"/>
    </row>
    <row r="5336" spans="7:14" x14ac:dyDescent="0.3">
      <c r="G5336" s="1"/>
      <c r="N5336" s="1"/>
    </row>
    <row r="5337" spans="7:14" x14ac:dyDescent="0.3">
      <c r="G5337" s="1"/>
      <c r="N5337" s="1"/>
    </row>
    <row r="5338" spans="7:14" x14ac:dyDescent="0.3">
      <c r="G5338" s="1"/>
      <c r="N5338" s="1"/>
    </row>
    <row r="5339" spans="7:14" x14ac:dyDescent="0.3">
      <c r="G5339" s="1"/>
      <c r="N5339" s="1"/>
    </row>
    <row r="5340" spans="7:14" x14ac:dyDescent="0.3">
      <c r="G5340" s="1"/>
      <c r="N5340" s="1"/>
    </row>
    <row r="5341" spans="7:14" x14ac:dyDescent="0.3">
      <c r="G5341" s="1"/>
      <c r="N5341" s="1"/>
    </row>
    <row r="5342" spans="7:14" x14ac:dyDescent="0.3">
      <c r="G5342" s="1"/>
      <c r="N5342" s="1"/>
    </row>
    <row r="5343" spans="7:14" x14ac:dyDescent="0.3">
      <c r="G5343" s="1"/>
      <c r="N5343" s="1"/>
    </row>
    <row r="5344" spans="7:14" x14ac:dyDescent="0.3">
      <c r="G5344" s="1"/>
      <c r="N5344" s="1"/>
    </row>
    <row r="5345" spans="7:14" x14ac:dyDescent="0.3">
      <c r="G5345" s="1"/>
      <c r="N5345" s="1"/>
    </row>
    <row r="5346" spans="7:14" x14ac:dyDescent="0.3">
      <c r="G5346" s="1"/>
      <c r="N5346" s="1"/>
    </row>
    <row r="5347" spans="7:14" x14ac:dyDescent="0.3">
      <c r="G5347" s="1"/>
      <c r="N5347" s="1"/>
    </row>
    <row r="5348" spans="7:14" x14ac:dyDescent="0.3">
      <c r="G5348" s="1"/>
      <c r="N5348" s="1"/>
    </row>
    <row r="5349" spans="7:14" x14ac:dyDescent="0.3">
      <c r="G5349" s="1"/>
      <c r="N5349" s="1"/>
    </row>
    <row r="5350" spans="7:14" x14ac:dyDescent="0.3">
      <c r="G5350" s="1"/>
      <c r="N5350" s="1"/>
    </row>
    <row r="5351" spans="7:14" x14ac:dyDescent="0.3">
      <c r="G5351" s="1"/>
      <c r="N5351" s="1"/>
    </row>
    <row r="5352" spans="7:14" x14ac:dyDescent="0.3">
      <c r="G5352" s="1"/>
      <c r="N5352" s="1"/>
    </row>
    <row r="5353" spans="7:14" x14ac:dyDescent="0.3">
      <c r="G5353" s="1"/>
      <c r="N5353" s="1"/>
    </row>
    <row r="5354" spans="7:14" x14ac:dyDescent="0.3">
      <c r="G5354" s="1"/>
      <c r="N5354" s="1"/>
    </row>
    <row r="5355" spans="7:14" x14ac:dyDescent="0.3">
      <c r="G5355" s="1"/>
      <c r="N5355" s="1"/>
    </row>
    <row r="5356" spans="7:14" x14ac:dyDescent="0.3">
      <c r="G5356" s="1"/>
      <c r="N5356" s="1"/>
    </row>
    <row r="5357" spans="7:14" x14ac:dyDescent="0.3">
      <c r="G5357" s="1"/>
      <c r="N5357" s="1"/>
    </row>
    <row r="5358" spans="7:14" x14ac:dyDescent="0.3">
      <c r="G5358" s="1"/>
      <c r="N5358" s="1"/>
    </row>
    <row r="5359" spans="7:14" x14ac:dyDescent="0.3">
      <c r="G5359" s="1"/>
      <c r="N5359" s="1"/>
    </row>
    <row r="5360" spans="7:14" x14ac:dyDescent="0.3">
      <c r="G5360" s="1"/>
      <c r="N5360" s="1"/>
    </row>
    <row r="5361" spans="7:14" x14ac:dyDescent="0.3">
      <c r="G5361" s="1"/>
      <c r="N5361" s="1"/>
    </row>
    <row r="5362" spans="7:14" x14ac:dyDescent="0.3">
      <c r="G5362" s="1"/>
      <c r="N5362" s="1"/>
    </row>
    <row r="5363" spans="7:14" x14ac:dyDescent="0.3">
      <c r="G5363" s="1"/>
      <c r="N5363" s="1"/>
    </row>
    <row r="5364" spans="7:14" x14ac:dyDescent="0.3">
      <c r="G5364" s="1"/>
      <c r="N5364" s="1"/>
    </row>
    <row r="5365" spans="7:14" x14ac:dyDescent="0.3">
      <c r="G5365" s="1"/>
      <c r="N5365" s="1"/>
    </row>
    <row r="5366" spans="7:14" x14ac:dyDescent="0.3">
      <c r="G5366" s="1"/>
      <c r="N5366" s="1"/>
    </row>
    <row r="5367" spans="7:14" x14ac:dyDescent="0.3">
      <c r="G5367" s="1"/>
      <c r="N5367" s="1"/>
    </row>
    <row r="5368" spans="7:14" x14ac:dyDescent="0.3">
      <c r="G5368" s="1"/>
      <c r="N5368" s="1"/>
    </row>
    <row r="5369" spans="7:14" x14ac:dyDescent="0.3">
      <c r="G5369" s="1"/>
      <c r="N5369" s="1"/>
    </row>
    <row r="5370" spans="7:14" x14ac:dyDescent="0.3">
      <c r="G5370" s="1"/>
      <c r="N5370" s="1"/>
    </row>
    <row r="5371" spans="7:14" x14ac:dyDescent="0.3">
      <c r="G5371" s="1"/>
      <c r="N5371" s="1"/>
    </row>
    <row r="5372" spans="7:14" x14ac:dyDescent="0.3">
      <c r="G5372" s="1"/>
      <c r="N5372" s="1"/>
    </row>
    <row r="5373" spans="7:14" x14ac:dyDescent="0.3">
      <c r="G5373" s="1"/>
      <c r="N5373" s="1"/>
    </row>
    <row r="5374" spans="7:14" x14ac:dyDescent="0.3">
      <c r="G5374" s="1"/>
      <c r="N5374" s="1"/>
    </row>
    <row r="5375" spans="7:14" x14ac:dyDescent="0.3">
      <c r="G5375" s="1"/>
      <c r="N5375" s="1"/>
    </row>
    <row r="5376" spans="7:14" x14ac:dyDescent="0.3">
      <c r="G5376" s="1"/>
      <c r="N5376" s="1"/>
    </row>
    <row r="5377" spans="7:14" x14ac:dyDescent="0.3">
      <c r="G5377" s="1"/>
      <c r="N5377" s="1"/>
    </row>
    <row r="5378" spans="7:14" x14ac:dyDescent="0.3">
      <c r="G5378" s="1"/>
      <c r="N5378" s="1"/>
    </row>
    <row r="5379" spans="7:14" x14ac:dyDescent="0.3">
      <c r="G5379" s="1"/>
      <c r="N5379" s="1"/>
    </row>
    <row r="5380" spans="7:14" x14ac:dyDescent="0.3">
      <c r="G5380" s="1"/>
      <c r="N5380" s="1"/>
    </row>
    <row r="5381" spans="7:14" x14ac:dyDescent="0.3">
      <c r="G5381" s="1"/>
      <c r="N5381" s="1"/>
    </row>
    <row r="5382" spans="7:14" x14ac:dyDescent="0.3">
      <c r="G5382" s="1"/>
      <c r="N5382" s="1"/>
    </row>
    <row r="5383" spans="7:14" x14ac:dyDescent="0.3">
      <c r="G5383" s="1"/>
      <c r="N5383" s="1"/>
    </row>
    <row r="5384" spans="7:14" x14ac:dyDescent="0.3">
      <c r="G5384" s="1"/>
      <c r="N5384" s="1"/>
    </row>
    <row r="5385" spans="7:14" x14ac:dyDescent="0.3">
      <c r="G5385" s="1"/>
      <c r="N5385" s="1"/>
    </row>
    <row r="5386" spans="7:14" x14ac:dyDescent="0.3">
      <c r="G5386" s="1"/>
      <c r="N5386" s="1"/>
    </row>
    <row r="5387" spans="7:14" x14ac:dyDescent="0.3">
      <c r="G5387" s="1"/>
      <c r="N5387" s="1"/>
    </row>
    <row r="5388" spans="7:14" x14ac:dyDescent="0.3">
      <c r="G5388" s="1"/>
      <c r="N5388" s="1"/>
    </row>
    <row r="5389" spans="7:14" x14ac:dyDescent="0.3">
      <c r="G5389" s="1"/>
      <c r="N5389" s="1"/>
    </row>
    <row r="5390" spans="7:14" x14ac:dyDescent="0.3">
      <c r="G5390" s="1"/>
      <c r="N5390" s="1"/>
    </row>
    <row r="5391" spans="7:14" x14ac:dyDescent="0.3">
      <c r="G5391" s="1"/>
      <c r="N5391" s="1"/>
    </row>
    <row r="5392" spans="7:14" x14ac:dyDescent="0.3">
      <c r="G5392" s="1"/>
      <c r="N5392" s="1"/>
    </row>
    <row r="5393" spans="7:14" x14ac:dyDescent="0.3">
      <c r="G5393" s="1"/>
      <c r="N5393" s="1"/>
    </row>
    <row r="5394" spans="7:14" x14ac:dyDescent="0.3">
      <c r="G5394" s="1"/>
      <c r="N5394" s="1"/>
    </row>
    <row r="5395" spans="7:14" x14ac:dyDescent="0.3">
      <c r="G5395" s="1"/>
      <c r="N5395" s="1"/>
    </row>
    <row r="5396" spans="7:14" x14ac:dyDescent="0.3">
      <c r="G5396" s="1"/>
      <c r="N5396" s="1"/>
    </row>
    <row r="5397" spans="7:14" x14ac:dyDescent="0.3">
      <c r="G5397" s="1"/>
      <c r="N5397" s="1"/>
    </row>
    <row r="5398" spans="7:14" x14ac:dyDescent="0.3">
      <c r="G5398" s="1"/>
      <c r="N5398" s="1"/>
    </row>
    <row r="5399" spans="7:14" x14ac:dyDescent="0.3">
      <c r="G5399" s="1"/>
      <c r="N5399" s="1"/>
    </row>
    <row r="5400" spans="7:14" x14ac:dyDescent="0.3">
      <c r="G5400" s="1"/>
      <c r="N5400" s="1"/>
    </row>
    <row r="5401" spans="7:14" x14ac:dyDescent="0.3">
      <c r="G5401" s="1"/>
      <c r="N5401" s="1"/>
    </row>
    <row r="5402" spans="7:14" x14ac:dyDescent="0.3">
      <c r="G5402" s="1"/>
      <c r="N5402" s="1"/>
    </row>
    <row r="5403" spans="7:14" x14ac:dyDescent="0.3">
      <c r="G5403" s="1"/>
      <c r="N5403" s="1"/>
    </row>
    <row r="5404" spans="7:14" x14ac:dyDescent="0.3">
      <c r="G5404" s="1"/>
      <c r="N5404" s="1"/>
    </row>
    <row r="5405" spans="7:14" x14ac:dyDescent="0.3">
      <c r="G5405" s="1"/>
      <c r="N5405" s="1"/>
    </row>
    <row r="5406" spans="7:14" x14ac:dyDescent="0.3">
      <c r="G5406" s="1"/>
      <c r="N5406" s="1"/>
    </row>
    <row r="5407" spans="7:14" x14ac:dyDescent="0.3">
      <c r="G5407" s="1"/>
      <c r="N5407" s="1"/>
    </row>
    <row r="5408" spans="7:14" x14ac:dyDescent="0.3">
      <c r="G5408" s="1"/>
      <c r="N5408" s="1"/>
    </row>
    <row r="5409" spans="7:14" x14ac:dyDescent="0.3">
      <c r="G5409" s="1"/>
      <c r="N5409" s="1"/>
    </row>
    <row r="5410" spans="7:14" x14ac:dyDescent="0.3">
      <c r="G5410" s="1"/>
      <c r="N5410" s="1"/>
    </row>
    <row r="5411" spans="7:14" x14ac:dyDescent="0.3">
      <c r="G5411" s="1"/>
      <c r="N5411" s="1"/>
    </row>
    <row r="5412" spans="7:14" x14ac:dyDescent="0.3">
      <c r="G5412" s="1"/>
      <c r="N5412" s="1"/>
    </row>
    <row r="5413" spans="7:14" x14ac:dyDescent="0.3">
      <c r="G5413" s="1"/>
      <c r="N5413" s="1"/>
    </row>
    <row r="5414" spans="7:14" x14ac:dyDescent="0.3">
      <c r="G5414" s="1"/>
      <c r="N5414" s="1"/>
    </row>
    <row r="5415" spans="7:14" x14ac:dyDescent="0.3">
      <c r="G5415" s="1"/>
      <c r="N5415" s="1"/>
    </row>
    <row r="5416" spans="7:14" x14ac:dyDescent="0.3">
      <c r="G5416" s="1"/>
      <c r="N5416" s="1"/>
    </row>
    <row r="5417" spans="7:14" x14ac:dyDescent="0.3">
      <c r="G5417" s="1"/>
      <c r="N5417" s="1"/>
    </row>
    <row r="5418" spans="7:14" x14ac:dyDescent="0.3">
      <c r="G5418" s="1"/>
      <c r="N5418" s="1"/>
    </row>
    <row r="5419" spans="7:14" x14ac:dyDescent="0.3">
      <c r="G5419" s="1"/>
      <c r="N5419" s="1"/>
    </row>
    <row r="5420" spans="7:14" x14ac:dyDescent="0.3">
      <c r="G5420" s="1"/>
      <c r="N5420" s="1"/>
    </row>
    <row r="5421" spans="7:14" x14ac:dyDescent="0.3">
      <c r="G5421" s="1"/>
      <c r="N5421" s="1"/>
    </row>
    <row r="5422" spans="7:14" x14ac:dyDescent="0.3">
      <c r="G5422" s="1"/>
      <c r="N5422" s="1"/>
    </row>
    <row r="5423" spans="7:14" x14ac:dyDescent="0.3">
      <c r="G5423" s="1"/>
      <c r="N5423" s="1"/>
    </row>
    <row r="5424" spans="7:14" x14ac:dyDescent="0.3">
      <c r="G5424" s="1"/>
      <c r="N5424" s="1"/>
    </row>
    <row r="5425" spans="7:14" x14ac:dyDescent="0.3">
      <c r="G5425" s="1"/>
      <c r="N5425" s="1"/>
    </row>
    <row r="5426" spans="7:14" x14ac:dyDescent="0.3">
      <c r="G5426" s="1"/>
      <c r="N5426" s="1"/>
    </row>
    <row r="5427" spans="7:14" x14ac:dyDescent="0.3">
      <c r="G5427" s="1"/>
      <c r="N5427" s="1"/>
    </row>
    <row r="5428" spans="7:14" x14ac:dyDescent="0.3">
      <c r="G5428" s="1"/>
      <c r="N5428" s="1"/>
    </row>
    <row r="5429" spans="7:14" x14ac:dyDescent="0.3">
      <c r="G5429" s="1"/>
      <c r="N5429" s="1"/>
    </row>
    <row r="5430" spans="7:14" x14ac:dyDescent="0.3">
      <c r="G5430" s="1"/>
      <c r="N5430" s="1"/>
    </row>
    <row r="5431" spans="7:14" x14ac:dyDescent="0.3">
      <c r="G5431" s="1"/>
      <c r="N5431" s="1"/>
    </row>
    <row r="5432" spans="7:14" x14ac:dyDescent="0.3">
      <c r="G5432" s="1"/>
      <c r="N5432" s="1"/>
    </row>
    <row r="5433" spans="7:14" x14ac:dyDescent="0.3">
      <c r="G5433" s="1"/>
      <c r="N5433" s="1"/>
    </row>
    <row r="5434" spans="7:14" x14ac:dyDescent="0.3">
      <c r="G5434" s="1"/>
      <c r="N5434" s="1"/>
    </row>
    <row r="5435" spans="7:14" x14ac:dyDescent="0.3">
      <c r="G5435" s="1"/>
      <c r="N5435" s="1"/>
    </row>
    <row r="5436" spans="7:14" x14ac:dyDescent="0.3">
      <c r="G5436" s="1"/>
      <c r="N5436" s="1"/>
    </row>
    <row r="5437" spans="7:14" x14ac:dyDescent="0.3">
      <c r="G5437" s="1"/>
      <c r="N5437" s="1"/>
    </row>
    <row r="5438" spans="7:14" x14ac:dyDescent="0.3">
      <c r="G5438" s="1"/>
      <c r="N5438" s="1"/>
    </row>
    <row r="5439" spans="7:14" x14ac:dyDescent="0.3">
      <c r="G5439" s="1"/>
      <c r="N5439" s="1"/>
    </row>
    <row r="5440" spans="7:14" x14ac:dyDescent="0.3">
      <c r="G5440" s="1"/>
      <c r="N5440" s="1"/>
    </row>
    <row r="5441" spans="7:14" x14ac:dyDescent="0.3">
      <c r="G5441" s="1"/>
      <c r="N5441" s="1"/>
    </row>
    <row r="5442" spans="7:14" x14ac:dyDescent="0.3">
      <c r="G5442" s="1"/>
      <c r="N5442" s="1"/>
    </row>
    <row r="5443" spans="7:14" x14ac:dyDescent="0.3">
      <c r="G5443" s="1"/>
      <c r="N5443" s="1"/>
    </row>
    <row r="5444" spans="7:14" x14ac:dyDescent="0.3">
      <c r="G5444" s="1"/>
      <c r="N5444" s="1"/>
    </row>
    <row r="5445" spans="7:14" x14ac:dyDescent="0.3">
      <c r="G5445" s="1"/>
      <c r="N5445" s="1"/>
    </row>
    <row r="5446" spans="7:14" x14ac:dyDescent="0.3">
      <c r="G5446" s="1"/>
      <c r="N5446" s="1"/>
    </row>
    <row r="5447" spans="7:14" x14ac:dyDescent="0.3">
      <c r="G5447" s="1"/>
      <c r="N5447" s="1"/>
    </row>
    <row r="5448" spans="7:14" x14ac:dyDescent="0.3">
      <c r="G5448" s="1"/>
      <c r="N5448" s="1"/>
    </row>
    <row r="5449" spans="7:14" x14ac:dyDescent="0.3">
      <c r="G5449" s="1"/>
      <c r="N5449" s="1"/>
    </row>
    <row r="5450" spans="7:14" x14ac:dyDescent="0.3">
      <c r="G5450" s="1"/>
      <c r="N5450" s="1"/>
    </row>
    <row r="5451" spans="7:14" x14ac:dyDescent="0.3">
      <c r="G5451" s="1"/>
      <c r="N5451" s="1"/>
    </row>
    <row r="5452" spans="7:14" x14ac:dyDescent="0.3">
      <c r="G5452" s="1"/>
      <c r="N5452" s="1"/>
    </row>
    <row r="5453" spans="7:14" x14ac:dyDescent="0.3">
      <c r="G5453" s="1"/>
      <c r="N5453" s="1"/>
    </row>
    <row r="5454" spans="7:14" x14ac:dyDescent="0.3">
      <c r="G5454" s="1"/>
      <c r="N5454" s="1"/>
    </row>
    <row r="5455" spans="7:14" x14ac:dyDescent="0.3">
      <c r="G5455" s="1"/>
      <c r="N5455" s="1"/>
    </row>
    <row r="5456" spans="7:14" x14ac:dyDescent="0.3">
      <c r="G5456" s="1"/>
      <c r="N5456" s="1"/>
    </row>
    <row r="5457" spans="7:14" x14ac:dyDescent="0.3">
      <c r="G5457" s="1"/>
      <c r="N5457" s="1"/>
    </row>
    <row r="5458" spans="7:14" x14ac:dyDescent="0.3">
      <c r="G5458" s="1"/>
      <c r="N5458" s="1"/>
    </row>
    <row r="5459" spans="7:14" x14ac:dyDescent="0.3">
      <c r="G5459" s="1"/>
      <c r="N5459" s="1"/>
    </row>
    <row r="5460" spans="7:14" x14ac:dyDescent="0.3">
      <c r="G5460" s="1"/>
      <c r="N5460" s="1"/>
    </row>
    <row r="5461" spans="7:14" x14ac:dyDescent="0.3">
      <c r="G5461" s="1"/>
      <c r="N5461" s="1"/>
    </row>
    <row r="5462" spans="7:14" x14ac:dyDescent="0.3">
      <c r="G5462" s="1"/>
      <c r="N5462" s="1"/>
    </row>
    <row r="5463" spans="7:14" x14ac:dyDescent="0.3">
      <c r="G5463" s="1"/>
      <c r="N5463" s="1"/>
    </row>
    <row r="5464" spans="7:14" x14ac:dyDescent="0.3">
      <c r="G5464" s="1"/>
      <c r="N5464" s="1"/>
    </row>
    <row r="5465" spans="7:14" x14ac:dyDescent="0.3">
      <c r="G5465" s="1"/>
      <c r="N5465" s="1"/>
    </row>
    <row r="5466" spans="7:14" x14ac:dyDescent="0.3">
      <c r="G5466" s="1"/>
      <c r="N5466" s="1"/>
    </row>
    <row r="5467" spans="7:14" x14ac:dyDescent="0.3">
      <c r="G5467" s="1"/>
      <c r="N5467" s="1"/>
    </row>
    <row r="5468" spans="7:14" x14ac:dyDescent="0.3">
      <c r="G5468" s="1"/>
      <c r="N5468" s="1"/>
    </row>
    <row r="5469" spans="7:14" x14ac:dyDescent="0.3">
      <c r="G5469" s="1"/>
      <c r="N5469" s="1"/>
    </row>
    <row r="5470" spans="7:14" x14ac:dyDescent="0.3">
      <c r="G5470" s="1"/>
      <c r="N5470" s="1"/>
    </row>
    <row r="5471" spans="7:14" x14ac:dyDescent="0.3">
      <c r="G5471" s="1"/>
      <c r="N5471" s="1"/>
    </row>
    <row r="5472" spans="7:14" x14ac:dyDescent="0.3">
      <c r="G5472" s="1"/>
      <c r="N5472" s="1"/>
    </row>
    <row r="5473" spans="7:14" x14ac:dyDescent="0.3">
      <c r="G5473" s="1"/>
      <c r="N5473" s="1"/>
    </row>
    <row r="5474" spans="7:14" x14ac:dyDescent="0.3">
      <c r="G5474" s="1"/>
      <c r="N5474" s="1"/>
    </row>
    <row r="5475" spans="7:14" x14ac:dyDescent="0.3">
      <c r="G5475" s="1"/>
      <c r="N5475" s="1"/>
    </row>
    <row r="5476" spans="7:14" x14ac:dyDescent="0.3">
      <c r="G5476" s="1"/>
      <c r="N5476" s="1"/>
    </row>
    <row r="5477" spans="7:14" x14ac:dyDescent="0.3">
      <c r="G5477" s="1"/>
      <c r="N5477" s="1"/>
    </row>
    <row r="5478" spans="7:14" x14ac:dyDescent="0.3">
      <c r="G5478" s="1"/>
      <c r="N5478" s="1"/>
    </row>
    <row r="5479" spans="7:14" x14ac:dyDescent="0.3">
      <c r="G5479" s="1"/>
      <c r="N5479" s="1"/>
    </row>
    <row r="5480" spans="7:14" x14ac:dyDescent="0.3">
      <c r="G5480" s="1"/>
      <c r="N5480" s="1"/>
    </row>
    <row r="5481" spans="7:14" x14ac:dyDescent="0.3">
      <c r="G5481" s="1"/>
      <c r="N5481" s="1"/>
    </row>
    <row r="5482" spans="7:14" x14ac:dyDescent="0.3">
      <c r="G5482" s="1"/>
      <c r="N5482" s="1"/>
    </row>
    <row r="5483" spans="7:14" x14ac:dyDescent="0.3">
      <c r="G5483" s="1"/>
      <c r="N5483" s="1"/>
    </row>
    <row r="5484" spans="7:14" x14ac:dyDescent="0.3">
      <c r="G5484" s="1"/>
      <c r="N5484" s="1"/>
    </row>
    <row r="5485" spans="7:14" x14ac:dyDescent="0.3">
      <c r="G5485" s="1"/>
      <c r="N5485" s="1"/>
    </row>
    <row r="5486" spans="7:14" x14ac:dyDescent="0.3">
      <c r="G5486" s="1"/>
      <c r="N5486" s="1"/>
    </row>
    <row r="5487" spans="7:14" x14ac:dyDescent="0.3">
      <c r="G5487" s="1"/>
      <c r="N5487" s="1"/>
    </row>
    <row r="5488" spans="7:14" x14ac:dyDescent="0.3">
      <c r="G5488" s="1"/>
      <c r="N5488" s="1"/>
    </row>
    <row r="5489" spans="7:14" x14ac:dyDescent="0.3">
      <c r="G5489" s="1"/>
      <c r="N5489" s="1"/>
    </row>
    <row r="5490" spans="7:14" x14ac:dyDescent="0.3">
      <c r="G5490" s="1"/>
      <c r="N5490" s="1"/>
    </row>
    <row r="5491" spans="7:14" x14ac:dyDescent="0.3">
      <c r="G5491" s="1"/>
      <c r="N5491" s="1"/>
    </row>
    <row r="5492" spans="7:14" x14ac:dyDescent="0.3">
      <c r="G5492" s="1"/>
      <c r="N5492" s="1"/>
    </row>
    <row r="5493" spans="7:14" x14ac:dyDescent="0.3">
      <c r="G5493" s="1"/>
      <c r="N5493" s="1"/>
    </row>
    <row r="5494" spans="7:14" x14ac:dyDescent="0.3">
      <c r="G5494" s="1"/>
      <c r="N5494" s="1"/>
    </row>
    <row r="5495" spans="7:14" x14ac:dyDescent="0.3">
      <c r="G5495" s="1"/>
      <c r="N5495" s="1"/>
    </row>
    <row r="5496" spans="7:14" x14ac:dyDescent="0.3">
      <c r="G5496" s="1"/>
      <c r="N5496" s="1"/>
    </row>
    <row r="5497" spans="7:14" x14ac:dyDescent="0.3">
      <c r="G5497" s="1"/>
      <c r="N5497" s="1"/>
    </row>
    <row r="5498" spans="7:14" x14ac:dyDescent="0.3">
      <c r="G5498" s="1"/>
      <c r="N5498" s="1"/>
    </row>
    <row r="5499" spans="7:14" x14ac:dyDescent="0.3">
      <c r="G5499" s="1"/>
      <c r="N5499" s="1"/>
    </row>
    <row r="5500" spans="7:14" x14ac:dyDescent="0.3">
      <c r="G5500" s="1"/>
      <c r="N5500" s="1"/>
    </row>
    <row r="5501" spans="7:14" x14ac:dyDescent="0.3">
      <c r="G5501" s="1"/>
      <c r="N5501" s="1"/>
    </row>
    <row r="5502" spans="7:14" x14ac:dyDescent="0.3">
      <c r="G5502" s="1"/>
      <c r="N5502" s="1"/>
    </row>
    <row r="5503" spans="7:14" x14ac:dyDescent="0.3">
      <c r="G5503" s="1"/>
      <c r="N5503" s="1"/>
    </row>
    <row r="5504" spans="7:14" x14ac:dyDescent="0.3">
      <c r="G5504" s="1"/>
      <c r="N5504" s="1"/>
    </row>
    <row r="5505" spans="7:14" x14ac:dyDescent="0.3">
      <c r="G5505" s="1"/>
      <c r="N5505" s="1"/>
    </row>
    <row r="5506" spans="7:14" x14ac:dyDescent="0.3">
      <c r="G5506" s="1"/>
      <c r="N5506" s="1"/>
    </row>
    <row r="5507" spans="7:14" x14ac:dyDescent="0.3">
      <c r="G5507" s="1"/>
      <c r="N5507" s="1"/>
    </row>
    <row r="5508" spans="7:14" x14ac:dyDescent="0.3">
      <c r="G5508" s="1"/>
      <c r="N5508" s="1"/>
    </row>
    <row r="5509" spans="7:14" x14ac:dyDescent="0.3">
      <c r="G5509" s="1"/>
      <c r="N5509" s="1"/>
    </row>
    <row r="5510" spans="7:14" x14ac:dyDescent="0.3">
      <c r="G5510" s="1"/>
      <c r="N5510" s="1"/>
    </row>
    <row r="5511" spans="7:14" x14ac:dyDescent="0.3">
      <c r="G5511" s="1"/>
      <c r="N5511" s="1"/>
    </row>
    <row r="5512" spans="7:14" x14ac:dyDescent="0.3">
      <c r="G5512" s="1"/>
      <c r="N5512" s="1"/>
    </row>
    <row r="5513" spans="7:14" x14ac:dyDescent="0.3">
      <c r="G5513" s="1"/>
      <c r="N5513" s="1"/>
    </row>
    <row r="5514" spans="7:14" x14ac:dyDescent="0.3">
      <c r="G5514" s="1"/>
      <c r="N5514" s="1"/>
    </row>
    <row r="5515" spans="7:14" x14ac:dyDescent="0.3">
      <c r="G5515" s="1"/>
      <c r="N5515" s="1"/>
    </row>
    <row r="5516" spans="7:14" x14ac:dyDescent="0.3">
      <c r="G5516" s="1"/>
      <c r="N5516" s="1"/>
    </row>
    <row r="5517" spans="7:14" x14ac:dyDescent="0.3">
      <c r="G5517" s="1"/>
      <c r="N5517" s="1"/>
    </row>
    <row r="5518" spans="7:14" x14ac:dyDescent="0.3">
      <c r="G5518" s="1"/>
      <c r="N5518" s="1"/>
    </row>
    <row r="5519" spans="7:14" x14ac:dyDescent="0.3">
      <c r="G5519" s="1"/>
      <c r="N5519" s="1"/>
    </row>
    <row r="5520" spans="7:14" x14ac:dyDescent="0.3">
      <c r="G5520" s="1"/>
      <c r="N5520" s="1"/>
    </row>
    <row r="5521" spans="7:14" x14ac:dyDescent="0.3">
      <c r="G5521" s="1"/>
      <c r="N5521" s="1"/>
    </row>
    <row r="5522" spans="7:14" x14ac:dyDescent="0.3">
      <c r="G5522" s="1"/>
      <c r="N5522" s="1"/>
    </row>
    <row r="5523" spans="7:14" x14ac:dyDescent="0.3">
      <c r="G5523" s="1"/>
      <c r="N5523" s="1"/>
    </row>
    <row r="5524" spans="7:14" x14ac:dyDescent="0.3">
      <c r="G5524" s="1"/>
      <c r="N5524" s="1"/>
    </row>
    <row r="5525" spans="7:14" x14ac:dyDescent="0.3">
      <c r="G5525" s="1"/>
      <c r="N5525" s="1"/>
    </row>
    <row r="5526" spans="7:14" x14ac:dyDescent="0.3">
      <c r="G5526" s="1"/>
      <c r="N5526" s="1"/>
    </row>
    <row r="5527" spans="7:14" x14ac:dyDescent="0.3">
      <c r="G5527" s="1"/>
      <c r="N5527" s="1"/>
    </row>
    <row r="5528" spans="7:14" x14ac:dyDescent="0.3">
      <c r="G5528" s="1"/>
      <c r="N5528" s="1"/>
    </row>
    <row r="5529" spans="7:14" x14ac:dyDescent="0.3">
      <c r="G5529" s="1"/>
      <c r="N5529" s="1"/>
    </row>
    <row r="5530" spans="7:14" x14ac:dyDescent="0.3">
      <c r="G5530" s="1"/>
      <c r="N5530" s="1"/>
    </row>
    <row r="5531" spans="7:14" x14ac:dyDescent="0.3">
      <c r="G5531" s="1"/>
      <c r="N5531" s="1"/>
    </row>
    <row r="5532" spans="7:14" x14ac:dyDescent="0.3">
      <c r="G5532" s="1"/>
      <c r="N5532" s="1"/>
    </row>
    <row r="5533" spans="7:14" x14ac:dyDescent="0.3">
      <c r="G5533" s="1"/>
      <c r="N5533" s="1"/>
    </row>
    <row r="5534" spans="7:14" x14ac:dyDescent="0.3">
      <c r="G5534" s="1"/>
      <c r="N5534" s="1"/>
    </row>
    <row r="5535" spans="7:14" x14ac:dyDescent="0.3">
      <c r="G5535" s="1"/>
      <c r="N5535" s="1"/>
    </row>
    <row r="5536" spans="7:14" x14ac:dyDescent="0.3">
      <c r="G5536" s="1"/>
      <c r="N5536" s="1"/>
    </row>
    <row r="5537" spans="7:14" x14ac:dyDescent="0.3">
      <c r="G5537" s="1"/>
      <c r="N5537" s="1"/>
    </row>
    <row r="5538" spans="7:14" x14ac:dyDescent="0.3">
      <c r="G5538" s="1"/>
      <c r="N5538" s="1"/>
    </row>
    <row r="5539" spans="7:14" x14ac:dyDescent="0.3">
      <c r="G5539" s="1"/>
      <c r="N5539" s="1"/>
    </row>
    <row r="5540" spans="7:14" x14ac:dyDescent="0.3">
      <c r="G5540" s="1"/>
      <c r="N5540" s="1"/>
    </row>
    <row r="5541" spans="7:14" x14ac:dyDescent="0.3">
      <c r="G5541" s="1"/>
      <c r="N5541" s="1"/>
    </row>
    <row r="5542" spans="7:14" x14ac:dyDescent="0.3">
      <c r="G5542" s="1"/>
      <c r="N5542" s="1"/>
    </row>
    <row r="5543" spans="7:14" x14ac:dyDescent="0.3">
      <c r="G5543" s="1"/>
      <c r="N5543" s="1"/>
    </row>
    <row r="5544" spans="7:14" x14ac:dyDescent="0.3">
      <c r="G5544" s="1"/>
      <c r="N5544" s="1"/>
    </row>
    <row r="5545" spans="7:14" x14ac:dyDescent="0.3">
      <c r="G5545" s="1"/>
      <c r="N5545" s="1"/>
    </row>
    <row r="5546" spans="7:14" x14ac:dyDescent="0.3">
      <c r="G5546" s="1"/>
      <c r="N5546" s="1"/>
    </row>
    <row r="5547" spans="7:14" x14ac:dyDescent="0.3">
      <c r="G5547" s="1"/>
      <c r="N5547" s="1"/>
    </row>
    <row r="5548" spans="7:14" x14ac:dyDescent="0.3">
      <c r="G5548" s="1"/>
      <c r="N5548" s="1"/>
    </row>
    <row r="5549" spans="7:14" x14ac:dyDescent="0.3">
      <c r="G5549" s="1"/>
      <c r="N5549" s="1"/>
    </row>
    <row r="5550" spans="7:14" x14ac:dyDescent="0.3">
      <c r="G5550" s="1"/>
      <c r="N5550" s="1"/>
    </row>
    <row r="5551" spans="7:14" x14ac:dyDescent="0.3">
      <c r="G5551" s="1"/>
      <c r="N5551" s="1"/>
    </row>
    <row r="5552" spans="7:14" x14ac:dyDescent="0.3">
      <c r="G5552" s="1"/>
      <c r="N5552" s="1"/>
    </row>
    <row r="5553" spans="7:14" x14ac:dyDescent="0.3">
      <c r="G5553" s="1"/>
      <c r="N5553" s="1"/>
    </row>
    <row r="5554" spans="7:14" x14ac:dyDescent="0.3">
      <c r="G5554" s="1"/>
      <c r="N5554" s="1"/>
    </row>
    <row r="5555" spans="7:14" x14ac:dyDescent="0.3">
      <c r="G5555" s="1"/>
      <c r="N5555" s="1"/>
    </row>
    <row r="5556" spans="7:14" x14ac:dyDescent="0.3">
      <c r="G5556" s="1"/>
      <c r="N5556" s="1"/>
    </row>
    <row r="5557" spans="7:14" x14ac:dyDescent="0.3">
      <c r="G5557" s="1"/>
      <c r="N5557" s="1"/>
    </row>
    <row r="5558" spans="7:14" x14ac:dyDescent="0.3">
      <c r="G5558" s="1"/>
      <c r="N5558" s="1"/>
    </row>
    <row r="5559" spans="7:14" x14ac:dyDescent="0.3">
      <c r="G5559" s="1"/>
      <c r="N5559" s="1"/>
    </row>
    <row r="5560" spans="7:14" x14ac:dyDescent="0.3">
      <c r="G5560" s="1"/>
      <c r="N5560" s="1"/>
    </row>
    <row r="5561" spans="7:14" x14ac:dyDescent="0.3">
      <c r="G5561" s="1"/>
      <c r="N5561" s="1"/>
    </row>
    <row r="5562" spans="7:14" x14ac:dyDescent="0.3">
      <c r="G5562" s="1"/>
      <c r="N5562" s="1"/>
    </row>
    <row r="5563" spans="7:14" x14ac:dyDescent="0.3">
      <c r="G5563" s="1"/>
      <c r="N5563" s="1"/>
    </row>
    <row r="5564" spans="7:14" x14ac:dyDescent="0.3">
      <c r="G5564" s="1"/>
      <c r="N5564" s="1"/>
    </row>
    <row r="5565" spans="7:14" x14ac:dyDescent="0.3">
      <c r="G5565" s="1"/>
      <c r="N5565" s="1"/>
    </row>
    <row r="5566" spans="7:14" x14ac:dyDescent="0.3">
      <c r="G5566" s="1"/>
      <c r="N5566" s="1"/>
    </row>
    <row r="5567" spans="7:14" x14ac:dyDescent="0.3">
      <c r="G5567" s="1"/>
      <c r="N5567" s="1"/>
    </row>
    <row r="5568" spans="7:14" x14ac:dyDescent="0.3">
      <c r="G5568" s="1"/>
      <c r="N5568" s="1"/>
    </row>
    <row r="5569" spans="7:14" x14ac:dyDescent="0.3">
      <c r="G5569" s="1"/>
      <c r="N5569" s="1"/>
    </row>
    <row r="5570" spans="7:14" x14ac:dyDescent="0.3">
      <c r="G5570" s="1"/>
      <c r="N5570" s="1"/>
    </row>
    <row r="5571" spans="7:14" x14ac:dyDescent="0.3">
      <c r="G5571" s="1"/>
      <c r="N5571" s="1"/>
    </row>
    <row r="5572" spans="7:14" x14ac:dyDescent="0.3">
      <c r="G5572" s="1"/>
      <c r="N5572" s="1"/>
    </row>
    <row r="5573" spans="7:14" x14ac:dyDescent="0.3">
      <c r="G5573" s="1"/>
      <c r="N5573" s="1"/>
    </row>
    <row r="5574" spans="7:14" x14ac:dyDescent="0.3">
      <c r="G5574" s="1"/>
      <c r="N5574" s="1"/>
    </row>
    <row r="5575" spans="7:14" x14ac:dyDescent="0.3">
      <c r="G5575" s="1"/>
      <c r="N5575" s="1"/>
    </row>
    <row r="5576" spans="7:14" x14ac:dyDescent="0.3">
      <c r="G5576" s="1"/>
      <c r="N5576" s="1"/>
    </row>
    <row r="5577" spans="7:14" x14ac:dyDescent="0.3">
      <c r="G5577" s="1"/>
      <c r="N5577" s="1"/>
    </row>
    <row r="5578" spans="7:14" x14ac:dyDescent="0.3">
      <c r="G5578" s="1"/>
      <c r="N5578" s="1"/>
    </row>
    <row r="5579" spans="7:14" x14ac:dyDescent="0.3">
      <c r="G5579" s="1"/>
      <c r="N5579" s="1"/>
    </row>
    <row r="5580" spans="7:14" x14ac:dyDescent="0.3">
      <c r="G5580" s="1"/>
      <c r="N5580" s="1"/>
    </row>
    <row r="5581" spans="7:14" x14ac:dyDescent="0.3">
      <c r="G5581" s="1"/>
      <c r="N5581" s="1"/>
    </row>
    <row r="5582" spans="7:14" x14ac:dyDescent="0.3">
      <c r="G5582" s="1"/>
      <c r="N5582" s="1"/>
    </row>
    <row r="5583" spans="7:14" x14ac:dyDescent="0.3">
      <c r="G5583" s="1"/>
      <c r="N5583" s="1"/>
    </row>
    <row r="5584" spans="7:14" x14ac:dyDescent="0.3">
      <c r="G5584" s="1"/>
      <c r="N5584" s="1"/>
    </row>
    <row r="5585" spans="7:14" x14ac:dyDescent="0.3">
      <c r="G5585" s="1"/>
      <c r="N5585" s="1"/>
    </row>
    <row r="5586" spans="7:14" x14ac:dyDescent="0.3">
      <c r="G5586" s="1"/>
      <c r="N5586" s="1"/>
    </row>
    <row r="5587" spans="7:14" x14ac:dyDescent="0.3">
      <c r="G5587" s="1"/>
      <c r="N5587" s="1"/>
    </row>
    <row r="5588" spans="7:14" x14ac:dyDescent="0.3">
      <c r="G5588" s="1"/>
      <c r="N5588" s="1"/>
    </row>
    <row r="5589" spans="7:14" x14ac:dyDescent="0.3">
      <c r="G5589" s="1"/>
      <c r="N5589" s="1"/>
    </row>
    <row r="5590" spans="7:14" x14ac:dyDescent="0.3">
      <c r="G5590" s="1"/>
      <c r="N5590" s="1"/>
    </row>
    <row r="5591" spans="7:14" x14ac:dyDescent="0.3">
      <c r="G5591" s="1"/>
      <c r="N5591" s="1"/>
    </row>
    <row r="5592" spans="7:14" x14ac:dyDescent="0.3">
      <c r="G5592" s="1"/>
      <c r="N5592" s="1"/>
    </row>
    <row r="5593" spans="7:14" x14ac:dyDescent="0.3">
      <c r="G5593" s="1"/>
      <c r="N5593" s="1"/>
    </row>
    <row r="5594" spans="7:14" x14ac:dyDescent="0.3">
      <c r="G5594" s="1"/>
      <c r="N5594" s="1"/>
    </row>
    <row r="5595" spans="7:14" x14ac:dyDescent="0.3">
      <c r="G5595" s="1"/>
      <c r="N5595" s="1"/>
    </row>
    <row r="5596" spans="7:14" x14ac:dyDescent="0.3">
      <c r="G5596" s="1"/>
      <c r="N5596" s="1"/>
    </row>
    <row r="5597" spans="7:14" x14ac:dyDescent="0.3">
      <c r="G5597" s="1"/>
      <c r="N5597" s="1"/>
    </row>
    <row r="5598" spans="7:14" x14ac:dyDescent="0.3">
      <c r="G5598" s="1"/>
      <c r="N5598" s="1"/>
    </row>
    <row r="5599" spans="7:14" x14ac:dyDescent="0.3">
      <c r="G5599" s="1"/>
      <c r="N5599" s="1"/>
    </row>
    <row r="5600" spans="7:14" x14ac:dyDescent="0.3">
      <c r="G5600" s="1"/>
      <c r="N5600" s="1"/>
    </row>
    <row r="5601" spans="7:14" x14ac:dyDescent="0.3">
      <c r="G5601" s="1"/>
      <c r="N5601" s="1"/>
    </row>
    <row r="5602" spans="7:14" x14ac:dyDescent="0.3">
      <c r="G5602" s="1"/>
      <c r="N5602" s="1"/>
    </row>
    <row r="5603" spans="7:14" x14ac:dyDescent="0.3">
      <c r="G5603" s="1"/>
      <c r="N5603" s="1"/>
    </row>
    <row r="5604" spans="7:14" x14ac:dyDescent="0.3">
      <c r="G5604" s="1"/>
      <c r="N5604" s="1"/>
    </row>
    <row r="5605" spans="7:14" x14ac:dyDescent="0.3">
      <c r="G5605" s="1"/>
      <c r="N5605" s="1"/>
    </row>
    <row r="5606" spans="7:14" x14ac:dyDescent="0.3">
      <c r="G5606" s="1"/>
      <c r="N5606" s="1"/>
    </row>
    <row r="5607" spans="7:14" x14ac:dyDescent="0.3">
      <c r="G5607" s="1"/>
      <c r="N5607" s="1"/>
    </row>
    <row r="5608" spans="7:14" x14ac:dyDescent="0.3">
      <c r="G5608" s="1"/>
      <c r="N5608" s="1"/>
    </row>
    <row r="5609" spans="7:14" x14ac:dyDescent="0.3">
      <c r="G5609" s="1"/>
      <c r="N5609" s="1"/>
    </row>
    <row r="5610" spans="7:14" x14ac:dyDescent="0.3">
      <c r="G5610" s="1"/>
      <c r="N5610" s="1"/>
    </row>
    <row r="5611" spans="7:14" x14ac:dyDescent="0.3">
      <c r="G5611" s="1"/>
      <c r="N5611" s="1"/>
    </row>
    <row r="5612" spans="7:14" x14ac:dyDescent="0.3">
      <c r="G5612" s="1"/>
      <c r="N5612" s="1"/>
    </row>
    <row r="5613" spans="7:14" x14ac:dyDescent="0.3">
      <c r="G5613" s="1"/>
      <c r="N5613" s="1"/>
    </row>
    <row r="5614" spans="7:14" x14ac:dyDescent="0.3">
      <c r="G5614" s="1"/>
      <c r="N5614" s="1"/>
    </row>
    <row r="5615" spans="7:14" x14ac:dyDescent="0.3">
      <c r="G5615" s="1"/>
      <c r="N5615" s="1"/>
    </row>
    <row r="5616" spans="7:14" x14ac:dyDescent="0.3">
      <c r="G5616" s="1"/>
      <c r="N5616" s="1"/>
    </row>
    <row r="5617" spans="7:14" x14ac:dyDescent="0.3">
      <c r="G5617" s="1"/>
      <c r="N5617" s="1"/>
    </row>
    <row r="5618" spans="7:14" x14ac:dyDescent="0.3">
      <c r="G5618" s="1"/>
      <c r="N5618" s="1"/>
    </row>
    <row r="5619" spans="7:14" x14ac:dyDescent="0.3">
      <c r="G5619" s="1"/>
      <c r="N5619" s="1"/>
    </row>
    <row r="5620" spans="7:14" x14ac:dyDescent="0.3">
      <c r="G5620" s="1"/>
      <c r="N5620" s="1"/>
    </row>
    <row r="5621" spans="7:14" x14ac:dyDescent="0.3">
      <c r="G5621" s="1"/>
      <c r="N5621" s="1"/>
    </row>
    <row r="5622" spans="7:14" x14ac:dyDescent="0.3">
      <c r="G5622" s="1"/>
      <c r="N5622" s="1"/>
    </row>
    <row r="5623" spans="7:14" x14ac:dyDescent="0.3">
      <c r="G5623" s="1"/>
      <c r="N5623" s="1"/>
    </row>
    <row r="5624" spans="7:14" x14ac:dyDescent="0.3">
      <c r="G5624" s="1"/>
      <c r="N5624" s="1"/>
    </row>
    <row r="5625" spans="7:14" x14ac:dyDescent="0.3">
      <c r="G5625" s="1"/>
      <c r="N5625" s="1"/>
    </row>
    <row r="5626" spans="7:14" x14ac:dyDescent="0.3">
      <c r="G5626" s="1"/>
      <c r="N5626" s="1"/>
    </row>
    <row r="5627" spans="7:14" x14ac:dyDescent="0.3">
      <c r="G5627" s="1"/>
      <c r="N5627" s="1"/>
    </row>
    <row r="5628" spans="7:14" x14ac:dyDescent="0.3">
      <c r="G5628" s="1"/>
      <c r="N5628" s="1"/>
    </row>
    <row r="5629" spans="7:14" x14ac:dyDescent="0.3">
      <c r="G5629" s="1"/>
      <c r="N5629" s="1"/>
    </row>
    <row r="5630" spans="7:14" x14ac:dyDescent="0.3">
      <c r="G5630" s="1"/>
      <c r="N5630" s="1"/>
    </row>
    <row r="5631" spans="7:14" x14ac:dyDescent="0.3">
      <c r="G5631" s="1"/>
      <c r="N5631" s="1"/>
    </row>
    <row r="5632" spans="7:14" x14ac:dyDescent="0.3">
      <c r="G5632" s="1"/>
      <c r="N5632" s="1"/>
    </row>
    <row r="5633" spans="7:14" x14ac:dyDescent="0.3">
      <c r="G5633" s="1"/>
      <c r="N5633" s="1"/>
    </row>
    <row r="5634" spans="7:14" x14ac:dyDescent="0.3">
      <c r="G5634" s="1"/>
      <c r="N5634" s="1"/>
    </row>
    <row r="5635" spans="7:14" x14ac:dyDescent="0.3">
      <c r="G5635" s="1"/>
      <c r="N5635" s="1"/>
    </row>
    <row r="5636" spans="7:14" x14ac:dyDescent="0.3">
      <c r="G5636" s="1"/>
      <c r="N5636" s="1"/>
    </row>
    <row r="5637" spans="7:14" x14ac:dyDescent="0.3">
      <c r="G5637" s="1"/>
      <c r="N5637" s="1"/>
    </row>
    <row r="5638" spans="7:14" x14ac:dyDescent="0.3">
      <c r="G5638" s="1"/>
      <c r="N5638" s="1"/>
    </row>
    <row r="5639" spans="7:14" x14ac:dyDescent="0.3">
      <c r="G5639" s="1"/>
      <c r="N5639" s="1"/>
    </row>
    <row r="5640" spans="7:14" x14ac:dyDescent="0.3">
      <c r="G5640" s="1"/>
      <c r="N5640" s="1"/>
    </row>
    <row r="5641" spans="7:14" x14ac:dyDescent="0.3">
      <c r="G5641" s="1"/>
      <c r="N5641" s="1"/>
    </row>
    <row r="5642" spans="7:14" x14ac:dyDescent="0.3">
      <c r="G5642" s="1"/>
      <c r="N5642" s="1"/>
    </row>
    <row r="5643" spans="7:14" x14ac:dyDescent="0.3">
      <c r="G5643" s="1"/>
      <c r="N5643" s="1"/>
    </row>
    <row r="5644" spans="7:14" x14ac:dyDescent="0.3">
      <c r="G5644" s="1"/>
      <c r="N5644" s="1"/>
    </row>
    <row r="5645" spans="7:14" x14ac:dyDescent="0.3">
      <c r="G5645" s="1"/>
      <c r="N5645" s="1"/>
    </row>
    <row r="5646" spans="7:14" x14ac:dyDescent="0.3">
      <c r="G5646" s="1"/>
      <c r="N5646" s="1"/>
    </row>
    <row r="5647" spans="7:14" x14ac:dyDescent="0.3">
      <c r="G5647" s="1"/>
      <c r="N5647" s="1"/>
    </row>
    <row r="5648" spans="7:14" x14ac:dyDescent="0.3">
      <c r="G5648" s="1"/>
      <c r="N5648" s="1"/>
    </row>
    <row r="5649" spans="7:14" x14ac:dyDescent="0.3">
      <c r="G5649" s="1"/>
      <c r="N5649" s="1"/>
    </row>
    <row r="5650" spans="7:14" x14ac:dyDescent="0.3">
      <c r="G5650" s="1"/>
      <c r="N5650" s="1"/>
    </row>
    <row r="5651" spans="7:14" x14ac:dyDescent="0.3">
      <c r="G5651" s="1"/>
      <c r="N5651" s="1"/>
    </row>
    <row r="5652" spans="7:14" x14ac:dyDescent="0.3">
      <c r="G5652" s="1"/>
      <c r="N5652" s="1"/>
    </row>
    <row r="5653" spans="7:14" x14ac:dyDescent="0.3">
      <c r="G5653" s="1"/>
      <c r="N5653" s="1"/>
    </row>
    <row r="5654" spans="7:14" x14ac:dyDescent="0.3">
      <c r="G5654" s="1"/>
      <c r="N5654" s="1"/>
    </row>
    <row r="5655" spans="7:14" x14ac:dyDescent="0.3">
      <c r="G5655" s="1"/>
      <c r="N5655" s="1"/>
    </row>
    <row r="5656" spans="7:14" x14ac:dyDescent="0.3">
      <c r="G5656" s="1"/>
      <c r="N5656" s="1"/>
    </row>
    <row r="5657" spans="7:14" x14ac:dyDescent="0.3">
      <c r="G5657" s="1"/>
      <c r="N5657" s="1"/>
    </row>
    <row r="5658" spans="7:14" x14ac:dyDescent="0.3">
      <c r="G5658" s="1"/>
      <c r="N5658" s="1"/>
    </row>
    <row r="5659" spans="7:14" x14ac:dyDescent="0.3">
      <c r="G5659" s="1"/>
      <c r="N5659" s="1"/>
    </row>
    <row r="5660" spans="7:14" x14ac:dyDescent="0.3">
      <c r="G5660" s="1"/>
      <c r="N5660" s="1"/>
    </row>
    <row r="5661" spans="7:14" x14ac:dyDescent="0.3">
      <c r="G5661" s="1"/>
      <c r="N5661" s="1"/>
    </row>
    <row r="5662" spans="7:14" x14ac:dyDescent="0.3">
      <c r="G5662" s="1"/>
      <c r="N5662" s="1"/>
    </row>
    <row r="5663" spans="7:14" x14ac:dyDescent="0.3">
      <c r="G5663" s="1"/>
      <c r="N5663" s="1"/>
    </row>
    <row r="5664" spans="7:14" x14ac:dyDescent="0.3">
      <c r="G5664" s="1"/>
      <c r="N5664" s="1"/>
    </row>
    <row r="5665" spans="7:14" x14ac:dyDescent="0.3">
      <c r="G5665" s="1"/>
      <c r="N5665" s="1"/>
    </row>
    <row r="5666" spans="7:14" x14ac:dyDescent="0.3">
      <c r="G5666" s="1"/>
      <c r="N5666" s="1"/>
    </row>
    <row r="5667" spans="7:14" x14ac:dyDescent="0.3">
      <c r="G5667" s="1"/>
      <c r="N5667" s="1"/>
    </row>
    <row r="5668" spans="7:14" x14ac:dyDescent="0.3">
      <c r="G5668" s="1"/>
      <c r="N5668" s="1"/>
    </row>
    <row r="5669" spans="7:14" x14ac:dyDescent="0.3">
      <c r="G5669" s="1"/>
      <c r="N5669" s="1"/>
    </row>
    <row r="5670" spans="7:14" x14ac:dyDescent="0.3">
      <c r="G5670" s="1"/>
      <c r="N5670" s="1"/>
    </row>
    <row r="5671" spans="7:14" x14ac:dyDescent="0.3">
      <c r="G5671" s="1"/>
      <c r="N5671" s="1"/>
    </row>
    <row r="5672" spans="7:14" x14ac:dyDescent="0.3">
      <c r="G5672" s="1"/>
      <c r="N5672" s="1"/>
    </row>
    <row r="5673" spans="7:14" x14ac:dyDescent="0.3">
      <c r="G5673" s="1"/>
      <c r="N5673" s="1"/>
    </row>
    <row r="5674" spans="7:14" x14ac:dyDescent="0.3">
      <c r="G5674" s="1"/>
      <c r="N5674" s="1"/>
    </row>
    <row r="5675" spans="7:14" x14ac:dyDescent="0.3">
      <c r="G5675" s="1"/>
      <c r="N5675" s="1"/>
    </row>
    <row r="5676" spans="7:14" x14ac:dyDescent="0.3">
      <c r="G5676" s="1"/>
      <c r="N5676" s="1"/>
    </row>
    <row r="5677" spans="7:14" x14ac:dyDescent="0.3">
      <c r="G5677" s="1"/>
      <c r="N5677" s="1"/>
    </row>
    <row r="5678" spans="7:14" x14ac:dyDescent="0.3">
      <c r="G5678" s="1"/>
      <c r="N5678" s="1"/>
    </row>
    <row r="5679" spans="7:14" x14ac:dyDescent="0.3">
      <c r="G5679" s="1"/>
      <c r="N5679" s="1"/>
    </row>
    <row r="5680" spans="7:14" x14ac:dyDescent="0.3">
      <c r="G5680" s="1"/>
      <c r="N5680" s="1"/>
    </row>
    <row r="5681" spans="7:14" x14ac:dyDescent="0.3">
      <c r="G5681" s="1"/>
      <c r="N5681" s="1"/>
    </row>
    <row r="5682" spans="7:14" x14ac:dyDescent="0.3">
      <c r="G5682" s="1"/>
      <c r="N5682" s="1"/>
    </row>
    <row r="5683" spans="7:14" x14ac:dyDescent="0.3">
      <c r="G5683" s="1"/>
      <c r="N5683" s="1"/>
    </row>
    <row r="5684" spans="7:14" x14ac:dyDescent="0.3">
      <c r="G5684" s="1"/>
      <c r="N5684" s="1"/>
    </row>
    <row r="5685" spans="7:14" x14ac:dyDescent="0.3">
      <c r="G5685" s="1"/>
      <c r="N5685" s="1"/>
    </row>
    <row r="5686" spans="7:14" x14ac:dyDescent="0.3">
      <c r="G5686" s="1"/>
      <c r="N5686" s="1"/>
    </row>
    <row r="5687" spans="7:14" x14ac:dyDescent="0.3">
      <c r="G5687" s="1"/>
      <c r="N5687" s="1"/>
    </row>
    <row r="5688" spans="7:14" x14ac:dyDescent="0.3">
      <c r="G5688" s="1"/>
      <c r="N5688" s="1"/>
    </row>
    <row r="5689" spans="7:14" x14ac:dyDescent="0.3">
      <c r="G5689" s="1"/>
      <c r="N5689" s="1"/>
    </row>
    <row r="5690" spans="7:14" x14ac:dyDescent="0.3">
      <c r="G5690" s="1"/>
      <c r="N5690" s="1"/>
    </row>
    <row r="5691" spans="7:14" x14ac:dyDescent="0.3">
      <c r="G5691" s="1"/>
      <c r="N5691" s="1"/>
    </row>
    <row r="5692" spans="7:14" x14ac:dyDescent="0.3">
      <c r="G5692" s="1"/>
      <c r="N5692" s="1"/>
    </row>
    <row r="5693" spans="7:14" x14ac:dyDescent="0.3">
      <c r="G5693" s="1"/>
      <c r="N5693" s="1"/>
    </row>
    <row r="5694" spans="7:14" x14ac:dyDescent="0.3">
      <c r="G5694" s="1"/>
      <c r="N5694" s="1"/>
    </row>
    <row r="5695" spans="7:14" x14ac:dyDescent="0.3">
      <c r="G5695" s="1"/>
      <c r="N5695" s="1"/>
    </row>
    <row r="5696" spans="7:14" x14ac:dyDescent="0.3">
      <c r="G5696" s="1"/>
      <c r="N5696" s="1"/>
    </row>
    <row r="5697" spans="7:14" x14ac:dyDescent="0.3">
      <c r="G5697" s="1"/>
      <c r="N5697" s="1"/>
    </row>
    <row r="5698" spans="7:14" x14ac:dyDescent="0.3">
      <c r="G5698" s="1"/>
      <c r="N5698" s="1"/>
    </row>
    <row r="5699" spans="7:14" x14ac:dyDescent="0.3">
      <c r="G5699" s="1"/>
      <c r="N5699" s="1"/>
    </row>
    <row r="5700" spans="7:14" x14ac:dyDescent="0.3">
      <c r="G5700" s="1"/>
      <c r="N5700" s="1"/>
    </row>
    <row r="5701" spans="7:14" x14ac:dyDescent="0.3">
      <c r="G5701" s="1"/>
      <c r="N5701" s="1"/>
    </row>
    <row r="5702" spans="7:14" x14ac:dyDescent="0.3">
      <c r="G5702" s="1"/>
      <c r="N5702" s="1"/>
    </row>
    <row r="5703" spans="7:14" x14ac:dyDescent="0.3">
      <c r="G5703" s="1"/>
      <c r="N5703" s="1"/>
    </row>
    <row r="5704" spans="7:14" x14ac:dyDescent="0.3">
      <c r="G5704" s="1"/>
      <c r="N5704" s="1"/>
    </row>
    <row r="5705" spans="7:14" x14ac:dyDescent="0.3">
      <c r="G5705" s="1"/>
      <c r="N5705" s="1"/>
    </row>
    <row r="5706" spans="7:14" x14ac:dyDescent="0.3">
      <c r="G5706" s="1"/>
      <c r="N5706" s="1"/>
    </row>
    <row r="5707" spans="7:14" x14ac:dyDescent="0.3">
      <c r="G5707" s="1"/>
      <c r="N5707" s="1"/>
    </row>
    <row r="5708" spans="7:14" x14ac:dyDescent="0.3">
      <c r="G5708" s="1"/>
      <c r="N5708" s="1"/>
    </row>
    <row r="5709" spans="7:14" x14ac:dyDescent="0.3">
      <c r="G5709" s="1"/>
      <c r="N5709" s="1"/>
    </row>
    <row r="5710" spans="7:14" x14ac:dyDescent="0.3">
      <c r="G5710" s="1"/>
      <c r="N5710" s="1"/>
    </row>
    <row r="5711" spans="7:14" x14ac:dyDescent="0.3">
      <c r="G5711" s="1"/>
      <c r="N5711" s="1"/>
    </row>
    <row r="5712" spans="7:14" x14ac:dyDescent="0.3">
      <c r="G5712" s="1"/>
      <c r="N5712" s="1"/>
    </row>
    <row r="5713" spans="7:14" x14ac:dyDescent="0.3">
      <c r="G5713" s="1"/>
      <c r="N5713" s="1"/>
    </row>
    <row r="5714" spans="7:14" x14ac:dyDescent="0.3">
      <c r="G5714" s="1"/>
      <c r="N5714" s="1"/>
    </row>
    <row r="5715" spans="7:14" x14ac:dyDescent="0.3">
      <c r="G5715" s="1"/>
      <c r="N5715" s="1"/>
    </row>
    <row r="5716" spans="7:14" x14ac:dyDescent="0.3">
      <c r="G5716" s="1"/>
      <c r="N5716" s="1"/>
    </row>
    <row r="5717" spans="7:14" x14ac:dyDescent="0.3">
      <c r="G5717" s="1"/>
      <c r="N5717" s="1"/>
    </row>
    <row r="5718" spans="7:14" x14ac:dyDescent="0.3">
      <c r="G5718" s="1"/>
      <c r="N5718" s="1"/>
    </row>
    <row r="5719" spans="7:14" x14ac:dyDescent="0.3">
      <c r="G5719" s="1"/>
      <c r="N5719" s="1"/>
    </row>
    <row r="5720" spans="7:14" x14ac:dyDescent="0.3">
      <c r="G5720" s="1"/>
      <c r="N5720" s="1"/>
    </row>
    <row r="5721" spans="7:14" x14ac:dyDescent="0.3">
      <c r="G5721" s="1"/>
      <c r="N5721" s="1"/>
    </row>
    <row r="5722" spans="7:14" x14ac:dyDescent="0.3">
      <c r="G5722" s="1"/>
      <c r="N5722" s="1"/>
    </row>
    <row r="5723" spans="7:14" x14ac:dyDescent="0.3">
      <c r="G5723" s="1"/>
      <c r="N5723" s="1"/>
    </row>
    <row r="5724" spans="7:14" x14ac:dyDescent="0.3">
      <c r="G5724" s="1"/>
      <c r="N5724" s="1"/>
    </row>
    <row r="5725" spans="7:14" x14ac:dyDescent="0.3">
      <c r="G5725" s="1"/>
      <c r="N5725" s="1"/>
    </row>
    <row r="5726" spans="7:14" x14ac:dyDescent="0.3">
      <c r="G5726" s="1"/>
      <c r="N5726" s="1"/>
    </row>
    <row r="5727" spans="7:14" x14ac:dyDescent="0.3">
      <c r="G5727" s="1"/>
      <c r="N5727" s="1"/>
    </row>
    <row r="5728" spans="7:14" x14ac:dyDescent="0.3">
      <c r="G5728" s="1"/>
      <c r="N5728" s="1"/>
    </row>
    <row r="5729" spans="7:14" x14ac:dyDescent="0.3">
      <c r="G5729" s="1"/>
      <c r="N5729" s="1"/>
    </row>
    <row r="5730" spans="7:14" x14ac:dyDescent="0.3">
      <c r="G5730" s="1"/>
      <c r="N5730" s="1"/>
    </row>
    <row r="5731" spans="7:14" x14ac:dyDescent="0.3">
      <c r="G5731" s="1"/>
      <c r="N5731" s="1"/>
    </row>
    <row r="5732" spans="7:14" x14ac:dyDescent="0.3">
      <c r="G5732" s="1"/>
      <c r="N5732" s="1"/>
    </row>
    <row r="5733" spans="7:14" x14ac:dyDescent="0.3">
      <c r="G5733" s="1"/>
      <c r="N5733" s="1"/>
    </row>
    <row r="5734" spans="7:14" x14ac:dyDescent="0.3">
      <c r="G5734" s="1"/>
      <c r="N5734" s="1"/>
    </row>
    <row r="5735" spans="7:14" x14ac:dyDescent="0.3">
      <c r="G5735" s="1"/>
      <c r="N5735" s="1"/>
    </row>
    <row r="5736" spans="7:14" x14ac:dyDescent="0.3">
      <c r="G5736" s="1"/>
      <c r="N5736" s="1"/>
    </row>
    <row r="5737" spans="7:14" x14ac:dyDescent="0.3">
      <c r="G5737" s="1"/>
      <c r="N5737" s="1"/>
    </row>
    <row r="5738" spans="7:14" x14ac:dyDescent="0.3">
      <c r="G5738" s="1"/>
      <c r="N5738" s="1"/>
    </row>
    <row r="5739" spans="7:14" x14ac:dyDescent="0.3">
      <c r="G5739" s="1"/>
      <c r="N5739" s="1"/>
    </row>
    <row r="5740" spans="7:14" x14ac:dyDescent="0.3">
      <c r="G5740" s="1"/>
      <c r="N5740" s="1"/>
    </row>
    <row r="5741" spans="7:14" x14ac:dyDescent="0.3">
      <c r="G5741" s="1"/>
      <c r="N5741" s="1"/>
    </row>
    <row r="5742" spans="7:14" x14ac:dyDescent="0.3">
      <c r="G5742" s="1"/>
      <c r="N5742" s="1"/>
    </row>
    <row r="5743" spans="7:14" x14ac:dyDescent="0.3">
      <c r="G5743" s="1"/>
      <c r="N5743" s="1"/>
    </row>
    <row r="5744" spans="7:14" x14ac:dyDescent="0.3">
      <c r="G5744" s="1"/>
      <c r="N5744" s="1"/>
    </row>
    <row r="5745" spans="7:14" x14ac:dyDescent="0.3">
      <c r="G5745" s="1"/>
      <c r="N5745" s="1"/>
    </row>
    <row r="5746" spans="7:14" x14ac:dyDescent="0.3">
      <c r="G5746" s="1"/>
      <c r="N5746" s="1"/>
    </row>
    <row r="5747" spans="7:14" x14ac:dyDescent="0.3">
      <c r="G5747" s="1"/>
      <c r="N5747" s="1"/>
    </row>
    <row r="5748" spans="7:14" x14ac:dyDescent="0.3">
      <c r="G5748" s="1"/>
      <c r="N5748" s="1"/>
    </row>
    <row r="5749" spans="7:14" x14ac:dyDescent="0.3">
      <c r="G5749" s="1"/>
      <c r="N5749" s="1"/>
    </row>
    <row r="5750" spans="7:14" x14ac:dyDescent="0.3">
      <c r="G5750" s="1"/>
      <c r="N5750" s="1"/>
    </row>
    <row r="5751" spans="7:14" x14ac:dyDescent="0.3">
      <c r="G5751" s="1"/>
      <c r="N5751" s="1"/>
    </row>
    <row r="5752" spans="7:14" x14ac:dyDescent="0.3">
      <c r="G5752" s="1"/>
      <c r="N5752" s="1"/>
    </row>
    <row r="5753" spans="7:14" x14ac:dyDescent="0.3">
      <c r="G5753" s="1"/>
      <c r="N5753" s="1"/>
    </row>
    <row r="5754" spans="7:14" x14ac:dyDescent="0.3">
      <c r="G5754" s="1"/>
      <c r="N5754" s="1"/>
    </row>
    <row r="5755" spans="7:14" x14ac:dyDescent="0.3">
      <c r="G5755" s="1"/>
      <c r="N5755" s="1"/>
    </row>
    <row r="5756" spans="7:14" x14ac:dyDescent="0.3">
      <c r="G5756" s="1"/>
      <c r="N5756" s="1"/>
    </row>
    <row r="5757" spans="7:14" x14ac:dyDescent="0.3">
      <c r="G5757" s="1"/>
      <c r="N5757" s="1"/>
    </row>
    <row r="5758" spans="7:14" x14ac:dyDescent="0.3">
      <c r="G5758" s="1"/>
      <c r="N5758" s="1"/>
    </row>
    <row r="5759" spans="7:14" x14ac:dyDescent="0.3">
      <c r="G5759" s="1"/>
      <c r="N5759" s="1"/>
    </row>
    <row r="5760" spans="7:14" x14ac:dyDescent="0.3">
      <c r="G5760" s="1"/>
      <c r="N5760" s="1"/>
    </row>
    <row r="5761" spans="7:14" x14ac:dyDescent="0.3">
      <c r="G5761" s="1"/>
      <c r="N5761" s="1"/>
    </row>
    <row r="5762" spans="7:14" x14ac:dyDescent="0.3">
      <c r="G5762" s="1"/>
      <c r="N5762" s="1"/>
    </row>
    <row r="5763" spans="7:14" x14ac:dyDescent="0.3">
      <c r="G5763" s="1"/>
      <c r="N5763" s="1"/>
    </row>
    <row r="5764" spans="7:14" x14ac:dyDescent="0.3">
      <c r="G5764" s="1"/>
      <c r="N5764" s="1"/>
    </row>
    <row r="5765" spans="7:14" x14ac:dyDescent="0.3">
      <c r="G5765" s="1"/>
      <c r="N5765" s="1"/>
    </row>
    <row r="5766" spans="7:14" x14ac:dyDescent="0.3">
      <c r="G5766" s="1"/>
      <c r="N5766" s="1"/>
    </row>
    <row r="5767" spans="7:14" x14ac:dyDescent="0.3">
      <c r="G5767" s="1"/>
      <c r="N5767" s="1"/>
    </row>
    <row r="5768" spans="7:14" x14ac:dyDescent="0.3">
      <c r="G5768" s="1"/>
      <c r="N5768" s="1"/>
    </row>
    <row r="5769" spans="7:14" x14ac:dyDescent="0.3">
      <c r="G5769" s="1"/>
      <c r="N5769" s="1"/>
    </row>
    <row r="5770" spans="7:14" x14ac:dyDescent="0.3">
      <c r="G5770" s="1"/>
      <c r="N5770" s="1"/>
    </row>
    <row r="5771" spans="7:14" x14ac:dyDescent="0.3">
      <c r="G5771" s="1"/>
      <c r="N5771" s="1"/>
    </row>
    <row r="5772" spans="7:14" x14ac:dyDescent="0.3">
      <c r="G5772" s="1"/>
      <c r="N5772" s="1"/>
    </row>
    <row r="5773" spans="7:14" x14ac:dyDescent="0.3">
      <c r="G5773" s="1"/>
      <c r="N5773" s="1"/>
    </row>
    <row r="5774" spans="7:14" x14ac:dyDescent="0.3">
      <c r="G5774" s="1"/>
      <c r="N5774" s="1"/>
    </row>
    <row r="5775" spans="7:14" x14ac:dyDescent="0.3">
      <c r="G5775" s="1"/>
      <c r="N5775" s="1"/>
    </row>
    <row r="5776" spans="7:14" x14ac:dyDescent="0.3">
      <c r="G5776" s="1"/>
      <c r="N5776" s="1"/>
    </row>
    <row r="5777" spans="7:14" x14ac:dyDescent="0.3">
      <c r="G5777" s="1"/>
      <c r="N5777" s="1"/>
    </row>
    <row r="5778" spans="7:14" x14ac:dyDescent="0.3">
      <c r="G5778" s="1"/>
      <c r="N5778" s="1"/>
    </row>
    <row r="5779" spans="7:14" x14ac:dyDescent="0.3">
      <c r="G5779" s="1"/>
      <c r="N5779" s="1"/>
    </row>
    <row r="5780" spans="7:14" x14ac:dyDescent="0.3">
      <c r="G5780" s="1"/>
      <c r="N5780" s="1"/>
    </row>
    <row r="5781" spans="7:14" x14ac:dyDescent="0.3">
      <c r="G5781" s="1"/>
      <c r="N5781" s="1"/>
    </row>
    <row r="5782" spans="7:14" x14ac:dyDescent="0.3">
      <c r="G5782" s="1"/>
      <c r="N5782" s="1"/>
    </row>
    <row r="5783" spans="7:14" x14ac:dyDescent="0.3">
      <c r="G5783" s="1"/>
      <c r="N5783" s="1"/>
    </row>
    <row r="5784" spans="7:14" x14ac:dyDescent="0.3">
      <c r="G5784" s="1"/>
      <c r="N5784" s="1"/>
    </row>
    <row r="5785" spans="7:14" x14ac:dyDescent="0.3">
      <c r="G5785" s="1"/>
      <c r="N5785" s="1"/>
    </row>
    <row r="5786" spans="7:14" x14ac:dyDescent="0.3">
      <c r="G5786" s="1"/>
      <c r="N5786" s="1"/>
    </row>
    <row r="5787" spans="7:14" x14ac:dyDescent="0.3">
      <c r="G5787" s="1"/>
      <c r="N5787" s="1"/>
    </row>
    <row r="5788" spans="7:14" x14ac:dyDescent="0.3">
      <c r="G5788" s="1"/>
      <c r="N5788" s="1"/>
    </row>
    <row r="5789" spans="7:14" x14ac:dyDescent="0.3">
      <c r="G5789" s="1"/>
      <c r="N5789" s="1"/>
    </row>
    <row r="5790" spans="7:14" x14ac:dyDescent="0.3">
      <c r="G5790" s="1"/>
      <c r="N5790" s="1"/>
    </row>
    <row r="5791" spans="7:14" x14ac:dyDescent="0.3">
      <c r="G5791" s="1"/>
      <c r="N5791" s="1"/>
    </row>
    <row r="5792" spans="7:14" x14ac:dyDescent="0.3">
      <c r="G5792" s="1"/>
      <c r="N5792" s="1"/>
    </row>
    <row r="5793" spans="7:14" x14ac:dyDescent="0.3">
      <c r="G5793" s="1"/>
      <c r="N5793" s="1"/>
    </row>
    <row r="5794" spans="7:14" x14ac:dyDescent="0.3">
      <c r="G5794" s="1"/>
      <c r="N5794" s="1"/>
    </row>
    <row r="5795" spans="7:14" x14ac:dyDescent="0.3">
      <c r="G5795" s="1"/>
      <c r="N5795" s="1"/>
    </row>
    <row r="5796" spans="7:14" x14ac:dyDescent="0.3">
      <c r="G5796" s="1"/>
      <c r="N5796" s="1"/>
    </row>
    <row r="5797" spans="7:14" x14ac:dyDescent="0.3">
      <c r="G5797" s="1"/>
      <c r="N5797" s="1"/>
    </row>
    <row r="5798" spans="7:14" x14ac:dyDescent="0.3">
      <c r="G5798" s="1"/>
      <c r="N5798" s="1"/>
    </row>
    <row r="5799" spans="7:14" x14ac:dyDescent="0.3">
      <c r="G5799" s="1"/>
      <c r="N5799" s="1"/>
    </row>
    <row r="5800" spans="7:14" x14ac:dyDescent="0.3">
      <c r="G5800" s="1"/>
      <c r="N5800" s="1"/>
    </row>
    <row r="5801" spans="7:14" x14ac:dyDescent="0.3">
      <c r="G5801" s="1"/>
      <c r="N5801" s="1"/>
    </row>
    <row r="5802" spans="7:14" x14ac:dyDescent="0.3">
      <c r="G5802" s="1"/>
      <c r="N5802" s="1"/>
    </row>
    <row r="5803" spans="7:14" x14ac:dyDescent="0.3">
      <c r="G5803" s="1"/>
      <c r="N5803" s="1"/>
    </row>
    <row r="5804" spans="7:14" x14ac:dyDescent="0.3">
      <c r="G5804" s="1"/>
      <c r="N5804" s="1"/>
    </row>
    <row r="5805" spans="7:14" x14ac:dyDescent="0.3">
      <c r="G5805" s="1"/>
      <c r="N5805" s="1"/>
    </row>
    <row r="5806" spans="7:14" x14ac:dyDescent="0.3">
      <c r="G5806" s="1"/>
      <c r="N5806" s="1"/>
    </row>
    <row r="5807" spans="7:14" x14ac:dyDescent="0.3">
      <c r="G5807" s="1"/>
      <c r="N5807" s="1"/>
    </row>
    <row r="5808" spans="7:14" x14ac:dyDescent="0.3">
      <c r="G5808" s="1"/>
      <c r="N5808" s="1"/>
    </row>
    <row r="5809" spans="7:14" x14ac:dyDescent="0.3">
      <c r="G5809" s="1"/>
      <c r="N5809" s="1"/>
    </row>
    <row r="5810" spans="7:14" x14ac:dyDescent="0.3">
      <c r="G5810" s="1"/>
      <c r="N5810" s="1"/>
    </row>
    <row r="5811" spans="7:14" x14ac:dyDescent="0.3">
      <c r="G5811" s="1"/>
      <c r="N5811" s="1"/>
    </row>
    <row r="5812" spans="7:14" x14ac:dyDescent="0.3">
      <c r="G5812" s="1"/>
      <c r="N5812" s="1"/>
    </row>
    <row r="5813" spans="7:14" x14ac:dyDescent="0.3">
      <c r="G5813" s="1"/>
      <c r="N5813" s="1"/>
    </row>
    <row r="5814" spans="7:14" x14ac:dyDescent="0.3">
      <c r="G5814" s="1"/>
      <c r="N5814" s="1"/>
    </row>
    <row r="5815" spans="7:14" x14ac:dyDescent="0.3">
      <c r="G5815" s="1"/>
      <c r="N5815" s="1"/>
    </row>
    <row r="5816" spans="7:14" x14ac:dyDescent="0.3">
      <c r="G5816" s="1"/>
      <c r="N5816" s="1"/>
    </row>
    <row r="5817" spans="7:14" x14ac:dyDescent="0.3">
      <c r="G5817" s="1"/>
      <c r="N5817" s="1"/>
    </row>
    <row r="5818" spans="7:14" x14ac:dyDescent="0.3">
      <c r="G5818" s="1"/>
      <c r="N5818" s="1"/>
    </row>
    <row r="5819" spans="7:14" x14ac:dyDescent="0.3">
      <c r="G5819" s="1"/>
      <c r="N5819" s="1"/>
    </row>
    <row r="5820" spans="7:14" x14ac:dyDescent="0.3">
      <c r="G5820" s="1"/>
      <c r="N5820" s="1"/>
    </row>
    <row r="5821" spans="7:14" x14ac:dyDescent="0.3">
      <c r="G5821" s="1"/>
      <c r="N5821" s="1"/>
    </row>
    <row r="5822" spans="7:14" x14ac:dyDescent="0.3">
      <c r="G5822" s="1"/>
      <c r="N5822" s="1"/>
    </row>
    <row r="5823" spans="7:14" x14ac:dyDescent="0.3">
      <c r="G5823" s="1"/>
      <c r="N5823" s="1"/>
    </row>
    <row r="5824" spans="7:14" x14ac:dyDescent="0.3">
      <c r="G5824" s="1"/>
      <c r="N5824" s="1"/>
    </row>
    <row r="5825" spans="7:14" x14ac:dyDescent="0.3">
      <c r="G5825" s="1"/>
      <c r="N5825" s="1"/>
    </row>
    <row r="5826" spans="7:14" x14ac:dyDescent="0.3">
      <c r="G5826" s="1"/>
      <c r="N5826" s="1"/>
    </row>
    <row r="5827" spans="7:14" x14ac:dyDescent="0.3">
      <c r="G5827" s="1"/>
      <c r="N5827" s="1"/>
    </row>
    <row r="5828" spans="7:14" x14ac:dyDescent="0.3">
      <c r="G5828" s="1"/>
      <c r="N5828" s="1"/>
    </row>
    <row r="5829" spans="7:14" x14ac:dyDescent="0.3">
      <c r="G5829" s="1"/>
      <c r="N5829" s="1"/>
    </row>
    <row r="5830" spans="7:14" x14ac:dyDescent="0.3">
      <c r="G5830" s="1"/>
      <c r="N5830" s="1"/>
    </row>
    <row r="5831" spans="7:14" x14ac:dyDescent="0.3">
      <c r="G5831" s="1"/>
      <c r="N5831" s="1"/>
    </row>
    <row r="5832" spans="7:14" x14ac:dyDescent="0.3">
      <c r="G5832" s="1"/>
      <c r="N5832" s="1"/>
    </row>
    <row r="5833" spans="7:14" x14ac:dyDescent="0.3">
      <c r="G5833" s="1"/>
      <c r="N5833" s="1"/>
    </row>
    <row r="5834" spans="7:14" x14ac:dyDescent="0.3">
      <c r="G5834" s="1"/>
      <c r="N5834" s="1"/>
    </row>
    <row r="5835" spans="7:14" x14ac:dyDescent="0.3">
      <c r="G5835" s="1"/>
      <c r="N5835" s="1"/>
    </row>
    <row r="5836" spans="7:14" x14ac:dyDescent="0.3">
      <c r="G5836" s="1"/>
      <c r="N5836" s="1"/>
    </row>
    <row r="5837" spans="7:14" x14ac:dyDescent="0.3">
      <c r="G5837" s="1"/>
      <c r="N5837" s="1"/>
    </row>
    <row r="5838" spans="7:14" x14ac:dyDescent="0.3">
      <c r="G5838" s="1"/>
      <c r="N5838" s="1"/>
    </row>
    <row r="5839" spans="7:14" x14ac:dyDescent="0.3">
      <c r="G5839" s="1"/>
      <c r="N5839" s="1"/>
    </row>
    <row r="5840" spans="7:14" x14ac:dyDescent="0.3">
      <c r="G5840" s="1"/>
      <c r="N5840" s="1"/>
    </row>
    <row r="5841" spans="7:14" x14ac:dyDescent="0.3">
      <c r="G5841" s="1"/>
      <c r="N5841" s="1"/>
    </row>
    <row r="5842" spans="7:14" x14ac:dyDescent="0.3">
      <c r="G5842" s="1"/>
      <c r="N5842" s="1"/>
    </row>
    <row r="5843" spans="7:14" x14ac:dyDescent="0.3">
      <c r="G5843" s="1"/>
      <c r="N5843" s="1"/>
    </row>
    <row r="5844" spans="7:14" x14ac:dyDescent="0.3">
      <c r="G5844" s="1"/>
      <c r="N5844" s="1"/>
    </row>
    <row r="5845" spans="7:14" x14ac:dyDescent="0.3">
      <c r="G5845" s="1"/>
      <c r="N5845" s="1"/>
    </row>
    <row r="5846" spans="7:14" x14ac:dyDescent="0.3">
      <c r="G5846" s="1"/>
      <c r="N5846" s="1"/>
    </row>
    <row r="5847" spans="7:14" x14ac:dyDescent="0.3">
      <c r="G5847" s="1"/>
      <c r="N5847" s="1"/>
    </row>
    <row r="5848" spans="7:14" x14ac:dyDescent="0.3">
      <c r="G5848" s="1"/>
      <c r="N5848" s="1"/>
    </row>
    <row r="5849" spans="7:14" x14ac:dyDescent="0.3">
      <c r="G5849" s="1"/>
      <c r="N5849" s="1"/>
    </row>
    <row r="5850" spans="7:14" x14ac:dyDescent="0.3">
      <c r="G5850" s="1"/>
      <c r="N5850" s="1"/>
    </row>
    <row r="5851" spans="7:14" x14ac:dyDescent="0.3">
      <c r="G5851" s="1"/>
      <c r="N5851" s="1"/>
    </row>
    <row r="5852" spans="7:14" x14ac:dyDescent="0.3">
      <c r="G5852" s="1"/>
      <c r="N5852" s="1"/>
    </row>
    <row r="5853" spans="7:14" x14ac:dyDescent="0.3">
      <c r="G5853" s="1"/>
      <c r="N5853" s="1"/>
    </row>
    <row r="5854" spans="7:14" x14ac:dyDescent="0.3">
      <c r="G5854" s="1"/>
      <c r="N5854" s="1"/>
    </row>
    <row r="5855" spans="7:14" x14ac:dyDescent="0.3">
      <c r="G5855" s="1"/>
      <c r="N5855" s="1"/>
    </row>
    <row r="5856" spans="7:14" x14ac:dyDescent="0.3">
      <c r="G5856" s="1"/>
      <c r="N5856" s="1"/>
    </row>
    <row r="5857" spans="7:14" x14ac:dyDescent="0.3">
      <c r="G5857" s="1"/>
      <c r="N5857" s="1"/>
    </row>
    <row r="5858" spans="7:14" x14ac:dyDescent="0.3">
      <c r="G5858" s="1"/>
      <c r="N5858" s="1"/>
    </row>
    <row r="5859" spans="7:14" x14ac:dyDescent="0.3">
      <c r="G5859" s="1"/>
      <c r="N5859" s="1"/>
    </row>
    <row r="5860" spans="7:14" x14ac:dyDescent="0.3">
      <c r="G5860" s="1"/>
      <c r="N5860" s="1"/>
    </row>
    <row r="5861" spans="7:14" x14ac:dyDescent="0.3">
      <c r="G5861" s="1"/>
      <c r="N5861" s="1"/>
    </row>
    <row r="5862" spans="7:14" x14ac:dyDescent="0.3">
      <c r="G5862" s="1"/>
      <c r="N5862" s="1"/>
    </row>
    <row r="5863" spans="7:14" x14ac:dyDescent="0.3">
      <c r="G5863" s="1"/>
      <c r="N5863" s="1"/>
    </row>
    <row r="5864" spans="7:14" x14ac:dyDescent="0.3">
      <c r="G5864" s="1"/>
      <c r="N5864" s="1"/>
    </row>
    <row r="5865" spans="7:14" x14ac:dyDescent="0.3">
      <c r="G5865" s="1"/>
      <c r="N5865" s="1"/>
    </row>
    <row r="5866" spans="7:14" x14ac:dyDescent="0.3">
      <c r="G5866" s="1"/>
      <c r="N5866" s="1"/>
    </row>
    <row r="5867" spans="7:14" x14ac:dyDescent="0.3">
      <c r="G5867" s="1"/>
      <c r="N5867" s="1"/>
    </row>
    <row r="5868" spans="7:14" x14ac:dyDescent="0.3">
      <c r="G5868" s="1"/>
      <c r="N5868" s="1"/>
    </row>
    <row r="5869" spans="7:14" x14ac:dyDescent="0.3">
      <c r="G5869" s="1"/>
      <c r="N5869" s="1"/>
    </row>
    <row r="5870" spans="7:14" x14ac:dyDescent="0.3">
      <c r="G5870" s="1"/>
      <c r="N5870" s="1"/>
    </row>
    <row r="5871" spans="7:14" x14ac:dyDescent="0.3">
      <c r="G5871" s="1"/>
      <c r="N5871" s="1"/>
    </row>
    <row r="5872" spans="7:14" x14ac:dyDescent="0.3">
      <c r="G5872" s="1"/>
      <c r="N5872" s="1"/>
    </row>
    <row r="5873" spans="7:14" x14ac:dyDescent="0.3">
      <c r="G5873" s="1"/>
      <c r="N5873" s="1"/>
    </row>
    <row r="5874" spans="7:14" x14ac:dyDescent="0.3">
      <c r="G5874" s="1"/>
      <c r="N5874" s="1"/>
    </row>
    <row r="5875" spans="7:14" x14ac:dyDescent="0.3">
      <c r="G5875" s="1"/>
      <c r="N5875" s="1"/>
    </row>
    <row r="5876" spans="7:14" x14ac:dyDescent="0.3">
      <c r="G5876" s="1"/>
      <c r="N5876" s="1"/>
    </row>
    <row r="5877" spans="7:14" x14ac:dyDescent="0.3">
      <c r="G5877" s="1"/>
      <c r="N5877" s="1"/>
    </row>
    <row r="5878" spans="7:14" x14ac:dyDescent="0.3">
      <c r="G5878" s="1"/>
      <c r="N5878" s="1"/>
    </row>
    <row r="5879" spans="7:14" x14ac:dyDescent="0.3">
      <c r="G5879" s="1"/>
      <c r="N5879" s="1"/>
    </row>
    <row r="5880" spans="7:14" x14ac:dyDescent="0.3">
      <c r="G5880" s="1"/>
      <c r="N5880" s="1"/>
    </row>
    <row r="5881" spans="7:14" x14ac:dyDescent="0.3">
      <c r="G5881" s="1"/>
      <c r="N5881" s="1"/>
    </row>
    <row r="5882" spans="7:14" x14ac:dyDescent="0.3">
      <c r="G5882" s="1"/>
      <c r="N5882" s="1"/>
    </row>
    <row r="5883" spans="7:14" x14ac:dyDescent="0.3">
      <c r="G5883" s="1"/>
      <c r="N5883" s="1"/>
    </row>
    <row r="5884" spans="7:14" x14ac:dyDescent="0.3">
      <c r="G5884" s="1"/>
      <c r="N5884" s="1"/>
    </row>
    <row r="5885" spans="7:14" x14ac:dyDescent="0.3">
      <c r="G5885" s="1"/>
      <c r="N5885" s="1"/>
    </row>
    <row r="5886" spans="7:14" x14ac:dyDescent="0.3">
      <c r="G5886" s="1"/>
      <c r="N5886" s="1"/>
    </row>
    <row r="5887" spans="7:14" x14ac:dyDescent="0.3">
      <c r="G5887" s="1"/>
      <c r="N5887" s="1"/>
    </row>
    <row r="5888" spans="7:14" x14ac:dyDescent="0.3">
      <c r="G5888" s="1"/>
      <c r="N5888" s="1"/>
    </row>
    <row r="5889" spans="7:14" x14ac:dyDescent="0.3">
      <c r="G5889" s="1"/>
      <c r="N5889" s="1"/>
    </row>
    <row r="5890" spans="7:14" x14ac:dyDescent="0.3">
      <c r="G5890" s="1"/>
      <c r="N5890" s="1"/>
    </row>
    <row r="5891" spans="7:14" x14ac:dyDescent="0.3">
      <c r="G5891" s="1"/>
      <c r="N5891" s="1"/>
    </row>
    <row r="5892" spans="7:14" x14ac:dyDescent="0.3">
      <c r="G5892" s="1"/>
      <c r="N5892" s="1"/>
    </row>
    <row r="5893" spans="7:14" x14ac:dyDescent="0.3">
      <c r="G5893" s="1"/>
      <c r="N5893" s="1"/>
    </row>
    <row r="5894" spans="7:14" x14ac:dyDescent="0.3">
      <c r="G5894" s="1"/>
      <c r="N5894" s="1"/>
    </row>
    <row r="5895" spans="7:14" x14ac:dyDescent="0.3">
      <c r="G5895" s="1"/>
      <c r="N5895" s="1"/>
    </row>
    <row r="5896" spans="7:14" x14ac:dyDescent="0.3">
      <c r="G5896" s="1"/>
      <c r="N5896" s="1"/>
    </row>
    <row r="5897" spans="7:14" x14ac:dyDescent="0.3">
      <c r="G5897" s="1"/>
      <c r="N5897" s="1"/>
    </row>
    <row r="5898" spans="7:14" x14ac:dyDescent="0.3">
      <c r="G5898" s="1"/>
      <c r="N5898" s="1"/>
    </row>
    <row r="5899" spans="7:14" x14ac:dyDescent="0.3">
      <c r="G5899" s="1"/>
      <c r="N5899" s="1"/>
    </row>
    <row r="5900" spans="7:14" x14ac:dyDescent="0.3">
      <c r="G5900" s="1"/>
      <c r="N5900" s="1"/>
    </row>
    <row r="5901" spans="7:14" x14ac:dyDescent="0.3">
      <c r="G5901" s="1"/>
      <c r="N5901" s="1"/>
    </row>
    <row r="5902" spans="7:14" x14ac:dyDescent="0.3">
      <c r="G5902" s="1"/>
      <c r="N5902" s="1"/>
    </row>
    <row r="5903" spans="7:14" x14ac:dyDescent="0.3">
      <c r="G5903" s="1"/>
      <c r="N5903" s="1"/>
    </row>
    <row r="5904" spans="7:14" x14ac:dyDescent="0.3">
      <c r="G5904" s="1"/>
      <c r="N5904" s="1"/>
    </row>
    <row r="5905" spans="7:14" x14ac:dyDescent="0.3">
      <c r="G5905" s="1"/>
      <c r="N5905" s="1"/>
    </row>
    <row r="5906" spans="7:14" x14ac:dyDescent="0.3">
      <c r="G5906" s="1"/>
      <c r="N5906" s="1"/>
    </row>
    <row r="5907" spans="7:14" x14ac:dyDescent="0.3">
      <c r="G5907" s="1"/>
      <c r="N5907" s="1"/>
    </row>
    <row r="5908" spans="7:14" x14ac:dyDescent="0.3">
      <c r="G5908" s="1"/>
      <c r="N5908" s="1"/>
    </row>
    <row r="5909" spans="7:14" x14ac:dyDescent="0.3">
      <c r="G5909" s="1"/>
      <c r="N5909" s="1"/>
    </row>
    <row r="5910" spans="7:14" x14ac:dyDescent="0.3">
      <c r="G5910" s="1"/>
      <c r="N5910" s="1"/>
    </row>
    <row r="5911" spans="7:14" x14ac:dyDescent="0.3">
      <c r="G5911" s="1"/>
      <c r="N5911" s="1"/>
    </row>
    <row r="5912" spans="7:14" x14ac:dyDescent="0.3">
      <c r="G5912" s="1"/>
      <c r="N5912" s="1"/>
    </row>
    <row r="5913" spans="7:14" x14ac:dyDescent="0.3">
      <c r="G5913" s="1"/>
      <c r="N5913" s="1"/>
    </row>
    <row r="5914" spans="7:14" x14ac:dyDescent="0.3">
      <c r="G5914" s="1"/>
      <c r="N5914" s="1"/>
    </row>
    <row r="5915" spans="7:14" x14ac:dyDescent="0.3">
      <c r="G5915" s="1"/>
      <c r="N5915" s="1"/>
    </row>
    <row r="5916" spans="7:14" x14ac:dyDescent="0.3">
      <c r="G5916" s="1"/>
      <c r="N5916" s="1"/>
    </row>
    <row r="5917" spans="7:14" x14ac:dyDescent="0.3">
      <c r="G5917" s="1"/>
      <c r="N5917" s="1"/>
    </row>
    <row r="5918" spans="7:14" x14ac:dyDescent="0.3">
      <c r="G5918" s="1"/>
      <c r="N5918" s="1"/>
    </row>
    <row r="5919" spans="7:14" x14ac:dyDescent="0.3">
      <c r="G5919" s="1"/>
      <c r="N5919" s="1"/>
    </row>
    <row r="5920" spans="7:14" x14ac:dyDescent="0.3">
      <c r="G5920" s="1"/>
      <c r="N5920" s="1"/>
    </row>
    <row r="5921" spans="7:14" x14ac:dyDescent="0.3">
      <c r="G5921" s="1"/>
      <c r="N5921" s="1"/>
    </row>
    <row r="5922" spans="7:14" x14ac:dyDescent="0.3">
      <c r="G5922" s="1"/>
      <c r="N5922" s="1"/>
    </row>
    <row r="5923" spans="7:14" x14ac:dyDescent="0.3">
      <c r="G5923" s="1"/>
      <c r="N5923" s="1"/>
    </row>
    <row r="5924" spans="7:14" x14ac:dyDescent="0.3">
      <c r="G5924" s="1"/>
      <c r="N5924" s="1"/>
    </row>
    <row r="5925" spans="7:14" x14ac:dyDescent="0.3">
      <c r="G5925" s="1"/>
      <c r="N5925" s="1"/>
    </row>
    <row r="5926" spans="7:14" x14ac:dyDescent="0.3">
      <c r="G5926" s="1"/>
      <c r="N5926" s="1"/>
    </row>
    <row r="5927" spans="7:14" x14ac:dyDescent="0.3">
      <c r="G5927" s="1"/>
      <c r="N5927" s="1"/>
    </row>
    <row r="5928" spans="7:14" x14ac:dyDescent="0.3">
      <c r="G5928" s="1"/>
      <c r="N5928" s="1"/>
    </row>
    <row r="5929" spans="7:14" x14ac:dyDescent="0.3">
      <c r="G5929" s="1"/>
      <c r="N5929" s="1"/>
    </row>
    <row r="5930" spans="7:14" x14ac:dyDescent="0.3">
      <c r="G5930" s="1"/>
      <c r="N5930" s="1"/>
    </row>
    <row r="5931" spans="7:14" x14ac:dyDescent="0.3">
      <c r="G5931" s="1"/>
      <c r="N5931" s="1"/>
    </row>
    <row r="5932" spans="7:14" x14ac:dyDescent="0.3">
      <c r="G5932" s="1"/>
      <c r="N5932" s="1"/>
    </row>
    <row r="5933" spans="7:14" x14ac:dyDescent="0.3">
      <c r="G5933" s="1"/>
      <c r="N5933" s="1"/>
    </row>
    <row r="5934" spans="7:14" x14ac:dyDescent="0.3">
      <c r="G5934" s="1"/>
      <c r="N5934" s="1"/>
    </row>
    <row r="5935" spans="7:14" x14ac:dyDescent="0.3">
      <c r="G5935" s="1"/>
      <c r="N5935" s="1"/>
    </row>
    <row r="5936" spans="7:14" x14ac:dyDescent="0.3">
      <c r="G5936" s="1"/>
      <c r="N5936" s="1"/>
    </row>
    <row r="5937" spans="7:14" x14ac:dyDescent="0.3">
      <c r="G5937" s="1"/>
      <c r="N5937" s="1"/>
    </row>
    <row r="5938" spans="7:14" x14ac:dyDescent="0.3">
      <c r="G5938" s="1"/>
      <c r="N5938" s="1"/>
    </row>
    <row r="5939" spans="7:14" x14ac:dyDescent="0.3">
      <c r="G5939" s="1"/>
      <c r="N5939" s="1"/>
    </row>
    <row r="5940" spans="7:14" x14ac:dyDescent="0.3">
      <c r="G5940" s="1"/>
      <c r="N5940" s="1"/>
    </row>
    <row r="5941" spans="7:14" x14ac:dyDescent="0.3">
      <c r="G5941" s="1"/>
      <c r="N5941" s="1"/>
    </row>
    <row r="5942" spans="7:14" x14ac:dyDescent="0.3">
      <c r="G5942" s="1"/>
      <c r="N5942" s="1"/>
    </row>
    <row r="5943" spans="7:14" x14ac:dyDescent="0.3">
      <c r="G5943" s="1"/>
      <c r="N5943" s="1"/>
    </row>
    <row r="5944" spans="7:14" x14ac:dyDescent="0.3">
      <c r="G5944" s="1"/>
      <c r="N5944" s="1"/>
    </row>
    <row r="5945" spans="7:14" x14ac:dyDescent="0.3">
      <c r="G5945" s="1"/>
      <c r="N5945" s="1"/>
    </row>
    <row r="5946" spans="7:14" x14ac:dyDescent="0.3">
      <c r="G5946" s="1"/>
      <c r="N5946" s="1"/>
    </row>
    <row r="5947" spans="7:14" x14ac:dyDescent="0.3">
      <c r="G5947" s="1"/>
      <c r="N5947" s="1"/>
    </row>
    <row r="5948" spans="7:14" x14ac:dyDescent="0.3">
      <c r="G5948" s="1"/>
      <c r="N5948" s="1"/>
    </row>
    <row r="5949" spans="7:14" x14ac:dyDescent="0.3">
      <c r="G5949" s="1"/>
      <c r="N5949" s="1"/>
    </row>
    <row r="5950" spans="7:14" x14ac:dyDescent="0.3">
      <c r="G5950" s="1"/>
      <c r="N5950" s="1"/>
    </row>
    <row r="5951" spans="7:14" x14ac:dyDescent="0.3">
      <c r="G5951" s="1"/>
      <c r="N5951" s="1"/>
    </row>
    <row r="5952" spans="7:14" x14ac:dyDescent="0.3">
      <c r="G5952" s="1"/>
      <c r="N5952" s="1"/>
    </row>
    <row r="5953" spans="7:14" x14ac:dyDescent="0.3">
      <c r="G5953" s="1"/>
      <c r="N5953" s="1"/>
    </row>
    <row r="5954" spans="7:14" x14ac:dyDescent="0.3">
      <c r="G5954" s="1"/>
      <c r="N5954" s="1"/>
    </row>
    <row r="5955" spans="7:14" x14ac:dyDescent="0.3">
      <c r="G5955" s="1"/>
      <c r="N5955" s="1"/>
    </row>
    <row r="5956" spans="7:14" x14ac:dyDescent="0.3">
      <c r="G5956" s="1"/>
      <c r="N5956" s="1"/>
    </row>
    <row r="5957" spans="7:14" x14ac:dyDescent="0.3">
      <c r="G5957" s="1"/>
      <c r="N5957" s="1"/>
    </row>
    <row r="5958" spans="7:14" x14ac:dyDescent="0.3">
      <c r="G5958" s="1"/>
      <c r="N5958" s="1"/>
    </row>
    <row r="5959" spans="7:14" x14ac:dyDescent="0.3">
      <c r="G5959" s="1"/>
      <c r="N5959" s="1"/>
    </row>
    <row r="5960" spans="7:14" x14ac:dyDescent="0.3">
      <c r="G5960" s="1"/>
      <c r="N5960" s="1"/>
    </row>
    <row r="5961" spans="7:14" x14ac:dyDescent="0.3">
      <c r="G5961" s="1"/>
      <c r="N5961" s="1"/>
    </row>
    <row r="5962" spans="7:14" x14ac:dyDescent="0.3">
      <c r="G5962" s="1"/>
      <c r="N5962" s="1"/>
    </row>
    <row r="5963" spans="7:14" x14ac:dyDescent="0.3">
      <c r="G5963" s="1"/>
      <c r="N5963" s="1"/>
    </row>
    <row r="5964" spans="7:14" x14ac:dyDescent="0.3">
      <c r="G5964" s="1"/>
      <c r="N5964" s="1"/>
    </row>
    <row r="5965" spans="7:14" x14ac:dyDescent="0.3">
      <c r="G5965" s="1"/>
      <c r="N5965" s="1"/>
    </row>
    <row r="5966" spans="7:14" x14ac:dyDescent="0.3">
      <c r="G5966" s="1"/>
      <c r="N5966" s="1"/>
    </row>
    <row r="5967" spans="7:14" x14ac:dyDescent="0.3">
      <c r="G5967" s="1"/>
      <c r="N5967" s="1"/>
    </row>
    <row r="5968" spans="7:14" x14ac:dyDescent="0.3">
      <c r="G5968" s="1"/>
      <c r="N5968" s="1"/>
    </row>
    <row r="5969" spans="7:14" x14ac:dyDescent="0.3">
      <c r="G5969" s="1"/>
      <c r="N5969" s="1"/>
    </row>
    <row r="5970" spans="7:14" x14ac:dyDescent="0.3">
      <c r="G5970" s="1"/>
      <c r="N5970" s="1"/>
    </row>
    <row r="5971" spans="7:14" x14ac:dyDescent="0.3">
      <c r="G5971" s="1"/>
      <c r="N5971" s="1"/>
    </row>
    <row r="5972" spans="7:14" x14ac:dyDescent="0.3">
      <c r="G5972" s="1"/>
      <c r="N5972" s="1"/>
    </row>
    <row r="5973" spans="7:14" x14ac:dyDescent="0.3">
      <c r="G5973" s="1"/>
      <c r="N5973" s="1"/>
    </row>
    <row r="5974" spans="7:14" x14ac:dyDescent="0.3">
      <c r="G5974" s="1"/>
      <c r="N5974" s="1"/>
    </row>
    <row r="5975" spans="7:14" x14ac:dyDescent="0.3">
      <c r="G5975" s="1"/>
      <c r="N5975" s="1"/>
    </row>
    <row r="5976" spans="7:14" x14ac:dyDescent="0.3">
      <c r="G5976" s="1"/>
      <c r="N5976" s="1"/>
    </row>
    <row r="5977" spans="7:14" x14ac:dyDescent="0.3">
      <c r="G5977" s="1"/>
      <c r="N5977" s="1"/>
    </row>
    <row r="5978" spans="7:14" x14ac:dyDescent="0.3">
      <c r="G5978" s="1"/>
      <c r="N5978" s="1"/>
    </row>
    <row r="5979" spans="7:14" x14ac:dyDescent="0.3">
      <c r="G5979" s="1"/>
      <c r="N5979" s="1"/>
    </row>
    <row r="5980" spans="7:14" x14ac:dyDescent="0.3">
      <c r="G5980" s="1"/>
      <c r="N5980" s="1"/>
    </row>
    <row r="5981" spans="7:14" x14ac:dyDescent="0.3">
      <c r="G5981" s="1"/>
      <c r="N5981" s="1"/>
    </row>
    <row r="5982" spans="7:14" x14ac:dyDescent="0.3">
      <c r="G5982" s="1"/>
      <c r="N5982" s="1"/>
    </row>
    <row r="5983" spans="7:14" x14ac:dyDescent="0.3">
      <c r="G5983" s="1"/>
      <c r="N5983" s="1"/>
    </row>
    <row r="5984" spans="7:14" x14ac:dyDescent="0.3">
      <c r="G5984" s="1"/>
      <c r="N5984" s="1"/>
    </row>
    <row r="5985" spans="7:14" x14ac:dyDescent="0.3">
      <c r="G5985" s="1"/>
      <c r="N5985" s="1"/>
    </row>
    <row r="5986" spans="7:14" x14ac:dyDescent="0.3">
      <c r="G5986" s="1"/>
      <c r="N5986" s="1"/>
    </row>
    <row r="5987" spans="7:14" x14ac:dyDescent="0.3">
      <c r="G5987" s="1"/>
      <c r="N5987" s="1"/>
    </row>
    <row r="5988" spans="7:14" x14ac:dyDescent="0.3">
      <c r="G5988" s="1"/>
      <c r="N5988" s="1"/>
    </row>
    <row r="5989" spans="7:14" x14ac:dyDescent="0.3">
      <c r="G5989" s="1"/>
      <c r="N5989" s="1"/>
    </row>
    <row r="5990" spans="7:14" x14ac:dyDescent="0.3">
      <c r="G5990" s="1"/>
      <c r="N5990" s="1"/>
    </row>
    <row r="5991" spans="7:14" x14ac:dyDescent="0.3">
      <c r="G5991" s="1"/>
      <c r="N5991" s="1"/>
    </row>
    <row r="5992" spans="7:14" x14ac:dyDescent="0.3">
      <c r="G5992" s="1"/>
      <c r="N5992" s="1"/>
    </row>
    <row r="5993" spans="7:14" x14ac:dyDescent="0.3">
      <c r="G5993" s="1"/>
      <c r="N5993" s="1"/>
    </row>
    <row r="5994" spans="7:14" x14ac:dyDescent="0.3">
      <c r="G5994" s="1"/>
      <c r="N5994" s="1"/>
    </row>
    <row r="5995" spans="7:14" x14ac:dyDescent="0.3">
      <c r="G5995" s="1"/>
      <c r="N5995" s="1"/>
    </row>
    <row r="5996" spans="7:14" x14ac:dyDescent="0.3">
      <c r="G5996" s="1"/>
      <c r="N5996" s="1"/>
    </row>
    <row r="5997" spans="7:14" x14ac:dyDescent="0.3">
      <c r="G5997" s="1"/>
      <c r="N5997" s="1"/>
    </row>
    <row r="5998" spans="7:14" x14ac:dyDescent="0.3">
      <c r="G5998" s="1"/>
      <c r="N5998" s="1"/>
    </row>
    <row r="5999" spans="7:14" x14ac:dyDescent="0.3">
      <c r="G5999" s="1"/>
      <c r="N5999" s="1"/>
    </row>
    <row r="6000" spans="7:14" x14ac:dyDescent="0.3">
      <c r="G6000" s="1"/>
      <c r="N6000" s="1"/>
    </row>
    <row r="6001" spans="7:14" x14ac:dyDescent="0.3">
      <c r="G6001" s="1"/>
      <c r="N6001" s="1"/>
    </row>
    <row r="6002" spans="7:14" x14ac:dyDescent="0.3">
      <c r="G6002" s="1"/>
      <c r="N6002" s="1"/>
    </row>
    <row r="6003" spans="7:14" x14ac:dyDescent="0.3">
      <c r="G6003" s="1"/>
      <c r="N6003" s="1"/>
    </row>
    <row r="6004" spans="7:14" x14ac:dyDescent="0.3">
      <c r="G6004" s="1"/>
      <c r="N6004" s="1"/>
    </row>
    <row r="6005" spans="7:14" x14ac:dyDescent="0.3">
      <c r="G6005" s="1"/>
      <c r="N6005" s="1"/>
    </row>
    <row r="6006" spans="7:14" x14ac:dyDescent="0.3">
      <c r="G6006" s="1"/>
      <c r="N6006" s="1"/>
    </row>
    <row r="6007" spans="7:14" x14ac:dyDescent="0.3">
      <c r="G6007" s="1"/>
      <c r="N6007" s="1"/>
    </row>
    <row r="6008" spans="7:14" x14ac:dyDescent="0.3">
      <c r="G6008" s="1"/>
      <c r="N6008" s="1"/>
    </row>
    <row r="6009" spans="7:14" x14ac:dyDescent="0.3">
      <c r="G6009" s="1"/>
      <c r="N6009" s="1"/>
    </row>
    <row r="6010" spans="7:14" x14ac:dyDescent="0.3">
      <c r="G6010" s="1"/>
      <c r="N6010" s="1"/>
    </row>
    <row r="6011" spans="7:14" x14ac:dyDescent="0.3">
      <c r="G6011" s="1"/>
      <c r="N6011" s="1"/>
    </row>
    <row r="6012" spans="7:14" x14ac:dyDescent="0.3">
      <c r="G6012" s="1"/>
      <c r="N6012" s="1"/>
    </row>
    <row r="6013" spans="7:14" x14ac:dyDescent="0.3">
      <c r="G6013" s="1"/>
      <c r="N6013" s="1"/>
    </row>
    <row r="6014" spans="7:14" x14ac:dyDescent="0.3">
      <c r="G6014" s="1"/>
      <c r="N6014" s="1"/>
    </row>
    <row r="6015" spans="7:14" x14ac:dyDescent="0.3">
      <c r="G6015" s="1"/>
      <c r="N6015" s="1"/>
    </row>
    <row r="6016" spans="7:14" x14ac:dyDescent="0.3">
      <c r="G6016" s="1"/>
      <c r="N6016" s="1"/>
    </row>
    <row r="6017" spans="7:14" x14ac:dyDescent="0.3">
      <c r="G6017" s="1"/>
      <c r="N6017" s="1"/>
    </row>
    <row r="6018" spans="7:14" x14ac:dyDescent="0.3">
      <c r="G6018" s="1"/>
      <c r="N6018" s="1"/>
    </row>
    <row r="6019" spans="7:14" x14ac:dyDescent="0.3">
      <c r="G6019" s="1"/>
      <c r="N6019" s="1"/>
    </row>
    <row r="6020" spans="7:14" x14ac:dyDescent="0.3">
      <c r="G6020" s="1"/>
      <c r="N6020" s="1"/>
    </row>
    <row r="6021" spans="7:14" x14ac:dyDescent="0.3">
      <c r="G6021" s="1"/>
      <c r="N6021" s="1"/>
    </row>
    <row r="6022" spans="7:14" x14ac:dyDescent="0.3">
      <c r="G6022" s="1"/>
      <c r="N6022" s="1"/>
    </row>
    <row r="6023" spans="7:14" x14ac:dyDescent="0.3">
      <c r="G6023" s="1"/>
      <c r="N6023" s="1"/>
    </row>
    <row r="6024" spans="7:14" x14ac:dyDescent="0.3">
      <c r="G6024" s="1"/>
      <c r="N6024" s="1"/>
    </row>
    <row r="6025" spans="7:14" x14ac:dyDescent="0.3">
      <c r="G6025" s="1"/>
      <c r="N6025" s="1"/>
    </row>
    <row r="6026" spans="7:14" x14ac:dyDescent="0.3">
      <c r="G6026" s="1"/>
      <c r="N6026" s="1"/>
    </row>
    <row r="6027" spans="7:14" x14ac:dyDescent="0.3">
      <c r="G6027" s="1"/>
      <c r="N6027" s="1"/>
    </row>
    <row r="6028" spans="7:14" x14ac:dyDescent="0.3">
      <c r="G6028" s="1"/>
      <c r="N6028" s="1"/>
    </row>
    <row r="6029" spans="7:14" x14ac:dyDescent="0.3">
      <c r="G6029" s="1"/>
      <c r="N6029" s="1"/>
    </row>
    <row r="6030" spans="7:14" x14ac:dyDescent="0.3">
      <c r="G6030" s="1"/>
      <c r="N6030" s="1"/>
    </row>
    <row r="6031" spans="7:14" x14ac:dyDescent="0.3">
      <c r="G6031" s="1"/>
      <c r="N6031" s="1"/>
    </row>
    <row r="6032" spans="7:14" x14ac:dyDescent="0.3">
      <c r="G6032" s="1"/>
      <c r="N6032" s="1"/>
    </row>
    <row r="6033" spans="7:14" x14ac:dyDescent="0.3">
      <c r="G6033" s="1"/>
      <c r="N6033" s="1"/>
    </row>
    <row r="6034" spans="7:14" x14ac:dyDescent="0.3">
      <c r="G6034" s="1"/>
      <c r="N6034" s="1"/>
    </row>
    <row r="6035" spans="7:14" x14ac:dyDescent="0.3">
      <c r="G6035" s="1"/>
      <c r="N6035" s="1"/>
    </row>
    <row r="6036" spans="7:14" x14ac:dyDescent="0.3">
      <c r="G6036" s="1"/>
      <c r="N6036" s="1"/>
    </row>
    <row r="6037" spans="7:14" x14ac:dyDescent="0.3">
      <c r="G6037" s="1"/>
      <c r="N6037" s="1"/>
    </row>
    <row r="6038" spans="7:14" x14ac:dyDescent="0.3">
      <c r="G6038" s="1"/>
      <c r="N6038" s="1"/>
    </row>
    <row r="6039" spans="7:14" x14ac:dyDescent="0.3">
      <c r="G6039" s="1"/>
      <c r="N6039" s="1"/>
    </row>
    <row r="6040" spans="7:14" x14ac:dyDescent="0.3">
      <c r="G6040" s="1"/>
      <c r="N6040" s="1"/>
    </row>
    <row r="6041" spans="7:14" x14ac:dyDescent="0.3">
      <c r="G6041" s="1"/>
      <c r="N6041" s="1"/>
    </row>
    <row r="6042" spans="7:14" x14ac:dyDescent="0.3">
      <c r="G6042" s="1"/>
      <c r="N6042" s="1"/>
    </row>
    <row r="6043" spans="7:14" x14ac:dyDescent="0.3">
      <c r="G6043" s="1"/>
      <c r="N6043" s="1"/>
    </row>
    <row r="6044" spans="7:14" x14ac:dyDescent="0.3">
      <c r="G6044" s="1"/>
      <c r="N6044" s="1"/>
    </row>
    <row r="6045" spans="7:14" x14ac:dyDescent="0.3">
      <c r="G6045" s="1"/>
      <c r="N6045" s="1"/>
    </row>
    <row r="6046" spans="7:14" x14ac:dyDescent="0.3">
      <c r="G6046" s="1"/>
      <c r="N6046" s="1"/>
    </row>
    <row r="6047" spans="7:14" x14ac:dyDescent="0.3">
      <c r="G6047" s="1"/>
      <c r="N6047" s="1"/>
    </row>
    <row r="6048" spans="7:14" x14ac:dyDescent="0.3">
      <c r="G6048" s="1"/>
      <c r="N6048" s="1"/>
    </row>
    <row r="6049" spans="7:14" x14ac:dyDescent="0.3">
      <c r="G6049" s="1"/>
      <c r="N6049" s="1"/>
    </row>
    <row r="6050" spans="7:14" x14ac:dyDescent="0.3">
      <c r="G6050" s="1"/>
      <c r="N6050" s="1"/>
    </row>
    <row r="6051" spans="7:14" x14ac:dyDescent="0.3">
      <c r="G6051" s="1"/>
      <c r="N6051" s="1"/>
    </row>
    <row r="6052" spans="7:14" x14ac:dyDescent="0.3">
      <c r="G6052" s="1"/>
      <c r="N6052" s="1"/>
    </row>
    <row r="6053" spans="7:14" x14ac:dyDescent="0.3">
      <c r="G6053" s="1"/>
      <c r="N6053" s="1"/>
    </row>
    <row r="6054" spans="7:14" x14ac:dyDescent="0.3">
      <c r="G6054" s="1"/>
      <c r="N6054" s="1"/>
    </row>
    <row r="6055" spans="7:14" x14ac:dyDescent="0.3">
      <c r="G6055" s="1"/>
      <c r="N6055" s="1"/>
    </row>
    <row r="6056" spans="7:14" x14ac:dyDescent="0.3">
      <c r="G6056" s="1"/>
      <c r="N6056" s="1"/>
    </row>
    <row r="6057" spans="7:14" x14ac:dyDescent="0.3">
      <c r="G6057" s="1"/>
      <c r="N6057" s="1"/>
    </row>
    <row r="6058" spans="7:14" x14ac:dyDescent="0.3">
      <c r="G6058" s="1"/>
      <c r="N6058" s="1"/>
    </row>
    <row r="6059" spans="7:14" x14ac:dyDescent="0.3">
      <c r="G6059" s="1"/>
      <c r="N6059" s="1"/>
    </row>
    <row r="6060" spans="7:14" x14ac:dyDescent="0.3">
      <c r="G6060" s="1"/>
      <c r="N6060" s="1"/>
    </row>
    <row r="6061" spans="7:14" x14ac:dyDescent="0.3">
      <c r="G6061" s="1"/>
      <c r="N6061" s="1"/>
    </row>
    <row r="6062" spans="7:14" x14ac:dyDescent="0.3">
      <c r="G6062" s="1"/>
      <c r="N6062" s="1"/>
    </row>
    <row r="6063" spans="7:14" x14ac:dyDescent="0.3">
      <c r="G6063" s="1"/>
      <c r="N6063" s="1"/>
    </row>
    <row r="6064" spans="7:14" x14ac:dyDescent="0.3">
      <c r="G6064" s="1"/>
      <c r="N6064" s="1"/>
    </row>
    <row r="6065" spans="7:14" x14ac:dyDescent="0.3">
      <c r="G6065" s="1"/>
      <c r="N6065" s="1"/>
    </row>
    <row r="6066" spans="7:14" x14ac:dyDescent="0.3">
      <c r="G6066" s="1"/>
      <c r="N6066" s="1"/>
    </row>
    <row r="6067" spans="7:14" x14ac:dyDescent="0.3">
      <c r="G6067" s="1"/>
      <c r="N6067" s="1"/>
    </row>
    <row r="6068" spans="7:14" x14ac:dyDescent="0.3">
      <c r="G6068" s="1"/>
      <c r="N6068" s="1"/>
    </row>
    <row r="6069" spans="7:14" x14ac:dyDescent="0.3">
      <c r="G6069" s="1"/>
      <c r="N6069" s="1"/>
    </row>
    <row r="6070" spans="7:14" x14ac:dyDescent="0.3">
      <c r="G6070" s="1"/>
      <c r="N6070" s="1"/>
    </row>
    <row r="6071" spans="7:14" x14ac:dyDescent="0.3">
      <c r="G6071" s="1"/>
      <c r="N6071" s="1"/>
    </row>
    <row r="6072" spans="7:14" x14ac:dyDescent="0.3">
      <c r="G6072" s="1"/>
      <c r="N6072" s="1"/>
    </row>
    <row r="6073" spans="7:14" x14ac:dyDescent="0.3">
      <c r="G6073" s="1"/>
      <c r="N6073" s="1"/>
    </row>
    <row r="6074" spans="7:14" x14ac:dyDescent="0.3">
      <c r="G6074" s="1"/>
      <c r="N6074" s="1"/>
    </row>
    <row r="6075" spans="7:14" x14ac:dyDescent="0.3">
      <c r="G6075" s="1"/>
      <c r="N6075" s="1"/>
    </row>
    <row r="6076" spans="7:14" x14ac:dyDescent="0.3">
      <c r="G6076" s="1"/>
      <c r="N6076" s="1"/>
    </row>
    <row r="6077" spans="7:14" x14ac:dyDescent="0.3">
      <c r="G6077" s="1"/>
      <c r="N6077" s="1"/>
    </row>
    <row r="6078" spans="7:14" x14ac:dyDescent="0.3">
      <c r="G6078" s="1"/>
      <c r="N6078" s="1"/>
    </row>
    <row r="6079" spans="7:14" x14ac:dyDescent="0.3">
      <c r="G6079" s="1"/>
      <c r="N6079" s="1"/>
    </row>
    <row r="6080" spans="7:14" x14ac:dyDescent="0.3">
      <c r="G6080" s="1"/>
      <c r="N6080" s="1"/>
    </row>
    <row r="6081" spans="7:14" x14ac:dyDescent="0.3">
      <c r="G6081" s="1"/>
      <c r="N6081" s="1"/>
    </row>
    <row r="6082" spans="7:14" x14ac:dyDescent="0.3">
      <c r="G6082" s="1"/>
      <c r="N6082" s="1"/>
    </row>
    <row r="6083" spans="7:14" x14ac:dyDescent="0.3">
      <c r="G6083" s="1"/>
      <c r="N6083" s="1"/>
    </row>
    <row r="6084" spans="7:14" x14ac:dyDescent="0.3">
      <c r="G6084" s="1"/>
      <c r="N6084" s="1"/>
    </row>
    <row r="6085" spans="7:14" x14ac:dyDescent="0.3">
      <c r="G6085" s="1"/>
      <c r="N6085" s="1"/>
    </row>
    <row r="6086" spans="7:14" x14ac:dyDescent="0.3">
      <c r="G6086" s="1"/>
      <c r="N6086" s="1"/>
    </row>
    <row r="6087" spans="7:14" x14ac:dyDescent="0.3">
      <c r="G6087" s="1"/>
      <c r="N6087" s="1"/>
    </row>
    <row r="6088" spans="7:14" x14ac:dyDescent="0.3">
      <c r="G6088" s="1"/>
      <c r="N6088" s="1"/>
    </row>
    <row r="6089" spans="7:14" x14ac:dyDescent="0.3">
      <c r="G6089" s="1"/>
      <c r="N6089" s="1"/>
    </row>
    <row r="6090" spans="7:14" x14ac:dyDescent="0.3">
      <c r="G6090" s="1"/>
      <c r="N6090" s="1"/>
    </row>
    <row r="6091" spans="7:14" x14ac:dyDescent="0.3">
      <c r="G6091" s="1"/>
      <c r="N6091" s="1"/>
    </row>
    <row r="6092" spans="7:14" x14ac:dyDescent="0.3">
      <c r="G6092" s="1"/>
      <c r="N6092" s="1"/>
    </row>
    <row r="6093" spans="7:14" x14ac:dyDescent="0.3">
      <c r="G6093" s="1"/>
      <c r="N6093" s="1"/>
    </row>
    <row r="6094" spans="7:14" x14ac:dyDescent="0.3">
      <c r="G6094" s="1"/>
      <c r="N6094" s="1"/>
    </row>
    <row r="6095" spans="7:14" x14ac:dyDescent="0.3">
      <c r="G6095" s="1"/>
      <c r="N6095" s="1"/>
    </row>
    <row r="6096" spans="7:14" x14ac:dyDescent="0.3">
      <c r="G6096" s="1"/>
      <c r="N6096" s="1"/>
    </row>
    <row r="6097" spans="7:14" x14ac:dyDescent="0.3">
      <c r="G6097" s="1"/>
      <c r="N6097" s="1"/>
    </row>
    <row r="6098" spans="7:14" x14ac:dyDescent="0.3">
      <c r="G6098" s="1"/>
      <c r="N6098" s="1"/>
    </row>
    <row r="6099" spans="7:14" x14ac:dyDescent="0.3">
      <c r="G6099" s="1"/>
      <c r="N6099" s="1"/>
    </row>
    <row r="6100" spans="7:14" x14ac:dyDescent="0.3">
      <c r="G6100" s="1"/>
      <c r="N6100" s="1"/>
    </row>
    <row r="6101" spans="7:14" x14ac:dyDescent="0.3">
      <c r="G6101" s="1"/>
      <c r="N6101" s="1"/>
    </row>
    <row r="6102" spans="7:14" x14ac:dyDescent="0.3">
      <c r="G6102" s="1"/>
      <c r="N6102" s="1"/>
    </row>
    <row r="6103" spans="7:14" x14ac:dyDescent="0.3">
      <c r="G6103" s="1"/>
      <c r="N6103" s="1"/>
    </row>
    <row r="6104" spans="7:14" x14ac:dyDescent="0.3">
      <c r="G6104" s="1"/>
      <c r="N6104" s="1"/>
    </row>
    <row r="6105" spans="7:14" x14ac:dyDescent="0.3">
      <c r="G6105" s="1"/>
      <c r="N6105" s="1"/>
    </row>
    <row r="6106" spans="7:14" x14ac:dyDescent="0.3">
      <c r="G6106" s="1"/>
      <c r="N6106" s="1"/>
    </row>
    <row r="6107" spans="7:14" x14ac:dyDescent="0.3">
      <c r="G6107" s="1"/>
      <c r="N6107" s="1"/>
    </row>
    <row r="6108" spans="7:14" x14ac:dyDescent="0.3">
      <c r="G6108" s="1"/>
      <c r="N6108" s="1"/>
    </row>
    <row r="6109" spans="7:14" x14ac:dyDescent="0.3">
      <c r="G6109" s="1"/>
      <c r="N6109" s="1"/>
    </row>
    <row r="6110" spans="7:14" x14ac:dyDescent="0.3">
      <c r="G6110" s="1"/>
      <c r="N6110" s="1"/>
    </row>
    <row r="6111" spans="7:14" x14ac:dyDescent="0.3">
      <c r="G6111" s="1"/>
      <c r="N6111" s="1"/>
    </row>
    <row r="6112" spans="7:14" x14ac:dyDescent="0.3">
      <c r="G6112" s="1"/>
      <c r="N6112" s="1"/>
    </row>
    <row r="6113" spans="7:14" x14ac:dyDescent="0.3">
      <c r="G6113" s="1"/>
      <c r="N6113" s="1"/>
    </row>
    <row r="6114" spans="7:14" x14ac:dyDescent="0.3">
      <c r="G6114" s="1"/>
      <c r="N6114" s="1"/>
    </row>
    <row r="6115" spans="7:14" x14ac:dyDescent="0.3">
      <c r="G6115" s="1"/>
      <c r="N6115" s="1"/>
    </row>
    <row r="6116" spans="7:14" x14ac:dyDescent="0.3">
      <c r="G6116" s="1"/>
      <c r="N6116" s="1"/>
    </row>
    <row r="6117" spans="7:14" x14ac:dyDescent="0.3">
      <c r="G6117" s="1"/>
      <c r="N6117" s="1"/>
    </row>
    <row r="6118" spans="7:14" x14ac:dyDescent="0.3">
      <c r="G6118" s="1"/>
      <c r="N6118" s="1"/>
    </row>
    <row r="6119" spans="7:14" x14ac:dyDescent="0.3">
      <c r="G6119" s="1"/>
      <c r="N6119" s="1"/>
    </row>
    <row r="6120" spans="7:14" x14ac:dyDescent="0.3">
      <c r="G6120" s="1"/>
      <c r="N6120" s="1"/>
    </row>
    <row r="6121" spans="7:14" x14ac:dyDescent="0.3">
      <c r="G6121" s="1"/>
      <c r="N6121" s="1"/>
    </row>
    <row r="6122" spans="7:14" x14ac:dyDescent="0.3">
      <c r="G6122" s="1"/>
      <c r="N6122" s="1"/>
    </row>
    <row r="6123" spans="7:14" x14ac:dyDescent="0.3">
      <c r="G6123" s="1"/>
      <c r="N6123" s="1"/>
    </row>
    <row r="6124" spans="7:14" x14ac:dyDescent="0.3">
      <c r="G6124" s="1"/>
      <c r="N6124" s="1"/>
    </row>
    <row r="6125" spans="7:14" x14ac:dyDescent="0.3">
      <c r="G6125" s="1"/>
      <c r="N6125" s="1"/>
    </row>
    <row r="6126" spans="7:14" x14ac:dyDescent="0.3">
      <c r="G6126" s="1"/>
      <c r="N6126" s="1"/>
    </row>
    <row r="6127" spans="7:14" x14ac:dyDescent="0.3">
      <c r="G6127" s="1"/>
      <c r="N6127" s="1"/>
    </row>
    <row r="6128" spans="7:14" x14ac:dyDescent="0.3">
      <c r="G6128" s="1"/>
      <c r="N6128" s="1"/>
    </row>
    <row r="6129" spans="7:14" x14ac:dyDescent="0.3">
      <c r="G6129" s="1"/>
      <c r="N6129" s="1"/>
    </row>
    <row r="6130" spans="7:14" x14ac:dyDescent="0.3">
      <c r="G6130" s="1"/>
      <c r="N6130" s="1"/>
    </row>
    <row r="6131" spans="7:14" x14ac:dyDescent="0.3">
      <c r="G6131" s="1"/>
      <c r="N6131" s="1"/>
    </row>
    <row r="6132" spans="7:14" x14ac:dyDescent="0.3">
      <c r="G6132" s="1"/>
      <c r="N6132" s="1"/>
    </row>
    <row r="6133" spans="7:14" x14ac:dyDescent="0.3">
      <c r="G6133" s="1"/>
      <c r="N6133" s="1"/>
    </row>
    <row r="6134" spans="7:14" x14ac:dyDescent="0.3">
      <c r="G6134" s="1"/>
      <c r="N6134" s="1"/>
    </row>
    <row r="6135" spans="7:14" x14ac:dyDescent="0.3">
      <c r="G6135" s="1"/>
      <c r="N6135" s="1"/>
    </row>
    <row r="6136" spans="7:14" x14ac:dyDescent="0.3">
      <c r="G6136" s="1"/>
      <c r="N6136" s="1"/>
    </row>
    <row r="6137" spans="7:14" x14ac:dyDescent="0.3">
      <c r="G6137" s="1"/>
      <c r="N6137" s="1"/>
    </row>
    <row r="6138" spans="7:14" x14ac:dyDescent="0.3">
      <c r="G6138" s="1"/>
      <c r="N6138" s="1"/>
    </row>
    <row r="6139" spans="7:14" x14ac:dyDescent="0.3">
      <c r="G6139" s="1"/>
      <c r="N6139" s="1"/>
    </row>
    <row r="6140" spans="7:14" x14ac:dyDescent="0.3">
      <c r="G6140" s="1"/>
      <c r="N6140" s="1"/>
    </row>
    <row r="6141" spans="7:14" x14ac:dyDescent="0.3">
      <c r="G6141" s="1"/>
      <c r="N6141" s="1"/>
    </row>
    <row r="6142" spans="7:14" x14ac:dyDescent="0.3">
      <c r="G6142" s="1"/>
      <c r="N6142" s="1"/>
    </row>
    <row r="6143" spans="7:14" x14ac:dyDescent="0.3">
      <c r="G6143" s="1"/>
      <c r="N6143" s="1"/>
    </row>
    <row r="6144" spans="7:14" x14ac:dyDescent="0.3">
      <c r="G6144" s="1"/>
      <c r="N6144" s="1"/>
    </row>
    <row r="6145" spans="7:14" x14ac:dyDescent="0.3">
      <c r="G6145" s="1"/>
      <c r="N6145" s="1"/>
    </row>
    <row r="6146" spans="7:14" x14ac:dyDescent="0.3">
      <c r="G6146" s="1"/>
      <c r="N6146" s="1"/>
    </row>
    <row r="6147" spans="7:14" x14ac:dyDescent="0.3">
      <c r="G6147" s="1"/>
      <c r="N6147" s="1"/>
    </row>
    <row r="6148" spans="7:14" x14ac:dyDescent="0.3">
      <c r="G6148" s="1"/>
      <c r="N6148" s="1"/>
    </row>
    <row r="6149" spans="7:14" x14ac:dyDescent="0.3">
      <c r="G6149" s="1"/>
      <c r="N6149" s="1"/>
    </row>
    <row r="6150" spans="7:14" x14ac:dyDescent="0.3">
      <c r="G6150" s="1"/>
      <c r="N6150" s="1"/>
    </row>
    <row r="6151" spans="7:14" x14ac:dyDescent="0.3">
      <c r="G6151" s="1"/>
      <c r="N6151" s="1"/>
    </row>
    <row r="6152" spans="7:14" x14ac:dyDescent="0.3">
      <c r="G6152" s="1"/>
      <c r="N6152" s="1"/>
    </row>
    <row r="6153" spans="7:14" x14ac:dyDescent="0.3">
      <c r="G6153" s="1"/>
      <c r="N6153" s="1"/>
    </row>
    <row r="6154" spans="7:14" x14ac:dyDescent="0.3">
      <c r="G6154" s="1"/>
      <c r="N6154" s="1"/>
    </row>
    <row r="6155" spans="7:14" x14ac:dyDescent="0.3">
      <c r="G6155" s="1"/>
      <c r="N6155" s="1"/>
    </row>
    <row r="6156" spans="7:14" x14ac:dyDescent="0.3">
      <c r="G6156" s="1"/>
      <c r="N6156" s="1"/>
    </row>
    <row r="6157" spans="7:14" x14ac:dyDescent="0.3">
      <c r="G6157" s="1"/>
      <c r="N6157" s="1"/>
    </row>
    <row r="6158" spans="7:14" x14ac:dyDescent="0.3">
      <c r="G6158" s="1"/>
      <c r="N6158" s="1"/>
    </row>
    <row r="6159" spans="7:14" x14ac:dyDescent="0.3">
      <c r="G6159" s="1"/>
      <c r="N6159" s="1"/>
    </row>
    <row r="6160" spans="7:14" x14ac:dyDescent="0.3">
      <c r="G6160" s="1"/>
      <c r="N6160" s="1"/>
    </row>
    <row r="6161" spans="7:14" x14ac:dyDescent="0.3">
      <c r="G6161" s="1"/>
      <c r="N6161" s="1"/>
    </row>
    <row r="6162" spans="7:14" x14ac:dyDescent="0.3">
      <c r="G6162" s="1"/>
      <c r="N6162" s="1"/>
    </row>
    <row r="6163" spans="7:14" x14ac:dyDescent="0.3">
      <c r="G6163" s="1"/>
      <c r="N6163" s="1"/>
    </row>
    <row r="6164" spans="7:14" x14ac:dyDescent="0.3">
      <c r="G6164" s="1"/>
      <c r="N6164" s="1"/>
    </row>
    <row r="6165" spans="7:14" x14ac:dyDescent="0.3">
      <c r="G6165" s="1"/>
      <c r="N6165" s="1"/>
    </row>
    <row r="6166" spans="7:14" x14ac:dyDescent="0.3">
      <c r="G6166" s="1"/>
      <c r="N6166" s="1"/>
    </row>
    <row r="6167" spans="7:14" x14ac:dyDescent="0.3">
      <c r="G6167" s="1"/>
      <c r="N6167" s="1"/>
    </row>
    <row r="6168" spans="7:14" x14ac:dyDescent="0.3">
      <c r="G6168" s="1"/>
      <c r="N6168" s="1"/>
    </row>
    <row r="6169" spans="7:14" x14ac:dyDescent="0.3">
      <c r="G6169" s="1"/>
      <c r="N6169" s="1"/>
    </row>
    <row r="6170" spans="7:14" x14ac:dyDescent="0.3">
      <c r="G6170" s="1"/>
      <c r="N6170" s="1"/>
    </row>
    <row r="6171" spans="7:14" x14ac:dyDescent="0.3">
      <c r="G6171" s="1"/>
      <c r="N6171" s="1"/>
    </row>
    <row r="6172" spans="7:14" x14ac:dyDescent="0.3">
      <c r="G6172" s="1"/>
      <c r="N6172" s="1"/>
    </row>
    <row r="6173" spans="7:14" x14ac:dyDescent="0.3">
      <c r="G6173" s="1"/>
      <c r="N6173" s="1"/>
    </row>
    <row r="6174" spans="7:14" x14ac:dyDescent="0.3">
      <c r="G6174" s="1"/>
      <c r="N6174" s="1"/>
    </row>
    <row r="6175" spans="7:14" x14ac:dyDescent="0.3">
      <c r="G6175" s="1"/>
      <c r="N6175" s="1"/>
    </row>
    <row r="6176" spans="7:14" x14ac:dyDescent="0.3">
      <c r="G6176" s="1"/>
      <c r="N6176" s="1"/>
    </row>
    <row r="6177" spans="7:14" x14ac:dyDescent="0.3">
      <c r="G6177" s="1"/>
      <c r="N6177" s="1"/>
    </row>
    <row r="6178" spans="7:14" x14ac:dyDescent="0.3">
      <c r="G6178" s="1"/>
      <c r="N6178" s="1"/>
    </row>
    <row r="6179" spans="7:14" x14ac:dyDescent="0.3">
      <c r="G6179" s="1"/>
      <c r="N6179" s="1"/>
    </row>
    <row r="6180" spans="7:14" x14ac:dyDescent="0.3">
      <c r="G6180" s="1"/>
      <c r="N6180" s="1"/>
    </row>
    <row r="6181" spans="7:14" x14ac:dyDescent="0.3">
      <c r="G6181" s="1"/>
      <c r="N6181" s="1"/>
    </row>
    <row r="6182" spans="7:14" x14ac:dyDescent="0.3">
      <c r="G6182" s="1"/>
      <c r="N6182" s="1"/>
    </row>
    <row r="6183" spans="7:14" x14ac:dyDescent="0.3">
      <c r="G6183" s="1"/>
      <c r="N6183" s="1"/>
    </row>
    <row r="6184" spans="7:14" x14ac:dyDescent="0.3">
      <c r="G6184" s="1"/>
      <c r="N6184" s="1"/>
    </row>
    <row r="6185" spans="7:14" x14ac:dyDescent="0.3">
      <c r="G6185" s="1"/>
      <c r="N6185" s="1"/>
    </row>
    <row r="6186" spans="7:14" x14ac:dyDescent="0.3">
      <c r="G6186" s="1"/>
      <c r="N6186" s="1"/>
    </row>
    <row r="6187" spans="7:14" x14ac:dyDescent="0.3">
      <c r="G6187" s="1"/>
      <c r="N6187" s="1"/>
    </row>
    <row r="6188" spans="7:14" x14ac:dyDescent="0.3">
      <c r="G6188" s="1"/>
      <c r="N6188" s="1"/>
    </row>
    <row r="6189" spans="7:14" x14ac:dyDescent="0.3">
      <c r="G6189" s="1"/>
      <c r="N6189" s="1"/>
    </row>
    <row r="6190" spans="7:14" x14ac:dyDescent="0.3">
      <c r="G6190" s="1"/>
      <c r="N6190" s="1"/>
    </row>
    <row r="6191" spans="7:14" x14ac:dyDescent="0.3">
      <c r="G6191" s="1"/>
      <c r="N6191" s="1"/>
    </row>
    <row r="6192" spans="7:14" x14ac:dyDescent="0.3">
      <c r="G6192" s="1"/>
      <c r="N6192" s="1"/>
    </row>
    <row r="6193" spans="7:14" x14ac:dyDescent="0.3">
      <c r="G6193" s="1"/>
      <c r="N6193" s="1"/>
    </row>
    <row r="6194" spans="7:14" x14ac:dyDescent="0.3">
      <c r="G6194" s="1"/>
      <c r="N6194" s="1"/>
    </row>
    <row r="6195" spans="7:14" x14ac:dyDescent="0.3">
      <c r="G6195" s="1"/>
      <c r="N6195" s="1"/>
    </row>
    <row r="6196" spans="7:14" x14ac:dyDescent="0.3">
      <c r="G6196" s="1"/>
      <c r="N6196" s="1"/>
    </row>
    <row r="6197" spans="7:14" x14ac:dyDescent="0.3">
      <c r="G6197" s="1"/>
      <c r="N6197" s="1"/>
    </row>
    <row r="6198" spans="7:14" x14ac:dyDescent="0.3">
      <c r="G6198" s="1"/>
      <c r="N6198" s="1"/>
    </row>
    <row r="6199" spans="7:14" x14ac:dyDescent="0.3">
      <c r="G6199" s="1"/>
      <c r="N6199" s="1"/>
    </row>
    <row r="6200" spans="7:14" x14ac:dyDescent="0.3">
      <c r="G6200" s="1"/>
      <c r="N6200" s="1"/>
    </row>
    <row r="6201" spans="7:14" x14ac:dyDescent="0.3">
      <c r="G6201" s="1"/>
      <c r="N6201" s="1"/>
    </row>
    <row r="6202" spans="7:14" x14ac:dyDescent="0.3">
      <c r="G6202" s="1"/>
      <c r="N6202" s="1"/>
    </row>
    <row r="6203" spans="7:14" x14ac:dyDescent="0.3">
      <c r="G6203" s="1"/>
      <c r="N6203" s="1"/>
    </row>
    <row r="6204" spans="7:14" x14ac:dyDescent="0.3">
      <c r="G6204" s="1"/>
      <c r="N6204" s="1"/>
    </row>
    <row r="6205" spans="7:14" x14ac:dyDescent="0.3">
      <c r="G6205" s="1"/>
      <c r="N6205" s="1"/>
    </row>
    <row r="6206" spans="7:14" x14ac:dyDescent="0.3">
      <c r="G6206" s="1"/>
      <c r="N6206" s="1"/>
    </row>
    <row r="6207" spans="7:14" x14ac:dyDescent="0.3">
      <c r="G6207" s="1"/>
      <c r="N6207" s="1"/>
    </row>
    <row r="6208" spans="7:14" x14ac:dyDescent="0.3">
      <c r="G6208" s="1"/>
      <c r="N6208" s="1"/>
    </row>
    <row r="6209" spans="7:14" x14ac:dyDescent="0.3">
      <c r="G6209" s="1"/>
      <c r="N6209" s="1"/>
    </row>
    <row r="6210" spans="7:14" x14ac:dyDescent="0.3">
      <c r="G6210" s="1"/>
      <c r="N6210" s="1"/>
    </row>
    <row r="6211" spans="7:14" x14ac:dyDescent="0.3">
      <c r="G6211" s="1"/>
      <c r="N6211" s="1"/>
    </row>
    <row r="6212" spans="7:14" x14ac:dyDescent="0.3">
      <c r="G6212" s="1"/>
      <c r="N6212" s="1"/>
    </row>
    <row r="6213" spans="7:14" x14ac:dyDescent="0.3">
      <c r="G6213" s="1"/>
      <c r="N6213" s="1"/>
    </row>
    <row r="6214" spans="7:14" x14ac:dyDescent="0.3">
      <c r="G6214" s="1"/>
      <c r="N6214" s="1"/>
    </row>
    <row r="6215" spans="7:14" x14ac:dyDescent="0.3">
      <c r="G6215" s="1"/>
      <c r="N6215" s="1"/>
    </row>
    <row r="6216" spans="7:14" x14ac:dyDescent="0.3">
      <c r="G6216" s="1"/>
      <c r="N6216" s="1"/>
    </row>
    <row r="6217" spans="7:14" x14ac:dyDescent="0.3">
      <c r="G6217" s="1"/>
      <c r="N6217" s="1"/>
    </row>
    <row r="6218" spans="7:14" x14ac:dyDescent="0.3">
      <c r="G6218" s="1"/>
      <c r="N6218" s="1"/>
    </row>
    <row r="6219" spans="7:14" x14ac:dyDescent="0.3">
      <c r="G6219" s="1"/>
      <c r="N6219" s="1"/>
    </row>
    <row r="6220" spans="7:14" x14ac:dyDescent="0.3">
      <c r="G6220" s="1"/>
      <c r="N6220" s="1"/>
    </row>
    <row r="6221" spans="7:14" x14ac:dyDescent="0.3">
      <c r="G6221" s="1"/>
      <c r="N6221" s="1"/>
    </row>
    <row r="6222" spans="7:14" x14ac:dyDescent="0.3">
      <c r="G6222" s="1"/>
      <c r="N6222" s="1"/>
    </row>
    <row r="6223" spans="7:14" x14ac:dyDescent="0.3">
      <c r="G6223" s="1"/>
      <c r="N6223" s="1"/>
    </row>
    <row r="6224" spans="7:14" x14ac:dyDescent="0.3">
      <c r="G6224" s="1"/>
      <c r="N6224" s="1"/>
    </row>
    <row r="6225" spans="7:14" x14ac:dyDescent="0.3">
      <c r="G6225" s="1"/>
      <c r="N6225" s="1"/>
    </row>
    <row r="6226" spans="7:14" x14ac:dyDescent="0.3">
      <c r="G6226" s="1"/>
      <c r="N6226" s="1"/>
    </row>
    <row r="6227" spans="7:14" x14ac:dyDescent="0.3">
      <c r="G6227" s="1"/>
      <c r="N6227" s="1"/>
    </row>
    <row r="6228" spans="7:14" x14ac:dyDescent="0.3">
      <c r="G6228" s="1"/>
      <c r="N6228" s="1"/>
    </row>
    <row r="6229" spans="7:14" x14ac:dyDescent="0.3">
      <c r="G6229" s="1"/>
      <c r="N6229" s="1"/>
    </row>
    <row r="6230" spans="7:14" x14ac:dyDescent="0.3">
      <c r="G6230" s="1"/>
      <c r="N6230" s="1"/>
    </row>
    <row r="6231" spans="7:14" x14ac:dyDescent="0.3">
      <c r="G6231" s="1"/>
      <c r="N6231" s="1"/>
    </row>
    <row r="6232" spans="7:14" x14ac:dyDescent="0.3">
      <c r="G6232" s="1"/>
      <c r="N6232" s="1"/>
    </row>
    <row r="6233" spans="7:14" x14ac:dyDescent="0.3">
      <c r="G6233" s="1"/>
      <c r="N6233" s="1"/>
    </row>
    <row r="6234" spans="7:14" x14ac:dyDescent="0.3">
      <c r="G6234" s="1"/>
      <c r="N6234" s="1"/>
    </row>
    <row r="6235" spans="7:14" x14ac:dyDescent="0.3">
      <c r="G6235" s="1"/>
      <c r="N6235" s="1"/>
    </row>
    <row r="6236" spans="7:14" x14ac:dyDescent="0.3">
      <c r="G6236" s="1"/>
      <c r="N6236" s="1"/>
    </row>
    <row r="6237" spans="7:14" x14ac:dyDescent="0.3">
      <c r="G6237" s="1"/>
      <c r="N6237" s="1"/>
    </row>
    <row r="6238" spans="7:14" x14ac:dyDescent="0.3">
      <c r="G6238" s="1"/>
      <c r="N6238" s="1"/>
    </row>
    <row r="6239" spans="7:14" x14ac:dyDescent="0.3">
      <c r="G6239" s="1"/>
      <c r="N6239" s="1"/>
    </row>
    <row r="6240" spans="7:14" x14ac:dyDescent="0.3">
      <c r="G6240" s="1"/>
      <c r="N6240" s="1"/>
    </row>
    <row r="6241" spans="7:14" x14ac:dyDescent="0.3">
      <c r="G6241" s="1"/>
      <c r="N6241" s="1"/>
    </row>
    <row r="6242" spans="7:14" x14ac:dyDescent="0.3">
      <c r="G6242" s="1"/>
      <c r="N6242" s="1"/>
    </row>
    <row r="6243" spans="7:14" x14ac:dyDescent="0.3">
      <c r="G6243" s="1"/>
      <c r="N6243" s="1"/>
    </row>
    <row r="6244" spans="7:14" x14ac:dyDescent="0.3">
      <c r="G6244" s="1"/>
      <c r="N6244" s="1"/>
    </row>
    <row r="6245" spans="7:14" x14ac:dyDescent="0.3">
      <c r="G6245" s="1"/>
      <c r="N6245" s="1"/>
    </row>
    <row r="6246" spans="7:14" x14ac:dyDescent="0.3">
      <c r="G6246" s="1"/>
      <c r="N6246" s="1"/>
    </row>
    <row r="6247" spans="7:14" x14ac:dyDescent="0.3">
      <c r="G6247" s="1"/>
      <c r="N6247" s="1"/>
    </row>
    <row r="6248" spans="7:14" x14ac:dyDescent="0.3">
      <c r="G6248" s="1"/>
      <c r="N6248" s="1"/>
    </row>
    <row r="6249" spans="7:14" x14ac:dyDescent="0.3">
      <c r="G6249" s="1"/>
      <c r="N6249" s="1"/>
    </row>
    <row r="6250" spans="7:14" x14ac:dyDescent="0.3">
      <c r="G6250" s="1"/>
      <c r="N6250" s="1"/>
    </row>
    <row r="6251" spans="7:14" x14ac:dyDescent="0.3">
      <c r="G6251" s="1"/>
      <c r="N6251" s="1"/>
    </row>
    <row r="6252" spans="7:14" x14ac:dyDescent="0.3">
      <c r="G6252" s="1"/>
      <c r="N6252" s="1"/>
    </row>
    <row r="6253" spans="7:14" x14ac:dyDescent="0.3">
      <c r="G6253" s="1"/>
      <c r="N6253" s="1"/>
    </row>
    <row r="6254" spans="7:14" x14ac:dyDescent="0.3">
      <c r="G6254" s="1"/>
      <c r="N6254" s="1"/>
    </row>
    <row r="6255" spans="7:14" x14ac:dyDescent="0.3">
      <c r="G6255" s="1"/>
      <c r="N6255" s="1"/>
    </row>
    <row r="6256" spans="7:14" x14ac:dyDescent="0.3">
      <c r="G6256" s="1"/>
      <c r="N6256" s="1"/>
    </row>
    <row r="6257" spans="7:14" x14ac:dyDescent="0.3">
      <c r="G6257" s="1"/>
      <c r="N6257" s="1"/>
    </row>
    <row r="6258" spans="7:14" x14ac:dyDescent="0.3">
      <c r="G6258" s="1"/>
      <c r="N6258" s="1"/>
    </row>
    <row r="6259" spans="7:14" x14ac:dyDescent="0.3">
      <c r="G6259" s="1"/>
      <c r="N6259" s="1"/>
    </row>
    <row r="6260" spans="7:14" x14ac:dyDescent="0.3">
      <c r="G6260" s="1"/>
      <c r="N6260" s="1"/>
    </row>
    <row r="6261" spans="7:14" x14ac:dyDescent="0.3">
      <c r="G6261" s="1"/>
      <c r="N6261" s="1"/>
    </row>
    <row r="6262" spans="7:14" x14ac:dyDescent="0.3">
      <c r="G6262" s="1"/>
      <c r="N6262" s="1"/>
    </row>
    <row r="6263" spans="7:14" x14ac:dyDescent="0.3">
      <c r="G6263" s="1"/>
      <c r="N6263" s="1"/>
    </row>
    <row r="6264" spans="7:14" x14ac:dyDescent="0.3">
      <c r="G6264" s="1"/>
      <c r="N6264" s="1"/>
    </row>
    <row r="6265" spans="7:14" x14ac:dyDescent="0.3">
      <c r="G6265" s="1"/>
      <c r="N6265" s="1"/>
    </row>
    <row r="6266" spans="7:14" x14ac:dyDescent="0.3">
      <c r="G6266" s="1"/>
      <c r="N6266" s="1"/>
    </row>
    <row r="6267" spans="7:14" x14ac:dyDescent="0.3">
      <c r="G6267" s="1"/>
      <c r="N6267" s="1"/>
    </row>
    <row r="6268" spans="7:14" x14ac:dyDescent="0.3">
      <c r="G6268" s="1"/>
      <c r="N6268" s="1"/>
    </row>
    <row r="6269" spans="7:14" x14ac:dyDescent="0.3">
      <c r="G6269" s="1"/>
      <c r="N6269" s="1"/>
    </row>
    <row r="6270" spans="7:14" x14ac:dyDescent="0.3">
      <c r="G6270" s="1"/>
      <c r="N6270" s="1"/>
    </row>
    <row r="6271" spans="7:14" x14ac:dyDescent="0.3">
      <c r="G6271" s="1"/>
      <c r="N6271" s="1"/>
    </row>
    <row r="6272" spans="7:14" x14ac:dyDescent="0.3">
      <c r="G6272" s="1"/>
      <c r="N6272" s="1"/>
    </row>
    <row r="6273" spans="7:14" x14ac:dyDescent="0.3">
      <c r="G6273" s="1"/>
      <c r="N6273" s="1"/>
    </row>
    <row r="6274" spans="7:14" x14ac:dyDescent="0.3">
      <c r="G6274" s="1"/>
      <c r="N6274" s="1"/>
    </row>
    <row r="6275" spans="7:14" x14ac:dyDescent="0.3">
      <c r="G6275" s="1"/>
      <c r="N6275" s="1"/>
    </row>
    <row r="6276" spans="7:14" x14ac:dyDescent="0.3">
      <c r="G6276" s="1"/>
      <c r="N6276" s="1"/>
    </row>
    <row r="6277" spans="7:14" x14ac:dyDescent="0.3">
      <c r="G6277" s="1"/>
      <c r="N6277" s="1"/>
    </row>
    <row r="6278" spans="7:14" x14ac:dyDescent="0.3">
      <c r="G6278" s="1"/>
      <c r="N6278" s="1"/>
    </row>
    <row r="6279" spans="7:14" x14ac:dyDescent="0.3">
      <c r="G6279" s="1"/>
      <c r="N6279" s="1"/>
    </row>
    <row r="6280" spans="7:14" x14ac:dyDescent="0.3">
      <c r="G6280" s="1"/>
      <c r="N6280" s="1"/>
    </row>
    <row r="6281" spans="7:14" x14ac:dyDescent="0.3">
      <c r="G6281" s="1"/>
      <c r="N6281" s="1"/>
    </row>
    <row r="6282" spans="7:14" x14ac:dyDescent="0.3">
      <c r="G6282" s="1"/>
      <c r="N6282" s="1"/>
    </row>
    <row r="6283" spans="7:14" x14ac:dyDescent="0.3">
      <c r="G6283" s="1"/>
      <c r="N6283" s="1"/>
    </row>
    <row r="6284" spans="7:14" x14ac:dyDescent="0.3">
      <c r="G6284" s="1"/>
      <c r="N6284" s="1"/>
    </row>
    <row r="6285" spans="7:14" x14ac:dyDescent="0.3">
      <c r="G6285" s="1"/>
      <c r="N6285" s="1"/>
    </row>
    <row r="6286" spans="7:14" x14ac:dyDescent="0.3">
      <c r="G6286" s="1"/>
      <c r="N6286" s="1"/>
    </row>
    <row r="6287" spans="7:14" x14ac:dyDescent="0.3">
      <c r="G6287" s="1"/>
      <c r="N6287" s="1"/>
    </row>
    <row r="6288" spans="7:14" x14ac:dyDescent="0.3">
      <c r="G6288" s="1"/>
      <c r="N6288" s="1"/>
    </row>
    <row r="6289" spans="7:14" x14ac:dyDescent="0.3">
      <c r="G6289" s="1"/>
      <c r="N6289" s="1"/>
    </row>
    <row r="6290" spans="7:14" x14ac:dyDescent="0.3">
      <c r="G6290" s="1"/>
      <c r="N6290" s="1"/>
    </row>
    <row r="6291" spans="7:14" x14ac:dyDescent="0.3">
      <c r="G6291" s="1"/>
      <c r="N6291" s="1"/>
    </row>
    <row r="6292" spans="7:14" x14ac:dyDescent="0.3">
      <c r="G6292" s="1"/>
      <c r="N6292" s="1"/>
    </row>
    <row r="6293" spans="7:14" x14ac:dyDescent="0.3">
      <c r="G6293" s="1"/>
      <c r="N6293" s="1"/>
    </row>
    <row r="6294" spans="7:14" x14ac:dyDescent="0.3">
      <c r="G6294" s="1"/>
      <c r="N6294" s="1"/>
    </row>
    <row r="6295" spans="7:14" x14ac:dyDescent="0.3">
      <c r="G6295" s="1"/>
      <c r="N6295" s="1"/>
    </row>
    <row r="6296" spans="7:14" x14ac:dyDescent="0.3">
      <c r="G6296" s="1"/>
      <c r="N6296" s="1"/>
    </row>
    <row r="6297" spans="7:14" x14ac:dyDescent="0.3">
      <c r="G6297" s="1"/>
      <c r="N6297" s="1"/>
    </row>
    <row r="6298" spans="7:14" x14ac:dyDescent="0.3">
      <c r="G6298" s="1"/>
      <c r="N6298" s="1"/>
    </row>
    <row r="6299" spans="7:14" x14ac:dyDescent="0.3">
      <c r="G6299" s="1"/>
      <c r="N6299" s="1"/>
    </row>
    <row r="6300" spans="7:14" x14ac:dyDescent="0.3">
      <c r="G6300" s="1"/>
      <c r="N6300" s="1"/>
    </row>
    <row r="6301" spans="7:14" x14ac:dyDescent="0.3">
      <c r="G6301" s="1"/>
      <c r="N6301" s="1"/>
    </row>
    <row r="6302" spans="7:14" x14ac:dyDescent="0.3">
      <c r="G6302" s="1"/>
      <c r="N6302" s="1"/>
    </row>
    <row r="6303" spans="7:14" x14ac:dyDescent="0.3">
      <c r="G6303" s="1"/>
      <c r="N6303" s="1"/>
    </row>
    <row r="6304" spans="7:14" x14ac:dyDescent="0.3">
      <c r="G6304" s="1"/>
      <c r="N6304" s="1"/>
    </row>
    <row r="6305" spans="7:14" x14ac:dyDescent="0.3">
      <c r="G6305" s="1"/>
      <c r="N6305" s="1"/>
    </row>
    <row r="6306" spans="7:14" x14ac:dyDescent="0.3">
      <c r="G6306" s="1"/>
      <c r="N6306" s="1"/>
    </row>
    <row r="6307" spans="7:14" x14ac:dyDescent="0.3">
      <c r="G6307" s="1"/>
      <c r="N6307" s="1"/>
    </row>
    <row r="6308" spans="7:14" x14ac:dyDescent="0.3">
      <c r="G6308" s="1"/>
      <c r="N6308" s="1"/>
    </row>
    <row r="6309" spans="7:14" x14ac:dyDescent="0.3">
      <c r="G6309" s="1"/>
      <c r="N6309" s="1"/>
    </row>
    <row r="6310" spans="7:14" x14ac:dyDescent="0.3">
      <c r="G6310" s="1"/>
      <c r="N6310" s="1"/>
    </row>
    <row r="6311" spans="7:14" x14ac:dyDescent="0.3">
      <c r="G6311" s="1"/>
      <c r="N6311" s="1"/>
    </row>
    <row r="6312" spans="7:14" x14ac:dyDescent="0.3">
      <c r="G6312" s="1"/>
      <c r="N6312" s="1"/>
    </row>
    <row r="6313" spans="7:14" x14ac:dyDescent="0.3">
      <c r="G6313" s="1"/>
      <c r="N6313" s="1"/>
    </row>
    <row r="6314" spans="7:14" x14ac:dyDescent="0.3">
      <c r="G6314" s="1"/>
      <c r="N6314" s="1"/>
    </row>
    <row r="6315" spans="7:14" x14ac:dyDescent="0.3">
      <c r="G6315" s="1"/>
      <c r="N6315" s="1"/>
    </row>
    <row r="6316" spans="7:14" x14ac:dyDescent="0.3">
      <c r="G6316" s="1"/>
      <c r="N6316" s="1"/>
    </row>
    <row r="6317" spans="7:14" x14ac:dyDescent="0.3">
      <c r="G6317" s="1"/>
      <c r="N6317" s="1"/>
    </row>
    <row r="6318" spans="7:14" x14ac:dyDescent="0.3">
      <c r="G6318" s="1"/>
      <c r="N6318" s="1"/>
    </row>
    <row r="6319" spans="7:14" x14ac:dyDescent="0.3">
      <c r="G6319" s="1"/>
      <c r="N6319" s="1"/>
    </row>
    <row r="6320" spans="7:14" x14ac:dyDescent="0.3">
      <c r="G6320" s="1"/>
      <c r="N6320" s="1"/>
    </row>
    <row r="6321" spans="7:14" x14ac:dyDescent="0.3">
      <c r="G6321" s="1"/>
      <c r="N6321" s="1"/>
    </row>
    <row r="6322" spans="7:14" x14ac:dyDescent="0.3">
      <c r="G6322" s="1"/>
      <c r="N6322" s="1"/>
    </row>
    <row r="6323" spans="7:14" x14ac:dyDescent="0.3">
      <c r="G6323" s="1"/>
      <c r="N6323" s="1"/>
    </row>
    <row r="6324" spans="7:14" x14ac:dyDescent="0.3">
      <c r="G6324" s="1"/>
      <c r="N6324" s="1"/>
    </row>
    <row r="6325" spans="7:14" x14ac:dyDescent="0.3">
      <c r="G6325" s="1"/>
      <c r="N6325" s="1"/>
    </row>
    <row r="6326" spans="7:14" x14ac:dyDescent="0.3">
      <c r="G6326" s="1"/>
      <c r="N6326" s="1"/>
    </row>
    <row r="6327" spans="7:14" x14ac:dyDescent="0.3">
      <c r="G6327" s="1"/>
      <c r="N6327" s="1"/>
    </row>
    <row r="6328" spans="7:14" x14ac:dyDescent="0.3">
      <c r="G6328" s="1"/>
      <c r="N6328" s="1"/>
    </row>
    <row r="6329" spans="7:14" x14ac:dyDescent="0.3">
      <c r="G6329" s="1"/>
      <c r="N6329" s="1"/>
    </row>
    <row r="6330" spans="7:14" x14ac:dyDescent="0.3">
      <c r="G6330" s="1"/>
      <c r="N6330" s="1"/>
    </row>
    <row r="6331" spans="7:14" x14ac:dyDescent="0.3">
      <c r="G6331" s="1"/>
      <c r="N6331" s="1"/>
    </row>
    <row r="6332" spans="7:14" x14ac:dyDescent="0.3">
      <c r="G6332" s="1"/>
      <c r="N6332" s="1"/>
    </row>
    <row r="6333" spans="7:14" x14ac:dyDescent="0.3">
      <c r="G6333" s="1"/>
      <c r="N6333" s="1"/>
    </row>
    <row r="6334" spans="7:14" x14ac:dyDescent="0.3">
      <c r="G6334" s="1"/>
      <c r="N6334" s="1"/>
    </row>
    <row r="6335" spans="7:14" x14ac:dyDescent="0.3">
      <c r="G6335" s="1"/>
      <c r="N6335" s="1"/>
    </row>
    <row r="6336" spans="7:14" x14ac:dyDescent="0.3">
      <c r="G6336" s="1"/>
      <c r="N6336" s="1"/>
    </row>
    <row r="6337" spans="7:14" x14ac:dyDescent="0.3">
      <c r="G6337" s="1"/>
      <c r="N6337" s="1"/>
    </row>
    <row r="6338" spans="7:14" x14ac:dyDescent="0.3">
      <c r="G6338" s="1"/>
      <c r="N6338" s="1"/>
    </row>
    <row r="6339" spans="7:14" x14ac:dyDescent="0.3">
      <c r="G6339" s="1"/>
      <c r="N6339" s="1"/>
    </row>
    <row r="6340" spans="7:14" x14ac:dyDescent="0.3">
      <c r="G6340" s="1"/>
      <c r="N6340" s="1"/>
    </row>
    <row r="6341" spans="7:14" x14ac:dyDescent="0.3">
      <c r="G6341" s="1"/>
      <c r="N6341" s="1"/>
    </row>
    <row r="6342" spans="7:14" x14ac:dyDescent="0.3">
      <c r="G6342" s="1"/>
      <c r="N6342" s="1"/>
    </row>
    <row r="6343" spans="7:14" x14ac:dyDescent="0.3">
      <c r="G6343" s="1"/>
      <c r="N6343" s="1"/>
    </row>
    <row r="6344" spans="7:14" x14ac:dyDescent="0.3">
      <c r="G6344" s="1"/>
      <c r="N6344" s="1"/>
    </row>
    <row r="6345" spans="7:14" x14ac:dyDescent="0.3">
      <c r="G6345" s="1"/>
      <c r="N6345" s="1"/>
    </row>
    <row r="6346" spans="7:14" x14ac:dyDescent="0.3">
      <c r="G6346" s="1"/>
      <c r="N6346" s="1"/>
    </row>
    <row r="6347" spans="7:14" x14ac:dyDescent="0.3">
      <c r="G6347" s="1"/>
      <c r="N6347" s="1"/>
    </row>
    <row r="6348" spans="7:14" x14ac:dyDescent="0.3">
      <c r="G6348" s="1"/>
      <c r="N6348" s="1"/>
    </row>
    <row r="6349" spans="7:14" x14ac:dyDescent="0.3">
      <c r="G6349" s="1"/>
      <c r="N6349" s="1"/>
    </row>
    <row r="6350" spans="7:14" x14ac:dyDescent="0.3">
      <c r="G6350" s="1"/>
      <c r="N6350" s="1"/>
    </row>
    <row r="6351" spans="7:14" x14ac:dyDescent="0.3">
      <c r="G6351" s="1"/>
      <c r="N6351" s="1"/>
    </row>
    <row r="6352" spans="7:14" x14ac:dyDescent="0.3">
      <c r="G6352" s="1"/>
      <c r="N6352" s="1"/>
    </row>
    <row r="6353" spans="7:14" x14ac:dyDescent="0.3">
      <c r="G6353" s="1"/>
      <c r="N6353" s="1"/>
    </row>
    <row r="6354" spans="7:14" x14ac:dyDescent="0.3">
      <c r="G6354" s="1"/>
      <c r="N6354" s="1"/>
    </row>
    <row r="6355" spans="7:14" x14ac:dyDescent="0.3">
      <c r="G6355" s="1"/>
      <c r="N6355" s="1"/>
    </row>
    <row r="6356" spans="7:14" x14ac:dyDescent="0.3">
      <c r="G6356" s="1"/>
      <c r="N6356" s="1"/>
    </row>
    <row r="6357" spans="7:14" x14ac:dyDescent="0.3">
      <c r="G6357" s="1"/>
      <c r="N6357" s="1"/>
    </row>
    <row r="6358" spans="7:14" x14ac:dyDescent="0.3">
      <c r="G6358" s="1"/>
      <c r="N6358" s="1"/>
    </row>
    <row r="6359" spans="7:14" x14ac:dyDescent="0.3">
      <c r="G6359" s="1"/>
      <c r="N6359" s="1"/>
    </row>
    <row r="6360" spans="7:14" x14ac:dyDescent="0.3">
      <c r="G6360" s="1"/>
      <c r="N6360" s="1"/>
    </row>
    <row r="6361" spans="7:14" x14ac:dyDescent="0.3">
      <c r="G6361" s="1"/>
      <c r="N6361" s="1"/>
    </row>
    <row r="6362" spans="7:14" x14ac:dyDescent="0.3">
      <c r="G6362" s="1"/>
      <c r="N6362" s="1"/>
    </row>
    <row r="6363" spans="7:14" x14ac:dyDescent="0.3">
      <c r="G6363" s="1"/>
      <c r="N6363" s="1"/>
    </row>
    <row r="6364" spans="7:14" x14ac:dyDescent="0.3">
      <c r="G6364" s="1"/>
      <c r="N6364" s="1"/>
    </row>
    <row r="6365" spans="7:14" x14ac:dyDescent="0.3">
      <c r="G6365" s="1"/>
      <c r="N6365" s="1"/>
    </row>
    <row r="6366" spans="7:14" x14ac:dyDescent="0.3">
      <c r="G6366" s="1"/>
      <c r="N6366" s="1"/>
    </row>
    <row r="6367" spans="7:14" x14ac:dyDescent="0.3">
      <c r="G6367" s="1"/>
      <c r="N6367" s="1"/>
    </row>
    <row r="6368" spans="7:14" x14ac:dyDescent="0.3">
      <c r="G6368" s="1"/>
      <c r="N6368" s="1"/>
    </row>
    <row r="6369" spans="7:14" x14ac:dyDescent="0.3">
      <c r="G6369" s="1"/>
      <c r="N6369" s="1"/>
    </row>
    <row r="6370" spans="7:14" x14ac:dyDescent="0.3">
      <c r="G6370" s="1"/>
      <c r="N6370" s="1"/>
    </row>
    <row r="6371" spans="7:14" x14ac:dyDescent="0.3">
      <c r="G6371" s="1"/>
      <c r="N6371" s="1"/>
    </row>
    <row r="6372" spans="7:14" x14ac:dyDescent="0.3">
      <c r="G6372" s="1"/>
      <c r="N6372" s="1"/>
    </row>
    <row r="6373" spans="7:14" x14ac:dyDescent="0.3">
      <c r="G6373" s="1"/>
      <c r="N6373" s="1"/>
    </row>
    <row r="6374" spans="7:14" x14ac:dyDescent="0.3">
      <c r="G6374" s="1"/>
      <c r="N6374" s="1"/>
    </row>
    <row r="6375" spans="7:14" x14ac:dyDescent="0.3">
      <c r="G6375" s="1"/>
      <c r="N6375" s="1"/>
    </row>
    <row r="6376" spans="7:14" x14ac:dyDescent="0.3">
      <c r="G6376" s="1"/>
      <c r="N6376" s="1"/>
    </row>
    <row r="6377" spans="7:14" x14ac:dyDescent="0.3">
      <c r="G6377" s="1"/>
      <c r="N6377" s="1"/>
    </row>
    <row r="6378" spans="7:14" x14ac:dyDescent="0.3">
      <c r="G6378" s="1"/>
      <c r="N6378" s="1"/>
    </row>
    <row r="6379" spans="7:14" x14ac:dyDescent="0.3">
      <c r="G6379" s="1"/>
      <c r="N6379" s="1"/>
    </row>
    <row r="6380" spans="7:14" x14ac:dyDescent="0.3">
      <c r="G6380" s="1"/>
      <c r="N6380" s="1"/>
    </row>
    <row r="6381" spans="7:14" x14ac:dyDescent="0.3">
      <c r="G6381" s="1"/>
      <c r="N6381" s="1"/>
    </row>
    <row r="6382" spans="7:14" x14ac:dyDescent="0.3">
      <c r="G6382" s="1"/>
      <c r="N6382" s="1"/>
    </row>
    <row r="6383" spans="7:14" x14ac:dyDescent="0.3">
      <c r="G6383" s="1"/>
      <c r="N6383" s="1"/>
    </row>
    <row r="6384" spans="7:14" x14ac:dyDescent="0.3">
      <c r="G6384" s="1"/>
      <c r="N6384" s="1"/>
    </row>
    <row r="6385" spans="7:14" x14ac:dyDescent="0.3">
      <c r="G6385" s="1"/>
      <c r="N6385" s="1"/>
    </row>
    <row r="6386" spans="7:14" x14ac:dyDescent="0.3">
      <c r="G6386" s="1"/>
      <c r="N6386" s="1"/>
    </row>
    <row r="6387" spans="7:14" x14ac:dyDescent="0.3">
      <c r="G6387" s="1"/>
      <c r="N6387" s="1"/>
    </row>
    <row r="6388" spans="7:14" x14ac:dyDescent="0.3">
      <c r="G6388" s="1"/>
      <c r="N6388" s="1"/>
    </row>
    <row r="6389" spans="7:14" x14ac:dyDescent="0.3">
      <c r="G6389" s="1"/>
      <c r="N6389" s="1"/>
    </row>
    <row r="6390" spans="7:14" x14ac:dyDescent="0.3">
      <c r="G6390" s="1"/>
      <c r="N6390" s="1"/>
    </row>
    <row r="6391" spans="7:14" x14ac:dyDescent="0.3">
      <c r="G6391" s="1"/>
      <c r="N6391" s="1"/>
    </row>
    <row r="6392" spans="7:14" x14ac:dyDescent="0.3">
      <c r="G6392" s="1"/>
      <c r="N6392" s="1"/>
    </row>
    <row r="6393" spans="7:14" x14ac:dyDescent="0.3">
      <c r="G6393" s="1"/>
      <c r="N6393" s="1"/>
    </row>
    <row r="6394" spans="7:14" x14ac:dyDescent="0.3">
      <c r="G6394" s="1"/>
      <c r="N6394" s="1"/>
    </row>
    <row r="6395" spans="7:14" x14ac:dyDescent="0.3">
      <c r="G6395" s="1"/>
      <c r="N6395" s="1"/>
    </row>
    <row r="6396" spans="7:14" x14ac:dyDescent="0.3">
      <c r="G6396" s="1"/>
      <c r="N6396" s="1"/>
    </row>
    <row r="6397" spans="7:14" x14ac:dyDescent="0.3">
      <c r="G6397" s="1"/>
      <c r="N6397" s="1"/>
    </row>
    <row r="6398" spans="7:14" x14ac:dyDescent="0.3">
      <c r="G6398" s="1"/>
      <c r="N6398" s="1"/>
    </row>
    <row r="6399" spans="7:14" x14ac:dyDescent="0.3">
      <c r="G6399" s="1"/>
      <c r="N6399" s="1"/>
    </row>
    <row r="6400" spans="7:14" x14ac:dyDescent="0.3">
      <c r="G6400" s="1"/>
      <c r="N6400" s="1"/>
    </row>
    <row r="6401" spans="7:14" x14ac:dyDescent="0.3">
      <c r="G6401" s="1"/>
      <c r="N6401" s="1"/>
    </row>
    <row r="6402" spans="7:14" x14ac:dyDescent="0.3">
      <c r="G6402" s="1"/>
      <c r="N6402" s="1"/>
    </row>
    <row r="6403" spans="7:14" x14ac:dyDescent="0.3">
      <c r="G6403" s="1"/>
      <c r="N6403" s="1"/>
    </row>
    <row r="6404" spans="7:14" x14ac:dyDescent="0.3">
      <c r="G6404" s="1"/>
      <c r="N6404" s="1"/>
    </row>
    <row r="6405" spans="7:14" x14ac:dyDescent="0.3">
      <c r="G6405" s="1"/>
      <c r="N6405" s="1"/>
    </row>
    <row r="6406" spans="7:14" x14ac:dyDescent="0.3">
      <c r="G6406" s="1"/>
      <c r="N6406" s="1"/>
    </row>
    <row r="6407" spans="7:14" x14ac:dyDescent="0.3">
      <c r="G6407" s="1"/>
      <c r="N6407" s="1"/>
    </row>
    <row r="6408" spans="7:14" x14ac:dyDescent="0.3">
      <c r="G6408" s="1"/>
      <c r="N6408" s="1"/>
    </row>
    <row r="6409" spans="7:14" x14ac:dyDescent="0.3">
      <c r="G6409" s="1"/>
      <c r="N6409" s="1"/>
    </row>
    <row r="6410" spans="7:14" x14ac:dyDescent="0.3">
      <c r="G6410" s="1"/>
      <c r="N6410" s="1"/>
    </row>
    <row r="6411" spans="7:14" x14ac:dyDescent="0.3">
      <c r="G6411" s="1"/>
      <c r="N6411" s="1"/>
    </row>
    <row r="6412" spans="7:14" x14ac:dyDescent="0.3">
      <c r="G6412" s="1"/>
      <c r="N6412" s="1"/>
    </row>
    <row r="6413" spans="7:14" x14ac:dyDescent="0.3">
      <c r="G6413" s="1"/>
      <c r="N6413" s="1"/>
    </row>
    <row r="6414" spans="7:14" x14ac:dyDescent="0.3">
      <c r="G6414" s="1"/>
      <c r="N6414" s="1"/>
    </row>
    <row r="6415" spans="7:14" x14ac:dyDescent="0.3">
      <c r="G6415" s="1"/>
      <c r="N6415" s="1"/>
    </row>
    <row r="6416" spans="7:14" x14ac:dyDescent="0.3">
      <c r="G6416" s="1"/>
      <c r="N6416" s="1"/>
    </row>
    <row r="6417" spans="7:14" x14ac:dyDescent="0.3">
      <c r="G6417" s="1"/>
      <c r="N6417" s="1"/>
    </row>
    <row r="6418" spans="7:14" x14ac:dyDescent="0.3">
      <c r="G6418" s="1"/>
      <c r="N6418" s="1"/>
    </row>
    <row r="6419" spans="7:14" x14ac:dyDescent="0.3">
      <c r="G6419" s="1"/>
      <c r="N6419" s="1"/>
    </row>
    <row r="6420" spans="7:14" x14ac:dyDescent="0.3">
      <c r="G6420" s="1"/>
      <c r="N6420" s="1"/>
    </row>
    <row r="6421" spans="7:14" x14ac:dyDescent="0.3">
      <c r="G6421" s="1"/>
      <c r="N6421" s="1"/>
    </row>
    <row r="6422" spans="7:14" x14ac:dyDescent="0.3">
      <c r="G6422" s="1"/>
      <c r="N6422" s="1"/>
    </row>
    <row r="6423" spans="7:14" x14ac:dyDescent="0.3">
      <c r="G6423" s="1"/>
      <c r="N6423" s="1"/>
    </row>
    <row r="6424" spans="7:14" x14ac:dyDescent="0.3">
      <c r="G6424" s="1"/>
      <c r="N6424" s="1"/>
    </row>
    <row r="6425" spans="7:14" x14ac:dyDescent="0.3">
      <c r="G6425" s="1"/>
      <c r="N6425" s="1"/>
    </row>
    <row r="6426" spans="7:14" x14ac:dyDescent="0.3">
      <c r="G6426" s="1"/>
      <c r="N6426" s="1"/>
    </row>
    <row r="6427" spans="7:14" x14ac:dyDescent="0.3">
      <c r="G6427" s="1"/>
      <c r="N6427" s="1"/>
    </row>
    <row r="6428" spans="7:14" x14ac:dyDescent="0.3">
      <c r="G6428" s="1"/>
      <c r="N6428" s="1"/>
    </row>
    <row r="6429" spans="7:14" x14ac:dyDescent="0.3">
      <c r="G6429" s="1"/>
      <c r="N6429" s="1"/>
    </row>
    <row r="6430" spans="7:14" x14ac:dyDescent="0.3">
      <c r="G6430" s="1"/>
      <c r="N6430" s="1"/>
    </row>
    <row r="6431" spans="7:14" x14ac:dyDescent="0.3">
      <c r="G6431" s="1"/>
      <c r="N6431" s="1"/>
    </row>
    <row r="6432" spans="7:14" x14ac:dyDescent="0.3">
      <c r="G6432" s="1"/>
      <c r="N6432" s="1"/>
    </row>
    <row r="6433" spans="7:14" x14ac:dyDescent="0.3">
      <c r="G6433" s="1"/>
      <c r="N6433" s="1"/>
    </row>
    <row r="6434" spans="7:14" x14ac:dyDescent="0.3">
      <c r="G6434" s="1"/>
      <c r="N6434" s="1"/>
    </row>
    <row r="6435" spans="7:14" x14ac:dyDescent="0.3">
      <c r="G6435" s="1"/>
      <c r="N6435" s="1"/>
    </row>
    <row r="6436" spans="7:14" x14ac:dyDescent="0.3">
      <c r="G6436" s="1"/>
      <c r="N6436" s="1"/>
    </row>
    <row r="6437" spans="7:14" x14ac:dyDescent="0.3">
      <c r="G6437" s="1"/>
      <c r="N6437" s="1"/>
    </row>
    <row r="6438" spans="7:14" x14ac:dyDescent="0.3">
      <c r="G6438" s="1"/>
      <c r="N6438" s="1"/>
    </row>
    <row r="6439" spans="7:14" x14ac:dyDescent="0.3">
      <c r="G6439" s="1"/>
      <c r="N6439" s="1"/>
    </row>
    <row r="6440" spans="7:14" x14ac:dyDescent="0.3">
      <c r="G6440" s="1"/>
      <c r="N6440" s="1"/>
    </row>
    <row r="6441" spans="7:14" x14ac:dyDescent="0.3">
      <c r="G6441" s="1"/>
      <c r="N6441" s="1"/>
    </row>
    <row r="6442" spans="7:14" x14ac:dyDescent="0.3">
      <c r="G6442" s="1"/>
      <c r="N6442" s="1"/>
    </row>
    <row r="6443" spans="7:14" x14ac:dyDescent="0.3">
      <c r="G6443" s="1"/>
      <c r="N6443" s="1"/>
    </row>
    <row r="6444" spans="7:14" x14ac:dyDescent="0.3">
      <c r="G6444" s="1"/>
      <c r="N6444" s="1"/>
    </row>
    <row r="6445" spans="7:14" x14ac:dyDescent="0.3">
      <c r="G6445" s="1"/>
      <c r="N6445" s="1"/>
    </row>
    <row r="6446" spans="7:14" x14ac:dyDescent="0.3">
      <c r="G6446" s="1"/>
      <c r="N6446" s="1"/>
    </row>
    <row r="6447" spans="7:14" x14ac:dyDescent="0.3">
      <c r="G6447" s="1"/>
      <c r="N6447" s="1"/>
    </row>
    <row r="6448" spans="7:14" x14ac:dyDescent="0.3">
      <c r="G6448" s="1"/>
      <c r="N6448" s="1"/>
    </row>
    <row r="6449" spans="7:14" x14ac:dyDescent="0.3">
      <c r="G6449" s="1"/>
      <c r="N6449" s="1"/>
    </row>
    <row r="6450" spans="7:14" x14ac:dyDescent="0.3">
      <c r="G6450" s="1"/>
      <c r="N6450" s="1"/>
    </row>
    <row r="6451" spans="7:14" x14ac:dyDescent="0.3">
      <c r="G6451" s="1"/>
      <c r="N6451" s="1"/>
    </row>
    <row r="6452" spans="7:14" x14ac:dyDescent="0.3">
      <c r="G6452" s="1"/>
      <c r="N6452" s="1"/>
    </row>
    <row r="6453" spans="7:14" x14ac:dyDescent="0.3">
      <c r="G6453" s="1"/>
      <c r="N6453" s="1"/>
    </row>
    <row r="6454" spans="7:14" x14ac:dyDescent="0.3">
      <c r="G6454" s="1"/>
      <c r="N6454" s="1"/>
    </row>
    <row r="6455" spans="7:14" x14ac:dyDescent="0.3">
      <c r="G6455" s="1"/>
      <c r="N6455" s="1"/>
    </row>
    <row r="6456" spans="7:14" x14ac:dyDescent="0.3">
      <c r="G6456" s="1"/>
      <c r="N6456" s="1"/>
    </row>
    <row r="6457" spans="7:14" x14ac:dyDescent="0.3">
      <c r="G6457" s="1"/>
      <c r="N6457" s="1"/>
    </row>
    <row r="6458" spans="7:14" x14ac:dyDescent="0.3">
      <c r="G6458" s="1"/>
      <c r="N6458" s="1"/>
    </row>
    <row r="6459" spans="7:14" x14ac:dyDescent="0.3">
      <c r="G6459" s="1"/>
      <c r="N6459" s="1"/>
    </row>
    <row r="6460" spans="7:14" x14ac:dyDescent="0.3">
      <c r="G6460" s="1"/>
      <c r="N6460" s="1"/>
    </row>
    <row r="6461" spans="7:14" x14ac:dyDescent="0.3">
      <c r="G6461" s="1"/>
      <c r="N6461" s="1"/>
    </row>
    <row r="6462" spans="7:14" x14ac:dyDescent="0.3">
      <c r="G6462" s="1"/>
      <c r="N6462" s="1"/>
    </row>
    <row r="6463" spans="7:14" x14ac:dyDescent="0.3">
      <c r="G6463" s="1"/>
      <c r="N6463" s="1"/>
    </row>
    <row r="6464" spans="7:14" x14ac:dyDescent="0.3">
      <c r="G6464" s="1"/>
      <c r="N6464" s="1"/>
    </row>
    <row r="6465" spans="7:14" x14ac:dyDescent="0.3">
      <c r="G6465" s="1"/>
      <c r="N6465" s="1"/>
    </row>
    <row r="6466" spans="7:14" x14ac:dyDescent="0.3">
      <c r="G6466" s="1"/>
      <c r="N6466" s="1"/>
    </row>
    <row r="6467" spans="7:14" x14ac:dyDescent="0.3">
      <c r="G6467" s="1"/>
      <c r="N6467" s="1"/>
    </row>
    <row r="6468" spans="7:14" x14ac:dyDescent="0.3">
      <c r="G6468" s="1"/>
      <c r="N6468" s="1"/>
    </row>
    <row r="6469" spans="7:14" x14ac:dyDescent="0.3">
      <c r="G6469" s="1"/>
      <c r="N6469" s="1"/>
    </row>
    <row r="6470" spans="7:14" x14ac:dyDescent="0.3">
      <c r="G6470" s="1"/>
      <c r="N6470" s="1"/>
    </row>
    <row r="6471" spans="7:14" x14ac:dyDescent="0.3">
      <c r="G6471" s="1"/>
      <c r="N6471" s="1"/>
    </row>
    <row r="6472" spans="7:14" x14ac:dyDescent="0.3">
      <c r="G6472" s="1"/>
      <c r="N6472" s="1"/>
    </row>
    <row r="6473" spans="7:14" x14ac:dyDescent="0.3">
      <c r="G6473" s="1"/>
      <c r="N6473" s="1"/>
    </row>
    <row r="6474" spans="7:14" x14ac:dyDescent="0.3">
      <c r="G6474" s="1"/>
      <c r="N6474" s="1"/>
    </row>
    <row r="6475" spans="7:14" x14ac:dyDescent="0.3">
      <c r="G6475" s="1"/>
      <c r="N6475" s="1"/>
    </row>
    <row r="6476" spans="7:14" x14ac:dyDescent="0.3">
      <c r="G6476" s="1"/>
      <c r="N6476" s="1"/>
    </row>
    <row r="6477" spans="7:14" x14ac:dyDescent="0.3">
      <c r="G6477" s="1"/>
      <c r="N6477" s="1"/>
    </row>
    <row r="6478" spans="7:14" x14ac:dyDescent="0.3">
      <c r="G6478" s="1"/>
      <c r="N6478" s="1"/>
    </row>
    <row r="6479" spans="7:14" x14ac:dyDescent="0.3">
      <c r="G6479" s="1"/>
      <c r="N6479" s="1"/>
    </row>
    <row r="6480" spans="7:14" x14ac:dyDescent="0.3">
      <c r="G6480" s="1"/>
      <c r="N6480" s="1"/>
    </row>
    <row r="6481" spans="7:14" x14ac:dyDescent="0.3">
      <c r="G6481" s="1"/>
      <c r="N6481" s="1"/>
    </row>
    <row r="6482" spans="7:14" x14ac:dyDescent="0.3">
      <c r="G6482" s="1"/>
      <c r="N6482" s="1"/>
    </row>
    <row r="6483" spans="7:14" x14ac:dyDescent="0.3">
      <c r="G6483" s="1"/>
      <c r="N6483" s="1"/>
    </row>
    <row r="6484" spans="7:14" x14ac:dyDescent="0.3">
      <c r="G6484" s="1"/>
      <c r="N6484" s="1"/>
    </row>
    <row r="6485" spans="7:14" x14ac:dyDescent="0.3">
      <c r="G6485" s="1"/>
      <c r="N6485" s="1"/>
    </row>
    <row r="6486" spans="7:14" x14ac:dyDescent="0.3">
      <c r="G6486" s="1"/>
      <c r="N6486" s="1"/>
    </row>
    <row r="6487" spans="7:14" x14ac:dyDescent="0.3">
      <c r="G6487" s="1"/>
      <c r="N6487" s="1"/>
    </row>
    <row r="6488" spans="7:14" x14ac:dyDescent="0.3">
      <c r="G6488" s="1"/>
      <c r="N6488" s="1"/>
    </row>
    <row r="6489" spans="7:14" x14ac:dyDescent="0.3">
      <c r="G6489" s="1"/>
      <c r="N6489" s="1"/>
    </row>
    <row r="6490" spans="7:14" x14ac:dyDescent="0.3">
      <c r="G6490" s="1"/>
      <c r="N6490" s="1"/>
    </row>
    <row r="6491" spans="7:14" x14ac:dyDescent="0.3">
      <c r="G6491" s="1"/>
      <c r="N6491" s="1"/>
    </row>
    <row r="6492" spans="7:14" x14ac:dyDescent="0.3">
      <c r="G6492" s="1"/>
      <c r="N6492" s="1"/>
    </row>
    <row r="6493" spans="7:14" x14ac:dyDescent="0.3">
      <c r="G6493" s="1"/>
      <c r="N6493" s="1"/>
    </row>
    <row r="6494" spans="7:14" x14ac:dyDescent="0.3">
      <c r="G6494" s="1"/>
      <c r="N6494" s="1"/>
    </row>
    <row r="6495" spans="7:14" x14ac:dyDescent="0.3">
      <c r="G6495" s="1"/>
      <c r="N6495" s="1"/>
    </row>
    <row r="6496" spans="7:14" x14ac:dyDescent="0.3">
      <c r="G6496" s="1"/>
      <c r="N6496" s="1"/>
    </row>
    <row r="6497" spans="7:14" x14ac:dyDescent="0.3">
      <c r="G6497" s="1"/>
      <c r="N6497" s="1"/>
    </row>
    <row r="6498" spans="7:14" x14ac:dyDescent="0.3">
      <c r="G6498" s="1"/>
      <c r="N6498" s="1"/>
    </row>
    <row r="6499" spans="7:14" x14ac:dyDescent="0.3">
      <c r="G6499" s="1"/>
      <c r="N6499" s="1"/>
    </row>
    <row r="6500" spans="7:14" x14ac:dyDescent="0.3">
      <c r="G6500" s="1"/>
      <c r="N6500" s="1"/>
    </row>
    <row r="6501" spans="7:14" x14ac:dyDescent="0.3">
      <c r="G6501" s="1"/>
      <c r="N6501" s="1"/>
    </row>
    <row r="6502" spans="7:14" x14ac:dyDescent="0.3">
      <c r="G6502" s="1"/>
      <c r="N6502" s="1"/>
    </row>
    <row r="6503" spans="7:14" x14ac:dyDescent="0.3">
      <c r="G6503" s="1"/>
      <c r="N6503" s="1"/>
    </row>
    <row r="6504" spans="7:14" x14ac:dyDescent="0.3">
      <c r="G6504" s="1"/>
      <c r="N6504" s="1"/>
    </row>
    <row r="6505" spans="7:14" x14ac:dyDescent="0.3">
      <c r="G6505" s="1"/>
      <c r="N6505" s="1"/>
    </row>
    <row r="6506" spans="7:14" x14ac:dyDescent="0.3">
      <c r="G6506" s="1"/>
      <c r="N6506" s="1"/>
    </row>
    <row r="6507" spans="7:14" x14ac:dyDescent="0.3">
      <c r="G6507" s="1"/>
      <c r="N6507" s="1"/>
    </row>
    <row r="6508" spans="7:14" x14ac:dyDescent="0.3">
      <c r="G6508" s="1"/>
      <c r="N6508" s="1"/>
    </row>
    <row r="6509" spans="7:14" x14ac:dyDescent="0.3">
      <c r="G6509" s="1"/>
      <c r="N6509" s="1"/>
    </row>
    <row r="6510" spans="7:14" x14ac:dyDescent="0.3">
      <c r="G6510" s="1"/>
      <c r="N6510" s="1"/>
    </row>
    <row r="6511" spans="7:14" x14ac:dyDescent="0.3">
      <c r="G6511" s="1"/>
      <c r="N6511" s="1"/>
    </row>
    <row r="6512" spans="7:14" x14ac:dyDescent="0.3">
      <c r="G6512" s="1"/>
      <c r="N6512" s="1"/>
    </row>
    <row r="6513" spans="7:14" x14ac:dyDescent="0.3">
      <c r="G6513" s="1"/>
      <c r="N6513" s="1"/>
    </row>
    <row r="6514" spans="7:14" x14ac:dyDescent="0.3">
      <c r="G6514" s="1"/>
      <c r="N6514" s="1"/>
    </row>
    <row r="6515" spans="7:14" x14ac:dyDescent="0.3">
      <c r="G6515" s="1"/>
      <c r="N6515" s="1"/>
    </row>
    <row r="6516" spans="7:14" x14ac:dyDescent="0.3">
      <c r="G6516" s="1"/>
      <c r="N6516" s="1"/>
    </row>
    <row r="6517" spans="7:14" x14ac:dyDescent="0.3">
      <c r="G6517" s="1"/>
      <c r="N6517" s="1"/>
    </row>
    <row r="6518" spans="7:14" x14ac:dyDescent="0.3">
      <c r="G6518" s="1"/>
      <c r="N6518" s="1"/>
    </row>
    <row r="6519" spans="7:14" x14ac:dyDescent="0.3">
      <c r="G6519" s="1"/>
      <c r="N6519" s="1"/>
    </row>
    <row r="6520" spans="7:14" x14ac:dyDescent="0.3">
      <c r="G6520" s="1"/>
      <c r="N6520" s="1"/>
    </row>
    <row r="6521" spans="7:14" x14ac:dyDescent="0.3">
      <c r="G6521" s="1"/>
      <c r="N6521" s="1"/>
    </row>
    <row r="6522" spans="7:14" x14ac:dyDescent="0.3">
      <c r="G6522" s="1"/>
      <c r="N6522" s="1"/>
    </row>
    <row r="6523" spans="7:14" x14ac:dyDescent="0.3">
      <c r="G6523" s="1"/>
      <c r="N6523" s="1"/>
    </row>
    <row r="6524" spans="7:14" x14ac:dyDescent="0.3">
      <c r="G6524" s="1"/>
      <c r="N6524" s="1"/>
    </row>
    <row r="6525" spans="7:14" x14ac:dyDescent="0.3">
      <c r="G6525" s="1"/>
      <c r="N6525" s="1"/>
    </row>
    <row r="6526" spans="7:14" x14ac:dyDescent="0.3">
      <c r="G6526" s="1"/>
      <c r="N6526" s="1"/>
    </row>
    <row r="6527" spans="7:14" x14ac:dyDescent="0.3">
      <c r="G6527" s="1"/>
      <c r="N6527" s="1"/>
    </row>
    <row r="6528" spans="7:14" x14ac:dyDescent="0.3">
      <c r="G6528" s="1"/>
      <c r="N6528" s="1"/>
    </row>
    <row r="6529" spans="7:14" x14ac:dyDescent="0.3">
      <c r="G6529" s="1"/>
      <c r="N6529" s="1"/>
    </row>
    <row r="6530" spans="7:14" x14ac:dyDescent="0.3">
      <c r="G6530" s="1"/>
      <c r="N6530" s="1"/>
    </row>
    <row r="6531" spans="7:14" x14ac:dyDescent="0.3">
      <c r="G6531" s="1"/>
      <c r="N6531" s="1"/>
    </row>
    <row r="6532" spans="7:14" x14ac:dyDescent="0.3">
      <c r="G6532" s="1"/>
      <c r="N6532" s="1"/>
    </row>
    <row r="6533" spans="7:14" x14ac:dyDescent="0.3">
      <c r="G6533" s="1"/>
      <c r="N6533" s="1"/>
    </row>
    <row r="6534" spans="7:14" x14ac:dyDescent="0.3">
      <c r="G6534" s="1"/>
      <c r="N6534" s="1"/>
    </row>
    <row r="6535" spans="7:14" x14ac:dyDescent="0.3">
      <c r="G6535" s="1"/>
      <c r="N6535" s="1"/>
    </row>
    <row r="6536" spans="7:14" x14ac:dyDescent="0.3">
      <c r="G6536" s="1"/>
      <c r="N6536" s="1"/>
    </row>
    <row r="6537" spans="7:14" x14ac:dyDescent="0.3">
      <c r="G6537" s="1"/>
      <c r="N6537" s="1"/>
    </row>
    <row r="6538" spans="7:14" x14ac:dyDescent="0.3">
      <c r="G6538" s="1"/>
      <c r="N6538" s="1"/>
    </row>
    <row r="6539" spans="7:14" x14ac:dyDescent="0.3">
      <c r="G6539" s="1"/>
      <c r="N6539" s="1"/>
    </row>
    <row r="6540" spans="7:14" x14ac:dyDescent="0.3">
      <c r="G6540" s="1"/>
      <c r="N6540" s="1"/>
    </row>
    <row r="6541" spans="7:14" x14ac:dyDescent="0.3">
      <c r="G6541" s="1"/>
      <c r="N6541" s="1"/>
    </row>
    <row r="6542" spans="7:14" x14ac:dyDescent="0.3">
      <c r="G6542" s="1"/>
      <c r="N6542" s="1"/>
    </row>
    <row r="6543" spans="7:14" x14ac:dyDescent="0.3">
      <c r="G6543" s="1"/>
      <c r="N6543" s="1"/>
    </row>
    <row r="6544" spans="7:14" x14ac:dyDescent="0.3">
      <c r="G6544" s="1"/>
      <c r="N6544" s="1"/>
    </row>
    <row r="6545" spans="7:14" x14ac:dyDescent="0.3">
      <c r="G6545" s="1"/>
      <c r="N6545" s="1"/>
    </row>
    <row r="6546" spans="7:14" x14ac:dyDescent="0.3">
      <c r="G6546" s="1"/>
      <c r="N6546" s="1"/>
    </row>
    <row r="6547" spans="7:14" x14ac:dyDescent="0.3">
      <c r="G6547" s="1"/>
      <c r="N6547" s="1"/>
    </row>
    <row r="6548" spans="7:14" x14ac:dyDescent="0.3">
      <c r="G6548" s="1"/>
      <c r="N6548" s="1"/>
    </row>
    <row r="6549" spans="7:14" x14ac:dyDescent="0.3">
      <c r="G6549" s="1"/>
      <c r="N6549" s="1"/>
    </row>
    <row r="6550" spans="7:14" x14ac:dyDescent="0.3">
      <c r="G6550" s="1"/>
      <c r="N6550" s="1"/>
    </row>
    <row r="6551" spans="7:14" x14ac:dyDescent="0.3">
      <c r="G6551" s="1"/>
      <c r="N6551" s="1"/>
    </row>
    <row r="6552" spans="7:14" x14ac:dyDescent="0.3">
      <c r="G6552" s="1"/>
      <c r="N6552" s="1"/>
    </row>
    <row r="6553" spans="7:14" x14ac:dyDescent="0.3">
      <c r="G6553" s="1"/>
      <c r="N6553" s="1"/>
    </row>
    <row r="6554" spans="7:14" x14ac:dyDescent="0.3">
      <c r="G6554" s="1"/>
      <c r="N6554" s="1"/>
    </row>
    <row r="6555" spans="7:14" x14ac:dyDescent="0.3">
      <c r="G6555" s="1"/>
      <c r="N6555" s="1"/>
    </row>
    <row r="6556" spans="7:14" x14ac:dyDescent="0.3">
      <c r="G6556" s="1"/>
      <c r="N6556" s="1"/>
    </row>
    <row r="6557" spans="7:14" x14ac:dyDescent="0.3">
      <c r="G6557" s="1"/>
      <c r="N6557" s="1"/>
    </row>
    <row r="6558" spans="7:14" x14ac:dyDescent="0.3">
      <c r="G6558" s="1"/>
      <c r="N6558" s="1"/>
    </row>
    <row r="6559" spans="7:14" x14ac:dyDescent="0.3">
      <c r="G6559" s="1"/>
      <c r="N6559" s="1"/>
    </row>
    <row r="6560" spans="7:14" x14ac:dyDescent="0.3">
      <c r="G6560" s="1"/>
      <c r="N6560" s="1"/>
    </row>
    <row r="6561" spans="7:14" x14ac:dyDescent="0.3">
      <c r="G6561" s="1"/>
      <c r="N6561" s="1"/>
    </row>
    <row r="6562" spans="7:14" x14ac:dyDescent="0.3">
      <c r="G6562" s="1"/>
      <c r="N6562" s="1"/>
    </row>
    <row r="6563" spans="7:14" x14ac:dyDescent="0.3">
      <c r="G6563" s="1"/>
      <c r="N6563" s="1"/>
    </row>
    <row r="6564" spans="7:14" x14ac:dyDescent="0.3">
      <c r="G6564" s="1"/>
      <c r="N6564" s="1"/>
    </row>
    <row r="6565" spans="7:14" x14ac:dyDescent="0.3">
      <c r="G6565" s="1"/>
      <c r="N6565" s="1"/>
    </row>
    <row r="6566" spans="7:14" x14ac:dyDescent="0.3">
      <c r="G6566" s="1"/>
      <c r="N6566" s="1"/>
    </row>
    <row r="6567" spans="7:14" x14ac:dyDescent="0.3">
      <c r="G6567" s="1"/>
      <c r="N6567" s="1"/>
    </row>
    <row r="6568" spans="7:14" x14ac:dyDescent="0.3">
      <c r="G6568" s="1"/>
      <c r="N6568" s="1"/>
    </row>
    <row r="6569" spans="7:14" x14ac:dyDescent="0.3">
      <c r="G6569" s="1"/>
      <c r="N6569" s="1"/>
    </row>
    <row r="6570" spans="7:14" x14ac:dyDescent="0.3">
      <c r="G6570" s="1"/>
      <c r="N6570" s="1"/>
    </row>
    <row r="6571" spans="7:14" x14ac:dyDescent="0.3">
      <c r="G6571" s="1"/>
      <c r="N6571" s="1"/>
    </row>
    <row r="6572" spans="7:14" x14ac:dyDescent="0.3">
      <c r="G6572" s="1"/>
      <c r="N6572" s="1"/>
    </row>
    <row r="6573" spans="7:14" x14ac:dyDescent="0.3">
      <c r="G6573" s="1"/>
      <c r="N6573" s="1"/>
    </row>
    <row r="6574" spans="7:14" x14ac:dyDescent="0.3">
      <c r="G6574" s="1"/>
      <c r="N6574" s="1"/>
    </row>
    <row r="6575" spans="7:14" x14ac:dyDescent="0.3">
      <c r="G6575" s="1"/>
      <c r="N6575" s="1"/>
    </row>
    <row r="6576" spans="7:14" x14ac:dyDescent="0.3">
      <c r="G6576" s="1"/>
      <c r="N6576" s="1"/>
    </row>
    <row r="6577" spans="7:14" x14ac:dyDescent="0.3">
      <c r="G6577" s="1"/>
      <c r="N6577" s="1"/>
    </row>
    <row r="6578" spans="7:14" x14ac:dyDescent="0.3">
      <c r="G6578" s="1"/>
      <c r="N6578" s="1"/>
    </row>
    <row r="6579" spans="7:14" x14ac:dyDescent="0.3">
      <c r="G6579" s="1"/>
      <c r="N6579" s="1"/>
    </row>
    <row r="6580" spans="7:14" x14ac:dyDescent="0.3">
      <c r="G6580" s="1"/>
      <c r="N6580" s="1"/>
    </row>
    <row r="6581" spans="7:14" x14ac:dyDescent="0.3">
      <c r="G6581" s="1"/>
      <c r="N6581" s="1"/>
    </row>
    <row r="6582" spans="7:14" x14ac:dyDescent="0.3">
      <c r="G6582" s="1"/>
      <c r="N6582" s="1"/>
    </row>
    <row r="6583" spans="7:14" x14ac:dyDescent="0.3">
      <c r="G6583" s="1"/>
      <c r="N6583" s="1"/>
    </row>
    <row r="6584" spans="7:14" x14ac:dyDescent="0.3">
      <c r="G6584" s="1"/>
      <c r="N6584" s="1"/>
    </row>
    <row r="6585" spans="7:14" x14ac:dyDescent="0.3">
      <c r="G6585" s="1"/>
      <c r="N6585" s="1"/>
    </row>
    <row r="6586" spans="7:14" x14ac:dyDescent="0.3">
      <c r="G6586" s="1"/>
      <c r="N6586" s="1"/>
    </row>
    <row r="6587" spans="7:14" x14ac:dyDescent="0.3">
      <c r="G6587" s="1"/>
      <c r="N6587" s="1"/>
    </row>
    <row r="6588" spans="7:14" x14ac:dyDescent="0.3">
      <c r="G6588" s="1"/>
      <c r="N6588" s="1"/>
    </row>
    <row r="6589" spans="7:14" x14ac:dyDescent="0.3">
      <c r="G6589" s="1"/>
      <c r="N6589" s="1"/>
    </row>
    <row r="6590" spans="7:14" x14ac:dyDescent="0.3">
      <c r="G6590" s="1"/>
      <c r="N6590" s="1"/>
    </row>
    <row r="6591" spans="7:14" x14ac:dyDescent="0.3">
      <c r="G6591" s="1"/>
      <c r="N6591" s="1"/>
    </row>
    <row r="6592" spans="7:14" x14ac:dyDescent="0.3">
      <c r="G6592" s="1"/>
      <c r="N6592" s="1"/>
    </row>
    <row r="6593" spans="7:14" x14ac:dyDescent="0.3">
      <c r="G6593" s="1"/>
      <c r="N6593" s="1"/>
    </row>
    <row r="6594" spans="7:14" x14ac:dyDescent="0.3">
      <c r="G6594" s="1"/>
      <c r="N6594" s="1"/>
    </row>
    <row r="6595" spans="7:14" x14ac:dyDescent="0.3">
      <c r="G6595" s="1"/>
      <c r="N6595" s="1"/>
    </row>
    <row r="6596" spans="7:14" x14ac:dyDescent="0.3">
      <c r="G6596" s="1"/>
      <c r="N6596" s="1"/>
    </row>
    <row r="6597" spans="7:14" x14ac:dyDescent="0.3">
      <c r="G6597" s="1"/>
      <c r="N6597" s="1"/>
    </row>
    <row r="6598" spans="7:14" x14ac:dyDescent="0.3">
      <c r="G6598" s="1"/>
      <c r="N6598" s="1"/>
    </row>
    <row r="6599" spans="7:14" x14ac:dyDescent="0.3">
      <c r="G6599" s="1"/>
      <c r="N6599" s="1"/>
    </row>
    <row r="6600" spans="7:14" x14ac:dyDescent="0.3">
      <c r="G6600" s="1"/>
      <c r="N6600" s="1"/>
    </row>
    <row r="6601" spans="7:14" x14ac:dyDescent="0.3">
      <c r="G6601" s="1"/>
      <c r="N6601" s="1"/>
    </row>
    <row r="6602" spans="7:14" x14ac:dyDescent="0.3">
      <c r="G6602" s="1"/>
      <c r="N6602" s="1"/>
    </row>
    <row r="6603" spans="7:14" x14ac:dyDescent="0.3">
      <c r="G6603" s="1"/>
      <c r="N6603" s="1"/>
    </row>
    <row r="6604" spans="7:14" x14ac:dyDescent="0.3">
      <c r="G6604" s="1"/>
      <c r="N6604" s="1"/>
    </row>
    <row r="6605" spans="7:14" x14ac:dyDescent="0.3">
      <c r="G6605" s="1"/>
      <c r="N6605" s="1"/>
    </row>
    <row r="6606" spans="7:14" x14ac:dyDescent="0.3">
      <c r="G6606" s="1"/>
      <c r="N6606" s="1"/>
    </row>
    <row r="6607" spans="7:14" x14ac:dyDescent="0.3">
      <c r="G6607" s="1"/>
      <c r="N6607" s="1"/>
    </row>
    <row r="6608" spans="7:14" x14ac:dyDescent="0.3">
      <c r="G6608" s="1"/>
      <c r="N6608" s="1"/>
    </row>
    <row r="6609" spans="7:14" x14ac:dyDescent="0.3">
      <c r="G6609" s="1"/>
      <c r="N6609" s="1"/>
    </row>
    <row r="6610" spans="7:14" x14ac:dyDescent="0.3">
      <c r="G6610" s="1"/>
      <c r="N6610" s="1"/>
    </row>
    <row r="6611" spans="7:14" x14ac:dyDescent="0.3">
      <c r="G6611" s="1"/>
      <c r="N6611" s="1"/>
    </row>
    <row r="6612" spans="7:14" x14ac:dyDescent="0.3">
      <c r="G6612" s="1"/>
      <c r="N6612" s="1"/>
    </row>
    <row r="6613" spans="7:14" x14ac:dyDescent="0.3">
      <c r="G6613" s="1"/>
      <c r="N6613" s="1"/>
    </row>
    <row r="6614" spans="7:14" x14ac:dyDescent="0.3">
      <c r="G6614" s="1"/>
      <c r="N6614" s="1"/>
    </row>
    <row r="6615" spans="7:14" x14ac:dyDescent="0.3">
      <c r="G6615" s="1"/>
      <c r="N6615" s="1"/>
    </row>
    <row r="6616" spans="7:14" x14ac:dyDescent="0.3">
      <c r="G6616" s="1"/>
      <c r="N6616" s="1"/>
    </row>
    <row r="6617" spans="7:14" x14ac:dyDescent="0.3">
      <c r="G6617" s="1"/>
      <c r="N6617" s="1"/>
    </row>
    <row r="6618" spans="7:14" x14ac:dyDescent="0.3">
      <c r="G6618" s="1"/>
      <c r="N6618" s="1"/>
    </row>
    <row r="6619" spans="7:14" x14ac:dyDescent="0.3">
      <c r="G6619" s="1"/>
      <c r="N6619" s="1"/>
    </row>
    <row r="6620" spans="7:14" x14ac:dyDescent="0.3">
      <c r="G6620" s="1"/>
      <c r="N6620" s="1"/>
    </row>
    <row r="6621" spans="7:14" x14ac:dyDescent="0.3">
      <c r="G6621" s="1"/>
      <c r="N6621" s="1"/>
    </row>
    <row r="6622" spans="7:14" x14ac:dyDescent="0.3">
      <c r="G6622" s="1"/>
      <c r="N6622" s="1"/>
    </row>
    <row r="6623" spans="7:14" x14ac:dyDescent="0.3">
      <c r="G6623" s="1"/>
      <c r="N6623" s="1"/>
    </row>
    <row r="6624" spans="7:14" x14ac:dyDescent="0.3">
      <c r="G6624" s="1"/>
      <c r="N6624" s="1"/>
    </row>
    <row r="6625" spans="7:14" x14ac:dyDescent="0.3">
      <c r="G6625" s="1"/>
      <c r="N6625" s="1"/>
    </row>
    <row r="6626" spans="7:14" x14ac:dyDescent="0.3">
      <c r="G6626" s="1"/>
      <c r="N6626" s="1"/>
    </row>
    <row r="6627" spans="7:14" x14ac:dyDescent="0.3">
      <c r="G6627" s="1"/>
      <c r="N6627" s="1"/>
    </row>
    <row r="6628" spans="7:14" x14ac:dyDescent="0.3">
      <c r="G6628" s="1"/>
      <c r="N6628" s="1"/>
    </row>
    <row r="6629" spans="7:14" x14ac:dyDescent="0.3">
      <c r="G6629" s="1"/>
      <c r="N6629" s="1"/>
    </row>
    <row r="6630" spans="7:14" x14ac:dyDescent="0.3">
      <c r="G6630" s="1"/>
      <c r="N6630" s="1"/>
    </row>
    <row r="6631" spans="7:14" x14ac:dyDescent="0.3">
      <c r="G6631" s="1"/>
      <c r="N6631" s="1"/>
    </row>
    <row r="6632" spans="7:14" x14ac:dyDescent="0.3">
      <c r="G6632" s="1"/>
      <c r="N6632" s="1"/>
    </row>
    <row r="6633" spans="7:14" x14ac:dyDescent="0.3">
      <c r="G6633" s="1"/>
      <c r="N6633" s="1"/>
    </row>
    <row r="6634" spans="7:14" x14ac:dyDescent="0.3">
      <c r="G6634" s="1"/>
      <c r="N6634" s="1"/>
    </row>
    <row r="6635" spans="7:14" x14ac:dyDescent="0.3">
      <c r="G6635" s="1"/>
      <c r="N6635" s="1"/>
    </row>
    <row r="6636" spans="7:14" x14ac:dyDescent="0.3">
      <c r="G6636" s="1"/>
      <c r="N6636" s="1"/>
    </row>
    <row r="6637" spans="7:14" x14ac:dyDescent="0.3">
      <c r="G6637" s="1"/>
      <c r="N6637" s="1"/>
    </row>
    <row r="6638" spans="7:14" x14ac:dyDescent="0.3">
      <c r="G6638" s="1"/>
      <c r="N6638" s="1"/>
    </row>
    <row r="6639" spans="7:14" x14ac:dyDescent="0.3">
      <c r="G6639" s="1"/>
      <c r="N6639" s="1"/>
    </row>
    <row r="6640" spans="7:14" x14ac:dyDescent="0.3">
      <c r="G6640" s="1"/>
      <c r="N6640" s="1"/>
    </row>
    <row r="6641" spans="7:14" x14ac:dyDescent="0.3">
      <c r="G6641" s="1"/>
      <c r="N6641" s="1"/>
    </row>
    <row r="6642" spans="7:14" x14ac:dyDescent="0.3">
      <c r="G6642" s="1"/>
      <c r="N6642" s="1"/>
    </row>
    <row r="6643" spans="7:14" x14ac:dyDescent="0.3">
      <c r="G6643" s="1"/>
      <c r="N6643" s="1"/>
    </row>
    <row r="6644" spans="7:14" x14ac:dyDescent="0.3">
      <c r="G6644" s="1"/>
      <c r="N6644" s="1"/>
    </row>
    <row r="6645" spans="7:14" x14ac:dyDescent="0.3">
      <c r="G6645" s="1"/>
      <c r="N6645" s="1"/>
    </row>
    <row r="6646" spans="7:14" x14ac:dyDescent="0.3">
      <c r="G6646" s="1"/>
      <c r="N6646" s="1"/>
    </row>
    <row r="6647" spans="7:14" x14ac:dyDescent="0.3">
      <c r="G6647" s="1"/>
      <c r="N6647" s="1"/>
    </row>
    <row r="6648" spans="7:14" x14ac:dyDescent="0.3">
      <c r="G6648" s="1"/>
      <c r="N6648" s="1"/>
    </row>
    <row r="6649" spans="7:14" x14ac:dyDescent="0.3">
      <c r="G6649" s="1"/>
      <c r="N6649" s="1"/>
    </row>
    <row r="6650" spans="7:14" x14ac:dyDescent="0.3">
      <c r="G6650" s="1"/>
      <c r="N6650" s="1"/>
    </row>
    <row r="6651" spans="7:14" x14ac:dyDescent="0.3">
      <c r="G6651" s="1"/>
      <c r="N6651" s="1"/>
    </row>
    <row r="6652" spans="7:14" x14ac:dyDescent="0.3">
      <c r="G6652" s="1"/>
      <c r="N6652" s="1"/>
    </row>
    <row r="6653" spans="7:14" x14ac:dyDescent="0.3">
      <c r="G6653" s="1"/>
      <c r="N6653" s="1"/>
    </row>
    <row r="6654" spans="7:14" x14ac:dyDescent="0.3">
      <c r="G6654" s="1"/>
      <c r="N6654" s="1"/>
    </row>
    <row r="6655" spans="7:14" x14ac:dyDescent="0.3">
      <c r="G6655" s="1"/>
      <c r="N6655" s="1"/>
    </row>
    <row r="6656" spans="7:14" x14ac:dyDescent="0.3">
      <c r="G6656" s="1"/>
      <c r="N6656" s="1"/>
    </row>
    <row r="6657" spans="7:14" x14ac:dyDescent="0.3">
      <c r="G6657" s="1"/>
      <c r="N6657" s="1"/>
    </row>
    <row r="6658" spans="7:14" x14ac:dyDescent="0.3">
      <c r="G6658" s="1"/>
      <c r="N6658" s="1"/>
    </row>
    <row r="6659" spans="7:14" x14ac:dyDescent="0.3">
      <c r="G6659" s="1"/>
      <c r="N6659" s="1"/>
    </row>
    <row r="6660" spans="7:14" x14ac:dyDescent="0.3">
      <c r="G6660" s="1"/>
      <c r="N6660" s="1"/>
    </row>
    <row r="6661" spans="7:14" x14ac:dyDescent="0.3">
      <c r="G6661" s="1"/>
      <c r="N6661" s="1"/>
    </row>
    <row r="6662" spans="7:14" x14ac:dyDescent="0.3">
      <c r="G6662" s="1"/>
      <c r="N6662" s="1"/>
    </row>
    <row r="6663" spans="7:14" x14ac:dyDescent="0.3">
      <c r="G6663" s="1"/>
      <c r="N6663" s="1"/>
    </row>
    <row r="6664" spans="7:14" x14ac:dyDescent="0.3">
      <c r="G6664" s="1"/>
      <c r="N6664" s="1"/>
    </row>
    <row r="6665" spans="7:14" x14ac:dyDescent="0.3">
      <c r="G6665" s="1"/>
      <c r="N6665" s="1"/>
    </row>
    <row r="6666" spans="7:14" x14ac:dyDescent="0.3">
      <c r="G6666" s="1"/>
      <c r="N6666" s="1"/>
    </row>
    <row r="6667" spans="7:14" x14ac:dyDescent="0.3">
      <c r="G6667" s="1"/>
      <c r="N6667" s="1"/>
    </row>
    <row r="6668" spans="7:14" x14ac:dyDescent="0.3">
      <c r="G6668" s="1"/>
      <c r="N6668" s="1"/>
    </row>
    <row r="6669" spans="7:14" x14ac:dyDescent="0.3">
      <c r="G6669" s="1"/>
      <c r="N6669" s="1"/>
    </row>
    <row r="6670" spans="7:14" x14ac:dyDescent="0.3">
      <c r="G6670" s="1"/>
      <c r="N6670" s="1"/>
    </row>
    <row r="6671" spans="7:14" x14ac:dyDescent="0.3">
      <c r="G6671" s="1"/>
      <c r="N6671" s="1"/>
    </row>
    <row r="6672" spans="7:14" x14ac:dyDescent="0.3">
      <c r="G6672" s="1"/>
      <c r="N6672" s="1"/>
    </row>
    <row r="6673" spans="7:14" x14ac:dyDescent="0.3">
      <c r="G6673" s="1"/>
      <c r="N6673" s="1"/>
    </row>
    <row r="6674" spans="7:14" x14ac:dyDescent="0.3">
      <c r="G6674" s="1"/>
      <c r="N6674" s="1"/>
    </row>
    <row r="6675" spans="7:14" x14ac:dyDescent="0.3">
      <c r="G6675" s="1"/>
      <c r="N6675" s="1"/>
    </row>
    <row r="6676" spans="7:14" x14ac:dyDescent="0.3">
      <c r="G6676" s="1"/>
      <c r="N6676" s="1"/>
    </row>
    <row r="6677" spans="7:14" x14ac:dyDescent="0.3">
      <c r="G6677" s="1"/>
      <c r="N6677" s="1"/>
    </row>
    <row r="6678" spans="7:14" x14ac:dyDescent="0.3">
      <c r="G6678" s="1"/>
      <c r="N6678" s="1"/>
    </row>
    <row r="6679" spans="7:14" x14ac:dyDescent="0.3">
      <c r="G6679" s="1"/>
      <c r="N6679" s="1"/>
    </row>
    <row r="6680" spans="7:14" x14ac:dyDescent="0.3">
      <c r="G6680" s="1"/>
      <c r="N6680" s="1"/>
    </row>
    <row r="6681" spans="7:14" x14ac:dyDescent="0.3">
      <c r="G6681" s="1"/>
      <c r="N6681" s="1"/>
    </row>
    <row r="6682" spans="7:14" x14ac:dyDescent="0.3">
      <c r="G6682" s="1"/>
      <c r="N6682" s="1"/>
    </row>
    <row r="6683" spans="7:14" x14ac:dyDescent="0.3">
      <c r="G6683" s="1"/>
      <c r="N6683" s="1"/>
    </row>
    <row r="6684" spans="7:14" x14ac:dyDescent="0.3">
      <c r="G6684" s="1"/>
      <c r="N6684" s="1"/>
    </row>
    <row r="6685" spans="7:14" x14ac:dyDescent="0.3">
      <c r="G6685" s="1"/>
      <c r="N6685" s="1"/>
    </row>
    <row r="6686" spans="7:14" x14ac:dyDescent="0.3">
      <c r="G6686" s="1"/>
      <c r="N6686" s="1"/>
    </row>
    <row r="6687" spans="7:14" x14ac:dyDescent="0.3">
      <c r="G6687" s="1"/>
      <c r="N6687" s="1"/>
    </row>
    <row r="6688" spans="7:14" x14ac:dyDescent="0.3">
      <c r="G6688" s="1"/>
      <c r="N6688" s="1"/>
    </row>
    <row r="6689" spans="7:14" x14ac:dyDescent="0.3">
      <c r="G6689" s="1"/>
      <c r="N6689" s="1"/>
    </row>
    <row r="6690" spans="7:14" x14ac:dyDescent="0.3">
      <c r="G6690" s="1"/>
      <c r="N6690" s="1"/>
    </row>
    <row r="6691" spans="7:14" x14ac:dyDescent="0.3">
      <c r="G6691" s="1"/>
      <c r="N6691" s="1"/>
    </row>
    <row r="6692" spans="7:14" x14ac:dyDescent="0.3">
      <c r="G6692" s="1"/>
      <c r="N6692" s="1"/>
    </row>
    <row r="6693" spans="7:14" x14ac:dyDescent="0.3">
      <c r="G6693" s="1"/>
      <c r="N6693" s="1"/>
    </row>
    <row r="6694" spans="7:14" x14ac:dyDescent="0.3">
      <c r="G6694" s="1"/>
      <c r="N6694" s="1"/>
    </row>
    <row r="6695" spans="7:14" x14ac:dyDescent="0.3">
      <c r="G6695" s="1"/>
      <c r="N6695" s="1"/>
    </row>
    <row r="6696" spans="7:14" x14ac:dyDescent="0.3">
      <c r="G6696" s="1"/>
      <c r="N6696" s="1"/>
    </row>
    <row r="6697" spans="7:14" x14ac:dyDescent="0.3">
      <c r="G6697" s="1"/>
      <c r="N6697" s="1"/>
    </row>
    <row r="6698" spans="7:14" x14ac:dyDescent="0.3">
      <c r="G6698" s="1"/>
      <c r="N6698" s="1"/>
    </row>
    <row r="6699" spans="7:14" x14ac:dyDescent="0.3">
      <c r="G6699" s="1"/>
      <c r="N6699" s="1"/>
    </row>
    <row r="6700" spans="7:14" x14ac:dyDescent="0.3">
      <c r="G6700" s="1"/>
      <c r="N6700" s="1"/>
    </row>
    <row r="6701" spans="7:14" x14ac:dyDescent="0.3">
      <c r="G6701" s="1"/>
      <c r="N6701" s="1"/>
    </row>
    <row r="6702" spans="7:14" x14ac:dyDescent="0.3">
      <c r="G6702" s="1"/>
      <c r="N6702" s="1"/>
    </row>
    <row r="6703" spans="7:14" x14ac:dyDescent="0.3">
      <c r="G6703" s="1"/>
      <c r="N6703" s="1"/>
    </row>
    <row r="6704" spans="7:14" x14ac:dyDescent="0.3">
      <c r="G6704" s="1"/>
      <c r="N6704" s="1"/>
    </row>
    <row r="6705" spans="7:14" x14ac:dyDescent="0.3">
      <c r="G6705" s="1"/>
      <c r="N6705" s="1"/>
    </row>
    <row r="6706" spans="7:14" x14ac:dyDescent="0.3">
      <c r="G6706" s="1"/>
      <c r="N6706" s="1"/>
    </row>
    <row r="6707" spans="7:14" x14ac:dyDescent="0.3">
      <c r="G6707" s="1"/>
      <c r="N6707" s="1"/>
    </row>
    <row r="6708" spans="7:14" x14ac:dyDescent="0.3">
      <c r="G6708" s="1"/>
      <c r="N6708" s="1"/>
    </row>
    <row r="6709" spans="7:14" x14ac:dyDescent="0.3">
      <c r="G6709" s="1"/>
      <c r="N6709" s="1"/>
    </row>
    <row r="6710" spans="7:14" x14ac:dyDescent="0.3">
      <c r="G6710" s="1"/>
      <c r="N6710" s="1"/>
    </row>
    <row r="6711" spans="7:14" x14ac:dyDescent="0.3">
      <c r="G6711" s="1"/>
      <c r="N6711" s="1"/>
    </row>
    <row r="6712" spans="7:14" x14ac:dyDescent="0.3">
      <c r="G6712" s="1"/>
      <c r="N6712" s="1"/>
    </row>
    <row r="6713" spans="7:14" x14ac:dyDescent="0.3">
      <c r="G6713" s="1"/>
      <c r="N6713" s="1"/>
    </row>
    <row r="6714" spans="7:14" x14ac:dyDescent="0.3">
      <c r="G6714" s="1"/>
      <c r="N6714" s="1"/>
    </row>
    <row r="6715" spans="7:14" x14ac:dyDescent="0.3">
      <c r="G6715" s="1"/>
      <c r="N6715" s="1"/>
    </row>
    <row r="6716" spans="7:14" x14ac:dyDescent="0.3">
      <c r="G6716" s="1"/>
      <c r="N6716" s="1"/>
    </row>
    <row r="6717" spans="7:14" x14ac:dyDescent="0.3">
      <c r="G6717" s="1"/>
      <c r="N6717" s="1"/>
    </row>
    <row r="6718" spans="7:14" x14ac:dyDescent="0.3">
      <c r="G6718" s="1"/>
      <c r="N6718" s="1"/>
    </row>
    <row r="6719" spans="7:14" x14ac:dyDescent="0.3">
      <c r="G6719" s="1"/>
      <c r="N6719" s="1"/>
    </row>
    <row r="6720" spans="7:14" x14ac:dyDescent="0.3">
      <c r="G6720" s="1"/>
      <c r="N6720" s="1"/>
    </row>
    <row r="6721" spans="7:14" x14ac:dyDescent="0.3">
      <c r="G6721" s="1"/>
      <c r="N6721" s="1"/>
    </row>
    <row r="6722" spans="7:14" x14ac:dyDescent="0.3">
      <c r="G6722" s="1"/>
      <c r="N6722" s="1"/>
    </row>
    <row r="6723" spans="7:14" x14ac:dyDescent="0.3">
      <c r="G6723" s="1"/>
      <c r="N6723" s="1"/>
    </row>
    <row r="6724" spans="7:14" x14ac:dyDescent="0.3">
      <c r="G6724" s="1"/>
      <c r="N6724" s="1"/>
    </row>
    <row r="6725" spans="7:14" x14ac:dyDescent="0.3">
      <c r="G6725" s="1"/>
      <c r="N6725" s="1"/>
    </row>
    <row r="6726" spans="7:14" x14ac:dyDescent="0.3">
      <c r="G6726" s="1"/>
      <c r="N6726" s="1"/>
    </row>
    <row r="6727" spans="7:14" x14ac:dyDescent="0.3">
      <c r="G6727" s="1"/>
      <c r="N6727" s="1"/>
    </row>
    <row r="6728" spans="7:14" x14ac:dyDescent="0.3">
      <c r="G6728" s="1"/>
      <c r="N6728" s="1"/>
    </row>
    <row r="6729" spans="7:14" x14ac:dyDescent="0.3">
      <c r="G6729" s="1"/>
      <c r="N6729" s="1"/>
    </row>
    <row r="6730" spans="7:14" x14ac:dyDescent="0.3">
      <c r="G6730" s="1"/>
      <c r="N6730" s="1"/>
    </row>
    <row r="6731" spans="7:14" x14ac:dyDescent="0.3">
      <c r="G6731" s="1"/>
      <c r="N6731" s="1"/>
    </row>
    <row r="6732" spans="7:14" x14ac:dyDescent="0.3">
      <c r="G6732" s="1"/>
      <c r="N6732" s="1"/>
    </row>
    <row r="6733" spans="7:14" x14ac:dyDescent="0.3">
      <c r="G6733" s="1"/>
      <c r="N6733" s="1"/>
    </row>
    <row r="6734" spans="7:14" x14ac:dyDescent="0.3">
      <c r="G6734" s="1"/>
      <c r="N6734" s="1"/>
    </row>
    <row r="6735" spans="7:14" x14ac:dyDescent="0.3">
      <c r="G6735" s="1"/>
      <c r="N6735" s="1"/>
    </row>
    <row r="6736" spans="7:14" x14ac:dyDescent="0.3">
      <c r="G6736" s="1"/>
      <c r="N6736" s="1"/>
    </row>
    <row r="6737" spans="7:14" x14ac:dyDescent="0.3">
      <c r="G6737" s="1"/>
      <c r="N6737" s="1"/>
    </row>
    <row r="6738" spans="7:14" x14ac:dyDescent="0.3">
      <c r="G6738" s="1"/>
      <c r="N6738" s="1"/>
    </row>
    <row r="6739" spans="7:14" x14ac:dyDescent="0.3">
      <c r="G6739" s="1"/>
      <c r="N6739" s="1"/>
    </row>
    <row r="6740" spans="7:14" x14ac:dyDescent="0.3">
      <c r="G6740" s="1"/>
      <c r="N6740" s="1"/>
    </row>
    <row r="6741" spans="7:14" x14ac:dyDescent="0.3">
      <c r="G6741" s="1"/>
      <c r="N6741" s="1"/>
    </row>
    <row r="6742" spans="7:14" x14ac:dyDescent="0.3">
      <c r="G6742" s="1"/>
      <c r="N6742" s="1"/>
    </row>
    <row r="6743" spans="7:14" x14ac:dyDescent="0.3">
      <c r="G6743" s="1"/>
      <c r="N6743" s="1"/>
    </row>
    <row r="6744" spans="7:14" x14ac:dyDescent="0.3">
      <c r="G6744" s="1"/>
      <c r="N6744" s="1"/>
    </row>
    <row r="6745" spans="7:14" x14ac:dyDescent="0.3">
      <c r="G6745" s="1"/>
      <c r="N6745" s="1"/>
    </row>
    <row r="6746" spans="7:14" x14ac:dyDescent="0.3">
      <c r="G6746" s="1"/>
      <c r="N6746" s="1"/>
    </row>
    <row r="6747" spans="7:14" x14ac:dyDescent="0.3">
      <c r="G6747" s="1"/>
      <c r="N6747" s="1"/>
    </row>
    <row r="6748" spans="7:14" x14ac:dyDescent="0.3">
      <c r="G6748" s="1"/>
      <c r="N6748" s="1"/>
    </row>
    <row r="6749" spans="7:14" x14ac:dyDescent="0.3">
      <c r="G6749" s="1"/>
      <c r="N6749" s="1"/>
    </row>
    <row r="6750" spans="7:14" x14ac:dyDescent="0.3">
      <c r="G6750" s="1"/>
      <c r="N6750" s="1"/>
    </row>
    <row r="6751" spans="7:14" x14ac:dyDescent="0.3">
      <c r="G6751" s="1"/>
      <c r="N6751" s="1"/>
    </row>
    <row r="6752" spans="7:14" x14ac:dyDescent="0.3">
      <c r="G6752" s="1"/>
      <c r="N6752" s="1"/>
    </row>
    <row r="6753" spans="7:14" x14ac:dyDescent="0.3">
      <c r="G6753" s="1"/>
      <c r="N6753" s="1"/>
    </row>
    <row r="6754" spans="7:14" x14ac:dyDescent="0.3">
      <c r="G6754" s="1"/>
      <c r="N6754" s="1"/>
    </row>
    <row r="6755" spans="7:14" x14ac:dyDescent="0.3">
      <c r="G6755" s="1"/>
      <c r="N6755" s="1"/>
    </row>
    <row r="6756" spans="7:14" x14ac:dyDescent="0.3">
      <c r="G6756" s="1"/>
      <c r="N6756" s="1"/>
    </row>
    <row r="6757" spans="7:14" x14ac:dyDescent="0.3">
      <c r="G6757" s="1"/>
      <c r="N6757" s="1"/>
    </row>
    <row r="6758" spans="7:14" x14ac:dyDescent="0.3">
      <c r="G6758" s="1"/>
      <c r="N6758" s="1"/>
    </row>
    <row r="6759" spans="7:14" x14ac:dyDescent="0.3">
      <c r="G6759" s="1"/>
      <c r="N6759" s="1"/>
    </row>
    <row r="6760" spans="7:14" x14ac:dyDescent="0.3">
      <c r="G6760" s="1"/>
      <c r="N6760" s="1"/>
    </row>
    <row r="6761" spans="7:14" x14ac:dyDescent="0.3">
      <c r="G6761" s="1"/>
      <c r="N6761" s="1"/>
    </row>
    <row r="6762" spans="7:14" x14ac:dyDescent="0.3">
      <c r="G6762" s="1"/>
      <c r="N6762" s="1"/>
    </row>
    <row r="6763" spans="7:14" x14ac:dyDescent="0.3">
      <c r="G6763" s="1"/>
      <c r="N6763" s="1"/>
    </row>
    <row r="6764" spans="7:14" x14ac:dyDescent="0.3">
      <c r="G6764" s="1"/>
      <c r="N6764" s="1"/>
    </row>
    <row r="6765" spans="7:14" x14ac:dyDescent="0.3">
      <c r="G6765" s="1"/>
      <c r="N6765" s="1"/>
    </row>
    <row r="6766" spans="7:14" x14ac:dyDescent="0.3">
      <c r="G6766" s="1"/>
      <c r="N6766" s="1"/>
    </row>
    <row r="6767" spans="7:14" x14ac:dyDescent="0.3">
      <c r="G6767" s="1"/>
      <c r="N6767" s="1"/>
    </row>
    <row r="6768" spans="7:14" x14ac:dyDescent="0.3">
      <c r="G6768" s="1"/>
      <c r="N6768" s="1"/>
    </row>
    <row r="6769" spans="7:14" x14ac:dyDescent="0.3">
      <c r="G6769" s="1"/>
      <c r="N6769" s="1"/>
    </row>
    <row r="6770" spans="7:14" x14ac:dyDescent="0.3">
      <c r="G6770" s="1"/>
      <c r="N6770" s="1"/>
    </row>
    <row r="6771" spans="7:14" x14ac:dyDescent="0.3">
      <c r="G6771" s="1"/>
      <c r="N6771" s="1"/>
    </row>
    <row r="6772" spans="7:14" x14ac:dyDescent="0.3">
      <c r="G6772" s="1"/>
      <c r="N6772" s="1"/>
    </row>
    <row r="6773" spans="7:14" x14ac:dyDescent="0.3">
      <c r="G6773" s="1"/>
      <c r="N6773" s="1"/>
    </row>
    <row r="6774" spans="7:14" x14ac:dyDescent="0.3">
      <c r="G6774" s="1"/>
      <c r="N6774" s="1"/>
    </row>
    <row r="6775" spans="7:14" x14ac:dyDescent="0.3">
      <c r="G6775" s="1"/>
      <c r="N6775" s="1"/>
    </row>
    <row r="6776" spans="7:14" x14ac:dyDescent="0.3">
      <c r="G6776" s="1"/>
      <c r="N6776" s="1"/>
    </row>
    <row r="6777" spans="7:14" x14ac:dyDescent="0.3">
      <c r="G6777" s="1"/>
      <c r="N6777" s="1"/>
    </row>
    <row r="6778" spans="7:14" x14ac:dyDescent="0.3">
      <c r="G6778" s="1"/>
      <c r="N6778" s="1"/>
    </row>
    <row r="6779" spans="7:14" x14ac:dyDescent="0.3">
      <c r="G6779" s="1"/>
      <c r="N6779" s="1"/>
    </row>
    <row r="6780" spans="7:14" x14ac:dyDescent="0.3">
      <c r="G6780" s="1"/>
      <c r="N6780" s="1"/>
    </row>
    <row r="6781" spans="7:14" x14ac:dyDescent="0.3">
      <c r="G6781" s="1"/>
      <c r="N6781" s="1"/>
    </row>
    <row r="6782" spans="7:14" x14ac:dyDescent="0.3">
      <c r="G6782" s="1"/>
      <c r="N6782" s="1"/>
    </row>
    <row r="6783" spans="7:14" x14ac:dyDescent="0.3">
      <c r="G6783" s="1"/>
      <c r="N6783" s="1"/>
    </row>
    <row r="6784" spans="7:14" x14ac:dyDescent="0.3">
      <c r="G6784" s="1"/>
      <c r="N6784" s="1"/>
    </row>
    <row r="6785" spans="7:14" x14ac:dyDescent="0.3">
      <c r="G6785" s="1"/>
      <c r="N6785" s="1"/>
    </row>
    <row r="6786" spans="7:14" x14ac:dyDescent="0.3">
      <c r="G6786" s="1"/>
      <c r="N6786" s="1"/>
    </row>
    <row r="6787" spans="7:14" x14ac:dyDescent="0.3">
      <c r="G6787" s="1"/>
      <c r="N6787" s="1"/>
    </row>
    <row r="6788" spans="7:14" x14ac:dyDescent="0.3">
      <c r="G6788" s="1"/>
      <c r="N6788" s="1"/>
    </row>
    <row r="6789" spans="7:14" x14ac:dyDescent="0.3">
      <c r="G6789" s="1"/>
      <c r="N6789" s="1"/>
    </row>
    <row r="6790" spans="7:14" x14ac:dyDescent="0.3">
      <c r="G6790" s="1"/>
      <c r="N6790" s="1"/>
    </row>
    <row r="6791" spans="7:14" x14ac:dyDescent="0.3">
      <c r="G6791" s="1"/>
      <c r="N6791" s="1"/>
    </row>
    <row r="6792" spans="7:14" x14ac:dyDescent="0.3">
      <c r="G6792" s="1"/>
      <c r="N6792" s="1"/>
    </row>
    <row r="6793" spans="7:14" x14ac:dyDescent="0.3">
      <c r="G6793" s="1"/>
      <c r="N6793" s="1"/>
    </row>
    <row r="6794" spans="7:14" x14ac:dyDescent="0.3">
      <c r="G6794" s="1"/>
      <c r="N6794" s="1"/>
    </row>
    <row r="6795" spans="7:14" x14ac:dyDescent="0.3">
      <c r="G6795" s="1"/>
      <c r="N6795" s="1"/>
    </row>
    <row r="6796" spans="7:14" x14ac:dyDescent="0.3">
      <c r="G6796" s="1"/>
      <c r="N6796" s="1"/>
    </row>
    <row r="6797" spans="7:14" x14ac:dyDescent="0.3">
      <c r="G6797" s="1"/>
      <c r="N6797" s="1"/>
    </row>
    <row r="6798" spans="7:14" x14ac:dyDescent="0.3">
      <c r="G6798" s="1"/>
      <c r="N6798" s="1"/>
    </row>
    <row r="6799" spans="7:14" x14ac:dyDescent="0.3">
      <c r="G6799" s="1"/>
      <c r="N6799" s="1"/>
    </row>
    <row r="6800" spans="7:14" x14ac:dyDescent="0.3">
      <c r="G6800" s="1"/>
      <c r="N6800" s="1"/>
    </row>
    <row r="6801" spans="7:14" x14ac:dyDescent="0.3">
      <c r="G6801" s="1"/>
      <c r="N6801" s="1"/>
    </row>
    <row r="6802" spans="7:14" x14ac:dyDescent="0.3">
      <c r="G6802" s="1"/>
      <c r="N6802" s="1"/>
    </row>
    <row r="6803" spans="7:14" x14ac:dyDescent="0.3">
      <c r="G6803" s="1"/>
      <c r="N6803" s="1"/>
    </row>
    <row r="6804" spans="7:14" x14ac:dyDescent="0.3">
      <c r="G6804" s="1"/>
      <c r="N6804" s="1"/>
    </row>
    <row r="6805" spans="7:14" x14ac:dyDescent="0.3">
      <c r="G6805" s="1"/>
      <c r="N6805" s="1"/>
    </row>
    <row r="6806" spans="7:14" x14ac:dyDescent="0.3">
      <c r="G6806" s="1"/>
      <c r="N6806" s="1"/>
    </row>
    <row r="6807" spans="7:14" x14ac:dyDescent="0.3">
      <c r="G6807" s="1"/>
      <c r="N6807" s="1"/>
    </row>
    <row r="6808" spans="7:14" x14ac:dyDescent="0.3">
      <c r="G6808" s="1"/>
      <c r="N6808" s="1"/>
    </row>
    <row r="6809" spans="7:14" x14ac:dyDescent="0.3">
      <c r="G6809" s="1"/>
      <c r="N6809" s="1"/>
    </row>
    <row r="6810" spans="7:14" x14ac:dyDescent="0.3">
      <c r="G6810" s="1"/>
      <c r="N6810" s="1"/>
    </row>
    <row r="6811" spans="7:14" x14ac:dyDescent="0.3">
      <c r="G6811" s="1"/>
      <c r="N6811" s="1"/>
    </row>
    <row r="6812" spans="7:14" x14ac:dyDescent="0.3">
      <c r="G6812" s="1"/>
      <c r="N6812" s="1"/>
    </row>
    <row r="6813" spans="7:14" x14ac:dyDescent="0.3">
      <c r="G6813" s="1"/>
      <c r="N6813" s="1"/>
    </row>
    <row r="6814" spans="7:14" x14ac:dyDescent="0.3">
      <c r="G6814" s="1"/>
      <c r="N6814" s="1"/>
    </row>
    <row r="6815" spans="7:14" x14ac:dyDescent="0.3">
      <c r="G6815" s="1"/>
      <c r="N6815" s="1"/>
    </row>
    <row r="6816" spans="7:14" x14ac:dyDescent="0.3">
      <c r="G6816" s="1"/>
      <c r="N6816" s="1"/>
    </row>
    <row r="6817" spans="7:14" x14ac:dyDescent="0.3">
      <c r="G6817" s="1"/>
      <c r="N6817" s="1"/>
    </row>
    <row r="6818" spans="7:14" x14ac:dyDescent="0.3">
      <c r="G6818" s="1"/>
      <c r="N6818" s="1"/>
    </row>
    <row r="6819" spans="7:14" x14ac:dyDescent="0.3">
      <c r="G6819" s="1"/>
      <c r="N6819" s="1"/>
    </row>
    <row r="6820" spans="7:14" x14ac:dyDescent="0.3">
      <c r="G6820" s="1"/>
      <c r="N6820" s="1"/>
    </row>
    <row r="6821" spans="7:14" x14ac:dyDescent="0.3">
      <c r="G6821" s="1"/>
      <c r="N6821" s="1"/>
    </row>
    <row r="6822" spans="7:14" x14ac:dyDescent="0.3">
      <c r="G6822" s="1"/>
      <c r="N6822" s="1"/>
    </row>
    <row r="6823" spans="7:14" x14ac:dyDescent="0.3">
      <c r="G6823" s="1"/>
      <c r="N6823" s="1"/>
    </row>
    <row r="6824" spans="7:14" x14ac:dyDescent="0.3">
      <c r="G6824" s="1"/>
      <c r="N6824" s="1"/>
    </row>
    <row r="6825" spans="7:14" x14ac:dyDescent="0.3">
      <c r="G6825" s="1"/>
      <c r="N6825" s="1"/>
    </row>
    <row r="6826" spans="7:14" x14ac:dyDescent="0.3">
      <c r="G6826" s="1"/>
      <c r="N6826" s="1"/>
    </row>
    <row r="6827" spans="7:14" x14ac:dyDescent="0.3">
      <c r="G6827" s="1"/>
      <c r="N6827" s="1"/>
    </row>
    <row r="6828" spans="7:14" x14ac:dyDescent="0.3">
      <c r="G6828" s="1"/>
      <c r="N6828" s="1"/>
    </row>
    <row r="6829" spans="7:14" x14ac:dyDescent="0.3">
      <c r="G6829" s="1"/>
      <c r="N6829" s="1"/>
    </row>
    <row r="6830" spans="7:14" x14ac:dyDescent="0.3">
      <c r="G6830" s="1"/>
      <c r="N6830" s="1"/>
    </row>
    <row r="6831" spans="7:14" x14ac:dyDescent="0.3">
      <c r="G6831" s="1"/>
      <c r="N6831" s="1"/>
    </row>
    <row r="6832" spans="7:14" x14ac:dyDescent="0.3">
      <c r="G6832" s="1"/>
      <c r="N6832" s="1"/>
    </row>
    <row r="6833" spans="7:14" x14ac:dyDescent="0.3">
      <c r="G6833" s="1"/>
      <c r="N6833" s="1"/>
    </row>
    <row r="6834" spans="7:14" x14ac:dyDescent="0.3">
      <c r="G6834" s="1"/>
      <c r="N6834" s="1"/>
    </row>
    <row r="6835" spans="7:14" x14ac:dyDescent="0.3">
      <c r="G6835" s="1"/>
      <c r="N6835" s="1"/>
    </row>
    <row r="6836" spans="7:14" x14ac:dyDescent="0.3">
      <c r="G6836" s="1"/>
      <c r="N6836" s="1"/>
    </row>
    <row r="6837" spans="7:14" x14ac:dyDescent="0.3">
      <c r="G6837" s="1"/>
      <c r="N6837" s="1"/>
    </row>
    <row r="6838" spans="7:14" x14ac:dyDescent="0.3">
      <c r="G6838" s="1"/>
      <c r="N6838" s="1"/>
    </row>
    <row r="6839" spans="7:14" x14ac:dyDescent="0.3">
      <c r="G6839" s="1"/>
      <c r="N6839" s="1"/>
    </row>
    <row r="6840" spans="7:14" x14ac:dyDescent="0.3">
      <c r="G6840" s="1"/>
      <c r="N6840" s="1"/>
    </row>
    <row r="6841" spans="7:14" x14ac:dyDescent="0.3">
      <c r="G6841" s="1"/>
      <c r="N6841" s="1"/>
    </row>
    <row r="6842" spans="7:14" x14ac:dyDescent="0.3">
      <c r="G6842" s="1"/>
      <c r="N6842" s="1"/>
    </row>
    <row r="6843" spans="7:14" x14ac:dyDescent="0.3">
      <c r="G6843" s="1"/>
      <c r="N6843" s="1"/>
    </row>
    <row r="6844" spans="7:14" x14ac:dyDescent="0.3">
      <c r="G6844" s="1"/>
      <c r="N6844" s="1"/>
    </row>
    <row r="6845" spans="7:14" x14ac:dyDescent="0.3">
      <c r="G6845" s="1"/>
      <c r="N6845" s="1"/>
    </row>
    <row r="6846" spans="7:14" x14ac:dyDescent="0.3">
      <c r="G6846" s="1"/>
      <c r="N6846" s="1"/>
    </row>
    <row r="6847" spans="7:14" x14ac:dyDescent="0.3">
      <c r="G6847" s="1"/>
      <c r="N6847" s="1"/>
    </row>
    <row r="6848" spans="7:14" x14ac:dyDescent="0.3">
      <c r="G6848" s="1"/>
      <c r="N6848" s="1"/>
    </row>
    <row r="6849" spans="7:14" x14ac:dyDescent="0.3">
      <c r="G6849" s="1"/>
      <c r="N6849" s="1"/>
    </row>
    <row r="6850" spans="7:14" x14ac:dyDescent="0.3">
      <c r="G6850" s="1"/>
      <c r="N6850" s="1"/>
    </row>
    <row r="6851" spans="7:14" x14ac:dyDescent="0.3">
      <c r="G6851" s="1"/>
      <c r="N6851" s="1"/>
    </row>
    <row r="6852" spans="7:14" x14ac:dyDescent="0.3">
      <c r="G6852" s="1"/>
      <c r="N6852" s="1"/>
    </row>
    <row r="6853" spans="7:14" x14ac:dyDescent="0.3">
      <c r="G6853" s="1"/>
      <c r="N6853" s="1"/>
    </row>
    <row r="6854" spans="7:14" x14ac:dyDescent="0.3">
      <c r="G6854" s="1"/>
      <c r="N6854" s="1"/>
    </row>
    <row r="6855" spans="7:14" x14ac:dyDescent="0.3">
      <c r="G6855" s="1"/>
      <c r="N6855" s="1"/>
    </row>
    <row r="6856" spans="7:14" x14ac:dyDescent="0.3">
      <c r="G6856" s="1"/>
      <c r="N6856" s="1"/>
    </row>
    <row r="6857" spans="7:14" x14ac:dyDescent="0.3">
      <c r="G6857" s="1"/>
      <c r="N6857" s="1"/>
    </row>
    <row r="6858" spans="7:14" x14ac:dyDescent="0.3">
      <c r="G6858" s="1"/>
      <c r="N6858" s="1"/>
    </row>
    <row r="6859" spans="7:14" x14ac:dyDescent="0.3">
      <c r="G6859" s="1"/>
      <c r="N6859" s="1"/>
    </row>
    <row r="6860" spans="7:14" x14ac:dyDescent="0.3">
      <c r="G6860" s="1"/>
      <c r="N6860" s="1"/>
    </row>
    <row r="6861" spans="7:14" x14ac:dyDescent="0.3">
      <c r="G6861" s="1"/>
      <c r="N6861" s="1"/>
    </row>
    <row r="6862" spans="7:14" x14ac:dyDescent="0.3">
      <c r="G6862" s="1"/>
      <c r="N6862" s="1"/>
    </row>
    <row r="6863" spans="7:14" x14ac:dyDescent="0.3">
      <c r="G6863" s="1"/>
      <c r="N6863" s="1"/>
    </row>
    <row r="6864" spans="7:14" x14ac:dyDescent="0.3">
      <c r="G6864" s="1"/>
      <c r="N6864" s="1"/>
    </row>
    <row r="6865" spans="7:14" x14ac:dyDescent="0.3">
      <c r="G6865" s="1"/>
      <c r="N6865" s="1"/>
    </row>
    <row r="6866" spans="7:14" x14ac:dyDescent="0.3">
      <c r="G6866" s="1"/>
      <c r="N6866" s="1"/>
    </row>
    <row r="6867" spans="7:14" x14ac:dyDescent="0.3">
      <c r="G6867" s="1"/>
      <c r="N6867" s="1"/>
    </row>
    <row r="6868" spans="7:14" x14ac:dyDescent="0.3">
      <c r="G6868" s="1"/>
      <c r="N6868" s="1"/>
    </row>
    <row r="6869" spans="7:14" x14ac:dyDescent="0.3">
      <c r="G6869" s="1"/>
      <c r="N6869" s="1"/>
    </row>
    <row r="6870" spans="7:14" x14ac:dyDescent="0.3">
      <c r="G6870" s="1"/>
      <c r="N6870" s="1"/>
    </row>
    <row r="6871" spans="7:14" x14ac:dyDescent="0.3">
      <c r="G6871" s="1"/>
      <c r="N6871" s="1"/>
    </row>
    <row r="6872" spans="7:14" x14ac:dyDescent="0.3">
      <c r="G6872" s="1"/>
      <c r="N6872" s="1"/>
    </row>
    <row r="6873" spans="7:14" x14ac:dyDescent="0.3">
      <c r="G6873" s="1"/>
      <c r="N6873" s="1"/>
    </row>
    <row r="6874" spans="7:14" x14ac:dyDescent="0.3">
      <c r="G6874" s="1"/>
      <c r="N6874" s="1"/>
    </row>
    <row r="6875" spans="7:14" x14ac:dyDescent="0.3">
      <c r="G6875" s="1"/>
      <c r="N6875" s="1"/>
    </row>
    <row r="6876" spans="7:14" x14ac:dyDescent="0.3">
      <c r="G6876" s="1"/>
      <c r="N6876" s="1"/>
    </row>
    <row r="6877" spans="7:14" x14ac:dyDescent="0.3">
      <c r="G6877" s="1"/>
      <c r="N6877" s="1"/>
    </row>
    <row r="6878" spans="7:14" x14ac:dyDescent="0.3">
      <c r="G6878" s="1"/>
      <c r="N6878" s="1"/>
    </row>
    <row r="6879" spans="7:14" x14ac:dyDescent="0.3">
      <c r="G6879" s="1"/>
      <c r="N6879" s="1"/>
    </row>
    <row r="6880" spans="7:14" x14ac:dyDescent="0.3">
      <c r="G6880" s="1"/>
      <c r="N6880" s="1"/>
    </row>
    <row r="6881" spans="7:14" x14ac:dyDescent="0.3">
      <c r="G6881" s="1"/>
      <c r="N6881" s="1"/>
    </row>
    <row r="6882" spans="7:14" x14ac:dyDescent="0.3">
      <c r="G6882" s="1"/>
      <c r="N6882" s="1"/>
    </row>
    <row r="6883" spans="7:14" x14ac:dyDescent="0.3">
      <c r="G6883" s="1"/>
      <c r="N6883" s="1"/>
    </row>
    <row r="6884" spans="7:14" x14ac:dyDescent="0.3">
      <c r="G6884" s="1"/>
      <c r="N6884" s="1"/>
    </row>
    <row r="6885" spans="7:14" x14ac:dyDescent="0.3">
      <c r="G6885" s="1"/>
      <c r="N6885" s="1"/>
    </row>
    <row r="6886" spans="7:14" x14ac:dyDescent="0.3">
      <c r="G6886" s="1"/>
      <c r="N6886" s="1"/>
    </row>
    <row r="6887" spans="7:14" x14ac:dyDescent="0.3">
      <c r="G6887" s="1"/>
      <c r="N6887" s="1"/>
    </row>
    <row r="6888" spans="7:14" x14ac:dyDescent="0.3">
      <c r="G6888" s="1"/>
      <c r="N6888" s="1"/>
    </row>
    <row r="6889" spans="7:14" x14ac:dyDescent="0.3">
      <c r="G6889" s="1"/>
      <c r="N6889" s="1"/>
    </row>
    <row r="6890" spans="7:14" x14ac:dyDescent="0.3">
      <c r="G6890" s="1"/>
      <c r="N6890" s="1"/>
    </row>
    <row r="6891" spans="7:14" x14ac:dyDescent="0.3">
      <c r="G6891" s="1"/>
      <c r="N6891" s="1"/>
    </row>
    <row r="6892" spans="7:14" x14ac:dyDescent="0.3">
      <c r="G6892" s="1"/>
      <c r="N6892" s="1"/>
    </row>
    <row r="6893" spans="7:14" x14ac:dyDescent="0.3">
      <c r="G6893" s="1"/>
      <c r="N6893" s="1"/>
    </row>
    <row r="6894" spans="7:14" x14ac:dyDescent="0.3">
      <c r="G6894" s="1"/>
      <c r="N6894" s="1"/>
    </row>
    <row r="6895" spans="7:14" x14ac:dyDescent="0.3">
      <c r="G6895" s="1"/>
      <c r="N6895" s="1"/>
    </row>
    <row r="6896" spans="7:14" x14ac:dyDescent="0.3">
      <c r="G6896" s="1"/>
      <c r="N6896" s="1"/>
    </row>
    <row r="6897" spans="7:14" x14ac:dyDescent="0.3">
      <c r="G6897" s="1"/>
      <c r="N6897" s="1"/>
    </row>
    <row r="6898" spans="7:14" x14ac:dyDescent="0.3">
      <c r="G6898" s="1"/>
      <c r="N6898" s="1"/>
    </row>
    <row r="6899" spans="7:14" x14ac:dyDescent="0.3">
      <c r="G6899" s="1"/>
      <c r="N6899" s="1"/>
    </row>
    <row r="6900" spans="7:14" x14ac:dyDescent="0.3">
      <c r="G6900" s="1"/>
      <c r="N6900" s="1"/>
    </row>
    <row r="6901" spans="7:14" x14ac:dyDescent="0.3">
      <c r="G6901" s="1"/>
      <c r="N6901" s="1"/>
    </row>
    <row r="6902" spans="7:14" x14ac:dyDescent="0.3">
      <c r="G6902" s="1"/>
      <c r="N6902" s="1"/>
    </row>
    <row r="6903" spans="7:14" x14ac:dyDescent="0.3">
      <c r="G6903" s="1"/>
      <c r="N6903" s="1"/>
    </row>
    <row r="6904" spans="7:14" x14ac:dyDescent="0.3">
      <c r="G6904" s="1"/>
      <c r="N6904" s="1"/>
    </row>
    <row r="6905" spans="7:14" x14ac:dyDescent="0.3">
      <c r="G6905" s="1"/>
      <c r="N6905" s="1"/>
    </row>
    <row r="6906" spans="7:14" x14ac:dyDescent="0.3">
      <c r="G6906" s="1"/>
      <c r="N6906" s="1"/>
    </row>
    <row r="6907" spans="7:14" x14ac:dyDescent="0.3">
      <c r="G6907" s="1"/>
      <c r="N6907" s="1"/>
    </row>
    <row r="6908" spans="7:14" x14ac:dyDescent="0.3">
      <c r="G6908" s="1"/>
      <c r="N6908" s="1"/>
    </row>
    <row r="6909" spans="7:14" x14ac:dyDescent="0.3">
      <c r="G6909" s="1"/>
      <c r="N6909" s="1"/>
    </row>
    <row r="6910" spans="7:14" x14ac:dyDescent="0.3">
      <c r="G6910" s="1"/>
      <c r="N6910" s="1"/>
    </row>
    <row r="6911" spans="7:14" x14ac:dyDescent="0.3">
      <c r="G6911" s="1"/>
      <c r="N6911" s="1"/>
    </row>
    <row r="6912" spans="7:14" x14ac:dyDescent="0.3">
      <c r="G6912" s="1"/>
      <c r="N6912" s="1"/>
    </row>
    <row r="6913" spans="7:14" x14ac:dyDescent="0.3">
      <c r="G6913" s="1"/>
      <c r="N6913" s="1"/>
    </row>
    <row r="6914" spans="7:14" x14ac:dyDescent="0.3">
      <c r="G6914" s="1"/>
      <c r="N6914" s="1"/>
    </row>
    <row r="6915" spans="7:14" x14ac:dyDescent="0.3">
      <c r="G6915" s="1"/>
      <c r="N6915" s="1"/>
    </row>
    <row r="6916" spans="7:14" x14ac:dyDescent="0.3">
      <c r="G6916" s="1"/>
      <c r="N6916" s="1"/>
    </row>
    <row r="6917" spans="7:14" x14ac:dyDescent="0.3">
      <c r="G6917" s="1"/>
      <c r="N6917" s="1"/>
    </row>
    <row r="6918" spans="7:14" x14ac:dyDescent="0.3">
      <c r="G6918" s="1"/>
      <c r="N6918" s="1"/>
    </row>
    <row r="6919" spans="7:14" x14ac:dyDescent="0.3">
      <c r="G6919" s="1"/>
      <c r="N6919" s="1"/>
    </row>
    <row r="6920" spans="7:14" x14ac:dyDescent="0.3">
      <c r="G6920" s="1"/>
      <c r="N6920" s="1"/>
    </row>
    <row r="6921" spans="7:14" x14ac:dyDescent="0.3">
      <c r="G6921" s="1"/>
      <c r="N6921" s="1"/>
    </row>
    <row r="6922" spans="7:14" x14ac:dyDescent="0.3">
      <c r="G6922" s="1"/>
      <c r="N6922" s="1"/>
    </row>
    <row r="6923" spans="7:14" x14ac:dyDescent="0.3">
      <c r="G6923" s="1"/>
      <c r="N6923" s="1"/>
    </row>
    <row r="6924" spans="7:14" x14ac:dyDescent="0.3">
      <c r="G6924" s="1"/>
      <c r="N6924" s="1"/>
    </row>
    <row r="6925" spans="7:14" x14ac:dyDescent="0.3">
      <c r="G6925" s="1"/>
      <c r="N6925" s="1"/>
    </row>
    <row r="6926" spans="7:14" x14ac:dyDescent="0.3">
      <c r="G6926" s="1"/>
      <c r="N6926" s="1"/>
    </row>
    <row r="6927" spans="7:14" x14ac:dyDescent="0.3">
      <c r="G6927" s="1"/>
      <c r="N6927" s="1"/>
    </row>
    <row r="6928" spans="7:14" x14ac:dyDescent="0.3">
      <c r="G6928" s="1"/>
      <c r="N6928" s="1"/>
    </row>
    <row r="6929" spans="7:14" x14ac:dyDescent="0.3">
      <c r="G6929" s="1"/>
      <c r="N6929" s="1"/>
    </row>
    <row r="6930" spans="7:14" x14ac:dyDescent="0.3">
      <c r="G6930" s="1"/>
      <c r="N6930" s="1"/>
    </row>
    <row r="6931" spans="7:14" x14ac:dyDescent="0.3">
      <c r="G6931" s="1"/>
      <c r="N6931" s="1"/>
    </row>
    <row r="6932" spans="7:14" x14ac:dyDescent="0.3">
      <c r="G6932" s="1"/>
      <c r="N6932" s="1"/>
    </row>
    <row r="6933" spans="7:14" x14ac:dyDescent="0.3">
      <c r="G6933" s="1"/>
      <c r="N6933" s="1"/>
    </row>
    <row r="6934" spans="7:14" x14ac:dyDescent="0.3">
      <c r="G6934" s="1"/>
      <c r="N6934" s="1"/>
    </row>
    <row r="6935" spans="7:14" x14ac:dyDescent="0.3">
      <c r="G6935" s="1"/>
      <c r="N6935" s="1"/>
    </row>
    <row r="6936" spans="7:14" x14ac:dyDescent="0.3">
      <c r="G6936" s="1"/>
      <c r="N6936" s="1"/>
    </row>
    <row r="6937" spans="7:14" x14ac:dyDescent="0.3">
      <c r="G6937" s="1"/>
      <c r="N6937" s="1"/>
    </row>
    <row r="6938" spans="7:14" x14ac:dyDescent="0.3">
      <c r="G6938" s="1"/>
      <c r="N6938" s="1"/>
    </row>
    <row r="6939" spans="7:14" x14ac:dyDescent="0.3">
      <c r="G6939" s="1"/>
      <c r="N6939" s="1"/>
    </row>
    <row r="6940" spans="7:14" x14ac:dyDescent="0.3">
      <c r="G6940" s="1"/>
      <c r="N6940" s="1"/>
    </row>
    <row r="6941" spans="7:14" x14ac:dyDescent="0.3">
      <c r="G6941" s="1"/>
      <c r="N6941" s="1"/>
    </row>
    <row r="6942" spans="7:14" x14ac:dyDescent="0.3">
      <c r="G6942" s="1"/>
      <c r="N6942" s="1"/>
    </row>
    <row r="6943" spans="7:14" x14ac:dyDescent="0.3">
      <c r="G6943" s="1"/>
      <c r="N6943" s="1"/>
    </row>
    <row r="6944" spans="7:14" x14ac:dyDescent="0.3">
      <c r="G6944" s="1"/>
      <c r="N6944" s="1"/>
    </row>
    <row r="6945" spans="7:14" x14ac:dyDescent="0.3">
      <c r="G6945" s="1"/>
      <c r="N6945" s="1"/>
    </row>
    <row r="6946" spans="7:14" x14ac:dyDescent="0.3">
      <c r="G6946" s="1"/>
      <c r="N6946" s="1"/>
    </row>
    <row r="6947" spans="7:14" x14ac:dyDescent="0.3">
      <c r="G6947" s="1"/>
      <c r="N6947" s="1"/>
    </row>
    <row r="6948" spans="7:14" x14ac:dyDescent="0.3">
      <c r="G6948" s="1"/>
      <c r="N6948" s="1"/>
    </row>
    <row r="6949" spans="7:14" x14ac:dyDescent="0.3">
      <c r="G6949" s="1"/>
      <c r="N6949" s="1"/>
    </row>
    <row r="6950" spans="7:14" x14ac:dyDescent="0.3">
      <c r="G6950" s="1"/>
      <c r="N6950" s="1"/>
    </row>
    <row r="6951" spans="7:14" x14ac:dyDescent="0.3">
      <c r="G6951" s="1"/>
      <c r="N6951" s="1"/>
    </row>
    <row r="6952" spans="7:14" x14ac:dyDescent="0.3">
      <c r="G6952" s="1"/>
      <c r="N6952" s="1"/>
    </row>
    <row r="6953" spans="7:14" x14ac:dyDescent="0.3">
      <c r="G6953" s="1"/>
      <c r="N6953" s="1"/>
    </row>
    <row r="6954" spans="7:14" x14ac:dyDescent="0.3">
      <c r="G6954" s="1"/>
      <c r="N6954" s="1"/>
    </row>
    <row r="6955" spans="7:14" x14ac:dyDescent="0.3">
      <c r="G6955" s="1"/>
      <c r="N6955" s="1"/>
    </row>
    <row r="6956" spans="7:14" x14ac:dyDescent="0.3">
      <c r="G6956" s="1"/>
      <c r="N6956" s="1"/>
    </row>
    <row r="6957" spans="7:14" x14ac:dyDescent="0.3">
      <c r="G6957" s="1"/>
      <c r="N6957" s="1"/>
    </row>
    <row r="6958" spans="7:14" x14ac:dyDescent="0.3">
      <c r="G6958" s="1"/>
      <c r="N6958" s="1"/>
    </row>
    <row r="6959" spans="7:14" x14ac:dyDescent="0.3">
      <c r="G6959" s="1"/>
      <c r="N6959" s="1"/>
    </row>
    <row r="6960" spans="7:14" x14ac:dyDescent="0.3">
      <c r="G6960" s="1"/>
      <c r="N6960" s="1"/>
    </row>
    <row r="6961" spans="7:14" x14ac:dyDescent="0.3">
      <c r="G6961" s="1"/>
      <c r="N6961" s="1"/>
    </row>
    <row r="6962" spans="7:14" x14ac:dyDescent="0.3">
      <c r="G6962" s="1"/>
      <c r="N6962" s="1"/>
    </row>
    <row r="6963" spans="7:14" x14ac:dyDescent="0.3">
      <c r="G6963" s="1"/>
      <c r="N6963" s="1"/>
    </row>
    <row r="6964" spans="7:14" x14ac:dyDescent="0.3">
      <c r="G6964" s="1"/>
      <c r="N6964" s="1"/>
    </row>
    <row r="6965" spans="7:14" x14ac:dyDescent="0.3">
      <c r="G6965" s="1"/>
      <c r="N6965" s="1"/>
    </row>
    <row r="6966" spans="7:14" x14ac:dyDescent="0.3">
      <c r="G6966" s="1"/>
      <c r="N6966" s="1"/>
    </row>
    <row r="6967" spans="7:14" x14ac:dyDescent="0.3">
      <c r="G6967" s="1"/>
      <c r="N6967" s="1"/>
    </row>
    <row r="6968" spans="7:14" x14ac:dyDescent="0.3">
      <c r="G6968" s="1"/>
      <c r="N6968" s="1"/>
    </row>
    <row r="6969" spans="7:14" x14ac:dyDescent="0.3">
      <c r="G6969" s="1"/>
      <c r="N6969" s="1"/>
    </row>
    <row r="6970" spans="7:14" x14ac:dyDescent="0.3">
      <c r="G6970" s="1"/>
      <c r="N6970" s="1"/>
    </row>
    <row r="6971" spans="7:14" x14ac:dyDescent="0.3">
      <c r="G6971" s="1"/>
      <c r="N6971" s="1"/>
    </row>
    <row r="6972" spans="7:14" x14ac:dyDescent="0.3">
      <c r="G6972" s="1"/>
      <c r="N6972" s="1"/>
    </row>
    <row r="6973" spans="7:14" x14ac:dyDescent="0.3">
      <c r="G6973" s="1"/>
      <c r="N6973" s="1"/>
    </row>
    <row r="6974" spans="7:14" x14ac:dyDescent="0.3">
      <c r="G6974" s="1"/>
      <c r="N6974" s="1"/>
    </row>
    <row r="6975" spans="7:14" x14ac:dyDescent="0.3">
      <c r="G6975" s="1"/>
      <c r="N6975" s="1"/>
    </row>
    <row r="6976" spans="7:14" x14ac:dyDescent="0.3">
      <c r="G6976" s="1"/>
      <c r="N6976" s="1"/>
    </row>
    <row r="6977" spans="7:14" x14ac:dyDescent="0.3">
      <c r="G6977" s="1"/>
      <c r="N6977" s="1"/>
    </row>
    <row r="6978" spans="7:14" x14ac:dyDescent="0.3">
      <c r="G6978" s="1"/>
      <c r="N6978" s="1"/>
    </row>
    <row r="6979" spans="7:14" x14ac:dyDescent="0.3">
      <c r="G6979" s="1"/>
      <c r="N6979" s="1"/>
    </row>
    <row r="6980" spans="7:14" x14ac:dyDescent="0.3">
      <c r="G6980" s="1"/>
      <c r="N6980" s="1"/>
    </row>
    <row r="6981" spans="7:14" x14ac:dyDescent="0.3">
      <c r="G6981" s="1"/>
      <c r="N6981" s="1"/>
    </row>
    <row r="6982" spans="7:14" x14ac:dyDescent="0.3">
      <c r="G6982" s="1"/>
      <c r="N6982" s="1"/>
    </row>
    <row r="6983" spans="7:14" x14ac:dyDescent="0.3">
      <c r="G6983" s="1"/>
      <c r="N6983" s="1"/>
    </row>
    <row r="6984" spans="7:14" x14ac:dyDescent="0.3">
      <c r="G6984" s="1"/>
      <c r="N6984" s="1"/>
    </row>
    <row r="6985" spans="7:14" x14ac:dyDescent="0.3">
      <c r="G6985" s="1"/>
      <c r="N6985" s="1"/>
    </row>
    <row r="6986" spans="7:14" x14ac:dyDescent="0.3">
      <c r="G6986" s="1"/>
      <c r="N6986" s="1"/>
    </row>
    <row r="6987" spans="7:14" x14ac:dyDescent="0.3">
      <c r="G6987" s="1"/>
      <c r="N6987" s="1"/>
    </row>
    <row r="6988" spans="7:14" x14ac:dyDescent="0.3">
      <c r="G6988" s="1"/>
      <c r="N6988" s="1"/>
    </row>
    <row r="6989" spans="7:14" x14ac:dyDescent="0.3">
      <c r="G6989" s="1"/>
      <c r="N6989" s="1"/>
    </row>
    <row r="6990" spans="7:14" x14ac:dyDescent="0.3">
      <c r="G6990" s="1"/>
      <c r="N6990" s="1"/>
    </row>
    <row r="6991" spans="7:14" x14ac:dyDescent="0.3">
      <c r="G6991" s="1"/>
      <c r="N6991" s="1"/>
    </row>
    <row r="6992" spans="7:14" x14ac:dyDescent="0.3">
      <c r="G6992" s="1"/>
      <c r="N6992" s="1"/>
    </row>
    <row r="6993" spans="7:14" x14ac:dyDescent="0.3">
      <c r="G6993" s="1"/>
      <c r="N6993" s="1"/>
    </row>
    <row r="6994" spans="7:14" x14ac:dyDescent="0.3">
      <c r="G6994" s="1"/>
      <c r="N6994" s="1"/>
    </row>
    <row r="6995" spans="7:14" x14ac:dyDescent="0.3">
      <c r="G6995" s="1"/>
      <c r="N6995" s="1"/>
    </row>
    <row r="6996" spans="7:14" x14ac:dyDescent="0.3">
      <c r="G6996" s="1"/>
      <c r="N6996" s="1"/>
    </row>
    <row r="6997" spans="7:14" x14ac:dyDescent="0.3">
      <c r="G6997" s="1"/>
      <c r="N6997" s="1"/>
    </row>
    <row r="6998" spans="7:14" x14ac:dyDescent="0.3">
      <c r="G6998" s="1"/>
      <c r="N6998" s="1"/>
    </row>
    <row r="6999" spans="7:14" x14ac:dyDescent="0.3">
      <c r="G6999" s="1"/>
      <c r="N6999" s="1"/>
    </row>
    <row r="7000" spans="7:14" x14ac:dyDescent="0.3">
      <c r="G7000" s="1"/>
      <c r="N7000" s="1"/>
    </row>
    <row r="7001" spans="7:14" x14ac:dyDescent="0.3">
      <c r="G7001" s="1"/>
      <c r="N7001" s="1"/>
    </row>
    <row r="7002" spans="7:14" x14ac:dyDescent="0.3">
      <c r="G7002" s="1"/>
      <c r="N7002" s="1"/>
    </row>
    <row r="7003" spans="7:14" x14ac:dyDescent="0.3">
      <c r="G7003" s="1"/>
      <c r="N7003" s="1"/>
    </row>
    <row r="7004" spans="7:14" x14ac:dyDescent="0.3">
      <c r="G7004" s="1"/>
      <c r="N7004" s="1"/>
    </row>
    <row r="7005" spans="7:14" x14ac:dyDescent="0.3">
      <c r="G7005" s="1"/>
      <c r="N7005" s="1"/>
    </row>
    <row r="7006" spans="7:14" x14ac:dyDescent="0.3">
      <c r="G7006" s="1"/>
      <c r="N7006" s="1"/>
    </row>
    <row r="7007" spans="7:14" x14ac:dyDescent="0.3">
      <c r="G7007" s="1"/>
      <c r="N7007" s="1"/>
    </row>
    <row r="7008" spans="7:14" x14ac:dyDescent="0.3">
      <c r="G7008" s="1"/>
      <c r="N7008" s="1"/>
    </row>
    <row r="7009" spans="7:14" x14ac:dyDescent="0.3">
      <c r="G7009" s="1"/>
      <c r="N7009" s="1"/>
    </row>
    <row r="7010" spans="7:14" x14ac:dyDescent="0.3">
      <c r="G7010" s="1"/>
      <c r="N7010" s="1"/>
    </row>
    <row r="7011" spans="7:14" x14ac:dyDescent="0.3">
      <c r="G7011" s="1"/>
      <c r="N7011" s="1"/>
    </row>
    <row r="7012" spans="7:14" x14ac:dyDescent="0.3">
      <c r="G7012" s="1"/>
      <c r="N7012" s="1"/>
    </row>
    <row r="7013" spans="7:14" x14ac:dyDescent="0.3">
      <c r="G7013" s="1"/>
      <c r="N7013" s="1"/>
    </row>
    <row r="7014" spans="7:14" x14ac:dyDescent="0.3">
      <c r="G7014" s="1"/>
      <c r="N7014" s="1"/>
    </row>
    <row r="7015" spans="7:14" x14ac:dyDescent="0.3">
      <c r="G7015" s="1"/>
      <c r="N7015" s="1"/>
    </row>
    <row r="7016" spans="7:14" x14ac:dyDescent="0.3">
      <c r="G7016" s="1"/>
      <c r="N7016" s="1"/>
    </row>
    <row r="7017" spans="7:14" x14ac:dyDescent="0.3">
      <c r="G7017" s="1"/>
      <c r="N7017" s="1"/>
    </row>
    <row r="7018" spans="7:14" x14ac:dyDescent="0.3">
      <c r="G7018" s="1"/>
      <c r="N7018" s="1"/>
    </row>
    <row r="7019" spans="7:14" x14ac:dyDescent="0.3">
      <c r="G7019" s="1"/>
      <c r="N7019" s="1"/>
    </row>
    <row r="7020" spans="7:14" x14ac:dyDescent="0.3">
      <c r="G7020" s="1"/>
      <c r="N7020" s="1"/>
    </row>
    <row r="7021" spans="7:14" x14ac:dyDescent="0.3">
      <c r="G7021" s="1"/>
      <c r="N7021" s="1"/>
    </row>
    <row r="7022" spans="7:14" x14ac:dyDescent="0.3">
      <c r="G7022" s="1"/>
      <c r="N7022" s="1"/>
    </row>
    <row r="7023" spans="7:14" x14ac:dyDescent="0.3">
      <c r="G7023" s="1"/>
      <c r="N7023" s="1"/>
    </row>
    <row r="7024" spans="7:14" x14ac:dyDescent="0.3">
      <c r="G7024" s="1"/>
      <c r="N7024" s="1"/>
    </row>
    <row r="7025" spans="7:14" x14ac:dyDescent="0.3">
      <c r="G7025" s="1"/>
      <c r="N7025" s="1"/>
    </row>
    <row r="7026" spans="7:14" x14ac:dyDescent="0.3">
      <c r="G7026" s="1"/>
      <c r="N7026" s="1"/>
    </row>
    <row r="7027" spans="7:14" x14ac:dyDescent="0.3">
      <c r="G7027" s="1"/>
      <c r="N7027" s="1"/>
    </row>
    <row r="7028" spans="7:14" x14ac:dyDescent="0.3">
      <c r="G7028" s="1"/>
      <c r="N7028" s="1"/>
    </row>
    <row r="7029" spans="7:14" x14ac:dyDescent="0.3">
      <c r="G7029" s="1"/>
      <c r="N7029" s="1"/>
    </row>
    <row r="7030" spans="7:14" x14ac:dyDescent="0.3">
      <c r="G7030" s="1"/>
      <c r="N7030" s="1"/>
    </row>
    <row r="7031" spans="7:14" x14ac:dyDescent="0.3">
      <c r="G7031" s="1"/>
      <c r="N7031" s="1"/>
    </row>
    <row r="7032" spans="7:14" x14ac:dyDescent="0.3">
      <c r="G7032" s="1"/>
      <c r="N7032" s="1"/>
    </row>
    <row r="7033" spans="7:14" x14ac:dyDescent="0.3">
      <c r="G7033" s="1"/>
      <c r="N7033" s="1"/>
    </row>
    <row r="7034" spans="7:14" x14ac:dyDescent="0.3">
      <c r="G7034" s="1"/>
      <c r="N7034" s="1"/>
    </row>
    <row r="7035" spans="7:14" x14ac:dyDescent="0.3">
      <c r="G7035" s="1"/>
      <c r="N7035" s="1"/>
    </row>
    <row r="7036" spans="7:14" x14ac:dyDescent="0.3">
      <c r="G7036" s="1"/>
      <c r="N7036" s="1"/>
    </row>
    <row r="7037" spans="7:14" x14ac:dyDescent="0.3">
      <c r="G7037" s="1"/>
      <c r="N7037" s="1"/>
    </row>
    <row r="7038" spans="7:14" x14ac:dyDescent="0.3">
      <c r="G7038" s="1"/>
      <c r="N7038" s="1"/>
    </row>
    <row r="7039" spans="7:14" x14ac:dyDescent="0.3">
      <c r="G7039" s="1"/>
      <c r="N7039" s="1"/>
    </row>
    <row r="7040" spans="7:14" x14ac:dyDescent="0.3">
      <c r="G7040" s="1"/>
      <c r="N7040" s="1"/>
    </row>
    <row r="7041" spans="7:14" x14ac:dyDescent="0.3">
      <c r="G7041" s="1"/>
      <c r="N7041" s="1"/>
    </row>
    <row r="7042" spans="7:14" x14ac:dyDescent="0.3">
      <c r="G7042" s="1"/>
      <c r="N7042" s="1"/>
    </row>
    <row r="7043" spans="7:14" x14ac:dyDescent="0.3">
      <c r="G7043" s="1"/>
      <c r="N7043" s="1"/>
    </row>
    <row r="7044" spans="7:14" x14ac:dyDescent="0.3">
      <c r="G7044" s="1"/>
      <c r="N7044" s="1"/>
    </row>
    <row r="7045" spans="7:14" x14ac:dyDescent="0.3">
      <c r="G7045" s="1"/>
      <c r="N7045" s="1"/>
    </row>
    <row r="7046" spans="7:14" x14ac:dyDescent="0.3">
      <c r="G7046" s="1"/>
      <c r="N7046" s="1"/>
    </row>
    <row r="7047" spans="7:14" x14ac:dyDescent="0.3">
      <c r="G7047" s="1"/>
      <c r="N7047" s="1"/>
    </row>
    <row r="7048" spans="7:14" x14ac:dyDescent="0.3">
      <c r="G7048" s="1"/>
      <c r="N7048" s="1"/>
    </row>
    <row r="7049" spans="7:14" x14ac:dyDescent="0.3">
      <c r="G7049" s="1"/>
      <c r="N7049" s="1"/>
    </row>
    <row r="7050" spans="7:14" x14ac:dyDescent="0.3">
      <c r="G7050" s="1"/>
      <c r="N7050" s="1"/>
    </row>
    <row r="7051" spans="7:14" x14ac:dyDescent="0.3">
      <c r="G7051" s="1"/>
      <c r="N7051" s="1"/>
    </row>
    <row r="7052" spans="7:14" x14ac:dyDescent="0.3">
      <c r="G7052" s="1"/>
      <c r="N7052" s="1"/>
    </row>
    <row r="7053" spans="7:14" x14ac:dyDescent="0.3">
      <c r="G7053" s="1"/>
      <c r="N7053" s="1"/>
    </row>
    <row r="7054" spans="7:14" x14ac:dyDescent="0.3">
      <c r="G7054" s="1"/>
      <c r="N7054" s="1"/>
    </row>
    <row r="7055" spans="7:14" x14ac:dyDescent="0.3">
      <c r="G7055" s="1"/>
      <c r="N7055" s="1"/>
    </row>
    <row r="7056" spans="7:14" x14ac:dyDescent="0.3">
      <c r="G7056" s="1"/>
      <c r="N7056" s="1"/>
    </row>
    <row r="7057" spans="7:14" x14ac:dyDescent="0.3">
      <c r="G7057" s="1"/>
      <c r="N7057" s="1"/>
    </row>
    <row r="7058" spans="7:14" x14ac:dyDescent="0.3">
      <c r="G7058" s="1"/>
      <c r="N7058" s="1"/>
    </row>
    <row r="7059" spans="7:14" x14ac:dyDescent="0.3">
      <c r="G7059" s="1"/>
      <c r="N7059" s="1"/>
    </row>
    <row r="7060" spans="7:14" x14ac:dyDescent="0.3">
      <c r="G7060" s="1"/>
      <c r="N7060" s="1"/>
    </row>
    <row r="7061" spans="7:14" x14ac:dyDescent="0.3">
      <c r="G7061" s="1"/>
      <c r="N7061" s="1"/>
    </row>
    <row r="7062" spans="7:14" x14ac:dyDescent="0.3">
      <c r="G7062" s="1"/>
      <c r="N7062" s="1"/>
    </row>
    <row r="7063" spans="7:14" x14ac:dyDescent="0.3">
      <c r="G7063" s="1"/>
      <c r="N7063" s="1"/>
    </row>
    <row r="7064" spans="7:14" x14ac:dyDescent="0.3">
      <c r="G7064" s="1"/>
      <c r="N7064" s="1"/>
    </row>
    <row r="7065" spans="7:14" x14ac:dyDescent="0.3">
      <c r="G7065" s="1"/>
      <c r="N7065" s="1"/>
    </row>
    <row r="7066" spans="7:14" x14ac:dyDescent="0.3">
      <c r="G7066" s="1"/>
      <c r="N7066" s="1"/>
    </row>
    <row r="7067" spans="7:14" x14ac:dyDescent="0.3">
      <c r="G7067" s="1"/>
      <c r="N7067" s="1"/>
    </row>
    <row r="7068" spans="7:14" x14ac:dyDescent="0.3">
      <c r="G7068" s="1"/>
      <c r="N7068" s="1"/>
    </row>
    <row r="7069" spans="7:14" x14ac:dyDescent="0.3">
      <c r="G7069" s="1"/>
      <c r="N7069" s="1"/>
    </row>
    <row r="7070" spans="7:14" x14ac:dyDescent="0.3">
      <c r="G7070" s="1"/>
      <c r="N7070" s="1"/>
    </row>
    <row r="7071" spans="7:14" x14ac:dyDescent="0.3">
      <c r="G7071" s="1"/>
      <c r="N7071" s="1"/>
    </row>
    <row r="7072" spans="7:14" x14ac:dyDescent="0.3">
      <c r="G7072" s="1"/>
      <c r="N7072" s="1"/>
    </row>
    <row r="7073" spans="7:14" x14ac:dyDescent="0.3">
      <c r="G7073" s="1"/>
      <c r="N7073" s="1"/>
    </row>
    <row r="7074" spans="7:14" x14ac:dyDescent="0.3">
      <c r="G7074" s="1"/>
      <c r="N7074" s="1"/>
    </row>
    <row r="7075" spans="7:14" x14ac:dyDescent="0.3">
      <c r="G7075" s="1"/>
      <c r="N7075" s="1"/>
    </row>
    <row r="7076" spans="7:14" x14ac:dyDescent="0.3">
      <c r="G7076" s="1"/>
      <c r="N7076" s="1"/>
    </row>
    <row r="7077" spans="7:14" x14ac:dyDescent="0.3">
      <c r="G7077" s="1"/>
      <c r="N7077" s="1"/>
    </row>
    <row r="7078" spans="7:14" x14ac:dyDescent="0.3">
      <c r="G7078" s="1"/>
      <c r="N7078" s="1"/>
    </row>
    <row r="7079" spans="7:14" x14ac:dyDescent="0.3">
      <c r="G7079" s="1"/>
      <c r="N7079" s="1"/>
    </row>
    <row r="7080" spans="7:14" x14ac:dyDescent="0.3">
      <c r="G7080" s="1"/>
      <c r="N7080" s="1"/>
    </row>
    <row r="7081" spans="7:14" x14ac:dyDescent="0.3">
      <c r="G7081" s="1"/>
      <c r="N7081" s="1"/>
    </row>
    <row r="7082" spans="7:14" x14ac:dyDescent="0.3">
      <c r="G7082" s="1"/>
      <c r="N7082" s="1"/>
    </row>
    <row r="7083" spans="7:14" x14ac:dyDescent="0.3">
      <c r="G7083" s="1"/>
      <c r="N7083" s="1"/>
    </row>
    <row r="7084" spans="7:14" x14ac:dyDescent="0.3">
      <c r="G7084" s="1"/>
      <c r="N7084" s="1"/>
    </row>
    <row r="7085" spans="7:14" x14ac:dyDescent="0.3">
      <c r="G7085" s="1"/>
      <c r="N7085" s="1"/>
    </row>
    <row r="7086" spans="7:14" x14ac:dyDescent="0.3">
      <c r="G7086" s="1"/>
      <c r="N7086" s="1"/>
    </row>
    <row r="7087" spans="7:14" x14ac:dyDescent="0.3">
      <c r="G7087" s="1"/>
      <c r="N7087" s="1"/>
    </row>
    <row r="7088" spans="7:14" x14ac:dyDescent="0.3">
      <c r="G7088" s="1"/>
      <c r="N7088" s="1"/>
    </row>
    <row r="7089" spans="7:14" x14ac:dyDescent="0.3">
      <c r="G7089" s="1"/>
      <c r="N7089" s="1"/>
    </row>
    <row r="7090" spans="7:14" x14ac:dyDescent="0.3">
      <c r="G7090" s="1"/>
      <c r="N7090" s="1"/>
    </row>
    <row r="7091" spans="7:14" x14ac:dyDescent="0.3">
      <c r="G7091" s="1"/>
      <c r="N7091" s="1"/>
    </row>
    <row r="7092" spans="7:14" x14ac:dyDescent="0.3">
      <c r="G7092" s="1"/>
      <c r="N7092" s="1"/>
    </row>
    <row r="7093" spans="7:14" x14ac:dyDescent="0.3">
      <c r="G7093" s="1"/>
      <c r="N7093" s="1"/>
    </row>
    <row r="7094" spans="7:14" x14ac:dyDescent="0.3">
      <c r="G7094" s="1"/>
      <c r="N7094" s="1"/>
    </row>
    <row r="7095" spans="7:14" x14ac:dyDescent="0.3">
      <c r="G7095" s="1"/>
      <c r="N7095" s="1"/>
    </row>
    <row r="7096" spans="7:14" x14ac:dyDescent="0.3">
      <c r="G7096" s="1"/>
      <c r="N7096" s="1"/>
    </row>
    <row r="7097" spans="7:14" x14ac:dyDescent="0.3">
      <c r="G7097" s="1"/>
      <c r="N7097" s="1"/>
    </row>
    <row r="7098" spans="7:14" x14ac:dyDescent="0.3">
      <c r="G7098" s="1"/>
      <c r="N7098" s="1"/>
    </row>
    <row r="7099" spans="7:14" x14ac:dyDescent="0.3">
      <c r="G7099" s="1"/>
      <c r="N7099" s="1"/>
    </row>
    <row r="7100" spans="7:14" x14ac:dyDescent="0.3">
      <c r="G7100" s="1"/>
      <c r="N7100" s="1"/>
    </row>
    <row r="7101" spans="7:14" x14ac:dyDescent="0.3">
      <c r="G7101" s="1"/>
      <c r="N7101" s="1"/>
    </row>
    <row r="7102" spans="7:14" x14ac:dyDescent="0.3">
      <c r="G7102" s="1"/>
      <c r="N7102" s="1"/>
    </row>
    <row r="7103" spans="7:14" x14ac:dyDescent="0.3">
      <c r="G7103" s="1"/>
      <c r="N7103" s="1"/>
    </row>
    <row r="7104" spans="7:14" x14ac:dyDescent="0.3">
      <c r="G7104" s="1"/>
      <c r="N7104" s="1"/>
    </row>
    <row r="7105" spans="7:14" x14ac:dyDescent="0.3">
      <c r="G7105" s="1"/>
      <c r="N7105" s="1"/>
    </row>
    <row r="7106" spans="7:14" x14ac:dyDescent="0.3">
      <c r="G7106" s="1"/>
      <c r="N7106" s="1"/>
    </row>
    <row r="7107" spans="7:14" x14ac:dyDescent="0.3">
      <c r="G7107" s="1"/>
      <c r="N7107" s="1"/>
    </row>
    <row r="7108" spans="7:14" x14ac:dyDescent="0.3">
      <c r="G7108" s="1"/>
      <c r="N7108" s="1"/>
    </row>
    <row r="7109" spans="7:14" x14ac:dyDescent="0.3">
      <c r="G7109" s="1"/>
      <c r="N7109" s="1"/>
    </row>
    <row r="7110" spans="7:14" x14ac:dyDescent="0.3">
      <c r="G7110" s="1"/>
      <c r="N7110" s="1"/>
    </row>
    <row r="7111" spans="7:14" x14ac:dyDescent="0.3">
      <c r="G7111" s="1"/>
      <c r="N7111" s="1"/>
    </row>
    <row r="7112" spans="7:14" x14ac:dyDescent="0.3">
      <c r="G7112" s="1"/>
      <c r="N7112" s="1"/>
    </row>
    <row r="7113" spans="7:14" x14ac:dyDescent="0.3">
      <c r="G7113" s="1"/>
      <c r="N7113" s="1"/>
    </row>
    <row r="7114" spans="7:14" x14ac:dyDescent="0.3">
      <c r="G7114" s="1"/>
      <c r="N7114" s="1"/>
    </row>
    <row r="7115" spans="7:14" x14ac:dyDescent="0.3">
      <c r="G7115" s="1"/>
      <c r="N7115" s="1"/>
    </row>
    <row r="7116" spans="7:14" x14ac:dyDescent="0.3">
      <c r="G7116" s="1"/>
      <c r="N7116" s="1"/>
    </row>
    <row r="7117" spans="7:14" x14ac:dyDescent="0.3">
      <c r="G7117" s="1"/>
      <c r="N7117" s="1"/>
    </row>
    <row r="7118" spans="7:14" x14ac:dyDescent="0.3">
      <c r="G7118" s="1"/>
      <c r="N7118" s="1"/>
    </row>
    <row r="7119" spans="7:14" x14ac:dyDescent="0.3">
      <c r="G7119" s="1"/>
      <c r="N7119" s="1"/>
    </row>
    <row r="7120" spans="7:14" x14ac:dyDescent="0.3">
      <c r="G7120" s="1"/>
      <c r="N7120" s="1"/>
    </row>
    <row r="7121" spans="7:14" x14ac:dyDescent="0.3">
      <c r="G7121" s="1"/>
      <c r="N7121" s="1"/>
    </row>
    <row r="7122" spans="7:14" x14ac:dyDescent="0.3">
      <c r="G7122" s="1"/>
      <c r="N7122" s="1"/>
    </row>
    <row r="7123" spans="7:14" x14ac:dyDescent="0.3">
      <c r="G7123" s="1"/>
      <c r="N7123" s="1"/>
    </row>
    <row r="7124" spans="7:14" x14ac:dyDescent="0.3">
      <c r="G7124" s="1"/>
      <c r="N7124" s="1"/>
    </row>
    <row r="7125" spans="7:14" x14ac:dyDescent="0.3">
      <c r="G7125" s="1"/>
      <c r="N7125" s="1"/>
    </row>
    <row r="7126" spans="7:14" x14ac:dyDescent="0.3">
      <c r="G7126" s="1"/>
      <c r="N7126" s="1"/>
    </row>
    <row r="7127" spans="7:14" x14ac:dyDescent="0.3">
      <c r="G7127" s="1"/>
      <c r="N7127" s="1"/>
    </row>
    <row r="7128" spans="7:14" x14ac:dyDescent="0.3">
      <c r="G7128" s="1"/>
      <c r="N7128" s="1"/>
    </row>
    <row r="7129" spans="7:14" x14ac:dyDescent="0.3">
      <c r="G7129" s="1"/>
      <c r="N7129" s="1"/>
    </row>
    <row r="7130" spans="7:14" x14ac:dyDescent="0.3">
      <c r="G7130" s="1"/>
      <c r="N7130" s="1"/>
    </row>
    <row r="7131" spans="7:14" x14ac:dyDescent="0.3">
      <c r="G7131" s="1"/>
      <c r="N7131" s="1"/>
    </row>
    <row r="7132" spans="7:14" x14ac:dyDescent="0.3">
      <c r="G7132" s="1"/>
      <c r="N7132" s="1"/>
    </row>
    <row r="7133" spans="7:14" x14ac:dyDescent="0.3">
      <c r="G7133" s="1"/>
      <c r="N7133" s="1"/>
    </row>
    <row r="7134" spans="7:14" x14ac:dyDescent="0.3">
      <c r="G7134" s="1"/>
      <c r="N7134" s="1"/>
    </row>
    <row r="7135" spans="7:14" x14ac:dyDescent="0.3">
      <c r="G7135" s="1"/>
      <c r="N7135" s="1"/>
    </row>
    <row r="7136" spans="7:14" x14ac:dyDescent="0.3">
      <c r="G7136" s="1"/>
      <c r="N7136" s="1"/>
    </row>
    <row r="7137" spans="7:14" x14ac:dyDescent="0.3">
      <c r="G7137" s="1"/>
      <c r="N7137" s="1"/>
    </row>
    <row r="7138" spans="7:14" x14ac:dyDescent="0.3">
      <c r="G7138" s="1"/>
      <c r="N7138" s="1"/>
    </row>
    <row r="7139" spans="7:14" x14ac:dyDescent="0.3">
      <c r="G7139" s="1"/>
      <c r="N7139" s="1"/>
    </row>
    <row r="7140" spans="7:14" x14ac:dyDescent="0.3">
      <c r="G7140" s="1"/>
      <c r="N7140" s="1"/>
    </row>
    <row r="7141" spans="7:14" x14ac:dyDescent="0.3">
      <c r="G7141" s="1"/>
      <c r="N7141" s="1"/>
    </row>
    <row r="7142" spans="7:14" x14ac:dyDescent="0.3">
      <c r="G7142" s="1"/>
      <c r="N7142" s="1"/>
    </row>
    <row r="7143" spans="7:14" x14ac:dyDescent="0.3">
      <c r="G7143" s="1"/>
      <c r="N7143" s="1"/>
    </row>
    <row r="7144" spans="7:14" x14ac:dyDescent="0.3">
      <c r="G7144" s="1"/>
      <c r="N7144" s="1"/>
    </row>
    <row r="7145" spans="7:14" x14ac:dyDescent="0.3">
      <c r="G7145" s="1"/>
      <c r="N7145" s="1"/>
    </row>
    <row r="7146" spans="7:14" x14ac:dyDescent="0.3">
      <c r="G7146" s="1"/>
      <c r="N7146" s="1"/>
    </row>
    <row r="7147" spans="7:14" x14ac:dyDescent="0.3">
      <c r="G7147" s="1"/>
      <c r="N7147" s="1"/>
    </row>
    <row r="7148" spans="7:14" x14ac:dyDescent="0.3">
      <c r="G7148" s="1"/>
      <c r="N7148" s="1"/>
    </row>
    <row r="7149" spans="7:14" x14ac:dyDescent="0.3">
      <c r="G7149" s="1"/>
      <c r="N7149" s="1"/>
    </row>
    <row r="7150" spans="7:14" x14ac:dyDescent="0.3">
      <c r="G7150" s="1"/>
      <c r="N7150" s="1"/>
    </row>
    <row r="7151" spans="7:14" x14ac:dyDescent="0.3">
      <c r="G7151" s="1"/>
      <c r="N7151" s="1"/>
    </row>
    <row r="7152" spans="7:14" x14ac:dyDescent="0.3">
      <c r="G7152" s="1"/>
      <c r="N7152" s="1"/>
    </row>
    <row r="7153" spans="7:14" x14ac:dyDescent="0.3">
      <c r="G7153" s="1"/>
      <c r="N7153" s="1"/>
    </row>
    <row r="7154" spans="7:14" x14ac:dyDescent="0.3">
      <c r="G7154" s="1"/>
      <c r="N7154" s="1"/>
    </row>
    <row r="7155" spans="7:14" x14ac:dyDescent="0.3">
      <c r="G7155" s="1"/>
      <c r="N7155" s="1"/>
    </row>
    <row r="7156" spans="7:14" x14ac:dyDescent="0.3">
      <c r="G7156" s="1"/>
      <c r="N7156" s="1"/>
    </row>
    <row r="7157" spans="7:14" x14ac:dyDescent="0.3">
      <c r="G7157" s="1"/>
      <c r="N7157" s="1"/>
    </row>
    <row r="7158" spans="7:14" x14ac:dyDescent="0.3">
      <c r="G7158" s="1"/>
      <c r="N7158" s="1"/>
    </row>
    <row r="7159" spans="7:14" x14ac:dyDescent="0.3">
      <c r="G7159" s="1"/>
      <c r="N7159" s="1"/>
    </row>
    <row r="7160" spans="7:14" x14ac:dyDescent="0.3">
      <c r="G7160" s="1"/>
      <c r="N7160" s="1"/>
    </row>
    <row r="7161" spans="7:14" x14ac:dyDescent="0.3">
      <c r="G7161" s="1"/>
      <c r="N7161" s="1"/>
    </row>
    <row r="7162" spans="7:14" x14ac:dyDescent="0.3">
      <c r="G7162" s="1"/>
      <c r="N7162" s="1"/>
    </row>
    <row r="7163" spans="7:14" x14ac:dyDescent="0.3">
      <c r="G7163" s="1"/>
      <c r="N7163" s="1"/>
    </row>
    <row r="7164" spans="7:14" x14ac:dyDescent="0.3">
      <c r="G7164" s="1"/>
      <c r="N7164" s="1"/>
    </row>
    <row r="7165" spans="7:14" x14ac:dyDescent="0.3">
      <c r="G7165" s="1"/>
      <c r="N7165" s="1"/>
    </row>
    <row r="7166" spans="7:14" x14ac:dyDescent="0.3">
      <c r="G7166" s="1"/>
      <c r="N7166" s="1"/>
    </row>
    <row r="7167" spans="7:14" x14ac:dyDescent="0.3">
      <c r="G7167" s="1"/>
      <c r="N7167" s="1"/>
    </row>
    <row r="7168" spans="7:14" x14ac:dyDescent="0.3">
      <c r="G7168" s="1"/>
      <c r="N7168" s="1"/>
    </row>
    <row r="7169" spans="7:14" x14ac:dyDescent="0.3">
      <c r="G7169" s="1"/>
      <c r="N7169" s="1"/>
    </row>
    <row r="7170" spans="7:14" x14ac:dyDescent="0.3">
      <c r="G7170" s="1"/>
      <c r="N7170" s="1"/>
    </row>
    <row r="7171" spans="7:14" x14ac:dyDescent="0.3">
      <c r="G7171" s="1"/>
      <c r="N7171" s="1"/>
    </row>
    <row r="7172" spans="7:14" x14ac:dyDescent="0.3">
      <c r="G7172" s="1"/>
      <c r="N7172" s="1"/>
    </row>
    <row r="7173" spans="7:14" x14ac:dyDescent="0.3">
      <c r="G7173" s="1"/>
      <c r="N7173" s="1"/>
    </row>
    <row r="7174" spans="7:14" x14ac:dyDescent="0.3">
      <c r="G7174" s="1"/>
      <c r="N7174" s="1"/>
    </row>
    <row r="7175" spans="7:14" x14ac:dyDescent="0.3">
      <c r="G7175" s="1"/>
      <c r="N7175" s="1"/>
    </row>
    <row r="7176" spans="7:14" x14ac:dyDescent="0.3">
      <c r="G7176" s="1"/>
      <c r="N7176" s="1"/>
    </row>
    <row r="7177" spans="7:14" x14ac:dyDescent="0.3">
      <c r="G7177" s="1"/>
      <c r="N7177" s="1"/>
    </row>
    <row r="7178" spans="7:14" x14ac:dyDescent="0.3">
      <c r="G7178" s="1"/>
      <c r="N7178" s="1"/>
    </row>
    <row r="7179" spans="7:14" x14ac:dyDescent="0.3">
      <c r="G7179" s="1"/>
      <c r="N7179" s="1"/>
    </row>
    <row r="7180" spans="7:14" x14ac:dyDescent="0.3">
      <c r="G7180" s="1"/>
      <c r="N7180" s="1"/>
    </row>
    <row r="7181" spans="7:14" x14ac:dyDescent="0.3">
      <c r="G7181" s="1"/>
      <c r="N7181" s="1"/>
    </row>
    <row r="7182" spans="7:14" x14ac:dyDescent="0.3">
      <c r="G7182" s="1"/>
      <c r="N7182" s="1"/>
    </row>
    <row r="7183" spans="7:14" x14ac:dyDescent="0.3">
      <c r="G7183" s="1"/>
      <c r="N7183" s="1"/>
    </row>
    <row r="7184" spans="7:14" x14ac:dyDescent="0.3">
      <c r="G7184" s="1"/>
      <c r="N7184" s="1"/>
    </row>
    <row r="7185" spans="7:14" x14ac:dyDescent="0.3">
      <c r="G7185" s="1"/>
      <c r="N7185" s="1"/>
    </row>
    <row r="7186" spans="7:14" x14ac:dyDescent="0.3">
      <c r="G7186" s="1"/>
      <c r="N7186" s="1"/>
    </row>
    <row r="7187" spans="7:14" x14ac:dyDescent="0.3">
      <c r="G7187" s="1"/>
      <c r="N7187" s="1"/>
    </row>
    <row r="7188" spans="7:14" x14ac:dyDescent="0.3">
      <c r="G7188" s="1"/>
      <c r="N7188" s="1"/>
    </row>
    <row r="7189" spans="7:14" x14ac:dyDescent="0.3">
      <c r="G7189" s="1"/>
      <c r="N7189" s="1"/>
    </row>
    <row r="7190" spans="7:14" x14ac:dyDescent="0.3">
      <c r="G7190" s="1"/>
      <c r="N7190" s="1"/>
    </row>
    <row r="7191" spans="7:14" x14ac:dyDescent="0.3">
      <c r="G7191" s="1"/>
      <c r="N7191" s="1"/>
    </row>
    <row r="7192" spans="7:14" x14ac:dyDescent="0.3">
      <c r="G7192" s="1"/>
      <c r="N7192" s="1"/>
    </row>
    <row r="7193" spans="7:14" x14ac:dyDescent="0.3">
      <c r="G7193" s="1"/>
      <c r="N7193" s="1"/>
    </row>
    <row r="7194" spans="7:14" x14ac:dyDescent="0.3">
      <c r="G7194" s="1"/>
      <c r="N7194" s="1"/>
    </row>
    <row r="7195" spans="7:14" x14ac:dyDescent="0.3">
      <c r="G7195" s="1"/>
      <c r="N7195" s="1"/>
    </row>
    <row r="7196" spans="7:14" x14ac:dyDescent="0.3">
      <c r="G7196" s="1"/>
      <c r="N7196" s="1"/>
    </row>
    <row r="7197" spans="7:14" x14ac:dyDescent="0.3">
      <c r="G7197" s="1"/>
      <c r="N7197" s="1"/>
    </row>
    <row r="7198" spans="7:14" x14ac:dyDescent="0.3">
      <c r="G7198" s="1"/>
      <c r="N7198" s="1"/>
    </row>
    <row r="7199" spans="7:14" x14ac:dyDescent="0.3">
      <c r="G7199" s="1"/>
      <c r="N7199" s="1"/>
    </row>
    <row r="7200" spans="7:14" x14ac:dyDescent="0.3">
      <c r="G7200" s="1"/>
      <c r="N7200" s="1"/>
    </row>
    <row r="7201" spans="7:14" x14ac:dyDescent="0.3">
      <c r="G7201" s="1"/>
      <c r="N7201" s="1"/>
    </row>
    <row r="7202" spans="7:14" x14ac:dyDescent="0.3">
      <c r="G7202" s="1"/>
      <c r="N7202" s="1"/>
    </row>
    <row r="7203" spans="7:14" x14ac:dyDescent="0.3">
      <c r="G7203" s="1"/>
      <c r="N7203" s="1"/>
    </row>
    <row r="7204" spans="7:14" x14ac:dyDescent="0.3">
      <c r="G7204" s="1"/>
      <c r="N7204" s="1"/>
    </row>
    <row r="7205" spans="7:14" x14ac:dyDescent="0.3">
      <c r="G7205" s="1"/>
      <c r="N7205" s="1"/>
    </row>
    <row r="7206" spans="7:14" x14ac:dyDescent="0.3">
      <c r="G7206" s="1"/>
      <c r="N7206" s="1"/>
    </row>
    <row r="7207" spans="7:14" x14ac:dyDescent="0.3">
      <c r="G7207" s="1"/>
      <c r="N7207" s="1"/>
    </row>
    <row r="7208" spans="7:14" x14ac:dyDescent="0.3">
      <c r="G7208" s="1"/>
      <c r="N7208" s="1"/>
    </row>
    <row r="7209" spans="7:14" x14ac:dyDescent="0.3">
      <c r="G7209" s="1"/>
      <c r="N7209" s="1"/>
    </row>
    <row r="7210" spans="7:14" x14ac:dyDescent="0.3">
      <c r="G7210" s="1"/>
      <c r="N7210" s="1"/>
    </row>
    <row r="7211" spans="7:14" x14ac:dyDescent="0.3">
      <c r="G7211" s="1"/>
      <c r="N7211" s="1"/>
    </row>
    <row r="7212" spans="7:14" x14ac:dyDescent="0.3">
      <c r="G7212" s="1"/>
      <c r="N7212" s="1"/>
    </row>
    <row r="7213" spans="7:14" x14ac:dyDescent="0.3">
      <c r="G7213" s="1"/>
      <c r="N7213" s="1"/>
    </row>
    <row r="7214" spans="7:14" x14ac:dyDescent="0.3">
      <c r="G7214" s="1"/>
      <c r="N7214" s="1"/>
    </row>
    <row r="7215" spans="7:14" x14ac:dyDescent="0.3">
      <c r="G7215" s="1"/>
      <c r="N7215" s="1"/>
    </row>
    <row r="7216" spans="7:14" x14ac:dyDescent="0.3">
      <c r="G7216" s="1"/>
      <c r="N7216" s="1"/>
    </row>
    <row r="7217" spans="7:14" x14ac:dyDescent="0.3">
      <c r="G7217" s="1"/>
      <c r="N7217" s="1"/>
    </row>
    <row r="7218" spans="7:14" x14ac:dyDescent="0.3">
      <c r="G7218" s="1"/>
      <c r="N7218" s="1"/>
    </row>
    <row r="7219" spans="7:14" x14ac:dyDescent="0.3">
      <c r="G7219" s="1"/>
      <c r="N7219" s="1"/>
    </row>
    <row r="7220" spans="7:14" x14ac:dyDescent="0.3">
      <c r="G7220" s="1"/>
      <c r="N7220" s="1"/>
    </row>
    <row r="7221" spans="7:14" x14ac:dyDescent="0.3">
      <c r="G7221" s="1"/>
      <c r="N7221" s="1"/>
    </row>
    <row r="7222" spans="7:14" x14ac:dyDescent="0.3">
      <c r="G7222" s="1"/>
      <c r="N7222" s="1"/>
    </row>
    <row r="7223" spans="7:14" x14ac:dyDescent="0.3">
      <c r="G7223" s="1"/>
      <c r="N7223" s="1"/>
    </row>
    <row r="7224" spans="7:14" x14ac:dyDescent="0.3">
      <c r="G7224" s="1"/>
      <c r="N7224" s="1"/>
    </row>
    <row r="7225" spans="7:14" x14ac:dyDescent="0.3">
      <c r="G7225" s="1"/>
      <c r="N7225" s="1"/>
    </row>
    <row r="7226" spans="7:14" x14ac:dyDescent="0.3">
      <c r="G7226" s="1"/>
      <c r="N7226" s="1"/>
    </row>
    <row r="7227" spans="7:14" x14ac:dyDescent="0.3">
      <c r="G7227" s="1"/>
      <c r="N7227" s="1"/>
    </row>
    <row r="7228" spans="7:14" x14ac:dyDescent="0.3">
      <c r="G7228" s="1"/>
      <c r="N7228" s="1"/>
    </row>
    <row r="7229" spans="7:14" x14ac:dyDescent="0.3">
      <c r="G7229" s="1"/>
      <c r="N7229" s="1"/>
    </row>
    <row r="7230" spans="7:14" x14ac:dyDescent="0.3">
      <c r="G7230" s="1"/>
      <c r="N7230" s="1"/>
    </row>
    <row r="7231" spans="7:14" x14ac:dyDescent="0.3">
      <c r="G7231" s="1"/>
      <c r="N7231" s="1"/>
    </row>
    <row r="7232" spans="7:14" x14ac:dyDescent="0.3">
      <c r="G7232" s="1"/>
      <c r="N7232" s="1"/>
    </row>
    <row r="7233" spans="7:14" x14ac:dyDescent="0.3">
      <c r="G7233" s="1"/>
      <c r="N7233" s="1"/>
    </row>
    <row r="7234" spans="7:14" x14ac:dyDescent="0.3">
      <c r="G7234" s="1"/>
      <c r="N7234" s="1"/>
    </row>
    <row r="7235" spans="7:14" x14ac:dyDescent="0.3">
      <c r="G7235" s="1"/>
      <c r="N7235" s="1"/>
    </row>
    <row r="7236" spans="7:14" x14ac:dyDescent="0.3">
      <c r="G7236" s="1"/>
      <c r="N7236" s="1"/>
    </row>
    <row r="7237" spans="7:14" x14ac:dyDescent="0.3">
      <c r="G7237" s="1"/>
      <c r="N7237" s="1"/>
    </row>
    <row r="7238" spans="7:14" x14ac:dyDescent="0.3">
      <c r="G7238" s="1"/>
      <c r="N7238" s="1"/>
    </row>
    <row r="7239" spans="7:14" x14ac:dyDescent="0.3">
      <c r="G7239" s="1"/>
      <c r="N7239" s="1"/>
    </row>
    <row r="7240" spans="7:14" x14ac:dyDescent="0.3">
      <c r="G7240" s="1"/>
      <c r="N7240" s="1"/>
    </row>
    <row r="7241" spans="7:14" x14ac:dyDescent="0.3">
      <c r="G7241" s="1"/>
      <c r="N7241" s="1"/>
    </row>
    <row r="7242" spans="7:14" x14ac:dyDescent="0.3">
      <c r="G7242" s="1"/>
      <c r="N7242" s="1"/>
    </row>
    <row r="7243" spans="7:14" x14ac:dyDescent="0.3">
      <c r="G7243" s="1"/>
      <c r="N7243" s="1"/>
    </row>
    <row r="7244" spans="7:14" x14ac:dyDescent="0.3">
      <c r="G7244" s="1"/>
      <c r="N7244" s="1"/>
    </row>
    <row r="7245" spans="7:14" x14ac:dyDescent="0.3">
      <c r="G7245" s="1"/>
      <c r="N7245" s="1"/>
    </row>
    <row r="7246" spans="7:14" x14ac:dyDescent="0.3">
      <c r="G7246" s="1"/>
      <c r="N7246" s="1"/>
    </row>
    <row r="7247" spans="7:14" x14ac:dyDescent="0.3">
      <c r="G7247" s="1"/>
      <c r="N7247" s="1"/>
    </row>
    <row r="7248" spans="7:14" x14ac:dyDescent="0.3">
      <c r="G7248" s="1"/>
      <c r="N7248" s="1"/>
    </row>
    <row r="7249" spans="7:14" x14ac:dyDescent="0.3">
      <c r="G7249" s="1"/>
      <c r="N7249" s="1"/>
    </row>
    <row r="7250" spans="7:14" x14ac:dyDescent="0.3">
      <c r="G7250" s="1"/>
      <c r="N7250" s="1"/>
    </row>
    <row r="7251" spans="7:14" x14ac:dyDescent="0.3">
      <c r="G7251" s="1"/>
      <c r="N7251" s="1"/>
    </row>
    <row r="7252" spans="7:14" x14ac:dyDescent="0.3">
      <c r="G7252" s="1"/>
      <c r="N7252" s="1"/>
    </row>
    <row r="7253" spans="7:14" x14ac:dyDescent="0.3">
      <c r="G7253" s="1"/>
      <c r="N7253" s="1"/>
    </row>
    <row r="7254" spans="7:14" x14ac:dyDescent="0.3">
      <c r="G7254" s="1"/>
      <c r="N7254" s="1"/>
    </row>
    <row r="7255" spans="7:14" x14ac:dyDescent="0.3">
      <c r="G7255" s="1"/>
      <c r="N7255" s="1"/>
    </row>
    <row r="7256" spans="7:14" x14ac:dyDescent="0.3">
      <c r="G7256" s="1"/>
      <c r="N7256" s="1"/>
    </row>
    <row r="7257" spans="7:14" x14ac:dyDescent="0.3">
      <c r="G7257" s="1"/>
      <c r="N7257" s="1"/>
    </row>
    <row r="7258" spans="7:14" x14ac:dyDescent="0.3">
      <c r="G7258" s="1"/>
      <c r="N7258" s="1"/>
    </row>
    <row r="7259" spans="7:14" x14ac:dyDescent="0.3">
      <c r="G7259" s="1"/>
      <c r="N7259" s="1"/>
    </row>
    <row r="7260" spans="7:14" x14ac:dyDescent="0.3">
      <c r="G7260" s="1"/>
      <c r="N7260" s="1"/>
    </row>
    <row r="7261" spans="7:14" x14ac:dyDescent="0.3">
      <c r="G7261" s="1"/>
      <c r="N7261" s="1"/>
    </row>
    <row r="7262" spans="7:14" x14ac:dyDescent="0.3">
      <c r="G7262" s="1"/>
      <c r="N7262" s="1"/>
    </row>
    <row r="7263" spans="7:14" x14ac:dyDescent="0.3">
      <c r="G7263" s="1"/>
      <c r="N7263" s="1"/>
    </row>
    <row r="7264" spans="7:14" x14ac:dyDescent="0.3">
      <c r="G7264" s="1"/>
      <c r="N7264" s="1"/>
    </row>
    <row r="7265" spans="7:14" x14ac:dyDescent="0.3">
      <c r="G7265" s="1"/>
      <c r="N7265" s="1"/>
    </row>
    <row r="7266" spans="7:14" x14ac:dyDescent="0.3">
      <c r="G7266" s="1"/>
      <c r="N7266" s="1"/>
    </row>
    <row r="7267" spans="7:14" x14ac:dyDescent="0.3">
      <c r="G7267" s="1"/>
      <c r="N7267" s="1"/>
    </row>
    <row r="7268" spans="7:14" x14ac:dyDescent="0.3">
      <c r="G7268" s="1"/>
      <c r="N7268" s="1"/>
    </row>
    <row r="7269" spans="7:14" x14ac:dyDescent="0.3">
      <c r="G7269" s="1"/>
      <c r="N7269" s="1"/>
    </row>
    <row r="7270" spans="7:14" x14ac:dyDescent="0.3">
      <c r="G7270" s="1"/>
      <c r="N7270" s="1"/>
    </row>
    <row r="7271" spans="7:14" x14ac:dyDescent="0.3">
      <c r="G7271" s="1"/>
      <c r="N7271" s="1"/>
    </row>
    <row r="7272" spans="7:14" x14ac:dyDescent="0.3">
      <c r="G7272" s="1"/>
      <c r="N7272" s="1"/>
    </row>
    <row r="7273" spans="7:14" x14ac:dyDescent="0.3">
      <c r="G7273" s="1"/>
      <c r="N7273" s="1"/>
    </row>
    <row r="7274" spans="7:14" x14ac:dyDescent="0.3">
      <c r="G7274" s="1"/>
      <c r="N7274" s="1"/>
    </row>
    <row r="7275" spans="7:14" x14ac:dyDescent="0.3">
      <c r="G7275" s="1"/>
      <c r="N7275" s="1"/>
    </row>
    <row r="7276" spans="7:14" x14ac:dyDescent="0.3">
      <c r="G7276" s="1"/>
      <c r="N7276" s="1"/>
    </row>
    <row r="7277" spans="7:14" x14ac:dyDescent="0.3">
      <c r="G7277" s="1"/>
      <c r="N7277" s="1"/>
    </row>
    <row r="7278" spans="7:14" x14ac:dyDescent="0.3">
      <c r="G7278" s="1"/>
      <c r="N7278" s="1"/>
    </row>
    <row r="7279" spans="7:14" x14ac:dyDescent="0.3">
      <c r="G7279" s="1"/>
      <c r="N7279" s="1"/>
    </row>
    <row r="7280" spans="7:14" x14ac:dyDescent="0.3">
      <c r="G7280" s="1"/>
      <c r="N7280" s="1"/>
    </row>
    <row r="7281" spans="7:14" x14ac:dyDescent="0.3">
      <c r="G7281" s="1"/>
      <c r="N7281" s="1"/>
    </row>
    <row r="7282" spans="7:14" x14ac:dyDescent="0.3">
      <c r="G7282" s="1"/>
      <c r="N7282" s="1"/>
    </row>
    <row r="7283" spans="7:14" x14ac:dyDescent="0.3">
      <c r="G7283" s="1"/>
      <c r="N7283" s="1"/>
    </row>
    <row r="7284" spans="7:14" x14ac:dyDescent="0.3">
      <c r="G7284" s="1"/>
      <c r="N7284" s="1"/>
    </row>
    <row r="7285" spans="7:14" x14ac:dyDescent="0.3">
      <c r="G7285" s="1"/>
      <c r="N7285" s="1"/>
    </row>
    <row r="7286" spans="7:14" x14ac:dyDescent="0.3">
      <c r="G7286" s="1"/>
      <c r="N7286" s="1"/>
    </row>
    <row r="7287" spans="7:14" x14ac:dyDescent="0.3">
      <c r="G7287" s="1"/>
      <c r="N7287" s="1"/>
    </row>
    <row r="7288" spans="7:14" x14ac:dyDescent="0.3">
      <c r="G7288" s="1"/>
      <c r="N7288" s="1"/>
    </row>
    <row r="7289" spans="7:14" x14ac:dyDescent="0.3">
      <c r="G7289" s="1"/>
      <c r="N7289" s="1"/>
    </row>
    <row r="7290" spans="7:14" x14ac:dyDescent="0.3">
      <c r="G7290" s="1"/>
      <c r="N7290" s="1"/>
    </row>
    <row r="7291" spans="7:14" x14ac:dyDescent="0.3">
      <c r="G7291" s="1"/>
      <c r="N7291" s="1"/>
    </row>
    <row r="7292" spans="7:14" x14ac:dyDescent="0.3">
      <c r="G7292" s="1"/>
      <c r="N7292" s="1"/>
    </row>
    <row r="7293" spans="7:14" x14ac:dyDescent="0.3">
      <c r="G7293" s="1"/>
      <c r="N7293" s="1"/>
    </row>
    <row r="7294" spans="7:14" x14ac:dyDescent="0.3">
      <c r="G7294" s="1"/>
      <c r="N7294" s="1"/>
    </row>
    <row r="7295" spans="7:14" x14ac:dyDescent="0.3">
      <c r="G7295" s="1"/>
      <c r="N7295" s="1"/>
    </row>
    <row r="7296" spans="7:14" x14ac:dyDescent="0.3">
      <c r="G7296" s="1"/>
      <c r="N7296" s="1"/>
    </row>
    <row r="7297" spans="7:14" x14ac:dyDescent="0.3">
      <c r="G7297" s="1"/>
      <c r="N7297" s="1"/>
    </row>
    <row r="7298" spans="7:14" x14ac:dyDescent="0.3">
      <c r="G7298" s="1"/>
      <c r="N7298" s="1"/>
    </row>
    <row r="7299" spans="7:14" x14ac:dyDescent="0.3">
      <c r="G7299" s="1"/>
      <c r="N7299" s="1"/>
    </row>
    <row r="7300" spans="7:14" x14ac:dyDescent="0.3">
      <c r="G7300" s="1"/>
      <c r="N7300" s="1"/>
    </row>
    <row r="7301" spans="7:14" x14ac:dyDescent="0.3">
      <c r="G7301" s="1"/>
      <c r="N7301" s="1"/>
    </row>
    <row r="7302" spans="7:14" x14ac:dyDescent="0.3">
      <c r="G7302" s="1"/>
      <c r="N7302" s="1"/>
    </row>
    <row r="7303" spans="7:14" x14ac:dyDescent="0.3">
      <c r="G7303" s="1"/>
      <c r="N7303" s="1"/>
    </row>
    <row r="7304" spans="7:14" x14ac:dyDescent="0.3">
      <c r="G7304" s="1"/>
      <c r="N7304" s="1"/>
    </row>
    <row r="7305" spans="7:14" x14ac:dyDescent="0.3">
      <c r="G7305" s="1"/>
      <c r="N7305" s="1"/>
    </row>
    <row r="7306" spans="7:14" x14ac:dyDescent="0.3">
      <c r="G7306" s="1"/>
      <c r="N7306" s="1"/>
    </row>
    <row r="7307" spans="7:14" x14ac:dyDescent="0.3">
      <c r="G7307" s="1"/>
      <c r="N7307" s="1"/>
    </row>
    <row r="7308" spans="7:14" x14ac:dyDescent="0.3">
      <c r="G7308" s="1"/>
      <c r="N7308" s="1"/>
    </row>
    <row r="7309" spans="7:14" x14ac:dyDescent="0.3">
      <c r="G7309" s="1"/>
      <c r="N7309" s="1"/>
    </row>
    <row r="7310" spans="7:14" x14ac:dyDescent="0.3">
      <c r="G7310" s="1"/>
      <c r="N7310" s="1"/>
    </row>
    <row r="7311" spans="7:14" x14ac:dyDescent="0.3">
      <c r="G7311" s="1"/>
      <c r="N7311" s="1"/>
    </row>
    <row r="7312" spans="7:14" x14ac:dyDescent="0.3">
      <c r="G7312" s="1"/>
      <c r="N7312" s="1"/>
    </row>
    <row r="7313" spans="7:14" x14ac:dyDescent="0.3">
      <c r="G7313" s="1"/>
      <c r="N7313" s="1"/>
    </row>
    <row r="7314" spans="7:14" x14ac:dyDescent="0.3">
      <c r="G7314" s="1"/>
      <c r="N7314" s="1"/>
    </row>
    <row r="7315" spans="7:14" x14ac:dyDescent="0.3">
      <c r="G7315" s="1"/>
      <c r="N7315" s="1"/>
    </row>
    <row r="7316" spans="7:14" x14ac:dyDescent="0.3">
      <c r="G7316" s="1"/>
      <c r="N7316" s="1"/>
    </row>
    <row r="7317" spans="7:14" x14ac:dyDescent="0.3">
      <c r="G7317" s="1"/>
      <c r="N7317" s="1"/>
    </row>
    <row r="7318" spans="7:14" x14ac:dyDescent="0.3">
      <c r="G7318" s="1"/>
      <c r="N7318" s="1"/>
    </row>
    <row r="7319" spans="7:14" x14ac:dyDescent="0.3">
      <c r="G7319" s="1"/>
      <c r="N7319" s="1"/>
    </row>
    <row r="7320" spans="7:14" x14ac:dyDescent="0.3">
      <c r="G7320" s="1"/>
      <c r="N7320" s="1"/>
    </row>
    <row r="7321" spans="7:14" x14ac:dyDescent="0.3">
      <c r="G7321" s="1"/>
      <c r="N7321" s="1"/>
    </row>
    <row r="7322" spans="7:14" x14ac:dyDescent="0.3">
      <c r="G7322" s="1"/>
      <c r="N7322" s="1"/>
    </row>
    <row r="7323" spans="7:14" x14ac:dyDescent="0.3">
      <c r="G7323" s="1"/>
      <c r="N7323" s="1"/>
    </row>
    <row r="7324" spans="7:14" x14ac:dyDescent="0.3">
      <c r="G7324" s="1"/>
      <c r="N7324" s="1"/>
    </row>
    <row r="7325" spans="7:14" x14ac:dyDescent="0.3">
      <c r="G7325" s="1"/>
      <c r="N7325" s="1"/>
    </row>
    <row r="7326" spans="7:14" x14ac:dyDescent="0.3">
      <c r="G7326" s="1"/>
      <c r="N7326" s="1"/>
    </row>
    <row r="7327" spans="7:14" x14ac:dyDescent="0.3">
      <c r="G7327" s="1"/>
      <c r="N7327" s="1"/>
    </row>
    <row r="7328" spans="7:14" x14ac:dyDescent="0.3">
      <c r="G7328" s="1"/>
      <c r="N7328" s="1"/>
    </row>
    <row r="7329" spans="7:14" x14ac:dyDescent="0.3">
      <c r="G7329" s="1"/>
      <c r="N7329" s="1"/>
    </row>
    <row r="7330" spans="7:14" x14ac:dyDescent="0.3">
      <c r="G7330" s="1"/>
      <c r="N7330" s="1"/>
    </row>
    <row r="7331" spans="7:14" x14ac:dyDescent="0.3">
      <c r="G7331" s="1"/>
      <c r="N7331" s="1"/>
    </row>
    <row r="7332" spans="7:14" x14ac:dyDescent="0.3">
      <c r="G7332" s="1"/>
      <c r="N7332" s="1"/>
    </row>
    <row r="7333" spans="7:14" x14ac:dyDescent="0.3">
      <c r="G7333" s="1"/>
      <c r="N7333" s="1"/>
    </row>
    <row r="7334" spans="7:14" x14ac:dyDescent="0.3">
      <c r="G7334" s="1"/>
      <c r="N7334" s="1"/>
    </row>
    <row r="7335" spans="7:14" x14ac:dyDescent="0.3">
      <c r="G7335" s="1"/>
      <c r="N7335" s="1"/>
    </row>
    <row r="7336" spans="7:14" x14ac:dyDescent="0.3">
      <c r="G7336" s="1"/>
      <c r="N7336" s="1"/>
    </row>
    <row r="7337" spans="7:14" x14ac:dyDescent="0.3">
      <c r="G7337" s="1"/>
      <c r="N7337" s="1"/>
    </row>
    <row r="7338" spans="7:14" x14ac:dyDescent="0.3">
      <c r="G7338" s="1"/>
      <c r="N7338" s="1"/>
    </row>
    <row r="7339" spans="7:14" x14ac:dyDescent="0.3">
      <c r="G7339" s="1"/>
      <c r="N7339" s="1"/>
    </row>
    <row r="7340" spans="7:14" x14ac:dyDescent="0.3">
      <c r="G7340" s="1"/>
      <c r="N7340" s="1"/>
    </row>
    <row r="7341" spans="7:14" x14ac:dyDescent="0.3">
      <c r="G7341" s="1"/>
      <c r="N7341" s="1"/>
    </row>
    <row r="7342" spans="7:14" x14ac:dyDescent="0.3">
      <c r="G7342" s="1"/>
      <c r="N7342" s="1"/>
    </row>
    <row r="7343" spans="7:14" x14ac:dyDescent="0.3">
      <c r="G7343" s="1"/>
      <c r="N7343" s="1"/>
    </row>
    <row r="7344" spans="7:14" x14ac:dyDescent="0.3">
      <c r="G7344" s="1"/>
      <c r="N7344" s="1"/>
    </row>
    <row r="7345" spans="7:14" x14ac:dyDescent="0.3">
      <c r="G7345" s="1"/>
      <c r="N7345" s="1"/>
    </row>
    <row r="7346" spans="7:14" x14ac:dyDescent="0.3">
      <c r="G7346" s="1"/>
      <c r="N7346" s="1"/>
    </row>
    <row r="7347" spans="7:14" x14ac:dyDescent="0.3">
      <c r="G7347" s="1"/>
      <c r="N7347" s="1"/>
    </row>
    <row r="7348" spans="7:14" x14ac:dyDescent="0.3">
      <c r="G7348" s="1"/>
      <c r="N7348" s="1"/>
    </row>
    <row r="7349" spans="7:14" x14ac:dyDescent="0.3">
      <c r="G7349" s="1"/>
      <c r="N7349" s="1"/>
    </row>
    <row r="7350" spans="7:14" x14ac:dyDescent="0.3">
      <c r="G7350" s="1"/>
      <c r="N7350" s="1"/>
    </row>
    <row r="7351" spans="7:14" x14ac:dyDescent="0.3">
      <c r="G7351" s="1"/>
      <c r="N7351" s="1"/>
    </row>
    <row r="7352" spans="7:14" x14ac:dyDescent="0.3">
      <c r="G7352" s="1"/>
      <c r="N7352" s="1"/>
    </row>
    <row r="7353" spans="7:14" x14ac:dyDescent="0.3">
      <c r="G7353" s="1"/>
      <c r="N7353" s="1"/>
    </row>
    <row r="7354" spans="7:14" x14ac:dyDescent="0.3">
      <c r="G7354" s="1"/>
      <c r="N7354" s="1"/>
    </row>
    <row r="7355" spans="7:14" x14ac:dyDescent="0.3">
      <c r="G7355" s="1"/>
      <c r="N7355" s="1"/>
    </row>
    <row r="7356" spans="7:14" x14ac:dyDescent="0.3">
      <c r="G7356" s="1"/>
      <c r="N7356" s="1"/>
    </row>
    <row r="7357" spans="7:14" x14ac:dyDescent="0.3">
      <c r="G7357" s="1"/>
      <c r="N7357" s="1"/>
    </row>
    <row r="7358" spans="7:14" x14ac:dyDescent="0.3">
      <c r="G7358" s="1"/>
      <c r="N7358" s="1"/>
    </row>
    <row r="7359" spans="7:14" x14ac:dyDescent="0.3">
      <c r="G7359" s="1"/>
      <c r="N7359" s="1"/>
    </row>
    <row r="7360" spans="7:14" x14ac:dyDescent="0.3">
      <c r="G7360" s="1"/>
      <c r="N7360" s="1"/>
    </row>
    <row r="7361" spans="7:14" x14ac:dyDescent="0.3">
      <c r="G7361" s="1"/>
      <c r="N7361" s="1"/>
    </row>
    <row r="7362" spans="7:14" x14ac:dyDescent="0.3">
      <c r="G7362" s="1"/>
      <c r="N7362" s="1"/>
    </row>
    <row r="7363" spans="7:14" x14ac:dyDescent="0.3">
      <c r="G7363" s="1"/>
      <c r="N7363" s="1"/>
    </row>
    <row r="7364" spans="7:14" x14ac:dyDescent="0.3">
      <c r="G7364" s="1"/>
      <c r="N7364" s="1"/>
    </row>
    <row r="7365" spans="7:14" x14ac:dyDescent="0.3">
      <c r="G7365" s="1"/>
      <c r="N7365" s="1"/>
    </row>
    <row r="7366" spans="7:14" x14ac:dyDescent="0.3">
      <c r="G7366" s="1"/>
      <c r="N7366" s="1"/>
    </row>
    <row r="7367" spans="7:14" x14ac:dyDescent="0.3">
      <c r="G7367" s="1"/>
      <c r="N7367" s="1"/>
    </row>
    <row r="7368" spans="7:14" x14ac:dyDescent="0.3">
      <c r="G7368" s="1"/>
      <c r="N7368" s="1"/>
    </row>
    <row r="7369" spans="7:14" x14ac:dyDescent="0.3">
      <c r="G7369" s="1"/>
      <c r="N7369" s="1"/>
    </row>
    <row r="7370" spans="7:14" x14ac:dyDescent="0.3">
      <c r="G7370" s="1"/>
      <c r="N7370" s="1"/>
    </row>
    <row r="7371" spans="7:14" x14ac:dyDescent="0.3">
      <c r="G7371" s="1"/>
      <c r="N7371" s="1"/>
    </row>
    <row r="7372" spans="7:14" x14ac:dyDescent="0.3">
      <c r="G7372" s="1"/>
      <c r="N7372" s="1"/>
    </row>
    <row r="7373" spans="7:14" x14ac:dyDescent="0.3">
      <c r="G7373" s="1"/>
      <c r="N7373" s="1"/>
    </row>
    <row r="7374" spans="7:14" x14ac:dyDescent="0.3">
      <c r="G7374" s="1"/>
      <c r="N7374" s="1"/>
    </row>
    <row r="7375" spans="7:14" x14ac:dyDescent="0.3">
      <c r="G7375" s="1"/>
      <c r="N7375" s="1"/>
    </row>
    <row r="7376" spans="7:14" x14ac:dyDescent="0.3">
      <c r="G7376" s="1"/>
      <c r="N7376" s="1"/>
    </row>
    <row r="7377" spans="7:14" x14ac:dyDescent="0.3">
      <c r="G7377" s="1"/>
      <c r="N7377" s="1"/>
    </row>
    <row r="7378" spans="7:14" x14ac:dyDescent="0.3">
      <c r="G7378" s="1"/>
      <c r="N7378" s="1"/>
    </row>
    <row r="7379" spans="7:14" x14ac:dyDescent="0.3">
      <c r="G7379" s="1"/>
      <c r="N7379" s="1"/>
    </row>
    <row r="7380" spans="7:14" x14ac:dyDescent="0.3">
      <c r="G7380" s="1"/>
      <c r="N7380" s="1"/>
    </row>
    <row r="7381" spans="7:14" x14ac:dyDescent="0.3">
      <c r="G7381" s="1"/>
      <c r="N7381" s="1"/>
    </row>
    <row r="7382" spans="7:14" x14ac:dyDescent="0.3">
      <c r="G7382" s="1"/>
      <c r="N7382" s="1"/>
    </row>
    <row r="7383" spans="7:14" x14ac:dyDescent="0.3">
      <c r="G7383" s="1"/>
      <c r="N7383" s="1"/>
    </row>
    <row r="7384" spans="7:14" x14ac:dyDescent="0.3">
      <c r="G7384" s="1"/>
      <c r="N7384" s="1"/>
    </row>
    <row r="7385" spans="7:14" x14ac:dyDescent="0.3">
      <c r="G7385" s="1"/>
      <c r="N7385" s="1"/>
    </row>
    <row r="7386" spans="7:14" x14ac:dyDescent="0.3">
      <c r="G7386" s="1"/>
      <c r="N7386" s="1"/>
    </row>
    <row r="7387" spans="7:14" x14ac:dyDescent="0.3">
      <c r="G7387" s="1"/>
      <c r="N7387" s="1"/>
    </row>
    <row r="7388" spans="7:14" x14ac:dyDescent="0.3">
      <c r="G7388" s="1"/>
      <c r="N7388" s="1"/>
    </row>
    <row r="7389" spans="7:14" x14ac:dyDescent="0.3">
      <c r="G7389" s="1"/>
      <c r="N7389" s="1"/>
    </row>
    <row r="7390" spans="7:14" x14ac:dyDescent="0.3">
      <c r="G7390" s="1"/>
      <c r="N7390" s="1"/>
    </row>
    <row r="7391" spans="7:14" x14ac:dyDescent="0.3">
      <c r="G7391" s="1"/>
      <c r="N7391" s="1"/>
    </row>
    <row r="7392" spans="7:14" x14ac:dyDescent="0.3">
      <c r="G7392" s="1"/>
      <c r="N7392" s="1"/>
    </row>
    <row r="7393" spans="7:14" x14ac:dyDescent="0.3">
      <c r="G7393" s="1"/>
      <c r="N7393" s="1"/>
    </row>
    <row r="7394" spans="7:14" x14ac:dyDescent="0.3">
      <c r="G7394" s="1"/>
      <c r="N7394" s="1"/>
    </row>
    <row r="7395" spans="7:14" x14ac:dyDescent="0.3">
      <c r="G7395" s="1"/>
      <c r="N7395" s="1"/>
    </row>
    <row r="7396" spans="7:14" x14ac:dyDescent="0.3">
      <c r="G7396" s="1"/>
      <c r="N7396" s="1"/>
    </row>
    <row r="7397" spans="7:14" x14ac:dyDescent="0.3">
      <c r="G7397" s="1"/>
      <c r="N7397" s="1"/>
    </row>
    <row r="7398" spans="7:14" x14ac:dyDescent="0.3">
      <c r="G7398" s="1"/>
      <c r="N7398" s="1"/>
    </row>
    <row r="7399" spans="7:14" x14ac:dyDescent="0.3">
      <c r="G7399" s="1"/>
      <c r="N7399" s="1"/>
    </row>
    <row r="7400" spans="7:14" x14ac:dyDescent="0.3">
      <c r="G7400" s="1"/>
      <c r="N7400" s="1"/>
    </row>
    <row r="7401" spans="7:14" x14ac:dyDescent="0.3">
      <c r="G7401" s="1"/>
      <c r="N7401" s="1"/>
    </row>
    <row r="7402" spans="7:14" x14ac:dyDescent="0.3">
      <c r="G7402" s="1"/>
      <c r="N7402" s="1"/>
    </row>
    <row r="7403" spans="7:14" x14ac:dyDescent="0.3">
      <c r="G7403" s="1"/>
      <c r="N7403" s="1"/>
    </row>
    <row r="7404" spans="7:14" x14ac:dyDescent="0.3">
      <c r="G7404" s="1"/>
      <c r="N7404" s="1"/>
    </row>
    <row r="7405" spans="7:14" x14ac:dyDescent="0.3">
      <c r="G7405" s="1"/>
      <c r="N7405" s="1"/>
    </row>
    <row r="7406" spans="7:14" x14ac:dyDescent="0.3">
      <c r="G7406" s="1"/>
      <c r="N7406" s="1"/>
    </row>
    <row r="7407" spans="7:14" x14ac:dyDescent="0.3">
      <c r="G7407" s="1"/>
      <c r="N7407" s="1"/>
    </row>
    <row r="7408" spans="7:14" x14ac:dyDescent="0.3">
      <c r="G7408" s="1"/>
      <c r="N7408" s="1"/>
    </row>
    <row r="7409" spans="7:14" x14ac:dyDescent="0.3">
      <c r="G7409" s="1"/>
      <c r="N7409" s="1"/>
    </row>
    <row r="7410" spans="7:14" x14ac:dyDescent="0.3">
      <c r="G7410" s="1"/>
      <c r="N7410" s="1"/>
    </row>
    <row r="7411" spans="7:14" x14ac:dyDescent="0.3">
      <c r="G7411" s="1"/>
      <c r="N7411" s="1"/>
    </row>
    <row r="7412" spans="7:14" x14ac:dyDescent="0.3">
      <c r="G7412" s="1"/>
      <c r="N7412" s="1"/>
    </row>
    <row r="7413" spans="7:14" x14ac:dyDescent="0.3">
      <c r="G7413" s="1"/>
      <c r="N7413" s="1"/>
    </row>
    <row r="7414" spans="7:14" x14ac:dyDescent="0.3">
      <c r="G7414" s="1"/>
      <c r="N7414" s="1"/>
    </row>
    <row r="7415" spans="7:14" x14ac:dyDescent="0.3">
      <c r="G7415" s="1"/>
      <c r="N7415" s="1"/>
    </row>
    <row r="7416" spans="7:14" x14ac:dyDescent="0.3">
      <c r="G7416" s="1"/>
      <c r="N7416" s="1"/>
    </row>
    <row r="7417" spans="7:14" x14ac:dyDescent="0.3">
      <c r="G7417" s="1"/>
      <c r="N7417" s="1"/>
    </row>
    <row r="7418" spans="7:14" x14ac:dyDescent="0.3">
      <c r="G7418" s="1"/>
      <c r="N7418" s="1"/>
    </row>
    <row r="7419" spans="7:14" x14ac:dyDescent="0.3">
      <c r="G7419" s="1"/>
      <c r="N7419" s="1"/>
    </row>
    <row r="7420" spans="7:14" x14ac:dyDescent="0.3">
      <c r="G7420" s="1"/>
      <c r="N7420" s="1"/>
    </row>
    <row r="7421" spans="7:14" x14ac:dyDescent="0.3">
      <c r="G7421" s="1"/>
      <c r="N7421" s="1"/>
    </row>
    <row r="7422" spans="7:14" x14ac:dyDescent="0.3">
      <c r="G7422" s="1"/>
      <c r="N7422" s="1"/>
    </row>
    <row r="7423" spans="7:14" x14ac:dyDescent="0.3">
      <c r="G7423" s="1"/>
      <c r="N7423" s="1"/>
    </row>
    <row r="7424" spans="7:14" x14ac:dyDescent="0.3">
      <c r="G7424" s="1"/>
      <c r="N7424" s="1"/>
    </row>
    <row r="7425" spans="7:14" x14ac:dyDescent="0.3">
      <c r="G7425" s="1"/>
      <c r="N7425" s="1"/>
    </row>
    <row r="7426" spans="7:14" x14ac:dyDescent="0.3">
      <c r="G7426" s="1"/>
      <c r="N7426" s="1"/>
    </row>
    <row r="7427" spans="7:14" x14ac:dyDescent="0.3">
      <c r="G7427" s="1"/>
      <c r="N7427" s="1"/>
    </row>
    <row r="7428" spans="7:14" x14ac:dyDescent="0.3">
      <c r="G7428" s="1"/>
      <c r="N7428" s="1"/>
    </row>
    <row r="7429" spans="7:14" x14ac:dyDescent="0.3">
      <c r="G7429" s="1"/>
      <c r="N7429" s="1"/>
    </row>
    <row r="7430" spans="7:14" x14ac:dyDescent="0.3">
      <c r="G7430" s="1"/>
      <c r="N7430" s="1"/>
    </row>
    <row r="7431" spans="7:14" x14ac:dyDescent="0.3">
      <c r="G7431" s="1"/>
      <c r="N7431" s="1"/>
    </row>
    <row r="7432" spans="7:14" x14ac:dyDescent="0.3">
      <c r="G7432" s="1"/>
      <c r="N7432" s="1"/>
    </row>
    <row r="7433" spans="7:14" x14ac:dyDescent="0.3">
      <c r="G7433" s="1"/>
      <c r="N7433" s="1"/>
    </row>
    <row r="7434" spans="7:14" x14ac:dyDescent="0.3">
      <c r="G7434" s="1"/>
      <c r="N7434" s="1"/>
    </row>
    <row r="7435" spans="7:14" x14ac:dyDescent="0.3">
      <c r="G7435" s="1"/>
      <c r="N7435" s="1"/>
    </row>
    <row r="7436" spans="7:14" x14ac:dyDescent="0.3">
      <c r="G7436" s="1"/>
      <c r="N7436" s="1"/>
    </row>
    <row r="7437" spans="7:14" x14ac:dyDescent="0.3">
      <c r="G7437" s="1"/>
      <c r="N7437" s="1"/>
    </row>
    <row r="7438" spans="7:14" x14ac:dyDescent="0.3">
      <c r="G7438" s="1"/>
      <c r="N7438" s="1"/>
    </row>
    <row r="7439" spans="7:14" x14ac:dyDescent="0.3">
      <c r="G7439" s="1"/>
      <c r="N7439" s="1"/>
    </row>
    <row r="7440" spans="7:14" x14ac:dyDescent="0.3">
      <c r="G7440" s="1"/>
      <c r="N7440" s="1"/>
    </row>
    <row r="7441" spans="7:14" x14ac:dyDescent="0.3">
      <c r="G7441" s="1"/>
      <c r="N7441" s="1"/>
    </row>
    <row r="7442" spans="7:14" x14ac:dyDescent="0.3">
      <c r="G7442" s="1"/>
      <c r="N7442" s="1"/>
    </row>
    <row r="7443" spans="7:14" x14ac:dyDescent="0.3">
      <c r="G7443" s="1"/>
      <c r="N7443" s="1"/>
    </row>
    <row r="7444" spans="7:14" x14ac:dyDescent="0.3">
      <c r="G7444" s="1"/>
      <c r="N7444" s="1"/>
    </row>
    <row r="7445" spans="7:14" x14ac:dyDescent="0.3">
      <c r="G7445" s="1"/>
      <c r="N7445" s="1"/>
    </row>
    <row r="7446" spans="7:14" x14ac:dyDescent="0.3">
      <c r="G7446" s="1"/>
      <c r="N7446" s="1"/>
    </row>
    <row r="7447" spans="7:14" x14ac:dyDescent="0.3">
      <c r="G7447" s="1"/>
      <c r="N7447" s="1"/>
    </row>
    <row r="7448" spans="7:14" x14ac:dyDescent="0.3">
      <c r="G7448" s="1"/>
      <c r="N7448" s="1"/>
    </row>
    <row r="7449" spans="7:14" x14ac:dyDescent="0.3">
      <c r="G7449" s="1"/>
      <c r="N7449" s="1"/>
    </row>
    <row r="7450" spans="7:14" x14ac:dyDescent="0.3">
      <c r="G7450" s="1"/>
      <c r="N7450" s="1"/>
    </row>
    <row r="7451" spans="7:14" x14ac:dyDescent="0.3">
      <c r="G7451" s="1"/>
      <c r="N7451" s="1"/>
    </row>
    <row r="7452" spans="7:14" x14ac:dyDescent="0.3">
      <c r="G7452" s="1"/>
      <c r="N7452" s="1"/>
    </row>
    <row r="7453" spans="7:14" x14ac:dyDescent="0.3">
      <c r="G7453" s="1"/>
      <c r="N7453" s="1"/>
    </row>
    <row r="7454" spans="7:14" x14ac:dyDescent="0.3">
      <c r="G7454" s="1"/>
      <c r="N7454" s="1"/>
    </row>
    <row r="7455" spans="7:14" x14ac:dyDescent="0.3">
      <c r="G7455" s="1"/>
      <c r="N7455" s="1"/>
    </row>
    <row r="7456" spans="7:14" x14ac:dyDescent="0.3">
      <c r="G7456" s="1"/>
      <c r="N7456" s="1"/>
    </row>
    <row r="7457" spans="7:14" x14ac:dyDescent="0.3">
      <c r="G7457" s="1"/>
      <c r="N7457" s="1"/>
    </row>
    <row r="7458" spans="7:14" x14ac:dyDescent="0.3">
      <c r="G7458" s="1"/>
      <c r="N7458" s="1"/>
    </row>
    <row r="7459" spans="7:14" x14ac:dyDescent="0.3">
      <c r="G7459" s="1"/>
      <c r="N7459" s="1"/>
    </row>
    <row r="7460" spans="7:14" x14ac:dyDescent="0.3">
      <c r="G7460" s="1"/>
      <c r="N7460" s="1"/>
    </row>
    <row r="7461" spans="7:14" x14ac:dyDescent="0.3">
      <c r="G7461" s="1"/>
      <c r="N7461" s="1"/>
    </row>
    <row r="7462" spans="7:14" x14ac:dyDescent="0.3">
      <c r="G7462" s="1"/>
      <c r="N7462" s="1"/>
    </row>
    <row r="7463" spans="7:14" x14ac:dyDescent="0.3">
      <c r="G7463" s="1"/>
      <c r="N7463" s="1"/>
    </row>
    <row r="7464" spans="7:14" x14ac:dyDescent="0.3">
      <c r="G7464" s="1"/>
      <c r="N7464" s="1"/>
    </row>
    <row r="7465" spans="7:14" x14ac:dyDescent="0.3">
      <c r="G7465" s="1"/>
      <c r="N7465" s="1"/>
    </row>
    <row r="7466" spans="7:14" x14ac:dyDescent="0.3">
      <c r="G7466" s="1"/>
      <c r="N7466" s="1"/>
    </row>
    <row r="7467" spans="7:14" x14ac:dyDescent="0.3">
      <c r="G7467" s="1"/>
      <c r="N7467" s="1"/>
    </row>
    <row r="7468" spans="7:14" x14ac:dyDescent="0.3">
      <c r="G7468" s="1"/>
      <c r="N7468" s="1"/>
    </row>
    <row r="7469" spans="7:14" x14ac:dyDescent="0.3">
      <c r="G7469" s="1"/>
      <c r="N7469" s="1"/>
    </row>
    <row r="7470" spans="7:14" x14ac:dyDescent="0.3">
      <c r="G7470" s="1"/>
      <c r="N7470" s="1"/>
    </row>
    <row r="7471" spans="7:14" x14ac:dyDescent="0.3">
      <c r="G7471" s="1"/>
      <c r="N7471" s="1"/>
    </row>
    <row r="7472" spans="7:14" x14ac:dyDescent="0.3">
      <c r="G7472" s="1"/>
      <c r="N7472" s="1"/>
    </row>
    <row r="7473" spans="7:14" x14ac:dyDescent="0.3">
      <c r="G7473" s="1"/>
      <c r="N7473" s="1"/>
    </row>
    <row r="7474" spans="7:14" x14ac:dyDescent="0.3">
      <c r="G7474" s="1"/>
      <c r="N7474" s="1"/>
    </row>
    <row r="7475" spans="7:14" x14ac:dyDescent="0.3">
      <c r="G7475" s="1"/>
      <c r="N7475" s="1"/>
    </row>
    <row r="7476" spans="7:14" x14ac:dyDescent="0.3">
      <c r="G7476" s="1"/>
      <c r="N7476" s="1"/>
    </row>
    <row r="7477" spans="7:14" x14ac:dyDescent="0.3">
      <c r="G7477" s="1"/>
      <c r="N7477" s="1"/>
    </row>
    <row r="7478" spans="7:14" x14ac:dyDescent="0.3">
      <c r="G7478" s="1"/>
      <c r="N7478" s="1"/>
    </row>
    <row r="7479" spans="7:14" x14ac:dyDescent="0.3">
      <c r="G7479" s="1"/>
      <c r="N7479" s="1"/>
    </row>
    <row r="7480" spans="7:14" x14ac:dyDescent="0.3">
      <c r="G7480" s="1"/>
      <c r="N7480" s="1"/>
    </row>
    <row r="7481" spans="7:14" x14ac:dyDescent="0.3">
      <c r="G7481" s="1"/>
      <c r="N7481" s="1"/>
    </row>
    <row r="7482" spans="7:14" x14ac:dyDescent="0.3">
      <c r="G7482" s="1"/>
      <c r="N7482" s="1"/>
    </row>
    <row r="7483" spans="7:14" x14ac:dyDescent="0.3">
      <c r="G7483" s="1"/>
      <c r="N7483" s="1"/>
    </row>
    <row r="7484" spans="7:14" x14ac:dyDescent="0.3">
      <c r="G7484" s="1"/>
      <c r="N7484" s="1"/>
    </row>
    <row r="7485" spans="7:14" x14ac:dyDescent="0.3">
      <c r="G7485" s="1"/>
      <c r="N7485" s="1"/>
    </row>
    <row r="7486" spans="7:14" x14ac:dyDescent="0.3">
      <c r="G7486" s="1"/>
      <c r="N7486" s="1"/>
    </row>
    <row r="7487" spans="7:14" x14ac:dyDescent="0.3">
      <c r="G7487" s="1"/>
      <c r="N7487" s="1"/>
    </row>
    <row r="7488" spans="7:14" x14ac:dyDescent="0.3">
      <c r="G7488" s="1"/>
      <c r="N7488" s="1"/>
    </row>
    <row r="7489" spans="7:14" x14ac:dyDescent="0.3">
      <c r="G7489" s="1"/>
      <c r="N7489" s="1"/>
    </row>
    <row r="7490" spans="7:14" x14ac:dyDescent="0.3">
      <c r="G7490" s="1"/>
      <c r="N7490" s="1"/>
    </row>
    <row r="7491" spans="7:14" x14ac:dyDescent="0.3">
      <c r="G7491" s="1"/>
      <c r="N7491" s="1"/>
    </row>
    <row r="7492" spans="7:14" x14ac:dyDescent="0.3">
      <c r="G7492" s="1"/>
      <c r="N7492" s="1"/>
    </row>
    <row r="7493" spans="7:14" x14ac:dyDescent="0.3">
      <c r="G7493" s="1"/>
      <c r="N7493" s="1"/>
    </row>
    <row r="7494" spans="7:14" x14ac:dyDescent="0.3">
      <c r="G7494" s="1"/>
      <c r="N7494" s="1"/>
    </row>
    <row r="7495" spans="7:14" x14ac:dyDescent="0.3">
      <c r="G7495" s="1"/>
      <c r="N7495" s="1"/>
    </row>
    <row r="7496" spans="7:14" x14ac:dyDescent="0.3">
      <c r="G7496" s="1"/>
      <c r="N7496" s="1"/>
    </row>
    <row r="7497" spans="7:14" x14ac:dyDescent="0.3">
      <c r="G7497" s="1"/>
      <c r="N7497" s="1"/>
    </row>
    <row r="7498" spans="7:14" x14ac:dyDescent="0.3">
      <c r="G7498" s="1"/>
      <c r="N7498" s="1"/>
    </row>
    <row r="7499" spans="7:14" x14ac:dyDescent="0.3">
      <c r="G7499" s="1"/>
      <c r="N7499" s="1"/>
    </row>
    <row r="7500" spans="7:14" x14ac:dyDescent="0.3">
      <c r="G7500" s="1"/>
      <c r="N7500" s="1"/>
    </row>
    <row r="7501" spans="7:14" x14ac:dyDescent="0.3">
      <c r="G7501" s="1"/>
      <c r="N7501" s="1"/>
    </row>
    <row r="7502" spans="7:14" x14ac:dyDescent="0.3">
      <c r="G7502" s="1"/>
      <c r="N7502" s="1"/>
    </row>
    <row r="7503" spans="7:14" x14ac:dyDescent="0.3">
      <c r="G7503" s="1"/>
      <c r="N7503" s="1"/>
    </row>
    <row r="7504" spans="7:14" x14ac:dyDescent="0.3">
      <c r="G7504" s="1"/>
      <c r="N7504" s="1"/>
    </row>
    <row r="7505" spans="7:14" x14ac:dyDescent="0.3">
      <c r="G7505" s="1"/>
      <c r="N7505" s="1"/>
    </row>
    <row r="7506" spans="7:14" x14ac:dyDescent="0.3">
      <c r="G7506" s="1"/>
      <c r="N7506" s="1"/>
    </row>
    <row r="7507" spans="7:14" x14ac:dyDescent="0.3">
      <c r="G7507" s="1"/>
      <c r="N7507" s="1"/>
    </row>
    <row r="7508" spans="7:14" x14ac:dyDescent="0.3">
      <c r="G7508" s="1"/>
      <c r="N7508" s="1"/>
    </row>
    <row r="7509" spans="7:14" x14ac:dyDescent="0.3">
      <c r="G7509" s="1"/>
      <c r="N7509" s="1"/>
    </row>
    <row r="7510" spans="7:14" x14ac:dyDescent="0.3">
      <c r="G7510" s="1"/>
      <c r="N7510" s="1"/>
    </row>
    <row r="7511" spans="7:14" x14ac:dyDescent="0.3">
      <c r="G7511" s="1"/>
      <c r="N7511" s="1"/>
    </row>
    <row r="7512" spans="7:14" x14ac:dyDescent="0.3">
      <c r="G7512" s="1"/>
      <c r="N7512" s="1"/>
    </row>
    <row r="7513" spans="7:14" x14ac:dyDescent="0.3">
      <c r="G7513" s="1"/>
      <c r="N7513" s="1"/>
    </row>
    <row r="7514" spans="7:14" x14ac:dyDescent="0.3">
      <c r="G7514" s="1"/>
      <c r="N7514" s="1"/>
    </row>
    <row r="7515" spans="7:14" x14ac:dyDescent="0.3">
      <c r="G7515" s="1"/>
      <c r="N7515" s="1"/>
    </row>
    <row r="7516" spans="7:14" x14ac:dyDescent="0.3">
      <c r="G7516" s="1"/>
      <c r="N7516" s="1"/>
    </row>
    <row r="7517" spans="7:14" x14ac:dyDescent="0.3">
      <c r="G7517" s="1"/>
      <c r="N7517" s="1"/>
    </row>
    <row r="7518" spans="7:14" x14ac:dyDescent="0.3">
      <c r="G7518" s="1"/>
      <c r="N7518" s="1"/>
    </row>
    <row r="7519" spans="7:14" x14ac:dyDescent="0.3">
      <c r="G7519" s="1"/>
      <c r="N7519" s="1"/>
    </row>
    <row r="7520" spans="7:14" x14ac:dyDescent="0.3">
      <c r="G7520" s="1"/>
      <c r="N7520" s="1"/>
    </row>
    <row r="7521" spans="7:14" x14ac:dyDescent="0.3">
      <c r="G7521" s="1"/>
      <c r="N7521" s="1"/>
    </row>
    <row r="7522" spans="7:14" x14ac:dyDescent="0.3">
      <c r="G7522" s="1"/>
      <c r="N7522" s="1"/>
    </row>
    <row r="7523" spans="7:14" x14ac:dyDescent="0.3">
      <c r="G7523" s="1"/>
      <c r="N7523" s="1"/>
    </row>
    <row r="7524" spans="7:14" x14ac:dyDescent="0.3">
      <c r="G7524" s="1"/>
      <c r="N7524" s="1"/>
    </row>
    <row r="7525" spans="7:14" x14ac:dyDescent="0.3">
      <c r="G7525" s="1"/>
      <c r="N7525" s="1"/>
    </row>
    <row r="7526" spans="7:14" x14ac:dyDescent="0.3">
      <c r="G7526" s="1"/>
      <c r="N7526" s="1"/>
    </row>
    <row r="7527" spans="7:14" x14ac:dyDescent="0.3">
      <c r="G7527" s="1"/>
      <c r="N7527" s="1"/>
    </row>
    <row r="7528" spans="7:14" x14ac:dyDescent="0.3">
      <c r="G7528" s="1"/>
      <c r="N7528" s="1"/>
    </row>
    <row r="7529" spans="7:14" x14ac:dyDescent="0.3">
      <c r="G7529" s="1"/>
      <c r="N7529" s="1"/>
    </row>
    <row r="7530" spans="7:14" x14ac:dyDescent="0.3">
      <c r="G7530" s="1"/>
      <c r="N7530" s="1"/>
    </row>
    <row r="7531" spans="7:14" x14ac:dyDescent="0.3">
      <c r="G7531" s="1"/>
      <c r="N7531" s="1"/>
    </row>
    <row r="7532" spans="7:14" x14ac:dyDescent="0.3">
      <c r="G7532" s="1"/>
      <c r="N7532" s="1"/>
    </row>
    <row r="7533" spans="7:14" x14ac:dyDescent="0.3">
      <c r="G7533" s="1"/>
      <c r="N7533" s="1"/>
    </row>
    <row r="7534" spans="7:14" x14ac:dyDescent="0.3">
      <c r="G7534" s="1"/>
      <c r="N7534" s="1"/>
    </row>
    <row r="7535" spans="7:14" x14ac:dyDescent="0.3">
      <c r="G7535" s="1"/>
      <c r="N7535" s="1"/>
    </row>
    <row r="7536" spans="7:14" x14ac:dyDescent="0.3">
      <c r="G7536" s="1"/>
      <c r="N7536" s="1"/>
    </row>
    <row r="7537" spans="7:14" x14ac:dyDescent="0.3">
      <c r="G7537" s="1"/>
      <c r="N7537" s="1"/>
    </row>
    <row r="7538" spans="7:14" x14ac:dyDescent="0.3">
      <c r="G7538" s="1"/>
      <c r="N7538" s="1"/>
    </row>
    <row r="7539" spans="7:14" x14ac:dyDescent="0.3">
      <c r="G7539" s="1"/>
      <c r="N7539" s="1"/>
    </row>
    <row r="7540" spans="7:14" x14ac:dyDescent="0.3">
      <c r="G7540" s="1"/>
      <c r="N7540" s="1"/>
    </row>
    <row r="7541" spans="7:14" x14ac:dyDescent="0.3">
      <c r="G7541" s="1"/>
      <c r="N7541" s="1"/>
    </row>
    <row r="7542" spans="7:14" x14ac:dyDescent="0.3">
      <c r="G7542" s="1"/>
      <c r="N7542" s="1"/>
    </row>
    <row r="7543" spans="7:14" x14ac:dyDescent="0.3">
      <c r="G7543" s="1"/>
      <c r="N7543" s="1"/>
    </row>
    <row r="7544" spans="7:14" x14ac:dyDescent="0.3">
      <c r="G7544" s="1"/>
      <c r="N7544" s="1"/>
    </row>
    <row r="7545" spans="7:14" x14ac:dyDescent="0.3">
      <c r="G7545" s="1"/>
      <c r="N7545" s="1"/>
    </row>
    <row r="7546" spans="7:14" x14ac:dyDescent="0.3">
      <c r="G7546" s="1"/>
      <c r="N7546" s="1"/>
    </row>
    <row r="7547" spans="7:14" x14ac:dyDescent="0.3">
      <c r="G7547" s="1"/>
      <c r="N7547" s="1"/>
    </row>
    <row r="7548" spans="7:14" x14ac:dyDescent="0.3">
      <c r="G7548" s="1"/>
      <c r="N7548" s="1"/>
    </row>
    <row r="7549" spans="7:14" x14ac:dyDescent="0.3">
      <c r="G7549" s="1"/>
      <c r="N7549" s="1"/>
    </row>
    <row r="7550" spans="7:14" x14ac:dyDescent="0.3">
      <c r="G7550" s="1"/>
      <c r="N7550" s="1"/>
    </row>
    <row r="7551" spans="7:14" x14ac:dyDescent="0.3">
      <c r="G7551" s="1"/>
      <c r="N7551" s="1"/>
    </row>
    <row r="7552" spans="7:14" x14ac:dyDescent="0.3">
      <c r="G7552" s="1"/>
      <c r="N7552" s="1"/>
    </row>
    <row r="7553" spans="7:14" x14ac:dyDescent="0.3">
      <c r="G7553" s="1"/>
      <c r="N7553" s="1"/>
    </row>
    <row r="7554" spans="7:14" x14ac:dyDescent="0.3">
      <c r="G7554" s="1"/>
      <c r="N7554" s="1"/>
    </row>
    <row r="7555" spans="7:14" x14ac:dyDescent="0.3">
      <c r="G7555" s="1"/>
      <c r="N7555" s="1"/>
    </row>
    <row r="7556" spans="7:14" x14ac:dyDescent="0.3">
      <c r="G7556" s="1"/>
      <c r="N7556" s="1"/>
    </row>
    <row r="7557" spans="7:14" x14ac:dyDescent="0.3">
      <c r="G7557" s="1"/>
      <c r="N7557" s="1"/>
    </row>
    <row r="7558" spans="7:14" x14ac:dyDescent="0.3">
      <c r="G7558" s="1"/>
      <c r="N7558" s="1"/>
    </row>
    <row r="7559" spans="7:14" x14ac:dyDescent="0.3">
      <c r="G7559" s="1"/>
      <c r="N7559" s="1"/>
    </row>
    <row r="7560" spans="7:14" x14ac:dyDescent="0.3">
      <c r="G7560" s="1"/>
      <c r="N7560" s="1"/>
    </row>
    <row r="7561" spans="7:14" x14ac:dyDescent="0.3">
      <c r="G7561" s="1"/>
      <c r="N7561" s="1"/>
    </row>
    <row r="7562" spans="7:14" x14ac:dyDescent="0.3">
      <c r="G7562" s="1"/>
      <c r="N7562" s="1"/>
    </row>
    <row r="7563" spans="7:14" x14ac:dyDescent="0.3">
      <c r="G7563" s="1"/>
      <c r="N7563" s="1"/>
    </row>
    <row r="7564" spans="7:14" x14ac:dyDescent="0.3">
      <c r="G7564" s="1"/>
      <c r="N7564" s="1"/>
    </row>
    <row r="7565" spans="7:14" x14ac:dyDescent="0.3">
      <c r="G7565" s="1"/>
      <c r="N7565" s="1"/>
    </row>
    <row r="7566" spans="7:14" x14ac:dyDescent="0.3">
      <c r="G7566" s="1"/>
      <c r="N7566" s="1"/>
    </row>
    <row r="7567" spans="7:14" x14ac:dyDescent="0.3">
      <c r="G7567" s="1"/>
      <c r="N7567" s="1"/>
    </row>
    <row r="7568" spans="7:14" x14ac:dyDescent="0.3">
      <c r="G7568" s="1"/>
      <c r="N7568" s="1"/>
    </row>
    <row r="7569" spans="7:14" x14ac:dyDescent="0.3">
      <c r="G7569" s="1"/>
      <c r="N7569" s="1"/>
    </row>
    <row r="7570" spans="7:14" x14ac:dyDescent="0.3">
      <c r="G7570" s="1"/>
      <c r="N7570" s="1"/>
    </row>
    <row r="7571" spans="7:14" x14ac:dyDescent="0.3">
      <c r="G7571" s="1"/>
      <c r="N7571" s="1"/>
    </row>
    <row r="7572" spans="7:14" x14ac:dyDescent="0.3">
      <c r="G7572" s="1"/>
      <c r="N7572" s="1"/>
    </row>
    <row r="7573" spans="7:14" x14ac:dyDescent="0.3">
      <c r="G7573" s="1"/>
      <c r="N7573" s="1"/>
    </row>
    <row r="7574" spans="7:14" x14ac:dyDescent="0.3">
      <c r="G7574" s="1"/>
      <c r="N7574" s="1"/>
    </row>
    <row r="7575" spans="7:14" x14ac:dyDescent="0.3">
      <c r="G7575" s="1"/>
      <c r="N7575" s="1"/>
    </row>
    <row r="7576" spans="7:14" x14ac:dyDescent="0.3">
      <c r="G7576" s="1"/>
      <c r="N7576" s="1"/>
    </row>
    <row r="7577" spans="7:14" x14ac:dyDescent="0.3">
      <c r="G7577" s="1"/>
      <c r="N7577" s="1"/>
    </row>
    <row r="7578" spans="7:14" x14ac:dyDescent="0.3">
      <c r="G7578" s="1"/>
      <c r="N7578" s="1"/>
    </row>
    <row r="7579" spans="7:14" x14ac:dyDescent="0.3">
      <c r="G7579" s="1"/>
      <c r="N7579" s="1"/>
    </row>
    <row r="7580" spans="7:14" x14ac:dyDescent="0.3">
      <c r="G7580" s="1"/>
      <c r="N7580" s="1"/>
    </row>
    <row r="7581" spans="7:14" x14ac:dyDescent="0.3">
      <c r="G7581" s="1"/>
      <c r="N7581" s="1"/>
    </row>
    <row r="7582" spans="7:14" x14ac:dyDescent="0.3">
      <c r="G7582" s="1"/>
      <c r="N7582" s="1"/>
    </row>
    <row r="7583" spans="7:14" x14ac:dyDescent="0.3">
      <c r="G7583" s="1"/>
      <c r="N7583" s="1"/>
    </row>
    <row r="7584" spans="7:14" x14ac:dyDescent="0.3">
      <c r="G7584" s="1"/>
      <c r="N7584" s="1"/>
    </row>
    <row r="7585" spans="7:14" x14ac:dyDescent="0.3">
      <c r="G7585" s="1"/>
      <c r="N7585" s="1"/>
    </row>
    <row r="7586" spans="7:14" x14ac:dyDescent="0.3">
      <c r="G7586" s="1"/>
      <c r="N7586" s="1"/>
    </row>
    <row r="7587" spans="7:14" x14ac:dyDescent="0.3">
      <c r="G7587" s="1"/>
      <c r="N7587" s="1"/>
    </row>
    <row r="7588" spans="7:14" x14ac:dyDescent="0.3">
      <c r="G7588" s="1"/>
      <c r="N7588" s="1"/>
    </row>
    <row r="7589" spans="7:14" x14ac:dyDescent="0.3">
      <c r="G7589" s="1"/>
      <c r="N7589" s="1"/>
    </row>
    <row r="7590" spans="7:14" x14ac:dyDescent="0.3">
      <c r="G7590" s="1"/>
      <c r="N7590" s="1"/>
    </row>
    <row r="7591" spans="7:14" x14ac:dyDescent="0.3">
      <c r="G7591" s="1"/>
      <c r="N7591" s="1"/>
    </row>
    <row r="7592" spans="7:14" x14ac:dyDescent="0.3">
      <c r="G7592" s="1"/>
      <c r="N7592" s="1"/>
    </row>
    <row r="7593" spans="7:14" x14ac:dyDescent="0.3">
      <c r="G7593" s="1"/>
      <c r="N7593" s="1"/>
    </row>
    <row r="7594" spans="7:14" x14ac:dyDescent="0.3">
      <c r="G7594" s="1"/>
      <c r="N7594" s="1"/>
    </row>
    <row r="7595" spans="7:14" x14ac:dyDescent="0.3">
      <c r="G7595" s="1"/>
      <c r="N7595" s="1"/>
    </row>
    <row r="7596" spans="7:14" x14ac:dyDescent="0.3">
      <c r="G7596" s="1"/>
      <c r="N7596" s="1"/>
    </row>
    <row r="7597" spans="7:14" x14ac:dyDescent="0.3">
      <c r="G7597" s="1"/>
      <c r="N7597" s="1"/>
    </row>
    <row r="7598" spans="7:14" x14ac:dyDescent="0.3">
      <c r="G7598" s="1"/>
      <c r="N7598" s="1"/>
    </row>
    <row r="7599" spans="7:14" x14ac:dyDescent="0.3">
      <c r="G7599" s="1"/>
      <c r="N7599" s="1"/>
    </row>
    <row r="7600" spans="7:14" x14ac:dyDescent="0.3">
      <c r="G7600" s="1"/>
      <c r="N7600" s="1"/>
    </row>
    <row r="7601" spans="7:14" x14ac:dyDescent="0.3">
      <c r="G7601" s="1"/>
      <c r="N7601" s="1"/>
    </row>
    <row r="7602" spans="7:14" x14ac:dyDescent="0.3">
      <c r="G7602" s="1"/>
      <c r="N7602" s="1"/>
    </row>
    <row r="7603" spans="7:14" x14ac:dyDescent="0.3">
      <c r="G7603" s="1"/>
      <c r="N7603" s="1"/>
    </row>
    <row r="7604" spans="7:14" x14ac:dyDescent="0.3">
      <c r="G7604" s="1"/>
      <c r="N7604" s="1"/>
    </row>
    <row r="7605" spans="7:14" x14ac:dyDescent="0.3">
      <c r="G7605" s="1"/>
      <c r="N7605" s="1"/>
    </row>
    <row r="7606" spans="7:14" x14ac:dyDescent="0.3">
      <c r="G7606" s="1"/>
      <c r="N7606" s="1"/>
    </row>
    <row r="7607" spans="7:14" x14ac:dyDescent="0.3">
      <c r="G7607" s="1"/>
      <c r="N7607" s="1"/>
    </row>
    <row r="7608" spans="7:14" x14ac:dyDescent="0.3">
      <c r="G7608" s="1"/>
      <c r="N7608" s="1"/>
    </row>
    <row r="7609" spans="7:14" x14ac:dyDescent="0.3">
      <c r="G7609" s="1"/>
      <c r="N7609" s="1"/>
    </row>
    <row r="7610" spans="7:14" x14ac:dyDescent="0.3">
      <c r="G7610" s="1"/>
      <c r="N7610" s="1"/>
    </row>
    <row r="7611" spans="7:14" x14ac:dyDescent="0.3">
      <c r="G7611" s="1"/>
      <c r="N7611" s="1"/>
    </row>
    <row r="7612" spans="7:14" x14ac:dyDescent="0.3">
      <c r="G7612" s="1"/>
      <c r="N7612" s="1"/>
    </row>
    <row r="7613" spans="7:14" x14ac:dyDescent="0.3">
      <c r="G7613" s="1"/>
      <c r="N7613" s="1"/>
    </row>
    <row r="7614" spans="7:14" x14ac:dyDescent="0.3">
      <c r="G7614" s="1"/>
      <c r="N7614" s="1"/>
    </row>
    <row r="7615" spans="7:14" x14ac:dyDescent="0.3">
      <c r="G7615" s="1"/>
      <c r="N7615" s="1"/>
    </row>
    <row r="7616" spans="7:14" x14ac:dyDescent="0.3">
      <c r="G7616" s="1"/>
      <c r="N7616" s="1"/>
    </row>
    <row r="7617" spans="7:14" x14ac:dyDescent="0.3">
      <c r="G7617" s="1"/>
      <c r="N7617" s="1"/>
    </row>
    <row r="7618" spans="7:14" x14ac:dyDescent="0.3">
      <c r="G7618" s="1"/>
      <c r="N7618" s="1"/>
    </row>
    <row r="7619" spans="7:14" x14ac:dyDescent="0.3">
      <c r="G7619" s="1"/>
      <c r="N7619" s="1"/>
    </row>
    <row r="7620" spans="7:14" x14ac:dyDescent="0.3">
      <c r="G7620" s="1"/>
      <c r="N7620" s="1"/>
    </row>
    <row r="7621" spans="7:14" x14ac:dyDescent="0.3">
      <c r="G7621" s="1"/>
      <c r="N7621" s="1"/>
    </row>
    <row r="7622" spans="7:14" x14ac:dyDescent="0.3">
      <c r="G7622" s="1"/>
      <c r="N7622" s="1"/>
    </row>
    <row r="7623" spans="7:14" x14ac:dyDescent="0.3">
      <c r="G7623" s="1"/>
      <c r="N7623" s="1"/>
    </row>
    <row r="7624" spans="7:14" x14ac:dyDescent="0.3">
      <c r="G7624" s="1"/>
      <c r="N7624" s="1"/>
    </row>
    <row r="7625" spans="7:14" x14ac:dyDescent="0.3">
      <c r="G7625" s="1"/>
      <c r="N7625" s="1"/>
    </row>
    <row r="7626" spans="7:14" x14ac:dyDescent="0.3">
      <c r="G7626" s="1"/>
      <c r="N7626" s="1"/>
    </row>
    <row r="7627" spans="7:14" x14ac:dyDescent="0.3">
      <c r="G7627" s="1"/>
      <c r="N7627" s="1"/>
    </row>
    <row r="7628" spans="7:14" x14ac:dyDescent="0.3">
      <c r="G7628" s="1"/>
      <c r="N7628" s="1"/>
    </row>
    <row r="7629" spans="7:14" x14ac:dyDescent="0.3">
      <c r="G7629" s="1"/>
      <c r="N7629" s="1"/>
    </row>
    <row r="7630" spans="7:14" x14ac:dyDescent="0.3">
      <c r="G7630" s="1"/>
      <c r="N7630" s="1"/>
    </row>
    <row r="7631" spans="7:14" x14ac:dyDescent="0.3">
      <c r="G7631" s="1"/>
      <c r="N7631" s="1"/>
    </row>
    <row r="7632" spans="7:14" x14ac:dyDescent="0.3">
      <c r="G7632" s="1"/>
      <c r="N7632" s="1"/>
    </row>
    <row r="7633" spans="7:14" x14ac:dyDescent="0.3">
      <c r="G7633" s="1"/>
      <c r="N7633" s="1"/>
    </row>
    <row r="7634" spans="7:14" x14ac:dyDescent="0.3">
      <c r="G7634" s="1"/>
      <c r="N7634" s="1"/>
    </row>
    <row r="7635" spans="7:14" x14ac:dyDescent="0.3">
      <c r="G7635" s="1"/>
      <c r="N7635" s="1"/>
    </row>
    <row r="7636" spans="7:14" x14ac:dyDescent="0.3">
      <c r="G7636" s="1"/>
      <c r="N7636" s="1"/>
    </row>
    <row r="7637" spans="7:14" x14ac:dyDescent="0.3">
      <c r="G7637" s="1"/>
      <c r="N7637" s="1"/>
    </row>
    <row r="7638" spans="7:14" x14ac:dyDescent="0.3">
      <c r="G7638" s="1"/>
      <c r="N7638" s="1"/>
    </row>
    <row r="7639" spans="7:14" x14ac:dyDescent="0.3">
      <c r="G7639" s="1"/>
      <c r="N7639" s="1"/>
    </row>
    <row r="7640" spans="7:14" x14ac:dyDescent="0.3">
      <c r="G7640" s="1"/>
      <c r="N7640" s="1"/>
    </row>
    <row r="7641" spans="7:14" x14ac:dyDescent="0.3">
      <c r="G7641" s="1"/>
      <c r="N7641" s="1"/>
    </row>
    <row r="7642" spans="7:14" x14ac:dyDescent="0.3">
      <c r="G7642" s="1"/>
      <c r="N7642" s="1"/>
    </row>
    <row r="7643" spans="7:14" x14ac:dyDescent="0.3">
      <c r="G7643" s="1"/>
      <c r="N7643" s="1"/>
    </row>
    <row r="7644" spans="7:14" x14ac:dyDescent="0.3">
      <c r="G7644" s="1"/>
      <c r="N7644" s="1"/>
    </row>
    <row r="7645" spans="7:14" x14ac:dyDescent="0.3">
      <c r="G7645" s="1"/>
      <c r="N7645" s="1"/>
    </row>
    <row r="7646" spans="7:14" x14ac:dyDescent="0.3">
      <c r="G7646" s="1"/>
      <c r="N7646" s="1"/>
    </row>
    <row r="7647" spans="7:14" x14ac:dyDescent="0.3">
      <c r="G7647" s="1"/>
      <c r="N7647" s="1"/>
    </row>
    <row r="7648" spans="7:14" x14ac:dyDescent="0.3">
      <c r="G7648" s="1"/>
      <c r="N7648" s="1"/>
    </row>
    <row r="7649" spans="7:14" x14ac:dyDescent="0.3">
      <c r="G7649" s="1"/>
      <c r="N7649" s="1"/>
    </row>
    <row r="7650" spans="7:14" x14ac:dyDescent="0.3">
      <c r="G7650" s="1"/>
      <c r="N7650" s="1"/>
    </row>
    <row r="7651" spans="7:14" x14ac:dyDescent="0.3">
      <c r="G7651" s="1"/>
      <c r="N7651" s="1"/>
    </row>
    <row r="7652" spans="7:14" x14ac:dyDescent="0.3">
      <c r="G7652" s="1"/>
      <c r="N7652" s="1"/>
    </row>
    <row r="7653" spans="7:14" x14ac:dyDescent="0.3">
      <c r="G7653" s="1"/>
      <c r="N7653" s="1"/>
    </row>
    <row r="7654" spans="7:14" x14ac:dyDescent="0.3">
      <c r="G7654" s="1"/>
      <c r="N7654" s="1"/>
    </row>
    <row r="7655" spans="7:14" x14ac:dyDescent="0.3">
      <c r="G7655" s="1"/>
      <c r="N7655" s="1"/>
    </row>
    <row r="7656" spans="7:14" x14ac:dyDescent="0.3">
      <c r="G7656" s="1"/>
      <c r="N7656" s="1"/>
    </row>
    <row r="7657" spans="7:14" x14ac:dyDescent="0.3">
      <c r="G7657" s="1"/>
      <c r="N7657" s="1"/>
    </row>
    <row r="7658" spans="7:14" x14ac:dyDescent="0.3">
      <c r="G7658" s="1"/>
      <c r="N7658" s="1"/>
    </row>
    <row r="7659" spans="7:14" x14ac:dyDescent="0.3">
      <c r="G7659" s="1"/>
      <c r="N7659" s="1"/>
    </row>
    <row r="7660" spans="7:14" x14ac:dyDescent="0.3">
      <c r="G7660" s="1"/>
      <c r="N7660" s="1"/>
    </row>
    <row r="7661" spans="7:14" x14ac:dyDescent="0.3">
      <c r="G7661" s="1"/>
      <c r="N7661" s="1"/>
    </row>
    <row r="7662" spans="7:14" x14ac:dyDescent="0.3">
      <c r="G7662" s="1"/>
      <c r="N7662" s="1"/>
    </row>
    <row r="7663" spans="7:14" x14ac:dyDescent="0.3">
      <c r="G7663" s="1"/>
      <c r="N7663" s="1"/>
    </row>
    <row r="7664" spans="7:14" x14ac:dyDescent="0.3">
      <c r="G7664" s="1"/>
      <c r="N7664" s="1"/>
    </row>
    <row r="7665" spans="7:14" x14ac:dyDescent="0.3">
      <c r="G7665" s="1"/>
      <c r="N7665" s="1"/>
    </row>
    <row r="7666" spans="7:14" x14ac:dyDescent="0.3">
      <c r="G7666" s="1"/>
      <c r="N7666" s="1"/>
    </row>
    <row r="7667" spans="7:14" x14ac:dyDescent="0.3">
      <c r="G7667" s="1"/>
      <c r="N7667" s="1"/>
    </row>
    <row r="7668" spans="7:14" x14ac:dyDescent="0.3">
      <c r="G7668" s="1"/>
      <c r="N7668" s="1"/>
    </row>
    <row r="7669" spans="7:14" x14ac:dyDescent="0.3">
      <c r="G7669" s="1"/>
      <c r="N7669" s="1"/>
    </row>
    <row r="7670" spans="7:14" x14ac:dyDescent="0.3">
      <c r="G7670" s="1"/>
      <c r="N7670" s="1"/>
    </row>
    <row r="7671" spans="7:14" x14ac:dyDescent="0.3">
      <c r="G7671" s="1"/>
      <c r="N7671" s="1"/>
    </row>
    <row r="7672" spans="7:14" x14ac:dyDescent="0.3">
      <c r="G7672" s="1"/>
      <c r="N7672" s="1"/>
    </row>
    <row r="7673" spans="7:14" x14ac:dyDescent="0.3">
      <c r="G7673" s="1"/>
      <c r="N7673" s="1"/>
    </row>
    <row r="7674" spans="7:14" x14ac:dyDescent="0.3">
      <c r="G7674" s="1"/>
      <c r="N7674" s="1"/>
    </row>
    <row r="7675" spans="7:14" x14ac:dyDescent="0.3">
      <c r="G7675" s="1"/>
      <c r="N7675" s="1"/>
    </row>
    <row r="7676" spans="7:14" x14ac:dyDescent="0.3">
      <c r="G7676" s="1"/>
      <c r="N7676" s="1"/>
    </row>
    <row r="7677" spans="7:14" x14ac:dyDescent="0.3">
      <c r="G7677" s="1"/>
      <c r="N7677" s="1"/>
    </row>
    <row r="7678" spans="7:14" x14ac:dyDescent="0.3">
      <c r="G7678" s="1"/>
      <c r="N7678" s="1"/>
    </row>
    <row r="7679" spans="7:14" x14ac:dyDescent="0.3">
      <c r="G7679" s="1"/>
      <c r="N7679" s="1"/>
    </row>
    <row r="7680" spans="7:14" x14ac:dyDescent="0.3">
      <c r="G7680" s="1"/>
      <c r="N7680" s="1"/>
    </row>
    <row r="7681" spans="7:14" x14ac:dyDescent="0.3">
      <c r="G7681" s="1"/>
      <c r="N7681" s="1"/>
    </row>
    <row r="7682" spans="7:14" x14ac:dyDescent="0.3">
      <c r="G7682" s="1"/>
      <c r="N7682" s="1"/>
    </row>
    <row r="7683" spans="7:14" x14ac:dyDescent="0.3">
      <c r="G7683" s="1"/>
      <c r="N7683" s="1"/>
    </row>
    <row r="7684" spans="7:14" x14ac:dyDescent="0.3">
      <c r="G7684" s="1"/>
      <c r="N7684" s="1"/>
    </row>
    <row r="7685" spans="7:14" x14ac:dyDescent="0.3">
      <c r="G7685" s="1"/>
      <c r="N7685" s="1"/>
    </row>
    <row r="7686" spans="7:14" x14ac:dyDescent="0.3">
      <c r="G7686" s="1"/>
      <c r="N7686" s="1"/>
    </row>
    <row r="7687" spans="7:14" x14ac:dyDescent="0.3">
      <c r="G7687" s="1"/>
      <c r="N7687" s="1"/>
    </row>
    <row r="7688" spans="7:14" x14ac:dyDescent="0.3">
      <c r="G7688" s="1"/>
      <c r="N7688" s="1"/>
    </row>
    <row r="7689" spans="7:14" x14ac:dyDescent="0.3">
      <c r="G7689" s="1"/>
      <c r="N7689" s="1"/>
    </row>
    <row r="7690" spans="7:14" x14ac:dyDescent="0.3">
      <c r="G7690" s="1"/>
      <c r="N7690" s="1"/>
    </row>
    <row r="7691" spans="7:14" x14ac:dyDescent="0.3">
      <c r="G7691" s="1"/>
      <c r="N7691" s="1"/>
    </row>
    <row r="7692" spans="7:14" x14ac:dyDescent="0.3">
      <c r="G7692" s="1"/>
      <c r="N7692" s="1"/>
    </row>
    <row r="7693" spans="7:14" x14ac:dyDescent="0.3">
      <c r="G7693" s="1"/>
      <c r="N7693" s="1"/>
    </row>
    <row r="7694" spans="7:14" x14ac:dyDescent="0.3">
      <c r="G7694" s="1"/>
      <c r="N7694" s="1"/>
    </row>
    <row r="7695" spans="7:14" x14ac:dyDescent="0.3">
      <c r="G7695" s="1"/>
      <c r="N7695" s="1"/>
    </row>
    <row r="7696" spans="7:14" x14ac:dyDescent="0.3">
      <c r="G7696" s="1"/>
      <c r="N7696" s="1"/>
    </row>
    <row r="7697" spans="7:14" x14ac:dyDescent="0.3">
      <c r="G7697" s="1"/>
      <c r="N7697" s="1"/>
    </row>
    <row r="7698" spans="7:14" x14ac:dyDescent="0.3">
      <c r="G7698" s="1"/>
      <c r="N7698" s="1"/>
    </row>
    <row r="7699" spans="7:14" x14ac:dyDescent="0.3">
      <c r="G7699" s="1"/>
      <c r="N7699" s="1"/>
    </row>
    <row r="7700" spans="7:14" x14ac:dyDescent="0.3">
      <c r="G7700" s="1"/>
      <c r="N7700" s="1"/>
    </row>
    <row r="7701" spans="7:14" x14ac:dyDescent="0.3">
      <c r="G7701" s="1"/>
      <c r="N7701" s="1"/>
    </row>
    <row r="7702" spans="7:14" x14ac:dyDescent="0.3">
      <c r="G7702" s="1"/>
      <c r="N7702" s="1"/>
    </row>
    <row r="7703" spans="7:14" x14ac:dyDescent="0.3">
      <c r="G7703" s="1"/>
      <c r="N7703" s="1"/>
    </row>
    <row r="7704" spans="7:14" x14ac:dyDescent="0.3">
      <c r="G7704" s="1"/>
      <c r="N7704" s="1"/>
    </row>
    <row r="7705" spans="7:14" x14ac:dyDescent="0.3">
      <c r="G7705" s="1"/>
      <c r="N7705" s="1"/>
    </row>
    <row r="7706" spans="7:14" x14ac:dyDescent="0.3">
      <c r="G7706" s="1"/>
      <c r="N7706" s="1"/>
    </row>
    <row r="7707" spans="7:14" x14ac:dyDescent="0.3">
      <c r="G7707" s="1"/>
      <c r="N7707" s="1"/>
    </row>
    <row r="7708" spans="7:14" x14ac:dyDescent="0.3">
      <c r="G7708" s="1"/>
      <c r="N7708" s="1"/>
    </row>
    <row r="7709" spans="7:14" x14ac:dyDescent="0.3">
      <c r="G7709" s="1"/>
      <c r="N7709" s="1"/>
    </row>
    <row r="7710" spans="7:14" x14ac:dyDescent="0.3">
      <c r="G7710" s="1"/>
      <c r="N7710" s="1"/>
    </row>
    <row r="7711" spans="7:14" x14ac:dyDescent="0.3">
      <c r="G7711" s="1"/>
      <c r="N7711" s="1"/>
    </row>
    <row r="7712" spans="7:14" x14ac:dyDescent="0.3">
      <c r="G7712" s="1"/>
      <c r="N7712" s="1"/>
    </row>
    <row r="7713" spans="7:14" x14ac:dyDescent="0.3">
      <c r="G7713" s="1"/>
      <c r="N7713" s="1"/>
    </row>
    <row r="7714" spans="7:14" x14ac:dyDescent="0.3">
      <c r="G7714" s="1"/>
      <c r="N7714" s="1"/>
    </row>
    <row r="7715" spans="7:14" x14ac:dyDescent="0.3">
      <c r="G7715" s="1"/>
      <c r="N7715" s="1"/>
    </row>
    <row r="7716" spans="7:14" x14ac:dyDescent="0.3">
      <c r="G7716" s="1"/>
      <c r="N7716" s="1"/>
    </row>
    <row r="7717" spans="7:14" x14ac:dyDescent="0.3">
      <c r="G7717" s="1"/>
      <c r="N7717" s="1"/>
    </row>
    <row r="7718" spans="7:14" x14ac:dyDescent="0.3">
      <c r="G7718" s="1"/>
      <c r="N7718" s="1"/>
    </row>
    <row r="7719" spans="7:14" x14ac:dyDescent="0.3">
      <c r="G7719" s="1"/>
      <c r="N7719" s="1"/>
    </row>
    <row r="7720" spans="7:14" x14ac:dyDescent="0.3">
      <c r="G7720" s="1"/>
      <c r="N7720" s="1"/>
    </row>
    <row r="7721" spans="7:14" x14ac:dyDescent="0.3">
      <c r="G7721" s="1"/>
      <c r="N7721" s="1"/>
    </row>
    <row r="7722" spans="7:14" x14ac:dyDescent="0.3">
      <c r="G7722" s="1"/>
      <c r="N7722" s="1"/>
    </row>
    <row r="7723" spans="7:14" x14ac:dyDescent="0.3">
      <c r="G7723" s="1"/>
      <c r="N7723" s="1"/>
    </row>
    <row r="7724" spans="7:14" x14ac:dyDescent="0.3">
      <c r="G7724" s="1"/>
      <c r="N7724" s="1"/>
    </row>
    <row r="7725" spans="7:14" x14ac:dyDescent="0.3">
      <c r="G7725" s="1"/>
      <c r="N7725" s="1"/>
    </row>
    <row r="7726" spans="7:14" x14ac:dyDescent="0.3">
      <c r="G7726" s="1"/>
      <c r="N7726" s="1"/>
    </row>
    <row r="7727" spans="7:14" x14ac:dyDescent="0.3">
      <c r="G7727" s="1"/>
      <c r="N7727" s="1"/>
    </row>
    <row r="7728" spans="7:14" x14ac:dyDescent="0.3">
      <c r="G7728" s="1"/>
      <c r="N7728" s="1"/>
    </row>
    <row r="7729" spans="7:14" x14ac:dyDescent="0.3">
      <c r="G7729" s="1"/>
      <c r="N7729" s="1"/>
    </row>
    <row r="7730" spans="7:14" x14ac:dyDescent="0.3">
      <c r="G7730" s="1"/>
      <c r="N7730" s="1"/>
    </row>
    <row r="7731" spans="7:14" x14ac:dyDescent="0.3">
      <c r="G7731" s="1"/>
      <c r="N7731" s="1"/>
    </row>
    <row r="7732" spans="7:14" x14ac:dyDescent="0.3">
      <c r="G7732" s="1"/>
      <c r="N7732" s="1"/>
    </row>
    <row r="7733" spans="7:14" x14ac:dyDescent="0.3">
      <c r="G7733" s="1"/>
      <c r="N7733" s="1"/>
    </row>
    <row r="7734" spans="7:14" x14ac:dyDescent="0.3">
      <c r="G7734" s="1"/>
      <c r="N7734" s="1"/>
    </row>
    <row r="7735" spans="7:14" x14ac:dyDescent="0.3">
      <c r="G7735" s="1"/>
      <c r="N7735" s="1"/>
    </row>
    <row r="7736" spans="7:14" x14ac:dyDescent="0.3">
      <c r="G7736" s="1"/>
      <c r="N7736" s="1"/>
    </row>
    <row r="7737" spans="7:14" x14ac:dyDescent="0.3">
      <c r="G7737" s="1"/>
      <c r="N7737" s="1"/>
    </row>
    <row r="7738" spans="7:14" x14ac:dyDescent="0.3">
      <c r="G7738" s="1"/>
      <c r="N7738" s="1"/>
    </row>
    <row r="7739" spans="7:14" x14ac:dyDescent="0.3">
      <c r="G7739" s="1"/>
      <c r="N7739" s="1"/>
    </row>
    <row r="7740" spans="7:14" x14ac:dyDescent="0.3">
      <c r="G7740" s="1"/>
      <c r="N7740" s="1"/>
    </row>
    <row r="7741" spans="7:14" x14ac:dyDescent="0.3">
      <c r="G7741" s="1"/>
      <c r="N7741" s="1"/>
    </row>
    <row r="7742" spans="7:14" x14ac:dyDescent="0.3">
      <c r="G7742" s="1"/>
      <c r="N7742" s="1"/>
    </row>
    <row r="7743" spans="7:14" x14ac:dyDescent="0.3">
      <c r="G7743" s="1"/>
      <c r="N7743" s="1"/>
    </row>
    <row r="7744" spans="7:14" x14ac:dyDescent="0.3">
      <c r="G7744" s="1"/>
      <c r="N7744" s="1"/>
    </row>
    <row r="7745" spans="7:14" x14ac:dyDescent="0.3">
      <c r="G7745" s="1"/>
      <c r="N7745" s="1"/>
    </row>
    <row r="7746" spans="7:14" x14ac:dyDescent="0.3">
      <c r="G7746" s="1"/>
      <c r="N7746" s="1"/>
    </row>
    <row r="7747" spans="7:14" x14ac:dyDescent="0.3">
      <c r="G7747" s="1"/>
      <c r="N7747" s="1"/>
    </row>
    <row r="7748" spans="7:14" x14ac:dyDescent="0.3">
      <c r="G7748" s="1"/>
      <c r="N7748" s="1"/>
    </row>
    <row r="7749" spans="7:14" x14ac:dyDescent="0.3">
      <c r="G7749" s="1"/>
      <c r="N7749" s="1"/>
    </row>
    <row r="7750" spans="7:14" x14ac:dyDescent="0.3">
      <c r="G7750" s="1"/>
      <c r="N7750" s="1"/>
    </row>
    <row r="7751" spans="7:14" x14ac:dyDescent="0.3">
      <c r="G7751" s="1"/>
      <c r="N7751" s="1"/>
    </row>
    <row r="7752" spans="7:14" x14ac:dyDescent="0.3">
      <c r="G7752" s="1"/>
      <c r="N7752" s="1"/>
    </row>
    <row r="7753" spans="7:14" x14ac:dyDescent="0.3">
      <c r="G7753" s="1"/>
      <c r="N7753" s="1"/>
    </row>
    <row r="7754" spans="7:14" x14ac:dyDescent="0.3">
      <c r="G7754" s="1"/>
      <c r="N7754" s="1"/>
    </row>
    <row r="7755" spans="7:14" x14ac:dyDescent="0.3">
      <c r="G7755" s="1"/>
      <c r="N7755" s="1"/>
    </row>
    <row r="7756" spans="7:14" x14ac:dyDescent="0.3">
      <c r="G7756" s="1"/>
      <c r="N7756" s="1"/>
    </row>
    <row r="7757" spans="7:14" x14ac:dyDescent="0.3">
      <c r="G7757" s="1"/>
      <c r="N7757" s="1"/>
    </row>
    <row r="7758" spans="7:14" x14ac:dyDescent="0.3">
      <c r="G7758" s="1"/>
      <c r="N7758" s="1"/>
    </row>
    <row r="7759" spans="7:14" x14ac:dyDescent="0.3">
      <c r="G7759" s="1"/>
      <c r="N7759" s="1"/>
    </row>
    <row r="7760" spans="7:14" x14ac:dyDescent="0.3">
      <c r="G7760" s="1"/>
      <c r="N7760" s="1"/>
    </row>
    <row r="7761" spans="7:14" x14ac:dyDescent="0.3">
      <c r="G7761" s="1"/>
      <c r="N7761" s="1"/>
    </row>
    <row r="7762" spans="7:14" x14ac:dyDescent="0.3">
      <c r="G7762" s="1"/>
      <c r="N7762" s="1"/>
    </row>
    <row r="7763" spans="7:14" x14ac:dyDescent="0.3">
      <c r="G7763" s="1"/>
      <c r="N7763" s="1"/>
    </row>
    <row r="7764" spans="7:14" x14ac:dyDescent="0.3">
      <c r="G7764" s="1"/>
      <c r="N7764" s="1"/>
    </row>
    <row r="7765" spans="7:14" x14ac:dyDescent="0.3">
      <c r="G7765" s="1"/>
      <c r="N7765" s="1"/>
    </row>
    <row r="7766" spans="7:14" x14ac:dyDescent="0.3">
      <c r="G7766" s="1"/>
      <c r="N7766" s="1"/>
    </row>
    <row r="7767" spans="7:14" x14ac:dyDescent="0.3">
      <c r="G7767" s="1"/>
      <c r="N7767" s="1"/>
    </row>
    <row r="7768" spans="7:14" x14ac:dyDescent="0.3">
      <c r="G7768" s="1"/>
      <c r="N7768" s="1"/>
    </row>
    <row r="7769" spans="7:14" x14ac:dyDescent="0.3">
      <c r="G7769" s="1"/>
      <c r="N7769" s="1"/>
    </row>
    <row r="7770" spans="7:14" x14ac:dyDescent="0.3">
      <c r="G7770" s="1"/>
      <c r="N7770" s="1"/>
    </row>
    <row r="7771" spans="7:14" x14ac:dyDescent="0.3">
      <c r="G7771" s="1"/>
      <c r="N7771" s="1"/>
    </row>
    <row r="7772" spans="7:14" x14ac:dyDescent="0.3">
      <c r="G7772" s="1"/>
      <c r="N7772" s="1"/>
    </row>
    <row r="7773" spans="7:14" x14ac:dyDescent="0.3">
      <c r="G7773" s="1"/>
      <c r="N7773" s="1"/>
    </row>
    <row r="7774" spans="7:14" x14ac:dyDescent="0.3">
      <c r="G7774" s="1"/>
      <c r="N7774" s="1"/>
    </row>
    <row r="7775" spans="7:14" x14ac:dyDescent="0.3">
      <c r="G7775" s="1"/>
      <c r="N7775" s="1"/>
    </row>
    <row r="7776" spans="7:14" x14ac:dyDescent="0.3">
      <c r="G7776" s="1"/>
      <c r="N7776" s="1"/>
    </row>
    <row r="7777" spans="7:14" x14ac:dyDescent="0.3">
      <c r="G7777" s="1"/>
      <c r="N7777" s="1"/>
    </row>
    <row r="7778" spans="7:14" x14ac:dyDescent="0.3">
      <c r="G7778" s="1"/>
      <c r="N7778" s="1"/>
    </row>
    <row r="7779" spans="7:14" x14ac:dyDescent="0.3">
      <c r="G7779" s="1"/>
      <c r="N7779" s="1"/>
    </row>
    <row r="7780" spans="7:14" x14ac:dyDescent="0.3">
      <c r="G7780" s="1"/>
      <c r="N7780" s="1"/>
    </row>
    <row r="7781" spans="7:14" x14ac:dyDescent="0.3">
      <c r="G7781" s="1"/>
      <c r="N7781" s="1"/>
    </row>
    <row r="7782" spans="7:14" x14ac:dyDescent="0.3">
      <c r="G7782" s="1"/>
      <c r="N7782" s="1"/>
    </row>
    <row r="7783" spans="7:14" x14ac:dyDescent="0.3">
      <c r="G7783" s="1"/>
      <c r="N7783" s="1"/>
    </row>
    <row r="7784" spans="7:14" x14ac:dyDescent="0.3">
      <c r="G7784" s="1"/>
      <c r="N7784" s="1"/>
    </row>
    <row r="7785" spans="7:14" x14ac:dyDescent="0.3">
      <c r="G7785" s="1"/>
      <c r="N7785" s="1"/>
    </row>
    <row r="7786" spans="7:14" x14ac:dyDescent="0.3">
      <c r="G7786" s="1"/>
      <c r="N7786" s="1"/>
    </row>
    <row r="7787" spans="7:14" x14ac:dyDescent="0.3">
      <c r="G7787" s="1"/>
      <c r="N7787" s="1"/>
    </row>
    <row r="7788" spans="7:14" x14ac:dyDescent="0.3">
      <c r="G7788" s="1"/>
      <c r="N7788" s="1"/>
    </row>
    <row r="7789" spans="7:14" x14ac:dyDescent="0.3">
      <c r="G7789" s="1"/>
      <c r="N7789" s="1"/>
    </row>
    <row r="7790" spans="7:14" x14ac:dyDescent="0.3">
      <c r="G7790" s="1"/>
      <c r="N7790" s="1"/>
    </row>
    <row r="7791" spans="7:14" x14ac:dyDescent="0.3">
      <c r="G7791" s="1"/>
      <c r="N7791" s="1"/>
    </row>
    <row r="7792" spans="7:14" x14ac:dyDescent="0.3">
      <c r="G7792" s="1"/>
      <c r="N7792" s="1"/>
    </row>
    <row r="7793" spans="7:14" x14ac:dyDescent="0.3">
      <c r="G7793" s="1"/>
      <c r="N7793" s="1"/>
    </row>
    <row r="7794" spans="7:14" x14ac:dyDescent="0.3">
      <c r="G7794" s="1"/>
      <c r="N7794" s="1"/>
    </row>
    <row r="7795" spans="7:14" x14ac:dyDescent="0.3">
      <c r="G7795" s="1"/>
      <c r="N7795" s="1"/>
    </row>
    <row r="7796" spans="7:14" x14ac:dyDescent="0.3">
      <c r="G7796" s="1"/>
      <c r="N7796" s="1"/>
    </row>
    <row r="7797" spans="7:14" x14ac:dyDescent="0.3">
      <c r="G7797" s="1"/>
      <c r="N7797" s="1"/>
    </row>
    <row r="7798" spans="7:14" x14ac:dyDescent="0.3">
      <c r="G7798" s="1"/>
      <c r="N7798" s="1"/>
    </row>
    <row r="7799" spans="7:14" x14ac:dyDescent="0.3">
      <c r="G7799" s="1"/>
      <c r="N7799" s="1"/>
    </row>
    <row r="7800" spans="7:14" x14ac:dyDescent="0.3">
      <c r="G7800" s="1"/>
      <c r="N7800" s="1"/>
    </row>
    <row r="7801" spans="7:14" x14ac:dyDescent="0.3">
      <c r="G7801" s="1"/>
      <c r="N7801" s="1"/>
    </row>
    <row r="7802" spans="7:14" x14ac:dyDescent="0.3">
      <c r="G7802" s="1"/>
      <c r="N7802" s="1"/>
    </row>
    <row r="7803" spans="7:14" x14ac:dyDescent="0.3">
      <c r="G7803" s="1"/>
      <c r="N7803" s="1"/>
    </row>
    <row r="7804" spans="7:14" x14ac:dyDescent="0.3">
      <c r="G7804" s="1"/>
      <c r="N7804" s="1"/>
    </row>
    <row r="7805" spans="7:14" x14ac:dyDescent="0.3">
      <c r="G7805" s="1"/>
      <c r="N7805" s="1"/>
    </row>
    <row r="7806" spans="7:14" x14ac:dyDescent="0.3">
      <c r="G7806" s="1"/>
      <c r="N7806" s="1"/>
    </row>
    <row r="7807" spans="7:14" x14ac:dyDescent="0.3">
      <c r="G7807" s="1"/>
      <c r="N7807" s="1"/>
    </row>
    <row r="7808" spans="7:14" x14ac:dyDescent="0.3">
      <c r="G7808" s="1"/>
      <c r="N7808" s="1"/>
    </row>
    <row r="7809" spans="7:14" x14ac:dyDescent="0.3">
      <c r="G7809" s="1"/>
      <c r="N7809" s="1"/>
    </row>
    <row r="7810" spans="7:14" x14ac:dyDescent="0.3">
      <c r="G7810" s="1"/>
      <c r="N7810" s="1"/>
    </row>
    <row r="7811" spans="7:14" x14ac:dyDescent="0.3">
      <c r="G7811" s="1"/>
      <c r="N7811" s="1"/>
    </row>
    <row r="7812" spans="7:14" x14ac:dyDescent="0.3">
      <c r="G7812" s="1"/>
      <c r="N7812" s="1"/>
    </row>
    <row r="7813" spans="7:14" x14ac:dyDescent="0.3">
      <c r="G7813" s="1"/>
      <c r="N7813" s="1"/>
    </row>
    <row r="7814" spans="7:14" x14ac:dyDescent="0.3">
      <c r="G7814" s="1"/>
      <c r="N7814" s="1"/>
    </row>
    <row r="7815" spans="7:14" x14ac:dyDescent="0.3">
      <c r="G7815" s="1"/>
      <c r="N7815" s="1"/>
    </row>
    <row r="7816" spans="7:14" x14ac:dyDescent="0.3">
      <c r="G7816" s="1"/>
      <c r="N7816" s="1"/>
    </row>
    <row r="7817" spans="7:14" x14ac:dyDescent="0.3">
      <c r="G7817" s="1"/>
      <c r="N7817" s="1"/>
    </row>
    <row r="7818" spans="7:14" x14ac:dyDescent="0.3">
      <c r="G7818" s="1"/>
      <c r="N7818" s="1"/>
    </row>
    <row r="7819" spans="7:14" x14ac:dyDescent="0.3">
      <c r="G7819" s="1"/>
      <c r="N7819" s="1"/>
    </row>
    <row r="7820" spans="7:14" x14ac:dyDescent="0.3">
      <c r="G7820" s="1"/>
      <c r="N7820" s="1"/>
    </row>
    <row r="7821" spans="7:14" x14ac:dyDescent="0.3">
      <c r="G7821" s="1"/>
      <c r="N7821" s="1"/>
    </row>
    <row r="7822" spans="7:14" x14ac:dyDescent="0.3">
      <c r="G7822" s="1"/>
      <c r="N7822" s="1"/>
    </row>
    <row r="7823" spans="7:14" x14ac:dyDescent="0.3">
      <c r="G7823" s="1"/>
      <c r="N7823" s="1"/>
    </row>
    <row r="7824" spans="7:14" x14ac:dyDescent="0.3">
      <c r="G7824" s="1"/>
      <c r="N7824" s="1"/>
    </row>
    <row r="7825" spans="7:14" x14ac:dyDescent="0.3">
      <c r="G7825" s="1"/>
      <c r="N7825" s="1"/>
    </row>
    <row r="7826" spans="7:14" x14ac:dyDescent="0.3">
      <c r="G7826" s="1"/>
      <c r="N7826" s="1"/>
    </row>
    <row r="7827" spans="7:14" x14ac:dyDescent="0.3">
      <c r="G7827" s="1"/>
      <c r="N7827" s="1"/>
    </row>
    <row r="7828" spans="7:14" x14ac:dyDescent="0.3">
      <c r="G7828" s="1"/>
      <c r="N7828" s="1"/>
    </row>
    <row r="7829" spans="7:14" x14ac:dyDescent="0.3">
      <c r="G7829" s="1"/>
      <c r="N7829" s="1"/>
    </row>
    <row r="7830" spans="7:14" x14ac:dyDescent="0.3">
      <c r="G7830" s="1"/>
      <c r="N7830" s="1"/>
    </row>
    <row r="7831" spans="7:14" x14ac:dyDescent="0.3">
      <c r="G7831" s="1"/>
      <c r="N7831" s="1"/>
    </row>
    <row r="7832" spans="7:14" x14ac:dyDescent="0.3">
      <c r="G7832" s="1"/>
      <c r="N7832" s="1"/>
    </row>
    <row r="7833" spans="7:14" x14ac:dyDescent="0.3">
      <c r="G7833" s="1"/>
      <c r="N7833" s="1"/>
    </row>
    <row r="7834" spans="7:14" x14ac:dyDescent="0.3">
      <c r="G7834" s="1"/>
      <c r="N7834" s="1"/>
    </row>
    <row r="7835" spans="7:14" x14ac:dyDescent="0.3">
      <c r="G7835" s="1"/>
      <c r="N7835" s="1"/>
    </row>
    <row r="7836" spans="7:14" x14ac:dyDescent="0.3">
      <c r="G7836" s="1"/>
      <c r="N7836" s="1"/>
    </row>
    <row r="7837" spans="7:14" x14ac:dyDescent="0.3">
      <c r="G7837" s="1"/>
      <c r="N7837" s="1"/>
    </row>
    <row r="7838" spans="7:14" x14ac:dyDescent="0.3">
      <c r="G7838" s="1"/>
      <c r="N7838" s="1"/>
    </row>
    <row r="7839" spans="7:14" x14ac:dyDescent="0.3">
      <c r="G7839" s="1"/>
      <c r="N7839" s="1"/>
    </row>
    <row r="7840" spans="7:14" x14ac:dyDescent="0.3">
      <c r="G7840" s="1"/>
      <c r="N7840" s="1"/>
    </row>
    <row r="7841" spans="7:14" x14ac:dyDescent="0.3">
      <c r="G7841" s="1"/>
      <c r="N7841" s="1"/>
    </row>
    <row r="7842" spans="7:14" x14ac:dyDescent="0.3">
      <c r="G7842" s="1"/>
      <c r="N7842" s="1"/>
    </row>
    <row r="7843" spans="7:14" x14ac:dyDescent="0.3">
      <c r="G7843" s="1"/>
      <c r="N7843" s="1"/>
    </row>
    <row r="7844" spans="7:14" x14ac:dyDescent="0.3">
      <c r="G7844" s="1"/>
      <c r="N7844" s="1"/>
    </row>
    <row r="7845" spans="7:14" x14ac:dyDescent="0.3">
      <c r="G7845" s="1"/>
      <c r="N7845" s="1"/>
    </row>
    <row r="7846" spans="7:14" x14ac:dyDescent="0.3">
      <c r="G7846" s="1"/>
      <c r="N7846" s="1"/>
    </row>
    <row r="7847" spans="7:14" x14ac:dyDescent="0.3">
      <c r="G7847" s="1"/>
      <c r="N7847" s="1"/>
    </row>
    <row r="7848" spans="7:14" x14ac:dyDescent="0.3">
      <c r="G7848" s="1"/>
      <c r="N7848" s="1"/>
    </row>
    <row r="7849" spans="7:14" x14ac:dyDescent="0.3">
      <c r="G7849" s="1"/>
      <c r="N7849" s="1"/>
    </row>
    <row r="7850" spans="7:14" x14ac:dyDescent="0.3">
      <c r="G7850" s="1"/>
      <c r="N7850" s="1"/>
    </row>
    <row r="7851" spans="7:14" x14ac:dyDescent="0.3">
      <c r="G7851" s="1"/>
      <c r="N7851" s="1"/>
    </row>
    <row r="7852" spans="7:14" x14ac:dyDescent="0.3">
      <c r="G7852" s="1"/>
      <c r="N7852" s="1"/>
    </row>
    <row r="7853" spans="7:14" x14ac:dyDescent="0.3">
      <c r="G7853" s="1"/>
      <c r="N7853" s="1"/>
    </row>
    <row r="7854" spans="7:14" x14ac:dyDescent="0.3">
      <c r="G7854" s="1"/>
      <c r="N7854" s="1"/>
    </row>
    <row r="7855" spans="7:14" x14ac:dyDescent="0.3">
      <c r="G7855" s="1"/>
      <c r="N7855" s="1"/>
    </row>
    <row r="7856" spans="7:14" x14ac:dyDescent="0.3">
      <c r="G7856" s="1"/>
      <c r="N7856" s="1"/>
    </row>
    <row r="7857" spans="7:14" x14ac:dyDescent="0.3">
      <c r="G7857" s="1"/>
      <c r="N7857" s="1"/>
    </row>
    <row r="7858" spans="7:14" x14ac:dyDescent="0.3">
      <c r="G7858" s="1"/>
      <c r="N7858" s="1"/>
    </row>
    <row r="7859" spans="7:14" x14ac:dyDescent="0.3">
      <c r="G7859" s="1"/>
      <c r="N7859" s="1"/>
    </row>
    <row r="7860" spans="7:14" x14ac:dyDescent="0.3">
      <c r="G7860" s="1"/>
      <c r="N7860" s="1"/>
    </row>
    <row r="7861" spans="7:14" x14ac:dyDescent="0.3">
      <c r="G7861" s="1"/>
      <c r="N7861" s="1"/>
    </row>
    <row r="7862" spans="7:14" x14ac:dyDescent="0.3">
      <c r="G7862" s="1"/>
      <c r="N7862" s="1"/>
    </row>
    <row r="7863" spans="7:14" x14ac:dyDescent="0.3">
      <c r="G7863" s="1"/>
      <c r="N7863" s="1"/>
    </row>
    <row r="7864" spans="7:14" x14ac:dyDescent="0.3">
      <c r="G7864" s="1"/>
      <c r="N7864" s="1"/>
    </row>
    <row r="7865" spans="7:14" x14ac:dyDescent="0.3">
      <c r="G7865" s="1"/>
      <c r="N7865" s="1"/>
    </row>
    <row r="7866" spans="7:14" x14ac:dyDescent="0.3">
      <c r="G7866" s="1"/>
      <c r="N7866" s="1"/>
    </row>
    <row r="7867" spans="7:14" x14ac:dyDescent="0.3">
      <c r="G7867" s="1"/>
      <c r="N7867" s="1"/>
    </row>
    <row r="7868" spans="7:14" x14ac:dyDescent="0.3">
      <c r="G7868" s="1"/>
      <c r="N7868" s="1"/>
    </row>
    <row r="7869" spans="7:14" x14ac:dyDescent="0.3">
      <c r="G7869" s="1"/>
      <c r="N7869" s="1"/>
    </row>
    <row r="7870" spans="7:14" x14ac:dyDescent="0.3">
      <c r="G7870" s="1"/>
      <c r="N7870" s="1"/>
    </row>
    <row r="7871" spans="7:14" x14ac:dyDescent="0.3">
      <c r="G7871" s="1"/>
      <c r="N7871" s="1"/>
    </row>
    <row r="7872" spans="7:14" x14ac:dyDescent="0.3">
      <c r="G7872" s="1"/>
      <c r="N7872" s="1"/>
    </row>
    <row r="7873" spans="7:14" x14ac:dyDescent="0.3">
      <c r="G7873" s="1"/>
      <c r="N7873" s="1"/>
    </row>
    <row r="7874" spans="7:14" x14ac:dyDescent="0.3">
      <c r="G7874" s="1"/>
      <c r="N7874" s="1"/>
    </row>
    <row r="7875" spans="7:14" x14ac:dyDescent="0.3">
      <c r="G7875" s="1"/>
      <c r="N7875" s="1"/>
    </row>
    <row r="7876" spans="7:14" x14ac:dyDescent="0.3">
      <c r="G7876" s="1"/>
      <c r="N7876" s="1"/>
    </row>
    <row r="7877" spans="7:14" x14ac:dyDescent="0.3">
      <c r="G7877" s="1"/>
      <c r="N7877" s="1"/>
    </row>
    <row r="7878" spans="7:14" x14ac:dyDescent="0.3">
      <c r="G7878" s="1"/>
      <c r="N7878" s="1"/>
    </row>
    <row r="7879" spans="7:14" x14ac:dyDescent="0.3">
      <c r="G7879" s="1"/>
      <c r="N7879" s="1"/>
    </row>
    <row r="7880" spans="7:14" x14ac:dyDescent="0.3">
      <c r="G7880" s="1"/>
      <c r="N7880" s="1"/>
    </row>
    <row r="7881" spans="7:14" x14ac:dyDescent="0.3">
      <c r="G7881" s="1"/>
      <c r="N7881" s="1"/>
    </row>
    <row r="7882" spans="7:14" x14ac:dyDescent="0.3">
      <c r="G7882" s="1"/>
      <c r="N7882" s="1"/>
    </row>
    <row r="7883" spans="7:14" x14ac:dyDescent="0.3">
      <c r="G7883" s="1"/>
      <c r="N7883" s="1"/>
    </row>
    <row r="7884" spans="7:14" x14ac:dyDescent="0.3">
      <c r="G7884" s="1"/>
      <c r="N7884" s="1"/>
    </row>
    <row r="7885" spans="7:14" x14ac:dyDescent="0.3">
      <c r="G7885" s="1"/>
      <c r="N7885" s="1"/>
    </row>
    <row r="7886" spans="7:14" x14ac:dyDescent="0.3">
      <c r="G7886" s="1"/>
      <c r="N7886" s="1"/>
    </row>
    <row r="7887" spans="7:14" x14ac:dyDescent="0.3">
      <c r="G7887" s="1"/>
      <c r="N7887" s="1"/>
    </row>
    <row r="7888" spans="7:14" x14ac:dyDescent="0.3">
      <c r="G7888" s="1"/>
      <c r="N7888" s="1"/>
    </row>
    <row r="7889" spans="7:14" x14ac:dyDescent="0.3">
      <c r="G7889" s="1"/>
      <c r="N7889" s="1"/>
    </row>
    <row r="7890" spans="7:14" x14ac:dyDescent="0.3">
      <c r="G7890" s="1"/>
      <c r="N7890" s="1"/>
    </row>
    <row r="7891" spans="7:14" x14ac:dyDescent="0.3">
      <c r="G7891" s="1"/>
      <c r="N7891" s="1"/>
    </row>
    <row r="7892" spans="7:14" x14ac:dyDescent="0.3">
      <c r="G7892" s="1"/>
      <c r="N7892" s="1"/>
    </row>
    <row r="7893" spans="7:14" x14ac:dyDescent="0.3">
      <c r="G7893" s="1"/>
      <c r="N7893" s="1"/>
    </row>
    <row r="7894" spans="7:14" x14ac:dyDescent="0.3">
      <c r="G7894" s="1"/>
      <c r="N7894" s="1"/>
    </row>
    <row r="7895" spans="7:14" x14ac:dyDescent="0.3">
      <c r="G7895" s="1"/>
      <c r="N7895" s="1"/>
    </row>
    <row r="7896" spans="7:14" x14ac:dyDescent="0.3">
      <c r="G7896" s="1"/>
      <c r="N7896" s="1"/>
    </row>
    <row r="7897" spans="7:14" x14ac:dyDescent="0.3">
      <c r="G7897" s="1"/>
      <c r="N7897" s="1"/>
    </row>
    <row r="7898" spans="7:14" x14ac:dyDescent="0.3">
      <c r="G7898" s="1"/>
      <c r="N7898" s="1"/>
    </row>
    <row r="7899" spans="7:14" x14ac:dyDescent="0.3">
      <c r="G7899" s="1"/>
      <c r="N7899" s="1"/>
    </row>
    <row r="7900" spans="7:14" x14ac:dyDescent="0.3">
      <c r="G7900" s="1"/>
      <c r="N7900" s="1"/>
    </row>
    <row r="7901" spans="7:14" x14ac:dyDescent="0.3">
      <c r="G7901" s="1"/>
      <c r="N7901" s="1"/>
    </row>
    <row r="7902" spans="7:14" x14ac:dyDescent="0.3">
      <c r="G7902" s="1"/>
      <c r="N7902" s="1"/>
    </row>
    <row r="7903" spans="7:14" x14ac:dyDescent="0.3">
      <c r="G7903" s="1"/>
      <c r="N7903" s="1"/>
    </row>
    <row r="7904" spans="7:14" x14ac:dyDescent="0.3">
      <c r="G7904" s="1"/>
      <c r="N7904" s="1"/>
    </row>
    <row r="7905" spans="7:14" x14ac:dyDescent="0.3">
      <c r="G7905" s="1"/>
      <c r="N7905" s="1"/>
    </row>
    <row r="7906" spans="7:14" x14ac:dyDescent="0.3">
      <c r="G7906" s="1"/>
      <c r="N7906" s="1"/>
    </row>
    <row r="7907" spans="7:14" x14ac:dyDescent="0.3">
      <c r="G7907" s="1"/>
      <c r="N7907" s="1"/>
    </row>
    <row r="7908" spans="7:14" x14ac:dyDescent="0.3">
      <c r="G7908" s="1"/>
      <c r="N7908" s="1"/>
    </row>
    <row r="7909" spans="7:14" x14ac:dyDescent="0.3">
      <c r="G7909" s="1"/>
      <c r="N7909" s="1"/>
    </row>
    <row r="7910" spans="7:14" x14ac:dyDescent="0.3">
      <c r="G7910" s="1"/>
      <c r="N7910" s="1"/>
    </row>
    <row r="7911" spans="7:14" x14ac:dyDescent="0.3">
      <c r="G7911" s="1"/>
      <c r="N7911" s="1"/>
    </row>
    <row r="7912" spans="7:14" x14ac:dyDescent="0.3">
      <c r="G7912" s="1"/>
      <c r="N7912" s="1"/>
    </row>
    <row r="7913" spans="7:14" x14ac:dyDescent="0.3">
      <c r="G7913" s="1"/>
      <c r="N7913" s="1"/>
    </row>
    <row r="7914" spans="7:14" x14ac:dyDescent="0.3">
      <c r="G7914" s="1"/>
      <c r="N7914" s="1"/>
    </row>
    <row r="7915" spans="7:14" x14ac:dyDescent="0.3">
      <c r="G7915" s="1"/>
      <c r="N7915" s="1"/>
    </row>
    <row r="7916" spans="7:14" x14ac:dyDescent="0.3">
      <c r="G7916" s="1"/>
      <c r="N7916" s="1"/>
    </row>
    <row r="7917" spans="7:14" x14ac:dyDescent="0.3">
      <c r="G7917" s="1"/>
      <c r="N7917" s="1"/>
    </row>
    <row r="7918" spans="7:14" x14ac:dyDescent="0.3">
      <c r="G7918" s="1"/>
      <c r="N7918" s="1"/>
    </row>
    <row r="7919" spans="7:14" x14ac:dyDescent="0.3">
      <c r="G7919" s="1"/>
      <c r="N7919" s="1"/>
    </row>
    <row r="7920" spans="7:14" x14ac:dyDescent="0.3">
      <c r="G7920" s="1"/>
      <c r="N7920" s="1"/>
    </row>
    <row r="7921" spans="7:14" x14ac:dyDescent="0.3">
      <c r="G7921" s="1"/>
      <c r="N7921" s="1"/>
    </row>
    <row r="7922" spans="7:14" x14ac:dyDescent="0.3">
      <c r="G7922" s="1"/>
      <c r="N7922" s="1"/>
    </row>
    <row r="7923" spans="7:14" x14ac:dyDescent="0.3">
      <c r="G7923" s="1"/>
      <c r="N7923" s="1"/>
    </row>
    <row r="7924" spans="7:14" x14ac:dyDescent="0.3">
      <c r="G7924" s="1"/>
      <c r="N7924" s="1"/>
    </row>
    <row r="7925" spans="7:14" x14ac:dyDescent="0.3">
      <c r="G7925" s="1"/>
      <c r="N7925" s="1"/>
    </row>
    <row r="7926" spans="7:14" x14ac:dyDescent="0.3">
      <c r="G7926" s="1"/>
      <c r="N7926" s="1"/>
    </row>
    <row r="7927" spans="7:14" x14ac:dyDescent="0.3">
      <c r="G7927" s="1"/>
      <c r="N7927" s="1"/>
    </row>
    <row r="7928" spans="7:14" x14ac:dyDescent="0.3">
      <c r="G7928" s="1"/>
      <c r="N7928" s="1"/>
    </row>
    <row r="7929" spans="7:14" x14ac:dyDescent="0.3">
      <c r="G7929" s="1"/>
      <c r="N7929" s="1"/>
    </row>
    <row r="7930" spans="7:14" x14ac:dyDescent="0.3">
      <c r="G7930" s="1"/>
      <c r="N7930" s="1"/>
    </row>
    <row r="7931" spans="7:14" x14ac:dyDescent="0.3">
      <c r="G7931" s="1"/>
      <c r="N7931" s="1"/>
    </row>
    <row r="7932" spans="7:14" x14ac:dyDescent="0.3">
      <c r="G7932" s="1"/>
      <c r="N7932" s="1"/>
    </row>
    <row r="7933" spans="7:14" x14ac:dyDescent="0.3">
      <c r="G7933" s="1"/>
      <c r="N7933" s="1"/>
    </row>
    <row r="7934" spans="7:14" x14ac:dyDescent="0.3">
      <c r="G7934" s="1"/>
      <c r="N7934" s="1"/>
    </row>
    <row r="7935" spans="7:14" x14ac:dyDescent="0.3">
      <c r="G7935" s="1"/>
      <c r="N7935" s="1"/>
    </row>
    <row r="7936" spans="7:14" x14ac:dyDescent="0.3">
      <c r="G7936" s="1"/>
      <c r="N7936" s="1"/>
    </row>
    <row r="7937" spans="7:14" x14ac:dyDescent="0.3">
      <c r="G7937" s="1"/>
      <c r="N7937" s="1"/>
    </row>
    <row r="7938" spans="7:14" x14ac:dyDescent="0.3">
      <c r="G7938" s="1"/>
      <c r="N7938" s="1"/>
    </row>
    <row r="7939" spans="7:14" x14ac:dyDescent="0.3">
      <c r="G7939" s="1"/>
      <c r="N7939" s="1"/>
    </row>
    <row r="7940" spans="7:14" x14ac:dyDescent="0.3">
      <c r="G7940" s="1"/>
      <c r="N7940" s="1"/>
    </row>
    <row r="7941" spans="7:14" x14ac:dyDescent="0.3">
      <c r="G7941" s="1"/>
      <c r="N7941" s="1"/>
    </row>
    <row r="7942" spans="7:14" x14ac:dyDescent="0.3">
      <c r="G7942" s="1"/>
      <c r="N7942" s="1"/>
    </row>
    <row r="7943" spans="7:14" x14ac:dyDescent="0.3">
      <c r="G7943" s="1"/>
      <c r="N7943" s="1"/>
    </row>
    <row r="7944" spans="7:14" x14ac:dyDescent="0.3">
      <c r="G7944" s="1"/>
      <c r="N7944" s="1"/>
    </row>
    <row r="7945" spans="7:14" x14ac:dyDescent="0.3">
      <c r="G7945" s="1"/>
      <c r="N7945" s="1"/>
    </row>
    <row r="7946" spans="7:14" x14ac:dyDescent="0.3">
      <c r="G7946" s="1"/>
      <c r="N7946" s="1"/>
    </row>
    <row r="7947" spans="7:14" x14ac:dyDescent="0.3">
      <c r="G7947" s="1"/>
      <c r="N7947" s="1"/>
    </row>
    <row r="7948" spans="7:14" x14ac:dyDescent="0.3">
      <c r="G7948" s="1"/>
      <c r="N7948" s="1"/>
    </row>
    <row r="7949" spans="7:14" x14ac:dyDescent="0.3">
      <c r="G7949" s="1"/>
      <c r="N7949" s="1"/>
    </row>
    <row r="7950" spans="7:14" x14ac:dyDescent="0.3">
      <c r="G7950" s="1"/>
      <c r="N7950" s="1"/>
    </row>
    <row r="7951" spans="7:14" x14ac:dyDescent="0.3">
      <c r="G7951" s="1"/>
      <c r="N7951" s="1"/>
    </row>
    <row r="7952" spans="7:14" x14ac:dyDescent="0.3">
      <c r="G7952" s="1"/>
      <c r="N7952" s="1"/>
    </row>
    <row r="7953" spans="7:14" x14ac:dyDescent="0.3">
      <c r="G7953" s="1"/>
      <c r="N7953" s="1"/>
    </row>
    <row r="7954" spans="7:14" x14ac:dyDescent="0.3">
      <c r="G7954" s="1"/>
      <c r="N7954" s="1"/>
    </row>
    <row r="7955" spans="7:14" x14ac:dyDescent="0.3">
      <c r="G7955" s="1"/>
      <c r="N7955" s="1"/>
    </row>
    <row r="7956" spans="7:14" x14ac:dyDescent="0.3">
      <c r="G7956" s="1"/>
      <c r="N7956" s="1"/>
    </row>
    <row r="7957" spans="7:14" x14ac:dyDescent="0.3">
      <c r="G7957" s="1"/>
      <c r="N7957" s="1"/>
    </row>
    <row r="7958" spans="7:14" x14ac:dyDescent="0.3">
      <c r="G7958" s="1"/>
      <c r="N7958" s="1"/>
    </row>
    <row r="7959" spans="7:14" x14ac:dyDescent="0.3">
      <c r="G7959" s="1"/>
      <c r="N7959" s="1"/>
    </row>
    <row r="7960" spans="7:14" x14ac:dyDescent="0.3">
      <c r="G7960" s="1"/>
      <c r="N7960" s="1"/>
    </row>
    <row r="7961" spans="7:14" x14ac:dyDescent="0.3">
      <c r="G7961" s="1"/>
      <c r="N7961" s="1"/>
    </row>
    <row r="7962" spans="7:14" x14ac:dyDescent="0.3">
      <c r="G7962" s="1"/>
      <c r="N7962" s="1"/>
    </row>
    <row r="7963" spans="7:14" x14ac:dyDescent="0.3">
      <c r="G7963" s="1"/>
      <c r="N7963" s="1"/>
    </row>
    <row r="7964" spans="7:14" x14ac:dyDescent="0.3">
      <c r="G7964" s="1"/>
      <c r="N7964" s="1"/>
    </row>
    <row r="7965" spans="7:14" x14ac:dyDescent="0.3">
      <c r="G7965" s="1"/>
      <c r="N7965" s="1"/>
    </row>
    <row r="7966" spans="7:14" x14ac:dyDescent="0.3">
      <c r="G7966" s="1"/>
      <c r="N7966" s="1"/>
    </row>
    <row r="7967" spans="7:14" x14ac:dyDescent="0.3">
      <c r="G7967" s="1"/>
      <c r="N7967" s="1"/>
    </row>
    <row r="7968" spans="7:14" x14ac:dyDescent="0.3">
      <c r="G7968" s="1"/>
      <c r="N7968" s="1"/>
    </row>
    <row r="7969" spans="7:14" x14ac:dyDescent="0.3">
      <c r="G7969" s="1"/>
      <c r="N7969" s="1"/>
    </row>
    <row r="7970" spans="7:14" x14ac:dyDescent="0.3">
      <c r="G7970" s="1"/>
      <c r="N7970" s="1"/>
    </row>
    <row r="7971" spans="7:14" x14ac:dyDescent="0.3">
      <c r="G7971" s="1"/>
      <c r="N7971" s="1"/>
    </row>
    <row r="7972" spans="7:14" x14ac:dyDescent="0.3">
      <c r="G7972" s="1"/>
      <c r="N7972" s="1"/>
    </row>
    <row r="7973" spans="7:14" x14ac:dyDescent="0.3">
      <c r="G7973" s="1"/>
      <c r="N7973" s="1"/>
    </row>
    <row r="7974" spans="7:14" x14ac:dyDescent="0.3">
      <c r="G7974" s="1"/>
      <c r="N7974" s="1"/>
    </row>
    <row r="7975" spans="7:14" x14ac:dyDescent="0.3">
      <c r="G7975" s="1"/>
      <c r="N7975" s="1"/>
    </row>
    <row r="7976" spans="7:14" x14ac:dyDescent="0.3">
      <c r="G7976" s="1"/>
      <c r="N7976" s="1"/>
    </row>
    <row r="7977" spans="7:14" x14ac:dyDescent="0.3">
      <c r="G7977" s="1"/>
      <c r="N7977" s="1"/>
    </row>
    <row r="7978" spans="7:14" x14ac:dyDescent="0.3">
      <c r="G7978" s="1"/>
      <c r="N7978" s="1"/>
    </row>
    <row r="7979" spans="7:14" x14ac:dyDescent="0.3">
      <c r="G7979" s="1"/>
      <c r="N7979" s="1"/>
    </row>
    <row r="7980" spans="7:14" x14ac:dyDescent="0.3">
      <c r="G7980" s="1"/>
      <c r="N7980" s="1"/>
    </row>
    <row r="7981" spans="7:14" x14ac:dyDescent="0.3">
      <c r="G7981" s="1"/>
      <c r="N7981" s="1"/>
    </row>
    <row r="7982" spans="7:14" x14ac:dyDescent="0.3">
      <c r="G7982" s="1"/>
      <c r="N7982" s="1"/>
    </row>
    <row r="7983" spans="7:14" x14ac:dyDescent="0.3">
      <c r="G7983" s="1"/>
      <c r="N7983" s="1"/>
    </row>
    <row r="7984" spans="7:14" x14ac:dyDescent="0.3">
      <c r="G7984" s="1"/>
      <c r="N7984" s="1"/>
    </row>
    <row r="7985" spans="7:14" x14ac:dyDescent="0.3">
      <c r="G7985" s="1"/>
      <c r="N7985" s="1"/>
    </row>
    <row r="7986" spans="7:14" x14ac:dyDescent="0.3">
      <c r="G7986" s="1"/>
      <c r="N7986" s="1"/>
    </row>
    <row r="7987" spans="7:14" x14ac:dyDescent="0.3">
      <c r="G7987" s="1"/>
      <c r="N7987" s="1"/>
    </row>
    <row r="7988" spans="7:14" x14ac:dyDescent="0.3">
      <c r="G7988" s="1"/>
      <c r="N7988" s="1"/>
    </row>
    <row r="7989" spans="7:14" x14ac:dyDescent="0.3">
      <c r="G7989" s="1"/>
      <c r="N7989" s="1"/>
    </row>
    <row r="7990" spans="7:14" x14ac:dyDescent="0.3">
      <c r="G7990" s="1"/>
      <c r="N7990" s="1"/>
    </row>
    <row r="7991" spans="7:14" x14ac:dyDescent="0.3">
      <c r="G7991" s="1"/>
      <c r="N7991" s="1"/>
    </row>
    <row r="7992" spans="7:14" x14ac:dyDescent="0.3">
      <c r="G7992" s="1"/>
      <c r="N7992" s="1"/>
    </row>
    <row r="7993" spans="7:14" x14ac:dyDescent="0.3">
      <c r="G7993" s="1"/>
      <c r="N7993" s="1"/>
    </row>
    <row r="7994" spans="7:14" x14ac:dyDescent="0.3">
      <c r="G7994" s="1"/>
      <c r="N7994" s="1"/>
    </row>
    <row r="7995" spans="7:14" x14ac:dyDescent="0.3">
      <c r="G7995" s="1"/>
      <c r="N7995" s="1"/>
    </row>
    <row r="7996" spans="7:14" x14ac:dyDescent="0.3">
      <c r="G7996" s="1"/>
      <c r="N7996" s="1"/>
    </row>
    <row r="7997" spans="7:14" x14ac:dyDescent="0.3">
      <c r="G7997" s="1"/>
      <c r="N7997" s="1"/>
    </row>
    <row r="7998" spans="7:14" x14ac:dyDescent="0.3">
      <c r="G7998" s="1"/>
      <c r="N7998" s="1"/>
    </row>
    <row r="7999" spans="7:14" x14ac:dyDescent="0.3">
      <c r="G7999" s="1"/>
      <c r="N7999" s="1"/>
    </row>
    <row r="8000" spans="7:14" x14ac:dyDescent="0.3">
      <c r="G8000" s="1"/>
      <c r="N8000" s="1"/>
    </row>
    <row r="8001" spans="7:14" x14ac:dyDescent="0.3">
      <c r="G8001" s="1"/>
      <c r="N8001" s="1"/>
    </row>
    <row r="8002" spans="7:14" x14ac:dyDescent="0.3">
      <c r="G8002" s="1"/>
      <c r="N8002" s="1"/>
    </row>
    <row r="8003" spans="7:14" x14ac:dyDescent="0.3">
      <c r="G8003" s="1"/>
      <c r="N8003" s="1"/>
    </row>
    <row r="8004" spans="7:14" x14ac:dyDescent="0.3">
      <c r="G8004" s="1"/>
      <c r="N8004" s="1"/>
    </row>
    <row r="8005" spans="7:14" x14ac:dyDescent="0.3">
      <c r="G8005" s="1"/>
      <c r="N8005" s="1"/>
    </row>
    <row r="8006" spans="7:14" x14ac:dyDescent="0.3">
      <c r="G8006" s="1"/>
      <c r="N8006" s="1"/>
    </row>
    <row r="8007" spans="7:14" x14ac:dyDescent="0.3">
      <c r="G8007" s="1"/>
      <c r="N8007" s="1"/>
    </row>
    <row r="8008" spans="7:14" x14ac:dyDescent="0.3">
      <c r="G8008" s="1"/>
      <c r="N8008" s="1"/>
    </row>
    <row r="8009" spans="7:14" x14ac:dyDescent="0.3">
      <c r="G8009" s="1"/>
      <c r="N8009" s="1"/>
    </row>
    <row r="8010" spans="7:14" x14ac:dyDescent="0.3">
      <c r="G8010" s="1"/>
      <c r="N8010" s="1"/>
    </row>
    <row r="8011" spans="7:14" x14ac:dyDescent="0.3">
      <c r="G8011" s="1"/>
      <c r="N8011" s="1"/>
    </row>
    <row r="8012" spans="7:14" x14ac:dyDescent="0.3">
      <c r="G8012" s="1"/>
      <c r="N8012" s="1"/>
    </row>
    <row r="8013" spans="7:14" x14ac:dyDescent="0.3">
      <c r="G8013" s="1"/>
      <c r="N8013" s="1"/>
    </row>
    <row r="8014" spans="7:14" x14ac:dyDescent="0.3">
      <c r="G8014" s="1"/>
      <c r="N8014" s="1"/>
    </row>
    <row r="8015" spans="7:14" x14ac:dyDescent="0.3">
      <c r="G8015" s="1"/>
      <c r="N8015" s="1"/>
    </row>
    <row r="8016" spans="7:14" x14ac:dyDescent="0.3">
      <c r="G8016" s="1"/>
      <c r="N8016" s="1"/>
    </row>
    <row r="8017" spans="7:14" x14ac:dyDescent="0.3">
      <c r="G8017" s="1"/>
      <c r="N8017" s="1"/>
    </row>
    <row r="8018" spans="7:14" x14ac:dyDescent="0.3">
      <c r="G8018" s="1"/>
      <c r="N8018" s="1"/>
    </row>
    <row r="8019" spans="7:14" x14ac:dyDescent="0.3">
      <c r="G8019" s="1"/>
      <c r="N8019" s="1"/>
    </row>
    <row r="8020" spans="7:14" x14ac:dyDescent="0.3">
      <c r="G8020" s="1"/>
      <c r="N8020" s="1"/>
    </row>
    <row r="8021" spans="7:14" x14ac:dyDescent="0.3">
      <c r="G8021" s="1"/>
      <c r="N8021" s="1"/>
    </row>
    <row r="8022" spans="7:14" x14ac:dyDescent="0.3">
      <c r="G8022" s="1"/>
      <c r="N8022" s="1"/>
    </row>
    <row r="8023" spans="7:14" x14ac:dyDescent="0.3">
      <c r="G8023" s="1"/>
      <c r="N8023" s="1"/>
    </row>
    <row r="8024" spans="7:14" x14ac:dyDescent="0.3">
      <c r="G8024" s="1"/>
      <c r="N8024" s="1"/>
    </row>
    <row r="8025" spans="7:14" x14ac:dyDescent="0.3">
      <c r="G8025" s="1"/>
      <c r="N8025" s="1"/>
    </row>
    <row r="8026" spans="7:14" x14ac:dyDescent="0.3">
      <c r="G8026" s="1"/>
      <c r="N8026" s="1"/>
    </row>
    <row r="8027" spans="7:14" x14ac:dyDescent="0.3">
      <c r="G8027" s="1"/>
      <c r="N8027" s="1"/>
    </row>
    <row r="8028" spans="7:14" x14ac:dyDescent="0.3">
      <c r="G8028" s="1"/>
      <c r="N8028" s="1"/>
    </row>
    <row r="8029" spans="7:14" x14ac:dyDescent="0.3">
      <c r="G8029" s="1"/>
      <c r="N8029" s="1"/>
    </row>
    <row r="8030" spans="7:14" x14ac:dyDescent="0.3">
      <c r="G8030" s="1"/>
      <c r="N8030" s="1"/>
    </row>
    <row r="8031" spans="7:14" x14ac:dyDescent="0.3">
      <c r="G8031" s="1"/>
      <c r="N8031" s="1"/>
    </row>
    <row r="8032" spans="7:14" x14ac:dyDescent="0.3">
      <c r="G8032" s="1"/>
      <c r="N8032" s="1"/>
    </row>
    <row r="8033" spans="7:14" x14ac:dyDescent="0.3">
      <c r="G8033" s="1"/>
      <c r="N8033" s="1"/>
    </row>
    <row r="8034" spans="7:14" x14ac:dyDescent="0.3">
      <c r="G8034" s="1"/>
      <c r="N8034" s="1"/>
    </row>
    <row r="8035" spans="7:14" x14ac:dyDescent="0.3">
      <c r="G8035" s="1"/>
      <c r="N8035" s="1"/>
    </row>
    <row r="8036" spans="7:14" x14ac:dyDescent="0.3">
      <c r="G8036" s="1"/>
      <c r="N8036" s="1"/>
    </row>
    <row r="8037" spans="7:14" x14ac:dyDescent="0.3">
      <c r="G8037" s="1"/>
      <c r="N8037" s="1"/>
    </row>
    <row r="8038" spans="7:14" x14ac:dyDescent="0.3">
      <c r="G8038" s="1"/>
      <c r="N8038" s="1"/>
    </row>
    <row r="8039" spans="7:14" x14ac:dyDescent="0.3">
      <c r="G8039" s="1"/>
      <c r="N8039" s="1"/>
    </row>
    <row r="8040" spans="7:14" x14ac:dyDescent="0.3">
      <c r="G8040" s="1"/>
      <c r="N8040" s="1"/>
    </row>
    <row r="8041" spans="7:14" x14ac:dyDescent="0.3">
      <c r="G8041" s="1"/>
      <c r="N8041" s="1"/>
    </row>
    <row r="8042" spans="7:14" x14ac:dyDescent="0.3">
      <c r="G8042" s="1"/>
      <c r="N8042" s="1"/>
    </row>
    <row r="8043" spans="7:14" x14ac:dyDescent="0.3">
      <c r="G8043" s="1"/>
      <c r="N8043" s="1"/>
    </row>
    <row r="8044" spans="7:14" x14ac:dyDescent="0.3">
      <c r="G8044" s="1"/>
      <c r="N8044" s="1"/>
    </row>
    <row r="8045" spans="7:14" x14ac:dyDescent="0.3">
      <c r="G8045" s="1"/>
      <c r="N8045" s="1"/>
    </row>
    <row r="8046" spans="7:14" x14ac:dyDescent="0.3">
      <c r="G8046" s="1"/>
      <c r="N8046" s="1"/>
    </row>
    <row r="8047" spans="7:14" x14ac:dyDescent="0.3">
      <c r="G8047" s="1"/>
      <c r="N8047" s="1"/>
    </row>
    <row r="8048" spans="7:14" x14ac:dyDescent="0.3">
      <c r="G8048" s="1"/>
      <c r="N8048" s="1"/>
    </row>
    <row r="8049" spans="7:14" x14ac:dyDescent="0.3">
      <c r="G8049" s="1"/>
      <c r="N8049" s="1"/>
    </row>
    <row r="8050" spans="7:14" x14ac:dyDescent="0.3">
      <c r="G8050" s="1"/>
      <c r="N8050" s="1"/>
    </row>
    <row r="8051" spans="7:14" x14ac:dyDescent="0.3">
      <c r="G8051" s="1"/>
      <c r="N8051" s="1"/>
    </row>
    <row r="8052" spans="7:14" x14ac:dyDescent="0.3">
      <c r="G8052" s="1"/>
      <c r="N8052" s="1"/>
    </row>
    <row r="8053" spans="7:14" x14ac:dyDescent="0.3">
      <c r="G8053" s="1"/>
      <c r="N8053" s="1"/>
    </row>
    <row r="8054" spans="7:14" x14ac:dyDescent="0.3">
      <c r="G8054" s="1"/>
      <c r="N8054" s="1"/>
    </row>
    <row r="8055" spans="7:14" x14ac:dyDescent="0.3">
      <c r="G8055" s="1"/>
      <c r="N8055" s="1"/>
    </row>
    <row r="8056" spans="7:14" x14ac:dyDescent="0.3">
      <c r="G8056" s="1"/>
      <c r="N8056" s="1"/>
    </row>
    <row r="8057" spans="7:14" x14ac:dyDescent="0.3">
      <c r="G8057" s="1"/>
      <c r="N8057" s="1"/>
    </row>
    <row r="8058" spans="7:14" x14ac:dyDescent="0.3">
      <c r="G8058" s="1"/>
      <c r="N8058" s="1"/>
    </row>
    <row r="8059" spans="7:14" x14ac:dyDescent="0.3">
      <c r="G8059" s="1"/>
      <c r="N8059" s="1"/>
    </row>
    <row r="8060" spans="7:14" x14ac:dyDescent="0.3">
      <c r="G8060" s="1"/>
      <c r="N8060" s="1"/>
    </row>
    <row r="8061" spans="7:14" x14ac:dyDescent="0.3">
      <c r="G8061" s="1"/>
      <c r="N8061" s="1"/>
    </row>
    <row r="8062" spans="7:14" x14ac:dyDescent="0.3">
      <c r="G8062" s="1"/>
      <c r="N8062" s="1"/>
    </row>
    <row r="8063" spans="7:14" x14ac:dyDescent="0.3">
      <c r="G8063" s="1"/>
      <c r="N8063" s="1"/>
    </row>
    <row r="8064" spans="7:14" x14ac:dyDescent="0.3">
      <c r="G8064" s="1"/>
      <c r="N8064" s="1"/>
    </row>
    <row r="8065" spans="7:14" x14ac:dyDescent="0.3">
      <c r="G8065" s="1"/>
      <c r="N8065" s="1"/>
    </row>
    <row r="8066" spans="7:14" x14ac:dyDescent="0.3">
      <c r="G8066" s="1"/>
      <c r="N8066" s="1"/>
    </row>
    <row r="8067" spans="7:14" x14ac:dyDescent="0.3">
      <c r="G8067" s="1"/>
      <c r="N8067" s="1"/>
    </row>
    <row r="8068" spans="7:14" x14ac:dyDescent="0.3">
      <c r="G8068" s="1"/>
      <c r="N8068" s="1"/>
    </row>
    <row r="8069" spans="7:14" x14ac:dyDescent="0.3">
      <c r="G8069" s="1"/>
      <c r="N8069" s="1"/>
    </row>
    <row r="8070" spans="7:14" x14ac:dyDescent="0.3">
      <c r="G8070" s="1"/>
      <c r="N8070" s="1"/>
    </row>
    <row r="8071" spans="7:14" x14ac:dyDescent="0.3">
      <c r="G8071" s="1"/>
      <c r="N8071" s="1"/>
    </row>
    <row r="8072" spans="7:14" x14ac:dyDescent="0.3">
      <c r="G8072" s="1"/>
      <c r="N8072" s="1"/>
    </row>
    <row r="8073" spans="7:14" x14ac:dyDescent="0.3">
      <c r="G8073" s="1"/>
      <c r="N8073" s="1"/>
    </row>
    <row r="8074" spans="7:14" x14ac:dyDescent="0.3">
      <c r="G8074" s="1"/>
      <c r="N8074" s="1"/>
    </row>
    <row r="8075" spans="7:14" x14ac:dyDescent="0.3">
      <c r="G8075" s="1"/>
      <c r="N8075" s="1"/>
    </row>
    <row r="8076" spans="7:14" x14ac:dyDescent="0.3">
      <c r="G8076" s="1"/>
      <c r="N8076" s="1"/>
    </row>
    <row r="8077" spans="7:14" x14ac:dyDescent="0.3">
      <c r="G8077" s="1"/>
      <c r="N8077" s="1"/>
    </row>
    <row r="8078" spans="7:14" x14ac:dyDescent="0.3">
      <c r="G8078" s="1"/>
      <c r="N8078" s="1"/>
    </row>
    <row r="8079" spans="7:14" x14ac:dyDescent="0.3">
      <c r="G8079" s="1"/>
      <c r="N8079" s="1"/>
    </row>
    <row r="8080" spans="7:14" x14ac:dyDescent="0.3">
      <c r="G8080" s="1"/>
      <c r="N8080" s="1"/>
    </row>
    <row r="8081" spans="7:14" x14ac:dyDescent="0.3">
      <c r="G8081" s="1"/>
      <c r="N8081" s="1"/>
    </row>
    <row r="8082" spans="7:14" x14ac:dyDescent="0.3">
      <c r="G8082" s="1"/>
      <c r="N8082" s="1"/>
    </row>
    <row r="8083" spans="7:14" x14ac:dyDescent="0.3">
      <c r="G8083" s="1"/>
      <c r="N8083" s="1"/>
    </row>
    <row r="8084" spans="7:14" x14ac:dyDescent="0.3">
      <c r="G8084" s="1"/>
      <c r="N8084" s="1"/>
    </row>
    <row r="8085" spans="7:14" x14ac:dyDescent="0.3">
      <c r="G8085" s="1"/>
      <c r="N8085" s="1"/>
    </row>
    <row r="8086" spans="7:14" x14ac:dyDescent="0.3">
      <c r="G8086" s="1"/>
      <c r="N8086" s="1"/>
    </row>
    <row r="8087" spans="7:14" x14ac:dyDescent="0.3">
      <c r="G8087" s="1"/>
      <c r="N8087" s="1"/>
    </row>
    <row r="8088" spans="7:14" x14ac:dyDescent="0.3">
      <c r="G8088" s="1"/>
      <c r="N8088" s="1"/>
    </row>
    <row r="8089" spans="7:14" x14ac:dyDescent="0.3">
      <c r="G8089" s="1"/>
      <c r="N8089" s="1"/>
    </row>
    <row r="8090" spans="7:14" x14ac:dyDescent="0.3">
      <c r="G8090" s="1"/>
      <c r="N8090" s="1"/>
    </row>
    <row r="8091" spans="7:14" x14ac:dyDescent="0.3">
      <c r="G8091" s="1"/>
      <c r="N8091" s="1"/>
    </row>
    <row r="8092" spans="7:14" x14ac:dyDescent="0.3">
      <c r="G8092" s="1"/>
      <c r="N8092" s="1"/>
    </row>
    <row r="8093" spans="7:14" x14ac:dyDescent="0.3">
      <c r="G8093" s="1"/>
      <c r="N8093" s="1"/>
    </row>
    <row r="8094" spans="7:14" x14ac:dyDescent="0.3">
      <c r="G8094" s="1"/>
      <c r="N8094" s="1"/>
    </row>
    <row r="8095" spans="7:14" x14ac:dyDescent="0.3">
      <c r="G8095" s="1"/>
      <c r="N8095" s="1"/>
    </row>
    <row r="8096" spans="7:14" x14ac:dyDescent="0.3">
      <c r="G8096" s="1"/>
      <c r="N8096" s="1"/>
    </row>
    <row r="8097" spans="7:14" x14ac:dyDescent="0.3">
      <c r="G8097" s="1"/>
      <c r="N8097" s="1"/>
    </row>
    <row r="8098" spans="7:14" x14ac:dyDescent="0.3">
      <c r="G8098" s="1"/>
      <c r="N8098" s="1"/>
    </row>
    <row r="8099" spans="7:14" x14ac:dyDescent="0.3">
      <c r="G8099" s="1"/>
      <c r="N8099" s="1"/>
    </row>
    <row r="8100" spans="7:14" x14ac:dyDescent="0.3">
      <c r="G8100" s="1"/>
      <c r="N8100" s="1"/>
    </row>
    <row r="8101" spans="7:14" x14ac:dyDescent="0.3">
      <c r="G8101" s="1"/>
      <c r="N8101" s="1"/>
    </row>
    <row r="8102" spans="7:14" x14ac:dyDescent="0.3">
      <c r="G8102" s="1"/>
      <c r="N8102" s="1"/>
    </row>
    <row r="8103" spans="7:14" x14ac:dyDescent="0.3">
      <c r="G8103" s="1"/>
      <c r="N8103" s="1"/>
    </row>
    <row r="8104" spans="7:14" x14ac:dyDescent="0.3">
      <c r="G8104" s="1"/>
      <c r="N8104" s="1"/>
    </row>
    <row r="8105" spans="7:14" x14ac:dyDescent="0.3">
      <c r="G8105" s="1"/>
      <c r="N8105" s="1"/>
    </row>
    <row r="8106" spans="7:14" x14ac:dyDescent="0.3">
      <c r="G8106" s="1"/>
      <c r="N8106" s="1"/>
    </row>
    <row r="8107" spans="7:14" x14ac:dyDescent="0.3">
      <c r="G8107" s="1"/>
      <c r="N8107" s="1"/>
    </row>
    <row r="8108" spans="7:14" x14ac:dyDescent="0.3">
      <c r="G8108" s="1"/>
      <c r="N8108" s="1"/>
    </row>
    <row r="8109" spans="7:14" x14ac:dyDescent="0.3">
      <c r="G8109" s="1"/>
      <c r="N8109" s="1"/>
    </row>
    <row r="8110" spans="7:14" x14ac:dyDescent="0.3">
      <c r="G8110" s="1"/>
      <c r="N8110" s="1"/>
    </row>
    <row r="8111" spans="7:14" x14ac:dyDescent="0.3">
      <c r="G8111" s="1"/>
      <c r="N8111" s="1"/>
    </row>
    <row r="8112" spans="7:14" x14ac:dyDescent="0.3">
      <c r="G8112" s="1"/>
      <c r="N8112" s="1"/>
    </row>
    <row r="8113" spans="7:14" x14ac:dyDescent="0.3">
      <c r="G8113" s="1"/>
      <c r="N8113" s="1"/>
    </row>
    <row r="8114" spans="7:14" x14ac:dyDescent="0.3">
      <c r="G8114" s="1"/>
      <c r="N8114" s="1"/>
    </row>
    <row r="8115" spans="7:14" x14ac:dyDescent="0.3">
      <c r="G8115" s="1"/>
      <c r="N8115" s="1"/>
    </row>
    <row r="8116" spans="7:14" x14ac:dyDescent="0.3">
      <c r="G8116" s="1"/>
      <c r="N8116" s="1"/>
    </row>
    <row r="8117" spans="7:14" x14ac:dyDescent="0.3">
      <c r="G8117" s="1"/>
      <c r="N8117" s="1"/>
    </row>
    <row r="8118" spans="7:14" x14ac:dyDescent="0.3">
      <c r="G8118" s="1"/>
      <c r="N8118" s="1"/>
    </row>
    <row r="8119" spans="7:14" x14ac:dyDescent="0.3">
      <c r="G8119" s="1"/>
      <c r="N8119" s="1"/>
    </row>
    <row r="8120" spans="7:14" x14ac:dyDescent="0.3">
      <c r="G8120" s="1"/>
      <c r="N8120" s="1"/>
    </row>
    <row r="8121" spans="7:14" x14ac:dyDescent="0.3">
      <c r="G8121" s="1"/>
      <c r="N8121" s="1"/>
    </row>
    <row r="8122" spans="7:14" x14ac:dyDescent="0.3">
      <c r="G8122" s="1"/>
      <c r="N8122" s="1"/>
    </row>
    <row r="8123" spans="7:14" x14ac:dyDescent="0.3">
      <c r="G8123" s="1"/>
      <c r="N8123" s="1"/>
    </row>
    <row r="8124" spans="7:14" x14ac:dyDescent="0.3">
      <c r="G8124" s="1"/>
      <c r="N8124" s="1"/>
    </row>
    <row r="8125" spans="7:14" x14ac:dyDescent="0.3">
      <c r="G8125" s="1"/>
      <c r="N8125" s="1"/>
    </row>
    <row r="8126" spans="7:14" x14ac:dyDescent="0.3">
      <c r="G8126" s="1"/>
      <c r="N8126" s="1"/>
    </row>
    <row r="8127" spans="7:14" x14ac:dyDescent="0.3">
      <c r="G8127" s="1"/>
      <c r="N8127" s="1"/>
    </row>
    <row r="8128" spans="7:14" x14ac:dyDescent="0.3">
      <c r="G8128" s="1"/>
      <c r="N8128" s="1"/>
    </row>
    <row r="8129" spans="7:14" x14ac:dyDescent="0.3">
      <c r="G8129" s="1"/>
      <c r="N8129" s="1"/>
    </row>
    <row r="8130" spans="7:14" x14ac:dyDescent="0.3">
      <c r="G8130" s="1"/>
      <c r="N8130" s="1"/>
    </row>
    <row r="8131" spans="7:14" x14ac:dyDescent="0.3">
      <c r="G8131" s="1"/>
      <c r="N8131" s="1"/>
    </row>
    <row r="8132" spans="7:14" x14ac:dyDescent="0.3">
      <c r="G8132" s="1"/>
      <c r="N8132" s="1"/>
    </row>
    <row r="8133" spans="7:14" x14ac:dyDescent="0.3">
      <c r="G8133" s="1"/>
      <c r="N8133" s="1"/>
    </row>
    <row r="8134" spans="7:14" x14ac:dyDescent="0.3">
      <c r="G8134" s="1"/>
      <c r="N8134" s="1"/>
    </row>
    <row r="8135" spans="7:14" x14ac:dyDescent="0.3">
      <c r="G8135" s="1"/>
      <c r="N8135" s="1"/>
    </row>
    <row r="8136" spans="7:14" x14ac:dyDescent="0.3">
      <c r="G8136" s="1"/>
      <c r="N8136" s="1"/>
    </row>
    <row r="8137" spans="7:14" x14ac:dyDescent="0.3">
      <c r="G8137" s="1"/>
      <c r="N8137" s="1"/>
    </row>
    <row r="8138" spans="7:14" x14ac:dyDescent="0.3">
      <c r="G8138" s="1"/>
      <c r="N8138" s="1"/>
    </row>
    <row r="8139" spans="7:14" x14ac:dyDescent="0.3">
      <c r="G8139" s="1"/>
      <c r="N8139" s="1"/>
    </row>
    <row r="8140" spans="7:14" x14ac:dyDescent="0.3">
      <c r="G8140" s="1"/>
      <c r="N8140" s="1"/>
    </row>
    <row r="8141" spans="7:14" x14ac:dyDescent="0.3">
      <c r="G8141" s="1"/>
      <c r="N8141" s="1"/>
    </row>
    <row r="8142" spans="7:14" x14ac:dyDescent="0.3">
      <c r="G8142" s="1"/>
      <c r="N8142" s="1"/>
    </row>
    <row r="8143" spans="7:14" x14ac:dyDescent="0.3">
      <c r="G8143" s="1"/>
      <c r="N8143" s="1"/>
    </row>
    <row r="8144" spans="7:14" x14ac:dyDescent="0.3">
      <c r="G8144" s="1"/>
      <c r="N8144" s="1"/>
    </row>
    <row r="8145" spans="7:14" x14ac:dyDescent="0.3">
      <c r="G8145" s="1"/>
      <c r="N8145" s="1"/>
    </row>
    <row r="8146" spans="7:14" x14ac:dyDescent="0.3">
      <c r="G8146" s="1"/>
      <c r="N8146" s="1"/>
    </row>
    <row r="8147" spans="7:14" x14ac:dyDescent="0.3">
      <c r="G8147" s="1"/>
      <c r="N8147" s="1"/>
    </row>
    <row r="8148" spans="7:14" x14ac:dyDescent="0.3">
      <c r="G8148" s="1"/>
      <c r="N8148" s="1"/>
    </row>
    <row r="8149" spans="7:14" x14ac:dyDescent="0.3">
      <c r="G8149" s="1"/>
      <c r="N8149" s="1"/>
    </row>
    <row r="8150" spans="7:14" x14ac:dyDescent="0.3">
      <c r="G8150" s="1"/>
      <c r="N8150" s="1"/>
    </row>
    <row r="8151" spans="7:14" x14ac:dyDescent="0.3">
      <c r="G8151" s="1"/>
      <c r="N8151" s="1"/>
    </row>
    <row r="8152" spans="7:14" x14ac:dyDescent="0.3">
      <c r="G8152" s="1"/>
      <c r="N8152" s="1"/>
    </row>
    <row r="8153" spans="7:14" x14ac:dyDescent="0.3">
      <c r="G8153" s="1"/>
      <c r="N8153" s="1"/>
    </row>
    <row r="8154" spans="7:14" x14ac:dyDescent="0.3">
      <c r="G8154" s="1"/>
      <c r="N8154" s="1"/>
    </row>
    <row r="8155" spans="7:14" x14ac:dyDescent="0.3">
      <c r="G8155" s="1"/>
      <c r="N8155" s="1"/>
    </row>
    <row r="8156" spans="7:14" x14ac:dyDescent="0.3">
      <c r="G8156" s="1"/>
      <c r="N8156" s="1"/>
    </row>
    <row r="8157" spans="7:14" x14ac:dyDescent="0.3">
      <c r="G8157" s="1"/>
      <c r="N8157" s="1"/>
    </row>
    <row r="8158" spans="7:14" x14ac:dyDescent="0.3">
      <c r="G8158" s="1"/>
      <c r="N8158" s="1"/>
    </row>
    <row r="8159" spans="7:14" x14ac:dyDescent="0.3">
      <c r="G8159" s="1"/>
      <c r="N8159" s="1"/>
    </row>
    <row r="8160" spans="7:14" x14ac:dyDescent="0.3">
      <c r="G8160" s="1"/>
      <c r="N8160" s="1"/>
    </row>
    <row r="8161" spans="7:14" x14ac:dyDescent="0.3">
      <c r="G8161" s="1"/>
      <c r="N8161" s="1"/>
    </row>
    <row r="8162" spans="7:14" x14ac:dyDescent="0.3">
      <c r="G8162" s="1"/>
      <c r="N8162" s="1"/>
    </row>
    <row r="8163" spans="7:14" x14ac:dyDescent="0.3">
      <c r="G8163" s="1"/>
      <c r="N8163" s="1"/>
    </row>
    <row r="8164" spans="7:14" x14ac:dyDescent="0.3">
      <c r="G8164" s="1"/>
      <c r="N8164" s="1"/>
    </row>
    <row r="8165" spans="7:14" x14ac:dyDescent="0.3">
      <c r="G8165" s="1"/>
      <c r="N8165" s="1"/>
    </row>
    <row r="8166" spans="7:14" x14ac:dyDescent="0.3">
      <c r="G8166" s="1"/>
      <c r="N8166" s="1"/>
    </row>
    <row r="8167" spans="7:14" x14ac:dyDescent="0.3">
      <c r="G8167" s="1"/>
      <c r="N8167" s="1"/>
    </row>
    <row r="8168" spans="7:14" x14ac:dyDescent="0.3">
      <c r="G8168" s="1"/>
      <c r="N8168" s="1"/>
    </row>
    <row r="8169" spans="7:14" x14ac:dyDescent="0.3">
      <c r="G8169" s="1"/>
      <c r="N8169" s="1"/>
    </row>
    <row r="8170" spans="7:14" x14ac:dyDescent="0.3">
      <c r="G8170" s="1"/>
      <c r="N8170" s="1"/>
    </row>
    <row r="8171" spans="7:14" x14ac:dyDescent="0.3">
      <c r="G8171" s="1"/>
      <c r="N8171" s="1"/>
    </row>
    <row r="8172" spans="7:14" x14ac:dyDescent="0.3">
      <c r="G8172" s="1"/>
      <c r="N8172" s="1"/>
    </row>
    <row r="8173" spans="7:14" x14ac:dyDescent="0.3">
      <c r="G8173" s="1"/>
      <c r="N8173" s="1"/>
    </row>
    <row r="8174" spans="7:14" x14ac:dyDescent="0.3">
      <c r="G8174" s="1"/>
      <c r="N8174" s="1"/>
    </row>
    <row r="8175" spans="7:14" x14ac:dyDescent="0.3">
      <c r="G8175" s="1"/>
      <c r="N8175" s="1"/>
    </row>
    <row r="8176" spans="7:14" x14ac:dyDescent="0.3">
      <c r="G8176" s="1"/>
      <c r="N8176" s="1"/>
    </row>
    <row r="8177" spans="7:14" x14ac:dyDescent="0.3">
      <c r="G8177" s="1"/>
      <c r="N8177" s="1"/>
    </row>
    <row r="8178" spans="7:14" x14ac:dyDescent="0.3">
      <c r="G8178" s="1"/>
      <c r="N8178" s="1"/>
    </row>
    <row r="8179" spans="7:14" x14ac:dyDescent="0.3">
      <c r="G8179" s="1"/>
      <c r="N8179" s="1"/>
    </row>
    <row r="8180" spans="7:14" x14ac:dyDescent="0.3">
      <c r="G8180" s="1"/>
      <c r="N8180" s="1"/>
    </row>
    <row r="8181" spans="7:14" x14ac:dyDescent="0.3">
      <c r="G8181" s="1"/>
      <c r="N8181" s="1"/>
    </row>
    <row r="8182" spans="7:14" x14ac:dyDescent="0.3">
      <c r="G8182" s="1"/>
      <c r="N8182" s="1"/>
    </row>
    <row r="8183" spans="7:14" x14ac:dyDescent="0.3">
      <c r="G8183" s="1"/>
      <c r="N8183" s="1"/>
    </row>
    <row r="8184" spans="7:14" x14ac:dyDescent="0.3">
      <c r="G8184" s="1"/>
      <c r="N8184" s="1"/>
    </row>
    <row r="8185" spans="7:14" x14ac:dyDescent="0.3">
      <c r="G8185" s="1"/>
      <c r="N8185" s="1"/>
    </row>
    <row r="8186" spans="7:14" x14ac:dyDescent="0.3">
      <c r="G8186" s="1"/>
      <c r="N8186" s="1"/>
    </row>
    <row r="8187" spans="7:14" x14ac:dyDescent="0.3">
      <c r="G8187" s="1"/>
      <c r="N8187" s="1"/>
    </row>
    <row r="8188" spans="7:14" x14ac:dyDescent="0.3">
      <c r="G8188" s="1"/>
      <c r="N8188" s="1"/>
    </row>
    <row r="8189" spans="7:14" x14ac:dyDescent="0.3">
      <c r="G8189" s="1"/>
      <c r="N8189" s="1"/>
    </row>
    <row r="8190" spans="7:14" x14ac:dyDescent="0.3">
      <c r="G8190" s="1"/>
      <c r="N8190" s="1"/>
    </row>
    <row r="8191" spans="7:14" x14ac:dyDescent="0.3">
      <c r="G8191" s="1"/>
      <c r="N8191" s="1"/>
    </row>
    <row r="8192" spans="7:14" x14ac:dyDescent="0.3">
      <c r="G8192" s="1"/>
      <c r="N8192" s="1"/>
    </row>
    <row r="8193" spans="7:14" x14ac:dyDescent="0.3">
      <c r="G8193" s="1"/>
      <c r="N8193" s="1"/>
    </row>
    <row r="8194" spans="7:14" x14ac:dyDescent="0.3">
      <c r="G8194" s="1"/>
      <c r="N8194" s="1"/>
    </row>
    <row r="8195" spans="7:14" x14ac:dyDescent="0.3">
      <c r="G8195" s="1"/>
      <c r="N8195" s="1"/>
    </row>
    <row r="8196" spans="7:14" x14ac:dyDescent="0.3">
      <c r="G8196" s="1"/>
      <c r="N8196" s="1"/>
    </row>
    <row r="8197" spans="7:14" x14ac:dyDescent="0.3">
      <c r="G8197" s="1"/>
      <c r="N8197" s="1"/>
    </row>
    <row r="8198" spans="7:14" x14ac:dyDescent="0.3">
      <c r="G8198" s="1"/>
      <c r="N8198" s="1"/>
    </row>
    <row r="8199" spans="7:14" x14ac:dyDescent="0.3">
      <c r="G8199" s="1"/>
      <c r="N8199" s="1"/>
    </row>
    <row r="8200" spans="7:14" x14ac:dyDescent="0.3">
      <c r="G8200" s="1"/>
      <c r="N8200" s="1"/>
    </row>
    <row r="8201" spans="7:14" x14ac:dyDescent="0.3">
      <c r="G8201" s="1"/>
      <c r="N8201" s="1"/>
    </row>
    <row r="8202" spans="7:14" x14ac:dyDescent="0.3">
      <c r="G8202" s="1"/>
      <c r="N8202" s="1"/>
    </row>
    <row r="8203" spans="7:14" x14ac:dyDescent="0.3">
      <c r="G8203" s="1"/>
      <c r="N8203" s="1"/>
    </row>
    <row r="8204" spans="7:14" x14ac:dyDescent="0.3">
      <c r="G8204" s="1"/>
      <c r="N8204" s="1"/>
    </row>
    <row r="8205" spans="7:14" x14ac:dyDescent="0.3">
      <c r="G8205" s="1"/>
      <c r="N8205" s="1"/>
    </row>
    <row r="8206" spans="7:14" x14ac:dyDescent="0.3">
      <c r="G8206" s="1"/>
      <c r="N8206" s="1"/>
    </row>
    <row r="8207" spans="7:14" x14ac:dyDescent="0.3">
      <c r="G8207" s="1"/>
      <c r="N8207" s="1"/>
    </row>
    <row r="8208" spans="7:14" x14ac:dyDescent="0.3">
      <c r="G8208" s="1"/>
      <c r="N8208" s="1"/>
    </row>
    <row r="8209" spans="7:14" x14ac:dyDescent="0.3">
      <c r="G8209" s="1"/>
      <c r="N8209" s="1"/>
    </row>
    <row r="8210" spans="7:14" x14ac:dyDescent="0.3">
      <c r="G8210" s="1"/>
      <c r="N8210" s="1"/>
    </row>
    <row r="8211" spans="7:14" x14ac:dyDescent="0.3">
      <c r="G8211" s="1"/>
      <c r="N8211" s="1"/>
    </row>
    <row r="8212" spans="7:14" x14ac:dyDescent="0.3">
      <c r="G8212" s="1"/>
      <c r="N8212" s="1"/>
    </row>
    <row r="8213" spans="7:14" x14ac:dyDescent="0.3">
      <c r="G8213" s="1"/>
      <c r="N8213" s="1"/>
    </row>
    <row r="8214" spans="7:14" x14ac:dyDescent="0.3">
      <c r="G8214" s="1"/>
      <c r="N8214" s="1"/>
    </row>
    <row r="8215" spans="7:14" x14ac:dyDescent="0.3">
      <c r="G8215" s="1"/>
      <c r="N8215" s="1"/>
    </row>
    <row r="8216" spans="7:14" x14ac:dyDescent="0.3">
      <c r="G8216" s="1"/>
      <c r="N8216" s="1"/>
    </row>
    <row r="8217" spans="7:14" x14ac:dyDescent="0.3">
      <c r="G8217" s="1"/>
      <c r="N8217" s="1"/>
    </row>
    <row r="8218" spans="7:14" x14ac:dyDescent="0.3">
      <c r="G8218" s="1"/>
      <c r="N8218" s="1"/>
    </row>
    <row r="8219" spans="7:14" x14ac:dyDescent="0.3">
      <c r="G8219" s="1"/>
      <c r="N8219" s="1"/>
    </row>
    <row r="8220" spans="7:14" x14ac:dyDescent="0.3">
      <c r="G8220" s="1"/>
      <c r="N8220" s="1"/>
    </row>
    <row r="8221" spans="7:14" x14ac:dyDescent="0.3">
      <c r="G8221" s="1"/>
      <c r="N8221" s="1"/>
    </row>
    <row r="8222" spans="7:14" x14ac:dyDescent="0.3">
      <c r="G8222" s="1"/>
      <c r="N8222" s="1"/>
    </row>
    <row r="8223" spans="7:14" x14ac:dyDescent="0.3">
      <c r="G8223" s="1"/>
      <c r="N8223" s="1"/>
    </row>
    <row r="8224" spans="7:14" x14ac:dyDescent="0.3">
      <c r="G8224" s="1"/>
      <c r="N8224" s="1"/>
    </row>
    <row r="8225" spans="7:14" x14ac:dyDescent="0.3">
      <c r="G8225" s="1"/>
      <c r="N8225" s="1"/>
    </row>
    <row r="8226" spans="7:14" x14ac:dyDescent="0.3">
      <c r="G8226" s="1"/>
      <c r="N8226" s="1"/>
    </row>
    <row r="8227" spans="7:14" x14ac:dyDescent="0.3">
      <c r="G8227" s="1"/>
      <c r="N8227" s="1"/>
    </row>
    <row r="8228" spans="7:14" x14ac:dyDescent="0.3">
      <c r="G8228" s="1"/>
      <c r="N8228" s="1"/>
    </row>
    <row r="8229" spans="7:14" x14ac:dyDescent="0.3">
      <c r="G8229" s="1"/>
      <c r="N8229" s="1"/>
    </row>
    <row r="8230" spans="7:14" x14ac:dyDescent="0.3">
      <c r="G8230" s="1"/>
      <c r="N8230" s="1"/>
    </row>
    <row r="8231" spans="7:14" x14ac:dyDescent="0.3">
      <c r="G8231" s="1"/>
      <c r="N8231" s="1"/>
    </row>
    <row r="8232" spans="7:14" x14ac:dyDescent="0.3">
      <c r="G8232" s="1"/>
      <c r="N8232" s="1"/>
    </row>
    <row r="8233" spans="7:14" x14ac:dyDescent="0.3">
      <c r="G8233" s="1"/>
      <c r="N8233" s="1"/>
    </row>
    <row r="8234" spans="7:14" x14ac:dyDescent="0.3">
      <c r="G8234" s="1"/>
      <c r="N8234" s="1"/>
    </row>
    <row r="8235" spans="7:14" x14ac:dyDescent="0.3">
      <c r="G8235" s="1"/>
      <c r="N8235" s="1"/>
    </row>
    <row r="8236" spans="7:14" x14ac:dyDescent="0.3">
      <c r="G8236" s="1"/>
      <c r="N8236" s="1"/>
    </row>
    <row r="8237" spans="7:14" x14ac:dyDescent="0.3">
      <c r="G8237" s="1"/>
      <c r="N8237" s="1"/>
    </row>
    <row r="8238" spans="7:14" x14ac:dyDescent="0.3">
      <c r="G8238" s="1"/>
      <c r="N8238" s="1"/>
    </row>
    <row r="8239" spans="7:14" x14ac:dyDescent="0.3">
      <c r="G8239" s="1"/>
      <c r="N8239" s="1"/>
    </row>
    <row r="8240" spans="7:14" x14ac:dyDescent="0.3">
      <c r="G8240" s="1"/>
      <c r="N8240" s="1"/>
    </row>
    <row r="8241" spans="7:14" x14ac:dyDescent="0.3">
      <c r="G8241" s="1"/>
      <c r="N8241" s="1"/>
    </row>
    <row r="8242" spans="7:14" x14ac:dyDescent="0.3">
      <c r="G8242" s="1"/>
      <c r="N8242" s="1"/>
    </row>
    <row r="8243" spans="7:14" x14ac:dyDescent="0.3">
      <c r="G8243" s="1"/>
      <c r="N8243" s="1"/>
    </row>
    <row r="8244" spans="7:14" x14ac:dyDescent="0.3">
      <c r="G8244" s="1"/>
      <c r="N8244" s="1"/>
    </row>
    <row r="8245" spans="7:14" x14ac:dyDescent="0.3">
      <c r="G8245" s="1"/>
      <c r="N8245" s="1"/>
    </row>
    <row r="8246" spans="7:14" x14ac:dyDescent="0.3">
      <c r="G8246" s="1"/>
      <c r="N8246" s="1"/>
    </row>
    <row r="8247" spans="7:14" x14ac:dyDescent="0.3">
      <c r="G8247" s="1"/>
      <c r="N8247" s="1"/>
    </row>
    <row r="8248" spans="7:14" x14ac:dyDescent="0.3">
      <c r="G8248" s="1"/>
      <c r="N8248" s="1"/>
    </row>
    <row r="8249" spans="7:14" x14ac:dyDescent="0.3">
      <c r="G8249" s="1"/>
      <c r="N8249" s="1"/>
    </row>
    <row r="8250" spans="7:14" x14ac:dyDescent="0.3">
      <c r="G8250" s="1"/>
      <c r="N8250" s="1"/>
    </row>
    <row r="8251" spans="7:14" x14ac:dyDescent="0.3">
      <c r="G8251" s="1"/>
      <c r="N8251" s="1"/>
    </row>
    <row r="8252" spans="7:14" x14ac:dyDescent="0.3">
      <c r="G8252" s="1"/>
      <c r="N8252" s="1"/>
    </row>
    <row r="8253" spans="7:14" x14ac:dyDescent="0.3">
      <c r="G8253" s="1"/>
      <c r="N8253" s="1"/>
    </row>
    <row r="8254" spans="7:14" x14ac:dyDescent="0.3">
      <c r="G8254" s="1"/>
      <c r="N8254" s="1"/>
    </row>
    <row r="8255" spans="7:14" x14ac:dyDescent="0.3">
      <c r="G8255" s="1"/>
      <c r="N8255" s="1"/>
    </row>
    <row r="8256" spans="7:14" x14ac:dyDescent="0.3">
      <c r="G8256" s="1"/>
      <c r="N8256" s="1"/>
    </row>
    <row r="8257" spans="7:14" x14ac:dyDescent="0.3">
      <c r="G8257" s="1"/>
      <c r="N8257" s="1"/>
    </row>
    <row r="8258" spans="7:14" x14ac:dyDescent="0.3">
      <c r="G8258" s="1"/>
      <c r="N8258" s="1"/>
    </row>
    <row r="8259" spans="7:14" x14ac:dyDescent="0.3">
      <c r="G8259" s="1"/>
      <c r="N8259" s="1"/>
    </row>
    <row r="8260" spans="7:14" x14ac:dyDescent="0.3">
      <c r="G8260" s="1"/>
      <c r="N8260" s="1"/>
    </row>
    <row r="8261" spans="7:14" x14ac:dyDescent="0.3">
      <c r="G8261" s="1"/>
      <c r="N8261" s="1"/>
    </row>
    <row r="8262" spans="7:14" x14ac:dyDescent="0.3">
      <c r="G8262" s="1"/>
      <c r="N8262" s="1"/>
    </row>
    <row r="8263" spans="7:14" x14ac:dyDescent="0.3">
      <c r="G8263" s="1"/>
      <c r="N8263" s="1"/>
    </row>
    <row r="8264" spans="7:14" x14ac:dyDescent="0.3">
      <c r="G8264" s="1"/>
      <c r="N8264" s="1"/>
    </row>
    <row r="8265" spans="7:14" x14ac:dyDescent="0.3">
      <c r="G8265" s="1"/>
      <c r="N8265" s="1"/>
    </row>
    <row r="8266" spans="7:14" x14ac:dyDescent="0.3">
      <c r="G8266" s="1"/>
      <c r="N8266" s="1"/>
    </row>
    <row r="8267" spans="7:14" x14ac:dyDescent="0.3">
      <c r="G8267" s="1"/>
      <c r="N8267" s="1"/>
    </row>
    <row r="8268" spans="7:14" x14ac:dyDescent="0.3">
      <c r="G8268" s="1"/>
      <c r="N8268" s="1"/>
    </row>
    <row r="8269" spans="7:14" x14ac:dyDescent="0.3">
      <c r="G8269" s="1"/>
      <c r="N8269" s="1"/>
    </row>
    <row r="8270" spans="7:14" x14ac:dyDescent="0.3">
      <c r="G8270" s="1"/>
      <c r="N8270" s="1"/>
    </row>
    <row r="8271" spans="7:14" x14ac:dyDescent="0.3">
      <c r="G8271" s="1"/>
      <c r="N8271" s="1"/>
    </row>
    <row r="8272" spans="7:14" x14ac:dyDescent="0.3">
      <c r="G8272" s="1"/>
      <c r="N8272" s="1"/>
    </row>
    <row r="8273" spans="7:14" x14ac:dyDescent="0.3">
      <c r="G8273" s="1"/>
      <c r="N8273" s="1"/>
    </row>
    <row r="8274" spans="7:14" x14ac:dyDescent="0.3">
      <c r="G8274" s="1"/>
      <c r="N8274" s="1"/>
    </row>
    <row r="8275" spans="7:14" x14ac:dyDescent="0.3">
      <c r="G8275" s="1"/>
      <c r="N8275" s="1"/>
    </row>
    <row r="8276" spans="7:14" x14ac:dyDescent="0.3">
      <c r="G8276" s="1"/>
      <c r="N8276" s="1"/>
    </row>
    <row r="8277" spans="7:14" x14ac:dyDescent="0.3">
      <c r="G8277" s="1"/>
      <c r="N8277" s="1"/>
    </row>
    <row r="8278" spans="7:14" x14ac:dyDescent="0.3">
      <c r="G8278" s="1"/>
      <c r="N8278" s="1"/>
    </row>
    <row r="8279" spans="7:14" x14ac:dyDescent="0.3">
      <c r="G8279" s="1"/>
      <c r="N8279" s="1"/>
    </row>
    <row r="8280" spans="7:14" x14ac:dyDescent="0.3">
      <c r="G8280" s="1"/>
      <c r="N8280" s="1"/>
    </row>
    <row r="8281" spans="7:14" x14ac:dyDescent="0.3">
      <c r="G8281" s="1"/>
      <c r="N8281" s="1"/>
    </row>
    <row r="8282" spans="7:14" x14ac:dyDescent="0.3">
      <c r="G8282" s="1"/>
      <c r="N8282" s="1"/>
    </row>
    <row r="8283" spans="7:14" x14ac:dyDescent="0.3">
      <c r="G8283" s="1"/>
      <c r="N8283" s="1"/>
    </row>
    <row r="8284" spans="7:14" x14ac:dyDescent="0.3">
      <c r="G8284" s="1"/>
      <c r="N8284" s="1"/>
    </row>
    <row r="8285" spans="7:14" x14ac:dyDescent="0.3">
      <c r="G8285" s="1"/>
      <c r="N8285" s="1"/>
    </row>
    <row r="8286" spans="7:14" x14ac:dyDescent="0.3">
      <c r="G8286" s="1"/>
      <c r="N8286" s="1"/>
    </row>
    <row r="8287" spans="7:14" x14ac:dyDescent="0.3">
      <c r="G8287" s="1"/>
      <c r="N8287" s="1"/>
    </row>
    <row r="8288" spans="7:14" x14ac:dyDescent="0.3">
      <c r="G8288" s="1"/>
      <c r="N8288" s="1"/>
    </row>
    <row r="8289" spans="7:14" x14ac:dyDescent="0.3">
      <c r="G8289" s="1"/>
      <c r="N8289" s="1"/>
    </row>
    <row r="8290" spans="7:14" x14ac:dyDescent="0.3">
      <c r="G8290" s="1"/>
      <c r="N8290" s="1"/>
    </row>
    <row r="8291" spans="7:14" x14ac:dyDescent="0.3">
      <c r="G8291" s="1"/>
      <c r="N8291" s="1"/>
    </row>
    <row r="8292" spans="7:14" x14ac:dyDescent="0.3">
      <c r="G8292" s="1"/>
      <c r="N8292" s="1"/>
    </row>
    <row r="8293" spans="7:14" x14ac:dyDescent="0.3">
      <c r="G8293" s="1"/>
      <c r="N8293" s="1"/>
    </row>
    <row r="8294" spans="7:14" x14ac:dyDescent="0.3">
      <c r="G8294" s="1"/>
      <c r="N8294" s="1"/>
    </row>
    <row r="8295" spans="7:14" x14ac:dyDescent="0.3">
      <c r="G8295" s="1"/>
      <c r="N8295" s="1"/>
    </row>
    <row r="8296" spans="7:14" x14ac:dyDescent="0.3">
      <c r="G8296" s="1"/>
      <c r="N8296" s="1"/>
    </row>
    <row r="8297" spans="7:14" x14ac:dyDescent="0.3">
      <c r="G8297" s="1"/>
      <c r="N8297" s="1"/>
    </row>
    <row r="8298" spans="7:14" x14ac:dyDescent="0.3">
      <c r="G8298" s="1"/>
      <c r="N8298" s="1"/>
    </row>
    <row r="8299" spans="7:14" x14ac:dyDescent="0.3">
      <c r="G8299" s="1"/>
      <c r="N8299" s="1"/>
    </row>
    <row r="8300" spans="7:14" x14ac:dyDescent="0.3">
      <c r="G8300" s="1"/>
      <c r="N8300" s="1"/>
    </row>
    <row r="8301" spans="7:14" x14ac:dyDescent="0.3">
      <c r="G8301" s="1"/>
      <c r="N8301" s="1"/>
    </row>
    <row r="8302" spans="7:14" x14ac:dyDescent="0.3">
      <c r="G8302" s="1"/>
      <c r="N8302" s="1"/>
    </row>
    <row r="8303" spans="7:14" x14ac:dyDescent="0.3">
      <c r="G8303" s="1"/>
      <c r="N8303" s="1"/>
    </row>
    <row r="8304" spans="7:14" x14ac:dyDescent="0.3">
      <c r="G8304" s="1"/>
      <c r="N8304" s="1"/>
    </row>
    <row r="8305" spans="7:14" x14ac:dyDescent="0.3">
      <c r="G8305" s="1"/>
      <c r="N8305" s="1"/>
    </row>
    <row r="8306" spans="7:14" x14ac:dyDescent="0.3">
      <c r="G8306" s="1"/>
      <c r="N8306" s="1"/>
    </row>
    <row r="8307" spans="7:14" x14ac:dyDescent="0.3">
      <c r="G8307" s="1"/>
      <c r="N8307" s="1"/>
    </row>
    <row r="8308" spans="7:14" x14ac:dyDescent="0.3">
      <c r="G8308" s="1"/>
      <c r="N8308" s="1"/>
    </row>
    <row r="8309" spans="7:14" x14ac:dyDescent="0.3">
      <c r="G8309" s="1"/>
      <c r="N8309" s="1"/>
    </row>
    <row r="8310" spans="7:14" x14ac:dyDescent="0.3">
      <c r="G8310" s="1"/>
      <c r="N8310" s="1"/>
    </row>
    <row r="8311" spans="7:14" x14ac:dyDescent="0.3">
      <c r="G8311" s="1"/>
      <c r="N8311" s="1"/>
    </row>
    <row r="8312" spans="7:14" x14ac:dyDescent="0.3">
      <c r="G8312" s="1"/>
      <c r="N8312" s="1"/>
    </row>
    <row r="8313" spans="7:14" x14ac:dyDescent="0.3">
      <c r="G8313" s="1"/>
      <c r="N8313" s="1"/>
    </row>
    <row r="8314" spans="7:14" x14ac:dyDescent="0.3">
      <c r="G8314" s="1"/>
      <c r="N8314" s="1"/>
    </row>
    <row r="8315" spans="7:14" x14ac:dyDescent="0.3">
      <c r="G8315" s="1"/>
      <c r="N8315" s="1"/>
    </row>
    <row r="8316" spans="7:14" x14ac:dyDescent="0.3">
      <c r="G8316" s="1"/>
      <c r="N8316" s="1"/>
    </row>
    <row r="8317" spans="7:14" x14ac:dyDescent="0.3">
      <c r="G8317" s="1"/>
      <c r="N8317" s="1"/>
    </row>
    <row r="8318" spans="7:14" x14ac:dyDescent="0.3">
      <c r="G8318" s="1"/>
      <c r="N8318" s="1"/>
    </row>
    <row r="8319" spans="7:14" x14ac:dyDescent="0.3">
      <c r="G8319" s="1"/>
      <c r="N8319" s="1"/>
    </row>
    <row r="8320" spans="7:14" x14ac:dyDescent="0.3">
      <c r="G8320" s="1"/>
      <c r="N8320" s="1"/>
    </row>
    <row r="8321" spans="7:14" x14ac:dyDescent="0.3">
      <c r="G8321" s="1"/>
      <c r="N8321" s="1"/>
    </row>
    <row r="8322" spans="7:14" x14ac:dyDescent="0.3">
      <c r="G8322" s="1"/>
      <c r="N8322" s="1"/>
    </row>
    <row r="8323" spans="7:14" x14ac:dyDescent="0.3">
      <c r="G8323" s="1"/>
      <c r="N8323" s="1"/>
    </row>
    <row r="8324" spans="7:14" x14ac:dyDescent="0.3">
      <c r="G8324" s="1"/>
      <c r="N8324" s="1"/>
    </row>
    <row r="8325" spans="7:14" x14ac:dyDescent="0.3">
      <c r="G8325" s="1"/>
      <c r="N8325" s="1"/>
    </row>
    <row r="8326" spans="7:14" x14ac:dyDescent="0.3">
      <c r="G8326" s="1"/>
      <c r="N8326" s="1"/>
    </row>
    <row r="8327" spans="7:14" x14ac:dyDescent="0.3">
      <c r="G8327" s="1"/>
      <c r="N8327" s="1"/>
    </row>
    <row r="8328" spans="7:14" x14ac:dyDescent="0.3">
      <c r="G8328" s="1"/>
      <c r="N8328" s="1"/>
    </row>
    <row r="8329" spans="7:14" x14ac:dyDescent="0.3">
      <c r="G8329" s="1"/>
      <c r="N8329" s="1"/>
    </row>
    <row r="8330" spans="7:14" x14ac:dyDescent="0.3">
      <c r="G8330" s="1"/>
      <c r="N8330" s="1"/>
    </row>
    <row r="8331" spans="7:14" x14ac:dyDescent="0.3">
      <c r="G8331" s="1"/>
      <c r="N8331" s="1"/>
    </row>
    <row r="8332" spans="7:14" x14ac:dyDescent="0.3">
      <c r="G8332" s="1"/>
      <c r="N8332" s="1"/>
    </row>
    <row r="8333" spans="7:14" x14ac:dyDescent="0.3">
      <c r="G8333" s="1"/>
      <c r="N8333" s="1"/>
    </row>
    <row r="8334" spans="7:14" x14ac:dyDescent="0.3">
      <c r="G8334" s="1"/>
      <c r="N8334" s="1"/>
    </row>
    <row r="8335" spans="7:14" x14ac:dyDescent="0.3">
      <c r="G8335" s="1"/>
      <c r="N8335" s="1"/>
    </row>
    <row r="8336" spans="7:14" x14ac:dyDescent="0.3">
      <c r="G8336" s="1"/>
      <c r="N8336" s="1"/>
    </row>
    <row r="8337" spans="7:14" x14ac:dyDescent="0.3">
      <c r="G8337" s="1"/>
      <c r="N8337" s="1"/>
    </row>
    <row r="8338" spans="7:14" x14ac:dyDescent="0.3">
      <c r="G8338" s="1"/>
      <c r="N8338" s="1"/>
    </row>
    <row r="8339" spans="7:14" x14ac:dyDescent="0.3">
      <c r="G8339" s="1"/>
      <c r="N8339" s="1"/>
    </row>
    <row r="8340" spans="7:14" x14ac:dyDescent="0.3">
      <c r="G8340" s="1"/>
      <c r="N8340" s="1"/>
    </row>
    <row r="8341" spans="7:14" x14ac:dyDescent="0.3">
      <c r="G8341" s="1"/>
      <c r="N8341" s="1"/>
    </row>
    <row r="8342" spans="7:14" x14ac:dyDescent="0.3">
      <c r="G8342" s="1"/>
      <c r="N8342" s="1"/>
    </row>
    <row r="8343" spans="7:14" x14ac:dyDescent="0.3">
      <c r="G8343" s="1"/>
      <c r="N8343" s="1"/>
    </row>
    <row r="8344" spans="7:14" x14ac:dyDescent="0.3">
      <c r="G8344" s="1"/>
      <c r="N8344" s="1"/>
    </row>
    <row r="8345" spans="7:14" x14ac:dyDescent="0.3">
      <c r="G8345" s="1"/>
      <c r="N8345" s="1"/>
    </row>
    <row r="8346" spans="7:14" x14ac:dyDescent="0.3">
      <c r="G8346" s="1"/>
      <c r="N8346" s="1"/>
    </row>
    <row r="8347" spans="7:14" x14ac:dyDescent="0.3">
      <c r="G8347" s="1"/>
      <c r="N8347" s="1"/>
    </row>
    <row r="8348" spans="7:14" x14ac:dyDescent="0.3">
      <c r="G8348" s="1"/>
      <c r="N8348" s="1"/>
    </row>
    <row r="8349" spans="7:14" x14ac:dyDescent="0.3">
      <c r="G8349" s="1"/>
      <c r="N8349" s="1"/>
    </row>
    <row r="8350" spans="7:14" x14ac:dyDescent="0.3">
      <c r="G8350" s="1"/>
      <c r="N8350" s="1"/>
    </row>
    <row r="8351" spans="7:14" x14ac:dyDescent="0.3">
      <c r="G8351" s="1"/>
      <c r="N8351" s="1"/>
    </row>
    <row r="8352" spans="7:14" x14ac:dyDescent="0.3">
      <c r="G8352" s="1"/>
      <c r="N8352" s="1"/>
    </row>
    <row r="8353" spans="7:14" x14ac:dyDescent="0.3">
      <c r="G8353" s="1"/>
      <c r="N8353" s="1"/>
    </row>
    <row r="8354" spans="7:14" x14ac:dyDescent="0.3">
      <c r="G8354" s="1"/>
      <c r="N8354" s="1"/>
    </row>
    <row r="8355" spans="7:14" x14ac:dyDescent="0.3">
      <c r="G8355" s="1"/>
      <c r="N8355" s="1"/>
    </row>
    <row r="8356" spans="7:14" x14ac:dyDescent="0.3">
      <c r="G8356" s="1"/>
      <c r="N8356" s="1"/>
    </row>
    <row r="8357" spans="7:14" x14ac:dyDescent="0.3">
      <c r="G8357" s="1"/>
      <c r="N8357" s="1"/>
    </row>
    <row r="8358" spans="7:14" x14ac:dyDescent="0.3">
      <c r="G8358" s="1"/>
      <c r="N8358" s="1"/>
    </row>
    <row r="8359" spans="7:14" x14ac:dyDescent="0.3">
      <c r="G8359" s="1"/>
      <c r="N8359" s="1"/>
    </row>
    <row r="8360" spans="7:14" x14ac:dyDescent="0.3">
      <c r="G8360" s="1"/>
      <c r="N8360" s="1"/>
    </row>
    <row r="8361" spans="7:14" x14ac:dyDescent="0.3">
      <c r="G8361" s="1"/>
      <c r="N8361" s="1"/>
    </row>
    <row r="8362" spans="7:14" x14ac:dyDescent="0.3">
      <c r="G8362" s="1"/>
      <c r="N8362" s="1"/>
    </row>
    <row r="8363" spans="7:14" x14ac:dyDescent="0.3">
      <c r="G8363" s="1"/>
      <c r="N8363" s="1"/>
    </row>
    <row r="8364" spans="7:14" x14ac:dyDescent="0.3">
      <c r="G8364" s="1"/>
      <c r="N8364" s="1"/>
    </row>
    <row r="8365" spans="7:14" x14ac:dyDescent="0.3">
      <c r="G8365" s="1"/>
      <c r="N8365" s="1"/>
    </row>
    <row r="8366" spans="7:14" x14ac:dyDescent="0.3">
      <c r="G8366" s="1"/>
      <c r="N8366" s="1"/>
    </row>
    <row r="8367" spans="7:14" x14ac:dyDescent="0.3">
      <c r="G8367" s="1"/>
      <c r="N8367" s="1"/>
    </row>
    <row r="8368" spans="7:14" x14ac:dyDescent="0.3">
      <c r="G8368" s="1"/>
      <c r="N8368" s="1"/>
    </row>
    <row r="8369" spans="7:14" x14ac:dyDescent="0.3">
      <c r="G8369" s="1"/>
      <c r="N8369" s="1"/>
    </row>
    <row r="8370" spans="7:14" x14ac:dyDescent="0.3">
      <c r="G8370" s="1"/>
      <c r="N8370" s="1"/>
    </row>
    <row r="8371" spans="7:14" x14ac:dyDescent="0.3">
      <c r="G8371" s="1"/>
      <c r="N8371" s="1"/>
    </row>
    <row r="8372" spans="7:14" x14ac:dyDescent="0.3">
      <c r="G8372" s="1"/>
      <c r="N8372" s="1"/>
    </row>
    <row r="8373" spans="7:14" x14ac:dyDescent="0.3">
      <c r="G8373" s="1"/>
      <c r="N8373" s="1"/>
    </row>
    <row r="8374" spans="7:14" x14ac:dyDescent="0.3">
      <c r="G8374" s="1"/>
      <c r="N8374" s="1"/>
    </row>
    <row r="8375" spans="7:14" x14ac:dyDescent="0.3">
      <c r="G8375" s="1"/>
      <c r="N8375" s="1"/>
    </row>
    <row r="8376" spans="7:14" x14ac:dyDescent="0.3">
      <c r="G8376" s="1"/>
      <c r="N8376" s="1"/>
    </row>
    <row r="8377" spans="7:14" x14ac:dyDescent="0.3">
      <c r="G8377" s="1"/>
      <c r="N8377" s="1"/>
    </row>
    <row r="8378" spans="7:14" x14ac:dyDescent="0.3">
      <c r="G8378" s="1"/>
      <c r="N8378" s="1"/>
    </row>
    <row r="8379" spans="7:14" x14ac:dyDescent="0.3">
      <c r="G8379" s="1"/>
      <c r="N8379" s="1"/>
    </row>
    <row r="8380" spans="7:14" x14ac:dyDescent="0.3">
      <c r="G8380" s="1"/>
      <c r="N8380" s="1"/>
    </row>
    <row r="8381" spans="7:14" x14ac:dyDescent="0.3">
      <c r="G8381" s="1"/>
      <c r="N8381" s="1"/>
    </row>
    <row r="8382" spans="7:14" x14ac:dyDescent="0.3">
      <c r="G8382" s="1"/>
      <c r="N8382" s="1"/>
    </row>
    <row r="8383" spans="7:14" x14ac:dyDescent="0.3">
      <c r="G8383" s="1"/>
      <c r="N8383" s="1"/>
    </row>
    <row r="8384" spans="7:14" x14ac:dyDescent="0.3">
      <c r="G8384" s="1"/>
      <c r="N8384" s="1"/>
    </row>
    <row r="8385" spans="7:14" x14ac:dyDescent="0.3">
      <c r="G8385" s="1"/>
      <c r="N8385" s="1"/>
    </row>
    <row r="8386" spans="7:14" x14ac:dyDescent="0.3">
      <c r="G8386" s="1"/>
      <c r="N8386" s="1"/>
    </row>
    <row r="8387" spans="7:14" x14ac:dyDescent="0.3">
      <c r="G8387" s="1"/>
      <c r="N8387" s="1"/>
    </row>
    <row r="8388" spans="7:14" x14ac:dyDescent="0.3">
      <c r="G8388" s="1"/>
      <c r="N8388" s="1"/>
    </row>
    <row r="8389" spans="7:14" x14ac:dyDescent="0.3">
      <c r="G8389" s="1"/>
      <c r="N8389" s="1"/>
    </row>
    <row r="8390" spans="7:14" x14ac:dyDescent="0.3">
      <c r="G8390" s="1"/>
      <c r="N8390" s="1"/>
    </row>
    <row r="8391" spans="7:14" x14ac:dyDescent="0.3">
      <c r="G8391" s="1"/>
      <c r="N8391" s="1"/>
    </row>
    <row r="8392" spans="7:14" x14ac:dyDescent="0.3">
      <c r="G8392" s="1"/>
      <c r="N8392" s="1"/>
    </row>
    <row r="8393" spans="7:14" x14ac:dyDescent="0.3">
      <c r="G8393" s="1"/>
      <c r="N8393" s="1"/>
    </row>
    <row r="8394" spans="7:14" x14ac:dyDescent="0.3">
      <c r="G8394" s="1"/>
      <c r="N8394" s="1"/>
    </row>
    <row r="8395" spans="7:14" x14ac:dyDescent="0.3">
      <c r="G8395" s="1"/>
      <c r="N8395" s="1"/>
    </row>
    <row r="8396" spans="7:14" x14ac:dyDescent="0.3">
      <c r="G8396" s="1"/>
      <c r="N8396" s="1"/>
    </row>
    <row r="8397" spans="7:14" x14ac:dyDescent="0.3">
      <c r="G8397" s="1"/>
      <c r="N8397" s="1"/>
    </row>
    <row r="8398" spans="7:14" x14ac:dyDescent="0.3">
      <c r="G8398" s="1"/>
      <c r="N8398" s="1"/>
    </row>
    <row r="8399" spans="7:14" x14ac:dyDescent="0.3">
      <c r="G8399" s="1"/>
      <c r="N8399" s="1"/>
    </row>
    <row r="8400" spans="7:14" x14ac:dyDescent="0.3">
      <c r="G8400" s="1"/>
      <c r="N8400" s="1"/>
    </row>
    <row r="8401" spans="7:14" x14ac:dyDescent="0.3">
      <c r="G8401" s="1"/>
      <c r="N8401" s="1"/>
    </row>
    <row r="8402" spans="7:14" x14ac:dyDescent="0.3">
      <c r="G8402" s="1"/>
      <c r="N8402" s="1"/>
    </row>
    <row r="8403" spans="7:14" x14ac:dyDescent="0.3">
      <c r="G8403" s="1"/>
      <c r="N8403" s="1"/>
    </row>
    <row r="8404" spans="7:14" x14ac:dyDescent="0.3">
      <c r="G8404" s="1"/>
      <c r="N8404" s="1"/>
    </row>
    <row r="8405" spans="7:14" x14ac:dyDescent="0.3">
      <c r="G8405" s="1"/>
      <c r="N8405" s="1"/>
    </row>
    <row r="8406" spans="7:14" x14ac:dyDescent="0.3">
      <c r="G8406" s="1"/>
      <c r="N8406" s="1"/>
    </row>
    <row r="8407" spans="7:14" x14ac:dyDescent="0.3">
      <c r="G8407" s="1"/>
      <c r="N8407" s="1"/>
    </row>
    <row r="8408" spans="7:14" x14ac:dyDescent="0.3">
      <c r="G8408" s="1"/>
      <c r="N8408" s="1"/>
    </row>
    <row r="8409" spans="7:14" x14ac:dyDescent="0.3">
      <c r="G8409" s="1"/>
      <c r="N8409" s="1"/>
    </row>
    <row r="8410" spans="7:14" x14ac:dyDescent="0.3">
      <c r="G8410" s="1"/>
      <c r="N8410" s="1"/>
    </row>
    <row r="8411" spans="7:14" x14ac:dyDescent="0.3">
      <c r="G8411" s="1"/>
      <c r="N8411" s="1"/>
    </row>
    <row r="8412" spans="7:14" x14ac:dyDescent="0.3">
      <c r="G8412" s="1"/>
      <c r="N8412" s="1"/>
    </row>
    <row r="8413" spans="7:14" x14ac:dyDescent="0.3">
      <c r="G8413" s="1"/>
      <c r="N8413" s="1"/>
    </row>
    <row r="8414" spans="7:14" x14ac:dyDescent="0.3">
      <c r="G8414" s="1"/>
      <c r="N8414" s="1"/>
    </row>
    <row r="8415" spans="7:14" x14ac:dyDescent="0.3">
      <c r="G8415" s="1"/>
      <c r="N8415" s="1"/>
    </row>
    <row r="8416" spans="7:14" x14ac:dyDescent="0.3">
      <c r="G8416" s="1"/>
      <c r="N8416" s="1"/>
    </row>
    <row r="8417" spans="7:14" x14ac:dyDescent="0.3">
      <c r="G8417" s="1"/>
      <c r="N8417" s="1"/>
    </row>
    <row r="8418" spans="7:14" x14ac:dyDescent="0.3">
      <c r="G8418" s="1"/>
      <c r="N8418" s="1"/>
    </row>
    <row r="8419" spans="7:14" x14ac:dyDescent="0.3">
      <c r="G8419" s="1"/>
      <c r="N8419" s="1"/>
    </row>
    <row r="8420" spans="7:14" x14ac:dyDescent="0.3">
      <c r="G8420" s="1"/>
      <c r="N8420" s="1"/>
    </row>
    <row r="8421" spans="7:14" x14ac:dyDescent="0.3">
      <c r="G8421" s="1"/>
      <c r="N8421" s="1"/>
    </row>
    <row r="8422" spans="7:14" x14ac:dyDescent="0.3">
      <c r="G8422" s="1"/>
      <c r="N8422" s="1"/>
    </row>
    <row r="8423" spans="7:14" x14ac:dyDescent="0.3">
      <c r="G8423" s="1"/>
      <c r="N8423" s="1"/>
    </row>
    <row r="8424" spans="7:14" x14ac:dyDescent="0.3">
      <c r="G8424" s="1"/>
      <c r="N8424" s="1"/>
    </row>
    <row r="8425" spans="7:14" x14ac:dyDescent="0.3">
      <c r="G8425" s="1"/>
      <c r="N8425" s="1"/>
    </row>
    <row r="8426" spans="7:14" x14ac:dyDescent="0.3">
      <c r="G8426" s="1"/>
      <c r="N8426" s="1"/>
    </row>
    <row r="8427" spans="7:14" x14ac:dyDescent="0.3">
      <c r="G8427" s="1"/>
      <c r="N8427" s="1"/>
    </row>
    <row r="8428" spans="7:14" x14ac:dyDescent="0.3">
      <c r="G8428" s="1"/>
      <c r="N8428" s="1"/>
    </row>
    <row r="8429" spans="7:14" x14ac:dyDescent="0.3">
      <c r="G8429" s="1"/>
      <c r="N8429" s="1"/>
    </row>
    <row r="8430" spans="7:14" x14ac:dyDescent="0.3">
      <c r="G8430" s="1"/>
      <c r="N8430" s="1"/>
    </row>
    <row r="8431" spans="7:14" x14ac:dyDescent="0.3">
      <c r="G8431" s="1"/>
      <c r="N8431" s="1"/>
    </row>
    <row r="8432" spans="7:14" x14ac:dyDescent="0.3">
      <c r="G8432" s="1"/>
      <c r="N8432" s="1"/>
    </row>
    <row r="8433" spans="7:14" x14ac:dyDescent="0.3">
      <c r="G8433" s="1"/>
      <c r="N8433" s="1"/>
    </row>
    <row r="8434" spans="7:14" x14ac:dyDescent="0.3">
      <c r="G8434" s="1"/>
      <c r="N8434" s="1"/>
    </row>
    <row r="8435" spans="7:14" x14ac:dyDescent="0.3">
      <c r="G8435" s="1"/>
      <c r="N8435" s="1"/>
    </row>
    <row r="8436" spans="7:14" x14ac:dyDescent="0.3">
      <c r="G8436" s="1"/>
      <c r="N8436" s="1"/>
    </row>
    <row r="8437" spans="7:14" x14ac:dyDescent="0.3">
      <c r="G8437" s="1"/>
      <c r="N8437" s="1"/>
    </row>
    <row r="8438" spans="7:14" x14ac:dyDescent="0.3">
      <c r="G8438" s="1"/>
      <c r="N8438" s="1"/>
    </row>
    <row r="8439" spans="7:14" x14ac:dyDescent="0.3">
      <c r="G8439" s="1"/>
      <c r="N8439" s="1"/>
    </row>
    <row r="8440" spans="7:14" x14ac:dyDescent="0.3">
      <c r="G8440" s="1"/>
      <c r="N8440" s="1"/>
    </row>
    <row r="8441" spans="7:14" x14ac:dyDescent="0.3">
      <c r="G8441" s="1"/>
      <c r="N8441" s="1"/>
    </row>
    <row r="8442" spans="7:14" x14ac:dyDescent="0.3">
      <c r="G8442" s="1"/>
      <c r="N8442" s="1"/>
    </row>
    <row r="8443" spans="7:14" x14ac:dyDescent="0.3">
      <c r="G8443" s="1"/>
      <c r="N8443" s="1"/>
    </row>
    <row r="8444" spans="7:14" x14ac:dyDescent="0.3">
      <c r="G8444" s="1"/>
      <c r="N8444" s="1"/>
    </row>
    <row r="8445" spans="7:14" x14ac:dyDescent="0.3">
      <c r="G8445" s="1"/>
      <c r="N8445" s="1"/>
    </row>
    <row r="8446" spans="7:14" x14ac:dyDescent="0.3">
      <c r="G8446" s="1"/>
      <c r="N8446" s="1"/>
    </row>
    <row r="8447" spans="7:14" x14ac:dyDescent="0.3">
      <c r="G8447" s="1"/>
      <c r="N8447" s="1"/>
    </row>
    <row r="8448" spans="7:14" x14ac:dyDescent="0.3">
      <c r="G8448" s="1"/>
      <c r="N8448" s="1"/>
    </row>
    <row r="8449" spans="7:14" x14ac:dyDescent="0.3">
      <c r="G8449" s="1"/>
      <c r="N8449" s="1"/>
    </row>
    <row r="8450" spans="7:14" x14ac:dyDescent="0.3">
      <c r="G8450" s="1"/>
      <c r="N8450" s="1"/>
    </row>
    <row r="8451" spans="7:14" x14ac:dyDescent="0.3">
      <c r="G8451" s="1"/>
      <c r="N8451" s="1"/>
    </row>
    <row r="8452" spans="7:14" x14ac:dyDescent="0.3">
      <c r="G8452" s="1"/>
      <c r="N8452" s="1"/>
    </row>
    <row r="8453" spans="7:14" x14ac:dyDescent="0.3">
      <c r="G8453" s="1"/>
      <c r="N8453" s="1"/>
    </row>
    <row r="8454" spans="7:14" x14ac:dyDescent="0.3">
      <c r="G8454" s="1"/>
      <c r="N8454" s="1"/>
    </row>
    <row r="8455" spans="7:14" x14ac:dyDescent="0.3">
      <c r="G8455" s="1"/>
      <c r="N8455" s="1"/>
    </row>
    <row r="8456" spans="7:14" x14ac:dyDescent="0.3">
      <c r="G8456" s="1"/>
      <c r="N8456" s="1"/>
    </row>
    <row r="8457" spans="7:14" x14ac:dyDescent="0.3">
      <c r="G8457" s="1"/>
      <c r="N8457" s="1"/>
    </row>
    <row r="8458" spans="7:14" x14ac:dyDescent="0.3">
      <c r="G8458" s="1"/>
      <c r="N8458" s="1"/>
    </row>
    <row r="8459" spans="7:14" x14ac:dyDescent="0.3">
      <c r="G8459" s="1"/>
      <c r="N8459" s="1"/>
    </row>
    <row r="8460" spans="7:14" x14ac:dyDescent="0.3">
      <c r="G8460" s="1"/>
      <c r="N8460" s="1"/>
    </row>
    <row r="8461" spans="7:14" x14ac:dyDescent="0.3">
      <c r="G8461" s="1"/>
      <c r="N8461" s="1"/>
    </row>
    <row r="8462" spans="7:14" x14ac:dyDescent="0.3">
      <c r="G8462" s="1"/>
      <c r="N8462" s="1"/>
    </row>
    <row r="8463" spans="7:14" x14ac:dyDescent="0.3">
      <c r="G8463" s="1"/>
      <c r="N8463" s="1"/>
    </row>
    <row r="8464" spans="7:14" x14ac:dyDescent="0.3">
      <c r="G8464" s="1"/>
      <c r="N8464" s="1"/>
    </row>
    <row r="8465" spans="7:14" x14ac:dyDescent="0.3">
      <c r="G8465" s="1"/>
      <c r="N8465" s="1"/>
    </row>
    <row r="8466" spans="7:14" x14ac:dyDescent="0.3">
      <c r="G8466" s="1"/>
      <c r="N8466" s="1"/>
    </row>
    <row r="8467" spans="7:14" x14ac:dyDescent="0.3">
      <c r="G8467" s="1"/>
      <c r="N8467" s="1"/>
    </row>
    <row r="8468" spans="7:14" x14ac:dyDescent="0.3">
      <c r="G8468" s="1"/>
      <c r="N8468" s="1"/>
    </row>
    <row r="8469" spans="7:14" x14ac:dyDescent="0.3">
      <c r="G8469" s="1"/>
      <c r="N8469" s="1"/>
    </row>
    <row r="8470" spans="7:14" x14ac:dyDescent="0.3">
      <c r="G8470" s="1"/>
      <c r="N8470" s="1"/>
    </row>
    <row r="8471" spans="7:14" x14ac:dyDescent="0.3">
      <c r="G8471" s="1"/>
      <c r="N8471" s="1"/>
    </row>
    <row r="8472" spans="7:14" x14ac:dyDescent="0.3">
      <c r="G8472" s="1"/>
      <c r="N8472" s="1"/>
    </row>
    <row r="8473" spans="7:14" x14ac:dyDescent="0.3">
      <c r="G8473" s="1"/>
      <c r="N8473" s="1"/>
    </row>
    <row r="8474" spans="7:14" x14ac:dyDescent="0.3">
      <c r="G8474" s="1"/>
      <c r="N8474" s="1"/>
    </row>
    <row r="8475" spans="7:14" x14ac:dyDescent="0.3">
      <c r="G8475" s="1"/>
      <c r="N8475" s="1"/>
    </row>
    <row r="8476" spans="7:14" x14ac:dyDescent="0.3">
      <c r="G8476" s="1"/>
      <c r="N8476" s="1"/>
    </row>
    <row r="8477" spans="7:14" x14ac:dyDescent="0.3">
      <c r="G8477" s="1"/>
      <c r="N8477" s="1"/>
    </row>
    <row r="8478" spans="7:14" x14ac:dyDescent="0.3">
      <c r="G8478" s="1"/>
      <c r="N8478" s="1"/>
    </row>
    <row r="8479" spans="7:14" x14ac:dyDescent="0.3">
      <c r="G8479" s="1"/>
      <c r="N8479" s="1"/>
    </row>
    <row r="8480" spans="7:14" x14ac:dyDescent="0.3">
      <c r="G8480" s="1"/>
      <c r="N8480" s="1"/>
    </row>
    <row r="8481" spans="7:14" x14ac:dyDescent="0.3">
      <c r="G8481" s="1"/>
      <c r="N8481" s="1"/>
    </row>
    <row r="8482" spans="7:14" x14ac:dyDescent="0.3">
      <c r="G8482" s="1"/>
      <c r="N8482" s="1"/>
    </row>
    <row r="8483" spans="7:14" x14ac:dyDescent="0.3">
      <c r="G8483" s="1"/>
      <c r="N8483" s="1"/>
    </row>
    <row r="8484" spans="7:14" x14ac:dyDescent="0.3">
      <c r="G8484" s="1"/>
      <c r="N8484" s="1"/>
    </row>
    <row r="8485" spans="7:14" x14ac:dyDescent="0.3">
      <c r="G8485" s="1"/>
      <c r="N8485" s="1"/>
    </row>
    <row r="8486" spans="7:14" x14ac:dyDescent="0.3">
      <c r="G8486" s="1"/>
      <c r="N8486" s="1"/>
    </row>
    <row r="8487" spans="7:14" x14ac:dyDescent="0.3">
      <c r="G8487" s="1"/>
      <c r="N8487" s="1"/>
    </row>
    <row r="8488" spans="7:14" x14ac:dyDescent="0.3">
      <c r="G8488" s="1"/>
      <c r="N8488" s="1"/>
    </row>
    <row r="8489" spans="7:14" x14ac:dyDescent="0.3">
      <c r="G8489" s="1"/>
      <c r="N8489" s="1"/>
    </row>
    <row r="8490" spans="7:14" x14ac:dyDescent="0.3">
      <c r="G8490" s="1"/>
      <c r="N8490" s="1"/>
    </row>
    <row r="8491" spans="7:14" x14ac:dyDescent="0.3">
      <c r="G8491" s="1"/>
      <c r="N8491" s="1"/>
    </row>
    <row r="8492" spans="7:14" x14ac:dyDescent="0.3">
      <c r="G8492" s="1"/>
      <c r="N8492" s="1"/>
    </row>
    <row r="8493" spans="7:14" x14ac:dyDescent="0.3">
      <c r="G8493" s="1"/>
      <c r="N8493" s="1"/>
    </row>
    <row r="8494" spans="7:14" x14ac:dyDescent="0.3">
      <c r="G8494" s="1"/>
      <c r="N8494" s="1"/>
    </row>
    <row r="8495" spans="7:14" x14ac:dyDescent="0.3">
      <c r="G8495" s="1"/>
      <c r="N8495" s="1"/>
    </row>
    <row r="8496" spans="7:14" x14ac:dyDescent="0.3">
      <c r="G8496" s="1"/>
      <c r="N8496" s="1"/>
    </row>
    <row r="8497" spans="7:14" x14ac:dyDescent="0.3">
      <c r="G8497" s="1"/>
      <c r="N8497" s="1"/>
    </row>
    <row r="8498" spans="7:14" x14ac:dyDescent="0.3">
      <c r="G8498" s="1"/>
      <c r="N8498" s="1"/>
    </row>
    <row r="8499" spans="7:14" x14ac:dyDescent="0.3">
      <c r="G8499" s="1"/>
      <c r="N8499" s="1"/>
    </row>
    <row r="8500" spans="7:14" x14ac:dyDescent="0.3">
      <c r="G8500" s="1"/>
      <c r="N8500" s="1"/>
    </row>
    <row r="8501" spans="7:14" x14ac:dyDescent="0.3">
      <c r="G8501" s="1"/>
      <c r="N8501" s="1"/>
    </row>
    <row r="8502" spans="7:14" x14ac:dyDescent="0.3">
      <c r="G8502" s="1"/>
      <c r="N8502" s="1"/>
    </row>
    <row r="8503" spans="7:14" x14ac:dyDescent="0.3">
      <c r="G8503" s="1"/>
      <c r="N8503" s="1"/>
    </row>
    <row r="8504" spans="7:14" x14ac:dyDescent="0.3">
      <c r="G8504" s="1"/>
      <c r="N8504" s="1"/>
    </row>
    <row r="8505" spans="7:14" x14ac:dyDescent="0.3">
      <c r="G8505" s="1"/>
      <c r="N8505" s="1"/>
    </row>
    <row r="8506" spans="7:14" x14ac:dyDescent="0.3">
      <c r="G8506" s="1"/>
      <c r="N8506" s="1"/>
    </row>
    <row r="8507" spans="7:14" x14ac:dyDescent="0.3">
      <c r="G8507" s="1"/>
      <c r="N8507" s="1"/>
    </row>
    <row r="8508" spans="7:14" x14ac:dyDescent="0.3">
      <c r="G8508" s="1"/>
      <c r="N8508" s="1"/>
    </row>
    <row r="8509" spans="7:14" x14ac:dyDescent="0.3">
      <c r="G8509" s="1"/>
      <c r="N8509" s="1"/>
    </row>
    <row r="8510" spans="7:14" x14ac:dyDescent="0.3">
      <c r="G8510" s="1"/>
      <c r="N8510" s="1"/>
    </row>
    <row r="8511" spans="7:14" x14ac:dyDescent="0.3">
      <c r="G8511" s="1"/>
      <c r="N8511" s="1"/>
    </row>
    <row r="8512" spans="7:14" x14ac:dyDescent="0.3">
      <c r="G8512" s="1"/>
      <c r="N8512" s="1"/>
    </row>
    <row r="8513" spans="7:14" x14ac:dyDescent="0.3">
      <c r="G8513" s="1"/>
      <c r="N8513" s="1"/>
    </row>
    <row r="8514" spans="7:14" x14ac:dyDescent="0.3">
      <c r="G8514" s="1"/>
      <c r="N8514" s="1"/>
    </row>
    <row r="8515" spans="7:14" x14ac:dyDescent="0.3">
      <c r="G8515" s="1"/>
      <c r="N8515" s="1"/>
    </row>
    <row r="8516" spans="7:14" x14ac:dyDescent="0.3">
      <c r="G8516" s="1"/>
      <c r="N8516" s="1"/>
    </row>
    <row r="8517" spans="7:14" x14ac:dyDescent="0.3">
      <c r="G8517" s="1"/>
      <c r="N8517" s="1"/>
    </row>
    <row r="8518" spans="7:14" x14ac:dyDescent="0.3">
      <c r="G8518" s="1"/>
      <c r="N8518" s="1"/>
    </row>
    <row r="8519" spans="7:14" x14ac:dyDescent="0.3">
      <c r="G8519" s="1"/>
      <c r="N8519" s="1"/>
    </row>
    <row r="8520" spans="7:14" x14ac:dyDescent="0.3">
      <c r="G8520" s="1"/>
      <c r="N8520" s="1"/>
    </row>
    <row r="8521" spans="7:14" x14ac:dyDescent="0.3">
      <c r="G8521" s="1"/>
      <c r="N8521" s="1"/>
    </row>
    <row r="8522" spans="7:14" x14ac:dyDescent="0.3">
      <c r="G8522" s="1"/>
      <c r="N8522" s="1"/>
    </row>
    <row r="8523" spans="7:14" x14ac:dyDescent="0.3">
      <c r="G8523" s="1"/>
      <c r="N8523" s="1"/>
    </row>
    <row r="8524" spans="7:14" x14ac:dyDescent="0.3">
      <c r="G8524" s="1"/>
      <c r="N8524" s="1"/>
    </row>
    <row r="8525" spans="7:14" x14ac:dyDescent="0.3">
      <c r="G8525" s="1"/>
      <c r="N8525" s="1"/>
    </row>
    <row r="8526" spans="7:14" x14ac:dyDescent="0.3">
      <c r="G8526" s="1"/>
      <c r="N8526" s="1"/>
    </row>
    <row r="8527" spans="7:14" x14ac:dyDescent="0.3">
      <c r="G8527" s="1"/>
      <c r="N8527" s="1"/>
    </row>
    <row r="8528" spans="7:14" x14ac:dyDescent="0.3">
      <c r="G8528" s="1"/>
      <c r="N8528" s="1"/>
    </row>
    <row r="8529" spans="7:14" x14ac:dyDescent="0.3">
      <c r="G8529" s="1"/>
      <c r="N8529" s="1"/>
    </row>
    <row r="8530" spans="7:14" x14ac:dyDescent="0.3">
      <c r="G8530" s="1"/>
      <c r="N8530" s="1"/>
    </row>
    <row r="8531" spans="7:14" x14ac:dyDescent="0.3">
      <c r="G8531" s="1"/>
      <c r="N8531" s="1"/>
    </row>
    <row r="8532" spans="7:14" x14ac:dyDescent="0.3">
      <c r="G8532" s="1"/>
      <c r="N8532" s="1"/>
    </row>
    <row r="8533" spans="7:14" x14ac:dyDescent="0.3">
      <c r="G8533" s="1"/>
      <c r="N8533" s="1"/>
    </row>
    <row r="8534" spans="7:14" x14ac:dyDescent="0.3">
      <c r="G8534" s="1"/>
      <c r="N8534" s="1"/>
    </row>
    <row r="8535" spans="7:14" x14ac:dyDescent="0.3">
      <c r="G8535" s="1"/>
      <c r="N8535" s="1"/>
    </row>
    <row r="8536" spans="7:14" x14ac:dyDescent="0.3">
      <c r="G8536" s="1"/>
      <c r="N8536" s="1"/>
    </row>
    <row r="8537" spans="7:14" x14ac:dyDescent="0.3">
      <c r="G8537" s="1"/>
      <c r="N8537" s="1"/>
    </row>
    <row r="8538" spans="7:14" x14ac:dyDescent="0.3">
      <c r="G8538" s="1"/>
      <c r="N8538" s="1"/>
    </row>
    <row r="8539" spans="7:14" x14ac:dyDescent="0.3">
      <c r="G8539" s="1"/>
      <c r="N8539" s="1"/>
    </row>
    <row r="8540" spans="7:14" x14ac:dyDescent="0.3">
      <c r="G8540" s="1"/>
      <c r="N8540" s="1"/>
    </row>
    <row r="8541" spans="7:14" x14ac:dyDescent="0.3">
      <c r="G8541" s="1"/>
      <c r="N8541" s="1"/>
    </row>
    <row r="8542" spans="7:14" x14ac:dyDescent="0.3">
      <c r="G8542" s="1"/>
      <c r="N8542" s="1"/>
    </row>
    <row r="8543" spans="7:14" x14ac:dyDescent="0.3">
      <c r="G8543" s="1"/>
      <c r="N8543" s="1"/>
    </row>
    <row r="8544" spans="7:14" x14ac:dyDescent="0.3">
      <c r="G8544" s="1"/>
      <c r="N8544" s="1"/>
    </row>
    <row r="8545" spans="7:14" x14ac:dyDescent="0.3">
      <c r="G8545" s="1"/>
      <c r="N8545" s="1"/>
    </row>
    <row r="8546" spans="7:14" x14ac:dyDescent="0.3">
      <c r="G8546" s="1"/>
      <c r="N8546" s="1"/>
    </row>
    <row r="8547" spans="7:14" x14ac:dyDescent="0.3">
      <c r="G8547" s="1"/>
      <c r="N8547" s="1"/>
    </row>
    <row r="8548" spans="7:14" x14ac:dyDescent="0.3">
      <c r="G8548" s="1"/>
      <c r="N8548" s="1"/>
    </row>
    <row r="8549" spans="7:14" x14ac:dyDescent="0.3">
      <c r="G8549" s="1"/>
      <c r="N8549" s="1"/>
    </row>
    <row r="8550" spans="7:14" x14ac:dyDescent="0.3">
      <c r="G8550" s="1"/>
      <c r="N8550" s="1"/>
    </row>
    <row r="8551" spans="7:14" x14ac:dyDescent="0.3">
      <c r="G8551" s="1"/>
      <c r="N8551" s="1"/>
    </row>
    <row r="8552" spans="7:14" x14ac:dyDescent="0.3">
      <c r="G8552" s="1"/>
      <c r="N8552" s="1"/>
    </row>
    <row r="8553" spans="7:14" x14ac:dyDescent="0.3">
      <c r="G8553" s="1"/>
      <c r="N8553" s="1"/>
    </row>
    <row r="8554" spans="7:14" x14ac:dyDescent="0.3">
      <c r="G8554" s="1"/>
      <c r="N8554" s="1"/>
    </row>
    <row r="8555" spans="7:14" x14ac:dyDescent="0.3">
      <c r="G8555" s="1"/>
      <c r="N8555" s="1"/>
    </row>
    <row r="8556" spans="7:14" x14ac:dyDescent="0.3">
      <c r="G8556" s="1"/>
      <c r="N8556" s="1"/>
    </row>
    <row r="8557" spans="7:14" x14ac:dyDescent="0.3">
      <c r="G8557" s="1"/>
      <c r="N8557" s="1"/>
    </row>
    <row r="8558" spans="7:14" x14ac:dyDescent="0.3">
      <c r="G8558" s="1"/>
      <c r="N8558" s="1"/>
    </row>
    <row r="8559" spans="7:14" x14ac:dyDescent="0.3">
      <c r="G8559" s="1"/>
      <c r="N8559" s="1"/>
    </row>
    <row r="8560" spans="7:14" x14ac:dyDescent="0.3">
      <c r="G8560" s="1"/>
      <c r="N8560" s="1"/>
    </row>
    <row r="8561" spans="7:14" x14ac:dyDescent="0.3">
      <c r="G8561" s="1"/>
      <c r="N8561" s="1"/>
    </row>
    <row r="8562" spans="7:14" x14ac:dyDescent="0.3">
      <c r="G8562" s="1"/>
      <c r="N8562" s="1"/>
    </row>
    <row r="8563" spans="7:14" x14ac:dyDescent="0.3">
      <c r="G8563" s="1"/>
      <c r="N8563" s="1"/>
    </row>
    <row r="8564" spans="7:14" x14ac:dyDescent="0.3">
      <c r="G8564" s="1"/>
      <c r="N8564" s="1"/>
    </row>
    <row r="8565" spans="7:14" x14ac:dyDescent="0.3">
      <c r="G8565" s="1"/>
      <c r="N8565" s="1"/>
    </row>
    <row r="8566" spans="7:14" x14ac:dyDescent="0.3">
      <c r="G8566" s="1"/>
      <c r="N8566" s="1"/>
    </row>
    <row r="8567" spans="7:14" x14ac:dyDescent="0.3">
      <c r="G8567" s="1"/>
      <c r="N8567" s="1"/>
    </row>
    <row r="8568" spans="7:14" x14ac:dyDescent="0.3">
      <c r="G8568" s="1"/>
      <c r="N8568" s="1"/>
    </row>
    <row r="8569" spans="7:14" x14ac:dyDescent="0.3">
      <c r="G8569" s="1"/>
      <c r="N8569" s="1"/>
    </row>
    <row r="8570" spans="7:14" x14ac:dyDescent="0.3">
      <c r="G8570" s="1"/>
      <c r="N8570" s="1"/>
    </row>
    <row r="8571" spans="7:14" x14ac:dyDescent="0.3">
      <c r="G8571" s="1"/>
      <c r="N8571" s="1"/>
    </row>
    <row r="8572" spans="7:14" x14ac:dyDescent="0.3">
      <c r="G8572" s="1"/>
      <c r="N8572" s="1"/>
    </row>
    <row r="8573" spans="7:14" x14ac:dyDescent="0.3">
      <c r="G8573" s="1"/>
      <c r="N8573" s="1"/>
    </row>
    <row r="8574" spans="7:14" x14ac:dyDescent="0.3">
      <c r="G8574" s="1"/>
      <c r="N8574" s="1"/>
    </row>
    <row r="8575" spans="7:14" x14ac:dyDescent="0.3">
      <c r="G8575" s="1"/>
      <c r="N8575" s="1"/>
    </row>
    <row r="8576" spans="7:14" x14ac:dyDescent="0.3">
      <c r="G8576" s="1"/>
      <c r="N8576" s="1"/>
    </row>
    <row r="8577" spans="7:14" x14ac:dyDescent="0.3">
      <c r="G8577" s="1"/>
      <c r="N8577" s="1"/>
    </row>
    <row r="8578" spans="7:14" x14ac:dyDescent="0.3">
      <c r="G8578" s="1"/>
      <c r="N8578" s="1"/>
    </row>
    <row r="8579" spans="7:14" x14ac:dyDescent="0.3">
      <c r="G8579" s="1"/>
      <c r="N8579" s="1"/>
    </row>
    <row r="8580" spans="7:14" x14ac:dyDescent="0.3">
      <c r="G8580" s="1"/>
      <c r="N8580" s="1"/>
    </row>
    <row r="8581" spans="7:14" x14ac:dyDescent="0.3">
      <c r="G8581" s="1"/>
      <c r="N8581" s="1"/>
    </row>
    <row r="8582" spans="7:14" x14ac:dyDescent="0.3">
      <c r="G8582" s="1"/>
      <c r="N8582" s="1"/>
    </row>
    <row r="8583" spans="7:14" x14ac:dyDescent="0.3">
      <c r="G8583" s="1"/>
      <c r="N8583" s="1"/>
    </row>
    <row r="8584" spans="7:14" x14ac:dyDescent="0.3">
      <c r="G8584" s="1"/>
      <c r="N8584" s="1"/>
    </row>
    <row r="8585" spans="7:14" x14ac:dyDescent="0.3">
      <c r="G8585" s="1"/>
      <c r="N8585" s="1"/>
    </row>
    <row r="8586" spans="7:14" x14ac:dyDescent="0.3">
      <c r="G8586" s="1"/>
      <c r="N8586" s="1"/>
    </row>
    <row r="8587" spans="7:14" x14ac:dyDescent="0.3">
      <c r="G8587" s="1"/>
      <c r="N8587" s="1"/>
    </row>
    <row r="8588" spans="7:14" x14ac:dyDescent="0.3">
      <c r="G8588" s="1"/>
      <c r="N8588" s="1"/>
    </row>
    <row r="8589" spans="7:14" x14ac:dyDescent="0.3">
      <c r="G8589" s="1"/>
      <c r="N8589" s="1"/>
    </row>
    <row r="8590" spans="7:14" x14ac:dyDescent="0.3">
      <c r="G8590" s="1"/>
      <c r="N8590" s="1"/>
    </row>
    <row r="8591" spans="7:14" x14ac:dyDescent="0.3">
      <c r="G8591" s="1"/>
      <c r="N8591" s="1"/>
    </row>
    <row r="8592" spans="7:14" x14ac:dyDescent="0.3">
      <c r="G8592" s="1"/>
      <c r="N8592" s="1"/>
    </row>
    <row r="8593" spans="7:14" x14ac:dyDescent="0.3">
      <c r="G8593" s="1"/>
      <c r="N8593" s="1"/>
    </row>
    <row r="8594" spans="7:14" x14ac:dyDescent="0.3">
      <c r="G8594" s="1"/>
      <c r="N8594" s="1"/>
    </row>
    <row r="8595" spans="7:14" x14ac:dyDescent="0.3">
      <c r="G8595" s="1"/>
      <c r="N8595" s="1"/>
    </row>
    <row r="8596" spans="7:14" x14ac:dyDescent="0.3">
      <c r="G8596" s="1"/>
      <c r="N8596" s="1"/>
    </row>
    <row r="8597" spans="7:14" x14ac:dyDescent="0.3">
      <c r="G8597" s="1"/>
      <c r="N8597" s="1"/>
    </row>
    <row r="8598" spans="7:14" x14ac:dyDescent="0.3">
      <c r="G8598" s="1"/>
      <c r="N8598" s="1"/>
    </row>
    <row r="8599" spans="7:14" x14ac:dyDescent="0.3">
      <c r="G8599" s="1"/>
      <c r="N8599" s="1"/>
    </row>
    <row r="8600" spans="7:14" x14ac:dyDescent="0.3">
      <c r="G8600" s="1"/>
      <c r="N8600" s="1"/>
    </row>
    <row r="8601" spans="7:14" x14ac:dyDescent="0.3">
      <c r="G8601" s="1"/>
      <c r="N8601" s="1"/>
    </row>
    <row r="8602" spans="7:14" x14ac:dyDescent="0.3">
      <c r="G8602" s="1"/>
      <c r="N8602" s="1"/>
    </row>
    <row r="8603" spans="7:14" x14ac:dyDescent="0.3">
      <c r="G8603" s="1"/>
      <c r="N8603" s="1"/>
    </row>
    <row r="8604" spans="7:14" x14ac:dyDescent="0.3">
      <c r="G8604" s="1"/>
      <c r="N8604" s="1"/>
    </row>
    <row r="8605" spans="7:14" x14ac:dyDescent="0.3">
      <c r="G8605" s="1"/>
      <c r="N8605" s="1"/>
    </row>
    <row r="8606" spans="7:14" x14ac:dyDescent="0.3">
      <c r="G8606" s="1"/>
      <c r="N8606" s="1"/>
    </row>
    <row r="8607" spans="7:14" x14ac:dyDescent="0.3">
      <c r="G8607" s="1"/>
      <c r="N8607" s="1"/>
    </row>
    <row r="8608" spans="7:14" x14ac:dyDescent="0.3">
      <c r="G8608" s="1"/>
      <c r="N8608" s="1"/>
    </row>
    <row r="8609" spans="7:14" x14ac:dyDescent="0.3">
      <c r="G8609" s="1"/>
      <c r="N8609" s="1"/>
    </row>
    <row r="8610" spans="7:14" x14ac:dyDescent="0.3">
      <c r="G8610" s="1"/>
      <c r="N8610" s="1"/>
    </row>
    <row r="8611" spans="7:14" x14ac:dyDescent="0.3">
      <c r="G8611" s="1"/>
      <c r="N8611" s="1"/>
    </row>
    <row r="8612" spans="7:14" x14ac:dyDescent="0.3">
      <c r="G8612" s="1"/>
      <c r="N8612" s="1"/>
    </row>
    <row r="8613" spans="7:14" x14ac:dyDescent="0.3">
      <c r="G8613" s="1"/>
      <c r="N8613" s="1"/>
    </row>
    <row r="8614" spans="7:14" x14ac:dyDescent="0.3">
      <c r="G8614" s="1"/>
      <c r="N8614" s="1"/>
    </row>
    <row r="8615" spans="7:14" x14ac:dyDescent="0.3">
      <c r="G8615" s="1"/>
      <c r="N8615" s="1"/>
    </row>
    <row r="8616" spans="7:14" x14ac:dyDescent="0.3">
      <c r="G8616" s="1"/>
      <c r="N8616" s="1"/>
    </row>
    <row r="8617" spans="7:14" x14ac:dyDescent="0.3">
      <c r="G8617" s="1"/>
      <c r="N8617" s="1"/>
    </row>
    <row r="8618" spans="7:14" x14ac:dyDescent="0.3">
      <c r="G8618" s="1"/>
      <c r="N8618" s="1"/>
    </row>
    <row r="8619" spans="7:14" x14ac:dyDescent="0.3">
      <c r="G8619" s="1"/>
      <c r="N8619" s="1"/>
    </row>
    <row r="8620" spans="7:14" x14ac:dyDescent="0.3">
      <c r="G8620" s="1"/>
      <c r="N8620" s="1"/>
    </row>
    <row r="8621" spans="7:14" x14ac:dyDescent="0.3">
      <c r="G8621" s="1"/>
      <c r="N8621" s="1"/>
    </row>
    <row r="8622" spans="7:14" x14ac:dyDescent="0.3">
      <c r="G8622" s="1"/>
      <c r="N8622" s="1"/>
    </row>
    <row r="8623" spans="7:14" x14ac:dyDescent="0.3">
      <c r="G8623" s="1"/>
      <c r="N8623" s="1"/>
    </row>
    <row r="8624" spans="7:14" x14ac:dyDescent="0.3">
      <c r="G8624" s="1"/>
      <c r="N8624" s="1"/>
    </row>
    <row r="8625" spans="7:14" x14ac:dyDescent="0.3">
      <c r="G8625" s="1"/>
      <c r="N8625" s="1"/>
    </row>
    <row r="8626" spans="7:14" x14ac:dyDescent="0.3">
      <c r="G8626" s="1"/>
      <c r="N8626" s="1"/>
    </row>
    <row r="8627" spans="7:14" x14ac:dyDescent="0.3">
      <c r="G8627" s="1"/>
      <c r="N8627" s="1"/>
    </row>
    <row r="8628" spans="7:14" x14ac:dyDescent="0.3">
      <c r="G8628" s="1"/>
      <c r="N8628" s="1"/>
    </row>
    <row r="8629" spans="7:14" x14ac:dyDescent="0.3">
      <c r="G8629" s="1"/>
      <c r="N8629" s="1"/>
    </row>
    <row r="8630" spans="7:14" x14ac:dyDescent="0.3">
      <c r="G8630" s="1"/>
      <c r="N8630" s="1"/>
    </row>
    <row r="8631" spans="7:14" x14ac:dyDescent="0.3">
      <c r="G8631" s="1"/>
      <c r="N8631" s="1"/>
    </row>
    <row r="8632" spans="7:14" x14ac:dyDescent="0.3">
      <c r="G8632" s="1"/>
      <c r="N8632" s="1"/>
    </row>
    <row r="8633" spans="7:14" x14ac:dyDescent="0.3">
      <c r="G8633" s="1"/>
      <c r="N8633" s="1"/>
    </row>
    <row r="8634" spans="7:14" x14ac:dyDescent="0.3">
      <c r="G8634" s="1"/>
      <c r="N8634" s="1"/>
    </row>
    <row r="8635" spans="7:14" x14ac:dyDescent="0.3">
      <c r="G8635" s="1"/>
      <c r="N8635" s="1"/>
    </row>
    <row r="8636" spans="7:14" x14ac:dyDescent="0.3">
      <c r="G8636" s="1"/>
      <c r="N8636" s="1"/>
    </row>
    <row r="8637" spans="7:14" x14ac:dyDescent="0.3">
      <c r="G8637" s="1"/>
      <c r="N8637" s="1"/>
    </row>
    <row r="8638" spans="7:14" x14ac:dyDescent="0.3">
      <c r="G8638" s="1"/>
      <c r="N8638" s="1"/>
    </row>
    <row r="8639" spans="7:14" x14ac:dyDescent="0.3">
      <c r="G8639" s="1"/>
      <c r="N8639" s="1"/>
    </row>
    <row r="8640" spans="7:14" x14ac:dyDescent="0.3">
      <c r="G8640" s="1"/>
      <c r="N8640" s="1"/>
    </row>
    <row r="8641" spans="7:14" x14ac:dyDescent="0.3">
      <c r="G8641" s="1"/>
      <c r="N8641" s="1"/>
    </row>
    <row r="8642" spans="7:14" x14ac:dyDescent="0.3">
      <c r="G8642" s="1"/>
      <c r="N8642" s="1"/>
    </row>
    <row r="8643" spans="7:14" x14ac:dyDescent="0.3">
      <c r="G8643" s="1"/>
      <c r="N8643" s="1"/>
    </row>
    <row r="8644" spans="7:14" x14ac:dyDescent="0.3">
      <c r="G8644" s="1"/>
      <c r="N8644" s="1"/>
    </row>
    <row r="8645" spans="7:14" x14ac:dyDescent="0.3">
      <c r="G8645" s="1"/>
      <c r="N8645" s="1"/>
    </row>
    <row r="8646" spans="7:14" x14ac:dyDescent="0.3">
      <c r="G8646" s="1"/>
      <c r="N8646" s="1"/>
    </row>
    <row r="8647" spans="7:14" x14ac:dyDescent="0.3">
      <c r="G8647" s="1"/>
      <c r="N8647" s="1"/>
    </row>
    <row r="8648" spans="7:14" x14ac:dyDescent="0.3">
      <c r="G8648" s="1"/>
      <c r="N8648" s="1"/>
    </row>
    <row r="8649" spans="7:14" x14ac:dyDescent="0.3">
      <c r="G8649" s="1"/>
      <c r="N8649" s="1"/>
    </row>
    <row r="8650" spans="7:14" x14ac:dyDescent="0.3">
      <c r="G8650" s="1"/>
      <c r="N8650" s="1"/>
    </row>
    <row r="8651" spans="7:14" x14ac:dyDescent="0.3">
      <c r="G8651" s="1"/>
      <c r="N8651" s="1"/>
    </row>
    <row r="8652" spans="7:14" x14ac:dyDescent="0.3">
      <c r="G8652" s="1"/>
      <c r="N8652" s="1"/>
    </row>
    <row r="8653" spans="7:14" x14ac:dyDescent="0.3">
      <c r="G8653" s="1"/>
      <c r="N8653" s="1"/>
    </row>
    <row r="8654" spans="7:14" x14ac:dyDescent="0.3">
      <c r="G8654" s="1"/>
      <c r="N8654" s="1"/>
    </row>
    <row r="8655" spans="7:14" x14ac:dyDescent="0.3">
      <c r="G8655" s="1"/>
      <c r="N8655" s="1"/>
    </row>
    <row r="8656" spans="7:14" x14ac:dyDescent="0.3">
      <c r="G8656" s="1"/>
      <c r="N8656" s="1"/>
    </row>
    <row r="8657" spans="7:14" x14ac:dyDescent="0.3">
      <c r="G8657" s="1"/>
      <c r="N8657" s="1"/>
    </row>
    <row r="8658" spans="7:14" x14ac:dyDescent="0.3">
      <c r="G8658" s="1"/>
      <c r="N8658" s="1"/>
    </row>
    <row r="8659" spans="7:14" x14ac:dyDescent="0.3">
      <c r="G8659" s="1"/>
      <c r="N8659" s="1"/>
    </row>
    <row r="8660" spans="7:14" x14ac:dyDescent="0.3">
      <c r="G8660" s="1"/>
      <c r="N8660" s="1"/>
    </row>
    <row r="8661" spans="7:14" x14ac:dyDescent="0.3">
      <c r="G8661" s="1"/>
      <c r="N8661" s="1"/>
    </row>
    <row r="8662" spans="7:14" x14ac:dyDescent="0.3">
      <c r="G8662" s="1"/>
      <c r="N8662" s="1"/>
    </row>
    <row r="8663" spans="7:14" x14ac:dyDescent="0.3">
      <c r="G8663" s="1"/>
      <c r="N8663" s="1"/>
    </row>
    <row r="8664" spans="7:14" x14ac:dyDescent="0.3">
      <c r="G8664" s="1"/>
      <c r="N8664" s="1"/>
    </row>
    <row r="8665" spans="7:14" x14ac:dyDescent="0.3">
      <c r="G8665" s="1"/>
      <c r="N8665" s="1"/>
    </row>
    <row r="8666" spans="7:14" x14ac:dyDescent="0.3">
      <c r="G8666" s="1"/>
      <c r="N8666" s="1"/>
    </row>
    <row r="8667" spans="7:14" x14ac:dyDescent="0.3">
      <c r="G8667" s="1"/>
      <c r="N8667" s="1"/>
    </row>
    <row r="8668" spans="7:14" x14ac:dyDescent="0.3">
      <c r="G8668" s="1"/>
      <c r="N8668" s="1"/>
    </row>
    <row r="8669" spans="7:14" x14ac:dyDescent="0.3">
      <c r="G8669" s="1"/>
      <c r="N8669" s="1"/>
    </row>
    <row r="8670" spans="7:14" x14ac:dyDescent="0.3">
      <c r="G8670" s="1"/>
      <c r="N8670" s="1"/>
    </row>
    <row r="8671" spans="7:14" x14ac:dyDescent="0.3">
      <c r="G8671" s="1"/>
      <c r="N8671" s="1"/>
    </row>
    <row r="8672" spans="7:14" x14ac:dyDescent="0.3">
      <c r="G8672" s="1"/>
      <c r="N8672" s="1"/>
    </row>
    <row r="8673" spans="7:14" x14ac:dyDescent="0.3">
      <c r="G8673" s="1"/>
      <c r="N8673" s="1"/>
    </row>
    <row r="8674" spans="7:14" x14ac:dyDescent="0.3">
      <c r="G8674" s="1"/>
      <c r="N8674" s="1"/>
    </row>
    <row r="8675" spans="7:14" x14ac:dyDescent="0.3">
      <c r="G8675" s="1"/>
      <c r="N8675" s="1"/>
    </row>
    <row r="8676" spans="7:14" x14ac:dyDescent="0.3">
      <c r="G8676" s="1"/>
      <c r="N8676" s="1"/>
    </row>
    <row r="8677" spans="7:14" x14ac:dyDescent="0.3">
      <c r="G8677" s="1"/>
      <c r="N8677" s="1"/>
    </row>
    <row r="8678" spans="7:14" x14ac:dyDescent="0.3">
      <c r="G8678" s="1"/>
      <c r="N8678" s="1"/>
    </row>
    <row r="8679" spans="7:14" x14ac:dyDescent="0.3">
      <c r="G8679" s="1"/>
      <c r="N8679" s="1"/>
    </row>
    <row r="8680" spans="7:14" x14ac:dyDescent="0.3">
      <c r="G8680" s="1"/>
      <c r="N8680" s="1"/>
    </row>
    <row r="8681" spans="7:14" x14ac:dyDescent="0.3">
      <c r="G8681" s="1"/>
      <c r="N8681" s="1"/>
    </row>
    <row r="8682" spans="7:14" x14ac:dyDescent="0.3">
      <c r="G8682" s="1"/>
      <c r="N8682" s="1"/>
    </row>
    <row r="8683" spans="7:14" x14ac:dyDescent="0.3">
      <c r="G8683" s="1"/>
      <c r="N8683" s="1"/>
    </row>
    <row r="8684" spans="7:14" x14ac:dyDescent="0.3">
      <c r="G8684" s="1"/>
      <c r="N8684" s="1"/>
    </row>
    <row r="8685" spans="7:14" x14ac:dyDescent="0.3">
      <c r="G8685" s="1"/>
      <c r="N8685" s="1"/>
    </row>
    <row r="8686" spans="7:14" x14ac:dyDescent="0.3">
      <c r="G8686" s="1"/>
      <c r="N8686" s="1"/>
    </row>
    <row r="8687" spans="7:14" x14ac:dyDescent="0.3">
      <c r="G8687" s="1"/>
      <c r="N8687" s="1"/>
    </row>
    <row r="8688" spans="7:14" x14ac:dyDescent="0.3">
      <c r="G8688" s="1"/>
      <c r="N8688" s="1"/>
    </row>
    <row r="8689" spans="7:14" x14ac:dyDescent="0.3">
      <c r="G8689" s="1"/>
      <c r="N8689" s="1"/>
    </row>
    <row r="8690" spans="7:14" x14ac:dyDescent="0.3">
      <c r="G8690" s="1"/>
      <c r="N8690" s="1"/>
    </row>
    <row r="8691" spans="7:14" x14ac:dyDescent="0.3">
      <c r="G8691" s="1"/>
      <c r="N8691" s="1"/>
    </row>
    <row r="8692" spans="7:14" x14ac:dyDescent="0.3">
      <c r="G8692" s="1"/>
      <c r="N8692" s="1"/>
    </row>
    <row r="8693" spans="7:14" x14ac:dyDescent="0.3">
      <c r="G8693" s="1"/>
      <c r="N8693" s="1"/>
    </row>
    <row r="8694" spans="7:14" x14ac:dyDescent="0.3">
      <c r="G8694" s="1"/>
      <c r="N8694" s="1"/>
    </row>
    <row r="8695" spans="7:14" x14ac:dyDescent="0.3">
      <c r="G8695" s="1"/>
      <c r="N8695" s="1"/>
    </row>
    <row r="8696" spans="7:14" x14ac:dyDescent="0.3">
      <c r="G8696" s="1"/>
      <c r="N8696" s="1"/>
    </row>
    <row r="8697" spans="7:14" x14ac:dyDescent="0.3">
      <c r="G8697" s="1"/>
      <c r="N8697" s="1"/>
    </row>
    <row r="8698" spans="7:14" x14ac:dyDescent="0.3">
      <c r="G8698" s="1"/>
      <c r="N8698" s="1"/>
    </row>
    <row r="8699" spans="7:14" x14ac:dyDescent="0.3">
      <c r="G8699" s="1"/>
      <c r="N8699" s="1"/>
    </row>
    <row r="8700" spans="7:14" x14ac:dyDescent="0.3">
      <c r="G8700" s="1"/>
      <c r="N8700" s="1"/>
    </row>
    <row r="8701" spans="7:14" x14ac:dyDescent="0.3">
      <c r="G8701" s="1"/>
      <c r="N8701" s="1"/>
    </row>
    <row r="8702" spans="7:14" x14ac:dyDescent="0.3">
      <c r="G8702" s="1"/>
      <c r="N8702" s="1"/>
    </row>
    <row r="8703" spans="7:14" x14ac:dyDescent="0.3">
      <c r="G8703" s="1"/>
      <c r="N8703" s="1"/>
    </row>
    <row r="8704" spans="7:14" x14ac:dyDescent="0.3">
      <c r="G8704" s="1"/>
      <c r="N8704" s="1"/>
    </row>
    <row r="8705" spans="7:14" x14ac:dyDescent="0.3">
      <c r="G8705" s="1"/>
      <c r="N8705" s="1"/>
    </row>
    <row r="8706" spans="7:14" x14ac:dyDescent="0.3">
      <c r="G8706" s="1"/>
      <c r="N8706" s="1"/>
    </row>
    <row r="8707" spans="7:14" x14ac:dyDescent="0.3">
      <c r="G8707" s="1"/>
      <c r="N8707" s="1"/>
    </row>
    <row r="8708" spans="7:14" x14ac:dyDescent="0.3">
      <c r="G8708" s="1"/>
      <c r="N8708" s="1"/>
    </row>
    <row r="8709" spans="7:14" x14ac:dyDescent="0.3">
      <c r="G8709" s="1"/>
      <c r="N8709" s="1"/>
    </row>
    <row r="8710" spans="7:14" x14ac:dyDescent="0.3">
      <c r="G8710" s="1"/>
      <c r="N8710" s="1"/>
    </row>
    <row r="8711" spans="7:14" x14ac:dyDescent="0.3">
      <c r="G8711" s="1"/>
      <c r="N8711" s="1"/>
    </row>
    <row r="8712" spans="7:14" x14ac:dyDescent="0.3">
      <c r="G8712" s="1"/>
      <c r="N8712" s="1"/>
    </row>
    <row r="8713" spans="7:14" x14ac:dyDescent="0.3">
      <c r="G8713" s="1"/>
      <c r="N8713" s="1"/>
    </row>
    <row r="8714" spans="7:14" x14ac:dyDescent="0.3">
      <c r="G8714" s="1"/>
      <c r="N8714" s="1"/>
    </row>
    <row r="8715" spans="7:14" x14ac:dyDescent="0.3">
      <c r="G8715" s="1"/>
      <c r="N8715" s="1"/>
    </row>
    <row r="8716" spans="7:14" x14ac:dyDescent="0.3">
      <c r="G8716" s="1"/>
      <c r="N8716" s="1"/>
    </row>
    <row r="8717" spans="7:14" x14ac:dyDescent="0.3">
      <c r="G8717" s="1"/>
      <c r="N8717" s="1"/>
    </row>
    <row r="8718" spans="7:14" x14ac:dyDescent="0.3">
      <c r="G8718" s="1"/>
      <c r="N8718" s="1"/>
    </row>
    <row r="8719" spans="7:14" x14ac:dyDescent="0.3">
      <c r="G8719" s="1"/>
      <c r="N8719" s="1"/>
    </row>
    <row r="8720" spans="7:14" x14ac:dyDescent="0.3">
      <c r="G8720" s="1"/>
      <c r="N8720" s="1"/>
    </row>
    <row r="8721" spans="7:14" x14ac:dyDescent="0.3">
      <c r="G8721" s="1"/>
      <c r="N8721" s="1"/>
    </row>
    <row r="8722" spans="7:14" x14ac:dyDescent="0.3">
      <c r="G8722" s="1"/>
      <c r="N8722" s="1"/>
    </row>
    <row r="8723" spans="7:14" x14ac:dyDescent="0.3">
      <c r="G8723" s="1"/>
      <c r="N8723" s="1"/>
    </row>
    <row r="8724" spans="7:14" x14ac:dyDescent="0.3">
      <c r="G8724" s="1"/>
      <c r="N8724" s="1"/>
    </row>
    <row r="8725" spans="7:14" x14ac:dyDescent="0.3">
      <c r="G8725" s="1"/>
      <c r="N8725" s="1"/>
    </row>
    <row r="8726" spans="7:14" x14ac:dyDescent="0.3">
      <c r="G8726" s="1"/>
      <c r="N8726" s="1"/>
    </row>
    <row r="8727" spans="7:14" x14ac:dyDescent="0.3">
      <c r="G8727" s="1"/>
      <c r="N8727" s="1"/>
    </row>
    <row r="8728" spans="7:14" x14ac:dyDescent="0.3">
      <c r="G8728" s="1"/>
      <c r="N8728" s="1"/>
    </row>
    <row r="8729" spans="7:14" x14ac:dyDescent="0.3">
      <c r="G8729" s="1"/>
      <c r="N8729" s="1"/>
    </row>
    <row r="8730" spans="7:14" x14ac:dyDescent="0.3">
      <c r="G8730" s="1"/>
      <c r="N8730" s="1"/>
    </row>
    <row r="8731" spans="7:14" x14ac:dyDescent="0.3">
      <c r="G8731" s="1"/>
      <c r="N8731" s="1"/>
    </row>
    <row r="8732" spans="7:14" x14ac:dyDescent="0.3">
      <c r="G8732" s="1"/>
      <c r="N8732" s="1"/>
    </row>
    <row r="8733" spans="7:14" x14ac:dyDescent="0.3">
      <c r="G8733" s="1"/>
      <c r="N8733" s="1"/>
    </row>
    <row r="8734" spans="7:14" x14ac:dyDescent="0.3">
      <c r="G8734" s="1"/>
      <c r="N8734" s="1"/>
    </row>
    <row r="8735" spans="7:14" x14ac:dyDescent="0.3">
      <c r="G8735" s="1"/>
      <c r="N8735" s="1"/>
    </row>
    <row r="8736" spans="7:14" x14ac:dyDescent="0.3">
      <c r="G8736" s="1"/>
      <c r="N8736" s="1"/>
    </row>
    <row r="8737" spans="7:14" x14ac:dyDescent="0.3">
      <c r="G8737" s="1"/>
      <c r="N8737" s="1"/>
    </row>
    <row r="8738" spans="7:14" x14ac:dyDescent="0.3">
      <c r="G8738" s="1"/>
      <c r="N8738" s="1"/>
    </row>
    <row r="8739" spans="7:14" x14ac:dyDescent="0.3">
      <c r="G8739" s="1"/>
      <c r="N8739" s="1"/>
    </row>
    <row r="8740" spans="7:14" x14ac:dyDescent="0.3">
      <c r="G8740" s="1"/>
      <c r="N8740" s="1"/>
    </row>
    <row r="8741" spans="7:14" x14ac:dyDescent="0.3">
      <c r="G8741" s="1"/>
      <c r="N8741" s="1"/>
    </row>
    <row r="8742" spans="7:14" x14ac:dyDescent="0.3">
      <c r="G8742" s="1"/>
      <c r="N8742" s="1"/>
    </row>
    <row r="8743" spans="7:14" x14ac:dyDescent="0.3">
      <c r="G8743" s="1"/>
      <c r="N8743" s="1"/>
    </row>
    <row r="8744" spans="7:14" x14ac:dyDescent="0.3">
      <c r="G8744" s="1"/>
      <c r="N8744" s="1"/>
    </row>
    <row r="8745" spans="7:14" x14ac:dyDescent="0.3">
      <c r="G8745" s="1"/>
      <c r="N8745" s="1"/>
    </row>
    <row r="8746" spans="7:14" x14ac:dyDescent="0.3">
      <c r="G8746" s="1"/>
      <c r="N8746" s="1"/>
    </row>
    <row r="8747" spans="7:14" x14ac:dyDescent="0.3">
      <c r="G8747" s="1"/>
      <c r="N8747" s="1"/>
    </row>
    <row r="8748" spans="7:14" x14ac:dyDescent="0.3">
      <c r="G8748" s="1"/>
      <c r="N8748" s="1"/>
    </row>
    <row r="8749" spans="7:14" x14ac:dyDescent="0.3">
      <c r="G8749" s="1"/>
      <c r="N8749" s="1"/>
    </row>
    <row r="8750" spans="7:14" x14ac:dyDescent="0.3">
      <c r="G8750" s="1"/>
      <c r="N8750" s="1"/>
    </row>
    <row r="8751" spans="7:14" x14ac:dyDescent="0.3">
      <c r="G8751" s="1"/>
      <c r="N8751" s="1"/>
    </row>
    <row r="8752" spans="7:14" x14ac:dyDescent="0.3">
      <c r="G8752" s="1"/>
      <c r="N8752" s="1"/>
    </row>
    <row r="8753" spans="7:14" x14ac:dyDescent="0.3">
      <c r="G8753" s="1"/>
      <c r="N8753" s="1"/>
    </row>
    <row r="8754" spans="7:14" x14ac:dyDescent="0.3">
      <c r="G8754" s="1"/>
      <c r="N8754" s="1"/>
    </row>
    <row r="8755" spans="7:14" x14ac:dyDescent="0.3">
      <c r="G8755" s="1"/>
      <c r="N8755" s="1"/>
    </row>
    <row r="8756" spans="7:14" x14ac:dyDescent="0.3">
      <c r="G8756" s="1"/>
      <c r="N8756" s="1"/>
    </row>
    <row r="8757" spans="7:14" x14ac:dyDescent="0.3">
      <c r="G8757" s="1"/>
      <c r="N8757" s="1"/>
    </row>
    <row r="8758" spans="7:14" x14ac:dyDescent="0.3">
      <c r="G8758" s="1"/>
      <c r="N8758" s="1"/>
    </row>
    <row r="8759" spans="7:14" x14ac:dyDescent="0.3">
      <c r="G8759" s="1"/>
      <c r="N8759" s="1"/>
    </row>
    <row r="8760" spans="7:14" x14ac:dyDescent="0.3">
      <c r="G8760" s="1"/>
      <c r="N8760" s="1"/>
    </row>
    <row r="8761" spans="7:14" x14ac:dyDescent="0.3">
      <c r="G8761" s="1"/>
      <c r="N8761" s="1"/>
    </row>
    <row r="8762" spans="7:14" x14ac:dyDescent="0.3">
      <c r="G8762" s="1"/>
      <c r="N8762" s="1"/>
    </row>
    <row r="8763" spans="7:14" x14ac:dyDescent="0.3">
      <c r="G8763" s="1"/>
      <c r="N8763" s="1"/>
    </row>
    <row r="8764" spans="7:14" x14ac:dyDescent="0.3">
      <c r="G8764" s="1"/>
      <c r="N8764" s="1"/>
    </row>
    <row r="8765" spans="7:14" x14ac:dyDescent="0.3">
      <c r="G8765" s="1"/>
      <c r="N8765" s="1"/>
    </row>
    <row r="8766" spans="7:14" x14ac:dyDescent="0.3">
      <c r="G8766" s="1"/>
      <c r="N8766" s="1"/>
    </row>
    <row r="8767" spans="7:14" x14ac:dyDescent="0.3">
      <c r="G8767" s="1"/>
      <c r="N8767" s="1"/>
    </row>
    <row r="8768" spans="7:14" x14ac:dyDescent="0.3">
      <c r="G8768" s="1"/>
      <c r="N8768" s="1"/>
    </row>
    <row r="8769" spans="7:14" x14ac:dyDescent="0.3">
      <c r="G8769" s="1"/>
      <c r="N8769" s="1"/>
    </row>
    <row r="8770" spans="7:14" x14ac:dyDescent="0.3">
      <c r="G8770" s="1"/>
      <c r="N8770" s="1"/>
    </row>
    <row r="8771" spans="7:14" x14ac:dyDescent="0.3">
      <c r="G8771" s="1"/>
      <c r="N8771" s="1"/>
    </row>
    <row r="8772" spans="7:14" x14ac:dyDescent="0.3">
      <c r="G8772" s="1"/>
      <c r="N8772" s="1"/>
    </row>
    <row r="8773" spans="7:14" x14ac:dyDescent="0.3">
      <c r="G8773" s="1"/>
      <c r="N8773" s="1"/>
    </row>
    <row r="8774" spans="7:14" x14ac:dyDescent="0.3">
      <c r="G8774" s="1"/>
      <c r="N8774" s="1"/>
    </row>
    <row r="8775" spans="7:14" x14ac:dyDescent="0.3">
      <c r="G8775" s="1"/>
      <c r="N8775" s="1"/>
    </row>
    <row r="8776" spans="7:14" x14ac:dyDescent="0.3">
      <c r="G8776" s="1"/>
      <c r="N8776" s="1"/>
    </row>
    <row r="8777" spans="7:14" x14ac:dyDescent="0.3">
      <c r="G8777" s="1"/>
      <c r="N8777" s="1"/>
    </row>
    <row r="8778" spans="7:14" x14ac:dyDescent="0.3">
      <c r="G8778" s="1"/>
      <c r="N8778" s="1"/>
    </row>
    <row r="8779" spans="7:14" x14ac:dyDescent="0.3">
      <c r="G8779" s="1"/>
      <c r="N8779" s="1"/>
    </row>
    <row r="8780" spans="7:14" x14ac:dyDescent="0.3">
      <c r="G8780" s="1"/>
      <c r="N8780" s="1"/>
    </row>
    <row r="8781" spans="7:14" x14ac:dyDescent="0.3">
      <c r="G8781" s="1"/>
      <c r="N8781" s="1"/>
    </row>
    <row r="8782" spans="7:14" x14ac:dyDescent="0.3">
      <c r="G8782" s="1"/>
      <c r="N8782" s="1"/>
    </row>
    <row r="8783" spans="7:14" x14ac:dyDescent="0.3">
      <c r="G8783" s="1"/>
      <c r="N8783" s="1"/>
    </row>
    <row r="8784" spans="7:14" x14ac:dyDescent="0.3">
      <c r="G8784" s="1"/>
      <c r="N8784" s="1"/>
    </row>
    <row r="8785" spans="7:14" x14ac:dyDescent="0.3">
      <c r="G8785" s="1"/>
      <c r="N8785" s="1"/>
    </row>
    <row r="8786" spans="7:14" x14ac:dyDescent="0.3">
      <c r="G8786" s="1"/>
      <c r="N8786" s="1"/>
    </row>
    <row r="8787" spans="7:14" x14ac:dyDescent="0.3">
      <c r="G8787" s="1"/>
      <c r="N8787" s="1"/>
    </row>
    <row r="8788" spans="7:14" x14ac:dyDescent="0.3">
      <c r="G8788" s="1"/>
      <c r="N8788" s="1"/>
    </row>
    <row r="8789" spans="7:14" x14ac:dyDescent="0.3">
      <c r="G8789" s="1"/>
      <c r="N8789" s="1"/>
    </row>
    <row r="8790" spans="7:14" x14ac:dyDescent="0.3">
      <c r="G8790" s="1"/>
      <c r="N8790" s="1"/>
    </row>
    <row r="8791" spans="7:14" x14ac:dyDescent="0.3">
      <c r="G8791" s="1"/>
      <c r="N8791" s="1"/>
    </row>
    <row r="8792" spans="7:14" x14ac:dyDescent="0.3">
      <c r="G8792" s="1"/>
      <c r="N8792" s="1"/>
    </row>
    <row r="8793" spans="7:14" x14ac:dyDescent="0.3">
      <c r="G8793" s="1"/>
      <c r="N8793" s="1"/>
    </row>
    <row r="8794" spans="7:14" x14ac:dyDescent="0.3">
      <c r="G8794" s="1"/>
      <c r="N8794" s="1"/>
    </row>
    <row r="8795" spans="7:14" x14ac:dyDescent="0.3">
      <c r="G8795" s="1"/>
      <c r="N8795" s="1"/>
    </row>
    <row r="8796" spans="7:14" x14ac:dyDescent="0.3">
      <c r="G8796" s="1"/>
      <c r="N8796" s="1"/>
    </row>
    <row r="8797" spans="7:14" x14ac:dyDescent="0.3">
      <c r="G8797" s="1"/>
      <c r="N8797" s="1"/>
    </row>
    <row r="8798" spans="7:14" x14ac:dyDescent="0.3">
      <c r="G8798" s="1"/>
      <c r="N8798" s="1"/>
    </row>
    <row r="8799" spans="7:14" x14ac:dyDescent="0.3">
      <c r="G8799" s="1"/>
      <c r="N8799" s="1"/>
    </row>
    <row r="8800" spans="7:14" x14ac:dyDescent="0.3">
      <c r="G8800" s="1"/>
      <c r="N8800" s="1"/>
    </row>
    <row r="8801" spans="7:14" x14ac:dyDescent="0.3">
      <c r="G8801" s="1"/>
      <c r="N8801" s="1"/>
    </row>
    <row r="8802" spans="7:14" x14ac:dyDescent="0.3">
      <c r="G8802" s="1"/>
      <c r="N8802" s="1"/>
    </row>
    <row r="8803" spans="7:14" x14ac:dyDescent="0.3">
      <c r="G8803" s="1"/>
      <c r="N8803" s="1"/>
    </row>
    <row r="8804" spans="7:14" x14ac:dyDescent="0.3">
      <c r="G8804" s="1"/>
      <c r="N8804" s="1"/>
    </row>
    <row r="8805" spans="7:14" x14ac:dyDescent="0.3">
      <c r="G8805" s="1"/>
      <c r="N8805" s="1"/>
    </row>
    <row r="8806" spans="7:14" x14ac:dyDescent="0.3">
      <c r="G8806" s="1"/>
      <c r="N8806" s="1"/>
    </row>
    <row r="8807" spans="7:14" x14ac:dyDescent="0.3">
      <c r="G8807" s="1"/>
      <c r="N8807" s="1"/>
    </row>
    <row r="8808" spans="7:14" x14ac:dyDescent="0.3">
      <c r="G8808" s="1"/>
      <c r="N8808" s="1"/>
    </row>
    <row r="8809" spans="7:14" x14ac:dyDescent="0.3">
      <c r="G8809" s="1"/>
      <c r="N8809" s="1"/>
    </row>
    <row r="8810" spans="7:14" x14ac:dyDescent="0.3">
      <c r="G8810" s="1"/>
      <c r="N8810" s="1"/>
    </row>
    <row r="8811" spans="7:14" x14ac:dyDescent="0.3">
      <c r="G8811" s="1"/>
      <c r="N8811" s="1"/>
    </row>
    <row r="8812" spans="7:14" x14ac:dyDescent="0.3">
      <c r="G8812" s="1"/>
      <c r="N8812" s="1"/>
    </row>
    <row r="8813" spans="7:14" x14ac:dyDescent="0.3">
      <c r="G8813" s="1"/>
      <c r="N8813" s="1"/>
    </row>
    <row r="8814" spans="7:14" x14ac:dyDescent="0.3">
      <c r="G8814" s="1"/>
      <c r="N8814" s="1"/>
    </row>
    <row r="8815" spans="7:14" x14ac:dyDescent="0.3">
      <c r="G8815" s="1"/>
      <c r="N8815" s="1"/>
    </row>
    <row r="8816" spans="7:14" x14ac:dyDescent="0.3">
      <c r="G8816" s="1"/>
      <c r="N8816" s="1"/>
    </row>
    <row r="8817" spans="7:14" x14ac:dyDescent="0.3">
      <c r="G8817" s="1"/>
      <c r="N8817" s="1"/>
    </row>
    <row r="8818" spans="7:14" x14ac:dyDescent="0.3">
      <c r="G8818" s="1"/>
      <c r="N8818" s="1"/>
    </row>
    <row r="8819" spans="7:14" x14ac:dyDescent="0.3">
      <c r="G8819" s="1"/>
      <c r="N8819" s="1"/>
    </row>
    <row r="8820" spans="7:14" x14ac:dyDescent="0.3">
      <c r="G8820" s="1"/>
      <c r="N8820" s="1"/>
    </row>
    <row r="8821" spans="7:14" x14ac:dyDescent="0.3">
      <c r="G8821" s="1"/>
      <c r="N8821" s="1"/>
    </row>
    <row r="8822" spans="7:14" x14ac:dyDescent="0.3">
      <c r="G8822" s="1"/>
      <c r="N8822" s="1"/>
    </row>
    <row r="8823" spans="7:14" x14ac:dyDescent="0.3">
      <c r="G8823" s="1"/>
      <c r="N8823" s="1"/>
    </row>
    <row r="8824" spans="7:14" x14ac:dyDescent="0.3">
      <c r="G8824" s="1"/>
      <c r="N8824" s="1"/>
    </row>
    <row r="8825" spans="7:14" x14ac:dyDescent="0.3">
      <c r="G8825" s="1"/>
      <c r="N8825" s="1"/>
    </row>
    <row r="8826" spans="7:14" x14ac:dyDescent="0.3">
      <c r="G8826" s="1"/>
      <c r="N8826" s="1"/>
    </row>
    <row r="8827" spans="7:14" x14ac:dyDescent="0.3">
      <c r="G8827" s="1"/>
      <c r="N8827" s="1"/>
    </row>
    <row r="8828" spans="7:14" x14ac:dyDescent="0.3">
      <c r="G8828" s="1"/>
      <c r="N8828" s="1"/>
    </row>
    <row r="8829" spans="7:14" x14ac:dyDescent="0.3">
      <c r="G8829" s="1"/>
      <c r="N8829" s="1"/>
    </row>
    <row r="8830" spans="7:14" x14ac:dyDescent="0.3">
      <c r="G8830" s="1"/>
      <c r="N8830" s="1"/>
    </row>
    <row r="8831" spans="7:14" x14ac:dyDescent="0.3">
      <c r="G8831" s="1"/>
      <c r="N8831" s="1"/>
    </row>
    <row r="8832" spans="7:14" x14ac:dyDescent="0.3">
      <c r="G8832" s="1"/>
      <c r="N8832" s="1"/>
    </row>
    <row r="8833" spans="7:14" x14ac:dyDescent="0.3">
      <c r="G8833" s="1"/>
      <c r="N8833" s="1"/>
    </row>
    <row r="8834" spans="7:14" x14ac:dyDescent="0.3">
      <c r="G8834" s="1"/>
      <c r="N8834" s="1"/>
    </row>
    <row r="8835" spans="7:14" x14ac:dyDescent="0.3">
      <c r="G8835" s="1"/>
      <c r="N8835" s="1"/>
    </row>
    <row r="8836" spans="7:14" x14ac:dyDescent="0.3">
      <c r="G8836" s="1"/>
      <c r="N8836" s="1"/>
    </row>
    <row r="8837" spans="7:14" x14ac:dyDescent="0.3">
      <c r="G8837" s="1"/>
      <c r="N8837" s="1"/>
    </row>
    <row r="8838" spans="7:14" x14ac:dyDescent="0.3">
      <c r="G8838" s="1"/>
      <c r="N8838" s="1"/>
    </row>
    <row r="8839" spans="7:14" x14ac:dyDescent="0.3">
      <c r="G8839" s="1"/>
      <c r="N8839" s="1"/>
    </row>
    <row r="8840" spans="7:14" x14ac:dyDescent="0.3">
      <c r="G8840" s="1"/>
      <c r="N8840" s="1"/>
    </row>
    <row r="8841" spans="7:14" x14ac:dyDescent="0.3">
      <c r="G8841" s="1"/>
      <c r="N8841" s="1"/>
    </row>
    <row r="8842" spans="7:14" x14ac:dyDescent="0.3">
      <c r="G8842" s="1"/>
      <c r="N8842" s="1"/>
    </row>
    <row r="8843" spans="7:14" x14ac:dyDescent="0.3">
      <c r="G8843" s="1"/>
      <c r="N8843" s="1"/>
    </row>
    <row r="8844" spans="7:14" x14ac:dyDescent="0.3">
      <c r="G8844" s="1"/>
      <c r="N8844" s="1"/>
    </row>
    <row r="8845" spans="7:14" x14ac:dyDescent="0.3">
      <c r="G8845" s="1"/>
      <c r="N8845" s="1"/>
    </row>
    <row r="8846" spans="7:14" x14ac:dyDescent="0.3">
      <c r="G8846" s="1"/>
      <c r="N8846" s="1"/>
    </row>
    <row r="8847" spans="7:14" x14ac:dyDescent="0.3">
      <c r="G8847" s="1"/>
      <c r="N8847" s="1"/>
    </row>
    <row r="8848" spans="7:14" x14ac:dyDescent="0.3">
      <c r="G8848" s="1"/>
      <c r="N8848" s="1"/>
    </row>
    <row r="8849" spans="7:14" x14ac:dyDescent="0.3">
      <c r="G8849" s="1"/>
      <c r="N8849" s="1"/>
    </row>
    <row r="8850" spans="7:14" x14ac:dyDescent="0.3">
      <c r="G8850" s="1"/>
      <c r="N8850" s="1"/>
    </row>
    <row r="8851" spans="7:14" x14ac:dyDescent="0.3">
      <c r="G8851" s="1"/>
      <c r="N8851" s="1"/>
    </row>
    <row r="8852" spans="7:14" x14ac:dyDescent="0.3">
      <c r="G8852" s="1"/>
      <c r="N8852" s="1"/>
    </row>
    <row r="8853" spans="7:14" x14ac:dyDescent="0.3">
      <c r="G8853" s="1"/>
      <c r="N8853" s="1"/>
    </row>
    <row r="8854" spans="7:14" x14ac:dyDescent="0.3">
      <c r="G8854" s="1"/>
      <c r="N8854" s="1"/>
    </row>
    <row r="8855" spans="7:14" x14ac:dyDescent="0.3">
      <c r="G8855" s="1"/>
      <c r="N8855" s="1"/>
    </row>
    <row r="8856" spans="7:14" x14ac:dyDescent="0.3">
      <c r="G8856" s="1"/>
      <c r="N8856" s="1"/>
    </row>
    <row r="8857" spans="7:14" x14ac:dyDescent="0.3">
      <c r="G8857" s="1"/>
      <c r="N8857" s="1"/>
    </row>
    <row r="8858" spans="7:14" x14ac:dyDescent="0.3">
      <c r="G8858" s="1"/>
      <c r="N8858" s="1"/>
    </row>
    <row r="8859" spans="7:14" x14ac:dyDescent="0.3">
      <c r="G8859" s="1"/>
      <c r="N8859" s="1"/>
    </row>
    <row r="8860" spans="7:14" x14ac:dyDescent="0.3">
      <c r="G8860" s="1"/>
      <c r="N8860" s="1"/>
    </row>
    <row r="8861" spans="7:14" x14ac:dyDescent="0.3">
      <c r="G8861" s="1"/>
      <c r="N8861" s="1"/>
    </row>
    <row r="8862" spans="7:14" x14ac:dyDescent="0.3">
      <c r="G8862" s="1"/>
      <c r="N8862" s="1"/>
    </row>
    <row r="8863" spans="7:14" x14ac:dyDescent="0.3">
      <c r="G8863" s="1"/>
      <c r="N8863" s="1"/>
    </row>
    <row r="8864" spans="7:14" x14ac:dyDescent="0.3">
      <c r="G8864" s="1"/>
      <c r="N8864" s="1"/>
    </row>
    <row r="8865" spans="7:14" x14ac:dyDescent="0.3">
      <c r="G8865" s="1"/>
      <c r="N8865" s="1"/>
    </row>
    <row r="8866" spans="7:14" x14ac:dyDescent="0.3">
      <c r="G8866" s="1"/>
      <c r="N8866" s="1"/>
    </row>
    <row r="8867" spans="7:14" x14ac:dyDescent="0.3">
      <c r="G8867" s="1"/>
      <c r="N8867" s="1"/>
    </row>
    <row r="8868" spans="7:14" x14ac:dyDescent="0.3">
      <c r="G8868" s="1"/>
      <c r="N8868" s="1"/>
    </row>
    <row r="8869" spans="7:14" x14ac:dyDescent="0.3">
      <c r="G8869" s="1"/>
      <c r="N8869" s="1"/>
    </row>
    <row r="8870" spans="7:14" x14ac:dyDescent="0.3">
      <c r="G8870" s="1"/>
      <c r="N8870" s="1"/>
    </row>
    <row r="8871" spans="7:14" x14ac:dyDescent="0.3">
      <c r="G8871" s="1"/>
      <c r="N8871" s="1"/>
    </row>
    <row r="8872" spans="7:14" x14ac:dyDescent="0.3">
      <c r="G8872" s="1"/>
      <c r="N8872" s="1"/>
    </row>
    <row r="8873" spans="7:14" x14ac:dyDescent="0.3">
      <c r="G8873" s="1"/>
      <c r="N8873" s="1"/>
    </row>
    <row r="8874" spans="7:14" x14ac:dyDescent="0.3">
      <c r="G8874" s="1"/>
      <c r="N8874" s="1"/>
    </row>
    <row r="8875" spans="7:14" x14ac:dyDescent="0.3">
      <c r="G8875" s="1"/>
      <c r="N8875" s="1"/>
    </row>
    <row r="8876" spans="7:14" x14ac:dyDescent="0.3">
      <c r="G8876" s="1"/>
      <c r="N8876" s="1"/>
    </row>
    <row r="8877" spans="7:14" x14ac:dyDescent="0.3">
      <c r="G8877" s="1"/>
      <c r="N8877" s="1"/>
    </row>
    <row r="8878" spans="7:14" x14ac:dyDescent="0.3">
      <c r="G8878" s="1"/>
      <c r="N8878" s="1"/>
    </row>
    <row r="8879" spans="7:14" x14ac:dyDescent="0.3">
      <c r="G8879" s="1"/>
      <c r="N8879" s="1"/>
    </row>
    <row r="8880" spans="7:14" x14ac:dyDescent="0.3">
      <c r="G8880" s="1"/>
      <c r="N8880" s="1"/>
    </row>
    <row r="8881" spans="7:14" x14ac:dyDescent="0.3">
      <c r="G8881" s="1"/>
      <c r="N8881" s="1"/>
    </row>
    <row r="8882" spans="7:14" x14ac:dyDescent="0.3">
      <c r="G8882" s="1"/>
      <c r="N8882" s="1"/>
    </row>
    <row r="8883" spans="7:14" x14ac:dyDescent="0.3">
      <c r="G8883" s="1"/>
      <c r="N8883" s="1"/>
    </row>
    <row r="8884" spans="7:14" x14ac:dyDescent="0.3">
      <c r="G8884" s="1"/>
      <c r="N8884" s="1"/>
    </row>
    <row r="8885" spans="7:14" x14ac:dyDescent="0.3">
      <c r="G8885" s="1"/>
      <c r="N8885" s="1"/>
    </row>
    <row r="8886" spans="7:14" x14ac:dyDescent="0.3">
      <c r="G8886" s="1"/>
      <c r="N8886" s="1"/>
    </row>
    <row r="8887" spans="7:14" x14ac:dyDescent="0.3">
      <c r="G8887" s="1"/>
      <c r="N8887" s="1"/>
    </row>
    <row r="8888" spans="7:14" x14ac:dyDescent="0.3">
      <c r="G8888" s="1"/>
      <c r="N8888" s="1"/>
    </row>
    <row r="8889" spans="7:14" x14ac:dyDescent="0.3">
      <c r="G8889" s="1"/>
      <c r="N8889" s="1"/>
    </row>
    <row r="8890" spans="7:14" x14ac:dyDescent="0.3">
      <c r="G8890" s="1"/>
      <c r="N8890" s="1"/>
    </row>
    <row r="8891" spans="7:14" x14ac:dyDescent="0.3">
      <c r="G8891" s="1"/>
      <c r="N8891" s="1"/>
    </row>
    <row r="8892" spans="7:14" x14ac:dyDescent="0.3">
      <c r="G8892" s="1"/>
      <c r="N8892" s="1"/>
    </row>
    <row r="8893" spans="7:14" x14ac:dyDescent="0.3">
      <c r="G8893" s="1"/>
      <c r="N8893" s="1"/>
    </row>
    <row r="8894" spans="7:14" x14ac:dyDescent="0.3">
      <c r="G8894" s="1"/>
      <c r="N8894" s="1"/>
    </row>
    <row r="8895" spans="7:14" x14ac:dyDescent="0.3">
      <c r="G8895" s="1"/>
      <c r="N8895" s="1"/>
    </row>
    <row r="8896" spans="7:14" x14ac:dyDescent="0.3">
      <c r="G8896" s="1"/>
      <c r="N8896" s="1"/>
    </row>
    <row r="8897" spans="7:14" x14ac:dyDescent="0.3">
      <c r="G8897" s="1"/>
      <c r="N8897" s="1"/>
    </row>
    <row r="8898" spans="7:14" x14ac:dyDescent="0.3">
      <c r="G8898" s="1"/>
      <c r="N8898" s="1"/>
    </row>
    <row r="8899" spans="7:14" x14ac:dyDescent="0.3">
      <c r="G8899" s="1"/>
      <c r="N8899" s="1"/>
    </row>
    <row r="8900" spans="7:14" x14ac:dyDescent="0.3">
      <c r="G8900" s="1"/>
      <c r="N8900" s="1"/>
    </row>
    <row r="8901" spans="7:14" x14ac:dyDescent="0.3">
      <c r="G8901" s="1"/>
      <c r="N8901" s="1"/>
    </row>
    <row r="8902" spans="7:14" x14ac:dyDescent="0.3">
      <c r="G8902" s="1"/>
      <c r="N8902" s="1"/>
    </row>
    <row r="8903" spans="7:14" x14ac:dyDescent="0.3">
      <c r="G8903" s="1"/>
      <c r="N8903" s="1"/>
    </row>
    <row r="8904" spans="7:14" x14ac:dyDescent="0.3">
      <c r="G8904" s="1"/>
      <c r="N8904" s="1"/>
    </row>
    <row r="8905" spans="7:14" x14ac:dyDescent="0.3">
      <c r="G8905" s="1"/>
      <c r="N8905" s="1"/>
    </row>
    <row r="8906" spans="7:14" x14ac:dyDescent="0.3">
      <c r="G8906" s="1"/>
      <c r="N8906" s="1"/>
    </row>
    <row r="8907" spans="7:14" x14ac:dyDescent="0.3">
      <c r="G8907" s="1"/>
      <c r="N8907" s="1"/>
    </row>
    <row r="8908" spans="7:14" x14ac:dyDescent="0.3">
      <c r="G8908" s="1"/>
      <c r="N8908" s="1"/>
    </row>
    <row r="8909" spans="7:14" x14ac:dyDescent="0.3">
      <c r="G8909" s="1"/>
      <c r="N8909" s="1"/>
    </row>
    <row r="8910" spans="7:14" x14ac:dyDescent="0.3">
      <c r="G8910" s="1"/>
      <c r="N8910" s="1"/>
    </row>
    <row r="8911" spans="7:14" x14ac:dyDescent="0.3">
      <c r="G8911" s="1"/>
      <c r="N8911" s="1"/>
    </row>
    <row r="8912" spans="7:14" x14ac:dyDescent="0.3">
      <c r="G8912" s="1"/>
      <c r="N8912" s="1"/>
    </row>
    <row r="8913" spans="7:14" x14ac:dyDescent="0.3">
      <c r="G8913" s="1"/>
      <c r="N8913" s="1"/>
    </row>
    <row r="8914" spans="7:14" x14ac:dyDescent="0.3">
      <c r="G8914" s="1"/>
      <c r="N8914" s="1"/>
    </row>
    <row r="8915" spans="7:14" x14ac:dyDescent="0.3">
      <c r="G8915" s="1"/>
      <c r="N8915" s="1"/>
    </row>
    <row r="8916" spans="7:14" x14ac:dyDescent="0.3">
      <c r="G8916" s="1"/>
      <c r="N8916" s="1"/>
    </row>
    <row r="8917" spans="7:14" x14ac:dyDescent="0.3">
      <c r="G8917" s="1"/>
      <c r="N8917" s="1"/>
    </row>
    <row r="8918" spans="7:14" x14ac:dyDescent="0.3">
      <c r="G8918" s="1"/>
      <c r="N8918" s="1"/>
    </row>
    <row r="8919" spans="7:14" x14ac:dyDescent="0.3">
      <c r="G8919" s="1"/>
      <c r="N8919" s="1"/>
    </row>
    <row r="8920" spans="7:14" x14ac:dyDescent="0.3">
      <c r="G8920" s="1"/>
      <c r="N8920" s="1"/>
    </row>
    <row r="8921" spans="7:14" x14ac:dyDescent="0.3">
      <c r="G8921" s="1"/>
      <c r="N8921" s="1"/>
    </row>
    <row r="8922" spans="7:14" x14ac:dyDescent="0.3">
      <c r="G8922" s="1"/>
      <c r="N8922" s="1"/>
    </row>
    <row r="8923" spans="7:14" x14ac:dyDescent="0.3">
      <c r="G8923" s="1"/>
      <c r="N8923" s="1"/>
    </row>
    <row r="8924" spans="7:14" x14ac:dyDescent="0.3">
      <c r="G8924" s="1"/>
      <c r="N8924" s="1"/>
    </row>
    <row r="8925" spans="7:14" x14ac:dyDescent="0.3">
      <c r="G8925" s="1"/>
      <c r="N8925" s="1"/>
    </row>
    <row r="8926" spans="7:14" x14ac:dyDescent="0.3">
      <c r="G8926" s="1"/>
      <c r="N8926" s="1"/>
    </row>
    <row r="8927" spans="7:14" x14ac:dyDescent="0.3">
      <c r="G8927" s="1"/>
      <c r="N8927" s="1"/>
    </row>
    <row r="8928" spans="7:14" x14ac:dyDescent="0.3">
      <c r="G8928" s="1"/>
      <c r="N8928" s="1"/>
    </row>
    <row r="8929" spans="7:14" x14ac:dyDescent="0.3">
      <c r="G8929" s="1"/>
      <c r="N8929" s="1"/>
    </row>
    <row r="8930" spans="7:14" x14ac:dyDescent="0.3">
      <c r="G8930" s="1"/>
      <c r="N8930" s="1"/>
    </row>
    <row r="8931" spans="7:14" x14ac:dyDescent="0.3">
      <c r="G8931" s="1"/>
      <c r="N8931" s="1"/>
    </row>
    <row r="8932" spans="7:14" x14ac:dyDescent="0.3">
      <c r="G8932" s="1"/>
      <c r="N8932" s="1"/>
    </row>
    <row r="8933" spans="7:14" x14ac:dyDescent="0.3">
      <c r="G8933" s="1"/>
      <c r="N8933" s="1"/>
    </row>
    <row r="8934" spans="7:14" x14ac:dyDescent="0.3">
      <c r="G8934" s="1"/>
      <c r="N8934" s="1"/>
    </row>
    <row r="8935" spans="7:14" x14ac:dyDescent="0.3">
      <c r="G8935" s="1"/>
      <c r="N8935" s="1"/>
    </row>
    <row r="8936" spans="7:14" x14ac:dyDescent="0.3">
      <c r="G8936" s="1"/>
      <c r="N8936" s="1"/>
    </row>
    <row r="8937" spans="7:14" x14ac:dyDescent="0.3">
      <c r="G8937" s="1"/>
      <c r="N8937" s="1"/>
    </row>
    <row r="8938" spans="7:14" x14ac:dyDescent="0.3">
      <c r="G8938" s="1"/>
      <c r="N8938" s="1"/>
    </row>
    <row r="8939" spans="7:14" x14ac:dyDescent="0.3">
      <c r="G8939" s="1"/>
      <c r="N8939" s="1"/>
    </row>
    <row r="8940" spans="7:14" x14ac:dyDescent="0.3">
      <c r="G8940" s="1"/>
      <c r="N8940" s="1"/>
    </row>
    <row r="8941" spans="7:14" x14ac:dyDescent="0.3">
      <c r="G8941" s="1"/>
      <c r="N8941" s="1"/>
    </row>
    <row r="8942" spans="7:14" x14ac:dyDescent="0.3">
      <c r="G8942" s="1"/>
      <c r="N8942" s="1"/>
    </row>
    <row r="8943" spans="7:14" x14ac:dyDescent="0.3">
      <c r="G8943" s="1"/>
      <c r="N8943" s="1"/>
    </row>
    <row r="8944" spans="7:14" x14ac:dyDescent="0.3">
      <c r="G8944" s="1"/>
      <c r="N8944" s="1"/>
    </row>
    <row r="8945" spans="7:14" x14ac:dyDescent="0.3">
      <c r="G8945" s="1"/>
      <c r="N8945" s="1"/>
    </row>
    <row r="8946" spans="7:14" x14ac:dyDescent="0.3">
      <c r="G8946" s="1"/>
      <c r="N8946" s="1"/>
    </row>
    <row r="8947" spans="7:14" x14ac:dyDescent="0.3">
      <c r="G8947" s="1"/>
      <c r="N8947" s="1"/>
    </row>
    <row r="8948" spans="7:14" x14ac:dyDescent="0.3">
      <c r="G8948" s="1"/>
      <c r="N8948" s="1"/>
    </row>
    <row r="8949" spans="7:14" x14ac:dyDescent="0.3">
      <c r="G8949" s="1"/>
      <c r="N8949" s="1"/>
    </row>
    <row r="8950" spans="7:14" x14ac:dyDescent="0.3">
      <c r="G8950" s="1"/>
      <c r="N8950" s="1"/>
    </row>
    <row r="8951" spans="7:14" x14ac:dyDescent="0.3">
      <c r="G8951" s="1"/>
      <c r="N8951" s="1"/>
    </row>
    <row r="8952" spans="7:14" x14ac:dyDescent="0.3">
      <c r="G8952" s="1"/>
      <c r="N8952" s="1"/>
    </row>
    <row r="8953" spans="7:14" x14ac:dyDescent="0.3">
      <c r="G8953" s="1"/>
      <c r="N8953" s="1"/>
    </row>
    <row r="8954" spans="7:14" x14ac:dyDescent="0.3">
      <c r="G8954" s="1"/>
      <c r="N8954" s="1"/>
    </row>
    <row r="8955" spans="7:14" x14ac:dyDescent="0.3">
      <c r="G8955" s="1"/>
      <c r="N8955" s="1"/>
    </row>
    <row r="8956" spans="7:14" x14ac:dyDescent="0.3">
      <c r="G8956" s="1"/>
      <c r="N8956" s="1"/>
    </row>
    <row r="8957" spans="7:14" x14ac:dyDescent="0.3">
      <c r="G8957" s="1"/>
      <c r="N8957" s="1"/>
    </row>
    <row r="8958" spans="7:14" x14ac:dyDescent="0.3">
      <c r="G8958" s="1"/>
      <c r="N8958" s="1"/>
    </row>
    <row r="8959" spans="7:14" x14ac:dyDescent="0.3">
      <c r="G8959" s="1"/>
      <c r="N8959" s="1"/>
    </row>
    <row r="8960" spans="7:14" x14ac:dyDescent="0.3">
      <c r="G8960" s="1"/>
      <c r="N8960" s="1"/>
    </row>
    <row r="8961" spans="7:14" x14ac:dyDescent="0.3">
      <c r="G8961" s="1"/>
      <c r="N8961" s="1"/>
    </row>
    <row r="8962" spans="7:14" x14ac:dyDescent="0.3">
      <c r="G8962" s="1"/>
      <c r="N8962" s="1"/>
    </row>
    <row r="8963" spans="7:14" x14ac:dyDescent="0.3">
      <c r="G8963" s="1"/>
      <c r="N8963" s="1"/>
    </row>
    <row r="8964" spans="7:14" x14ac:dyDescent="0.3">
      <c r="G8964" s="1"/>
      <c r="N8964" s="1"/>
    </row>
    <row r="8965" spans="7:14" x14ac:dyDescent="0.3">
      <c r="G8965" s="1"/>
      <c r="N8965" s="1"/>
    </row>
    <row r="8966" spans="7:14" x14ac:dyDescent="0.3">
      <c r="G8966" s="1"/>
      <c r="N8966" s="1"/>
    </row>
    <row r="8967" spans="7:14" x14ac:dyDescent="0.3">
      <c r="G8967" s="1"/>
      <c r="N8967" s="1"/>
    </row>
    <row r="8968" spans="7:14" x14ac:dyDescent="0.3">
      <c r="G8968" s="1"/>
      <c r="N8968" s="1"/>
    </row>
    <row r="8969" spans="7:14" x14ac:dyDescent="0.3">
      <c r="G8969" s="1"/>
      <c r="N8969" s="1"/>
    </row>
    <row r="8970" spans="7:14" x14ac:dyDescent="0.3">
      <c r="G8970" s="1"/>
      <c r="N8970" s="1"/>
    </row>
    <row r="8971" spans="7:14" x14ac:dyDescent="0.3">
      <c r="G8971" s="1"/>
      <c r="N8971" s="1"/>
    </row>
    <row r="8972" spans="7:14" x14ac:dyDescent="0.3">
      <c r="G8972" s="1"/>
      <c r="N8972" s="1"/>
    </row>
    <row r="8973" spans="7:14" x14ac:dyDescent="0.3">
      <c r="G8973" s="1"/>
      <c r="N8973" s="1"/>
    </row>
    <row r="8974" spans="7:14" x14ac:dyDescent="0.3">
      <c r="G8974" s="1"/>
      <c r="N8974" s="1"/>
    </row>
    <row r="8975" spans="7:14" x14ac:dyDescent="0.3">
      <c r="G8975" s="1"/>
      <c r="N8975" s="1"/>
    </row>
    <row r="8976" spans="7:14" x14ac:dyDescent="0.3">
      <c r="G8976" s="1"/>
      <c r="N8976" s="1"/>
    </row>
    <row r="8977" spans="7:14" x14ac:dyDescent="0.3">
      <c r="G8977" s="1"/>
      <c r="N8977" s="1"/>
    </row>
    <row r="8978" spans="7:14" x14ac:dyDescent="0.3">
      <c r="G8978" s="1"/>
      <c r="N8978" s="1"/>
    </row>
    <row r="8979" spans="7:14" x14ac:dyDescent="0.3">
      <c r="G8979" s="1"/>
      <c r="N8979" s="1"/>
    </row>
    <row r="8980" spans="7:14" x14ac:dyDescent="0.3">
      <c r="G8980" s="1"/>
      <c r="N8980" s="1"/>
    </row>
    <row r="8981" spans="7:14" x14ac:dyDescent="0.3">
      <c r="G8981" s="1"/>
      <c r="N8981" s="1"/>
    </row>
    <row r="8982" spans="7:14" x14ac:dyDescent="0.3">
      <c r="G8982" s="1"/>
      <c r="N8982" s="1"/>
    </row>
    <row r="8983" spans="7:14" x14ac:dyDescent="0.3">
      <c r="G8983" s="1"/>
      <c r="N8983" s="1"/>
    </row>
    <row r="8984" spans="7:14" x14ac:dyDescent="0.3">
      <c r="G8984" s="1"/>
      <c r="N8984" s="1"/>
    </row>
    <row r="8985" spans="7:14" x14ac:dyDescent="0.3">
      <c r="G8985" s="1"/>
      <c r="N8985" s="1"/>
    </row>
    <row r="8986" spans="7:14" x14ac:dyDescent="0.3">
      <c r="G8986" s="1"/>
      <c r="N8986" s="1"/>
    </row>
    <row r="8987" spans="7:14" x14ac:dyDescent="0.3">
      <c r="G8987" s="1"/>
      <c r="N8987" s="1"/>
    </row>
    <row r="8988" spans="7:14" x14ac:dyDescent="0.3">
      <c r="G8988" s="1"/>
      <c r="N8988" s="1"/>
    </row>
    <row r="8989" spans="7:14" x14ac:dyDescent="0.3">
      <c r="G8989" s="1"/>
      <c r="N8989" s="1"/>
    </row>
    <row r="8990" spans="7:14" x14ac:dyDescent="0.3">
      <c r="G8990" s="1"/>
      <c r="N8990" s="1"/>
    </row>
    <row r="8991" spans="7:14" x14ac:dyDescent="0.3">
      <c r="G8991" s="1"/>
      <c r="N8991" s="1"/>
    </row>
    <row r="8992" spans="7:14" x14ac:dyDescent="0.3">
      <c r="G8992" s="1"/>
      <c r="N8992" s="1"/>
    </row>
    <row r="8993" spans="7:14" x14ac:dyDescent="0.3">
      <c r="G8993" s="1"/>
      <c r="N8993" s="1"/>
    </row>
    <row r="8994" spans="7:14" x14ac:dyDescent="0.3">
      <c r="G8994" s="1"/>
      <c r="N8994" s="1"/>
    </row>
    <row r="8995" spans="7:14" x14ac:dyDescent="0.3">
      <c r="G8995" s="1"/>
      <c r="N8995" s="1"/>
    </row>
    <row r="8996" spans="7:14" x14ac:dyDescent="0.3">
      <c r="G8996" s="1"/>
      <c r="N8996" s="1"/>
    </row>
    <row r="8997" spans="7:14" x14ac:dyDescent="0.3">
      <c r="G8997" s="1"/>
      <c r="N8997" s="1"/>
    </row>
    <row r="8998" spans="7:14" x14ac:dyDescent="0.3">
      <c r="G8998" s="1"/>
      <c r="N8998" s="1"/>
    </row>
    <row r="8999" spans="7:14" x14ac:dyDescent="0.3">
      <c r="G8999" s="1"/>
      <c r="N8999" s="1"/>
    </row>
    <row r="9000" spans="7:14" x14ac:dyDescent="0.3">
      <c r="G9000" s="1"/>
      <c r="N9000" s="1"/>
    </row>
    <row r="9001" spans="7:14" x14ac:dyDescent="0.3">
      <c r="G9001" s="1"/>
      <c r="N9001" s="1"/>
    </row>
    <row r="9002" spans="7:14" x14ac:dyDescent="0.3">
      <c r="G9002" s="1"/>
      <c r="N9002" s="1"/>
    </row>
    <row r="9003" spans="7:14" x14ac:dyDescent="0.3">
      <c r="G9003" s="1"/>
      <c r="N9003" s="1"/>
    </row>
    <row r="9004" spans="7:14" x14ac:dyDescent="0.3">
      <c r="G9004" s="1"/>
      <c r="N9004" s="1"/>
    </row>
    <row r="9005" spans="7:14" x14ac:dyDescent="0.3">
      <c r="G9005" s="1"/>
      <c r="N9005" s="1"/>
    </row>
    <row r="9006" spans="7:14" x14ac:dyDescent="0.3">
      <c r="G9006" s="1"/>
      <c r="N9006" s="1"/>
    </row>
    <row r="9007" spans="7:14" x14ac:dyDescent="0.3">
      <c r="G9007" s="1"/>
      <c r="N9007" s="1"/>
    </row>
    <row r="9008" spans="7:14" x14ac:dyDescent="0.3">
      <c r="G9008" s="1"/>
      <c r="N9008" s="1"/>
    </row>
    <row r="9009" spans="7:14" x14ac:dyDescent="0.3">
      <c r="G9009" s="1"/>
      <c r="N9009" s="1"/>
    </row>
    <row r="9010" spans="7:14" x14ac:dyDescent="0.3">
      <c r="G9010" s="1"/>
      <c r="N9010" s="1"/>
    </row>
    <row r="9011" spans="7:14" x14ac:dyDescent="0.3">
      <c r="G9011" s="1"/>
      <c r="N9011" s="1"/>
    </row>
    <row r="9012" spans="7:14" x14ac:dyDescent="0.3">
      <c r="G9012" s="1"/>
      <c r="N9012" s="1"/>
    </row>
    <row r="9013" spans="7:14" x14ac:dyDescent="0.3">
      <c r="G9013" s="1"/>
      <c r="N9013" s="1"/>
    </row>
    <row r="9014" spans="7:14" x14ac:dyDescent="0.3">
      <c r="G9014" s="1"/>
      <c r="N9014" s="1"/>
    </row>
    <row r="9015" spans="7:14" x14ac:dyDescent="0.3">
      <c r="G9015" s="1"/>
      <c r="N9015" s="1"/>
    </row>
    <row r="9016" spans="7:14" x14ac:dyDescent="0.3">
      <c r="G9016" s="1"/>
      <c r="N9016" s="1"/>
    </row>
    <row r="9017" spans="7:14" x14ac:dyDescent="0.3">
      <c r="G9017" s="1"/>
      <c r="N9017" s="1"/>
    </row>
    <row r="9018" spans="7:14" x14ac:dyDescent="0.3">
      <c r="G9018" s="1"/>
      <c r="N9018" s="1"/>
    </row>
    <row r="9019" spans="7:14" x14ac:dyDescent="0.3">
      <c r="G9019" s="1"/>
      <c r="N9019" s="1"/>
    </row>
    <row r="9020" spans="7:14" x14ac:dyDescent="0.3">
      <c r="G9020" s="1"/>
      <c r="N9020" s="1"/>
    </row>
    <row r="9021" spans="7:14" x14ac:dyDescent="0.3">
      <c r="G9021" s="1"/>
      <c r="N9021" s="1"/>
    </row>
    <row r="9022" spans="7:14" x14ac:dyDescent="0.3">
      <c r="G9022" s="1"/>
      <c r="N9022" s="1"/>
    </row>
    <row r="9023" spans="7:14" x14ac:dyDescent="0.3">
      <c r="G9023" s="1"/>
      <c r="N9023" s="1"/>
    </row>
    <row r="9024" spans="7:14" x14ac:dyDescent="0.3">
      <c r="G9024" s="1"/>
      <c r="N9024" s="1"/>
    </row>
    <row r="9025" spans="7:14" x14ac:dyDescent="0.3">
      <c r="G9025" s="1"/>
      <c r="N9025" s="1"/>
    </row>
    <row r="9026" spans="7:14" x14ac:dyDescent="0.3">
      <c r="G9026" s="1"/>
      <c r="N9026" s="1"/>
    </row>
    <row r="9027" spans="7:14" x14ac:dyDescent="0.3">
      <c r="G9027" s="1"/>
      <c r="N9027" s="1"/>
    </row>
    <row r="9028" spans="7:14" x14ac:dyDescent="0.3">
      <c r="G9028" s="1"/>
      <c r="N9028" s="1"/>
    </row>
    <row r="9029" spans="7:14" x14ac:dyDescent="0.3">
      <c r="G9029" s="1"/>
      <c r="N9029" s="1"/>
    </row>
    <row r="9030" spans="7:14" x14ac:dyDescent="0.3">
      <c r="G9030" s="1"/>
      <c r="N9030" s="1"/>
    </row>
    <row r="9031" spans="7:14" x14ac:dyDescent="0.3">
      <c r="G9031" s="1"/>
      <c r="N9031" s="1"/>
    </row>
    <row r="9032" spans="7:14" x14ac:dyDescent="0.3">
      <c r="G9032" s="1"/>
      <c r="N9032" s="1"/>
    </row>
    <row r="9033" spans="7:14" x14ac:dyDescent="0.3">
      <c r="G9033" s="1"/>
      <c r="N9033" s="1"/>
    </row>
    <row r="9034" spans="7:14" x14ac:dyDescent="0.3">
      <c r="G9034" s="1"/>
      <c r="N9034" s="1"/>
    </row>
    <row r="9035" spans="7:14" x14ac:dyDescent="0.3">
      <c r="G9035" s="1"/>
      <c r="N9035" s="1"/>
    </row>
    <row r="9036" spans="7:14" x14ac:dyDescent="0.3">
      <c r="G9036" s="1"/>
      <c r="N9036" s="1"/>
    </row>
    <row r="9037" spans="7:14" x14ac:dyDescent="0.3">
      <c r="G9037" s="1"/>
      <c r="N9037" s="1"/>
    </row>
    <row r="9038" spans="7:14" x14ac:dyDescent="0.3">
      <c r="G9038" s="1"/>
      <c r="N9038" s="1"/>
    </row>
    <row r="9039" spans="7:14" x14ac:dyDescent="0.3">
      <c r="G9039" s="1"/>
      <c r="N9039" s="1"/>
    </row>
    <row r="9040" spans="7:14" x14ac:dyDescent="0.3">
      <c r="G9040" s="1"/>
      <c r="N9040" s="1"/>
    </row>
    <row r="9041" spans="7:14" x14ac:dyDescent="0.3">
      <c r="G9041" s="1"/>
      <c r="N9041" s="1"/>
    </row>
    <row r="9042" spans="7:14" x14ac:dyDescent="0.3">
      <c r="G9042" s="1"/>
      <c r="N9042" s="1"/>
    </row>
    <row r="9043" spans="7:14" x14ac:dyDescent="0.3">
      <c r="G9043" s="1"/>
      <c r="N9043" s="1"/>
    </row>
    <row r="9044" spans="7:14" x14ac:dyDescent="0.3">
      <c r="G9044" s="1"/>
      <c r="N9044" s="1"/>
    </row>
    <row r="9045" spans="7:14" x14ac:dyDescent="0.3">
      <c r="G9045" s="1"/>
      <c r="N9045" s="1"/>
    </row>
    <row r="9046" spans="7:14" x14ac:dyDescent="0.3">
      <c r="G9046" s="1"/>
      <c r="N9046" s="1"/>
    </row>
    <row r="9047" spans="7:14" x14ac:dyDescent="0.3">
      <c r="G9047" s="1"/>
      <c r="N9047" s="1"/>
    </row>
    <row r="9048" spans="7:14" x14ac:dyDescent="0.3">
      <c r="G9048" s="1"/>
      <c r="N9048" s="1"/>
    </row>
    <row r="9049" spans="7:14" x14ac:dyDescent="0.3">
      <c r="G9049" s="1"/>
      <c r="N9049" s="1"/>
    </row>
    <row r="9050" spans="7:14" x14ac:dyDescent="0.3">
      <c r="G9050" s="1"/>
      <c r="N9050" s="1"/>
    </row>
    <row r="9051" spans="7:14" x14ac:dyDescent="0.3">
      <c r="G9051" s="1"/>
      <c r="N9051" s="1"/>
    </row>
    <row r="9052" spans="7:14" x14ac:dyDescent="0.3">
      <c r="G9052" s="1"/>
      <c r="N9052" s="1"/>
    </row>
    <row r="9053" spans="7:14" x14ac:dyDescent="0.3">
      <c r="G9053" s="1"/>
      <c r="N9053" s="1"/>
    </row>
    <row r="9054" spans="7:14" x14ac:dyDescent="0.3">
      <c r="G9054" s="1"/>
      <c r="N9054" s="1"/>
    </row>
    <row r="9055" spans="7:14" x14ac:dyDescent="0.3">
      <c r="G9055" s="1"/>
      <c r="N9055" s="1"/>
    </row>
    <row r="9056" spans="7:14" x14ac:dyDescent="0.3">
      <c r="G9056" s="1"/>
      <c r="N9056" s="1"/>
    </row>
    <row r="9057" spans="7:14" x14ac:dyDescent="0.3">
      <c r="G9057" s="1"/>
      <c r="N9057" s="1"/>
    </row>
    <row r="9058" spans="7:14" x14ac:dyDescent="0.3">
      <c r="G9058" s="1"/>
      <c r="N9058" s="1"/>
    </row>
    <row r="9059" spans="7:14" x14ac:dyDescent="0.3">
      <c r="G9059" s="1"/>
      <c r="N9059" s="1"/>
    </row>
    <row r="9060" spans="7:14" x14ac:dyDescent="0.3">
      <c r="G9060" s="1"/>
      <c r="N9060" s="1"/>
    </row>
    <row r="9061" spans="7:14" x14ac:dyDescent="0.3">
      <c r="G9061" s="1"/>
      <c r="N9061" s="1"/>
    </row>
    <row r="9062" spans="7:14" x14ac:dyDescent="0.3">
      <c r="G9062" s="1"/>
      <c r="N9062" s="1"/>
    </row>
    <row r="9063" spans="7:14" x14ac:dyDescent="0.3">
      <c r="G9063" s="1"/>
      <c r="N9063" s="1"/>
    </row>
    <row r="9064" spans="7:14" x14ac:dyDescent="0.3">
      <c r="G9064" s="1"/>
      <c r="N9064" s="1"/>
    </row>
    <row r="9065" spans="7:14" x14ac:dyDescent="0.3">
      <c r="G9065" s="1"/>
      <c r="N9065" s="1"/>
    </row>
    <row r="9066" spans="7:14" x14ac:dyDescent="0.3">
      <c r="G9066" s="1"/>
      <c r="N9066" s="1"/>
    </row>
    <row r="9067" spans="7:14" x14ac:dyDescent="0.3">
      <c r="G9067" s="1"/>
      <c r="N9067" s="1"/>
    </row>
    <row r="9068" spans="7:14" x14ac:dyDescent="0.3">
      <c r="G9068" s="1"/>
      <c r="N9068" s="1"/>
    </row>
    <row r="9069" spans="7:14" x14ac:dyDescent="0.3">
      <c r="G9069" s="1"/>
      <c r="N9069" s="1"/>
    </row>
    <row r="9070" spans="7:14" x14ac:dyDescent="0.3">
      <c r="G9070" s="1"/>
      <c r="N9070" s="1"/>
    </row>
    <row r="9071" spans="7:14" x14ac:dyDescent="0.3">
      <c r="G9071" s="1"/>
      <c r="N9071" s="1"/>
    </row>
    <row r="9072" spans="7:14" x14ac:dyDescent="0.3">
      <c r="G9072" s="1"/>
      <c r="N9072" s="1"/>
    </row>
    <row r="9073" spans="7:14" x14ac:dyDescent="0.3">
      <c r="G9073" s="1"/>
      <c r="N9073" s="1"/>
    </row>
    <row r="9074" spans="7:14" x14ac:dyDescent="0.3">
      <c r="G9074" s="1"/>
      <c r="N9074" s="1"/>
    </row>
    <row r="9075" spans="7:14" x14ac:dyDescent="0.3">
      <c r="G9075" s="1"/>
      <c r="N9075" s="1"/>
    </row>
    <row r="9076" spans="7:14" x14ac:dyDescent="0.3">
      <c r="G9076" s="1"/>
      <c r="N9076" s="1"/>
    </row>
    <row r="9077" spans="7:14" x14ac:dyDescent="0.3">
      <c r="G9077" s="1"/>
      <c r="N9077" s="1"/>
    </row>
    <row r="9078" spans="7:14" x14ac:dyDescent="0.3">
      <c r="G9078" s="1"/>
      <c r="N9078" s="1"/>
    </row>
    <row r="9079" spans="7:14" x14ac:dyDescent="0.3">
      <c r="G9079" s="1"/>
      <c r="N9079" s="1"/>
    </row>
    <row r="9080" spans="7:14" x14ac:dyDescent="0.3">
      <c r="G9080" s="1"/>
      <c r="N9080" s="1"/>
    </row>
    <row r="9081" spans="7:14" x14ac:dyDescent="0.3">
      <c r="G9081" s="1"/>
      <c r="N9081" s="1"/>
    </row>
    <row r="9082" spans="7:14" x14ac:dyDescent="0.3">
      <c r="G9082" s="1"/>
      <c r="N9082" s="1"/>
    </row>
    <row r="9083" spans="7:14" x14ac:dyDescent="0.3">
      <c r="G9083" s="1"/>
      <c r="N9083" s="1"/>
    </row>
    <row r="9084" spans="7:14" x14ac:dyDescent="0.3">
      <c r="G9084" s="1"/>
      <c r="N9084" s="1"/>
    </row>
    <row r="9085" spans="7:14" x14ac:dyDescent="0.3">
      <c r="G9085" s="1"/>
      <c r="N9085" s="1"/>
    </row>
    <row r="9086" spans="7:14" x14ac:dyDescent="0.3">
      <c r="G9086" s="1"/>
      <c r="N9086" s="1"/>
    </row>
    <row r="9087" spans="7:14" x14ac:dyDescent="0.3">
      <c r="G9087" s="1"/>
      <c r="N9087" s="1"/>
    </row>
    <row r="9088" spans="7:14" x14ac:dyDescent="0.3">
      <c r="G9088" s="1"/>
      <c r="N9088" s="1"/>
    </row>
    <row r="9089" spans="7:14" x14ac:dyDescent="0.3">
      <c r="G9089" s="1"/>
      <c r="N9089" s="1"/>
    </row>
    <row r="9090" spans="7:14" x14ac:dyDescent="0.3">
      <c r="G9090" s="1"/>
      <c r="N9090" s="1"/>
    </row>
    <row r="9091" spans="7:14" x14ac:dyDescent="0.3">
      <c r="G9091" s="1"/>
      <c r="N9091" s="1"/>
    </row>
    <row r="9092" spans="7:14" x14ac:dyDescent="0.3">
      <c r="G9092" s="1"/>
      <c r="N9092" s="1"/>
    </row>
    <row r="9093" spans="7:14" x14ac:dyDescent="0.3">
      <c r="G9093" s="1"/>
      <c r="N9093" s="1"/>
    </row>
    <row r="9094" spans="7:14" x14ac:dyDescent="0.3">
      <c r="G9094" s="1"/>
      <c r="N9094" s="1"/>
    </row>
    <row r="9095" spans="7:14" x14ac:dyDescent="0.3">
      <c r="G9095" s="1"/>
      <c r="N9095" s="1"/>
    </row>
    <row r="9096" spans="7:14" x14ac:dyDescent="0.3">
      <c r="G9096" s="1"/>
      <c r="N9096" s="1"/>
    </row>
    <row r="9097" spans="7:14" x14ac:dyDescent="0.3">
      <c r="G9097" s="1"/>
      <c r="N9097" s="1"/>
    </row>
    <row r="9098" spans="7:14" x14ac:dyDescent="0.3">
      <c r="G9098" s="1"/>
      <c r="N9098" s="1"/>
    </row>
    <row r="9099" spans="7:14" x14ac:dyDescent="0.3">
      <c r="G9099" s="1"/>
      <c r="N9099" s="1"/>
    </row>
    <row r="9100" spans="7:14" x14ac:dyDescent="0.3">
      <c r="G9100" s="1"/>
      <c r="N9100" s="1"/>
    </row>
    <row r="9101" spans="7:14" x14ac:dyDescent="0.3">
      <c r="G9101" s="1"/>
      <c r="N9101" s="1"/>
    </row>
    <row r="9102" spans="7:14" x14ac:dyDescent="0.3">
      <c r="G9102" s="1"/>
      <c r="N9102" s="1"/>
    </row>
    <row r="9103" spans="7:14" x14ac:dyDescent="0.3">
      <c r="G9103" s="1"/>
      <c r="N9103" s="1"/>
    </row>
    <row r="9104" spans="7:14" x14ac:dyDescent="0.3">
      <c r="G9104" s="1"/>
      <c r="N9104" s="1"/>
    </row>
    <row r="9105" spans="7:14" x14ac:dyDescent="0.3">
      <c r="G9105" s="1"/>
      <c r="N9105" s="1"/>
    </row>
    <row r="9106" spans="7:14" x14ac:dyDescent="0.3">
      <c r="G9106" s="1"/>
      <c r="N9106" s="1"/>
    </row>
    <row r="9107" spans="7:14" x14ac:dyDescent="0.3">
      <c r="G9107" s="1"/>
      <c r="N9107" s="1"/>
    </row>
    <row r="9108" spans="7:14" x14ac:dyDescent="0.3">
      <c r="G9108" s="1"/>
      <c r="N9108" s="1"/>
    </row>
    <row r="9109" spans="7:14" x14ac:dyDescent="0.3">
      <c r="G9109" s="1"/>
      <c r="N9109" s="1"/>
    </row>
    <row r="9110" spans="7:14" x14ac:dyDescent="0.3">
      <c r="G9110" s="1"/>
      <c r="N9110" s="1"/>
    </row>
    <row r="9111" spans="7:14" x14ac:dyDescent="0.3">
      <c r="G9111" s="1"/>
      <c r="N9111" s="1"/>
    </row>
    <row r="9112" spans="7:14" x14ac:dyDescent="0.3">
      <c r="G9112" s="1"/>
      <c r="N9112" s="1"/>
    </row>
    <row r="9113" spans="7:14" x14ac:dyDescent="0.3">
      <c r="G9113" s="1"/>
      <c r="N9113" s="1"/>
    </row>
    <row r="9114" spans="7:14" x14ac:dyDescent="0.3">
      <c r="G9114" s="1"/>
      <c r="N9114" s="1"/>
    </row>
    <row r="9115" spans="7:14" x14ac:dyDescent="0.3">
      <c r="G9115" s="1"/>
      <c r="N9115" s="1"/>
    </row>
    <row r="9116" spans="7:14" x14ac:dyDescent="0.3">
      <c r="G9116" s="1"/>
      <c r="N9116" s="1"/>
    </row>
    <row r="9117" spans="7:14" x14ac:dyDescent="0.3">
      <c r="G9117" s="1"/>
      <c r="N9117" s="1"/>
    </row>
    <row r="9118" spans="7:14" x14ac:dyDescent="0.3">
      <c r="G9118" s="1"/>
      <c r="N9118" s="1"/>
    </row>
    <row r="9119" spans="7:14" x14ac:dyDescent="0.3">
      <c r="G9119" s="1"/>
      <c r="N9119" s="1"/>
    </row>
    <row r="9120" spans="7:14" x14ac:dyDescent="0.3">
      <c r="G9120" s="1"/>
      <c r="N9120" s="1"/>
    </row>
    <row r="9121" spans="7:14" x14ac:dyDescent="0.3">
      <c r="G9121" s="1"/>
      <c r="N9121" s="1"/>
    </row>
    <row r="9122" spans="7:14" x14ac:dyDescent="0.3">
      <c r="G9122" s="1"/>
      <c r="N9122" s="1"/>
    </row>
    <row r="9123" spans="7:14" x14ac:dyDescent="0.3">
      <c r="G9123" s="1"/>
      <c r="N9123" s="1"/>
    </row>
    <row r="9124" spans="7:14" x14ac:dyDescent="0.3">
      <c r="G9124" s="1"/>
      <c r="N9124" s="1"/>
    </row>
    <row r="9125" spans="7:14" x14ac:dyDescent="0.3">
      <c r="G9125" s="1"/>
      <c r="N9125" s="1"/>
    </row>
    <row r="9126" spans="7:14" x14ac:dyDescent="0.3">
      <c r="G9126" s="1"/>
      <c r="N9126" s="1"/>
    </row>
    <row r="9127" spans="7:14" x14ac:dyDescent="0.3">
      <c r="G9127" s="1"/>
      <c r="N9127" s="1"/>
    </row>
    <row r="9128" spans="7:14" x14ac:dyDescent="0.3">
      <c r="G9128" s="1"/>
      <c r="N9128" s="1"/>
    </row>
    <row r="9129" spans="7:14" x14ac:dyDescent="0.3">
      <c r="G9129" s="1"/>
      <c r="N9129" s="1"/>
    </row>
    <row r="9130" spans="7:14" x14ac:dyDescent="0.3">
      <c r="G9130" s="1"/>
      <c r="N9130" s="1"/>
    </row>
    <row r="9131" spans="7:14" x14ac:dyDescent="0.3">
      <c r="G9131" s="1"/>
      <c r="N9131" s="1"/>
    </row>
    <row r="9132" spans="7:14" x14ac:dyDescent="0.3">
      <c r="G9132" s="1"/>
      <c r="N9132" s="1"/>
    </row>
    <row r="9133" spans="7:14" x14ac:dyDescent="0.3">
      <c r="G9133" s="1"/>
      <c r="N9133" s="1"/>
    </row>
    <row r="9134" spans="7:14" x14ac:dyDescent="0.3">
      <c r="G9134" s="1"/>
      <c r="N9134" s="1"/>
    </row>
    <row r="9135" spans="7:14" x14ac:dyDescent="0.3">
      <c r="G9135" s="1"/>
      <c r="N9135" s="1"/>
    </row>
    <row r="9136" spans="7:14" x14ac:dyDescent="0.3">
      <c r="G9136" s="1"/>
      <c r="N9136" s="1"/>
    </row>
    <row r="9137" spans="7:14" x14ac:dyDescent="0.3">
      <c r="G9137" s="1"/>
      <c r="N9137" s="1"/>
    </row>
    <row r="9138" spans="7:14" x14ac:dyDescent="0.3">
      <c r="G9138" s="1"/>
      <c r="N9138" s="1"/>
    </row>
    <row r="9139" spans="7:14" x14ac:dyDescent="0.3">
      <c r="G9139" s="1"/>
      <c r="N9139" s="1"/>
    </row>
    <row r="9140" spans="7:14" x14ac:dyDescent="0.3">
      <c r="G9140" s="1"/>
      <c r="N9140" s="1"/>
    </row>
    <row r="9141" spans="7:14" x14ac:dyDescent="0.3">
      <c r="G9141" s="1"/>
      <c r="N9141" s="1"/>
    </row>
    <row r="9142" spans="7:14" x14ac:dyDescent="0.3">
      <c r="G9142" s="1"/>
      <c r="N9142" s="1"/>
    </row>
    <row r="9143" spans="7:14" x14ac:dyDescent="0.3">
      <c r="G9143" s="1"/>
      <c r="N9143" s="1"/>
    </row>
    <row r="9144" spans="7:14" x14ac:dyDescent="0.3">
      <c r="G9144" s="1"/>
      <c r="N9144" s="1"/>
    </row>
    <row r="9145" spans="7:14" x14ac:dyDescent="0.3">
      <c r="G9145" s="1"/>
      <c r="N9145" s="1"/>
    </row>
    <row r="9146" spans="7:14" x14ac:dyDescent="0.3">
      <c r="G9146" s="1"/>
      <c r="N9146" s="1"/>
    </row>
    <row r="9147" spans="7:14" x14ac:dyDescent="0.3">
      <c r="G9147" s="1"/>
      <c r="N9147" s="1"/>
    </row>
    <row r="9148" spans="7:14" x14ac:dyDescent="0.3">
      <c r="G9148" s="1"/>
      <c r="N9148" s="1"/>
    </row>
    <row r="9149" spans="7:14" x14ac:dyDescent="0.3">
      <c r="G9149" s="1"/>
      <c r="N9149" s="1"/>
    </row>
    <row r="9150" spans="7:14" x14ac:dyDescent="0.3">
      <c r="G9150" s="1"/>
      <c r="N9150" s="1"/>
    </row>
    <row r="9151" spans="7:14" x14ac:dyDescent="0.3">
      <c r="G9151" s="1"/>
      <c r="N9151" s="1"/>
    </row>
    <row r="9152" spans="7:14" x14ac:dyDescent="0.3">
      <c r="G9152" s="1"/>
      <c r="N9152" s="1"/>
    </row>
    <row r="9153" spans="7:14" x14ac:dyDescent="0.3">
      <c r="G9153" s="1"/>
      <c r="N9153" s="1"/>
    </row>
    <row r="9154" spans="7:14" x14ac:dyDescent="0.3">
      <c r="G9154" s="1"/>
      <c r="N9154" s="1"/>
    </row>
    <row r="9155" spans="7:14" x14ac:dyDescent="0.3">
      <c r="G9155" s="1"/>
      <c r="N9155" s="1"/>
    </row>
    <row r="9156" spans="7:14" x14ac:dyDescent="0.3">
      <c r="G9156" s="1"/>
      <c r="N9156" s="1"/>
    </row>
    <row r="9157" spans="7:14" x14ac:dyDescent="0.3">
      <c r="G9157" s="1"/>
      <c r="N9157" s="1"/>
    </row>
    <row r="9158" spans="7:14" x14ac:dyDescent="0.3">
      <c r="G9158" s="1"/>
      <c r="N9158" s="1"/>
    </row>
    <row r="9159" spans="7:14" x14ac:dyDescent="0.3">
      <c r="G9159" s="1"/>
      <c r="N9159" s="1"/>
    </row>
    <row r="9160" spans="7:14" x14ac:dyDescent="0.3">
      <c r="G9160" s="1"/>
      <c r="N9160" s="1"/>
    </row>
    <row r="9161" spans="7:14" x14ac:dyDescent="0.3">
      <c r="G9161" s="1"/>
      <c r="N9161" s="1"/>
    </row>
    <row r="9162" spans="7:14" x14ac:dyDescent="0.3">
      <c r="G9162" s="1"/>
      <c r="N9162" s="1"/>
    </row>
    <row r="9163" spans="7:14" x14ac:dyDescent="0.3">
      <c r="G9163" s="1"/>
      <c r="N9163" s="1"/>
    </row>
    <row r="9164" spans="7:14" x14ac:dyDescent="0.3">
      <c r="G9164" s="1"/>
      <c r="N9164" s="1"/>
    </row>
    <row r="9165" spans="7:14" x14ac:dyDescent="0.3">
      <c r="G9165" s="1"/>
      <c r="N9165" s="1"/>
    </row>
    <row r="9166" spans="7:14" x14ac:dyDescent="0.3">
      <c r="G9166" s="1"/>
      <c r="N9166" s="1"/>
    </row>
    <row r="9167" spans="7:14" x14ac:dyDescent="0.3">
      <c r="G9167" s="1"/>
      <c r="N9167" s="1"/>
    </row>
    <row r="9168" spans="7:14" x14ac:dyDescent="0.3">
      <c r="G9168" s="1"/>
      <c r="N9168" s="1"/>
    </row>
    <row r="9169" spans="7:14" x14ac:dyDescent="0.3">
      <c r="G9169" s="1"/>
      <c r="N9169" s="1"/>
    </row>
    <row r="9170" spans="7:14" x14ac:dyDescent="0.3">
      <c r="G9170" s="1"/>
      <c r="N9170" s="1"/>
    </row>
    <row r="9171" spans="7:14" x14ac:dyDescent="0.3">
      <c r="G9171" s="1"/>
      <c r="N9171" s="1"/>
    </row>
    <row r="9172" spans="7:14" x14ac:dyDescent="0.3">
      <c r="G9172" s="1"/>
      <c r="N9172" s="1"/>
    </row>
    <row r="9173" spans="7:14" x14ac:dyDescent="0.3">
      <c r="G9173" s="1"/>
      <c r="N9173" s="1"/>
    </row>
    <row r="9174" spans="7:14" x14ac:dyDescent="0.3">
      <c r="G9174" s="1"/>
      <c r="N9174" s="1"/>
    </row>
    <row r="9175" spans="7:14" x14ac:dyDescent="0.3">
      <c r="G9175" s="1"/>
      <c r="N9175" s="1"/>
    </row>
    <row r="9176" spans="7:14" x14ac:dyDescent="0.3">
      <c r="G9176" s="1"/>
      <c r="N9176" s="1"/>
    </row>
    <row r="9177" spans="7:14" x14ac:dyDescent="0.3">
      <c r="G9177" s="1"/>
      <c r="N9177" s="1"/>
    </row>
    <row r="9178" spans="7:14" x14ac:dyDescent="0.3">
      <c r="G9178" s="1"/>
      <c r="N9178" s="1"/>
    </row>
    <row r="9179" spans="7:14" x14ac:dyDescent="0.3">
      <c r="G9179" s="1"/>
      <c r="N9179" s="1"/>
    </row>
    <row r="9180" spans="7:14" x14ac:dyDescent="0.3">
      <c r="G9180" s="1"/>
      <c r="N9180" s="1"/>
    </row>
    <row r="9181" spans="7:14" x14ac:dyDescent="0.3">
      <c r="G9181" s="1"/>
      <c r="N9181" s="1"/>
    </row>
    <row r="9182" spans="7:14" x14ac:dyDescent="0.3">
      <c r="G9182" s="1"/>
      <c r="N9182" s="1"/>
    </row>
    <row r="9183" spans="7:14" x14ac:dyDescent="0.3">
      <c r="G9183" s="1"/>
      <c r="N9183" s="1"/>
    </row>
    <row r="9184" spans="7:14" x14ac:dyDescent="0.3">
      <c r="G9184" s="1"/>
      <c r="N9184" s="1"/>
    </row>
    <row r="9185" spans="7:14" x14ac:dyDescent="0.3">
      <c r="G9185" s="1"/>
      <c r="N9185" s="1"/>
    </row>
    <row r="9186" spans="7:14" x14ac:dyDescent="0.3">
      <c r="G9186" s="1"/>
      <c r="N9186" s="1"/>
    </row>
    <row r="9187" spans="7:14" x14ac:dyDescent="0.3">
      <c r="G9187" s="1"/>
      <c r="N9187" s="1"/>
    </row>
    <row r="9188" spans="7:14" x14ac:dyDescent="0.3">
      <c r="G9188" s="1"/>
      <c r="N9188" s="1"/>
    </row>
    <row r="9189" spans="7:14" x14ac:dyDescent="0.3">
      <c r="G9189" s="1"/>
      <c r="N9189" s="1"/>
    </row>
    <row r="9190" spans="7:14" x14ac:dyDescent="0.3">
      <c r="G9190" s="1"/>
      <c r="N9190" s="1"/>
    </row>
    <row r="9191" spans="7:14" x14ac:dyDescent="0.3">
      <c r="G9191" s="1"/>
      <c r="N9191" s="1"/>
    </row>
    <row r="9192" spans="7:14" x14ac:dyDescent="0.3">
      <c r="G9192" s="1"/>
      <c r="N9192" s="1"/>
    </row>
    <row r="9193" spans="7:14" x14ac:dyDescent="0.3">
      <c r="G9193" s="1"/>
      <c r="N9193" s="1"/>
    </row>
    <row r="9194" spans="7:14" x14ac:dyDescent="0.3">
      <c r="G9194" s="1"/>
      <c r="N9194" s="1"/>
    </row>
    <row r="9195" spans="7:14" x14ac:dyDescent="0.3">
      <c r="G9195" s="1"/>
      <c r="N9195" s="1"/>
    </row>
    <row r="9196" spans="7:14" x14ac:dyDescent="0.3">
      <c r="G9196" s="1"/>
      <c r="N9196" s="1"/>
    </row>
    <row r="9197" spans="7:14" x14ac:dyDescent="0.3">
      <c r="G9197" s="1"/>
      <c r="N9197" s="1"/>
    </row>
    <row r="9198" spans="7:14" x14ac:dyDescent="0.3">
      <c r="G9198" s="1"/>
      <c r="N9198" s="1"/>
    </row>
    <row r="9199" spans="7:14" x14ac:dyDescent="0.3">
      <c r="G9199" s="1"/>
      <c r="N9199" s="1"/>
    </row>
    <row r="9200" spans="7:14" x14ac:dyDescent="0.3">
      <c r="G9200" s="1"/>
      <c r="N9200" s="1"/>
    </row>
    <row r="9201" spans="7:14" x14ac:dyDescent="0.3">
      <c r="G9201" s="1"/>
      <c r="N9201" s="1"/>
    </row>
    <row r="9202" spans="7:14" x14ac:dyDescent="0.3">
      <c r="G9202" s="1"/>
      <c r="N9202" s="1"/>
    </row>
    <row r="9203" spans="7:14" x14ac:dyDescent="0.3">
      <c r="G9203" s="1"/>
      <c r="N9203" s="1"/>
    </row>
    <row r="9204" spans="7:14" x14ac:dyDescent="0.3">
      <c r="G9204" s="1"/>
      <c r="N9204" s="1"/>
    </row>
    <row r="9205" spans="7:14" x14ac:dyDescent="0.3">
      <c r="G9205" s="1"/>
      <c r="N9205" s="1"/>
    </row>
    <row r="9206" spans="7:14" x14ac:dyDescent="0.3">
      <c r="G9206" s="1"/>
      <c r="N9206" s="1"/>
    </row>
    <row r="9207" spans="7:14" x14ac:dyDescent="0.3">
      <c r="G9207" s="1"/>
      <c r="N9207" s="1"/>
    </row>
    <row r="9208" spans="7:14" x14ac:dyDescent="0.3">
      <c r="G9208" s="1"/>
      <c r="N9208" s="1"/>
    </row>
    <row r="9209" spans="7:14" x14ac:dyDescent="0.3">
      <c r="G9209" s="1"/>
      <c r="N9209" s="1"/>
    </row>
    <row r="9210" spans="7:14" x14ac:dyDescent="0.3">
      <c r="G9210" s="1"/>
      <c r="N9210" s="1"/>
    </row>
    <row r="9211" spans="7:14" x14ac:dyDescent="0.3">
      <c r="G9211" s="1"/>
      <c r="N9211" s="1"/>
    </row>
    <row r="9212" spans="7:14" x14ac:dyDescent="0.3">
      <c r="G9212" s="1"/>
      <c r="N9212" s="1"/>
    </row>
    <row r="9213" spans="7:14" x14ac:dyDescent="0.3">
      <c r="G9213" s="1"/>
      <c r="N9213" s="1"/>
    </row>
    <row r="9214" spans="7:14" x14ac:dyDescent="0.3">
      <c r="G9214" s="1"/>
      <c r="N9214" s="1"/>
    </row>
    <row r="9215" spans="7:14" x14ac:dyDescent="0.3">
      <c r="G9215" s="1"/>
      <c r="N9215" s="1"/>
    </row>
    <row r="9216" spans="7:14" x14ac:dyDescent="0.3">
      <c r="G9216" s="1"/>
      <c r="N9216" s="1"/>
    </row>
    <row r="9217" spans="7:14" x14ac:dyDescent="0.3">
      <c r="G9217" s="1"/>
      <c r="N9217" s="1"/>
    </row>
    <row r="9218" spans="7:14" x14ac:dyDescent="0.3">
      <c r="G9218" s="1"/>
      <c r="N9218" s="1"/>
    </row>
    <row r="9219" spans="7:14" x14ac:dyDescent="0.3">
      <c r="G9219" s="1"/>
      <c r="N9219" s="1"/>
    </row>
    <row r="9220" spans="7:14" x14ac:dyDescent="0.3">
      <c r="G9220" s="1"/>
      <c r="N9220" s="1"/>
    </row>
    <row r="9221" spans="7:14" x14ac:dyDescent="0.3">
      <c r="G9221" s="1"/>
      <c r="N9221" s="1"/>
    </row>
    <row r="9222" spans="7:14" x14ac:dyDescent="0.3">
      <c r="G9222" s="1"/>
      <c r="N9222" s="1"/>
    </row>
    <row r="9223" spans="7:14" x14ac:dyDescent="0.3">
      <c r="G9223" s="1"/>
      <c r="N9223" s="1"/>
    </row>
    <row r="9224" spans="7:14" x14ac:dyDescent="0.3">
      <c r="G9224" s="1"/>
      <c r="N9224" s="1"/>
    </row>
    <row r="9225" spans="7:14" x14ac:dyDescent="0.3">
      <c r="G9225" s="1"/>
      <c r="N9225" s="1"/>
    </row>
    <row r="9226" spans="7:14" x14ac:dyDescent="0.3">
      <c r="G9226" s="1"/>
      <c r="N9226" s="1"/>
    </row>
    <row r="9227" spans="7:14" x14ac:dyDescent="0.3">
      <c r="G9227" s="1"/>
      <c r="N9227" s="1"/>
    </row>
    <row r="9228" spans="7:14" x14ac:dyDescent="0.3">
      <c r="G9228" s="1"/>
      <c r="N9228" s="1"/>
    </row>
    <row r="9229" spans="7:14" x14ac:dyDescent="0.3">
      <c r="G9229" s="1"/>
      <c r="N9229" s="1"/>
    </row>
    <row r="9230" spans="7:14" x14ac:dyDescent="0.3">
      <c r="G9230" s="1"/>
      <c r="N9230" s="1"/>
    </row>
    <row r="9231" spans="7:14" x14ac:dyDescent="0.3">
      <c r="G9231" s="1"/>
      <c r="N9231" s="1"/>
    </row>
    <row r="9232" spans="7:14" x14ac:dyDescent="0.3">
      <c r="G9232" s="1"/>
      <c r="N9232" s="1"/>
    </row>
    <row r="9233" spans="7:14" x14ac:dyDescent="0.3">
      <c r="G9233" s="1"/>
      <c r="N9233" s="1"/>
    </row>
    <row r="9234" spans="7:14" x14ac:dyDescent="0.3">
      <c r="G9234" s="1"/>
      <c r="N9234" s="1"/>
    </row>
    <row r="9235" spans="7:14" x14ac:dyDescent="0.3">
      <c r="G9235" s="1"/>
      <c r="N9235" s="1"/>
    </row>
    <row r="9236" spans="7:14" x14ac:dyDescent="0.3">
      <c r="G9236" s="1"/>
      <c r="N9236" s="1"/>
    </row>
    <row r="9237" spans="7:14" x14ac:dyDescent="0.3">
      <c r="G9237" s="1"/>
      <c r="N9237" s="1"/>
    </row>
    <row r="9238" spans="7:14" x14ac:dyDescent="0.3">
      <c r="G9238" s="1"/>
      <c r="N9238" s="1"/>
    </row>
    <row r="9239" spans="7:14" x14ac:dyDescent="0.3">
      <c r="G9239" s="1"/>
      <c r="N9239" s="1"/>
    </row>
    <row r="9240" spans="7:14" x14ac:dyDescent="0.3">
      <c r="G9240" s="1"/>
      <c r="N9240" s="1"/>
    </row>
    <row r="9241" spans="7:14" x14ac:dyDescent="0.3">
      <c r="G9241" s="1"/>
      <c r="N9241" s="1"/>
    </row>
    <row r="9242" spans="7:14" x14ac:dyDescent="0.3">
      <c r="G9242" s="1"/>
      <c r="N9242" s="1"/>
    </row>
    <row r="9243" spans="7:14" x14ac:dyDescent="0.3">
      <c r="G9243" s="1"/>
      <c r="N9243" s="1"/>
    </row>
    <row r="9244" spans="7:14" x14ac:dyDescent="0.3">
      <c r="G9244" s="1"/>
      <c r="N9244" s="1"/>
    </row>
    <row r="9245" spans="7:14" x14ac:dyDescent="0.3">
      <c r="G9245" s="1"/>
      <c r="N9245" s="1"/>
    </row>
    <row r="9246" spans="7:14" x14ac:dyDescent="0.3">
      <c r="G9246" s="1"/>
      <c r="N9246" s="1"/>
    </row>
    <row r="9247" spans="7:14" x14ac:dyDescent="0.3">
      <c r="G9247" s="1"/>
      <c r="N9247" s="1"/>
    </row>
    <row r="9248" spans="7:14" x14ac:dyDescent="0.3">
      <c r="G9248" s="1"/>
      <c r="N9248" s="1"/>
    </row>
    <row r="9249" spans="7:14" x14ac:dyDescent="0.3">
      <c r="G9249" s="1"/>
      <c r="N9249" s="1"/>
    </row>
    <row r="9250" spans="7:14" x14ac:dyDescent="0.3">
      <c r="G9250" s="1"/>
      <c r="N9250" s="1"/>
    </row>
    <row r="9251" spans="7:14" x14ac:dyDescent="0.3">
      <c r="G9251" s="1"/>
      <c r="N9251" s="1"/>
    </row>
    <row r="9252" spans="7:14" x14ac:dyDescent="0.3">
      <c r="G9252" s="1"/>
      <c r="N9252" s="1"/>
    </row>
    <row r="9253" spans="7:14" x14ac:dyDescent="0.3">
      <c r="G9253" s="1"/>
      <c r="N9253" s="1"/>
    </row>
    <row r="9254" spans="7:14" x14ac:dyDescent="0.3">
      <c r="G9254" s="1"/>
      <c r="N9254" s="1"/>
    </row>
    <row r="9255" spans="7:14" x14ac:dyDescent="0.3">
      <c r="G9255" s="1"/>
      <c r="N9255" s="1"/>
    </row>
    <row r="9256" spans="7:14" x14ac:dyDescent="0.3">
      <c r="G9256" s="1"/>
      <c r="N9256" s="1"/>
    </row>
    <row r="9257" spans="7:14" x14ac:dyDescent="0.3">
      <c r="G9257" s="1"/>
      <c r="N9257" s="1"/>
    </row>
    <row r="9258" spans="7:14" x14ac:dyDescent="0.3">
      <c r="G9258" s="1"/>
      <c r="N9258" s="1"/>
    </row>
    <row r="9259" spans="7:14" x14ac:dyDescent="0.3">
      <c r="G9259" s="1"/>
      <c r="N9259" s="1"/>
    </row>
    <row r="9260" spans="7:14" x14ac:dyDescent="0.3">
      <c r="G9260" s="1"/>
      <c r="N9260" s="1"/>
    </row>
    <row r="9261" spans="7:14" x14ac:dyDescent="0.3">
      <c r="G9261" s="1"/>
      <c r="N9261" s="1"/>
    </row>
    <row r="9262" spans="7:14" x14ac:dyDescent="0.3">
      <c r="G9262" s="1"/>
      <c r="N9262" s="1"/>
    </row>
    <row r="9263" spans="7:14" x14ac:dyDescent="0.3">
      <c r="G9263" s="1"/>
      <c r="N9263" s="1"/>
    </row>
    <row r="9264" spans="7:14" x14ac:dyDescent="0.3">
      <c r="G9264" s="1"/>
      <c r="N9264" s="1"/>
    </row>
    <row r="9265" spans="7:14" x14ac:dyDescent="0.3">
      <c r="G9265" s="1"/>
      <c r="N9265" s="1"/>
    </row>
    <row r="9266" spans="7:14" x14ac:dyDescent="0.3">
      <c r="G9266" s="1"/>
      <c r="N9266" s="1"/>
    </row>
    <row r="9267" spans="7:14" x14ac:dyDescent="0.3">
      <c r="G9267" s="1"/>
      <c r="N9267" s="1"/>
    </row>
    <row r="9268" spans="7:14" x14ac:dyDescent="0.3">
      <c r="G9268" s="1"/>
      <c r="N9268" s="1"/>
    </row>
    <row r="9269" spans="7:14" x14ac:dyDescent="0.3">
      <c r="G9269" s="1"/>
      <c r="N9269" s="1"/>
    </row>
    <row r="9270" spans="7:14" x14ac:dyDescent="0.3">
      <c r="G9270" s="1"/>
      <c r="N9270" s="1"/>
    </row>
    <row r="9271" spans="7:14" x14ac:dyDescent="0.3">
      <c r="G9271" s="1"/>
      <c r="N9271" s="1"/>
    </row>
    <row r="9272" spans="7:14" x14ac:dyDescent="0.3">
      <c r="G9272" s="1"/>
      <c r="N9272" s="1"/>
    </row>
    <row r="9273" spans="7:14" x14ac:dyDescent="0.3">
      <c r="G9273" s="1"/>
      <c r="N9273" s="1"/>
    </row>
    <row r="9274" spans="7:14" x14ac:dyDescent="0.3">
      <c r="G9274" s="1"/>
      <c r="N9274" s="1"/>
    </row>
    <row r="9275" spans="7:14" x14ac:dyDescent="0.3">
      <c r="G9275" s="1"/>
      <c r="N9275" s="1"/>
    </row>
    <row r="9276" spans="7:14" x14ac:dyDescent="0.3">
      <c r="G9276" s="1"/>
      <c r="N9276" s="1"/>
    </row>
    <row r="9277" spans="7:14" x14ac:dyDescent="0.3">
      <c r="G9277" s="1"/>
      <c r="N9277" s="1"/>
    </row>
    <row r="9278" spans="7:14" x14ac:dyDescent="0.3">
      <c r="G9278" s="1"/>
      <c r="N9278" s="1"/>
    </row>
    <row r="9279" spans="7:14" x14ac:dyDescent="0.3">
      <c r="G9279" s="1"/>
      <c r="N9279" s="1"/>
    </row>
    <row r="9280" spans="7:14" x14ac:dyDescent="0.3">
      <c r="G9280" s="1"/>
      <c r="N9280" s="1"/>
    </row>
    <row r="9281" spans="7:14" x14ac:dyDescent="0.3">
      <c r="G9281" s="1"/>
      <c r="N9281" s="1"/>
    </row>
    <row r="9282" spans="7:14" x14ac:dyDescent="0.3">
      <c r="G9282" s="1"/>
      <c r="N9282" s="1"/>
    </row>
    <row r="9283" spans="7:14" x14ac:dyDescent="0.3">
      <c r="G9283" s="1"/>
      <c r="N9283" s="1"/>
    </row>
    <row r="9284" spans="7:14" x14ac:dyDescent="0.3">
      <c r="G9284" s="1"/>
      <c r="N9284" s="1"/>
    </row>
    <row r="9285" spans="7:14" x14ac:dyDescent="0.3">
      <c r="G9285" s="1"/>
      <c r="N9285" s="1"/>
    </row>
    <row r="9286" spans="7:14" x14ac:dyDescent="0.3">
      <c r="G9286" s="1"/>
      <c r="N9286" s="1"/>
    </row>
    <row r="9287" spans="7:14" x14ac:dyDescent="0.3">
      <c r="G9287" s="1"/>
      <c r="N9287" s="1"/>
    </row>
    <row r="9288" spans="7:14" x14ac:dyDescent="0.3">
      <c r="G9288" s="1"/>
      <c r="N9288" s="1"/>
    </row>
    <row r="9289" spans="7:14" x14ac:dyDescent="0.3">
      <c r="G9289" s="1"/>
      <c r="N9289" s="1"/>
    </row>
    <row r="9290" spans="7:14" x14ac:dyDescent="0.3">
      <c r="G9290" s="1"/>
      <c r="N9290" s="1"/>
    </row>
    <row r="9291" spans="7:14" x14ac:dyDescent="0.3">
      <c r="G9291" s="1"/>
      <c r="N9291" s="1"/>
    </row>
    <row r="9292" spans="7:14" x14ac:dyDescent="0.3">
      <c r="G9292" s="1"/>
      <c r="N9292" s="1"/>
    </row>
    <row r="9293" spans="7:14" x14ac:dyDescent="0.3">
      <c r="G9293" s="1"/>
      <c r="N9293" s="1"/>
    </row>
    <row r="9294" spans="7:14" x14ac:dyDescent="0.3">
      <c r="G9294" s="1"/>
      <c r="N9294" s="1"/>
    </row>
    <row r="9295" spans="7:14" x14ac:dyDescent="0.3">
      <c r="G9295" s="1"/>
      <c r="N9295" s="1"/>
    </row>
    <row r="9296" spans="7:14" x14ac:dyDescent="0.3">
      <c r="G9296" s="1"/>
      <c r="N9296" s="1"/>
    </row>
    <row r="9297" spans="7:14" x14ac:dyDescent="0.3">
      <c r="G9297" s="1"/>
      <c r="N9297" s="1"/>
    </row>
    <row r="9298" spans="7:14" x14ac:dyDescent="0.3">
      <c r="G9298" s="1"/>
      <c r="N9298" s="1"/>
    </row>
    <row r="9299" spans="7:14" x14ac:dyDescent="0.3">
      <c r="G9299" s="1"/>
      <c r="N9299" s="1"/>
    </row>
    <row r="9300" spans="7:14" x14ac:dyDescent="0.3">
      <c r="G9300" s="1"/>
      <c r="N9300" s="1"/>
    </row>
    <row r="9301" spans="7:14" x14ac:dyDescent="0.3">
      <c r="G9301" s="1"/>
      <c r="N9301" s="1"/>
    </row>
    <row r="9302" spans="7:14" x14ac:dyDescent="0.3">
      <c r="G9302" s="1"/>
      <c r="N9302" s="1"/>
    </row>
    <row r="9303" spans="7:14" x14ac:dyDescent="0.3">
      <c r="G9303" s="1"/>
      <c r="N9303" s="1"/>
    </row>
    <row r="9304" spans="7:14" x14ac:dyDescent="0.3">
      <c r="G9304" s="1"/>
      <c r="N9304" s="1"/>
    </row>
    <row r="9305" spans="7:14" x14ac:dyDescent="0.3">
      <c r="G9305" s="1"/>
      <c r="N9305" s="1"/>
    </row>
    <row r="9306" spans="7:14" x14ac:dyDescent="0.3">
      <c r="G9306" s="1"/>
      <c r="N9306" s="1"/>
    </row>
    <row r="9307" spans="7:14" x14ac:dyDescent="0.3">
      <c r="G9307" s="1"/>
      <c r="N9307" s="1"/>
    </row>
    <row r="9308" spans="7:14" x14ac:dyDescent="0.3">
      <c r="G9308" s="1"/>
      <c r="N9308" s="1"/>
    </row>
    <row r="9309" spans="7:14" x14ac:dyDescent="0.3">
      <c r="G9309" s="1"/>
      <c r="N9309" s="1"/>
    </row>
    <row r="9310" spans="7:14" x14ac:dyDescent="0.3">
      <c r="G9310" s="1"/>
      <c r="N9310" s="1"/>
    </row>
    <row r="9311" spans="7:14" x14ac:dyDescent="0.3">
      <c r="G9311" s="1"/>
      <c r="N9311" s="1"/>
    </row>
    <row r="9312" spans="7:14" x14ac:dyDescent="0.3">
      <c r="G9312" s="1"/>
      <c r="N9312" s="1"/>
    </row>
    <row r="9313" spans="7:14" x14ac:dyDescent="0.3">
      <c r="G9313" s="1"/>
      <c r="N9313" s="1"/>
    </row>
    <row r="9314" spans="7:14" x14ac:dyDescent="0.3">
      <c r="G9314" s="1"/>
      <c r="N9314" s="1"/>
    </row>
    <row r="9315" spans="7:14" x14ac:dyDescent="0.3">
      <c r="G9315" s="1"/>
      <c r="N9315" s="1"/>
    </row>
    <row r="9316" spans="7:14" x14ac:dyDescent="0.3">
      <c r="G9316" s="1"/>
      <c r="N9316" s="1"/>
    </row>
    <row r="9317" spans="7:14" x14ac:dyDescent="0.3">
      <c r="G9317" s="1"/>
      <c r="N9317" s="1"/>
    </row>
    <row r="9318" spans="7:14" x14ac:dyDescent="0.3">
      <c r="G9318" s="1"/>
      <c r="N9318" s="1"/>
    </row>
    <row r="9319" spans="7:14" x14ac:dyDescent="0.3">
      <c r="G9319" s="1"/>
      <c r="N9319" s="1"/>
    </row>
    <row r="9320" spans="7:14" x14ac:dyDescent="0.3">
      <c r="G9320" s="1"/>
      <c r="N9320" s="1"/>
    </row>
    <row r="9321" spans="7:14" x14ac:dyDescent="0.3">
      <c r="G9321" s="1"/>
      <c r="N9321" s="1"/>
    </row>
    <row r="9322" spans="7:14" x14ac:dyDescent="0.3">
      <c r="G9322" s="1"/>
      <c r="N9322" s="1"/>
    </row>
    <row r="9323" spans="7:14" x14ac:dyDescent="0.3">
      <c r="G9323" s="1"/>
      <c r="N9323" s="1"/>
    </row>
    <row r="9324" spans="7:14" x14ac:dyDescent="0.3">
      <c r="G9324" s="1"/>
      <c r="N9324" s="1"/>
    </row>
    <row r="9325" spans="7:14" x14ac:dyDescent="0.3">
      <c r="G9325" s="1"/>
      <c r="N9325" s="1"/>
    </row>
    <row r="9326" spans="7:14" x14ac:dyDescent="0.3">
      <c r="G9326" s="1"/>
      <c r="N9326" s="1"/>
    </row>
    <row r="9327" spans="7:14" x14ac:dyDescent="0.3">
      <c r="G9327" s="1"/>
      <c r="N9327" s="1"/>
    </row>
    <row r="9328" spans="7:14" x14ac:dyDescent="0.3">
      <c r="G9328" s="1"/>
      <c r="N9328" s="1"/>
    </row>
    <row r="9329" spans="7:14" x14ac:dyDescent="0.3">
      <c r="G9329" s="1"/>
      <c r="N9329" s="1"/>
    </row>
    <row r="9330" spans="7:14" x14ac:dyDescent="0.3">
      <c r="G9330" s="1"/>
      <c r="N9330" s="1"/>
    </row>
    <row r="9331" spans="7:14" x14ac:dyDescent="0.3">
      <c r="G9331" s="1"/>
      <c r="N9331" s="1"/>
    </row>
    <row r="9332" spans="7:14" x14ac:dyDescent="0.3">
      <c r="G9332" s="1"/>
      <c r="N9332" s="1"/>
    </row>
    <row r="9333" spans="7:14" x14ac:dyDescent="0.3">
      <c r="G9333" s="1"/>
      <c r="N9333" s="1"/>
    </row>
    <row r="9334" spans="7:14" x14ac:dyDescent="0.3">
      <c r="G9334" s="1"/>
      <c r="N9334" s="1"/>
    </row>
    <row r="9335" spans="7:14" x14ac:dyDescent="0.3">
      <c r="G9335" s="1"/>
      <c r="N9335" s="1"/>
    </row>
    <row r="9336" spans="7:14" x14ac:dyDescent="0.3">
      <c r="G9336" s="1"/>
      <c r="N9336" s="1"/>
    </row>
    <row r="9337" spans="7:14" x14ac:dyDescent="0.3">
      <c r="G9337" s="1"/>
      <c r="N9337" s="1"/>
    </row>
    <row r="9338" spans="7:14" x14ac:dyDescent="0.3">
      <c r="G9338" s="1"/>
      <c r="N9338" s="1"/>
    </row>
    <row r="9339" spans="7:14" x14ac:dyDescent="0.3">
      <c r="G9339" s="1"/>
      <c r="N9339" s="1"/>
    </row>
    <row r="9340" spans="7:14" x14ac:dyDescent="0.3">
      <c r="G9340" s="1"/>
      <c r="N9340" s="1"/>
    </row>
    <row r="9341" spans="7:14" x14ac:dyDescent="0.3">
      <c r="G9341" s="1"/>
      <c r="N9341" s="1"/>
    </row>
    <row r="9342" spans="7:14" x14ac:dyDescent="0.3">
      <c r="G9342" s="1"/>
      <c r="N9342" s="1"/>
    </row>
    <row r="9343" spans="7:14" x14ac:dyDescent="0.3">
      <c r="G9343" s="1"/>
      <c r="N9343" s="1"/>
    </row>
    <row r="9344" spans="7:14" x14ac:dyDescent="0.3">
      <c r="G9344" s="1"/>
      <c r="N9344" s="1"/>
    </row>
    <row r="9345" spans="7:14" x14ac:dyDescent="0.3">
      <c r="G9345" s="1"/>
      <c r="N9345" s="1"/>
    </row>
    <row r="9346" spans="7:14" x14ac:dyDescent="0.3">
      <c r="G9346" s="1"/>
      <c r="N9346" s="1"/>
    </row>
    <row r="9347" spans="7:14" x14ac:dyDescent="0.3">
      <c r="G9347" s="1"/>
      <c r="N9347" s="1"/>
    </row>
    <row r="9348" spans="7:14" x14ac:dyDescent="0.3">
      <c r="G9348" s="1"/>
      <c r="N9348" s="1"/>
    </row>
    <row r="9349" spans="7:14" x14ac:dyDescent="0.3">
      <c r="G9349" s="1"/>
      <c r="N9349" s="1"/>
    </row>
    <row r="9350" spans="7:14" x14ac:dyDescent="0.3">
      <c r="G9350" s="1"/>
      <c r="N9350" s="1"/>
    </row>
    <row r="9351" spans="7:14" x14ac:dyDescent="0.3">
      <c r="G9351" s="1"/>
      <c r="N9351" s="1"/>
    </row>
    <row r="9352" spans="7:14" x14ac:dyDescent="0.3">
      <c r="G9352" s="1"/>
      <c r="N9352" s="1"/>
    </row>
    <row r="9353" spans="7:14" x14ac:dyDescent="0.3">
      <c r="G9353" s="1"/>
      <c r="N9353" s="1"/>
    </row>
    <row r="9354" spans="7:14" x14ac:dyDescent="0.3">
      <c r="G9354" s="1"/>
      <c r="N9354" s="1"/>
    </row>
    <row r="9355" spans="7:14" x14ac:dyDescent="0.3">
      <c r="G9355" s="1"/>
      <c r="N9355" s="1"/>
    </row>
    <row r="9356" spans="7:14" x14ac:dyDescent="0.3">
      <c r="G9356" s="1"/>
      <c r="N9356" s="1"/>
    </row>
    <row r="9357" spans="7:14" x14ac:dyDescent="0.3">
      <c r="G9357" s="1"/>
      <c r="N9357" s="1"/>
    </row>
    <row r="9358" spans="7:14" x14ac:dyDescent="0.3">
      <c r="G9358" s="1"/>
      <c r="N9358" s="1"/>
    </row>
    <row r="9359" spans="7:14" x14ac:dyDescent="0.3">
      <c r="G9359" s="1"/>
      <c r="N9359" s="1"/>
    </row>
    <row r="9360" spans="7:14" x14ac:dyDescent="0.3">
      <c r="G9360" s="1"/>
      <c r="N9360" s="1"/>
    </row>
    <row r="9361" spans="7:14" x14ac:dyDescent="0.3">
      <c r="G9361" s="1"/>
      <c r="N9361" s="1"/>
    </row>
    <row r="9362" spans="7:14" x14ac:dyDescent="0.3">
      <c r="G9362" s="1"/>
      <c r="N9362" s="1"/>
    </row>
    <row r="9363" spans="7:14" x14ac:dyDescent="0.3">
      <c r="G9363" s="1"/>
      <c r="N9363" s="1"/>
    </row>
    <row r="9364" spans="7:14" x14ac:dyDescent="0.3">
      <c r="G9364" s="1"/>
      <c r="N9364" s="1"/>
    </row>
    <row r="9365" spans="7:14" x14ac:dyDescent="0.3">
      <c r="G9365" s="1"/>
      <c r="N9365" s="1"/>
    </row>
    <row r="9366" spans="7:14" x14ac:dyDescent="0.3">
      <c r="G9366" s="1"/>
      <c r="N9366" s="1"/>
    </row>
    <row r="9367" spans="7:14" x14ac:dyDescent="0.3">
      <c r="G9367" s="1"/>
      <c r="N9367" s="1"/>
    </row>
    <row r="9368" spans="7:14" x14ac:dyDescent="0.3">
      <c r="G9368" s="1"/>
      <c r="N9368" s="1"/>
    </row>
    <row r="9369" spans="7:14" x14ac:dyDescent="0.3">
      <c r="G9369" s="1"/>
      <c r="N9369" s="1"/>
    </row>
    <row r="9370" spans="7:14" x14ac:dyDescent="0.3">
      <c r="G9370" s="1"/>
      <c r="N9370" s="1"/>
    </row>
    <row r="9371" spans="7:14" x14ac:dyDescent="0.3">
      <c r="G9371" s="1"/>
      <c r="N9371" s="1"/>
    </row>
    <row r="9372" spans="7:14" x14ac:dyDescent="0.3">
      <c r="G9372" s="1"/>
      <c r="N9372" s="1"/>
    </row>
    <row r="9373" spans="7:14" x14ac:dyDescent="0.3">
      <c r="G9373" s="1"/>
      <c r="N9373" s="1"/>
    </row>
    <row r="9374" spans="7:14" x14ac:dyDescent="0.3">
      <c r="G9374" s="1"/>
      <c r="N9374" s="1"/>
    </row>
    <row r="9375" spans="7:14" x14ac:dyDescent="0.3">
      <c r="G9375" s="1"/>
      <c r="N9375" s="1"/>
    </row>
    <row r="9376" spans="7:14" x14ac:dyDescent="0.3">
      <c r="G9376" s="1"/>
      <c r="N9376" s="1"/>
    </row>
    <row r="9377" spans="7:14" x14ac:dyDescent="0.3">
      <c r="G9377" s="1"/>
      <c r="N9377" s="1"/>
    </row>
    <row r="9378" spans="7:14" x14ac:dyDescent="0.3">
      <c r="G9378" s="1"/>
      <c r="N9378" s="1"/>
    </row>
    <row r="9379" spans="7:14" x14ac:dyDescent="0.3">
      <c r="G9379" s="1"/>
      <c r="N9379" s="1"/>
    </row>
    <row r="9380" spans="7:14" x14ac:dyDescent="0.3">
      <c r="G9380" s="1"/>
      <c r="N9380" s="1"/>
    </row>
    <row r="9381" spans="7:14" x14ac:dyDescent="0.3">
      <c r="G9381" s="1"/>
      <c r="N9381" s="1"/>
    </row>
    <row r="9382" spans="7:14" x14ac:dyDescent="0.3">
      <c r="G9382" s="1"/>
      <c r="N9382" s="1"/>
    </row>
    <row r="9383" spans="7:14" x14ac:dyDescent="0.3">
      <c r="G9383" s="1"/>
      <c r="N9383" s="1"/>
    </row>
    <row r="9384" spans="7:14" x14ac:dyDescent="0.3">
      <c r="G9384" s="1"/>
      <c r="N9384" s="1"/>
    </row>
    <row r="9385" spans="7:14" x14ac:dyDescent="0.3">
      <c r="G9385" s="1"/>
      <c r="N9385" s="1"/>
    </row>
    <row r="9386" spans="7:14" x14ac:dyDescent="0.3">
      <c r="G9386" s="1"/>
      <c r="N9386" s="1"/>
    </row>
    <row r="9387" spans="7:14" x14ac:dyDescent="0.3">
      <c r="G9387" s="1"/>
      <c r="N9387" s="1"/>
    </row>
    <row r="9388" spans="7:14" x14ac:dyDescent="0.3">
      <c r="G9388" s="1"/>
      <c r="N9388" s="1"/>
    </row>
    <row r="9389" spans="7:14" x14ac:dyDescent="0.3">
      <c r="G9389" s="1"/>
      <c r="N9389" s="1"/>
    </row>
    <row r="9390" spans="7:14" x14ac:dyDescent="0.3">
      <c r="G9390" s="1"/>
      <c r="N9390" s="1"/>
    </row>
    <row r="9391" spans="7:14" x14ac:dyDescent="0.3">
      <c r="G9391" s="1"/>
      <c r="N9391" s="1"/>
    </row>
    <row r="9392" spans="7:14" x14ac:dyDescent="0.3">
      <c r="G9392" s="1"/>
      <c r="N9392" s="1"/>
    </row>
    <row r="9393" spans="7:14" x14ac:dyDescent="0.3">
      <c r="G9393" s="1"/>
      <c r="N9393" s="1"/>
    </row>
    <row r="9394" spans="7:14" x14ac:dyDescent="0.3">
      <c r="G9394" s="1"/>
      <c r="N9394" s="1"/>
    </row>
    <row r="9395" spans="7:14" x14ac:dyDescent="0.3">
      <c r="G9395" s="1"/>
      <c r="N9395" s="1"/>
    </row>
    <row r="9396" spans="7:14" x14ac:dyDescent="0.3">
      <c r="G9396" s="1"/>
      <c r="N9396" s="1"/>
    </row>
    <row r="9397" spans="7:14" x14ac:dyDescent="0.3">
      <c r="G9397" s="1"/>
      <c r="N9397" s="1"/>
    </row>
    <row r="9398" spans="7:14" x14ac:dyDescent="0.3">
      <c r="G9398" s="1"/>
      <c r="N9398" s="1"/>
    </row>
    <row r="9399" spans="7:14" x14ac:dyDescent="0.3">
      <c r="G9399" s="1"/>
      <c r="N9399" s="1"/>
    </row>
    <row r="9400" spans="7:14" x14ac:dyDescent="0.3">
      <c r="G9400" s="1"/>
      <c r="N9400" s="1"/>
    </row>
    <row r="9401" spans="7:14" x14ac:dyDescent="0.3">
      <c r="G9401" s="1"/>
      <c r="N9401" s="1"/>
    </row>
    <row r="9402" spans="7:14" x14ac:dyDescent="0.3">
      <c r="G9402" s="1"/>
      <c r="N9402" s="1"/>
    </row>
    <row r="9403" spans="7:14" x14ac:dyDescent="0.3">
      <c r="G9403" s="1"/>
      <c r="N9403" s="1"/>
    </row>
    <row r="9404" spans="7:14" x14ac:dyDescent="0.3">
      <c r="G9404" s="1"/>
      <c r="N9404" s="1"/>
    </row>
    <row r="9405" spans="7:14" x14ac:dyDescent="0.3">
      <c r="G9405" s="1"/>
      <c r="N9405" s="1"/>
    </row>
    <row r="9406" spans="7:14" x14ac:dyDescent="0.3">
      <c r="G9406" s="1"/>
      <c r="N9406" s="1"/>
    </row>
    <row r="9407" spans="7:14" x14ac:dyDescent="0.3">
      <c r="G9407" s="1"/>
      <c r="N9407" s="1"/>
    </row>
    <row r="9408" spans="7:14" x14ac:dyDescent="0.3">
      <c r="G9408" s="1"/>
      <c r="N9408" s="1"/>
    </row>
    <row r="9409" spans="7:14" x14ac:dyDescent="0.3">
      <c r="G9409" s="1"/>
      <c r="N9409" s="1"/>
    </row>
    <row r="9410" spans="7:14" x14ac:dyDescent="0.3">
      <c r="G9410" s="1"/>
      <c r="N9410" s="1"/>
    </row>
    <row r="9411" spans="7:14" x14ac:dyDescent="0.3">
      <c r="G9411" s="1"/>
      <c r="N9411" s="1"/>
    </row>
    <row r="9412" spans="7:14" x14ac:dyDescent="0.3">
      <c r="G9412" s="1"/>
      <c r="N9412" s="1"/>
    </row>
    <row r="9413" spans="7:14" x14ac:dyDescent="0.3">
      <c r="G9413" s="1"/>
      <c r="N9413" s="1"/>
    </row>
    <row r="9414" spans="7:14" x14ac:dyDescent="0.3">
      <c r="G9414" s="1"/>
      <c r="N9414" s="1"/>
    </row>
    <row r="9415" spans="7:14" x14ac:dyDescent="0.3">
      <c r="G9415" s="1"/>
      <c r="N9415" s="1"/>
    </row>
    <row r="9416" spans="7:14" x14ac:dyDescent="0.3">
      <c r="G9416" s="1"/>
      <c r="N9416" s="1"/>
    </row>
    <row r="9417" spans="7:14" x14ac:dyDescent="0.3">
      <c r="G9417" s="1"/>
      <c r="N9417" s="1"/>
    </row>
    <row r="9418" spans="7:14" x14ac:dyDescent="0.3">
      <c r="G9418" s="1"/>
      <c r="N9418" s="1"/>
    </row>
    <row r="9419" spans="7:14" x14ac:dyDescent="0.3">
      <c r="G9419" s="1"/>
      <c r="N9419" s="1"/>
    </row>
    <row r="9420" spans="7:14" x14ac:dyDescent="0.3">
      <c r="G9420" s="1"/>
      <c r="N9420" s="1"/>
    </row>
    <row r="9421" spans="7:14" x14ac:dyDescent="0.3">
      <c r="G9421" s="1"/>
      <c r="N9421" s="1"/>
    </row>
    <row r="9422" spans="7:14" x14ac:dyDescent="0.3">
      <c r="G9422" s="1"/>
      <c r="N9422" s="1"/>
    </row>
    <row r="9423" spans="7:14" x14ac:dyDescent="0.3">
      <c r="G9423" s="1"/>
      <c r="N9423" s="1"/>
    </row>
    <row r="9424" spans="7:14" x14ac:dyDescent="0.3">
      <c r="G9424" s="1"/>
      <c r="N9424" s="1"/>
    </row>
    <row r="9425" spans="7:14" x14ac:dyDescent="0.3">
      <c r="G9425" s="1"/>
      <c r="N9425" s="1"/>
    </row>
    <row r="9426" spans="7:14" x14ac:dyDescent="0.3">
      <c r="G9426" s="1"/>
      <c r="N9426" s="1"/>
    </row>
    <row r="9427" spans="7:14" x14ac:dyDescent="0.3">
      <c r="G9427" s="1"/>
      <c r="N9427" s="1"/>
    </row>
    <row r="9428" spans="7:14" x14ac:dyDescent="0.3">
      <c r="G9428" s="1"/>
      <c r="N9428" s="1"/>
    </row>
    <row r="9429" spans="7:14" x14ac:dyDescent="0.3">
      <c r="G9429" s="1"/>
      <c r="N9429" s="1"/>
    </row>
    <row r="9430" spans="7:14" x14ac:dyDescent="0.3">
      <c r="G9430" s="1"/>
      <c r="N9430" s="1"/>
    </row>
    <row r="9431" spans="7:14" x14ac:dyDescent="0.3">
      <c r="G9431" s="1"/>
      <c r="N9431" s="1"/>
    </row>
    <row r="9432" spans="7:14" x14ac:dyDescent="0.3">
      <c r="G9432" s="1"/>
      <c r="N9432" s="1"/>
    </row>
    <row r="9433" spans="7:14" x14ac:dyDescent="0.3">
      <c r="G9433" s="1"/>
      <c r="N9433" s="1"/>
    </row>
    <row r="9434" spans="7:14" x14ac:dyDescent="0.3">
      <c r="G9434" s="1"/>
      <c r="N9434" s="1"/>
    </row>
    <row r="9435" spans="7:14" x14ac:dyDescent="0.3">
      <c r="G9435" s="1"/>
      <c r="N9435" s="1"/>
    </row>
    <row r="9436" spans="7:14" x14ac:dyDescent="0.3">
      <c r="G9436" s="1"/>
      <c r="N9436" s="1"/>
    </row>
    <row r="9437" spans="7:14" x14ac:dyDescent="0.3">
      <c r="G9437" s="1"/>
      <c r="N9437" s="1"/>
    </row>
    <row r="9438" spans="7:14" x14ac:dyDescent="0.3">
      <c r="G9438" s="1"/>
      <c r="N9438" s="1"/>
    </row>
    <row r="9439" spans="7:14" x14ac:dyDescent="0.3">
      <c r="G9439" s="1"/>
      <c r="N9439" s="1"/>
    </row>
    <row r="9440" spans="7:14" x14ac:dyDescent="0.3">
      <c r="G9440" s="1"/>
      <c r="N9440" s="1"/>
    </row>
    <row r="9441" spans="7:14" x14ac:dyDescent="0.3">
      <c r="G9441" s="1"/>
      <c r="N9441" s="1"/>
    </row>
    <row r="9442" spans="7:14" x14ac:dyDescent="0.3">
      <c r="G9442" s="1"/>
      <c r="N9442" s="1"/>
    </row>
    <row r="9443" spans="7:14" x14ac:dyDescent="0.3">
      <c r="G9443" s="1"/>
      <c r="N9443" s="1"/>
    </row>
    <row r="9444" spans="7:14" x14ac:dyDescent="0.3">
      <c r="G9444" s="1"/>
      <c r="N9444" s="1"/>
    </row>
    <row r="9445" spans="7:14" x14ac:dyDescent="0.3">
      <c r="G9445" s="1"/>
      <c r="N9445" s="1"/>
    </row>
    <row r="9446" spans="7:14" x14ac:dyDescent="0.3">
      <c r="G9446" s="1"/>
      <c r="N9446" s="1"/>
    </row>
    <row r="9447" spans="7:14" x14ac:dyDescent="0.3">
      <c r="G9447" s="1"/>
      <c r="N9447" s="1"/>
    </row>
    <row r="9448" spans="7:14" x14ac:dyDescent="0.3">
      <c r="G9448" s="1"/>
      <c r="N9448" s="1"/>
    </row>
    <row r="9449" spans="7:14" x14ac:dyDescent="0.3">
      <c r="G9449" s="1"/>
      <c r="N9449" s="1"/>
    </row>
    <row r="9450" spans="7:14" x14ac:dyDescent="0.3">
      <c r="G9450" s="1"/>
      <c r="N9450" s="1"/>
    </row>
    <row r="9451" spans="7:14" x14ac:dyDescent="0.3">
      <c r="G9451" s="1"/>
      <c r="N9451" s="1"/>
    </row>
    <row r="9452" spans="7:14" x14ac:dyDescent="0.3">
      <c r="G9452" s="1"/>
      <c r="N9452" s="1"/>
    </row>
    <row r="9453" spans="7:14" x14ac:dyDescent="0.3">
      <c r="G9453" s="1"/>
      <c r="N9453" s="1"/>
    </row>
    <row r="9454" spans="7:14" x14ac:dyDescent="0.3">
      <c r="G9454" s="1"/>
      <c r="N9454" s="1"/>
    </row>
    <row r="9455" spans="7:14" x14ac:dyDescent="0.3">
      <c r="G9455" s="1"/>
      <c r="N9455" s="1"/>
    </row>
    <row r="9456" spans="7:14" x14ac:dyDescent="0.3">
      <c r="G9456" s="1"/>
      <c r="N9456" s="1"/>
    </row>
    <row r="9457" spans="7:14" x14ac:dyDescent="0.3">
      <c r="G9457" s="1"/>
      <c r="N9457" s="1"/>
    </row>
    <row r="9458" spans="7:14" x14ac:dyDescent="0.3">
      <c r="G9458" s="1"/>
      <c r="N9458" s="1"/>
    </row>
    <row r="9459" spans="7:14" x14ac:dyDescent="0.3">
      <c r="G9459" s="1"/>
      <c r="N9459" s="1"/>
    </row>
    <row r="9460" spans="7:14" x14ac:dyDescent="0.3">
      <c r="G9460" s="1"/>
      <c r="N9460" s="1"/>
    </row>
    <row r="9461" spans="7:14" x14ac:dyDescent="0.3">
      <c r="G9461" s="1"/>
      <c r="N9461" s="1"/>
    </row>
    <row r="9462" spans="7:14" x14ac:dyDescent="0.3">
      <c r="G9462" s="1"/>
      <c r="N9462" s="1"/>
    </row>
    <row r="9463" spans="7:14" x14ac:dyDescent="0.3">
      <c r="G9463" s="1"/>
      <c r="N9463" s="1"/>
    </row>
    <row r="9464" spans="7:14" x14ac:dyDescent="0.3">
      <c r="G9464" s="1"/>
      <c r="N9464" s="1"/>
    </row>
    <row r="9465" spans="7:14" x14ac:dyDescent="0.3">
      <c r="G9465" s="1"/>
      <c r="N9465" s="1"/>
    </row>
    <row r="9466" spans="7:14" x14ac:dyDescent="0.3">
      <c r="G9466" s="1"/>
      <c r="N9466" s="1"/>
    </row>
    <row r="9467" spans="7:14" x14ac:dyDescent="0.3">
      <c r="G9467" s="1"/>
      <c r="N9467" s="1"/>
    </row>
    <row r="9468" spans="7:14" x14ac:dyDescent="0.3">
      <c r="G9468" s="1"/>
      <c r="N9468" s="1"/>
    </row>
    <row r="9469" spans="7:14" x14ac:dyDescent="0.3">
      <c r="G9469" s="1"/>
      <c r="N9469" s="1"/>
    </row>
    <row r="9470" spans="7:14" x14ac:dyDescent="0.3">
      <c r="G9470" s="1"/>
      <c r="N9470" s="1"/>
    </row>
    <row r="9471" spans="7:14" x14ac:dyDescent="0.3">
      <c r="G9471" s="1"/>
      <c r="N9471" s="1"/>
    </row>
    <row r="9472" spans="7:14" x14ac:dyDescent="0.3">
      <c r="G9472" s="1"/>
      <c r="N9472" s="1"/>
    </row>
    <row r="9473" spans="7:14" x14ac:dyDescent="0.3">
      <c r="G9473" s="1"/>
      <c r="N9473" s="1"/>
    </row>
    <row r="9474" spans="7:14" x14ac:dyDescent="0.3">
      <c r="G9474" s="1"/>
      <c r="N9474" s="1"/>
    </row>
    <row r="9475" spans="7:14" x14ac:dyDescent="0.3">
      <c r="G9475" s="1"/>
      <c r="N9475" s="1"/>
    </row>
    <row r="9476" spans="7:14" x14ac:dyDescent="0.3">
      <c r="G9476" s="1"/>
      <c r="N9476" s="1"/>
    </row>
    <row r="9477" spans="7:14" x14ac:dyDescent="0.3">
      <c r="G9477" s="1"/>
      <c r="N9477" s="1"/>
    </row>
    <row r="9478" spans="7:14" x14ac:dyDescent="0.3">
      <c r="G9478" s="1"/>
      <c r="N9478" s="1"/>
    </row>
    <row r="9479" spans="7:14" x14ac:dyDescent="0.3">
      <c r="G9479" s="1"/>
      <c r="N9479" s="1"/>
    </row>
    <row r="9480" spans="7:14" x14ac:dyDescent="0.3">
      <c r="G9480" s="1"/>
      <c r="N9480" s="1"/>
    </row>
    <row r="9481" spans="7:14" x14ac:dyDescent="0.3">
      <c r="G9481" s="1"/>
      <c r="N9481" s="1"/>
    </row>
    <row r="9482" spans="7:14" x14ac:dyDescent="0.3">
      <c r="G9482" s="1"/>
      <c r="N9482" s="1"/>
    </row>
    <row r="9483" spans="7:14" x14ac:dyDescent="0.3">
      <c r="G9483" s="1"/>
      <c r="N9483" s="1"/>
    </row>
    <row r="9484" spans="7:14" x14ac:dyDescent="0.3">
      <c r="G9484" s="1"/>
      <c r="N9484" s="1"/>
    </row>
    <row r="9485" spans="7:14" x14ac:dyDescent="0.3">
      <c r="G9485" s="1"/>
      <c r="N9485" s="1"/>
    </row>
    <row r="9486" spans="7:14" x14ac:dyDescent="0.3">
      <c r="G9486" s="1"/>
      <c r="N9486" s="1"/>
    </row>
    <row r="9487" spans="7:14" x14ac:dyDescent="0.3">
      <c r="G9487" s="1"/>
      <c r="N9487" s="1"/>
    </row>
    <row r="9488" spans="7:14" x14ac:dyDescent="0.3">
      <c r="G9488" s="1"/>
      <c r="N9488" s="1"/>
    </row>
    <row r="9489" spans="7:14" x14ac:dyDescent="0.3">
      <c r="G9489" s="1"/>
      <c r="N9489" s="1"/>
    </row>
    <row r="9490" spans="7:14" x14ac:dyDescent="0.3">
      <c r="G9490" s="1"/>
      <c r="N9490" s="1"/>
    </row>
    <row r="9491" spans="7:14" x14ac:dyDescent="0.3">
      <c r="G9491" s="1"/>
      <c r="N9491" s="1"/>
    </row>
    <row r="9492" spans="7:14" x14ac:dyDescent="0.3">
      <c r="G9492" s="1"/>
      <c r="N9492" s="1"/>
    </row>
    <row r="9493" spans="7:14" x14ac:dyDescent="0.3">
      <c r="G9493" s="1"/>
      <c r="N9493" s="1"/>
    </row>
    <row r="9494" spans="7:14" x14ac:dyDescent="0.3">
      <c r="G9494" s="1"/>
      <c r="N9494" s="1"/>
    </row>
    <row r="9495" spans="7:14" x14ac:dyDescent="0.3">
      <c r="G9495" s="1"/>
      <c r="N9495" s="1"/>
    </row>
    <row r="9496" spans="7:14" x14ac:dyDescent="0.3">
      <c r="G9496" s="1"/>
      <c r="N9496" s="1"/>
    </row>
    <row r="9497" spans="7:14" x14ac:dyDescent="0.3">
      <c r="G9497" s="1"/>
      <c r="N9497" s="1"/>
    </row>
    <row r="9498" spans="7:14" x14ac:dyDescent="0.3">
      <c r="G9498" s="1"/>
      <c r="N9498" s="1"/>
    </row>
    <row r="9499" spans="7:14" x14ac:dyDescent="0.3">
      <c r="G9499" s="1"/>
      <c r="N9499" s="1"/>
    </row>
    <row r="9500" spans="7:14" x14ac:dyDescent="0.3">
      <c r="G9500" s="1"/>
      <c r="N9500" s="1"/>
    </row>
    <row r="9501" spans="7:14" x14ac:dyDescent="0.3">
      <c r="G9501" s="1"/>
      <c r="N9501" s="1"/>
    </row>
    <row r="9502" spans="7:14" x14ac:dyDescent="0.3">
      <c r="G9502" s="1"/>
      <c r="N9502" s="1"/>
    </row>
    <row r="9503" spans="7:14" x14ac:dyDescent="0.3">
      <c r="G9503" s="1"/>
      <c r="N9503" s="1"/>
    </row>
    <row r="9504" spans="7:14" x14ac:dyDescent="0.3">
      <c r="G9504" s="1"/>
      <c r="N9504" s="1"/>
    </row>
    <row r="9505" spans="7:14" x14ac:dyDescent="0.3">
      <c r="G9505" s="1"/>
      <c r="N9505" s="1"/>
    </row>
    <row r="9506" spans="7:14" x14ac:dyDescent="0.3">
      <c r="G9506" s="1"/>
      <c r="N9506" s="1"/>
    </row>
    <row r="9507" spans="7:14" x14ac:dyDescent="0.3">
      <c r="G9507" s="1"/>
      <c r="N9507" s="1"/>
    </row>
    <row r="9508" spans="7:14" x14ac:dyDescent="0.3">
      <c r="G9508" s="1"/>
      <c r="N9508" s="1"/>
    </row>
    <row r="9509" spans="7:14" x14ac:dyDescent="0.3">
      <c r="G9509" s="1"/>
      <c r="N9509" s="1"/>
    </row>
    <row r="9510" spans="7:14" x14ac:dyDescent="0.3">
      <c r="G9510" s="1"/>
      <c r="N9510" s="1"/>
    </row>
    <row r="9511" spans="7:14" x14ac:dyDescent="0.3">
      <c r="G9511" s="1"/>
      <c r="N9511" s="1"/>
    </row>
    <row r="9512" spans="7:14" x14ac:dyDescent="0.3">
      <c r="G9512" s="1"/>
      <c r="N9512" s="1"/>
    </row>
    <row r="9513" spans="7:14" x14ac:dyDescent="0.3">
      <c r="G9513" s="1"/>
      <c r="N9513" s="1"/>
    </row>
    <row r="9514" spans="7:14" x14ac:dyDescent="0.3">
      <c r="G9514" s="1"/>
      <c r="N9514" s="1"/>
    </row>
    <row r="9515" spans="7:14" x14ac:dyDescent="0.3">
      <c r="G9515" s="1"/>
      <c r="N9515" s="1"/>
    </row>
    <row r="9516" spans="7:14" x14ac:dyDescent="0.3">
      <c r="G9516" s="1"/>
      <c r="N9516" s="1"/>
    </row>
    <row r="9517" spans="7:14" x14ac:dyDescent="0.3">
      <c r="G9517" s="1"/>
      <c r="N9517" s="1"/>
    </row>
    <row r="9518" spans="7:14" x14ac:dyDescent="0.3">
      <c r="G9518" s="1"/>
      <c r="N9518" s="1"/>
    </row>
    <row r="9519" spans="7:14" x14ac:dyDescent="0.3">
      <c r="G9519" s="1"/>
      <c r="N9519" s="1"/>
    </row>
    <row r="9520" spans="7:14" x14ac:dyDescent="0.3">
      <c r="G9520" s="1"/>
      <c r="N9520" s="1"/>
    </row>
    <row r="9521" spans="7:14" x14ac:dyDescent="0.3">
      <c r="G9521" s="1"/>
      <c r="N9521" s="1"/>
    </row>
    <row r="9522" spans="7:14" x14ac:dyDescent="0.3">
      <c r="G9522" s="1"/>
      <c r="N9522" s="1"/>
    </row>
    <row r="9523" spans="7:14" x14ac:dyDescent="0.3">
      <c r="G9523" s="1"/>
      <c r="N9523" s="1"/>
    </row>
    <row r="9524" spans="7:14" x14ac:dyDescent="0.3">
      <c r="G9524" s="1"/>
      <c r="N9524" s="1"/>
    </row>
    <row r="9525" spans="7:14" x14ac:dyDescent="0.3">
      <c r="G9525" s="1"/>
      <c r="N9525" s="1"/>
    </row>
    <row r="9526" spans="7:14" x14ac:dyDescent="0.3">
      <c r="G9526" s="1"/>
      <c r="N9526" s="1"/>
    </row>
    <row r="9527" spans="7:14" x14ac:dyDescent="0.3">
      <c r="G9527" s="1"/>
      <c r="N9527" s="1"/>
    </row>
    <row r="9528" spans="7:14" x14ac:dyDescent="0.3">
      <c r="G9528" s="1"/>
      <c r="N9528" s="1"/>
    </row>
    <row r="9529" spans="7:14" x14ac:dyDescent="0.3">
      <c r="G9529" s="1"/>
      <c r="N9529" s="1"/>
    </row>
    <row r="9530" spans="7:14" x14ac:dyDescent="0.3">
      <c r="G9530" s="1"/>
      <c r="N9530" s="1"/>
    </row>
    <row r="9531" spans="7:14" x14ac:dyDescent="0.3">
      <c r="G9531" s="1"/>
      <c r="N9531" s="1"/>
    </row>
    <row r="9532" spans="7:14" x14ac:dyDescent="0.3">
      <c r="G9532" s="1"/>
      <c r="N9532" s="1"/>
    </row>
    <row r="9533" spans="7:14" x14ac:dyDescent="0.3">
      <c r="G9533" s="1"/>
      <c r="N9533" s="1"/>
    </row>
    <row r="9534" spans="7:14" x14ac:dyDescent="0.3">
      <c r="G9534" s="1"/>
      <c r="N9534" s="1"/>
    </row>
    <row r="9535" spans="7:14" x14ac:dyDescent="0.3">
      <c r="G9535" s="1"/>
      <c r="N9535" s="1"/>
    </row>
    <row r="9536" spans="7:14" x14ac:dyDescent="0.3">
      <c r="G9536" s="1"/>
      <c r="N9536" s="1"/>
    </row>
    <row r="9537" spans="7:14" x14ac:dyDescent="0.3">
      <c r="G9537" s="1"/>
      <c r="N9537" s="1"/>
    </row>
    <row r="9538" spans="7:14" x14ac:dyDescent="0.3">
      <c r="G9538" s="1"/>
      <c r="N9538" s="1"/>
    </row>
    <row r="9539" spans="7:14" x14ac:dyDescent="0.3">
      <c r="G9539" s="1"/>
      <c r="N9539" s="1"/>
    </row>
    <row r="9540" spans="7:14" x14ac:dyDescent="0.3">
      <c r="G9540" s="1"/>
      <c r="N9540" s="1"/>
    </row>
    <row r="9541" spans="7:14" x14ac:dyDescent="0.3">
      <c r="G9541" s="1"/>
      <c r="N9541" s="1"/>
    </row>
    <row r="9542" spans="7:14" x14ac:dyDescent="0.3">
      <c r="G9542" s="1"/>
      <c r="N9542" s="1"/>
    </row>
    <row r="9543" spans="7:14" x14ac:dyDescent="0.3">
      <c r="G9543" s="1"/>
      <c r="N9543" s="1"/>
    </row>
    <row r="9544" spans="7:14" x14ac:dyDescent="0.3">
      <c r="G9544" s="1"/>
      <c r="N9544" s="1"/>
    </row>
    <row r="9545" spans="7:14" x14ac:dyDescent="0.3">
      <c r="G9545" s="1"/>
      <c r="N9545" s="1"/>
    </row>
    <row r="9546" spans="7:14" x14ac:dyDescent="0.3">
      <c r="G9546" s="1"/>
      <c r="N9546" s="1"/>
    </row>
    <row r="9547" spans="7:14" x14ac:dyDescent="0.3">
      <c r="G9547" s="1"/>
      <c r="N9547" s="1"/>
    </row>
    <row r="9548" spans="7:14" x14ac:dyDescent="0.3">
      <c r="G9548" s="1"/>
      <c r="N9548" s="1"/>
    </row>
    <row r="9549" spans="7:14" x14ac:dyDescent="0.3">
      <c r="G9549" s="1"/>
      <c r="N9549" s="1"/>
    </row>
    <row r="9550" spans="7:14" x14ac:dyDescent="0.3">
      <c r="G9550" s="1"/>
      <c r="N9550" s="1"/>
    </row>
    <row r="9551" spans="7:14" x14ac:dyDescent="0.3">
      <c r="G9551" s="1"/>
      <c r="N9551" s="1"/>
    </row>
    <row r="9552" spans="7:14" x14ac:dyDescent="0.3">
      <c r="G9552" s="1"/>
      <c r="N9552" s="1"/>
    </row>
    <row r="9553" spans="7:14" x14ac:dyDescent="0.3">
      <c r="G9553" s="1"/>
      <c r="N9553" s="1"/>
    </row>
    <row r="9554" spans="7:14" x14ac:dyDescent="0.3">
      <c r="G9554" s="1"/>
      <c r="N9554" s="1"/>
    </row>
    <row r="9555" spans="7:14" x14ac:dyDescent="0.3">
      <c r="G9555" s="1"/>
      <c r="N9555" s="1"/>
    </row>
    <row r="9556" spans="7:14" x14ac:dyDescent="0.3">
      <c r="G9556" s="1"/>
      <c r="N9556" s="1"/>
    </row>
    <row r="9557" spans="7:14" x14ac:dyDescent="0.3">
      <c r="G9557" s="1"/>
      <c r="N9557" s="1"/>
    </row>
    <row r="9558" spans="7:14" x14ac:dyDescent="0.3">
      <c r="G9558" s="1"/>
      <c r="N9558" s="1"/>
    </row>
    <row r="9559" spans="7:14" x14ac:dyDescent="0.3">
      <c r="G9559" s="1"/>
      <c r="N9559" s="1"/>
    </row>
    <row r="9560" spans="7:14" x14ac:dyDescent="0.3">
      <c r="G9560" s="1"/>
      <c r="N9560" s="1"/>
    </row>
    <row r="9561" spans="7:14" x14ac:dyDescent="0.3">
      <c r="G9561" s="1"/>
      <c r="N9561" s="1"/>
    </row>
    <row r="9562" spans="7:14" x14ac:dyDescent="0.3">
      <c r="G9562" s="1"/>
      <c r="N9562" s="1"/>
    </row>
    <row r="9563" spans="7:14" x14ac:dyDescent="0.3">
      <c r="G9563" s="1"/>
      <c r="N9563" s="1"/>
    </row>
    <row r="9564" spans="7:14" x14ac:dyDescent="0.3">
      <c r="G9564" s="1"/>
      <c r="N9564" s="1"/>
    </row>
    <row r="9565" spans="7:14" x14ac:dyDescent="0.3">
      <c r="G9565" s="1"/>
      <c r="N9565" s="1"/>
    </row>
    <row r="9566" spans="7:14" x14ac:dyDescent="0.3">
      <c r="G9566" s="1"/>
      <c r="N9566" s="1"/>
    </row>
    <row r="9567" spans="7:14" x14ac:dyDescent="0.3">
      <c r="G9567" s="1"/>
      <c r="N9567" s="1"/>
    </row>
    <row r="9568" spans="7:14" x14ac:dyDescent="0.3">
      <c r="G9568" s="1"/>
      <c r="N9568" s="1"/>
    </row>
    <row r="9569" spans="7:14" x14ac:dyDescent="0.3">
      <c r="G9569" s="1"/>
      <c r="N9569" s="1"/>
    </row>
    <row r="9570" spans="7:14" x14ac:dyDescent="0.3">
      <c r="G9570" s="1"/>
      <c r="N9570" s="1"/>
    </row>
    <row r="9571" spans="7:14" x14ac:dyDescent="0.3">
      <c r="G9571" s="1"/>
      <c r="N9571" s="1"/>
    </row>
    <row r="9572" spans="7:14" x14ac:dyDescent="0.3">
      <c r="G9572" s="1"/>
      <c r="N9572" s="1"/>
    </row>
    <row r="9573" spans="7:14" x14ac:dyDescent="0.3">
      <c r="G9573" s="1"/>
      <c r="N9573" s="1"/>
    </row>
    <row r="9574" spans="7:14" x14ac:dyDescent="0.3">
      <c r="G9574" s="1"/>
      <c r="N9574" s="1"/>
    </row>
    <row r="9575" spans="7:14" x14ac:dyDescent="0.3">
      <c r="G9575" s="1"/>
      <c r="N9575" s="1"/>
    </row>
    <row r="9576" spans="7:14" x14ac:dyDescent="0.3">
      <c r="G9576" s="1"/>
      <c r="N9576" s="1"/>
    </row>
    <row r="9577" spans="7:14" x14ac:dyDescent="0.3">
      <c r="G9577" s="1"/>
      <c r="N9577" s="1"/>
    </row>
    <row r="9578" spans="7:14" x14ac:dyDescent="0.3">
      <c r="G9578" s="1"/>
      <c r="N9578" s="1"/>
    </row>
    <row r="9579" spans="7:14" x14ac:dyDescent="0.3">
      <c r="G9579" s="1"/>
      <c r="N9579" s="1"/>
    </row>
    <row r="9580" spans="7:14" x14ac:dyDescent="0.3">
      <c r="G9580" s="1"/>
      <c r="N9580" s="1"/>
    </row>
    <row r="9581" spans="7:14" x14ac:dyDescent="0.3">
      <c r="G9581" s="1"/>
      <c r="N9581" s="1"/>
    </row>
    <row r="9582" spans="7:14" x14ac:dyDescent="0.3">
      <c r="G9582" s="1"/>
      <c r="N9582" s="1"/>
    </row>
    <row r="9583" spans="7:14" x14ac:dyDescent="0.3">
      <c r="G9583" s="1"/>
      <c r="N9583" s="1"/>
    </row>
    <row r="9584" spans="7:14" x14ac:dyDescent="0.3">
      <c r="G9584" s="1"/>
      <c r="N9584" s="1"/>
    </row>
    <row r="9585" spans="7:14" x14ac:dyDescent="0.3">
      <c r="G9585" s="1"/>
      <c r="N9585" s="1"/>
    </row>
    <row r="9586" spans="7:14" x14ac:dyDescent="0.3">
      <c r="G9586" s="1"/>
      <c r="N9586" s="1"/>
    </row>
    <row r="9587" spans="7:14" x14ac:dyDescent="0.3">
      <c r="G9587" s="1"/>
      <c r="N9587" s="1"/>
    </row>
    <row r="9588" spans="7:14" x14ac:dyDescent="0.3">
      <c r="G9588" s="1"/>
      <c r="N9588" s="1"/>
    </row>
    <row r="9589" spans="7:14" x14ac:dyDescent="0.3">
      <c r="G9589" s="1"/>
      <c r="N9589" s="1"/>
    </row>
    <row r="9590" spans="7:14" x14ac:dyDescent="0.3">
      <c r="G9590" s="1"/>
      <c r="N9590" s="1"/>
    </row>
    <row r="9591" spans="7:14" x14ac:dyDescent="0.3">
      <c r="G9591" s="1"/>
      <c r="N9591" s="1"/>
    </row>
    <row r="9592" spans="7:14" x14ac:dyDescent="0.3">
      <c r="G9592" s="1"/>
      <c r="N9592" s="1"/>
    </row>
    <row r="9593" spans="7:14" x14ac:dyDescent="0.3">
      <c r="G9593" s="1"/>
      <c r="N9593" s="1"/>
    </row>
    <row r="9594" spans="7:14" x14ac:dyDescent="0.3">
      <c r="G9594" s="1"/>
      <c r="N9594" s="1"/>
    </row>
    <row r="9595" spans="7:14" x14ac:dyDescent="0.3">
      <c r="G9595" s="1"/>
      <c r="N9595" s="1"/>
    </row>
    <row r="9596" spans="7:14" x14ac:dyDescent="0.3">
      <c r="G9596" s="1"/>
      <c r="N9596" s="1"/>
    </row>
    <row r="9597" spans="7:14" x14ac:dyDescent="0.3">
      <c r="G9597" s="1"/>
      <c r="N9597" s="1"/>
    </row>
    <row r="9598" spans="7:14" x14ac:dyDescent="0.3">
      <c r="G9598" s="1"/>
      <c r="N9598" s="1"/>
    </row>
    <row r="9599" spans="7:14" x14ac:dyDescent="0.3">
      <c r="G9599" s="1"/>
      <c r="N9599" s="1"/>
    </row>
    <row r="9600" spans="7:14" x14ac:dyDescent="0.3">
      <c r="G9600" s="1"/>
      <c r="N9600" s="1"/>
    </row>
    <row r="9601" spans="7:14" x14ac:dyDescent="0.3">
      <c r="G9601" s="1"/>
      <c r="N9601" s="1"/>
    </row>
    <row r="9602" spans="7:14" x14ac:dyDescent="0.3">
      <c r="G9602" s="1"/>
      <c r="N9602" s="1"/>
    </row>
    <row r="9603" spans="7:14" x14ac:dyDescent="0.3">
      <c r="G9603" s="1"/>
      <c r="N9603" s="1"/>
    </row>
    <row r="9604" spans="7:14" x14ac:dyDescent="0.3">
      <c r="G9604" s="1"/>
      <c r="N9604" s="1"/>
    </row>
    <row r="9605" spans="7:14" x14ac:dyDescent="0.3">
      <c r="G9605" s="1"/>
      <c r="N9605" s="1"/>
    </row>
    <row r="9606" spans="7:14" x14ac:dyDescent="0.3">
      <c r="G9606" s="1"/>
      <c r="N9606" s="1"/>
    </row>
    <row r="9607" spans="7:14" x14ac:dyDescent="0.3">
      <c r="G9607" s="1"/>
      <c r="N9607" s="1"/>
    </row>
    <row r="9608" spans="7:14" x14ac:dyDescent="0.3">
      <c r="G9608" s="1"/>
      <c r="N9608" s="1"/>
    </row>
    <row r="9609" spans="7:14" x14ac:dyDescent="0.3">
      <c r="G9609" s="1"/>
      <c r="N9609" s="1"/>
    </row>
    <row r="9610" spans="7:14" x14ac:dyDescent="0.3">
      <c r="G9610" s="1"/>
      <c r="N9610" s="1"/>
    </row>
    <row r="9611" spans="7:14" x14ac:dyDescent="0.3">
      <c r="G9611" s="1"/>
      <c r="N9611" s="1"/>
    </row>
    <row r="9612" spans="7:14" x14ac:dyDescent="0.3">
      <c r="G9612" s="1"/>
      <c r="N9612" s="1"/>
    </row>
    <row r="9613" spans="7:14" x14ac:dyDescent="0.3">
      <c r="G9613" s="1"/>
      <c r="N9613" s="1"/>
    </row>
    <row r="9614" spans="7:14" x14ac:dyDescent="0.3">
      <c r="G9614" s="1"/>
      <c r="N9614" s="1"/>
    </row>
    <row r="9615" spans="7:14" x14ac:dyDescent="0.3">
      <c r="G9615" s="1"/>
      <c r="N9615" s="1"/>
    </row>
    <row r="9616" spans="7:14" x14ac:dyDescent="0.3">
      <c r="G9616" s="1"/>
      <c r="N9616" s="1"/>
    </row>
    <row r="9617" spans="7:14" x14ac:dyDescent="0.3">
      <c r="G9617" s="1"/>
      <c r="N9617" s="1"/>
    </row>
    <row r="9618" spans="7:14" x14ac:dyDescent="0.3">
      <c r="G9618" s="1"/>
      <c r="N9618" s="1"/>
    </row>
    <row r="9619" spans="7:14" x14ac:dyDescent="0.3">
      <c r="G9619" s="1"/>
      <c r="N9619" s="1"/>
    </row>
    <row r="9620" spans="7:14" x14ac:dyDescent="0.3">
      <c r="G9620" s="1"/>
      <c r="N9620" s="1"/>
    </row>
    <row r="9621" spans="7:14" x14ac:dyDescent="0.3">
      <c r="G9621" s="1"/>
      <c r="N9621" s="1"/>
    </row>
    <row r="9622" spans="7:14" x14ac:dyDescent="0.3">
      <c r="G9622" s="1"/>
      <c r="N9622" s="1"/>
    </row>
    <row r="9623" spans="7:14" x14ac:dyDescent="0.3">
      <c r="G9623" s="1"/>
      <c r="N9623" s="1"/>
    </row>
    <row r="9624" spans="7:14" x14ac:dyDescent="0.3">
      <c r="G9624" s="1"/>
      <c r="N9624" s="1"/>
    </row>
    <row r="9625" spans="7:14" x14ac:dyDescent="0.3">
      <c r="G9625" s="1"/>
      <c r="N9625" s="1"/>
    </row>
    <row r="9626" spans="7:14" x14ac:dyDescent="0.3">
      <c r="G9626" s="1"/>
      <c r="N9626" s="1"/>
    </row>
    <row r="9627" spans="7:14" x14ac:dyDescent="0.3">
      <c r="G9627" s="1"/>
      <c r="N9627" s="1"/>
    </row>
    <row r="9628" spans="7:14" x14ac:dyDescent="0.3">
      <c r="G9628" s="1"/>
      <c r="N9628" s="1"/>
    </row>
    <row r="9629" spans="7:14" x14ac:dyDescent="0.3">
      <c r="G9629" s="1"/>
      <c r="N9629" s="1"/>
    </row>
    <row r="9630" spans="7:14" x14ac:dyDescent="0.3">
      <c r="G9630" s="1"/>
      <c r="N9630" s="1"/>
    </row>
    <row r="9631" spans="7:14" x14ac:dyDescent="0.3">
      <c r="G9631" s="1"/>
      <c r="N9631" s="1"/>
    </row>
    <row r="9632" spans="7:14" x14ac:dyDescent="0.3">
      <c r="G9632" s="1"/>
      <c r="N9632" s="1"/>
    </row>
    <row r="9633" spans="7:14" x14ac:dyDescent="0.3">
      <c r="G9633" s="1"/>
      <c r="N9633" s="1"/>
    </row>
    <row r="9634" spans="7:14" x14ac:dyDescent="0.3">
      <c r="G9634" s="1"/>
      <c r="N9634" s="1"/>
    </row>
    <row r="9635" spans="7:14" x14ac:dyDescent="0.3">
      <c r="G9635" s="1"/>
      <c r="N9635" s="1"/>
    </row>
    <row r="9636" spans="7:14" x14ac:dyDescent="0.3">
      <c r="G9636" s="1"/>
      <c r="N9636" s="1"/>
    </row>
    <row r="9637" spans="7:14" x14ac:dyDescent="0.3">
      <c r="G9637" s="1"/>
      <c r="N9637" s="1"/>
    </row>
    <row r="9638" spans="7:14" x14ac:dyDescent="0.3">
      <c r="G9638" s="1"/>
      <c r="N9638" s="1"/>
    </row>
    <row r="9639" spans="7:14" x14ac:dyDescent="0.3">
      <c r="G9639" s="1"/>
      <c r="N9639" s="1"/>
    </row>
    <row r="9640" spans="7:14" x14ac:dyDescent="0.3">
      <c r="G9640" s="1"/>
      <c r="N9640" s="1"/>
    </row>
    <row r="9641" spans="7:14" x14ac:dyDescent="0.3">
      <c r="G9641" s="1"/>
      <c r="N9641" s="1"/>
    </row>
    <row r="9642" spans="7:14" x14ac:dyDescent="0.3">
      <c r="G9642" s="1"/>
      <c r="N9642" s="1"/>
    </row>
    <row r="9643" spans="7:14" x14ac:dyDescent="0.3">
      <c r="G9643" s="1"/>
      <c r="N9643" s="1"/>
    </row>
    <row r="9644" spans="7:14" x14ac:dyDescent="0.3">
      <c r="G9644" s="1"/>
      <c r="N9644" s="1"/>
    </row>
    <row r="9645" spans="7:14" x14ac:dyDescent="0.3">
      <c r="G9645" s="1"/>
      <c r="N9645" s="1"/>
    </row>
    <row r="9646" spans="7:14" x14ac:dyDescent="0.3">
      <c r="G9646" s="1"/>
      <c r="N9646" s="1"/>
    </row>
    <row r="9647" spans="7:14" x14ac:dyDescent="0.3">
      <c r="G9647" s="1"/>
      <c r="N9647" s="1"/>
    </row>
    <row r="9648" spans="7:14" x14ac:dyDescent="0.3">
      <c r="G9648" s="1"/>
      <c r="N9648" s="1"/>
    </row>
    <row r="9649" spans="7:14" x14ac:dyDescent="0.3">
      <c r="G9649" s="1"/>
      <c r="N9649" s="1"/>
    </row>
    <row r="9650" spans="7:14" x14ac:dyDescent="0.3">
      <c r="G9650" s="1"/>
      <c r="N9650" s="1"/>
    </row>
    <row r="9651" spans="7:14" x14ac:dyDescent="0.3">
      <c r="G9651" s="1"/>
      <c r="N9651" s="1"/>
    </row>
    <row r="9652" spans="7:14" x14ac:dyDescent="0.3">
      <c r="G9652" s="1"/>
      <c r="N9652" s="1"/>
    </row>
    <row r="9653" spans="7:14" x14ac:dyDescent="0.3">
      <c r="G9653" s="1"/>
      <c r="N9653" s="1"/>
    </row>
    <row r="9654" spans="7:14" x14ac:dyDescent="0.3">
      <c r="G9654" s="1"/>
      <c r="N9654" s="1"/>
    </row>
    <row r="9655" spans="7:14" x14ac:dyDescent="0.3">
      <c r="G9655" s="1"/>
      <c r="N9655" s="1"/>
    </row>
    <row r="9656" spans="7:14" x14ac:dyDescent="0.3">
      <c r="G9656" s="1"/>
      <c r="N9656" s="1"/>
    </row>
    <row r="9657" spans="7:14" x14ac:dyDescent="0.3">
      <c r="G9657" s="1"/>
      <c r="N9657" s="1"/>
    </row>
    <row r="9658" spans="7:14" x14ac:dyDescent="0.3">
      <c r="G9658" s="1"/>
      <c r="N9658" s="1"/>
    </row>
    <row r="9659" spans="7:14" x14ac:dyDescent="0.3">
      <c r="G9659" s="1"/>
      <c r="N9659" s="1"/>
    </row>
    <row r="9660" spans="7:14" x14ac:dyDescent="0.3">
      <c r="G9660" s="1"/>
      <c r="N9660" s="1"/>
    </row>
    <row r="9661" spans="7:14" x14ac:dyDescent="0.3">
      <c r="G9661" s="1"/>
      <c r="N9661" s="1"/>
    </row>
    <row r="9662" spans="7:14" x14ac:dyDescent="0.3">
      <c r="G9662" s="1"/>
      <c r="N9662" s="1"/>
    </row>
    <row r="9663" spans="7:14" x14ac:dyDescent="0.3">
      <c r="G9663" s="1"/>
      <c r="N9663" s="1"/>
    </row>
    <row r="9664" spans="7:14" x14ac:dyDescent="0.3">
      <c r="G9664" s="1"/>
      <c r="N9664" s="1"/>
    </row>
    <row r="9665" spans="7:14" x14ac:dyDescent="0.3">
      <c r="G9665" s="1"/>
      <c r="N9665" s="1"/>
    </row>
    <row r="9666" spans="7:14" x14ac:dyDescent="0.3">
      <c r="G9666" s="1"/>
      <c r="N9666" s="1"/>
    </row>
    <row r="9667" spans="7:14" x14ac:dyDescent="0.3">
      <c r="G9667" s="1"/>
      <c r="N9667" s="1"/>
    </row>
    <row r="9668" spans="7:14" x14ac:dyDescent="0.3">
      <c r="G9668" s="1"/>
      <c r="N9668" s="1"/>
    </row>
    <row r="9669" spans="7:14" x14ac:dyDescent="0.3">
      <c r="G9669" s="1"/>
      <c r="N9669" s="1"/>
    </row>
    <row r="9670" spans="7:14" x14ac:dyDescent="0.3">
      <c r="G9670" s="1"/>
      <c r="N9670" s="1"/>
    </row>
    <row r="9671" spans="7:14" x14ac:dyDescent="0.3">
      <c r="G9671" s="1"/>
      <c r="N9671" s="1"/>
    </row>
    <row r="9672" spans="7:14" x14ac:dyDescent="0.3">
      <c r="G9672" s="1"/>
      <c r="N9672" s="1"/>
    </row>
    <row r="9673" spans="7:14" x14ac:dyDescent="0.3">
      <c r="G9673" s="1"/>
      <c r="N9673" s="1"/>
    </row>
    <row r="9674" spans="7:14" x14ac:dyDescent="0.3">
      <c r="G9674" s="1"/>
      <c r="N9674" s="1"/>
    </row>
    <row r="9675" spans="7:14" x14ac:dyDescent="0.3">
      <c r="G9675" s="1"/>
      <c r="N9675" s="1"/>
    </row>
    <row r="9676" spans="7:14" x14ac:dyDescent="0.3">
      <c r="G9676" s="1"/>
      <c r="N9676" s="1"/>
    </row>
    <row r="9677" spans="7:14" x14ac:dyDescent="0.3">
      <c r="G9677" s="1"/>
      <c r="N9677" s="1"/>
    </row>
    <row r="9678" spans="7:14" x14ac:dyDescent="0.3">
      <c r="G9678" s="1"/>
      <c r="N9678" s="1"/>
    </row>
    <row r="9679" spans="7:14" x14ac:dyDescent="0.3">
      <c r="G9679" s="1"/>
      <c r="N9679" s="1"/>
    </row>
    <row r="9680" spans="7:14" x14ac:dyDescent="0.3">
      <c r="G9680" s="1"/>
      <c r="N9680" s="1"/>
    </row>
    <row r="9681" spans="7:14" x14ac:dyDescent="0.3">
      <c r="G9681" s="1"/>
      <c r="N9681" s="1"/>
    </row>
    <row r="9682" spans="7:14" x14ac:dyDescent="0.3">
      <c r="G9682" s="1"/>
      <c r="N9682" s="1"/>
    </row>
    <row r="9683" spans="7:14" x14ac:dyDescent="0.3">
      <c r="G9683" s="1"/>
      <c r="N9683" s="1"/>
    </row>
    <row r="9684" spans="7:14" x14ac:dyDescent="0.3">
      <c r="G9684" s="1"/>
      <c r="N9684" s="1"/>
    </row>
    <row r="9685" spans="7:14" x14ac:dyDescent="0.3">
      <c r="G9685" s="1"/>
      <c r="N9685" s="1"/>
    </row>
    <row r="9686" spans="7:14" x14ac:dyDescent="0.3">
      <c r="G9686" s="1"/>
      <c r="N9686" s="1"/>
    </row>
    <row r="9687" spans="7:14" x14ac:dyDescent="0.3">
      <c r="G9687" s="1"/>
      <c r="N9687" s="1"/>
    </row>
    <row r="9688" spans="7:14" x14ac:dyDescent="0.3">
      <c r="G9688" s="1"/>
      <c r="N9688" s="1"/>
    </row>
    <row r="9689" spans="7:14" x14ac:dyDescent="0.3">
      <c r="G9689" s="1"/>
      <c r="N9689" s="1"/>
    </row>
    <row r="9690" spans="7:14" x14ac:dyDescent="0.3">
      <c r="G9690" s="1"/>
      <c r="N9690" s="1"/>
    </row>
    <row r="9691" spans="7:14" x14ac:dyDescent="0.3">
      <c r="G9691" s="1"/>
      <c r="N9691" s="1"/>
    </row>
    <row r="9692" spans="7:14" x14ac:dyDescent="0.3">
      <c r="G9692" s="1"/>
      <c r="N9692" s="1"/>
    </row>
    <row r="9693" spans="7:14" x14ac:dyDescent="0.3">
      <c r="G9693" s="1"/>
      <c r="N9693" s="1"/>
    </row>
    <row r="9694" spans="7:14" x14ac:dyDescent="0.3">
      <c r="G9694" s="1"/>
      <c r="N9694" s="1"/>
    </row>
    <row r="9695" spans="7:14" x14ac:dyDescent="0.3">
      <c r="G9695" s="1"/>
      <c r="N9695" s="1"/>
    </row>
    <row r="9696" spans="7:14" x14ac:dyDescent="0.3">
      <c r="G9696" s="1"/>
      <c r="N9696" s="1"/>
    </row>
    <row r="9697" spans="7:14" x14ac:dyDescent="0.3">
      <c r="G9697" s="1"/>
      <c r="N9697" s="1"/>
    </row>
    <row r="9698" spans="7:14" x14ac:dyDescent="0.3">
      <c r="G9698" s="1"/>
      <c r="N9698" s="1"/>
    </row>
    <row r="9699" spans="7:14" x14ac:dyDescent="0.3">
      <c r="G9699" s="1"/>
      <c r="N9699" s="1"/>
    </row>
    <row r="9700" spans="7:14" x14ac:dyDescent="0.3">
      <c r="G9700" s="1"/>
      <c r="N9700" s="1"/>
    </row>
    <row r="9701" spans="7:14" x14ac:dyDescent="0.3">
      <c r="G9701" s="1"/>
      <c r="N9701" s="1"/>
    </row>
    <row r="9702" spans="7:14" x14ac:dyDescent="0.3">
      <c r="G9702" s="1"/>
      <c r="N9702" s="1"/>
    </row>
    <row r="9703" spans="7:14" x14ac:dyDescent="0.3">
      <c r="G9703" s="1"/>
      <c r="N9703" s="1"/>
    </row>
    <row r="9704" spans="7:14" x14ac:dyDescent="0.3">
      <c r="G9704" s="1"/>
      <c r="N9704" s="1"/>
    </row>
    <row r="9705" spans="7:14" x14ac:dyDescent="0.3">
      <c r="G9705" s="1"/>
      <c r="N9705" s="1"/>
    </row>
    <row r="9706" spans="7:14" x14ac:dyDescent="0.3">
      <c r="G9706" s="1"/>
      <c r="N9706" s="1"/>
    </row>
    <row r="9707" spans="7:14" x14ac:dyDescent="0.3">
      <c r="G9707" s="1"/>
      <c r="N9707" s="1"/>
    </row>
    <row r="9708" spans="7:14" x14ac:dyDescent="0.3">
      <c r="G9708" s="1"/>
      <c r="N9708" s="1"/>
    </row>
    <row r="9709" spans="7:14" x14ac:dyDescent="0.3">
      <c r="G9709" s="1"/>
      <c r="N9709" s="1"/>
    </row>
    <row r="9710" spans="7:14" x14ac:dyDescent="0.3">
      <c r="G9710" s="1"/>
      <c r="N9710" s="1"/>
    </row>
    <row r="9711" spans="7:14" x14ac:dyDescent="0.3">
      <c r="G9711" s="1"/>
      <c r="N9711" s="1"/>
    </row>
    <row r="9712" spans="7:14" x14ac:dyDescent="0.3">
      <c r="G9712" s="1"/>
      <c r="N9712" s="1"/>
    </row>
    <row r="9713" spans="7:14" x14ac:dyDescent="0.3">
      <c r="G9713" s="1"/>
      <c r="N9713" s="1"/>
    </row>
    <row r="9714" spans="7:14" x14ac:dyDescent="0.3">
      <c r="G9714" s="1"/>
      <c r="N9714" s="1"/>
    </row>
    <row r="9715" spans="7:14" x14ac:dyDescent="0.3">
      <c r="G9715" s="1"/>
      <c r="N9715" s="1"/>
    </row>
    <row r="9716" spans="7:14" x14ac:dyDescent="0.3">
      <c r="G9716" s="1"/>
      <c r="N9716" s="1"/>
    </row>
    <row r="9717" spans="7:14" x14ac:dyDescent="0.3">
      <c r="G9717" s="1"/>
      <c r="N9717" s="1"/>
    </row>
    <row r="9718" spans="7:14" x14ac:dyDescent="0.3">
      <c r="G9718" s="1"/>
      <c r="N9718" s="1"/>
    </row>
    <row r="9719" spans="7:14" x14ac:dyDescent="0.3">
      <c r="G9719" s="1"/>
      <c r="N9719" s="1"/>
    </row>
    <row r="9720" spans="7:14" x14ac:dyDescent="0.3">
      <c r="G9720" s="1"/>
      <c r="N9720" s="1"/>
    </row>
    <row r="9721" spans="7:14" x14ac:dyDescent="0.3">
      <c r="G9721" s="1"/>
      <c r="N9721" s="1"/>
    </row>
    <row r="9722" spans="7:14" x14ac:dyDescent="0.3">
      <c r="G9722" s="1"/>
      <c r="N9722" s="1"/>
    </row>
    <row r="9723" spans="7:14" x14ac:dyDescent="0.3">
      <c r="G9723" s="1"/>
      <c r="N9723" s="1"/>
    </row>
    <row r="9724" spans="7:14" x14ac:dyDescent="0.3">
      <c r="G9724" s="1"/>
      <c r="N9724" s="1"/>
    </row>
    <row r="9725" spans="7:14" x14ac:dyDescent="0.3">
      <c r="G9725" s="1"/>
      <c r="N9725" s="1"/>
    </row>
    <row r="9726" spans="7:14" x14ac:dyDescent="0.3">
      <c r="G9726" s="1"/>
      <c r="N9726" s="1"/>
    </row>
    <row r="9727" spans="7:14" x14ac:dyDescent="0.3">
      <c r="G9727" s="1"/>
      <c r="N9727" s="1"/>
    </row>
    <row r="9728" spans="7:14" x14ac:dyDescent="0.3">
      <c r="G9728" s="1"/>
      <c r="N9728" s="1"/>
    </row>
    <row r="9729" spans="7:14" x14ac:dyDescent="0.3">
      <c r="G9729" s="1"/>
      <c r="N9729" s="1"/>
    </row>
    <row r="9730" spans="7:14" x14ac:dyDescent="0.3">
      <c r="G9730" s="1"/>
      <c r="N9730" s="1"/>
    </row>
    <row r="9731" spans="7:14" x14ac:dyDescent="0.3">
      <c r="G9731" s="1"/>
      <c r="N9731" s="1"/>
    </row>
    <row r="9732" spans="7:14" x14ac:dyDescent="0.3">
      <c r="G9732" s="1"/>
      <c r="N9732" s="1"/>
    </row>
    <row r="9733" spans="7:14" x14ac:dyDescent="0.3">
      <c r="G9733" s="1"/>
      <c r="N9733" s="1"/>
    </row>
    <row r="9734" spans="7:14" x14ac:dyDescent="0.3">
      <c r="G9734" s="1"/>
      <c r="N9734" s="1"/>
    </row>
    <row r="9735" spans="7:14" x14ac:dyDescent="0.3">
      <c r="G9735" s="1"/>
      <c r="N9735" s="1"/>
    </row>
    <row r="9736" spans="7:14" x14ac:dyDescent="0.3">
      <c r="G9736" s="1"/>
      <c r="N9736" s="1"/>
    </row>
    <row r="9737" spans="7:14" x14ac:dyDescent="0.3">
      <c r="G9737" s="1"/>
      <c r="N9737" s="1"/>
    </row>
    <row r="9738" spans="7:14" x14ac:dyDescent="0.3">
      <c r="G9738" s="1"/>
      <c r="N9738" s="1"/>
    </row>
    <row r="9739" spans="7:14" x14ac:dyDescent="0.3">
      <c r="G9739" s="1"/>
      <c r="N9739" s="1"/>
    </row>
    <row r="9740" spans="7:14" x14ac:dyDescent="0.3">
      <c r="G9740" s="1"/>
      <c r="N9740" s="1"/>
    </row>
    <row r="9741" spans="7:14" x14ac:dyDescent="0.3">
      <c r="G9741" s="1"/>
      <c r="N9741" s="1"/>
    </row>
    <row r="9742" spans="7:14" x14ac:dyDescent="0.3">
      <c r="G9742" s="1"/>
      <c r="N9742" s="1"/>
    </row>
    <row r="9743" spans="7:14" x14ac:dyDescent="0.3">
      <c r="G9743" s="1"/>
      <c r="N9743" s="1"/>
    </row>
    <row r="9744" spans="7:14" x14ac:dyDescent="0.3">
      <c r="G9744" s="1"/>
      <c r="N9744" s="1"/>
    </row>
    <row r="9745" spans="7:14" x14ac:dyDescent="0.3">
      <c r="G9745" s="1"/>
      <c r="N9745" s="1"/>
    </row>
    <row r="9746" spans="7:14" x14ac:dyDescent="0.3">
      <c r="G9746" s="1"/>
      <c r="N9746" s="1"/>
    </row>
    <row r="9747" spans="7:14" x14ac:dyDescent="0.3">
      <c r="G9747" s="1"/>
      <c r="N9747" s="1"/>
    </row>
    <row r="9748" spans="7:14" x14ac:dyDescent="0.3">
      <c r="G9748" s="1"/>
      <c r="N9748" s="1"/>
    </row>
    <row r="9749" spans="7:14" x14ac:dyDescent="0.3">
      <c r="G9749" s="1"/>
      <c r="N9749" s="1"/>
    </row>
    <row r="9750" spans="7:14" x14ac:dyDescent="0.3">
      <c r="G9750" s="1"/>
      <c r="N9750" s="1"/>
    </row>
    <row r="9751" spans="7:14" x14ac:dyDescent="0.3">
      <c r="G9751" s="1"/>
      <c r="N9751" s="1"/>
    </row>
    <row r="9752" spans="7:14" x14ac:dyDescent="0.3">
      <c r="G9752" s="1"/>
      <c r="N9752" s="1"/>
    </row>
    <row r="9753" spans="7:14" x14ac:dyDescent="0.3">
      <c r="G9753" s="1"/>
      <c r="N9753" s="1"/>
    </row>
    <row r="9754" spans="7:14" x14ac:dyDescent="0.3">
      <c r="G9754" s="1"/>
      <c r="N9754" s="1"/>
    </row>
    <row r="9755" spans="7:14" x14ac:dyDescent="0.3">
      <c r="G9755" s="1"/>
      <c r="N9755" s="1"/>
    </row>
    <row r="9756" spans="7:14" x14ac:dyDescent="0.3">
      <c r="G9756" s="1"/>
      <c r="N9756" s="1"/>
    </row>
    <row r="9757" spans="7:14" x14ac:dyDescent="0.3">
      <c r="G9757" s="1"/>
      <c r="N9757" s="1"/>
    </row>
    <row r="9758" spans="7:14" x14ac:dyDescent="0.3">
      <c r="G9758" s="1"/>
      <c r="N9758" s="1"/>
    </row>
    <row r="9759" spans="7:14" x14ac:dyDescent="0.3">
      <c r="G9759" s="1"/>
      <c r="N9759" s="1"/>
    </row>
    <row r="9760" spans="7:14" x14ac:dyDescent="0.3">
      <c r="G9760" s="1"/>
      <c r="N9760" s="1"/>
    </row>
    <row r="9761" spans="7:14" x14ac:dyDescent="0.3">
      <c r="G9761" s="1"/>
      <c r="N9761" s="1"/>
    </row>
    <row r="9762" spans="7:14" x14ac:dyDescent="0.3">
      <c r="G9762" s="1"/>
      <c r="N9762" s="1"/>
    </row>
    <row r="9763" spans="7:14" x14ac:dyDescent="0.3">
      <c r="G9763" s="1"/>
      <c r="N9763" s="1"/>
    </row>
    <row r="9764" spans="7:14" x14ac:dyDescent="0.3">
      <c r="G9764" s="1"/>
      <c r="N9764" s="1"/>
    </row>
    <row r="9765" spans="7:14" x14ac:dyDescent="0.3">
      <c r="G9765" s="1"/>
      <c r="N9765" s="1"/>
    </row>
    <row r="9766" spans="7:14" x14ac:dyDescent="0.3">
      <c r="G9766" s="1"/>
      <c r="N9766" s="1"/>
    </row>
    <row r="9767" spans="7:14" x14ac:dyDescent="0.3">
      <c r="G9767" s="1"/>
      <c r="N9767" s="1"/>
    </row>
    <row r="9768" spans="7:14" x14ac:dyDescent="0.3">
      <c r="G9768" s="1"/>
      <c r="N9768" s="1"/>
    </row>
    <row r="9769" spans="7:14" x14ac:dyDescent="0.3">
      <c r="G9769" s="1"/>
      <c r="N9769" s="1"/>
    </row>
    <row r="9770" spans="7:14" x14ac:dyDescent="0.3">
      <c r="G9770" s="1"/>
      <c r="N9770" s="1"/>
    </row>
    <row r="9771" spans="7:14" x14ac:dyDescent="0.3">
      <c r="G9771" s="1"/>
      <c r="N9771" s="1"/>
    </row>
    <row r="9772" spans="7:14" x14ac:dyDescent="0.3">
      <c r="G9772" s="1"/>
      <c r="N9772" s="1"/>
    </row>
    <row r="9773" spans="7:14" x14ac:dyDescent="0.3">
      <c r="G9773" s="1"/>
      <c r="N9773" s="1"/>
    </row>
    <row r="9774" spans="7:14" x14ac:dyDescent="0.3">
      <c r="G9774" s="1"/>
      <c r="N9774" s="1"/>
    </row>
    <row r="9775" spans="7:14" x14ac:dyDescent="0.3">
      <c r="G9775" s="1"/>
      <c r="N9775" s="1"/>
    </row>
    <row r="9776" spans="7:14" x14ac:dyDescent="0.3">
      <c r="G9776" s="1"/>
      <c r="N9776" s="1"/>
    </row>
    <row r="9777" spans="7:14" x14ac:dyDescent="0.3">
      <c r="G9777" s="1"/>
      <c r="N9777" s="1"/>
    </row>
    <row r="9778" spans="7:14" x14ac:dyDescent="0.3">
      <c r="G9778" s="1"/>
      <c r="N9778" s="1"/>
    </row>
    <row r="9779" spans="7:14" x14ac:dyDescent="0.3">
      <c r="G9779" s="1"/>
      <c r="N9779" s="1"/>
    </row>
    <row r="9780" spans="7:14" x14ac:dyDescent="0.3">
      <c r="G9780" s="1"/>
      <c r="N9780" s="1"/>
    </row>
    <row r="9781" spans="7:14" x14ac:dyDescent="0.3">
      <c r="G9781" s="1"/>
      <c r="N9781" s="1"/>
    </row>
    <row r="9782" spans="7:14" x14ac:dyDescent="0.3">
      <c r="G9782" s="1"/>
      <c r="N9782" s="1"/>
    </row>
    <row r="9783" spans="7:14" x14ac:dyDescent="0.3">
      <c r="G9783" s="1"/>
      <c r="N9783" s="1"/>
    </row>
    <row r="9784" spans="7:14" x14ac:dyDescent="0.3">
      <c r="G9784" s="1"/>
      <c r="N9784" s="1"/>
    </row>
    <row r="9785" spans="7:14" x14ac:dyDescent="0.3">
      <c r="G9785" s="1"/>
      <c r="N9785" s="1"/>
    </row>
    <row r="9786" spans="7:14" x14ac:dyDescent="0.3">
      <c r="G9786" s="1"/>
      <c r="N9786" s="1"/>
    </row>
    <row r="9787" spans="7:14" x14ac:dyDescent="0.3">
      <c r="G9787" s="1"/>
      <c r="N9787" s="1"/>
    </row>
    <row r="9788" spans="7:14" x14ac:dyDescent="0.3">
      <c r="G9788" s="1"/>
      <c r="N9788" s="1"/>
    </row>
    <row r="9789" spans="7:14" x14ac:dyDescent="0.3">
      <c r="G9789" s="1"/>
      <c r="N9789" s="1"/>
    </row>
    <row r="9790" spans="7:14" x14ac:dyDescent="0.3">
      <c r="G9790" s="1"/>
      <c r="N9790" s="1"/>
    </row>
    <row r="9791" spans="7:14" x14ac:dyDescent="0.3">
      <c r="G9791" s="1"/>
      <c r="N9791" s="1"/>
    </row>
    <row r="9792" spans="7:14" x14ac:dyDescent="0.3">
      <c r="G9792" s="1"/>
      <c r="N9792" s="1"/>
    </row>
    <row r="9793" spans="7:14" x14ac:dyDescent="0.3">
      <c r="G9793" s="1"/>
      <c r="N9793" s="1"/>
    </row>
    <row r="9794" spans="7:14" x14ac:dyDescent="0.3">
      <c r="G9794" s="1"/>
      <c r="N9794" s="1"/>
    </row>
    <row r="9795" spans="7:14" x14ac:dyDescent="0.3">
      <c r="G9795" s="1"/>
      <c r="N9795" s="1"/>
    </row>
    <row r="9796" spans="7:14" x14ac:dyDescent="0.3">
      <c r="G9796" s="1"/>
      <c r="N9796" s="1"/>
    </row>
    <row r="9797" spans="7:14" x14ac:dyDescent="0.3">
      <c r="G9797" s="1"/>
      <c r="N9797" s="1"/>
    </row>
    <row r="9798" spans="7:14" x14ac:dyDescent="0.3">
      <c r="G9798" s="1"/>
      <c r="N9798" s="1"/>
    </row>
    <row r="9799" spans="7:14" x14ac:dyDescent="0.3">
      <c r="G9799" s="1"/>
      <c r="N9799" s="1"/>
    </row>
    <row r="9800" spans="7:14" x14ac:dyDescent="0.3">
      <c r="G9800" s="1"/>
      <c r="N9800" s="1"/>
    </row>
    <row r="9801" spans="7:14" x14ac:dyDescent="0.3">
      <c r="G9801" s="1"/>
      <c r="N9801" s="1"/>
    </row>
    <row r="9802" spans="7:14" x14ac:dyDescent="0.3">
      <c r="G9802" s="1"/>
      <c r="N9802" s="1"/>
    </row>
    <row r="9803" spans="7:14" x14ac:dyDescent="0.3">
      <c r="G9803" s="1"/>
      <c r="N9803" s="1"/>
    </row>
    <row r="9804" spans="7:14" x14ac:dyDescent="0.3">
      <c r="G9804" s="1"/>
      <c r="N9804" s="1"/>
    </row>
    <row r="9805" spans="7:14" x14ac:dyDescent="0.3">
      <c r="G9805" s="1"/>
      <c r="N9805" s="1"/>
    </row>
    <row r="9806" spans="7:14" x14ac:dyDescent="0.3">
      <c r="G9806" s="1"/>
      <c r="N9806" s="1"/>
    </row>
    <row r="9807" spans="7:14" x14ac:dyDescent="0.3">
      <c r="G9807" s="1"/>
      <c r="N9807" s="1"/>
    </row>
    <row r="9808" spans="7:14" x14ac:dyDescent="0.3">
      <c r="G9808" s="1"/>
      <c r="N9808" s="1"/>
    </row>
    <row r="9809" spans="7:14" x14ac:dyDescent="0.3">
      <c r="G9809" s="1"/>
      <c r="N9809" s="1"/>
    </row>
    <row r="9810" spans="7:14" x14ac:dyDescent="0.3">
      <c r="G9810" s="1"/>
      <c r="N9810" s="1"/>
    </row>
    <row r="9811" spans="7:14" x14ac:dyDescent="0.3">
      <c r="G9811" s="1"/>
      <c r="N9811" s="1"/>
    </row>
    <row r="9812" spans="7:14" x14ac:dyDescent="0.3">
      <c r="G9812" s="1"/>
      <c r="N9812" s="1"/>
    </row>
    <row r="9813" spans="7:14" x14ac:dyDescent="0.3">
      <c r="G9813" s="1"/>
      <c r="N9813" s="1"/>
    </row>
    <row r="9814" spans="7:14" x14ac:dyDescent="0.3">
      <c r="G9814" s="1"/>
      <c r="N9814" s="1"/>
    </row>
    <row r="9815" spans="7:14" x14ac:dyDescent="0.3">
      <c r="G9815" s="1"/>
      <c r="N9815" s="1"/>
    </row>
    <row r="9816" spans="7:14" x14ac:dyDescent="0.3">
      <c r="G9816" s="1"/>
      <c r="N9816" s="1"/>
    </row>
    <row r="9817" spans="7:14" x14ac:dyDescent="0.3">
      <c r="G9817" s="1"/>
      <c r="N9817" s="1"/>
    </row>
    <row r="9818" spans="7:14" x14ac:dyDescent="0.3">
      <c r="G9818" s="1"/>
      <c r="N9818" s="1"/>
    </row>
    <row r="9819" spans="7:14" x14ac:dyDescent="0.3">
      <c r="G9819" s="1"/>
      <c r="N9819" s="1"/>
    </row>
    <row r="9820" spans="7:14" x14ac:dyDescent="0.3">
      <c r="G9820" s="1"/>
      <c r="N9820" s="1"/>
    </row>
    <row r="9821" spans="7:14" x14ac:dyDescent="0.3">
      <c r="G9821" s="1"/>
      <c r="N9821" s="1"/>
    </row>
    <row r="9822" spans="7:14" x14ac:dyDescent="0.3">
      <c r="G9822" s="1"/>
      <c r="N9822" s="1"/>
    </row>
    <row r="9823" spans="7:14" x14ac:dyDescent="0.3">
      <c r="G9823" s="1"/>
      <c r="N9823" s="1"/>
    </row>
    <row r="9824" spans="7:14" x14ac:dyDescent="0.3">
      <c r="G9824" s="1"/>
      <c r="N9824" s="1"/>
    </row>
    <row r="9825" spans="7:14" x14ac:dyDescent="0.3">
      <c r="G9825" s="1"/>
      <c r="N9825" s="1"/>
    </row>
    <row r="9826" spans="7:14" x14ac:dyDescent="0.3">
      <c r="G9826" s="1"/>
      <c r="N9826" s="1"/>
    </row>
    <row r="9827" spans="7:14" x14ac:dyDescent="0.3">
      <c r="G9827" s="1"/>
      <c r="N9827" s="1"/>
    </row>
    <row r="9828" spans="7:14" x14ac:dyDescent="0.3">
      <c r="G9828" s="1"/>
      <c r="N9828" s="1"/>
    </row>
    <row r="9829" spans="7:14" x14ac:dyDescent="0.3">
      <c r="G9829" s="1"/>
      <c r="N9829" s="1"/>
    </row>
    <row r="9830" spans="7:14" x14ac:dyDescent="0.3">
      <c r="G9830" s="1"/>
      <c r="N9830" s="1"/>
    </row>
    <row r="9831" spans="7:14" x14ac:dyDescent="0.3">
      <c r="G9831" s="1"/>
      <c r="N9831" s="1"/>
    </row>
    <row r="9832" spans="7:14" x14ac:dyDescent="0.3">
      <c r="G9832" s="1"/>
      <c r="N9832" s="1"/>
    </row>
    <row r="9833" spans="7:14" x14ac:dyDescent="0.3">
      <c r="G9833" s="1"/>
      <c r="N9833" s="1"/>
    </row>
    <row r="9834" spans="7:14" x14ac:dyDescent="0.3">
      <c r="G9834" s="1"/>
      <c r="N9834" s="1"/>
    </row>
    <row r="9835" spans="7:14" x14ac:dyDescent="0.3">
      <c r="G9835" s="1"/>
      <c r="N9835" s="1"/>
    </row>
    <row r="9836" spans="7:14" x14ac:dyDescent="0.3">
      <c r="G9836" s="1"/>
      <c r="N9836" s="1"/>
    </row>
    <row r="9837" spans="7:14" x14ac:dyDescent="0.3">
      <c r="G9837" s="1"/>
      <c r="N9837" s="1"/>
    </row>
    <row r="9838" spans="7:14" x14ac:dyDescent="0.3">
      <c r="G9838" s="1"/>
      <c r="N9838" s="1"/>
    </row>
    <row r="9839" spans="7:14" x14ac:dyDescent="0.3">
      <c r="G9839" s="1"/>
      <c r="N9839" s="1"/>
    </row>
    <row r="9840" spans="7:14" x14ac:dyDescent="0.3">
      <c r="G9840" s="1"/>
      <c r="N9840" s="1"/>
    </row>
    <row r="9841" spans="7:14" x14ac:dyDescent="0.3">
      <c r="G9841" s="1"/>
      <c r="N9841" s="1"/>
    </row>
    <row r="9842" spans="7:14" x14ac:dyDescent="0.3">
      <c r="G9842" s="1"/>
      <c r="N9842" s="1"/>
    </row>
    <row r="9843" spans="7:14" x14ac:dyDescent="0.3">
      <c r="G9843" s="1"/>
      <c r="N9843" s="1"/>
    </row>
    <row r="9844" spans="7:14" x14ac:dyDescent="0.3">
      <c r="G9844" s="1"/>
      <c r="N9844" s="1"/>
    </row>
    <row r="9845" spans="7:14" x14ac:dyDescent="0.3">
      <c r="G9845" s="1"/>
      <c r="N9845" s="1"/>
    </row>
    <row r="9846" spans="7:14" x14ac:dyDescent="0.3">
      <c r="G9846" s="1"/>
      <c r="N9846" s="1"/>
    </row>
    <row r="9847" spans="7:14" x14ac:dyDescent="0.3">
      <c r="G9847" s="1"/>
      <c r="N9847" s="1"/>
    </row>
    <row r="9848" spans="7:14" x14ac:dyDescent="0.3">
      <c r="G9848" s="1"/>
      <c r="N9848" s="1"/>
    </row>
    <row r="9849" spans="7:14" x14ac:dyDescent="0.3">
      <c r="G9849" s="1"/>
      <c r="N9849" s="1"/>
    </row>
    <row r="9850" spans="7:14" x14ac:dyDescent="0.3">
      <c r="G9850" s="1"/>
      <c r="N9850" s="1"/>
    </row>
    <row r="9851" spans="7:14" x14ac:dyDescent="0.3">
      <c r="G9851" s="1"/>
      <c r="N9851" s="1"/>
    </row>
    <row r="9852" spans="7:14" x14ac:dyDescent="0.3">
      <c r="G9852" s="1"/>
      <c r="N9852" s="1"/>
    </row>
    <row r="9853" spans="7:14" x14ac:dyDescent="0.3">
      <c r="G9853" s="1"/>
      <c r="N9853" s="1"/>
    </row>
    <row r="9854" spans="7:14" x14ac:dyDescent="0.3">
      <c r="G9854" s="1"/>
      <c r="N9854" s="1"/>
    </row>
    <row r="9855" spans="7:14" x14ac:dyDescent="0.3">
      <c r="G9855" s="1"/>
      <c r="N9855" s="1"/>
    </row>
    <row r="9856" spans="7:14" x14ac:dyDescent="0.3">
      <c r="G9856" s="1"/>
      <c r="N9856" s="1"/>
    </row>
    <row r="9857" spans="7:14" x14ac:dyDescent="0.3">
      <c r="G9857" s="1"/>
      <c r="N9857" s="1"/>
    </row>
    <row r="9858" spans="7:14" x14ac:dyDescent="0.3">
      <c r="G9858" s="1"/>
      <c r="N9858" s="1"/>
    </row>
    <row r="9859" spans="7:14" x14ac:dyDescent="0.3">
      <c r="G9859" s="1"/>
      <c r="N9859" s="1"/>
    </row>
    <row r="9860" spans="7:14" x14ac:dyDescent="0.3">
      <c r="G9860" s="1"/>
      <c r="N9860" s="1"/>
    </row>
    <row r="9861" spans="7:14" x14ac:dyDescent="0.3">
      <c r="G9861" s="1"/>
      <c r="N9861" s="1"/>
    </row>
    <row r="9862" spans="7:14" x14ac:dyDescent="0.3">
      <c r="G9862" s="1"/>
      <c r="N9862" s="1"/>
    </row>
    <row r="9863" spans="7:14" x14ac:dyDescent="0.3">
      <c r="G9863" s="1"/>
      <c r="N9863" s="1"/>
    </row>
    <row r="9864" spans="7:14" x14ac:dyDescent="0.3">
      <c r="G9864" s="1"/>
      <c r="N9864" s="1"/>
    </row>
    <row r="9865" spans="7:14" x14ac:dyDescent="0.3">
      <c r="G9865" s="1"/>
      <c r="N9865" s="1"/>
    </row>
    <row r="9866" spans="7:14" x14ac:dyDescent="0.3">
      <c r="G9866" s="1"/>
      <c r="N9866" s="1"/>
    </row>
    <row r="9867" spans="7:14" x14ac:dyDescent="0.3">
      <c r="G9867" s="1"/>
      <c r="N9867" s="1"/>
    </row>
    <row r="9868" spans="7:14" x14ac:dyDescent="0.3">
      <c r="G9868" s="1"/>
      <c r="N9868" s="1"/>
    </row>
    <row r="9869" spans="7:14" x14ac:dyDescent="0.3">
      <c r="G9869" s="1"/>
      <c r="N9869" s="1"/>
    </row>
    <row r="9870" spans="7:14" x14ac:dyDescent="0.3">
      <c r="G9870" s="1"/>
      <c r="N9870" s="1"/>
    </row>
    <row r="9871" spans="7:14" x14ac:dyDescent="0.3">
      <c r="G9871" s="1"/>
      <c r="N9871" s="1"/>
    </row>
    <row r="9872" spans="7:14" x14ac:dyDescent="0.3">
      <c r="G9872" s="1"/>
      <c r="N9872" s="1"/>
    </row>
    <row r="9873" spans="7:14" x14ac:dyDescent="0.3">
      <c r="G9873" s="1"/>
      <c r="N9873" s="1"/>
    </row>
    <row r="9874" spans="7:14" x14ac:dyDescent="0.3">
      <c r="G9874" s="1"/>
      <c r="N9874" s="1"/>
    </row>
    <row r="9875" spans="7:14" x14ac:dyDescent="0.3">
      <c r="G9875" s="1"/>
      <c r="N9875" s="1"/>
    </row>
    <row r="9876" spans="7:14" x14ac:dyDescent="0.3">
      <c r="G9876" s="1"/>
      <c r="N9876" s="1"/>
    </row>
    <row r="9877" spans="7:14" x14ac:dyDescent="0.3">
      <c r="G9877" s="1"/>
      <c r="N9877" s="1"/>
    </row>
    <row r="9878" spans="7:14" x14ac:dyDescent="0.3">
      <c r="G9878" s="1"/>
      <c r="N9878" s="1"/>
    </row>
    <row r="9879" spans="7:14" x14ac:dyDescent="0.3">
      <c r="G9879" s="1"/>
      <c r="N9879" s="1"/>
    </row>
    <row r="9880" spans="7:14" x14ac:dyDescent="0.3">
      <c r="G9880" s="1"/>
      <c r="N9880" s="1"/>
    </row>
    <row r="9881" spans="7:14" x14ac:dyDescent="0.3">
      <c r="G9881" s="1"/>
      <c r="N9881" s="1"/>
    </row>
    <row r="9882" spans="7:14" x14ac:dyDescent="0.3">
      <c r="G9882" s="1"/>
      <c r="N9882" s="1"/>
    </row>
    <row r="9883" spans="7:14" x14ac:dyDescent="0.3">
      <c r="G9883" s="1"/>
      <c r="N9883" s="1"/>
    </row>
    <row r="9884" spans="7:14" x14ac:dyDescent="0.3">
      <c r="G9884" s="1"/>
      <c r="N9884" s="1"/>
    </row>
    <row r="9885" spans="7:14" x14ac:dyDescent="0.3">
      <c r="G9885" s="1"/>
      <c r="N9885" s="1"/>
    </row>
    <row r="9886" spans="7:14" x14ac:dyDescent="0.3">
      <c r="G9886" s="1"/>
      <c r="N9886" s="1"/>
    </row>
    <row r="9887" spans="7:14" x14ac:dyDescent="0.3">
      <c r="G9887" s="1"/>
      <c r="N9887" s="1"/>
    </row>
    <row r="9888" spans="7:14" x14ac:dyDescent="0.3">
      <c r="G9888" s="1"/>
      <c r="N9888" s="1"/>
    </row>
    <row r="9889" spans="7:14" x14ac:dyDescent="0.3">
      <c r="G9889" s="1"/>
      <c r="N9889" s="1"/>
    </row>
    <row r="9890" spans="7:14" x14ac:dyDescent="0.3">
      <c r="G9890" s="1"/>
      <c r="N9890" s="1"/>
    </row>
    <row r="9891" spans="7:14" x14ac:dyDescent="0.3">
      <c r="G9891" s="1"/>
      <c r="N9891" s="1"/>
    </row>
    <row r="9892" spans="7:14" x14ac:dyDescent="0.3">
      <c r="G9892" s="1"/>
      <c r="N9892" s="1"/>
    </row>
    <row r="9893" spans="7:14" x14ac:dyDescent="0.3">
      <c r="G9893" s="1"/>
      <c r="N9893" s="1"/>
    </row>
    <row r="9894" spans="7:14" x14ac:dyDescent="0.3">
      <c r="G9894" s="1"/>
      <c r="N9894" s="1"/>
    </row>
    <row r="9895" spans="7:14" x14ac:dyDescent="0.3">
      <c r="G9895" s="1"/>
      <c r="N9895" s="1"/>
    </row>
    <row r="9896" spans="7:14" x14ac:dyDescent="0.3">
      <c r="G9896" s="1"/>
      <c r="N9896" s="1"/>
    </row>
    <row r="9897" spans="7:14" x14ac:dyDescent="0.3">
      <c r="G9897" s="1"/>
      <c r="N9897" s="1"/>
    </row>
    <row r="9898" spans="7:14" x14ac:dyDescent="0.3">
      <c r="G9898" s="1"/>
      <c r="N9898" s="1"/>
    </row>
    <row r="9899" spans="7:14" x14ac:dyDescent="0.3">
      <c r="G9899" s="1"/>
      <c r="N9899" s="1"/>
    </row>
    <row r="9900" spans="7:14" x14ac:dyDescent="0.3">
      <c r="G9900" s="1"/>
      <c r="N9900" s="1"/>
    </row>
    <row r="9901" spans="7:14" x14ac:dyDescent="0.3">
      <c r="G9901" s="1"/>
      <c r="N9901" s="1"/>
    </row>
    <row r="9902" spans="7:14" x14ac:dyDescent="0.3">
      <c r="G9902" s="1"/>
      <c r="N9902" s="1"/>
    </row>
    <row r="9903" spans="7:14" x14ac:dyDescent="0.3">
      <c r="G9903" s="1"/>
      <c r="N9903" s="1"/>
    </row>
    <row r="9904" spans="7:14" x14ac:dyDescent="0.3">
      <c r="G9904" s="1"/>
      <c r="N9904" s="1"/>
    </row>
    <row r="9905" spans="7:14" x14ac:dyDescent="0.3">
      <c r="G9905" s="1"/>
      <c r="N9905" s="1"/>
    </row>
    <row r="9906" spans="7:14" x14ac:dyDescent="0.3">
      <c r="G9906" s="1"/>
      <c r="N9906" s="1"/>
    </row>
    <row r="9907" spans="7:14" x14ac:dyDescent="0.3">
      <c r="G9907" s="1"/>
      <c r="N9907" s="1"/>
    </row>
    <row r="9908" spans="7:14" x14ac:dyDescent="0.3">
      <c r="G9908" s="1"/>
      <c r="N9908" s="1"/>
    </row>
    <row r="9909" spans="7:14" x14ac:dyDescent="0.3">
      <c r="G9909" s="1"/>
      <c r="N9909" s="1"/>
    </row>
    <row r="9910" spans="7:14" x14ac:dyDescent="0.3">
      <c r="G9910" s="1"/>
      <c r="N9910" s="1"/>
    </row>
    <row r="9911" spans="7:14" x14ac:dyDescent="0.3">
      <c r="G9911" s="1"/>
      <c r="N9911" s="1"/>
    </row>
    <row r="9912" spans="7:14" x14ac:dyDescent="0.3">
      <c r="G9912" s="1"/>
      <c r="N9912" s="1"/>
    </row>
    <row r="9913" spans="7:14" x14ac:dyDescent="0.3">
      <c r="G9913" s="1"/>
      <c r="N9913" s="1"/>
    </row>
    <row r="9914" spans="7:14" x14ac:dyDescent="0.3">
      <c r="G9914" s="1"/>
      <c r="N9914" s="1"/>
    </row>
    <row r="9915" spans="7:14" x14ac:dyDescent="0.3">
      <c r="G9915" s="1"/>
      <c r="N9915" s="1"/>
    </row>
    <row r="9916" spans="7:14" x14ac:dyDescent="0.3">
      <c r="G9916" s="1"/>
      <c r="N9916" s="1"/>
    </row>
    <row r="9917" spans="7:14" x14ac:dyDescent="0.3">
      <c r="G9917" s="1"/>
      <c r="N9917" s="1"/>
    </row>
    <row r="9918" spans="7:14" x14ac:dyDescent="0.3">
      <c r="G9918" s="1"/>
      <c r="N9918" s="1"/>
    </row>
    <row r="9919" spans="7:14" x14ac:dyDescent="0.3">
      <c r="G9919" s="1"/>
      <c r="N9919" s="1"/>
    </row>
    <row r="9920" spans="7:14" x14ac:dyDescent="0.3">
      <c r="G9920" s="1"/>
      <c r="N9920" s="1"/>
    </row>
    <row r="9921" spans="7:14" x14ac:dyDescent="0.3">
      <c r="G9921" s="1"/>
      <c r="N9921" s="1"/>
    </row>
    <row r="9922" spans="7:14" x14ac:dyDescent="0.3">
      <c r="G9922" s="1"/>
      <c r="N9922" s="1"/>
    </row>
    <row r="9923" spans="7:14" x14ac:dyDescent="0.3">
      <c r="G9923" s="1"/>
      <c r="N9923" s="1"/>
    </row>
    <row r="9924" spans="7:14" x14ac:dyDescent="0.3">
      <c r="G9924" s="1"/>
      <c r="N9924" s="1"/>
    </row>
    <row r="9925" spans="7:14" x14ac:dyDescent="0.3">
      <c r="G9925" s="1"/>
      <c r="N9925" s="1"/>
    </row>
    <row r="9926" spans="7:14" x14ac:dyDescent="0.3">
      <c r="G9926" s="1"/>
      <c r="N9926" s="1"/>
    </row>
    <row r="9927" spans="7:14" x14ac:dyDescent="0.3">
      <c r="G9927" s="1"/>
      <c r="N9927" s="1"/>
    </row>
    <row r="9928" spans="7:14" x14ac:dyDescent="0.3">
      <c r="G9928" s="1"/>
      <c r="N9928" s="1"/>
    </row>
    <row r="9929" spans="7:14" x14ac:dyDescent="0.3">
      <c r="G9929" s="1"/>
      <c r="N9929" s="1"/>
    </row>
    <row r="9930" spans="7:14" x14ac:dyDescent="0.3">
      <c r="G9930" s="1"/>
      <c r="N9930" s="1"/>
    </row>
    <row r="9931" spans="7:14" x14ac:dyDescent="0.3">
      <c r="G9931" s="1"/>
      <c r="N9931" s="1"/>
    </row>
    <row r="9932" spans="7:14" x14ac:dyDescent="0.3">
      <c r="G9932" s="1"/>
      <c r="N9932" s="1"/>
    </row>
    <row r="9933" spans="7:14" x14ac:dyDescent="0.3">
      <c r="G9933" s="1"/>
      <c r="N9933" s="1"/>
    </row>
    <row r="9934" spans="7:14" x14ac:dyDescent="0.3">
      <c r="G9934" s="1"/>
      <c r="N9934" s="1"/>
    </row>
    <row r="9935" spans="7:14" x14ac:dyDescent="0.3">
      <c r="G9935" s="1"/>
      <c r="N9935" s="1"/>
    </row>
    <row r="9936" spans="7:14" x14ac:dyDescent="0.3">
      <c r="G9936" s="1"/>
      <c r="N9936" s="1"/>
    </row>
    <row r="9937" spans="7:14" x14ac:dyDescent="0.3">
      <c r="G9937" s="1"/>
      <c r="N9937" s="1"/>
    </row>
    <row r="9938" spans="7:14" x14ac:dyDescent="0.3">
      <c r="G9938" s="1"/>
      <c r="N9938" s="1"/>
    </row>
    <row r="9939" spans="7:14" x14ac:dyDescent="0.3">
      <c r="G9939" s="1"/>
      <c r="N9939" s="1"/>
    </row>
    <row r="9940" spans="7:14" x14ac:dyDescent="0.3">
      <c r="G9940" s="1"/>
      <c r="N9940" s="1"/>
    </row>
    <row r="9941" spans="7:14" x14ac:dyDescent="0.3">
      <c r="G9941" s="1"/>
      <c r="N9941" s="1"/>
    </row>
    <row r="9942" spans="7:14" x14ac:dyDescent="0.3">
      <c r="G9942" s="1"/>
      <c r="N9942" s="1"/>
    </row>
    <row r="9943" spans="7:14" x14ac:dyDescent="0.3">
      <c r="G9943" s="1"/>
      <c r="N9943" s="1"/>
    </row>
    <row r="9944" spans="7:14" x14ac:dyDescent="0.3">
      <c r="G9944" s="1"/>
      <c r="N9944" s="1"/>
    </row>
    <row r="9945" spans="7:14" x14ac:dyDescent="0.3">
      <c r="G9945" s="1"/>
      <c r="N9945" s="1"/>
    </row>
    <row r="9946" spans="7:14" x14ac:dyDescent="0.3">
      <c r="G9946" s="1"/>
      <c r="N9946" s="1"/>
    </row>
    <row r="9947" spans="7:14" x14ac:dyDescent="0.3">
      <c r="G9947" s="1"/>
      <c r="N9947" s="1"/>
    </row>
    <row r="9948" spans="7:14" x14ac:dyDescent="0.3">
      <c r="G9948" s="1"/>
      <c r="N9948" s="1"/>
    </row>
    <row r="9949" spans="7:14" x14ac:dyDescent="0.3">
      <c r="G9949" s="1"/>
      <c r="N9949" s="1"/>
    </row>
    <row r="9950" spans="7:14" x14ac:dyDescent="0.3">
      <c r="G9950" s="1"/>
      <c r="N9950" s="1"/>
    </row>
    <row r="9951" spans="7:14" x14ac:dyDescent="0.3">
      <c r="G9951" s="1"/>
      <c r="N9951" s="1"/>
    </row>
    <row r="9952" spans="7:14" x14ac:dyDescent="0.3">
      <c r="G9952" s="1"/>
      <c r="N9952" s="1"/>
    </row>
    <row r="9953" spans="7:14" x14ac:dyDescent="0.3">
      <c r="G9953" s="1"/>
      <c r="N9953" s="1"/>
    </row>
    <row r="9954" spans="7:14" x14ac:dyDescent="0.3">
      <c r="G9954" s="1"/>
      <c r="N9954" s="1"/>
    </row>
    <row r="9955" spans="7:14" x14ac:dyDescent="0.3">
      <c r="G9955" s="1"/>
      <c r="N9955" s="1"/>
    </row>
    <row r="9956" spans="7:14" x14ac:dyDescent="0.3">
      <c r="G9956" s="1"/>
      <c r="N9956" s="1"/>
    </row>
    <row r="9957" spans="7:14" x14ac:dyDescent="0.3">
      <c r="G9957" s="1"/>
      <c r="N9957" s="1"/>
    </row>
    <row r="9958" spans="7:14" x14ac:dyDescent="0.3">
      <c r="G9958" s="1"/>
      <c r="N9958" s="1"/>
    </row>
    <row r="9959" spans="7:14" x14ac:dyDescent="0.3">
      <c r="G9959" s="1"/>
      <c r="N9959" s="1"/>
    </row>
    <row r="9960" spans="7:14" x14ac:dyDescent="0.3">
      <c r="G9960" s="1"/>
      <c r="N9960" s="1"/>
    </row>
    <row r="9961" spans="7:14" x14ac:dyDescent="0.3">
      <c r="G9961" s="1"/>
      <c r="N9961" s="1"/>
    </row>
    <row r="9962" spans="7:14" x14ac:dyDescent="0.3">
      <c r="G9962" s="1"/>
      <c r="N9962" s="1"/>
    </row>
    <row r="9963" spans="7:14" x14ac:dyDescent="0.3">
      <c r="G9963" s="1"/>
      <c r="N9963" s="1"/>
    </row>
    <row r="9964" spans="7:14" x14ac:dyDescent="0.3">
      <c r="G9964" s="1"/>
      <c r="N9964" s="1"/>
    </row>
    <row r="9965" spans="7:14" x14ac:dyDescent="0.3">
      <c r="G9965" s="1"/>
      <c r="N9965" s="1"/>
    </row>
    <row r="9966" spans="7:14" x14ac:dyDescent="0.3">
      <c r="G9966" s="1"/>
      <c r="N9966" s="1"/>
    </row>
    <row r="9967" spans="7:14" x14ac:dyDescent="0.3">
      <c r="G9967" s="1"/>
      <c r="N9967" s="1"/>
    </row>
    <row r="9968" spans="7:14" x14ac:dyDescent="0.3">
      <c r="G9968" s="1"/>
      <c r="N9968" s="1"/>
    </row>
    <row r="9969" spans="7:14" x14ac:dyDescent="0.3">
      <c r="G9969" s="1"/>
      <c r="N9969" s="1"/>
    </row>
    <row r="9970" spans="7:14" x14ac:dyDescent="0.3">
      <c r="G9970" s="1"/>
      <c r="N9970" s="1"/>
    </row>
    <row r="9971" spans="7:14" x14ac:dyDescent="0.3">
      <c r="G9971" s="1"/>
      <c r="N9971" s="1"/>
    </row>
    <row r="9972" spans="7:14" x14ac:dyDescent="0.3">
      <c r="G9972" s="1"/>
      <c r="N9972" s="1"/>
    </row>
    <row r="9973" spans="7:14" x14ac:dyDescent="0.3">
      <c r="G9973" s="1"/>
      <c r="N9973" s="1"/>
    </row>
    <row r="9974" spans="7:14" x14ac:dyDescent="0.3">
      <c r="G9974" s="1"/>
      <c r="N9974" s="1"/>
    </row>
    <row r="9975" spans="7:14" x14ac:dyDescent="0.3">
      <c r="G9975" s="1"/>
      <c r="N9975" s="1"/>
    </row>
    <row r="9976" spans="7:14" x14ac:dyDescent="0.3">
      <c r="G9976" s="1"/>
      <c r="N9976" s="1"/>
    </row>
    <row r="9977" spans="7:14" x14ac:dyDescent="0.3">
      <c r="G9977" s="1"/>
      <c r="N9977" s="1"/>
    </row>
    <row r="9978" spans="7:14" x14ac:dyDescent="0.3">
      <c r="G9978" s="1"/>
      <c r="N9978" s="1"/>
    </row>
    <row r="9979" spans="7:14" x14ac:dyDescent="0.3">
      <c r="G9979" s="1"/>
      <c r="N9979" s="1"/>
    </row>
    <row r="9980" spans="7:14" x14ac:dyDescent="0.3">
      <c r="G9980" s="1"/>
      <c r="N9980" s="1"/>
    </row>
    <row r="9981" spans="7:14" x14ac:dyDescent="0.3">
      <c r="G9981" s="1"/>
      <c r="N9981" s="1"/>
    </row>
    <row r="9982" spans="7:14" x14ac:dyDescent="0.3">
      <c r="G9982" s="1"/>
      <c r="N9982" s="1"/>
    </row>
    <row r="9983" spans="7:14" x14ac:dyDescent="0.3">
      <c r="G9983" s="1"/>
      <c r="N9983" s="1"/>
    </row>
    <row r="9984" spans="7:14" x14ac:dyDescent="0.3">
      <c r="G9984" s="1"/>
      <c r="N9984" s="1"/>
    </row>
    <row r="9985" spans="7:14" x14ac:dyDescent="0.3">
      <c r="G9985" s="1"/>
      <c r="N9985" s="1"/>
    </row>
    <row r="9986" spans="7:14" x14ac:dyDescent="0.3">
      <c r="G9986" s="1"/>
      <c r="N9986" s="1"/>
    </row>
    <row r="9987" spans="7:14" x14ac:dyDescent="0.3">
      <c r="G9987" s="1"/>
      <c r="N9987" s="1"/>
    </row>
    <row r="9988" spans="7:14" x14ac:dyDescent="0.3">
      <c r="G9988" s="1"/>
      <c r="N9988" s="1"/>
    </row>
    <row r="9989" spans="7:14" x14ac:dyDescent="0.3">
      <c r="G9989" s="1"/>
      <c r="N9989" s="1"/>
    </row>
    <row r="9990" spans="7:14" x14ac:dyDescent="0.3">
      <c r="G9990" s="1"/>
      <c r="N9990" s="1"/>
    </row>
    <row r="9991" spans="7:14" x14ac:dyDescent="0.3">
      <c r="G9991" s="1"/>
      <c r="N9991" s="1"/>
    </row>
    <row r="9992" spans="7:14" x14ac:dyDescent="0.3">
      <c r="G9992" s="1"/>
      <c r="N9992" s="1"/>
    </row>
    <row r="9993" spans="7:14" x14ac:dyDescent="0.3">
      <c r="G9993" s="1"/>
      <c r="N9993" s="1"/>
    </row>
    <row r="9994" spans="7:14" x14ac:dyDescent="0.3">
      <c r="G9994" s="1"/>
      <c r="N9994" s="1"/>
    </row>
    <row r="9995" spans="7:14" x14ac:dyDescent="0.3">
      <c r="G9995" s="1"/>
      <c r="N9995" s="1"/>
    </row>
    <row r="9996" spans="7:14" x14ac:dyDescent="0.3">
      <c r="G9996" s="1"/>
      <c r="N9996" s="1"/>
    </row>
    <row r="9997" spans="7:14" x14ac:dyDescent="0.3">
      <c r="G9997" s="1"/>
      <c r="N9997" s="1"/>
    </row>
    <row r="9998" spans="7:14" x14ac:dyDescent="0.3">
      <c r="G9998" s="1"/>
      <c r="N9998" s="1"/>
    </row>
    <row r="9999" spans="7:14" x14ac:dyDescent="0.3">
      <c r="G9999" s="1"/>
      <c r="N9999" s="1"/>
    </row>
    <row r="10000" spans="7:14" x14ac:dyDescent="0.3">
      <c r="G10000" s="1"/>
      <c r="N10000" s="1"/>
    </row>
    <row r="10001" spans="7:14" x14ac:dyDescent="0.3">
      <c r="G10001" s="1"/>
      <c r="N10001" s="1"/>
    </row>
    <row r="10002" spans="7:14" x14ac:dyDescent="0.3">
      <c r="G10002" s="1"/>
      <c r="N10002" s="1"/>
    </row>
    <row r="10003" spans="7:14" x14ac:dyDescent="0.3">
      <c r="G10003" s="1"/>
      <c r="N10003" s="1"/>
    </row>
    <row r="10004" spans="7:14" x14ac:dyDescent="0.3">
      <c r="G10004" s="1"/>
      <c r="N10004" s="1"/>
    </row>
    <row r="10005" spans="7:14" x14ac:dyDescent="0.3">
      <c r="G10005" s="1"/>
      <c r="N10005" s="1"/>
    </row>
    <row r="10006" spans="7:14" x14ac:dyDescent="0.3">
      <c r="G10006" s="1"/>
      <c r="N10006" s="1"/>
    </row>
    <row r="10007" spans="7:14" x14ac:dyDescent="0.3">
      <c r="G10007" s="1"/>
      <c r="N10007" s="1"/>
    </row>
    <row r="10008" spans="7:14" x14ac:dyDescent="0.3">
      <c r="G10008" s="1"/>
      <c r="N10008" s="1"/>
    </row>
    <row r="10009" spans="7:14" x14ac:dyDescent="0.3">
      <c r="G10009" s="1"/>
      <c r="N10009" s="1"/>
    </row>
    <row r="10010" spans="7:14" x14ac:dyDescent="0.3">
      <c r="G10010" s="1"/>
      <c r="N10010" s="1"/>
    </row>
    <row r="10011" spans="7:14" x14ac:dyDescent="0.3">
      <c r="G10011" s="1"/>
      <c r="N10011" s="1"/>
    </row>
    <row r="10012" spans="7:14" x14ac:dyDescent="0.3">
      <c r="G10012" s="1"/>
      <c r="N10012" s="1"/>
    </row>
    <row r="10013" spans="7:14" x14ac:dyDescent="0.3">
      <c r="G10013" s="1"/>
      <c r="N10013" s="1"/>
    </row>
    <row r="10014" spans="7:14" x14ac:dyDescent="0.3">
      <c r="G10014" s="1"/>
      <c r="N10014" s="1"/>
    </row>
    <row r="10015" spans="7:14" x14ac:dyDescent="0.3">
      <c r="G10015" s="1"/>
      <c r="N10015" s="1"/>
    </row>
    <row r="10016" spans="7:14" x14ac:dyDescent="0.3">
      <c r="G10016" s="1"/>
      <c r="N10016" s="1"/>
    </row>
    <row r="10017" spans="7:14" x14ac:dyDescent="0.3">
      <c r="G10017" s="1"/>
      <c r="N10017" s="1"/>
    </row>
    <row r="10018" spans="7:14" x14ac:dyDescent="0.3">
      <c r="G10018" s="1"/>
      <c r="N10018" s="1"/>
    </row>
    <row r="10019" spans="7:14" x14ac:dyDescent="0.3">
      <c r="G10019" s="1"/>
      <c r="N10019" s="1"/>
    </row>
    <row r="10020" spans="7:14" x14ac:dyDescent="0.3">
      <c r="G10020" s="1"/>
      <c r="N10020" s="1"/>
    </row>
    <row r="10021" spans="7:14" x14ac:dyDescent="0.3">
      <c r="G10021" s="1"/>
      <c r="N10021" s="1"/>
    </row>
    <row r="10022" spans="7:14" x14ac:dyDescent="0.3">
      <c r="G10022" s="1"/>
      <c r="N10022" s="1"/>
    </row>
    <row r="10023" spans="7:14" x14ac:dyDescent="0.3">
      <c r="G10023" s="1"/>
      <c r="N10023" s="1"/>
    </row>
    <row r="10024" spans="7:14" x14ac:dyDescent="0.3">
      <c r="G10024" s="1"/>
      <c r="N10024" s="1"/>
    </row>
    <row r="10025" spans="7:14" x14ac:dyDescent="0.3">
      <c r="G10025" s="1"/>
      <c r="N10025" s="1"/>
    </row>
    <row r="10026" spans="7:14" x14ac:dyDescent="0.3">
      <c r="G10026" s="1"/>
      <c r="N10026" s="1"/>
    </row>
    <row r="10027" spans="7:14" x14ac:dyDescent="0.3">
      <c r="G10027" s="1"/>
      <c r="N10027" s="1"/>
    </row>
    <row r="10028" spans="7:14" x14ac:dyDescent="0.3">
      <c r="G10028" s="1"/>
      <c r="N10028" s="1"/>
    </row>
    <row r="10029" spans="7:14" x14ac:dyDescent="0.3">
      <c r="G10029" s="1"/>
      <c r="N10029" s="1"/>
    </row>
    <row r="10030" spans="7:14" x14ac:dyDescent="0.3">
      <c r="G10030" s="1"/>
      <c r="N10030" s="1"/>
    </row>
    <row r="10031" spans="7:14" x14ac:dyDescent="0.3">
      <c r="G10031" s="1"/>
      <c r="N10031" s="1"/>
    </row>
    <row r="10032" spans="7:14" x14ac:dyDescent="0.3">
      <c r="G10032" s="1"/>
      <c r="N10032" s="1"/>
    </row>
    <row r="10033" spans="7:14" x14ac:dyDescent="0.3">
      <c r="G10033" s="1"/>
      <c r="N10033" s="1"/>
    </row>
    <row r="10034" spans="7:14" x14ac:dyDescent="0.3">
      <c r="G10034" s="1"/>
      <c r="N10034" s="1"/>
    </row>
    <row r="10035" spans="7:14" x14ac:dyDescent="0.3">
      <c r="G10035" s="1"/>
      <c r="N10035" s="1"/>
    </row>
    <row r="10036" spans="7:14" x14ac:dyDescent="0.3">
      <c r="G10036" s="1"/>
      <c r="N10036" s="1"/>
    </row>
    <row r="10037" spans="7:14" x14ac:dyDescent="0.3">
      <c r="G10037" s="1"/>
      <c r="N10037" s="1"/>
    </row>
    <row r="10038" spans="7:14" x14ac:dyDescent="0.3">
      <c r="G10038" s="1"/>
      <c r="N10038" s="1"/>
    </row>
    <row r="10039" spans="7:14" x14ac:dyDescent="0.3">
      <c r="G10039" s="1"/>
      <c r="N10039" s="1"/>
    </row>
    <row r="10040" spans="7:14" x14ac:dyDescent="0.3">
      <c r="G10040" s="1"/>
      <c r="N10040" s="1"/>
    </row>
    <row r="10041" spans="7:14" x14ac:dyDescent="0.3">
      <c r="G10041" s="1"/>
      <c r="N10041" s="1"/>
    </row>
    <row r="10042" spans="7:14" x14ac:dyDescent="0.3">
      <c r="G10042" s="1"/>
      <c r="N10042" s="1"/>
    </row>
    <row r="10043" spans="7:14" x14ac:dyDescent="0.3">
      <c r="G10043" s="1"/>
      <c r="N10043" s="1"/>
    </row>
    <row r="10044" spans="7:14" x14ac:dyDescent="0.3">
      <c r="G10044" s="1"/>
      <c r="N10044" s="1"/>
    </row>
    <row r="10045" spans="7:14" x14ac:dyDescent="0.3">
      <c r="G10045" s="1"/>
      <c r="N10045" s="1"/>
    </row>
    <row r="10046" spans="7:14" x14ac:dyDescent="0.3">
      <c r="G10046" s="1"/>
      <c r="N10046" s="1"/>
    </row>
    <row r="10047" spans="7:14" x14ac:dyDescent="0.3">
      <c r="G10047" s="1"/>
      <c r="N10047" s="1"/>
    </row>
    <row r="10048" spans="7:14" x14ac:dyDescent="0.3">
      <c r="G10048" s="1"/>
      <c r="N10048" s="1"/>
    </row>
    <row r="10049" spans="7:14" x14ac:dyDescent="0.3">
      <c r="G10049" s="1"/>
      <c r="N10049" s="1"/>
    </row>
    <row r="10050" spans="7:14" x14ac:dyDescent="0.3">
      <c r="G10050" s="1"/>
      <c r="N10050" s="1"/>
    </row>
    <row r="10051" spans="7:14" x14ac:dyDescent="0.3">
      <c r="G10051" s="1"/>
      <c r="N10051" s="1"/>
    </row>
    <row r="10052" spans="7:14" x14ac:dyDescent="0.3">
      <c r="G10052" s="1"/>
      <c r="N10052" s="1"/>
    </row>
    <row r="10053" spans="7:14" x14ac:dyDescent="0.3">
      <c r="G10053" s="1"/>
      <c r="N10053" s="1"/>
    </row>
    <row r="10054" spans="7:14" x14ac:dyDescent="0.3">
      <c r="G10054" s="1"/>
      <c r="N10054" s="1"/>
    </row>
    <row r="10055" spans="7:14" x14ac:dyDescent="0.3">
      <c r="G10055" s="1"/>
      <c r="N10055" s="1"/>
    </row>
    <row r="10056" spans="7:14" x14ac:dyDescent="0.3">
      <c r="G10056" s="1"/>
      <c r="N10056" s="1"/>
    </row>
    <row r="10057" spans="7:14" x14ac:dyDescent="0.3">
      <c r="G10057" s="1"/>
      <c r="N10057" s="1"/>
    </row>
    <row r="10058" spans="7:14" x14ac:dyDescent="0.3">
      <c r="G10058" s="1"/>
      <c r="N10058" s="1"/>
    </row>
    <row r="10059" spans="7:14" x14ac:dyDescent="0.3">
      <c r="G10059" s="1"/>
      <c r="N10059" s="1"/>
    </row>
    <row r="10060" spans="7:14" x14ac:dyDescent="0.3">
      <c r="G10060" s="1"/>
      <c r="N10060" s="1"/>
    </row>
    <row r="10061" spans="7:14" x14ac:dyDescent="0.3">
      <c r="G10061" s="1"/>
      <c r="N10061" s="1"/>
    </row>
    <row r="10062" spans="7:14" x14ac:dyDescent="0.3">
      <c r="G10062" s="1"/>
      <c r="N10062" s="1"/>
    </row>
    <row r="10063" spans="7:14" x14ac:dyDescent="0.3">
      <c r="G10063" s="1"/>
      <c r="N10063" s="1"/>
    </row>
    <row r="10064" spans="7:14" x14ac:dyDescent="0.3">
      <c r="G10064" s="1"/>
      <c r="N10064" s="1"/>
    </row>
    <row r="10065" spans="7:14" x14ac:dyDescent="0.3">
      <c r="G10065" s="1"/>
      <c r="N10065" s="1"/>
    </row>
    <row r="10066" spans="7:14" x14ac:dyDescent="0.3">
      <c r="G10066" s="1"/>
      <c r="N10066" s="1"/>
    </row>
    <row r="10067" spans="7:14" x14ac:dyDescent="0.3">
      <c r="G10067" s="1"/>
      <c r="N10067" s="1"/>
    </row>
    <row r="10068" spans="7:14" x14ac:dyDescent="0.3">
      <c r="G10068" s="1"/>
      <c r="N10068" s="1"/>
    </row>
    <row r="10069" spans="7:14" x14ac:dyDescent="0.3">
      <c r="G10069" s="1"/>
      <c r="N10069" s="1"/>
    </row>
    <row r="10070" spans="7:14" x14ac:dyDescent="0.3">
      <c r="G10070" s="1"/>
      <c r="N10070" s="1"/>
    </row>
    <row r="10071" spans="7:14" x14ac:dyDescent="0.3">
      <c r="G10071" s="1"/>
      <c r="N10071" s="1"/>
    </row>
    <row r="10072" spans="7:14" x14ac:dyDescent="0.3">
      <c r="G10072" s="1"/>
      <c r="N10072" s="1"/>
    </row>
    <row r="10073" spans="7:14" x14ac:dyDescent="0.3">
      <c r="G10073" s="1"/>
      <c r="N10073" s="1"/>
    </row>
    <row r="10074" spans="7:14" x14ac:dyDescent="0.3">
      <c r="G10074" s="1"/>
      <c r="N10074" s="1"/>
    </row>
    <row r="10075" spans="7:14" x14ac:dyDescent="0.3">
      <c r="G10075" s="1"/>
      <c r="N10075" s="1"/>
    </row>
    <row r="10076" spans="7:14" x14ac:dyDescent="0.3">
      <c r="G10076" s="1"/>
      <c r="N10076" s="1"/>
    </row>
    <row r="10077" spans="7:14" x14ac:dyDescent="0.3">
      <c r="G10077" s="1"/>
      <c r="N10077" s="1"/>
    </row>
    <row r="10078" spans="7:14" x14ac:dyDescent="0.3">
      <c r="G10078" s="1"/>
      <c r="N10078" s="1"/>
    </row>
    <row r="10079" spans="7:14" x14ac:dyDescent="0.3">
      <c r="G10079" s="1"/>
      <c r="N10079" s="1"/>
    </row>
    <row r="10080" spans="7:14" x14ac:dyDescent="0.3">
      <c r="G10080" s="1"/>
      <c r="N10080" s="1"/>
    </row>
    <row r="10081" spans="7:14" x14ac:dyDescent="0.3">
      <c r="G10081" s="1"/>
      <c r="N10081" s="1"/>
    </row>
    <row r="10082" spans="7:14" x14ac:dyDescent="0.3">
      <c r="G10082" s="1"/>
      <c r="N10082" s="1"/>
    </row>
    <row r="10083" spans="7:14" x14ac:dyDescent="0.3">
      <c r="G10083" s="1"/>
      <c r="N10083" s="1"/>
    </row>
    <row r="10084" spans="7:14" x14ac:dyDescent="0.3">
      <c r="G10084" s="1"/>
      <c r="N10084" s="1"/>
    </row>
    <row r="10085" spans="7:14" x14ac:dyDescent="0.3">
      <c r="G10085" s="1"/>
      <c r="N10085" s="1"/>
    </row>
    <row r="10086" spans="7:14" x14ac:dyDescent="0.3">
      <c r="G10086" s="1"/>
      <c r="N10086" s="1"/>
    </row>
    <row r="10087" spans="7:14" x14ac:dyDescent="0.3">
      <c r="G10087" s="1"/>
      <c r="N10087" s="1"/>
    </row>
    <row r="10088" spans="7:14" x14ac:dyDescent="0.3">
      <c r="G10088" s="1"/>
      <c r="N10088" s="1"/>
    </row>
    <row r="10089" spans="7:14" x14ac:dyDescent="0.3">
      <c r="G10089" s="1"/>
      <c r="N10089" s="1"/>
    </row>
    <row r="10090" spans="7:14" x14ac:dyDescent="0.3">
      <c r="G10090" s="1"/>
      <c r="N10090" s="1"/>
    </row>
    <row r="10091" spans="7:14" x14ac:dyDescent="0.3">
      <c r="G10091" s="1"/>
      <c r="N10091" s="1"/>
    </row>
    <row r="10092" spans="7:14" x14ac:dyDescent="0.3">
      <c r="G10092" s="1"/>
      <c r="N10092" s="1"/>
    </row>
    <row r="10093" spans="7:14" x14ac:dyDescent="0.3">
      <c r="G10093" s="1"/>
      <c r="N10093" s="1"/>
    </row>
    <row r="10094" spans="7:14" x14ac:dyDescent="0.3">
      <c r="G10094" s="1"/>
      <c r="N10094" s="1"/>
    </row>
    <row r="10095" spans="7:14" x14ac:dyDescent="0.3">
      <c r="G10095" s="1"/>
      <c r="N10095" s="1"/>
    </row>
    <row r="10096" spans="7:14" x14ac:dyDescent="0.3">
      <c r="G10096" s="1"/>
      <c r="N10096" s="1"/>
    </row>
    <row r="10097" spans="7:14" x14ac:dyDescent="0.3">
      <c r="G10097" s="1"/>
      <c r="N10097" s="1"/>
    </row>
    <row r="10098" spans="7:14" x14ac:dyDescent="0.3">
      <c r="G10098" s="1"/>
      <c r="N10098" s="1"/>
    </row>
    <row r="10099" spans="7:14" x14ac:dyDescent="0.3">
      <c r="G10099" s="1"/>
      <c r="N10099" s="1"/>
    </row>
    <row r="10100" spans="7:14" x14ac:dyDescent="0.3">
      <c r="G10100" s="1"/>
      <c r="N10100" s="1"/>
    </row>
    <row r="10101" spans="7:14" x14ac:dyDescent="0.3">
      <c r="G10101" s="1"/>
      <c r="N10101" s="1"/>
    </row>
    <row r="10102" spans="7:14" x14ac:dyDescent="0.3">
      <c r="G10102" s="1"/>
      <c r="N10102" s="1"/>
    </row>
    <row r="10103" spans="7:14" x14ac:dyDescent="0.3">
      <c r="G10103" s="1"/>
      <c r="N10103" s="1"/>
    </row>
    <row r="10104" spans="7:14" x14ac:dyDescent="0.3">
      <c r="G10104" s="1"/>
      <c r="N10104" s="1"/>
    </row>
    <row r="10105" spans="7:14" x14ac:dyDescent="0.3">
      <c r="G10105" s="1"/>
      <c r="N10105" s="1"/>
    </row>
    <row r="10106" spans="7:14" x14ac:dyDescent="0.3">
      <c r="G10106" s="1"/>
      <c r="N10106" s="1"/>
    </row>
    <row r="10107" spans="7:14" x14ac:dyDescent="0.3">
      <c r="G10107" s="1"/>
      <c r="N10107" s="1"/>
    </row>
    <row r="10108" spans="7:14" x14ac:dyDescent="0.3">
      <c r="G10108" s="1"/>
      <c r="N10108" s="1"/>
    </row>
    <row r="10109" spans="7:14" x14ac:dyDescent="0.3">
      <c r="G10109" s="1"/>
      <c r="N10109" s="1"/>
    </row>
    <row r="10110" spans="7:14" x14ac:dyDescent="0.3">
      <c r="G10110" s="1"/>
      <c r="N10110" s="1"/>
    </row>
    <row r="10111" spans="7:14" x14ac:dyDescent="0.3">
      <c r="G10111" s="1"/>
      <c r="N10111" s="1"/>
    </row>
    <row r="10112" spans="7:14" x14ac:dyDescent="0.3">
      <c r="G10112" s="1"/>
      <c r="N10112" s="1"/>
    </row>
    <row r="10113" spans="7:14" x14ac:dyDescent="0.3">
      <c r="G10113" s="1"/>
      <c r="N10113" s="1"/>
    </row>
    <row r="10114" spans="7:14" x14ac:dyDescent="0.3">
      <c r="G10114" s="1"/>
      <c r="N10114" s="1"/>
    </row>
    <row r="10115" spans="7:14" x14ac:dyDescent="0.3">
      <c r="G10115" s="1"/>
      <c r="N10115" s="1"/>
    </row>
    <row r="10116" spans="7:14" x14ac:dyDescent="0.3">
      <c r="G10116" s="1"/>
      <c r="N10116" s="1"/>
    </row>
    <row r="10117" spans="7:14" x14ac:dyDescent="0.3">
      <c r="G10117" s="1"/>
      <c r="N10117" s="1"/>
    </row>
    <row r="10118" spans="7:14" x14ac:dyDescent="0.3">
      <c r="G10118" s="1"/>
      <c r="N10118" s="1"/>
    </row>
    <row r="10119" spans="7:14" x14ac:dyDescent="0.3">
      <c r="G10119" s="1"/>
      <c r="N10119" s="1"/>
    </row>
    <row r="10120" spans="7:14" x14ac:dyDescent="0.3">
      <c r="G10120" s="1"/>
      <c r="N10120" s="1"/>
    </row>
    <row r="10121" spans="7:14" x14ac:dyDescent="0.3">
      <c r="G10121" s="1"/>
      <c r="N10121" s="1"/>
    </row>
    <row r="10122" spans="7:14" x14ac:dyDescent="0.3">
      <c r="G10122" s="1"/>
      <c r="N10122" s="1"/>
    </row>
    <row r="10123" spans="7:14" x14ac:dyDescent="0.3">
      <c r="G10123" s="1"/>
      <c r="N10123" s="1"/>
    </row>
    <row r="10124" spans="7:14" x14ac:dyDescent="0.3">
      <c r="G10124" s="1"/>
      <c r="N10124" s="1"/>
    </row>
    <row r="10125" spans="7:14" x14ac:dyDescent="0.3">
      <c r="G10125" s="1"/>
      <c r="N10125" s="1"/>
    </row>
    <row r="10126" spans="7:14" x14ac:dyDescent="0.3">
      <c r="G10126" s="1"/>
      <c r="N10126" s="1"/>
    </row>
    <row r="10127" spans="7:14" x14ac:dyDescent="0.3">
      <c r="G10127" s="1"/>
      <c r="N10127" s="1"/>
    </row>
    <row r="10128" spans="7:14" x14ac:dyDescent="0.3">
      <c r="G10128" s="1"/>
      <c r="N10128" s="1"/>
    </row>
    <row r="10129" spans="7:14" x14ac:dyDescent="0.3">
      <c r="G10129" s="1"/>
      <c r="N10129" s="1"/>
    </row>
    <row r="10130" spans="7:14" x14ac:dyDescent="0.3">
      <c r="G10130" s="1"/>
      <c r="N10130" s="1"/>
    </row>
    <row r="10131" spans="7:14" x14ac:dyDescent="0.3">
      <c r="G10131" s="1"/>
      <c r="N10131" s="1"/>
    </row>
    <row r="10132" spans="7:14" x14ac:dyDescent="0.3">
      <c r="G10132" s="1"/>
      <c r="N10132" s="1"/>
    </row>
    <row r="10133" spans="7:14" x14ac:dyDescent="0.3">
      <c r="G10133" s="1"/>
      <c r="N10133" s="1"/>
    </row>
    <row r="10134" spans="7:14" x14ac:dyDescent="0.3">
      <c r="G10134" s="1"/>
      <c r="N10134" s="1"/>
    </row>
    <row r="10135" spans="7:14" x14ac:dyDescent="0.3">
      <c r="G10135" s="1"/>
      <c r="N10135" s="1"/>
    </row>
    <row r="10136" spans="7:14" x14ac:dyDescent="0.3">
      <c r="G10136" s="1"/>
      <c r="N10136" s="1"/>
    </row>
    <row r="10137" spans="7:14" x14ac:dyDescent="0.3">
      <c r="G10137" s="1"/>
      <c r="N10137" s="1"/>
    </row>
    <row r="10138" spans="7:14" x14ac:dyDescent="0.3">
      <c r="G10138" s="1"/>
      <c r="N10138" s="1"/>
    </row>
    <row r="10139" spans="7:14" x14ac:dyDescent="0.3">
      <c r="G10139" s="1"/>
      <c r="N10139" s="1"/>
    </row>
    <row r="10140" spans="7:14" x14ac:dyDescent="0.3">
      <c r="G10140" s="1"/>
      <c r="N10140" s="1"/>
    </row>
    <row r="10141" spans="7:14" x14ac:dyDescent="0.3">
      <c r="G10141" s="1"/>
      <c r="N10141" s="1"/>
    </row>
    <row r="10142" spans="7:14" x14ac:dyDescent="0.3">
      <c r="G10142" s="1"/>
      <c r="N10142" s="1"/>
    </row>
    <row r="10143" spans="7:14" x14ac:dyDescent="0.3">
      <c r="G10143" s="1"/>
      <c r="N10143" s="1"/>
    </row>
    <row r="10144" spans="7:14" x14ac:dyDescent="0.3">
      <c r="G10144" s="1"/>
      <c r="N10144" s="1"/>
    </row>
    <row r="10145" spans="7:14" x14ac:dyDescent="0.3">
      <c r="G10145" s="1"/>
      <c r="N10145" s="1"/>
    </row>
    <row r="10146" spans="7:14" x14ac:dyDescent="0.3">
      <c r="G10146" s="1"/>
      <c r="N10146" s="1"/>
    </row>
    <row r="10147" spans="7:14" x14ac:dyDescent="0.3">
      <c r="G10147" s="1"/>
      <c r="N10147" s="1"/>
    </row>
    <row r="10148" spans="7:14" x14ac:dyDescent="0.3">
      <c r="G10148" s="1"/>
      <c r="N10148" s="1"/>
    </row>
    <row r="10149" spans="7:14" x14ac:dyDescent="0.3">
      <c r="G10149" s="1"/>
      <c r="N10149" s="1"/>
    </row>
    <row r="10150" spans="7:14" x14ac:dyDescent="0.3">
      <c r="G10150" s="1"/>
      <c r="N10150" s="1"/>
    </row>
    <row r="10151" spans="7:14" x14ac:dyDescent="0.3">
      <c r="G10151" s="1"/>
      <c r="N10151" s="1"/>
    </row>
    <row r="10152" spans="7:14" x14ac:dyDescent="0.3">
      <c r="G10152" s="1"/>
      <c r="N10152" s="1"/>
    </row>
    <row r="10153" spans="7:14" x14ac:dyDescent="0.3">
      <c r="G10153" s="1"/>
      <c r="N10153" s="1"/>
    </row>
    <row r="10154" spans="7:14" x14ac:dyDescent="0.3">
      <c r="G10154" s="1"/>
      <c r="N10154" s="1"/>
    </row>
    <row r="10155" spans="7:14" x14ac:dyDescent="0.3">
      <c r="G10155" s="1"/>
      <c r="N10155" s="1"/>
    </row>
    <row r="10156" spans="7:14" x14ac:dyDescent="0.3">
      <c r="G10156" s="1"/>
      <c r="N10156" s="1"/>
    </row>
    <row r="10157" spans="7:14" x14ac:dyDescent="0.3">
      <c r="G10157" s="1"/>
      <c r="N10157" s="1"/>
    </row>
    <row r="10158" spans="7:14" x14ac:dyDescent="0.3">
      <c r="G10158" s="1"/>
      <c r="N10158" s="1"/>
    </row>
    <row r="10159" spans="7:14" x14ac:dyDescent="0.3">
      <c r="G10159" s="1"/>
      <c r="N10159" s="1"/>
    </row>
    <row r="10160" spans="7:14" x14ac:dyDescent="0.3">
      <c r="G10160" s="1"/>
      <c r="N10160" s="1"/>
    </row>
    <row r="10161" spans="7:14" x14ac:dyDescent="0.3">
      <c r="G10161" s="1"/>
      <c r="N10161" s="1"/>
    </row>
    <row r="10162" spans="7:14" x14ac:dyDescent="0.3">
      <c r="G10162" s="1"/>
      <c r="N10162" s="1"/>
    </row>
    <row r="10163" spans="7:14" x14ac:dyDescent="0.3">
      <c r="G10163" s="1"/>
      <c r="N10163" s="1"/>
    </row>
    <row r="10164" spans="7:14" x14ac:dyDescent="0.3">
      <c r="G10164" s="1"/>
      <c r="N10164" s="1"/>
    </row>
    <row r="10165" spans="7:14" x14ac:dyDescent="0.3">
      <c r="G10165" s="1"/>
      <c r="N10165" s="1"/>
    </row>
    <row r="10166" spans="7:14" x14ac:dyDescent="0.3">
      <c r="G10166" s="1"/>
      <c r="N10166" s="1"/>
    </row>
    <row r="10167" spans="7:14" x14ac:dyDescent="0.3">
      <c r="G10167" s="1"/>
      <c r="N10167" s="1"/>
    </row>
    <row r="10168" spans="7:14" x14ac:dyDescent="0.3">
      <c r="G10168" s="1"/>
      <c r="N10168" s="1"/>
    </row>
    <row r="10169" spans="7:14" x14ac:dyDescent="0.3">
      <c r="G10169" s="1"/>
      <c r="N10169" s="1"/>
    </row>
    <row r="10170" spans="7:14" x14ac:dyDescent="0.3">
      <c r="G10170" s="1"/>
      <c r="N10170" s="1"/>
    </row>
    <row r="10171" spans="7:14" x14ac:dyDescent="0.3">
      <c r="G10171" s="1"/>
      <c r="N10171" s="1"/>
    </row>
    <row r="10172" spans="7:14" x14ac:dyDescent="0.3">
      <c r="G10172" s="1"/>
      <c r="N10172" s="1"/>
    </row>
    <row r="10173" spans="7:14" x14ac:dyDescent="0.3">
      <c r="G10173" s="1"/>
      <c r="N10173" s="1"/>
    </row>
    <row r="10174" spans="7:14" x14ac:dyDescent="0.3">
      <c r="G10174" s="1"/>
      <c r="N10174" s="1"/>
    </row>
    <row r="10175" spans="7:14" x14ac:dyDescent="0.3">
      <c r="G10175" s="1"/>
      <c r="N10175" s="1"/>
    </row>
    <row r="10176" spans="7:14" x14ac:dyDescent="0.3">
      <c r="G10176" s="1"/>
      <c r="N10176" s="1"/>
    </row>
    <row r="10177" spans="7:14" x14ac:dyDescent="0.3">
      <c r="G10177" s="1"/>
      <c r="N10177" s="1"/>
    </row>
    <row r="10178" spans="7:14" x14ac:dyDescent="0.3">
      <c r="G10178" s="1"/>
      <c r="N10178" s="1"/>
    </row>
    <row r="10179" spans="7:14" x14ac:dyDescent="0.3">
      <c r="G10179" s="1"/>
      <c r="N10179" s="1"/>
    </row>
    <row r="10180" spans="7:14" x14ac:dyDescent="0.3">
      <c r="G10180" s="1"/>
      <c r="N10180" s="1"/>
    </row>
    <row r="10181" spans="7:14" x14ac:dyDescent="0.3">
      <c r="G10181" s="1"/>
      <c r="N10181" s="1"/>
    </row>
    <row r="10182" spans="7:14" x14ac:dyDescent="0.3">
      <c r="G10182" s="1"/>
      <c r="N10182" s="1"/>
    </row>
    <row r="10183" spans="7:14" x14ac:dyDescent="0.3">
      <c r="G10183" s="1"/>
      <c r="N10183" s="1"/>
    </row>
    <row r="10184" spans="7:14" x14ac:dyDescent="0.3">
      <c r="G10184" s="1"/>
      <c r="N10184" s="1"/>
    </row>
    <row r="10185" spans="7:14" x14ac:dyDescent="0.3">
      <c r="G10185" s="1"/>
      <c r="N10185" s="1"/>
    </row>
    <row r="10186" spans="7:14" x14ac:dyDescent="0.3">
      <c r="G10186" s="1"/>
      <c r="N10186" s="1"/>
    </row>
    <row r="10187" spans="7:14" x14ac:dyDescent="0.3">
      <c r="G10187" s="1"/>
      <c r="N10187" s="1"/>
    </row>
    <row r="10188" spans="7:14" x14ac:dyDescent="0.3">
      <c r="G10188" s="1"/>
      <c r="N10188" s="1"/>
    </row>
    <row r="10189" spans="7:14" x14ac:dyDescent="0.3">
      <c r="G10189" s="1"/>
      <c r="N10189" s="1"/>
    </row>
    <row r="10190" spans="7:14" x14ac:dyDescent="0.3">
      <c r="G10190" s="1"/>
      <c r="N10190" s="1"/>
    </row>
    <row r="10191" spans="7:14" x14ac:dyDescent="0.3">
      <c r="G10191" s="1"/>
      <c r="N10191" s="1"/>
    </row>
    <row r="10192" spans="7:14" x14ac:dyDescent="0.3">
      <c r="G10192" s="1"/>
      <c r="N10192" s="1"/>
    </row>
    <row r="10193" spans="7:14" x14ac:dyDescent="0.3">
      <c r="G10193" s="1"/>
      <c r="N10193" s="1"/>
    </row>
    <row r="10194" spans="7:14" x14ac:dyDescent="0.3">
      <c r="G10194" s="1"/>
      <c r="N10194" s="1"/>
    </row>
    <row r="10195" spans="7:14" x14ac:dyDescent="0.3">
      <c r="G10195" s="1"/>
      <c r="N10195" s="1"/>
    </row>
    <row r="10196" spans="7:14" x14ac:dyDescent="0.3">
      <c r="G10196" s="1"/>
      <c r="N10196" s="1"/>
    </row>
    <row r="10197" spans="7:14" x14ac:dyDescent="0.3">
      <c r="G10197" s="1"/>
      <c r="N10197" s="1"/>
    </row>
    <row r="10198" spans="7:14" x14ac:dyDescent="0.3">
      <c r="G10198" s="1"/>
      <c r="N10198" s="1"/>
    </row>
    <row r="10199" spans="7:14" x14ac:dyDescent="0.3">
      <c r="G10199" s="1"/>
      <c r="N10199" s="1"/>
    </row>
    <row r="10200" spans="7:14" x14ac:dyDescent="0.3">
      <c r="G10200" s="1"/>
      <c r="N10200" s="1"/>
    </row>
    <row r="10201" spans="7:14" x14ac:dyDescent="0.3">
      <c r="G10201" s="1"/>
      <c r="N10201" s="1"/>
    </row>
    <row r="10202" spans="7:14" x14ac:dyDescent="0.3">
      <c r="G10202" s="1"/>
      <c r="N10202" s="1"/>
    </row>
    <row r="10203" spans="7:14" x14ac:dyDescent="0.3">
      <c r="G10203" s="1"/>
      <c r="N10203" s="1"/>
    </row>
    <row r="10204" spans="7:14" x14ac:dyDescent="0.3">
      <c r="G10204" s="1"/>
      <c r="N10204" s="1"/>
    </row>
    <row r="10205" spans="7:14" x14ac:dyDescent="0.3">
      <c r="G10205" s="1"/>
      <c r="N10205" s="1"/>
    </row>
    <row r="10206" spans="7:14" x14ac:dyDescent="0.3">
      <c r="G10206" s="1"/>
      <c r="N10206" s="1"/>
    </row>
    <row r="10207" spans="7:14" x14ac:dyDescent="0.3">
      <c r="G10207" s="1"/>
      <c r="N10207" s="1"/>
    </row>
    <row r="10208" spans="7:14" x14ac:dyDescent="0.3">
      <c r="G10208" s="1"/>
      <c r="N10208" s="1"/>
    </row>
    <row r="10209" spans="7:14" x14ac:dyDescent="0.3">
      <c r="G10209" s="1"/>
      <c r="N10209" s="1"/>
    </row>
    <row r="10210" spans="7:14" x14ac:dyDescent="0.3">
      <c r="G10210" s="1"/>
      <c r="N10210" s="1"/>
    </row>
    <row r="10211" spans="7:14" x14ac:dyDescent="0.3">
      <c r="G10211" s="1"/>
      <c r="N10211" s="1"/>
    </row>
    <row r="10212" spans="7:14" x14ac:dyDescent="0.3">
      <c r="G10212" s="1"/>
      <c r="N10212" s="1"/>
    </row>
    <row r="10213" spans="7:14" x14ac:dyDescent="0.3">
      <c r="G10213" s="1"/>
      <c r="N10213" s="1"/>
    </row>
    <row r="10214" spans="7:14" x14ac:dyDescent="0.3">
      <c r="G10214" s="1"/>
      <c r="N10214" s="1"/>
    </row>
    <row r="10215" spans="7:14" x14ac:dyDescent="0.3">
      <c r="G10215" s="1"/>
      <c r="N10215" s="1"/>
    </row>
    <row r="10216" spans="7:14" x14ac:dyDescent="0.3">
      <c r="G10216" s="1"/>
      <c r="N10216" s="1"/>
    </row>
    <row r="10217" spans="7:14" x14ac:dyDescent="0.3">
      <c r="G10217" s="1"/>
      <c r="N10217" s="1"/>
    </row>
    <row r="10218" spans="7:14" x14ac:dyDescent="0.3">
      <c r="G10218" s="1"/>
      <c r="N10218" s="1"/>
    </row>
    <row r="10219" spans="7:14" x14ac:dyDescent="0.3">
      <c r="G10219" s="1"/>
      <c r="N10219" s="1"/>
    </row>
    <row r="10220" spans="7:14" x14ac:dyDescent="0.3">
      <c r="G10220" s="1"/>
      <c r="N10220" s="1"/>
    </row>
    <row r="10221" spans="7:14" x14ac:dyDescent="0.3">
      <c r="G10221" s="1"/>
      <c r="N10221" s="1"/>
    </row>
    <row r="10222" spans="7:14" x14ac:dyDescent="0.3">
      <c r="G10222" s="1"/>
      <c r="N10222" s="1"/>
    </row>
    <row r="10223" spans="7:14" x14ac:dyDescent="0.3">
      <c r="G10223" s="1"/>
      <c r="N10223" s="1"/>
    </row>
    <row r="10224" spans="7:14" x14ac:dyDescent="0.3">
      <c r="G10224" s="1"/>
      <c r="N10224" s="1"/>
    </row>
    <row r="10225" spans="7:14" x14ac:dyDescent="0.3">
      <c r="G10225" s="1"/>
      <c r="N10225" s="1"/>
    </row>
    <row r="10226" spans="7:14" x14ac:dyDescent="0.3">
      <c r="G10226" s="1"/>
      <c r="N10226" s="1"/>
    </row>
    <row r="10227" spans="7:14" x14ac:dyDescent="0.3">
      <c r="G10227" s="1"/>
      <c r="N10227" s="1"/>
    </row>
    <row r="10228" spans="7:14" x14ac:dyDescent="0.3">
      <c r="G10228" s="1"/>
      <c r="N10228" s="1"/>
    </row>
    <row r="10229" spans="7:14" x14ac:dyDescent="0.3">
      <c r="G10229" s="1"/>
      <c r="N10229" s="1"/>
    </row>
    <row r="10230" spans="7:14" x14ac:dyDescent="0.3">
      <c r="G10230" s="1"/>
      <c r="N10230" s="1"/>
    </row>
    <row r="10231" spans="7:14" x14ac:dyDescent="0.3">
      <c r="G10231" s="1"/>
      <c r="N10231" s="1"/>
    </row>
    <row r="10232" spans="7:14" x14ac:dyDescent="0.3">
      <c r="G10232" s="1"/>
      <c r="N10232" s="1"/>
    </row>
    <row r="10233" spans="7:14" x14ac:dyDescent="0.3">
      <c r="G10233" s="1"/>
      <c r="N10233" s="1"/>
    </row>
    <row r="10234" spans="7:14" x14ac:dyDescent="0.3">
      <c r="G10234" s="1"/>
      <c r="N10234" s="1"/>
    </row>
    <row r="10235" spans="7:14" x14ac:dyDescent="0.3">
      <c r="G10235" s="1"/>
      <c r="N10235" s="1"/>
    </row>
    <row r="10236" spans="7:14" x14ac:dyDescent="0.3">
      <c r="G10236" s="1"/>
      <c r="N10236" s="1"/>
    </row>
    <row r="10237" spans="7:14" x14ac:dyDescent="0.3">
      <c r="G10237" s="1"/>
      <c r="N10237" s="1"/>
    </row>
    <row r="10238" spans="7:14" x14ac:dyDescent="0.3">
      <c r="G10238" s="1"/>
      <c r="N10238" s="1"/>
    </row>
    <row r="10239" spans="7:14" x14ac:dyDescent="0.3">
      <c r="G10239" s="1"/>
      <c r="N10239" s="1"/>
    </row>
    <row r="10240" spans="7:14" x14ac:dyDescent="0.3">
      <c r="G10240" s="1"/>
      <c r="N10240" s="1"/>
    </row>
    <row r="10241" spans="7:14" x14ac:dyDescent="0.3">
      <c r="G10241" s="1"/>
      <c r="N10241" s="1"/>
    </row>
    <row r="10242" spans="7:14" x14ac:dyDescent="0.3">
      <c r="G10242" s="1"/>
      <c r="N10242" s="1"/>
    </row>
    <row r="10243" spans="7:14" x14ac:dyDescent="0.3">
      <c r="G10243" s="1"/>
      <c r="N10243" s="1"/>
    </row>
    <row r="10244" spans="7:14" x14ac:dyDescent="0.3">
      <c r="G10244" s="1"/>
      <c r="N10244" s="1"/>
    </row>
    <row r="10245" spans="7:14" x14ac:dyDescent="0.3">
      <c r="G10245" s="1"/>
      <c r="N10245" s="1"/>
    </row>
    <row r="10246" spans="7:14" x14ac:dyDescent="0.3">
      <c r="G10246" s="1"/>
      <c r="N10246" s="1"/>
    </row>
    <row r="10247" spans="7:14" x14ac:dyDescent="0.3">
      <c r="G10247" s="1"/>
      <c r="N10247" s="1"/>
    </row>
    <row r="10248" spans="7:14" x14ac:dyDescent="0.3">
      <c r="G10248" s="1"/>
      <c r="N10248" s="1"/>
    </row>
    <row r="10249" spans="7:14" x14ac:dyDescent="0.3">
      <c r="G10249" s="1"/>
      <c r="N10249" s="1"/>
    </row>
    <row r="10250" spans="7:14" x14ac:dyDescent="0.3">
      <c r="G10250" s="1"/>
      <c r="N10250" s="1"/>
    </row>
    <row r="10251" spans="7:14" x14ac:dyDescent="0.3">
      <c r="G10251" s="1"/>
      <c r="N10251" s="1"/>
    </row>
    <row r="10252" spans="7:14" x14ac:dyDescent="0.3">
      <c r="G10252" s="1"/>
      <c r="N10252" s="1"/>
    </row>
    <row r="10253" spans="7:14" x14ac:dyDescent="0.3">
      <c r="G10253" s="1"/>
      <c r="N10253" s="1"/>
    </row>
    <row r="10254" spans="7:14" x14ac:dyDescent="0.3">
      <c r="G10254" s="1"/>
      <c r="N10254" s="1"/>
    </row>
    <row r="10255" spans="7:14" x14ac:dyDescent="0.3">
      <c r="G10255" s="1"/>
      <c r="N10255" s="1"/>
    </row>
    <row r="10256" spans="7:14" x14ac:dyDescent="0.3">
      <c r="G10256" s="1"/>
      <c r="N10256" s="1"/>
    </row>
    <row r="10257" spans="7:14" x14ac:dyDescent="0.3">
      <c r="G10257" s="1"/>
      <c r="N10257" s="1"/>
    </row>
    <row r="10258" spans="7:14" x14ac:dyDescent="0.3">
      <c r="G10258" s="1"/>
      <c r="N10258" s="1"/>
    </row>
    <row r="10259" spans="7:14" x14ac:dyDescent="0.3">
      <c r="G10259" s="1"/>
      <c r="N10259" s="1"/>
    </row>
    <row r="10260" spans="7:14" x14ac:dyDescent="0.3">
      <c r="G10260" s="1"/>
      <c r="N10260" s="1"/>
    </row>
    <row r="10261" spans="7:14" x14ac:dyDescent="0.3">
      <c r="G10261" s="1"/>
      <c r="N10261" s="1"/>
    </row>
    <row r="10262" spans="7:14" x14ac:dyDescent="0.3">
      <c r="G10262" s="1"/>
      <c r="N10262" s="1"/>
    </row>
    <row r="10263" spans="7:14" x14ac:dyDescent="0.3">
      <c r="G10263" s="1"/>
      <c r="N10263" s="1"/>
    </row>
    <row r="10264" spans="7:14" x14ac:dyDescent="0.3">
      <c r="G10264" s="1"/>
      <c r="N10264" s="1"/>
    </row>
    <row r="10265" spans="7:14" x14ac:dyDescent="0.3">
      <c r="G10265" s="1"/>
      <c r="N10265" s="1"/>
    </row>
    <row r="10266" spans="7:14" x14ac:dyDescent="0.3">
      <c r="G10266" s="1"/>
      <c r="N10266" s="1"/>
    </row>
    <row r="10267" spans="7:14" x14ac:dyDescent="0.3">
      <c r="G10267" s="1"/>
      <c r="N10267" s="1"/>
    </row>
    <row r="10268" spans="7:14" x14ac:dyDescent="0.3">
      <c r="G10268" s="1"/>
      <c r="N10268" s="1"/>
    </row>
    <row r="10269" spans="7:14" x14ac:dyDescent="0.3">
      <c r="G10269" s="1"/>
      <c r="N10269" s="1"/>
    </row>
    <row r="10270" spans="7:14" x14ac:dyDescent="0.3">
      <c r="G10270" s="1"/>
      <c r="N10270" s="1"/>
    </row>
    <row r="10271" spans="7:14" x14ac:dyDescent="0.3">
      <c r="G10271" s="1"/>
      <c r="N10271" s="1"/>
    </row>
    <row r="10272" spans="7:14" x14ac:dyDescent="0.3">
      <c r="G10272" s="1"/>
      <c r="N10272" s="1"/>
    </row>
    <row r="10273" spans="7:14" x14ac:dyDescent="0.3">
      <c r="G10273" s="1"/>
      <c r="N10273" s="1"/>
    </row>
    <row r="10274" spans="7:14" x14ac:dyDescent="0.3">
      <c r="G10274" s="1"/>
      <c r="N10274" s="1"/>
    </row>
    <row r="10275" spans="7:14" x14ac:dyDescent="0.3">
      <c r="G10275" s="1"/>
      <c r="N10275" s="1"/>
    </row>
    <row r="10276" spans="7:14" x14ac:dyDescent="0.3">
      <c r="G10276" s="1"/>
      <c r="N10276" s="1"/>
    </row>
    <row r="10277" spans="7:14" x14ac:dyDescent="0.3">
      <c r="G10277" s="1"/>
      <c r="N10277" s="1"/>
    </row>
    <row r="10278" spans="7:14" x14ac:dyDescent="0.3">
      <c r="G10278" s="1"/>
      <c r="N10278" s="1"/>
    </row>
    <row r="10279" spans="7:14" x14ac:dyDescent="0.3">
      <c r="G10279" s="1"/>
      <c r="N10279" s="1"/>
    </row>
    <row r="10280" spans="7:14" x14ac:dyDescent="0.3">
      <c r="G10280" s="1"/>
      <c r="N10280" s="1"/>
    </row>
    <row r="10281" spans="7:14" x14ac:dyDescent="0.3">
      <c r="G10281" s="1"/>
      <c r="N10281" s="1"/>
    </row>
    <row r="10282" spans="7:14" x14ac:dyDescent="0.3">
      <c r="G10282" s="1"/>
      <c r="N10282" s="1"/>
    </row>
    <row r="10283" spans="7:14" x14ac:dyDescent="0.3">
      <c r="G10283" s="1"/>
      <c r="N10283" s="1"/>
    </row>
    <row r="10284" spans="7:14" x14ac:dyDescent="0.3">
      <c r="G10284" s="1"/>
      <c r="N10284" s="1"/>
    </row>
    <row r="10285" spans="7:14" x14ac:dyDescent="0.3">
      <c r="G10285" s="1"/>
      <c r="N10285" s="1"/>
    </row>
    <row r="10286" spans="7:14" x14ac:dyDescent="0.3">
      <c r="G10286" s="1"/>
      <c r="N10286" s="1"/>
    </row>
    <row r="10287" spans="7:14" x14ac:dyDescent="0.3">
      <c r="G10287" s="1"/>
      <c r="N10287" s="1"/>
    </row>
    <row r="10288" spans="7:14" x14ac:dyDescent="0.3">
      <c r="G10288" s="1"/>
      <c r="N10288" s="1"/>
    </row>
    <row r="10289" spans="7:14" x14ac:dyDescent="0.3">
      <c r="G10289" s="1"/>
      <c r="N10289" s="1"/>
    </row>
    <row r="10290" spans="7:14" x14ac:dyDescent="0.3">
      <c r="G10290" s="1"/>
      <c r="N10290" s="1"/>
    </row>
    <row r="10291" spans="7:14" x14ac:dyDescent="0.3">
      <c r="G10291" s="1"/>
      <c r="N10291" s="1"/>
    </row>
    <row r="10292" spans="7:14" x14ac:dyDescent="0.3">
      <c r="G10292" s="1"/>
      <c r="N10292" s="1"/>
    </row>
    <row r="10293" spans="7:14" x14ac:dyDescent="0.3">
      <c r="G10293" s="1"/>
      <c r="N10293" s="1"/>
    </row>
    <row r="10294" spans="7:14" x14ac:dyDescent="0.3">
      <c r="G10294" s="1"/>
      <c r="N10294" s="1"/>
    </row>
    <row r="10295" spans="7:14" x14ac:dyDescent="0.3">
      <c r="G10295" s="1"/>
      <c r="N10295" s="1"/>
    </row>
    <row r="10296" spans="7:14" x14ac:dyDescent="0.3">
      <c r="G10296" s="1"/>
      <c r="N10296" s="1"/>
    </row>
    <row r="10297" spans="7:14" x14ac:dyDescent="0.3">
      <c r="G10297" s="1"/>
      <c r="N10297" s="1"/>
    </row>
    <row r="10298" spans="7:14" x14ac:dyDescent="0.3">
      <c r="G10298" s="1"/>
      <c r="N10298" s="1"/>
    </row>
    <row r="10299" spans="7:14" x14ac:dyDescent="0.3">
      <c r="G10299" s="1"/>
      <c r="N10299" s="1"/>
    </row>
    <row r="10300" spans="7:14" x14ac:dyDescent="0.3">
      <c r="G10300" s="1"/>
      <c r="N10300" s="1"/>
    </row>
    <row r="10301" spans="7:14" x14ac:dyDescent="0.3">
      <c r="G10301" s="1"/>
      <c r="N10301" s="1"/>
    </row>
    <row r="10302" spans="7:14" x14ac:dyDescent="0.3">
      <c r="G10302" s="1"/>
      <c r="N10302" s="1"/>
    </row>
    <row r="10303" spans="7:14" x14ac:dyDescent="0.3">
      <c r="G10303" s="1"/>
      <c r="N10303" s="1"/>
    </row>
    <row r="10304" spans="7:14" x14ac:dyDescent="0.3">
      <c r="G10304" s="1"/>
      <c r="N10304" s="1"/>
    </row>
    <row r="10305" spans="7:14" x14ac:dyDescent="0.3">
      <c r="G10305" s="1"/>
      <c r="N10305" s="1"/>
    </row>
    <row r="10306" spans="7:14" x14ac:dyDescent="0.3">
      <c r="G10306" s="1"/>
      <c r="N10306" s="1"/>
    </row>
    <row r="10307" spans="7:14" x14ac:dyDescent="0.3">
      <c r="G10307" s="1"/>
      <c r="N10307" s="1"/>
    </row>
    <row r="10308" spans="7:14" x14ac:dyDescent="0.3">
      <c r="G10308" s="1"/>
      <c r="N10308" s="1"/>
    </row>
    <row r="10309" spans="7:14" x14ac:dyDescent="0.3">
      <c r="G10309" s="1"/>
      <c r="N10309" s="1"/>
    </row>
    <row r="10310" spans="7:14" x14ac:dyDescent="0.3">
      <c r="G10310" s="1"/>
      <c r="N10310" s="1"/>
    </row>
    <row r="10311" spans="7:14" x14ac:dyDescent="0.3">
      <c r="G10311" s="1"/>
      <c r="N10311" s="1"/>
    </row>
    <row r="10312" spans="7:14" x14ac:dyDescent="0.3">
      <c r="G10312" s="1"/>
      <c r="N10312" s="1"/>
    </row>
    <row r="10313" spans="7:14" x14ac:dyDescent="0.3">
      <c r="G10313" s="1"/>
      <c r="N10313" s="1"/>
    </row>
    <row r="10314" spans="7:14" x14ac:dyDescent="0.3">
      <c r="G10314" s="1"/>
      <c r="N10314" s="1"/>
    </row>
    <row r="10315" spans="7:14" x14ac:dyDescent="0.3">
      <c r="G10315" s="1"/>
      <c r="N10315" s="1"/>
    </row>
    <row r="10316" spans="7:14" x14ac:dyDescent="0.3">
      <c r="G10316" s="1"/>
      <c r="N10316" s="1"/>
    </row>
    <row r="10317" spans="7:14" x14ac:dyDescent="0.3">
      <c r="G10317" s="1"/>
      <c r="N10317" s="1"/>
    </row>
    <row r="10318" spans="7:14" x14ac:dyDescent="0.3">
      <c r="G10318" s="1"/>
      <c r="N10318" s="1"/>
    </row>
    <row r="10319" spans="7:14" x14ac:dyDescent="0.3">
      <c r="G10319" s="1"/>
      <c r="N10319" s="1"/>
    </row>
    <row r="10320" spans="7:14" x14ac:dyDescent="0.3">
      <c r="G10320" s="1"/>
      <c r="N10320" s="1"/>
    </row>
    <row r="10321" spans="7:14" x14ac:dyDescent="0.3">
      <c r="G10321" s="1"/>
      <c r="N10321" s="1"/>
    </row>
    <row r="10322" spans="7:14" x14ac:dyDescent="0.3">
      <c r="G10322" s="1"/>
      <c r="N10322" s="1"/>
    </row>
    <row r="10323" spans="7:14" x14ac:dyDescent="0.3">
      <c r="G10323" s="1"/>
      <c r="N10323" s="1"/>
    </row>
    <row r="10324" spans="7:14" x14ac:dyDescent="0.3">
      <c r="G10324" s="1"/>
      <c r="N10324" s="1"/>
    </row>
    <row r="10325" spans="7:14" x14ac:dyDescent="0.3">
      <c r="G10325" s="1"/>
      <c r="N10325" s="1"/>
    </row>
    <row r="10326" spans="7:14" x14ac:dyDescent="0.3">
      <c r="G10326" s="1"/>
      <c r="N10326" s="1"/>
    </row>
    <row r="10327" spans="7:14" x14ac:dyDescent="0.3">
      <c r="G10327" s="1"/>
      <c r="N10327" s="1"/>
    </row>
    <row r="10328" spans="7:14" x14ac:dyDescent="0.3">
      <c r="G10328" s="1"/>
      <c r="N10328" s="1"/>
    </row>
    <row r="10329" spans="7:14" x14ac:dyDescent="0.3">
      <c r="G10329" s="1"/>
      <c r="N10329" s="1"/>
    </row>
    <row r="10330" spans="7:14" x14ac:dyDescent="0.3">
      <c r="G10330" s="1"/>
      <c r="N10330" s="1"/>
    </row>
    <row r="10331" spans="7:14" x14ac:dyDescent="0.3">
      <c r="G10331" s="1"/>
      <c r="N10331" s="1"/>
    </row>
    <row r="10332" spans="7:14" x14ac:dyDescent="0.3">
      <c r="G10332" s="1"/>
      <c r="N10332" s="1"/>
    </row>
    <row r="10333" spans="7:14" x14ac:dyDescent="0.3">
      <c r="G10333" s="1"/>
      <c r="N10333" s="1"/>
    </row>
    <row r="10334" spans="7:14" x14ac:dyDescent="0.3">
      <c r="G10334" s="1"/>
      <c r="N10334" s="1"/>
    </row>
    <row r="10335" spans="7:14" x14ac:dyDescent="0.3">
      <c r="G10335" s="1"/>
      <c r="N10335" s="1"/>
    </row>
    <row r="10336" spans="7:14" x14ac:dyDescent="0.3">
      <c r="G10336" s="1"/>
      <c r="N10336" s="1"/>
    </row>
    <row r="10337" spans="7:14" x14ac:dyDescent="0.3">
      <c r="G10337" s="1"/>
      <c r="N10337" s="1"/>
    </row>
    <row r="10338" spans="7:14" x14ac:dyDescent="0.3">
      <c r="G10338" s="1"/>
      <c r="N10338" s="1"/>
    </row>
    <row r="10339" spans="7:14" x14ac:dyDescent="0.3">
      <c r="G10339" s="1"/>
      <c r="N10339" s="1"/>
    </row>
    <row r="10340" spans="7:14" x14ac:dyDescent="0.3">
      <c r="G10340" s="1"/>
      <c r="N10340" s="1"/>
    </row>
    <row r="10341" spans="7:14" x14ac:dyDescent="0.3">
      <c r="G10341" s="1"/>
      <c r="N10341" s="1"/>
    </row>
    <row r="10342" spans="7:14" x14ac:dyDescent="0.3">
      <c r="G10342" s="1"/>
      <c r="N10342" s="1"/>
    </row>
    <row r="10343" spans="7:14" x14ac:dyDescent="0.3">
      <c r="G10343" s="1"/>
      <c r="N10343" s="1"/>
    </row>
    <row r="10344" spans="7:14" x14ac:dyDescent="0.3">
      <c r="G10344" s="1"/>
      <c r="N10344" s="1"/>
    </row>
    <row r="10345" spans="7:14" x14ac:dyDescent="0.3">
      <c r="G10345" s="1"/>
      <c r="N10345" s="1"/>
    </row>
    <row r="10346" spans="7:14" x14ac:dyDescent="0.3">
      <c r="G10346" s="1"/>
      <c r="N10346" s="1"/>
    </row>
    <row r="10347" spans="7:14" x14ac:dyDescent="0.3">
      <c r="G10347" s="1"/>
      <c r="N10347" s="1"/>
    </row>
    <row r="10348" spans="7:14" x14ac:dyDescent="0.3">
      <c r="G10348" s="1"/>
      <c r="N10348" s="1"/>
    </row>
    <row r="10349" spans="7:14" x14ac:dyDescent="0.3">
      <c r="G10349" s="1"/>
      <c r="N10349" s="1"/>
    </row>
    <row r="10350" spans="7:14" x14ac:dyDescent="0.3">
      <c r="G10350" s="1"/>
      <c r="N10350" s="1"/>
    </row>
    <row r="10351" spans="7:14" x14ac:dyDescent="0.3">
      <c r="G10351" s="1"/>
      <c r="N10351" s="1"/>
    </row>
    <row r="10352" spans="7:14" x14ac:dyDescent="0.3">
      <c r="G10352" s="1"/>
      <c r="N10352" s="1"/>
    </row>
    <row r="10353" spans="7:14" x14ac:dyDescent="0.3">
      <c r="G10353" s="1"/>
      <c r="N10353" s="1"/>
    </row>
    <row r="10354" spans="7:14" x14ac:dyDescent="0.3">
      <c r="G10354" s="1"/>
      <c r="N10354" s="1"/>
    </row>
    <row r="10355" spans="7:14" x14ac:dyDescent="0.3">
      <c r="G10355" s="1"/>
      <c r="N10355" s="1"/>
    </row>
    <row r="10356" spans="7:14" x14ac:dyDescent="0.3">
      <c r="G10356" s="1"/>
      <c r="N10356" s="1"/>
    </row>
    <row r="10357" spans="7:14" x14ac:dyDescent="0.3">
      <c r="G10357" s="1"/>
      <c r="N10357" s="1"/>
    </row>
    <row r="10358" spans="7:14" x14ac:dyDescent="0.3">
      <c r="G10358" s="1"/>
      <c r="N10358" s="1"/>
    </row>
    <row r="10359" spans="7:14" x14ac:dyDescent="0.3">
      <c r="G10359" s="1"/>
      <c r="N10359" s="1"/>
    </row>
    <row r="10360" spans="7:14" x14ac:dyDescent="0.3">
      <c r="G10360" s="1"/>
      <c r="N10360" s="1"/>
    </row>
    <row r="10361" spans="7:14" x14ac:dyDescent="0.3">
      <c r="G10361" s="1"/>
      <c r="N10361" s="1"/>
    </row>
    <row r="10362" spans="7:14" x14ac:dyDescent="0.3">
      <c r="G10362" s="1"/>
      <c r="N10362" s="1"/>
    </row>
    <row r="10363" spans="7:14" x14ac:dyDescent="0.3">
      <c r="G10363" s="1"/>
      <c r="N10363" s="1"/>
    </row>
    <row r="10364" spans="7:14" x14ac:dyDescent="0.3">
      <c r="G10364" s="1"/>
      <c r="N10364" s="1"/>
    </row>
    <row r="10365" spans="7:14" x14ac:dyDescent="0.3">
      <c r="G10365" s="1"/>
      <c r="N10365" s="1"/>
    </row>
    <row r="10366" spans="7:14" x14ac:dyDescent="0.3">
      <c r="G10366" s="1"/>
      <c r="N10366" s="1"/>
    </row>
    <row r="10367" spans="7:14" x14ac:dyDescent="0.3">
      <c r="G10367" s="1"/>
      <c r="N10367" s="1"/>
    </row>
    <row r="10368" spans="7:14" x14ac:dyDescent="0.3">
      <c r="G10368" s="1"/>
      <c r="N10368" s="1"/>
    </row>
    <row r="10369" spans="7:14" x14ac:dyDescent="0.3">
      <c r="G10369" s="1"/>
      <c r="N10369" s="1"/>
    </row>
    <row r="10370" spans="7:14" x14ac:dyDescent="0.3">
      <c r="G10370" s="1"/>
      <c r="N10370" s="1"/>
    </row>
    <row r="10371" spans="7:14" x14ac:dyDescent="0.3">
      <c r="G10371" s="1"/>
      <c r="N10371" s="1"/>
    </row>
    <row r="10372" spans="7:14" x14ac:dyDescent="0.3">
      <c r="G10372" s="1"/>
      <c r="N10372" s="1"/>
    </row>
    <row r="10373" spans="7:14" x14ac:dyDescent="0.3">
      <c r="G10373" s="1"/>
      <c r="N10373" s="1"/>
    </row>
    <row r="10374" spans="7:14" x14ac:dyDescent="0.3">
      <c r="G10374" s="1"/>
      <c r="N10374" s="1"/>
    </row>
    <row r="10375" spans="7:14" x14ac:dyDescent="0.3">
      <c r="G10375" s="1"/>
      <c r="N10375" s="1"/>
    </row>
    <row r="10376" spans="7:14" x14ac:dyDescent="0.3">
      <c r="G10376" s="1"/>
      <c r="N10376" s="1"/>
    </row>
    <row r="10377" spans="7:14" x14ac:dyDescent="0.3">
      <c r="G10377" s="1"/>
      <c r="N10377" s="1"/>
    </row>
    <row r="10378" spans="7:14" x14ac:dyDescent="0.3">
      <c r="G10378" s="1"/>
      <c r="N10378" s="1"/>
    </row>
    <row r="10379" spans="7:14" x14ac:dyDescent="0.3">
      <c r="G10379" s="1"/>
      <c r="N10379" s="1"/>
    </row>
    <row r="10380" spans="7:14" x14ac:dyDescent="0.3">
      <c r="G10380" s="1"/>
      <c r="N10380" s="1"/>
    </row>
    <row r="10381" spans="7:14" x14ac:dyDescent="0.3">
      <c r="G10381" s="1"/>
      <c r="N10381" s="1"/>
    </row>
    <row r="10382" spans="7:14" x14ac:dyDescent="0.3">
      <c r="G10382" s="1"/>
      <c r="N10382" s="1"/>
    </row>
    <row r="10383" spans="7:14" x14ac:dyDescent="0.3">
      <c r="G10383" s="1"/>
      <c r="N10383" s="1"/>
    </row>
    <row r="10384" spans="7:14" x14ac:dyDescent="0.3">
      <c r="G10384" s="1"/>
      <c r="N10384" s="1"/>
    </row>
    <row r="10385" spans="7:14" x14ac:dyDescent="0.3">
      <c r="G10385" s="1"/>
      <c r="N10385" s="1"/>
    </row>
    <row r="10386" spans="7:14" x14ac:dyDescent="0.3">
      <c r="G10386" s="1"/>
      <c r="N10386" s="1"/>
    </row>
    <row r="10387" spans="7:14" x14ac:dyDescent="0.3">
      <c r="G10387" s="1"/>
      <c r="N10387" s="1"/>
    </row>
    <row r="10388" spans="7:14" x14ac:dyDescent="0.3">
      <c r="G10388" s="1"/>
      <c r="N10388" s="1"/>
    </row>
    <row r="10389" spans="7:14" x14ac:dyDescent="0.3">
      <c r="G10389" s="1"/>
      <c r="N10389" s="1"/>
    </row>
    <row r="10390" spans="7:14" x14ac:dyDescent="0.3">
      <c r="G10390" s="1"/>
      <c r="N10390" s="1"/>
    </row>
    <row r="10391" spans="7:14" x14ac:dyDescent="0.3">
      <c r="G10391" s="1"/>
      <c r="N10391" s="1"/>
    </row>
    <row r="10392" spans="7:14" x14ac:dyDescent="0.3">
      <c r="G10392" s="1"/>
      <c r="N10392" s="1"/>
    </row>
    <row r="10393" spans="7:14" x14ac:dyDescent="0.3">
      <c r="G10393" s="1"/>
      <c r="N10393" s="1"/>
    </row>
    <row r="10394" spans="7:14" x14ac:dyDescent="0.3">
      <c r="G10394" s="1"/>
      <c r="N10394" s="1"/>
    </row>
    <row r="10395" spans="7:14" x14ac:dyDescent="0.3">
      <c r="G10395" s="1"/>
      <c r="N10395" s="1"/>
    </row>
    <row r="10396" spans="7:14" x14ac:dyDescent="0.3">
      <c r="G10396" s="1"/>
      <c r="N10396" s="1"/>
    </row>
    <row r="10397" spans="7:14" x14ac:dyDescent="0.3">
      <c r="G10397" s="1"/>
      <c r="N10397" s="1"/>
    </row>
    <row r="10398" spans="7:14" x14ac:dyDescent="0.3">
      <c r="G10398" s="1"/>
      <c r="N10398" s="1"/>
    </row>
    <row r="10399" spans="7:14" x14ac:dyDescent="0.3">
      <c r="G10399" s="1"/>
      <c r="N10399" s="1"/>
    </row>
    <row r="10400" spans="7:14" x14ac:dyDescent="0.3">
      <c r="G10400" s="1"/>
      <c r="N10400" s="1"/>
    </row>
    <row r="10401" spans="7:14" x14ac:dyDescent="0.3">
      <c r="G10401" s="1"/>
      <c r="N10401" s="1"/>
    </row>
    <row r="10402" spans="7:14" x14ac:dyDescent="0.3">
      <c r="G10402" s="1"/>
      <c r="N10402" s="1"/>
    </row>
    <row r="10403" spans="7:14" x14ac:dyDescent="0.3">
      <c r="G10403" s="1"/>
      <c r="N10403" s="1"/>
    </row>
    <row r="10404" spans="7:14" x14ac:dyDescent="0.3">
      <c r="G10404" s="1"/>
      <c r="N10404" s="1"/>
    </row>
    <row r="10405" spans="7:14" x14ac:dyDescent="0.3">
      <c r="G10405" s="1"/>
      <c r="N10405" s="1"/>
    </row>
    <row r="10406" spans="7:14" x14ac:dyDescent="0.3">
      <c r="G10406" s="1"/>
      <c r="N10406" s="1"/>
    </row>
    <row r="10407" spans="7:14" x14ac:dyDescent="0.3">
      <c r="G10407" s="1"/>
      <c r="N10407" s="1"/>
    </row>
    <row r="10408" spans="7:14" x14ac:dyDescent="0.3">
      <c r="G10408" s="1"/>
      <c r="N10408" s="1"/>
    </row>
    <row r="10409" spans="7:14" x14ac:dyDescent="0.3">
      <c r="G10409" s="1"/>
      <c r="N10409" s="1"/>
    </row>
    <row r="10410" spans="7:14" x14ac:dyDescent="0.3">
      <c r="G10410" s="1"/>
      <c r="N10410" s="1"/>
    </row>
    <row r="10411" spans="7:14" x14ac:dyDescent="0.3">
      <c r="G10411" s="1"/>
      <c r="N10411" s="1"/>
    </row>
    <row r="10412" spans="7:14" x14ac:dyDescent="0.3">
      <c r="G10412" s="1"/>
      <c r="N10412" s="1"/>
    </row>
    <row r="10413" spans="7:14" x14ac:dyDescent="0.3">
      <c r="G10413" s="1"/>
      <c r="N10413" s="1"/>
    </row>
    <row r="10414" spans="7:14" x14ac:dyDescent="0.3">
      <c r="G10414" s="1"/>
      <c r="N10414" s="1"/>
    </row>
    <row r="10415" spans="7:14" x14ac:dyDescent="0.3">
      <c r="G10415" s="1"/>
      <c r="N10415" s="1"/>
    </row>
    <row r="10416" spans="7:14" x14ac:dyDescent="0.3">
      <c r="G10416" s="1"/>
      <c r="N10416" s="1"/>
    </row>
    <row r="10417" spans="7:14" x14ac:dyDescent="0.3">
      <c r="G10417" s="1"/>
      <c r="N10417" s="1"/>
    </row>
    <row r="10418" spans="7:14" x14ac:dyDescent="0.3">
      <c r="G10418" s="1"/>
      <c r="N10418" s="1"/>
    </row>
    <row r="10419" spans="7:14" x14ac:dyDescent="0.3">
      <c r="G10419" s="1"/>
      <c r="N10419" s="1"/>
    </row>
    <row r="10420" spans="7:14" x14ac:dyDescent="0.3">
      <c r="G10420" s="1"/>
      <c r="N10420" s="1"/>
    </row>
    <row r="10421" spans="7:14" x14ac:dyDescent="0.3">
      <c r="G10421" s="1"/>
      <c r="N10421" s="1"/>
    </row>
    <row r="10422" spans="7:14" x14ac:dyDescent="0.3">
      <c r="G10422" s="1"/>
      <c r="N10422" s="1"/>
    </row>
    <row r="10423" spans="7:14" x14ac:dyDescent="0.3">
      <c r="G10423" s="1"/>
      <c r="N10423" s="1"/>
    </row>
    <row r="10424" spans="7:14" x14ac:dyDescent="0.3">
      <c r="G10424" s="1"/>
      <c r="N10424" s="1"/>
    </row>
    <row r="10425" spans="7:14" x14ac:dyDescent="0.3">
      <c r="G10425" s="1"/>
      <c r="N10425" s="1"/>
    </row>
    <row r="10426" spans="7:14" x14ac:dyDescent="0.3">
      <c r="G10426" s="1"/>
      <c r="N10426" s="1"/>
    </row>
    <row r="10427" spans="7:14" x14ac:dyDescent="0.3">
      <c r="G10427" s="1"/>
      <c r="N10427" s="1"/>
    </row>
    <row r="10428" spans="7:14" x14ac:dyDescent="0.3">
      <c r="G10428" s="1"/>
      <c r="N10428" s="1"/>
    </row>
    <row r="10429" spans="7:14" x14ac:dyDescent="0.3">
      <c r="G10429" s="1"/>
      <c r="N10429" s="1"/>
    </row>
    <row r="10430" spans="7:14" x14ac:dyDescent="0.3">
      <c r="G10430" s="1"/>
      <c r="N10430" s="1"/>
    </row>
    <row r="10431" spans="7:14" x14ac:dyDescent="0.3">
      <c r="G10431" s="1"/>
      <c r="N10431" s="1"/>
    </row>
    <row r="10432" spans="7:14" x14ac:dyDescent="0.3">
      <c r="G10432" s="1"/>
      <c r="N10432" s="1"/>
    </row>
    <row r="10433" spans="7:14" x14ac:dyDescent="0.3">
      <c r="G10433" s="1"/>
      <c r="N10433" s="1"/>
    </row>
    <row r="10434" spans="7:14" x14ac:dyDescent="0.3">
      <c r="G10434" s="1"/>
      <c r="N10434" s="1"/>
    </row>
    <row r="10435" spans="7:14" x14ac:dyDescent="0.3">
      <c r="G10435" s="1"/>
      <c r="N10435" s="1"/>
    </row>
    <row r="10436" spans="7:14" x14ac:dyDescent="0.3">
      <c r="G10436" s="1"/>
      <c r="N10436" s="1"/>
    </row>
    <row r="10437" spans="7:14" x14ac:dyDescent="0.3">
      <c r="G10437" s="1"/>
      <c r="N10437" s="1"/>
    </row>
    <row r="10438" spans="7:14" x14ac:dyDescent="0.3">
      <c r="G10438" s="1"/>
      <c r="N10438" s="1"/>
    </row>
    <row r="10439" spans="7:14" x14ac:dyDescent="0.3">
      <c r="G10439" s="1"/>
      <c r="N10439" s="1"/>
    </row>
    <row r="10440" spans="7:14" x14ac:dyDescent="0.3">
      <c r="G10440" s="1"/>
      <c r="N10440" s="1"/>
    </row>
    <row r="10441" spans="7:14" x14ac:dyDescent="0.3">
      <c r="G10441" s="1"/>
      <c r="N10441" s="1"/>
    </row>
    <row r="10442" spans="7:14" x14ac:dyDescent="0.3">
      <c r="G10442" s="1"/>
      <c r="N10442" s="1"/>
    </row>
    <row r="10443" spans="7:14" x14ac:dyDescent="0.3">
      <c r="G10443" s="1"/>
      <c r="N10443" s="1"/>
    </row>
    <row r="10444" spans="7:14" x14ac:dyDescent="0.3">
      <c r="G10444" s="1"/>
      <c r="N10444" s="1"/>
    </row>
    <row r="10445" spans="7:14" x14ac:dyDescent="0.3">
      <c r="G10445" s="1"/>
      <c r="N10445" s="1"/>
    </row>
    <row r="10446" spans="7:14" x14ac:dyDescent="0.3">
      <c r="G10446" s="1"/>
      <c r="N10446" s="1"/>
    </row>
    <row r="10447" spans="7:14" x14ac:dyDescent="0.3">
      <c r="G10447" s="1"/>
      <c r="N10447" s="1"/>
    </row>
    <row r="10448" spans="7:14" x14ac:dyDescent="0.3">
      <c r="G10448" s="1"/>
      <c r="N10448" s="1"/>
    </row>
    <row r="10449" spans="7:14" x14ac:dyDescent="0.3">
      <c r="G10449" s="1"/>
      <c r="N10449" s="1"/>
    </row>
    <row r="10450" spans="7:14" x14ac:dyDescent="0.3">
      <c r="G10450" s="1"/>
      <c r="N10450" s="1"/>
    </row>
    <row r="10451" spans="7:14" x14ac:dyDescent="0.3">
      <c r="G10451" s="1"/>
      <c r="N10451" s="1"/>
    </row>
    <row r="10452" spans="7:14" x14ac:dyDescent="0.3">
      <c r="G10452" s="1"/>
      <c r="N10452" s="1"/>
    </row>
    <row r="10453" spans="7:14" x14ac:dyDescent="0.3">
      <c r="G10453" s="1"/>
      <c r="N10453" s="1"/>
    </row>
    <row r="10454" spans="7:14" x14ac:dyDescent="0.3">
      <c r="G10454" s="1"/>
      <c r="N10454" s="1"/>
    </row>
    <row r="10455" spans="7:14" x14ac:dyDescent="0.3">
      <c r="G10455" s="1"/>
      <c r="N10455" s="1"/>
    </row>
    <row r="10456" spans="7:14" x14ac:dyDescent="0.3">
      <c r="G10456" s="1"/>
      <c r="N10456" s="1"/>
    </row>
    <row r="10457" spans="7:14" x14ac:dyDescent="0.3">
      <c r="G10457" s="1"/>
      <c r="N10457" s="1"/>
    </row>
    <row r="10458" spans="7:14" x14ac:dyDescent="0.3">
      <c r="G10458" s="1"/>
      <c r="N10458" s="1"/>
    </row>
    <row r="10459" spans="7:14" x14ac:dyDescent="0.3">
      <c r="G10459" s="1"/>
      <c r="N10459" s="1"/>
    </row>
    <row r="10460" spans="7:14" x14ac:dyDescent="0.3">
      <c r="G10460" s="1"/>
      <c r="N10460" s="1"/>
    </row>
    <row r="10461" spans="7:14" x14ac:dyDescent="0.3">
      <c r="G10461" s="1"/>
      <c r="N10461" s="1"/>
    </row>
    <row r="10462" spans="7:14" x14ac:dyDescent="0.3">
      <c r="G10462" s="1"/>
      <c r="N10462" s="1"/>
    </row>
    <row r="10463" spans="7:14" x14ac:dyDescent="0.3">
      <c r="G10463" s="1"/>
      <c r="N10463" s="1"/>
    </row>
    <row r="10464" spans="7:14" x14ac:dyDescent="0.3">
      <c r="G10464" s="1"/>
      <c r="N10464" s="1"/>
    </row>
    <row r="10465" spans="7:14" x14ac:dyDescent="0.3">
      <c r="G10465" s="1"/>
      <c r="N10465" s="1"/>
    </row>
    <row r="10466" spans="7:14" x14ac:dyDescent="0.3">
      <c r="G10466" s="1"/>
      <c r="N10466" s="1"/>
    </row>
    <row r="10467" spans="7:14" x14ac:dyDescent="0.3">
      <c r="G10467" s="1"/>
      <c r="N10467" s="1"/>
    </row>
    <row r="10468" spans="7:14" x14ac:dyDescent="0.3">
      <c r="G10468" s="1"/>
      <c r="N10468" s="1"/>
    </row>
    <row r="10469" spans="7:14" x14ac:dyDescent="0.3">
      <c r="G10469" s="1"/>
      <c r="N10469" s="1"/>
    </row>
    <row r="10470" spans="7:14" x14ac:dyDescent="0.3">
      <c r="G10470" s="1"/>
      <c r="N10470" s="1"/>
    </row>
    <row r="10471" spans="7:14" x14ac:dyDescent="0.3">
      <c r="G10471" s="1"/>
      <c r="N10471" s="1"/>
    </row>
    <row r="10472" spans="7:14" x14ac:dyDescent="0.3">
      <c r="G10472" s="1"/>
      <c r="N10472" s="1"/>
    </row>
    <row r="10473" spans="7:14" x14ac:dyDescent="0.3">
      <c r="G10473" s="1"/>
      <c r="N10473" s="1"/>
    </row>
    <row r="10474" spans="7:14" x14ac:dyDescent="0.3">
      <c r="G10474" s="1"/>
      <c r="N10474" s="1"/>
    </row>
    <row r="10475" spans="7:14" x14ac:dyDescent="0.3">
      <c r="G10475" s="1"/>
      <c r="N10475" s="1"/>
    </row>
    <row r="10476" spans="7:14" x14ac:dyDescent="0.3">
      <c r="G10476" s="1"/>
      <c r="N10476" s="1"/>
    </row>
    <row r="10477" spans="7:14" x14ac:dyDescent="0.3">
      <c r="G10477" s="1"/>
      <c r="N10477" s="1"/>
    </row>
    <row r="10478" spans="7:14" x14ac:dyDescent="0.3">
      <c r="G10478" s="1"/>
      <c r="N10478" s="1"/>
    </row>
    <row r="10479" spans="7:14" x14ac:dyDescent="0.3">
      <c r="G10479" s="1"/>
      <c r="N10479" s="1"/>
    </row>
    <row r="10480" spans="7:14" x14ac:dyDescent="0.3">
      <c r="G10480" s="1"/>
      <c r="N10480" s="1"/>
    </row>
    <row r="10481" spans="7:14" x14ac:dyDescent="0.3">
      <c r="G10481" s="1"/>
      <c r="N10481" s="1"/>
    </row>
    <row r="10482" spans="7:14" x14ac:dyDescent="0.3">
      <c r="G10482" s="1"/>
      <c r="N10482" s="1"/>
    </row>
    <row r="10483" spans="7:14" x14ac:dyDescent="0.3">
      <c r="G10483" s="1"/>
      <c r="N10483" s="1"/>
    </row>
    <row r="10484" spans="7:14" x14ac:dyDescent="0.3">
      <c r="G10484" s="1"/>
      <c r="N10484" s="1"/>
    </row>
    <row r="10485" spans="7:14" x14ac:dyDescent="0.3">
      <c r="G10485" s="1"/>
      <c r="N10485" s="1"/>
    </row>
    <row r="10486" spans="7:14" x14ac:dyDescent="0.3">
      <c r="G10486" s="1"/>
      <c r="N10486" s="1"/>
    </row>
    <row r="10487" spans="7:14" x14ac:dyDescent="0.3">
      <c r="G10487" s="1"/>
      <c r="N10487" s="1"/>
    </row>
    <row r="10488" spans="7:14" x14ac:dyDescent="0.3">
      <c r="G10488" s="1"/>
      <c r="N10488" s="1"/>
    </row>
    <row r="10489" spans="7:14" x14ac:dyDescent="0.3">
      <c r="G10489" s="1"/>
      <c r="N10489" s="1"/>
    </row>
    <row r="10490" spans="7:14" x14ac:dyDescent="0.3">
      <c r="G10490" s="1"/>
      <c r="N10490" s="1"/>
    </row>
    <row r="10491" spans="7:14" x14ac:dyDescent="0.3">
      <c r="G10491" s="1"/>
      <c r="N10491" s="1"/>
    </row>
    <row r="10492" spans="7:14" x14ac:dyDescent="0.3">
      <c r="G10492" s="1"/>
      <c r="N10492" s="1"/>
    </row>
    <row r="10493" spans="7:14" x14ac:dyDescent="0.3">
      <c r="G10493" s="1"/>
      <c r="N10493" s="1"/>
    </row>
    <row r="10494" spans="7:14" x14ac:dyDescent="0.3">
      <c r="G10494" s="1"/>
      <c r="N10494" s="1"/>
    </row>
    <row r="10495" spans="7:14" x14ac:dyDescent="0.3">
      <c r="G10495" s="1"/>
      <c r="N10495" s="1"/>
    </row>
    <row r="10496" spans="7:14" x14ac:dyDescent="0.3">
      <c r="G10496" s="1"/>
      <c r="N10496" s="1"/>
    </row>
    <row r="10497" spans="7:14" x14ac:dyDescent="0.3">
      <c r="G10497" s="1"/>
      <c r="N10497" s="1"/>
    </row>
    <row r="10498" spans="7:14" x14ac:dyDescent="0.3">
      <c r="G10498" s="1"/>
      <c r="N10498" s="1"/>
    </row>
    <row r="10499" spans="7:14" x14ac:dyDescent="0.3">
      <c r="G10499" s="1"/>
      <c r="N10499" s="1"/>
    </row>
    <row r="10500" spans="7:14" x14ac:dyDescent="0.3">
      <c r="G10500" s="1"/>
      <c r="N10500" s="1"/>
    </row>
    <row r="10501" spans="7:14" x14ac:dyDescent="0.3">
      <c r="G10501" s="1"/>
      <c r="N10501" s="1"/>
    </row>
    <row r="10502" spans="7:14" x14ac:dyDescent="0.3">
      <c r="G10502" s="1"/>
      <c r="N10502" s="1"/>
    </row>
    <row r="10503" spans="7:14" x14ac:dyDescent="0.3">
      <c r="G10503" s="1"/>
      <c r="N10503" s="1"/>
    </row>
    <row r="10504" spans="7:14" x14ac:dyDescent="0.3">
      <c r="G10504" s="1"/>
      <c r="N10504" s="1"/>
    </row>
    <row r="10505" spans="7:14" x14ac:dyDescent="0.3">
      <c r="G10505" s="1"/>
      <c r="N10505" s="1"/>
    </row>
    <row r="10506" spans="7:14" x14ac:dyDescent="0.3">
      <c r="G10506" s="1"/>
      <c r="N10506" s="1"/>
    </row>
    <row r="10507" spans="7:14" x14ac:dyDescent="0.3">
      <c r="G10507" s="1"/>
      <c r="N10507" s="1"/>
    </row>
    <row r="10508" spans="7:14" x14ac:dyDescent="0.3">
      <c r="G10508" s="1"/>
      <c r="N10508" s="1"/>
    </row>
    <row r="10509" spans="7:14" x14ac:dyDescent="0.3">
      <c r="G10509" s="1"/>
      <c r="N10509" s="1"/>
    </row>
    <row r="10510" spans="7:14" x14ac:dyDescent="0.3">
      <c r="G10510" s="1"/>
      <c r="N10510" s="1"/>
    </row>
    <row r="10511" spans="7:14" x14ac:dyDescent="0.3">
      <c r="G10511" s="1"/>
      <c r="N10511" s="1"/>
    </row>
    <row r="10512" spans="7:14" x14ac:dyDescent="0.3">
      <c r="G10512" s="1"/>
      <c r="N10512" s="1"/>
    </row>
    <row r="10513" spans="7:14" x14ac:dyDescent="0.3">
      <c r="G10513" s="1"/>
      <c r="N10513" s="1"/>
    </row>
    <row r="10514" spans="7:14" x14ac:dyDescent="0.3">
      <c r="G10514" s="1"/>
      <c r="N10514" s="1"/>
    </row>
    <row r="10515" spans="7:14" x14ac:dyDescent="0.3">
      <c r="G10515" s="1"/>
      <c r="N10515" s="1"/>
    </row>
    <row r="10516" spans="7:14" x14ac:dyDescent="0.3">
      <c r="G10516" s="1"/>
      <c r="N10516" s="1"/>
    </row>
    <row r="10517" spans="7:14" x14ac:dyDescent="0.3">
      <c r="G10517" s="1"/>
      <c r="N10517" s="1"/>
    </row>
    <row r="10518" spans="7:14" x14ac:dyDescent="0.3">
      <c r="G10518" s="1"/>
      <c r="N10518" s="1"/>
    </row>
    <row r="10519" spans="7:14" x14ac:dyDescent="0.3">
      <c r="G10519" s="1"/>
      <c r="N10519" s="1"/>
    </row>
    <row r="10520" spans="7:14" x14ac:dyDescent="0.3">
      <c r="G10520" s="1"/>
      <c r="N10520" s="1"/>
    </row>
    <row r="10521" spans="7:14" x14ac:dyDescent="0.3">
      <c r="G10521" s="1"/>
      <c r="N10521" s="1"/>
    </row>
    <row r="10522" spans="7:14" x14ac:dyDescent="0.3">
      <c r="G10522" s="1"/>
      <c r="N10522" s="1"/>
    </row>
    <row r="10523" spans="7:14" x14ac:dyDescent="0.3">
      <c r="G10523" s="1"/>
      <c r="N10523" s="1"/>
    </row>
    <row r="10524" spans="7:14" x14ac:dyDescent="0.3">
      <c r="G10524" s="1"/>
      <c r="N10524" s="1"/>
    </row>
    <row r="10525" spans="7:14" x14ac:dyDescent="0.3">
      <c r="G10525" s="1"/>
      <c r="N10525" s="1"/>
    </row>
    <row r="10526" spans="7:14" x14ac:dyDescent="0.3">
      <c r="G10526" s="1"/>
      <c r="N10526" s="1"/>
    </row>
    <row r="10527" spans="7:14" x14ac:dyDescent="0.3">
      <c r="G10527" s="1"/>
      <c r="N10527" s="1"/>
    </row>
    <row r="10528" spans="7:14" x14ac:dyDescent="0.3">
      <c r="G10528" s="1"/>
      <c r="N10528" s="1"/>
    </row>
    <row r="10529" spans="7:14" x14ac:dyDescent="0.3">
      <c r="G10529" s="1"/>
      <c r="N10529" s="1"/>
    </row>
    <row r="10530" spans="7:14" x14ac:dyDescent="0.3">
      <c r="G10530" s="1"/>
      <c r="N10530" s="1"/>
    </row>
    <row r="10531" spans="7:14" x14ac:dyDescent="0.3">
      <c r="G10531" s="1"/>
      <c r="N10531" s="1"/>
    </row>
    <row r="10532" spans="7:14" x14ac:dyDescent="0.3">
      <c r="G10532" s="1"/>
      <c r="N10532" s="1"/>
    </row>
    <row r="10533" spans="7:14" x14ac:dyDescent="0.3">
      <c r="G10533" s="1"/>
      <c r="N10533" s="1"/>
    </row>
    <row r="10534" spans="7:14" x14ac:dyDescent="0.3">
      <c r="G10534" s="1"/>
      <c r="N10534" s="1"/>
    </row>
    <row r="10535" spans="7:14" x14ac:dyDescent="0.3">
      <c r="G10535" s="1"/>
      <c r="N10535" s="1"/>
    </row>
    <row r="10536" spans="7:14" x14ac:dyDescent="0.3">
      <c r="G10536" s="1"/>
      <c r="N10536" s="1"/>
    </row>
    <row r="10537" spans="7:14" x14ac:dyDescent="0.3">
      <c r="G10537" s="1"/>
      <c r="N10537" s="1"/>
    </row>
    <row r="10538" spans="7:14" x14ac:dyDescent="0.3">
      <c r="G10538" s="1"/>
      <c r="N10538" s="1"/>
    </row>
    <row r="10539" spans="7:14" x14ac:dyDescent="0.3">
      <c r="G10539" s="1"/>
      <c r="N10539" s="1"/>
    </row>
    <row r="10540" spans="7:14" x14ac:dyDescent="0.3">
      <c r="G10540" s="1"/>
      <c r="N10540" s="1"/>
    </row>
    <row r="10541" spans="7:14" x14ac:dyDescent="0.3">
      <c r="G10541" s="1"/>
      <c r="N10541" s="1"/>
    </row>
    <row r="10542" spans="7:14" x14ac:dyDescent="0.3">
      <c r="G10542" s="1"/>
      <c r="N10542" s="1"/>
    </row>
    <row r="10543" spans="7:14" x14ac:dyDescent="0.3">
      <c r="G10543" s="1"/>
      <c r="N10543" s="1"/>
    </row>
    <row r="10544" spans="7:14" x14ac:dyDescent="0.3">
      <c r="G10544" s="1"/>
      <c r="N10544" s="1"/>
    </row>
    <row r="10545" spans="7:14" x14ac:dyDescent="0.3">
      <c r="G10545" s="1"/>
      <c r="N10545" s="1"/>
    </row>
    <row r="10546" spans="7:14" x14ac:dyDescent="0.3">
      <c r="G10546" s="1"/>
      <c r="N10546" s="1"/>
    </row>
    <row r="10547" spans="7:14" x14ac:dyDescent="0.3">
      <c r="G10547" s="1"/>
      <c r="N10547" s="1"/>
    </row>
    <row r="10548" spans="7:14" x14ac:dyDescent="0.3">
      <c r="G10548" s="1"/>
      <c r="N10548" s="1"/>
    </row>
    <row r="10549" spans="7:14" x14ac:dyDescent="0.3">
      <c r="G10549" s="1"/>
      <c r="N10549" s="1"/>
    </row>
    <row r="10550" spans="7:14" x14ac:dyDescent="0.3">
      <c r="G10550" s="1"/>
      <c r="N10550" s="1"/>
    </row>
    <row r="10551" spans="7:14" x14ac:dyDescent="0.3">
      <c r="G10551" s="1"/>
      <c r="N10551" s="1"/>
    </row>
    <row r="10552" spans="7:14" x14ac:dyDescent="0.3">
      <c r="G10552" s="1"/>
      <c r="N10552" s="1"/>
    </row>
    <row r="10553" spans="7:14" x14ac:dyDescent="0.3">
      <c r="G10553" s="1"/>
      <c r="N10553" s="1"/>
    </row>
    <row r="10554" spans="7:14" x14ac:dyDescent="0.3">
      <c r="G10554" s="1"/>
      <c r="N10554" s="1"/>
    </row>
    <row r="10555" spans="7:14" x14ac:dyDescent="0.3">
      <c r="G10555" s="1"/>
      <c r="N10555" s="1"/>
    </row>
    <row r="10556" spans="7:14" x14ac:dyDescent="0.3">
      <c r="G10556" s="1"/>
      <c r="N10556" s="1"/>
    </row>
    <row r="10557" spans="7:14" x14ac:dyDescent="0.3">
      <c r="G10557" s="1"/>
      <c r="N10557" s="1"/>
    </row>
    <row r="10558" spans="7:14" x14ac:dyDescent="0.3">
      <c r="G10558" s="1"/>
      <c r="N10558" s="1"/>
    </row>
    <row r="10559" spans="7:14" x14ac:dyDescent="0.3">
      <c r="G10559" s="1"/>
      <c r="N10559" s="1"/>
    </row>
    <row r="10560" spans="7:14" x14ac:dyDescent="0.3">
      <c r="G10560" s="1"/>
      <c r="N10560" s="1"/>
    </row>
    <row r="10561" spans="7:14" x14ac:dyDescent="0.3">
      <c r="G10561" s="1"/>
      <c r="N10561" s="1"/>
    </row>
    <row r="10562" spans="7:14" x14ac:dyDescent="0.3">
      <c r="G10562" s="1"/>
      <c r="N10562" s="1"/>
    </row>
    <row r="10563" spans="7:14" x14ac:dyDescent="0.3">
      <c r="G10563" s="1"/>
      <c r="N10563" s="1"/>
    </row>
    <row r="10564" spans="7:14" x14ac:dyDescent="0.3">
      <c r="G10564" s="1"/>
      <c r="N10564" s="1"/>
    </row>
    <row r="10565" spans="7:14" x14ac:dyDescent="0.3">
      <c r="G10565" s="1"/>
      <c r="N10565" s="1"/>
    </row>
    <row r="10566" spans="7:14" x14ac:dyDescent="0.3">
      <c r="G10566" s="1"/>
      <c r="N10566" s="1"/>
    </row>
    <row r="10567" spans="7:14" x14ac:dyDescent="0.3">
      <c r="G10567" s="1"/>
      <c r="N10567" s="1"/>
    </row>
    <row r="10568" spans="7:14" x14ac:dyDescent="0.3">
      <c r="G10568" s="1"/>
      <c r="N10568" s="1"/>
    </row>
    <row r="10569" spans="7:14" x14ac:dyDescent="0.3">
      <c r="G10569" s="1"/>
      <c r="N10569" s="1"/>
    </row>
    <row r="10570" spans="7:14" x14ac:dyDescent="0.3">
      <c r="G10570" s="1"/>
      <c r="N10570" s="1"/>
    </row>
    <row r="10571" spans="7:14" x14ac:dyDescent="0.3">
      <c r="G10571" s="1"/>
      <c r="N10571" s="1"/>
    </row>
    <row r="10572" spans="7:14" x14ac:dyDescent="0.3">
      <c r="G10572" s="1"/>
      <c r="N10572" s="1"/>
    </row>
    <row r="10573" spans="7:14" x14ac:dyDescent="0.3">
      <c r="G10573" s="1"/>
      <c r="N10573" s="1"/>
    </row>
    <row r="10574" spans="7:14" x14ac:dyDescent="0.3">
      <c r="G10574" s="1"/>
      <c r="N10574" s="1"/>
    </row>
    <row r="10575" spans="7:14" x14ac:dyDescent="0.3">
      <c r="G10575" s="1"/>
      <c r="N10575" s="1"/>
    </row>
    <row r="10576" spans="7:14" x14ac:dyDescent="0.3">
      <c r="G10576" s="1"/>
      <c r="N10576" s="1"/>
    </row>
    <row r="10577" spans="7:14" x14ac:dyDescent="0.3">
      <c r="G10577" s="1"/>
      <c r="N10577" s="1"/>
    </row>
    <row r="10578" spans="7:14" x14ac:dyDescent="0.3">
      <c r="G10578" s="1"/>
      <c r="N10578" s="1"/>
    </row>
    <row r="10579" spans="7:14" x14ac:dyDescent="0.3">
      <c r="G10579" s="1"/>
      <c r="N10579" s="1"/>
    </row>
    <row r="10580" spans="7:14" x14ac:dyDescent="0.3">
      <c r="G10580" s="1"/>
      <c r="N10580" s="1"/>
    </row>
    <row r="10581" spans="7:14" x14ac:dyDescent="0.3">
      <c r="G10581" s="1"/>
      <c r="N10581" s="1"/>
    </row>
    <row r="10582" spans="7:14" x14ac:dyDescent="0.3">
      <c r="G10582" s="1"/>
      <c r="N10582" s="1"/>
    </row>
    <row r="10583" spans="7:14" x14ac:dyDescent="0.3">
      <c r="G10583" s="1"/>
      <c r="N10583" s="1"/>
    </row>
    <row r="10584" spans="7:14" x14ac:dyDescent="0.3">
      <c r="G10584" s="1"/>
      <c r="N10584" s="1"/>
    </row>
    <row r="10585" spans="7:14" x14ac:dyDescent="0.3">
      <c r="G10585" s="1"/>
      <c r="N10585" s="1"/>
    </row>
    <row r="10586" spans="7:14" x14ac:dyDescent="0.3">
      <c r="G10586" s="1"/>
      <c r="N10586" s="1"/>
    </row>
    <row r="10587" spans="7:14" x14ac:dyDescent="0.3">
      <c r="G10587" s="1"/>
      <c r="N10587" s="1"/>
    </row>
    <row r="10588" spans="7:14" x14ac:dyDescent="0.3">
      <c r="G10588" s="1"/>
      <c r="N10588" s="1"/>
    </row>
    <row r="10589" spans="7:14" x14ac:dyDescent="0.3">
      <c r="G10589" s="1"/>
      <c r="N10589" s="1"/>
    </row>
    <row r="10590" spans="7:14" x14ac:dyDescent="0.3">
      <c r="G10590" s="1"/>
      <c r="N10590" s="1"/>
    </row>
    <row r="10591" spans="7:14" x14ac:dyDescent="0.3">
      <c r="G10591" s="1"/>
      <c r="N10591" s="1"/>
    </row>
    <row r="10592" spans="7:14" x14ac:dyDescent="0.3">
      <c r="G10592" s="1"/>
      <c r="N10592" s="1"/>
    </row>
    <row r="10593" spans="7:14" x14ac:dyDescent="0.3">
      <c r="G10593" s="1"/>
      <c r="N10593" s="1"/>
    </row>
    <row r="10594" spans="7:14" x14ac:dyDescent="0.3">
      <c r="G10594" s="1"/>
      <c r="N10594" s="1"/>
    </row>
    <row r="10595" spans="7:14" x14ac:dyDescent="0.3">
      <c r="G10595" s="1"/>
      <c r="N10595" s="1"/>
    </row>
    <row r="10596" spans="7:14" x14ac:dyDescent="0.3">
      <c r="G10596" s="1"/>
      <c r="N10596" s="1"/>
    </row>
    <row r="10597" spans="7:14" x14ac:dyDescent="0.3">
      <c r="G10597" s="1"/>
      <c r="N10597" s="1"/>
    </row>
    <row r="10598" spans="7:14" x14ac:dyDescent="0.3">
      <c r="G10598" s="1"/>
      <c r="N10598" s="1"/>
    </row>
    <row r="10599" spans="7:14" x14ac:dyDescent="0.3">
      <c r="G10599" s="1"/>
      <c r="N10599" s="1"/>
    </row>
    <row r="10600" spans="7:14" x14ac:dyDescent="0.3">
      <c r="G10600" s="1"/>
      <c r="N10600" s="1"/>
    </row>
    <row r="10601" spans="7:14" x14ac:dyDescent="0.3">
      <c r="G10601" s="1"/>
      <c r="N10601" s="1"/>
    </row>
    <row r="10602" spans="7:14" x14ac:dyDescent="0.3">
      <c r="G10602" s="1"/>
      <c r="N10602" s="1"/>
    </row>
    <row r="10603" spans="7:14" x14ac:dyDescent="0.3">
      <c r="G10603" s="1"/>
      <c r="N10603" s="1"/>
    </row>
    <row r="10604" spans="7:14" x14ac:dyDescent="0.3">
      <c r="G10604" s="1"/>
      <c r="N10604" s="1"/>
    </row>
    <row r="10605" spans="7:14" x14ac:dyDescent="0.3">
      <c r="G10605" s="1"/>
      <c r="N10605" s="1"/>
    </row>
    <row r="10606" spans="7:14" x14ac:dyDescent="0.3">
      <c r="G10606" s="1"/>
      <c r="N10606" s="1"/>
    </row>
    <row r="10607" spans="7:14" x14ac:dyDescent="0.3">
      <c r="G10607" s="1"/>
      <c r="N10607" s="1"/>
    </row>
    <row r="10608" spans="7:14" x14ac:dyDescent="0.3">
      <c r="G10608" s="1"/>
      <c r="N10608" s="1"/>
    </row>
    <row r="10609" spans="7:14" x14ac:dyDescent="0.3">
      <c r="G10609" s="1"/>
      <c r="N10609" s="1"/>
    </row>
    <row r="10610" spans="7:14" x14ac:dyDescent="0.3">
      <c r="G10610" s="1"/>
      <c r="N10610" s="1"/>
    </row>
    <row r="10611" spans="7:14" x14ac:dyDescent="0.3">
      <c r="G10611" s="1"/>
      <c r="N10611" s="1"/>
    </row>
    <row r="10612" spans="7:14" x14ac:dyDescent="0.3">
      <c r="G10612" s="1"/>
      <c r="N10612" s="1"/>
    </row>
    <row r="10613" spans="7:14" x14ac:dyDescent="0.3">
      <c r="G10613" s="1"/>
      <c r="N10613" s="1"/>
    </row>
    <row r="10614" spans="7:14" x14ac:dyDescent="0.3">
      <c r="G10614" s="1"/>
      <c r="N10614" s="1"/>
    </row>
    <row r="10615" spans="7:14" x14ac:dyDescent="0.3">
      <c r="G10615" s="1"/>
      <c r="N10615" s="1"/>
    </row>
    <row r="10616" spans="7:14" x14ac:dyDescent="0.3">
      <c r="G10616" s="1"/>
      <c r="N10616" s="1"/>
    </row>
    <row r="10617" spans="7:14" x14ac:dyDescent="0.3">
      <c r="G10617" s="1"/>
      <c r="N10617" s="1"/>
    </row>
    <row r="10618" spans="7:14" x14ac:dyDescent="0.3">
      <c r="G10618" s="1"/>
      <c r="N10618" s="1"/>
    </row>
    <row r="10619" spans="7:14" x14ac:dyDescent="0.3">
      <c r="G10619" s="1"/>
      <c r="N10619" s="1"/>
    </row>
    <row r="10620" spans="7:14" x14ac:dyDescent="0.3">
      <c r="G10620" s="1"/>
      <c r="N10620" s="1"/>
    </row>
    <row r="10621" spans="7:14" x14ac:dyDescent="0.3">
      <c r="G10621" s="1"/>
      <c r="N10621" s="1"/>
    </row>
    <row r="10622" spans="7:14" x14ac:dyDescent="0.3">
      <c r="G10622" s="1"/>
      <c r="N10622" s="1"/>
    </row>
    <row r="10623" spans="7:14" x14ac:dyDescent="0.3">
      <c r="G10623" s="1"/>
      <c r="N10623" s="1"/>
    </row>
    <row r="10624" spans="7:14" x14ac:dyDescent="0.3">
      <c r="G10624" s="1"/>
      <c r="N10624" s="1"/>
    </row>
    <row r="10625" spans="7:14" x14ac:dyDescent="0.3">
      <c r="G10625" s="1"/>
      <c r="N10625" s="1"/>
    </row>
    <row r="10626" spans="7:14" x14ac:dyDescent="0.3">
      <c r="G10626" s="1"/>
      <c r="N10626" s="1"/>
    </row>
    <row r="10627" spans="7:14" x14ac:dyDescent="0.3">
      <c r="G10627" s="1"/>
      <c r="N10627" s="1"/>
    </row>
    <row r="10628" spans="7:14" x14ac:dyDescent="0.3">
      <c r="G10628" s="1"/>
      <c r="N10628" s="1"/>
    </row>
    <row r="10629" spans="7:14" x14ac:dyDescent="0.3">
      <c r="G10629" s="1"/>
      <c r="N10629" s="1"/>
    </row>
    <row r="10630" spans="7:14" x14ac:dyDescent="0.3">
      <c r="G10630" s="1"/>
      <c r="N10630" s="1"/>
    </row>
    <row r="10631" spans="7:14" x14ac:dyDescent="0.3">
      <c r="G10631" s="1"/>
      <c r="N10631" s="1"/>
    </row>
    <row r="10632" spans="7:14" x14ac:dyDescent="0.3">
      <c r="G10632" s="1"/>
      <c r="N10632" s="1"/>
    </row>
    <row r="10633" spans="7:14" x14ac:dyDescent="0.3">
      <c r="G10633" s="1"/>
      <c r="N10633" s="1"/>
    </row>
    <row r="10634" spans="7:14" x14ac:dyDescent="0.3">
      <c r="G10634" s="1"/>
      <c r="N10634" s="1"/>
    </row>
    <row r="10635" spans="7:14" x14ac:dyDescent="0.3">
      <c r="G10635" s="1"/>
      <c r="N10635" s="1"/>
    </row>
    <row r="10636" spans="7:14" x14ac:dyDescent="0.3">
      <c r="G10636" s="1"/>
      <c r="N10636" s="1"/>
    </row>
    <row r="10637" spans="7:14" x14ac:dyDescent="0.3">
      <c r="G10637" s="1"/>
      <c r="N10637" s="1"/>
    </row>
    <row r="10638" spans="7:14" x14ac:dyDescent="0.3">
      <c r="G10638" s="1"/>
      <c r="N10638" s="1"/>
    </row>
    <row r="10639" spans="7:14" x14ac:dyDescent="0.3">
      <c r="G10639" s="1"/>
      <c r="N10639" s="1"/>
    </row>
    <row r="10640" spans="7:14" x14ac:dyDescent="0.3">
      <c r="G10640" s="1"/>
      <c r="N10640" s="1"/>
    </row>
    <row r="10641" spans="7:14" x14ac:dyDescent="0.3">
      <c r="G10641" s="1"/>
      <c r="N10641" s="1"/>
    </row>
    <row r="10642" spans="7:14" x14ac:dyDescent="0.3">
      <c r="G10642" s="1"/>
      <c r="N10642" s="1"/>
    </row>
    <row r="10643" spans="7:14" x14ac:dyDescent="0.3">
      <c r="G10643" s="1"/>
      <c r="N10643" s="1"/>
    </row>
    <row r="10644" spans="7:14" x14ac:dyDescent="0.3">
      <c r="G10644" s="1"/>
      <c r="N10644" s="1"/>
    </row>
    <row r="10645" spans="7:14" x14ac:dyDescent="0.3">
      <c r="G10645" s="1"/>
      <c r="N10645" s="1"/>
    </row>
    <row r="10646" spans="7:14" x14ac:dyDescent="0.3">
      <c r="G10646" s="1"/>
      <c r="N10646" s="1"/>
    </row>
    <row r="10647" spans="7:14" x14ac:dyDescent="0.3">
      <c r="G10647" s="1"/>
      <c r="N10647" s="1"/>
    </row>
    <row r="10648" spans="7:14" x14ac:dyDescent="0.3">
      <c r="G10648" s="1"/>
      <c r="N10648" s="1"/>
    </row>
    <row r="10649" spans="7:14" x14ac:dyDescent="0.3">
      <c r="G10649" s="1"/>
      <c r="N10649" s="1"/>
    </row>
    <row r="10650" spans="7:14" x14ac:dyDescent="0.3">
      <c r="G10650" s="1"/>
      <c r="N10650" s="1"/>
    </row>
    <row r="10651" spans="7:14" x14ac:dyDescent="0.3">
      <c r="G10651" s="1"/>
      <c r="N10651" s="1"/>
    </row>
    <row r="10652" spans="7:14" x14ac:dyDescent="0.3">
      <c r="G10652" s="1"/>
      <c r="N10652" s="1"/>
    </row>
    <row r="10653" spans="7:14" x14ac:dyDescent="0.3">
      <c r="G10653" s="1"/>
      <c r="N10653" s="1"/>
    </row>
    <row r="10654" spans="7:14" x14ac:dyDescent="0.3">
      <c r="G10654" s="1"/>
      <c r="N10654" s="1"/>
    </row>
    <row r="10655" spans="7:14" x14ac:dyDescent="0.3">
      <c r="G10655" s="1"/>
      <c r="N10655" s="1"/>
    </row>
    <row r="10656" spans="7:14" x14ac:dyDescent="0.3">
      <c r="G10656" s="1"/>
      <c r="N10656" s="1"/>
    </row>
    <row r="10657" spans="7:14" x14ac:dyDescent="0.3">
      <c r="G10657" s="1"/>
      <c r="N10657" s="1"/>
    </row>
    <row r="10658" spans="7:14" x14ac:dyDescent="0.3">
      <c r="G10658" s="1"/>
      <c r="N10658" s="1"/>
    </row>
    <row r="10659" spans="7:14" x14ac:dyDescent="0.3">
      <c r="G10659" s="1"/>
      <c r="N10659" s="1"/>
    </row>
    <row r="10660" spans="7:14" x14ac:dyDescent="0.3">
      <c r="G10660" s="1"/>
      <c r="N10660" s="1"/>
    </row>
    <row r="10661" spans="7:14" x14ac:dyDescent="0.3">
      <c r="G10661" s="1"/>
      <c r="N10661" s="1"/>
    </row>
    <row r="10662" spans="7:14" x14ac:dyDescent="0.3">
      <c r="G10662" s="1"/>
      <c r="N10662" s="1"/>
    </row>
    <row r="10663" spans="7:14" x14ac:dyDescent="0.3">
      <c r="G10663" s="1"/>
      <c r="N10663" s="1"/>
    </row>
    <row r="10664" spans="7:14" x14ac:dyDescent="0.3">
      <c r="G10664" s="1"/>
      <c r="N10664" s="1"/>
    </row>
    <row r="10665" spans="7:14" x14ac:dyDescent="0.3">
      <c r="G10665" s="1"/>
      <c r="N10665" s="1"/>
    </row>
    <row r="10666" spans="7:14" x14ac:dyDescent="0.3">
      <c r="G10666" s="1"/>
      <c r="N10666" s="1"/>
    </row>
    <row r="10667" spans="7:14" x14ac:dyDescent="0.3">
      <c r="G10667" s="1"/>
      <c r="N10667" s="1"/>
    </row>
    <row r="10668" spans="7:14" x14ac:dyDescent="0.3">
      <c r="G10668" s="1"/>
      <c r="N10668" s="1"/>
    </row>
    <row r="10669" spans="7:14" x14ac:dyDescent="0.3">
      <c r="G10669" s="1"/>
      <c r="N10669" s="1"/>
    </row>
    <row r="10670" spans="7:14" x14ac:dyDescent="0.3">
      <c r="G10670" s="1"/>
      <c r="N10670" s="1"/>
    </row>
    <row r="10671" spans="7:14" x14ac:dyDescent="0.3">
      <c r="G10671" s="1"/>
      <c r="N10671" s="1"/>
    </row>
    <row r="10672" spans="7:14" x14ac:dyDescent="0.3">
      <c r="G10672" s="1"/>
      <c r="N10672" s="1"/>
    </row>
    <row r="10673" spans="7:14" x14ac:dyDescent="0.3">
      <c r="G10673" s="1"/>
      <c r="N10673" s="1"/>
    </row>
    <row r="10674" spans="7:14" x14ac:dyDescent="0.3">
      <c r="G10674" s="1"/>
      <c r="N10674" s="1"/>
    </row>
    <row r="10675" spans="7:14" x14ac:dyDescent="0.3">
      <c r="G10675" s="1"/>
      <c r="N10675" s="1"/>
    </row>
    <row r="10676" spans="7:14" x14ac:dyDescent="0.3">
      <c r="G10676" s="1"/>
      <c r="N10676" s="1"/>
    </row>
    <row r="10677" spans="7:14" x14ac:dyDescent="0.3">
      <c r="G10677" s="1"/>
      <c r="N10677" s="1"/>
    </row>
    <row r="10678" spans="7:14" x14ac:dyDescent="0.3">
      <c r="G10678" s="1"/>
      <c r="N10678" s="1"/>
    </row>
    <row r="10679" spans="7:14" x14ac:dyDescent="0.3">
      <c r="G10679" s="1"/>
      <c r="N10679" s="1"/>
    </row>
    <row r="10680" spans="7:14" x14ac:dyDescent="0.3">
      <c r="G10680" s="1"/>
      <c r="N10680" s="1"/>
    </row>
    <row r="10681" spans="7:14" x14ac:dyDescent="0.3">
      <c r="G10681" s="1"/>
      <c r="N10681" s="1"/>
    </row>
    <row r="10682" spans="7:14" x14ac:dyDescent="0.3">
      <c r="G10682" s="1"/>
      <c r="N10682" s="1"/>
    </row>
    <row r="10683" spans="7:14" x14ac:dyDescent="0.3">
      <c r="G10683" s="1"/>
      <c r="N10683" s="1"/>
    </row>
    <row r="10684" spans="7:14" x14ac:dyDescent="0.3">
      <c r="G10684" s="1"/>
      <c r="N10684" s="1"/>
    </row>
    <row r="10685" spans="7:14" x14ac:dyDescent="0.3">
      <c r="G10685" s="1"/>
      <c r="N10685" s="1"/>
    </row>
    <row r="10686" spans="7:14" x14ac:dyDescent="0.3">
      <c r="G10686" s="1"/>
      <c r="N10686" s="1"/>
    </row>
    <row r="10687" spans="7:14" x14ac:dyDescent="0.3">
      <c r="G10687" s="1"/>
      <c r="N10687" s="1"/>
    </row>
    <row r="10688" spans="7:14" x14ac:dyDescent="0.3">
      <c r="G10688" s="1"/>
      <c r="N10688" s="1"/>
    </row>
    <row r="10689" spans="7:14" x14ac:dyDescent="0.3">
      <c r="G10689" s="1"/>
      <c r="N10689" s="1"/>
    </row>
    <row r="10690" spans="7:14" x14ac:dyDescent="0.3">
      <c r="G10690" s="1"/>
      <c r="N10690" s="1"/>
    </row>
    <row r="10691" spans="7:14" x14ac:dyDescent="0.3">
      <c r="G10691" s="1"/>
      <c r="N10691" s="1"/>
    </row>
    <row r="10692" spans="7:14" x14ac:dyDescent="0.3">
      <c r="G10692" s="1"/>
      <c r="N10692" s="1"/>
    </row>
    <row r="10693" spans="7:14" x14ac:dyDescent="0.3">
      <c r="G10693" s="1"/>
      <c r="N10693" s="1"/>
    </row>
    <row r="10694" spans="7:14" x14ac:dyDescent="0.3">
      <c r="G10694" s="1"/>
      <c r="N10694" s="1"/>
    </row>
    <row r="10695" spans="7:14" x14ac:dyDescent="0.3">
      <c r="G10695" s="1"/>
      <c r="N10695" s="1"/>
    </row>
    <row r="10696" spans="7:14" x14ac:dyDescent="0.3">
      <c r="G10696" s="1"/>
      <c r="N10696" s="1"/>
    </row>
    <row r="10697" spans="7:14" x14ac:dyDescent="0.3">
      <c r="G10697" s="1"/>
      <c r="N10697" s="1"/>
    </row>
    <row r="10698" spans="7:14" x14ac:dyDescent="0.3">
      <c r="G10698" s="1"/>
      <c r="N10698" s="1"/>
    </row>
    <row r="10699" spans="7:14" x14ac:dyDescent="0.3">
      <c r="G10699" s="1"/>
      <c r="N10699" s="1"/>
    </row>
    <row r="10700" spans="7:14" x14ac:dyDescent="0.3">
      <c r="G10700" s="1"/>
      <c r="N10700" s="1"/>
    </row>
    <row r="10701" spans="7:14" x14ac:dyDescent="0.3">
      <c r="G10701" s="1"/>
      <c r="N10701" s="1"/>
    </row>
    <row r="10702" spans="7:14" x14ac:dyDescent="0.3">
      <c r="G10702" s="1"/>
      <c r="N10702" s="1"/>
    </row>
    <row r="10703" spans="7:14" x14ac:dyDescent="0.3">
      <c r="G10703" s="1"/>
      <c r="N10703" s="1"/>
    </row>
    <row r="10704" spans="7:14" x14ac:dyDescent="0.3">
      <c r="G10704" s="1"/>
      <c r="N10704" s="1"/>
    </row>
    <row r="10705" spans="7:14" x14ac:dyDescent="0.3">
      <c r="G10705" s="1"/>
      <c r="N10705" s="1"/>
    </row>
    <row r="10706" spans="7:14" x14ac:dyDescent="0.3">
      <c r="G10706" s="1"/>
      <c r="N10706" s="1"/>
    </row>
    <row r="10707" spans="7:14" x14ac:dyDescent="0.3">
      <c r="G10707" s="1"/>
      <c r="N10707" s="1"/>
    </row>
    <row r="10708" spans="7:14" x14ac:dyDescent="0.3">
      <c r="G10708" s="1"/>
      <c r="N10708" s="1"/>
    </row>
    <row r="10709" spans="7:14" x14ac:dyDescent="0.3">
      <c r="G10709" s="1"/>
      <c r="N10709" s="1"/>
    </row>
    <row r="10710" spans="7:14" x14ac:dyDescent="0.3">
      <c r="G10710" s="1"/>
      <c r="N10710" s="1"/>
    </row>
    <row r="10711" spans="7:14" x14ac:dyDescent="0.3">
      <c r="G10711" s="1"/>
      <c r="N10711" s="1"/>
    </row>
    <row r="10712" spans="7:14" x14ac:dyDescent="0.3">
      <c r="G10712" s="1"/>
      <c r="N10712" s="1"/>
    </row>
    <row r="10713" spans="7:14" x14ac:dyDescent="0.3">
      <c r="G10713" s="1"/>
      <c r="N10713" s="1"/>
    </row>
    <row r="10714" spans="7:14" x14ac:dyDescent="0.3">
      <c r="G10714" s="1"/>
      <c r="N10714" s="1"/>
    </row>
    <row r="10715" spans="7:14" x14ac:dyDescent="0.3">
      <c r="G10715" s="1"/>
      <c r="N10715" s="1"/>
    </row>
    <row r="10716" spans="7:14" x14ac:dyDescent="0.3">
      <c r="G10716" s="1"/>
      <c r="N10716" s="1"/>
    </row>
    <row r="10717" spans="7:14" x14ac:dyDescent="0.3">
      <c r="G10717" s="1"/>
      <c r="N10717" s="1"/>
    </row>
    <row r="10718" spans="7:14" x14ac:dyDescent="0.3">
      <c r="G10718" s="1"/>
      <c r="N10718" s="1"/>
    </row>
    <row r="10719" spans="7:14" x14ac:dyDescent="0.3">
      <c r="G10719" s="1"/>
      <c r="N10719" s="1"/>
    </row>
    <row r="10720" spans="7:14" x14ac:dyDescent="0.3">
      <c r="G10720" s="1"/>
      <c r="N10720" s="1"/>
    </row>
    <row r="10721" spans="7:14" x14ac:dyDescent="0.3">
      <c r="G10721" s="1"/>
      <c r="N10721" s="1"/>
    </row>
    <row r="10722" spans="7:14" x14ac:dyDescent="0.3">
      <c r="G10722" s="1"/>
      <c r="N10722" s="1"/>
    </row>
    <row r="10723" spans="7:14" x14ac:dyDescent="0.3">
      <c r="G10723" s="1"/>
      <c r="N10723" s="1"/>
    </row>
    <row r="10724" spans="7:14" x14ac:dyDescent="0.3">
      <c r="G10724" s="1"/>
      <c r="N10724" s="1"/>
    </row>
    <row r="10725" spans="7:14" x14ac:dyDescent="0.3">
      <c r="G10725" s="1"/>
      <c r="N10725" s="1"/>
    </row>
    <row r="10726" spans="7:14" x14ac:dyDescent="0.3">
      <c r="G10726" s="1"/>
      <c r="N10726" s="1"/>
    </row>
    <row r="10727" spans="7:14" x14ac:dyDescent="0.3">
      <c r="G10727" s="1"/>
      <c r="N10727" s="1"/>
    </row>
    <row r="10728" spans="7:14" x14ac:dyDescent="0.3">
      <c r="G10728" s="1"/>
      <c r="N10728" s="1"/>
    </row>
    <row r="10729" spans="7:14" x14ac:dyDescent="0.3">
      <c r="G10729" s="1"/>
      <c r="N10729" s="1"/>
    </row>
    <row r="10730" spans="7:14" x14ac:dyDescent="0.3">
      <c r="G10730" s="1"/>
      <c r="N10730" s="1"/>
    </row>
    <row r="10731" spans="7:14" x14ac:dyDescent="0.3">
      <c r="G10731" s="1"/>
      <c r="N10731" s="1"/>
    </row>
    <row r="10732" spans="7:14" x14ac:dyDescent="0.3">
      <c r="G10732" s="1"/>
      <c r="N10732" s="1"/>
    </row>
    <row r="10733" spans="7:14" x14ac:dyDescent="0.3">
      <c r="G10733" s="1"/>
      <c r="N10733" s="1"/>
    </row>
    <row r="10734" spans="7:14" x14ac:dyDescent="0.3">
      <c r="G10734" s="1"/>
      <c r="N10734" s="1"/>
    </row>
    <row r="10735" spans="7:14" x14ac:dyDescent="0.3">
      <c r="G10735" s="1"/>
      <c r="N10735" s="1"/>
    </row>
    <row r="10736" spans="7:14" x14ac:dyDescent="0.3">
      <c r="G10736" s="1"/>
      <c r="N10736" s="1"/>
    </row>
    <row r="10737" spans="7:14" x14ac:dyDescent="0.3">
      <c r="G10737" s="1"/>
      <c r="N10737" s="1"/>
    </row>
    <row r="10738" spans="7:14" x14ac:dyDescent="0.3">
      <c r="G10738" s="1"/>
      <c r="N10738" s="1"/>
    </row>
    <row r="10739" spans="7:14" x14ac:dyDescent="0.3">
      <c r="G10739" s="1"/>
      <c r="N10739" s="1"/>
    </row>
    <row r="10740" spans="7:14" x14ac:dyDescent="0.3">
      <c r="G10740" s="1"/>
      <c r="N10740" s="1"/>
    </row>
    <row r="10741" spans="7:14" x14ac:dyDescent="0.3">
      <c r="G10741" s="1"/>
      <c r="N10741" s="1"/>
    </row>
    <row r="10742" spans="7:14" x14ac:dyDescent="0.3">
      <c r="G10742" s="1"/>
      <c r="N10742" s="1"/>
    </row>
    <row r="10743" spans="7:14" x14ac:dyDescent="0.3">
      <c r="G10743" s="1"/>
      <c r="N10743" s="1"/>
    </row>
    <row r="10744" spans="7:14" x14ac:dyDescent="0.3">
      <c r="G10744" s="1"/>
      <c r="N10744" s="1"/>
    </row>
    <row r="10745" spans="7:14" x14ac:dyDescent="0.3">
      <c r="G10745" s="1"/>
      <c r="N10745" s="1"/>
    </row>
    <row r="10746" spans="7:14" x14ac:dyDescent="0.3">
      <c r="G10746" s="1"/>
      <c r="N10746" s="1"/>
    </row>
    <row r="10747" spans="7:14" x14ac:dyDescent="0.3">
      <c r="G10747" s="1"/>
      <c r="N10747" s="1"/>
    </row>
    <row r="10748" spans="7:14" x14ac:dyDescent="0.3">
      <c r="G10748" s="1"/>
      <c r="N10748" s="1"/>
    </row>
    <row r="10749" spans="7:14" x14ac:dyDescent="0.3">
      <c r="G10749" s="1"/>
      <c r="N10749" s="1"/>
    </row>
    <row r="10750" spans="7:14" x14ac:dyDescent="0.3">
      <c r="G10750" s="1"/>
      <c r="N10750" s="1"/>
    </row>
    <row r="10751" spans="7:14" x14ac:dyDescent="0.3">
      <c r="G10751" s="1"/>
      <c r="N10751" s="1"/>
    </row>
    <row r="10752" spans="7:14" x14ac:dyDescent="0.3">
      <c r="G10752" s="1"/>
      <c r="N10752" s="1"/>
    </row>
    <row r="10753" spans="7:14" x14ac:dyDescent="0.3">
      <c r="G10753" s="1"/>
      <c r="N10753" s="1"/>
    </row>
    <row r="10754" spans="7:14" x14ac:dyDescent="0.3">
      <c r="G10754" s="1"/>
      <c r="N10754" s="1"/>
    </row>
    <row r="10755" spans="7:14" x14ac:dyDescent="0.3">
      <c r="G10755" s="1"/>
      <c r="N10755" s="1"/>
    </row>
    <row r="10756" spans="7:14" x14ac:dyDescent="0.3">
      <c r="G10756" s="1"/>
      <c r="N10756" s="1"/>
    </row>
    <row r="10757" spans="7:14" x14ac:dyDescent="0.3">
      <c r="G10757" s="1"/>
      <c r="N10757" s="1"/>
    </row>
    <row r="10758" spans="7:14" x14ac:dyDescent="0.3">
      <c r="G10758" s="1"/>
      <c r="N10758" s="1"/>
    </row>
    <row r="10759" spans="7:14" x14ac:dyDescent="0.3">
      <c r="G10759" s="1"/>
      <c r="N10759" s="1"/>
    </row>
    <row r="10760" spans="7:14" x14ac:dyDescent="0.3">
      <c r="G10760" s="1"/>
      <c r="N10760" s="1"/>
    </row>
    <row r="10761" spans="7:14" x14ac:dyDescent="0.3">
      <c r="G10761" s="1"/>
      <c r="N10761" s="1"/>
    </row>
    <row r="10762" spans="7:14" x14ac:dyDescent="0.3">
      <c r="G10762" s="1"/>
      <c r="N10762" s="1"/>
    </row>
    <row r="10763" spans="7:14" x14ac:dyDescent="0.3">
      <c r="G10763" s="1"/>
      <c r="N10763" s="1"/>
    </row>
    <row r="10764" spans="7:14" x14ac:dyDescent="0.3">
      <c r="G10764" s="1"/>
      <c r="N10764" s="1"/>
    </row>
    <row r="10765" spans="7:14" x14ac:dyDescent="0.3">
      <c r="G10765" s="1"/>
      <c r="N10765" s="1"/>
    </row>
    <row r="10766" spans="7:14" x14ac:dyDescent="0.3">
      <c r="G10766" s="1"/>
      <c r="N10766" s="1"/>
    </row>
    <row r="10767" spans="7:14" x14ac:dyDescent="0.3">
      <c r="G10767" s="1"/>
      <c r="N10767" s="1"/>
    </row>
    <row r="10768" spans="7:14" x14ac:dyDescent="0.3">
      <c r="G10768" s="1"/>
      <c r="N10768" s="1"/>
    </row>
    <row r="10769" spans="7:14" x14ac:dyDescent="0.3">
      <c r="G10769" s="1"/>
      <c r="N10769" s="1"/>
    </row>
    <row r="10770" spans="7:14" x14ac:dyDescent="0.3">
      <c r="G10770" s="1"/>
      <c r="N10770" s="1"/>
    </row>
    <row r="10771" spans="7:14" x14ac:dyDescent="0.3">
      <c r="G10771" s="1"/>
      <c r="N10771" s="1"/>
    </row>
    <row r="10772" spans="7:14" x14ac:dyDescent="0.3">
      <c r="G10772" s="1"/>
      <c r="N10772" s="1"/>
    </row>
    <row r="10773" spans="7:14" x14ac:dyDescent="0.3">
      <c r="G10773" s="1"/>
      <c r="N10773" s="1"/>
    </row>
    <row r="10774" spans="7:14" x14ac:dyDescent="0.3">
      <c r="G10774" s="1"/>
      <c r="N10774" s="1"/>
    </row>
    <row r="10775" spans="7:14" x14ac:dyDescent="0.3">
      <c r="G10775" s="1"/>
      <c r="N10775" s="1"/>
    </row>
    <row r="10776" spans="7:14" x14ac:dyDescent="0.3">
      <c r="G10776" s="1"/>
      <c r="N10776" s="1"/>
    </row>
    <row r="10777" spans="7:14" x14ac:dyDescent="0.3">
      <c r="G10777" s="1"/>
      <c r="N10777" s="1"/>
    </row>
    <row r="10778" spans="7:14" x14ac:dyDescent="0.3">
      <c r="G10778" s="1"/>
      <c r="N10778" s="1"/>
    </row>
    <row r="10779" spans="7:14" x14ac:dyDescent="0.3">
      <c r="G10779" s="1"/>
      <c r="N10779" s="1"/>
    </row>
    <row r="10780" spans="7:14" x14ac:dyDescent="0.3">
      <c r="G10780" s="1"/>
      <c r="N10780" s="1"/>
    </row>
    <row r="10781" spans="7:14" x14ac:dyDescent="0.3">
      <c r="G10781" s="1"/>
      <c r="N10781" s="1"/>
    </row>
    <row r="10782" spans="7:14" x14ac:dyDescent="0.3">
      <c r="G10782" s="1"/>
      <c r="N10782" s="1"/>
    </row>
    <row r="10783" spans="7:14" x14ac:dyDescent="0.3">
      <c r="G10783" s="1"/>
      <c r="N10783" s="1"/>
    </row>
    <row r="10784" spans="7:14" x14ac:dyDescent="0.3">
      <c r="G10784" s="1"/>
      <c r="N10784" s="1"/>
    </row>
    <row r="10785" spans="7:14" x14ac:dyDescent="0.3">
      <c r="G10785" s="1"/>
      <c r="N10785" s="1"/>
    </row>
    <row r="10786" spans="7:14" x14ac:dyDescent="0.3">
      <c r="G10786" s="1"/>
      <c r="N10786" s="1"/>
    </row>
    <row r="10787" spans="7:14" x14ac:dyDescent="0.3">
      <c r="G10787" s="1"/>
      <c r="N10787" s="1"/>
    </row>
    <row r="10788" spans="7:14" x14ac:dyDescent="0.3">
      <c r="G10788" s="1"/>
      <c r="N10788" s="1"/>
    </row>
    <row r="10789" spans="7:14" x14ac:dyDescent="0.3">
      <c r="G10789" s="1"/>
      <c r="N10789" s="1"/>
    </row>
    <row r="10790" spans="7:14" x14ac:dyDescent="0.3">
      <c r="G10790" s="1"/>
      <c r="N10790" s="1"/>
    </row>
    <row r="10791" spans="7:14" x14ac:dyDescent="0.3">
      <c r="G10791" s="1"/>
      <c r="N10791" s="1"/>
    </row>
    <row r="10792" spans="7:14" x14ac:dyDescent="0.3">
      <c r="G10792" s="1"/>
      <c r="N10792" s="1"/>
    </row>
    <row r="10793" spans="7:14" x14ac:dyDescent="0.3">
      <c r="G10793" s="1"/>
      <c r="N10793" s="1"/>
    </row>
    <row r="10794" spans="7:14" x14ac:dyDescent="0.3">
      <c r="G10794" s="1"/>
      <c r="N10794" s="1"/>
    </row>
    <row r="10795" spans="7:14" x14ac:dyDescent="0.3">
      <c r="G10795" s="1"/>
      <c r="N10795" s="1"/>
    </row>
    <row r="10796" spans="7:14" x14ac:dyDescent="0.3">
      <c r="G10796" s="1"/>
      <c r="N10796" s="1"/>
    </row>
    <row r="10797" spans="7:14" x14ac:dyDescent="0.3">
      <c r="G10797" s="1"/>
      <c r="N10797" s="1"/>
    </row>
    <row r="10798" spans="7:14" x14ac:dyDescent="0.3">
      <c r="G10798" s="1"/>
      <c r="N10798" s="1"/>
    </row>
    <row r="10799" spans="7:14" x14ac:dyDescent="0.3">
      <c r="G10799" s="1"/>
      <c r="N10799" s="1"/>
    </row>
    <row r="10800" spans="7:14" x14ac:dyDescent="0.3">
      <c r="G10800" s="1"/>
      <c r="N10800" s="1"/>
    </row>
    <row r="10801" spans="7:14" x14ac:dyDescent="0.3">
      <c r="G10801" s="1"/>
      <c r="N10801" s="1"/>
    </row>
    <row r="10802" spans="7:14" x14ac:dyDescent="0.3">
      <c r="G10802" s="1"/>
      <c r="N10802" s="1"/>
    </row>
    <row r="10803" spans="7:14" x14ac:dyDescent="0.3">
      <c r="G10803" s="1"/>
      <c r="N10803" s="1"/>
    </row>
    <row r="10804" spans="7:14" x14ac:dyDescent="0.3">
      <c r="G10804" s="1"/>
      <c r="N10804" s="1"/>
    </row>
    <row r="10805" spans="7:14" x14ac:dyDescent="0.3">
      <c r="G10805" s="1"/>
      <c r="N10805" s="1"/>
    </row>
    <row r="10806" spans="7:14" x14ac:dyDescent="0.3">
      <c r="G10806" s="1"/>
      <c r="N10806" s="1"/>
    </row>
    <row r="10807" spans="7:14" x14ac:dyDescent="0.3">
      <c r="G10807" s="1"/>
      <c r="N10807" s="1"/>
    </row>
    <row r="10808" spans="7:14" x14ac:dyDescent="0.3">
      <c r="G10808" s="1"/>
      <c r="N10808" s="1"/>
    </row>
    <row r="10809" spans="7:14" x14ac:dyDescent="0.3">
      <c r="G10809" s="1"/>
      <c r="N10809" s="1"/>
    </row>
    <row r="10810" spans="7:14" x14ac:dyDescent="0.3">
      <c r="G10810" s="1"/>
      <c r="N10810" s="1"/>
    </row>
    <row r="10811" spans="7:14" x14ac:dyDescent="0.3">
      <c r="G10811" s="1"/>
      <c r="N10811" s="1"/>
    </row>
    <row r="10812" spans="7:14" x14ac:dyDescent="0.3">
      <c r="G10812" s="1"/>
      <c r="N10812" s="1"/>
    </row>
    <row r="10813" spans="7:14" x14ac:dyDescent="0.3">
      <c r="G10813" s="1"/>
      <c r="N10813" s="1"/>
    </row>
    <row r="10814" spans="7:14" x14ac:dyDescent="0.3">
      <c r="G10814" s="1"/>
      <c r="N10814" s="1"/>
    </row>
    <row r="10815" spans="7:14" x14ac:dyDescent="0.3">
      <c r="G10815" s="1"/>
      <c r="N10815" s="1"/>
    </row>
    <row r="10816" spans="7:14" x14ac:dyDescent="0.3">
      <c r="G10816" s="1"/>
      <c r="N10816" s="1"/>
    </row>
    <row r="10817" spans="7:14" x14ac:dyDescent="0.3">
      <c r="G10817" s="1"/>
      <c r="N10817" s="1"/>
    </row>
    <row r="10818" spans="7:14" x14ac:dyDescent="0.3">
      <c r="G10818" s="1"/>
      <c r="N10818" s="1"/>
    </row>
    <row r="10819" spans="7:14" x14ac:dyDescent="0.3">
      <c r="G10819" s="1"/>
      <c r="N10819" s="1"/>
    </row>
    <row r="10820" spans="7:14" x14ac:dyDescent="0.3">
      <c r="G10820" s="1"/>
      <c r="N10820" s="1"/>
    </row>
    <row r="10821" spans="7:14" x14ac:dyDescent="0.3">
      <c r="G10821" s="1"/>
      <c r="N10821" s="1"/>
    </row>
    <row r="10822" spans="7:14" x14ac:dyDescent="0.3">
      <c r="G10822" s="1"/>
      <c r="N10822" s="1"/>
    </row>
    <row r="10823" spans="7:14" x14ac:dyDescent="0.3">
      <c r="G10823" s="1"/>
      <c r="N10823" s="1"/>
    </row>
    <row r="10824" spans="7:14" x14ac:dyDescent="0.3">
      <c r="G10824" s="1"/>
      <c r="N10824" s="1"/>
    </row>
    <row r="10825" spans="7:14" x14ac:dyDescent="0.3">
      <c r="G10825" s="1"/>
      <c r="N10825" s="1"/>
    </row>
    <row r="10826" spans="7:14" x14ac:dyDescent="0.3">
      <c r="G10826" s="1"/>
      <c r="N10826" s="1"/>
    </row>
    <row r="10827" spans="7:14" x14ac:dyDescent="0.3">
      <c r="G10827" s="1"/>
      <c r="N10827" s="1"/>
    </row>
    <row r="10828" spans="7:14" x14ac:dyDescent="0.3">
      <c r="G10828" s="1"/>
      <c r="N10828" s="1"/>
    </row>
    <row r="10829" spans="7:14" x14ac:dyDescent="0.3">
      <c r="G10829" s="1"/>
      <c r="N10829" s="1"/>
    </row>
    <row r="10830" spans="7:14" x14ac:dyDescent="0.3">
      <c r="G10830" s="1"/>
      <c r="N10830" s="1"/>
    </row>
    <row r="10831" spans="7:14" x14ac:dyDescent="0.3">
      <c r="G10831" s="1"/>
      <c r="N10831" s="1"/>
    </row>
    <row r="10832" spans="7:14" x14ac:dyDescent="0.3">
      <c r="G10832" s="1"/>
      <c r="N10832" s="1"/>
    </row>
    <row r="10833" spans="7:14" x14ac:dyDescent="0.3">
      <c r="G10833" s="1"/>
      <c r="N10833" s="1"/>
    </row>
    <row r="10834" spans="7:14" x14ac:dyDescent="0.3">
      <c r="G10834" s="1"/>
      <c r="N10834" s="1"/>
    </row>
    <row r="10835" spans="7:14" x14ac:dyDescent="0.3">
      <c r="G10835" s="1"/>
      <c r="N10835" s="1"/>
    </row>
    <row r="10836" spans="7:14" x14ac:dyDescent="0.3">
      <c r="G10836" s="1"/>
      <c r="N10836" s="1"/>
    </row>
    <row r="10837" spans="7:14" x14ac:dyDescent="0.3">
      <c r="G10837" s="1"/>
      <c r="N10837" s="1"/>
    </row>
    <row r="10838" spans="7:14" x14ac:dyDescent="0.3">
      <c r="G10838" s="1"/>
      <c r="N10838" s="1"/>
    </row>
    <row r="10839" spans="7:14" x14ac:dyDescent="0.3">
      <c r="G10839" s="1"/>
      <c r="N10839" s="1"/>
    </row>
    <row r="10840" spans="7:14" x14ac:dyDescent="0.3">
      <c r="G10840" s="1"/>
      <c r="N10840" s="1"/>
    </row>
    <row r="10841" spans="7:14" x14ac:dyDescent="0.3">
      <c r="G10841" s="1"/>
      <c r="N10841" s="1"/>
    </row>
    <row r="10842" spans="7:14" x14ac:dyDescent="0.3">
      <c r="G10842" s="1"/>
      <c r="N10842" s="1"/>
    </row>
    <row r="10843" spans="7:14" x14ac:dyDescent="0.3">
      <c r="G10843" s="1"/>
      <c r="N10843" s="1"/>
    </row>
    <row r="10844" spans="7:14" x14ac:dyDescent="0.3">
      <c r="G10844" s="1"/>
      <c r="N10844" s="1"/>
    </row>
    <row r="10845" spans="7:14" x14ac:dyDescent="0.3">
      <c r="G10845" s="1"/>
      <c r="N10845" s="1"/>
    </row>
    <row r="10846" spans="7:14" x14ac:dyDescent="0.3">
      <c r="G10846" s="1"/>
      <c r="N10846" s="1"/>
    </row>
    <row r="10847" spans="7:14" x14ac:dyDescent="0.3">
      <c r="G10847" s="1"/>
      <c r="N10847" s="1"/>
    </row>
    <row r="10848" spans="7:14" x14ac:dyDescent="0.3">
      <c r="G10848" s="1"/>
      <c r="N10848" s="1"/>
    </row>
    <row r="10849" spans="7:14" x14ac:dyDescent="0.3">
      <c r="G10849" s="1"/>
      <c r="N10849" s="1"/>
    </row>
    <row r="10850" spans="7:14" x14ac:dyDescent="0.3">
      <c r="G10850" s="1"/>
      <c r="N10850" s="1"/>
    </row>
    <row r="10851" spans="7:14" x14ac:dyDescent="0.3">
      <c r="G10851" s="1"/>
      <c r="N10851" s="1"/>
    </row>
    <row r="10852" spans="7:14" x14ac:dyDescent="0.3">
      <c r="G10852" s="1"/>
      <c r="N10852" s="1"/>
    </row>
    <row r="10853" spans="7:14" x14ac:dyDescent="0.3">
      <c r="G10853" s="1"/>
      <c r="N10853" s="1"/>
    </row>
    <row r="10854" spans="7:14" x14ac:dyDescent="0.3">
      <c r="G10854" s="1"/>
      <c r="N10854" s="1"/>
    </row>
    <row r="10855" spans="7:14" x14ac:dyDescent="0.3">
      <c r="G10855" s="1"/>
      <c r="N10855" s="1"/>
    </row>
    <row r="10856" spans="7:14" x14ac:dyDescent="0.3">
      <c r="G10856" s="1"/>
      <c r="N10856" s="1"/>
    </row>
    <row r="10857" spans="7:14" x14ac:dyDescent="0.3">
      <c r="G10857" s="1"/>
      <c r="N10857" s="1"/>
    </row>
    <row r="10858" spans="7:14" x14ac:dyDescent="0.3">
      <c r="G10858" s="1"/>
      <c r="N10858" s="1"/>
    </row>
    <row r="10859" spans="7:14" x14ac:dyDescent="0.3">
      <c r="G10859" s="1"/>
      <c r="N10859" s="1"/>
    </row>
    <row r="10860" spans="7:14" x14ac:dyDescent="0.3">
      <c r="G10860" s="1"/>
      <c r="N10860" s="1"/>
    </row>
    <row r="10861" spans="7:14" x14ac:dyDescent="0.3">
      <c r="G10861" s="1"/>
      <c r="N10861" s="1"/>
    </row>
    <row r="10862" spans="7:14" x14ac:dyDescent="0.3">
      <c r="G10862" s="1"/>
      <c r="N10862" s="1"/>
    </row>
    <row r="10863" spans="7:14" x14ac:dyDescent="0.3">
      <c r="G10863" s="1"/>
      <c r="N10863" s="1"/>
    </row>
    <row r="10864" spans="7:14" x14ac:dyDescent="0.3">
      <c r="G10864" s="1"/>
      <c r="N10864" s="1"/>
    </row>
    <row r="10865" spans="7:14" x14ac:dyDescent="0.3">
      <c r="G10865" s="1"/>
      <c r="N10865" s="1"/>
    </row>
    <row r="10866" spans="7:14" x14ac:dyDescent="0.3">
      <c r="G10866" s="1"/>
      <c r="N10866" s="1"/>
    </row>
    <row r="10867" spans="7:14" x14ac:dyDescent="0.3">
      <c r="G10867" s="1"/>
      <c r="N10867" s="1"/>
    </row>
    <row r="10868" spans="7:14" x14ac:dyDescent="0.3">
      <c r="G10868" s="1"/>
      <c r="N10868" s="1"/>
    </row>
    <row r="10869" spans="7:14" x14ac:dyDescent="0.3">
      <c r="G10869" s="1"/>
      <c r="N10869" s="1"/>
    </row>
    <row r="10870" spans="7:14" x14ac:dyDescent="0.3">
      <c r="G10870" s="1"/>
      <c r="N10870" s="1"/>
    </row>
    <row r="10871" spans="7:14" x14ac:dyDescent="0.3">
      <c r="G10871" s="1"/>
      <c r="N10871" s="1"/>
    </row>
    <row r="10872" spans="7:14" x14ac:dyDescent="0.3">
      <c r="G10872" s="1"/>
      <c r="N10872" s="1"/>
    </row>
    <row r="10873" spans="7:14" x14ac:dyDescent="0.3">
      <c r="G10873" s="1"/>
      <c r="N10873" s="1"/>
    </row>
    <row r="10874" spans="7:14" x14ac:dyDescent="0.3">
      <c r="G10874" s="1"/>
      <c r="N10874" s="1"/>
    </row>
    <row r="10875" spans="7:14" x14ac:dyDescent="0.3">
      <c r="G10875" s="1"/>
      <c r="N10875" s="1"/>
    </row>
    <row r="10876" spans="7:14" x14ac:dyDescent="0.3">
      <c r="G10876" s="1"/>
      <c r="N10876" s="1"/>
    </row>
    <row r="10877" spans="7:14" x14ac:dyDescent="0.3">
      <c r="G10877" s="1"/>
      <c r="N10877" s="1"/>
    </row>
    <row r="10878" spans="7:14" x14ac:dyDescent="0.3">
      <c r="G10878" s="1"/>
      <c r="N10878" s="1"/>
    </row>
    <row r="10879" spans="7:14" x14ac:dyDescent="0.3">
      <c r="G10879" s="1"/>
      <c r="N10879" s="1"/>
    </row>
    <row r="10880" spans="7:14" x14ac:dyDescent="0.3">
      <c r="G10880" s="1"/>
      <c r="N10880" s="1"/>
    </row>
    <row r="10881" spans="7:14" x14ac:dyDescent="0.3">
      <c r="G10881" s="1"/>
      <c r="N10881" s="1"/>
    </row>
    <row r="10882" spans="7:14" x14ac:dyDescent="0.3">
      <c r="G10882" s="1"/>
      <c r="N10882" s="1"/>
    </row>
    <row r="10883" spans="7:14" x14ac:dyDescent="0.3">
      <c r="G10883" s="1"/>
      <c r="N10883" s="1"/>
    </row>
    <row r="10884" spans="7:14" x14ac:dyDescent="0.3">
      <c r="G10884" s="1"/>
      <c r="N10884" s="1"/>
    </row>
    <row r="10885" spans="7:14" x14ac:dyDescent="0.3">
      <c r="G10885" s="1"/>
      <c r="N10885" s="1"/>
    </row>
    <row r="10886" spans="7:14" x14ac:dyDescent="0.3">
      <c r="G10886" s="1"/>
      <c r="N10886" s="1"/>
    </row>
    <row r="10887" spans="7:14" x14ac:dyDescent="0.3">
      <c r="G10887" s="1"/>
      <c r="N10887" s="1"/>
    </row>
    <row r="10888" spans="7:14" x14ac:dyDescent="0.3">
      <c r="G10888" s="1"/>
      <c r="N10888" s="1"/>
    </row>
    <row r="10889" spans="7:14" x14ac:dyDescent="0.3">
      <c r="G10889" s="1"/>
      <c r="N10889" s="1"/>
    </row>
    <row r="10890" spans="7:14" x14ac:dyDescent="0.3">
      <c r="G10890" s="1"/>
      <c r="N10890" s="1"/>
    </row>
    <row r="10891" spans="7:14" x14ac:dyDescent="0.3">
      <c r="G10891" s="1"/>
      <c r="N10891" s="1"/>
    </row>
    <row r="10892" spans="7:14" x14ac:dyDescent="0.3">
      <c r="G10892" s="1"/>
      <c r="N10892" s="1"/>
    </row>
    <row r="10893" spans="7:14" x14ac:dyDescent="0.3">
      <c r="G10893" s="1"/>
      <c r="N10893" s="1"/>
    </row>
    <row r="10894" spans="7:14" x14ac:dyDescent="0.3">
      <c r="G10894" s="1"/>
      <c r="N10894" s="1"/>
    </row>
    <row r="10895" spans="7:14" x14ac:dyDescent="0.3">
      <c r="G10895" s="1"/>
      <c r="N10895" s="1"/>
    </row>
    <row r="10896" spans="7:14" x14ac:dyDescent="0.3">
      <c r="G10896" s="1"/>
      <c r="N10896" s="1"/>
    </row>
    <row r="10897" spans="7:14" x14ac:dyDescent="0.3">
      <c r="G10897" s="1"/>
      <c r="N10897" s="1"/>
    </row>
    <row r="10898" spans="7:14" x14ac:dyDescent="0.3">
      <c r="G10898" s="1"/>
      <c r="N10898" s="1"/>
    </row>
    <row r="10899" spans="7:14" x14ac:dyDescent="0.3">
      <c r="G10899" s="1"/>
      <c r="N10899" s="1"/>
    </row>
    <row r="10900" spans="7:14" x14ac:dyDescent="0.3">
      <c r="G10900" s="1"/>
      <c r="N10900" s="1"/>
    </row>
    <row r="10901" spans="7:14" x14ac:dyDescent="0.3">
      <c r="G10901" s="1"/>
      <c r="N10901" s="1"/>
    </row>
    <row r="10902" spans="7:14" x14ac:dyDescent="0.3">
      <c r="G10902" s="1"/>
      <c r="N10902" s="1"/>
    </row>
    <row r="10903" spans="7:14" x14ac:dyDescent="0.3">
      <c r="G10903" s="1"/>
      <c r="N10903" s="1"/>
    </row>
    <row r="10904" spans="7:14" x14ac:dyDescent="0.3">
      <c r="G10904" s="1"/>
      <c r="N10904" s="1"/>
    </row>
    <row r="10905" spans="7:14" x14ac:dyDescent="0.3">
      <c r="G10905" s="1"/>
      <c r="N10905" s="1"/>
    </row>
    <row r="10906" spans="7:14" x14ac:dyDescent="0.3">
      <c r="G10906" s="1"/>
      <c r="N10906" s="1"/>
    </row>
    <row r="10907" spans="7:14" x14ac:dyDescent="0.3">
      <c r="G10907" s="1"/>
      <c r="N10907" s="1"/>
    </row>
    <row r="10908" spans="7:14" x14ac:dyDescent="0.3">
      <c r="G10908" s="1"/>
      <c r="N10908" s="1"/>
    </row>
    <row r="10909" spans="7:14" x14ac:dyDescent="0.3">
      <c r="G10909" s="1"/>
      <c r="N10909" s="1"/>
    </row>
    <row r="10910" spans="7:14" x14ac:dyDescent="0.3">
      <c r="G10910" s="1"/>
      <c r="N10910" s="1"/>
    </row>
    <row r="10911" spans="7:14" x14ac:dyDescent="0.3">
      <c r="G10911" s="1"/>
      <c r="N10911" s="1"/>
    </row>
    <row r="10912" spans="7:14" x14ac:dyDescent="0.3">
      <c r="G10912" s="1"/>
      <c r="N10912" s="1"/>
    </row>
    <row r="10913" spans="7:14" x14ac:dyDescent="0.3">
      <c r="G10913" s="1"/>
      <c r="N10913" s="1"/>
    </row>
    <row r="10914" spans="7:14" x14ac:dyDescent="0.3">
      <c r="G10914" s="1"/>
      <c r="N10914" s="1"/>
    </row>
    <row r="10915" spans="7:14" x14ac:dyDescent="0.3">
      <c r="G10915" s="1"/>
      <c r="N10915" s="1"/>
    </row>
    <row r="10916" spans="7:14" x14ac:dyDescent="0.3">
      <c r="G10916" s="1"/>
      <c r="N10916" s="1"/>
    </row>
    <row r="10917" spans="7:14" x14ac:dyDescent="0.3">
      <c r="G10917" s="1"/>
      <c r="N10917" s="1"/>
    </row>
    <row r="10918" spans="7:14" x14ac:dyDescent="0.3">
      <c r="G10918" s="1"/>
      <c r="N10918" s="1"/>
    </row>
    <row r="10919" spans="7:14" x14ac:dyDescent="0.3">
      <c r="G10919" s="1"/>
      <c r="N10919" s="1"/>
    </row>
    <row r="10920" spans="7:14" x14ac:dyDescent="0.3">
      <c r="G10920" s="1"/>
      <c r="N10920" s="1"/>
    </row>
    <row r="10921" spans="7:14" x14ac:dyDescent="0.3">
      <c r="G10921" s="1"/>
      <c r="N10921" s="1"/>
    </row>
    <row r="10922" spans="7:14" x14ac:dyDescent="0.3">
      <c r="G10922" s="1"/>
      <c r="N10922" s="1"/>
    </row>
    <row r="10923" spans="7:14" x14ac:dyDescent="0.3">
      <c r="G10923" s="1"/>
      <c r="N10923" s="1"/>
    </row>
    <row r="10924" spans="7:14" x14ac:dyDescent="0.3">
      <c r="G10924" s="1"/>
      <c r="N10924" s="1"/>
    </row>
    <row r="10925" spans="7:14" x14ac:dyDescent="0.3">
      <c r="G10925" s="1"/>
      <c r="N10925" s="1"/>
    </row>
    <row r="10926" spans="7:14" x14ac:dyDescent="0.3">
      <c r="G10926" s="1"/>
      <c r="N10926" s="1"/>
    </row>
    <row r="10927" spans="7:14" x14ac:dyDescent="0.3">
      <c r="G10927" s="1"/>
      <c r="N10927" s="1"/>
    </row>
    <row r="10928" spans="7:14" x14ac:dyDescent="0.3">
      <c r="G10928" s="1"/>
      <c r="N10928" s="1"/>
    </row>
    <row r="10929" spans="7:14" x14ac:dyDescent="0.3">
      <c r="G10929" s="1"/>
      <c r="N10929" s="1"/>
    </row>
    <row r="10930" spans="7:14" x14ac:dyDescent="0.3">
      <c r="G10930" s="1"/>
      <c r="N10930" s="1"/>
    </row>
    <row r="10931" spans="7:14" x14ac:dyDescent="0.3">
      <c r="G10931" s="1"/>
      <c r="N10931" s="1"/>
    </row>
    <row r="10932" spans="7:14" x14ac:dyDescent="0.3">
      <c r="G10932" s="1"/>
      <c r="N10932" s="1"/>
    </row>
    <row r="10933" spans="7:14" x14ac:dyDescent="0.3">
      <c r="G10933" s="1"/>
      <c r="N10933" s="1"/>
    </row>
    <row r="10934" spans="7:14" x14ac:dyDescent="0.3">
      <c r="G10934" s="1"/>
      <c r="N10934" s="1"/>
    </row>
    <row r="10935" spans="7:14" x14ac:dyDescent="0.3">
      <c r="G10935" s="1"/>
      <c r="N10935" s="1"/>
    </row>
    <row r="10936" spans="7:14" x14ac:dyDescent="0.3">
      <c r="G10936" s="1"/>
      <c r="N10936" s="1"/>
    </row>
    <row r="10937" spans="7:14" x14ac:dyDescent="0.3">
      <c r="G10937" s="1"/>
      <c r="N10937" s="1"/>
    </row>
    <row r="10938" spans="7:14" x14ac:dyDescent="0.3">
      <c r="G10938" s="1"/>
      <c r="N10938" s="1"/>
    </row>
    <row r="10939" spans="7:14" x14ac:dyDescent="0.3">
      <c r="G10939" s="1"/>
      <c r="N10939" s="1"/>
    </row>
    <row r="10940" spans="7:14" x14ac:dyDescent="0.3">
      <c r="G10940" s="1"/>
      <c r="N10940" s="1"/>
    </row>
    <row r="10941" spans="7:14" x14ac:dyDescent="0.3">
      <c r="G10941" s="1"/>
      <c r="N10941" s="1"/>
    </row>
    <row r="10942" spans="7:14" x14ac:dyDescent="0.3">
      <c r="G10942" s="1"/>
      <c r="N10942" s="1"/>
    </row>
    <row r="10943" spans="7:14" x14ac:dyDescent="0.3">
      <c r="G10943" s="1"/>
      <c r="N10943" s="1"/>
    </row>
    <row r="10944" spans="7:14" x14ac:dyDescent="0.3">
      <c r="G10944" s="1"/>
      <c r="N10944" s="1"/>
    </row>
    <row r="10945" spans="7:14" x14ac:dyDescent="0.3">
      <c r="G10945" s="1"/>
      <c r="N10945" s="1"/>
    </row>
    <row r="10946" spans="7:14" x14ac:dyDescent="0.3">
      <c r="G10946" s="1"/>
      <c r="N10946" s="1"/>
    </row>
    <row r="10947" spans="7:14" x14ac:dyDescent="0.3">
      <c r="G10947" s="1"/>
      <c r="N10947" s="1"/>
    </row>
    <row r="10948" spans="7:14" x14ac:dyDescent="0.3">
      <c r="G10948" s="1"/>
      <c r="N10948" s="1"/>
    </row>
    <row r="10949" spans="7:14" x14ac:dyDescent="0.3">
      <c r="G10949" s="1"/>
      <c r="N10949" s="1"/>
    </row>
    <row r="10950" spans="7:14" x14ac:dyDescent="0.3">
      <c r="G10950" s="1"/>
      <c r="N10950" s="1"/>
    </row>
    <row r="10951" spans="7:14" x14ac:dyDescent="0.3">
      <c r="G10951" s="1"/>
      <c r="N10951" s="1"/>
    </row>
    <row r="10952" spans="7:14" x14ac:dyDescent="0.3">
      <c r="G10952" s="1"/>
      <c r="N10952" s="1"/>
    </row>
    <row r="10953" spans="7:14" x14ac:dyDescent="0.3">
      <c r="G10953" s="1"/>
      <c r="N10953" s="1"/>
    </row>
    <row r="10954" spans="7:14" x14ac:dyDescent="0.3">
      <c r="G10954" s="1"/>
      <c r="N10954" s="1"/>
    </row>
    <row r="10955" spans="7:14" x14ac:dyDescent="0.3">
      <c r="G10955" s="1"/>
      <c r="N10955" s="1"/>
    </row>
    <row r="10956" spans="7:14" x14ac:dyDescent="0.3">
      <c r="G10956" s="1"/>
      <c r="N10956" s="1"/>
    </row>
    <row r="10957" spans="7:14" x14ac:dyDescent="0.3">
      <c r="G10957" s="1"/>
      <c r="N10957" s="1"/>
    </row>
    <row r="10958" spans="7:14" x14ac:dyDescent="0.3">
      <c r="G10958" s="1"/>
      <c r="N10958" s="1"/>
    </row>
    <row r="10959" spans="7:14" x14ac:dyDescent="0.3">
      <c r="G10959" s="1"/>
      <c r="N10959" s="1"/>
    </row>
    <row r="10960" spans="7:14" x14ac:dyDescent="0.3">
      <c r="G10960" s="1"/>
      <c r="N10960" s="1"/>
    </row>
    <row r="10961" spans="7:14" x14ac:dyDescent="0.3">
      <c r="G10961" s="1"/>
      <c r="N10961" s="1"/>
    </row>
    <row r="10962" spans="7:14" x14ac:dyDescent="0.3">
      <c r="G10962" s="1"/>
      <c r="N10962" s="1"/>
    </row>
    <row r="10963" spans="7:14" x14ac:dyDescent="0.3">
      <c r="G10963" s="1"/>
      <c r="N10963" s="1"/>
    </row>
    <row r="10964" spans="7:14" x14ac:dyDescent="0.3">
      <c r="G10964" s="1"/>
      <c r="N10964" s="1"/>
    </row>
    <row r="10965" spans="7:14" x14ac:dyDescent="0.3">
      <c r="G10965" s="1"/>
      <c r="N10965" s="1"/>
    </row>
    <row r="10966" spans="7:14" x14ac:dyDescent="0.3">
      <c r="G10966" s="1"/>
      <c r="N10966" s="1"/>
    </row>
    <row r="10967" spans="7:14" x14ac:dyDescent="0.3">
      <c r="G10967" s="1"/>
      <c r="N10967" s="1"/>
    </row>
    <row r="10968" spans="7:14" x14ac:dyDescent="0.3">
      <c r="G10968" s="1"/>
      <c r="N10968" s="1"/>
    </row>
    <row r="10969" spans="7:14" x14ac:dyDescent="0.3">
      <c r="G10969" s="1"/>
      <c r="N10969" s="1"/>
    </row>
    <row r="10970" spans="7:14" x14ac:dyDescent="0.3">
      <c r="G10970" s="1"/>
      <c r="N10970" s="1"/>
    </row>
    <row r="10971" spans="7:14" x14ac:dyDescent="0.3">
      <c r="G10971" s="1"/>
      <c r="N10971" s="1"/>
    </row>
    <row r="10972" spans="7:14" x14ac:dyDescent="0.3">
      <c r="G10972" s="1"/>
      <c r="N10972" s="1"/>
    </row>
    <row r="10973" spans="7:14" x14ac:dyDescent="0.3">
      <c r="G10973" s="1"/>
      <c r="N10973" s="1"/>
    </row>
    <row r="10974" spans="7:14" x14ac:dyDescent="0.3">
      <c r="G10974" s="1"/>
      <c r="N10974" s="1"/>
    </row>
    <row r="10975" spans="7:14" x14ac:dyDescent="0.3">
      <c r="G10975" s="1"/>
      <c r="N10975" s="1"/>
    </row>
    <row r="10976" spans="7:14" x14ac:dyDescent="0.3">
      <c r="G10976" s="1"/>
      <c r="N10976" s="1"/>
    </row>
    <row r="10977" spans="7:14" x14ac:dyDescent="0.3">
      <c r="G10977" s="1"/>
      <c r="N10977" s="1"/>
    </row>
    <row r="10978" spans="7:14" x14ac:dyDescent="0.3">
      <c r="G10978" s="1"/>
      <c r="N10978" s="1"/>
    </row>
    <row r="10979" spans="7:14" x14ac:dyDescent="0.3">
      <c r="G10979" s="1"/>
      <c r="N10979" s="1"/>
    </row>
    <row r="10980" spans="7:14" x14ac:dyDescent="0.3">
      <c r="G10980" s="1"/>
      <c r="N10980" s="1"/>
    </row>
    <row r="10981" spans="7:14" x14ac:dyDescent="0.3">
      <c r="G10981" s="1"/>
      <c r="N10981" s="1"/>
    </row>
    <row r="10982" spans="7:14" x14ac:dyDescent="0.3">
      <c r="G10982" s="1"/>
      <c r="N10982" s="1"/>
    </row>
    <row r="10983" spans="7:14" x14ac:dyDescent="0.3">
      <c r="G10983" s="1"/>
      <c r="N10983" s="1"/>
    </row>
    <row r="10984" spans="7:14" x14ac:dyDescent="0.3">
      <c r="G10984" s="1"/>
      <c r="N10984" s="1"/>
    </row>
    <row r="10985" spans="7:14" x14ac:dyDescent="0.3">
      <c r="G10985" s="1"/>
      <c r="N10985" s="1"/>
    </row>
    <row r="10986" spans="7:14" x14ac:dyDescent="0.3">
      <c r="G10986" s="1"/>
      <c r="N10986" s="1"/>
    </row>
    <row r="10987" spans="7:14" x14ac:dyDescent="0.3">
      <c r="G10987" s="1"/>
      <c r="N10987" s="1"/>
    </row>
    <row r="10988" spans="7:14" x14ac:dyDescent="0.3">
      <c r="G10988" s="1"/>
      <c r="N10988" s="1"/>
    </row>
    <row r="10989" spans="7:14" x14ac:dyDescent="0.3">
      <c r="G10989" s="1"/>
      <c r="N10989" s="1"/>
    </row>
    <row r="10990" spans="7:14" x14ac:dyDescent="0.3">
      <c r="G10990" s="1"/>
      <c r="N10990" s="1"/>
    </row>
    <row r="10991" spans="7:14" x14ac:dyDescent="0.3">
      <c r="G10991" s="1"/>
      <c r="N10991" s="1"/>
    </row>
    <row r="10992" spans="7:14" x14ac:dyDescent="0.3">
      <c r="G10992" s="1"/>
      <c r="N10992" s="1"/>
    </row>
    <row r="10993" spans="7:14" x14ac:dyDescent="0.3">
      <c r="G10993" s="1"/>
      <c r="N10993" s="1"/>
    </row>
    <row r="10994" spans="7:14" x14ac:dyDescent="0.3">
      <c r="G10994" s="1"/>
      <c r="N10994" s="1"/>
    </row>
    <row r="10995" spans="7:14" x14ac:dyDescent="0.3">
      <c r="G10995" s="1"/>
      <c r="N10995" s="1"/>
    </row>
    <row r="10996" spans="7:14" x14ac:dyDescent="0.3">
      <c r="G10996" s="1"/>
      <c r="N10996" s="1"/>
    </row>
    <row r="10997" spans="7:14" x14ac:dyDescent="0.3">
      <c r="G10997" s="1"/>
      <c r="N10997" s="1"/>
    </row>
    <row r="10998" spans="7:14" x14ac:dyDescent="0.3">
      <c r="G10998" s="1"/>
      <c r="N10998" s="1"/>
    </row>
    <row r="10999" spans="7:14" x14ac:dyDescent="0.3">
      <c r="G10999" s="1"/>
      <c r="N10999" s="1"/>
    </row>
    <row r="11000" spans="7:14" x14ac:dyDescent="0.3">
      <c r="G11000" s="1"/>
      <c r="N11000" s="1"/>
    </row>
    <row r="11001" spans="7:14" x14ac:dyDescent="0.3">
      <c r="G11001" s="1"/>
      <c r="N11001" s="1"/>
    </row>
    <row r="11002" spans="7:14" x14ac:dyDescent="0.3">
      <c r="G11002" s="1"/>
      <c r="N11002" s="1"/>
    </row>
    <row r="11003" spans="7:14" x14ac:dyDescent="0.3">
      <c r="G11003" s="1"/>
      <c r="N11003" s="1"/>
    </row>
    <row r="11004" spans="7:14" x14ac:dyDescent="0.3">
      <c r="G11004" s="1"/>
      <c r="N11004" s="1"/>
    </row>
    <row r="11005" spans="7:14" x14ac:dyDescent="0.3">
      <c r="G11005" s="1"/>
      <c r="N11005" s="1"/>
    </row>
    <row r="11006" spans="7:14" x14ac:dyDescent="0.3">
      <c r="G11006" s="1"/>
      <c r="N11006" s="1"/>
    </row>
    <row r="11007" spans="7:14" x14ac:dyDescent="0.3">
      <c r="G11007" s="1"/>
      <c r="N11007" s="1"/>
    </row>
    <row r="11008" spans="7:14" x14ac:dyDescent="0.3">
      <c r="G11008" s="1"/>
      <c r="N11008" s="1"/>
    </row>
    <row r="11009" spans="7:14" x14ac:dyDescent="0.3">
      <c r="G11009" s="1"/>
      <c r="N11009" s="1"/>
    </row>
    <row r="11010" spans="7:14" x14ac:dyDescent="0.3">
      <c r="G11010" s="1"/>
      <c r="N11010" s="1"/>
    </row>
    <row r="11011" spans="7:14" x14ac:dyDescent="0.3">
      <c r="G11011" s="1"/>
      <c r="N11011" s="1"/>
    </row>
    <row r="11012" spans="7:14" x14ac:dyDescent="0.3">
      <c r="G11012" s="1"/>
      <c r="N11012" s="1"/>
    </row>
    <row r="11013" spans="7:14" x14ac:dyDescent="0.3">
      <c r="G11013" s="1"/>
      <c r="N11013" s="1"/>
    </row>
    <row r="11014" spans="7:14" x14ac:dyDescent="0.3">
      <c r="G11014" s="1"/>
      <c r="N11014" s="1"/>
    </row>
    <row r="11015" spans="7:14" x14ac:dyDescent="0.3">
      <c r="G11015" s="1"/>
      <c r="N11015" s="1"/>
    </row>
    <row r="11016" spans="7:14" x14ac:dyDescent="0.3">
      <c r="G11016" s="1"/>
      <c r="N11016" s="1"/>
    </row>
    <row r="11017" spans="7:14" x14ac:dyDescent="0.3">
      <c r="G11017" s="1"/>
      <c r="N11017" s="1"/>
    </row>
    <row r="11018" spans="7:14" x14ac:dyDescent="0.3">
      <c r="G11018" s="1"/>
      <c r="N11018" s="1"/>
    </row>
    <row r="11019" spans="7:14" x14ac:dyDescent="0.3">
      <c r="G11019" s="1"/>
      <c r="N11019" s="1"/>
    </row>
    <row r="11020" spans="7:14" x14ac:dyDescent="0.3">
      <c r="G11020" s="1"/>
      <c r="N11020" s="1"/>
    </row>
    <row r="11021" spans="7:14" x14ac:dyDescent="0.3">
      <c r="G11021" s="1"/>
      <c r="N11021" s="1"/>
    </row>
    <row r="11022" spans="7:14" x14ac:dyDescent="0.3">
      <c r="G11022" s="1"/>
      <c r="N11022" s="1"/>
    </row>
    <row r="11023" spans="7:14" x14ac:dyDescent="0.3">
      <c r="G11023" s="1"/>
      <c r="N11023" s="1"/>
    </row>
    <row r="11024" spans="7:14" x14ac:dyDescent="0.3">
      <c r="G11024" s="1"/>
      <c r="N11024" s="1"/>
    </row>
    <row r="11025" spans="7:14" x14ac:dyDescent="0.3">
      <c r="G11025" s="1"/>
      <c r="N11025" s="1"/>
    </row>
    <row r="11026" spans="7:14" x14ac:dyDescent="0.3">
      <c r="G11026" s="1"/>
      <c r="N11026" s="1"/>
    </row>
    <row r="11027" spans="7:14" x14ac:dyDescent="0.3">
      <c r="G11027" s="1"/>
      <c r="N11027" s="1"/>
    </row>
    <row r="11028" spans="7:14" x14ac:dyDescent="0.3">
      <c r="G11028" s="1"/>
      <c r="N11028" s="1"/>
    </row>
    <row r="11029" spans="7:14" x14ac:dyDescent="0.3">
      <c r="G11029" s="1"/>
      <c r="N11029" s="1"/>
    </row>
    <row r="11030" spans="7:14" x14ac:dyDescent="0.3">
      <c r="G11030" s="1"/>
      <c r="N11030" s="1"/>
    </row>
    <row r="11031" spans="7:14" x14ac:dyDescent="0.3">
      <c r="G11031" s="1"/>
      <c r="N11031" s="1"/>
    </row>
    <row r="11032" spans="7:14" x14ac:dyDescent="0.3">
      <c r="G11032" s="1"/>
      <c r="N11032" s="1"/>
    </row>
    <row r="11033" spans="7:14" x14ac:dyDescent="0.3">
      <c r="G11033" s="1"/>
      <c r="N11033" s="1"/>
    </row>
    <row r="11034" spans="7:14" x14ac:dyDescent="0.3">
      <c r="G11034" s="1"/>
      <c r="N11034" s="1"/>
    </row>
    <row r="11035" spans="7:14" x14ac:dyDescent="0.3">
      <c r="G11035" s="1"/>
      <c r="N11035" s="1"/>
    </row>
    <row r="11036" spans="7:14" x14ac:dyDescent="0.3">
      <c r="G11036" s="1"/>
      <c r="N11036" s="1"/>
    </row>
    <row r="11037" spans="7:14" x14ac:dyDescent="0.3">
      <c r="G11037" s="1"/>
      <c r="N11037" s="1"/>
    </row>
    <row r="11038" spans="7:14" x14ac:dyDescent="0.3">
      <c r="G11038" s="1"/>
      <c r="N11038" s="1"/>
    </row>
    <row r="11039" spans="7:14" x14ac:dyDescent="0.3">
      <c r="G11039" s="1"/>
      <c r="N11039" s="1"/>
    </row>
    <row r="11040" spans="7:14" x14ac:dyDescent="0.3">
      <c r="G11040" s="1"/>
      <c r="N11040" s="1"/>
    </row>
    <row r="11041" spans="7:14" x14ac:dyDescent="0.3">
      <c r="G11041" s="1"/>
      <c r="N11041" s="1"/>
    </row>
    <row r="11042" spans="7:14" x14ac:dyDescent="0.3">
      <c r="G11042" s="1"/>
      <c r="N11042" s="1"/>
    </row>
    <row r="11043" spans="7:14" x14ac:dyDescent="0.3">
      <c r="G11043" s="1"/>
      <c r="N11043" s="1"/>
    </row>
    <row r="11044" spans="7:14" x14ac:dyDescent="0.3">
      <c r="G11044" s="1"/>
      <c r="N11044" s="1"/>
    </row>
    <row r="11045" spans="7:14" x14ac:dyDescent="0.3">
      <c r="G11045" s="1"/>
      <c r="N11045" s="1"/>
    </row>
    <row r="11046" spans="7:14" x14ac:dyDescent="0.3">
      <c r="G11046" s="1"/>
      <c r="N11046" s="1"/>
    </row>
    <row r="11047" spans="7:14" x14ac:dyDescent="0.3">
      <c r="G11047" s="1"/>
      <c r="N11047" s="1"/>
    </row>
    <row r="11048" spans="7:14" x14ac:dyDescent="0.3">
      <c r="G11048" s="1"/>
      <c r="N11048" s="1"/>
    </row>
    <row r="11049" spans="7:14" x14ac:dyDescent="0.3">
      <c r="G11049" s="1"/>
      <c r="N11049" s="1"/>
    </row>
    <row r="11050" spans="7:14" x14ac:dyDescent="0.3">
      <c r="G11050" s="1"/>
      <c r="N11050" s="1"/>
    </row>
    <row r="11051" spans="7:14" x14ac:dyDescent="0.3">
      <c r="G11051" s="1"/>
      <c r="N11051" s="1"/>
    </row>
    <row r="11052" spans="7:14" x14ac:dyDescent="0.3">
      <c r="G11052" s="1"/>
      <c r="N11052" s="1"/>
    </row>
    <row r="11053" spans="7:14" x14ac:dyDescent="0.3">
      <c r="G11053" s="1"/>
      <c r="N11053" s="1"/>
    </row>
    <row r="11054" spans="7:14" x14ac:dyDescent="0.3">
      <c r="G11054" s="1"/>
      <c r="N11054" s="1"/>
    </row>
    <row r="11055" spans="7:14" x14ac:dyDescent="0.3">
      <c r="G11055" s="1"/>
      <c r="N11055" s="1"/>
    </row>
    <row r="11056" spans="7:14" x14ac:dyDescent="0.3">
      <c r="G11056" s="1"/>
      <c r="N11056" s="1"/>
    </row>
    <row r="11057" spans="7:14" x14ac:dyDescent="0.3">
      <c r="G11057" s="1"/>
      <c r="N11057" s="1"/>
    </row>
    <row r="11058" spans="7:14" x14ac:dyDescent="0.3">
      <c r="G11058" s="1"/>
      <c r="N11058" s="1"/>
    </row>
    <row r="11059" spans="7:14" x14ac:dyDescent="0.3">
      <c r="G11059" s="1"/>
      <c r="N11059" s="1"/>
    </row>
    <row r="11060" spans="7:14" x14ac:dyDescent="0.3">
      <c r="G11060" s="1"/>
      <c r="N11060" s="1"/>
    </row>
    <row r="11061" spans="7:14" x14ac:dyDescent="0.3">
      <c r="G11061" s="1"/>
      <c r="N11061" s="1"/>
    </row>
    <row r="11062" spans="7:14" x14ac:dyDescent="0.3">
      <c r="G11062" s="1"/>
      <c r="N11062" s="1"/>
    </row>
    <row r="11063" spans="7:14" x14ac:dyDescent="0.3">
      <c r="G11063" s="1"/>
      <c r="N11063" s="1"/>
    </row>
    <row r="11064" spans="7:14" x14ac:dyDescent="0.3">
      <c r="G11064" s="1"/>
      <c r="N11064" s="1"/>
    </row>
    <row r="11065" spans="7:14" x14ac:dyDescent="0.3">
      <c r="G11065" s="1"/>
      <c r="N11065" s="1"/>
    </row>
    <row r="11066" spans="7:14" x14ac:dyDescent="0.3">
      <c r="G11066" s="1"/>
      <c r="N11066" s="1"/>
    </row>
    <row r="11067" spans="7:14" x14ac:dyDescent="0.3">
      <c r="G11067" s="1"/>
      <c r="N11067" s="1"/>
    </row>
    <row r="11068" spans="7:14" x14ac:dyDescent="0.3">
      <c r="G11068" s="1"/>
      <c r="N11068" s="1"/>
    </row>
    <row r="11069" spans="7:14" x14ac:dyDescent="0.3">
      <c r="G11069" s="1"/>
      <c r="N11069" s="1"/>
    </row>
    <row r="11070" spans="7:14" x14ac:dyDescent="0.3">
      <c r="G11070" s="1"/>
      <c r="N11070" s="1"/>
    </row>
    <row r="11071" spans="7:14" x14ac:dyDescent="0.3">
      <c r="G11071" s="1"/>
      <c r="N11071" s="1"/>
    </row>
    <row r="11072" spans="7:14" x14ac:dyDescent="0.3">
      <c r="G11072" s="1"/>
      <c r="N11072" s="1"/>
    </row>
    <row r="11073" spans="7:14" x14ac:dyDescent="0.3">
      <c r="G11073" s="1"/>
      <c r="N11073" s="1"/>
    </row>
    <row r="11074" spans="7:14" x14ac:dyDescent="0.3">
      <c r="G11074" s="1"/>
      <c r="N11074" s="1"/>
    </row>
    <row r="11075" spans="7:14" x14ac:dyDescent="0.3">
      <c r="G11075" s="1"/>
      <c r="N11075" s="1"/>
    </row>
    <row r="11076" spans="7:14" x14ac:dyDescent="0.3">
      <c r="G11076" s="1"/>
      <c r="N11076" s="1"/>
    </row>
    <row r="11077" spans="7:14" x14ac:dyDescent="0.3">
      <c r="G11077" s="1"/>
      <c r="N11077" s="1"/>
    </row>
    <row r="11078" spans="7:14" x14ac:dyDescent="0.3">
      <c r="G11078" s="1"/>
      <c r="N11078" s="1"/>
    </row>
    <row r="11079" spans="7:14" x14ac:dyDescent="0.3">
      <c r="G11079" s="1"/>
      <c r="N11079" s="1"/>
    </row>
    <row r="11080" spans="7:14" x14ac:dyDescent="0.3">
      <c r="G11080" s="1"/>
      <c r="N11080" s="1"/>
    </row>
    <row r="11081" spans="7:14" x14ac:dyDescent="0.3">
      <c r="G11081" s="1"/>
      <c r="N11081" s="1"/>
    </row>
    <row r="11082" spans="7:14" x14ac:dyDescent="0.3">
      <c r="G11082" s="1"/>
      <c r="N11082" s="1"/>
    </row>
    <row r="11083" spans="7:14" x14ac:dyDescent="0.3">
      <c r="G11083" s="1"/>
      <c r="N11083" s="1"/>
    </row>
    <row r="11084" spans="7:14" x14ac:dyDescent="0.3">
      <c r="G11084" s="1"/>
      <c r="N11084" s="1"/>
    </row>
    <row r="11085" spans="7:14" x14ac:dyDescent="0.3">
      <c r="G11085" s="1"/>
      <c r="N11085" s="1"/>
    </row>
    <row r="11086" spans="7:14" x14ac:dyDescent="0.3">
      <c r="G11086" s="1"/>
      <c r="N11086" s="1"/>
    </row>
    <row r="11087" spans="7:14" x14ac:dyDescent="0.3">
      <c r="G11087" s="1"/>
      <c r="N11087" s="1"/>
    </row>
    <row r="11088" spans="7:14" x14ac:dyDescent="0.3">
      <c r="G11088" s="1"/>
      <c r="N11088" s="1"/>
    </row>
    <row r="11089" spans="7:14" x14ac:dyDescent="0.3">
      <c r="G11089" s="1"/>
      <c r="N11089" s="1"/>
    </row>
    <row r="11090" spans="7:14" x14ac:dyDescent="0.3">
      <c r="G11090" s="1"/>
      <c r="N11090" s="1"/>
    </row>
    <row r="11091" spans="7:14" x14ac:dyDescent="0.3">
      <c r="G11091" s="1"/>
      <c r="N11091" s="1"/>
    </row>
    <row r="11092" spans="7:14" x14ac:dyDescent="0.3">
      <c r="G11092" s="1"/>
      <c r="N11092" s="1"/>
    </row>
    <row r="11093" spans="7:14" x14ac:dyDescent="0.3">
      <c r="G11093" s="1"/>
      <c r="N11093" s="1"/>
    </row>
    <row r="11094" spans="7:14" x14ac:dyDescent="0.3">
      <c r="G11094" s="1"/>
      <c r="N11094" s="1"/>
    </row>
    <row r="11095" spans="7:14" x14ac:dyDescent="0.3">
      <c r="G11095" s="1"/>
      <c r="N11095" s="1"/>
    </row>
    <row r="11096" spans="7:14" x14ac:dyDescent="0.3">
      <c r="G11096" s="1"/>
      <c r="N11096" s="1"/>
    </row>
    <row r="11097" spans="7:14" x14ac:dyDescent="0.3">
      <c r="G11097" s="1"/>
      <c r="N11097" s="1"/>
    </row>
    <row r="11098" spans="7:14" x14ac:dyDescent="0.3">
      <c r="G11098" s="1"/>
      <c r="N11098" s="1"/>
    </row>
    <row r="11099" spans="7:14" x14ac:dyDescent="0.3">
      <c r="G11099" s="1"/>
      <c r="N11099" s="1"/>
    </row>
    <row r="11100" spans="7:14" x14ac:dyDescent="0.3">
      <c r="G11100" s="1"/>
      <c r="N11100" s="1"/>
    </row>
    <row r="11101" spans="7:14" x14ac:dyDescent="0.3">
      <c r="G11101" s="1"/>
      <c r="N11101" s="1"/>
    </row>
    <row r="11102" spans="7:14" x14ac:dyDescent="0.3">
      <c r="G11102" s="1"/>
      <c r="N11102" s="1"/>
    </row>
    <row r="11103" spans="7:14" x14ac:dyDescent="0.3">
      <c r="G11103" s="1"/>
      <c r="N11103" s="1"/>
    </row>
    <row r="11104" spans="7:14" x14ac:dyDescent="0.3">
      <c r="G11104" s="1"/>
      <c r="N11104" s="1"/>
    </row>
    <row r="11105" spans="7:14" x14ac:dyDescent="0.3">
      <c r="G11105" s="1"/>
      <c r="N11105" s="1"/>
    </row>
    <row r="11106" spans="7:14" x14ac:dyDescent="0.3">
      <c r="G11106" s="1"/>
      <c r="N11106" s="1"/>
    </row>
    <row r="11107" spans="7:14" x14ac:dyDescent="0.3">
      <c r="G11107" s="1"/>
      <c r="N11107" s="1"/>
    </row>
    <row r="11108" spans="7:14" x14ac:dyDescent="0.3">
      <c r="G11108" s="1"/>
      <c r="N11108" s="1"/>
    </row>
    <row r="11109" spans="7:14" x14ac:dyDescent="0.3">
      <c r="G11109" s="1"/>
      <c r="N11109" s="1"/>
    </row>
    <row r="11110" spans="7:14" x14ac:dyDescent="0.3">
      <c r="G11110" s="1"/>
      <c r="N11110" s="1"/>
    </row>
    <row r="11111" spans="7:14" x14ac:dyDescent="0.3">
      <c r="G11111" s="1"/>
      <c r="N11111" s="1"/>
    </row>
    <row r="11112" spans="7:14" x14ac:dyDescent="0.3">
      <c r="G11112" s="1"/>
      <c r="N11112" s="1"/>
    </row>
    <row r="11113" spans="7:14" x14ac:dyDescent="0.3">
      <c r="G11113" s="1"/>
      <c r="N11113" s="1"/>
    </row>
    <row r="11114" spans="7:14" x14ac:dyDescent="0.3">
      <c r="G11114" s="1"/>
      <c r="N11114" s="1"/>
    </row>
    <row r="11115" spans="7:14" x14ac:dyDescent="0.3">
      <c r="G11115" s="1"/>
      <c r="N11115" s="1"/>
    </row>
    <row r="11116" spans="7:14" x14ac:dyDescent="0.3">
      <c r="G11116" s="1"/>
      <c r="N11116" s="1"/>
    </row>
    <row r="11117" spans="7:14" x14ac:dyDescent="0.3">
      <c r="G11117" s="1"/>
      <c r="N11117" s="1"/>
    </row>
    <row r="11118" spans="7:14" x14ac:dyDescent="0.3">
      <c r="G11118" s="1"/>
      <c r="N11118" s="1"/>
    </row>
    <row r="11119" spans="7:14" x14ac:dyDescent="0.3">
      <c r="G11119" s="1"/>
      <c r="N11119" s="1"/>
    </row>
    <row r="11120" spans="7:14" x14ac:dyDescent="0.3">
      <c r="G11120" s="1"/>
      <c r="N11120" s="1"/>
    </row>
    <row r="11121" spans="7:14" x14ac:dyDescent="0.3">
      <c r="G11121" s="1"/>
      <c r="N11121" s="1"/>
    </row>
    <row r="11122" spans="7:14" x14ac:dyDescent="0.3">
      <c r="G11122" s="1"/>
      <c r="N11122" s="1"/>
    </row>
    <row r="11123" spans="7:14" x14ac:dyDescent="0.3">
      <c r="G11123" s="1"/>
      <c r="N11123" s="1"/>
    </row>
    <row r="11124" spans="7:14" x14ac:dyDescent="0.3">
      <c r="G11124" s="1"/>
      <c r="N11124" s="1"/>
    </row>
    <row r="11125" spans="7:14" x14ac:dyDescent="0.3">
      <c r="G11125" s="1"/>
      <c r="N11125" s="1"/>
    </row>
    <row r="11126" spans="7:14" x14ac:dyDescent="0.3">
      <c r="G11126" s="1"/>
      <c r="N11126" s="1"/>
    </row>
    <row r="11127" spans="7:14" x14ac:dyDescent="0.3">
      <c r="G11127" s="1"/>
      <c r="N11127" s="1"/>
    </row>
    <row r="11128" spans="7:14" x14ac:dyDescent="0.3">
      <c r="G11128" s="1"/>
      <c r="N11128" s="1"/>
    </row>
    <row r="11129" spans="7:14" x14ac:dyDescent="0.3">
      <c r="G11129" s="1"/>
      <c r="N11129" s="1"/>
    </row>
    <row r="11130" spans="7:14" x14ac:dyDescent="0.3">
      <c r="G11130" s="1"/>
      <c r="N11130" s="1"/>
    </row>
    <row r="11131" spans="7:14" x14ac:dyDescent="0.3">
      <c r="G11131" s="1"/>
      <c r="N11131" s="1"/>
    </row>
    <row r="11132" spans="7:14" x14ac:dyDescent="0.3">
      <c r="G11132" s="1"/>
      <c r="N11132" s="1"/>
    </row>
    <row r="11133" spans="7:14" x14ac:dyDescent="0.3">
      <c r="G11133" s="1"/>
      <c r="N11133" s="1"/>
    </row>
    <row r="11134" spans="7:14" x14ac:dyDescent="0.3">
      <c r="G11134" s="1"/>
      <c r="N11134" s="1"/>
    </row>
    <row r="11135" spans="7:14" x14ac:dyDescent="0.3">
      <c r="G11135" s="1"/>
      <c r="N11135" s="1"/>
    </row>
    <row r="11136" spans="7:14" x14ac:dyDescent="0.3">
      <c r="G11136" s="1"/>
      <c r="N11136" s="1"/>
    </row>
    <row r="11137" spans="7:14" x14ac:dyDescent="0.3">
      <c r="G11137" s="1"/>
      <c r="N11137" s="1"/>
    </row>
    <row r="11138" spans="7:14" x14ac:dyDescent="0.3">
      <c r="G11138" s="1"/>
      <c r="N11138" s="1"/>
    </row>
    <row r="11139" spans="7:14" x14ac:dyDescent="0.3">
      <c r="G11139" s="1"/>
      <c r="N11139" s="1"/>
    </row>
    <row r="11140" spans="7:14" x14ac:dyDescent="0.3">
      <c r="G11140" s="1"/>
      <c r="N11140" s="1"/>
    </row>
    <row r="11141" spans="7:14" x14ac:dyDescent="0.3">
      <c r="G11141" s="1"/>
      <c r="N11141" s="1"/>
    </row>
    <row r="11142" spans="7:14" x14ac:dyDescent="0.3">
      <c r="G11142" s="1"/>
      <c r="N11142" s="1"/>
    </row>
    <row r="11143" spans="7:14" x14ac:dyDescent="0.3">
      <c r="G11143" s="1"/>
      <c r="N11143" s="1"/>
    </row>
    <row r="11144" spans="7:14" x14ac:dyDescent="0.3">
      <c r="G11144" s="1"/>
      <c r="N11144" s="1"/>
    </row>
    <row r="11145" spans="7:14" x14ac:dyDescent="0.3">
      <c r="G11145" s="1"/>
      <c r="N11145" s="1"/>
    </row>
    <row r="11146" spans="7:14" x14ac:dyDescent="0.3">
      <c r="G11146" s="1"/>
      <c r="N11146" s="1"/>
    </row>
    <row r="11147" spans="7:14" x14ac:dyDescent="0.3">
      <c r="G11147" s="1"/>
      <c r="N11147" s="1"/>
    </row>
    <row r="11148" spans="7:14" x14ac:dyDescent="0.3">
      <c r="G11148" s="1"/>
      <c r="N11148" s="1"/>
    </row>
    <row r="11149" spans="7:14" x14ac:dyDescent="0.3">
      <c r="G11149" s="1"/>
      <c r="N11149" s="1"/>
    </row>
    <row r="11150" spans="7:14" x14ac:dyDescent="0.3">
      <c r="G11150" s="1"/>
      <c r="N11150" s="1"/>
    </row>
    <row r="11151" spans="7:14" x14ac:dyDescent="0.3">
      <c r="G11151" s="1"/>
      <c r="N11151" s="1"/>
    </row>
    <row r="11152" spans="7:14" x14ac:dyDescent="0.3">
      <c r="G11152" s="1"/>
      <c r="N11152" s="1"/>
    </row>
    <row r="11153" spans="7:14" x14ac:dyDescent="0.3">
      <c r="G11153" s="1"/>
      <c r="N11153" s="1"/>
    </row>
    <row r="11154" spans="7:14" x14ac:dyDescent="0.3">
      <c r="G11154" s="1"/>
      <c r="N11154" s="1"/>
    </row>
    <row r="11155" spans="7:14" x14ac:dyDescent="0.3">
      <c r="G11155" s="1"/>
      <c r="N11155" s="1"/>
    </row>
    <row r="11156" spans="7:14" x14ac:dyDescent="0.3">
      <c r="G11156" s="1"/>
      <c r="N11156" s="1"/>
    </row>
    <row r="11157" spans="7:14" x14ac:dyDescent="0.3">
      <c r="G11157" s="1"/>
      <c r="N11157" s="1"/>
    </row>
    <row r="11158" spans="7:14" x14ac:dyDescent="0.3">
      <c r="G11158" s="1"/>
      <c r="N11158" s="1"/>
    </row>
    <row r="11159" spans="7:14" x14ac:dyDescent="0.3">
      <c r="G11159" s="1"/>
      <c r="N11159" s="1"/>
    </row>
    <row r="11160" spans="7:14" x14ac:dyDescent="0.3">
      <c r="G11160" s="1"/>
      <c r="N11160" s="1"/>
    </row>
    <row r="11161" spans="7:14" x14ac:dyDescent="0.3">
      <c r="G11161" s="1"/>
      <c r="N11161" s="1"/>
    </row>
    <row r="11162" spans="7:14" x14ac:dyDescent="0.3">
      <c r="G11162" s="1"/>
      <c r="N11162" s="1"/>
    </row>
    <row r="11163" spans="7:14" x14ac:dyDescent="0.3">
      <c r="G11163" s="1"/>
      <c r="N11163" s="1"/>
    </row>
    <row r="11164" spans="7:14" x14ac:dyDescent="0.3">
      <c r="G11164" s="1"/>
      <c r="N11164" s="1"/>
    </row>
    <row r="11165" spans="7:14" x14ac:dyDescent="0.3">
      <c r="G11165" s="1"/>
      <c r="N11165" s="1"/>
    </row>
    <row r="11166" spans="7:14" x14ac:dyDescent="0.3">
      <c r="G11166" s="1"/>
      <c r="N11166" s="1"/>
    </row>
    <row r="11167" spans="7:14" x14ac:dyDescent="0.3">
      <c r="G11167" s="1"/>
      <c r="N11167" s="1"/>
    </row>
    <row r="11168" spans="7:14" x14ac:dyDescent="0.3">
      <c r="G11168" s="1"/>
      <c r="N11168" s="1"/>
    </row>
    <row r="11169" spans="7:14" x14ac:dyDescent="0.3">
      <c r="G11169" s="1"/>
      <c r="N11169" s="1"/>
    </row>
    <row r="11170" spans="7:14" x14ac:dyDescent="0.3">
      <c r="G11170" s="1"/>
      <c r="N11170" s="1"/>
    </row>
    <row r="11171" spans="7:14" x14ac:dyDescent="0.3">
      <c r="G11171" s="1"/>
      <c r="N11171" s="1"/>
    </row>
    <row r="11172" spans="7:14" x14ac:dyDescent="0.3">
      <c r="G11172" s="1"/>
      <c r="N11172" s="1"/>
    </row>
    <row r="11173" spans="7:14" x14ac:dyDescent="0.3">
      <c r="G11173" s="1"/>
      <c r="N11173" s="1"/>
    </row>
    <row r="11174" spans="7:14" x14ac:dyDescent="0.3">
      <c r="G11174" s="1"/>
      <c r="N11174" s="1"/>
    </row>
    <row r="11175" spans="7:14" x14ac:dyDescent="0.3">
      <c r="G11175" s="1"/>
      <c r="N11175" s="1"/>
    </row>
    <row r="11176" spans="7:14" x14ac:dyDescent="0.3">
      <c r="G11176" s="1"/>
      <c r="N11176" s="1"/>
    </row>
    <row r="11177" spans="7:14" x14ac:dyDescent="0.3">
      <c r="G11177" s="1"/>
      <c r="N11177" s="1"/>
    </row>
    <row r="11178" spans="7:14" x14ac:dyDescent="0.3">
      <c r="G11178" s="1"/>
      <c r="N11178" s="1"/>
    </row>
    <row r="11179" spans="7:14" x14ac:dyDescent="0.3">
      <c r="G11179" s="1"/>
      <c r="N11179" s="1"/>
    </row>
    <row r="11180" spans="7:14" x14ac:dyDescent="0.3">
      <c r="G11180" s="1"/>
      <c r="N11180" s="1"/>
    </row>
    <row r="11181" spans="7:14" x14ac:dyDescent="0.3">
      <c r="G11181" s="1"/>
      <c r="N11181" s="1"/>
    </row>
    <row r="11182" spans="7:14" x14ac:dyDescent="0.3">
      <c r="G11182" s="1"/>
      <c r="N11182" s="1"/>
    </row>
    <row r="11183" spans="7:14" x14ac:dyDescent="0.3">
      <c r="G11183" s="1"/>
      <c r="N11183" s="1"/>
    </row>
    <row r="11184" spans="7:14" x14ac:dyDescent="0.3">
      <c r="G11184" s="1"/>
      <c r="N11184" s="1"/>
    </row>
    <row r="11185" spans="7:14" x14ac:dyDescent="0.3">
      <c r="G11185" s="1"/>
      <c r="N11185" s="1"/>
    </row>
    <row r="11186" spans="7:14" x14ac:dyDescent="0.3">
      <c r="G11186" s="1"/>
      <c r="N11186" s="1"/>
    </row>
    <row r="11187" spans="7:14" x14ac:dyDescent="0.3">
      <c r="G11187" s="1"/>
      <c r="N11187" s="1"/>
    </row>
    <row r="11188" spans="7:14" x14ac:dyDescent="0.3">
      <c r="G11188" s="1"/>
      <c r="N11188" s="1"/>
    </row>
    <row r="11189" spans="7:14" x14ac:dyDescent="0.3">
      <c r="G11189" s="1"/>
      <c r="N11189" s="1"/>
    </row>
    <row r="11190" spans="7:14" x14ac:dyDescent="0.3">
      <c r="G11190" s="1"/>
      <c r="N11190" s="1"/>
    </row>
    <row r="11191" spans="7:14" x14ac:dyDescent="0.3">
      <c r="G11191" s="1"/>
      <c r="N11191" s="1"/>
    </row>
    <row r="11192" spans="7:14" x14ac:dyDescent="0.3">
      <c r="G11192" s="1"/>
      <c r="N11192" s="1"/>
    </row>
    <row r="11193" spans="7:14" x14ac:dyDescent="0.3">
      <c r="G11193" s="1"/>
      <c r="N11193" s="1"/>
    </row>
    <row r="11194" spans="7:14" x14ac:dyDescent="0.3">
      <c r="G11194" s="1"/>
      <c r="N11194" s="1"/>
    </row>
    <row r="11195" spans="7:14" x14ac:dyDescent="0.3">
      <c r="G11195" s="1"/>
      <c r="N11195" s="1"/>
    </row>
    <row r="11196" spans="7:14" x14ac:dyDescent="0.3">
      <c r="G11196" s="1"/>
      <c r="N11196" s="1"/>
    </row>
    <row r="11197" spans="7:14" x14ac:dyDescent="0.3">
      <c r="G11197" s="1"/>
      <c r="N11197" s="1"/>
    </row>
    <row r="11198" spans="7:14" x14ac:dyDescent="0.3">
      <c r="G11198" s="1"/>
      <c r="N11198" s="1"/>
    </row>
    <row r="11199" spans="7:14" x14ac:dyDescent="0.3">
      <c r="G11199" s="1"/>
      <c r="N11199" s="1"/>
    </row>
    <row r="11200" spans="7:14" x14ac:dyDescent="0.3">
      <c r="G11200" s="1"/>
      <c r="N11200" s="1"/>
    </row>
    <row r="11201" spans="7:14" x14ac:dyDescent="0.3">
      <c r="G11201" s="1"/>
      <c r="N11201" s="1"/>
    </row>
    <row r="11202" spans="7:14" x14ac:dyDescent="0.3">
      <c r="G11202" s="1"/>
      <c r="N11202" s="1"/>
    </row>
    <row r="11203" spans="7:14" x14ac:dyDescent="0.3">
      <c r="G11203" s="1"/>
      <c r="N11203" s="1"/>
    </row>
    <row r="11204" spans="7:14" x14ac:dyDescent="0.3">
      <c r="G11204" s="1"/>
      <c r="N11204" s="1"/>
    </row>
    <row r="11205" spans="7:14" x14ac:dyDescent="0.3">
      <c r="G11205" s="1"/>
      <c r="N11205" s="1"/>
    </row>
    <row r="11206" spans="7:14" x14ac:dyDescent="0.3">
      <c r="G11206" s="1"/>
      <c r="N11206" s="1"/>
    </row>
    <row r="11207" spans="7:14" x14ac:dyDescent="0.3">
      <c r="G11207" s="1"/>
      <c r="N11207" s="1"/>
    </row>
    <row r="11208" spans="7:14" x14ac:dyDescent="0.3">
      <c r="G11208" s="1"/>
      <c r="N11208" s="1"/>
    </row>
    <row r="11209" spans="7:14" x14ac:dyDescent="0.3">
      <c r="G11209" s="1"/>
      <c r="N11209" s="1"/>
    </row>
    <row r="11210" spans="7:14" x14ac:dyDescent="0.3">
      <c r="G11210" s="1"/>
      <c r="N11210" s="1"/>
    </row>
    <row r="11211" spans="7:14" x14ac:dyDescent="0.3">
      <c r="G11211" s="1"/>
      <c r="N11211" s="1"/>
    </row>
    <row r="11212" spans="7:14" x14ac:dyDescent="0.3">
      <c r="G11212" s="1"/>
      <c r="N11212" s="1"/>
    </row>
    <row r="11213" spans="7:14" x14ac:dyDescent="0.3">
      <c r="G11213" s="1"/>
      <c r="N11213" s="1"/>
    </row>
    <row r="11214" spans="7:14" x14ac:dyDescent="0.3">
      <c r="G11214" s="1"/>
      <c r="N11214" s="1"/>
    </row>
    <row r="11215" spans="7:14" x14ac:dyDescent="0.3">
      <c r="G11215" s="1"/>
      <c r="N11215" s="1"/>
    </row>
    <row r="11216" spans="7:14" x14ac:dyDescent="0.3">
      <c r="G11216" s="1"/>
      <c r="N11216" s="1"/>
    </row>
    <row r="11217" spans="7:14" x14ac:dyDescent="0.3">
      <c r="G11217" s="1"/>
      <c r="N11217" s="1"/>
    </row>
    <row r="11218" spans="7:14" x14ac:dyDescent="0.3">
      <c r="G11218" s="1"/>
      <c r="N11218" s="1"/>
    </row>
    <row r="11219" spans="7:14" x14ac:dyDescent="0.3">
      <c r="G11219" s="1"/>
      <c r="N11219" s="1"/>
    </row>
    <row r="11220" spans="7:14" x14ac:dyDescent="0.3">
      <c r="G11220" s="1"/>
      <c r="N11220" s="1"/>
    </row>
    <row r="11221" spans="7:14" x14ac:dyDescent="0.3">
      <c r="G11221" s="1"/>
      <c r="N11221" s="1"/>
    </row>
    <row r="11222" spans="7:14" x14ac:dyDescent="0.3">
      <c r="G11222" s="1"/>
      <c r="N11222" s="1"/>
    </row>
    <row r="11223" spans="7:14" x14ac:dyDescent="0.3">
      <c r="G11223" s="1"/>
      <c r="N11223" s="1"/>
    </row>
    <row r="11224" spans="7:14" x14ac:dyDescent="0.3">
      <c r="G11224" s="1"/>
      <c r="N11224" s="1"/>
    </row>
    <row r="11225" spans="7:14" x14ac:dyDescent="0.3">
      <c r="G11225" s="1"/>
      <c r="N11225" s="1"/>
    </row>
    <row r="11226" spans="7:14" x14ac:dyDescent="0.3">
      <c r="G11226" s="1"/>
      <c r="N11226" s="1"/>
    </row>
    <row r="11227" spans="7:14" x14ac:dyDescent="0.3">
      <c r="G11227" s="1"/>
      <c r="N11227" s="1"/>
    </row>
    <row r="11228" spans="7:14" x14ac:dyDescent="0.3">
      <c r="G11228" s="1"/>
      <c r="N11228" s="1"/>
    </row>
    <row r="11229" spans="7:14" x14ac:dyDescent="0.3">
      <c r="G11229" s="1"/>
      <c r="N11229" s="1"/>
    </row>
    <row r="11230" spans="7:14" x14ac:dyDescent="0.3">
      <c r="G11230" s="1"/>
      <c r="N11230" s="1"/>
    </row>
    <row r="11231" spans="7:14" x14ac:dyDescent="0.3">
      <c r="G11231" s="1"/>
      <c r="N11231" s="1"/>
    </row>
    <row r="11232" spans="7:14" x14ac:dyDescent="0.3">
      <c r="G11232" s="1"/>
      <c r="N11232" s="1"/>
    </row>
    <row r="11233" spans="7:14" x14ac:dyDescent="0.3">
      <c r="G11233" s="1"/>
      <c r="N11233" s="1"/>
    </row>
    <row r="11234" spans="7:14" x14ac:dyDescent="0.3">
      <c r="G11234" s="1"/>
      <c r="N11234" s="1"/>
    </row>
    <row r="11235" spans="7:14" x14ac:dyDescent="0.3">
      <c r="G11235" s="1"/>
      <c r="N11235" s="1"/>
    </row>
    <row r="11236" spans="7:14" x14ac:dyDescent="0.3">
      <c r="G11236" s="1"/>
      <c r="N11236" s="1"/>
    </row>
    <row r="11237" spans="7:14" x14ac:dyDescent="0.3">
      <c r="G11237" s="1"/>
      <c r="N11237" s="1"/>
    </row>
    <row r="11238" spans="7:14" x14ac:dyDescent="0.3">
      <c r="G11238" s="1"/>
      <c r="N11238" s="1"/>
    </row>
    <row r="11239" spans="7:14" x14ac:dyDescent="0.3">
      <c r="G11239" s="1"/>
      <c r="N11239" s="1"/>
    </row>
    <row r="11240" spans="7:14" x14ac:dyDescent="0.3">
      <c r="G11240" s="1"/>
      <c r="N11240" s="1"/>
    </row>
    <row r="11241" spans="7:14" x14ac:dyDescent="0.3">
      <c r="G11241" s="1"/>
      <c r="N11241" s="1"/>
    </row>
    <row r="11242" spans="7:14" x14ac:dyDescent="0.3">
      <c r="G11242" s="1"/>
      <c r="N11242" s="1"/>
    </row>
    <row r="11243" spans="7:14" x14ac:dyDescent="0.3">
      <c r="G11243" s="1"/>
      <c r="N11243" s="1"/>
    </row>
    <row r="11244" spans="7:14" x14ac:dyDescent="0.3">
      <c r="G11244" s="1"/>
      <c r="N11244" s="1"/>
    </row>
    <row r="11245" spans="7:14" x14ac:dyDescent="0.3">
      <c r="G11245" s="1"/>
      <c r="N11245" s="1"/>
    </row>
    <row r="11246" spans="7:14" x14ac:dyDescent="0.3">
      <c r="G11246" s="1"/>
      <c r="N11246" s="1"/>
    </row>
    <row r="11247" spans="7:14" x14ac:dyDescent="0.3">
      <c r="G11247" s="1"/>
      <c r="N11247" s="1"/>
    </row>
    <row r="11248" spans="7:14" x14ac:dyDescent="0.3">
      <c r="G11248" s="1"/>
      <c r="N11248" s="1"/>
    </row>
    <row r="11249" spans="7:14" x14ac:dyDescent="0.3">
      <c r="G11249" s="1"/>
      <c r="N11249" s="1"/>
    </row>
    <row r="11250" spans="7:14" x14ac:dyDescent="0.3">
      <c r="G11250" s="1"/>
      <c r="N11250" s="1"/>
    </row>
    <row r="11251" spans="7:14" x14ac:dyDescent="0.3">
      <c r="G11251" s="1"/>
      <c r="N11251" s="1"/>
    </row>
    <row r="11252" spans="7:14" x14ac:dyDescent="0.3">
      <c r="G11252" s="1"/>
      <c r="N11252" s="1"/>
    </row>
    <row r="11253" spans="7:14" x14ac:dyDescent="0.3">
      <c r="G11253" s="1"/>
      <c r="N11253" s="1"/>
    </row>
    <row r="11254" spans="7:14" x14ac:dyDescent="0.3">
      <c r="G11254" s="1"/>
      <c r="N11254" s="1"/>
    </row>
    <row r="11255" spans="7:14" x14ac:dyDescent="0.3">
      <c r="G11255" s="1"/>
      <c r="N11255" s="1"/>
    </row>
    <row r="11256" spans="7:14" x14ac:dyDescent="0.3">
      <c r="G11256" s="1"/>
      <c r="N11256" s="1"/>
    </row>
    <row r="11257" spans="7:14" x14ac:dyDescent="0.3">
      <c r="G11257" s="1"/>
      <c r="N11257" s="1"/>
    </row>
    <row r="11258" spans="7:14" x14ac:dyDescent="0.3">
      <c r="G11258" s="1"/>
      <c r="N11258" s="1"/>
    </row>
    <row r="11259" spans="7:14" x14ac:dyDescent="0.3">
      <c r="G11259" s="1"/>
      <c r="N11259" s="1"/>
    </row>
    <row r="11260" spans="7:14" x14ac:dyDescent="0.3">
      <c r="G11260" s="1"/>
      <c r="N11260" s="1"/>
    </row>
    <row r="11261" spans="7:14" x14ac:dyDescent="0.3">
      <c r="G11261" s="1"/>
      <c r="N11261" s="1"/>
    </row>
    <row r="11262" spans="7:14" x14ac:dyDescent="0.3">
      <c r="G11262" s="1"/>
      <c r="N11262" s="1"/>
    </row>
    <row r="11263" spans="7:14" x14ac:dyDescent="0.3">
      <c r="G11263" s="1"/>
      <c r="N11263" s="1"/>
    </row>
    <row r="11264" spans="7:14" x14ac:dyDescent="0.3">
      <c r="G11264" s="1"/>
      <c r="N11264" s="1"/>
    </row>
    <row r="11265" spans="7:14" x14ac:dyDescent="0.3">
      <c r="G11265" s="1"/>
      <c r="N11265" s="1"/>
    </row>
    <row r="11266" spans="7:14" x14ac:dyDescent="0.3">
      <c r="G11266" s="1"/>
      <c r="N11266" s="1"/>
    </row>
    <row r="11267" spans="7:14" x14ac:dyDescent="0.3">
      <c r="G11267" s="1"/>
      <c r="N11267" s="1"/>
    </row>
    <row r="11268" spans="7:14" x14ac:dyDescent="0.3">
      <c r="G11268" s="1"/>
      <c r="N11268" s="1"/>
    </row>
    <row r="11269" spans="7:14" x14ac:dyDescent="0.3">
      <c r="G11269" s="1"/>
      <c r="N11269" s="1"/>
    </row>
    <row r="11270" spans="7:14" x14ac:dyDescent="0.3">
      <c r="G11270" s="1"/>
      <c r="N11270" s="1"/>
    </row>
    <row r="11271" spans="7:14" x14ac:dyDescent="0.3">
      <c r="G11271" s="1"/>
      <c r="N11271" s="1"/>
    </row>
    <row r="11272" spans="7:14" x14ac:dyDescent="0.3">
      <c r="G11272" s="1"/>
      <c r="N11272" s="1"/>
    </row>
    <row r="11273" spans="7:14" x14ac:dyDescent="0.3">
      <c r="G11273" s="1"/>
      <c r="N11273" s="1"/>
    </row>
    <row r="11274" spans="7:14" x14ac:dyDescent="0.3">
      <c r="G11274" s="1"/>
      <c r="N11274" s="1"/>
    </row>
    <row r="11275" spans="7:14" x14ac:dyDescent="0.3">
      <c r="G11275" s="1"/>
      <c r="N11275" s="1"/>
    </row>
    <row r="11276" spans="7:14" x14ac:dyDescent="0.3">
      <c r="G11276" s="1"/>
      <c r="N11276" s="1"/>
    </row>
    <row r="11277" spans="7:14" x14ac:dyDescent="0.3">
      <c r="G11277" s="1"/>
      <c r="N11277" s="1"/>
    </row>
    <row r="11278" spans="7:14" x14ac:dyDescent="0.3">
      <c r="G11278" s="1"/>
      <c r="N11278" s="1"/>
    </row>
    <row r="11279" spans="7:14" x14ac:dyDescent="0.3">
      <c r="G11279" s="1"/>
      <c r="N11279" s="1"/>
    </row>
    <row r="11280" spans="7:14" x14ac:dyDescent="0.3">
      <c r="G11280" s="1"/>
      <c r="N11280" s="1"/>
    </row>
    <row r="11281" spans="7:14" x14ac:dyDescent="0.3">
      <c r="G11281" s="1"/>
      <c r="N11281" s="1"/>
    </row>
    <row r="11282" spans="7:14" x14ac:dyDescent="0.3">
      <c r="G11282" s="1"/>
      <c r="N11282" s="1"/>
    </row>
    <row r="11283" spans="7:14" x14ac:dyDescent="0.3">
      <c r="G11283" s="1"/>
      <c r="N11283" s="1"/>
    </row>
    <row r="11284" spans="7:14" x14ac:dyDescent="0.3">
      <c r="G11284" s="1"/>
      <c r="N11284" s="1"/>
    </row>
    <row r="11285" spans="7:14" x14ac:dyDescent="0.3">
      <c r="G11285" s="1"/>
      <c r="N11285" s="1"/>
    </row>
    <row r="11286" spans="7:14" x14ac:dyDescent="0.3">
      <c r="G11286" s="1"/>
      <c r="N11286" s="1"/>
    </row>
    <row r="11287" spans="7:14" x14ac:dyDescent="0.3">
      <c r="G11287" s="1"/>
      <c r="N11287" s="1"/>
    </row>
    <row r="11288" spans="7:14" x14ac:dyDescent="0.3">
      <c r="G11288" s="1"/>
      <c r="N11288" s="1"/>
    </row>
    <row r="11289" spans="7:14" x14ac:dyDescent="0.3">
      <c r="G11289" s="1"/>
      <c r="N11289" s="1"/>
    </row>
    <row r="11290" spans="7:14" x14ac:dyDescent="0.3">
      <c r="G11290" s="1"/>
      <c r="N11290" s="1"/>
    </row>
    <row r="11291" spans="7:14" x14ac:dyDescent="0.3">
      <c r="G11291" s="1"/>
      <c r="N11291" s="1"/>
    </row>
    <row r="11292" spans="7:14" x14ac:dyDescent="0.3">
      <c r="G11292" s="1"/>
      <c r="N11292" s="1"/>
    </row>
    <row r="11293" spans="7:14" x14ac:dyDescent="0.3">
      <c r="G11293" s="1"/>
      <c r="N11293" s="1"/>
    </row>
    <row r="11294" spans="7:14" x14ac:dyDescent="0.3">
      <c r="G11294" s="1"/>
      <c r="N11294" s="1"/>
    </row>
    <row r="11295" spans="7:14" x14ac:dyDescent="0.3">
      <c r="G11295" s="1"/>
      <c r="N11295" s="1"/>
    </row>
    <row r="11296" spans="7:14" x14ac:dyDescent="0.3">
      <c r="G11296" s="1"/>
      <c r="N11296" s="1"/>
    </row>
    <row r="11297" spans="7:14" x14ac:dyDescent="0.3">
      <c r="G11297" s="1"/>
      <c r="N11297" s="1"/>
    </row>
    <row r="11298" spans="7:14" x14ac:dyDescent="0.3">
      <c r="G11298" s="1"/>
      <c r="N11298" s="1"/>
    </row>
    <row r="11299" spans="7:14" x14ac:dyDescent="0.3">
      <c r="G11299" s="1"/>
      <c r="N11299" s="1"/>
    </row>
    <row r="11300" spans="7:14" x14ac:dyDescent="0.3">
      <c r="G11300" s="1"/>
      <c r="N11300" s="1"/>
    </row>
    <row r="11301" spans="7:14" x14ac:dyDescent="0.3">
      <c r="G11301" s="1"/>
      <c r="N11301" s="1"/>
    </row>
    <row r="11302" spans="7:14" x14ac:dyDescent="0.3">
      <c r="G11302" s="1"/>
      <c r="N11302" s="1"/>
    </row>
    <row r="11303" spans="7:14" x14ac:dyDescent="0.3">
      <c r="G11303" s="1"/>
      <c r="N11303" s="1"/>
    </row>
    <row r="11304" spans="7:14" x14ac:dyDescent="0.3">
      <c r="G11304" s="1"/>
      <c r="N11304" s="1"/>
    </row>
    <row r="11305" spans="7:14" x14ac:dyDescent="0.3">
      <c r="G11305" s="1"/>
      <c r="N11305" s="1"/>
    </row>
    <row r="11306" spans="7:14" x14ac:dyDescent="0.3">
      <c r="G11306" s="1"/>
      <c r="N11306" s="1"/>
    </row>
    <row r="11307" spans="7:14" x14ac:dyDescent="0.3">
      <c r="G11307" s="1"/>
      <c r="N11307" s="1"/>
    </row>
    <row r="11308" spans="7:14" x14ac:dyDescent="0.3">
      <c r="G11308" s="1"/>
      <c r="N11308" s="1"/>
    </row>
    <row r="11309" spans="7:14" x14ac:dyDescent="0.3">
      <c r="G11309" s="1"/>
      <c r="N11309" s="1"/>
    </row>
    <row r="11310" spans="7:14" x14ac:dyDescent="0.3">
      <c r="G11310" s="1"/>
      <c r="N11310" s="1"/>
    </row>
    <row r="11311" spans="7:14" x14ac:dyDescent="0.3">
      <c r="G11311" s="1"/>
      <c r="N11311" s="1"/>
    </row>
    <row r="11312" spans="7:14" x14ac:dyDescent="0.3">
      <c r="G11312" s="1"/>
      <c r="N11312" s="1"/>
    </row>
    <row r="11313" spans="7:14" x14ac:dyDescent="0.3">
      <c r="G11313" s="1"/>
      <c r="N11313" s="1"/>
    </row>
    <row r="11314" spans="7:14" x14ac:dyDescent="0.3">
      <c r="G11314" s="1"/>
      <c r="N11314" s="1"/>
    </row>
    <row r="11315" spans="7:14" x14ac:dyDescent="0.3">
      <c r="G11315" s="1"/>
      <c r="N11315" s="1"/>
    </row>
    <row r="11316" spans="7:14" x14ac:dyDescent="0.3">
      <c r="G11316" s="1"/>
      <c r="N11316" s="1"/>
    </row>
    <row r="11317" spans="7:14" x14ac:dyDescent="0.3">
      <c r="G11317" s="1"/>
      <c r="N11317" s="1"/>
    </row>
    <row r="11318" spans="7:14" x14ac:dyDescent="0.3">
      <c r="G11318" s="1"/>
      <c r="N11318" s="1"/>
    </row>
    <row r="11319" spans="7:14" x14ac:dyDescent="0.3">
      <c r="G11319" s="1"/>
      <c r="N11319" s="1"/>
    </row>
    <row r="11320" spans="7:14" x14ac:dyDescent="0.3">
      <c r="G11320" s="1"/>
      <c r="N11320" s="1"/>
    </row>
    <row r="11321" spans="7:14" x14ac:dyDescent="0.3">
      <c r="G11321" s="1"/>
      <c r="N11321" s="1"/>
    </row>
    <row r="11322" spans="7:14" x14ac:dyDescent="0.3">
      <c r="G11322" s="1"/>
      <c r="N11322" s="1"/>
    </row>
    <row r="11323" spans="7:14" x14ac:dyDescent="0.3">
      <c r="G11323" s="1"/>
      <c r="N11323" s="1"/>
    </row>
    <row r="11324" spans="7:14" x14ac:dyDescent="0.3">
      <c r="G11324" s="1"/>
      <c r="N11324" s="1"/>
    </row>
    <row r="11325" spans="7:14" x14ac:dyDescent="0.3">
      <c r="G11325" s="1"/>
      <c r="N11325" s="1"/>
    </row>
    <row r="11326" spans="7:14" x14ac:dyDescent="0.3">
      <c r="G11326" s="1"/>
      <c r="N11326" s="1"/>
    </row>
    <row r="11327" spans="7:14" x14ac:dyDescent="0.3">
      <c r="G11327" s="1"/>
      <c r="N11327" s="1"/>
    </row>
    <row r="11328" spans="7:14" x14ac:dyDescent="0.3">
      <c r="G11328" s="1"/>
      <c r="N11328" s="1"/>
    </row>
    <row r="11329" spans="7:14" x14ac:dyDescent="0.3">
      <c r="G11329" s="1"/>
      <c r="N11329" s="1"/>
    </row>
    <row r="11330" spans="7:14" x14ac:dyDescent="0.3">
      <c r="G11330" s="1"/>
      <c r="N11330" s="1"/>
    </row>
    <row r="11331" spans="7:14" x14ac:dyDescent="0.3">
      <c r="G11331" s="1"/>
      <c r="N11331" s="1"/>
    </row>
    <row r="11332" spans="7:14" x14ac:dyDescent="0.3">
      <c r="G11332" s="1"/>
      <c r="N11332" s="1"/>
    </row>
    <row r="11333" spans="7:14" x14ac:dyDescent="0.3">
      <c r="G11333" s="1"/>
      <c r="N11333" s="1"/>
    </row>
    <row r="11334" spans="7:14" x14ac:dyDescent="0.3">
      <c r="G11334" s="1"/>
      <c r="N11334" s="1"/>
    </row>
    <row r="11335" spans="7:14" x14ac:dyDescent="0.3">
      <c r="G11335" s="1"/>
      <c r="N11335" s="1"/>
    </row>
    <row r="11336" spans="7:14" x14ac:dyDescent="0.3">
      <c r="G11336" s="1"/>
      <c r="N11336" s="1"/>
    </row>
    <row r="11337" spans="7:14" x14ac:dyDescent="0.3">
      <c r="G11337" s="1"/>
      <c r="N11337" s="1"/>
    </row>
    <row r="11338" spans="7:14" x14ac:dyDescent="0.3">
      <c r="G11338" s="1"/>
      <c r="N11338" s="1"/>
    </row>
    <row r="11339" spans="7:14" x14ac:dyDescent="0.3">
      <c r="G11339" s="1"/>
      <c r="N11339" s="1"/>
    </row>
    <row r="11340" spans="7:14" x14ac:dyDescent="0.3">
      <c r="G11340" s="1"/>
      <c r="N11340" s="1"/>
    </row>
    <row r="11341" spans="7:14" x14ac:dyDescent="0.3">
      <c r="G11341" s="1"/>
      <c r="N11341" s="1"/>
    </row>
    <row r="11342" spans="7:14" x14ac:dyDescent="0.3">
      <c r="G11342" s="1"/>
      <c r="N11342" s="1"/>
    </row>
    <row r="11343" spans="7:14" x14ac:dyDescent="0.3">
      <c r="G11343" s="1"/>
      <c r="N11343" s="1"/>
    </row>
    <row r="11344" spans="7:14" x14ac:dyDescent="0.3">
      <c r="G11344" s="1"/>
      <c r="N11344" s="1"/>
    </row>
    <row r="11345" spans="7:14" x14ac:dyDescent="0.3">
      <c r="G11345" s="1"/>
      <c r="N11345" s="1"/>
    </row>
    <row r="11346" spans="7:14" x14ac:dyDescent="0.3">
      <c r="G11346" s="1"/>
      <c r="N11346" s="1"/>
    </row>
    <row r="11347" spans="7:14" x14ac:dyDescent="0.3">
      <c r="G11347" s="1"/>
      <c r="N11347" s="1"/>
    </row>
    <row r="11348" spans="7:14" x14ac:dyDescent="0.3">
      <c r="G11348" s="1"/>
      <c r="N11348" s="1"/>
    </row>
    <row r="11349" spans="7:14" x14ac:dyDescent="0.3">
      <c r="G11349" s="1"/>
      <c r="N11349" s="1"/>
    </row>
    <row r="11350" spans="7:14" x14ac:dyDescent="0.3">
      <c r="G11350" s="1"/>
      <c r="N11350" s="1"/>
    </row>
    <row r="11351" spans="7:14" x14ac:dyDescent="0.3">
      <c r="G11351" s="1"/>
      <c r="N11351" s="1"/>
    </row>
    <row r="11352" spans="7:14" x14ac:dyDescent="0.3">
      <c r="G11352" s="1"/>
      <c r="N11352" s="1"/>
    </row>
    <row r="11353" spans="7:14" x14ac:dyDescent="0.3">
      <c r="G11353" s="1"/>
      <c r="N11353" s="1"/>
    </row>
    <row r="11354" spans="7:14" x14ac:dyDescent="0.3">
      <c r="G11354" s="1"/>
      <c r="N11354" s="1"/>
    </row>
    <row r="11355" spans="7:14" x14ac:dyDescent="0.3">
      <c r="G11355" s="1"/>
      <c r="N11355" s="1"/>
    </row>
    <row r="11356" spans="7:14" x14ac:dyDescent="0.3">
      <c r="G11356" s="1"/>
      <c r="N11356" s="1"/>
    </row>
    <row r="11357" spans="7:14" x14ac:dyDescent="0.3">
      <c r="G11357" s="1"/>
      <c r="N11357" s="1"/>
    </row>
    <row r="11358" spans="7:14" x14ac:dyDescent="0.3">
      <c r="G11358" s="1"/>
      <c r="N11358" s="1"/>
    </row>
    <row r="11359" spans="7:14" x14ac:dyDescent="0.3">
      <c r="G11359" s="1"/>
      <c r="N11359" s="1"/>
    </row>
    <row r="11360" spans="7:14" x14ac:dyDescent="0.3">
      <c r="G11360" s="1"/>
      <c r="N11360" s="1"/>
    </row>
    <row r="11361" spans="7:14" x14ac:dyDescent="0.3">
      <c r="G11361" s="1"/>
      <c r="N11361" s="1"/>
    </row>
    <row r="11362" spans="7:14" x14ac:dyDescent="0.3">
      <c r="G11362" s="1"/>
      <c r="N11362" s="1"/>
    </row>
    <row r="11363" spans="7:14" x14ac:dyDescent="0.3">
      <c r="G11363" s="1"/>
      <c r="N11363" s="1"/>
    </row>
    <row r="11364" spans="7:14" x14ac:dyDescent="0.3">
      <c r="G11364" s="1"/>
      <c r="N11364" s="1"/>
    </row>
    <row r="11365" spans="7:14" x14ac:dyDescent="0.3">
      <c r="G11365" s="1"/>
      <c r="N11365" s="1"/>
    </row>
    <row r="11366" spans="7:14" x14ac:dyDescent="0.3">
      <c r="G11366" s="1"/>
      <c r="N11366" s="1"/>
    </row>
    <row r="11367" spans="7:14" x14ac:dyDescent="0.3">
      <c r="G11367" s="1"/>
      <c r="N11367" s="1"/>
    </row>
    <row r="11368" spans="7:14" x14ac:dyDescent="0.3">
      <c r="G11368" s="1"/>
      <c r="N11368" s="1"/>
    </row>
    <row r="11369" spans="7:14" x14ac:dyDescent="0.3">
      <c r="G11369" s="1"/>
      <c r="N11369" s="1"/>
    </row>
    <row r="11370" spans="7:14" x14ac:dyDescent="0.3">
      <c r="G11370" s="1"/>
      <c r="N11370" s="1"/>
    </row>
    <row r="11371" spans="7:14" x14ac:dyDescent="0.3">
      <c r="G11371" s="1"/>
      <c r="N11371" s="1"/>
    </row>
    <row r="11372" spans="7:14" x14ac:dyDescent="0.3">
      <c r="G11372" s="1"/>
      <c r="N11372" s="1"/>
    </row>
    <row r="11373" spans="7:14" x14ac:dyDescent="0.3">
      <c r="G11373" s="1"/>
      <c r="N11373" s="1"/>
    </row>
    <row r="11374" spans="7:14" x14ac:dyDescent="0.3">
      <c r="G11374" s="1"/>
      <c r="N11374" s="1"/>
    </row>
    <row r="11375" spans="7:14" x14ac:dyDescent="0.3">
      <c r="G11375" s="1"/>
      <c r="N11375" s="1"/>
    </row>
    <row r="11376" spans="7:14" x14ac:dyDescent="0.3">
      <c r="G11376" s="1"/>
      <c r="N11376" s="1"/>
    </row>
    <row r="11377" spans="7:14" x14ac:dyDescent="0.3">
      <c r="G11377" s="1"/>
      <c r="N11377" s="1"/>
    </row>
    <row r="11378" spans="7:14" x14ac:dyDescent="0.3">
      <c r="G11378" s="1"/>
      <c r="N11378" s="1"/>
    </row>
    <row r="11379" spans="7:14" x14ac:dyDescent="0.3">
      <c r="G11379" s="1"/>
      <c r="N11379" s="1"/>
    </row>
    <row r="11380" spans="7:14" x14ac:dyDescent="0.3">
      <c r="G11380" s="1"/>
      <c r="N11380" s="1"/>
    </row>
    <row r="11381" spans="7:14" x14ac:dyDescent="0.3">
      <c r="G11381" s="1"/>
      <c r="N11381" s="1"/>
    </row>
    <row r="11382" spans="7:14" x14ac:dyDescent="0.3">
      <c r="G11382" s="1"/>
      <c r="N11382" s="1"/>
    </row>
    <row r="11383" spans="7:14" x14ac:dyDescent="0.3">
      <c r="G11383" s="1"/>
      <c r="N11383" s="1"/>
    </row>
    <row r="11384" spans="7:14" x14ac:dyDescent="0.3">
      <c r="G11384" s="1"/>
      <c r="N11384" s="1"/>
    </row>
    <row r="11385" spans="7:14" x14ac:dyDescent="0.3">
      <c r="G11385" s="1"/>
      <c r="N11385" s="1"/>
    </row>
    <row r="11386" spans="7:14" x14ac:dyDescent="0.3">
      <c r="G11386" s="1"/>
      <c r="N11386" s="1"/>
    </row>
    <row r="11387" spans="7:14" x14ac:dyDescent="0.3">
      <c r="G11387" s="1"/>
      <c r="N11387" s="1"/>
    </row>
    <row r="11388" spans="7:14" x14ac:dyDescent="0.3">
      <c r="G11388" s="1"/>
      <c r="N11388" s="1"/>
    </row>
    <row r="11389" spans="7:14" x14ac:dyDescent="0.3">
      <c r="G11389" s="1"/>
      <c r="N11389" s="1"/>
    </row>
    <row r="11390" spans="7:14" x14ac:dyDescent="0.3">
      <c r="G11390" s="1"/>
      <c r="N11390" s="1"/>
    </row>
    <row r="11391" spans="7:14" x14ac:dyDescent="0.3">
      <c r="G11391" s="1"/>
      <c r="N11391" s="1"/>
    </row>
    <row r="11392" spans="7:14" x14ac:dyDescent="0.3">
      <c r="G11392" s="1"/>
      <c r="N11392" s="1"/>
    </row>
    <row r="11393" spans="7:14" x14ac:dyDescent="0.3">
      <c r="G11393" s="1"/>
      <c r="N11393" s="1"/>
    </row>
    <row r="11394" spans="7:14" x14ac:dyDescent="0.3">
      <c r="G11394" s="1"/>
      <c r="N11394" s="1"/>
    </row>
    <row r="11395" spans="7:14" x14ac:dyDescent="0.3">
      <c r="G11395" s="1"/>
      <c r="N11395" s="1"/>
    </row>
    <row r="11396" spans="7:14" x14ac:dyDescent="0.3">
      <c r="G11396" s="1"/>
      <c r="N11396" s="1"/>
    </row>
    <row r="11397" spans="7:14" x14ac:dyDescent="0.3">
      <c r="G11397" s="1"/>
      <c r="N11397" s="1"/>
    </row>
    <row r="11398" spans="7:14" x14ac:dyDescent="0.3">
      <c r="G11398" s="1"/>
      <c r="N11398" s="1"/>
    </row>
    <row r="11399" spans="7:14" x14ac:dyDescent="0.3">
      <c r="G11399" s="1"/>
      <c r="N11399" s="1"/>
    </row>
    <row r="11400" spans="7:14" x14ac:dyDescent="0.3">
      <c r="G11400" s="1"/>
      <c r="N11400" s="1"/>
    </row>
    <row r="11401" spans="7:14" x14ac:dyDescent="0.3">
      <c r="G11401" s="1"/>
      <c r="N11401" s="1"/>
    </row>
    <row r="11402" spans="7:14" x14ac:dyDescent="0.3">
      <c r="G11402" s="1"/>
      <c r="N11402" s="1"/>
    </row>
    <row r="11403" spans="7:14" x14ac:dyDescent="0.3">
      <c r="G11403" s="1"/>
      <c r="N11403" s="1"/>
    </row>
    <row r="11404" spans="7:14" x14ac:dyDescent="0.3">
      <c r="G11404" s="1"/>
      <c r="N11404" s="1"/>
    </row>
    <row r="11405" spans="7:14" x14ac:dyDescent="0.3">
      <c r="G11405" s="1"/>
      <c r="N11405" s="1"/>
    </row>
    <row r="11406" spans="7:14" x14ac:dyDescent="0.3">
      <c r="G11406" s="1"/>
      <c r="N11406" s="1"/>
    </row>
    <row r="11407" spans="7:14" x14ac:dyDescent="0.3">
      <c r="G11407" s="1"/>
      <c r="N11407" s="1"/>
    </row>
    <row r="11408" spans="7:14" x14ac:dyDescent="0.3">
      <c r="G11408" s="1"/>
      <c r="N11408" s="1"/>
    </row>
    <row r="11409" spans="7:14" x14ac:dyDescent="0.3">
      <c r="G11409" s="1"/>
      <c r="N11409" s="1"/>
    </row>
    <row r="11410" spans="7:14" x14ac:dyDescent="0.3">
      <c r="G11410" s="1"/>
      <c r="N11410" s="1"/>
    </row>
    <row r="11411" spans="7:14" x14ac:dyDescent="0.3">
      <c r="G11411" s="1"/>
      <c r="N11411" s="1"/>
    </row>
    <row r="11412" spans="7:14" x14ac:dyDescent="0.3">
      <c r="G11412" s="1"/>
      <c r="N11412" s="1"/>
    </row>
    <row r="11413" spans="7:14" x14ac:dyDescent="0.3">
      <c r="G11413" s="1"/>
      <c r="N11413" s="1"/>
    </row>
    <row r="11414" spans="7:14" x14ac:dyDescent="0.3">
      <c r="G11414" s="1"/>
      <c r="N11414" s="1"/>
    </row>
    <row r="11415" spans="7:14" x14ac:dyDescent="0.3">
      <c r="G11415" s="1"/>
      <c r="N11415" s="1"/>
    </row>
    <row r="11416" spans="7:14" x14ac:dyDescent="0.3">
      <c r="G11416" s="1"/>
      <c r="N11416" s="1"/>
    </row>
    <row r="11417" spans="7:14" x14ac:dyDescent="0.3">
      <c r="G11417" s="1"/>
      <c r="N11417" s="1"/>
    </row>
    <row r="11418" spans="7:14" x14ac:dyDescent="0.3">
      <c r="G11418" s="1"/>
      <c r="N11418" s="1"/>
    </row>
    <row r="11419" spans="7:14" x14ac:dyDescent="0.3">
      <c r="G11419" s="1"/>
      <c r="N11419" s="1"/>
    </row>
    <row r="11420" spans="7:14" x14ac:dyDescent="0.3">
      <c r="G11420" s="1"/>
      <c r="N11420" s="1"/>
    </row>
    <row r="11421" spans="7:14" x14ac:dyDescent="0.3">
      <c r="G11421" s="1"/>
      <c r="N11421" s="1"/>
    </row>
    <row r="11422" spans="7:14" x14ac:dyDescent="0.3">
      <c r="G11422" s="1"/>
      <c r="N11422" s="1"/>
    </row>
    <row r="11423" spans="7:14" x14ac:dyDescent="0.3">
      <c r="G11423" s="1"/>
      <c r="N11423" s="1"/>
    </row>
    <row r="11424" spans="7:14" x14ac:dyDescent="0.3">
      <c r="G11424" s="1"/>
      <c r="N11424" s="1"/>
    </row>
    <row r="11425" spans="7:14" x14ac:dyDescent="0.3">
      <c r="G11425" s="1"/>
      <c r="N11425" s="1"/>
    </row>
    <row r="11426" spans="7:14" x14ac:dyDescent="0.3">
      <c r="G11426" s="1"/>
      <c r="N11426" s="1"/>
    </row>
    <row r="11427" spans="7:14" x14ac:dyDescent="0.3">
      <c r="G11427" s="1"/>
      <c r="N11427" s="1"/>
    </row>
    <row r="11428" spans="7:14" x14ac:dyDescent="0.3">
      <c r="G11428" s="1"/>
      <c r="N11428" s="1"/>
    </row>
    <row r="11429" spans="7:14" x14ac:dyDescent="0.3">
      <c r="G11429" s="1"/>
      <c r="N11429" s="1"/>
    </row>
    <row r="11430" spans="7:14" x14ac:dyDescent="0.3">
      <c r="G11430" s="1"/>
      <c r="N11430" s="1"/>
    </row>
    <row r="11431" spans="7:14" x14ac:dyDescent="0.3">
      <c r="G11431" s="1"/>
      <c r="N11431" s="1"/>
    </row>
    <row r="11432" spans="7:14" x14ac:dyDescent="0.3">
      <c r="G11432" s="1"/>
      <c r="N11432" s="1"/>
    </row>
    <row r="11433" spans="7:14" x14ac:dyDescent="0.3">
      <c r="G11433" s="1"/>
      <c r="N11433" s="1"/>
    </row>
    <row r="11434" spans="7:14" x14ac:dyDescent="0.3">
      <c r="G11434" s="1"/>
      <c r="N11434" s="1"/>
    </row>
    <row r="11435" spans="7:14" x14ac:dyDescent="0.3">
      <c r="G11435" s="1"/>
      <c r="N11435" s="1"/>
    </row>
    <row r="11436" spans="7:14" x14ac:dyDescent="0.3">
      <c r="G11436" s="1"/>
      <c r="N11436" s="1"/>
    </row>
    <row r="11437" spans="7:14" x14ac:dyDescent="0.3">
      <c r="G11437" s="1"/>
      <c r="N11437" s="1"/>
    </row>
    <row r="11438" spans="7:14" x14ac:dyDescent="0.3">
      <c r="G11438" s="1"/>
      <c r="N11438" s="1"/>
    </row>
    <row r="11439" spans="7:14" x14ac:dyDescent="0.3">
      <c r="G11439" s="1"/>
      <c r="N11439" s="1"/>
    </row>
    <row r="11440" spans="7:14" x14ac:dyDescent="0.3">
      <c r="G11440" s="1"/>
      <c r="N11440" s="1"/>
    </row>
    <row r="11441" spans="7:14" x14ac:dyDescent="0.3">
      <c r="G11441" s="1"/>
      <c r="N11441" s="1"/>
    </row>
    <row r="11442" spans="7:14" x14ac:dyDescent="0.3">
      <c r="G11442" s="1"/>
      <c r="N11442" s="1"/>
    </row>
    <row r="11443" spans="7:14" x14ac:dyDescent="0.3">
      <c r="G11443" s="1"/>
      <c r="N11443" s="1"/>
    </row>
    <row r="11444" spans="7:14" x14ac:dyDescent="0.3">
      <c r="G11444" s="1"/>
      <c r="N11444" s="1"/>
    </row>
    <row r="11445" spans="7:14" x14ac:dyDescent="0.3">
      <c r="G11445" s="1"/>
      <c r="N11445" s="1"/>
    </row>
    <row r="11446" spans="7:14" x14ac:dyDescent="0.3">
      <c r="G11446" s="1"/>
      <c r="N11446" s="1"/>
    </row>
    <row r="11447" spans="7:14" x14ac:dyDescent="0.3">
      <c r="G11447" s="1"/>
      <c r="N11447" s="1"/>
    </row>
    <row r="11448" spans="7:14" x14ac:dyDescent="0.3">
      <c r="G11448" s="1"/>
      <c r="N11448" s="1"/>
    </row>
    <row r="11449" spans="7:14" x14ac:dyDescent="0.3">
      <c r="G11449" s="1"/>
      <c r="N11449" s="1"/>
    </row>
    <row r="11450" spans="7:14" x14ac:dyDescent="0.3">
      <c r="G11450" s="1"/>
      <c r="N11450" s="1"/>
    </row>
    <row r="11451" spans="7:14" x14ac:dyDescent="0.3">
      <c r="G11451" s="1"/>
      <c r="N11451" s="1"/>
    </row>
    <row r="11452" spans="7:14" x14ac:dyDescent="0.3">
      <c r="G11452" s="1"/>
      <c r="N11452" s="1"/>
    </row>
    <row r="11453" spans="7:14" x14ac:dyDescent="0.3">
      <c r="G11453" s="1"/>
      <c r="N11453" s="1"/>
    </row>
    <row r="11454" spans="7:14" x14ac:dyDescent="0.3">
      <c r="G11454" s="1"/>
      <c r="N11454" s="1"/>
    </row>
    <row r="11455" spans="7:14" x14ac:dyDescent="0.3">
      <c r="G11455" s="1"/>
      <c r="N11455" s="1"/>
    </row>
    <row r="11456" spans="7:14" x14ac:dyDescent="0.3">
      <c r="G11456" s="1"/>
      <c r="N11456" s="1"/>
    </row>
    <row r="11457" spans="7:14" x14ac:dyDescent="0.3">
      <c r="G11457" s="1"/>
      <c r="N11457" s="1"/>
    </row>
    <row r="11458" spans="7:14" x14ac:dyDescent="0.3">
      <c r="G11458" s="1"/>
      <c r="N11458" s="1"/>
    </row>
    <row r="11459" spans="7:14" x14ac:dyDescent="0.3">
      <c r="G11459" s="1"/>
      <c r="N11459" s="1"/>
    </row>
    <row r="11460" spans="7:14" x14ac:dyDescent="0.3">
      <c r="G11460" s="1"/>
      <c r="N11460" s="1"/>
    </row>
    <row r="11461" spans="7:14" x14ac:dyDescent="0.3">
      <c r="G11461" s="1"/>
      <c r="N11461" s="1"/>
    </row>
    <row r="11462" spans="7:14" x14ac:dyDescent="0.3">
      <c r="G11462" s="1"/>
      <c r="N11462" s="1"/>
    </row>
    <row r="11463" spans="7:14" x14ac:dyDescent="0.3">
      <c r="G11463" s="1"/>
      <c r="N11463" s="1"/>
    </row>
    <row r="11464" spans="7:14" x14ac:dyDescent="0.3">
      <c r="G11464" s="1"/>
      <c r="N11464" s="1"/>
    </row>
    <row r="11465" spans="7:14" x14ac:dyDescent="0.3">
      <c r="G11465" s="1"/>
      <c r="N11465" s="1"/>
    </row>
    <row r="11466" spans="7:14" x14ac:dyDescent="0.3">
      <c r="G11466" s="1"/>
      <c r="N11466" s="1"/>
    </row>
    <row r="11467" spans="7:14" x14ac:dyDescent="0.3">
      <c r="G11467" s="1"/>
      <c r="N11467" s="1"/>
    </row>
    <row r="11468" spans="7:14" x14ac:dyDescent="0.3">
      <c r="G11468" s="1"/>
      <c r="N11468" s="1"/>
    </row>
    <row r="11469" spans="7:14" x14ac:dyDescent="0.3">
      <c r="G11469" s="1"/>
      <c r="N11469" s="1"/>
    </row>
    <row r="11470" spans="7:14" x14ac:dyDescent="0.3">
      <c r="G11470" s="1"/>
      <c r="N11470" s="1"/>
    </row>
    <row r="11471" spans="7:14" x14ac:dyDescent="0.3">
      <c r="G11471" s="1"/>
      <c r="N11471" s="1"/>
    </row>
    <row r="11472" spans="7:14" x14ac:dyDescent="0.3">
      <c r="G11472" s="1"/>
      <c r="N11472" s="1"/>
    </row>
    <row r="11473" spans="7:14" x14ac:dyDescent="0.3">
      <c r="G11473" s="1"/>
      <c r="N11473" s="1"/>
    </row>
    <row r="11474" spans="7:14" x14ac:dyDescent="0.3">
      <c r="G11474" s="1"/>
      <c r="N11474" s="1"/>
    </row>
    <row r="11475" spans="7:14" x14ac:dyDescent="0.3">
      <c r="G11475" s="1"/>
      <c r="N11475" s="1"/>
    </row>
    <row r="11476" spans="7:14" x14ac:dyDescent="0.3">
      <c r="G11476" s="1"/>
      <c r="N11476" s="1"/>
    </row>
    <row r="11477" spans="7:14" x14ac:dyDescent="0.3">
      <c r="G11477" s="1"/>
      <c r="N11477" s="1"/>
    </row>
    <row r="11478" spans="7:14" x14ac:dyDescent="0.3">
      <c r="G11478" s="1"/>
      <c r="N11478" s="1"/>
    </row>
    <row r="11479" spans="7:14" x14ac:dyDescent="0.3">
      <c r="G11479" s="1"/>
      <c r="N11479" s="1"/>
    </row>
    <row r="11480" spans="7:14" x14ac:dyDescent="0.3">
      <c r="G11480" s="1"/>
      <c r="N11480" s="1"/>
    </row>
    <row r="11481" spans="7:14" x14ac:dyDescent="0.3">
      <c r="G11481" s="1"/>
      <c r="N11481" s="1"/>
    </row>
    <row r="11482" spans="7:14" x14ac:dyDescent="0.3">
      <c r="G11482" s="1"/>
      <c r="N11482" s="1"/>
    </row>
    <row r="11483" spans="7:14" x14ac:dyDescent="0.3">
      <c r="G11483" s="1"/>
      <c r="N11483" s="1"/>
    </row>
    <row r="11484" spans="7:14" x14ac:dyDescent="0.3">
      <c r="G11484" s="1"/>
      <c r="N11484" s="1"/>
    </row>
    <row r="11485" spans="7:14" x14ac:dyDescent="0.3">
      <c r="G11485" s="1"/>
      <c r="N11485" s="1"/>
    </row>
    <row r="11486" spans="7:14" x14ac:dyDescent="0.3">
      <c r="G11486" s="1"/>
      <c r="N11486" s="1"/>
    </row>
    <row r="11487" spans="7:14" x14ac:dyDescent="0.3">
      <c r="G11487" s="1"/>
      <c r="N11487" s="1"/>
    </row>
    <row r="11488" spans="7:14" x14ac:dyDescent="0.3">
      <c r="G11488" s="1"/>
      <c r="N11488" s="1"/>
    </row>
    <row r="11489" spans="7:14" x14ac:dyDescent="0.3">
      <c r="G11489" s="1"/>
      <c r="N11489" s="1"/>
    </row>
    <row r="11490" spans="7:14" x14ac:dyDescent="0.3">
      <c r="G11490" s="1"/>
      <c r="N11490" s="1"/>
    </row>
    <row r="11491" spans="7:14" x14ac:dyDescent="0.3">
      <c r="G11491" s="1"/>
      <c r="N11491" s="1"/>
    </row>
    <row r="11492" spans="7:14" x14ac:dyDescent="0.3">
      <c r="G11492" s="1"/>
      <c r="N11492" s="1"/>
    </row>
    <row r="11493" spans="7:14" x14ac:dyDescent="0.3">
      <c r="G11493" s="1"/>
      <c r="N11493" s="1"/>
    </row>
    <row r="11494" spans="7:14" x14ac:dyDescent="0.3">
      <c r="G11494" s="1"/>
      <c r="N11494" s="1"/>
    </row>
    <row r="11495" spans="7:14" x14ac:dyDescent="0.3">
      <c r="G11495" s="1"/>
      <c r="N11495" s="1"/>
    </row>
    <row r="11496" spans="7:14" x14ac:dyDescent="0.3">
      <c r="G11496" s="1"/>
      <c r="N11496" s="1"/>
    </row>
    <row r="11497" spans="7:14" x14ac:dyDescent="0.3">
      <c r="G11497" s="1"/>
      <c r="N11497" s="1"/>
    </row>
    <row r="11498" spans="7:14" x14ac:dyDescent="0.3">
      <c r="G11498" s="1"/>
      <c r="N11498" s="1"/>
    </row>
    <row r="11499" spans="7:14" x14ac:dyDescent="0.3">
      <c r="G11499" s="1"/>
      <c r="N11499" s="1"/>
    </row>
    <row r="11500" spans="7:14" x14ac:dyDescent="0.3">
      <c r="G11500" s="1"/>
      <c r="N11500" s="1"/>
    </row>
    <row r="11501" spans="7:14" x14ac:dyDescent="0.3">
      <c r="G11501" s="1"/>
      <c r="N11501" s="1"/>
    </row>
    <row r="11502" spans="7:14" x14ac:dyDescent="0.3">
      <c r="G11502" s="1"/>
      <c r="N11502" s="1"/>
    </row>
    <row r="11503" spans="7:14" x14ac:dyDescent="0.3">
      <c r="G11503" s="1"/>
      <c r="N11503" s="1"/>
    </row>
    <row r="11504" spans="7:14" x14ac:dyDescent="0.3">
      <c r="G11504" s="1"/>
      <c r="N11504" s="1"/>
    </row>
    <row r="11505" spans="7:14" x14ac:dyDescent="0.3">
      <c r="G11505" s="1"/>
      <c r="N11505" s="1"/>
    </row>
    <row r="11506" spans="7:14" x14ac:dyDescent="0.3">
      <c r="G11506" s="1"/>
      <c r="N11506" s="1"/>
    </row>
    <row r="11507" spans="7:14" x14ac:dyDescent="0.3">
      <c r="G11507" s="1"/>
      <c r="N11507" s="1"/>
    </row>
    <row r="11508" spans="7:14" x14ac:dyDescent="0.3">
      <c r="G11508" s="1"/>
      <c r="N11508" s="1"/>
    </row>
    <row r="11509" spans="7:14" x14ac:dyDescent="0.3">
      <c r="G11509" s="1"/>
      <c r="N11509" s="1"/>
    </row>
    <row r="11510" spans="7:14" x14ac:dyDescent="0.3">
      <c r="G11510" s="1"/>
      <c r="N11510" s="1"/>
    </row>
    <row r="11511" spans="7:14" x14ac:dyDescent="0.3">
      <c r="G11511" s="1"/>
      <c r="N11511" s="1"/>
    </row>
    <row r="11512" spans="7:14" x14ac:dyDescent="0.3">
      <c r="G11512" s="1"/>
      <c r="N11512" s="1"/>
    </row>
    <row r="11513" spans="7:14" x14ac:dyDescent="0.3">
      <c r="G11513" s="1"/>
      <c r="N11513" s="1"/>
    </row>
    <row r="11514" spans="7:14" x14ac:dyDescent="0.3">
      <c r="G11514" s="1"/>
      <c r="N11514" s="1"/>
    </row>
    <row r="11515" spans="7:14" x14ac:dyDescent="0.3">
      <c r="G11515" s="1"/>
      <c r="N11515" s="1"/>
    </row>
    <row r="11516" spans="7:14" x14ac:dyDescent="0.3">
      <c r="G11516" s="1"/>
      <c r="N11516" s="1"/>
    </row>
    <row r="11517" spans="7:14" x14ac:dyDescent="0.3">
      <c r="G11517" s="1"/>
      <c r="N11517" s="1"/>
    </row>
    <row r="11518" spans="7:14" x14ac:dyDescent="0.3">
      <c r="G11518" s="1"/>
      <c r="N11518" s="1"/>
    </row>
    <row r="11519" spans="7:14" x14ac:dyDescent="0.3">
      <c r="G11519" s="1"/>
      <c r="N11519" s="1"/>
    </row>
    <row r="11520" spans="7:14" x14ac:dyDescent="0.3">
      <c r="G11520" s="1"/>
      <c r="N11520" s="1"/>
    </row>
    <row r="11521" spans="7:14" x14ac:dyDescent="0.3">
      <c r="G11521" s="1"/>
      <c r="N11521" s="1"/>
    </row>
    <row r="11522" spans="7:14" x14ac:dyDescent="0.3">
      <c r="G11522" s="1"/>
      <c r="N11522" s="1"/>
    </row>
    <row r="11523" spans="7:14" x14ac:dyDescent="0.3">
      <c r="G11523" s="1"/>
      <c r="N11523" s="1"/>
    </row>
    <row r="11524" spans="7:14" x14ac:dyDescent="0.3">
      <c r="G11524" s="1"/>
      <c r="N11524" s="1"/>
    </row>
    <row r="11525" spans="7:14" x14ac:dyDescent="0.3">
      <c r="G11525" s="1"/>
      <c r="N11525" s="1"/>
    </row>
    <row r="11526" spans="7:14" x14ac:dyDescent="0.3">
      <c r="G11526" s="1"/>
      <c r="N11526" s="1"/>
    </row>
    <row r="11527" spans="7:14" x14ac:dyDescent="0.3">
      <c r="G11527" s="1"/>
      <c r="N11527" s="1"/>
    </row>
    <row r="11528" spans="7:14" x14ac:dyDescent="0.3">
      <c r="G11528" s="1"/>
      <c r="N11528" s="1"/>
    </row>
    <row r="11529" spans="7:14" x14ac:dyDescent="0.3">
      <c r="G11529" s="1"/>
      <c r="N11529" s="1"/>
    </row>
    <row r="11530" spans="7:14" x14ac:dyDescent="0.3">
      <c r="G11530" s="1"/>
      <c r="N11530" s="1"/>
    </row>
    <row r="11531" spans="7:14" x14ac:dyDescent="0.3">
      <c r="G11531" s="1"/>
      <c r="N11531" s="1"/>
    </row>
    <row r="11532" spans="7:14" x14ac:dyDescent="0.3">
      <c r="G11532" s="1"/>
      <c r="N11532" s="1"/>
    </row>
    <row r="11533" spans="7:14" x14ac:dyDescent="0.3">
      <c r="G11533" s="1"/>
      <c r="N11533" s="1"/>
    </row>
    <row r="11534" spans="7:14" x14ac:dyDescent="0.3">
      <c r="G11534" s="1"/>
      <c r="N11534" s="1"/>
    </row>
    <row r="11535" spans="7:14" x14ac:dyDescent="0.3">
      <c r="G11535" s="1"/>
      <c r="N11535" s="1"/>
    </row>
    <row r="11536" spans="7:14" x14ac:dyDescent="0.3">
      <c r="G11536" s="1"/>
      <c r="N11536" s="1"/>
    </row>
    <row r="11537" spans="7:14" x14ac:dyDescent="0.3">
      <c r="G11537" s="1"/>
      <c r="N11537" s="1"/>
    </row>
    <row r="11538" spans="7:14" x14ac:dyDescent="0.3">
      <c r="G11538" s="1"/>
      <c r="N11538" s="1"/>
    </row>
    <row r="11539" spans="7:14" x14ac:dyDescent="0.3">
      <c r="G11539" s="1"/>
      <c r="N11539" s="1"/>
    </row>
    <row r="11540" spans="7:14" x14ac:dyDescent="0.3">
      <c r="G11540" s="1"/>
      <c r="N11540" s="1"/>
    </row>
    <row r="11541" spans="7:14" x14ac:dyDescent="0.3">
      <c r="G11541" s="1"/>
      <c r="N11541" s="1"/>
    </row>
    <row r="11542" spans="7:14" x14ac:dyDescent="0.3">
      <c r="G11542" s="1"/>
      <c r="N11542" s="1"/>
    </row>
    <row r="11543" spans="7:14" x14ac:dyDescent="0.3">
      <c r="G11543" s="1"/>
      <c r="N11543" s="1"/>
    </row>
    <row r="11544" spans="7:14" x14ac:dyDescent="0.3">
      <c r="G11544" s="1"/>
      <c r="N11544" s="1"/>
    </row>
    <row r="11545" spans="7:14" x14ac:dyDescent="0.3">
      <c r="G11545" s="1"/>
      <c r="N11545" s="1"/>
    </row>
    <row r="11546" spans="7:14" x14ac:dyDescent="0.3">
      <c r="G11546" s="1"/>
      <c r="N11546" s="1"/>
    </row>
    <row r="11547" spans="7:14" x14ac:dyDescent="0.3">
      <c r="G11547" s="1"/>
      <c r="N11547" s="1"/>
    </row>
    <row r="11548" spans="7:14" x14ac:dyDescent="0.3">
      <c r="G11548" s="1"/>
      <c r="N11548" s="1"/>
    </row>
    <row r="11549" spans="7:14" x14ac:dyDescent="0.3">
      <c r="G11549" s="1"/>
      <c r="N11549" s="1"/>
    </row>
    <row r="11550" spans="7:14" x14ac:dyDescent="0.3">
      <c r="G11550" s="1"/>
      <c r="N11550" s="1"/>
    </row>
    <row r="11551" spans="7:14" x14ac:dyDescent="0.3">
      <c r="G11551" s="1"/>
      <c r="N11551" s="1"/>
    </row>
    <row r="11552" spans="7:14" x14ac:dyDescent="0.3">
      <c r="G11552" s="1"/>
      <c r="N11552" s="1"/>
    </row>
    <row r="11553" spans="7:14" x14ac:dyDescent="0.3">
      <c r="G11553" s="1"/>
      <c r="N11553" s="1"/>
    </row>
    <row r="11554" spans="7:14" x14ac:dyDescent="0.3">
      <c r="G11554" s="1"/>
      <c r="N11554" s="1"/>
    </row>
    <row r="11555" spans="7:14" x14ac:dyDescent="0.3">
      <c r="G11555" s="1"/>
      <c r="N11555" s="1"/>
    </row>
    <row r="11556" spans="7:14" x14ac:dyDescent="0.3">
      <c r="G11556" s="1"/>
      <c r="N11556" s="1"/>
    </row>
    <row r="11557" spans="7:14" x14ac:dyDescent="0.3">
      <c r="G11557" s="1"/>
      <c r="N11557" s="1"/>
    </row>
    <row r="11558" spans="7:14" x14ac:dyDescent="0.3">
      <c r="G11558" s="1"/>
      <c r="N11558" s="1"/>
    </row>
    <row r="11559" spans="7:14" x14ac:dyDescent="0.3">
      <c r="G11559" s="1"/>
      <c r="N11559" s="1"/>
    </row>
    <row r="11560" spans="7:14" x14ac:dyDescent="0.3">
      <c r="G11560" s="1"/>
      <c r="N11560" s="1"/>
    </row>
    <row r="11561" spans="7:14" x14ac:dyDescent="0.3">
      <c r="G11561" s="1"/>
      <c r="N11561" s="1"/>
    </row>
    <row r="11562" spans="7:14" x14ac:dyDescent="0.3">
      <c r="G11562" s="1"/>
      <c r="N11562" s="1"/>
    </row>
    <row r="11563" spans="7:14" x14ac:dyDescent="0.3">
      <c r="G11563" s="1"/>
      <c r="N11563" s="1"/>
    </row>
    <row r="11564" spans="7:14" x14ac:dyDescent="0.3">
      <c r="G11564" s="1"/>
      <c r="N11564" s="1"/>
    </row>
    <row r="11565" spans="7:14" x14ac:dyDescent="0.3">
      <c r="G11565" s="1"/>
      <c r="N11565" s="1"/>
    </row>
    <row r="11566" spans="7:14" x14ac:dyDescent="0.3">
      <c r="G11566" s="1"/>
      <c r="N11566" s="1"/>
    </row>
    <row r="11567" spans="7:14" x14ac:dyDescent="0.3">
      <c r="G11567" s="1"/>
      <c r="N11567" s="1"/>
    </row>
    <row r="11568" spans="7:14" x14ac:dyDescent="0.3">
      <c r="G11568" s="1"/>
      <c r="N11568" s="1"/>
    </row>
    <row r="11569" spans="7:14" x14ac:dyDescent="0.3">
      <c r="G11569" s="1"/>
      <c r="N11569" s="1"/>
    </row>
    <row r="11570" spans="7:14" x14ac:dyDescent="0.3">
      <c r="G11570" s="1"/>
      <c r="N11570" s="1"/>
    </row>
    <row r="11571" spans="7:14" x14ac:dyDescent="0.3">
      <c r="G11571" s="1"/>
      <c r="N11571" s="1"/>
    </row>
    <row r="11572" spans="7:14" x14ac:dyDescent="0.3">
      <c r="G11572" s="1"/>
      <c r="N11572" s="1"/>
    </row>
    <row r="11573" spans="7:14" x14ac:dyDescent="0.3">
      <c r="G11573" s="1"/>
      <c r="N11573" s="1"/>
    </row>
    <row r="11574" spans="7:14" x14ac:dyDescent="0.3">
      <c r="G11574" s="1"/>
      <c r="N11574" s="1"/>
    </row>
    <row r="11575" spans="7:14" x14ac:dyDescent="0.3">
      <c r="G11575" s="1"/>
      <c r="N11575" s="1"/>
    </row>
    <row r="11576" spans="7:14" x14ac:dyDescent="0.3">
      <c r="G11576" s="1"/>
      <c r="N11576" s="1"/>
    </row>
    <row r="11577" spans="7:14" x14ac:dyDescent="0.3">
      <c r="G11577" s="1"/>
      <c r="N11577" s="1"/>
    </row>
    <row r="11578" spans="7:14" x14ac:dyDescent="0.3">
      <c r="G11578" s="1"/>
      <c r="N11578" s="1"/>
    </row>
    <row r="11579" spans="7:14" x14ac:dyDescent="0.3">
      <c r="G11579" s="1"/>
      <c r="N11579" s="1"/>
    </row>
    <row r="11580" spans="7:14" x14ac:dyDescent="0.3">
      <c r="G11580" s="1"/>
      <c r="N11580" s="1"/>
    </row>
    <row r="11581" spans="7:14" x14ac:dyDescent="0.3">
      <c r="G11581" s="1"/>
      <c r="N11581" s="1"/>
    </row>
    <row r="11582" spans="7:14" x14ac:dyDescent="0.3">
      <c r="G11582" s="1"/>
      <c r="N11582" s="1"/>
    </row>
    <row r="11583" spans="7:14" x14ac:dyDescent="0.3">
      <c r="G11583" s="1"/>
      <c r="N11583" s="1"/>
    </row>
    <row r="11584" spans="7:14" x14ac:dyDescent="0.3">
      <c r="G11584" s="1"/>
      <c r="N11584" s="1"/>
    </row>
    <row r="11585" spans="7:14" x14ac:dyDescent="0.3">
      <c r="G11585" s="1"/>
      <c r="N11585" s="1"/>
    </row>
    <row r="11586" spans="7:14" x14ac:dyDescent="0.3">
      <c r="G11586" s="1"/>
      <c r="N11586" s="1"/>
    </row>
    <row r="11587" spans="7:14" x14ac:dyDescent="0.3">
      <c r="G11587" s="1"/>
      <c r="N11587" s="1"/>
    </row>
    <row r="11588" spans="7:14" x14ac:dyDescent="0.3">
      <c r="G11588" s="1"/>
      <c r="N11588" s="1"/>
    </row>
    <row r="11589" spans="7:14" x14ac:dyDescent="0.3">
      <c r="G11589" s="1"/>
      <c r="N11589" s="1"/>
    </row>
    <row r="11590" spans="7:14" x14ac:dyDescent="0.3">
      <c r="G11590" s="1"/>
      <c r="N11590" s="1"/>
    </row>
    <row r="11591" spans="7:14" x14ac:dyDescent="0.3">
      <c r="G11591" s="1"/>
      <c r="N11591" s="1"/>
    </row>
    <row r="11592" spans="7:14" x14ac:dyDescent="0.3">
      <c r="G11592" s="1"/>
      <c r="N11592" s="1"/>
    </row>
    <row r="11593" spans="7:14" x14ac:dyDescent="0.3">
      <c r="G11593" s="1"/>
      <c r="N11593" s="1"/>
    </row>
    <row r="11594" spans="7:14" x14ac:dyDescent="0.3">
      <c r="G11594" s="1"/>
      <c r="N11594" s="1"/>
    </row>
    <row r="11595" spans="7:14" x14ac:dyDescent="0.3">
      <c r="G11595" s="1"/>
      <c r="N11595" s="1"/>
    </row>
    <row r="11596" spans="7:14" x14ac:dyDescent="0.3">
      <c r="G11596" s="1"/>
      <c r="N11596" s="1"/>
    </row>
    <row r="11597" spans="7:14" x14ac:dyDescent="0.3">
      <c r="G11597" s="1"/>
      <c r="N11597" s="1"/>
    </row>
    <row r="11598" spans="7:14" x14ac:dyDescent="0.3">
      <c r="G11598" s="1"/>
      <c r="N11598" s="1"/>
    </row>
    <row r="11599" spans="7:14" x14ac:dyDescent="0.3">
      <c r="G11599" s="1"/>
      <c r="N11599" s="1"/>
    </row>
    <row r="11600" spans="7:14" x14ac:dyDescent="0.3">
      <c r="G11600" s="1"/>
      <c r="N11600" s="1"/>
    </row>
    <row r="11601" spans="7:14" x14ac:dyDescent="0.3">
      <c r="G11601" s="1"/>
      <c r="N11601" s="1"/>
    </row>
    <row r="11602" spans="7:14" x14ac:dyDescent="0.3">
      <c r="G11602" s="1"/>
      <c r="N11602" s="1"/>
    </row>
    <row r="11603" spans="7:14" x14ac:dyDescent="0.3">
      <c r="G11603" s="1"/>
      <c r="N11603" s="1"/>
    </row>
    <row r="11604" spans="7:14" x14ac:dyDescent="0.3">
      <c r="G11604" s="1"/>
      <c r="N11604" s="1"/>
    </row>
    <row r="11605" spans="7:14" x14ac:dyDescent="0.3">
      <c r="G11605" s="1"/>
      <c r="N11605" s="1"/>
    </row>
    <row r="11606" spans="7:14" x14ac:dyDescent="0.3">
      <c r="G11606" s="1"/>
      <c r="N11606" s="1"/>
    </row>
    <row r="11607" spans="7:14" x14ac:dyDescent="0.3">
      <c r="G11607" s="1"/>
      <c r="N11607" s="1"/>
    </row>
    <row r="11608" spans="7:14" x14ac:dyDescent="0.3">
      <c r="G11608" s="1"/>
      <c r="N11608" s="1"/>
    </row>
    <row r="11609" spans="7:14" x14ac:dyDescent="0.3">
      <c r="G11609" s="1"/>
      <c r="N11609" s="1"/>
    </row>
    <row r="11610" spans="7:14" x14ac:dyDescent="0.3">
      <c r="G11610" s="1"/>
      <c r="N11610" s="1"/>
    </row>
    <row r="11611" spans="7:14" x14ac:dyDescent="0.3">
      <c r="G11611" s="1"/>
      <c r="N11611" s="1"/>
    </row>
    <row r="11612" spans="7:14" x14ac:dyDescent="0.3">
      <c r="G11612" s="1"/>
      <c r="N11612" s="1"/>
    </row>
    <row r="11613" spans="7:14" x14ac:dyDescent="0.3">
      <c r="G11613" s="1"/>
      <c r="N11613" s="1"/>
    </row>
    <row r="11614" spans="7:14" x14ac:dyDescent="0.3">
      <c r="G11614" s="1"/>
      <c r="N11614" s="1"/>
    </row>
    <row r="11615" spans="7:14" x14ac:dyDescent="0.3">
      <c r="G11615" s="1"/>
      <c r="N11615" s="1"/>
    </row>
    <row r="11616" spans="7:14" x14ac:dyDescent="0.3">
      <c r="G11616" s="1"/>
      <c r="N11616" s="1"/>
    </row>
    <row r="11617" spans="7:14" x14ac:dyDescent="0.3">
      <c r="G11617" s="1"/>
      <c r="N11617" s="1"/>
    </row>
    <row r="11618" spans="7:14" x14ac:dyDescent="0.3">
      <c r="G11618" s="1"/>
      <c r="N11618" s="1"/>
    </row>
    <row r="11619" spans="7:14" x14ac:dyDescent="0.3">
      <c r="G11619" s="1"/>
      <c r="N11619" s="1"/>
    </row>
    <row r="11620" spans="7:14" x14ac:dyDescent="0.3">
      <c r="G11620" s="1"/>
      <c r="N11620" s="1"/>
    </row>
    <row r="11621" spans="7:14" x14ac:dyDescent="0.3">
      <c r="G11621" s="1"/>
      <c r="N11621" s="1"/>
    </row>
    <row r="11622" spans="7:14" x14ac:dyDescent="0.3">
      <c r="G11622" s="1"/>
      <c r="N11622" s="1"/>
    </row>
    <row r="11623" spans="7:14" x14ac:dyDescent="0.3">
      <c r="G11623" s="1"/>
      <c r="N11623" s="1"/>
    </row>
    <row r="11624" spans="7:14" x14ac:dyDescent="0.3">
      <c r="G11624" s="1"/>
      <c r="N11624" s="1"/>
    </row>
    <row r="11625" spans="7:14" x14ac:dyDescent="0.3">
      <c r="G11625" s="1"/>
      <c r="N11625" s="1"/>
    </row>
    <row r="11626" spans="7:14" x14ac:dyDescent="0.3">
      <c r="G11626" s="1"/>
      <c r="N11626" s="1"/>
    </row>
    <row r="11627" spans="7:14" x14ac:dyDescent="0.3">
      <c r="G11627" s="1"/>
      <c r="N11627" s="1"/>
    </row>
    <row r="11628" spans="7:14" x14ac:dyDescent="0.3">
      <c r="G11628" s="1"/>
      <c r="N11628" s="1"/>
    </row>
    <row r="11629" spans="7:14" x14ac:dyDescent="0.3">
      <c r="G11629" s="1"/>
      <c r="N11629" s="1"/>
    </row>
    <row r="11630" spans="7:14" x14ac:dyDescent="0.3">
      <c r="G11630" s="1"/>
      <c r="N11630" s="1"/>
    </row>
    <row r="11631" spans="7:14" x14ac:dyDescent="0.3">
      <c r="G11631" s="1"/>
      <c r="N11631" s="1"/>
    </row>
    <row r="11632" spans="7:14" x14ac:dyDescent="0.3">
      <c r="G11632" s="1"/>
      <c r="N11632" s="1"/>
    </row>
    <row r="11633" spans="7:14" x14ac:dyDescent="0.3">
      <c r="G11633" s="1"/>
      <c r="N11633" s="1"/>
    </row>
    <row r="11634" spans="7:14" x14ac:dyDescent="0.3">
      <c r="G11634" s="1"/>
      <c r="N11634" s="1"/>
    </row>
    <row r="11635" spans="7:14" x14ac:dyDescent="0.3">
      <c r="G11635" s="1"/>
      <c r="N11635" s="1"/>
    </row>
    <row r="11636" spans="7:14" x14ac:dyDescent="0.3">
      <c r="G11636" s="1"/>
      <c r="N11636" s="1"/>
    </row>
    <row r="11637" spans="7:14" x14ac:dyDescent="0.3">
      <c r="G11637" s="1"/>
      <c r="N11637" s="1"/>
    </row>
    <row r="11638" spans="7:14" x14ac:dyDescent="0.3">
      <c r="G11638" s="1"/>
      <c r="N11638" s="1"/>
    </row>
    <row r="11639" spans="7:14" x14ac:dyDescent="0.3">
      <c r="G11639" s="1"/>
      <c r="N11639" s="1"/>
    </row>
    <row r="11640" spans="7:14" x14ac:dyDescent="0.3">
      <c r="G11640" s="1"/>
      <c r="N11640" s="1"/>
    </row>
    <row r="11641" spans="7:14" x14ac:dyDescent="0.3">
      <c r="G11641" s="1"/>
      <c r="N11641" s="1"/>
    </row>
    <row r="11642" spans="7:14" x14ac:dyDescent="0.3">
      <c r="G11642" s="1"/>
      <c r="N11642" s="1"/>
    </row>
    <row r="11643" spans="7:14" x14ac:dyDescent="0.3">
      <c r="G11643" s="1"/>
      <c r="N11643" s="1"/>
    </row>
    <row r="11644" spans="7:14" x14ac:dyDescent="0.3">
      <c r="G11644" s="1"/>
      <c r="N11644" s="1"/>
    </row>
    <row r="11645" spans="7:14" x14ac:dyDescent="0.3">
      <c r="G11645" s="1"/>
      <c r="N11645" s="1"/>
    </row>
    <row r="11646" spans="7:14" x14ac:dyDescent="0.3">
      <c r="G11646" s="1"/>
      <c r="N11646" s="1"/>
    </row>
    <row r="11647" spans="7:14" x14ac:dyDescent="0.3">
      <c r="G11647" s="1"/>
      <c r="N11647" s="1"/>
    </row>
    <row r="11648" spans="7:14" x14ac:dyDescent="0.3">
      <c r="G11648" s="1"/>
      <c r="N11648" s="1"/>
    </row>
    <row r="11649" spans="7:14" x14ac:dyDescent="0.3">
      <c r="G11649" s="1"/>
      <c r="N11649" s="1"/>
    </row>
    <row r="11650" spans="7:14" x14ac:dyDescent="0.3">
      <c r="G11650" s="1"/>
      <c r="N11650" s="1"/>
    </row>
    <row r="11651" spans="7:14" x14ac:dyDescent="0.3">
      <c r="G11651" s="1"/>
      <c r="N11651" s="1"/>
    </row>
    <row r="11652" spans="7:14" x14ac:dyDescent="0.3">
      <c r="G11652" s="1"/>
      <c r="N11652" s="1"/>
    </row>
    <row r="11653" spans="7:14" x14ac:dyDescent="0.3">
      <c r="G11653" s="1"/>
      <c r="N11653" s="1"/>
    </row>
    <row r="11654" spans="7:14" x14ac:dyDescent="0.3">
      <c r="G11654" s="1"/>
      <c r="N11654" s="1"/>
    </row>
    <row r="11655" spans="7:14" x14ac:dyDescent="0.3">
      <c r="G11655" s="1"/>
      <c r="N11655" s="1"/>
    </row>
    <row r="11656" spans="7:14" x14ac:dyDescent="0.3">
      <c r="G11656" s="1"/>
      <c r="N11656" s="1"/>
    </row>
    <row r="11657" spans="7:14" x14ac:dyDescent="0.3">
      <c r="G11657" s="1"/>
      <c r="N11657" s="1"/>
    </row>
    <row r="11658" spans="7:14" x14ac:dyDescent="0.3">
      <c r="G11658" s="1"/>
      <c r="N11658" s="1"/>
    </row>
    <row r="11659" spans="7:14" x14ac:dyDescent="0.3">
      <c r="G11659" s="1"/>
      <c r="N11659" s="1"/>
    </row>
    <row r="11660" spans="7:14" x14ac:dyDescent="0.3">
      <c r="G11660" s="1"/>
      <c r="N11660" s="1"/>
    </row>
    <row r="11661" spans="7:14" x14ac:dyDescent="0.3">
      <c r="G11661" s="1"/>
      <c r="N11661" s="1"/>
    </row>
    <row r="11662" spans="7:14" x14ac:dyDescent="0.3">
      <c r="G11662" s="1"/>
      <c r="N11662" s="1"/>
    </row>
    <row r="11663" spans="7:14" x14ac:dyDescent="0.3">
      <c r="G11663" s="1"/>
      <c r="N11663" s="1"/>
    </row>
    <row r="11664" spans="7:14" x14ac:dyDescent="0.3">
      <c r="G11664" s="1"/>
      <c r="N11664" s="1"/>
    </row>
    <row r="11665" spans="7:14" x14ac:dyDescent="0.3">
      <c r="G11665" s="1"/>
      <c r="N11665" s="1"/>
    </row>
    <row r="11666" spans="7:14" x14ac:dyDescent="0.3">
      <c r="G11666" s="1"/>
      <c r="N11666" s="1"/>
    </row>
    <row r="11667" spans="7:14" x14ac:dyDescent="0.3">
      <c r="G11667" s="1"/>
      <c r="N11667" s="1"/>
    </row>
    <row r="11668" spans="7:14" x14ac:dyDescent="0.3">
      <c r="G11668" s="1"/>
      <c r="N11668" s="1"/>
    </row>
    <row r="11669" spans="7:14" x14ac:dyDescent="0.3">
      <c r="G11669" s="1"/>
      <c r="N11669" s="1"/>
    </row>
    <row r="11670" spans="7:14" x14ac:dyDescent="0.3">
      <c r="G11670" s="1"/>
      <c r="N11670" s="1"/>
    </row>
    <row r="11671" spans="7:14" x14ac:dyDescent="0.3">
      <c r="G11671" s="1"/>
      <c r="N11671" s="1"/>
    </row>
    <row r="11672" spans="7:14" x14ac:dyDescent="0.3">
      <c r="G11672" s="1"/>
      <c r="N11672" s="1"/>
    </row>
    <row r="11673" spans="7:14" x14ac:dyDescent="0.3">
      <c r="G11673" s="1"/>
      <c r="N11673" s="1"/>
    </row>
    <row r="11674" spans="7:14" x14ac:dyDescent="0.3">
      <c r="G11674" s="1"/>
      <c r="N11674" s="1"/>
    </row>
    <row r="11675" spans="7:14" x14ac:dyDescent="0.3">
      <c r="G11675" s="1"/>
      <c r="N11675" s="1"/>
    </row>
    <row r="11676" spans="7:14" x14ac:dyDescent="0.3">
      <c r="G11676" s="1"/>
      <c r="N11676" s="1"/>
    </row>
    <row r="11677" spans="7:14" x14ac:dyDescent="0.3">
      <c r="G11677" s="1"/>
      <c r="N11677" s="1"/>
    </row>
    <row r="11678" spans="7:14" x14ac:dyDescent="0.3">
      <c r="G11678" s="1"/>
      <c r="N11678" s="1"/>
    </row>
    <row r="11679" spans="7:14" x14ac:dyDescent="0.3">
      <c r="G11679" s="1"/>
      <c r="N11679" s="1"/>
    </row>
    <row r="11680" spans="7:14" x14ac:dyDescent="0.3">
      <c r="G11680" s="1"/>
      <c r="N11680" s="1"/>
    </row>
    <row r="11681" spans="7:14" x14ac:dyDescent="0.3">
      <c r="G11681" s="1"/>
      <c r="N11681" s="1"/>
    </row>
    <row r="11682" spans="7:14" x14ac:dyDescent="0.3">
      <c r="G11682" s="1"/>
      <c r="N11682" s="1"/>
    </row>
    <row r="11683" spans="7:14" x14ac:dyDescent="0.3">
      <c r="G11683" s="1"/>
      <c r="N11683" s="1"/>
    </row>
    <row r="11684" spans="7:14" x14ac:dyDescent="0.3">
      <c r="G11684" s="1"/>
      <c r="N11684" s="1"/>
    </row>
    <row r="11685" spans="7:14" x14ac:dyDescent="0.3">
      <c r="G11685" s="1"/>
      <c r="N11685" s="1"/>
    </row>
    <row r="11686" spans="7:14" x14ac:dyDescent="0.3">
      <c r="G11686" s="1"/>
      <c r="N11686" s="1"/>
    </row>
    <row r="11687" spans="7:14" x14ac:dyDescent="0.3">
      <c r="G11687" s="1"/>
      <c r="N11687" s="1"/>
    </row>
    <row r="11688" spans="7:14" x14ac:dyDescent="0.3">
      <c r="G11688" s="1"/>
      <c r="N11688" s="1"/>
    </row>
    <row r="11689" spans="7:14" x14ac:dyDescent="0.3">
      <c r="G11689" s="1"/>
      <c r="N11689" s="1"/>
    </row>
    <row r="11690" spans="7:14" x14ac:dyDescent="0.3">
      <c r="G11690" s="1"/>
      <c r="N11690" s="1"/>
    </row>
    <row r="11691" spans="7:14" x14ac:dyDescent="0.3">
      <c r="G11691" s="1"/>
      <c r="N11691" s="1"/>
    </row>
    <row r="11692" spans="7:14" x14ac:dyDescent="0.3">
      <c r="G11692" s="1"/>
      <c r="N11692" s="1"/>
    </row>
    <row r="11693" spans="7:14" x14ac:dyDescent="0.3">
      <c r="G11693" s="1"/>
      <c r="N11693" s="1"/>
    </row>
    <row r="11694" spans="7:14" x14ac:dyDescent="0.3">
      <c r="G11694" s="1"/>
      <c r="N11694" s="1"/>
    </row>
    <row r="11695" spans="7:14" x14ac:dyDescent="0.3">
      <c r="G11695" s="1"/>
      <c r="N11695" s="1"/>
    </row>
    <row r="11696" spans="7:14" x14ac:dyDescent="0.3">
      <c r="G11696" s="1"/>
      <c r="N11696" s="1"/>
    </row>
    <row r="11697" spans="7:14" x14ac:dyDescent="0.3">
      <c r="G11697" s="1"/>
      <c r="N11697" s="1"/>
    </row>
    <row r="11698" spans="7:14" x14ac:dyDescent="0.3">
      <c r="G11698" s="1"/>
      <c r="N11698" s="1"/>
    </row>
    <row r="11699" spans="7:14" x14ac:dyDescent="0.3">
      <c r="G11699" s="1"/>
      <c r="N11699" s="1"/>
    </row>
    <row r="11700" spans="7:14" x14ac:dyDescent="0.3">
      <c r="G11700" s="1"/>
      <c r="N11700" s="1"/>
    </row>
    <row r="11701" spans="7:14" x14ac:dyDescent="0.3">
      <c r="G11701" s="1"/>
      <c r="N11701" s="1"/>
    </row>
    <row r="11702" spans="7:14" x14ac:dyDescent="0.3">
      <c r="G11702" s="1"/>
      <c r="N11702" s="1"/>
    </row>
    <row r="11703" spans="7:14" x14ac:dyDescent="0.3">
      <c r="G11703" s="1"/>
      <c r="N11703" s="1"/>
    </row>
    <row r="11704" spans="7:14" x14ac:dyDescent="0.3">
      <c r="G11704" s="1"/>
      <c r="N11704" s="1"/>
    </row>
    <row r="11705" spans="7:14" x14ac:dyDescent="0.3">
      <c r="G11705" s="1"/>
      <c r="N11705" s="1"/>
    </row>
    <row r="11706" spans="7:14" x14ac:dyDescent="0.3">
      <c r="G11706" s="1"/>
      <c r="N11706" s="1"/>
    </row>
    <row r="11707" spans="7:14" x14ac:dyDescent="0.3">
      <c r="G11707" s="1"/>
      <c r="N11707" s="1"/>
    </row>
    <row r="11708" spans="7:14" x14ac:dyDescent="0.3">
      <c r="G11708" s="1"/>
      <c r="N11708" s="1"/>
    </row>
    <row r="11709" spans="7:14" x14ac:dyDescent="0.3">
      <c r="G11709" s="1"/>
      <c r="N11709" s="1"/>
    </row>
    <row r="11710" spans="7:14" x14ac:dyDescent="0.3">
      <c r="G11710" s="1"/>
      <c r="N11710" s="1"/>
    </row>
    <row r="11711" spans="7:14" x14ac:dyDescent="0.3">
      <c r="G11711" s="1"/>
      <c r="N11711" s="1"/>
    </row>
    <row r="11712" spans="7:14" x14ac:dyDescent="0.3">
      <c r="G11712" s="1"/>
      <c r="N11712" s="1"/>
    </row>
    <row r="11713" spans="7:14" x14ac:dyDescent="0.3">
      <c r="G11713" s="1"/>
      <c r="N11713" s="1"/>
    </row>
    <row r="11714" spans="7:14" x14ac:dyDescent="0.3">
      <c r="G11714" s="1"/>
      <c r="N11714" s="1"/>
    </row>
    <row r="11715" spans="7:14" x14ac:dyDescent="0.3">
      <c r="G11715" s="1"/>
      <c r="N11715" s="1"/>
    </row>
    <row r="11716" spans="7:14" x14ac:dyDescent="0.3">
      <c r="G11716" s="1"/>
      <c r="N11716" s="1"/>
    </row>
    <row r="11717" spans="7:14" x14ac:dyDescent="0.3">
      <c r="G11717" s="1"/>
      <c r="N11717" s="1"/>
    </row>
    <row r="11718" spans="7:14" x14ac:dyDescent="0.3">
      <c r="G11718" s="1"/>
      <c r="N11718" s="1"/>
    </row>
    <row r="11719" spans="7:14" x14ac:dyDescent="0.3">
      <c r="G11719" s="1"/>
      <c r="N11719" s="1"/>
    </row>
    <row r="11720" spans="7:14" x14ac:dyDescent="0.3">
      <c r="G11720" s="1"/>
      <c r="N11720" s="1"/>
    </row>
    <row r="11721" spans="7:14" x14ac:dyDescent="0.3">
      <c r="G11721" s="1"/>
      <c r="N11721" s="1"/>
    </row>
    <row r="11722" spans="7:14" x14ac:dyDescent="0.3">
      <c r="G11722" s="1"/>
      <c r="N11722" s="1"/>
    </row>
    <row r="11723" spans="7:14" x14ac:dyDescent="0.3">
      <c r="G11723" s="1"/>
      <c r="N11723" s="1"/>
    </row>
    <row r="11724" spans="7:14" x14ac:dyDescent="0.3">
      <c r="G11724" s="1"/>
      <c r="N11724" s="1"/>
    </row>
    <row r="11725" spans="7:14" x14ac:dyDescent="0.3">
      <c r="G11725" s="1"/>
      <c r="N11725" s="1"/>
    </row>
    <row r="11726" spans="7:14" x14ac:dyDescent="0.3">
      <c r="G11726" s="1"/>
      <c r="N11726" s="1"/>
    </row>
    <row r="11727" spans="7:14" x14ac:dyDescent="0.3">
      <c r="G11727" s="1"/>
      <c r="N11727" s="1"/>
    </row>
    <row r="11728" spans="7:14" x14ac:dyDescent="0.3">
      <c r="G11728" s="1"/>
      <c r="N11728" s="1"/>
    </row>
    <row r="11729" spans="7:14" x14ac:dyDescent="0.3">
      <c r="G11729" s="1"/>
      <c r="N11729" s="1"/>
    </row>
    <row r="11730" spans="7:14" x14ac:dyDescent="0.3">
      <c r="G11730" s="1"/>
      <c r="N11730" s="1"/>
    </row>
    <row r="11731" spans="7:14" x14ac:dyDescent="0.3">
      <c r="G11731" s="1"/>
      <c r="N11731" s="1"/>
    </row>
    <row r="11732" spans="7:14" x14ac:dyDescent="0.3">
      <c r="G11732" s="1"/>
      <c r="N11732" s="1"/>
    </row>
    <row r="11733" spans="7:14" x14ac:dyDescent="0.3">
      <c r="G11733" s="1"/>
      <c r="N11733" s="1"/>
    </row>
    <row r="11734" spans="7:14" x14ac:dyDescent="0.3">
      <c r="G11734" s="1"/>
      <c r="N11734" s="1"/>
    </row>
    <row r="11735" spans="7:14" x14ac:dyDescent="0.3">
      <c r="G11735" s="1"/>
      <c r="N11735" s="1"/>
    </row>
    <row r="11736" spans="7:14" x14ac:dyDescent="0.3">
      <c r="G11736" s="1"/>
      <c r="N11736" s="1"/>
    </row>
    <row r="11737" spans="7:14" x14ac:dyDescent="0.3">
      <c r="G11737" s="1"/>
      <c r="N11737" s="1"/>
    </row>
    <row r="11738" spans="7:14" x14ac:dyDescent="0.3">
      <c r="G11738" s="1"/>
      <c r="N11738" s="1"/>
    </row>
    <row r="11739" spans="7:14" x14ac:dyDescent="0.3">
      <c r="G11739" s="1"/>
      <c r="N11739" s="1"/>
    </row>
    <row r="11740" spans="7:14" x14ac:dyDescent="0.3">
      <c r="G11740" s="1"/>
      <c r="N11740" s="1"/>
    </row>
    <row r="11741" spans="7:14" x14ac:dyDescent="0.3">
      <c r="G11741" s="1"/>
      <c r="N11741" s="1"/>
    </row>
    <row r="11742" spans="7:14" x14ac:dyDescent="0.3">
      <c r="G11742" s="1"/>
      <c r="N11742" s="1"/>
    </row>
    <row r="11743" spans="7:14" x14ac:dyDescent="0.3">
      <c r="G11743" s="1"/>
      <c r="N11743" s="1"/>
    </row>
    <row r="11744" spans="7:14" x14ac:dyDescent="0.3">
      <c r="G11744" s="1"/>
      <c r="N11744" s="1"/>
    </row>
    <row r="11745" spans="7:14" x14ac:dyDescent="0.3">
      <c r="G11745" s="1"/>
      <c r="N11745" s="1"/>
    </row>
    <row r="11746" spans="7:14" x14ac:dyDescent="0.3">
      <c r="G11746" s="1"/>
      <c r="N11746" s="1"/>
    </row>
    <row r="11747" spans="7:14" x14ac:dyDescent="0.3">
      <c r="G11747" s="1"/>
      <c r="N11747" s="1"/>
    </row>
    <row r="11748" spans="7:14" x14ac:dyDescent="0.3">
      <c r="G11748" s="1"/>
      <c r="N11748" s="1"/>
    </row>
    <row r="11749" spans="7:14" x14ac:dyDescent="0.3">
      <c r="G11749" s="1"/>
      <c r="N11749" s="1"/>
    </row>
    <row r="11750" spans="7:14" x14ac:dyDescent="0.3">
      <c r="G11750" s="1"/>
      <c r="N11750" s="1"/>
    </row>
    <row r="11751" spans="7:14" x14ac:dyDescent="0.3">
      <c r="G11751" s="1"/>
      <c r="N11751" s="1"/>
    </row>
    <row r="11752" spans="7:14" x14ac:dyDescent="0.3">
      <c r="G11752" s="1"/>
      <c r="N11752" s="1"/>
    </row>
    <row r="11753" spans="7:14" x14ac:dyDescent="0.3">
      <c r="G11753" s="1"/>
      <c r="N11753" s="1"/>
    </row>
    <row r="11754" spans="7:14" x14ac:dyDescent="0.3">
      <c r="G11754" s="1"/>
      <c r="N11754" s="1"/>
    </row>
    <row r="11755" spans="7:14" x14ac:dyDescent="0.3">
      <c r="G11755" s="1"/>
      <c r="N11755" s="1"/>
    </row>
    <row r="11756" spans="7:14" x14ac:dyDescent="0.3">
      <c r="G11756" s="1"/>
      <c r="N11756" s="1"/>
    </row>
    <row r="11757" spans="7:14" x14ac:dyDescent="0.3">
      <c r="G11757" s="1"/>
      <c r="N11757" s="1"/>
    </row>
    <row r="11758" spans="7:14" x14ac:dyDescent="0.3">
      <c r="G11758" s="1"/>
      <c r="N11758" s="1"/>
    </row>
    <row r="11759" spans="7:14" x14ac:dyDescent="0.3">
      <c r="G11759" s="1"/>
      <c r="N11759" s="1"/>
    </row>
    <row r="11760" spans="7:14" x14ac:dyDescent="0.3">
      <c r="G11760" s="1"/>
      <c r="N11760" s="1"/>
    </row>
    <row r="11761" spans="7:14" x14ac:dyDescent="0.3">
      <c r="G11761" s="1"/>
      <c r="N11761" s="1"/>
    </row>
    <row r="11762" spans="7:14" x14ac:dyDescent="0.3">
      <c r="G11762" s="1"/>
      <c r="N11762" s="1"/>
    </row>
    <row r="11763" spans="7:14" x14ac:dyDescent="0.3">
      <c r="G11763" s="1"/>
      <c r="N11763" s="1"/>
    </row>
    <row r="11764" spans="7:14" x14ac:dyDescent="0.3">
      <c r="G11764" s="1"/>
      <c r="N11764" s="1"/>
    </row>
    <row r="11765" spans="7:14" x14ac:dyDescent="0.3">
      <c r="G11765" s="1"/>
      <c r="N11765" s="1"/>
    </row>
    <row r="11766" spans="7:14" x14ac:dyDescent="0.3">
      <c r="G11766" s="1"/>
      <c r="N11766" s="1"/>
    </row>
    <row r="11767" spans="7:14" x14ac:dyDescent="0.3">
      <c r="G11767" s="1"/>
      <c r="N11767" s="1"/>
    </row>
    <row r="11768" spans="7:14" x14ac:dyDescent="0.3">
      <c r="G11768" s="1"/>
      <c r="N11768" s="1"/>
    </row>
    <row r="11769" spans="7:14" x14ac:dyDescent="0.3">
      <c r="G11769" s="1"/>
      <c r="N11769" s="1"/>
    </row>
    <row r="11770" spans="7:14" x14ac:dyDescent="0.3">
      <c r="G11770" s="1"/>
      <c r="N11770" s="1"/>
    </row>
    <row r="11771" spans="7:14" x14ac:dyDescent="0.3">
      <c r="G11771" s="1"/>
      <c r="N11771" s="1"/>
    </row>
    <row r="11772" spans="7:14" x14ac:dyDescent="0.3">
      <c r="G11772" s="1"/>
      <c r="N11772" s="1"/>
    </row>
    <row r="11773" spans="7:14" x14ac:dyDescent="0.3">
      <c r="G11773" s="1"/>
      <c r="N11773" s="1"/>
    </row>
    <row r="11774" spans="7:14" x14ac:dyDescent="0.3">
      <c r="G11774" s="1"/>
      <c r="N11774" s="1"/>
    </row>
    <row r="11775" spans="7:14" x14ac:dyDescent="0.3">
      <c r="G11775" s="1"/>
      <c r="N11775" s="1"/>
    </row>
    <row r="11776" spans="7:14" x14ac:dyDescent="0.3">
      <c r="G11776" s="1"/>
      <c r="N11776" s="1"/>
    </row>
    <row r="11777" spans="7:14" x14ac:dyDescent="0.3">
      <c r="G11777" s="1"/>
      <c r="N11777" s="1"/>
    </row>
    <row r="11778" spans="7:14" x14ac:dyDescent="0.3">
      <c r="G11778" s="1"/>
      <c r="N11778" s="1"/>
    </row>
    <row r="11779" spans="7:14" x14ac:dyDescent="0.3">
      <c r="G11779" s="1"/>
      <c r="N11779" s="1"/>
    </row>
    <row r="11780" spans="7:14" x14ac:dyDescent="0.3">
      <c r="G11780" s="1"/>
      <c r="N11780" s="1"/>
    </row>
    <row r="11781" spans="7:14" x14ac:dyDescent="0.3">
      <c r="G11781" s="1"/>
      <c r="N11781" s="1"/>
    </row>
    <row r="11782" spans="7:14" x14ac:dyDescent="0.3">
      <c r="G11782" s="1"/>
      <c r="N11782" s="1"/>
    </row>
    <row r="11783" spans="7:14" x14ac:dyDescent="0.3">
      <c r="G11783" s="1"/>
      <c r="N11783" s="1"/>
    </row>
    <row r="11784" spans="7:14" x14ac:dyDescent="0.3">
      <c r="G11784" s="1"/>
      <c r="N11784" s="1"/>
    </row>
    <row r="11785" spans="7:14" x14ac:dyDescent="0.3">
      <c r="G11785" s="1"/>
      <c r="N11785" s="1"/>
    </row>
    <row r="11786" spans="7:14" x14ac:dyDescent="0.3">
      <c r="G11786" s="1"/>
      <c r="N11786" s="1"/>
    </row>
    <row r="11787" spans="7:14" x14ac:dyDescent="0.3">
      <c r="G11787" s="1"/>
      <c r="N11787" s="1"/>
    </row>
    <row r="11788" spans="7:14" x14ac:dyDescent="0.3">
      <c r="G11788" s="1"/>
      <c r="N11788" s="1"/>
    </row>
    <row r="11789" spans="7:14" x14ac:dyDescent="0.3">
      <c r="G11789" s="1"/>
      <c r="N11789" s="1"/>
    </row>
    <row r="11790" spans="7:14" x14ac:dyDescent="0.3">
      <c r="G11790" s="1"/>
      <c r="N11790" s="1"/>
    </row>
    <row r="11791" spans="7:14" x14ac:dyDescent="0.3">
      <c r="G11791" s="1"/>
      <c r="N11791" s="1"/>
    </row>
    <row r="11792" spans="7:14" x14ac:dyDescent="0.3">
      <c r="G11792" s="1"/>
      <c r="N11792" s="1"/>
    </row>
    <row r="11793" spans="7:14" x14ac:dyDescent="0.3">
      <c r="G11793" s="1"/>
      <c r="N11793" s="1"/>
    </row>
    <row r="11794" spans="7:14" x14ac:dyDescent="0.3">
      <c r="G11794" s="1"/>
      <c r="N11794" s="1"/>
    </row>
    <row r="11795" spans="7:14" x14ac:dyDescent="0.3">
      <c r="G11795" s="1"/>
      <c r="N11795" s="1"/>
    </row>
    <row r="11796" spans="7:14" x14ac:dyDescent="0.3">
      <c r="G11796" s="1"/>
      <c r="N11796" s="1"/>
    </row>
    <row r="11797" spans="7:14" x14ac:dyDescent="0.3">
      <c r="G11797" s="1"/>
      <c r="N11797" s="1"/>
    </row>
    <row r="11798" spans="7:14" x14ac:dyDescent="0.3">
      <c r="G11798" s="1"/>
      <c r="N11798" s="1"/>
    </row>
    <row r="11799" spans="7:14" x14ac:dyDescent="0.3">
      <c r="G11799" s="1"/>
      <c r="N11799" s="1"/>
    </row>
    <row r="11800" spans="7:14" x14ac:dyDescent="0.3">
      <c r="G11800" s="1"/>
      <c r="N11800" s="1"/>
    </row>
    <row r="11801" spans="7:14" x14ac:dyDescent="0.3">
      <c r="G11801" s="1"/>
      <c r="N11801" s="1"/>
    </row>
    <row r="11802" spans="7:14" x14ac:dyDescent="0.3">
      <c r="G11802" s="1"/>
      <c r="N11802" s="1"/>
    </row>
    <row r="11803" spans="7:14" x14ac:dyDescent="0.3">
      <c r="G11803" s="1"/>
      <c r="N11803" s="1"/>
    </row>
    <row r="11804" spans="7:14" x14ac:dyDescent="0.3">
      <c r="G11804" s="1"/>
      <c r="N11804" s="1"/>
    </row>
    <row r="11805" spans="7:14" x14ac:dyDescent="0.3">
      <c r="G11805" s="1"/>
      <c r="N11805" s="1"/>
    </row>
    <row r="11806" spans="7:14" x14ac:dyDescent="0.3">
      <c r="G11806" s="1"/>
      <c r="N11806" s="1"/>
    </row>
    <row r="11807" spans="7:14" x14ac:dyDescent="0.3">
      <c r="G11807" s="1"/>
      <c r="N11807" s="1"/>
    </row>
    <row r="11808" spans="7:14" x14ac:dyDescent="0.3">
      <c r="G11808" s="1"/>
      <c r="N11808" s="1"/>
    </row>
    <row r="11809" spans="7:14" x14ac:dyDescent="0.3">
      <c r="G11809" s="1"/>
      <c r="N11809" s="1"/>
    </row>
    <row r="11810" spans="7:14" x14ac:dyDescent="0.3">
      <c r="G11810" s="1"/>
      <c r="N11810" s="1"/>
    </row>
    <row r="11811" spans="7:14" x14ac:dyDescent="0.3">
      <c r="G11811" s="1"/>
      <c r="N11811" s="1"/>
    </row>
    <row r="11812" spans="7:14" x14ac:dyDescent="0.3">
      <c r="G11812" s="1"/>
      <c r="N11812" s="1"/>
    </row>
    <row r="11813" spans="7:14" x14ac:dyDescent="0.3">
      <c r="G11813" s="1"/>
      <c r="N11813" s="1"/>
    </row>
    <row r="11814" spans="7:14" x14ac:dyDescent="0.3">
      <c r="G11814" s="1"/>
      <c r="N11814" s="1"/>
    </row>
    <row r="11815" spans="7:14" x14ac:dyDescent="0.3">
      <c r="G11815" s="1"/>
      <c r="N11815" s="1"/>
    </row>
    <row r="11816" spans="7:14" x14ac:dyDescent="0.3">
      <c r="G11816" s="1"/>
      <c r="N11816" s="1"/>
    </row>
    <row r="11817" spans="7:14" x14ac:dyDescent="0.3">
      <c r="G11817" s="1"/>
      <c r="N11817" s="1"/>
    </row>
    <row r="11818" spans="7:14" x14ac:dyDescent="0.3">
      <c r="G11818" s="1"/>
      <c r="N11818" s="1"/>
    </row>
    <row r="11819" spans="7:14" x14ac:dyDescent="0.3">
      <c r="G11819" s="1"/>
      <c r="N11819" s="1"/>
    </row>
    <row r="11820" spans="7:14" x14ac:dyDescent="0.3">
      <c r="G11820" s="1"/>
      <c r="N11820" s="1"/>
    </row>
    <row r="11821" spans="7:14" x14ac:dyDescent="0.3">
      <c r="G11821" s="1"/>
      <c r="N11821" s="1"/>
    </row>
    <row r="11822" spans="7:14" x14ac:dyDescent="0.3">
      <c r="G11822" s="1"/>
      <c r="N11822" s="1"/>
    </row>
    <row r="11823" spans="7:14" x14ac:dyDescent="0.3">
      <c r="G11823" s="1"/>
      <c r="N11823" s="1"/>
    </row>
    <row r="11824" spans="7:14" x14ac:dyDescent="0.3">
      <c r="G11824" s="1"/>
      <c r="N11824" s="1"/>
    </row>
    <row r="11825" spans="7:14" x14ac:dyDescent="0.3">
      <c r="G11825" s="1"/>
      <c r="N11825" s="1"/>
    </row>
    <row r="11826" spans="7:14" x14ac:dyDescent="0.3">
      <c r="G11826" s="1"/>
      <c r="N11826" s="1"/>
    </row>
    <row r="11827" spans="7:14" x14ac:dyDescent="0.3">
      <c r="G11827" s="1"/>
      <c r="N11827" s="1"/>
    </row>
    <row r="11828" spans="7:14" x14ac:dyDescent="0.3">
      <c r="G11828" s="1"/>
      <c r="N11828" s="1"/>
    </row>
    <row r="11829" spans="7:14" x14ac:dyDescent="0.3">
      <c r="G11829" s="1"/>
      <c r="N11829" s="1"/>
    </row>
    <row r="11830" spans="7:14" x14ac:dyDescent="0.3">
      <c r="G11830" s="1"/>
      <c r="N11830" s="1"/>
    </row>
    <row r="11831" spans="7:14" x14ac:dyDescent="0.3">
      <c r="G11831" s="1"/>
      <c r="N11831" s="1"/>
    </row>
    <row r="11832" spans="7:14" x14ac:dyDescent="0.3">
      <c r="G11832" s="1"/>
      <c r="N11832" s="1"/>
    </row>
    <row r="11833" spans="7:14" x14ac:dyDescent="0.3">
      <c r="G11833" s="1"/>
      <c r="N11833" s="1"/>
    </row>
    <row r="11834" spans="7:14" x14ac:dyDescent="0.3">
      <c r="G11834" s="1"/>
      <c r="N11834" s="1"/>
    </row>
    <row r="11835" spans="7:14" x14ac:dyDescent="0.3">
      <c r="G11835" s="1"/>
      <c r="N11835" s="1"/>
    </row>
    <row r="11836" spans="7:14" x14ac:dyDescent="0.3">
      <c r="G11836" s="1"/>
      <c r="N11836" s="1"/>
    </row>
    <row r="11837" spans="7:14" x14ac:dyDescent="0.3">
      <c r="G11837" s="1"/>
      <c r="N11837" s="1"/>
    </row>
    <row r="11838" spans="7:14" x14ac:dyDescent="0.3">
      <c r="G11838" s="1"/>
      <c r="N11838" s="1"/>
    </row>
    <row r="11839" spans="7:14" x14ac:dyDescent="0.3">
      <c r="G11839" s="1"/>
      <c r="N11839" s="1"/>
    </row>
    <row r="11840" spans="7:14" x14ac:dyDescent="0.3">
      <c r="G11840" s="1"/>
      <c r="N11840" s="1"/>
    </row>
    <row r="11841" spans="7:14" x14ac:dyDescent="0.3">
      <c r="G11841" s="1"/>
      <c r="N11841" s="1"/>
    </row>
    <row r="11842" spans="7:14" x14ac:dyDescent="0.3">
      <c r="G11842" s="1"/>
      <c r="N11842" s="1"/>
    </row>
    <row r="11843" spans="7:14" x14ac:dyDescent="0.3">
      <c r="G11843" s="1"/>
      <c r="N11843" s="1"/>
    </row>
    <row r="11844" spans="7:14" x14ac:dyDescent="0.3">
      <c r="G11844" s="1"/>
      <c r="N11844" s="1"/>
    </row>
    <row r="11845" spans="7:14" x14ac:dyDescent="0.3">
      <c r="G11845" s="1"/>
      <c r="N11845" s="1"/>
    </row>
    <row r="11846" spans="7:14" x14ac:dyDescent="0.3">
      <c r="G11846" s="1"/>
      <c r="N11846" s="1"/>
    </row>
    <row r="11847" spans="7:14" x14ac:dyDescent="0.3">
      <c r="G11847" s="1"/>
      <c r="N11847" s="1"/>
    </row>
    <row r="11848" spans="7:14" x14ac:dyDescent="0.3">
      <c r="G11848" s="1"/>
      <c r="N11848" s="1"/>
    </row>
    <row r="11849" spans="7:14" x14ac:dyDescent="0.3">
      <c r="G11849" s="1"/>
      <c r="N11849" s="1"/>
    </row>
    <row r="11850" spans="7:14" x14ac:dyDescent="0.3">
      <c r="G11850" s="1"/>
      <c r="N11850" s="1"/>
    </row>
    <row r="11851" spans="7:14" x14ac:dyDescent="0.3">
      <c r="G11851" s="1"/>
      <c r="N11851" s="1"/>
    </row>
    <row r="11852" spans="7:14" x14ac:dyDescent="0.3">
      <c r="G11852" s="1"/>
      <c r="N11852" s="1"/>
    </row>
    <row r="11853" spans="7:14" x14ac:dyDescent="0.3">
      <c r="G11853" s="1"/>
      <c r="N11853" s="1"/>
    </row>
    <row r="11854" spans="7:14" x14ac:dyDescent="0.3">
      <c r="G11854" s="1"/>
      <c r="N11854" s="1"/>
    </row>
    <row r="11855" spans="7:14" x14ac:dyDescent="0.3">
      <c r="G11855" s="1"/>
      <c r="N11855" s="1"/>
    </row>
    <row r="11856" spans="7:14" x14ac:dyDescent="0.3">
      <c r="G11856" s="1"/>
      <c r="N11856" s="1"/>
    </row>
    <row r="11857" spans="7:14" x14ac:dyDescent="0.3">
      <c r="G11857" s="1"/>
      <c r="N11857" s="1"/>
    </row>
    <row r="11858" spans="7:14" x14ac:dyDescent="0.3">
      <c r="G11858" s="1"/>
      <c r="N11858" s="1"/>
    </row>
    <row r="11859" spans="7:14" x14ac:dyDescent="0.3">
      <c r="G11859" s="1"/>
      <c r="N11859" s="1"/>
    </row>
    <row r="11860" spans="7:14" x14ac:dyDescent="0.3">
      <c r="G11860" s="1"/>
      <c r="N11860" s="1"/>
    </row>
    <row r="11861" spans="7:14" x14ac:dyDescent="0.3">
      <c r="G11861" s="1"/>
      <c r="N11861" s="1"/>
    </row>
    <row r="11862" spans="7:14" x14ac:dyDescent="0.3">
      <c r="G11862" s="1"/>
      <c r="N11862" s="1"/>
    </row>
    <row r="11863" spans="7:14" x14ac:dyDescent="0.3">
      <c r="G11863" s="1"/>
      <c r="N11863" s="1"/>
    </row>
    <row r="11864" spans="7:14" x14ac:dyDescent="0.3">
      <c r="G11864" s="1"/>
      <c r="N11864" s="1"/>
    </row>
    <row r="11865" spans="7:14" x14ac:dyDescent="0.3">
      <c r="G11865" s="1"/>
      <c r="N11865" s="1"/>
    </row>
    <row r="11866" spans="7:14" x14ac:dyDescent="0.3">
      <c r="G11866" s="1"/>
      <c r="N11866" s="1"/>
    </row>
    <row r="11867" spans="7:14" x14ac:dyDescent="0.3">
      <c r="G11867" s="1"/>
      <c r="N11867" s="1"/>
    </row>
    <row r="11868" spans="7:14" x14ac:dyDescent="0.3">
      <c r="G11868" s="1"/>
      <c r="N11868" s="1"/>
    </row>
    <row r="11869" spans="7:14" x14ac:dyDescent="0.3">
      <c r="G11869" s="1"/>
      <c r="N11869" s="1"/>
    </row>
    <row r="11870" spans="7:14" x14ac:dyDescent="0.3">
      <c r="G11870" s="1"/>
      <c r="N11870" s="1"/>
    </row>
    <row r="11871" spans="7:14" x14ac:dyDescent="0.3">
      <c r="G11871" s="1"/>
      <c r="N11871" s="1"/>
    </row>
    <row r="11872" spans="7:14" x14ac:dyDescent="0.3">
      <c r="G11872" s="1"/>
      <c r="N11872" s="1"/>
    </row>
    <row r="11873" spans="7:14" x14ac:dyDescent="0.3">
      <c r="G11873" s="1"/>
      <c r="N11873" s="1"/>
    </row>
    <row r="11874" spans="7:14" x14ac:dyDescent="0.3">
      <c r="G11874" s="1"/>
      <c r="N11874" s="1"/>
    </row>
    <row r="11875" spans="7:14" x14ac:dyDescent="0.3">
      <c r="G11875" s="1"/>
      <c r="N11875" s="1"/>
    </row>
    <row r="11876" spans="7:14" x14ac:dyDescent="0.3">
      <c r="G11876" s="1"/>
      <c r="N11876" s="1"/>
    </row>
    <row r="11877" spans="7:14" x14ac:dyDescent="0.3">
      <c r="G11877" s="1"/>
      <c r="N11877" s="1"/>
    </row>
    <row r="11878" spans="7:14" x14ac:dyDescent="0.3">
      <c r="G11878" s="1"/>
      <c r="N11878" s="1"/>
    </row>
    <row r="11879" spans="7:14" x14ac:dyDescent="0.3">
      <c r="G11879" s="1"/>
      <c r="N11879" s="1"/>
    </row>
    <row r="11880" spans="7:14" x14ac:dyDescent="0.3">
      <c r="G11880" s="1"/>
      <c r="N11880" s="1"/>
    </row>
    <row r="11881" spans="7:14" x14ac:dyDescent="0.3">
      <c r="G11881" s="1"/>
      <c r="N11881" s="1"/>
    </row>
    <row r="11882" spans="7:14" x14ac:dyDescent="0.3">
      <c r="G11882" s="1"/>
      <c r="N11882" s="1"/>
    </row>
    <row r="11883" spans="7:14" x14ac:dyDescent="0.3">
      <c r="G11883" s="1"/>
      <c r="N11883" s="1"/>
    </row>
    <row r="11884" spans="7:14" x14ac:dyDescent="0.3">
      <c r="G11884" s="1"/>
      <c r="N11884" s="1"/>
    </row>
    <row r="11885" spans="7:14" x14ac:dyDescent="0.3">
      <c r="G11885" s="1"/>
      <c r="N11885" s="1"/>
    </row>
    <row r="11886" spans="7:14" x14ac:dyDescent="0.3">
      <c r="G11886" s="1"/>
      <c r="N11886" s="1"/>
    </row>
    <row r="11887" spans="7:14" x14ac:dyDescent="0.3">
      <c r="G11887" s="1"/>
      <c r="N11887" s="1"/>
    </row>
    <row r="11888" spans="7:14" x14ac:dyDescent="0.3">
      <c r="G11888" s="1"/>
      <c r="N11888" s="1"/>
    </row>
    <row r="11889" spans="7:14" x14ac:dyDescent="0.3">
      <c r="G11889" s="1"/>
      <c r="N11889" s="1"/>
    </row>
    <row r="11890" spans="7:14" x14ac:dyDescent="0.3">
      <c r="G11890" s="1"/>
      <c r="N11890" s="1"/>
    </row>
    <row r="11891" spans="7:14" x14ac:dyDescent="0.3">
      <c r="G11891" s="1"/>
      <c r="N11891" s="1"/>
    </row>
    <row r="11892" spans="7:14" x14ac:dyDescent="0.3">
      <c r="G11892" s="1"/>
      <c r="N11892" s="1"/>
    </row>
    <row r="11893" spans="7:14" x14ac:dyDescent="0.3">
      <c r="G11893" s="1"/>
      <c r="N11893" s="1"/>
    </row>
    <row r="11894" spans="7:14" x14ac:dyDescent="0.3">
      <c r="G11894" s="1"/>
      <c r="N11894" s="1"/>
    </row>
    <row r="11895" spans="7:14" x14ac:dyDescent="0.3">
      <c r="G11895" s="1"/>
      <c r="N11895" s="1"/>
    </row>
    <row r="11896" spans="7:14" x14ac:dyDescent="0.3">
      <c r="G11896" s="1"/>
      <c r="N11896" s="1"/>
    </row>
    <row r="11897" spans="7:14" x14ac:dyDescent="0.3">
      <c r="G11897" s="1"/>
      <c r="N11897" s="1"/>
    </row>
    <row r="11898" spans="7:14" x14ac:dyDescent="0.3">
      <c r="G11898" s="1"/>
      <c r="N11898" s="1"/>
    </row>
    <row r="11899" spans="7:14" x14ac:dyDescent="0.3">
      <c r="G11899" s="1"/>
      <c r="N11899" s="1"/>
    </row>
    <row r="11900" spans="7:14" x14ac:dyDescent="0.3">
      <c r="G11900" s="1"/>
      <c r="N11900" s="1"/>
    </row>
    <row r="11901" spans="7:14" x14ac:dyDescent="0.3">
      <c r="G11901" s="1"/>
      <c r="N11901" s="1"/>
    </row>
    <row r="11902" spans="7:14" x14ac:dyDescent="0.3">
      <c r="G11902" s="1"/>
      <c r="N11902" s="1"/>
    </row>
    <row r="11903" spans="7:14" x14ac:dyDescent="0.3">
      <c r="G11903" s="1"/>
      <c r="N11903" s="1"/>
    </row>
    <row r="11904" spans="7:14" x14ac:dyDescent="0.3">
      <c r="G11904" s="1"/>
      <c r="N11904" s="1"/>
    </row>
    <row r="11905" spans="7:14" x14ac:dyDescent="0.3">
      <c r="G11905" s="1"/>
      <c r="N11905" s="1"/>
    </row>
    <row r="11906" spans="7:14" x14ac:dyDescent="0.3">
      <c r="G11906" s="1"/>
      <c r="N11906" s="1"/>
    </row>
    <row r="11907" spans="7:14" x14ac:dyDescent="0.3">
      <c r="G11907" s="1"/>
      <c r="N11907" s="1"/>
    </row>
    <row r="11908" spans="7:14" x14ac:dyDescent="0.3">
      <c r="G11908" s="1"/>
      <c r="N11908" s="1"/>
    </row>
    <row r="11909" spans="7:14" x14ac:dyDescent="0.3">
      <c r="G11909" s="1"/>
      <c r="N11909" s="1"/>
    </row>
    <row r="11910" spans="7:14" x14ac:dyDescent="0.3">
      <c r="G11910" s="1"/>
      <c r="N11910" s="1"/>
    </row>
    <row r="11911" spans="7:14" x14ac:dyDescent="0.3">
      <c r="G11911" s="1"/>
      <c r="N11911" s="1"/>
    </row>
    <row r="11912" spans="7:14" x14ac:dyDescent="0.3">
      <c r="G11912" s="1"/>
      <c r="N11912" s="1"/>
    </row>
    <row r="11913" spans="7:14" x14ac:dyDescent="0.3">
      <c r="G11913" s="1"/>
      <c r="N11913" s="1"/>
    </row>
    <row r="11914" spans="7:14" x14ac:dyDescent="0.3">
      <c r="G11914" s="1"/>
      <c r="N11914" s="1"/>
    </row>
    <row r="11915" spans="7:14" x14ac:dyDescent="0.3">
      <c r="G11915" s="1"/>
      <c r="N11915" s="1"/>
    </row>
    <row r="11916" spans="7:14" x14ac:dyDescent="0.3">
      <c r="G11916" s="1"/>
      <c r="N11916" s="1"/>
    </row>
    <row r="11917" spans="7:14" x14ac:dyDescent="0.3">
      <c r="G11917" s="1"/>
      <c r="N11917" s="1"/>
    </row>
    <row r="11918" spans="7:14" x14ac:dyDescent="0.3">
      <c r="G11918" s="1"/>
      <c r="N11918" s="1"/>
    </row>
    <row r="11919" spans="7:14" x14ac:dyDescent="0.3">
      <c r="G11919" s="1"/>
      <c r="N11919" s="1"/>
    </row>
    <row r="11920" spans="7:14" x14ac:dyDescent="0.3">
      <c r="G11920" s="1"/>
      <c r="N11920" s="1"/>
    </row>
    <row r="11921" spans="7:14" x14ac:dyDescent="0.3">
      <c r="G11921" s="1"/>
      <c r="N11921" s="1"/>
    </row>
    <row r="11922" spans="7:14" x14ac:dyDescent="0.3">
      <c r="G11922" s="1"/>
      <c r="N11922" s="1"/>
    </row>
    <row r="11923" spans="7:14" x14ac:dyDescent="0.3">
      <c r="G11923" s="1"/>
      <c r="N11923" s="1"/>
    </row>
    <row r="11924" spans="7:14" x14ac:dyDescent="0.3">
      <c r="G11924" s="1"/>
      <c r="N11924" s="1"/>
    </row>
    <row r="11925" spans="7:14" x14ac:dyDescent="0.3">
      <c r="G11925" s="1"/>
      <c r="N11925" s="1"/>
    </row>
    <row r="11926" spans="7:14" x14ac:dyDescent="0.3">
      <c r="G11926" s="1"/>
      <c r="N11926" s="1"/>
    </row>
    <row r="11927" spans="7:14" x14ac:dyDescent="0.3">
      <c r="G11927" s="1"/>
      <c r="N11927" s="1"/>
    </row>
    <row r="11928" spans="7:14" x14ac:dyDescent="0.3">
      <c r="G11928" s="1"/>
      <c r="N11928" s="1"/>
    </row>
    <row r="11929" spans="7:14" x14ac:dyDescent="0.3">
      <c r="G11929" s="1"/>
      <c r="N11929" s="1"/>
    </row>
    <row r="11930" spans="7:14" x14ac:dyDescent="0.3">
      <c r="G11930" s="1"/>
      <c r="N11930" s="1"/>
    </row>
    <row r="11931" spans="7:14" x14ac:dyDescent="0.3">
      <c r="G11931" s="1"/>
      <c r="N11931" s="1"/>
    </row>
    <row r="11932" spans="7:14" x14ac:dyDescent="0.3">
      <c r="G11932" s="1"/>
      <c r="N11932" s="1"/>
    </row>
    <row r="11933" spans="7:14" x14ac:dyDescent="0.3">
      <c r="G11933" s="1"/>
      <c r="N11933" s="1"/>
    </row>
    <row r="11934" spans="7:14" x14ac:dyDescent="0.3">
      <c r="G11934" s="1"/>
      <c r="N11934" s="1"/>
    </row>
    <row r="11935" spans="7:14" x14ac:dyDescent="0.3">
      <c r="G11935" s="1"/>
      <c r="N11935" s="1"/>
    </row>
    <row r="11936" spans="7:14" x14ac:dyDescent="0.3">
      <c r="G11936" s="1"/>
      <c r="N11936" s="1"/>
    </row>
    <row r="11937" spans="7:14" x14ac:dyDescent="0.3">
      <c r="G11937" s="1"/>
      <c r="N11937" s="1"/>
    </row>
    <row r="11938" spans="7:14" x14ac:dyDescent="0.3">
      <c r="G11938" s="1"/>
      <c r="N11938" s="1"/>
    </row>
    <row r="11939" spans="7:14" x14ac:dyDescent="0.3">
      <c r="G11939" s="1"/>
      <c r="N11939" s="1"/>
    </row>
    <row r="11940" spans="7:14" x14ac:dyDescent="0.3">
      <c r="G11940" s="1"/>
      <c r="N11940" s="1"/>
    </row>
    <row r="11941" spans="7:14" x14ac:dyDescent="0.3">
      <c r="G11941" s="1"/>
      <c r="N11941" s="1"/>
    </row>
    <row r="11942" spans="7:14" x14ac:dyDescent="0.3">
      <c r="G11942" s="1"/>
      <c r="N11942" s="1"/>
    </row>
    <row r="11943" spans="7:14" x14ac:dyDescent="0.3">
      <c r="G11943" s="1"/>
      <c r="N11943" s="1"/>
    </row>
    <row r="11944" spans="7:14" x14ac:dyDescent="0.3">
      <c r="G11944" s="1"/>
      <c r="N11944" s="1"/>
    </row>
    <row r="11945" spans="7:14" x14ac:dyDescent="0.3">
      <c r="G11945" s="1"/>
      <c r="N11945" s="1"/>
    </row>
    <row r="11946" spans="7:14" x14ac:dyDescent="0.3">
      <c r="G11946" s="1"/>
      <c r="N11946" s="1"/>
    </row>
    <row r="11947" spans="7:14" x14ac:dyDescent="0.3">
      <c r="G11947" s="1"/>
      <c r="N11947" s="1"/>
    </row>
    <row r="11948" spans="7:14" x14ac:dyDescent="0.3">
      <c r="G11948" s="1"/>
      <c r="N11948" s="1"/>
    </row>
    <row r="11949" spans="7:14" x14ac:dyDescent="0.3">
      <c r="G11949" s="1"/>
      <c r="N11949" s="1"/>
    </row>
    <row r="11950" spans="7:14" x14ac:dyDescent="0.3">
      <c r="G11950" s="1"/>
      <c r="N11950" s="1"/>
    </row>
    <row r="11951" spans="7:14" x14ac:dyDescent="0.3">
      <c r="G11951" s="1"/>
      <c r="N11951" s="1"/>
    </row>
    <row r="11952" spans="7:14" x14ac:dyDescent="0.3">
      <c r="G11952" s="1"/>
      <c r="N11952" s="1"/>
    </row>
    <row r="11953" spans="7:14" x14ac:dyDescent="0.3">
      <c r="G11953" s="1"/>
      <c r="N11953" s="1"/>
    </row>
    <row r="11954" spans="7:14" x14ac:dyDescent="0.3">
      <c r="G11954" s="1"/>
      <c r="N11954" s="1"/>
    </row>
    <row r="11955" spans="7:14" x14ac:dyDescent="0.3">
      <c r="G11955" s="1"/>
      <c r="N11955" s="1"/>
    </row>
    <row r="11956" spans="7:14" x14ac:dyDescent="0.3">
      <c r="G11956" s="1"/>
      <c r="N11956" s="1"/>
    </row>
    <row r="11957" spans="7:14" x14ac:dyDescent="0.3">
      <c r="G11957" s="1"/>
      <c r="N11957" s="1"/>
    </row>
    <row r="11958" spans="7:14" x14ac:dyDescent="0.3">
      <c r="G11958" s="1"/>
      <c r="N11958" s="1"/>
    </row>
    <row r="11959" spans="7:14" x14ac:dyDescent="0.3">
      <c r="G11959" s="1"/>
      <c r="N11959" s="1"/>
    </row>
    <row r="11960" spans="7:14" x14ac:dyDescent="0.3">
      <c r="G11960" s="1"/>
      <c r="N11960" s="1"/>
    </row>
    <row r="11961" spans="7:14" x14ac:dyDescent="0.3">
      <c r="G11961" s="1"/>
      <c r="N11961" s="1"/>
    </row>
    <row r="11962" spans="7:14" x14ac:dyDescent="0.3">
      <c r="G11962" s="1"/>
      <c r="N11962" s="1"/>
    </row>
    <row r="11963" spans="7:14" x14ac:dyDescent="0.3">
      <c r="G11963" s="1"/>
      <c r="N11963" s="1"/>
    </row>
    <row r="11964" spans="7:14" x14ac:dyDescent="0.3">
      <c r="G11964" s="1"/>
      <c r="N11964" s="1"/>
    </row>
    <row r="11965" spans="7:14" x14ac:dyDescent="0.3">
      <c r="G11965" s="1"/>
      <c r="N11965" s="1"/>
    </row>
    <row r="11966" spans="7:14" x14ac:dyDescent="0.3">
      <c r="G11966" s="1"/>
      <c r="N11966" s="1"/>
    </row>
    <row r="11967" spans="7:14" x14ac:dyDescent="0.3">
      <c r="G11967" s="1"/>
      <c r="N11967" s="1"/>
    </row>
    <row r="11968" spans="7:14" x14ac:dyDescent="0.3">
      <c r="G11968" s="1"/>
      <c r="N11968" s="1"/>
    </row>
    <row r="11969" spans="7:14" x14ac:dyDescent="0.3">
      <c r="G11969" s="1"/>
      <c r="N11969" s="1"/>
    </row>
    <row r="11970" spans="7:14" x14ac:dyDescent="0.3">
      <c r="G11970" s="1"/>
      <c r="N11970" s="1"/>
    </row>
    <row r="11971" spans="7:14" x14ac:dyDescent="0.3">
      <c r="G11971" s="1"/>
      <c r="N11971" s="1"/>
    </row>
    <row r="11972" spans="7:14" x14ac:dyDescent="0.3">
      <c r="G11972" s="1"/>
      <c r="N11972" s="1"/>
    </row>
    <row r="11973" spans="7:14" x14ac:dyDescent="0.3">
      <c r="G11973" s="1"/>
      <c r="N11973" s="1"/>
    </row>
    <row r="11974" spans="7:14" x14ac:dyDescent="0.3">
      <c r="G11974" s="1"/>
      <c r="N11974" s="1"/>
    </row>
    <row r="11975" spans="7:14" x14ac:dyDescent="0.3">
      <c r="G11975" s="1"/>
      <c r="N11975" s="1"/>
    </row>
    <row r="11976" spans="7:14" x14ac:dyDescent="0.3">
      <c r="G11976" s="1"/>
      <c r="N11976" s="1"/>
    </row>
    <row r="11977" spans="7:14" x14ac:dyDescent="0.3">
      <c r="G11977" s="1"/>
      <c r="N11977" s="1"/>
    </row>
    <row r="11978" spans="7:14" x14ac:dyDescent="0.3">
      <c r="G11978" s="1"/>
      <c r="N11978" s="1"/>
    </row>
    <row r="11979" spans="7:14" x14ac:dyDescent="0.3">
      <c r="G11979" s="1"/>
      <c r="N11979" s="1"/>
    </row>
    <row r="11980" spans="7:14" x14ac:dyDescent="0.3">
      <c r="G11980" s="1"/>
      <c r="N11980" s="1"/>
    </row>
    <row r="11981" spans="7:14" x14ac:dyDescent="0.3">
      <c r="G11981" s="1"/>
      <c r="N11981" s="1"/>
    </row>
    <row r="11982" spans="7:14" x14ac:dyDescent="0.3">
      <c r="G11982" s="1"/>
      <c r="N11982" s="1"/>
    </row>
    <row r="11983" spans="7:14" x14ac:dyDescent="0.3">
      <c r="G11983" s="1"/>
      <c r="N11983" s="1"/>
    </row>
    <row r="11984" spans="7:14" x14ac:dyDescent="0.3">
      <c r="G11984" s="1"/>
      <c r="N11984" s="1"/>
    </row>
    <row r="11985" spans="7:14" x14ac:dyDescent="0.3">
      <c r="G11985" s="1"/>
      <c r="N11985" s="1"/>
    </row>
    <row r="11986" spans="7:14" x14ac:dyDescent="0.3">
      <c r="G11986" s="1"/>
      <c r="N11986" s="1"/>
    </row>
    <row r="11987" spans="7:14" x14ac:dyDescent="0.3">
      <c r="G11987" s="1"/>
      <c r="N11987" s="1"/>
    </row>
    <row r="11988" spans="7:14" x14ac:dyDescent="0.3">
      <c r="G11988" s="1"/>
      <c r="N11988" s="1"/>
    </row>
    <row r="11989" spans="7:14" x14ac:dyDescent="0.3">
      <c r="G11989" s="1"/>
      <c r="N11989" s="1"/>
    </row>
    <row r="11990" spans="7:14" x14ac:dyDescent="0.3">
      <c r="G11990" s="1"/>
      <c r="N11990" s="1"/>
    </row>
    <row r="11991" spans="7:14" x14ac:dyDescent="0.3">
      <c r="G11991" s="1"/>
      <c r="N11991" s="1"/>
    </row>
    <row r="11992" spans="7:14" x14ac:dyDescent="0.3">
      <c r="G11992" s="1"/>
      <c r="N11992" s="1"/>
    </row>
    <row r="11993" spans="7:14" x14ac:dyDescent="0.3">
      <c r="G11993" s="1"/>
      <c r="N11993" s="1"/>
    </row>
    <row r="11994" spans="7:14" x14ac:dyDescent="0.3">
      <c r="G11994" s="1"/>
      <c r="N11994" s="1"/>
    </row>
    <row r="11995" spans="7:14" x14ac:dyDescent="0.3">
      <c r="G11995" s="1"/>
      <c r="N11995" s="1"/>
    </row>
    <row r="11996" spans="7:14" x14ac:dyDescent="0.3">
      <c r="G11996" s="1"/>
      <c r="N11996" s="1"/>
    </row>
    <row r="11997" spans="7:14" x14ac:dyDescent="0.3">
      <c r="G11997" s="1"/>
      <c r="N11997" s="1"/>
    </row>
    <row r="11998" spans="7:14" x14ac:dyDescent="0.3">
      <c r="G11998" s="1"/>
      <c r="N11998" s="1"/>
    </row>
    <row r="11999" spans="7:14" x14ac:dyDescent="0.3">
      <c r="G11999" s="1"/>
      <c r="N11999" s="1"/>
    </row>
    <row r="12000" spans="7:14" x14ac:dyDescent="0.3">
      <c r="G12000" s="1"/>
      <c r="N12000" s="1"/>
    </row>
    <row r="12001" spans="7:14" x14ac:dyDescent="0.3">
      <c r="G12001" s="1"/>
      <c r="N12001" s="1"/>
    </row>
    <row r="12002" spans="7:14" x14ac:dyDescent="0.3">
      <c r="G12002" s="1"/>
      <c r="N12002" s="1"/>
    </row>
    <row r="12003" spans="7:14" x14ac:dyDescent="0.3">
      <c r="G12003" s="1"/>
      <c r="N12003" s="1"/>
    </row>
    <row r="12004" spans="7:14" x14ac:dyDescent="0.3">
      <c r="G12004" s="1"/>
      <c r="N12004" s="1"/>
    </row>
    <row r="12005" spans="7:14" x14ac:dyDescent="0.3">
      <c r="G12005" s="1"/>
      <c r="N12005" s="1"/>
    </row>
    <row r="12006" spans="7:14" x14ac:dyDescent="0.3">
      <c r="G12006" s="1"/>
      <c r="N12006" s="1"/>
    </row>
    <row r="12007" spans="7:14" x14ac:dyDescent="0.3">
      <c r="G12007" s="1"/>
      <c r="N12007" s="1"/>
    </row>
    <row r="12008" spans="7:14" x14ac:dyDescent="0.3">
      <c r="G12008" s="1"/>
      <c r="N12008" s="1"/>
    </row>
    <row r="12009" spans="7:14" x14ac:dyDescent="0.3">
      <c r="G12009" s="1"/>
      <c r="N12009" s="1"/>
    </row>
    <row r="12010" spans="7:14" x14ac:dyDescent="0.3">
      <c r="G12010" s="1"/>
      <c r="N12010" s="1"/>
    </row>
    <row r="12011" spans="7:14" x14ac:dyDescent="0.3">
      <c r="G12011" s="1"/>
      <c r="N12011" s="1"/>
    </row>
    <row r="12012" spans="7:14" x14ac:dyDescent="0.3">
      <c r="G12012" s="1"/>
      <c r="N12012" s="1"/>
    </row>
    <row r="12013" spans="7:14" x14ac:dyDescent="0.3">
      <c r="G12013" s="1"/>
      <c r="N12013" s="1"/>
    </row>
    <row r="12014" spans="7:14" x14ac:dyDescent="0.3">
      <c r="G12014" s="1"/>
      <c r="N12014" s="1"/>
    </row>
    <row r="12015" spans="7:14" x14ac:dyDescent="0.3">
      <c r="G12015" s="1"/>
      <c r="N12015" s="1"/>
    </row>
    <row r="12016" spans="7:14" x14ac:dyDescent="0.3">
      <c r="G12016" s="1"/>
      <c r="N12016" s="1"/>
    </row>
    <row r="12017" spans="7:14" x14ac:dyDescent="0.3">
      <c r="G12017" s="1"/>
      <c r="N12017" s="1"/>
    </row>
    <row r="12018" spans="7:14" x14ac:dyDescent="0.3">
      <c r="G12018" s="1"/>
      <c r="N12018" s="1"/>
    </row>
    <row r="12019" spans="7:14" x14ac:dyDescent="0.3">
      <c r="G12019" s="1"/>
      <c r="N12019" s="1"/>
    </row>
    <row r="12020" spans="7:14" x14ac:dyDescent="0.3">
      <c r="G12020" s="1"/>
      <c r="N12020" s="1"/>
    </row>
    <row r="12021" spans="7:14" x14ac:dyDescent="0.3">
      <c r="G12021" s="1"/>
      <c r="N12021" s="1"/>
    </row>
    <row r="12022" spans="7:14" x14ac:dyDescent="0.3">
      <c r="G12022" s="1"/>
      <c r="N12022" s="1"/>
    </row>
    <row r="12023" spans="7:14" x14ac:dyDescent="0.3">
      <c r="G12023" s="1"/>
      <c r="N12023" s="1"/>
    </row>
    <row r="12024" spans="7:14" x14ac:dyDescent="0.3">
      <c r="G12024" s="1"/>
      <c r="N12024" s="1"/>
    </row>
    <row r="12025" spans="7:14" x14ac:dyDescent="0.3">
      <c r="G12025" s="1"/>
      <c r="N12025" s="1"/>
    </row>
    <row r="12026" spans="7:14" x14ac:dyDescent="0.3">
      <c r="G12026" s="1"/>
      <c r="N12026" s="1"/>
    </row>
    <row r="12027" spans="7:14" x14ac:dyDescent="0.3">
      <c r="G12027" s="1"/>
      <c r="N12027" s="1"/>
    </row>
    <row r="12028" spans="7:14" x14ac:dyDescent="0.3">
      <c r="G12028" s="1"/>
      <c r="N12028" s="1"/>
    </row>
    <row r="12029" spans="7:14" x14ac:dyDescent="0.3">
      <c r="G12029" s="1"/>
      <c r="N12029" s="1"/>
    </row>
    <row r="12030" spans="7:14" x14ac:dyDescent="0.3">
      <c r="G12030" s="1"/>
      <c r="N12030" s="1"/>
    </row>
    <row r="12031" spans="7:14" x14ac:dyDescent="0.3">
      <c r="G12031" s="1"/>
      <c r="N12031" s="1"/>
    </row>
    <row r="12032" spans="7:14" x14ac:dyDescent="0.3">
      <c r="G12032" s="1"/>
      <c r="N12032" s="1"/>
    </row>
    <row r="12033" spans="7:14" x14ac:dyDescent="0.3">
      <c r="G12033" s="1"/>
      <c r="N12033" s="1"/>
    </row>
    <row r="12034" spans="7:14" x14ac:dyDescent="0.3">
      <c r="G12034" s="1"/>
      <c r="N12034" s="1"/>
    </row>
    <row r="12035" spans="7:14" x14ac:dyDescent="0.3">
      <c r="G12035" s="1"/>
      <c r="N12035" s="1"/>
    </row>
    <row r="12036" spans="7:14" x14ac:dyDescent="0.3">
      <c r="G12036" s="1"/>
      <c r="N12036" s="1"/>
    </row>
    <row r="12037" spans="7:14" x14ac:dyDescent="0.3">
      <c r="G12037" s="1"/>
      <c r="N12037" s="1"/>
    </row>
    <row r="12038" spans="7:14" x14ac:dyDescent="0.3">
      <c r="G12038" s="1"/>
      <c r="N12038" s="1"/>
    </row>
    <row r="12039" spans="7:14" x14ac:dyDescent="0.3">
      <c r="G12039" s="1"/>
      <c r="N12039" s="1"/>
    </row>
    <row r="12040" spans="7:14" x14ac:dyDescent="0.3">
      <c r="G12040" s="1"/>
      <c r="N12040" s="1"/>
    </row>
    <row r="12041" spans="7:14" x14ac:dyDescent="0.3">
      <c r="G12041" s="1"/>
      <c r="N12041" s="1"/>
    </row>
    <row r="12042" spans="7:14" x14ac:dyDescent="0.3">
      <c r="G12042" s="1"/>
      <c r="N12042" s="1"/>
    </row>
    <row r="12043" spans="7:14" x14ac:dyDescent="0.3">
      <c r="G12043" s="1"/>
      <c r="N12043" s="1"/>
    </row>
    <row r="12044" spans="7:14" x14ac:dyDescent="0.3">
      <c r="G12044" s="1"/>
      <c r="N12044" s="1"/>
    </row>
    <row r="12045" spans="7:14" x14ac:dyDescent="0.3">
      <c r="G12045" s="1"/>
      <c r="N12045" s="1"/>
    </row>
    <row r="12046" spans="7:14" x14ac:dyDescent="0.3">
      <c r="G12046" s="1"/>
      <c r="N12046" s="1"/>
    </row>
    <row r="12047" spans="7:14" x14ac:dyDescent="0.3">
      <c r="G12047" s="1"/>
      <c r="N12047" s="1"/>
    </row>
    <row r="12048" spans="7:14" x14ac:dyDescent="0.3">
      <c r="G12048" s="1"/>
      <c r="N12048" s="1"/>
    </row>
    <row r="12049" spans="7:14" x14ac:dyDescent="0.3">
      <c r="G12049" s="1"/>
      <c r="N12049" s="1"/>
    </row>
    <row r="12050" spans="7:14" x14ac:dyDescent="0.3">
      <c r="G12050" s="1"/>
      <c r="N12050" s="1"/>
    </row>
    <row r="12051" spans="7:14" x14ac:dyDescent="0.3">
      <c r="G12051" s="1"/>
      <c r="N12051" s="1"/>
    </row>
    <row r="12052" spans="7:14" x14ac:dyDescent="0.3">
      <c r="G12052" s="1"/>
      <c r="N12052" s="1"/>
    </row>
    <row r="12053" spans="7:14" x14ac:dyDescent="0.3">
      <c r="G12053" s="1"/>
      <c r="N12053" s="1"/>
    </row>
    <row r="12054" spans="7:14" x14ac:dyDescent="0.3">
      <c r="G12054" s="1"/>
      <c r="N12054" s="1"/>
    </row>
    <row r="12055" spans="7:14" x14ac:dyDescent="0.3">
      <c r="G12055" s="1"/>
      <c r="N12055" s="1"/>
    </row>
    <row r="12056" spans="7:14" x14ac:dyDescent="0.3">
      <c r="G12056" s="1"/>
      <c r="N12056" s="1"/>
    </row>
    <row r="12057" spans="7:14" x14ac:dyDescent="0.3">
      <c r="G12057" s="1"/>
      <c r="N12057" s="1"/>
    </row>
    <row r="12058" spans="7:14" x14ac:dyDescent="0.3">
      <c r="G12058" s="1"/>
      <c r="N12058" s="1"/>
    </row>
    <row r="12059" spans="7:14" x14ac:dyDescent="0.3">
      <c r="G12059" s="1"/>
      <c r="N12059" s="1"/>
    </row>
    <row r="12060" spans="7:14" x14ac:dyDescent="0.3">
      <c r="G12060" s="1"/>
      <c r="N12060" s="1"/>
    </row>
    <row r="12061" spans="7:14" x14ac:dyDescent="0.3">
      <c r="G12061" s="1"/>
      <c r="N12061" s="1"/>
    </row>
    <row r="12062" spans="7:14" x14ac:dyDescent="0.3">
      <c r="G12062" s="1"/>
      <c r="N12062" s="1"/>
    </row>
    <row r="12063" spans="7:14" x14ac:dyDescent="0.3">
      <c r="G12063" s="1"/>
      <c r="N12063" s="1"/>
    </row>
    <row r="12064" spans="7:14" x14ac:dyDescent="0.3">
      <c r="G12064" s="1"/>
      <c r="N12064" s="1"/>
    </row>
    <row r="12065" spans="7:14" x14ac:dyDescent="0.3">
      <c r="G12065" s="1"/>
      <c r="N12065" s="1"/>
    </row>
    <row r="12066" spans="7:14" x14ac:dyDescent="0.3">
      <c r="G12066" s="1"/>
      <c r="N12066" s="1"/>
    </row>
    <row r="12067" spans="7:14" x14ac:dyDescent="0.3">
      <c r="G12067" s="1"/>
      <c r="N12067" s="1"/>
    </row>
    <row r="12068" spans="7:14" x14ac:dyDescent="0.3">
      <c r="G12068" s="1"/>
      <c r="N12068" s="1"/>
    </row>
    <row r="12069" spans="7:14" x14ac:dyDescent="0.3">
      <c r="G12069" s="1"/>
      <c r="N12069" s="1"/>
    </row>
    <row r="12070" spans="7:14" x14ac:dyDescent="0.3">
      <c r="G12070" s="1"/>
      <c r="N12070" s="1"/>
    </row>
    <row r="12071" spans="7:14" x14ac:dyDescent="0.3">
      <c r="G12071" s="1"/>
      <c r="N12071" s="1"/>
    </row>
    <row r="12072" spans="7:14" x14ac:dyDescent="0.3">
      <c r="G12072" s="1"/>
      <c r="N12072" s="1"/>
    </row>
    <row r="12073" spans="7:14" x14ac:dyDescent="0.3">
      <c r="G12073" s="1"/>
      <c r="N12073" s="1"/>
    </row>
    <row r="12074" spans="7:14" x14ac:dyDescent="0.3">
      <c r="G12074" s="1"/>
      <c r="N12074" s="1"/>
    </row>
    <row r="12075" spans="7:14" x14ac:dyDescent="0.3">
      <c r="G12075" s="1"/>
      <c r="N12075" s="1"/>
    </row>
    <row r="12076" spans="7:14" x14ac:dyDescent="0.3">
      <c r="G12076" s="1"/>
      <c r="N12076" s="1"/>
    </row>
    <row r="12077" spans="7:14" x14ac:dyDescent="0.3">
      <c r="G12077" s="1"/>
      <c r="N12077" s="1"/>
    </row>
    <row r="12078" spans="7:14" x14ac:dyDescent="0.3">
      <c r="G12078" s="1"/>
      <c r="N12078" s="1"/>
    </row>
    <row r="12079" spans="7:14" x14ac:dyDescent="0.3">
      <c r="G12079" s="1"/>
      <c r="N12079" s="1"/>
    </row>
    <row r="12080" spans="7:14" x14ac:dyDescent="0.3">
      <c r="G12080" s="1"/>
      <c r="N12080" s="1"/>
    </row>
    <row r="12081" spans="7:14" x14ac:dyDescent="0.3">
      <c r="G12081" s="1"/>
      <c r="N12081" s="1"/>
    </row>
    <row r="12082" spans="7:14" x14ac:dyDescent="0.3">
      <c r="G12082" s="1"/>
      <c r="N12082" s="1"/>
    </row>
    <row r="12083" spans="7:14" x14ac:dyDescent="0.3">
      <c r="G12083" s="1"/>
      <c r="N12083" s="1"/>
    </row>
    <row r="12084" spans="7:14" x14ac:dyDescent="0.3">
      <c r="G12084" s="1"/>
      <c r="N12084" s="1"/>
    </row>
    <row r="12085" spans="7:14" x14ac:dyDescent="0.3">
      <c r="G12085" s="1"/>
      <c r="N12085" s="1"/>
    </row>
    <row r="12086" spans="7:14" x14ac:dyDescent="0.3">
      <c r="G12086" s="1"/>
      <c r="N12086" s="1"/>
    </row>
    <row r="12087" spans="7:14" x14ac:dyDescent="0.3">
      <c r="G12087" s="1"/>
      <c r="N12087" s="1"/>
    </row>
    <row r="12088" spans="7:14" x14ac:dyDescent="0.3">
      <c r="G12088" s="1"/>
      <c r="N12088" s="1"/>
    </row>
    <row r="12089" spans="7:14" x14ac:dyDescent="0.3">
      <c r="G12089" s="1"/>
      <c r="N12089" s="1"/>
    </row>
    <row r="12090" spans="7:14" x14ac:dyDescent="0.3">
      <c r="G12090" s="1"/>
      <c r="N12090" s="1"/>
    </row>
    <row r="12091" spans="7:14" x14ac:dyDescent="0.3">
      <c r="G12091" s="1"/>
      <c r="N12091" s="1"/>
    </row>
    <row r="12092" spans="7:14" x14ac:dyDescent="0.3">
      <c r="G12092" s="1"/>
      <c r="N12092" s="1"/>
    </row>
    <row r="12093" spans="7:14" x14ac:dyDescent="0.3">
      <c r="G12093" s="1"/>
      <c r="N12093" s="1"/>
    </row>
    <row r="12094" spans="7:14" x14ac:dyDescent="0.3">
      <c r="G12094" s="1"/>
      <c r="N12094" s="1"/>
    </row>
    <row r="12095" spans="7:14" x14ac:dyDescent="0.3">
      <c r="G12095" s="1"/>
      <c r="N12095" s="1"/>
    </row>
    <row r="12096" spans="7:14" x14ac:dyDescent="0.3">
      <c r="G12096" s="1"/>
      <c r="N12096" s="1"/>
    </row>
    <row r="12097" spans="7:14" x14ac:dyDescent="0.3">
      <c r="G12097" s="1"/>
      <c r="N12097" s="1"/>
    </row>
    <row r="12098" spans="7:14" x14ac:dyDescent="0.3">
      <c r="G12098" s="1"/>
      <c r="N12098" s="1"/>
    </row>
    <row r="12099" spans="7:14" x14ac:dyDescent="0.3">
      <c r="G12099" s="1"/>
      <c r="N12099" s="1"/>
    </row>
    <row r="12100" spans="7:14" x14ac:dyDescent="0.3">
      <c r="G12100" s="1"/>
      <c r="N12100" s="1"/>
    </row>
    <row r="12101" spans="7:14" x14ac:dyDescent="0.3">
      <c r="G12101" s="1"/>
      <c r="N12101" s="1"/>
    </row>
    <row r="12102" spans="7:14" x14ac:dyDescent="0.3">
      <c r="G12102" s="1"/>
      <c r="N12102" s="1"/>
    </row>
    <row r="12103" spans="7:14" x14ac:dyDescent="0.3">
      <c r="G12103" s="1"/>
      <c r="N12103" s="1"/>
    </row>
    <row r="12104" spans="7:14" x14ac:dyDescent="0.3">
      <c r="G12104" s="1"/>
      <c r="N12104" s="1"/>
    </row>
    <row r="12105" spans="7:14" x14ac:dyDescent="0.3">
      <c r="G12105" s="1"/>
      <c r="N12105" s="1"/>
    </row>
    <row r="12106" spans="7:14" x14ac:dyDescent="0.3">
      <c r="G12106" s="1"/>
      <c r="N12106" s="1"/>
    </row>
    <row r="12107" spans="7:14" x14ac:dyDescent="0.3">
      <c r="G12107" s="1"/>
      <c r="N12107" s="1"/>
    </row>
    <row r="12108" spans="7:14" x14ac:dyDescent="0.3">
      <c r="G12108" s="1"/>
      <c r="N12108" s="1"/>
    </row>
    <row r="12109" spans="7:14" x14ac:dyDescent="0.3">
      <c r="G12109" s="1"/>
      <c r="N12109" s="1"/>
    </row>
    <row r="12110" spans="7:14" x14ac:dyDescent="0.3">
      <c r="G12110" s="1"/>
      <c r="N12110" s="1"/>
    </row>
    <row r="12111" spans="7:14" x14ac:dyDescent="0.3">
      <c r="G12111" s="1"/>
      <c r="N12111" s="1"/>
    </row>
    <row r="12112" spans="7:14" x14ac:dyDescent="0.3">
      <c r="G12112" s="1"/>
      <c r="N12112" s="1"/>
    </row>
    <row r="12113" spans="7:14" x14ac:dyDescent="0.3">
      <c r="G12113" s="1"/>
      <c r="N12113" s="1"/>
    </row>
    <row r="12114" spans="7:14" x14ac:dyDescent="0.3">
      <c r="G12114" s="1"/>
      <c r="N12114" s="1"/>
    </row>
    <row r="12115" spans="7:14" x14ac:dyDescent="0.3">
      <c r="G12115" s="1"/>
      <c r="N12115" s="1"/>
    </row>
    <row r="12116" spans="7:14" x14ac:dyDescent="0.3">
      <c r="G12116" s="1"/>
      <c r="N12116" s="1"/>
    </row>
    <row r="12117" spans="7:14" x14ac:dyDescent="0.3">
      <c r="G12117" s="1"/>
      <c r="N12117" s="1"/>
    </row>
    <row r="12118" spans="7:14" x14ac:dyDescent="0.3">
      <c r="G12118" s="1"/>
      <c r="N12118" s="1"/>
    </row>
    <row r="12119" spans="7:14" x14ac:dyDescent="0.3">
      <c r="G12119" s="1"/>
      <c r="N12119" s="1"/>
    </row>
    <row r="12120" spans="7:14" x14ac:dyDescent="0.3">
      <c r="G12120" s="1"/>
      <c r="N12120" s="1"/>
    </row>
    <row r="12121" spans="7:14" x14ac:dyDescent="0.3">
      <c r="G12121" s="1"/>
      <c r="N12121" s="1"/>
    </row>
    <row r="12122" spans="7:14" x14ac:dyDescent="0.3">
      <c r="G12122" s="1"/>
      <c r="N12122" s="1"/>
    </row>
    <row r="12123" spans="7:14" x14ac:dyDescent="0.3">
      <c r="G12123" s="1"/>
      <c r="N12123" s="1"/>
    </row>
    <row r="12124" spans="7:14" x14ac:dyDescent="0.3">
      <c r="G12124" s="1"/>
      <c r="N12124" s="1"/>
    </row>
    <row r="12125" spans="7:14" x14ac:dyDescent="0.3">
      <c r="G12125" s="1"/>
      <c r="N12125" s="1"/>
    </row>
    <row r="12126" spans="7:14" x14ac:dyDescent="0.3">
      <c r="G12126" s="1"/>
      <c r="N12126" s="1"/>
    </row>
    <row r="12127" spans="7:14" x14ac:dyDescent="0.3">
      <c r="G12127" s="1"/>
      <c r="N12127" s="1"/>
    </row>
    <row r="12128" spans="7:14" x14ac:dyDescent="0.3">
      <c r="G12128" s="1"/>
      <c r="N12128" s="1"/>
    </row>
    <row r="12129" spans="7:14" x14ac:dyDescent="0.3">
      <c r="G12129" s="1"/>
      <c r="N12129" s="1"/>
    </row>
    <row r="12130" spans="7:14" x14ac:dyDescent="0.3">
      <c r="G12130" s="1"/>
      <c r="N12130" s="1"/>
    </row>
    <row r="12131" spans="7:14" x14ac:dyDescent="0.3">
      <c r="G12131" s="1"/>
      <c r="N12131" s="1"/>
    </row>
    <row r="12132" spans="7:14" x14ac:dyDescent="0.3">
      <c r="G12132" s="1"/>
      <c r="N12132" s="1"/>
    </row>
    <row r="12133" spans="7:14" x14ac:dyDescent="0.3">
      <c r="G12133" s="1"/>
      <c r="N12133" s="1"/>
    </row>
    <row r="12134" spans="7:14" x14ac:dyDescent="0.3">
      <c r="G12134" s="1"/>
      <c r="N12134" s="1"/>
    </row>
    <row r="12135" spans="7:14" x14ac:dyDescent="0.3">
      <c r="G12135" s="1"/>
      <c r="N12135" s="1"/>
    </row>
    <row r="12136" spans="7:14" x14ac:dyDescent="0.3">
      <c r="G12136" s="1"/>
      <c r="N12136" s="1"/>
    </row>
    <row r="12137" spans="7:14" x14ac:dyDescent="0.3">
      <c r="G12137" s="1"/>
      <c r="N12137" s="1"/>
    </row>
    <row r="12138" spans="7:14" x14ac:dyDescent="0.3">
      <c r="G12138" s="1"/>
      <c r="N12138" s="1"/>
    </row>
    <row r="12139" spans="7:14" x14ac:dyDescent="0.3">
      <c r="G12139" s="1"/>
      <c r="N12139" s="1"/>
    </row>
    <row r="12140" spans="7:14" x14ac:dyDescent="0.3">
      <c r="G12140" s="1"/>
      <c r="N12140" s="1"/>
    </row>
    <row r="12141" spans="7:14" x14ac:dyDescent="0.3">
      <c r="G12141" s="1"/>
      <c r="N12141" s="1"/>
    </row>
    <row r="12142" spans="7:14" x14ac:dyDescent="0.3">
      <c r="G12142" s="1"/>
      <c r="N12142" s="1"/>
    </row>
    <row r="12143" spans="7:14" x14ac:dyDescent="0.3">
      <c r="G12143" s="1"/>
      <c r="N12143" s="1"/>
    </row>
    <row r="12144" spans="7:14" x14ac:dyDescent="0.3">
      <c r="G12144" s="1"/>
      <c r="N12144" s="1"/>
    </row>
    <row r="12145" spans="7:14" x14ac:dyDescent="0.3">
      <c r="G12145" s="1"/>
      <c r="N12145" s="1"/>
    </row>
    <row r="12146" spans="7:14" x14ac:dyDescent="0.3">
      <c r="G12146" s="1"/>
      <c r="N12146" s="1"/>
    </row>
    <row r="12147" spans="7:14" x14ac:dyDescent="0.3">
      <c r="G12147" s="1"/>
      <c r="N12147" s="1"/>
    </row>
    <row r="12148" spans="7:14" x14ac:dyDescent="0.3">
      <c r="G12148" s="1"/>
      <c r="N12148" s="1"/>
    </row>
    <row r="12149" spans="7:14" x14ac:dyDescent="0.3">
      <c r="G12149" s="1"/>
      <c r="N12149" s="1"/>
    </row>
    <row r="12150" spans="7:14" x14ac:dyDescent="0.3">
      <c r="G12150" s="1"/>
      <c r="N12150" s="1"/>
    </row>
    <row r="12151" spans="7:14" x14ac:dyDescent="0.3">
      <c r="G12151" s="1"/>
      <c r="N12151" s="1"/>
    </row>
    <row r="12152" spans="7:14" x14ac:dyDescent="0.3">
      <c r="G12152" s="1"/>
      <c r="N12152" s="1"/>
    </row>
    <row r="12153" spans="7:14" x14ac:dyDescent="0.3">
      <c r="G12153" s="1"/>
      <c r="N12153" s="1"/>
    </row>
    <row r="12154" spans="7:14" x14ac:dyDescent="0.3">
      <c r="G12154" s="1"/>
      <c r="N12154" s="1"/>
    </row>
    <row r="12155" spans="7:14" x14ac:dyDescent="0.3">
      <c r="G12155" s="1"/>
      <c r="N12155" s="1"/>
    </row>
    <row r="12156" spans="7:14" x14ac:dyDescent="0.3">
      <c r="G12156" s="1"/>
      <c r="N12156" s="1"/>
    </row>
    <row r="12157" spans="7:14" x14ac:dyDescent="0.3">
      <c r="G12157" s="1"/>
      <c r="N12157" s="1"/>
    </row>
    <row r="12158" spans="7:14" x14ac:dyDescent="0.3">
      <c r="G12158" s="1"/>
      <c r="N12158" s="1"/>
    </row>
    <row r="12159" spans="7:14" x14ac:dyDescent="0.3">
      <c r="G12159" s="1"/>
      <c r="N12159" s="1"/>
    </row>
    <row r="12160" spans="7:14" x14ac:dyDescent="0.3">
      <c r="G12160" s="1"/>
      <c r="N12160" s="1"/>
    </row>
    <row r="12161" spans="7:14" x14ac:dyDescent="0.3">
      <c r="G12161" s="1"/>
      <c r="N12161" s="1"/>
    </row>
    <row r="12162" spans="7:14" x14ac:dyDescent="0.3">
      <c r="G12162" s="1"/>
      <c r="N12162" s="1"/>
    </row>
    <row r="12163" spans="7:14" x14ac:dyDescent="0.3">
      <c r="G12163" s="1"/>
      <c r="N12163" s="1"/>
    </row>
    <row r="12164" spans="7:14" x14ac:dyDescent="0.3">
      <c r="G12164" s="1"/>
      <c r="N12164" s="1"/>
    </row>
    <row r="12165" spans="7:14" x14ac:dyDescent="0.3">
      <c r="G12165" s="1"/>
      <c r="N12165" s="1"/>
    </row>
    <row r="12166" spans="7:14" x14ac:dyDescent="0.3">
      <c r="G12166" s="1"/>
      <c r="N12166" s="1"/>
    </row>
    <row r="12167" spans="7:14" x14ac:dyDescent="0.3">
      <c r="G12167" s="1"/>
      <c r="N12167" s="1"/>
    </row>
    <row r="12168" spans="7:14" x14ac:dyDescent="0.3">
      <c r="G12168" s="1"/>
      <c r="N12168" s="1"/>
    </row>
    <row r="12169" spans="7:14" x14ac:dyDescent="0.3">
      <c r="G12169" s="1"/>
      <c r="N12169" s="1"/>
    </row>
    <row r="12170" spans="7:14" x14ac:dyDescent="0.3">
      <c r="G12170" s="1"/>
      <c r="N12170" s="1"/>
    </row>
    <row r="12171" spans="7:14" x14ac:dyDescent="0.3">
      <c r="G12171" s="1"/>
      <c r="N12171" s="1"/>
    </row>
    <row r="12172" spans="7:14" x14ac:dyDescent="0.3">
      <c r="G12172" s="1"/>
      <c r="N12172" s="1"/>
    </row>
    <row r="12173" spans="7:14" x14ac:dyDescent="0.3">
      <c r="G12173" s="1"/>
      <c r="N12173" s="1"/>
    </row>
    <row r="12174" spans="7:14" x14ac:dyDescent="0.3">
      <c r="G12174" s="1"/>
      <c r="N12174" s="1"/>
    </row>
    <row r="12175" spans="7:14" x14ac:dyDescent="0.3">
      <c r="G12175" s="1"/>
      <c r="N12175" s="1"/>
    </row>
    <row r="12176" spans="7:14" x14ac:dyDescent="0.3">
      <c r="G12176" s="1"/>
      <c r="N12176" s="1"/>
    </row>
    <row r="12177" spans="7:14" x14ac:dyDescent="0.3">
      <c r="G12177" s="1"/>
      <c r="N12177" s="1"/>
    </row>
    <row r="12178" spans="7:14" x14ac:dyDescent="0.3">
      <c r="G12178" s="1"/>
      <c r="N12178" s="1"/>
    </row>
    <row r="12179" spans="7:14" x14ac:dyDescent="0.3">
      <c r="G12179" s="1"/>
      <c r="N12179" s="1"/>
    </row>
    <row r="12180" spans="7:14" x14ac:dyDescent="0.3">
      <c r="G12180" s="1"/>
      <c r="N12180" s="1"/>
    </row>
    <row r="12181" spans="7:14" x14ac:dyDescent="0.3">
      <c r="G12181" s="1"/>
      <c r="N12181" s="1"/>
    </row>
    <row r="12182" spans="7:14" x14ac:dyDescent="0.3">
      <c r="G12182" s="1"/>
      <c r="N12182" s="1"/>
    </row>
    <row r="12183" spans="7:14" x14ac:dyDescent="0.3">
      <c r="G12183" s="1"/>
      <c r="N12183" s="1"/>
    </row>
    <row r="12184" spans="7:14" x14ac:dyDescent="0.3">
      <c r="G12184" s="1"/>
      <c r="N12184" s="1"/>
    </row>
    <row r="12185" spans="7:14" x14ac:dyDescent="0.3">
      <c r="G12185" s="1"/>
      <c r="N12185" s="1"/>
    </row>
    <row r="12186" spans="7:14" x14ac:dyDescent="0.3">
      <c r="G12186" s="1"/>
      <c r="N12186" s="1"/>
    </row>
    <row r="12187" spans="7:14" x14ac:dyDescent="0.3">
      <c r="G12187" s="1"/>
      <c r="N12187" s="1"/>
    </row>
    <row r="12188" spans="7:14" x14ac:dyDescent="0.3">
      <c r="G12188" s="1"/>
      <c r="N12188" s="1"/>
    </row>
    <row r="12189" spans="7:14" x14ac:dyDescent="0.3">
      <c r="G12189" s="1"/>
      <c r="N12189" s="1"/>
    </row>
    <row r="12190" spans="7:14" x14ac:dyDescent="0.3">
      <c r="G12190" s="1"/>
      <c r="N12190" s="1"/>
    </row>
    <row r="12191" spans="7:14" x14ac:dyDescent="0.3">
      <c r="G12191" s="1"/>
      <c r="N12191" s="1"/>
    </row>
    <row r="12192" spans="7:14" x14ac:dyDescent="0.3">
      <c r="G12192" s="1"/>
      <c r="N12192" s="1"/>
    </row>
    <row r="12193" spans="7:14" x14ac:dyDescent="0.3">
      <c r="G12193" s="1"/>
      <c r="N12193" s="1"/>
    </row>
    <row r="12194" spans="7:14" x14ac:dyDescent="0.3">
      <c r="G12194" s="1"/>
      <c r="N12194" s="1"/>
    </row>
    <row r="12195" spans="7:14" x14ac:dyDescent="0.3">
      <c r="G12195" s="1"/>
      <c r="N12195" s="1"/>
    </row>
    <row r="12196" spans="7:14" x14ac:dyDescent="0.3">
      <c r="G12196" s="1"/>
      <c r="N12196" s="1"/>
    </row>
    <row r="12197" spans="7:14" x14ac:dyDescent="0.3">
      <c r="G12197" s="1"/>
      <c r="N12197" s="1"/>
    </row>
    <row r="12198" spans="7:14" x14ac:dyDescent="0.3">
      <c r="G12198" s="1"/>
      <c r="N12198" s="1"/>
    </row>
    <row r="12199" spans="7:14" x14ac:dyDescent="0.3">
      <c r="G12199" s="1"/>
      <c r="N12199" s="1"/>
    </row>
    <row r="12200" spans="7:14" x14ac:dyDescent="0.3">
      <c r="G12200" s="1"/>
      <c r="N12200" s="1"/>
    </row>
    <row r="12201" spans="7:14" x14ac:dyDescent="0.3">
      <c r="G12201" s="1"/>
      <c r="N12201" s="1"/>
    </row>
    <row r="12202" spans="7:14" x14ac:dyDescent="0.3">
      <c r="G12202" s="1"/>
      <c r="N12202" s="1"/>
    </row>
    <row r="12203" spans="7:14" x14ac:dyDescent="0.3">
      <c r="G12203" s="1"/>
      <c r="N12203" s="1"/>
    </row>
    <row r="12204" spans="7:14" x14ac:dyDescent="0.3">
      <c r="G12204" s="1"/>
      <c r="N12204" s="1"/>
    </row>
    <row r="12205" spans="7:14" x14ac:dyDescent="0.3">
      <c r="G12205" s="1"/>
      <c r="N12205" s="1"/>
    </row>
    <row r="12206" spans="7:14" x14ac:dyDescent="0.3">
      <c r="G12206" s="1"/>
      <c r="N12206" s="1"/>
    </row>
    <row r="12207" spans="7:14" x14ac:dyDescent="0.3">
      <c r="G12207" s="1"/>
      <c r="N12207" s="1"/>
    </row>
    <row r="12208" spans="7:14" x14ac:dyDescent="0.3">
      <c r="G12208" s="1"/>
      <c r="N12208" s="1"/>
    </row>
    <row r="12209" spans="7:14" x14ac:dyDescent="0.3">
      <c r="G12209" s="1"/>
      <c r="N12209" s="1"/>
    </row>
    <row r="12210" spans="7:14" x14ac:dyDescent="0.3">
      <c r="G12210" s="1"/>
      <c r="N12210" s="1"/>
    </row>
    <row r="12211" spans="7:14" x14ac:dyDescent="0.3">
      <c r="G12211" s="1"/>
      <c r="N12211" s="1"/>
    </row>
    <row r="12212" spans="7:14" x14ac:dyDescent="0.3">
      <c r="G12212" s="1"/>
      <c r="N12212" s="1"/>
    </row>
    <row r="12213" spans="7:14" x14ac:dyDescent="0.3">
      <c r="G12213" s="1"/>
      <c r="N12213" s="1"/>
    </row>
    <row r="12214" spans="7:14" x14ac:dyDescent="0.3">
      <c r="G12214" s="1"/>
      <c r="N12214" s="1"/>
    </row>
    <row r="12215" spans="7:14" x14ac:dyDescent="0.3">
      <c r="G12215" s="1"/>
      <c r="N12215" s="1"/>
    </row>
    <row r="12216" spans="7:14" x14ac:dyDescent="0.3">
      <c r="G12216" s="1"/>
      <c r="N12216" s="1"/>
    </row>
    <row r="12217" spans="7:14" x14ac:dyDescent="0.3">
      <c r="G12217" s="1"/>
      <c r="N12217" s="1"/>
    </row>
    <row r="12218" spans="7:14" x14ac:dyDescent="0.3">
      <c r="G12218" s="1"/>
      <c r="N12218" s="1"/>
    </row>
    <row r="12219" spans="7:14" x14ac:dyDescent="0.3">
      <c r="G12219" s="1"/>
      <c r="N12219" s="1"/>
    </row>
    <row r="12220" spans="7:14" x14ac:dyDescent="0.3">
      <c r="G12220" s="1"/>
      <c r="N12220" s="1"/>
    </row>
    <row r="12221" spans="7:14" x14ac:dyDescent="0.3">
      <c r="G12221" s="1"/>
      <c r="N12221" s="1"/>
    </row>
    <row r="12222" spans="7:14" x14ac:dyDescent="0.3">
      <c r="G12222" s="1"/>
      <c r="N12222" s="1"/>
    </row>
    <row r="12223" spans="7:14" x14ac:dyDescent="0.3">
      <c r="G12223" s="1"/>
      <c r="N12223" s="1"/>
    </row>
    <row r="12224" spans="7:14" x14ac:dyDescent="0.3">
      <c r="G12224" s="1"/>
      <c r="N12224" s="1"/>
    </row>
    <row r="12225" spans="7:14" x14ac:dyDescent="0.3">
      <c r="G12225" s="1"/>
      <c r="N12225" s="1"/>
    </row>
    <row r="12226" spans="7:14" x14ac:dyDescent="0.3">
      <c r="G12226" s="1"/>
      <c r="N12226" s="1"/>
    </row>
    <row r="12227" spans="7:14" x14ac:dyDescent="0.3">
      <c r="G12227" s="1"/>
      <c r="N12227" s="1"/>
    </row>
    <row r="12228" spans="7:14" x14ac:dyDescent="0.3">
      <c r="G12228" s="1"/>
      <c r="N12228" s="1"/>
    </row>
    <row r="12229" spans="7:14" x14ac:dyDescent="0.3">
      <c r="G12229" s="1"/>
      <c r="N12229" s="1"/>
    </row>
    <row r="12230" spans="7:14" x14ac:dyDescent="0.3">
      <c r="G12230" s="1"/>
      <c r="N12230" s="1"/>
    </row>
    <row r="12231" spans="7:14" x14ac:dyDescent="0.3">
      <c r="G12231" s="1"/>
      <c r="N12231" s="1"/>
    </row>
    <row r="12232" spans="7:14" x14ac:dyDescent="0.3">
      <c r="G12232" s="1"/>
      <c r="N12232" s="1"/>
    </row>
    <row r="12233" spans="7:14" x14ac:dyDescent="0.3">
      <c r="G12233" s="1"/>
      <c r="N12233" s="1"/>
    </row>
    <row r="12234" spans="7:14" x14ac:dyDescent="0.3">
      <c r="G12234" s="1"/>
      <c r="N12234" s="1"/>
    </row>
    <row r="12235" spans="7:14" x14ac:dyDescent="0.3">
      <c r="G12235" s="1"/>
      <c r="N12235" s="1"/>
    </row>
    <row r="12236" spans="7:14" x14ac:dyDescent="0.3">
      <c r="G12236" s="1"/>
      <c r="N12236" s="1"/>
    </row>
    <row r="12237" spans="7:14" x14ac:dyDescent="0.3">
      <c r="G12237" s="1"/>
      <c r="N12237" s="1"/>
    </row>
    <row r="12238" spans="7:14" x14ac:dyDescent="0.3">
      <c r="G12238" s="1"/>
      <c r="N12238" s="1"/>
    </row>
    <row r="12239" spans="7:14" x14ac:dyDescent="0.3">
      <c r="G12239" s="1"/>
      <c r="N12239" s="1"/>
    </row>
    <row r="12240" spans="7:14" x14ac:dyDescent="0.3">
      <c r="G12240" s="1"/>
      <c r="N12240" s="1"/>
    </row>
    <row r="12241" spans="7:14" x14ac:dyDescent="0.3">
      <c r="G12241" s="1"/>
      <c r="N12241" s="1"/>
    </row>
    <row r="12242" spans="7:14" x14ac:dyDescent="0.3">
      <c r="G12242" s="1"/>
      <c r="N12242" s="1"/>
    </row>
    <row r="12243" spans="7:14" x14ac:dyDescent="0.3">
      <c r="G12243" s="1"/>
      <c r="N12243" s="1"/>
    </row>
    <row r="12244" spans="7:14" x14ac:dyDescent="0.3">
      <c r="G12244" s="1"/>
      <c r="N12244" s="1"/>
    </row>
    <row r="12245" spans="7:14" x14ac:dyDescent="0.3">
      <c r="G12245" s="1"/>
      <c r="N12245" s="1"/>
    </row>
    <row r="12246" spans="7:14" x14ac:dyDescent="0.3">
      <c r="G12246" s="1"/>
      <c r="N12246" s="1"/>
    </row>
    <row r="12247" spans="7:14" x14ac:dyDescent="0.3">
      <c r="G12247" s="1"/>
      <c r="N12247" s="1"/>
    </row>
    <row r="12248" spans="7:14" x14ac:dyDescent="0.3">
      <c r="G12248" s="1"/>
      <c r="N12248" s="1"/>
    </row>
    <row r="12249" spans="7:14" x14ac:dyDescent="0.3">
      <c r="G12249" s="1"/>
      <c r="N12249" s="1"/>
    </row>
    <row r="12250" spans="7:14" x14ac:dyDescent="0.3">
      <c r="G12250" s="1"/>
      <c r="N12250" s="1"/>
    </row>
    <row r="12251" spans="7:14" x14ac:dyDescent="0.3">
      <c r="G12251" s="1"/>
      <c r="N12251" s="1"/>
    </row>
    <row r="12252" spans="7:14" x14ac:dyDescent="0.3">
      <c r="G12252" s="1"/>
      <c r="N12252" s="1"/>
    </row>
    <row r="12253" spans="7:14" x14ac:dyDescent="0.3">
      <c r="G12253" s="1"/>
      <c r="N12253" s="1"/>
    </row>
    <row r="12254" spans="7:14" x14ac:dyDescent="0.3">
      <c r="G12254" s="1"/>
      <c r="N12254" s="1"/>
    </row>
    <row r="12255" spans="7:14" x14ac:dyDescent="0.3">
      <c r="G12255" s="1"/>
      <c r="N12255" s="1"/>
    </row>
    <row r="12256" spans="7:14" x14ac:dyDescent="0.3">
      <c r="G12256" s="1"/>
      <c r="N12256" s="1"/>
    </row>
    <row r="12257" spans="7:14" x14ac:dyDescent="0.3">
      <c r="G12257" s="1"/>
      <c r="N12257" s="1"/>
    </row>
    <row r="12258" spans="7:14" x14ac:dyDescent="0.3">
      <c r="G12258" s="1"/>
      <c r="N12258" s="1"/>
    </row>
    <row r="12259" spans="7:14" x14ac:dyDescent="0.3">
      <c r="G12259" s="1"/>
      <c r="N12259" s="1"/>
    </row>
    <row r="12260" spans="7:14" x14ac:dyDescent="0.3">
      <c r="G12260" s="1"/>
      <c r="N12260" s="1"/>
    </row>
    <row r="12261" spans="7:14" x14ac:dyDescent="0.3">
      <c r="G12261" s="1"/>
      <c r="N12261" s="1"/>
    </row>
    <row r="12262" spans="7:14" x14ac:dyDescent="0.3">
      <c r="G12262" s="1"/>
      <c r="N12262" s="1"/>
    </row>
    <row r="12263" spans="7:14" x14ac:dyDescent="0.3">
      <c r="G12263" s="1"/>
      <c r="N12263" s="1"/>
    </row>
    <row r="12264" spans="7:14" x14ac:dyDescent="0.3">
      <c r="G12264" s="1"/>
      <c r="N12264" s="1"/>
    </row>
    <row r="12265" spans="7:14" x14ac:dyDescent="0.3">
      <c r="G12265" s="1"/>
      <c r="N12265" s="1"/>
    </row>
    <row r="12266" spans="7:14" x14ac:dyDescent="0.3">
      <c r="G12266" s="1"/>
      <c r="N12266" s="1"/>
    </row>
    <row r="12267" spans="7:14" x14ac:dyDescent="0.3">
      <c r="G12267" s="1"/>
      <c r="N12267" s="1"/>
    </row>
    <row r="12268" spans="7:14" x14ac:dyDescent="0.3">
      <c r="G12268" s="1"/>
      <c r="N12268" s="1"/>
    </row>
    <row r="12269" spans="7:14" x14ac:dyDescent="0.3">
      <c r="G12269" s="1"/>
      <c r="N12269" s="1"/>
    </row>
    <row r="12270" spans="7:14" x14ac:dyDescent="0.3">
      <c r="G12270" s="1"/>
      <c r="N12270" s="1"/>
    </row>
    <row r="12271" spans="7:14" x14ac:dyDescent="0.3">
      <c r="G12271" s="1"/>
      <c r="N12271" s="1"/>
    </row>
    <row r="12272" spans="7:14" x14ac:dyDescent="0.3">
      <c r="G12272" s="1"/>
      <c r="N12272" s="1"/>
    </row>
    <row r="12273" spans="7:14" x14ac:dyDescent="0.3">
      <c r="G12273" s="1"/>
      <c r="N12273" s="1"/>
    </row>
    <row r="12274" spans="7:14" x14ac:dyDescent="0.3">
      <c r="G12274" s="1"/>
      <c r="N12274" s="1"/>
    </row>
    <row r="12275" spans="7:14" x14ac:dyDescent="0.3">
      <c r="G12275" s="1"/>
      <c r="N12275" s="1"/>
    </row>
    <row r="12276" spans="7:14" x14ac:dyDescent="0.3">
      <c r="G12276" s="1"/>
      <c r="N12276" s="1"/>
    </row>
    <row r="12277" spans="7:14" x14ac:dyDescent="0.3">
      <c r="G12277" s="1"/>
      <c r="N12277" s="1"/>
    </row>
    <row r="12278" spans="7:14" x14ac:dyDescent="0.3">
      <c r="G12278" s="1"/>
      <c r="N12278" s="1"/>
    </row>
    <row r="12279" spans="7:14" x14ac:dyDescent="0.3">
      <c r="G12279" s="1"/>
      <c r="N12279" s="1"/>
    </row>
    <row r="12280" spans="7:14" x14ac:dyDescent="0.3">
      <c r="G12280" s="1"/>
      <c r="N12280" s="1"/>
    </row>
    <row r="12281" spans="7:14" x14ac:dyDescent="0.3">
      <c r="G12281" s="1"/>
      <c r="N12281" s="1"/>
    </row>
    <row r="12282" spans="7:14" x14ac:dyDescent="0.3">
      <c r="G12282" s="1"/>
      <c r="N12282" s="1"/>
    </row>
    <row r="12283" spans="7:14" x14ac:dyDescent="0.3">
      <c r="G12283" s="1"/>
      <c r="N12283" s="1"/>
    </row>
    <row r="12284" spans="7:14" x14ac:dyDescent="0.3">
      <c r="G12284" s="1"/>
      <c r="N12284" s="1"/>
    </row>
    <row r="12285" spans="7:14" x14ac:dyDescent="0.3">
      <c r="G12285" s="1"/>
      <c r="N12285" s="1"/>
    </row>
    <row r="12286" spans="7:14" x14ac:dyDescent="0.3">
      <c r="G12286" s="1"/>
      <c r="N12286" s="1"/>
    </row>
    <row r="12287" spans="7:14" x14ac:dyDescent="0.3">
      <c r="G12287" s="1"/>
      <c r="N12287" s="1"/>
    </row>
    <row r="12288" spans="7:14" x14ac:dyDescent="0.3">
      <c r="G12288" s="1"/>
      <c r="N12288" s="1"/>
    </row>
    <row r="12289" spans="7:14" x14ac:dyDescent="0.3">
      <c r="G12289" s="1"/>
      <c r="N12289" s="1"/>
    </row>
    <row r="12290" spans="7:14" x14ac:dyDescent="0.3">
      <c r="G12290" s="1"/>
      <c r="N12290" s="1"/>
    </row>
    <row r="12291" spans="7:14" x14ac:dyDescent="0.3">
      <c r="G12291" s="1"/>
      <c r="N12291" s="1"/>
    </row>
    <row r="12292" spans="7:14" x14ac:dyDescent="0.3">
      <c r="G12292" s="1"/>
      <c r="N12292" s="1"/>
    </row>
    <row r="12293" spans="7:14" x14ac:dyDescent="0.3">
      <c r="G12293" s="1"/>
      <c r="N12293" s="1"/>
    </row>
    <row r="12294" spans="7:14" x14ac:dyDescent="0.3">
      <c r="G12294" s="1"/>
      <c r="N12294" s="1"/>
    </row>
    <row r="12295" spans="7:14" x14ac:dyDescent="0.3">
      <c r="G12295" s="1"/>
      <c r="N12295" s="1"/>
    </row>
    <row r="12296" spans="7:14" x14ac:dyDescent="0.3">
      <c r="G12296" s="1"/>
      <c r="N12296" s="1"/>
    </row>
    <row r="12297" spans="7:14" x14ac:dyDescent="0.3">
      <c r="G12297" s="1"/>
      <c r="N12297" s="1"/>
    </row>
    <row r="12298" spans="7:14" x14ac:dyDescent="0.3">
      <c r="G12298" s="1"/>
      <c r="N12298" s="1"/>
    </row>
    <row r="12299" spans="7:14" x14ac:dyDescent="0.3">
      <c r="G12299" s="1"/>
      <c r="N12299" s="1"/>
    </row>
    <row r="12300" spans="7:14" x14ac:dyDescent="0.3">
      <c r="G12300" s="1"/>
      <c r="N12300" s="1"/>
    </row>
    <row r="12301" spans="7:14" x14ac:dyDescent="0.3">
      <c r="G12301" s="1"/>
      <c r="N12301" s="1"/>
    </row>
    <row r="12302" spans="7:14" x14ac:dyDescent="0.3">
      <c r="G12302" s="1"/>
      <c r="N12302" s="1"/>
    </row>
    <row r="12303" spans="7:14" x14ac:dyDescent="0.3">
      <c r="G12303" s="1"/>
      <c r="N12303" s="1"/>
    </row>
    <row r="12304" spans="7:14" x14ac:dyDescent="0.3">
      <c r="G12304" s="1"/>
      <c r="N12304" s="1"/>
    </row>
    <row r="12305" spans="7:14" x14ac:dyDescent="0.3">
      <c r="G12305" s="1"/>
      <c r="N12305" s="1"/>
    </row>
    <row r="12306" spans="7:14" x14ac:dyDescent="0.3">
      <c r="G12306" s="1"/>
      <c r="N12306" s="1"/>
    </row>
    <row r="12307" spans="7:14" x14ac:dyDescent="0.3">
      <c r="G12307" s="1"/>
      <c r="N12307" s="1"/>
    </row>
    <row r="12308" spans="7:14" x14ac:dyDescent="0.3">
      <c r="G12308" s="1"/>
      <c r="N12308" s="1"/>
    </row>
    <row r="12309" spans="7:14" x14ac:dyDescent="0.3">
      <c r="G12309" s="1"/>
      <c r="N12309" s="1"/>
    </row>
    <row r="12310" spans="7:14" x14ac:dyDescent="0.3">
      <c r="G12310" s="1"/>
      <c r="N12310" s="1"/>
    </row>
    <row r="12311" spans="7:14" x14ac:dyDescent="0.3">
      <c r="G12311" s="1"/>
      <c r="N12311" s="1"/>
    </row>
    <row r="12312" spans="7:14" x14ac:dyDescent="0.3">
      <c r="G12312" s="1"/>
      <c r="N12312" s="1"/>
    </row>
    <row r="12313" spans="7:14" x14ac:dyDescent="0.3">
      <c r="G12313" s="1"/>
      <c r="N12313" s="1"/>
    </row>
    <row r="12314" spans="7:14" x14ac:dyDescent="0.3">
      <c r="G12314" s="1"/>
      <c r="N12314" s="1"/>
    </row>
    <row r="12315" spans="7:14" x14ac:dyDescent="0.3">
      <c r="G12315" s="1"/>
      <c r="N12315" s="1"/>
    </row>
    <row r="12316" spans="7:14" x14ac:dyDescent="0.3">
      <c r="G12316" s="1"/>
      <c r="N12316" s="1"/>
    </row>
    <row r="12317" spans="7:14" x14ac:dyDescent="0.3">
      <c r="G12317" s="1"/>
      <c r="N12317" s="1"/>
    </row>
    <row r="12318" spans="7:14" x14ac:dyDescent="0.3">
      <c r="G12318" s="1"/>
      <c r="N12318" s="1"/>
    </row>
    <row r="12319" spans="7:14" x14ac:dyDescent="0.3">
      <c r="G12319" s="1"/>
      <c r="N12319" s="1"/>
    </row>
    <row r="12320" spans="7:14" x14ac:dyDescent="0.3">
      <c r="G12320" s="1"/>
      <c r="N12320" s="1"/>
    </row>
    <row r="12321" spans="7:14" x14ac:dyDescent="0.3">
      <c r="G12321" s="1"/>
      <c r="N12321" s="1"/>
    </row>
    <row r="12322" spans="7:14" x14ac:dyDescent="0.3">
      <c r="G12322" s="1"/>
      <c r="N12322" s="1"/>
    </row>
    <row r="12323" spans="7:14" x14ac:dyDescent="0.3">
      <c r="G12323" s="1"/>
      <c r="N12323" s="1"/>
    </row>
    <row r="12324" spans="7:14" x14ac:dyDescent="0.3">
      <c r="G12324" s="1"/>
      <c r="N12324" s="1"/>
    </row>
    <row r="12325" spans="7:14" x14ac:dyDescent="0.3">
      <c r="G12325" s="1"/>
      <c r="N12325" s="1"/>
    </row>
    <row r="12326" spans="7:14" x14ac:dyDescent="0.3">
      <c r="G12326" s="1"/>
      <c r="N12326" s="1"/>
    </row>
    <row r="12327" spans="7:14" x14ac:dyDescent="0.3">
      <c r="G12327" s="1"/>
      <c r="N12327" s="1"/>
    </row>
    <row r="12328" spans="7:14" x14ac:dyDescent="0.3">
      <c r="G12328" s="1"/>
      <c r="N12328" s="1"/>
    </row>
    <row r="12329" spans="7:14" x14ac:dyDescent="0.3">
      <c r="G12329" s="1"/>
      <c r="N12329" s="1"/>
    </row>
    <row r="12330" spans="7:14" x14ac:dyDescent="0.3">
      <c r="G12330" s="1"/>
      <c r="N12330" s="1"/>
    </row>
    <row r="12331" spans="7:14" x14ac:dyDescent="0.3">
      <c r="G12331" s="1"/>
      <c r="N12331" s="1"/>
    </row>
    <row r="12332" spans="7:14" x14ac:dyDescent="0.3">
      <c r="G12332" s="1"/>
      <c r="N12332" s="1"/>
    </row>
    <row r="12333" spans="7:14" x14ac:dyDescent="0.3">
      <c r="G12333" s="1"/>
      <c r="N12333" s="1"/>
    </row>
    <row r="12334" spans="7:14" x14ac:dyDescent="0.3">
      <c r="G12334" s="1"/>
      <c r="N12334" s="1"/>
    </row>
    <row r="12335" spans="7:14" x14ac:dyDescent="0.3">
      <c r="G12335" s="1"/>
      <c r="N12335" s="1"/>
    </row>
    <row r="12336" spans="7:14" x14ac:dyDescent="0.3">
      <c r="G12336" s="1"/>
      <c r="N12336" s="1"/>
    </row>
    <row r="12337" spans="7:14" x14ac:dyDescent="0.3">
      <c r="G12337" s="1"/>
      <c r="N12337" s="1"/>
    </row>
    <row r="12338" spans="7:14" x14ac:dyDescent="0.3">
      <c r="G12338" s="1"/>
      <c r="N12338" s="1"/>
    </row>
    <row r="12339" spans="7:14" x14ac:dyDescent="0.3">
      <c r="G12339" s="1"/>
      <c r="N12339" s="1"/>
    </row>
    <row r="12340" spans="7:14" x14ac:dyDescent="0.3">
      <c r="G12340" s="1"/>
      <c r="N12340" s="1"/>
    </row>
    <row r="12341" spans="7:14" x14ac:dyDescent="0.3">
      <c r="G12341" s="1"/>
      <c r="N12341" s="1"/>
    </row>
    <row r="12342" spans="7:14" x14ac:dyDescent="0.3">
      <c r="G12342" s="1"/>
      <c r="N12342" s="1"/>
    </row>
    <row r="12343" spans="7:14" x14ac:dyDescent="0.3">
      <c r="G12343" s="1"/>
      <c r="N12343" s="1"/>
    </row>
    <row r="12344" spans="7:14" x14ac:dyDescent="0.3">
      <c r="G12344" s="1"/>
      <c r="N12344" s="1"/>
    </row>
    <row r="12345" spans="7:14" x14ac:dyDescent="0.3">
      <c r="G12345" s="1"/>
      <c r="N12345" s="1"/>
    </row>
    <row r="12346" spans="7:14" x14ac:dyDescent="0.3">
      <c r="G12346" s="1"/>
      <c r="N12346" s="1"/>
    </row>
    <row r="12347" spans="7:14" x14ac:dyDescent="0.3">
      <c r="G12347" s="1"/>
      <c r="N12347" s="1"/>
    </row>
    <row r="12348" spans="7:14" x14ac:dyDescent="0.3">
      <c r="G12348" s="1"/>
      <c r="N12348" s="1"/>
    </row>
    <row r="12349" spans="7:14" x14ac:dyDescent="0.3">
      <c r="G12349" s="1"/>
      <c r="N12349" s="1"/>
    </row>
    <row r="12350" spans="7:14" x14ac:dyDescent="0.3">
      <c r="G12350" s="1"/>
      <c r="N12350" s="1"/>
    </row>
    <row r="12351" spans="7:14" x14ac:dyDescent="0.3">
      <c r="G12351" s="1"/>
      <c r="N12351" s="1"/>
    </row>
    <row r="12352" spans="7:14" x14ac:dyDescent="0.3">
      <c r="G12352" s="1"/>
      <c r="N12352" s="1"/>
    </row>
    <row r="12353" spans="7:14" x14ac:dyDescent="0.3">
      <c r="G12353" s="1"/>
      <c r="N12353" s="1"/>
    </row>
    <row r="12354" spans="7:14" x14ac:dyDescent="0.3">
      <c r="G12354" s="1"/>
      <c r="N12354" s="1"/>
    </row>
    <row r="12355" spans="7:14" x14ac:dyDescent="0.3">
      <c r="G12355" s="1"/>
      <c r="N12355" s="1"/>
    </row>
    <row r="12356" spans="7:14" x14ac:dyDescent="0.3">
      <c r="G12356" s="1"/>
      <c r="N12356" s="1"/>
    </row>
    <row r="12357" spans="7:14" x14ac:dyDescent="0.3">
      <c r="G12357" s="1"/>
      <c r="N12357" s="1"/>
    </row>
    <row r="12358" spans="7:14" x14ac:dyDescent="0.3">
      <c r="G12358" s="1"/>
      <c r="N12358" s="1"/>
    </row>
    <row r="12359" spans="7:14" x14ac:dyDescent="0.3">
      <c r="G12359" s="1"/>
      <c r="N12359" s="1"/>
    </row>
    <row r="12360" spans="7:14" x14ac:dyDescent="0.3">
      <c r="G12360" s="1"/>
      <c r="N12360" s="1"/>
    </row>
    <row r="12361" spans="7:14" x14ac:dyDescent="0.3">
      <c r="G12361" s="1"/>
      <c r="N12361" s="1"/>
    </row>
    <row r="12362" spans="7:14" x14ac:dyDescent="0.3">
      <c r="G12362" s="1"/>
      <c r="N12362" s="1"/>
    </row>
    <row r="12363" spans="7:14" x14ac:dyDescent="0.3">
      <c r="G12363" s="1"/>
      <c r="N12363" s="1"/>
    </row>
    <row r="12364" spans="7:14" x14ac:dyDescent="0.3">
      <c r="G12364" s="1"/>
      <c r="N12364" s="1"/>
    </row>
    <row r="12365" spans="7:14" x14ac:dyDescent="0.3">
      <c r="G12365" s="1"/>
      <c r="N12365" s="1"/>
    </row>
    <row r="12366" spans="7:14" x14ac:dyDescent="0.3">
      <c r="G12366" s="1"/>
      <c r="N12366" s="1"/>
    </row>
    <row r="12367" spans="7:14" x14ac:dyDescent="0.3">
      <c r="G12367" s="1"/>
      <c r="N12367" s="1"/>
    </row>
    <row r="12368" spans="7:14" x14ac:dyDescent="0.3">
      <c r="G12368" s="1"/>
      <c r="N12368" s="1"/>
    </row>
    <row r="12369" spans="7:14" x14ac:dyDescent="0.3">
      <c r="G12369" s="1"/>
      <c r="N12369" s="1"/>
    </row>
    <row r="12370" spans="7:14" x14ac:dyDescent="0.3">
      <c r="G12370" s="1"/>
      <c r="N12370" s="1"/>
    </row>
    <row r="12371" spans="7:14" x14ac:dyDescent="0.3">
      <c r="G12371" s="1"/>
      <c r="N12371" s="1"/>
    </row>
    <row r="12372" spans="7:14" x14ac:dyDescent="0.3">
      <c r="G12372" s="1"/>
      <c r="N12372" s="1"/>
    </row>
    <row r="12373" spans="7:14" x14ac:dyDescent="0.3">
      <c r="G12373" s="1"/>
      <c r="N12373" s="1"/>
    </row>
    <row r="12374" spans="7:14" x14ac:dyDescent="0.3">
      <c r="G12374" s="1"/>
      <c r="N12374" s="1"/>
    </row>
    <row r="12375" spans="7:14" x14ac:dyDescent="0.3">
      <c r="G12375" s="1"/>
      <c r="N12375" s="1"/>
    </row>
    <row r="12376" spans="7:14" x14ac:dyDescent="0.3">
      <c r="G12376" s="1"/>
      <c r="N12376" s="1"/>
    </row>
    <row r="12377" spans="7:14" x14ac:dyDescent="0.3">
      <c r="G12377" s="1"/>
      <c r="N12377" s="1"/>
    </row>
    <row r="12378" spans="7:14" x14ac:dyDescent="0.3">
      <c r="G12378" s="1"/>
      <c r="N12378" s="1"/>
    </row>
    <row r="12379" spans="7:14" x14ac:dyDescent="0.3">
      <c r="G12379" s="1"/>
      <c r="N12379" s="1"/>
    </row>
    <row r="12380" spans="7:14" x14ac:dyDescent="0.3">
      <c r="G12380" s="1"/>
      <c r="N12380" s="1"/>
    </row>
    <row r="12381" spans="7:14" x14ac:dyDescent="0.3">
      <c r="G12381" s="1"/>
      <c r="N12381" s="1"/>
    </row>
    <row r="12382" spans="7:14" x14ac:dyDescent="0.3">
      <c r="G12382" s="1"/>
      <c r="N12382" s="1"/>
    </row>
    <row r="12383" spans="7:14" x14ac:dyDescent="0.3">
      <c r="G12383" s="1"/>
      <c r="N12383" s="1"/>
    </row>
    <row r="12384" spans="7:14" x14ac:dyDescent="0.3">
      <c r="G12384" s="1"/>
      <c r="N12384" s="1"/>
    </row>
    <row r="12385" spans="7:14" x14ac:dyDescent="0.3">
      <c r="G12385" s="1"/>
      <c r="N12385" s="1"/>
    </row>
    <row r="12386" spans="7:14" x14ac:dyDescent="0.3">
      <c r="G12386" s="1"/>
      <c r="N12386" s="1"/>
    </row>
    <row r="12387" spans="7:14" x14ac:dyDescent="0.3">
      <c r="G12387" s="1"/>
      <c r="N12387" s="1"/>
    </row>
    <row r="12388" spans="7:14" x14ac:dyDescent="0.3">
      <c r="G12388" s="1"/>
      <c r="N12388" s="1"/>
    </row>
    <row r="12389" spans="7:14" x14ac:dyDescent="0.3">
      <c r="G12389" s="1"/>
      <c r="N12389" s="1"/>
    </row>
    <row r="12390" spans="7:14" x14ac:dyDescent="0.3">
      <c r="G12390" s="1"/>
      <c r="N12390" s="1"/>
    </row>
    <row r="12391" spans="7:14" x14ac:dyDescent="0.3">
      <c r="G12391" s="1"/>
      <c r="N12391" s="1"/>
    </row>
    <row r="12392" spans="7:14" x14ac:dyDescent="0.3">
      <c r="G12392" s="1"/>
      <c r="N12392" s="1"/>
    </row>
    <row r="12393" spans="7:14" x14ac:dyDescent="0.3">
      <c r="G12393" s="1"/>
      <c r="N12393" s="1"/>
    </row>
    <row r="12394" spans="7:14" x14ac:dyDescent="0.3">
      <c r="G12394" s="1"/>
      <c r="N12394" s="1"/>
    </row>
    <row r="12395" spans="7:14" x14ac:dyDescent="0.3">
      <c r="G12395" s="1"/>
      <c r="N12395" s="1"/>
    </row>
    <row r="12396" spans="7:14" x14ac:dyDescent="0.3">
      <c r="G12396" s="1"/>
      <c r="N12396" s="1"/>
    </row>
    <row r="12397" spans="7:14" x14ac:dyDescent="0.3">
      <c r="G12397" s="1"/>
      <c r="N12397" s="1"/>
    </row>
    <row r="12398" spans="7:14" x14ac:dyDescent="0.3">
      <c r="G12398" s="1"/>
      <c r="N12398" s="1"/>
    </row>
    <row r="12399" spans="7:14" x14ac:dyDescent="0.3">
      <c r="G12399" s="1"/>
      <c r="N12399" s="1"/>
    </row>
    <row r="12400" spans="7:14" x14ac:dyDescent="0.3">
      <c r="G12400" s="1"/>
      <c r="N12400" s="1"/>
    </row>
    <row r="12401" spans="7:14" x14ac:dyDescent="0.3">
      <c r="G12401" s="1"/>
      <c r="N12401" s="1"/>
    </row>
    <row r="12402" spans="7:14" x14ac:dyDescent="0.3">
      <c r="G12402" s="1"/>
      <c r="N12402" s="1"/>
    </row>
    <row r="12403" spans="7:14" x14ac:dyDescent="0.3">
      <c r="G12403" s="1"/>
      <c r="N12403" s="1"/>
    </row>
    <row r="12404" spans="7:14" x14ac:dyDescent="0.3">
      <c r="G12404" s="1"/>
      <c r="N12404" s="1"/>
    </row>
    <row r="12405" spans="7:14" x14ac:dyDescent="0.3">
      <c r="G12405" s="1"/>
      <c r="N12405" s="1"/>
    </row>
    <row r="12406" spans="7:14" x14ac:dyDescent="0.3">
      <c r="G12406" s="1"/>
      <c r="N12406" s="1"/>
    </row>
    <row r="12407" spans="7:14" x14ac:dyDescent="0.3">
      <c r="G12407" s="1"/>
      <c r="N12407" s="1"/>
    </row>
    <row r="12408" spans="7:14" x14ac:dyDescent="0.3">
      <c r="G12408" s="1"/>
      <c r="N12408" s="1"/>
    </row>
    <row r="12409" spans="7:14" x14ac:dyDescent="0.3">
      <c r="G12409" s="1"/>
      <c r="N12409" s="1"/>
    </row>
    <row r="12410" spans="7:14" x14ac:dyDescent="0.3">
      <c r="G12410" s="1"/>
      <c r="N12410" s="1"/>
    </row>
    <row r="12411" spans="7:14" x14ac:dyDescent="0.3">
      <c r="G12411" s="1"/>
      <c r="N12411" s="1"/>
    </row>
    <row r="12412" spans="7:14" x14ac:dyDescent="0.3">
      <c r="G12412" s="1"/>
      <c r="N12412" s="1"/>
    </row>
    <row r="12413" spans="7:14" x14ac:dyDescent="0.3">
      <c r="G12413" s="1"/>
      <c r="N12413" s="1"/>
    </row>
    <row r="12414" spans="7:14" x14ac:dyDescent="0.3">
      <c r="G12414" s="1"/>
      <c r="N12414" s="1"/>
    </row>
    <row r="12415" spans="7:14" x14ac:dyDescent="0.3">
      <c r="G12415" s="1"/>
      <c r="N12415" s="1"/>
    </row>
    <row r="12416" spans="7:14" x14ac:dyDescent="0.3">
      <c r="G12416" s="1"/>
      <c r="N12416" s="1"/>
    </row>
    <row r="12417" spans="7:14" x14ac:dyDescent="0.3">
      <c r="G12417" s="1"/>
      <c r="N12417" s="1"/>
    </row>
    <row r="12418" spans="7:14" x14ac:dyDescent="0.3">
      <c r="G12418" s="1"/>
      <c r="N12418" s="1"/>
    </row>
    <row r="12419" spans="7:14" x14ac:dyDescent="0.3">
      <c r="G12419" s="1"/>
      <c r="N12419" s="1"/>
    </row>
    <row r="12420" spans="7:14" x14ac:dyDescent="0.3">
      <c r="G12420" s="1"/>
      <c r="N12420" s="1"/>
    </row>
    <row r="12421" spans="7:14" x14ac:dyDescent="0.3">
      <c r="G12421" s="1"/>
      <c r="N12421" s="1"/>
    </row>
    <row r="12422" spans="7:14" x14ac:dyDescent="0.3">
      <c r="G12422" s="1"/>
      <c r="N12422" s="1"/>
    </row>
    <row r="12423" spans="7:14" x14ac:dyDescent="0.3">
      <c r="G12423" s="1"/>
      <c r="N12423" s="1"/>
    </row>
    <row r="12424" spans="7:14" x14ac:dyDescent="0.3">
      <c r="G12424" s="1"/>
      <c r="N12424" s="1"/>
    </row>
    <row r="12425" spans="7:14" x14ac:dyDescent="0.3">
      <c r="G12425" s="1"/>
      <c r="N12425" s="1"/>
    </row>
    <row r="12426" spans="7:14" x14ac:dyDescent="0.3">
      <c r="G12426" s="1"/>
      <c r="N12426" s="1"/>
    </row>
    <row r="12427" spans="7:14" x14ac:dyDescent="0.3">
      <c r="G12427" s="1"/>
      <c r="N12427" s="1"/>
    </row>
    <row r="12428" spans="7:14" x14ac:dyDescent="0.3">
      <c r="G12428" s="1"/>
      <c r="N12428" s="1"/>
    </row>
    <row r="12429" spans="7:14" x14ac:dyDescent="0.3">
      <c r="G12429" s="1"/>
      <c r="N12429" s="1"/>
    </row>
    <row r="12430" spans="7:14" x14ac:dyDescent="0.3">
      <c r="G12430" s="1"/>
      <c r="N12430" s="1"/>
    </row>
    <row r="12431" spans="7:14" x14ac:dyDescent="0.3">
      <c r="G12431" s="1"/>
      <c r="N12431" s="1"/>
    </row>
    <row r="12432" spans="7:14" x14ac:dyDescent="0.3">
      <c r="G12432" s="1"/>
      <c r="N12432" s="1"/>
    </row>
    <row r="12433" spans="7:14" x14ac:dyDescent="0.3">
      <c r="G12433" s="1"/>
      <c r="N12433" s="1"/>
    </row>
    <row r="12434" spans="7:14" x14ac:dyDescent="0.3">
      <c r="G12434" s="1"/>
      <c r="N12434" s="1"/>
    </row>
    <row r="12435" spans="7:14" x14ac:dyDescent="0.3">
      <c r="G12435" s="1"/>
      <c r="N12435" s="1"/>
    </row>
    <row r="12436" spans="7:14" x14ac:dyDescent="0.3">
      <c r="G12436" s="1"/>
      <c r="N12436" s="1"/>
    </row>
    <row r="12437" spans="7:14" x14ac:dyDescent="0.3">
      <c r="G12437" s="1"/>
      <c r="N12437" s="1"/>
    </row>
    <row r="12438" spans="7:14" x14ac:dyDescent="0.3">
      <c r="G12438" s="1"/>
      <c r="N12438" s="1"/>
    </row>
    <row r="12439" spans="7:14" x14ac:dyDescent="0.3">
      <c r="G12439" s="1"/>
      <c r="N12439" s="1"/>
    </row>
    <row r="12440" spans="7:14" x14ac:dyDescent="0.3">
      <c r="G12440" s="1"/>
      <c r="N12440" s="1"/>
    </row>
    <row r="12441" spans="7:14" x14ac:dyDescent="0.3">
      <c r="G12441" s="1"/>
      <c r="N12441" s="1"/>
    </row>
    <row r="12442" spans="7:14" x14ac:dyDescent="0.3">
      <c r="G12442" s="1"/>
      <c r="N12442" s="1"/>
    </row>
    <row r="12443" spans="7:14" x14ac:dyDescent="0.3">
      <c r="G12443" s="1"/>
      <c r="N12443" s="1"/>
    </row>
    <row r="12444" spans="7:14" x14ac:dyDescent="0.3">
      <c r="G12444" s="1"/>
      <c r="N12444" s="1"/>
    </row>
    <row r="12445" spans="7:14" x14ac:dyDescent="0.3">
      <c r="G12445" s="1"/>
      <c r="N12445" s="1"/>
    </row>
    <row r="12446" spans="7:14" x14ac:dyDescent="0.3">
      <c r="G12446" s="1"/>
      <c r="N12446" s="1"/>
    </row>
    <row r="12447" spans="7:14" x14ac:dyDescent="0.3">
      <c r="G12447" s="1"/>
      <c r="N12447" s="1"/>
    </row>
    <row r="12448" spans="7:14" x14ac:dyDescent="0.3">
      <c r="G12448" s="1"/>
      <c r="N12448" s="1"/>
    </row>
    <row r="12449" spans="7:14" x14ac:dyDescent="0.3">
      <c r="G12449" s="1"/>
      <c r="N12449" s="1"/>
    </row>
    <row r="12450" spans="7:14" x14ac:dyDescent="0.3">
      <c r="G12450" s="1"/>
      <c r="N12450" s="1"/>
    </row>
    <row r="12451" spans="7:14" x14ac:dyDescent="0.3">
      <c r="G12451" s="1"/>
      <c r="N12451" s="1"/>
    </row>
    <row r="12452" spans="7:14" x14ac:dyDescent="0.3">
      <c r="G12452" s="1"/>
      <c r="N12452" s="1"/>
    </row>
    <row r="12453" spans="7:14" x14ac:dyDescent="0.3">
      <c r="G12453" s="1"/>
      <c r="N12453" s="1"/>
    </row>
    <row r="12454" spans="7:14" x14ac:dyDescent="0.3">
      <c r="G12454" s="1"/>
      <c r="N12454" s="1"/>
    </row>
    <row r="12455" spans="7:14" x14ac:dyDescent="0.3">
      <c r="G12455" s="1"/>
      <c r="N12455" s="1"/>
    </row>
    <row r="12456" spans="7:14" x14ac:dyDescent="0.3">
      <c r="G12456" s="1"/>
      <c r="N12456" s="1"/>
    </row>
    <row r="12457" spans="7:14" x14ac:dyDescent="0.3">
      <c r="G12457" s="1"/>
      <c r="N12457" s="1"/>
    </row>
    <row r="12458" spans="7:14" x14ac:dyDescent="0.3">
      <c r="G12458" s="1"/>
      <c r="N12458" s="1"/>
    </row>
    <row r="12459" spans="7:14" x14ac:dyDescent="0.3">
      <c r="G12459" s="1"/>
      <c r="N12459" s="1"/>
    </row>
    <row r="12460" spans="7:14" x14ac:dyDescent="0.3">
      <c r="G12460" s="1"/>
      <c r="N12460" s="1"/>
    </row>
    <row r="12461" spans="7:14" x14ac:dyDescent="0.3">
      <c r="G12461" s="1"/>
      <c r="N12461" s="1"/>
    </row>
    <row r="12462" spans="7:14" x14ac:dyDescent="0.3">
      <c r="G12462" s="1"/>
      <c r="N12462" s="1"/>
    </row>
    <row r="12463" spans="7:14" x14ac:dyDescent="0.3">
      <c r="G12463" s="1"/>
      <c r="N12463" s="1"/>
    </row>
    <row r="12464" spans="7:14" x14ac:dyDescent="0.3">
      <c r="G12464" s="1"/>
      <c r="N12464" s="1"/>
    </row>
    <row r="12465" spans="7:14" x14ac:dyDescent="0.3">
      <c r="G12465" s="1"/>
      <c r="N12465" s="1"/>
    </row>
    <row r="12466" spans="7:14" x14ac:dyDescent="0.3">
      <c r="G12466" s="1"/>
      <c r="N12466" s="1"/>
    </row>
    <row r="12467" spans="7:14" x14ac:dyDescent="0.3">
      <c r="G12467" s="1"/>
      <c r="N12467" s="1"/>
    </row>
    <row r="12468" spans="7:14" x14ac:dyDescent="0.3">
      <c r="G12468" s="1"/>
      <c r="N12468" s="1"/>
    </row>
    <row r="12469" spans="7:14" x14ac:dyDescent="0.3">
      <c r="G12469" s="1"/>
      <c r="N12469" s="1"/>
    </row>
    <row r="12470" spans="7:14" x14ac:dyDescent="0.3">
      <c r="G12470" s="1"/>
      <c r="N12470" s="1"/>
    </row>
    <row r="12471" spans="7:14" x14ac:dyDescent="0.3">
      <c r="G12471" s="1"/>
      <c r="N12471" s="1"/>
    </row>
    <row r="12472" spans="7:14" x14ac:dyDescent="0.3">
      <c r="G12472" s="1"/>
      <c r="N12472" s="1"/>
    </row>
    <row r="12473" spans="7:14" x14ac:dyDescent="0.3">
      <c r="G12473" s="1"/>
      <c r="N12473" s="1"/>
    </row>
    <row r="12474" spans="7:14" x14ac:dyDescent="0.3">
      <c r="G12474" s="1"/>
      <c r="N12474" s="1"/>
    </row>
    <row r="12475" spans="7:14" x14ac:dyDescent="0.3">
      <c r="G12475" s="1"/>
      <c r="N12475" s="1"/>
    </row>
    <row r="12476" spans="7:14" x14ac:dyDescent="0.3">
      <c r="G12476" s="1"/>
      <c r="N12476" s="1"/>
    </row>
    <row r="12477" spans="7:14" x14ac:dyDescent="0.3">
      <c r="G12477" s="1"/>
      <c r="N12477" s="1"/>
    </row>
    <row r="12478" spans="7:14" x14ac:dyDescent="0.3">
      <c r="G12478" s="1"/>
      <c r="N12478" s="1"/>
    </row>
    <row r="12479" spans="7:14" x14ac:dyDescent="0.3">
      <c r="G12479" s="1"/>
      <c r="N12479" s="1"/>
    </row>
    <row r="12480" spans="7:14" x14ac:dyDescent="0.3">
      <c r="G12480" s="1"/>
      <c r="N12480" s="1"/>
    </row>
    <row r="12481" spans="7:14" x14ac:dyDescent="0.3">
      <c r="G12481" s="1"/>
      <c r="N12481" s="1"/>
    </row>
    <row r="12482" spans="7:14" x14ac:dyDescent="0.3">
      <c r="G12482" s="1"/>
      <c r="N12482" s="1"/>
    </row>
    <row r="12483" spans="7:14" x14ac:dyDescent="0.3">
      <c r="G12483" s="1"/>
      <c r="N12483" s="1"/>
    </row>
    <row r="12484" spans="7:14" x14ac:dyDescent="0.3">
      <c r="G12484" s="1"/>
      <c r="N12484" s="1"/>
    </row>
    <row r="12485" spans="7:14" x14ac:dyDescent="0.3">
      <c r="G12485" s="1"/>
      <c r="N12485" s="1"/>
    </row>
    <row r="12486" spans="7:14" x14ac:dyDescent="0.3">
      <c r="G12486" s="1"/>
      <c r="N12486" s="1"/>
    </row>
    <row r="12487" spans="7:14" x14ac:dyDescent="0.3">
      <c r="G12487" s="1"/>
      <c r="N12487" s="1"/>
    </row>
    <row r="12488" spans="7:14" x14ac:dyDescent="0.3">
      <c r="G12488" s="1"/>
      <c r="N12488" s="1"/>
    </row>
    <row r="12489" spans="7:14" x14ac:dyDescent="0.3">
      <c r="G12489" s="1"/>
      <c r="N12489" s="1"/>
    </row>
    <row r="12490" spans="7:14" x14ac:dyDescent="0.3">
      <c r="G12490" s="1"/>
      <c r="N12490" s="1"/>
    </row>
    <row r="12491" spans="7:14" x14ac:dyDescent="0.3">
      <c r="G12491" s="1"/>
      <c r="N12491" s="1"/>
    </row>
    <row r="12492" spans="7:14" x14ac:dyDescent="0.3">
      <c r="G12492" s="1"/>
      <c r="N12492" s="1"/>
    </row>
    <row r="12493" spans="7:14" x14ac:dyDescent="0.3">
      <c r="G12493" s="1"/>
      <c r="N12493" s="1"/>
    </row>
    <row r="12494" spans="7:14" x14ac:dyDescent="0.3">
      <c r="G12494" s="1"/>
      <c r="N12494" s="1"/>
    </row>
    <row r="12495" spans="7:14" x14ac:dyDescent="0.3">
      <c r="G12495" s="1"/>
      <c r="N12495" s="1"/>
    </row>
    <row r="12496" spans="7:14" x14ac:dyDescent="0.3">
      <c r="G12496" s="1"/>
      <c r="N12496" s="1"/>
    </row>
    <row r="12497" spans="7:14" x14ac:dyDescent="0.3">
      <c r="G12497" s="1"/>
      <c r="N12497" s="1"/>
    </row>
    <row r="12498" spans="7:14" x14ac:dyDescent="0.3">
      <c r="G12498" s="1"/>
      <c r="N12498" s="1"/>
    </row>
    <row r="12499" spans="7:14" x14ac:dyDescent="0.3">
      <c r="G12499" s="1"/>
      <c r="N12499" s="1"/>
    </row>
    <row r="12500" spans="7:14" x14ac:dyDescent="0.3">
      <c r="G12500" s="1"/>
      <c r="N12500" s="1"/>
    </row>
    <row r="12501" spans="7:14" x14ac:dyDescent="0.3">
      <c r="G12501" s="1"/>
      <c r="N12501" s="1"/>
    </row>
    <row r="12502" spans="7:14" x14ac:dyDescent="0.3">
      <c r="G12502" s="1"/>
      <c r="N12502" s="1"/>
    </row>
    <row r="12503" spans="7:14" x14ac:dyDescent="0.3">
      <c r="G12503" s="1"/>
      <c r="N12503" s="1"/>
    </row>
    <row r="12504" spans="7:14" x14ac:dyDescent="0.3">
      <c r="G12504" s="1"/>
      <c r="N12504" s="1"/>
    </row>
    <row r="12505" spans="7:14" x14ac:dyDescent="0.3">
      <c r="G12505" s="1"/>
      <c r="N12505" s="1"/>
    </row>
    <row r="12506" spans="7:14" x14ac:dyDescent="0.3">
      <c r="G12506" s="1"/>
      <c r="N12506" s="1"/>
    </row>
    <row r="12507" spans="7:14" x14ac:dyDescent="0.3">
      <c r="G12507" s="1"/>
      <c r="N12507" s="1"/>
    </row>
    <row r="12508" spans="7:14" x14ac:dyDescent="0.3">
      <c r="G12508" s="1"/>
      <c r="N12508" s="1"/>
    </row>
    <row r="12509" spans="7:14" x14ac:dyDescent="0.3">
      <c r="G12509" s="1"/>
      <c r="N12509" s="1"/>
    </row>
    <row r="12510" spans="7:14" x14ac:dyDescent="0.3">
      <c r="G12510" s="1"/>
      <c r="N12510" s="1"/>
    </row>
    <row r="12511" spans="7:14" x14ac:dyDescent="0.3">
      <c r="G12511" s="1"/>
      <c r="N12511" s="1"/>
    </row>
    <row r="12512" spans="7:14" x14ac:dyDescent="0.3">
      <c r="G12512" s="1"/>
      <c r="N12512" s="1"/>
    </row>
    <row r="12513" spans="7:14" x14ac:dyDescent="0.3">
      <c r="G12513" s="1"/>
      <c r="N12513" s="1"/>
    </row>
    <row r="12514" spans="7:14" x14ac:dyDescent="0.3">
      <c r="G12514" s="1"/>
      <c r="N12514" s="1"/>
    </row>
    <row r="12515" spans="7:14" x14ac:dyDescent="0.3">
      <c r="G12515" s="1"/>
      <c r="N12515" s="1"/>
    </row>
    <row r="12516" spans="7:14" x14ac:dyDescent="0.3">
      <c r="G12516" s="1"/>
      <c r="N12516" s="1"/>
    </row>
    <row r="12517" spans="7:14" x14ac:dyDescent="0.3">
      <c r="G12517" s="1"/>
      <c r="N12517" s="1"/>
    </row>
    <row r="12518" spans="7:14" x14ac:dyDescent="0.3">
      <c r="G12518" s="1"/>
      <c r="N12518" s="1"/>
    </row>
    <row r="12519" spans="7:14" x14ac:dyDescent="0.3">
      <c r="G12519" s="1"/>
      <c r="N12519" s="1"/>
    </row>
    <row r="12520" spans="7:14" x14ac:dyDescent="0.3">
      <c r="G12520" s="1"/>
      <c r="N12520" s="1"/>
    </row>
    <row r="12521" spans="7:14" x14ac:dyDescent="0.3">
      <c r="G12521" s="1"/>
      <c r="N12521" s="1"/>
    </row>
    <row r="12522" spans="7:14" x14ac:dyDescent="0.3">
      <c r="G12522" s="1"/>
      <c r="N12522" s="1"/>
    </row>
    <row r="12523" spans="7:14" x14ac:dyDescent="0.3">
      <c r="G12523" s="1"/>
      <c r="N12523" s="1"/>
    </row>
    <row r="12524" spans="7:14" x14ac:dyDescent="0.3">
      <c r="G12524" s="1"/>
      <c r="N12524" s="1"/>
    </row>
    <row r="12525" spans="7:14" x14ac:dyDescent="0.3">
      <c r="G12525" s="1"/>
      <c r="N12525" s="1"/>
    </row>
    <row r="12526" spans="7:14" x14ac:dyDescent="0.3">
      <c r="G12526" s="1"/>
      <c r="N12526" s="1"/>
    </row>
    <row r="12527" spans="7:14" x14ac:dyDescent="0.3">
      <c r="G12527" s="1"/>
      <c r="N12527" s="1"/>
    </row>
    <row r="12528" spans="7:14" x14ac:dyDescent="0.3">
      <c r="G12528" s="1"/>
      <c r="N12528" s="1"/>
    </row>
    <row r="12529" spans="7:14" x14ac:dyDescent="0.3">
      <c r="G12529" s="1"/>
      <c r="N12529" s="1"/>
    </row>
    <row r="12530" spans="7:14" x14ac:dyDescent="0.3">
      <c r="G12530" s="1"/>
      <c r="N12530" s="1"/>
    </row>
    <row r="12531" spans="7:14" x14ac:dyDescent="0.3">
      <c r="G12531" s="1"/>
      <c r="N12531" s="1"/>
    </row>
    <row r="12532" spans="7:14" x14ac:dyDescent="0.3">
      <c r="G12532" s="1"/>
      <c r="N12532" s="1"/>
    </row>
    <row r="12533" spans="7:14" x14ac:dyDescent="0.3">
      <c r="G12533" s="1"/>
      <c r="N12533" s="1"/>
    </row>
    <row r="12534" spans="7:14" x14ac:dyDescent="0.3">
      <c r="G12534" s="1"/>
      <c r="N12534" s="1"/>
    </row>
    <row r="12535" spans="7:14" x14ac:dyDescent="0.3">
      <c r="G12535" s="1"/>
      <c r="N12535" s="1"/>
    </row>
    <row r="12536" spans="7:14" x14ac:dyDescent="0.3">
      <c r="G12536" s="1"/>
      <c r="N12536" s="1"/>
    </row>
    <row r="12537" spans="7:14" x14ac:dyDescent="0.3">
      <c r="G12537" s="1"/>
      <c r="N12537" s="1"/>
    </row>
    <row r="12538" spans="7:14" x14ac:dyDescent="0.3">
      <c r="G12538" s="1"/>
      <c r="N12538" s="1"/>
    </row>
    <row r="12539" spans="7:14" x14ac:dyDescent="0.3">
      <c r="G12539" s="1"/>
      <c r="N12539" s="1"/>
    </row>
    <row r="12540" spans="7:14" x14ac:dyDescent="0.3">
      <c r="G12540" s="1"/>
      <c r="N12540" s="1"/>
    </row>
    <row r="12541" spans="7:14" x14ac:dyDescent="0.3">
      <c r="G12541" s="1"/>
      <c r="N12541" s="1"/>
    </row>
    <row r="12542" spans="7:14" x14ac:dyDescent="0.3">
      <c r="G12542" s="1"/>
      <c r="N12542" s="1"/>
    </row>
    <row r="12543" spans="7:14" x14ac:dyDescent="0.3">
      <c r="G12543" s="1"/>
      <c r="N12543" s="1"/>
    </row>
    <row r="12544" spans="7:14" x14ac:dyDescent="0.3">
      <c r="G12544" s="1"/>
      <c r="N12544" s="1"/>
    </row>
    <row r="12545" spans="7:14" x14ac:dyDescent="0.3">
      <c r="G12545" s="1"/>
      <c r="N12545" s="1"/>
    </row>
    <row r="12546" spans="7:14" x14ac:dyDescent="0.3">
      <c r="G12546" s="1"/>
      <c r="N12546" s="1"/>
    </row>
    <row r="12547" spans="7:14" x14ac:dyDescent="0.3">
      <c r="G12547" s="1"/>
      <c r="N12547" s="1"/>
    </row>
    <row r="12548" spans="7:14" x14ac:dyDescent="0.3">
      <c r="G12548" s="1"/>
      <c r="N12548" s="1"/>
    </row>
    <row r="12549" spans="7:14" x14ac:dyDescent="0.3">
      <c r="G12549" s="1"/>
      <c r="N12549" s="1"/>
    </row>
    <row r="12550" spans="7:14" x14ac:dyDescent="0.3">
      <c r="G12550" s="1"/>
      <c r="N12550" s="1"/>
    </row>
    <row r="12551" spans="7:14" x14ac:dyDescent="0.3">
      <c r="G12551" s="1"/>
      <c r="N12551" s="1"/>
    </row>
    <row r="12552" spans="7:14" x14ac:dyDescent="0.3">
      <c r="G12552" s="1"/>
      <c r="N12552" s="1"/>
    </row>
    <row r="12553" spans="7:14" x14ac:dyDescent="0.3">
      <c r="G12553" s="1"/>
      <c r="N12553" s="1"/>
    </row>
    <row r="12554" spans="7:14" x14ac:dyDescent="0.3">
      <c r="G12554" s="1"/>
      <c r="N12554" s="1"/>
    </row>
    <row r="12555" spans="7:14" x14ac:dyDescent="0.3">
      <c r="G12555" s="1"/>
      <c r="N12555" s="1"/>
    </row>
    <row r="12556" spans="7:14" x14ac:dyDescent="0.3">
      <c r="G12556" s="1"/>
      <c r="N12556" s="1"/>
    </row>
    <row r="12557" spans="7:14" x14ac:dyDescent="0.3">
      <c r="G12557" s="1"/>
      <c r="N12557" s="1"/>
    </row>
    <row r="12558" spans="7:14" x14ac:dyDescent="0.3">
      <c r="G12558" s="1"/>
      <c r="N12558" s="1"/>
    </row>
    <row r="12559" spans="7:14" x14ac:dyDescent="0.3">
      <c r="G12559" s="1"/>
      <c r="N12559" s="1"/>
    </row>
    <row r="12560" spans="7:14" x14ac:dyDescent="0.3">
      <c r="G12560" s="1"/>
      <c r="N12560" s="1"/>
    </row>
    <row r="12561" spans="7:14" x14ac:dyDescent="0.3">
      <c r="G12561" s="1"/>
      <c r="N12561" s="1"/>
    </row>
    <row r="12562" spans="7:14" x14ac:dyDescent="0.3">
      <c r="G12562" s="1"/>
      <c r="N12562" s="1"/>
    </row>
    <row r="12563" spans="7:14" x14ac:dyDescent="0.3">
      <c r="G12563" s="1"/>
      <c r="N12563" s="1"/>
    </row>
    <row r="12564" spans="7:14" x14ac:dyDescent="0.3">
      <c r="G12564" s="1"/>
      <c r="N12564" s="1"/>
    </row>
    <row r="12565" spans="7:14" x14ac:dyDescent="0.3">
      <c r="G12565" s="1"/>
      <c r="N12565" s="1"/>
    </row>
    <row r="12566" spans="7:14" x14ac:dyDescent="0.3">
      <c r="G12566" s="1"/>
      <c r="N12566" s="1"/>
    </row>
    <row r="12567" spans="7:14" x14ac:dyDescent="0.3">
      <c r="G12567" s="1"/>
      <c r="N12567" s="1"/>
    </row>
    <row r="12568" spans="7:14" x14ac:dyDescent="0.3">
      <c r="G12568" s="1"/>
      <c r="N12568" s="1"/>
    </row>
    <row r="12569" spans="7:14" x14ac:dyDescent="0.3">
      <c r="G12569" s="1"/>
      <c r="N12569" s="1"/>
    </row>
    <row r="12570" spans="7:14" x14ac:dyDescent="0.3">
      <c r="G12570" s="1"/>
      <c r="N12570" s="1"/>
    </row>
    <row r="12571" spans="7:14" x14ac:dyDescent="0.3">
      <c r="G12571" s="1"/>
      <c r="N12571" s="1"/>
    </row>
    <row r="12572" spans="7:14" x14ac:dyDescent="0.3">
      <c r="G12572" s="1"/>
      <c r="N12572" s="1"/>
    </row>
    <row r="12573" spans="7:14" x14ac:dyDescent="0.3">
      <c r="G12573" s="1"/>
      <c r="N12573" s="1"/>
    </row>
    <row r="12574" spans="7:14" x14ac:dyDescent="0.3">
      <c r="G12574" s="1"/>
      <c r="N12574" s="1"/>
    </row>
    <row r="12575" spans="7:14" x14ac:dyDescent="0.3">
      <c r="G12575" s="1"/>
      <c r="N12575" s="1"/>
    </row>
    <row r="12576" spans="7:14" x14ac:dyDescent="0.3">
      <c r="G12576" s="1"/>
      <c r="N12576" s="1"/>
    </row>
    <row r="12577" spans="7:14" x14ac:dyDescent="0.3">
      <c r="G12577" s="1"/>
      <c r="N12577" s="1"/>
    </row>
    <row r="12578" spans="7:14" x14ac:dyDescent="0.3">
      <c r="G12578" s="1"/>
      <c r="N12578" s="1"/>
    </row>
    <row r="12579" spans="7:14" x14ac:dyDescent="0.3">
      <c r="G12579" s="1"/>
      <c r="N12579" s="1"/>
    </row>
    <row r="12580" spans="7:14" x14ac:dyDescent="0.3">
      <c r="G12580" s="1"/>
      <c r="N12580" s="1"/>
    </row>
    <row r="12581" spans="7:14" x14ac:dyDescent="0.3">
      <c r="G12581" s="1"/>
      <c r="N12581" s="1"/>
    </row>
    <row r="12582" spans="7:14" x14ac:dyDescent="0.3">
      <c r="G12582" s="1"/>
      <c r="N12582" s="1"/>
    </row>
    <row r="12583" spans="7:14" x14ac:dyDescent="0.3">
      <c r="G12583" s="1"/>
      <c r="N12583" s="1"/>
    </row>
    <row r="12584" spans="7:14" x14ac:dyDescent="0.3">
      <c r="G12584" s="1"/>
      <c r="N12584" s="1"/>
    </row>
    <row r="12585" spans="7:14" x14ac:dyDescent="0.3">
      <c r="G12585" s="1"/>
      <c r="N12585" s="1"/>
    </row>
    <row r="12586" spans="7:14" x14ac:dyDescent="0.3">
      <c r="G12586" s="1"/>
      <c r="N12586" s="1"/>
    </row>
    <row r="12587" spans="7:14" x14ac:dyDescent="0.3">
      <c r="G12587" s="1"/>
      <c r="N12587" s="1"/>
    </row>
    <row r="12588" spans="7:14" x14ac:dyDescent="0.3">
      <c r="G12588" s="1"/>
      <c r="N12588" s="1"/>
    </row>
    <row r="12589" spans="7:14" x14ac:dyDescent="0.3">
      <c r="G12589" s="1"/>
      <c r="N12589" s="1"/>
    </row>
    <row r="12590" spans="7:14" x14ac:dyDescent="0.3">
      <c r="G12590" s="1"/>
      <c r="N12590" s="1"/>
    </row>
    <row r="12591" spans="7:14" x14ac:dyDescent="0.3">
      <c r="G12591" s="1"/>
      <c r="N12591" s="1"/>
    </row>
    <row r="12592" spans="7:14" x14ac:dyDescent="0.3">
      <c r="G12592" s="1"/>
      <c r="N12592" s="1"/>
    </row>
    <row r="12593" spans="7:14" x14ac:dyDescent="0.3">
      <c r="G12593" s="1"/>
      <c r="N12593" s="1"/>
    </row>
    <row r="12594" spans="7:14" x14ac:dyDescent="0.3">
      <c r="G12594" s="1"/>
      <c r="N12594" s="1"/>
    </row>
    <row r="12595" spans="7:14" x14ac:dyDescent="0.3">
      <c r="G12595" s="1"/>
      <c r="N12595" s="1"/>
    </row>
    <row r="12596" spans="7:14" x14ac:dyDescent="0.3">
      <c r="G12596" s="1"/>
      <c r="N12596" s="1"/>
    </row>
    <row r="12597" spans="7:14" x14ac:dyDescent="0.3">
      <c r="G12597" s="1"/>
      <c r="N12597" s="1"/>
    </row>
    <row r="12598" spans="7:14" x14ac:dyDescent="0.3">
      <c r="G12598" s="1"/>
      <c r="N12598" s="1"/>
    </row>
    <row r="12599" spans="7:14" x14ac:dyDescent="0.3">
      <c r="G12599" s="1"/>
      <c r="N12599" s="1"/>
    </row>
    <row r="12600" spans="7:14" x14ac:dyDescent="0.3">
      <c r="G12600" s="1"/>
      <c r="N12600" s="1"/>
    </row>
    <row r="12601" spans="7:14" x14ac:dyDescent="0.3">
      <c r="G12601" s="1"/>
      <c r="N12601" s="1"/>
    </row>
    <row r="12602" spans="7:14" x14ac:dyDescent="0.3">
      <c r="G12602" s="1"/>
      <c r="N12602" s="1"/>
    </row>
    <row r="12603" spans="7:14" x14ac:dyDescent="0.3">
      <c r="G12603" s="1"/>
      <c r="N12603" s="1"/>
    </row>
    <row r="12604" spans="7:14" x14ac:dyDescent="0.3">
      <c r="G12604" s="1"/>
      <c r="N12604" s="1"/>
    </row>
    <row r="12605" spans="7:14" x14ac:dyDescent="0.3">
      <c r="G12605" s="1"/>
      <c r="N12605" s="1"/>
    </row>
    <row r="12606" spans="7:14" x14ac:dyDescent="0.3">
      <c r="G12606" s="1"/>
      <c r="N12606" s="1"/>
    </row>
    <row r="12607" spans="7:14" x14ac:dyDescent="0.3">
      <c r="G12607" s="1"/>
      <c r="N12607" s="1"/>
    </row>
    <row r="12608" spans="7:14" x14ac:dyDescent="0.3">
      <c r="G12608" s="1"/>
      <c r="N12608" s="1"/>
    </row>
    <row r="12609" spans="7:14" x14ac:dyDescent="0.3">
      <c r="G12609" s="1"/>
      <c r="N12609" s="1"/>
    </row>
    <row r="12610" spans="7:14" x14ac:dyDescent="0.3">
      <c r="G12610" s="1"/>
      <c r="N12610" s="1"/>
    </row>
    <row r="12611" spans="7:14" x14ac:dyDescent="0.3">
      <c r="G12611" s="1"/>
      <c r="N12611" s="1"/>
    </row>
    <row r="12612" spans="7:14" x14ac:dyDescent="0.3">
      <c r="G12612" s="1"/>
      <c r="N12612" s="1"/>
    </row>
    <row r="12613" spans="7:14" x14ac:dyDescent="0.3">
      <c r="G12613" s="1"/>
      <c r="N12613" s="1"/>
    </row>
    <row r="12614" spans="7:14" x14ac:dyDescent="0.3">
      <c r="G12614" s="1"/>
      <c r="N12614" s="1"/>
    </row>
    <row r="12615" spans="7:14" x14ac:dyDescent="0.3">
      <c r="G12615" s="1"/>
      <c r="N12615" s="1"/>
    </row>
    <row r="12616" spans="7:14" x14ac:dyDescent="0.3">
      <c r="G12616" s="1"/>
      <c r="N12616" s="1"/>
    </row>
    <row r="12617" spans="7:14" x14ac:dyDescent="0.3">
      <c r="G12617" s="1"/>
      <c r="N12617" s="1"/>
    </row>
    <row r="12618" spans="7:14" x14ac:dyDescent="0.3">
      <c r="G12618" s="1"/>
      <c r="N12618" s="1"/>
    </row>
    <row r="12619" spans="7:14" x14ac:dyDescent="0.3">
      <c r="G12619" s="1"/>
      <c r="N12619" s="1"/>
    </row>
    <row r="12620" spans="7:14" x14ac:dyDescent="0.3">
      <c r="G12620" s="1"/>
      <c r="N12620" s="1"/>
    </row>
    <row r="12621" spans="7:14" x14ac:dyDescent="0.3">
      <c r="G12621" s="1"/>
      <c r="N12621" s="1"/>
    </row>
    <row r="12622" spans="7:14" x14ac:dyDescent="0.3">
      <c r="G12622" s="1"/>
      <c r="N12622" s="1"/>
    </row>
    <row r="12623" spans="7:14" x14ac:dyDescent="0.3">
      <c r="G12623" s="1"/>
      <c r="N12623" s="1"/>
    </row>
    <row r="12624" spans="7:14" x14ac:dyDescent="0.3">
      <c r="G12624" s="1"/>
      <c r="N12624" s="1"/>
    </row>
    <row r="12625" spans="7:14" x14ac:dyDescent="0.3">
      <c r="G12625" s="1"/>
      <c r="N12625" s="1"/>
    </row>
    <row r="12626" spans="7:14" x14ac:dyDescent="0.3">
      <c r="G12626" s="1"/>
      <c r="N12626" s="1"/>
    </row>
    <row r="12627" spans="7:14" x14ac:dyDescent="0.3">
      <c r="G12627" s="1"/>
      <c r="N12627" s="1"/>
    </row>
    <row r="12628" spans="7:14" x14ac:dyDescent="0.3">
      <c r="G12628" s="1"/>
      <c r="N12628" s="1"/>
    </row>
    <row r="12629" spans="7:14" x14ac:dyDescent="0.3">
      <c r="G12629" s="1"/>
      <c r="N12629" s="1"/>
    </row>
    <row r="12630" spans="7:14" x14ac:dyDescent="0.3">
      <c r="G12630" s="1"/>
      <c r="N12630" s="1"/>
    </row>
    <row r="12631" spans="7:14" x14ac:dyDescent="0.3">
      <c r="G12631" s="1"/>
      <c r="N12631" s="1"/>
    </row>
    <row r="12632" spans="7:14" x14ac:dyDescent="0.3">
      <c r="G12632" s="1"/>
      <c r="N12632" s="1"/>
    </row>
    <row r="12633" spans="7:14" x14ac:dyDescent="0.3">
      <c r="G12633" s="1"/>
      <c r="N12633" s="1"/>
    </row>
    <row r="12634" spans="7:14" x14ac:dyDescent="0.3">
      <c r="G12634" s="1"/>
      <c r="N12634" s="1"/>
    </row>
    <row r="12635" spans="7:14" x14ac:dyDescent="0.3">
      <c r="G12635" s="1"/>
      <c r="N12635" s="1"/>
    </row>
    <row r="12636" spans="7:14" x14ac:dyDescent="0.3">
      <c r="G12636" s="1"/>
      <c r="N12636" s="1"/>
    </row>
    <row r="12637" spans="7:14" x14ac:dyDescent="0.3">
      <c r="G12637" s="1"/>
      <c r="N12637" s="1"/>
    </row>
    <row r="12638" spans="7:14" x14ac:dyDescent="0.3">
      <c r="G12638" s="1"/>
      <c r="N12638" s="1"/>
    </row>
    <row r="12639" spans="7:14" x14ac:dyDescent="0.3">
      <c r="G12639" s="1"/>
      <c r="N12639" s="1"/>
    </row>
    <row r="12640" spans="7:14" x14ac:dyDescent="0.3">
      <c r="G12640" s="1"/>
      <c r="N12640" s="1"/>
    </row>
    <row r="12641" spans="7:14" x14ac:dyDescent="0.3">
      <c r="G12641" s="1"/>
      <c r="N12641" s="1"/>
    </row>
    <row r="12642" spans="7:14" x14ac:dyDescent="0.3">
      <c r="G12642" s="1"/>
      <c r="N12642" s="1"/>
    </row>
    <row r="12643" spans="7:14" x14ac:dyDescent="0.3">
      <c r="G12643" s="1"/>
      <c r="N12643" s="1"/>
    </row>
    <row r="12644" spans="7:14" x14ac:dyDescent="0.3">
      <c r="G12644" s="1"/>
      <c r="N12644" s="1"/>
    </row>
    <row r="12645" spans="7:14" x14ac:dyDescent="0.3">
      <c r="G12645" s="1"/>
      <c r="N12645" s="1"/>
    </row>
    <row r="12646" spans="7:14" x14ac:dyDescent="0.3">
      <c r="G12646" s="1"/>
      <c r="N12646" s="1"/>
    </row>
    <row r="12647" spans="7:14" x14ac:dyDescent="0.3">
      <c r="G12647" s="1"/>
      <c r="N12647" s="1"/>
    </row>
    <row r="12648" spans="7:14" x14ac:dyDescent="0.3">
      <c r="G12648" s="1"/>
      <c r="N12648" s="1"/>
    </row>
    <row r="12649" spans="7:14" x14ac:dyDescent="0.3">
      <c r="G12649" s="1"/>
      <c r="N12649" s="1"/>
    </row>
    <row r="12650" spans="7:14" x14ac:dyDescent="0.3">
      <c r="G12650" s="1"/>
      <c r="N12650" s="1"/>
    </row>
    <row r="12651" spans="7:14" x14ac:dyDescent="0.3">
      <c r="G12651" s="1"/>
      <c r="N12651" s="1"/>
    </row>
    <row r="12652" spans="7:14" x14ac:dyDescent="0.3">
      <c r="G12652" s="1"/>
      <c r="N12652" s="1"/>
    </row>
    <row r="12653" spans="7:14" x14ac:dyDescent="0.3">
      <c r="G12653" s="1"/>
      <c r="N12653" s="1"/>
    </row>
    <row r="12654" spans="7:14" x14ac:dyDescent="0.3">
      <c r="G12654" s="1"/>
      <c r="N12654" s="1"/>
    </row>
    <row r="12655" spans="7:14" x14ac:dyDescent="0.3">
      <c r="G12655" s="1"/>
      <c r="N12655" s="1"/>
    </row>
    <row r="12656" spans="7:14" x14ac:dyDescent="0.3">
      <c r="G12656" s="1"/>
      <c r="N12656" s="1"/>
    </row>
    <row r="12657" spans="7:14" x14ac:dyDescent="0.3">
      <c r="G12657" s="1"/>
      <c r="N12657" s="1"/>
    </row>
    <row r="12658" spans="7:14" x14ac:dyDescent="0.3">
      <c r="G12658" s="1"/>
      <c r="N12658" s="1"/>
    </row>
    <row r="12659" spans="7:14" x14ac:dyDescent="0.3">
      <c r="G12659" s="1"/>
      <c r="N12659" s="1"/>
    </row>
    <row r="12660" spans="7:14" x14ac:dyDescent="0.3">
      <c r="G12660" s="1"/>
      <c r="N12660" s="1"/>
    </row>
    <row r="12661" spans="7:14" x14ac:dyDescent="0.3">
      <c r="G12661" s="1"/>
      <c r="N12661" s="1"/>
    </row>
    <row r="12662" spans="7:14" x14ac:dyDescent="0.3">
      <c r="G12662" s="1"/>
      <c r="N12662" s="1"/>
    </row>
    <row r="12663" spans="7:14" x14ac:dyDescent="0.3">
      <c r="G12663" s="1"/>
      <c r="N12663" s="1"/>
    </row>
    <row r="12664" spans="7:14" x14ac:dyDescent="0.3">
      <c r="G12664" s="1"/>
      <c r="N12664" s="1"/>
    </row>
    <row r="12665" spans="7:14" x14ac:dyDescent="0.3">
      <c r="G12665" s="1"/>
      <c r="N12665" s="1"/>
    </row>
    <row r="12666" spans="7:14" x14ac:dyDescent="0.3">
      <c r="G12666" s="1"/>
      <c r="N12666" s="1"/>
    </row>
    <row r="12667" spans="7:14" x14ac:dyDescent="0.3">
      <c r="G12667" s="1"/>
      <c r="N12667" s="1"/>
    </row>
    <row r="12668" spans="7:14" x14ac:dyDescent="0.3">
      <c r="G12668" s="1"/>
      <c r="N12668" s="1"/>
    </row>
    <row r="12669" spans="7:14" x14ac:dyDescent="0.3">
      <c r="G12669" s="1"/>
      <c r="N12669" s="1"/>
    </row>
    <row r="12670" spans="7:14" x14ac:dyDescent="0.3">
      <c r="G12670" s="1"/>
      <c r="N12670" s="1"/>
    </row>
    <row r="12671" spans="7:14" x14ac:dyDescent="0.3">
      <c r="G12671" s="1"/>
      <c r="N12671" s="1"/>
    </row>
    <row r="12672" spans="7:14" x14ac:dyDescent="0.3">
      <c r="G12672" s="1"/>
      <c r="N12672" s="1"/>
    </row>
    <row r="12673" spans="7:14" x14ac:dyDescent="0.3">
      <c r="G12673" s="1"/>
      <c r="N12673" s="1"/>
    </row>
    <row r="12674" spans="7:14" x14ac:dyDescent="0.3">
      <c r="G12674" s="1"/>
      <c r="N12674" s="1"/>
    </row>
    <row r="12675" spans="7:14" x14ac:dyDescent="0.3">
      <c r="G12675" s="1"/>
      <c r="N12675" s="1"/>
    </row>
    <row r="12676" spans="7:14" x14ac:dyDescent="0.3">
      <c r="G12676" s="1"/>
      <c r="N12676" s="1"/>
    </row>
    <row r="12677" spans="7:14" x14ac:dyDescent="0.3">
      <c r="G12677" s="1"/>
      <c r="N12677" s="1"/>
    </row>
    <row r="12678" spans="7:14" x14ac:dyDescent="0.3">
      <c r="G12678" s="1"/>
      <c r="N12678" s="1"/>
    </row>
    <row r="12679" spans="7:14" x14ac:dyDescent="0.3">
      <c r="G12679" s="1"/>
      <c r="N12679" s="1"/>
    </row>
    <row r="12680" spans="7:14" x14ac:dyDescent="0.3">
      <c r="G12680" s="1"/>
      <c r="N12680" s="1"/>
    </row>
    <row r="12681" spans="7:14" x14ac:dyDescent="0.3">
      <c r="G12681" s="1"/>
      <c r="N12681" s="1"/>
    </row>
    <row r="12682" spans="7:14" x14ac:dyDescent="0.3">
      <c r="G12682" s="1"/>
      <c r="N12682" s="1"/>
    </row>
    <row r="12683" spans="7:14" x14ac:dyDescent="0.3">
      <c r="G12683" s="1"/>
      <c r="N12683" s="1"/>
    </row>
    <row r="12684" spans="7:14" x14ac:dyDescent="0.3">
      <c r="G12684" s="1"/>
      <c r="N12684" s="1"/>
    </row>
    <row r="12685" spans="7:14" x14ac:dyDescent="0.3">
      <c r="G12685" s="1"/>
      <c r="N12685" s="1"/>
    </row>
    <row r="12686" spans="7:14" x14ac:dyDescent="0.3">
      <c r="G12686" s="1"/>
      <c r="N12686" s="1"/>
    </row>
    <row r="12687" spans="7:14" x14ac:dyDescent="0.3">
      <c r="G12687" s="1"/>
      <c r="N12687" s="1"/>
    </row>
    <row r="12688" spans="7:14" x14ac:dyDescent="0.3">
      <c r="G12688" s="1"/>
      <c r="N12688" s="1"/>
    </row>
    <row r="12689" spans="7:14" x14ac:dyDescent="0.3">
      <c r="G12689" s="1"/>
      <c r="N12689" s="1"/>
    </row>
    <row r="12690" spans="7:14" x14ac:dyDescent="0.3">
      <c r="G12690" s="1"/>
      <c r="N12690" s="1"/>
    </row>
    <row r="12691" spans="7:14" x14ac:dyDescent="0.3">
      <c r="G12691" s="1"/>
      <c r="N12691" s="1"/>
    </row>
    <row r="12692" spans="7:14" x14ac:dyDescent="0.3">
      <c r="G12692" s="1"/>
      <c r="N12692" s="1"/>
    </row>
    <row r="12693" spans="7:14" x14ac:dyDescent="0.3">
      <c r="G12693" s="1"/>
      <c r="N12693" s="1"/>
    </row>
    <row r="12694" spans="7:14" x14ac:dyDescent="0.3">
      <c r="G12694" s="1"/>
      <c r="N12694" s="1"/>
    </row>
    <row r="12695" spans="7:14" x14ac:dyDescent="0.3">
      <c r="G12695" s="1"/>
      <c r="N12695" s="1"/>
    </row>
    <row r="12696" spans="7:14" x14ac:dyDescent="0.3">
      <c r="G12696" s="1"/>
      <c r="N12696" s="1"/>
    </row>
    <row r="12697" spans="7:14" x14ac:dyDescent="0.3">
      <c r="G12697" s="1"/>
      <c r="N12697" s="1"/>
    </row>
    <row r="12698" spans="7:14" x14ac:dyDescent="0.3">
      <c r="G12698" s="1"/>
      <c r="N12698" s="1"/>
    </row>
    <row r="12699" spans="7:14" x14ac:dyDescent="0.3">
      <c r="G12699" s="1"/>
      <c r="N12699" s="1"/>
    </row>
    <row r="12700" spans="7:14" x14ac:dyDescent="0.3">
      <c r="G12700" s="1"/>
      <c r="N12700" s="1"/>
    </row>
    <row r="12701" spans="7:14" x14ac:dyDescent="0.3">
      <c r="G12701" s="1"/>
      <c r="N12701" s="1"/>
    </row>
    <row r="12702" spans="7:14" x14ac:dyDescent="0.3">
      <c r="G12702" s="1"/>
      <c r="N12702" s="1"/>
    </row>
    <row r="12703" spans="7:14" x14ac:dyDescent="0.3">
      <c r="G12703" s="1"/>
      <c r="N12703" s="1"/>
    </row>
    <row r="12704" spans="7:14" x14ac:dyDescent="0.3">
      <c r="G12704" s="1"/>
      <c r="N12704" s="1"/>
    </row>
    <row r="12705" spans="7:14" x14ac:dyDescent="0.3">
      <c r="G12705" s="1"/>
      <c r="N12705" s="1"/>
    </row>
    <row r="12706" spans="7:14" x14ac:dyDescent="0.3">
      <c r="G12706" s="1"/>
      <c r="N12706" s="1"/>
    </row>
    <row r="12707" spans="7:14" x14ac:dyDescent="0.3">
      <c r="G12707" s="1"/>
      <c r="N12707" s="1"/>
    </row>
    <row r="12708" spans="7:14" x14ac:dyDescent="0.3">
      <c r="G12708" s="1"/>
      <c r="N12708" s="1"/>
    </row>
    <row r="12709" spans="7:14" x14ac:dyDescent="0.3">
      <c r="G12709" s="1"/>
      <c r="N12709" s="1"/>
    </row>
    <row r="12710" spans="7:14" x14ac:dyDescent="0.3">
      <c r="G12710" s="1"/>
      <c r="N12710" s="1"/>
    </row>
    <row r="12711" spans="7:14" x14ac:dyDescent="0.3">
      <c r="G12711" s="1"/>
      <c r="N12711" s="1"/>
    </row>
    <row r="12712" spans="7:14" x14ac:dyDescent="0.3">
      <c r="G12712" s="1"/>
      <c r="N12712" s="1"/>
    </row>
    <row r="12713" spans="7:14" x14ac:dyDescent="0.3">
      <c r="G12713" s="1"/>
      <c r="N12713" s="1"/>
    </row>
    <row r="12714" spans="7:14" x14ac:dyDescent="0.3">
      <c r="G12714" s="1"/>
      <c r="N12714" s="1"/>
    </row>
    <row r="12715" spans="7:14" x14ac:dyDescent="0.3">
      <c r="G12715" s="1"/>
      <c r="N12715" s="1"/>
    </row>
    <row r="12716" spans="7:14" x14ac:dyDescent="0.3">
      <c r="G12716" s="1"/>
      <c r="N12716" s="1"/>
    </row>
    <row r="12717" spans="7:14" x14ac:dyDescent="0.3">
      <c r="G12717" s="1"/>
      <c r="N12717" s="1"/>
    </row>
    <row r="12718" spans="7:14" x14ac:dyDescent="0.3">
      <c r="G12718" s="1"/>
      <c r="N12718" s="1"/>
    </row>
    <row r="12719" spans="7:14" x14ac:dyDescent="0.3">
      <c r="G12719" s="1"/>
      <c r="N12719" s="1"/>
    </row>
    <row r="12720" spans="7:14" x14ac:dyDescent="0.3">
      <c r="G12720" s="1"/>
      <c r="N12720" s="1"/>
    </row>
    <row r="12721" spans="7:14" x14ac:dyDescent="0.3">
      <c r="G12721" s="1"/>
      <c r="N12721" s="1"/>
    </row>
    <row r="12722" spans="7:14" x14ac:dyDescent="0.3">
      <c r="G12722" s="1"/>
      <c r="N12722" s="1"/>
    </row>
    <row r="12723" spans="7:14" x14ac:dyDescent="0.3">
      <c r="G12723" s="1"/>
      <c r="N12723" s="1"/>
    </row>
    <row r="12724" spans="7:14" x14ac:dyDescent="0.3">
      <c r="G12724" s="1"/>
      <c r="N12724" s="1"/>
    </row>
    <row r="12725" spans="7:14" x14ac:dyDescent="0.3">
      <c r="G12725" s="1"/>
      <c r="N12725" s="1"/>
    </row>
    <row r="12726" spans="7:14" x14ac:dyDescent="0.3">
      <c r="G12726" s="1"/>
      <c r="N12726" s="1"/>
    </row>
    <row r="12727" spans="7:14" x14ac:dyDescent="0.3">
      <c r="G12727" s="1"/>
      <c r="N12727" s="1"/>
    </row>
    <row r="12728" spans="7:14" x14ac:dyDescent="0.3">
      <c r="G12728" s="1"/>
      <c r="N12728" s="1"/>
    </row>
    <row r="12729" spans="7:14" x14ac:dyDescent="0.3">
      <c r="G12729" s="1"/>
      <c r="N12729" s="1"/>
    </row>
    <row r="12730" spans="7:14" x14ac:dyDescent="0.3">
      <c r="G12730" s="1"/>
      <c r="N12730" s="1"/>
    </row>
    <row r="12731" spans="7:14" x14ac:dyDescent="0.3">
      <c r="G12731" s="1"/>
      <c r="N12731" s="1"/>
    </row>
    <row r="12732" spans="7:14" x14ac:dyDescent="0.3">
      <c r="G12732" s="1"/>
      <c r="N12732" s="1"/>
    </row>
    <row r="12733" spans="7:14" x14ac:dyDescent="0.3">
      <c r="G12733" s="1"/>
      <c r="N12733" s="1"/>
    </row>
    <row r="12734" spans="7:14" x14ac:dyDescent="0.3">
      <c r="G12734" s="1"/>
      <c r="N12734" s="1"/>
    </row>
    <row r="12735" spans="7:14" x14ac:dyDescent="0.3">
      <c r="G12735" s="1"/>
      <c r="N12735" s="1"/>
    </row>
    <row r="12736" spans="7:14" x14ac:dyDescent="0.3">
      <c r="G12736" s="1"/>
      <c r="N12736" s="1"/>
    </row>
    <row r="12737" spans="7:14" x14ac:dyDescent="0.3">
      <c r="G12737" s="1"/>
      <c r="N12737" s="1"/>
    </row>
    <row r="12738" spans="7:14" x14ac:dyDescent="0.3">
      <c r="G12738" s="1"/>
      <c r="N12738" s="1"/>
    </row>
    <row r="12739" spans="7:14" x14ac:dyDescent="0.3">
      <c r="G12739" s="1"/>
      <c r="N12739" s="1"/>
    </row>
    <row r="12740" spans="7:14" x14ac:dyDescent="0.3">
      <c r="G12740" s="1"/>
      <c r="N12740" s="1"/>
    </row>
    <row r="12741" spans="7:14" x14ac:dyDescent="0.3">
      <c r="G12741" s="1"/>
      <c r="N12741" s="1"/>
    </row>
    <row r="12742" spans="7:14" x14ac:dyDescent="0.3">
      <c r="G12742" s="1"/>
      <c r="N12742" s="1"/>
    </row>
    <row r="12743" spans="7:14" x14ac:dyDescent="0.3">
      <c r="G12743" s="1"/>
      <c r="N12743" s="1"/>
    </row>
    <row r="12744" spans="7:14" x14ac:dyDescent="0.3">
      <c r="G12744" s="1"/>
      <c r="N12744" s="1"/>
    </row>
    <row r="12745" spans="7:14" x14ac:dyDescent="0.3">
      <c r="G12745" s="1"/>
      <c r="N12745" s="1"/>
    </row>
    <row r="12746" spans="7:14" x14ac:dyDescent="0.3">
      <c r="G12746" s="1"/>
      <c r="N12746" s="1"/>
    </row>
    <row r="12747" spans="7:14" x14ac:dyDescent="0.3">
      <c r="G12747" s="1"/>
      <c r="N12747" s="1"/>
    </row>
    <row r="12748" spans="7:14" x14ac:dyDescent="0.3">
      <c r="G12748" s="1"/>
      <c r="N12748" s="1"/>
    </row>
    <row r="12749" spans="7:14" x14ac:dyDescent="0.3">
      <c r="G12749" s="1"/>
      <c r="N12749" s="1"/>
    </row>
    <row r="12750" spans="7:14" x14ac:dyDescent="0.3">
      <c r="G12750" s="1"/>
      <c r="N12750" s="1"/>
    </row>
    <row r="12751" spans="7:14" x14ac:dyDescent="0.3">
      <c r="G12751" s="1"/>
      <c r="N12751" s="1"/>
    </row>
    <row r="12752" spans="7:14" x14ac:dyDescent="0.3">
      <c r="G12752" s="1"/>
      <c r="N12752" s="1"/>
    </row>
    <row r="12753" spans="7:14" x14ac:dyDescent="0.3">
      <c r="G12753" s="1"/>
      <c r="N12753" s="1"/>
    </row>
    <row r="12754" spans="7:14" x14ac:dyDescent="0.3">
      <c r="G12754" s="1"/>
      <c r="N12754" s="1"/>
    </row>
    <row r="12755" spans="7:14" x14ac:dyDescent="0.3">
      <c r="G12755" s="1"/>
      <c r="N12755" s="1"/>
    </row>
    <row r="12756" spans="7:14" x14ac:dyDescent="0.3">
      <c r="G12756" s="1"/>
      <c r="N12756" s="1"/>
    </row>
    <row r="12757" spans="7:14" x14ac:dyDescent="0.3">
      <c r="G12757" s="1"/>
      <c r="N12757" s="1"/>
    </row>
    <row r="12758" spans="7:14" x14ac:dyDescent="0.3">
      <c r="G12758" s="1"/>
      <c r="N12758" s="1"/>
    </row>
    <row r="12759" spans="7:14" x14ac:dyDescent="0.3">
      <c r="G12759" s="1"/>
      <c r="N12759" s="1"/>
    </row>
    <row r="12760" spans="7:14" x14ac:dyDescent="0.3">
      <c r="G12760" s="1"/>
      <c r="N12760" s="1"/>
    </row>
    <row r="12761" spans="7:14" x14ac:dyDescent="0.3">
      <c r="G12761" s="1"/>
      <c r="N12761" s="1"/>
    </row>
    <row r="12762" spans="7:14" x14ac:dyDescent="0.3">
      <c r="G12762" s="1"/>
      <c r="N12762" s="1"/>
    </row>
    <row r="12763" spans="7:14" x14ac:dyDescent="0.3">
      <c r="G12763" s="1"/>
      <c r="N12763" s="1"/>
    </row>
    <row r="12764" spans="7:14" x14ac:dyDescent="0.3">
      <c r="G12764" s="1"/>
      <c r="N12764" s="1"/>
    </row>
    <row r="12765" spans="7:14" x14ac:dyDescent="0.3">
      <c r="G12765" s="1"/>
      <c r="N12765" s="1"/>
    </row>
    <row r="12766" spans="7:14" x14ac:dyDescent="0.3">
      <c r="G12766" s="1"/>
      <c r="N12766" s="1"/>
    </row>
    <row r="12767" spans="7:14" x14ac:dyDescent="0.3">
      <c r="G12767" s="1"/>
      <c r="N12767" s="1"/>
    </row>
    <row r="12768" spans="7:14" x14ac:dyDescent="0.3">
      <c r="G12768" s="1"/>
      <c r="N12768" s="1"/>
    </row>
    <row r="12769" spans="7:14" x14ac:dyDescent="0.3">
      <c r="G12769" s="1"/>
      <c r="N12769" s="1"/>
    </row>
    <row r="12770" spans="7:14" x14ac:dyDescent="0.3">
      <c r="G12770" s="1"/>
      <c r="N12770" s="1"/>
    </row>
    <row r="12771" spans="7:14" x14ac:dyDescent="0.3">
      <c r="G12771" s="1"/>
      <c r="N12771" s="1"/>
    </row>
    <row r="12772" spans="7:14" x14ac:dyDescent="0.3">
      <c r="G12772" s="1"/>
      <c r="N12772" s="1"/>
    </row>
    <row r="12773" spans="7:14" x14ac:dyDescent="0.3">
      <c r="G12773" s="1"/>
      <c r="N12773" s="1"/>
    </row>
    <row r="12774" spans="7:14" x14ac:dyDescent="0.3">
      <c r="G12774" s="1"/>
      <c r="N12774" s="1"/>
    </row>
    <row r="12775" spans="7:14" x14ac:dyDescent="0.3">
      <c r="G12775" s="1"/>
      <c r="N12775" s="1"/>
    </row>
    <row r="12776" spans="7:14" x14ac:dyDescent="0.3">
      <c r="G12776" s="1"/>
      <c r="N12776" s="1"/>
    </row>
    <row r="12777" spans="7:14" x14ac:dyDescent="0.3">
      <c r="G12777" s="1"/>
      <c r="N12777" s="1"/>
    </row>
    <row r="12778" spans="7:14" x14ac:dyDescent="0.3">
      <c r="G12778" s="1"/>
      <c r="N12778" s="1"/>
    </row>
    <row r="12779" spans="7:14" x14ac:dyDescent="0.3">
      <c r="G12779" s="1"/>
      <c r="N12779" s="1"/>
    </row>
    <row r="12780" spans="7:14" x14ac:dyDescent="0.3">
      <c r="G12780" s="1"/>
      <c r="N12780" s="1"/>
    </row>
    <row r="12781" spans="7:14" x14ac:dyDescent="0.3">
      <c r="G12781" s="1"/>
      <c r="N12781" s="1"/>
    </row>
    <row r="12782" spans="7:14" x14ac:dyDescent="0.3">
      <c r="G12782" s="1"/>
      <c r="N12782" s="1"/>
    </row>
    <row r="12783" spans="7:14" x14ac:dyDescent="0.3">
      <c r="G12783" s="1"/>
      <c r="N12783" s="1"/>
    </row>
    <row r="12784" spans="7:14" x14ac:dyDescent="0.3">
      <c r="G12784" s="1"/>
      <c r="N12784" s="1"/>
    </row>
    <row r="12785" spans="7:14" x14ac:dyDescent="0.3">
      <c r="G12785" s="1"/>
      <c r="N12785" s="1"/>
    </row>
    <row r="12786" spans="7:14" x14ac:dyDescent="0.3">
      <c r="G12786" s="1"/>
      <c r="N12786" s="1"/>
    </row>
    <row r="12787" spans="7:14" x14ac:dyDescent="0.3">
      <c r="G12787" s="1"/>
      <c r="N12787" s="1"/>
    </row>
    <row r="12788" spans="7:14" x14ac:dyDescent="0.3">
      <c r="G12788" s="1"/>
      <c r="N12788" s="1"/>
    </row>
    <row r="12789" spans="7:14" x14ac:dyDescent="0.3">
      <c r="G12789" s="1"/>
      <c r="N12789" s="1"/>
    </row>
    <row r="12790" spans="7:14" x14ac:dyDescent="0.3">
      <c r="G12790" s="1"/>
      <c r="N12790" s="1"/>
    </row>
    <row r="12791" spans="7:14" x14ac:dyDescent="0.3">
      <c r="G12791" s="1"/>
      <c r="N12791" s="1"/>
    </row>
    <row r="12792" spans="7:14" x14ac:dyDescent="0.3">
      <c r="G12792" s="1"/>
      <c r="N12792" s="1"/>
    </row>
    <row r="12793" spans="7:14" x14ac:dyDescent="0.3">
      <c r="G12793" s="1"/>
      <c r="N12793" s="1"/>
    </row>
    <row r="12794" spans="7:14" x14ac:dyDescent="0.3">
      <c r="G12794" s="1"/>
      <c r="N12794" s="1"/>
    </row>
    <row r="12795" spans="7:14" x14ac:dyDescent="0.3">
      <c r="G12795" s="1"/>
      <c r="N12795" s="1"/>
    </row>
    <row r="12796" spans="7:14" x14ac:dyDescent="0.3">
      <c r="G12796" s="1"/>
      <c r="N12796" s="1"/>
    </row>
    <row r="12797" spans="7:14" x14ac:dyDescent="0.3">
      <c r="G12797" s="1"/>
      <c r="N12797" s="1"/>
    </row>
    <row r="12798" spans="7:14" x14ac:dyDescent="0.3">
      <c r="G12798" s="1"/>
      <c r="N12798" s="1"/>
    </row>
    <row r="12799" spans="7:14" x14ac:dyDescent="0.3">
      <c r="G12799" s="1"/>
      <c r="N12799" s="1"/>
    </row>
    <row r="12800" spans="7:14" x14ac:dyDescent="0.3">
      <c r="G12800" s="1"/>
      <c r="N12800" s="1"/>
    </row>
    <row r="12801" spans="7:14" x14ac:dyDescent="0.3">
      <c r="G12801" s="1"/>
      <c r="N12801" s="1"/>
    </row>
    <row r="12802" spans="7:14" x14ac:dyDescent="0.3">
      <c r="G12802" s="1"/>
      <c r="N12802" s="1"/>
    </row>
    <row r="12803" spans="7:14" x14ac:dyDescent="0.3">
      <c r="G12803" s="1"/>
      <c r="N12803" s="1"/>
    </row>
    <row r="12804" spans="7:14" x14ac:dyDescent="0.3">
      <c r="G12804" s="1"/>
      <c r="N12804" s="1"/>
    </row>
    <row r="12805" spans="7:14" x14ac:dyDescent="0.3">
      <c r="G12805" s="1"/>
      <c r="N12805" s="1"/>
    </row>
    <row r="12806" spans="7:14" x14ac:dyDescent="0.3">
      <c r="G12806" s="1"/>
      <c r="N12806" s="1"/>
    </row>
    <row r="12807" spans="7:14" x14ac:dyDescent="0.3">
      <c r="G12807" s="1"/>
      <c r="N12807" s="1"/>
    </row>
    <row r="12808" spans="7:14" x14ac:dyDescent="0.3">
      <c r="G12808" s="1"/>
      <c r="N12808" s="1"/>
    </row>
    <row r="12809" spans="7:14" x14ac:dyDescent="0.3">
      <c r="G12809" s="1"/>
      <c r="N12809" s="1"/>
    </row>
    <row r="12810" spans="7:14" x14ac:dyDescent="0.3">
      <c r="G12810" s="1"/>
      <c r="N12810" s="1"/>
    </row>
    <row r="12811" spans="7:14" x14ac:dyDescent="0.3">
      <c r="G12811" s="1"/>
      <c r="N12811" s="1"/>
    </row>
    <row r="12812" spans="7:14" x14ac:dyDescent="0.3">
      <c r="G12812" s="1"/>
      <c r="N12812" s="1"/>
    </row>
    <row r="12813" spans="7:14" x14ac:dyDescent="0.3">
      <c r="G12813" s="1"/>
      <c r="N12813" s="1"/>
    </row>
    <row r="12814" spans="7:14" x14ac:dyDescent="0.3">
      <c r="G12814" s="1"/>
      <c r="N12814" s="1"/>
    </row>
    <row r="12815" spans="7:14" x14ac:dyDescent="0.3">
      <c r="G12815" s="1"/>
      <c r="N12815" s="1"/>
    </row>
    <row r="12816" spans="7:14" x14ac:dyDescent="0.3">
      <c r="G12816" s="1"/>
      <c r="N12816" s="1"/>
    </row>
    <row r="12817" spans="7:14" x14ac:dyDescent="0.3">
      <c r="G12817" s="1"/>
      <c r="N12817" s="1"/>
    </row>
    <row r="12818" spans="7:14" x14ac:dyDescent="0.3">
      <c r="G12818" s="1"/>
      <c r="N12818" s="1"/>
    </row>
    <row r="12819" spans="7:14" x14ac:dyDescent="0.3">
      <c r="G12819" s="1"/>
      <c r="N12819" s="1"/>
    </row>
    <row r="12820" spans="7:14" x14ac:dyDescent="0.3">
      <c r="G12820" s="1"/>
      <c r="N12820" s="1"/>
    </row>
    <row r="12821" spans="7:14" x14ac:dyDescent="0.3">
      <c r="G12821" s="1"/>
      <c r="N12821" s="1"/>
    </row>
    <row r="12822" spans="7:14" x14ac:dyDescent="0.3">
      <c r="G12822" s="1"/>
      <c r="N12822" s="1"/>
    </row>
    <row r="12823" spans="7:14" x14ac:dyDescent="0.3">
      <c r="G12823" s="1"/>
      <c r="N12823" s="1"/>
    </row>
    <row r="12824" spans="7:14" x14ac:dyDescent="0.3">
      <c r="G12824" s="1"/>
      <c r="N12824" s="1"/>
    </row>
    <row r="12825" spans="7:14" x14ac:dyDescent="0.3">
      <c r="G12825" s="1"/>
      <c r="N12825" s="1"/>
    </row>
    <row r="12826" spans="7:14" x14ac:dyDescent="0.3">
      <c r="G12826" s="1"/>
      <c r="N12826" s="1"/>
    </row>
    <row r="12827" spans="7:14" x14ac:dyDescent="0.3">
      <c r="G12827" s="1"/>
      <c r="N12827" s="1"/>
    </row>
    <row r="12828" spans="7:14" x14ac:dyDescent="0.3">
      <c r="G12828" s="1"/>
      <c r="N12828" s="1"/>
    </row>
    <row r="12829" spans="7:14" x14ac:dyDescent="0.3">
      <c r="G12829" s="1"/>
      <c r="N12829" s="1"/>
    </row>
    <row r="12830" spans="7:14" x14ac:dyDescent="0.3">
      <c r="G12830" s="1"/>
      <c r="N12830" s="1"/>
    </row>
    <row r="12831" spans="7:14" x14ac:dyDescent="0.3">
      <c r="G12831" s="1"/>
      <c r="N12831" s="1"/>
    </row>
    <row r="12832" spans="7:14" x14ac:dyDescent="0.3">
      <c r="G12832" s="1"/>
      <c r="N12832" s="1"/>
    </row>
    <row r="12833" spans="7:14" x14ac:dyDescent="0.3">
      <c r="G12833" s="1"/>
      <c r="N12833" s="1"/>
    </row>
    <row r="12834" spans="7:14" x14ac:dyDescent="0.3">
      <c r="G12834" s="1"/>
      <c r="N12834" s="1"/>
    </row>
    <row r="12835" spans="7:14" x14ac:dyDescent="0.3">
      <c r="G12835" s="1"/>
      <c r="N12835" s="1"/>
    </row>
    <row r="12836" spans="7:14" x14ac:dyDescent="0.3">
      <c r="G12836" s="1"/>
      <c r="N12836" s="1"/>
    </row>
    <row r="12837" spans="7:14" x14ac:dyDescent="0.3">
      <c r="G12837" s="1"/>
      <c r="N12837" s="1"/>
    </row>
    <row r="12838" spans="7:14" x14ac:dyDescent="0.3">
      <c r="G12838" s="1"/>
      <c r="N12838" s="1"/>
    </row>
    <row r="12839" spans="7:14" x14ac:dyDescent="0.3">
      <c r="G12839" s="1"/>
      <c r="N12839" s="1"/>
    </row>
    <row r="12840" spans="7:14" x14ac:dyDescent="0.3">
      <c r="G12840" s="1"/>
      <c r="N12840" s="1"/>
    </row>
    <row r="12841" spans="7:14" x14ac:dyDescent="0.3">
      <c r="G12841" s="1"/>
      <c r="N12841" s="1"/>
    </row>
    <row r="12842" spans="7:14" x14ac:dyDescent="0.3">
      <c r="G12842" s="1"/>
      <c r="N12842" s="1"/>
    </row>
    <row r="12843" spans="7:14" x14ac:dyDescent="0.3">
      <c r="G12843" s="1"/>
      <c r="N12843" s="1"/>
    </row>
    <row r="12844" spans="7:14" x14ac:dyDescent="0.3">
      <c r="G12844" s="1"/>
      <c r="N12844" s="1"/>
    </row>
    <row r="12845" spans="7:14" x14ac:dyDescent="0.3">
      <c r="G12845" s="1"/>
      <c r="N12845" s="1"/>
    </row>
    <row r="12846" spans="7:14" x14ac:dyDescent="0.3">
      <c r="G12846" s="1"/>
      <c r="N12846" s="1"/>
    </row>
    <row r="12847" spans="7:14" x14ac:dyDescent="0.3">
      <c r="G12847" s="1"/>
      <c r="N12847" s="1"/>
    </row>
    <row r="12848" spans="7:14" x14ac:dyDescent="0.3">
      <c r="G12848" s="1"/>
      <c r="N12848" s="1"/>
    </row>
    <row r="12849" spans="7:14" x14ac:dyDescent="0.3">
      <c r="G12849" s="1"/>
      <c r="N12849" s="1"/>
    </row>
    <row r="12850" spans="7:14" x14ac:dyDescent="0.3">
      <c r="G12850" s="1"/>
      <c r="N12850" s="1"/>
    </row>
    <row r="12851" spans="7:14" x14ac:dyDescent="0.3">
      <c r="G12851" s="1"/>
      <c r="N12851" s="1"/>
    </row>
    <row r="12852" spans="7:14" x14ac:dyDescent="0.3">
      <c r="G12852" s="1"/>
      <c r="N12852" s="1"/>
    </row>
    <row r="12853" spans="7:14" x14ac:dyDescent="0.3">
      <c r="G12853" s="1"/>
      <c r="N12853" s="1"/>
    </row>
    <row r="12854" spans="7:14" x14ac:dyDescent="0.3">
      <c r="G12854" s="1"/>
      <c r="N12854" s="1"/>
    </row>
    <row r="12855" spans="7:14" x14ac:dyDescent="0.3">
      <c r="G12855" s="1"/>
      <c r="N12855" s="1"/>
    </row>
    <row r="12856" spans="7:14" x14ac:dyDescent="0.3">
      <c r="G12856" s="1"/>
      <c r="N12856" s="1"/>
    </row>
    <row r="12857" spans="7:14" x14ac:dyDescent="0.3">
      <c r="G12857" s="1"/>
      <c r="N12857" s="1"/>
    </row>
    <row r="12858" spans="7:14" x14ac:dyDescent="0.3">
      <c r="G12858" s="1"/>
      <c r="N12858" s="1"/>
    </row>
    <row r="12859" spans="7:14" x14ac:dyDescent="0.3">
      <c r="G12859" s="1"/>
      <c r="N12859" s="1"/>
    </row>
    <row r="12860" spans="7:14" x14ac:dyDescent="0.3">
      <c r="G12860" s="1"/>
      <c r="N12860" s="1"/>
    </row>
    <row r="12861" spans="7:14" x14ac:dyDescent="0.3">
      <c r="G12861" s="1"/>
      <c r="N12861" s="1"/>
    </row>
    <row r="12862" spans="7:14" x14ac:dyDescent="0.3">
      <c r="G12862" s="1"/>
      <c r="N12862" s="1"/>
    </row>
    <row r="12863" spans="7:14" x14ac:dyDescent="0.3">
      <c r="G12863" s="1"/>
      <c r="N12863" s="1"/>
    </row>
    <row r="12864" spans="7:14" x14ac:dyDescent="0.3">
      <c r="G12864" s="1"/>
      <c r="N12864" s="1"/>
    </row>
    <row r="12865" spans="7:14" x14ac:dyDescent="0.3">
      <c r="G12865" s="1"/>
      <c r="N12865" s="1"/>
    </row>
    <row r="12866" spans="7:14" x14ac:dyDescent="0.3">
      <c r="G12866" s="1"/>
      <c r="N12866" s="1"/>
    </row>
    <row r="12867" spans="7:14" x14ac:dyDescent="0.3">
      <c r="G12867" s="1"/>
      <c r="N12867" s="1"/>
    </row>
    <row r="12868" spans="7:14" x14ac:dyDescent="0.3">
      <c r="G12868" s="1"/>
      <c r="N12868" s="1"/>
    </row>
    <row r="12869" spans="7:14" x14ac:dyDescent="0.3">
      <c r="G12869" s="1"/>
      <c r="N12869" s="1"/>
    </row>
    <row r="12870" spans="7:14" x14ac:dyDescent="0.3">
      <c r="G12870" s="1"/>
      <c r="N12870" s="1"/>
    </row>
    <row r="12871" spans="7:14" x14ac:dyDescent="0.3">
      <c r="G12871" s="1"/>
      <c r="N12871" s="1"/>
    </row>
    <row r="12872" spans="7:14" x14ac:dyDescent="0.3">
      <c r="G12872" s="1"/>
      <c r="N12872" s="1"/>
    </row>
    <row r="12873" spans="7:14" x14ac:dyDescent="0.3">
      <c r="G12873" s="1"/>
      <c r="N12873" s="1"/>
    </row>
    <row r="12874" spans="7:14" x14ac:dyDescent="0.3">
      <c r="G12874" s="1"/>
      <c r="N12874" s="1"/>
    </row>
    <row r="12875" spans="7:14" x14ac:dyDescent="0.3">
      <c r="G12875" s="1"/>
      <c r="N12875" s="1"/>
    </row>
    <row r="12876" spans="7:14" x14ac:dyDescent="0.3">
      <c r="G12876" s="1"/>
      <c r="N12876" s="1"/>
    </row>
    <row r="12877" spans="7:14" x14ac:dyDescent="0.3">
      <c r="G12877" s="1"/>
      <c r="N12877" s="1"/>
    </row>
    <row r="12878" spans="7:14" x14ac:dyDescent="0.3">
      <c r="G12878" s="1"/>
      <c r="N12878" s="1"/>
    </row>
    <row r="12879" spans="7:14" x14ac:dyDescent="0.3">
      <c r="G12879" s="1"/>
      <c r="N12879" s="1"/>
    </row>
    <row r="12880" spans="7:14" x14ac:dyDescent="0.3">
      <c r="G12880" s="1"/>
      <c r="N12880" s="1"/>
    </row>
    <row r="12881" spans="7:14" x14ac:dyDescent="0.3">
      <c r="G12881" s="1"/>
      <c r="N12881" s="1"/>
    </row>
    <row r="12882" spans="7:14" x14ac:dyDescent="0.3">
      <c r="G12882" s="1"/>
      <c r="N12882" s="1"/>
    </row>
    <row r="12883" spans="7:14" x14ac:dyDescent="0.3">
      <c r="G12883" s="1"/>
      <c r="N12883" s="1"/>
    </row>
    <row r="12884" spans="7:14" x14ac:dyDescent="0.3">
      <c r="G12884" s="1"/>
      <c r="N12884" s="1"/>
    </row>
    <row r="12885" spans="7:14" x14ac:dyDescent="0.3">
      <c r="G12885" s="1"/>
      <c r="N12885" s="1"/>
    </row>
    <row r="12886" spans="7:14" x14ac:dyDescent="0.3">
      <c r="G12886" s="1"/>
      <c r="N12886" s="1"/>
    </row>
    <row r="12887" spans="7:14" x14ac:dyDescent="0.3">
      <c r="G12887" s="1"/>
      <c r="N12887" s="1"/>
    </row>
    <row r="12888" spans="7:14" x14ac:dyDescent="0.3">
      <c r="G12888" s="1"/>
      <c r="N12888" s="1"/>
    </row>
    <row r="12889" spans="7:14" x14ac:dyDescent="0.3">
      <c r="G12889" s="1"/>
      <c r="N12889" s="1"/>
    </row>
    <row r="12890" spans="7:14" x14ac:dyDescent="0.3">
      <c r="G12890" s="1"/>
      <c r="N12890" s="1"/>
    </row>
    <row r="12891" spans="7:14" x14ac:dyDescent="0.3">
      <c r="G12891" s="1"/>
      <c r="N12891" s="1"/>
    </row>
    <row r="12892" spans="7:14" x14ac:dyDescent="0.3">
      <c r="G12892" s="1"/>
      <c r="N12892" s="1"/>
    </row>
    <row r="12893" spans="7:14" x14ac:dyDescent="0.3">
      <c r="G12893" s="1"/>
      <c r="N12893" s="1"/>
    </row>
    <row r="12894" spans="7:14" x14ac:dyDescent="0.3">
      <c r="G12894" s="1"/>
      <c r="N12894" s="1"/>
    </row>
    <row r="12895" spans="7:14" x14ac:dyDescent="0.3">
      <c r="G12895" s="1"/>
      <c r="N12895" s="1"/>
    </row>
    <row r="12896" spans="7:14" x14ac:dyDescent="0.3">
      <c r="G12896" s="1"/>
      <c r="N12896" s="1"/>
    </row>
    <row r="12897" spans="7:14" x14ac:dyDescent="0.3">
      <c r="G12897" s="1"/>
      <c r="N12897" s="1"/>
    </row>
    <row r="12898" spans="7:14" x14ac:dyDescent="0.3">
      <c r="G12898" s="1"/>
      <c r="N12898" s="1"/>
    </row>
    <row r="12899" spans="7:14" x14ac:dyDescent="0.3">
      <c r="G12899" s="1"/>
      <c r="N12899" s="1"/>
    </row>
    <row r="12900" spans="7:14" x14ac:dyDescent="0.3">
      <c r="G12900" s="1"/>
      <c r="N12900" s="1"/>
    </row>
    <row r="12901" spans="7:14" x14ac:dyDescent="0.3">
      <c r="G12901" s="1"/>
      <c r="N12901" s="1"/>
    </row>
    <row r="12902" spans="7:14" x14ac:dyDescent="0.3">
      <c r="G12902" s="1"/>
      <c r="N12902" s="1"/>
    </row>
    <row r="12903" spans="7:14" x14ac:dyDescent="0.3">
      <c r="G12903" s="1"/>
      <c r="N12903" s="1"/>
    </row>
    <row r="12904" spans="7:14" x14ac:dyDescent="0.3">
      <c r="G12904" s="1"/>
      <c r="N12904" s="1"/>
    </row>
    <row r="12905" spans="7:14" x14ac:dyDescent="0.3">
      <c r="G12905" s="1"/>
      <c r="N12905" s="1"/>
    </row>
    <row r="12906" spans="7:14" x14ac:dyDescent="0.3">
      <c r="G12906" s="1"/>
      <c r="N12906" s="1"/>
    </row>
    <row r="12907" spans="7:14" x14ac:dyDescent="0.3">
      <c r="G12907" s="1"/>
      <c r="N12907" s="1"/>
    </row>
    <row r="12908" spans="7:14" x14ac:dyDescent="0.3">
      <c r="G12908" s="1"/>
      <c r="N12908" s="1"/>
    </row>
    <row r="12909" spans="7:14" x14ac:dyDescent="0.3">
      <c r="G12909" s="1"/>
      <c r="N12909" s="1"/>
    </row>
    <row r="12910" spans="7:14" x14ac:dyDescent="0.3">
      <c r="G12910" s="1"/>
      <c r="N12910" s="1"/>
    </row>
    <row r="12911" spans="7:14" x14ac:dyDescent="0.3">
      <c r="G12911" s="1"/>
      <c r="N12911" s="1"/>
    </row>
    <row r="12912" spans="7:14" x14ac:dyDescent="0.3">
      <c r="G12912" s="1"/>
      <c r="N12912" s="1"/>
    </row>
    <row r="12913" spans="7:14" x14ac:dyDescent="0.3">
      <c r="G12913" s="1"/>
      <c r="N12913" s="1"/>
    </row>
    <row r="12914" spans="7:14" x14ac:dyDescent="0.3">
      <c r="G12914" s="1"/>
      <c r="N12914" s="1"/>
    </row>
    <row r="12915" spans="7:14" x14ac:dyDescent="0.3">
      <c r="G12915" s="1"/>
      <c r="N12915" s="1"/>
    </row>
    <row r="12916" spans="7:14" x14ac:dyDescent="0.3">
      <c r="G12916" s="1"/>
      <c r="N12916" s="1"/>
    </row>
    <row r="12917" spans="7:14" x14ac:dyDescent="0.3">
      <c r="G12917" s="1"/>
      <c r="N12917" s="1"/>
    </row>
    <row r="12918" spans="7:14" x14ac:dyDescent="0.3">
      <c r="G12918" s="1"/>
      <c r="N12918" s="1"/>
    </row>
    <row r="12919" spans="7:14" x14ac:dyDescent="0.3">
      <c r="G12919" s="1"/>
      <c r="N12919" s="1"/>
    </row>
    <row r="12920" spans="7:14" x14ac:dyDescent="0.3">
      <c r="G12920" s="1"/>
      <c r="N12920" s="1"/>
    </row>
    <row r="12921" spans="7:14" x14ac:dyDescent="0.3">
      <c r="G12921" s="1"/>
      <c r="N12921" s="1"/>
    </row>
    <row r="12922" spans="7:14" x14ac:dyDescent="0.3">
      <c r="G12922" s="1"/>
      <c r="N12922" s="1"/>
    </row>
    <row r="12923" spans="7:14" x14ac:dyDescent="0.3">
      <c r="G12923" s="1"/>
      <c r="N12923" s="1"/>
    </row>
    <row r="12924" spans="7:14" x14ac:dyDescent="0.3">
      <c r="G12924" s="1"/>
      <c r="N12924" s="1"/>
    </row>
    <row r="12925" spans="7:14" x14ac:dyDescent="0.3">
      <c r="G12925" s="1"/>
      <c r="N12925" s="1"/>
    </row>
    <row r="12926" spans="7:14" x14ac:dyDescent="0.3">
      <c r="G12926" s="1"/>
      <c r="N12926" s="1"/>
    </row>
    <row r="12927" spans="7:14" x14ac:dyDescent="0.3">
      <c r="G12927" s="1"/>
      <c r="N12927" s="1"/>
    </row>
    <row r="12928" spans="7:14" x14ac:dyDescent="0.3">
      <c r="G12928" s="1"/>
      <c r="N12928" s="1"/>
    </row>
    <row r="12929" spans="7:14" x14ac:dyDescent="0.3">
      <c r="G12929" s="1"/>
      <c r="N12929" s="1"/>
    </row>
    <row r="12930" spans="7:14" x14ac:dyDescent="0.3">
      <c r="G12930" s="1"/>
      <c r="N12930" s="1"/>
    </row>
    <row r="12931" spans="7:14" x14ac:dyDescent="0.3">
      <c r="G12931" s="1"/>
      <c r="N12931" s="1"/>
    </row>
    <row r="12932" spans="7:14" x14ac:dyDescent="0.3">
      <c r="G12932" s="1"/>
      <c r="N12932" s="1"/>
    </row>
    <row r="12933" spans="7:14" x14ac:dyDescent="0.3">
      <c r="G12933" s="1"/>
      <c r="N12933" s="1"/>
    </row>
    <row r="12934" spans="7:14" x14ac:dyDescent="0.3">
      <c r="G12934" s="1"/>
      <c r="N12934" s="1"/>
    </row>
    <row r="12935" spans="7:14" x14ac:dyDescent="0.3">
      <c r="G12935" s="1"/>
      <c r="N12935" s="1"/>
    </row>
    <row r="12936" spans="7:14" x14ac:dyDescent="0.3">
      <c r="G12936" s="1"/>
      <c r="N12936" s="1"/>
    </row>
    <row r="12937" spans="7:14" x14ac:dyDescent="0.3">
      <c r="G12937" s="1"/>
      <c r="N12937" s="1"/>
    </row>
    <row r="12938" spans="7:14" x14ac:dyDescent="0.3">
      <c r="G12938" s="1"/>
      <c r="N12938" s="1"/>
    </row>
    <row r="12939" spans="7:14" x14ac:dyDescent="0.3">
      <c r="G12939" s="1"/>
      <c r="N12939" s="1"/>
    </row>
    <row r="12940" spans="7:14" x14ac:dyDescent="0.3">
      <c r="G12940" s="1"/>
      <c r="N12940" s="1"/>
    </row>
    <row r="12941" spans="7:14" x14ac:dyDescent="0.3">
      <c r="G12941" s="1"/>
      <c r="N12941" s="1"/>
    </row>
    <row r="12942" spans="7:14" x14ac:dyDescent="0.3">
      <c r="G12942" s="1"/>
      <c r="N12942" s="1"/>
    </row>
    <row r="12943" spans="7:14" x14ac:dyDescent="0.3">
      <c r="G12943" s="1"/>
      <c r="N12943" s="1"/>
    </row>
    <row r="12944" spans="7:14" x14ac:dyDescent="0.3">
      <c r="G12944" s="1"/>
      <c r="N12944" s="1"/>
    </row>
    <row r="12945" spans="7:14" x14ac:dyDescent="0.3">
      <c r="G12945" s="1"/>
      <c r="N12945" s="1"/>
    </row>
    <row r="12946" spans="7:14" x14ac:dyDescent="0.3">
      <c r="G12946" s="1"/>
      <c r="N12946" s="1"/>
    </row>
    <row r="12947" spans="7:14" x14ac:dyDescent="0.3">
      <c r="G12947" s="1"/>
      <c r="N12947" s="1"/>
    </row>
    <row r="12948" spans="7:14" x14ac:dyDescent="0.3">
      <c r="G12948" s="1"/>
      <c r="N12948" s="1"/>
    </row>
    <row r="12949" spans="7:14" x14ac:dyDescent="0.3">
      <c r="G12949" s="1"/>
      <c r="N12949" s="1"/>
    </row>
    <row r="12950" spans="7:14" x14ac:dyDescent="0.3">
      <c r="G12950" s="1"/>
      <c r="N12950" s="1"/>
    </row>
    <row r="12951" spans="7:14" x14ac:dyDescent="0.3">
      <c r="G12951" s="1"/>
      <c r="N12951" s="1"/>
    </row>
    <row r="12952" spans="7:14" x14ac:dyDescent="0.3">
      <c r="G12952" s="1"/>
      <c r="N12952" s="1"/>
    </row>
    <row r="12953" spans="7:14" x14ac:dyDescent="0.3">
      <c r="G12953" s="1"/>
      <c r="N12953" s="1"/>
    </row>
    <row r="12954" spans="7:14" x14ac:dyDescent="0.3">
      <c r="G12954" s="1"/>
      <c r="N12954" s="1"/>
    </row>
    <row r="12955" spans="7:14" x14ac:dyDescent="0.3">
      <c r="G12955" s="1"/>
      <c r="N12955" s="1"/>
    </row>
    <row r="12956" spans="7:14" x14ac:dyDescent="0.3">
      <c r="G12956" s="1"/>
      <c r="N12956" s="1"/>
    </row>
    <row r="12957" spans="7:14" x14ac:dyDescent="0.3">
      <c r="G12957" s="1"/>
      <c r="N12957" s="1"/>
    </row>
    <row r="12958" spans="7:14" x14ac:dyDescent="0.3">
      <c r="G12958" s="1"/>
      <c r="N12958" s="1"/>
    </row>
    <row r="12959" spans="7:14" x14ac:dyDescent="0.3">
      <c r="G12959" s="1"/>
      <c r="N12959" s="1"/>
    </row>
    <row r="12960" spans="7:14" x14ac:dyDescent="0.3">
      <c r="G12960" s="1"/>
      <c r="N12960" s="1"/>
    </row>
    <row r="12961" spans="7:14" x14ac:dyDescent="0.3">
      <c r="G12961" s="1"/>
      <c r="N12961" s="1"/>
    </row>
    <row r="12962" spans="7:14" x14ac:dyDescent="0.3">
      <c r="G12962" s="1"/>
      <c r="N12962" s="1"/>
    </row>
    <row r="12963" spans="7:14" x14ac:dyDescent="0.3">
      <c r="G12963" s="1"/>
      <c r="N12963" s="1"/>
    </row>
    <row r="12964" spans="7:14" x14ac:dyDescent="0.3">
      <c r="G12964" s="1"/>
      <c r="N12964" s="1"/>
    </row>
    <row r="12965" spans="7:14" x14ac:dyDescent="0.3">
      <c r="G12965" s="1"/>
      <c r="N12965" s="1"/>
    </row>
    <row r="12966" spans="7:14" x14ac:dyDescent="0.3">
      <c r="G12966" s="1"/>
      <c r="N12966" s="1"/>
    </row>
    <row r="12967" spans="7:14" x14ac:dyDescent="0.3">
      <c r="G12967" s="1"/>
      <c r="N12967" s="1"/>
    </row>
    <row r="12968" spans="7:14" x14ac:dyDescent="0.3">
      <c r="G12968" s="1"/>
      <c r="N12968" s="1"/>
    </row>
    <row r="12969" spans="7:14" x14ac:dyDescent="0.3">
      <c r="G12969" s="1"/>
      <c r="N12969" s="1"/>
    </row>
    <row r="12970" spans="7:14" x14ac:dyDescent="0.3">
      <c r="G12970" s="1"/>
      <c r="N12970" s="1"/>
    </row>
    <row r="12971" spans="7:14" x14ac:dyDescent="0.3">
      <c r="G12971" s="1"/>
      <c r="N12971" s="1"/>
    </row>
    <row r="12972" spans="7:14" x14ac:dyDescent="0.3">
      <c r="G12972" s="1"/>
      <c r="N12972" s="1"/>
    </row>
    <row r="12973" spans="7:14" x14ac:dyDescent="0.3">
      <c r="G12973" s="1"/>
      <c r="N12973" s="1"/>
    </row>
    <row r="12974" spans="7:14" x14ac:dyDescent="0.3">
      <c r="G12974" s="1"/>
      <c r="N12974" s="1"/>
    </row>
    <row r="12975" spans="7:14" x14ac:dyDescent="0.3">
      <c r="G12975" s="1"/>
      <c r="N12975" s="1"/>
    </row>
    <row r="12976" spans="7:14" x14ac:dyDescent="0.3">
      <c r="G12976" s="1"/>
      <c r="N12976" s="1"/>
    </row>
    <row r="12977" spans="7:14" x14ac:dyDescent="0.3">
      <c r="G12977" s="1"/>
      <c r="N12977" s="1"/>
    </row>
    <row r="12978" spans="7:14" x14ac:dyDescent="0.3">
      <c r="G12978" s="1"/>
      <c r="N12978" s="1"/>
    </row>
    <row r="12979" spans="7:14" x14ac:dyDescent="0.3">
      <c r="G12979" s="1"/>
      <c r="N12979" s="1"/>
    </row>
    <row r="12980" spans="7:14" x14ac:dyDescent="0.3">
      <c r="G12980" s="1"/>
      <c r="N12980" s="1"/>
    </row>
    <row r="12981" spans="7:14" x14ac:dyDescent="0.3">
      <c r="G12981" s="1"/>
      <c r="N12981" s="1"/>
    </row>
    <row r="12982" spans="7:14" x14ac:dyDescent="0.3">
      <c r="G12982" s="1"/>
      <c r="N12982" s="1"/>
    </row>
    <row r="12983" spans="7:14" x14ac:dyDescent="0.3">
      <c r="G12983" s="1"/>
      <c r="N12983" s="1"/>
    </row>
    <row r="12984" spans="7:14" x14ac:dyDescent="0.3">
      <c r="G12984" s="1"/>
      <c r="N12984" s="1"/>
    </row>
    <row r="12985" spans="7:14" x14ac:dyDescent="0.3">
      <c r="G12985" s="1"/>
      <c r="N12985" s="1"/>
    </row>
    <row r="12986" spans="7:14" x14ac:dyDescent="0.3">
      <c r="G12986" s="1"/>
      <c r="N12986" s="1"/>
    </row>
    <row r="12987" spans="7:14" x14ac:dyDescent="0.3">
      <c r="G12987" s="1"/>
      <c r="N12987" s="1"/>
    </row>
    <row r="12988" spans="7:14" x14ac:dyDescent="0.3">
      <c r="G12988" s="1"/>
      <c r="N12988" s="1"/>
    </row>
    <row r="12989" spans="7:14" x14ac:dyDescent="0.3">
      <c r="G12989" s="1"/>
      <c r="N12989" s="1"/>
    </row>
    <row r="12990" spans="7:14" x14ac:dyDescent="0.3">
      <c r="G12990" s="1"/>
      <c r="N12990" s="1"/>
    </row>
    <row r="12991" spans="7:14" x14ac:dyDescent="0.3">
      <c r="G12991" s="1"/>
      <c r="N12991" s="1"/>
    </row>
    <row r="12992" spans="7:14" x14ac:dyDescent="0.3">
      <c r="G12992" s="1"/>
      <c r="N12992" s="1"/>
    </row>
    <row r="12993" spans="7:14" x14ac:dyDescent="0.3">
      <c r="G12993" s="1"/>
      <c r="N12993" s="1"/>
    </row>
    <row r="12994" spans="7:14" x14ac:dyDescent="0.3">
      <c r="G12994" s="1"/>
      <c r="N12994" s="1"/>
    </row>
    <row r="12995" spans="7:14" x14ac:dyDescent="0.3">
      <c r="G12995" s="1"/>
      <c r="N12995" s="1"/>
    </row>
    <row r="12996" spans="7:14" x14ac:dyDescent="0.3">
      <c r="G12996" s="1"/>
      <c r="N12996" s="1"/>
    </row>
    <row r="12997" spans="7:14" x14ac:dyDescent="0.3">
      <c r="G12997" s="1"/>
      <c r="N12997" s="1"/>
    </row>
    <row r="12998" spans="7:14" x14ac:dyDescent="0.3">
      <c r="G12998" s="1"/>
      <c r="N12998" s="1"/>
    </row>
    <row r="12999" spans="7:14" x14ac:dyDescent="0.3">
      <c r="G12999" s="1"/>
      <c r="N12999" s="1"/>
    </row>
    <row r="13000" spans="7:14" x14ac:dyDescent="0.3">
      <c r="G13000" s="1"/>
      <c r="N13000" s="1"/>
    </row>
    <row r="13001" spans="7:14" x14ac:dyDescent="0.3">
      <c r="G13001" s="1"/>
      <c r="N13001" s="1"/>
    </row>
    <row r="13002" spans="7:14" x14ac:dyDescent="0.3">
      <c r="G13002" s="1"/>
      <c r="N13002" s="1"/>
    </row>
    <row r="13003" spans="7:14" x14ac:dyDescent="0.3">
      <c r="G13003" s="1"/>
      <c r="N13003" s="1"/>
    </row>
    <row r="13004" spans="7:14" x14ac:dyDescent="0.3">
      <c r="G13004" s="1"/>
      <c r="N13004" s="1"/>
    </row>
    <row r="13005" spans="7:14" x14ac:dyDescent="0.3">
      <c r="G13005" s="1"/>
      <c r="N13005" s="1"/>
    </row>
    <row r="13006" spans="7:14" x14ac:dyDescent="0.3">
      <c r="G13006" s="1"/>
      <c r="N13006" s="1"/>
    </row>
    <row r="13007" spans="7:14" x14ac:dyDescent="0.3">
      <c r="G13007" s="1"/>
      <c r="N13007" s="1"/>
    </row>
    <row r="13008" spans="7:14" x14ac:dyDescent="0.3">
      <c r="G13008" s="1"/>
      <c r="N13008" s="1"/>
    </row>
    <row r="13009" spans="7:14" x14ac:dyDescent="0.3">
      <c r="G13009" s="1"/>
      <c r="N13009" s="1"/>
    </row>
    <row r="13010" spans="7:14" x14ac:dyDescent="0.3">
      <c r="G13010" s="1"/>
      <c r="N13010" s="1"/>
    </row>
    <row r="13011" spans="7:14" x14ac:dyDescent="0.3">
      <c r="G13011" s="1"/>
      <c r="N13011" s="1"/>
    </row>
    <row r="13012" spans="7:14" x14ac:dyDescent="0.3">
      <c r="G13012" s="1"/>
      <c r="N13012" s="1"/>
    </row>
    <row r="13013" spans="7:14" x14ac:dyDescent="0.3">
      <c r="G13013" s="1"/>
      <c r="N13013" s="1"/>
    </row>
    <row r="13014" spans="7:14" x14ac:dyDescent="0.3">
      <c r="G13014" s="1"/>
      <c r="N13014" s="1"/>
    </row>
    <row r="13015" spans="7:14" x14ac:dyDescent="0.3">
      <c r="G13015" s="1"/>
      <c r="N13015" s="1"/>
    </row>
    <row r="13016" spans="7:14" x14ac:dyDescent="0.3">
      <c r="G13016" s="1"/>
      <c r="N13016" s="1"/>
    </row>
    <row r="13017" spans="7:14" x14ac:dyDescent="0.3">
      <c r="G13017" s="1"/>
      <c r="N13017" s="1"/>
    </row>
    <row r="13018" spans="7:14" x14ac:dyDescent="0.3">
      <c r="G13018" s="1"/>
      <c r="N13018" s="1"/>
    </row>
    <row r="13019" spans="7:14" x14ac:dyDescent="0.3">
      <c r="G13019" s="1"/>
      <c r="N13019" s="1"/>
    </row>
    <row r="13020" spans="7:14" x14ac:dyDescent="0.3">
      <c r="G13020" s="1"/>
      <c r="N13020" s="1"/>
    </row>
    <row r="13021" spans="7:14" x14ac:dyDescent="0.3">
      <c r="G13021" s="1"/>
      <c r="N13021" s="1"/>
    </row>
    <row r="13022" spans="7:14" x14ac:dyDescent="0.3">
      <c r="G13022" s="1"/>
      <c r="N13022" s="1"/>
    </row>
    <row r="13023" spans="7:14" x14ac:dyDescent="0.3">
      <c r="G13023" s="1"/>
      <c r="N13023" s="1"/>
    </row>
    <row r="13024" spans="7:14" x14ac:dyDescent="0.3">
      <c r="G13024" s="1"/>
      <c r="N13024" s="1"/>
    </row>
    <row r="13025" spans="7:14" x14ac:dyDescent="0.3">
      <c r="G13025" s="1"/>
      <c r="N13025" s="1"/>
    </row>
    <row r="13026" spans="7:14" x14ac:dyDescent="0.3">
      <c r="G13026" s="1"/>
      <c r="N13026" s="1"/>
    </row>
    <row r="13027" spans="7:14" x14ac:dyDescent="0.3">
      <c r="G13027" s="1"/>
      <c r="N13027" s="1"/>
    </row>
    <row r="13028" spans="7:14" x14ac:dyDescent="0.3">
      <c r="G13028" s="1"/>
      <c r="N13028" s="1"/>
    </row>
    <row r="13029" spans="7:14" x14ac:dyDescent="0.3">
      <c r="G13029" s="1"/>
      <c r="N13029" s="1"/>
    </row>
    <row r="13030" spans="7:14" x14ac:dyDescent="0.3">
      <c r="G13030" s="1"/>
      <c r="N13030" s="1"/>
    </row>
    <row r="13031" spans="7:14" x14ac:dyDescent="0.3">
      <c r="G13031" s="1"/>
      <c r="N13031" s="1"/>
    </row>
    <row r="13032" spans="7:14" x14ac:dyDescent="0.3">
      <c r="G13032" s="1"/>
      <c r="N13032" s="1"/>
    </row>
    <row r="13033" spans="7:14" x14ac:dyDescent="0.3">
      <c r="G13033" s="1"/>
      <c r="N13033" s="1"/>
    </row>
    <row r="13034" spans="7:14" x14ac:dyDescent="0.3">
      <c r="G13034" s="1"/>
      <c r="N13034" s="1"/>
    </row>
    <row r="13035" spans="7:14" x14ac:dyDescent="0.3">
      <c r="G13035" s="1"/>
      <c r="N13035" s="1"/>
    </row>
    <row r="13036" spans="7:14" x14ac:dyDescent="0.3">
      <c r="G13036" s="1"/>
      <c r="N13036" s="1"/>
    </row>
    <row r="13037" spans="7:14" x14ac:dyDescent="0.3">
      <c r="G13037" s="1"/>
      <c r="N13037" s="1"/>
    </row>
    <row r="13038" spans="7:14" x14ac:dyDescent="0.3">
      <c r="G13038" s="1"/>
      <c r="N13038" s="1"/>
    </row>
    <row r="13039" spans="7:14" x14ac:dyDescent="0.3">
      <c r="G13039" s="1"/>
      <c r="N13039" s="1"/>
    </row>
    <row r="13040" spans="7:14" x14ac:dyDescent="0.3">
      <c r="G13040" s="1"/>
      <c r="N13040" s="1"/>
    </row>
    <row r="13041" spans="7:14" x14ac:dyDescent="0.3">
      <c r="G13041" s="1"/>
      <c r="N13041" s="1"/>
    </row>
    <row r="13042" spans="7:14" x14ac:dyDescent="0.3">
      <c r="G13042" s="1"/>
      <c r="N13042" s="1"/>
    </row>
    <row r="13043" spans="7:14" x14ac:dyDescent="0.3">
      <c r="G13043" s="1"/>
      <c r="N13043" s="1"/>
    </row>
    <row r="13044" spans="7:14" x14ac:dyDescent="0.3">
      <c r="G13044" s="1"/>
      <c r="N13044" s="1"/>
    </row>
    <row r="13045" spans="7:14" x14ac:dyDescent="0.3">
      <c r="G13045" s="1"/>
      <c r="N13045" s="1"/>
    </row>
    <row r="13046" spans="7:14" x14ac:dyDescent="0.3">
      <c r="G13046" s="1"/>
      <c r="N13046" s="1"/>
    </row>
    <row r="13047" spans="7:14" x14ac:dyDescent="0.3">
      <c r="G13047" s="1"/>
      <c r="N13047" s="1"/>
    </row>
    <row r="13048" spans="7:14" x14ac:dyDescent="0.3">
      <c r="G13048" s="1"/>
      <c r="N13048" s="1"/>
    </row>
    <row r="13049" spans="7:14" x14ac:dyDescent="0.3">
      <c r="G13049" s="1"/>
      <c r="N13049" s="1"/>
    </row>
    <row r="13050" spans="7:14" x14ac:dyDescent="0.3">
      <c r="G13050" s="1"/>
      <c r="N13050" s="1"/>
    </row>
    <row r="13051" spans="7:14" x14ac:dyDescent="0.3">
      <c r="G13051" s="1"/>
      <c r="N13051" s="1"/>
    </row>
    <row r="13052" spans="7:14" x14ac:dyDescent="0.3">
      <c r="G13052" s="1"/>
      <c r="N13052" s="1"/>
    </row>
    <row r="13053" spans="7:14" x14ac:dyDescent="0.3">
      <c r="G13053" s="1"/>
      <c r="N13053" s="1"/>
    </row>
    <row r="13054" spans="7:14" x14ac:dyDescent="0.3">
      <c r="G13054" s="1"/>
      <c r="N13054" s="1"/>
    </row>
    <row r="13055" spans="7:14" x14ac:dyDescent="0.3">
      <c r="G13055" s="1"/>
      <c r="N13055" s="1"/>
    </row>
    <row r="13056" spans="7:14" x14ac:dyDescent="0.3">
      <c r="G13056" s="1"/>
      <c r="N13056" s="1"/>
    </row>
    <row r="13057" spans="7:14" x14ac:dyDescent="0.3">
      <c r="G13057" s="1"/>
      <c r="N13057" s="1"/>
    </row>
    <row r="13058" spans="7:14" x14ac:dyDescent="0.3">
      <c r="G13058" s="1"/>
      <c r="N13058" s="1"/>
    </row>
    <row r="13059" spans="7:14" x14ac:dyDescent="0.3">
      <c r="G13059" s="1"/>
      <c r="N13059" s="1"/>
    </row>
    <row r="13060" spans="7:14" x14ac:dyDescent="0.3">
      <c r="G13060" s="1"/>
      <c r="N13060" s="1"/>
    </row>
    <row r="13061" spans="7:14" x14ac:dyDescent="0.3">
      <c r="G13061" s="1"/>
      <c r="N13061" s="1"/>
    </row>
    <row r="13062" spans="7:14" x14ac:dyDescent="0.3">
      <c r="G13062" s="1"/>
      <c r="N13062" s="1"/>
    </row>
    <row r="13063" spans="7:14" x14ac:dyDescent="0.3">
      <c r="G13063" s="1"/>
      <c r="N13063" s="1"/>
    </row>
    <row r="13064" spans="7:14" x14ac:dyDescent="0.3">
      <c r="G13064" s="1"/>
      <c r="N13064" s="1"/>
    </row>
    <row r="13065" spans="7:14" x14ac:dyDescent="0.3">
      <c r="G13065" s="1"/>
      <c r="N13065" s="1"/>
    </row>
    <row r="13066" spans="7:14" x14ac:dyDescent="0.3">
      <c r="G13066" s="1"/>
      <c r="N13066" s="1"/>
    </row>
    <row r="13067" spans="7:14" x14ac:dyDescent="0.3">
      <c r="G13067" s="1"/>
      <c r="N13067" s="1"/>
    </row>
    <row r="13068" spans="7:14" x14ac:dyDescent="0.3">
      <c r="G13068" s="1"/>
      <c r="N13068" s="1"/>
    </row>
    <row r="13069" spans="7:14" x14ac:dyDescent="0.3">
      <c r="G13069" s="1"/>
      <c r="N13069" s="1"/>
    </row>
    <row r="13070" spans="7:14" x14ac:dyDescent="0.3">
      <c r="G13070" s="1"/>
      <c r="N13070" s="1"/>
    </row>
    <row r="13071" spans="7:14" x14ac:dyDescent="0.3">
      <c r="G13071" s="1"/>
      <c r="N13071" s="1"/>
    </row>
    <row r="13072" spans="7:14" x14ac:dyDescent="0.3">
      <c r="G13072" s="1"/>
      <c r="N13072" s="1"/>
    </row>
    <row r="13073" spans="7:14" x14ac:dyDescent="0.3">
      <c r="G13073" s="1"/>
      <c r="N13073" s="1"/>
    </row>
    <row r="13074" spans="7:14" x14ac:dyDescent="0.3">
      <c r="G13074" s="1"/>
      <c r="N13074" s="1"/>
    </row>
    <row r="13075" spans="7:14" x14ac:dyDescent="0.3">
      <c r="G13075" s="1"/>
      <c r="N13075" s="1"/>
    </row>
    <row r="13076" spans="7:14" x14ac:dyDescent="0.3">
      <c r="G13076" s="1"/>
      <c r="N13076" s="1"/>
    </row>
    <row r="13077" spans="7:14" x14ac:dyDescent="0.3">
      <c r="G13077" s="1"/>
      <c r="N13077" s="1"/>
    </row>
    <row r="13078" spans="7:14" x14ac:dyDescent="0.3">
      <c r="G13078" s="1"/>
      <c r="N13078" s="1"/>
    </row>
    <row r="13079" spans="7:14" x14ac:dyDescent="0.3">
      <c r="G13079" s="1"/>
      <c r="N13079" s="1"/>
    </row>
    <row r="13080" spans="7:14" x14ac:dyDescent="0.3">
      <c r="G13080" s="1"/>
      <c r="N13080" s="1"/>
    </row>
    <row r="13081" spans="7:14" x14ac:dyDescent="0.3">
      <c r="G13081" s="1"/>
      <c r="N13081" s="1"/>
    </row>
    <row r="13082" spans="7:14" x14ac:dyDescent="0.3">
      <c r="G13082" s="1"/>
      <c r="N13082" s="1"/>
    </row>
    <row r="13083" spans="7:14" x14ac:dyDescent="0.3">
      <c r="G13083" s="1"/>
      <c r="N13083" s="1"/>
    </row>
    <row r="13084" spans="7:14" x14ac:dyDescent="0.3">
      <c r="G13084" s="1"/>
      <c r="N13084" s="1"/>
    </row>
    <row r="13085" spans="7:14" x14ac:dyDescent="0.3">
      <c r="G13085" s="1"/>
      <c r="N13085" s="1"/>
    </row>
    <row r="13086" spans="7:14" x14ac:dyDescent="0.3">
      <c r="G13086" s="1"/>
      <c r="N13086" s="1"/>
    </row>
    <row r="13087" spans="7:14" x14ac:dyDescent="0.3">
      <c r="G13087" s="1"/>
      <c r="N13087" s="1"/>
    </row>
    <row r="13088" spans="7:14" x14ac:dyDescent="0.3">
      <c r="G13088" s="1"/>
      <c r="N13088" s="1"/>
    </row>
    <row r="13089" spans="7:14" x14ac:dyDescent="0.3">
      <c r="G13089" s="1"/>
      <c r="N13089" s="1"/>
    </row>
    <row r="13090" spans="7:14" x14ac:dyDescent="0.3">
      <c r="G13090" s="1"/>
      <c r="N13090" s="1"/>
    </row>
    <row r="13091" spans="7:14" x14ac:dyDescent="0.3">
      <c r="G13091" s="1"/>
      <c r="N13091" s="1"/>
    </row>
    <row r="13092" spans="7:14" x14ac:dyDescent="0.3">
      <c r="G13092" s="1"/>
      <c r="N13092" s="1"/>
    </row>
    <row r="13093" spans="7:14" x14ac:dyDescent="0.3">
      <c r="G13093" s="1"/>
      <c r="N13093" s="1"/>
    </row>
    <row r="13094" spans="7:14" x14ac:dyDescent="0.3">
      <c r="G13094" s="1"/>
      <c r="N13094" s="1"/>
    </row>
    <row r="13095" spans="7:14" x14ac:dyDescent="0.3">
      <c r="G13095" s="1"/>
      <c r="N13095" s="1"/>
    </row>
    <row r="13096" spans="7:14" x14ac:dyDescent="0.3">
      <c r="G13096" s="1"/>
      <c r="N13096" s="1"/>
    </row>
    <row r="13097" spans="7:14" x14ac:dyDescent="0.3">
      <c r="G13097" s="1"/>
      <c r="N13097" s="1"/>
    </row>
    <row r="13098" spans="7:14" x14ac:dyDescent="0.3">
      <c r="G13098" s="1"/>
      <c r="N13098" s="1"/>
    </row>
    <row r="13099" spans="7:14" x14ac:dyDescent="0.3">
      <c r="G13099" s="1"/>
      <c r="N13099" s="1"/>
    </row>
    <row r="13100" spans="7:14" x14ac:dyDescent="0.3">
      <c r="G13100" s="1"/>
      <c r="N13100" s="1"/>
    </row>
    <row r="13101" spans="7:14" x14ac:dyDescent="0.3">
      <c r="G13101" s="1"/>
      <c r="N13101" s="1"/>
    </row>
    <row r="13102" spans="7:14" x14ac:dyDescent="0.3">
      <c r="G13102" s="1"/>
      <c r="N13102" s="1"/>
    </row>
    <row r="13103" spans="7:14" x14ac:dyDescent="0.3">
      <c r="G13103" s="1"/>
      <c r="N13103" s="1"/>
    </row>
    <row r="13104" spans="7:14" x14ac:dyDescent="0.3">
      <c r="G13104" s="1"/>
      <c r="N13104" s="1"/>
    </row>
    <row r="13105" spans="7:14" x14ac:dyDescent="0.3">
      <c r="G13105" s="1"/>
      <c r="N13105" s="1"/>
    </row>
    <row r="13106" spans="7:14" x14ac:dyDescent="0.3">
      <c r="G13106" s="1"/>
      <c r="N13106" s="1"/>
    </row>
    <row r="13107" spans="7:14" x14ac:dyDescent="0.3">
      <c r="G13107" s="1"/>
      <c r="N13107" s="1"/>
    </row>
    <row r="13108" spans="7:14" x14ac:dyDescent="0.3">
      <c r="G13108" s="1"/>
      <c r="N13108" s="1"/>
    </row>
    <row r="13109" spans="7:14" x14ac:dyDescent="0.3">
      <c r="G13109" s="1"/>
      <c r="N13109" s="1"/>
    </row>
    <row r="13110" spans="7:14" x14ac:dyDescent="0.3">
      <c r="G13110" s="1"/>
      <c r="N13110" s="1"/>
    </row>
    <row r="13111" spans="7:14" x14ac:dyDescent="0.3">
      <c r="G13111" s="1"/>
      <c r="N13111" s="1"/>
    </row>
    <row r="13112" spans="7:14" x14ac:dyDescent="0.3">
      <c r="G13112" s="1"/>
      <c r="N13112" s="1"/>
    </row>
    <row r="13113" spans="7:14" x14ac:dyDescent="0.3">
      <c r="G13113" s="1"/>
      <c r="N13113" s="1"/>
    </row>
    <row r="13114" spans="7:14" x14ac:dyDescent="0.3">
      <c r="G13114" s="1"/>
      <c r="N13114" s="1"/>
    </row>
    <row r="13115" spans="7:14" x14ac:dyDescent="0.3">
      <c r="G13115" s="1"/>
      <c r="N13115" s="1"/>
    </row>
    <row r="13116" spans="7:14" x14ac:dyDescent="0.3">
      <c r="G13116" s="1"/>
      <c r="N13116" s="1"/>
    </row>
    <row r="13117" spans="7:14" x14ac:dyDescent="0.3">
      <c r="G13117" s="1"/>
      <c r="N13117" s="1"/>
    </row>
    <row r="13118" spans="7:14" x14ac:dyDescent="0.3">
      <c r="G13118" s="1"/>
      <c r="N13118" s="1"/>
    </row>
    <row r="13119" spans="7:14" x14ac:dyDescent="0.3">
      <c r="G13119" s="1"/>
      <c r="N13119" s="1"/>
    </row>
    <row r="13120" spans="7:14" x14ac:dyDescent="0.3">
      <c r="G13120" s="1"/>
      <c r="N13120" s="1"/>
    </row>
    <row r="13121" spans="7:14" x14ac:dyDescent="0.3">
      <c r="G13121" s="1"/>
      <c r="N13121" s="1"/>
    </row>
    <row r="13122" spans="7:14" x14ac:dyDescent="0.3">
      <c r="G13122" s="1"/>
      <c r="N13122" s="1"/>
    </row>
    <row r="13123" spans="7:14" x14ac:dyDescent="0.3">
      <c r="G13123" s="1"/>
      <c r="N13123" s="1"/>
    </row>
    <row r="13124" spans="7:14" x14ac:dyDescent="0.3">
      <c r="G13124" s="1"/>
      <c r="N13124" s="1"/>
    </row>
    <row r="13125" spans="7:14" x14ac:dyDescent="0.3">
      <c r="G13125" s="1"/>
      <c r="N13125" s="1"/>
    </row>
    <row r="13126" spans="7:14" x14ac:dyDescent="0.3">
      <c r="G13126" s="1"/>
      <c r="N13126" s="1"/>
    </row>
    <row r="13127" spans="7:14" x14ac:dyDescent="0.3">
      <c r="G13127" s="1"/>
      <c r="N13127" s="1"/>
    </row>
    <row r="13128" spans="7:14" x14ac:dyDescent="0.3">
      <c r="G13128" s="1"/>
      <c r="N13128" s="1"/>
    </row>
    <row r="13129" spans="7:14" x14ac:dyDescent="0.3">
      <c r="G13129" s="1"/>
      <c r="N13129" s="1"/>
    </row>
    <row r="13130" spans="7:14" x14ac:dyDescent="0.3">
      <c r="G13130" s="1"/>
      <c r="N13130" s="1"/>
    </row>
    <row r="13131" spans="7:14" x14ac:dyDescent="0.3">
      <c r="G13131" s="1"/>
      <c r="N13131" s="1"/>
    </row>
    <row r="13132" spans="7:14" x14ac:dyDescent="0.3">
      <c r="G13132" s="1"/>
      <c r="N13132" s="1"/>
    </row>
    <row r="13133" spans="7:14" x14ac:dyDescent="0.3">
      <c r="G13133" s="1"/>
      <c r="N13133" s="1"/>
    </row>
    <row r="13134" spans="7:14" x14ac:dyDescent="0.3">
      <c r="G13134" s="1"/>
      <c r="N13134" s="1"/>
    </row>
    <row r="13135" spans="7:14" x14ac:dyDescent="0.3">
      <c r="G13135" s="1"/>
      <c r="N13135" s="1"/>
    </row>
    <row r="13136" spans="7:14" x14ac:dyDescent="0.3">
      <c r="G13136" s="1"/>
      <c r="N13136" s="1"/>
    </row>
    <row r="13137" spans="7:14" x14ac:dyDescent="0.3">
      <c r="G13137" s="1"/>
      <c r="N13137" s="1"/>
    </row>
    <row r="13138" spans="7:14" x14ac:dyDescent="0.3">
      <c r="G13138" s="1"/>
      <c r="N13138" s="1"/>
    </row>
    <row r="13139" spans="7:14" x14ac:dyDescent="0.3">
      <c r="G13139" s="1"/>
      <c r="N13139" s="1"/>
    </row>
    <row r="13140" spans="7:14" x14ac:dyDescent="0.3">
      <c r="G13140" s="1"/>
      <c r="N13140" s="1"/>
    </row>
    <row r="13141" spans="7:14" x14ac:dyDescent="0.3">
      <c r="G13141" s="1"/>
      <c r="N13141" s="1"/>
    </row>
    <row r="13142" spans="7:14" x14ac:dyDescent="0.3">
      <c r="G13142" s="1"/>
      <c r="N13142" s="1"/>
    </row>
    <row r="13143" spans="7:14" x14ac:dyDescent="0.3">
      <c r="G13143" s="1"/>
      <c r="N13143" s="1"/>
    </row>
    <row r="13144" spans="7:14" x14ac:dyDescent="0.3">
      <c r="G13144" s="1"/>
      <c r="N13144" s="1"/>
    </row>
    <row r="13145" spans="7:14" x14ac:dyDescent="0.3">
      <c r="G13145" s="1"/>
      <c r="N13145" s="1"/>
    </row>
    <row r="13146" spans="7:14" x14ac:dyDescent="0.3">
      <c r="G13146" s="1"/>
      <c r="N13146" s="1"/>
    </row>
    <row r="13147" spans="7:14" x14ac:dyDescent="0.3">
      <c r="G13147" s="1"/>
      <c r="N13147" s="1"/>
    </row>
    <row r="13148" spans="7:14" x14ac:dyDescent="0.3">
      <c r="G13148" s="1"/>
      <c r="N13148" s="1"/>
    </row>
    <row r="13149" spans="7:14" x14ac:dyDescent="0.3">
      <c r="G13149" s="1"/>
      <c r="N13149" s="1"/>
    </row>
    <row r="13150" spans="7:14" x14ac:dyDescent="0.3">
      <c r="G13150" s="1"/>
      <c r="N13150" s="1"/>
    </row>
    <row r="13151" spans="7:14" x14ac:dyDescent="0.3">
      <c r="G13151" s="1"/>
      <c r="N13151" s="1"/>
    </row>
    <row r="13152" spans="7:14" x14ac:dyDescent="0.3">
      <c r="G13152" s="1"/>
      <c r="N13152" s="1"/>
    </row>
    <row r="13153" spans="7:14" x14ac:dyDescent="0.3">
      <c r="G13153" s="1"/>
      <c r="N13153" s="1"/>
    </row>
    <row r="13154" spans="7:14" x14ac:dyDescent="0.3">
      <c r="G13154" s="1"/>
      <c r="N13154" s="1"/>
    </row>
    <row r="13155" spans="7:14" x14ac:dyDescent="0.3">
      <c r="G13155" s="1"/>
      <c r="N13155" s="1"/>
    </row>
    <row r="13156" spans="7:14" x14ac:dyDescent="0.3">
      <c r="G13156" s="1"/>
      <c r="N13156" s="1"/>
    </row>
    <row r="13157" spans="7:14" x14ac:dyDescent="0.3">
      <c r="G13157" s="1"/>
      <c r="N13157" s="1"/>
    </row>
    <row r="13158" spans="7:14" x14ac:dyDescent="0.3">
      <c r="G13158" s="1"/>
      <c r="N13158" s="1"/>
    </row>
    <row r="13159" spans="7:14" x14ac:dyDescent="0.3">
      <c r="G13159" s="1"/>
      <c r="N13159" s="1"/>
    </row>
    <row r="13160" spans="7:14" x14ac:dyDescent="0.3">
      <c r="G13160" s="1"/>
      <c r="N13160" s="1"/>
    </row>
    <row r="13161" spans="7:14" x14ac:dyDescent="0.3">
      <c r="G13161" s="1"/>
      <c r="N13161" s="1"/>
    </row>
    <row r="13162" spans="7:14" x14ac:dyDescent="0.3">
      <c r="G13162" s="1"/>
      <c r="N13162" s="1"/>
    </row>
    <row r="13163" spans="7:14" x14ac:dyDescent="0.3">
      <c r="G13163" s="1"/>
      <c r="N13163" s="1"/>
    </row>
    <row r="13164" spans="7:14" x14ac:dyDescent="0.3">
      <c r="G13164" s="1"/>
      <c r="N13164" s="1"/>
    </row>
    <row r="13165" spans="7:14" x14ac:dyDescent="0.3">
      <c r="G13165" s="1"/>
      <c r="N13165" s="1"/>
    </row>
    <row r="13166" spans="7:14" x14ac:dyDescent="0.3">
      <c r="G13166" s="1"/>
      <c r="N13166" s="1"/>
    </row>
    <row r="13167" spans="7:14" x14ac:dyDescent="0.3">
      <c r="G13167" s="1"/>
      <c r="N13167" s="1"/>
    </row>
    <row r="13168" spans="7:14" x14ac:dyDescent="0.3">
      <c r="G13168" s="1"/>
      <c r="N13168" s="1"/>
    </row>
    <row r="13169" spans="7:14" x14ac:dyDescent="0.3">
      <c r="G13169" s="1"/>
      <c r="N13169" s="1"/>
    </row>
    <row r="13170" spans="7:14" x14ac:dyDescent="0.3">
      <c r="G13170" s="1"/>
      <c r="N13170" s="1"/>
    </row>
    <row r="13171" spans="7:14" x14ac:dyDescent="0.3">
      <c r="G13171" s="1"/>
      <c r="N13171" s="1"/>
    </row>
    <row r="13172" spans="7:14" x14ac:dyDescent="0.3">
      <c r="G13172" s="1"/>
      <c r="N13172" s="1"/>
    </row>
    <row r="13173" spans="7:14" x14ac:dyDescent="0.3">
      <c r="G13173" s="1"/>
      <c r="N13173" s="1"/>
    </row>
    <row r="13174" spans="7:14" x14ac:dyDescent="0.3">
      <c r="G13174" s="1"/>
      <c r="N13174" s="1"/>
    </row>
    <row r="13175" spans="7:14" x14ac:dyDescent="0.3">
      <c r="G13175" s="1"/>
      <c r="N13175" s="1"/>
    </row>
    <row r="13176" spans="7:14" x14ac:dyDescent="0.3">
      <c r="G13176" s="1"/>
      <c r="N13176" s="1"/>
    </row>
    <row r="13177" spans="7:14" x14ac:dyDescent="0.3">
      <c r="G13177" s="1"/>
      <c r="N13177" s="1"/>
    </row>
    <row r="13178" spans="7:14" x14ac:dyDescent="0.3">
      <c r="G13178" s="1"/>
      <c r="N13178" s="1"/>
    </row>
    <row r="13179" spans="7:14" x14ac:dyDescent="0.3">
      <c r="G13179" s="1"/>
      <c r="N13179" s="1"/>
    </row>
    <row r="13180" spans="7:14" x14ac:dyDescent="0.3">
      <c r="G13180" s="1"/>
      <c r="N13180" s="1"/>
    </row>
    <row r="13181" spans="7:14" x14ac:dyDescent="0.3">
      <c r="G13181" s="1"/>
      <c r="N13181" s="1"/>
    </row>
    <row r="13182" spans="7:14" x14ac:dyDescent="0.3">
      <c r="G13182" s="1"/>
      <c r="N13182" s="1"/>
    </row>
    <row r="13183" spans="7:14" x14ac:dyDescent="0.3">
      <c r="G13183" s="1"/>
      <c r="N13183" s="1"/>
    </row>
    <row r="13184" spans="7:14" x14ac:dyDescent="0.3">
      <c r="G13184" s="1"/>
      <c r="N13184" s="1"/>
    </row>
    <row r="13185" spans="7:14" x14ac:dyDescent="0.3">
      <c r="G13185" s="1"/>
      <c r="N13185" s="1"/>
    </row>
    <row r="13186" spans="7:14" x14ac:dyDescent="0.3">
      <c r="G13186" s="1"/>
      <c r="N13186" s="1"/>
    </row>
    <row r="13187" spans="7:14" x14ac:dyDescent="0.3">
      <c r="G13187" s="1"/>
      <c r="N13187" s="1"/>
    </row>
    <row r="13188" spans="7:14" x14ac:dyDescent="0.3">
      <c r="G13188" s="1"/>
      <c r="N13188" s="1"/>
    </row>
    <row r="13189" spans="7:14" x14ac:dyDescent="0.3">
      <c r="G13189" s="1"/>
      <c r="N13189" s="1"/>
    </row>
    <row r="13190" spans="7:14" x14ac:dyDescent="0.3">
      <c r="G13190" s="1"/>
      <c r="N13190" s="1"/>
    </row>
    <row r="13191" spans="7:14" x14ac:dyDescent="0.3">
      <c r="G13191" s="1"/>
      <c r="N13191" s="1"/>
    </row>
    <row r="13192" spans="7:14" x14ac:dyDescent="0.3">
      <c r="G13192" s="1"/>
      <c r="N13192" s="1"/>
    </row>
    <row r="13193" spans="7:14" x14ac:dyDescent="0.3">
      <c r="G13193" s="1"/>
      <c r="N13193" s="1"/>
    </row>
    <row r="13194" spans="7:14" x14ac:dyDescent="0.3">
      <c r="G13194" s="1"/>
      <c r="N13194" s="1"/>
    </row>
    <row r="13195" spans="7:14" x14ac:dyDescent="0.3">
      <c r="G13195" s="1"/>
      <c r="N13195" s="1"/>
    </row>
    <row r="13196" spans="7:14" x14ac:dyDescent="0.3">
      <c r="G13196" s="1"/>
      <c r="N13196" s="1"/>
    </row>
    <row r="13197" spans="7:14" x14ac:dyDescent="0.3">
      <c r="G13197" s="1"/>
      <c r="N13197" s="1"/>
    </row>
    <row r="13198" spans="7:14" x14ac:dyDescent="0.3">
      <c r="G13198" s="1"/>
      <c r="N13198" s="1"/>
    </row>
    <row r="13199" spans="7:14" x14ac:dyDescent="0.3">
      <c r="G13199" s="1"/>
      <c r="N13199" s="1"/>
    </row>
    <row r="13200" spans="7:14" x14ac:dyDescent="0.3">
      <c r="G13200" s="1"/>
      <c r="N13200" s="1"/>
    </row>
    <row r="13201" spans="7:14" x14ac:dyDescent="0.3">
      <c r="G13201" s="1"/>
      <c r="N13201" s="1"/>
    </row>
    <row r="13202" spans="7:14" x14ac:dyDescent="0.3">
      <c r="G13202" s="1"/>
      <c r="N13202" s="1"/>
    </row>
    <row r="13203" spans="7:14" x14ac:dyDescent="0.3">
      <c r="G13203" s="1"/>
      <c r="N13203" s="1"/>
    </row>
    <row r="13204" spans="7:14" x14ac:dyDescent="0.3">
      <c r="G13204" s="1"/>
      <c r="N13204" s="1"/>
    </row>
    <row r="13205" spans="7:14" x14ac:dyDescent="0.3">
      <c r="G13205" s="1"/>
      <c r="N13205" s="1"/>
    </row>
    <row r="13206" spans="7:14" x14ac:dyDescent="0.3">
      <c r="G13206" s="1"/>
      <c r="N13206" s="1"/>
    </row>
    <row r="13207" spans="7:14" x14ac:dyDescent="0.3">
      <c r="G13207" s="1"/>
      <c r="N13207" s="1"/>
    </row>
    <row r="13208" spans="7:14" x14ac:dyDescent="0.3">
      <c r="G13208" s="1"/>
      <c r="N13208" s="1"/>
    </row>
    <row r="13209" spans="7:14" x14ac:dyDescent="0.3">
      <c r="G13209" s="1"/>
      <c r="N13209" s="1"/>
    </row>
    <row r="13210" spans="7:14" x14ac:dyDescent="0.3">
      <c r="G13210" s="1"/>
      <c r="N13210" s="1"/>
    </row>
    <row r="13211" spans="7:14" x14ac:dyDescent="0.3">
      <c r="G13211" s="1"/>
      <c r="N13211" s="1"/>
    </row>
    <row r="13212" spans="7:14" x14ac:dyDescent="0.3">
      <c r="G13212" s="1"/>
      <c r="N13212" s="1"/>
    </row>
    <row r="13213" spans="7:14" x14ac:dyDescent="0.3">
      <c r="G13213" s="1"/>
      <c r="N13213" s="1"/>
    </row>
    <row r="13214" spans="7:14" x14ac:dyDescent="0.3">
      <c r="G13214" s="1"/>
      <c r="N13214" s="1"/>
    </row>
    <row r="13215" spans="7:14" x14ac:dyDescent="0.3">
      <c r="G13215" s="1"/>
      <c r="N13215" s="1"/>
    </row>
    <row r="13216" spans="7:14" x14ac:dyDescent="0.3">
      <c r="G13216" s="1"/>
      <c r="N13216" s="1"/>
    </row>
    <row r="13217" spans="7:14" x14ac:dyDescent="0.3">
      <c r="G13217" s="1"/>
      <c r="N13217" s="1"/>
    </row>
    <row r="13218" spans="7:14" x14ac:dyDescent="0.3">
      <c r="G13218" s="1"/>
      <c r="N13218" s="1"/>
    </row>
    <row r="13219" spans="7:14" x14ac:dyDescent="0.3">
      <c r="G13219" s="1"/>
      <c r="N13219" s="1"/>
    </row>
    <row r="13220" spans="7:14" x14ac:dyDescent="0.3">
      <c r="G13220" s="1"/>
      <c r="N13220" s="1"/>
    </row>
    <row r="13221" spans="7:14" x14ac:dyDescent="0.3">
      <c r="G13221" s="1"/>
      <c r="N13221" s="1"/>
    </row>
    <row r="13222" spans="7:14" x14ac:dyDescent="0.3">
      <c r="G13222" s="1"/>
      <c r="N13222" s="1"/>
    </row>
    <row r="13223" spans="7:14" x14ac:dyDescent="0.3">
      <c r="G13223" s="1"/>
      <c r="N13223" s="1"/>
    </row>
    <row r="13224" spans="7:14" x14ac:dyDescent="0.3">
      <c r="G13224" s="1"/>
      <c r="N13224" s="1"/>
    </row>
    <row r="13225" spans="7:14" x14ac:dyDescent="0.3">
      <c r="G13225" s="1"/>
      <c r="N13225" s="1"/>
    </row>
    <row r="13226" spans="7:14" x14ac:dyDescent="0.3">
      <c r="G13226" s="1"/>
      <c r="N13226" s="1"/>
    </row>
    <row r="13227" spans="7:14" x14ac:dyDescent="0.3">
      <c r="G13227" s="1"/>
      <c r="N13227" s="1"/>
    </row>
    <row r="13228" spans="7:14" x14ac:dyDescent="0.3">
      <c r="G13228" s="1"/>
      <c r="N13228" s="1"/>
    </row>
    <row r="13229" spans="7:14" x14ac:dyDescent="0.3">
      <c r="G13229" s="1"/>
      <c r="N13229" s="1"/>
    </row>
    <row r="13230" spans="7:14" x14ac:dyDescent="0.3">
      <c r="G13230" s="1"/>
      <c r="N13230" s="1"/>
    </row>
    <row r="13231" spans="7:14" x14ac:dyDescent="0.3">
      <c r="G13231" s="1"/>
      <c r="N13231" s="1"/>
    </row>
    <row r="13232" spans="7:14" x14ac:dyDescent="0.3">
      <c r="G13232" s="1"/>
      <c r="N13232" s="1"/>
    </row>
    <row r="13233" spans="7:14" x14ac:dyDescent="0.3">
      <c r="G13233" s="1"/>
      <c r="N13233" s="1"/>
    </row>
    <row r="13234" spans="7:14" x14ac:dyDescent="0.3">
      <c r="G13234" s="1"/>
      <c r="N13234" s="1"/>
    </row>
    <row r="13235" spans="7:14" x14ac:dyDescent="0.3">
      <c r="G13235" s="1"/>
      <c r="N13235" s="1"/>
    </row>
    <row r="13236" spans="7:14" x14ac:dyDescent="0.3">
      <c r="G13236" s="1"/>
      <c r="N13236" s="1"/>
    </row>
    <row r="13237" spans="7:14" x14ac:dyDescent="0.3">
      <c r="G13237" s="1"/>
      <c r="N13237" s="1"/>
    </row>
    <row r="13238" spans="7:14" x14ac:dyDescent="0.3">
      <c r="G13238" s="1"/>
      <c r="N13238" s="1"/>
    </row>
    <row r="13239" spans="7:14" x14ac:dyDescent="0.3">
      <c r="G13239" s="1"/>
      <c r="N13239" s="1"/>
    </row>
    <row r="13240" spans="7:14" x14ac:dyDescent="0.3">
      <c r="G13240" s="1"/>
      <c r="N13240" s="1"/>
    </row>
    <row r="13241" spans="7:14" x14ac:dyDescent="0.3">
      <c r="G13241" s="1"/>
      <c r="N13241" s="1"/>
    </row>
    <row r="13242" spans="7:14" x14ac:dyDescent="0.3">
      <c r="G13242" s="1"/>
      <c r="N13242" s="1"/>
    </row>
    <row r="13243" spans="7:14" x14ac:dyDescent="0.3">
      <c r="G13243" s="1"/>
      <c r="N13243" s="1"/>
    </row>
    <row r="13244" spans="7:14" x14ac:dyDescent="0.3">
      <c r="G13244" s="1"/>
      <c r="N13244" s="1"/>
    </row>
    <row r="13245" spans="7:14" x14ac:dyDescent="0.3">
      <c r="G13245" s="1"/>
      <c r="N13245" s="1"/>
    </row>
    <row r="13246" spans="7:14" x14ac:dyDescent="0.3">
      <c r="G13246" s="1"/>
      <c r="N13246" s="1"/>
    </row>
    <row r="13247" spans="7:14" x14ac:dyDescent="0.3">
      <c r="G13247" s="1"/>
      <c r="N13247" s="1"/>
    </row>
    <row r="13248" spans="7:14" x14ac:dyDescent="0.3">
      <c r="G13248" s="1"/>
      <c r="N13248" s="1"/>
    </row>
    <row r="13249" spans="7:14" x14ac:dyDescent="0.3">
      <c r="G13249" s="1"/>
      <c r="N13249" s="1"/>
    </row>
    <row r="13250" spans="7:14" x14ac:dyDescent="0.3">
      <c r="G13250" s="1"/>
      <c r="N13250" s="1"/>
    </row>
    <row r="13251" spans="7:14" x14ac:dyDescent="0.3">
      <c r="G13251" s="1"/>
      <c r="N13251" s="1"/>
    </row>
    <row r="13252" spans="7:14" x14ac:dyDescent="0.3">
      <c r="G13252" s="1"/>
      <c r="N13252" s="1"/>
    </row>
    <row r="13253" spans="7:14" x14ac:dyDescent="0.3">
      <c r="G13253" s="1"/>
      <c r="N13253" s="1"/>
    </row>
    <row r="13254" spans="7:14" x14ac:dyDescent="0.3">
      <c r="G13254" s="1"/>
      <c r="N13254" s="1"/>
    </row>
    <row r="13255" spans="7:14" x14ac:dyDescent="0.3">
      <c r="G13255" s="1"/>
      <c r="N13255" s="1"/>
    </row>
    <row r="13256" spans="7:14" x14ac:dyDescent="0.3">
      <c r="G13256" s="1"/>
      <c r="N13256" s="1"/>
    </row>
    <row r="13257" spans="7:14" x14ac:dyDescent="0.3">
      <c r="G13257" s="1"/>
      <c r="N13257" s="1"/>
    </row>
    <row r="13258" spans="7:14" x14ac:dyDescent="0.3">
      <c r="G13258" s="1"/>
      <c r="N13258" s="1"/>
    </row>
    <row r="13259" spans="7:14" x14ac:dyDescent="0.3">
      <c r="G13259" s="1"/>
      <c r="N13259" s="1"/>
    </row>
    <row r="13260" spans="7:14" x14ac:dyDescent="0.3">
      <c r="G13260" s="1"/>
      <c r="N13260" s="1"/>
    </row>
    <row r="13261" spans="7:14" x14ac:dyDescent="0.3">
      <c r="G13261" s="1"/>
      <c r="N13261" s="1"/>
    </row>
    <row r="13262" spans="7:14" x14ac:dyDescent="0.3">
      <c r="G13262" s="1"/>
      <c r="N13262" s="1"/>
    </row>
    <row r="13263" spans="7:14" x14ac:dyDescent="0.3">
      <c r="G13263" s="1"/>
      <c r="N13263" s="1"/>
    </row>
    <row r="13264" spans="7:14" x14ac:dyDescent="0.3">
      <c r="G13264" s="1"/>
      <c r="N13264" s="1"/>
    </row>
    <row r="13265" spans="7:14" x14ac:dyDescent="0.3">
      <c r="G13265" s="1"/>
      <c r="N13265" s="1"/>
    </row>
    <row r="13266" spans="7:14" x14ac:dyDescent="0.3">
      <c r="G13266" s="1"/>
      <c r="N13266" s="1"/>
    </row>
    <row r="13267" spans="7:14" x14ac:dyDescent="0.3">
      <c r="G13267" s="1"/>
      <c r="N13267" s="1"/>
    </row>
    <row r="13268" spans="7:14" x14ac:dyDescent="0.3">
      <c r="G13268" s="1"/>
      <c r="N13268" s="1"/>
    </row>
    <row r="13269" spans="7:14" x14ac:dyDescent="0.3">
      <c r="G13269" s="1"/>
      <c r="N13269" s="1"/>
    </row>
    <row r="13270" spans="7:14" x14ac:dyDescent="0.3">
      <c r="G13270" s="1"/>
      <c r="N13270" s="1"/>
    </row>
    <row r="13271" spans="7:14" x14ac:dyDescent="0.3">
      <c r="G13271" s="1"/>
      <c r="N13271" s="1"/>
    </row>
    <row r="13272" spans="7:14" x14ac:dyDescent="0.3">
      <c r="G13272" s="1"/>
      <c r="N13272" s="1"/>
    </row>
    <row r="13273" spans="7:14" x14ac:dyDescent="0.3">
      <c r="G13273" s="1"/>
      <c r="N13273" s="1"/>
    </row>
    <row r="13274" spans="7:14" x14ac:dyDescent="0.3">
      <c r="G13274" s="1"/>
      <c r="N13274" s="1"/>
    </row>
    <row r="13275" spans="7:14" x14ac:dyDescent="0.3">
      <c r="G13275" s="1"/>
      <c r="N13275" s="1"/>
    </row>
    <row r="13276" spans="7:14" x14ac:dyDescent="0.3">
      <c r="G13276" s="1"/>
      <c r="N13276" s="1"/>
    </row>
    <row r="13277" spans="7:14" x14ac:dyDescent="0.3">
      <c r="G13277" s="1"/>
      <c r="N13277" s="1"/>
    </row>
    <row r="13278" spans="7:14" x14ac:dyDescent="0.3">
      <c r="G13278" s="1"/>
      <c r="N13278" s="1"/>
    </row>
    <row r="13279" spans="7:14" x14ac:dyDescent="0.3">
      <c r="G13279" s="1"/>
      <c r="N13279" s="1"/>
    </row>
    <row r="13280" spans="7:14" x14ac:dyDescent="0.3">
      <c r="G13280" s="1"/>
      <c r="N13280" s="1"/>
    </row>
    <row r="13281" spans="7:14" x14ac:dyDescent="0.3">
      <c r="G13281" s="1"/>
      <c r="N13281" s="1"/>
    </row>
    <row r="13282" spans="7:14" x14ac:dyDescent="0.3">
      <c r="G13282" s="1"/>
      <c r="N13282" s="1"/>
    </row>
    <row r="13283" spans="7:14" x14ac:dyDescent="0.3">
      <c r="G13283" s="1"/>
      <c r="N13283" s="1"/>
    </row>
    <row r="13284" spans="7:14" x14ac:dyDescent="0.3">
      <c r="G13284" s="1"/>
      <c r="N13284" s="1"/>
    </row>
    <row r="13285" spans="7:14" x14ac:dyDescent="0.3">
      <c r="G13285" s="1"/>
      <c r="N13285" s="1"/>
    </row>
    <row r="13286" spans="7:14" x14ac:dyDescent="0.3">
      <c r="G13286" s="1"/>
      <c r="N13286" s="1"/>
    </row>
    <row r="13287" spans="7:14" x14ac:dyDescent="0.3">
      <c r="G13287" s="1"/>
      <c r="N13287" s="1"/>
    </row>
    <row r="13288" spans="7:14" x14ac:dyDescent="0.3">
      <c r="G13288" s="1"/>
      <c r="N13288" s="1"/>
    </row>
    <row r="13289" spans="7:14" x14ac:dyDescent="0.3">
      <c r="G13289" s="1"/>
      <c r="N13289" s="1"/>
    </row>
    <row r="13290" spans="7:14" x14ac:dyDescent="0.3">
      <c r="G13290" s="1"/>
      <c r="N13290" s="1"/>
    </row>
    <row r="13291" spans="7:14" x14ac:dyDescent="0.3">
      <c r="G13291" s="1"/>
      <c r="N13291" s="1"/>
    </row>
    <row r="13292" spans="7:14" x14ac:dyDescent="0.3">
      <c r="G13292" s="1"/>
      <c r="N13292" s="1"/>
    </row>
    <row r="13293" spans="7:14" x14ac:dyDescent="0.3">
      <c r="G13293" s="1"/>
      <c r="N13293" s="1"/>
    </row>
    <row r="13294" spans="7:14" x14ac:dyDescent="0.3">
      <c r="G13294" s="1"/>
      <c r="N13294" s="1"/>
    </row>
    <row r="13295" spans="7:14" x14ac:dyDescent="0.3">
      <c r="G13295" s="1"/>
      <c r="N13295" s="1"/>
    </row>
    <row r="13296" spans="7:14" x14ac:dyDescent="0.3">
      <c r="G13296" s="1"/>
      <c r="N13296" s="1"/>
    </row>
    <row r="13297" spans="7:14" x14ac:dyDescent="0.3">
      <c r="G13297" s="1"/>
      <c r="N13297" s="1"/>
    </row>
    <row r="13298" spans="7:14" x14ac:dyDescent="0.3">
      <c r="G13298" s="1"/>
      <c r="N13298" s="1"/>
    </row>
    <row r="13299" spans="7:14" x14ac:dyDescent="0.3">
      <c r="G13299" s="1"/>
      <c r="N13299" s="1"/>
    </row>
    <row r="13300" spans="7:14" x14ac:dyDescent="0.3">
      <c r="G13300" s="1"/>
      <c r="N13300" s="1"/>
    </row>
    <row r="13301" spans="7:14" x14ac:dyDescent="0.3">
      <c r="G13301" s="1"/>
      <c r="N13301" s="1"/>
    </row>
    <row r="13302" spans="7:14" x14ac:dyDescent="0.3">
      <c r="G13302" s="1"/>
      <c r="N13302" s="1"/>
    </row>
    <row r="13303" spans="7:14" x14ac:dyDescent="0.3">
      <c r="G13303" s="1"/>
      <c r="N13303" s="1"/>
    </row>
    <row r="13304" spans="7:14" x14ac:dyDescent="0.3">
      <c r="G13304" s="1"/>
      <c r="N13304" s="1"/>
    </row>
    <row r="13305" spans="7:14" x14ac:dyDescent="0.3">
      <c r="G13305" s="1"/>
      <c r="N13305" s="1"/>
    </row>
    <row r="13306" spans="7:14" x14ac:dyDescent="0.3">
      <c r="G13306" s="1"/>
      <c r="N13306" s="1"/>
    </row>
    <row r="13307" spans="7:14" x14ac:dyDescent="0.3">
      <c r="G13307" s="1"/>
      <c r="N13307" s="1"/>
    </row>
    <row r="13308" spans="7:14" x14ac:dyDescent="0.3">
      <c r="G13308" s="1"/>
      <c r="N13308" s="1"/>
    </row>
    <row r="13309" spans="7:14" x14ac:dyDescent="0.3">
      <c r="G13309" s="1"/>
      <c r="N13309" s="1"/>
    </row>
    <row r="13310" spans="7:14" x14ac:dyDescent="0.3">
      <c r="G13310" s="1"/>
      <c r="N13310" s="1"/>
    </row>
    <row r="13311" spans="7:14" x14ac:dyDescent="0.3">
      <c r="G13311" s="1"/>
      <c r="N13311" s="1"/>
    </row>
    <row r="13312" spans="7:14" x14ac:dyDescent="0.3">
      <c r="G13312" s="1"/>
      <c r="N13312" s="1"/>
    </row>
    <row r="13313" spans="7:14" x14ac:dyDescent="0.3">
      <c r="G13313" s="1"/>
      <c r="N13313" s="1"/>
    </row>
    <row r="13314" spans="7:14" x14ac:dyDescent="0.3">
      <c r="G13314" s="1"/>
      <c r="N13314" s="1"/>
    </row>
    <row r="13315" spans="7:14" x14ac:dyDescent="0.3">
      <c r="G13315" s="1"/>
      <c r="N13315" s="1"/>
    </row>
    <row r="13316" spans="7:14" x14ac:dyDescent="0.3">
      <c r="G13316" s="1"/>
      <c r="N13316" s="1"/>
    </row>
    <row r="13317" spans="7:14" x14ac:dyDescent="0.3">
      <c r="G13317" s="1"/>
      <c r="N13317" s="1"/>
    </row>
    <row r="13318" spans="7:14" x14ac:dyDescent="0.3">
      <c r="G13318" s="1"/>
      <c r="N13318" s="1"/>
    </row>
    <row r="13319" spans="7:14" x14ac:dyDescent="0.3">
      <c r="G13319" s="1"/>
      <c r="N13319" s="1"/>
    </row>
    <row r="13320" spans="7:14" x14ac:dyDescent="0.3">
      <c r="G13320" s="1"/>
      <c r="N13320" s="1"/>
    </row>
    <row r="13321" spans="7:14" x14ac:dyDescent="0.3">
      <c r="G13321" s="1"/>
      <c r="N13321" s="1"/>
    </row>
    <row r="13322" spans="7:14" x14ac:dyDescent="0.3">
      <c r="G13322" s="1"/>
      <c r="N13322" s="1"/>
    </row>
    <row r="13323" spans="7:14" x14ac:dyDescent="0.3">
      <c r="G13323" s="1"/>
      <c r="N13323" s="1"/>
    </row>
    <row r="13324" spans="7:14" x14ac:dyDescent="0.3">
      <c r="G13324" s="1"/>
      <c r="N13324" s="1"/>
    </row>
    <row r="13325" spans="7:14" x14ac:dyDescent="0.3">
      <c r="G13325" s="1"/>
      <c r="N13325" s="1"/>
    </row>
    <row r="13326" spans="7:14" x14ac:dyDescent="0.3">
      <c r="G13326" s="1"/>
      <c r="N13326" s="1"/>
    </row>
    <row r="13327" spans="7:14" x14ac:dyDescent="0.3">
      <c r="G13327" s="1"/>
      <c r="N13327" s="1"/>
    </row>
    <row r="13328" spans="7:14" x14ac:dyDescent="0.3">
      <c r="G13328" s="1"/>
      <c r="N13328" s="1"/>
    </row>
    <row r="13329" spans="7:14" x14ac:dyDescent="0.3">
      <c r="G13329" s="1"/>
      <c r="N13329" s="1"/>
    </row>
    <row r="13330" spans="7:14" x14ac:dyDescent="0.3">
      <c r="G13330" s="1"/>
      <c r="N13330" s="1"/>
    </row>
    <row r="13331" spans="7:14" x14ac:dyDescent="0.3">
      <c r="G13331" s="1"/>
      <c r="N13331" s="1"/>
    </row>
    <row r="13332" spans="7:14" x14ac:dyDescent="0.3">
      <c r="G13332" s="1"/>
      <c r="N13332" s="1"/>
    </row>
    <row r="13333" spans="7:14" x14ac:dyDescent="0.3">
      <c r="G13333" s="1"/>
      <c r="N13333" s="1"/>
    </row>
    <row r="13334" spans="7:14" x14ac:dyDescent="0.3">
      <c r="G13334" s="1"/>
      <c r="N13334" s="1"/>
    </row>
    <row r="13335" spans="7:14" x14ac:dyDescent="0.3">
      <c r="G13335" s="1"/>
      <c r="N13335" s="1"/>
    </row>
    <row r="13336" spans="7:14" x14ac:dyDescent="0.3">
      <c r="G13336" s="1"/>
      <c r="N13336" s="1"/>
    </row>
    <row r="13337" spans="7:14" x14ac:dyDescent="0.3">
      <c r="G13337" s="1"/>
      <c r="N13337" s="1"/>
    </row>
    <row r="13338" spans="7:14" x14ac:dyDescent="0.3">
      <c r="G13338" s="1"/>
      <c r="N13338" s="1"/>
    </row>
    <row r="13339" spans="7:14" x14ac:dyDescent="0.3">
      <c r="G13339" s="1"/>
      <c r="N13339" s="1"/>
    </row>
    <row r="13340" spans="7:14" x14ac:dyDescent="0.3">
      <c r="G13340" s="1"/>
      <c r="N13340" s="1"/>
    </row>
    <row r="13341" spans="7:14" x14ac:dyDescent="0.3">
      <c r="G13341" s="1"/>
      <c r="N13341" s="1"/>
    </row>
    <row r="13342" spans="7:14" x14ac:dyDescent="0.3">
      <c r="G13342" s="1"/>
      <c r="N13342" s="1"/>
    </row>
    <row r="13343" spans="7:14" x14ac:dyDescent="0.3">
      <c r="G13343" s="1"/>
      <c r="N13343" s="1"/>
    </row>
    <row r="13344" spans="7:14" x14ac:dyDescent="0.3">
      <c r="G13344" s="1"/>
      <c r="N13344" s="1"/>
    </row>
    <row r="13345" spans="7:14" x14ac:dyDescent="0.3">
      <c r="G13345" s="1"/>
      <c r="N13345" s="1"/>
    </row>
    <row r="13346" spans="7:14" x14ac:dyDescent="0.3">
      <c r="G13346" s="1"/>
      <c r="N13346" s="1"/>
    </row>
    <row r="13347" spans="7:14" x14ac:dyDescent="0.3">
      <c r="G13347" s="1"/>
      <c r="N13347" s="1"/>
    </row>
    <row r="13348" spans="7:14" x14ac:dyDescent="0.3">
      <c r="G13348" s="1"/>
      <c r="N13348" s="1"/>
    </row>
    <row r="13349" spans="7:14" x14ac:dyDescent="0.3">
      <c r="G13349" s="1"/>
      <c r="N13349" s="1"/>
    </row>
    <row r="13350" spans="7:14" x14ac:dyDescent="0.3">
      <c r="G13350" s="1"/>
      <c r="N13350" s="1"/>
    </row>
    <row r="13351" spans="7:14" x14ac:dyDescent="0.3">
      <c r="G13351" s="1"/>
      <c r="N13351" s="1"/>
    </row>
    <row r="13352" spans="7:14" x14ac:dyDescent="0.3">
      <c r="G13352" s="1"/>
      <c r="N13352" s="1"/>
    </row>
    <row r="13353" spans="7:14" x14ac:dyDescent="0.3">
      <c r="G13353" s="1"/>
      <c r="N13353" s="1"/>
    </row>
    <row r="13354" spans="7:14" x14ac:dyDescent="0.3">
      <c r="G13354" s="1"/>
      <c r="N13354" s="1"/>
    </row>
    <row r="13355" spans="7:14" x14ac:dyDescent="0.3">
      <c r="G13355" s="1"/>
      <c r="N13355" s="1"/>
    </row>
    <row r="13356" spans="7:14" x14ac:dyDescent="0.3">
      <c r="G13356" s="1"/>
      <c r="N13356" s="1"/>
    </row>
    <row r="13357" spans="7:14" x14ac:dyDescent="0.3">
      <c r="G13357" s="1"/>
      <c r="N13357" s="1"/>
    </row>
    <row r="13358" spans="7:14" x14ac:dyDescent="0.3">
      <c r="G13358" s="1"/>
      <c r="N13358" s="1"/>
    </row>
    <row r="13359" spans="7:14" x14ac:dyDescent="0.3">
      <c r="G13359" s="1"/>
      <c r="N13359" s="1"/>
    </row>
    <row r="13360" spans="7:14" x14ac:dyDescent="0.3">
      <c r="G13360" s="1"/>
      <c r="N13360" s="1"/>
    </row>
    <row r="13361" spans="7:14" x14ac:dyDescent="0.3">
      <c r="G13361" s="1"/>
      <c r="N13361" s="1"/>
    </row>
    <row r="13362" spans="7:14" x14ac:dyDescent="0.3">
      <c r="G13362" s="1"/>
      <c r="N13362" s="1"/>
    </row>
    <row r="13363" spans="7:14" x14ac:dyDescent="0.3">
      <c r="G13363" s="1"/>
      <c r="N13363" s="1"/>
    </row>
    <row r="13364" spans="7:14" x14ac:dyDescent="0.3">
      <c r="G13364" s="1"/>
      <c r="N13364" s="1"/>
    </row>
    <row r="13365" spans="7:14" x14ac:dyDescent="0.3">
      <c r="G13365" s="1"/>
      <c r="N13365" s="1"/>
    </row>
    <row r="13366" spans="7:14" x14ac:dyDescent="0.3">
      <c r="G13366" s="1"/>
      <c r="N13366" s="1"/>
    </row>
    <row r="13367" spans="7:14" x14ac:dyDescent="0.3">
      <c r="G13367" s="1"/>
      <c r="N13367" s="1"/>
    </row>
    <row r="13368" spans="7:14" x14ac:dyDescent="0.3">
      <c r="G13368" s="1"/>
      <c r="N13368" s="1"/>
    </row>
    <row r="13369" spans="7:14" x14ac:dyDescent="0.3">
      <c r="G13369" s="1"/>
      <c r="N13369" s="1"/>
    </row>
    <row r="13370" spans="7:14" x14ac:dyDescent="0.3">
      <c r="G13370" s="1"/>
      <c r="N13370" s="1"/>
    </row>
    <row r="13371" spans="7:14" x14ac:dyDescent="0.3">
      <c r="G13371" s="1"/>
      <c r="N13371" s="1"/>
    </row>
    <row r="13372" spans="7:14" x14ac:dyDescent="0.3">
      <c r="G13372" s="1"/>
      <c r="N13372" s="1"/>
    </row>
    <row r="13373" spans="7:14" x14ac:dyDescent="0.3">
      <c r="G13373" s="1"/>
      <c r="N13373" s="1"/>
    </row>
    <row r="13374" spans="7:14" x14ac:dyDescent="0.3">
      <c r="G13374" s="1"/>
      <c r="N13374" s="1"/>
    </row>
    <row r="13375" spans="7:14" x14ac:dyDescent="0.3">
      <c r="G13375" s="1"/>
      <c r="N13375" s="1"/>
    </row>
    <row r="13376" spans="7:14" x14ac:dyDescent="0.3">
      <c r="G13376" s="1"/>
      <c r="N13376" s="1"/>
    </row>
    <row r="13377" spans="7:14" x14ac:dyDescent="0.3">
      <c r="G13377" s="1"/>
      <c r="N13377" s="1"/>
    </row>
    <row r="13378" spans="7:14" x14ac:dyDescent="0.3">
      <c r="G13378" s="1"/>
      <c r="N13378" s="1"/>
    </row>
    <row r="13379" spans="7:14" x14ac:dyDescent="0.3">
      <c r="G13379" s="1"/>
      <c r="N13379" s="1"/>
    </row>
    <row r="13380" spans="7:14" x14ac:dyDescent="0.3">
      <c r="G13380" s="1"/>
      <c r="N13380" s="1"/>
    </row>
    <row r="13381" spans="7:14" x14ac:dyDescent="0.3">
      <c r="G13381" s="1"/>
      <c r="N13381" s="1"/>
    </row>
    <row r="13382" spans="7:14" x14ac:dyDescent="0.3">
      <c r="G13382" s="1"/>
      <c r="N13382" s="1"/>
    </row>
    <row r="13383" spans="7:14" x14ac:dyDescent="0.3">
      <c r="G13383" s="1"/>
      <c r="N13383" s="1"/>
    </row>
    <row r="13384" spans="7:14" x14ac:dyDescent="0.3">
      <c r="G13384" s="1"/>
      <c r="N13384" s="1"/>
    </row>
    <row r="13385" spans="7:14" x14ac:dyDescent="0.3">
      <c r="G13385" s="1"/>
      <c r="N13385" s="1"/>
    </row>
    <row r="13386" spans="7:14" x14ac:dyDescent="0.3">
      <c r="G13386" s="1"/>
      <c r="N13386" s="1"/>
    </row>
    <row r="13387" spans="7:14" x14ac:dyDescent="0.3">
      <c r="G13387" s="1"/>
      <c r="N13387" s="1"/>
    </row>
    <row r="13388" spans="7:14" x14ac:dyDescent="0.3">
      <c r="G13388" s="1"/>
      <c r="N13388" s="1"/>
    </row>
    <row r="13389" spans="7:14" x14ac:dyDescent="0.3">
      <c r="G13389" s="1"/>
      <c r="N13389" s="1"/>
    </row>
    <row r="13390" spans="7:14" x14ac:dyDescent="0.3">
      <c r="G13390" s="1"/>
      <c r="N13390" s="1"/>
    </row>
    <row r="13391" spans="7:14" x14ac:dyDescent="0.3">
      <c r="G13391" s="1"/>
      <c r="N13391" s="1"/>
    </row>
    <row r="13392" spans="7:14" x14ac:dyDescent="0.3">
      <c r="G13392" s="1"/>
      <c r="N13392" s="1"/>
    </row>
    <row r="13393" spans="7:14" x14ac:dyDescent="0.3">
      <c r="G13393" s="1"/>
      <c r="N13393" s="1"/>
    </row>
    <row r="13394" spans="7:14" x14ac:dyDescent="0.3">
      <c r="G13394" s="1"/>
      <c r="N13394" s="1"/>
    </row>
    <row r="13395" spans="7:14" x14ac:dyDescent="0.3">
      <c r="G13395" s="1"/>
      <c r="N13395" s="1"/>
    </row>
    <row r="13396" spans="7:14" x14ac:dyDescent="0.3">
      <c r="G13396" s="1"/>
      <c r="N13396" s="1"/>
    </row>
    <row r="13397" spans="7:14" x14ac:dyDescent="0.3">
      <c r="G13397" s="1"/>
      <c r="N13397" s="1"/>
    </row>
    <row r="13398" spans="7:14" x14ac:dyDescent="0.3">
      <c r="G13398" s="1"/>
      <c r="N13398" s="1"/>
    </row>
    <row r="13399" spans="7:14" x14ac:dyDescent="0.3">
      <c r="G13399" s="1"/>
      <c r="N13399" s="1"/>
    </row>
    <row r="13400" spans="7:14" x14ac:dyDescent="0.3">
      <c r="G13400" s="1"/>
      <c r="N13400" s="1"/>
    </row>
    <row r="13401" spans="7:14" x14ac:dyDescent="0.3">
      <c r="G13401" s="1"/>
      <c r="N13401" s="1"/>
    </row>
    <row r="13402" spans="7:14" x14ac:dyDescent="0.3">
      <c r="G13402" s="1"/>
      <c r="N13402" s="1"/>
    </row>
    <row r="13403" spans="7:14" x14ac:dyDescent="0.3">
      <c r="G13403" s="1"/>
      <c r="N13403" s="1"/>
    </row>
    <row r="13404" spans="7:14" x14ac:dyDescent="0.3">
      <c r="G13404" s="1"/>
      <c r="N13404" s="1"/>
    </row>
    <row r="13405" spans="7:14" x14ac:dyDescent="0.3">
      <c r="G13405" s="1"/>
      <c r="N13405" s="1"/>
    </row>
    <row r="13406" spans="7:14" x14ac:dyDescent="0.3">
      <c r="G13406" s="1"/>
      <c r="N13406" s="1"/>
    </row>
    <row r="13407" spans="7:14" x14ac:dyDescent="0.3">
      <c r="G13407" s="1"/>
      <c r="N13407" s="1"/>
    </row>
    <row r="13408" spans="7:14" x14ac:dyDescent="0.3">
      <c r="G13408" s="1"/>
      <c r="N13408" s="1"/>
    </row>
    <row r="13409" spans="7:14" x14ac:dyDescent="0.3">
      <c r="G13409" s="1"/>
      <c r="N13409" s="1"/>
    </row>
    <row r="13410" spans="7:14" x14ac:dyDescent="0.3">
      <c r="G13410" s="1"/>
      <c r="N13410" s="1"/>
    </row>
    <row r="13411" spans="7:14" x14ac:dyDescent="0.3">
      <c r="G13411" s="1"/>
      <c r="N13411" s="1"/>
    </row>
    <row r="13412" spans="7:14" x14ac:dyDescent="0.3">
      <c r="G13412" s="1"/>
      <c r="N13412" s="1"/>
    </row>
    <row r="13413" spans="7:14" x14ac:dyDescent="0.3">
      <c r="G13413" s="1"/>
      <c r="N13413" s="1"/>
    </row>
    <row r="13414" spans="7:14" x14ac:dyDescent="0.3">
      <c r="G13414" s="1"/>
      <c r="N13414" s="1"/>
    </row>
    <row r="13415" spans="7:14" x14ac:dyDescent="0.3">
      <c r="G13415" s="1"/>
      <c r="N13415" s="1"/>
    </row>
    <row r="13416" spans="7:14" x14ac:dyDescent="0.3">
      <c r="G13416" s="1"/>
      <c r="N13416" s="1"/>
    </row>
    <row r="13417" spans="7:14" x14ac:dyDescent="0.3">
      <c r="G13417" s="1"/>
      <c r="N13417" s="1"/>
    </row>
    <row r="13418" spans="7:14" x14ac:dyDescent="0.3">
      <c r="G13418" s="1"/>
      <c r="N13418" s="1"/>
    </row>
    <row r="13419" spans="7:14" x14ac:dyDescent="0.3">
      <c r="G13419" s="1"/>
      <c r="N13419" s="1"/>
    </row>
    <row r="13420" spans="7:14" x14ac:dyDescent="0.3">
      <c r="G13420" s="1"/>
      <c r="N13420" s="1"/>
    </row>
    <row r="13421" spans="7:14" x14ac:dyDescent="0.3">
      <c r="G13421" s="1"/>
      <c r="N13421" s="1"/>
    </row>
    <row r="13422" spans="7:14" x14ac:dyDescent="0.3">
      <c r="G13422" s="1"/>
      <c r="N13422" s="1"/>
    </row>
    <row r="13423" spans="7:14" x14ac:dyDescent="0.3">
      <c r="G13423" s="1"/>
      <c r="N13423" s="1"/>
    </row>
    <row r="13424" spans="7:14" x14ac:dyDescent="0.3">
      <c r="G13424" s="1"/>
      <c r="N13424" s="1"/>
    </row>
    <row r="13425" spans="7:14" x14ac:dyDescent="0.3">
      <c r="G13425" s="1"/>
      <c r="N13425" s="1"/>
    </row>
    <row r="13426" spans="7:14" x14ac:dyDescent="0.3">
      <c r="G13426" s="1"/>
      <c r="N13426" s="1"/>
    </row>
    <row r="13427" spans="7:14" x14ac:dyDescent="0.3">
      <c r="G13427" s="1"/>
      <c r="N13427" s="1"/>
    </row>
    <row r="13428" spans="7:14" x14ac:dyDescent="0.3">
      <c r="G13428" s="1"/>
      <c r="N13428" s="1"/>
    </row>
    <row r="13429" spans="7:14" x14ac:dyDescent="0.3">
      <c r="G13429" s="1"/>
      <c r="N13429" s="1"/>
    </row>
    <row r="13430" spans="7:14" x14ac:dyDescent="0.3">
      <c r="G13430" s="1"/>
      <c r="N13430" s="1"/>
    </row>
    <row r="13431" spans="7:14" x14ac:dyDescent="0.3">
      <c r="G13431" s="1"/>
      <c r="N13431" s="1"/>
    </row>
    <row r="13432" spans="7:14" x14ac:dyDescent="0.3">
      <c r="G13432" s="1"/>
      <c r="N13432" s="1"/>
    </row>
    <row r="13433" spans="7:14" x14ac:dyDescent="0.3">
      <c r="G13433" s="1"/>
      <c r="N13433" s="1"/>
    </row>
    <row r="13434" spans="7:14" x14ac:dyDescent="0.3">
      <c r="G13434" s="1"/>
      <c r="N13434" s="1"/>
    </row>
    <row r="13435" spans="7:14" x14ac:dyDescent="0.3">
      <c r="G13435" s="1"/>
      <c r="N13435" s="1"/>
    </row>
    <row r="13436" spans="7:14" x14ac:dyDescent="0.3">
      <c r="G13436" s="1"/>
      <c r="N13436" s="1"/>
    </row>
    <row r="13437" spans="7:14" x14ac:dyDescent="0.3">
      <c r="G13437" s="1"/>
      <c r="N13437" s="1"/>
    </row>
    <row r="13438" spans="7:14" x14ac:dyDescent="0.3">
      <c r="G13438" s="1"/>
      <c r="N13438" s="1"/>
    </row>
    <row r="13439" spans="7:14" x14ac:dyDescent="0.3">
      <c r="G13439" s="1"/>
      <c r="N13439" s="1"/>
    </row>
    <row r="13440" spans="7:14" x14ac:dyDescent="0.3">
      <c r="G13440" s="1"/>
      <c r="N13440" s="1"/>
    </row>
    <row r="13441" spans="7:14" x14ac:dyDescent="0.3">
      <c r="G13441" s="1"/>
      <c r="N13441" s="1"/>
    </row>
    <row r="13442" spans="7:14" x14ac:dyDescent="0.3">
      <c r="G13442" s="1"/>
      <c r="N13442" s="1"/>
    </row>
    <row r="13443" spans="7:14" x14ac:dyDescent="0.3">
      <c r="G13443" s="1"/>
      <c r="N13443" s="1"/>
    </row>
    <row r="13444" spans="7:14" x14ac:dyDescent="0.3">
      <c r="G13444" s="1"/>
      <c r="N13444" s="1"/>
    </row>
    <row r="13445" spans="7:14" x14ac:dyDescent="0.3">
      <c r="G13445" s="1"/>
      <c r="N13445" s="1"/>
    </row>
    <row r="13446" spans="7:14" x14ac:dyDescent="0.3">
      <c r="G13446" s="1"/>
      <c r="N13446" s="1"/>
    </row>
    <row r="13447" spans="7:14" x14ac:dyDescent="0.3">
      <c r="G13447" s="1"/>
      <c r="N13447" s="1"/>
    </row>
    <row r="13448" spans="7:14" x14ac:dyDescent="0.3">
      <c r="G13448" s="1"/>
      <c r="N13448" s="1"/>
    </row>
    <row r="13449" spans="7:14" x14ac:dyDescent="0.3">
      <c r="G13449" s="1"/>
      <c r="N13449" s="1"/>
    </row>
    <row r="13450" spans="7:14" x14ac:dyDescent="0.3">
      <c r="G13450" s="1"/>
      <c r="N13450" s="1"/>
    </row>
    <row r="13451" spans="7:14" x14ac:dyDescent="0.3">
      <c r="G13451" s="1"/>
      <c r="N13451" s="1"/>
    </row>
    <row r="13452" spans="7:14" x14ac:dyDescent="0.3">
      <c r="G13452" s="1"/>
      <c r="N13452" s="1"/>
    </row>
    <row r="13453" spans="7:14" x14ac:dyDescent="0.3">
      <c r="G13453" s="1"/>
      <c r="N13453" s="1"/>
    </row>
    <row r="13454" spans="7:14" x14ac:dyDescent="0.3">
      <c r="G13454" s="1"/>
      <c r="N13454" s="1"/>
    </row>
    <row r="13455" spans="7:14" x14ac:dyDescent="0.3">
      <c r="G13455" s="1"/>
      <c r="N13455" s="1"/>
    </row>
    <row r="13456" spans="7:14" x14ac:dyDescent="0.3">
      <c r="G13456" s="1"/>
      <c r="N13456" s="1"/>
    </row>
    <row r="13457" spans="7:14" x14ac:dyDescent="0.3">
      <c r="G13457" s="1"/>
      <c r="N13457" s="1"/>
    </row>
    <row r="13458" spans="7:14" x14ac:dyDescent="0.3">
      <c r="G13458" s="1"/>
      <c r="N13458" s="1"/>
    </row>
    <row r="13459" spans="7:14" x14ac:dyDescent="0.3">
      <c r="G13459" s="1"/>
      <c r="N13459" s="1"/>
    </row>
    <row r="13460" spans="7:14" x14ac:dyDescent="0.3">
      <c r="G13460" s="1"/>
      <c r="N13460" s="1"/>
    </row>
    <row r="13461" spans="7:14" x14ac:dyDescent="0.3">
      <c r="G13461" s="1"/>
      <c r="N13461" s="1"/>
    </row>
    <row r="13462" spans="7:14" x14ac:dyDescent="0.3">
      <c r="G13462" s="1"/>
      <c r="N13462" s="1"/>
    </row>
    <row r="13463" spans="7:14" x14ac:dyDescent="0.3">
      <c r="G13463" s="1"/>
      <c r="N13463" s="1"/>
    </row>
    <row r="13464" spans="7:14" x14ac:dyDescent="0.3">
      <c r="G13464" s="1"/>
      <c r="N13464" s="1"/>
    </row>
    <row r="13465" spans="7:14" x14ac:dyDescent="0.3">
      <c r="G13465" s="1"/>
      <c r="N13465" s="1"/>
    </row>
    <row r="13466" spans="7:14" x14ac:dyDescent="0.3">
      <c r="G13466" s="1"/>
      <c r="N13466" s="1"/>
    </row>
    <row r="13467" spans="7:14" x14ac:dyDescent="0.3">
      <c r="G13467" s="1"/>
      <c r="N13467" s="1"/>
    </row>
    <row r="13468" spans="7:14" x14ac:dyDescent="0.3">
      <c r="G13468" s="1"/>
      <c r="N13468" s="1"/>
    </row>
    <row r="13469" spans="7:14" x14ac:dyDescent="0.3">
      <c r="G13469" s="1"/>
      <c r="N13469" s="1"/>
    </row>
    <row r="13470" spans="7:14" x14ac:dyDescent="0.3">
      <c r="G13470" s="1"/>
      <c r="N13470" s="1"/>
    </row>
    <row r="13471" spans="7:14" x14ac:dyDescent="0.3">
      <c r="G13471" s="1"/>
      <c r="N13471" s="1"/>
    </row>
    <row r="13472" spans="7:14" x14ac:dyDescent="0.3">
      <c r="G13472" s="1"/>
      <c r="N13472" s="1"/>
    </row>
    <row r="13473" spans="7:14" x14ac:dyDescent="0.3">
      <c r="G13473" s="1"/>
      <c r="N13473" s="1"/>
    </row>
    <row r="13474" spans="7:14" x14ac:dyDescent="0.3">
      <c r="G13474" s="1"/>
      <c r="N13474" s="1"/>
    </row>
    <row r="13475" spans="7:14" x14ac:dyDescent="0.3">
      <c r="G13475" s="1"/>
      <c r="N13475" s="1"/>
    </row>
    <row r="13476" spans="7:14" x14ac:dyDescent="0.3">
      <c r="G13476" s="1"/>
      <c r="N13476" s="1"/>
    </row>
    <row r="13477" spans="7:14" x14ac:dyDescent="0.3">
      <c r="G13477" s="1"/>
      <c r="N13477" s="1"/>
    </row>
    <row r="13478" spans="7:14" x14ac:dyDescent="0.3">
      <c r="G13478" s="1"/>
      <c r="N13478" s="1"/>
    </row>
    <row r="13479" spans="7:14" x14ac:dyDescent="0.3">
      <c r="G13479" s="1"/>
      <c r="N13479" s="1"/>
    </row>
    <row r="13480" spans="7:14" x14ac:dyDescent="0.3">
      <c r="G13480" s="1"/>
      <c r="N13480" s="1"/>
    </row>
    <row r="13481" spans="7:14" x14ac:dyDescent="0.3">
      <c r="G13481" s="1"/>
      <c r="N13481" s="1"/>
    </row>
    <row r="13482" spans="7:14" x14ac:dyDescent="0.3">
      <c r="G13482" s="1"/>
      <c r="N13482" s="1"/>
    </row>
    <row r="13483" spans="7:14" x14ac:dyDescent="0.3">
      <c r="G13483" s="1"/>
      <c r="N13483" s="1"/>
    </row>
    <row r="13484" spans="7:14" x14ac:dyDescent="0.3">
      <c r="G13484" s="1"/>
      <c r="N13484" s="1"/>
    </row>
    <row r="13485" spans="7:14" x14ac:dyDescent="0.3">
      <c r="G13485" s="1"/>
      <c r="N13485" s="1"/>
    </row>
    <row r="13486" spans="7:14" x14ac:dyDescent="0.3">
      <c r="G13486" s="1"/>
      <c r="N13486" s="1"/>
    </row>
    <row r="13487" spans="7:14" x14ac:dyDescent="0.3">
      <c r="G13487" s="1"/>
      <c r="N13487" s="1"/>
    </row>
    <row r="13488" spans="7:14" x14ac:dyDescent="0.3">
      <c r="G13488" s="1"/>
      <c r="N13488" s="1"/>
    </row>
    <row r="13489" spans="7:14" x14ac:dyDescent="0.3">
      <c r="G13489" s="1"/>
      <c r="N13489" s="1"/>
    </row>
    <row r="13490" spans="7:14" x14ac:dyDescent="0.3">
      <c r="G13490" s="1"/>
      <c r="N13490" s="1"/>
    </row>
    <row r="13491" spans="7:14" x14ac:dyDescent="0.3">
      <c r="G13491" s="1"/>
      <c r="N13491" s="1"/>
    </row>
    <row r="13492" spans="7:14" x14ac:dyDescent="0.3">
      <c r="G13492" s="1"/>
      <c r="N13492" s="1"/>
    </row>
    <row r="13493" spans="7:14" x14ac:dyDescent="0.3">
      <c r="G13493" s="1"/>
      <c r="N13493" s="1"/>
    </row>
    <row r="13494" spans="7:14" x14ac:dyDescent="0.3">
      <c r="G13494" s="1"/>
      <c r="N13494" s="1"/>
    </row>
    <row r="13495" spans="7:14" x14ac:dyDescent="0.3">
      <c r="G13495" s="1"/>
      <c r="N13495" s="1"/>
    </row>
    <row r="13496" spans="7:14" x14ac:dyDescent="0.3">
      <c r="G13496" s="1"/>
      <c r="N13496" s="1"/>
    </row>
    <row r="13497" spans="7:14" x14ac:dyDescent="0.3">
      <c r="G13497" s="1"/>
      <c r="N13497" s="1"/>
    </row>
    <row r="13498" spans="7:14" x14ac:dyDescent="0.3">
      <c r="G13498" s="1"/>
      <c r="N13498" s="1"/>
    </row>
    <row r="13499" spans="7:14" x14ac:dyDescent="0.3">
      <c r="G13499" s="1"/>
      <c r="N13499" s="1"/>
    </row>
    <row r="13500" spans="7:14" x14ac:dyDescent="0.3">
      <c r="G13500" s="1"/>
      <c r="N13500" s="1"/>
    </row>
    <row r="13501" spans="7:14" x14ac:dyDescent="0.3">
      <c r="G13501" s="1"/>
      <c r="N13501" s="1"/>
    </row>
    <row r="13502" spans="7:14" x14ac:dyDescent="0.3">
      <c r="G13502" s="1"/>
      <c r="N13502" s="1"/>
    </row>
    <row r="13503" spans="7:14" x14ac:dyDescent="0.3">
      <c r="G13503" s="1"/>
      <c r="N13503" s="1"/>
    </row>
    <row r="13504" spans="7:14" x14ac:dyDescent="0.3">
      <c r="G13504" s="1"/>
      <c r="N13504" s="1"/>
    </row>
    <row r="13505" spans="7:14" x14ac:dyDescent="0.3">
      <c r="G13505" s="1"/>
      <c r="N13505" s="1"/>
    </row>
    <row r="13506" spans="7:14" x14ac:dyDescent="0.3">
      <c r="G13506" s="1"/>
      <c r="N13506" s="1"/>
    </row>
    <row r="13507" spans="7:14" x14ac:dyDescent="0.3">
      <c r="G13507" s="1"/>
      <c r="N13507" s="1"/>
    </row>
    <row r="13508" spans="7:14" x14ac:dyDescent="0.3">
      <c r="G13508" s="1"/>
      <c r="N13508" s="1"/>
    </row>
    <row r="13509" spans="7:14" x14ac:dyDescent="0.3">
      <c r="G13509" s="1"/>
      <c r="N13509" s="1"/>
    </row>
    <row r="13510" spans="7:14" x14ac:dyDescent="0.3">
      <c r="G13510" s="1"/>
      <c r="N13510" s="1"/>
    </row>
    <row r="13511" spans="7:14" x14ac:dyDescent="0.3">
      <c r="G13511" s="1"/>
      <c r="N13511" s="1"/>
    </row>
    <row r="13512" spans="7:14" x14ac:dyDescent="0.3">
      <c r="G13512" s="1"/>
      <c r="N13512" s="1"/>
    </row>
    <row r="13513" spans="7:14" x14ac:dyDescent="0.3">
      <c r="G13513" s="1"/>
      <c r="N13513" s="1"/>
    </row>
    <row r="13514" spans="7:14" x14ac:dyDescent="0.3">
      <c r="G13514" s="1"/>
      <c r="N13514" s="1"/>
    </row>
    <row r="13515" spans="7:14" x14ac:dyDescent="0.3">
      <c r="G13515" s="1"/>
      <c r="N13515" s="1"/>
    </row>
    <row r="13516" spans="7:14" x14ac:dyDescent="0.3">
      <c r="G13516" s="1"/>
      <c r="N13516" s="1"/>
    </row>
    <row r="13517" spans="7:14" x14ac:dyDescent="0.3">
      <c r="G13517" s="1"/>
      <c r="N13517" s="1"/>
    </row>
    <row r="13518" spans="7:14" x14ac:dyDescent="0.3">
      <c r="G13518" s="1"/>
      <c r="N13518" s="1"/>
    </row>
    <row r="13519" spans="7:14" x14ac:dyDescent="0.3">
      <c r="G13519" s="1"/>
      <c r="N13519" s="1"/>
    </row>
    <row r="13520" spans="7:14" x14ac:dyDescent="0.3">
      <c r="G13520" s="1"/>
      <c r="N13520" s="1"/>
    </row>
    <row r="13521" spans="7:14" x14ac:dyDescent="0.3">
      <c r="G13521" s="1"/>
      <c r="N13521" s="1"/>
    </row>
    <row r="13522" spans="7:14" x14ac:dyDescent="0.3">
      <c r="G13522" s="1"/>
      <c r="N13522" s="1"/>
    </row>
    <row r="13523" spans="7:14" x14ac:dyDescent="0.3">
      <c r="G13523" s="1"/>
      <c r="N13523" s="1"/>
    </row>
    <row r="13524" spans="7:14" x14ac:dyDescent="0.3">
      <c r="G13524" s="1"/>
      <c r="N13524" s="1"/>
    </row>
    <row r="13525" spans="7:14" x14ac:dyDescent="0.3">
      <c r="G13525" s="1"/>
      <c r="N13525" s="1"/>
    </row>
    <row r="13526" spans="7:14" x14ac:dyDescent="0.3">
      <c r="G13526" s="1"/>
      <c r="N13526" s="1"/>
    </row>
    <row r="13527" spans="7:14" x14ac:dyDescent="0.3">
      <c r="G13527" s="1"/>
      <c r="N13527" s="1"/>
    </row>
    <row r="13528" spans="7:14" x14ac:dyDescent="0.3">
      <c r="G13528" s="1"/>
      <c r="N13528" s="1"/>
    </row>
    <row r="13529" spans="7:14" x14ac:dyDescent="0.3">
      <c r="G13529" s="1"/>
      <c r="N13529" s="1"/>
    </row>
    <row r="13530" spans="7:14" x14ac:dyDescent="0.3">
      <c r="G13530" s="1"/>
      <c r="N13530" s="1"/>
    </row>
    <row r="13531" spans="7:14" x14ac:dyDescent="0.3">
      <c r="G13531" s="1"/>
      <c r="N13531" s="1"/>
    </row>
    <row r="13532" spans="7:14" x14ac:dyDescent="0.3">
      <c r="G13532" s="1"/>
      <c r="N13532" s="1"/>
    </row>
    <row r="13533" spans="7:14" x14ac:dyDescent="0.3">
      <c r="G13533" s="1"/>
      <c r="N13533" s="1"/>
    </row>
    <row r="13534" spans="7:14" x14ac:dyDescent="0.3">
      <c r="G13534" s="1"/>
      <c r="N13534" s="1"/>
    </row>
    <row r="13535" spans="7:14" x14ac:dyDescent="0.3">
      <c r="G13535" s="1"/>
      <c r="N13535" s="1"/>
    </row>
    <row r="13536" spans="7:14" x14ac:dyDescent="0.3">
      <c r="G13536" s="1"/>
      <c r="N13536" s="1"/>
    </row>
    <row r="13537" spans="7:14" x14ac:dyDescent="0.3">
      <c r="G13537" s="1"/>
      <c r="N13537" s="1"/>
    </row>
    <row r="13538" spans="7:14" x14ac:dyDescent="0.3">
      <c r="G13538" s="1"/>
      <c r="N13538" s="1"/>
    </row>
    <row r="13539" spans="7:14" x14ac:dyDescent="0.3">
      <c r="G13539" s="1"/>
      <c r="N13539" s="1"/>
    </row>
    <row r="13540" spans="7:14" x14ac:dyDescent="0.3">
      <c r="G13540" s="1"/>
      <c r="N13540" s="1"/>
    </row>
    <row r="13541" spans="7:14" x14ac:dyDescent="0.3">
      <c r="G13541" s="1"/>
      <c r="N13541" s="1"/>
    </row>
    <row r="13542" spans="7:14" x14ac:dyDescent="0.3">
      <c r="G13542" s="1"/>
      <c r="N13542" s="1"/>
    </row>
    <row r="13543" spans="7:14" x14ac:dyDescent="0.3">
      <c r="G13543" s="1"/>
      <c r="N13543" s="1"/>
    </row>
    <row r="13544" spans="7:14" x14ac:dyDescent="0.3">
      <c r="G13544" s="1"/>
      <c r="N13544" s="1"/>
    </row>
    <row r="13545" spans="7:14" x14ac:dyDescent="0.3">
      <c r="G13545" s="1"/>
      <c r="N13545" s="1"/>
    </row>
    <row r="13546" spans="7:14" x14ac:dyDescent="0.3">
      <c r="G13546" s="1"/>
      <c r="N13546" s="1"/>
    </row>
    <row r="13547" spans="7:14" x14ac:dyDescent="0.3">
      <c r="G13547" s="1"/>
      <c r="N13547" s="1"/>
    </row>
    <row r="13548" spans="7:14" x14ac:dyDescent="0.3">
      <c r="G13548" s="1"/>
      <c r="N13548" s="1"/>
    </row>
    <row r="13549" spans="7:14" x14ac:dyDescent="0.3">
      <c r="G13549" s="1"/>
      <c r="N13549" s="1"/>
    </row>
    <row r="13550" spans="7:14" x14ac:dyDescent="0.3">
      <c r="G13550" s="1"/>
      <c r="N13550" s="1"/>
    </row>
    <row r="13551" spans="7:14" x14ac:dyDescent="0.3">
      <c r="G13551" s="1"/>
      <c r="N13551" s="1"/>
    </row>
    <row r="13552" spans="7:14" x14ac:dyDescent="0.3">
      <c r="G13552" s="1"/>
      <c r="N13552" s="1"/>
    </row>
    <row r="13553" spans="7:14" x14ac:dyDescent="0.3">
      <c r="G13553" s="1"/>
      <c r="N13553" s="1"/>
    </row>
    <row r="13554" spans="7:14" x14ac:dyDescent="0.3">
      <c r="G13554" s="1"/>
      <c r="N13554" s="1"/>
    </row>
    <row r="13555" spans="7:14" x14ac:dyDescent="0.3">
      <c r="G13555" s="1"/>
      <c r="N13555" s="1"/>
    </row>
    <row r="13556" spans="7:14" x14ac:dyDescent="0.3">
      <c r="G13556" s="1"/>
      <c r="N13556" s="1"/>
    </row>
    <row r="13557" spans="7:14" x14ac:dyDescent="0.3">
      <c r="G13557" s="1"/>
      <c r="N13557" s="1"/>
    </row>
    <row r="13558" spans="7:14" x14ac:dyDescent="0.3">
      <c r="G13558" s="1"/>
      <c r="N13558" s="1"/>
    </row>
    <row r="13559" spans="7:14" x14ac:dyDescent="0.3">
      <c r="G13559" s="1"/>
      <c r="N13559" s="1"/>
    </row>
    <row r="13560" spans="7:14" x14ac:dyDescent="0.3">
      <c r="G13560" s="1"/>
      <c r="N13560" s="1"/>
    </row>
    <row r="13561" spans="7:14" x14ac:dyDescent="0.3">
      <c r="G13561" s="1"/>
      <c r="N13561" s="1"/>
    </row>
    <row r="13562" spans="7:14" x14ac:dyDescent="0.3">
      <c r="G13562" s="1"/>
      <c r="N13562" s="1"/>
    </row>
    <row r="13563" spans="7:14" x14ac:dyDescent="0.3">
      <c r="G13563" s="1"/>
      <c r="N13563" s="1"/>
    </row>
    <row r="13564" spans="7:14" x14ac:dyDescent="0.3">
      <c r="G13564" s="1"/>
      <c r="N13564" s="1"/>
    </row>
    <row r="13565" spans="7:14" x14ac:dyDescent="0.3">
      <c r="G13565" s="1"/>
      <c r="N13565" s="1"/>
    </row>
    <row r="13566" spans="7:14" x14ac:dyDescent="0.3">
      <c r="G13566" s="1"/>
      <c r="N13566" s="1"/>
    </row>
    <row r="13567" spans="7:14" x14ac:dyDescent="0.3">
      <c r="G13567" s="1"/>
      <c r="N13567" s="1"/>
    </row>
    <row r="13568" spans="7:14" x14ac:dyDescent="0.3">
      <c r="G13568" s="1"/>
      <c r="N13568" s="1"/>
    </row>
    <row r="13569" spans="7:14" x14ac:dyDescent="0.3">
      <c r="G13569" s="1"/>
      <c r="N13569" s="1"/>
    </row>
    <row r="13570" spans="7:14" x14ac:dyDescent="0.3">
      <c r="G13570" s="1"/>
      <c r="N13570" s="1"/>
    </row>
    <row r="13571" spans="7:14" x14ac:dyDescent="0.3">
      <c r="G13571" s="1"/>
      <c r="N13571" s="1"/>
    </row>
    <row r="13572" spans="7:14" x14ac:dyDescent="0.3">
      <c r="G13572" s="1"/>
      <c r="N13572" s="1"/>
    </row>
    <row r="13573" spans="7:14" x14ac:dyDescent="0.3">
      <c r="G13573" s="1"/>
      <c r="N13573" s="1"/>
    </row>
    <row r="13574" spans="7:14" x14ac:dyDescent="0.3">
      <c r="G13574" s="1"/>
      <c r="N13574" s="1"/>
    </row>
    <row r="13575" spans="7:14" x14ac:dyDescent="0.3">
      <c r="G13575" s="1"/>
      <c r="N13575" s="1"/>
    </row>
    <row r="13576" spans="7:14" x14ac:dyDescent="0.3">
      <c r="G13576" s="1"/>
      <c r="N13576" s="1"/>
    </row>
    <row r="13577" spans="7:14" x14ac:dyDescent="0.3">
      <c r="G13577" s="1"/>
      <c r="N13577" s="1"/>
    </row>
    <row r="13578" spans="7:14" x14ac:dyDescent="0.3">
      <c r="G13578" s="1"/>
      <c r="N13578" s="1"/>
    </row>
    <row r="13579" spans="7:14" x14ac:dyDescent="0.3">
      <c r="G13579" s="1"/>
      <c r="N13579" s="1"/>
    </row>
    <row r="13580" spans="7:14" x14ac:dyDescent="0.3">
      <c r="G13580" s="1"/>
      <c r="N13580" s="1"/>
    </row>
    <row r="13581" spans="7:14" x14ac:dyDescent="0.3">
      <c r="G13581" s="1"/>
      <c r="N13581" s="1"/>
    </row>
    <row r="13582" spans="7:14" x14ac:dyDescent="0.3">
      <c r="G13582" s="1"/>
      <c r="N13582" s="1"/>
    </row>
    <row r="13583" spans="7:14" x14ac:dyDescent="0.3">
      <c r="G13583" s="1"/>
      <c r="N13583" s="1"/>
    </row>
    <row r="13584" spans="7:14" x14ac:dyDescent="0.3">
      <c r="G13584" s="1"/>
      <c r="N13584" s="1"/>
    </row>
    <row r="13585" spans="7:14" x14ac:dyDescent="0.3">
      <c r="G13585" s="1"/>
      <c r="N13585" s="1"/>
    </row>
    <row r="13586" spans="7:14" x14ac:dyDescent="0.3">
      <c r="G13586" s="1"/>
      <c r="N13586" s="1"/>
    </row>
    <row r="13587" spans="7:14" x14ac:dyDescent="0.3">
      <c r="G13587" s="1"/>
      <c r="N13587" s="1"/>
    </row>
    <row r="13588" spans="7:14" x14ac:dyDescent="0.3">
      <c r="G13588" s="1"/>
      <c r="N13588" s="1"/>
    </row>
    <row r="13589" spans="7:14" x14ac:dyDescent="0.3">
      <c r="G13589" s="1"/>
      <c r="N13589" s="1"/>
    </row>
    <row r="13590" spans="7:14" x14ac:dyDescent="0.3">
      <c r="G13590" s="1"/>
      <c r="N13590" s="1"/>
    </row>
    <row r="13591" spans="7:14" x14ac:dyDescent="0.3">
      <c r="G13591" s="1"/>
      <c r="N13591" s="1"/>
    </row>
    <row r="13592" spans="7:14" x14ac:dyDescent="0.3">
      <c r="G13592" s="1"/>
      <c r="N13592" s="1"/>
    </row>
    <row r="13593" spans="7:14" x14ac:dyDescent="0.3">
      <c r="G13593" s="1"/>
      <c r="N13593" s="1"/>
    </row>
    <row r="13594" spans="7:14" x14ac:dyDescent="0.3">
      <c r="G13594" s="1"/>
      <c r="N13594" s="1"/>
    </row>
    <row r="13595" spans="7:14" x14ac:dyDescent="0.3">
      <c r="G13595" s="1"/>
      <c r="N13595" s="1"/>
    </row>
    <row r="13596" spans="7:14" x14ac:dyDescent="0.3">
      <c r="G13596" s="1"/>
      <c r="N13596" s="1"/>
    </row>
    <row r="13597" spans="7:14" x14ac:dyDescent="0.3">
      <c r="G13597" s="1"/>
      <c r="N13597" s="1"/>
    </row>
    <row r="13598" spans="7:14" x14ac:dyDescent="0.3">
      <c r="G13598" s="1"/>
      <c r="N13598" s="1"/>
    </row>
    <row r="13599" spans="7:14" x14ac:dyDescent="0.3">
      <c r="G13599" s="1"/>
      <c r="N13599" s="1"/>
    </row>
    <row r="13600" spans="7:14" x14ac:dyDescent="0.3">
      <c r="G13600" s="1"/>
      <c r="N13600" s="1"/>
    </row>
    <row r="13601" spans="7:14" x14ac:dyDescent="0.3">
      <c r="G13601" s="1"/>
      <c r="N13601" s="1"/>
    </row>
    <row r="13602" spans="7:14" x14ac:dyDescent="0.3">
      <c r="G13602" s="1"/>
      <c r="N13602" s="1"/>
    </row>
    <row r="13603" spans="7:14" x14ac:dyDescent="0.3">
      <c r="G13603" s="1"/>
      <c r="N13603" s="1"/>
    </row>
    <row r="13604" spans="7:14" x14ac:dyDescent="0.3">
      <c r="G13604" s="1"/>
      <c r="N13604" s="1"/>
    </row>
    <row r="13605" spans="7:14" x14ac:dyDescent="0.3">
      <c r="G13605" s="1"/>
      <c r="N13605" s="1"/>
    </row>
    <row r="13606" spans="7:14" x14ac:dyDescent="0.3">
      <c r="G13606" s="1"/>
      <c r="N13606" s="1"/>
    </row>
    <row r="13607" spans="7:14" x14ac:dyDescent="0.3">
      <c r="G13607" s="1"/>
      <c r="N13607" s="1"/>
    </row>
    <row r="13608" spans="7:14" x14ac:dyDescent="0.3">
      <c r="G13608" s="1"/>
      <c r="N13608" s="1"/>
    </row>
    <row r="13609" spans="7:14" x14ac:dyDescent="0.3">
      <c r="G13609" s="1"/>
      <c r="N13609" s="1"/>
    </row>
    <row r="13610" spans="7:14" x14ac:dyDescent="0.3">
      <c r="G13610" s="1"/>
      <c r="N13610" s="1"/>
    </row>
    <row r="13611" spans="7:14" x14ac:dyDescent="0.3">
      <c r="G13611" s="1"/>
      <c r="N13611" s="1"/>
    </row>
    <row r="13612" spans="7:14" x14ac:dyDescent="0.3">
      <c r="G13612" s="1"/>
      <c r="N13612" s="1"/>
    </row>
    <row r="13613" spans="7:14" x14ac:dyDescent="0.3">
      <c r="G13613" s="1"/>
      <c r="N13613" s="1"/>
    </row>
    <row r="13614" spans="7:14" x14ac:dyDescent="0.3">
      <c r="G13614" s="1"/>
      <c r="N13614" s="1"/>
    </row>
    <row r="13615" spans="7:14" x14ac:dyDescent="0.3">
      <c r="G13615" s="1"/>
      <c r="N13615" s="1"/>
    </row>
    <row r="13616" spans="7:14" x14ac:dyDescent="0.3">
      <c r="G13616" s="1"/>
      <c r="N13616" s="1"/>
    </row>
    <row r="13617" spans="7:14" x14ac:dyDescent="0.3">
      <c r="G13617" s="1"/>
      <c r="N13617" s="1"/>
    </row>
    <row r="13618" spans="7:14" x14ac:dyDescent="0.3">
      <c r="G13618" s="1"/>
      <c r="N13618" s="1"/>
    </row>
    <row r="13619" spans="7:14" x14ac:dyDescent="0.3">
      <c r="G13619" s="1"/>
      <c r="N13619" s="1"/>
    </row>
    <row r="13620" spans="7:14" x14ac:dyDescent="0.3">
      <c r="G13620" s="1"/>
      <c r="N13620" s="1"/>
    </row>
    <row r="13621" spans="7:14" x14ac:dyDescent="0.3">
      <c r="G13621" s="1"/>
      <c r="N13621" s="1"/>
    </row>
    <row r="13622" spans="7:14" x14ac:dyDescent="0.3">
      <c r="G13622" s="1"/>
      <c r="N13622" s="1"/>
    </row>
    <row r="13623" spans="7:14" x14ac:dyDescent="0.3">
      <c r="G13623" s="1"/>
      <c r="N13623" s="1"/>
    </row>
    <row r="13624" spans="7:14" x14ac:dyDescent="0.3">
      <c r="G13624" s="1"/>
      <c r="N13624" s="1"/>
    </row>
    <row r="13625" spans="7:14" x14ac:dyDescent="0.3">
      <c r="G13625" s="1"/>
      <c r="N13625" s="1"/>
    </row>
    <row r="13626" spans="7:14" x14ac:dyDescent="0.3">
      <c r="G13626" s="1"/>
      <c r="N13626" s="1"/>
    </row>
    <row r="13627" spans="7:14" x14ac:dyDescent="0.3">
      <c r="G13627" s="1"/>
      <c r="N13627" s="1"/>
    </row>
    <row r="13628" spans="7:14" x14ac:dyDescent="0.3">
      <c r="G13628" s="1"/>
      <c r="N13628" s="1"/>
    </row>
    <row r="13629" spans="7:14" x14ac:dyDescent="0.3">
      <c r="G13629" s="1"/>
      <c r="N13629" s="1"/>
    </row>
    <row r="13630" spans="7:14" x14ac:dyDescent="0.3">
      <c r="G13630" s="1"/>
      <c r="N13630" s="1"/>
    </row>
    <row r="13631" spans="7:14" x14ac:dyDescent="0.3">
      <c r="G13631" s="1"/>
      <c r="N13631" s="1"/>
    </row>
    <row r="13632" spans="7:14" x14ac:dyDescent="0.3">
      <c r="G13632" s="1"/>
      <c r="N13632" s="1"/>
    </row>
    <row r="13633" spans="7:14" x14ac:dyDescent="0.3">
      <c r="G13633" s="1"/>
      <c r="N13633" s="1"/>
    </row>
    <row r="13634" spans="7:14" x14ac:dyDescent="0.3">
      <c r="G13634" s="1"/>
      <c r="N13634" s="1"/>
    </row>
    <row r="13635" spans="7:14" x14ac:dyDescent="0.3">
      <c r="G13635" s="1"/>
      <c r="N13635" s="1"/>
    </row>
    <row r="13636" spans="7:14" x14ac:dyDescent="0.3">
      <c r="G13636" s="1"/>
      <c r="N13636" s="1"/>
    </row>
    <row r="13637" spans="7:14" x14ac:dyDescent="0.3">
      <c r="G13637" s="1"/>
      <c r="N13637" s="1"/>
    </row>
    <row r="13638" spans="7:14" x14ac:dyDescent="0.3">
      <c r="G13638" s="1"/>
      <c r="N13638" s="1"/>
    </row>
    <row r="13639" spans="7:14" x14ac:dyDescent="0.3">
      <c r="G13639" s="1"/>
      <c r="N13639" s="1"/>
    </row>
    <row r="13640" spans="7:14" x14ac:dyDescent="0.3">
      <c r="G13640" s="1"/>
      <c r="N13640" s="1"/>
    </row>
    <row r="13641" spans="7:14" x14ac:dyDescent="0.3">
      <c r="G13641" s="1"/>
      <c r="N13641" s="1"/>
    </row>
    <row r="13642" spans="7:14" x14ac:dyDescent="0.3">
      <c r="G13642" s="1"/>
      <c r="N13642" s="1"/>
    </row>
    <row r="13643" spans="7:14" x14ac:dyDescent="0.3">
      <c r="G13643" s="1"/>
      <c r="N13643" s="1"/>
    </row>
    <row r="13644" spans="7:14" x14ac:dyDescent="0.3">
      <c r="G13644" s="1"/>
      <c r="N13644" s="1"/>
    </row>
    <row r="13645" spans="7:14" x14ac:dyDescent="0.3">
      <c r="G13645" s="1"/>
      <c r="N13645" s="1"/>
    </row>
    <row r="13646" spans="7:14" x14ac:dyDescent="0.3">
      <c r="G13646" s="1"/>
      <c r="N13646" s="1"/>
    </row>
    <row r="13647" spans="7:14" x14ac:dyDescent="0.3">
      <c r="G13647" s="1"/>
      <c r="N13647" s="1"/>
    </row>
    <row r="13648" spans="7:14" x14ac:dyDescent="0.3">
      <c r="G13648" s="1"/>
      <c r="N13648" s="1"/>
    </row>
    <row r="13649" spans="7:14" x14ac:dyDescent="0.3">
      <c r="G13649" s="1"/>
      <c r="N13649" s="1"/>
    </row>
    <row r="13650" spans="7:14" x14ac:dyDescent="0.3">
      <c r="G13650" s="1"/>
      <c r="N13650" s="1"/>
    </row>
    <row r="13651" spans="7:14" x14ac:dyDescent="0.3">
      <c r="G13651" s="1"/>
      <c r="N13651" s="1"/>
    </row>
    <row r="13652" spans="7:14" x14ac:dyDescent="0.3">
      <c r="G13652" s="1"/>
      <c r="N13652" s="1"/>
    </row>
    <row r="13653" spans="7:14" x14ac:dyDescent="0.3">
      <c r="G13653" s="1"/>
      <c r="N13653" s="1"/>
    </row>
    <row r="13654" spans="7:14" x14ac:dyDescent="0.3">
      <c r="G13654" s="1"/>
      <c r="N13654" s="1"/>
    </row>
    <row r="13655" spans="7:14" x14ac:dyDescent="0.3">
      <c r="G13655" s="1"/>
      <c r="N13655" s="1"/>
    </row>
    <row r="13656" spans="7:14" x14ac:dyDescent="0.3">
      <c r="G13656" s="1"/>
      <c r="N13656" s="1"/>
    </row>
    <row r="13657" spans="7:14" x14ac:dyDescent="0.3">
      <c r="G13657" s="1"/>
      <c r="N13657" s="1"/>
    </row>
    <row r="13658" spans="7:14" x14ac:dyDescent="0.3">
      <c r="G13658" s="1"/>
      <c r="N13658" s="1"/>
    </row>
    <row r="13659" spans="7:14" x14ac:dyDescent="0.3">
      <c r="G13659" s="1"/>
      <c r="N13659" s="1"/>
    </row>
    <row r="13660" spans="7:14" x14ac:dyDescent="0.3">
      <c r="G13660" s="1"/>
      <c r="N13660" s="1"/>
    </row>
    <row r="13661" spans="7:14" x14ac:dyDescent="0.3">
      <c r="G13661" s="1"/>
      <c r="N13661" s="1"/>
    </row>
    <row r="13662" spans="7:14" x14ac:dyDescent="0.3">
      <c r="G13662" s="1"/>
      <c r="N13662" s="1"/>
    </row>
    <row r="13663" spans="7:14" x14ac:dyDescent="0.3">
      <c r="G13663" s="1"/>
      <c r="N13663" s="1"/>
    </row>
    <row r="13664" spans="7:14" x14ac:dyDescent="0.3">
      <c r="G13664" s="1"/>
      <c r="N13664" s="1"/>
    </row>
    <row r="13665" spans="7:14" x14ac:dyDescent="0.3">
      <c r="G13665" s="1"/>
      <c r="N13665" s="1"/>
    </row>
    <row r="13666" spans="7:14" x14ac:dyDescent="0.3">
      <c r="G13666" s="1"/>
      <c r="N13666" s="1"/>
    </row>
    <row r="13667" spans="7:14" x14ac:dyDescent="0.3">
      <c r="G13667" s="1"/>
      <c r="N13667" s="1"/>
    </row>
    <row r="13668" spans="7:14" x14ac:dyDescent="0.3">
      <c r="G13668" s="1"/>
      <c r="N13668" s="1"/>
    </row>
    <row r="13669" spans="7:14" x14ac:dyDescent="0.3">
      <c r="G13669" s="1"/>
      <c r="N13669" s="1"/>
    </row>
    <row r="13670" spans="7:14" x14ac:dyDescent="0.3">
      <c r="G13670" s="1"/>
      <c r="N13670" s="1"/>
    </row>
    <row r="13671" spans="7:14" x14ac:dyDescent="0.3">
      <c r="G13671" s="1"/>
      <c r="N13671" s="1"/>
    </row>
    <row r="13672" spans="7:14" x14ac:dyDescent="0.3">
      <c r="G13672" s="1"/>
      <c r="N13672" s="1"/>
    </row>
    <row r="13673" spans="7:14" x14ac:dyDescent="0.3">
      <c r="G13673" s="1"/>
      <c r="N13673" s="1"/>
    </row>
    <row r="13674" spans="7:14" x14ac:dyDescent="0.3">
      <c r="G13674" s="1"/>
      <c r="N13674" s="1"/>
    </row>
    <row r="13675" spans="7:14" x14ac:dyDescent="0.3">
      <c r="G13675" s="1"/>
      <c r="N13675" s="1"/>
    </row>
    <row r="13676" spans="7:14" x14ac:dyDescent="0.3">
      <c r="G13676" s="1"/>
      <c r="N13676" s="1"/>
    </row>
    <row r="13677" spans="7:14" x14ac:dyDescent="0.3">
      <c r="G13677" s="1"/>
      <c r="N13677" s="1"/>
    </row>
    <row r="13678" spans="7:14" x14ac:dyDescent="0.3">
      <c r="G13678" s="1"/>
      <c r="N13678" s="1"/>
    </row>
    <row r="13679" spans="7:14" x14ac:dyDescent="0.3">
      <c r="G13679" s="1"/>
      <c r="N13679" s="1"/>
    </row>
    <row r="13680" spans="7:14" x14ac:dyDescent="0.3">
      <c r="G13680" s="1"/>
      <c r="N13680" s="1"/>
    </row>
    <row r="13681" spans="7:14" x14ac:dyDescent="0.3">
      <c r="G13681" s="1"/>
      <c r="N13681" s="1"/>
    </row>
    <row r="13682" spans="7:14" x14ac:dyDescent="0.3">
      <c r="G13682" s="1"/>
      <c r="N13682" s="1"/>
    </row>
    <row r="13683" spans="7:14" x14ac:dyDescent="0.3">
      <c r="G13683" s="1"/>
      <c r="N13683" s="1"/>
    </row>
    <row r="13684" spans="7:14" x14ac:dyDescent="0.3">
      <c r="G13684" s="1"/>
      <c r="N13684" s="1"/>
    </row>
    <row r="13685" spans="7:14" x14ac:dyDescent="0.3">
      <c r="G13685" s="1"/>
      <c r="N13685" s="1"/>
    </row>
    <row r="13686" spans="7:14" x14ac:dyDescent="0.3">
      <c r="G13686" s="1"/>
      <c r="N13686" s="1"/>
    </row>
    <row r="13687" spans="7:14" x14ac:dyDescent="0.3">
      <c r="G13687" s="1"/>
      <c r="N13687" s="1"/>
    </row>
    <row r="13688" spans="7:14" x14ac:dyDescent="0.3">
      <c r="G13688" s="1"/>
      <c r="N13688" s="1"/>
    </row>
    <row r="13689" spans="7:14" x14ac:dyDescent="0.3">
      <c r="G13689" s="1"/>
      <c r="N13689" s="1"/>
    </row>
    <row r="13690" spans="7:14" x14ac:dyDescent="0.3">
      <c r="G13690" s="1"/>
      <c r="N13690" s="1"/>
    </row>
    <row r="13691" spans="7:14" x14ac:dyDescent="0.3">
      <c r="G13691" s="1"/>
      <c r="N13691" s="1"/>
    </row>
    <row r="13692" spans="7:14" x14ac:dyDescent="0.3">
      <c r="G13692" s="1"/>
      <c r="N13692" s="1"/>
    </row>
    <row r="13693" spans="7:14" x14ac:dyDescent="0.3">
      <c r="G13693" s="1"/>
      <c r="N13693" s="1"/>
    </row>
    <row r="13694" spans="7:14" x14ac:dyDescent="0.3">
      <c r="G13694" s="1"/>
      <c r="N13694" s="1"/>
    </row>
    <row r="13695" spans="7:14" x14ac:dyDescent="0.3">
      <c r="G13695" s="1"/>
      <c r="N13695" s="1"/>
    </row>
    <row r="13696" spans="7:14" x14ac:dyDescent="0.3">
      <c r="G13696" s="1"/>
      <c r="N13696" s="1"/>
    </row>
    <row r="13697" spans="7:14" x14ac:dyDescent="0.3">
      <c r="G13697" s="1"/>
      <c r="N13697" s="1"/>
    </row>
    <row r="13698" spans="7:14" x14ac:dyDescent="0.3">
      <c r="G13698" s="1"/>
      <c r="N13698" s="1"/>
    </row>
    <row r="13699" spans="7:14" x14ac:dyDescent="0.3">
      <c r="G13699" s="1"/>
      <c r="N13699" s="1"/>
    </row>
    <row r="13700" spans="7:14" x14ac:dyDescent="0.3">
      <c r="G13700" s="1"/>
      <c r="N13700" s="1"/>
    </row>
    <row r="13701" spans="7:14" x14ac:dyDescent="0.3">
      <c r="G13701" s="1"/>
      <c r="N13701" s="1"/>
    </row>
    <row r="13702" spans="7:14" x14ac:dyDescent="0.3">
      <c r="G13702" s="1"/>
      <c r="N13702" s="1"/>
    </row>
    <row r="13703" spans="7:14" x14ac:dyDescent="0.3">
      <c r="G13703" s="1"/>
      <c r="N13703" s="1"/>
    </row>
    <row r="13704" spans="7:14" x14ac:dyDescent="0.3">
      <c r="G13704" s="1"/>
      <c r="N13704" s="1"/>
    </row>
    <row r="13705" spans="7:14" x14ac:dyDescent="0.3">
      <c r="G13705" s="1"/>
      <c r="N13705" s="1"/>
    </row>
    <row r="13706" spans="7:14" x14ac:dyDescent="0.3">
      <c r="G13706" s="1"/>
      <c r="N13706" s="1"/>
    </row>
    <row r="13707" spans="7:14" x14ac:dyDescent="0.3">
      <c r="G13707" s="1"/>
      <c r="N13707" s="1"/>
    </row>
    <row r="13708" spans="7:14" x14ac:dyDescent="0.3">
      <c r="G13708" s="1"/>
      <c r="N13708" s="1"/>
    </row>
    <row r="13709" spans="7:14" x14ac:dyDescent="0.3">
      <c r="G13709" s="1"/>
      <c r="N13709" s="1"/>
    </row>
    <row r="13710" spans="7:14" x14ac:dyDescent="0.3">
      <c r="G13710" s="1"/>
      <c r="N13710" s="1"/>
    </row>
    <row r="13711" spans="7:14" x14ac:dyDescent="0.3">
      <c r="G13711" s="1"/>
      <c r="N13711" s="1"/>
    </row>
    <row r="13712" spans="7:14" x14ac:dyDescent="0.3">
      <c r="G13712" s="1"/>
      <c r="N13712" s="1"/>
    </row>
    <row r="13713" spans="7:14" x14ac:dyDescent="0.3">
      <c r="G13713" s="1"/>
      <c r="N13713" s="1"/>
    </row>
    <row r="13714" spans="7:14" x14ac:dyDescent="0.3">
      <c r="G13714" s="1"/>
      <c r="N13714" s="1"/>
    </row>
    <row r="13715" spans="7:14" x14ac:dyDescent="0.3">
      <c r="G13715" s="1"/>
      <c r="N13715" s="1"/>
    </row>
    <row r="13716" spans="7:14" x14ac:dyDescent="0.3">
      <c r="G13716" s="1"/>
      <c r="N13716" s="1"/>
    </row>
    <row r="13717" spans="7:14" x14ac:dyDescent="0.3">
      <c r="G13717" s="1"/>
      <c r="N13717" s="1"/>
    </row>
    <row r="13718" spans="7:14" x14ac:dyDescent="0.3">
      <c r="G13718" s="1"/>
      <c r="N13718" s="1"/>
    </row>
    <row r="13719" spans="7:14" x14ac:dyDescent="0.3">
      <c r="G13719" s="1"/>
      <c r="N13719" s="1"/>
    </row>
    <row r="13720" spans="7:14" x14ac:dyDescent="0.3">
      <c r="G13720" s="1"/>
      <c r="N13720" s="1"/>
    </row>
    <row r="13721" spans="7:14" x14ac:dyDescent="0.3">
      <c r="G13721" s="1"/>
      <c r="N13721" s="1"/>
    </row>
    <row r="13722" spans="7:14" x14ac:dyDescent="0.3">
      <c r="G13722" s="1"/>
      <c r="N13722" s="1"/>
    </row>
    <row r="13723" spans="7:14" x14ac:dyDescent="0.3">
      <c r="G13723" s="1"/>
      <c r="N13723" s="1"/>
    </row>
    <row r="13724" spans="7:14" x14ac:dyDescent="0.3">
      <c r="G13724" s="1"/>
      <c r="N13724" s="1"/>
    </row>
    <row r="13725" spans="7:14" x14ac:dyDescent="0.3">
      <c r="G13725" s="1"/>
      <c r="N13725" s="1"/>
    </row>
    <row r="13726" spans="7:14" x14ac:dyDescent="0.3">
      <c r="G13726" s="1"/>
      <c r="N13726" s="1"/>
    </row>
    <row r="13727" spans="7:14" x14ac:dyDescent="0.3">
      <c r="G13727" s="1"/>
      <c r="N13727" s="1"/>
    </row>
    <row r="13728" spans="7:14" x14ac:dyDescent="0.3">
      <c r="G13728" s="1"/>
      <c r="N13728" s="1"/>
    </row>
    <row r="13729" spans="7:14" x14ac:dyDescent="0.3">
      <c r="G13729" s="1"/>
      <c r="N13729" s="1"/>
    </row>
    <row r="13730" spans="7:14" x14ac:dyDescent="0.3">
      <c r="G13730" s="1"/>
      <c r="N13730" s="1"/>
    </row>
    <row r="13731" spans="7:14" x14ac:dyDescent="0.3">
      <c r="G13731" s="1"/>
      <c r="N13731" s="1"/>
    </row>
    <row r="13732" spans="7:14" x14ac:dyDescent="0.3">
      <c r="G13732" s="1"/>
      <c r="N13732" s="1"/>
    </row>
    <row r="13733" spans="7:14" x14ac:dyDescent="0.3">
      <c r="G13733" s="1"/>
      <c r="N13733" s="1"/>
    </row>
    <row r="13734" spans="7:14" x14ac:dyDescent="0.3">
      <c r="G13734" s="1"/>
      <c r="N13734" s="1"/>
    </row>
    <row r="13735" spans="7:14" x14ac:dyDescent="0.3">
      <c r="G13735" s="1"/>
      <c r="N13735" s="1"/>
    </row>
    <row r="13736" spans="7:14" x14ac:dyDescent="0.3">
      <c r="G13736" s="1"/>
      <c r="N13736" s="1"/>
    </row>
    <row r="13737" spans="7:14" x14ac:dyDescent="0.3">
      <c r="G13737" s="1"/>
      <c r="N13737" s="1"/>
    </row>
    <row r="13738" spans="7:14" x14ac:dyDescent="0.3">
      <c r="G13738" s="1"/>
      <c r="N13738" s="1"/>
    </row>
    <row r="13739" spans="7:14" x14ac:dyDescent="0.3">
      <c r="G13739" s="1"/>
      <c r="N13739" s="1"/>
    </row>
    <row r="13740" spans="7:14" x14ac:dyDescent="0.3">
      <c r="G13740" s="1"/>
      <c r="N13740" s="1"/>
    </row>
    <row r="13741" spans="7:14" x14ac:dyDescent="0.3">
      <c r="G13741" s="1"/>
      <c r="N13741" s="1"/>
    </row>
    <row r="13742" spans="7:14" x14ac:dyDescent="0.3">
      <c r="G13742" s="1"/>
      <c r="N13742" s="1"/>
    </row>
    <row r="13743" spans="7:14" x14ac:dyDescent="0.3">
      <c r="G13743" s="1"/>
      <c r="N13743" s="1"/>
    </row>
    <row r="13744" spans="7:14" x14ac:dyDescent="0.3">
      <c r="G13744" s="1"/>
      <c r="N13744" s="1"/>
    </row>
    <row r="13745" spans="7:14" x14ac:dyDescent="0.3">
      <c r="G13745" s="1"/>
      <c r="N13745" s="1"/>
    </row>
    <row r="13746" spans="7:14" x14ac:dyDescent="0.3">
      <c r="G13746" s="1"/>
      <c r="N13746" s="1"/>
    </row>
    <row r="13747" spans="7:14" x14ac:dyDescent="0.3">
      <c r="G13747" s="1"/>
      <c r="N13747" s="1"/>
    </row>
    <row r="13748" spans="7:14" x14ac:dyDescent="0.3">
      <c r="G13748" s="1"/>
      <c r="N13748" s="1"/>
    </row>
    <row r="13749" spans="7:14" x14ac:dyDescent="0.3">
      <c r="G13749" s="1"/>
      <c r="N13749" s="1"/>
    </row>
    <row r="13750" spans="7:14" x14ac:dyDescent="0.3">
      <c r="G13750" s="1"/>
      <c r="N13750" s="1"/>
    </row>
    <row r="13751" spans="7:14" x14ac:dyDescent="0.3">
      <c r="G13751" s="1"/>
      <c r="N13751" s="1"/>
    </row>
    <row r="13752" spans="7:14" x14ac:dyDescent="0.3">
      <c r="G13752" s="1"/>
      <c r="N13752" s="1"/>
    </row>
    <row r="13753" spans="7:14" x14ac:dyDescent="0.3">
      <c r="G13753" s="1"/>
      <c r="N13753" s="1"/>
    </row>
    <row r="13754" spans="7:14" x14ac:dyDescent="0.3">
      <c r="G13754" s="1"/>
      <c r="N13754" s="1"/>
    </row>
    <row r="13755" spans="7:14" x14ac:dyDescent="0.3">
      <c r="G13755" s="1"/>
      <c r="N13755" s="1"/>
    </row>
    <row r="13756" spans="7:14" x14ac:dyDescent="0.3">
      <c r="G13756" s="1"/>
      <c r="N13756" s="1"/>
    </row>
    <row r="13757" spans="7:14" x14ac:dyDescent="0.3">
      <c r="G13757" s="1"/>
      <c r="N13757" s="1"/>
    </row>
    <row r="13758" spans="7:14" x14ac:dyDescent="0.3">
      <c r="G13758" s="1"/>
      <c r="N13758" s="1"/>
    </row>
    <row r="13759" spans="7:14" x14ac:dyDescent="0.3">
      <c r="G13759" s="1"/>
      <c r="N13759" s="1"/>
    </row>
    <row r="13760" spans="7:14" x14ac:dyDescent="0.3">
      <c r="G13760" s="1"/>
      <c r="N13760" s="1"/>
    </row>
    <row r="13761" spans="7:14" x14ac:dyDescent="0.3">
      <c r="G13761" s="1"/>
      <c r="N13761" s="1"/>
    </row>
    <row r="13762" spans="7:14" x14ac:dyDescent="0.3">
      <c r="G13762" s="1"/>
      <c r="N13762" s="1"/>
    </row>
    <row r="13763" spans="7:14" x14ac:dyDescent="0.3">
      <c r="G13763" s="1"/>
      <c r="N13763" s="1"/>
    </row>
    <row r="13764" spans="7:14" x14ac:dyDescent="0.3">
      <c r="G13764" s="1"/>
      <c r="N13764" s="1"/>
    </row>
    <row r="13765" spans="7:14" x14ac:dyDescent="0.3">
      <c r="G13765" s="1"/>
      <c r="N13765" s="1"/>
    </row>
    <row r="13766" spans="7:14" x14ac:dyDescent="0.3">
      <c r="G13766" s="1"/>
      <c r="N13766" s="1"/>
    </row>
    <row r="13767" spans="7:14" x14ac:dyDescent="0.3">
      <c r="G13767" s="1"/>
      <c r="N13767" s="1"/>
    </row>
    <row r="13768" spans="7:14" x14ac:dyDescent="0.3">
      <c r="G13768" s="1"/>
      <c r="N13768" s="1"/>
    </row>
    <row r="13769" spans="7:14" x14ac:dyDescent="0.3">
      <c r="G13769" s="1"/>
      <c r="N13769" s="1"/>
    </row>
    <row r="13770" spans="7:14" x14ac:dyDescent="0.3">
      <c r="G13770" s="1"/>
      <c r="N13770" s="1"/>
    </row>
    <row r="13771" spans="7:14" x14ac:dyDescent="0.3">
      <c r="G13771" s="1"/>
      <c r="N13771" s="1"/>
    </row>
    <row r="13772" spans="7:14" x14ac:dyDescent="0.3">
      <c r="G13772" s="1"/>
      <c r="N13772" s="1"/>
    </row>
    <row r="13773" spans="7:14" x14ac:dyDescent="0.3">
      <c r="G13773" s="1"/>
      <c r="N13773" s="1"/>
    </row>
    <row r="13774" spans="7:14" x14ac:dyDescent="0.3">
      <c r="G13774" s="1"/>
      <c r="N13774" s="1"/>
    </row>
    <row r="13775" spans="7:14" x14ac:dyDescent="0.3">
      <c r="G13775" s="1"/>
      <c r="N13775" s="1"/>
    </row>
    <row r="13776" spans="7:14" x14ac:dyDescent="0.3">
      <c r="G13776" s="1"/>
      <c r="N13776" s="1"/>
    </row>
    <row r="13777" spans="7:14" x14ac:dyDescent="0.3">
      <c r="G13777" s="1"/>
      <c r="N13777" s="1"/>
    </row>
    <row r="13778" spans="7:14" x14ac:dyDescent="0.3">
      <c r="G13778" s="1"/>
      <c r="N13778" s="1"/>
    </row>
    <row r="13779" spans="7:14" x14ac:dyDescent="0.3">
      <c r="G13779" s="1"/>
      <c r="N13779" s="1"/>
    </row>
    <row r="13780" spans="7:14" x14ac:dyDescent="0.3">
      <c r="G13780" s="1"/>
      <c r="N13780" s="1"/>
    </row>
    <row r="13781" spans="7:14" x14ac:dyDescent="0.3">
      <c r="G13781" s="1"/>
      <c r="N13781" s="1"/>
    </row>
    <row r="13782" spans="7:14" x14ac:dyDescent="0.3">
      <c r="G13782" s="1"/>
      <c r="N13782" s="1"/>
    </row>
    <row r="13783" spans="7:14" x14ac:dyDescent="0.3">
      <c r="G13783" s="1"/>
      <c r="N13783" s="1"/>
    </row>
    <row r="13784" spans="7:14" x14ac:dyDescent="0.3">
      <c r="G13784" s="1"/>
      <c r="N13784" s="1"/>
    </row>
    <row r="13785" spans="7:14" x14ac:dyDescent="0.3">
      <c r="G13785" s="1"/>
      <c r="N13785" s="1"/>
    </row>
    <row r="13786" spans="7:14" x14ac:dyDescent="0.3">
      <c r="G13786" s="1"/>
      <c r="N13786" s="1"/>
    </row>
    <row r="13787" spans="7:14" x14ac:dyDescent="0.3">
      <c r="G13787" s="1"/>
      <c r="N13787" s="1"/>
    </row>
    <row r="13788" spans="7:14" x14ac:dyDescent="0.3">
      <c r="G13788" s="1"/>
      <c r="N13788" s="1"/>
    </row>
    <row r="13789" spans="7:14" x14ac:dyDescent="0.3">
      <c r="G13789" s="1"/>
      <c r="N13789" s="1"/>
    </row>
    <row r="13790" spans="7:14" x14ac:dyDescent="0.3">
      <c r="G13790" s="1"/>
      <c r="N13790" s="1"/>
    </row>
    <row r="13791" spans="7:14" x14ac:dyDescent="0.3">
      <c r="G13791" s="1"/>
      <c r="N13791" s="1"/>
    </row>
    <row r="13792" spans="7:14" x14ac:dyDescent="0.3">
      <c r="G13792" s="1"/>
      <c r="N13792" s="1"/>
    </row>
    <row r="13793" spans="7:14" x14ac:dyDescent="0.3">
      <c r="G13793" s="1"/>
      <c r="N13793" s="1"/>
    </row>
    <row r="13794" spans="7:14" x14ac:dyDescent="0.3">
      <c r="G13794" s="1"/>
      <c r="N13794" s="1"/>
    </row>
    <row r="13795" spans="7:14" x14ac:dyDescent="0.3">
      <c r="G13795" s="1"/>
      <c r="N13795" s="1"/>
    </row>
    <row r="13796" spans="7:14" x14ac:dyDescent="0.3">
      <c r="G13796" s="1"/>
      <c r="N13796" s="1"/>
    </row>
    <row r="13797" spans="7:14" x14ac:dyDescent="0.3">
      <c r="G13797" s="1"/>
      <c r="N13797" s="1"/>
    </row>
    <row r="13798" spans="7:14" x14ac:dyDescent="0.3">
      <c r="G13798" s="1"/>
      <c r="N13798" s="1"/>
    </row>
    <row r="13799" spans="7:14" x14ac:dyDescent="0.3">
      <c r="G13799" s="1"/>
      <c r="N13799" s="1"/>
    </row>
    <row r="13800" spans="7:14" x14ac:dyDescent="0.3">
      <c r="G13800" s="1"/>
      <c r="N13800" s="1"/>
    </row>
    <row r="13801" spans="7:14" x14ac:dyDescent="0.3">
      <c r="G13801" s="1"/>
      <c r="N13801" s="1"/>
    </row>
    <row r="13802" spans="7:14" x14ac:dyDescent="0.3">
      <c r="G13802" s="1"/>
      <c r="N13802" s="1"/>
    </row>
    <row r="13803" spans="7:14" x14ac:dyDescent="0.3">
      <c r="G13803" s="1"/>
      <c r="N13803" s="1"/>
    </row>
    <row r="13804" spans="7:14" x14ac:dyDescent="0.3">
      <c r="G13804" s="1"/>
      <c r="N13804" s="1"/>
    </row>
    <row r="13805" spans="7:14" x14ac:dyDescent="0.3">
      <c r="G13805" s="1"/>
      <c r="N13805" s="1"/>
    </row>
    <row r="13806" spans="7:14" x14ac:dyDescent="0.3">
      <c r="G13806" s="1"/>
      <c r="N13806" s="1"/>
    </row>
    <row r="13807" spans="7:14" x14ac:dyDescent="0.3">
      <c r="G13807" s="1"/>
      <c r="N13807" s="1"/>
    </row>
    <row r="13808" spans="7:14" x14ac:dyDescent="0.3">
      <c r="G13808" s="1"/>
      <c r="N13808" s="1"/>
    </row>
    <row r="13809" spans="7:14" x14ac:dyDescent="0.3">
      <c r="G13809" s="1"/>
      <c r="N13809" s="1"/>
    </row>
    <row r="13810" spans="7:14" x14ac:dyDescent="0.3">
      <c r="G13810" s="1"/>
      <c r="N13810" s="1"/>
    </row>
    <row r="13811" spans="7:14" x14ac:dyDescent="0.3">
      <c r="G13811" s="1"/>
      <c r="N13811" s="1"/>
    </row>
    <row r="13812" spans="7:14" x14ac:dyDescent="0.3">
      <c r="G13812" s="1"/>
      <c r="N13812" s="1"/>
    </row>
    <row r="13813" spans="7:14" x14ac:dyDescent="0.3">
      <c r="G13813" s="1"/>
      <c r="N13813" s="1"/>
    </row>
    <row r="13814" spans="7:14" x14ac:dyDescent="0.3">
      <c r="G13814" s="1"/>
      <c r="N13814" s="1"/>
    </row>
    <row r="13815" spans="7:14" x14ac:dyDescent="0.3">
      <c r="G13815" s="1"/>
      <c r="N13815" s="1"/>
    </row>
    <row r="13816" spans="7:14" x14ac:dyDescent="0.3">
      <c r="G13816" s="1"/>
      <c r="N13816" s="1"/>
    </row>
    <row r="13817" spans="7:14" x14ac:dyDescent="0.3">
      <c r="G13817" s="1"/>
      <c r="N13817" s="1"/>
    </row>
    <row r="13818" spans="7:14" x14ac:dyDescent="0.3">
      <c r="G13818" s="1"/>
      <c r="N13818" s="1"/>
    </row>
    <row r="13819" spans="7:14" x14ac:dyDescent="0.3">
      <c r="G13819" s="1"/>
      <c r="N13819" s="1"/>
    </row>
    <row r="13820" spans="7:14" x14ac:dyDescent="0.3">
      <c r="G13820" s="1"/>
      <c r="N13820" s="1"/>
    </row>
    <row r="13821" spans="7:14" x14ac:dyDescent="0.3">
      <c r="G13821" s="1"/>
      <c r="N13821" s="1"/>
    </row>
    <row r="13822" spans="7:14" x14ac:dyDescent="0.3">
      <c r="G13822" s="1"/>
      <c r="N13822" s="1"/>
    </row>
    <row r="13823" spans="7:14" x14ac:dyDescent="0.3">
      <c r="G13823" s="1"/>
      <c r="N13823" s="1"/>
    </row>
    <row r="13824" spans="7:14" x14ac:dyDescent="0.3">
      <c r="G13824" s="1"/>
      <c r="N13824" s="1"/>
    </row>
    <row r="13825" spans="7:14" x14ac:dyDescent="0.3">
      <c r="G13825" s="1"/>
      <c r="N13825" s="1"/>
    </row>
    <row r="13826" spans="7:14" x14ac:dyDescent="0.3">
      <c r="G13826" s="1"/>
      <c r="N13826" s="1"/>
    </row>
    <row r="13827" spans="7:14" x14ac:dyDescent="0.3">
      <c r="G13827" s="1"/>
      <c r="N13827" s="1"/>
    </row>
    <row r="13828" spans="7:14" x14ac:dyDescent="0.3">
      <c r="G13828" s="1"/>
      <c r="N13828" s="1"/>
    </row>
    <row r="13829" spans="7:14" x14ac:dyDescent="0.3">
      <c r="G13829" s="1"/>
      <c r="N13829" s="1"/>
    </row>
    <row r="13830" spans="7:14" x14ac:dyDescent="0.3">
      <c r="G13830" s="1"/>
      <c r="N13830" s="1"/>
    </row>
    <row r="13831" spans="7:14" x14ac:dyDescent="0.3">
      <c r="G13831" s="1"/>
      <c r="N13831" s="1"/>
    </row>
    <row r="13832" spans="7:14" x14ac:dyDescent="0.3">
      <c r="G13832" s="1"/>
      <c r="N13832" s="1"/>
    </row>
    <row r="13833" spans="7:14" x14ac:dyDescent="0.3">
      <c r="G13833" s="1"/>
      <c r="N13833" s="1"/>
    </row>
    <row r="13834" spans="7:14" x14ac:dyDescent="0.3">
      <c r="G13834" s="1"/>
      <c r="N13834" s="1"/>
    </row>
    <row r="13835" spans="7:14" x14ac:dyDescent="0.3">
      <c r="G13835" s="1"/>
      <c r="N13835" s="1"/>
    </row>
    <row r="13836" spans="7:14" x14ac:dyDescent="0.3">
      <c r="G13836" s="1"/>
      <c r="N13836" s="1"/>
    </row>
    <row r="13837" spans="7:14" x14ac:dyDescent="0.3">
      <c r="G13837" s="1"/>
      <c r="N13837" s="1"/>
    </row>
    <row r="13838" spans="7:14" x14ac:dyDescent="0.3">
      <c r="G13838" s="1"/>
      <c r="N13838" s="1"/>
    </row>
    <row r="13839" spans="7:14" x14ac:dyDescent="0.3">
      <c r="G13839" s="1"/>
      <c r="N13839" s="1"/>
    </row>
    <row r="13840" spans="7:14" x14ac:dyDescent="0.3">
      <c r="G13840" s="1"/>
      <c r="N13840" s="1"/>
    </row>
    <row r="13841" spans="7:14" x14ac:dyDescent="0.3">
      <c r="G13841" s="1"/>
      <c r="N13841" s="1"/>
    </row>
    <row r="13842" spans="7:14" x14ac:dyDescent="0.3">
      <c r="G13842" s="1"/>
      <c r="N13842" s="1"/>
    </row>
    <row r="13843" spans="7:14" x14ac:dyDescent="0.3">
      <c r="G13843" s="1"/>
      <c r="N13843" s="1"/>
    </row>
    <row r="13844" spans="7:14" x14ac:dyDescent="0.3">
      <c r="G13844" s="1"/>
      <c r="N13844" s="1"/>
    </row>
    <row r="13845" spans="7:14" x14ac:dyDescent="0.3">
      <c r="G13845" s="1"/>
      <c r="N13845" s="1"/>
    </row>
    <row r="13846" spans="7:14" x14ac:dyDescent="0.3">
      <c r="G13846" s="1"/>
      <c r="N13846" s="1"/>
    </row>
    <row r="13847" spans="7:14" x14ac:dyDescent="0.3">
      <c r="G13847" s="1"/>
      <c r="N13847" s="1"/>
    </row>
    <row r="13848" spans="7:14" x14ac:dyDescent="0.3">
      <c r="G13848" s="1"/>
      <c r="N13848" s="1"/>
    </row>
    <row r="13849" spans="7:14" x14ac:dyDescent="0.3">
      <c r="G13849" s="1"/>
      <c r="N13849" s="1"/>
    </row>
    <row r="13850" spans="7:14" x14ac:dyDescent="0.3">
      <c r="G13850" s="1"/>
      <c r="N13850" s="1"/>
    </row>
    <row r="13851" spans="7:14" x14ac:dyDescent="0.3">
      <c r="G13851" s="1"/>
      <c r="N13851" s="1"/>
    </row>
    <row r="13852" spans="7:14" x14ac:dyDescent="0.3">
      <c r="G13852" s="1"/>
      <c r="N13852" s="1"/>
    </row>
    <row r="13853" spans="7:14" x14ac:dyDescent="0.3">
      <c r="G13853" s="1"/>
      <c r="N13853" s="1"/>
    </row>
    <row r="13854" spans="7:14" x14ac:dyDescent="0.3">
      <c r="G13854" s="1"/>
      <c r="N13854" s="1"/>
    </row>
    <row r="13855" spans="7:14" x14ac:dyDescent="0.3">
      <c r="G13855" s="1"/>
      <c r="N13855" s="1"/>
    </row>
    <row r="13856" spans="7:14" x14ac:dyDescent="0.3">
      <c r="G13856" s="1"/>
      <c r="N13856" s="1"/>
    </row>
    <row r="13857" spans="7:14" x14ac:dyDescent="0.3">
      <c r="G13857" s="1"/>
      <c r="N13857" s="1"/>
    </row>
    <row r="13858" spans="7:14" x14ac:dyDescent="0.3">
      <c r="G13858" s="1"/>
      <c r="N13858" s="1"/>
    </row>
    <row r="13859" spans="7:14" x14ac:dyDescent="0.3">
      <c r="G13859" s="1"/>
      <c r="N13859" s="1"/>
    </row>
    <row r="13860" spans="7:14" x14ac:dyDescent="0.3">
      <c r="G13860" s="1"/>
      <c r="N13860" s="1"/>
    </row>
    <row r="13861" spans="7:14" x14ac:dyDescent="0.3">
      <c r="G13861" s="1"/>
      <c r="N13861" s="1"/>
    </row>
    <row r="13862" spans="7:14" x14ac:dyDescent="0.3">
      <c r="G13862" s="1"/>
      <c r="N13862" s="1"/>
    </row>
    <row r="13863" spans="7:14" x14ac:dyDescent="0.3">
      <c r="G13863" s="1"/>
      <c r="N13863" s="1"/>
    </row>
    <row r="13864" spans="7:14" x14ac:dyDescent="0.3">
      <c r="G13864" s="1"/>
      <c r="N13864" s="1"/>
    </row>
    <row r="13865" spans="7:14" x14ac:dyDescent="0.3">
      <c r="G13865" s="1"/>
      <c r="N13865" s="1"/>
    </row>
    <row r="13866" spans="7:14" x14ac:dyDescent="0.3">
      <c r="G13866" s="1"/>
      <c r="N13866" s="1"/>
    </row>
    <row r="13867" spans="7:14" x14ac:dyDescent="0.3">
      <c r="G13867" s="1"/>
      <c r="N13867" s="1"/>
    </row>
    <row r="13868" spans="7:14" x14ac:dyDescent="0.3">
      <c r="G13868" s="1"/>
      <c r="N13868" s="1"/>
    </row>
    <row r="13869" spans="7:14" x14ac:dyDescent="0.3">
      <c r="G13869" s="1"/>
      <c r="N13869" s="1"/>
    </row>
    <row r="13870" spans="7:14" x14ac:dyDescent="0.3">
      <c r="G13870" s="1"/>
      <c r="N13870" s="1"/>
    </row>
    <row r="13871" spans="7:14" x14ac:dyDescent="0.3">
      <c r="G13871" s="1"/>
      <c r="N13871" s="1"/>
    </row>
    <row r="13872" spans="7:14" x14ac:dyDescent="0.3">
      <c r="G13872" s="1"/>
      <c r="N13872" s="1"/>
    </row>
    <row r="13873" spans="7:14" x14ac:dyDescent="0.3">
      <c r="G13873" s="1"/>
      <c r="N13873" s="1"/>
    </row>
    <row r="13874" spans="7:14" x14ac:dyDescent="0.3">
      <c r="G13874" s="1"/>
      <c r="N13874" s="1"/>
    </row>
    <row r="13875" spans="7:14" x14ac:dyDescent="0.3">
      <c r="G13875" s="1"/>
      <c r="N13875" s="1"/>
    </row>
    <row r="13876" spans="7:14" x14ac:dyDescent="0.3">
      <c r="G13876" s="1"/>
      <c r="N13876" s="1"/>
    </row>
    <row r="13877" spans="7:14" x14ac:dyDescent="0.3">
      <c r="G13877" s="1"/>
      <c r="N13877" s="1"/>
    </row>
    <row r="13878" spans="7:14" x14ac:dyDescent="0.3">
      <c r="G13878" s="1"/>
      <c r="N13878" s="1"/>
    </row>
    <row r="13879" spans="7:14" x14ac:dyDescent="0.3">
      <c r="G13879" s="1"/>
      <c r="N13879" s="1"/>
    </row>
    <row r="13880" spans="7:14" x14ac:dyDescent="0.3">
      <c r="G13880" s="1"/>
      <c r="N13880" s="1"/>
    </row>
    <row r="13881" spans="7:14" x14ac:dyDescent="0.3">
      <c r="G13881" s="1"/>
      <c r="N13881" s="1"/>
    </row>
    <row r="13882" spans="7:14" x14ac:dyDescent="0.3">
      <c r="G13882" s="1"/>
      <c r="N13882" s="1"/>
    </row>
    <row r="13883" spans="7:14" x14ac:dyDescent="0.3">
      <c r="G13883" s="1"/>
      <c r="N13883" s="1"/>
    </row>
    <row r="13884" spans="7:14" x14ac:dyDescent="0.3">
      <c r="G13884" s="1"/>
      <c r="N13884" s="1"/>
    </row>
    <row r="13885" spans="7:14" x14ac:dyDescent="0.3">
      <c r="G13885" s="1"/>
      <c r="N13885" s="1"/>
    </row>
    <row r="13886" spans="7:14" x14ac:dyDescent="0.3">
      <c r="G13886" s="1"/>
      <c r="N13886" s="1"/>
    </row>
    <row r="13887" spans="7:14" x14ac:dyDescent="0.3">
      <c r="G13887" s="1"/>
      <c r="N13887" s="1"/>
    </row>
    <row r="13888" spans="7:14" x14ac:dyDescent="0.3">
      <c r="G13888" s="1"/>
      <c r="N13888" s="1"/>
    </row>
    <row r="13889" spans="7:14" x14ac:dyDescent="0.3">
      <c r="G13889" s="1"/>
      <c r="N13889" s="1"/>
    </row>
    <row r="13890" spans="7:14" x14ac:dyDescent="0.3">
      <c r="G13890" s="1"/>
      <c r="N13890" s="1"/>
    </row>
    <row r="13891" spans="7:14" x14ac:dyDescent="0.3">
      <c r="G13891" s="1"/>
      <c r="N13891" s="1"/>
    </row>
    <row r="13892" spans="7:14" x14ac:dyDescent="0.3">
      <c r="G13892" s="1"/>
      <c r="N13892" s="1"/>
    </row>
    <row r="13893" spans="7:14" x14ac:dyDescent="0.3">
      <c r="G13893" s="1"/>
      <c r="N13893" s="1"/>
    </row>
    <row r="13894" spans="7:14" x14ac:dyDescent="0.3">
      <c r="G13894" s="1"/>
      <c r="N13894" s="1"/>
    </row>
    <row r="13895" spans="7:14" x14ac:dyDescent="0.3">
      <c r="G13895" s="1"/>
      <c r="N13895" s="1"/>
    </row>
    <row r="13896" spans="7:14" x14ac:dyDescent="0.3">
      <c r="G13896" s="1"/>
      <c r="N13896" s="1"/>
    </row>
    <row r="13897" spans="7:14" x14ac:dyDescent="0.3">
      <c r="G13897" s="1"/>
      <c r="N13897" s="1"/>
    </row>
    <row r="13898" spans="7:14" x14ac:dyDescent="0.3">
      <c r="G13898" s="1"/>
      <c r="N13898" s="1"/>
    </row>
    <row r="13899" spans="7:14" x14ac:dyDescent="0.3">
      <c r="G13899" s="1"/>
      <c r="N13899" s="1"/>
    </row>
    <row r="13900" spans="7:14" x14ac:dyDescent="0.3">
      <c r="G13900" s="1"/>
      <c r="N13900" s="1"/>
    </row>
    <row r="13901" spans="7:14" x14ac:dyDescent="0.3">
      <c r="G13901" s="1"/>
      <c r="N13901" s="1"/>
    </row>
    <row r="13902" spans="7:14" x14ac:dyDescent="0.3">
      <c r="G13902" s="1"/>
      <c r="N13902" s="1"/>
    </row>
    <row r="13903" spans="7:14" x14ac:dyDescent="0.3">
      <c r="G13903" s="1"/>
      <c r="N13903" s="1"/>
    </row>
    <row r="13904" spans="7:14" x14ac:dyDescent="0.3">
      <c r="G13904" s="1"/>
      <c r="N13904" s="1"/>
    </row>
    <row r="13905" spans="7:14" x14ac:dyDescent="0.3">
      <c r="G13905" s="1"/>
      <c r="N13905" s="1"/>
    </row>
    <row r="13906" spans="7:14" x14ac:dyDescent="0.3">
      <c r="G13906" s="1"/>
      <c r="N13906" s="1"/>
    </row>
    <row r="13907" spans="7:14" x14ac:dyDescent="0.3">
      <c r="G13907" s="1"/>
      <c r="N13907" s="1"/>
    </row>
    <row r="13908" spans="7:14" x14ac:dyDescent="0.3">
      <c r="G13908" s="1"/>
      <c r="N13908" s="1"/>
    </row>
    <row r="13909" spans="7:14" x14ac:dyDescent="0.3">
      <c r="G13909" s="1"/>
      <c r="N13909" s="1"/>
    </row>
    <row r="13910" spans="7:14" x14ac:dyDescent="0.3">
      <c r="G13910" s="1"/>
      <c r="N13910" s="1"/>
    </row>
    <row r="13911" spans="7:14" x14ac:dyDescent="0.3">
      <c r="G13911" s="1"/>
      <c r="N13911" s="1"/>
    </row>
    <row r="13912" spans="7:14" x14ac:dyDescent="0.3">
      <c r="G13912" s="1"/>
      <c r="N13912" s="1"/>
    </row>
    <row r="13913" spans="7:14" x14ac:dyDescent="0.3">
      <c r="G13913" s="1"/>
      <c r="N13913" s="1"/>
    </row>
    <row r="13914" spans="7:14" x14ac:dyDescent="0.3">
      <c r="G13914" s="1"/>
      <c r="N13914" s="1"/>
    </row>
    <row r="13915" spans="7:14" x14ac:dyDescent="0.3">
      <c r="G13915" s="1"/>
      <c r="N13915" s="1"/>
    </row>
    <row r="13916" spans="7:14" x14ac:dyDescent="0.3">
      <c r="G13916" s="1"/>
      <c r="N13916" s="1"/>
    </row>
    <row r="13917" spans="7:14" x14ac:dyDescent="0.3">
      <c r="G13917" s="1"/>
      <c r="N13917" s="1"/>
    </row>
    <row r="13918" spans="7:14" x14ac:dyDescent="0.3">
      <c r="G13918" s="1"/>
      <c r="N13918" s="1"/>
    </row>
    <row r="13919" spans="7:14" x14ac:dyDescent="0.3">
      <c r="G13919" s="1"/>
      <c r="N13919" s="1"/>
    </row>
    <row r="13920" spans="7:14" x14ac:dyDescent="0.3">
      <c r="G13920" s="1"/>
      <c r="N13920" s="1"/>
    </row>
    <row r="13921" spans="7:14" x14ac:dyDescent="0.3">
      <c r="G13921" s="1"/>
      <c r="N13921" s="1"/>
    </row>
    <row r="13922" spans="7:14" x14ac:dyDescent="0.3">
      <c r="G13922" s="1"/>
      <c r="N13922" s="1"/>
    </row>
    <row r="13923" spans="7:14" x14ac:dyDescent="0.3">
      <c r="G13923" s="1"/>
      <c r="N13923" s="1"/>
    </row>
    <row r="13924" spans="7:14" x14ac:dyDescent="0.3">
      <c r="G13924" s="1"/>
      <c r="N13924" s="1"/>
    </row>
    <row r="13925" spans="7:14" x14ac:dyDescent="0.3">
      <c r="G13925" s="1"/>
      <c r="N13925" s="1"/>
    </row>
    <row r="13926" spans="7:14" x14ac:dyDescent="0.3">
      <c r="G13926" s="1"/>
      <c r="N13926" s="1"/>
    </row>
    <row r="13927" spans="7:14" x14ac:dyDescent="0.3">
      <c r="G13927" s="1"/>
      <c r="N13927" s="1"/>
    </row>
    <row r="13928" spans="7:14" x14ac:dyDescent="0.3">
      <c r="G13928" s="1"/>
      <c r="N13928" s="1"/>
    </row>
    <row r="13929" spans="7:14" x14ac:dyDescent="0.3">
      <c r="G13929" s="1"/>
      <c r="N13929" s="1"/>
    </row>
    <row r="13930" spans="7:14" x14ac:dyDescent="0.3">
      <c r="G13930" s="1"/>
      <c r="N13930" s="1"/>
    </row>
    <row r="13931" spans="7:14" x14ac:dyDescent="0.3">
      <c r="G13931" s="1"/>
      <c r="N13931" s="1"/>
    </row>
    <row r="13932" spans="7:14" x14ac:dyDescent="0.3">
      <c r="G13932" s="1"/>
      <c r="N13932" s="1"/>
    </row>
    <row r="13933" spans="7:14" x14ac:dyDescent="0.3">
      <c r="G13933" s="1"/>
      <c r="N13933" s="1"/>
    </row>
    <row r="13934" spans="7:14" x14ac:dyDescent="0.3">
      <c r="G13934" s="1"/>
      <c r="N13934" s="1"/>
    </row>
    <row r="13935" spans="7:14" x14ac:dyDescent="0.3">
      <c r="G13935" s="1"/>
      <c r="N13935" s="1"/>
    </row>
    <row r="13936" spans="7:14" x14ac:dyDescent="0.3">
      <c r="G13936" s="1"/>
      <c r="N13936" s="1"/>
    </row>
    <row r="13937" spans="7:14" x14ac:dyDescent="0.3">
      <c r="G13937" s="1"/>
      <c r="N13937" s="1"/>
    </row>
    <row r="13938" spans="7:14" x14ac:dyDescent="0.3">
      <c r="G13938" s="1"/>
      <c r="N13938" s="1"/>
    </row>
    <row r="13939" spans="7:14" x14ac:dyDescent="0.3">
      <c r="G13939" s="1"/>
      <c r="N13939" s="1"/>
    </row>
    <row r="13940" spans="7:14" x14ac:dyDescent="0.3">
      <c r="G13940" s="1"/>
      <c r="N13940" s="1"/>
    </row>
    <row r="13941" spans="7:14" x14ac:dyDescent="0.3">
      <c r="G13941" s="1"/>
      <c r="N13941" s="1"/>
    </row>
    <row r="13942" spans="7:14" x14ac:dyDescent="0.3">
      <c r="G13942" s="1"/>
      <c r="N13942" s="1"/>
    </row>
    <row r="13943" spans="7:14" x14ac:dyDescent="0.3">
      <c r="G13943" s="1"/>
      <c r="N13943" s="1"/>
    </row>
    <row r="13944" spans="7:14" x14ac:dyDescent="0.3">
      <c r="G13944" s="1"/>
      <c r="N13944" s="1"/>
    </row>
    <row r="13945" spans="7:14" x14ac:dyDescent="0.3">
      <c r="G13945" s="1"/>
      <c r="N13945" s="1"/>
    </row>
    <row r="13946" spans="7:14" x14ac:dyDescent="0.3">
      <c r="G13946" s="1"/>
      <c r="N13946" s="1"/>
    </row>
    <row r="13947" spans="7:14" x14ac:dyDescent="0.3">
      <c r="G13947" s="1"/>
      <c r="N13947" s="1"/>
    </row>
    <row r="13948" spans="7:14" x14ac:dyDescent="0.3">
      <c r="G13948" s="1"/>
      <c r="N13948" s="1"/>
    </row>
    <row r="13949" spans="7:14" x14ac:dyDescent="0.3">
      <c r="G13949" s="1"/>
      <c r="N13949" s="1"/>
    </row>
    <row r="13950" spans="7:14" x14ac:dyDescent="0.3">
      <c r="G13950" s="1"/>
      <c r="N13950" s="1"/>
    </row>
    <row r="13951" spans="7:14" x14ac:dyDescent="0.3">
      <c r="G13951" s="1"/>
      <c r="N13951" s="1"/>
    </row>
    <row r="13952" spans="7:14" x14ac:dyDescent="0.3">
      <c r="G13952" s="1"/>
      <c r="N13952" s="1"/>
    </row>
    <row r="13953" spans="7:14" x14ac:dyDescent="0.3">
      <c r="G13953" s="1"/>
      <c r="N13953" s="1"/>
    </row>
    <row r="13954" spans="7:14" x14ac:dyDescent="0.3">
      <c r="G13954" s="1"/>
      <c r="N13954" s="1"/>
    </row>
    <row r="13955" spans="7:14" x14ac:dyDescent="0.3">
      <c r="G13955" s="1"/>
      <c r="N13955" s="1"/>
    </row>
    <row r="13956" spans="7:14" x14ac:dyDescent="0.3">
      <c r="G13956" s="1"/>
      <c r="N13956" s="1"/>
    </row>
    <row r="13957" spans="7:14" x14ac:dyDescent="0.3">
      <c r="G13957" s="1"/>
      <c r="N13957" s="1"/>
    </row>
    <row r="13958" spans="7:14" x14ac:dyDescent="0.3">
      <c r="G13958" s="1"/>
      <c r="N13958" s="1"/>
    </row>
    <row r="13959" spans="7:14" x14ac:dyDescent="0.3">
      <c r="G13959" s="1"/>
      <c r="N13959" s="1"/>
    </row>
    <row r="13960" spans="7:14" x14ac:dyDescent="0.3">
      <c r="G13960" s="1"/>
      <c r="N13960" s="1"/>
    </row>
    <row r="13961" spans="7:14" x14ac:dyDescent="0.3">
      <c r="G13961" s="1"/>
      <c r="N13961" s="1"/>
    </row>
    <row r="13962" spans="7:14" x14ac:dyDescent="0.3">
      <c r="G13962" s="1"/>
      <c r="N13962" s="1"/>
    </row>
    <row r="13963" spans="7:14" x14ac:dyDescent="0.3">
      <c r="G13963" s="1"/>
      <c r="N13963" s="1"/>
    </row>
    <row r="13964" spans="7:14" x14ac:dyDescent="0.3">
      <c r="G13964" s="1"/>
      <c r="N13964" s="1"/>
    </row>
    <row r="13965" spans="7:14" x14ac:dyDescent="0.3">
      <c r="G13965" s="1"/>
      <c r="N13965" s="1"/>
    </row>
    <row r="13966" spans="7:14" x14ac:dyDescent="0.3">
      <c r="G13966" s="1"/>
      <c r="N13966" s="1"/>
    </row>
    <row r="13967" spans="7:14" x14ac:dyDescent="0.3">
      <c r="G13967" s="1"/>
      <c r="N13967" s="1"/>
    </row>
    <row r="13968" spans="7:14" x14ac:dyDescent="0.3">
      <c r="G13968" s="1"/>
      <c r="N13968" s="1"/>
    </row>
    <row r="13969" spans="7:14" x14ac:dyDescent="0.3">
      <c r="G13969" s="1"/>
      <c r="N13969" s="1"/>
    </row>
    <row r="13970" spans="7:14" x14ac:dyDescent="0.3">
      <c r="G13970" s="1"/>
      <c r="N13970" s="1"/>
    </row>
    <row r="13971" spans="7:14" x14ac:dyDescent="0.3">
      <c r="G13971" s="1"/>
      <c r="N13971" s="1"/>
    </row>
    <row r="13972" spans="7:14" x14ac:dyDescent="0.3">
      <c r="G13972" s="1"/>
      <c r="N13972" s="1"/>
    </row>
    <row r="13973" spans="7:14" x14ac:dyDescent="0.3">
      <c r="G13973" s="1"/>
      <c r="N13973" s="1"/>
    </row>
    <row r="13974" spans="7:14" x14ac:dyDescent="0.3">
      <c r="G13974" s="1"/>
      <c r="N13974" s="1"/>
    </row>
    <row r="13975" spans="7:14" x14ac:dyDescent="0.3">
      <c r="G13975" s="1"/>
      <c r="N13975" s="1"/>
    </row>
    <row r="13976" spans="7:14" x14ac:dyDescent="0.3">
      <c r="G13976" s="1"/>
      <c r="N13976" s="1"/>
    </row>
    <row r="13977" spans="7:14" x14ac:dyDescent="0.3">
      <c r="G13977" s="1"/>
      <c r="N13977" s="1"/>
    </row>
    <row r="13978" spans="7:14" x14ac:dyDescent="0.3">
      <c r="G13978" s="1"/>
      <c r="N13978" s="1"/>
    </row>
    <row r="13979" spans="7:14" x14ac:dyDescent="0.3">
      <c r="G13979" s="1"/>
      <c r="N13979" s="1"/>
    </row>
    <row r="13980" spans="7:14" x14ac:dyDescent="0.3">
      <c r="G13980" s="1"/>
      <c r="N13980" s="1"/>
    </row>
    <row r="13981" spans="7:14" x14ac:dyDescent="0.3">
      <c r="G13981" s="1"/>
      <c r="N13981" s="1"/>
    </row>
    <row r="13982" spans="7:14" x14ac:dyDescent="0.3">
      <c r="G13982" s="1"/>
      <c r="N13982" s="1"/>
    </row>
    <row r="13983" spans="7:14" x14ac:dyDescent="0.3">
      <c r="G13983" s="1"/>
      <c r="N13983" s="1"/>
    </row>
    <row r="13984" spans="7:14" x14ac:dyDescent="0.3">
      <c r="G13984" s="1"/>
      <c r="N13984" s="1"/>
    </row>
    <row r="13985" spans="7:14" x14ac:dyDescent="0.3">
      <c r="G13985" s="1"/>
      <c r="N13985" s="1"/>
    </row>
    <row r="13986" spans="7:14" x14ac:dyDescent="0.3">
      <c r="G13986" s="1"/>
      <c r="N13986" s="1"/>
    </row>
    <row r="13987" spans="7:14" x14ac:dyDescent="0.3">
      <c r="G13987" s="1"/>
      <c r="N13987" s="1"/>
    </row>
    <row r="13988" spans="7:14" x14ac:dyDescent="0.3">
      <c r="G13988" s="1"/>
      <c r="N13988" s="1"/>
    </row>
    <row r="13989" spans="7:14" x14ac:dyDescent="0.3">
      <c r="G13989" s="1"/>
      <c r="N13989" s="1"/>
    </row>
    <row r="13990" spans="7:14" x14ac:dyDescent="0.3">
      <c r="G13990" s="1"/>
      <c r="N13990" s="1"/>
    </row>
    <row r="13991" spans="7:14" x14ac:dyDescent="0.3">
      <c r="G13991" s="1"/>
      <c r="N13991" s="1"/>
    </row>
    <row r="13992" spans="7:14" x14ac:dyDescent="0.3">
      <c r="G13992" s="1"/>
      <c r="N13992" s="1"/>
    </row>
    <row r="13993" spans="7:14" x14ac:dyDescent="0.3">
      <c r="G13993" s="1"/>
      <c r="N13993" s="1"/>
    </row>
    <row r="13994" spans="7:14" x14ac:dyDescent="0.3">
      <c r="G13994" s="1"/>
      <c r="N13994" s="1"/>
    </row>
    <row r="13995" spans="7:14" x14ac:dyDescent="0.3">
      <c r="G13995" s="1"/>
      <c r="N13995" s="1"/>
    </row>
    <row r="13996" spans="7:14" x14ac:dyDescent="0.3">
      <c r="G13996" s="1"/>
      <c r="N13996" s="1"/>
    </row>
    <row r="13997" spans="7:14" x14ac:dyDescent="0.3">
      <c r="G13997" s="1"/>
      <c r="N13997" s="1"/>
    </row>
    <row r="13998" spans="7:14" x14ac:dyDescent="0.3">
      <c r="G13998" s="1"/>
      <c r="N13998" s="1"/>
    </row>
    <row r="13999" spans="7:14" x14ac:dyDescent="0.3">
      <c r="G13999" s="1"/>
      <c r="N13999" s="1"/>
    </row>
    <row r="14000" spans="7:14" x14ac:dyDescent="0.3">
      <c r="G14000" s="1"/>
      <c r="N14000" s="1"/>
    </row>
    <row r="14001" spans="7:14" x14ac:dyDescent="0.3">
      <c r="G14001" s="1"/>
      <c r="N14001" s="1"/>
    </row>
    <row r="14002" spans="7:14" x14ac:dyDescent="0.3">
      <c r="G14002" s="1"/>
      <c r="N14002" s="1"/>
    </row>
    <row r="14003" spans="7:14" x14ac:dyDescent="0.3">
      <c r="G14003" s="1"/>
      <c r="N14003" s="1"/>
    </row>
    <row r="14004" spans="7:14" x14ac:dyDescent="0.3">
      <c r="G14004" s="1"/>
      <c r="N14004" s="1"/>
    </row>
    <row r="14005" spans="7:14" x14ac:dyDescent="0.3">
      <c r="G14005" s="1"/>
      <c r="N14005" s="1"/>
    </row>
    <row r="14006" spans="7:14" x14ac:dyDescent="0.3">
      <c r="G14006" s="1"/>
      <c r="N14006" s="1"/>
    </row>
    <row r="14007" spans="7:14" x14ac:dyDescent="0.3">
      <c r="G14007" s="1"/>
      <c r="N14007" s="1"/>
    </row>
    <row r="14008" spans="7:14" x14ac:dyDescent="0.3">
      <c r="G14008" s="1"/>
      <c r="N14008" s="1"/>
    </row>
    <row r="14009" spans="7:14" x14ac:dyDescent="0.3">
      <c r="G14009" s="1"/>
      <c r="N14009" s="1"/>
    </row>
    <row r="14010" spans="7:14" x14ac:dyDescent="0.3">
      <c r="G14010" s="1"/>
      <c r="N14010" s="1"/>
    </row>
    <row r="14011" spans="7:14" x14ac:dyDescent="0.3">
      <c r="G14011" s="1"/>
      <c r="N14011" s="1"/>
    </row>
    <row r="14012" spans="7:14" x14ac:dyDescent="0.3">
      <c r="G14012" s="1"/>
      <c r="N14012" s="1"/>
    </row>
    <row r="14013" spans="7:14" x14ac:dyDescent="0.3">
      <c r="G14013" s="1"/>
      <c r="N14013" s="1"/>
    </row>
    <row r="14014" spans="7:14" x14ac:dyDescent="0.3">
      <c r="G14014" s="1"/>
      <c r="N14014" s="1"/>
    </row>
    <row r="14015" spans="7:14" x14ac:dyDescent="0.3">
      <c r="G14015" s="1"/>
      <c r="N14015" s="1"/>
    </row>
    <row r="14016" spans="7:14" x14ac:dyDescent="0.3">
      <c r="G14016" s="1"/>
      <c r="N14016" s="1"/>
    </row>
    <row r="14017" spans="7:14" x14ac:dyDescent="0.3">
      <c r="G14017" s="1"/>
      <c r="N14017" s="1"/>
    </row>
    <row r="14018" spans="7:14" x14ac:dyDescent="0.3">
      <c r="G14018" s="1"/>
      <c r="N14018" s="1"/>
    </row>
    <row r="14019" spans="7:14" x14ac:dyDescent="0.3">
      <c r="G14019" s="1"/>
      <c r="N14019" s="1"/>
    </row>
    <row r="14020" spans="7:14" x14ac:dyDescent="0.3">
      <c r="G14020" s="1"/>
      <c r="N14020" s="1"/>
    </row>
    <row r="14021" spans="7:14" x14ac:dyDescent="0.3">
      <c r="G14021" s="1"/>
      <c r="N14021" s="1"/>
    </row>
    <row r="14022" spans="7:14" x14ac:dyDescent="0.3">
      <c r="G14022" s="1"/>
      <c r="N14022" s="1"/>
    </row>
    <row r="14023" spans="7:14" x14ac:dyDescent="0.3">
      <c r="G14023" s="1"/>
      <c r="N14023" s="1"/>
    </row>
    <row r="14024" spans="7:14" x14ac:dyDescent="0.3">
      <c r="G14024" s="1"/>
      <c r="N14024" s="1"/>
    </row>
    <row r="14025" spans="7:14" x14ac:dyDescent="0.3">
      <c r="G14025" s="1"/>
      <c r="N14025" s="1"/>
    </row>
    <row r="14026" spans="7:14" x14ac:dyDescent="0.3">
      <c r="G14026" s="1"/>
      <c r="N14026" s="1"/>
    </row>
    <row r="14027" spans="7:14" x14ac:dyDescent="0.3">
      <c r="G14027" s="1"/>
      <c r="N14027" s="1"/>
    </row>
    <row r="14028" spans="7:14" x14ac:dyDescent="0.3">
      <c r="G14028" s="1"/>
      <c r="N14028" s="1"/>
    </row>
    <row r="14029" spans="7:14" x14ac:dyDescent="0.3">
      <c r="G14029" s="1"/>
      <c r="N14029" s="1"/>
    </row>
    <row r="14030" spans="7:14" x14ac:dyDescent="0.3">
      <c r="G14030" s="1"/>
      <c r="N14030" s="1"/>
    </row>
    <row r="14031" spans="7:14" x14ac:dyDescent="0.3">
      <c r="G14031" s="1"/>
      <c r="N14031" s="1"/>
    </row>
    <row r="14032" spans="7:14" x14ac:dyDescent="0.3">
      <c r="G14032" s="1"/>
      <c r="N14032" s="1"/>
    </row>
    <row r="14033" spans="7:14" x14ac:dyDescent="0.3">
      <c r="G14033" s="1"/>
      <c r="N14033" s="1"/>
    </row>
    <row r="14034" spans="7:14" x14ac:dyDescent="0.3">
      <c r="G14034" s="1"/>
      <c r="N14034" s="1"/>
    </row>
    <row r="14035" spans="7:14" x14ac:dyDescent="0.3">
      <c r="G14035" s="1"/>
      <c r="N14035" s="1"/>
    </row>
    <row r="14036" spans="7:14" x14ac:dyDescent="0.3">
      <c r="G14036" s="1"/>
      <c r="N14036" s="1"/>
    </row>
    <row r="14037" spans="7:14" x14ac:dyDescent="0.3">
      <c r="G14037" s="1"/>
      <c r="N14037" s="1"/>
    </row>
    <row r="14038" spans="7:14" x14ac:dyDescent="0.3">
      <c r="G14038" s="1"/>
      <c r="N14038" s="1"/>
    </row>
    <row r="14039" spans="7:14" x14ac:dyDescent="0.3">
      <c r="G14039" s="1"/>
      <c r="N14039" s="1"/>
    </row>
    <row r="14040" spans="7:14" x14ac:dyDescent="0.3">
      <c r="G14040" s="1"/>
      <c r="N14040" s="1"/>
    </row>
    <row r="14041" spans="7:14" x14ac:dyDescent="0.3">
      <c r="G14041" s="1"/>
      <c r="N14041" s="1"/>
    </row>
    <row r="14042" spans="7:14" x14ac:dyDescent="0.3">
      <c r="G14042" s="1"/>
      <c r="N14042" s="1"/>
    </row>
    <row r="14043" spans="7:14" x14ac:dyDescent="0.3">
      <c r="G14043" s="1"/>
      <c r="N14043" s="1"/>
    </row>
    <row r="14044" spans="7:14" x14ac:dyDescent="0.3">
      <c r="G14044" s="1"/>
      <c r="N14044" s="1"/>
    </row>
    <row r="14045" spans="7:14" x14ac:dyDescent="0.3">
      <c r="G14045" s="1"/>
      <c r="N14045" s="1"/>
    </row>
    <row r="14046" spans="7:14" x14ac:dyDescent="0.3">
      <c r="G14046" s="1"/>
      <c r="N14046" s="1"/>
    </row>
    <row r="14047" spans="7:14" x14ac:dyDescent="0.3">
      <c r="G14047" s="1"/>
      <c r="N14047" s="1"/>
    </row>
    <row r="14048" spans="7:14" x14ac:dyDescent="0.3">
      <c r="G14048" s="1"/>
      <c r="N14048" s="1"/>
    </row>
    <row r="14049" spans="7:14" x14ac:dyDescent="0.3">
      <c r="G14049" s="1"/>
      <c r="N14049" s="1"/>
    </row>
    <row r="14050" spans="7:14" x14ac:dyDescent="0.3">
      <c r="G14050" s="1"/>
      <c r="N14050" s="1"/>
    </row>
    <row r="14051" spans="7:14" x14ac:dyDescent="0.3">
      <c r="G14051" s="1"/>
      <c r="N14051" s="1"/>
    </row>
    <row r="14052" spans="7:14" x14ac:dyDescent="0.3">
      <c r="G14052" s="1"/>
      <c r="N14052" s="1"/>
    </row>
    <row r="14053" spans="7:14" x14ac:dyDescent="0.3">
      <c r="G14053" s="1"/>
      <c r="N14053" s="1"/>
    </row>
    <row r="14054" spans="7:14" x14ac:dyDescent="0.3">
      <c r="G14054" s="1"/>
      <c r="N14054" s="1"/>
    </row>
    <row r="14055" spans="7:14" x14ac:dyDescent="0.3">
      <c r="G14055" s="1"/>
      <c r="N14055" s="1"/>
    </row>
    <row r="14056" spans="7:14" x14ac:dyDescent="0.3">
      <c r="G14056" s="1"/>
      <c r="N14056" s="1"/>
    </row>
    <row r="14057" spans="7:14" x14ac:dyDescent="0.3">
      <c r="G14057" s="1"/>
      <c r="N14057" s="1"/>
    </row>
    <row r="14058" spans="7:14" x14ac:dyDescent="0.3">
      <c r="G14058" s="1"/>
      <c r="N14058" s="1"/>
    </row>
    <row r="14059" spans="7:14" x14ac:dyDescent="0.3">
      <c r="G14059" s="1"/>
      <c r="N14059" s="1"/>
    </row>
    <row r="14060" spans="7:14" x14ac:dyDescent="0.3">
      <c r="G14060" s="1"/>
      <c r="N14060" s="1"/>
    </row>
    <row r="14061" spans="7:14" x14ac:dyDescent="0.3">
      <c r="G14061" s="1"/>
      <c r="N14061" s="1"/>
    </row>
    <row r="14062" spans="7:14" x14ac:dyDescent="0.3">
      <c r="G14062" s="1"/>
      <c r="N14062" s="1"/>
    </row>
    <row r="14063" spans="7:14" x14ac:dyDescent="0.3">
      <c r="G14063" s="1"/>
      <c r="N14063" s="1"/>
    </row>
    <row r="14064" spans="7:14" x14ac:dyDescent="0.3">
      <c r="G14064" s="1"/>
      <c r="N14064" s="1"/>
    </row>
    <row r="14065" spans="7:14" x14ac:dyDescent="0.3">
      <c r="G14065" s="1"/>
      <c r="N14065" s="1"/>
    </row>
    <row r="14066" spans="7:14" x14ac:dyDescent="0.3">
      <c r="G14066" s="1"/>
      <c r="N14066" s="1"/>
    </row>
    <row r="14067" spans="7:14" x14ac:dyDescent="0.3">
      <c r="G14067" s="1"/>
      <c r="N14067" s="1"/>
    </row>
    <row r="14068" spans="7:14" x14ac:dyDescent="0.3">
      <c r="G14068" s="1"/>
      <c r="N14068" s="1"/>
    </row>
    <row r="14069" spans="7:14" x14ac:dyDescent="0.3">
      <c r="G14069" s="1"/>
      <c r="N14069" s="1"/>
    </row>
    <row r="14070" spans="7:14" x14ac:dyDescent="0.3">
      <c r="G14070" s="1"/>
      <c r="N14070" s="1"/>
    </row>
    <row r="14071" spans="7:14" x14ac:dyDescent="0.3">
      <c r="G14071" s="1"/>
      <c r="N14071" s="1"/>
    </row>
    <row r="14072" spans="7:14" x14ac:dyDescent="0.3">
      <c r="G14072" s="1"/>
      <c r="N14072" s="1"/>
    </row>
    <row r="14073" spans="7:14" x14ac:dyDescent="0.3">
      <c r="G14073" s="1"/>
      <c r="N14073" s="1"/>
    </row>
    <row r="14074" spans="7:14" x14ac:dyDescent="0.3">
      <c r="G14074" s="1"/>
      <c r="N14074" s="1"/>
    </row>
    <row r="14075" spans="7:14" x14ac:dyDescent="0.3">
      <c r="G14075" s="1"/>
      <c r="N14075" s="1"/>
    </row>
    <row r="14076" spans="7:14" x14ac:dyDescent="0.3">
      <c r="G14076" s="1"/>
      <c r="N14076" s="1"/>
    </row>
    <row r="14077" spans="7:14" x14ac:dyDescent="0.3">
      <c r="G14077" s="1"/>
      <c r="N14077" s="1"/>
    </row>
    <row r="14078" spans="7:14" x14ac:dyDescent="0.3">
      <c r="G14078" s="1"/>
      <c r="N14078" s="1"/>
    </row>
    <row r="14079" spans="7:14" x14ac:dyDescent="0.3">
      <c r="G14079" s="1"/>
      <c r="N14079" s="1"/>
    </row>
    <row r="14080" spans="7:14" x14ac:dyDescent="0.3">
      <c r="G14080" s="1"/>
      <c r="N14080" s="1"/>
    </row>
    <row r="14081" spans="7:14" x14ac:dyDescent="0.3">
      <c r="G14081" s="1"/>
      <c r="N14081" s="1"/>
    </row>
    <row r="14082" spans="7:14" x14ac:dyDescent="0.3">
      <c r="G14082" s="1"/>
      <c r="N14082" s="1"/>
    </row>
    <row r="14083" spans="7:14" x14ac:dyDescent="0.3">
      <c r="G14083" s="1"/>
      <c r="N14083" s="1"/>
    </row>
    <row r="14084" spans="7:14" x14ac:dyDescent="0.3">
      <c r="G14084" s="1"/>
      <c r="N14084" s="1"/>
    </row>
    <row r="14085" spans="7:14" x14ac:dyDescent="0.3">
      <c r="G14085" s="1"/>
      <c r="N14085" s="1"/>
    </row>
    <row r="14086" spans="7:14" x14ac:dyDescent="0.3">
      <c r="G14086" s="1"/>
      <c r="N14086" s="1"/>
    </row>
    <row r="14087" spans="7:14" x14ac:dyDescent="0.3">
      <c r="G14087" s="1"/>
      <c r="N14087" s="1"/>
    </row>
    <row r="14088" spans="7:14" x14ac:dyDescent="0.3">
      <c r="G14088" s="1"/>
      <c r="N14088" s="1"/>
    </row>
    <row r="14089" spans="7:14" x14ac:dyDescent="0.3">
      <c r="G14089" s="1"/>
      <c r="N14089" s="1"/>
    </row>
    <row r="14090" spans="7:14" x14ac:dyDescent="0.3">
      <c r="G14090" s="1"/>
      <c r="N14090" s="1"/>
    </row>
    <row r="14091" spans="7:14" x14ac:dyDescent="0.3">
      <c r="G14091" s="1"/>
      <c r="N14091" s="1"/>
    </row>
    <row r="14092" spans="7:14" x14ac:dyDescent="0.3">
      <c r="G14092" s="1"/>
      <c r="N14092" s="1"/>
    </row>
    <row r="14093" spans="7:14" x14ac:dyDescent="0.3">
      <c r="G14093" s="1"/>
      <c r="N14093" s="1"/>
    </row>
    <row r="14094" spans="7:14" x14ac:dyDescent="0.3">
      <c r="G14094" s="1"/>
      <c r="N14094" s="1"/>
    </row>
    <row r="14095" spans="7:14" x14ac:dyDescent="0.3">
      <c r="G14095" s="1"/>
      <c r="N14095" s="1"/>
    </row>
    <row r="14096" spans="7:14" x14ac:dyDescent="0.3">
      <c r="G14096" s="1"/>
      <c r="N14096" s="1"/>
    </row>
    <row r="14097" spans="7:14" x14ac:dyDescent="0.3">
      <c r="G14097" s="1"/>
      <c r="N14097" s="1"/>
    </row>
    <row r="14098" spans="7:14" x14ac:dyDescent="0.3">
      <c r="G14098" s="1"/>
      <c r="N14098" s="1"/>
    </row>
    <row r="14099" spans="7:14" x14ac:dyDescent="0.3">
      <c r="G14099" s="1"/>
      <c r="N14099" s="1"/>
    </row>
    <row r="14100" spans="7:14" x14ac:dyDescent="0.3">
      <c r="G14100" s="1"/>
      <c r="N14100" s="1"/>
    </row>
    <row r="14101" spans="7:14" x14ac:dyDescent="0.3">
      <c r="G14101" s="1"/>
      <c r="N14101" s="1"/>
    </row>
    <row r="14102" spans="7:14" x14ac:dyDescent="0.3">
      <c r="G14102" s="1"/>
      <c r="N14102" s="1"/>
    </row>
    <row r="14103" spans="7:14" x14ac:dyDescent="0.3">
      <c r="G14103" s="1"/>
      <c r="N14103" s="1"/>
    </row>
    <row r="14104" spans="7:14" x14ac:dyDescent="0.3">
      <c r="G14104" s="1"/>
      <c r="N14104" s="1"/>
    </row>
    <row r="14105" spans="7:14" x14ac:dyDescent="0.3">
      <c r="G14105" s="1"/>
      <c r="N14105" s="1"/>
    </row>
    <row r="14106" spans="7:14" x14ac:dyDescent="0.3">
      <c r="G14106" s="1"/>
      <c r="N14106" s="1"/>
    </row>
    <row r="14107" spans="7:14" x14ac:dyDescent="0.3">
      <c r="G14107" s="1"/>
      <c r="N14107" s="1"/>
    </row>
    <row r="14108" spans="7:14" x14ac:dyDescent="0.3">
      <c r="G14108" s="1"/>
      <c r="N14108" s="1"/>
    </row>
    <row r="14109" spans="7:14" x14ac:dyDescent="0.3">
      <c r="G14109" s="1"/>
      <c r="N14109" s="1"/>
    </row>
    <row r="14110" spans="7:14" x14ac:dyDescent="0.3">
      <c r="G14110" s="1"/>
      <c r="N14110" s="1"/>
    </row>
    <row r="14111" spans="7:14" x14ac:dyDescent="0.3">
      <c r="G14111" s="1"/>
      <c r="N14111" s="1"/>
    </row>
    <row r="14112" spans="7:14" x14ac:dyDescent="0.3">
      <c r="G14112" s="1"/>
      <c r="N14112" s="1"/>
    </row>
    <row r="14113" spans="7:14" x14ac:dyDescent="0.3">
      <c r="G14113" s="1"/>
      <c r="N14113" s="1"/>
    </row>
    <row r="14114" spans="7:14" x14ac:dyDescent="0.3">
      <c r="G14114" s="1"/>
      <c r="N14114" s="1"/>
    </row>
    <row r="14115" spans="7:14" x14ac:dyDescent="0.3">
      <c r="G14115" s="1"/>
      <c r="N14115" s="1"/>
    </row>
    <row r="14116" spans="7:14" x14ac:dyDescent="0.3">
      <c r="G14116" s="1"/>
      <c r="N14116" s="1"/>
    </row>
    <row r="14117" spans="7:14" x14ac:dyDescent="0.3">
      <c r="G14117" s="1"/>
      <c r="N14117" s="1"/>
    </row>
    <row r="14118" spans="7:14" x14ac:dyDescent="0.3">
      <c r="G14118" s="1"/>
      <c r="N14118" s="1"/>
    </row>
    <row r="14119" spans="7:14" x14ac:dyDescent="0.3">
      <c r="G14119" s="1"/>
      <c r="N14119" s="1"/>
    </row>
    <row r="14120" spans="7:14" x14ac:dyDescent="0.3">
      <c r="G14120" s="1"/>
      <c r="N14120" s="1"/>
    </row>
    <row r="14121" spans="7:14" x14ac:dyDescent="0.3">
      <c r="G14121" s="1"/>
      <c r="N14121" s="1"/>
    </row>
    <row r="14122" spans="7:14" x14ac:dyDescent="0.3">
      <c r="G14122" s="1"/>
      <c r="N14122" s="1"/>
    </row>
    <row r="14123" spans="7:14" x14ac:dyDescent="0.3">
      <c r="G14123" s="1"/>
      <c r="N14123" s="1"/>
    </row>
    <row r="14124" spans="7:14" x14ac:dyDescent="0.3">
      <c r="G14124" s="1"/>
      <c r="N14124" s="1"/>
    </row>
    <row r="14125" spans="7:14" x14ac:dyDescent="0.3">
      <c r="G14125" s="1"/>
      <c r="N14125" s="1"/>
    </row>
    <row r="14126" spans="7:14" x14ac:dyDescent="0.3">
      <c r="G14126" s="1"/>
      <c r="N14126" s="1"/>
    </row>
    <row r="14127" spans="7:14" x14ac:dyDescent="0.3">
      <c r="G14127" s="1"/>
      <c r="N14127" s="1"/>
    </row>
    <row r="14128" spans="7:14" x14ac:dyDescent="0.3">
      <c r="G14128" s="1"/>
      <c r="N14128" s="1"/>
    </row>
    <row r="14129" spans="7:14" x14ac:dyDescent="0.3">
      <c r="G14129" s="1"/>
      <c r="N14129" s="1"/>
    </row>
    <row r="14130" spans="7:14" x14ac:dyDescent="0.3">
      <c r="G14130" s="1"/>
      <c r="N14130" s="1"/>
    </row>
    <row r="14131" spans="7:14" x14ac:dyDescent="0.3">
      <c r="G14131" s="1"/>
      <c r="N14131" s="1"/>
    </row>
    <row r="14132" spans="7:14" x14ac:dyDescent="0.3">
      <c r="G14132" s="1"/>
      <c r="N14132" s="1"/>
    </row>
    <row r="14133" spans="7:14" x14ac:dyDescent="0.3">
      <c r="G14133" s="1"/>
      <c r="N14133" s="1"/>
    </row>
    <row r="14134" spans="7:14" x14ac:dyDescent="0.3">
      <c r="G14134" s="1"/>
      <c r="N14134" s="1"/>
    </row>
    <row r="14135" spans="7:14" x14ac:dyDescent="0.3">
      <c r="G14135" s="1"/>
      <c r="N14135" s="1"/>
    </row>
    <row r="14136" spans="7:14" x14ac:dyDescent="0.3">
      <c r="G14136" s="1"/>
      <c r="N14136" s="1"/>
    </row>
    <row r="14137" spans="7:14" x14ac:dyDescent="0.3">
      <c r="G14137" s="1"/>
      <c r="N14137" s="1"/>
    </row>
    <row r="14138" spans="7:14" x14ac:dyDescent="0.3">
      <c r="G14138" s="1"/>
      <c r="N14138" s="1"/>
    </row>
    <row r="14139" spans="7:14" x14ac:dyDescent="0.3">
      <c r="G14139" s="1"/>
      <c r="N14139" s="1"/>
    </row>
    <row r="14140" spans="7:14" x14ac:dyDescent="0.3">
      <c r="G14140" s="1"/>
      <c r="N14140" s="1"/>
    </row>
    <row r="14141" spans="7:14" x14ac:dyDescent="0.3">
      <c r="G14141" s="1"/>
      <c r="N14141" s="1"/>
    </row>
    <row r="14142" spans="7:14" x14ac:dyDescent="0.3">
      <c r="G14142" s="1"/>
      <c r="N14142" s="1"/>
    </row>
    <row r="14143" spans="7:14" x14ac:dyDescent="0.3">
      <c r="G14143" s="1"/>
      <c r="N14143" s="1"/>
    </row>
    <row r="14144" spans="7:14" x14ac:dyDescent="0.3">
      <c r="G14144" s="1"/>
      <c r="N14144" s="1"/>
    </row>
    <row r="14145" spans="7:14" x14ac:dyDescent="0.3">
      <c r="G14145" s="1"/>
      <c r="N14145" s="1"/>
    </row>
    <row r="14146" spans="7:14" x14ac:dyDescent="0.3">
      <c r="G14146" s="1"/>
      <c r="N14146" s="1"/>
    </row>
    <row r="14147" spans="7:14" x14ac:dyDescent="0.3">
      <c r="G14147" s="1"/>
      <c r="N14147" s="1"/>
    </row>
    <row r="14148" spans="7:14" x14ac:dyDescent="0.3">
      <c r="G14148" s="1"/>
      <c r="N14148" s="1"/>
    </row>
    <row r="14149" spans="7:14" x14ac:dyDescent="0.3">
      <c r="G14149" s="1"/>
      <c r="N14149" s="1"/>
    </row>
    <row r="14150" spans="7:14" x14ac:dyDescent="0.3">
      <c r="G14150" s="1"/>
      <c r="N14150" s="1"/>
    </row>
    <row r="14151" spans="7:14" x14ac:dyDescent="0.3">
      <c r="G14151" s="1"/>
      <c r="N14151" s="1"/>
    </row>
    <row r="14152" spans="7:14" x14ac:dyDescent="0.3">
      <c r="G14152" s="1"/>
      <c r="N14152" s="1"/>
    </row>
    <row r="14153" spans="7:14" x14ac:dyDescent="0.3">
      <c r="G14153" s="1"/>
      <c r="N14153" s="1"/>
    </row>
    <row r="14154" spans="7:14" x14ac:dyDescent="0.3">
      <c r="G14154" s="1"/>
      <c r="N14154" s="1"/>
    </row>
    <row r="14155" spans="7:14" x14ac:dyDescent="0.3">
      <c r="G14155" s="1"/>
      <c r="N14155" s="1"/>
    </row>
    <row r="14156" spans="7:14" x14ac:dyDescent="0.3">
      <c r="G14156" s="1"/>
      <c r="N14156" s="1"/>
    </row>
    <row r="14157" spans="7:14" x14ac:dyDescent="0.3">
      <c r="G14157" s="1"/>
      <c r="N14157" s="1"/>
    </row>
    <row r="14158" spans="7:14" x14ac:dyDescent="0.3">
      <c r="G14158" s="1"/>
      <c r="N14158" s="1"/>
    </row>
    <row r="14159" spans="7:14" x14ac:dyDescent="0.3">
      <c r="G14159" s="1"/>
      <c r="N14159" s="1"/>
    </row>
    <row r="14160" spans="7:14" x14ac:dyDescent="0.3">
      <c r="G14160" s="1"/>
      <c r="N14160" s="1"/>
    </row>
    <row r="14161" spans="7:14" x14ac:dyDescent="0.3">
      <c r="G14161" s="1"/>
      <c r="N14161" s="1"/>
    </row>
    <row r="14162" spans="7:14" x14ac:dyDescent="0.3">
      <c r="G14162" s="1"/>
      <c r="N14162" s="1"/>
    </row>
    <row r="14163" spans="7:14" x14ac:dyDescent="0.3">
      <c r="G14163" s="1"/>
      <c r="N14163" s="1"/>
    </row>
    <row r="14164" spans="7:14" x14ac:dyDescent="0.3">
      <c r="G14164" s="1"/>
      <c r="N14164" s="1"/>
    </row>
    <row r="14165" spans="7:14" x14ac:dyDescent="0.3">
      <c r="G14165" s="1"/>
      <c r="N14165" s="1"/>
    </row>
    <row r="14166" spans="7:14" x14ac:dyDescent="0.3">
      <c r="G14166" s="1"/>
      <c r="N14166" s="1"/>
    </row>
    <row r="14167" spans="7:14" x14ac:dyDescent="0.3">
      <c r="G14167" s="1"/>
      <c r="N14167" s="1"/>
    </row>
    <row r="14168" spans="7:14" x14ac:dyDescent="0.3">
      <c r="G14168" s="1"/>
      <c r="N14168" s="1"/>
    </row>
    <row r="14169" spans="7:14" x14ac:dyDescent="0.3">
      <c r="G14169" s="1"/>
      <c r="N14169" s="1"/>
    </row>
    <row r="14170" spans="7:14" x14ac:dyDescent="0.3">
      <c r="G14170" s="1"/>
      <c r="N14170" s="1"/>
    </row>
    <row r="14171" spans="7:14" x14ac:dyDescent="0.3">
      <c r="G14171" s="1"/>
      <c r="N14171" s="1"/>
    </row>
    <row r="14172" spans="7:14" x14ac:dyDescent="0.3">
      <c r="G14172" s="1"/>
      <c r="N14172" s="1"/>
    </row>
    <row r="14173" spans="7:14" x14ac:dyDescent="0.3">
      <c r="G14173" s="1"/>
      <c r="N14173" s="1"/>
    </row>
    <row r="14174" spans="7:14" x14ac:dyDescent="0.3">
      <c r="G14174" s="1"/>
      <c r="N14174" s="1"/>
    </row>
    <row r="14175" spans="7:14" x14ac:dyDescent="0.3">
      <c r="G14175" s="1"/>
      <c r="N14175" s="1"/>
    </row>
    <row r="14176" spans="7:14" x14ac:dyDescent="0.3">
      <c r="G14176" s="1"/>
      <c r="N14176" s="1"/>
    </row>
    <row r="14177" spans="7:14" x14ac:dyDescent="0.3">
      <c r="G14177" s="1"/>
      <c r="N14177" s="1"/>
    </row>
    <row r="14178" spans="7:14" x14ac:dyDescent="0.3">
      <c r="G14178" s="1"/>
      <c r="N14178" s="1"/>
    </row>
    <row r="14179" spans="7:14" x14ac:dyDescent="0.3">
      <c r="G14179" s="1"/>
      <c r="N14179" s="1"/>
    </row>
    <row r="14180" spans="7:14" x14ac:dyDescent="0.3">
      <c r="G14180" s="1"/>
      <c r="N14180" s="1"/>
    </row>
    <row r="14181" spans="7:14" x14ac:dyDescent="0.3">
      <c r="G14181" s="1"/>
      <c r="N14181" s="1"/>
    </row>
    <row r="14182" spans="7:14" x14ac:dyDescent="0.3">
      <c r="G14182" s="1"/>
      <c r="N14182" s="1"/>
    </row>
    <row r="14183" spans="7:14" x14ac:dyDescent="0.3">
      <c r="G14183" s="1"/>
      <c r="N14183" s="1"/>
    </row>
    <row r="14184" spans="7:14" x14ac:dyDescent="0.3">
      <c r="G14184" s="1"/>
      <c r="N14184" s="1"/>
    </row>
    <row r="14185" spans="7:14" x14ac:dyDescent="0.3">
      <c r="G14185" s="1"/>
      <c r="N14185" s="1"/>
    </row>
    <row r="14186" spans="7:14" x14ac:dyDescent="0.3">
      <c r="G14186" s="1"/>
      <c r="N14186" s="1"/>
    </row>
    <row r="14187" spans="7:14" x14ac:dyDescent="0.3">
      <c r="G14187" s="1"/>
      <c r="N14187" s="1"/>
    </row>
    <row r="14188" spans="7:14" x14ac:dyDescent="0.3">
      <c r="G14188" s="1"/>
      <c r="N14188" s="1"/>
    </row>
    <row r="14189" spans="7:14" x14ac:dyDescent="0.3">
      <c r="G14189" s="1"/>
      <c r="N14189" s="1"/>
    </row>
    <row r="14190" spans="7:14" x14ac:dyDescent="0.3">
      <c r="G14190" s="1"/>
      <c r="N14190" s="1"/>
    </row>
    <row r="14191" spans="7:14" x14ac:dyDescent="0.3">
      <c r="G14191" s="1"/>
      <c r="N14191" s="1"/>
    </row>
    <row r="14192" spans="7:14" x14ac:dyDescent="0.3">
      <c r="G14192" s="1"/>
      <c r="N14192" s="1"/>
    </row>
    <row r="14193" spans="7:14" x14ac:dyDescent="0.3">
      <c r="G14193" s="1"/>
      <c r="N14193" s="1"/>
    </row>
    <row r="14194" spans="7:14" x14ac:dyDescent="0.3">
      <c r="G14194" s="1"/>
      <c r="N14194" s="1"/>
    </row>
    <row r="14195" spans="7:14" x14ac:dyDescent="0.3">
      <c r="G14195" s="1"/>
      <c r="N14195" s="1"/>
    </row>
    <row r="14196" spans="7:14" x14ac:dyDescent="0.3">
      <c r="G14196" s="1"/>
      <c r="N14196" s="1"/>
    </row>
    <row r="14197" spans="7:14" x14ac:dyDescent="0.3">
      <c r="G14197" s="1"/>
      <c r="N14197" s="1"/>
    </row>
    <row r="14198" spans="7:14" x14ac:dyDescent="0.3">
      <c r="G14198" s="1"/>
      <c r="N14198" s="1"/>
    </row>
    <row r="14199" spans="7:14" x14ac:dyDescent="0.3">
      <c r="G14199" s="1"/>
      <c r="N14199" s="1"/>
    </row>
    <row r="14200" spans="7:14" x14ac:dyDescent="0.3">
      <c r="G14200" s="1"/>
      <c r="N14200" s="1"/>
    </row>
    <row r="14201" spans="7:14" x14ac:dyDescent="0.3">
      <c r="G14201" s="1"/>
      <c r="N14201" s="1"/>
    </row>
    <row r="14202" spans="7:14" x14ac:dyDescent="0.3">
      <c r="G14202" s="1"/>
      <c r="N14202" s="1"/>
    </row>
    <row r="14203" spans="7:14" x14ac:dyDescent="0.3">
      <c r="G14203" s="1"/>
      <c r="N14203" s="1"/>
    </row>
    <row r="14204" spans="7:14" x14ac:dyDescent="0.3">
      <c r="G14204" s="1"/>
      <c r="N14204" s="1"/>
    </row>
    <row r="14205" spans="7:14" x14ac:dyDescent="0.3">
      <c r="G14205" s="1"/>
      <c r="N14205" s="1"/>
    </row>
    <row r="14206" spans="7:14" x14ac:dyDescent="0.3">
      <c r="G14206" s="1"/>
      <c r="N14206" s="1"/>
    </row>
    <row r="14207" spans="7:14" x14ac:dyDescent="0.3">
      <c r="G14207" s="1"/>
      <c r="N14207" s="1"/>
    </row>
    <row r="14208" spans="7:14" x14ac:dyDescent="0.3">
      <c r="G14208" s="1"/>
      <c r="N14208" s="1"/>
    </row>
    <row r="14209" spans="7:14" x14ac:dyDescent="0.3">
      <c r="G14209" s="1"/>
      <c r="N14209" s="1"/>
    </row>
    <row r="14210" spans="7:14" x14ac:dyDescent="0.3">
      <c r="G14210" s="1"/>
      <c r="N14210" s="1"/>
    </row>
    <row r="14211" spans="7:14" x14ac:dyDescent="0.3">
      <c r="G14211" s="1"/>
      <c r="N14211" s="1"/>
    </row>
    <row r="14212" spans="7:14" x14ac:dyDescent="0.3">
      <c r="G14212" s="1"/>
      <c r="N14212" s="1"/>
    </row>
    <row r="14213" spans="7:14" x14ac:dyDescent="0.3">
      <c r="G14213" s="1"/>
      <c r="N14213" s="1"/>
    </row>
    <row r="14214" spans="7:14" x14ac:dyDescent="0.3">
      <c r="G14214" s="1"/>
      <c r="N14214" s="1"/>
    </row>
    <row r="14215" spans="7:14" x14ac:dyDescent="0.3">
      <c r="G14215" s="1"/>
      <c r="N14215" s="1"/>
    </row>
    <row r="14216" spans="7:14" x14ac:dyDescent="0.3">
      <c r="G14216" s="1"/>
      <c r="N14216" s="1"/>
    </row>
    <row r="14217" spans="7:14" x14ac:dyDescent="0.3">
      <c r="G14217" s="1"/>
      <c r="N14217" s="1"/>
    </row>
    <row r="14218" spans="7:14" x14ac:dyDescent="0.3">
      <c r="G14218" s="1"/>
      <c r="N14218" s="1"/>
    </row>
    <row r="14219" spans="7:14" x14ac:dyDescent="0.3">
      <c r="G14219" s="1"/>
      <c r="N14219" s="1"/>
    </row>
    <row r="14220" spans="7:14" x14ac:dyDescent="0.3">
      <c r="G14220" s="1"/>
      <c r="N14220" s="1"/>
    </row>
    <row r="14221" spans="7:14" x14ac:dyDescent="0.3">
      <c r="G14221" s="1"/>
      <c r="N14221" s="1"/>
    </row>
    <row r="14222" spans="7:14" x14ac:dyDescent="0.3">
      <c r="G14222" s="1"/>
      <c r="N14222" s="1"/>
    </row>
    <row r="14223" spans="7:14" x14ac:dyDescent="0.3">
      <c r="G14223" s="1"/>
      <c r="N14223" s="1"/>
    </row>
    <row r="14224" spans="7:14" x14ac:dyDescent="0.3">
      <c r="G14224" s="1"/>
      <c r="N14224" s="1"/>
    </row>
    <row r="14225" spans="7:14" x14ac:dyDescent="0.3">
      <c r="G14225" s="1"/>
      <c r="N14225" s="1"/>
    </row>
    <row r="14226" spans="7:14" x14ac:dyDescent="0.3">
      <c r="G14226" s="1"/>
      <c r="N14226" s="1"/>
    </row>
    <row r="14227" spans="7:14" x14ac:dyDescent="0.3">
      <c r="G14227" s="1"/>
      <c r="N14227" s="1"/>
    </row>
    <row r="14228" spans="7:14" x14ac:dyDescent="0.3">
      <c r="G14228" s="1"/>
      <c r="N14228" s="1"/>
    </row>
    <row r="14229" spans="7:14" x14ac:dyDescent="0.3">
      <c r="G14229" s="1"/>
      <c r="N14229" s="1"/>
    </row>
    <row r="14230" spans="7:14" x14ac:dyDescent="0.3">
      <c r="G14230" s="1"/>
      <c r="N14230" s="1"/>
    </row>
    <row r="14231" spans="7:14" x14ac:dyDescent="0.3">
      <c r="G14231" s="1"/>
      <c r="N14231" s="1"/>
    </row>
    <row r="14232" spans="7:14" x14ac:dyDescent="0.3">
      <c r="G14232" s="1"/>
      <c r="N14232" s="1"/>
    </row>
    <row r="14233" spans="7:14" x14ac:dyDescent="0.3">
      <c r="G14233" s="1"/>
      <c r="N14233" s="1"/>
    </row>
    <row r="14234" spans="7:14" x14ac:dyDescent="0.3">
      <c r="G14234" s="1"/>
      <c r="N14234" s="1"/>
    </row>
    <row r="14235" spans="7:14" x14ac:dyDescent="0.3">
      <c r="G14235" s="1"/>
      <c r="N14235" s="1"/>
    </row>
    <row r="14236" spans="7:14" x14ac:dyDescent="0.3">
      <c r="G14236" s="1"/>
      <c r="N14236" s="1"/>
    </row>
    <row r="14237" spans="7:14" x14ac:dyDescent="0.3">
      <c r="G14237" s="1"/>
      <c r="N14237" s="1"/>
    </row>
    <row r="14238" spans="7:14" x14ac:dyDescent="0.3">
      <c r="G14238" s="1"/>
      <c r="N14238" s="1"/>
    </row>
    <row r="14239" spans="7:14" x14ac:dyDescent="0.3">
      <c r="G14239" s="1"/>
      <c r="N14239" s="1"/>
    </row>
    <row r="14240" spans="7:14" x14ac:dyDescent="0.3">
      <c r="G14240" s="1"/>
      <c r="N14240" s="1"/>
    </row>
    <row r="14241" spans="7:14" x14ac:dyDescent="0.3">
      <c r="G14241" s="1"/>
      <c r="N14241" s="1"/>
    </row>
    <row r="14242" spans="7:14" x14ac:dyDescent="0.3">
      <c r="G14242" s="1"/>
      <c r="N14242" s="1"/>
    </row>
    <row r="14243" spans="7:14" x14ac:dyDescent="0.3">
      <c r="G14243" s="1"/>
      <c r="N14243" s="1"/>
    </row>
    <row r="14244" spans="7:14" x14ac:dyDescent="0.3">
      <c r="G14244" s="1"/>
      <c r="N14244" s="1"/>
    </row>
    <row r="14245" spans="7:14" x14ac:dyDescent="0.3">
      <c r="G14245" s="1"/>
      <c r="N14245" s="1"/>
    </row>
    <row r="14246" spans="7:14" x14ac:dyDescent="0.3">
      <c r="G14246" s="1"/>
      <c r="N14246" s="1"/>
    </row>
    <row r="14247" spans="7:14" x14ac:dyDescent="0.3">
      <c r="G14247" s="1"/>
      <c r="N14247" s="1"/>
    </row>
    <row r="14248" spans="7:14" x14ac:dyDescent="0.3">
      <c r="G14248" s="1"/>
      <c r="N14248" s="1"/>
    </row>
    <row r="14249" spans="7:14" x14ac:dyDescent="0.3">
      <c r="G14249" s="1"/>
      <c r="N14249" s="1"/>
    </row>
    <row r="14250" spans="7:14" x14ac:dyDescent="0.3">
      <c r="G14250" s="1"/>
      <c r="N14250" s="1"/>
    </row>
    <row r="14251" spans="7:14" x14ac:dyDescent="0.3">
      <c r="G14251" s="1"/>
      <c r="N14251" s="1"/>
    </row>
    <row r="14252" spans="7:14" x14ac:dyDescent="0.3">
      <c r="G14252" s="1"/>
      <c r="N14252" s="1"/>
    </row>
    <row r="14253" spans="7:14" x14ac:dyDescent="0.3">
      <c r="G14253" s="1"/>
      <c r="N14253" s="1"/>
    </row>
    <row r="14254" spans="7:14" x14ac:dyDescent="0.3">
      <c r="G14254" s="1"/>
      <c r="N14254" s="1"/>
    </row>
    <row r="14255" spans="7:14" x14ac:dyDescent="0.3">
      <c r="G14255" s="1"/>
      <c r="N14255" s="1"/>
    </row>
    <row r="14256" spans="7:14" x14ac:dyDescent="0.3">
      <c r="G14256" s="1"/>
      <c r="N14256" s="1"/>
    </row>
    <row r="14257" spans="7:14" x14ac:dyDescent="0.3">
      <c r="G14257" s="1"/>
      <c r="N14257" s="1"/>
    </row>
    <row r="14258" spans="7:14" x14ac:dyDescent="0.3">
      <c r="G14258" s="1"/>
      <c r="N14258" s="1"/>
    </row>
    <row r="14259" spans="7:14" x14ac:dyDescent="0.3">
      <c r="G14259" s="1"/>
      <c r="N14259" s="1"/>
    </row>
    <row r="14260" spans="7:14" x14ac:dyDescent="0.3">
      <c r="G14260" s="1"/>
      <c r="N14260" s="1"/>
    </row>
    <row r="14261" spans="7:14" x14ac:dyDescent="0.3">
      <c r="G14261" s="1"/>
      <c r="N14261" s="1"/>
    </row>
    <row r="14262" spans="7:14" x14ac:dyDescent="0.3">
      <c r="G14262" s="1"/>
      <c r="N14262" s="1"/>
    </row>
    <row r="14263" spans="7:14" x14ac:dyDescent="0.3">
      <c r="G14263" s="1"/>
      <c r="N14263" s="1"/>
    </row>
    <row r="14264" spans="7:14" x14ac:dyDescent="0.3">
      <c r="G14264" s="1"/>
      <c r="N14264" s="1"/>
    </row>
    <row r="14265" spans="7:14" x14ac:dyDescent="0.3">
      <c r="G14265" s="1"/>
      <c r="N14265" s="1"/>
    </row>
    <row r="14266" spans="7:14" x14ac:dyDescent="0.3">
      <c r="G14266" s="1"/>
      <c r="N14266" s="1"/>
    </row>
    <row r="14267" spans="7:14" x14ac:dyDescent="0.3">
      <c r="G14267" s="1"/>
      <c r="N14267" s="1"/>
    </row>
    <row r="14268" spans="7:14" x14ac:dyDescent="0.3">
      <c r="G14268" s="1"/>
      <c r="N14268" s="1"/>
    </row>
    <row r="14269" spans="7:14" x14ac:dyDescent="0.3">
      <c r="G14269" s="1"/>
      <c r="N14269" s="1"/>
    </row>
    <row r="14270" spans="7:14" x14ac:dyDescent="0.3">
      <c r="G14270" s="1"/>
      <c r="N14270" s="1"/>
    </row>
    <row r="14271" spans="7:14" x14ac:dyDescent="0.3">
      <c r="G14271" s="1"/>
      <c r="N14271" s="1"/>
    </row>
    <row r="14272" spans="7:14" x14ac:dyDescent="0.3">
      <c r="G14272" s="1"/>
      <c r="N14272" s="1"/>
    </row>
    <row r="14273" spans="7:14" x14ac:dyDescent="0.3">
      <c r="G14273" s="1"/>
      <c r="N14273" s="1"/>
    </row>
    <row r="14274" spans="7:14" x14ac:dyDescent="0.3">
      <c r="G14274" s="1"/>
      <c r="N14274" s="1"/>
    </row>
    <row r="14275" spans="7:14" x14ac:dyDescent="0.3">
      <c r="G14275" s="1"/>
      <c r="N14275" s="1"/>
    </row>
    <row r="14276" spans="7:14" x14ac:dyDescent="0.3">
      <c r="G14276" s="1"/>
      <c r="N14276" s="1"/>
    </row>
    <row r="14277" spans="7:14" x14ac:dyDescent="0.3">
      <c r="G14277" s="1"/>
      <c r="N14277" s="1"/>
    </row>
    <row r="14278" spans="7:14" x14ac:dyDescent="0.3">
      <c r="G14278" s="1"/>
      <c r="N14278" s="1"/>
    </row>
    <row r="14279" spans="7:14" x14ac:dyDescent="0.3">
      <c r="G14279" s="1"/>
      <c r="N14279" s="1"/>
    </row>
    <row r="14280" spans="7:14" x14ac:dyDescent="0.3">
      <c r="G14280" s="1"/>
      <c r="N14280" s="1"/>
    </row>
    <row r="14281" spans="7:14" x14ac:dyDescent="0.3">
      <c r="G14281" s="1"/>
      <c r="N14281" s="1"/>
    </row>
    <row r="14282" spans="7:14" x14ac:dyDescent="0.3">
      <c r="G14282" s="1"/>
      <c r="N14282" s="1"/>
    </row>
    <row r="14283" spans="7:14" x14ac:dyDescent="0.3">
      <c r="G14283" s="1"/>
      <c r="N14283" s="1"/>
    </row>
    <row r="14284" spans="7:14" x14ac:dyDescent="0.3">
      <c r="G14284" s="1"/>
      <c r="N14284" s="1"/>
    </row>
    <row r="14285" spans="7:14" x14ac:dyDescent="0.3">
      <c r="G14285" s="1"/>
      <c r="N14285" s="1"/>
    </row>
    <row r="14286" spans="7:14" x14ac:dyDescent="0.3">
      <c r="G14286" s="1"/>
      <c r="N14286" s="1"/>
    </row>
    <row r="14287" spans="7:14" x14ac:dyDescent="0.3">
      <c r="G14287" s="1"/>
      <c r="N14287" s="1"/>
    </row>
    <row r="14288" spans="7:14" x14ac:dyDescent="0.3">
      <c r="G14288" s="1"/>
      <c r="N14288" s="1"/>
    </row>
    <row r="14289" spans="7:14" x14ac:dyDescent="0.3">
      <c r="G14289" s="1"/>
      <c r="N14289" s="1"/>
    </row>
    <row r="14290" spans="7:14" x14ac:dyDescent="0.3">
      <c r="G14290" s="1"/>
      <c r="N14290" s="1"/>
    </row>
    <row r="14291" spans="7:14" x14ac:dyDescent="0.3">
      <c r="G14291" s="1"/>
      <c r="N14291" s="1"/>
    </row>
    <row r="14292" spans="7:14" x14ac:dyDescent="0.3">
      <c r="G14292" s="1"/>
      <c r="N14292" s="1"/>
    </row>
    <row r="14293" spans="7:14" x14ac:dyDescent="0.3">
      <c r="G14293" s="1"/>
      <c r="N14293" s="1"/>
    </row>
    <row r="14294" spans="7:14" x14ac:dyDescent="0.3">
      <c r="G14294" s="1"/>
      <c r="N14294" s="1"/>
    </row>
    <row r="14295" spans="7:14" x14ac:dyDescent="0.3">
      <c r="G14295" s="1"/>
      <c r="N14295" s="1"/>
    </row>
    <row r="14296" spans="7:14" x14ac:dyDescent="0.3">
      <c r="G14296" s="1"/>
      <c r="N14296" s="1"/>
    </row>
    <row r="14297" spans="7:14" x14ac:dyDescent="0.3">
      <c r="G14297" s="1"/>
      <c r="N14297" s="1"/>
    </row>
    <row r="14298" spans="7:14" x14ac:dyDescent="0.3">
      <c r="G14298" s="1"/>
      <c r="N14298" s="1"/>
    </row>
    <row r="14299" spans="7:14" x14ac:dyDescent="0.3">
      <c r="G14299" s="1"/>
      <c r="N14299" s="1"/>
    </row>
    <row r="14300" spans="7:14" x14ac:dyDescent="0.3">
      <c r="G14300" s="1"/>
      <c r="N14300" s="1"/>
    </row>
    <row r="14301" spans="7:14" x14ac:dyDescent="0.3">
      <c r="G14301" s="1"/>
      <c r="N14301" s="1"/>
    </row>
    <row r="14302" spans="7:14" x14ac:dyDescent="0.3">
      <c r="G14302" s="1"/>
      <c r="N14302" s="1"/>
    </row>
    <row r="14303" spans="7:14" x14ac:dyDescent="0.3">
      <c r="G14303" s="1"/>
      <c r="N14303" s="1"/>
    </row>
    <row r="14304" spans="7:14" x14ac:dyDescent="0.3">
      <c r="G14304" s="1"/>
      <c r="N14304" s="1"/>
    </row>
    <row r="14305" spans="7:14" x14ac:dyDescent="0.3">
      <c r="G14305" s="1"/>
      <c r="N14305" s="1"/>
    </row>
    <row r="14306" spans="7:14" x14ac:dyDescent="0.3">
      <c r="G14306" s="1"/>
      <c r="N14306" s="1"/>
    </row>
    <row r="14307" spans="7:14" x14ac:dyDescent="0.3">
      <c r="G14307" s="1"/>
      <c r="N14307" s="1"/>
    </row>
    <row r="14308" spans="7:14" x14ac:dyDescent="0.3">
      <c r="G14308" s="1"/>
      <c r="N14308" s="1"/>
    </row>
    <row r="14309" spans="7:14" x14ac:dyDescent="0.3">
      <c r="G14309" s="1"/>
      <c r="N14309" s="1"/>
    </row>
    <row r="14310" spans="7:14" x14ac:dyDescent="0.3">
      <c r="G14310" s="1"/>
      <c r="N14310" s="1"/>
    </row>
    <row r="14311" spans="7:14" x14ac:dyDescent="0.3">
      <c r="G14311" s="1"/>
      <c r="N14311" s="1"/>
    </row>
    <row r="14312" spans="7:14" x14ac:dyDescent="0.3">
      <c r="G14312" s="1"/>
      <c r="N14312" s="1"/>
    </row>
    <row r="14313" spans="7:14" x14ac:dyDescent="0.3">
      <c r="G14313" s="1"/>
      <c r="N14313" s="1"/>
    </row>
    <row r="14314" spans="7:14" x14ac:dyDescent="0.3">
      <c r="G14314" s="1"/>
      <c r="N14314" s="1"/>
    </row>
    <row r="14315" spans="7:14" x14ac:dyDescent="0.3">
      <c r="G14315" s="1"/>
      <c r="N14315" s="1"/>
    </row>
    <row r="14316" spans="7:14" x14ac:dyDescent="0.3">
      <c r="G14316" s="1"/>
      <c r="N14316" s="1"/>
    </row>
    <row r="14317" spans="7:14" x14ac:dyDescent="0.3">
      <c r="G14317" s="1"/>
      <c r="N14317" s="1"/>
    </row>
    <row r="14318" spans="7:14" x14ac:dyDescent="0.3">
      <c r="G14318" s="1"/>
      <c r="N14318" s="1"/>
    </row>
    <row r="14319" spans="7:14" x14ac:dyDescent="0.3">
      <c r="G14319" s="1"/>
      <c r="N14319" s="1"/>
    </row>
    <row r="14320" spans="7:14" x14ac:dyDescent="0.3">
      <c r="G14320" s="1"/>
      <c r="N14320" s="1"/>
    </row>
    <row r="14321" spans="7:14" x14ac:dyDescent="0.3">
      <c r="G14321" s="1"/>
      <c r="N14321" s="1"/>
    </row>
    <row r="14322" spans="7:14" x14ac:dyDescent="0.3">
      <c r="G14322" s="1"/>
      <c r="N14322" s="1"/>
    </row>
    <row r="14323" spans="7:14" x14ac:dyDescent="0.3">
      <c r="G14323" s="1"/>
      <c r="N14323" s="1"/>
    </row>
    <row r="14324" spans="7:14" x14ac:dyDescent="0.3">
      <c r="G14324" s="1"/>
      <c r="N14324" s="1"/>
    </row>
    <row r="14325" spans="7:14" x14ac:dyDescent="0.3">
      <c r="G14325" s="1"/>
      <c r="N14325" s="1"/>
    </row>
    <row r="14326" spans="7:14" x14ac:dyDescent="0.3">
      <c r="G14326" s="1"/>
      <c r="N14326" s="1"/>
    </row>
    <row r="14327" spans="7:14" x14ac:dyDescent="0.3">
      <c r="G14327" s="1"/>
      <c r="N14327" s="1"/>
    </row>
    <row r="14328" spans="7:14" x14ac:dyDescent="0.3">
      <c r="G14328" s="1"/>
      <c r="N14328" s="1"/>
    </row>
    <row r="14329" spans="7:14" x14ac:dyDescent="0.3">
      <c r="G14329" s="1"/>
      <c r="N14329" s="1"/>
    </row>
    <row r="14330" spans="7:14" x14ac:dyDescent="0.3">
      <c r="G14330" s="1"/>
      <c r="N14330" s="1"/>
    </row>
    <row r="14331" spans="7:14" x14ac:dyDescent="0.3">
      <c r="G14331" s="1"/>
      <c r="N14331" s="1"/>
    </row>
    <row r="14332" spans="7:14" x14ac:dyDescent="0.3">
      <c r="G14332" s="1"/>
      <c r="N14332" s="1"/>
    </row>
    <row r="14333" spans="7:14" x14ac:dyDescent="0.3">
      <c r="G14333" s="1"/>
      <c r="N14333" s="1"/>
    </row>
    <row r="14334" spans="7:14" x14ac:dyDescent="0.3">
      <c r="G14334" s="1"/>
      <c r="N14334" s="1"/>
    </row>
    <row r="14335" spans="7:14" x14ac:dyDescent="0.3">
      <c r="G14335" s="1"/>
      <c r="N14335" s="1"/>
    </row>
    <row r="14336" spans="7:14" x14ac:dyDescent="0.3">
      <c r="G14336" s="1"/>
      <c r="N14336" s="1"/>
    </row>
    <row r="14337" spans="7:14" x14ac:dyDescent="0.3">
      <c r="G14337" s="1"/>
      <c r="N14337" s="1"/>
    </row>
    <row r="14338" spans="7:14" x14ac:dyDescent="0.3">
      <c r="G14338" s="1"/>
      <c r="N14338" s="1"/>
    </row>
    <row r="14339" spans="7:14" x14ac:dyDescent="0.3">
      <c r="G14339" s="1"/>
      <c r="N14339" s="1"/>
    </row>
    <row r="14340" spans="7:14" x14ac:dyDescent="0.3">
      <c r="G14340" s="1"/>
      <c r="N14340" s="1"/>
    </row>
    <row r="14341" spans="7:14" x14ac:dyDescent="0.3">
      <c r="G14341" s="1"/>
      <c r="N14341" s="1"/>
    </row>
    <row r="14342" spans="7:14" x14ac:dyDescent="0.3">
      <c r="G14342" s="1"/>
      <c r="N14342" s="1"/>
    </row>
    <row r="14343" spans="7:14" x14ac:dyDescent="0.3">
      <c r="G14343" s="1"/>
      <c r="N14343" s="1"/>
    </row>
    <row r="14344" spans="7:14" x14ac:dyDescent="0.3">
      <c r="G14344" s="1"/>
      <c r="N14344" s="1"/>
    </row>
    <row r="14345" spans="7:14" x14ac:dyDescent="0.3">
      <c r="G14345" s="1"/>
      <c r="N14345" s="1"/>
    </row>
    <row r="14346" spans="7:14" x14ac:dyDescent="0.3">
      <c r="G14346" s="1"/>
      <c r="N14346" s="1"/>
    </row>
    <row r="14347" spans="7:14" x14ac:dyDescent="0.3">
      <c r="G14347" s="1"/>
      <c r="N14347" s="1"/>
    </row>
    <row r="14348" spans="7:14" x14ac:dyDescent="0.3">
      <c r="G14348" s="1"/>
      <c r="N14348" s="1"/>
    </row>
    <row r="14349" spans="7:14" x14ac:dyDescent="0.3">
      <c r="G14349" s="1"/>
      <c r="N14349" s="1"/>
    </row>
    <row r="14350" spans="7:14" x14ac:dyDescent="0.3">
      <c r="G14350" s="1"/>
      <c r="N14350" s="1"/>
    </row>
    <row r="14351" spans="7:14" x14ac:dyDescent="0.3">
      <c r="G14351" s="1"/>
      <c r="N14351" s="1"/>
    </row>
    <row r="14352" spans="7:14" x14ac:dyDescent="0.3">
      <c r="G14352" s="1"/>
      <c r="N14352" s="1"/>
    </row>
    <row r="14353" spans="7:14" x14ac:dyDescent="0.3">
      <c r="G14353" s="1"/>
      <c r="N14353" s="1"/>
    </row>
    <row r="14354" spans="7:14" x14ac:dyDescent="0.3">
      <c r="G14354" s="1"/>
      <c r="N14354" s="1"/>
    </row>
    <row r="14355" spans="7:14" x14ac:dyDescent="0.3">
      <c r="G14355" s="1"/>
      <c r="N14355" s="1"/>
    </row>
    <row r="14356" spans="7:14" x14ac:dyDescent="0.3">
      <c r="G14356" s="1"/>
      <c r="N14356" s="1"/>
    </row>
    <row r="14357" spans="7:14" x14ac:dyDescent="0.3">
      <c r="G14357" s="1"/>
      <c r="N14357" s="1"/>
    </row>
    <row r="14358" spans="7:14" x14ac:dyDescent="0.3">
      <c r="G14358" s="1"/>
      <c r="N14358" s="1"/>
    </row>
    <row r="14359" spans="7:14" x14ac:dyDescent="0.3">
      <c r="G14359" s="1"/>
      <c r="N14359" s="1"/>
    </row>
    <row r="14360" spans="7:14" x14ac:dyDescent="0.3">
      <c r="G14360" s="1"/>
      <c r="N14360" s="1"/>
    </row>
    <row r="14361" spans="7:14" x14ac:dyDescent="0.3">
      <c r="G14361" s="1"/>
      <c r="N14361" s="1"/>
    </row>
    <row r="14362" spans="7:14" x14ac:dyDescent="0.3">
      <c r="G14362" s="1"/>
      <c r="N14362" s="1"/>
    </row>
    <row r="14363" spans="7:14" x14ac:dyDescent="0.3">
      <c r="G14363" s="1"/>
      <c r="N14363" s="1"/>
    </row>
    <row r="14364" spans="7:14" x14ac:dyDescent="0.3">
      <c r="G14364" s="1"/>
      <c r="N14364" s="1"/>
    </row>
    <row r="14365" spans="7:14" x14ac:dyDescent="0.3">
      <c r="G14365" s="1"/>
      <c r="N14365" s="1"/>
    </row>
    <row r="14366" spans="7:14" x14ac:dyDescent="0.3">
      <c r="G14366" s="1"/>
      <c r="N14366" s="1"/>
    </row>
    <row r="14367" spans="7:14" x14ac:dyDescent="0.3">
      <c r="G14367" s="1"/>
      <c r="N14367" s="1"/>
    </row>
    <row r="14368" spans="7:14" x14ac:dyDescent="0.3">
      <c r="G14368" s="1"/>
      <c r="N14368" s="1"/>
    </row>
    <row r="14369" spans="7:14" x14ac:dyDescent="0.3">
      <c r="G14369" s="1"/>
      <c r="N14369" s="1"/>
    </row>
    <row r="14370" spans="7:14" x14ac:dyDescent="0.3">
      <c r="G14370" s="1"/>
      <c r="N14370" s="1"/>
    </row>
    <row r="14371" spans="7:14" x14ac:dyDescent="0.3">
      <c r="G14371" s="1"/>
      <c r="N14371" s="1"/>
    </row>
    <row r="14372" spans="7:14" x14ac:dyDescent="0.3">
      <c r="G14372" s="1"/>
      <c r="N14372" s="1"/>
    </row>
    <row r="14373" spans="7:14" x14ac:dyDescent="0.3">
      <c r="G14373" s="1"/>
      <c r="N14373" s="1"/>
    </row>
    <row r="14374" spans="7:14" x14ac:dyDescent="0.3">
      <c r="G14374" s="1"/>
      <c r="N14374" s="1"/>
    </row>
    <row r="14375" spans="7:14" x14ac:dyDescent="0.3">
      <c r="G14375" s="1"/>
      <c r="N14375" s="1"/>
    </row>
    <row r="14376" spans="7:14" x14ac:dyDescent="0.3">
      <c r="G14376" s="1"/>
      <c r="N14376" s="1"/>
    </row>
    <row r="14377" spans="7:14" x14ac:dyDescent="0.3">
      <c r="G14377" s="1"/>
      <c r="N14377" s="1"/>
    </row>
    <row r="14378" spans="7:14" x14ac:dyDescent="0.3">
      <c r="G14378" s="1"/>
      <c r="N14378" s="1"/>
    </row>
    <row r="14379" spans="7:14" x14ac:dyDescent="0.3">
      <c r="G14379" s="1"/>
      <c r="N14379" s="1"/>
    </row>
    <row r="14380" spans="7:14" x14ac:dyDescent="0.3">
      <c r="G14380" s="1"/>
      <c r="N14380" s="1"/>
    </row>
    <row r="14381" spans="7:14" x14ac:dyDescent="0.3">
      <c r="G14381" s="1"/>
      <c r="N14381" s="1"/>
    </row>
    <row r="14382" spans="7:14" x14ac:dyDescent="0.3">
      <c r="G14382" s="1"/>
      <c r="N14382" s="1"/>
    </row>
    <row r="14383" spans="7:14" x14ac:dyDescent="0.3">
      <c r="G14383" s="1"/>
      <c r="N14383" s="1"/>
    </row>
    <row r="14384" spans="7:14" x14ac:dyDescent="0.3">
      <c r="G14384" s="1"/>
      <c r="N14384" s="1"/>
    </row>
    <row r="14385" spans="7:14" x14ac:dyDescent="0.3">
      <c r="G14385" s="1"/>
      <c r="N14385" s="1"/>
    </row>
    <row r="14386" spans="7:14" x14ac:dyDescent="0.3">
      <c r="G14386" s="1"/>
      <c r="N14386" s="1"/>
    </row>
    <row r="14387" spans="7:14" x14ac:dyDescent="0.3">
      <c r="G14387" s="1"/>
      <c r="N14387" s="1"/>
    </row>
    <row r="14388" spans="7:14" x14ac:dyDescent="0.3">
      <c r="G14388" s="1"/>
      <c r="N14388" s="1"/>
    </row>
    <row r="14389" spans="7:14" x14ac:dyDescent="0.3">
      <c r="G14389" s="1"/>
      <c r="N14389" s="1"/>
    </row>
    <row r="14390" spans="7:14" x14ac:dyDescent="0.3">
      <c r="G14390" s="1"/>
      <c r="N14390" s="1"/>
    </row>
    <row r="14391" spans="7:14" x14ac:dyDescent="0.3">
      <c r="G14391" s="1"/>
      <c r="N14391" s="1"/>
    </row>
    <row r="14392" spans="7:14" x14ac:dyDescent="0.3">
      <c r="G14392" s="1"/>
      <c r="N14392" s="1"/>
    </row>
    <row r="14393" spans="7:14" x14ac:dyDescent="0.3">
      <c r="G14393" s="1"/>
      <c r="N14393" s="1"/>
    </row>
    <row r="14394" spans="7:14" x14ac:dyDescent="0.3">
      <c r="G14394" s="1"/>
      <c r="N14394" s="1"/>
    </row>
    <row r="14395" spans="7:14" x14ac:dyDescent="0.3">
      <c r="G14395" s="1"/>
      <c r="N14395" s="1"/>
    </row>
    <row r="14396" spans="7:14" x14ac:dyDescent="0.3">
      <c r="G14396" s="1"/>
      <c r="N14396" s="1"/>
    </row>
    <row r="14397" spans="7:14" x14ac:dyDescent="0.3">
      <c r="G14397" s="1"/>
      <c r="N14397" s="1"/>
    </row>
    <row r="14398" spans="7:14" x14ac:dyDescent="0.3">
      <c r="G14398" s="1"/>
      <c r="N14398" s="1"/>
    </row>
    <row r="14399" spans="7:14" x14ac:dyDescent="0.3">
      <c r="G14399" s="1"/>
      <c r="N14399" s="1"/>
    </row>
    <row r="14400" spans="7:14" x14ac:dyDescent="0.3">
      <c r="G14400" s="1"/>
      <c r="N14400" s="1"/>
    </row>
    <row r="14401" spans="7:14" x14ac:dyDescent="0.3">
      <c r="G14401" s="1"/>
      <c r="N14401" s="1"/>
    </row>
    <row r="14402" spans="7:14" x14ac:dyDescent="0.3">
      <c r="G14402" s="1"/>
      <c r="N14402" s="1"/>
    </row>
    <row r="14403" spans="7:14" x14ac:dyDescent="0.3">
      <c r="G14403" s="1"/>
      <c r="N14403" s="1"/>
    </row>
    <row r="14404" spans="7:14" x14ac:dyDescent="0.3">
      <c r="G14404" s="1"/>
      <c r="N14404" s="1"/>
    </row>
    <row r="14405" spans="7:14" x14ac:dyDescent="0.3">
      <c r="G14405" s="1"/>
      <c r="N14405" s="1"/>
    </row>
    <row r="14406" spans="7:14" x14ac:dyDescent="0.3">
      <c r="G14406" s="1"/>
      <c r="N14406" s="1"/>
    </row>
    <row r="14407" spans="7:14" x14ac:dyDescent="0.3">
      <c r="G14407" s="1"/>
      <c r="N14407" s="1"/>
    </row>
    <row r="14408" spans="7:14" x14ac:dyDescent="0.3">
      <c r="G14408" s="1"/>
      <c r="N14408" s="1"/>
    </row>
    <row r="14409" spans="7:14" x14ac:dyDescent="0.3">
      <c r="G14409" s="1"/>
      <c r="N14409" s="1"/>
    </row>
    <row r="14410" spans="7:14" x14ac:dyDescent="0.3">
      <c r="G14410" s="1"/>
      <c r="N14410" s="1"/>
    </row>
    <row r="14411" spans="7:14" x14ac:dyDescent="0.3">
      <c r="G14411" s="1"/>
      <c r="N14411" s="1"/>
    </row>
    <row r="14412" spans="7:14" x14ac:dyDescent="0.3">
      <c r="G14412" s="1"/>
      <c r="N14412" s="1"/>
    </row>
    <row r="14413" spans="7:14" x14ac:dyDescent="0.3">
      <c r="G14413" s="1"/>
      <c r="N14413" s="1"/>
    </row>
    <row r="14414" spans="7:14" x14ac:dyDescent="0.3">
      <c r="G14414" s="1"/>
      <c r="N14414" s="1"/>
    </row>
    <row r="14415" spans="7:14" x14ac:dyDescent="0.3">
      <c r="G14415" s="1"/>
      <c r="N14415" s="1"/>
    </row>
    <row r="14416" spans="7:14" x14ac:dyDescent="0.3">
      <c r="G14416" s="1"/>
      <c r="N14416" s="1"/>
    </row>
    <row r="14417" spans="7:14" x14ac:dyDescent="0.3">
      <c r="G14417" s="1"/>
      <c r="N14417" s="1"/>
    </row>
    <row r="14418" spans="7:14" x14ac:dyDescent="0.3">
      <c r="G14418" s="1"/>
      <c r="N14418" s="1"/>
    </row>
    <row r="14419" spans="7:14" x14ac:dyDescent="0.3">
      <c r="G14419" s="1"/>
      <c r="N14419" s="1"/>
    </row>
    <row r="14420" spans="7:14" x14ac:dyDescent="0.3">
      <c r="G14420" s="1"/>
      <c r="N14420" s="1"/>
    </row>
    <row r="14421" spans="7:14" x14ac:dyDescent="0.3">
      <c r="G14421" s="1"/>
      <c r="N14421" s="1"/>
    </row>
    <row r="14422" spans="7:14" x14ac:dyDescent="0.3">
      <c r="G14422" s="1"/>
      <c r="N14422" s="1"/>
    </row>
    <row r="14423" spans="7:14" x14ac:dyDescent="0.3">
      <c r="G14423" s="1"/>
      <c r="N14423" s="1"/>
    </row>
    <row r="14424" spans="7:14" x14ac:dyDescent="0.3">
      <c r="G14424" s="1"/>
      <c r="N14424" s="1"/>
    </row>
    <row r="14425" spans="7:14" x14ac:dyDescent="0.3">
      <c r="G14425" s="1"/>
      <c r="N14425" s="1"/>
    </row>
    <row r="14426" spans="7:14" x14ac:dyDescent="0.3">
      <c r="G14426" s="1"/>
      <c r="N14426" s="1"/>
    </row>
    <row r="14427" spans="7:14" x14ac:dyDescent="0.3">
      <c r="G14427" s="1"/>
      <c r="N14427" s="1"/>
    </row>
    <row r="14428" spans="7:14" x14ac:dyDescent="0.3">
      <c r="G14428" s="1"/>
      <c r="N14428" s="1"/>
    </row>
    <row r="14429" spans="7:14" x14ac:dyDescent="0.3">
      <c r="G14429" s="1"/>
      <c r="N14429" s="1"/>
    </row>
    <row r="14430" spans="7:14" x14ac:dyDescent="0.3">
      <c r="G14430" s="1"/>
      <c r="N14430" s="1"/>
    </row>
    <row r="14431" spans="7:14" x14ac:dyDescent="0.3">
      <c r="G14431" s="1"/>
      <c r="N14431" s="1"/>
    </row>
    <row r="14432" spans="7:14" x14ac:dyDescent="0.3">
      <c r="G14432" s="1"/>
      <c r="N14432" s="1"/>
    </row>
    <row r="14433" spans="7:14" x14ac:dyDescent="0.3">
      <c r="G14433" s="1"/>
      <c r="N14433" s="1"/>
    </row>
    <row r="14434" spans="7:14" x14ac:dyDescent="0.3">
      <c r="G14434" s="1"/>
      <c r="N14434" s="1"/>
    </row>
    <row r="14435" spans="7:14" x14ac:dyDescent="0.3">
      <c r="G14435" s="1"/>
      <c r="N14435" s="1"/>
    </row>
    <row r="14436" spans="7:14" x14ac:dyDescent="0.3">
      <c r="G14436" s="1"/>
      <c r="N14436" s="1"/>
    </row>
    <row r="14437" spans="7:14" x14ac:dyDescent="0.3">
      <c r="G14437" s="1"/>
      <c r="N14437" s="1"/>
    </row>
    <row r="14438" spans="7:14" x14ac:dyDescent="0.3">
      <c r="G14438" s="1"/>
      <c r="N14438" s="1"/>
    </row>
    <row r="14439" spans="7:14" x14ac:dyDescent="0.3">
      <c r="G14439" s="1"/>
      <c r="N14439" s="1"/>
    </row>
    <row r="14440" spans="7:14" x14ac:dyDescent="0.3">
      <c r="G14440" s="1"/>
      <c r="N14440" s="1"/>
    </row>
    <row r="14441" spans="7:14" x14ac:dyDescent="0.3">
      <c r="G14441" s="1"/>
      <c r="N14441" s="1"/>
    </row>
    <row r="14442" spans="7:14" x14ac:dyDescent="0.3">
      <c r="G14442" s="1"/>
      <c r="N14442" s="1"/>
    </row>
    <row r="14443" spans="7:14" x14ac:dyDescent="0.3">
      <c r="G14443" s="1"/>
      <c r="N14443" s="1"/>
    </row>
    <row r="14444" spans="7:14" x14ac:dyDescent="0.3">
      <c r="G14444" s="1"/>
      <c r="N14444" s="1"/>
    </row>
    <row r="14445" spans="7:14" x14ac:dyDescent="0.3">
      <c r="G14445" s="1"/>
      <c r="N14445" s="1"/>
    </row>
    <row r="14446" spans="7:14" x14ac:dyDescent="0.3">
      <c r="G14446" s="1"/>
      <c r="N14446" s="1"/>
    </row>
    <row r="14447" spans="7:14" x14ac:dyDescent="0.3">
      <c r="G14447" s="1"/>
      <c r="N14447" s="1"/>
    </row>
    <row r="14448" spans="7:14" x14ac:dyDescent="0.3">
      <c r="G14448" s="1"/>
      <c r="N14448" s="1"/>
    </row>
    <row r="14449" spans="7:14" x14ac:dyDescent="0.3">
      <c r="G14449" s="1"/>
      <c r="N14449" s="1"/>
    </row>
    <row r="14450" spans="7:14" x14ac:dyDescent="0.3">
      <c r="G14450" s="1"/>
      <c r="N14450" s="1"/>
    </row>
    <row r="14451" spans="7:14" x14ac:dyDescent="0.3">
      <c r="G14451" s="1"/>
      <c r="N14451" s="1"/>
    </row>
    <row r="14452" spans="7:14" x14ac:dyDescent="0.3">
      <c r="G14452" s="1"/>
      <c r="N14452" s="1"/>
    </row>
    <row r="14453" spans="7:14" x14ac:dyDescent="0.3">
      <c r="G14453" s="1"/>
      <c r="N14453" s="1"/>
    </row>
    <row r="14454" spans="7:14" x14ac:dyDescent="0.3">
      <c r="G14454" s="1"/>
      <c r="N14454" s="1"/>
    </row>
    <row r="14455" spans="7:14" x14ac:dyDescent="0.3">
      <c r="G14455" s="1"/>
      <c r="N14455" s="1"/>
    </row>
    <row r="14456" spans="7:14" x14ac:dyDescent="0.3">
      <c r="G14456" s="1"/>
      <c r="N14456" s="1"/>
    </row>
    <row r="14457" spans="7:14" x14ac:dyDescent="0.3">
      <c r="G14457" s="1"/>
      <c r="N14457" s="1"/>
    </row>
    <row r="14458" spans="7:14" x14ac:dyDescent="0.3">
      <c r="G14458" s="1"/>
      <c r="N14458" s="1"/>
    </row>
    <row r="14459" spans="7:14" x14ac:dyDescent="0.3">
      <c r="G14459" s="1"/>
      <c r="N14459" s="1"/>
    </row>
    <row r="14460" spans="7:14" x14ac:dyDescent="0.3">
      <c r="G14460" s="1"/>
      <c r="N14460" s="1"/>
    </row>
    <row r="14461" spans="7:14" x14ac:dyDescent="0.3">
      <c r="G14461" s="1"/>
      <c r="N14461" s="1"/>
    </row>
    <row r="14462" spans="7:14" x14ac:dyDescent="0.3">
      <c r="G14462" s="1"/>
      <c r="N14462" s="1"/>
    </row>
    <row r="14463" spans="7:14" x14ac:dyDescent="0.3">
      <c r="G14463" s="1"/>
      <c r="N14463" s="1"/>
    </row>
    <row r="14464" spans="7:14" x14ac:dyDescent="0.3">
      <c r="G14464" s="1"/>
      <c r="N14464" s="1"/>
    </row>
    <row r="14465" spans="7:14" x14ac:dyDescent="0.3">
      <c r="G14465" s="1"/>
      <c r="N14465" s="1"/>
    </row>
    <row r="14466" spans="7:14" x14ac:dyDescent="0.3">
      <c r="G14466" s="1"/>
      <c r="N14466" s="1"/>
    </row>
    <row r="14467" spans="7:14" x14ac:dyDescent="0.3">
      <c r="G14467" s="1"/>
      <c r="N14467" s="1"/>
    </row>
    <row r="14468" spans="7:14" x14ac:dyDescent="0.3">
      <c r="G14468" s="1"/>
      <c r="N14468" s="1"/>
    </row>
    <row r="14469" spans="7:14" x14ac:dyDescent="0.3">
      <c r="G14469" s="1"/>
      <c r="N14469" s="1"/>
    </row>
    <row r="14470" spans="7:14" x14ac:dyDescent="0.3">
      <c r="G14470" s="1"/>
      <c r="N14470" s="1"/>
    </row>
    <row r="14471" spans="7:14" x14ac:dyDescent="0.3">
      <c r="G14471" s="1"/>
      <c r="N14471" s="1"/>
    </row>
    <row r="14472" spans="7:14" x14ac:dyDescent="0.3">
      <c r="G14472" s="1"/>
      <c r="N14472" s="1"/>
    </row>
    <row r="14473" spans="7:14" x14ac:dyDescent="0.3">
      <c r="G14473" s="1"/>
      <c r="N14473" s="1"/>
    </row>
    <row r="14474" spans="7:14" x14ac:dyDescent="0.3">
      <c r="G14474" s="1"/>
      <c r="N14474" s="1"/>
    </row>
    <row r="14475" spans="7:14" x14ac:dyDescent="0.3">
      <c r="G14475" s="1"/>
      <c r="N14475" s="1"/>
    </row>
    <row r="14476" spans="7:14" x14ac:dyDescent="0.3">
      <c r="G14476" s="1"/>
      <c r="N14476" s="1"/>
    </row>
    <row r="14477" spans="7:14" x14ac:dyDescent="0.3">
      <c r="G14477" s="1"/>
      <c r="N14477" s="1"/>
    </row>
    <row r="14478" spans="7:14" x14ac:dyDescent="0.3">
      <c r="G14478" s="1"/>
      <c r="N14478" s="1"/>
    </row>
    <row r="14479" spans="7:14" x14ac:dyDescent="0.3">
      <c r="G14479" s="1"/>
      <c r="N14479" s="1"/>
    </row>
    <row r="14480" spans="7:14" x14ac:dyDescent="0.3">
      <c r="G14480" s="1"/>
      <c r="N14480" s="1"/>
    </row>
    <row r="14481" spans="7:14" x14ac:dyDescent="0.3">
      <c r="G14481" s="1"/>
      <c r="N14481" s="1"/>
    </row>
    <row r="14482" spans="7:14" x14ac:dyDescent="0.3">
      <c r="G14482" s="1"/>
      <c r="N14482" s="1"/>
    </row>
    <row r="14483" spans="7:14" x14ac:dyDescent="0.3">
      <c r="G14483" s="1"/>
      <c r="N14483" s="1"/>
    </row>
    <row r="14484" spans="7:14" x14ac:dyDescent="0.3">
      <c r="G14484" s="1"/>
      <c r="N14484" s="1"/>
    </row>
    <row r="14485" spans="7:14" x14ac:dyDescent="0.3">
      <c r="G14485" s="1"/>
      <c r="N14485" s="1"/>
    </row>
    <row r="14486" spans="7:14" x14ac:dyDescent="0.3">
      <c r="G14486" s="1"/>
      <c r="N14486" s="1"/>
    </row>
    <row r="14487" spans="7:14" x14ac:dyDescent="0.3">
      <c r="G14487" s="1"/>
      <c r="N14487" s="1"/>
    </row>
    <row r="14488" spans="7:14" x14ac:dyDescent="0.3">
      <c r="G14488" s="1"/>
      <c r="N14488" s="1"/>
    </row>
    <row r="14489" spans="7:14" x14ac:dyDescent="0.3">
      <c r="G14489" s="1"/>
      <c r="N14489" s="1"/>
    </row>
    <row r="14490" spans="7:14" x14ac:dyDescent="0.3">
      <c r="G14490" s="1"/>
      <c r="N14490" s="1"/>
    </row>
    <row r="14491" spans="7:14" x14ac:dyDescent="0.3">
      <c r="G14491" s="1"/>
      <c r="N14491" s="1"/>
    </row>
    <row r="14492" spans="7:14" x14ac:dyDescent="0.3">
      <c r="G14492" s="1"/>
      <c r="N14492" s="1"/>
    </row>
    <row r="14493" spans="7:14" x14ac:dyDescent="0.3">
      <c r="G14493" s="1"/>
      <c r="N14493" s="1"/>
    </row>
    <row r="14494" spans="7:14" x14ac:dyDescent="0.3">
      <c r="G14494" s="1"/>
      <c r="N14494" s="1"/>
    </row>
    <row r="14495" spans="7:14" x14ac:dyDescent="0.3">
      <c r="G14495" s="1"/>
      <c r="N14495" s="1"/>
    </row>
    <row r="14496" spans="7:14" x14ac:dyDescent="0.3">
      <c r="G14496" s="1"/>
      <c r="N14496" s="1"/>
    </row>
    <row r="14497" spans="7:14" x14ac:dyDescent="0.3">
      <c r="G14497" s="1"/>
      <c r="N14497" s="1"/>
    </row>
    <row r="14498" spans="7:14" x14ac:dyDescent="0.3">
      <c r="G14498" s="1"/>
      <c r="N14498" s="1"/>
    </row>
    <row r="14499" spans="7:14" x14ac:dyDescent="0.3">
      <c r="G14499" s="1"/>
      <c r="N14499" s="1"/>
    </row>
    <row r="14500" spans="7:14" x14ac:dyDescent="0.3">
      <c r="G14500" s="1"/>
      <c r="N14500" s="1"/>
    </row>
    <row r="14501" spans="7:14" x14ac:dyDescent="0.3">
      <c r="G14501" s="1"/>
      <c r="N14501" s="1"/>
    </row>
    <row r="14502" spans="7:14" x14ac:dyDescent="0.3">
      <c r="G14502" s="1"/>
      <c r="N14502" s="1"/>
    </row>
    <row r="14503" spans="7:14" x14ac:dyDescent="0.3">
      <c r="G14503" s="1"/>
      <c r="N14503" s="1"/>
    </row>
    <row r="14504" spans="7:14" x14ac:dyDescent="0.3">
      <c r="G14504" s="1"/>
      <c r="N14504" s="1"/>
    </row>
    <row r="14505" spans="7:14" x14ac:dyDescent="0.3">
      <c r="G14505" s="1"/>
      <c r="N14505" s="1"/>
    </row>
    <row r="14506" spans="7:14" x14ac:dyDescent="0.3">
      <c r="G14506" s="1"/>
      <c r="N14506" s="1"/>
    </row>
    <row r="14507" spans="7:14" x14ac:dyDescent="0.3">
      <c r="G14507" s="1"/>
      <c r="N14507" s="1"/>
    </row>
    <row r="14508" spans="7:14" x14ac:dyDescent="0.3">
      <c r="G14508" s="1"/>
      <c r="N14508" s="1"/>
    </row>
    <row r="14509" spans="7:14" x14ac:dyDescent="0.3">
      <c r="G14509" s="1"/>
      <c r="N14509" s="1"/>
    </row>
    <row r="14510" spans="7:14" x14ac:dyDescent="0.3">
      <c r="G14510" s="1"/>
      <c r="N14510" s="1"/>
    </row>
    <row r="14511" spans="7:14" x14ac:dyDescent="0.3">
      <c r="G14511" s="1"/>
      <c r="N14511" s="1"/>
    </row>
    <row r="14512" spans="7:14" x14ac:dyDescent="0.3">
      <c r="G14512" s="1"/>
      <c r="N14512" s="1"/>
    </row>
    <row r="14513" spans="7:14" x14ac:dyDescent="0.3">
      <c r="G14513" s="1"/>
      <c r="N14513" s="1"/>
    </row>
    <row r="14514" spans="7:14" x14ac:dyDescent="0.3">
      <c r="G14514" s="1"/>
      <c r="N14514" s="1"/>
    </row>
    <row r="14515" spans="7:14" x14ac:dyDescent="0.3">
      <c r="G14515" s="1"/>
      <c r="N14515" s="1"/>
    </row>
    <row r="14516" spans="7:14" x14ac:dyDescent="0.3">
      <c r="G14516" s="1"/>
      <c r="N14516" s="1"/>
    </row>
    <row r="14517" spans="7:14" x14ac:dyDescent="0.3">
      <c r="G14517" s="1"/>
      <c r="N14517" s="1"/>
    </row>
    <row r="14518" spans="7:14" x14ac:dyDescent="0.3">
      <c r="G14518" s="1"/>
      <c r="N14518" s="1"/>
    </row>
    <row r="14519" spans="7:14" x14ac:dyDescent="0.3">
      <c r="G14519" s="1"/>
      <c r="N14519" s="1"/>
    </row>
    <row r="14520" spans="7:14" x14ac:dyDescent="0.3">
      <c r="G14520" s="1"/>
      <c r="N14520" s="1"/>
    </row>
    <row r="14521" spans="7:14" x14ac:dyDescent="0.3">
      <c r="G14521" s="1"/>
      <c r="N14521" s="1"/>
    </row>
    <row r="14522" spans="7:14" x14ac:dyDescent="0.3">
      <c r="G14522" s="1"/>
      <c r="N14522" s="1"/>
    </row>
    <row r="14523" spans="7:14" x14ac:dyDescent="0.3">
      <c r="G14523" s="1"/>
      <c r="N14523" s="1"/>
    </row>
    <row r="14524" spans="7:14" x14ac:dyDescent="0.3">
      <c r="G14524" s="1"/>
      <c r="N14524" s="1"/>
    </row>
    <row r="14525" spans="7:14" x14ac:dyDescent="0.3">
      <c r="G14525" s="1"/>
      <c r="N14525" s="1"/>
    </row>
    <row r="14526" spans="7:14" x14ac:dyDescent="0.3">
      <c r="G14526" s="1"/>
      <c r="N14526" s="1"/>
    </row>
    <row r="14527" spans="7:14" x14ac:dyDescent="0.3">
      <c r="G14527" s="1"/>
      <c r="N14527" s="1"/>
    </row>
    <row r="14528" spans="7:14" x14ac:dyDescent="0.3">
      <c r="G14528" s="1"/>
      <c r="N14528" s="1"/>
    </row>
    <row r="14529" spans="7:14" x14ac:dyDescent="0.3">
      <c r="G14529" s="1"/>
      <c r="N14529" s="1"/>
    </row>
    <row r="14530" spans="7:14" x14ac:dyDescent="0.3">
      <c r="G14530" s="1"/>
      <c r="N14530" s="1"/>
    </row>
    <row r="14531" spans="7:14" x14ac:dyDescent="0.3">
      <c r="G14531" s="1"/>
      <c r="N14531" s="1"/>
    </row>
    <row r="14532" spans="7:14" x14ac:dyDescent="0.3">
      <c r="G14532" s="1"/>
      <c r="N14532" s="1"/>
    </row>
    <row r="14533" spans="7:14" x14ac:dyDescent="0.3">
      <c r="G14533" s="1"/>
      <c r="N14533" s="1"/>
    </row>
    <row r="14534" spans="7:14" x14ac:dyDescent="0.3">
      <c r="G14534" s="1"/>
      <c r="N14534" s="1"/>
    </row>
    <row r="14535" spans="7:14" x14ac:dyDescent="0.3">
      <c r="G14535" s="1"/>
      <c r="N14535" s="1"/>
    </row>
    <row r="14536" spans="7:14" x14ac:dyDescent="0.3">
      <c r="G14536" s="1"/>
      <c r="N14536" s="1"/>
    </row>
    <row r="14537" spans="7:14" x14ac:dyDescent="0.3">
      <c r="G14537" s="1"/>
      <c r="N14537" s="1"/>
    </row>
    <row r="14538" spans="7:14" x14ac:dyDescent="0.3">
      <c r="G14538" s="1"/>
      <c r="N14538" s="1"/>
    </row>
    <row r="14539" spans="7:14" x14ac:dyDescent="0.3">
      <c r="G14539" s="1"/>
      <c r="N14539" s="1"/>
    </row>
    <row r="14540" spans="7:14" x14ac:dyDescent="0.3">
      <c r="G14540" s="1"/>
      <c r="N14540" s="1"/>
    </row>
    <row r="14541" spans="7:14" x14ac:dyDescent="0.3">
      <c r="G14541" s="1"/>
      <c r="N14541" s="1"/>
    </row>
    <row r="14542" spans="7:14" x14ac:dyDescent="0.3">
      <c r="G14542" s="1"/>
      <c r="N14542" s="1"/>
    </row>
    <row r="14543" spans="7:14" x14ac:dyDescent="0.3">
      <c r="G14543" s="1"/>
      <c r="N14543" s="1"/>
    </row>
    <row r="14544" spans="7:14" x14ac:dyDescent="0.3">
      <c r="G14544" s="1"/>
      <c r="N14544" s="1"/>
    </row>
    <row r="14545" spans="7:14" x14ac:dyDescent="0.3">
      <c r="G14545" s="1"/>
      <c r="N14545" s="1"/>
    </row>
    <row r="14546" spans="7:14" x14ac:dyDescent="0.3">
      <c r="G14546" s="1"/>
      <c r="N14546" s="1"/>
    </row>
    <row r="14547" spans="7:14" x14ac:dyDescent="0.3">
      <c r="G14547" s="1"/>
      <c r="N14547" s="1"/>
    </row>
    <row r="14548" spans="7:14" x14ac:dyDescent="0.3">
      <c r="G14548" s="1"/>
      <c r="N14548" s="1"/>
    </row>
    <row r="14549" spans="7:14" x14ac:dyDescent="0.3">
      <c r="G14549" s="1"/>
      <c r="N14549" s="1"/>
    </row>
    <row r="14550" spans="7:14" x14ac:dyDescent="0.3">
      <c r="G14550" s="1"/>
      <c r="N14550" s="1"/>
    </row>
    <row r="14551" spans="7:14" x14ac:dyDescent="0.3">
      <c r="G14551" s="1"/>
      <c r="N14551" s="1"/>
    </row>
    <row r="14552" spans="7:14" x14ac:dyDescent="0.3">
      <c r="G14552" s="1"/>
      <c r="N14552" s="1"/>
    </row>
    <row r="14553" spans="7:14" x14ac:dyDescent="0.3">
      <c r="G14553" s="1"/>
      <c r="N14553" s="1"/>
    </row>
    <row r="14554" spans="7:14" x14ac:dyDescent="0.3">
      <c r="G14554" s="1"/>
      <c r="N14554" s="1"/>
    </row>
    <row r="14555" spans="7:14" x14ac:dyDescent="0.3">
      <c r="G14555" s="1"/>
      <c r="N14555" s="1"/>
    </row>
    <row r="14556" spans="7:14" x14ac:dyDescent="0.3">
      <c r="G14556" s="1"/>
      <c r="N14556" s="1"/>
    </row>
    <row r="14557" spans="7:14" x14ac:dyDescent="0.3">
      <c r="G14557" s="1"/>
      <c r="N14557" s="1"/>
    </row>
    <row r="14558" spans="7:14" x14ac:dyDescent="0.3">
      <c r="G14558" s="1"/>
      <c r="N14558" s="1"/>
    </row>
    <row r="14559" spans="7:14" x14ac:dyDescent="0.3">
      <c r="G14559" s="1"/>
      <c r="N14559" s="1"/>
    </row>
    <row r="14560" spans="7:14" x14ac:dyDescent="0.3">
      <c r="G14560" s="1"/>
      <c r="N14560" s="1"/>
    </row>
    <row r="14561" spans="7:14" x14ac:dyDescent="0.3">
      <c r="G14561" s="1"/>
      <c r="N14561" s="1"/>
    </row>
    <row r="14562" spans="7:14" x14ac:dyDescent="0.3">
      <c r="G14562" s="1"/>
      <c r="N14562" s="1"/>
    </row>
    <row r="14563" spans="7:14" x14ac:dyDescent="0.3">
      <c r="G14563" s="1"/>
      <c r="N14563" s="1"/>
    </row>
    <row r="14564" spans="7:14" x14ac:dyDescent="0.3">
      <c r="G14564" s="1"/>
      <c r="N14564" s="1"/>
    </row>
    <row r="14565" spans="7:14" x14ac:dyDescent="0.3">
      <c r="G14565" s="1"/>
      <c r="N14565" s="1"/>
    </row>
    <row r="14566" spans="7:14" x14ac:dyDescent="0.3">
      <c r="G14566" s="1"/>
      <c r="N14566" s="1"/>
    </row>
    <row r="14567" spans="7:14" x14ac:dyDescent="0.3">
      <c r="G14567" s="1"/>
      <c r="N14567" s="1"/>
    </row>
    <row r="14568" spans="7:14" x14ac:dyDescent="0.3">
      <c r="G14568" s="1"/>
      <c r="N14568" s="1"/>
    </row>
    <row r="14569" spans="7:14" x14ac:dyDescent="0.3">
      <c r="G14569" s="1"/>
      <c r="N14569" s="1"/>
    </row>
    <row r="14570" spans="7:14" x14ac:dyDescent="0.3">
      <c r="G14570" s="1"/>
      <c r="N14570" s="1"/>
    </row>
    <row r="14571" spans="7:14" x14ac:dyDescent="0.3">
      <c r="G14571" s="1"/>
      <c r="N14571" s="1"/>
    </row>
    <row r="14572" spans="7:14" x14ac:dyDescent="0.3">
      <c r="G14572" s="1"/>
      <c r="N14572" s="1"/>
    </row>
    <row r="14573" spans="7:14" x14ac:dyDescent="0.3">
      <c r="G14573" s="1"/>
      <c r="N14573" s="1"/>
    </row>
    <row r="14574" spans="7:14" x14ac:dyDescent="0.3">
      <c r="G14574" s="1"/>
      <c r="N14574" s="1"/>
    </row>
    <row r="14575" spans="7:14" x14ac:dyDescent="0.3">
      <c r="G14575" s="1"/>
      <c r="N14575" s="1"/>
    </row>
    <row r="14576" spans="7:14" x14ac:dyDescent="0.3">
      <c r="G14576" s="1"/>
      <c r="N14576" s="1"/>
    </row>
    <row r="14577" spans="7:14" x14ac:dyDescent="0.3">
      <c r="G14577" s="1"/>
      <c r="N14577" s="1"/>
    </row>
    <row r="14578" spans="7:14" x14ac:dyDescent="0.3">
      <c r="G14578" s="1"/>
      <c r="N14578" s="1"/>
    </row>
    <row r="14579" spans="7:14" x14ac:dyDescent="0.3">
      <c r="G14579" s="1"/>
      <c r="N14579" s="1"/>
    </row>
    <row r="14580" spans="7:14" x14ac:dyDescent="0.3">
      <c r="G14580" s="1"/>
      <c r="N14580" s="1"/>
    </row>
    <row r="14581" spans="7:14" x14ac:dyDescent="0.3">
      <c r="G14581" s="1"/>
      <c r="N14581" s="1"/>
    </row>
    <row r="14582" spans="7:14" x14ac:dyDescent="0.3">
      <c r="G14582" s="1"/>
      <c r="N14582" s="1"/>
    </row>
    <row r="14583" spans="7:14" x14ac:dyDescent="0.3">
      <c r="G14583" s="1"/>
      <c r="N14583" s="1"/>
    </row>
    <row r="14584" spans="7:14" x14ac:dyDescent="0.3">
      <c r="G14584" s="1"/>
      <c r="N14584" s="1"/>
    </row>
    <row r="14585" spans="7:14" x14ac:dyDescent="0.3">
      <c r="G14585" s="1"/>
      <c r="N14585" s="1"/>
    </row>
    <row r="14586" spans="7:14" x14ac:dyDescent="0.3">
      <c r="G14586" s="1"/>
      <c r="N14586" s="1"/>
    </row>
    <row r="14587" spans="7:14" x14ac:dyDescent="0.3">
      <c r="G14587" s="1"/>
      <c r="N14587" s="1"/>
    </row>
    <row r="14588" spans="7:14" x14ac:dyDescent="0.3">
      <c r="G14588" s="1"/>
      <c r="N14588" s="1"/>
    </row>
    <row r="14589" spans="7:14" x14ac:dyDescent="0.3">
      <c r="G14589" s="1"/>
      <c r="N14589" s="1"/>
    </row>
    <row r="14590" spans="7:14" x14ac:dyDescent="0.3">
      <c r="G14590" s="1"/>
      <c r="N14590" s="1"/>
    </row>
    <row r="14591" spans="7:14" x14ac:dyDescent="0.3">
      <c r="G14591" s="1"/>
      <c r="N14591" s="1"/>
    </row>
    <row r="14592" spans="7:14" x14ac:dyDescent="0.3">
      <c r="G14592" s="1"/>
      <c r="N14592" s="1"/>
    </row>
    <row r="14593" spans="7:14" x14ac:dyDescent="0.3">
      <c r="G14593" s="1"/>
      <c r="N14593" s="1"/>
    </row>
    <row r="14594" spans="7:14" x14ac:dyDescent="0.3">
      <c r="G14594" s="1"/>
      <c r="N14594" s="1"/>
    </row>
    <row r="14595" spans="7:14" x14ac:dyDescent="0.3">
      <c r="G14595" s="1"/>
      <c r="N14595" s="1"/>
    </row>
    <row r="14596" spans="7:14" x14ac:dyDescent="0.3">
      <c r="G14596" s="1"/>
      <c r="N14596" s="1"/>
    </row>
    <row r="14597" spans="7:14" x14ac:dyDescent="0.3">
      <c r="G14597" s="1"/>
      <c r="N14597" s="1"/>
    </row>
    <row r="14598" spans="7:14" x14ac:dyDescent="0.3">
      <c r="G14598" s="1"/>
      <c r="N14598" s="1"/>
    </row>
    <row r="14599" spans="7:14" x14ac:dyDescent="0.3">
      <c r="G14599" s="1"/>
      <c r="N14599" s="1"/>
    </row>
    <row r="14600" spans="7:14" x14ac:dyDescent="0.3">
      <c r="G14600" s="1"/>
      <c r="N14600" s="1"/>
    </row>
    <row r="14601" spans="7:14" x14ac:dyDescent="0.3">
      <c r="G14601" s="1"/>
      <c r="N14601" s="1"/>
    </row>
    <row r="14602" spans="7:14" x14ac:dyDescent="0.3">
      <c r="G14602" s="1"/>
      <c r="N14602" s="1"/>
    </row>
    <row r="14603" spans="7:14" x14ac:dyDescent="0.3">
      <c r="G14603" s="1"/>
      <c r="N14603" s="1"/>
    </row>
    <row r="14604" spans="7:14" x14ac:dyDescent="0.3">
      <c r="G14604" s="1"/>
      <c r="N14604" s="1"/>
    </row>
    <row r="14605" spans="7:14" x14ac:dyDescent="0.3">
      <c r="G14605" s="1"/>
      <c r="N14605" s="1"/>
    </row>
    <row r="14606" spans="7:14" x14ac:dyDescent="0.3">
      <c r="G14606" s="1"/>
      <c r="N14606" s="1"/>
    </row>
    <row r="14607" spans="7:14" x14ac:dyDescent="0.3">
      <c r="G14607" s="1"/>
      <c r="N14607" s="1"/>
    </row>
    <row r="14608" spans="7:14" x14ac:dyDescent="0.3">
      <c r="G14608" s="1"/>
      <c r="N14608" s="1"/>
    </row>
    <row r="14609" spans="7:14" x14ac:dyDescent="0.3">
      <c r="G14609" s="1"/>
      <c r="N14609" s="1"/>
    </row>
    <row r="14610" spans="7:14" x14ac:dyDescent="0.3">
      <c r="G14610" s="1"/>
      <c r="N14610" s="1"/>
    </row>
    <row r="14611" spans="7:14" x14ac:dyDescent="0.3">
      <c r="G14611" s="1"/>
      <c r="N14611" s="1"/>
    </row>
    <row r="14612" spans="7:14" x14ac:dyDescent="0.3">
      <c r="G14612" s="1"/>
      <c r="N14612" s="1"/>
    </row>
    <row r="14613" spans="7:14" x14ac:dyDescent="0.3">
      <c r="G14613" s="1"/>
      <c r="N14613" s="1"/>
    </row>
    <row r="14614" spans="7:14" x14ac:dyDescent="0.3">
      <c r="G14614" s="1"/>
      <c r="N14614" s="1"/>
    </row>
    <row r="14615" spans="7:14" x14ac:dyDescent="0.3">
      <c r="G14615" s="1"/>
      <c r="N14615" s="1"/>
    </row>
    <row r="14616" spans="7:14" x14ac:dyDescent="0.3">
      <c r="G14616" s="1"/>
      <c r="N14616" s="1"/>
    </row>
    <row r="14617" spans="7:14" x14ac:dyDescent="0.3">
      <c r="G14617" s="1"/>
      <c r="N14617" s="1"/>
    </row>
    <row r="14618" spans="7:14" x14ac:dyDescent="0.3">
      <c r="G14618" s="1"/>
      <c r="N14618" s="1"/>
    </row>
    <row r="14619" spans="7:14" x14ac:dyDescent="0.3">
      <c r="G14619" s="1"/>
      <c r="N14619" s="1"/>
    </row>
    <row r="14620" spans="7:14" x14ac:dyDescent="0.3">
      <c r="G14620" s="1"/>
      <c r="N14620" s="1"/>
    </row>
    <row r="14621" spans="7:14" x14ac:dyDescent="0.3">
      <c r="G14621" s="1"/>
      <c r="N14621" s="1"/>
    </row>
    <row r="14622" spans="7:14" x14ac:dyDescent="0.3">
      <c r="G14622" s="1"/>
      <c r="N14622" s="1"/>
    </row>
    <row r="14623" spans="7:14" x14ac:dyDescent="0.3">
      <c r="G14623" s="1"/>
      <c r="N14623" s="1"/>
    </row>
    <row r="14624" spans="7:14" x14ac:dyDescent="0.3">
      <c r="G14624" s="1"/>
      <c r="N14624" s="1"/>
    </row>
    <row r="14625" spans="7:14" x14ac:dyDescent="0.3">
      <c r="G14625" s="1"/>
      <c r="N14625" s="1"/>
    </row>
    <row r="14626" spans="7:14" x14ac:dyDescent="0.3">
      <c r="G14626" s="1"/>
      <c r="N14626" s="1"/>
    </row>
    <row r="14627" spans="7:14" x14ac:dyDescent="0.3">
      <c r="G14627" s="1"/>
      <c r="N14627" s="1"/>
    </row>
    <row r="14628" spans="7:14" x14ac:dyDescent="0.3">
      <c r="G14628" s="1"/>
      <c r="N14628" s="1"/>
    </row>
    <row r="14629" spans="7:14" x14ac:dyDescent="0.3">
      <c r="G14629" s="1"/>
      <c r="N14629" s="1"/>
    </row>
    <row r="14630" spans="7:14" x14ac:dyDescent="0.3">
      <c r="G14630" s="1"/>
      <c r="N14630" s="1"/>
    </row>
    <row r="14631" spans="7:14" x14ac:dyDescent="0.3">
      <c r="G14631" s="1"/>
      <c r="N14631" s="1"/>
    </row>
    <row r="14632" spans="7:14" x14ac:dyDescent="0.3">
      <c r="G14632" s="1"/>
      <c r="N14632" s="1"/>
    </row>
    <row r="14633" spans="7:14" x14ac:dyDescent="0.3">
      <c r="G14633" s="1"/>
      <c r="N14633" s="1"/>
    </row>
    <row r="14634" spans="7:14" x14ac:dyDescent="0.3">
      <c r="G14634" s="1"/>
      <c r="N14634" s="1"/>
    </row>
    <row r="14635" spans="7:14" x14ac:dyDescent="0.3">
      <c r="G14635" s="1"/>
      <c r="N14635" s="1"/>
    </row>
    <row r="14636" spans="7:14" x14ac:dyDescent="0.3">
      <c r="G14636" s="1"/>
      <c r="N14636" s="1"/>
    </row>
    <row r="14637" spans="7:14" x14ac:dyDescent="0.3">
      <c r="G14637" s="1"/>
      <c r="N14637" s="1"/>
    </row>
    <row r="14638" spans="7:14" x14ac:dyDescent="0.3">
      <c r="G14638" s="1"/>
      <c r="N14638" s="1"/>
    </row>
    <row r="14639" spans="7:14" x14ac:dyDescent="0.3">
      <c r="G14639" s="1"/>
      <c r="N14639" s="1"/>
    </row>
    <row r="14640" spans="7:14" x14ac:dyDescent="0.3">
      <c r="G14640" s="1"/>
      <c r="N14640" s="1"/>
    </row>
    <row r="14641" spans="7:14" x14ac:dyDescent="0.3">
      <c r="G14641" s="1"/>
      <c r="N14641" s="1"/>
    </row>
    <row r="14642" spans="7:14" x14ac:dyDescent="0.3">
      <c r="G14642" s="1"/>
      <c r="N14642" s="1"/>
    </row>
    <row r="14643" spans="7:14" x14ac:dyDescent="0.3">
      <c r="G14643" s="1"/>
      <c r="N14643" s="1"/>
    </row>
    <row r="14644" spans="7:14" x14ac:dyDescent="0.3">
      <c r="G14644" s="1"/>
      <c r="N14644" s="1"/>
    </row>
    <row r="14645" spans="7:14" x14ac:dyDescent="0.3">
      <c r="G14645" s="1"/>
      <c r="N14645" s="1"/>
    </row>
    <row r="14646" spans="7:14" x14ac:dyDescent="0.3">
      <c r="G14646" s="1"/>
      <c r="N14646" s="1"/>
    </row>
    <row r="14647" spans="7:14" x14ac:dyDescent="0.3">
      <c r="G14647" s="1"/>
      <c r="N14647" s="1"/>
    </row>
    <row r="14648" spans="7:14" x14ac:dyDescent="0.3">
      <c r="G14648" s="1"/>
      <c r="N14648" s="1"/>
    </row>
    <row r="14649" spans="7:14" x14ac:dyDescent="0.3">
      <c r="G14649" s="1"/>
      <c r="N14649" s="1"/>
    </row>
    <row r="14650" spans="7:14" x14ac:dyDescent="0.3">
      <c r="G14650" s="1"/>
      <c r="N14650" s="1"/>
    </row>
    <row r="14651" spans="7:14" x14ac:dyDescent="0.3">
      <c r="G14651" s="1"/>
      <c r="N14651" s="1"/>
    </row>
    <row r="14652" spans="7:14" x14ac:dyDescent="0.3">
      <c r="G14652" s="1"/>
      <c r="N14652" s="1"/>
    </row>
    <row r="14653" spans="7:14" x14ac:dyDescent="0.3">
      <c r="G14653" s="1"/>
      <c r="N14653" s="1"/>
    </row>
    <row r="14654" spans="7:14" x14ac:dyDescent="0.3">
      <c r="G14654" s="1"/>
      <c r="N14654" s="1"/>
    </row>
    <row r="14655" spans="7:14" x14ac:dyDescent="0.3">
      <c r="G14655" s="1"/>
      <c r="N14655" s="1"/>
    </row>
    <row r="14656" spans="7:14" x14ac:dyDescent="0.3">
      <c r="G14656" s="1"/>
      <c r="N14656" s="1"/>
    </row>
    <row r="14657" spans="7:14" x14ac:dyDescent="0.3">
      <c r="G14657" s="1"/>
      <c r="N14657" s="1"/>
    </row>
    <row r="14658" spans="7:14" x14ac:dyDescent="0.3">
      <c r="G14658" s="1"/>
      <c r="N14658" s="1"/>
    </row>
    <row r="14659" spans="7:14" x14ac:dyDescent="0.3">
      <c r="G14659" s="1"/>
      <c r="N14659" s="1"/>
    </row>
    <row r="14660" spans="7:14" x14ac:dyDescent="0.3">
      <c r="G14660" s="1"/>
      <c r="N14660" s="1"/>
    </row>
    <row r="14661" spans="7:14" x14ac:dyDescent="0.3">
      <c r="G14661" s="1"/>
      <c r="N14661" s="1"/>
    </row>
    <row r="14662" spans="7:14" x14ac:dyDescent="0.3">
      <c r="G14662" s="1"/>
      <c r="N14662" s="1"/>
    </row>
    <row r="14663" spans="7:14" x14ac:dyDescent="0.3">
      <c r="G14663" s="1"/>
      <c r="N14663" s="1"/>
    </row>
    <row r="14664" spans="7:14" x14ac:dyDescent="0.3">
      <c r="G14664" s="1"/>
      <c r="N14664" s="1"/>
    </row>
    <row r="14665" spans="7:14" x14ac:dyDescent="0.3">
      <c r="G14665" s="1"/>
      <c r="N14665" s="1"/>
    </row>
    <row r="14666" spans="7:14" x14ac:dyDescent="0.3">
      <c r="G14666" s="1"/>
      <c r="N14666" s="1"/>
    </row>
    <row r="14667" spans="7:14" x14ac:dyDescent="0.3">
      <c r="G14667" s="1"/>
      <c r="N14667" s="1"/>
    </row>
    <row r="14668" spans="7:14" x14ac:dyDescent="0.3">
      <c r="G14668" s="1"/>
      <c r="N14668" s="1"/>
    </row>
    <row r="14669" spans="7:14" x14ac:dyDescent="0.3">
      <c r="G14669" s="1"/>
      <c r="N14669" s="1"/>
    </row>
    <row r="14670" spans="7:14" x14ac:dyDescent="0.3">
      <c r="G14670" s="1"/>
      <c r="N14670" s="1"/>
    </row>
    <row r="14671" spans="7:14" x14ac:dyDescent="0.3">
      <c r="G14671" s="1"/>
      <c r="N14671" s="1"/>
    </row>
    <row r="14672" spans="7:14" x14ac:dyDescent="0.3">
      <c r="G14672" s="1"/>
      <c r="N14672" s="1"/>
    </row>
    <row r="14673" spans="7:14" x14ac:dyDescent="0.3">
      <c r="G14673" s="1"/>
      <c r="N14673" s="1"/>
    </row>
    <row r="14674" spans="7:14" x14ac:dyDescent="0.3">
      <c r="G14674" s="1"/>
      <c r="N14674" s="1"/>
    </row>
    <row r="14675" spans="7:14" x14ac:dyDescent="0.3">
      <c r="G14675" s="1"/>
      <c r="N14675" s="1"/>
    </row>
    <row r="14676" spans="7:14" x14ac:dyDescent="0.3">
      <c r="G14676" s="1"/>
      <c r="N14676" s="1"/>
    </row>
    <row r="14677" spans="7:14" x14ac:dyDescent="0.3">
      <c r="G14677" s="1"/>
      <c r="N14677" s="1"/>
    </row>
    <row r="14678" spans="7:14" x14ac:dyDescent="0.3">
      <c r="G14678" s="1"/>
      <c r="N14678" s="1"/>
    </row>
    <row r="14679" spans="7:14" x14ac:dyDescent="0.3">
      <c r="G14679" s="1"/>
      <c r="N14679" s="1"/>
    </row>
    <row r="14680" spans="7:14" x14ac:dyDescent="0.3">
      <c r="G14680" s="1"/>
      <c r="N14680" s="1"/>
    </row>
    <row r="14681" spans="7:14" x14ac:dyDescent="0.3">
      <c r="G14681" s="1"/>
      <c r="N14681" s="1"/>
    </row>
    <row r="14682" spans="7:14" x14ac:dyDescent="0.3">
      <c r="G14682" s="1"/>
      <c r="N14682" s="1"/>
    </row>
    <row r="14683" spans="7:14" x14ac:dyDescent="0.3">
      <c r="G14683" s="1"/>
      <c r="N14683" s="1"/>
    </row>
    <row r="14684" spans="7:14" x14ac:dyDescent="0.3">
      <c r="G14684" s="1"/>
      <c r="N14684" s="1"/>
    </row>
    <row r="14685" spans="7:14" x14ac:dyDescent="0.3">
      <c r="G14685" s="1"/>
      <c r="N14685" s="1"/>
    </row>
    <row r="14686" spans="7:14" x14ac:dyDescent="0.3">
      <c r="G14686" s="1"/>
      <c r="N14686" s="1"/>
    </row>
    <row r="14687" spans="7:14" x14ac:dyDescent="0.3">
      <c r="G14687" s="1"/>
      <c r="N14687" s="1"/>
    </row>
    <row r="14688" spans="7:14" x14ac:dyDescent="0.3">
      <c r="G14688" s="1"/>
      <c r="N14688" s="1"/>
    </row>
    <row r="14689" spans="7:14" x14ac:dyDescent="0.3">
      <c r="G14689" s="1"/>
      <c r="N14689" s="1"/>
    </row>
    <row r="14690" spans="7:14" x14ac:dyDescent="0.3">
      <c r="G14690" s="1"/>
      <c r="N14690" s="1"/>
    </row>
    <row r="14691" spans="7:14" x14ac:dyDescent="0.3">
      <c r="G14691" s="1"/>
      <c r="N14691" s="1"/>
    </row>
    <row r="14692" spans="7:14" x14ac:dyDescent="0.3">
      <c r="G14692" s="1"/>
      <c r="N14692" s="1"/>
    </row>
    <row r="14693" spans="7:14" x14ac:dyDescent="0.3">
      <c r="G14693" s="1"/>
      <c r="N14693" s="1"/>
    </row>
    <row r="14694" spans="7:14" x14ac:dyDescent="0.3">
      <c r="G14694" s="1"/>
      <c r="N14694" s="1"/>
    </row>
    <row r="14695" spans="7:14" x14ac:dyDescent="0.3">
      <c r="G14695" s="1"/>
      <c r="N14695" s="1"/>
    </row>
    <row r="14696" spans="7:14" x14ac:dyDescent="0.3">
      <c r="G14696" s="1"/>
      <c r="N14696" s="1"/>
    </row>
    <row r="14697" spans="7:14" x14ac:dyDescent="0.3">
      <c r="G14697" s="1"/>
      <c r="N14697" s="1"/>
    </row>
    <row r="14698" spans="7:14" x14ac:dyDescent="0.3">
      <c r="G14698" s="1"/>
      <c r="N14698" s="1"/>
    </row>
    <row r="14699" spans="7:14" x14ac:dyDescent="0.3">
      <c r="G14699" s="1"/>
      <c r="N14699" s="1"/>
    </row>
    <row r="14700" spans="7:14" x14ac:dyDescent="0.3">
      <c r="G14700" s="1"/>
      <c r="N14700" s="1"/>
    </row>
    <row r="14701" spans="7:14" x14ac:dyDescent="0.3">
      <c r="G14701" s="1"/>
      <c r="N14701" s="1"/>
    </row>
    <row r="14702" spans="7:14" x14ac:dyDescent="0.3">
      <c r="G14702" s="1"/>
      <c r="N14702" s="1"/>
    </row>
    <row r="14703" spans="7:14" x14ac:dyDescent="0.3">
      <c r="G14703" s="1"/>
      <c r="N14703" s="1"/>
    </row>
    <row r="14704" spans="7:14" x14ac:dyDescent="0.3">
      <c r="G14704" s="1"/>
      <c r="N14704" s="1"/>
    </row>
    <row r="14705" spans="7:14" x14ac:dyDescent="0.3">
      <c r="G14705" s="1"/>
      <c r="N14705" s="1"/>
    </row>
    <row r="14706" spans="7:14" x14ac:dyDescent="0.3">
      <c r="G14706" s="1"/>
      <c r="N14706" s="1"/>
    </row>
    <row r="14707" spans="7:14" x14ac:dyDescent="0.3">
      <c r="G14707" s="1"/>
      <c r="N14707" s="1"/>
    </row>
    <row r="14708" spans="7:14" x14ac:dyDescent="0.3">
      <c r="G14708" s="1"/>
      <c r="N14708" s="1"/>
    </row>
    <row r="14709" spans="7:14" x14ac:dyDescent="0.3">
      <c r="G14709" s="1"/>
      <c r="N14709" s="1"/>
    </row>
    <row r="14710" spans="7:14" x14ac:dyDescent="0.3">
      <c r="G14710" s="1"/>
      <c r="N14710" s="1"/>
    </row>
    <row r="14711" spans="7:14" x14ac:dyDescent="0.3">
      <c r="G14711" s="1"/>
      <c r="N14711" s="1"/>
    </row>
    <row r="14712" spans="7:14" x14ac:dyDescent="0.3">
      <c r="G14712" s="1"/>
      <c r="N14712" s="1"/>
    </row>
    <row r="14713" spans="7:14" x14ac:dyDescent="0.3">
      <c r="G14713" s="1"/>
      <c r="N14713" s="1"/>
    </row>
    <row r="14714" spans="7:14" x14ac:dyDescent="0.3">
      <c r="G14714" s="1"/>
      <c r="N14714" s="1"/>
    </row>
    <row r="14715" spans="7:14" x14ac:dyDescent="0.3">
      <c r="G14715" s="1"/>
      <c r="N14715" s="1"/>
    </row>
    <row r="14716" spans="7:14" x14ac:dyDescent="0.3">
      <c r="G14716" s="1"/>
      <c r="N14716" s="1"/>
    </row>
    <row r="14717" spans="7:14" x14ac:dyDescent="0.3">
      <c r="G14717" s="1"/>
      <c r="N14717" s="1"/>
    </row>
    <row r="14718" spans="7:14" x14ac:dyDescent="0.3">
      <c r="G14718" s="1"/>
      <c r="N14718" s="1"/>
    </row>
    <row r="14719" spans="7:14" x14ac:dyDescent="0.3">
      <c r="G14719" s="1"/>
      <c r="N14719" s="1"/>
    </row>
    <row r="14720" spans="7:14" x14ac:dyDescent="0.3">
      <c r="G14720" s="1"/>
      <c r="N14720" s="1"/>
    </row>
    <row r="14721" spans="7:14" x14ac:dyDescent="0.3">
      <c r="G14721" s="1"/>
      <c r="N14721" s="1"/>
    </row>
    <row r="14722" spans="7:14" x14ac:dyDescent="0.3">
      <c r="G14722" s="1"/>
      <c r="N14722" s="1"/>
    </row>
    <row r="14723" spans="7:14" x14ac:dyDescent="0.3">
      <c r="G14723" s="1"/>
      <c r="N14723" s="1"/>
    </row>
    <row r="14724" spans="7:14" x14ac:dyDescent="0.3">
      <c r="G14724" s="1"/>
      <c r="N14724" s="1"/>
    </row>
    <row r="14725" spans="7:14" x14ac:dyDescent="0.3">
      <c r="G14725" s="1"/>
      <c r="N14725" s="1"/>
    </row>
    <row r="14726" spans="7:14" x14ac:dyDescent="0.3">
      <c r="G14726" s="1"/>
      <c r="N14726" s="1"/>
    </row>
    <row r="14727" spans="7:14" x14ac:dyDescent="0.3">
      <c r="G14727" s="1"/>
      <c r="N14727" s="1"/>
    </row>
    <row r="14728" spans="7:14" x14ac:dyDescent="0.3">
      <c r="G14728" s="1"/>
      <c r="N14728" s="1"/>
    </row>
    <row r="14729" spans="7:14" x14ac:dyDescent="0.3">
      <c r="G14729" s="1"/>
      <c r="N14729" s="1"/>
    </row>
    <row r="14730" spans="7:14" x14ac:dyDescent="0.3">
      <c r="G14730" s="1"/>
      <c r="N14730" s="1"/>
    </row>
    <row r="14731" spans="7:14" x14ac:dyDescent="0.3">
      <c r="G14731" s="1"/>
      <c r="N14731" s="1"/>
    </row>
    <row r="14732" spans="7:14" x14ac:dyDescent="0.3">
      <c r="G14732" s="1"/>
      <c r="N14732" s="1"/>
    </row>
    <row r="14733" spans="7:14" x14ac:dyDescent="0.3">
      <c r="G14733" s="1"/>
      <c r="N14733" s="1"/>
    </row>
    <row r="14734" spans="7:14" x14ac:dyDescent="0.3">
      <c r="G14734" s="1"/>
      <c r="N14734" s="1"/>
    </row>
    <row r="14735" spans="7:14" x14ac:dyDescent="0.3">
      <c r="G14735" s="1"/>
      <c r="N14735" s="1"/>
    </row>
    <row r="14736" spans="7:14" x14ac:dyDescent="0.3">
      <c r="G14736" s="1"/>
      <c r="N14736" s="1"/>
    </row>
    <row r="14737" spans="7:14" x14ac:dyDescent="0.3">
      <c r="G14737" s="1"/>
      <c r="N14737" s="1"/>
    </row>
    <row r="14738" spans="7:14" x14ac:dyDescent="0.3">
      <c r="G14738" s="1"/>
      <c r="N14738" s="1"/>
    </row>
    <row r="14739" spans="7:14" x14ac:dyDescent="0.3">
      <c r="G14739" s="1"/>
      <c r="N14739" s="1"/>
    </row>
    <row r="14740" spans="7:14" x14ac:dyDescent="0.3">
      <c r="G14740" s="1"/>
      <c r="N14740" s="1"/>
    </row>
    <row r="14741" spans="7:14" x14ac:dyDescent="0.3">
      <c r="G14741" s="1"/>
      <c r="N14741" s="1"/>
    </row>
    <row r="14742" spans="7:14" x14ac:dyDescent="0.3">
      <c r="G14742" s="1"/>
      <c r="N14742" s="1"/>
    </row>
    <row r="14743" spans="7:14" x14ac:dyDescent="0.3">
      <c r="G14743" s="1"/>
      <c r="N14743" s="1"/>
    </row>
    <row r="14744" spans="7:14" x14ac:dyDescent="0.3">
      <c r="G14744" s="1"/>
      <c r="N14744" s="1"/>
    </row>
    <row r="14745" spans="7:14" x14ac:dyDescent="0.3">
      <c r="G14745" s="1"/>
      <c r="N14745" s="1"/>
    </row>
    <row r="14746" spans="7:14" x14ac:dyDescent="0.3">
      <c r="G14746" s="1"/>
      <c r="N14746" s="1"/>
    </row>
    <row r="14747" spans="7:14" x14ac:dyDescent="0.3">
      <c r="G14747" s="1"/>
      <c r="N14747" s="1"/>
    </row>
    <row r="14748" spans="7:14" x14ac:dyDescent="0.3">
      <c r="G14748" s="1"/>
      <c r="N14748" s="1"/>
    </row>
    <row r="14749" spans="7:14" x14ac:dyDescent="0.3">
      <c r="G14749" s="1"/>
      <c r="N14749" s="1"/>
    </row>
    <row r="14750" spans="7:14" x14ac:dyDescent="0.3">
      <c r="G14750" s="1"/>
      <c r="N14750" s="1"/>
    </row>
    <row r="14751" spans="7:14" x14ac:dyDescent="0.3">
      <c r="G14751" s="1"/>
      <c r="N14751" s="1"/>
    </row>
    <row r="14752" spans="7:14" x14ac:dyDescent="0.3">
      <c r="G14752" s="1"/>
      <c r="N14752" s="1"/>
    </row>
    <row r="14753" spans="7:14" x14ac:dyDescent="0.3">
      <c r="G14753" s="1"/>
      <c r="N14753" s="1"/>
    </row>
    <row r="14754" spans="7:14" x14ac:dyDescent="0.3">
      <c r="G14754" s="1"/>
      <c r="N14754" s="1"/>
    </row>
    <row r="14755" spans="7:14" x14ac:dyDescent="0.3">
      <c r="G14755" s="1"/>
      <c r="N14755" s="1"/>
    </row>
    <row r="14756" spans="7:14" x14ac:dyDescent="0.3">
      <c r="G14756" s="1"/>
      <c r="N14756" s="1"/>
    </row>
    <row r="14757" spans="7:14" x14ac:dyDescent="0.3">
      <c r="G14757" s="1"/>
      <c r="N14757" s="1"/>
    </row>
    <row r="14758" spans="7:14" x14ac:dyDescent="0.3">
      <c r="G14758" s="1"/>
      <c r="N14758" s="1"/>
    </row>
    <row r="14759" spans="7:14" x14ac:dyDescent="0.3">
      <c r="G14759" s="1"/>
      <c r="N14759" s="1"/>
    </row>
    <row r="14760" spans="7:14" x14ac:dyDescent="0.3">
      <c r="G14760" s="1"/>
      <c r="N14760" s="1"/>
    </row>
    <row r="14761" spans="7:14" x14ac:dyDescent="0.3">
      <c r="G14761" s="1"/>
      <c r="N14761" s="1"/>
    </row>
    <row r="14762" spans="7:14" x14ac:dyDescent="0.3">
      <c r="G14762" s="1"/>
      <c r="N14762" s="1"/>
    </row>
    <row r="14763" spans="7:14" x14ac:dyDescent="0.3">
      <c r="G14763" s="1"/>
      <c r="N14763" s="1"/>
    </row>
    <row r="14764" spans="7:14" x14ac:dyDescent="0.3">
      <c r="G14764" s="1"/>
      <c r="N14764" s="1"/>
    </row>
    <row r="14765" spans="7:14" x14ac:dyDescent="0.3">
      <c r="G14765" s="1"/>
      <c r="N14765" s="1"/>
    </row>
    <row r="14766" spans="7:14" x14ac:dyDescent="0.3">
      <c r="G14766" s="1"/>
      <c r="N14766" s="1"/>
    </row>
    <row r="14767" spans="7:14" x14ac:dyDescent="0.3">
      <c r="G14767" s="1"/>
      <c r="N14767" s="1"/>
    </row>
    <row r="14768" spans="7:14" x14ac:dyDescent="0.3">
      <c r="G14768" s="1"/>
      <c r="N14768" s="1"/>
    </row>
    <row r="14769" spans="7:14" x14ac:dyDescent="0.3">
      <c r="G14769" s="1"/>
      <c r="N14769" s="1"/>
    </row>
    <row r="14770" spans="7:14" x14ac:dyDescent="0.3">
      <c r="G14770" s="1"/>
      <c r="N14770" s="1"/>
    </row>
    <row r="14771" spans="7:14" x14ac:dyDescent="0.3">
      <c r="G14771" s="1"/>
      <c r="N14771" s="1"/>
    </row>
    <row r="14772" spans="7:14" x14ac:dyDescent="0.3">
      <c r="G14772" s="1"/>
      <c r="N14772" s="1"/>
    </row>
    <row r="14773" spans="7:14" x14ac:dyDescent="0.3">
      <c r="G14773" s="1"/>
      <c r="N14773" s="1"/>
    </row>
    <row r="14774" spans="7:14" x14ac:dyDescent="0.3">
      <c r="G14774" s="1"/>
      <c r="N14774" s="1"/>
    </row>
    <row r="14775" spans="7:14" x14ac:dyDescent="0.3">
      <c r="G14775" s="1"/>
      <c r="N14775" s="1"/>
    </row>
    <row r="14776" spans="7:14" x14ac:dyDescent="0.3">
      <c r="G14776" s="1"/>
      <c r="N14776" s="1"/>
    </row>
    <row r="14777" spans="7:14" x14ac:dyDescent="0.3">
      <c r="G14777" s="1"/>
      <c r="N14777" s="1"/>
    </row>
    <row r="14778" spans="7:14" x14ac:dyDescent="0.3">
      <c r="G14778" s="1"/>
      <c r="N14778" s="1"/>
    </row>
    <row r="14779" spans="7:14" x14ac:dyDescent="0.3">
      <c r="G14779" s="1"/>
      <c r="N14779" s="1"/>
    </row>
    <row r="14780" spans="7:14" x14ac:dyDescent="0.3">
      <c r="G14780" s="1"/>
      <c r="N14780" s="1"/>
    </row>
    <row r="14781" spans="7:14" x14ac:dyDescent="0.3">
      <c r="G14781" s="1"/>
      <c r="N14781" s="1"/>
    </row>
    <row r="14782" spans="7:14" x14ac:dyDescent="0.3">
      <c r="G14782" s="1"/>
      <c r="N14782" s="1"/>
    </row>
    <row r="14783" spans="7:14" x14ac:dyDescent="0.3">
      <c r="G14783" s="1"/>
      <c r="N14783" s="1"/>
    </row>
    <row r="14784" spans="7:14" x14ac:dyDescent="0.3">
      <c r="G14784" s="1"/>
      <c r="N14784" s="1"/>
    </row>
    <row r="14785" spans="7:14" x14ac:dyDescent="0.3">
      <c r="G14785" s="1"/>
      <c r="N14785" s="1"/>
    </row>
    <row r="14786" spans="7:14" x14ac:dyDescent="0.3">
      <c r="G14786" s="1"/>
      <c r="N14786" s="1"/>
    </row>
    <row r="14787" spans="7:14" x14ac:dyDescent="0.3">
      <c r="G14787" s="1"/>
      <c r="N14787" s="1"/>
    </row>
    <row r="14788" spans="7:14" x14ac:dyDescent="0.3">
      <c r="G14788" s="1"/>
      <c r="N14788" s="1"/>
    </row>
    <row r="14789" spans="7:14" x14ac:dyDescent="0.3">
      <c r="G14789" s="1"/>
      <c r="N14789" s="1"/>
    </row>
    <row r="14790" spans="7:14" x14ac:dyDescent="0.3">
      <c r="G14790" s="1"/>
      <c r="N14790" s="1"/>
    </row>
    <row r="14791" spans="7:14" x14ac:dyDescent="0.3">
      <c r="G14791" s="1"/>
      <c r="N14791" s="1"/>
    </row>
    <row r="14792" spans="7:14" x14ac:dyDescent="0.3">
      <c r="G14792" s="1"/>
      <c r="N14792" s="1"/>
    </row>
    <row r="14793" spans="7:14" x14ac:dyDescent="0.3">
      <c r="G14793" s="1"/>
      <c r="N14793" s="1"/>
    </row>
    <row r="14794" spans="7:14" x14ac:dyDescent="0.3">
      <c r="G14794" s="1"/>
      <c r="N14794" s="1"/>
    </row>
    <row r="14795" spans="7:14" x14ac:dyDescent="0.3">
      <c r="G14795" s="1"/>
      <c r="N14795" s="1"/>
    </row>
    <row r="14796" spans="7:14" x14ac:dyDescent="0.3">
      <c r="G14796" s="1"/>
      <c r="N14796" s="1"/>
    </row>
    <row r="14797" spans="7:14" x14ac:dyDescent="0.3">
      <c r="G14797" s="1"/>
      <c r="N14797" s="1"/>
    </row>
    <row r="14798" spans="7:14" x14ac:dyDescent="0.3">
      <c r="G14798" s="1"/>
      <c r="N14798" s="1"/>
    </row>
    <row r="14799" spans="7:14" x14ac:dyDescent="0.3">
      <c r="G14799" s="1"/>
      <c r="N14799" s="1"/>
    </row>
    <row r="14800" spans="7:14" x14ac:dyDescent="0.3">
      <c r="G14800" s="1"/>
      <c r="N14800" s="1"/>
    </row>
    <row r="14801" spans="7:14" x14ac:dyDescent="0.3">
      <c r="G14801" s="1"/>
      <c r="N14801" s="1"/>
    </row>
    <row r="14802" spans="7:14" x14ac:dyDescent="0.3">
      <c r="G14802" s="1"/>
      <c r="N14802" s="1"/>
    </row>
    <row r="14803" spans="7:14" x14ac:dyDescent="0.3">
      <c r="G14803" s="1"/>
      <c r="N14803" s="1"/>
    </row>
    <row r="14804" spans="7:14" x14ac:dyDescent="0.3">
      <c r="G14804" s="1"/>
      <c r="N14804" s="1"/>
    </row>
    <row r="14805" spans="7:14" x14ac:dyDescent="0.3">
      <c r="G14805" s="1"/>
      <c r="N14805" s="1"/>
    </row>
    <row r="14806" spans="7:14" x14ac:dyDescent="0.3">
      <c r="G14806" s="1"/>
      <c r="N14806" s="1"/>
    </row>
    <row r="14807" spans="7:14" x14ac:dyDescent="0.3">
      <c r="G14807" s="1"/>
      <c r="N14807" s="1"/>
    </row>
    <row r="14808" spans="7:14" x14ac:dyDescent="0.3">
      <c r="G14808" s="1"/>
      <c r="N14808" s="1"/>
    </row>
    <row r="14809" spans="7:14" x14ac:dyDescent="0.3">
      <c r="G14809" s="1"/>
      <c r="N14809" s="1"/>
    </row>
    <row r="14810" spans="7:14" x14ac:dyDescent="0.3">
      <c r="G14810" s="1"/>
      <c r="N14810" s="1"/>
    </row>
    <row r="14811" spans="7:14" x14ac:dyDescent="0.3">
      <c r="G14811" s="1"/>
      <c r="N14811" s="1"/>
    </row>
    <row r="14812" spans="7:14" x14ac:dyDescent="0.3">
      <c r="G14812" s="1"/>
      <c r="N14812" s="1"/>
    </row>
    <row r="14813" spans="7:14" x14ac:dyDescent="0.3">
      <c r="G14813" s="1"/>
      <c r="N14813" s="1"/>
    </row>
    <row r="14814" spans="7:14" x14ac:dyDescent="0.3">
      <c r="G14814" s="1"/>
      <c r="N14814" s="1"/>
    </row>
    <row r="14815" spans="7:14" x14ac:dyDescent="0.3">
      <c r="G14815" s="1"/>
      <c r="N14815" s="1"/>
    </row>
    <row r="14816" spans="7:14" x14ac:dyDescent="0.3">
      <c r="G14816" s="1"/>
      <c r="N14816" s="1"/>
    </row>
    <row r="14817" spans="7:14" x14ac:dyDescent="0.3">
      <c r="G14817" s="1"/>
      <c r="N14817" s="1"/>
    </row>
    <row r="14818" spans="7:14" x14ac:dyDescent="0.3">
      <c r="G14818" s="1"/>
      <c r="N14818" s="1"/>
    </row>
    <row r="14819" spans="7:14" x14ac:dyDescent="0.3">
      <c r="G14819" s="1"/>
      <c r="N14819" s="1"/>
    </row>
    <row r="14820" spans="7:14" x14ac:dyDescent="0.3">
      <c r="G14820" s="1"/>
      <c r="N14820" s="1"/>
    </row>
    <row r="14821" spans="7:14" x14ac:dyDescent="0.3">
      <c r="G14821" s="1"/>
      <c r="N14821" s="1"/>
    </row>
    <row r="14822" spans="7:14" x14ac:dyDescent="0.3">
      <c r="G14822" s="1"/>
      <c r="N14822" s="1"/>
    </row>
    <row r="14823" spans="7:14" x14ac:dyDescent="0.3">
      <c r="G14823" s="1"/>
      <c r="N14823" s="1"/>
    </row>
    <row r="14824" spans="7:14" x14ac:dyDescent="0.3">
      <c r="G14824" s="1"/>
      <c r="N14824" s="1"/>
    </row>
    <row r="14825" spans="7:14" x14ac:dyDescent="0.3">
      <c r="G14825" s="1"/>
      <c r="N14825" s="1"/>
    </row>
    <row r="14826" spans="7:14" x14ac:dyDescent="0.3">
      <c r="G14826" s="1"/>
      <c r="N14826" s="1"/>
    </row>
    <row r="14827" spans="7:14" x14ac:dyDescent="0.3">
      <c r="G14827" s="1"/>
      <c r="N14827" s="1"/>
    </row>
    <row r="14828" spans="7:14" x14ac:dyDescent="0.3">
      <c r="G14828" s="1"/>
      <c r="N14828" s="1"/>
    </row>
    <row r="14829" spans="7:14" x14ac:dyDescent="0.3">
      <c r="G14829" s="1"/>
      <c r="N14829" s="1"/>
    </row>
    <row r="14830" spans="7:14" x14ac:dyDescent="0.3">
      <c r="G14830" s="1"/>
      <c r="N14830" s="1"/>
    </row>
    <row r="14831" spans="7:14" x14ac:dyDescent="0.3">
      <c r="G14831" s="1"/>
      <c r="N14831" s="1"/>
    </row>
    <row r="14832" spans="7:14" x14ac:dyDescent="0.3">
      <c r="G14832" s="1"/>
      <c r="N14832" s="1"/>
    </row>
    <row r="14833" spans="7:14" x14ac:dyDescent="0.3">
      <c r="G14833" s="1"/>
      <c r="N14833" s="1"/>
    </row>
    <row r="14834" spans="7:14" x14ac:dyDescent="0.3">
      <c r="G14834" s="1"/>
      <c r="N14834" s="1"/>
    </row>
    <row r="14835" spans="7:14" x14ac:dyDescent="0.3">
      <c r="G14835" s="1"/>
      <c r="N14835" s="1"/>
    </row>
    <row r="14836" spans="7:14" x14ac:dyDescent="0.3">
      <c r="G14836" s="1"/>
      <c r="N14836" s="1"/>
    </row>
    <row r="14837" spans="7:14" x14ac:dyDescent="0.3">
      <c r="G14837" s="1"/>
      <c r="N14837" s="1"/>
    </row>
    <row r="14838" spans="7:14" x14ac:dyDescent="0.3">
      <c r="G14838" s="1"/>
      <c r="N14838" s="1"/>
    </row>
    <row r="14839" spans="7:14" x14ac:dyDescent="0.3">
      <c r="G14839" s="1"/>
      <c r="N14839" s="1"/>
    </row>
    <row r="14840" spans="7:14" x14ac:dyDescent="0.3">
      <c r="G14840" s="1"/>
      <c r="N14840" s="1"/>
    </row>
    <row r="14841" spans="7:14" x14ac:dyDescent="0.3">
      <c r="G14841" s="1"/>
      <c r="N14841" s="1"/>
    </row>
    <row r="14842" spans="7:14" x14ac:dyDescent="0.3">
      <c r="G14842" s="1"/>
      <c r="N14842" s="1"/>
    </row>
    <row r="14843" spans="7:14" x14ac:dyDescent="0.3">
      <c r="G14843" s="1"/>
      <c r="N14843" s="1"/>
    </row>
    <row r="14844" spans="7:14" x14ac:dyDescent="0.3">
      <c r="G14844" s="1"/>
      <c r="N14844" s="1"/>
    </row>
    <row r="14845" spans="7:14" x14ac:dyDescent="0.3">
      <c r="G14845" s="1"/>
      <c r="N14845" s="1"/>
    </row>
    <row r="14846" spans="7:14" x14ac:dyDescent="0.3">
      <c r="G14846" s="1"/>
      <c r="N14846" s="1"/>
    </row>
    <row r="14847" spans="7:14" x14ac:dyDescent="0.3">
      <c r="G14847" s="1"/>
      <c r="N14847" s="1"/>
    </row>
    <row r="14848" spans="7:14" x14ac:dyDescent="0.3">
      <c r="G14848" s="1"/>
      <c r="N14848" s="1"/>
    </row>
    <row r="14849" spans="7:14" x14ac:dyDescent="0.3">
      <c r="G14849" s="1"/>
      <c r="N14849" s="1"/>
    </row>
    <row r="14850" spans="7:14" x14ac:dyDescent="0.3">
      <c r="G14850" s="1"/>
      <c r="N14850" s="1"/>
    </row>
    <row r="14851" spans="7:14" x14ac:dyDescent="0.3">
      <c r="G14851" s="1"/>
      <c r="N14851" s="1"/>
    </row>
    <row r="14852" spans="7:14" x14ac:dyDescent="0.3">
      <c r="G14852" s="1"/>
      <c r="N14852" s="1"/>
    </row>
    <row r="14853" spans="7:14" x14ac:dyDescent="0.3">
      <c r="G14853" s="1"/>
      <c r="N14853" s="1"/>
    </row>
    <row r="14854" spans="7:14" x14ac:dyDescent="0.3">
      <c r="G14854" s="1"/>
      <c r="N14854" s="1"/>
    </row>
    <row r="14855" spans="7:14" x14ac:dyDescent="0.3">
      <c r="G14855" s="1"/>
      <c r="N14855" s="1"/>
    </row>
    <row r="14856" spans="7:14" x14ac:dyDescent="0.3">
      <c r="G14856" s="1"/>
      <c r="N14856" s="1"/>
    </row>
    <row r="14857" spans="7:14" x14ac:dyDescent="0.3">
      <c r="G14857" s="1"/>
      <c r="N14857" s="1"/>
    </row>
    <row r="14858" spans="7:14" x14ac:dyDescent="0.3">
      <c r="G14858" s="1"/>
      <c r="N14858" s="1"/>
    </row>
    <row r="14859" spans="7:14" x14ac:dyDescent="0.3">
      <c r="G14859" s="1"/>
      <c r="N14859" s="1"/>
    </row>
    <row r="14860" spans="7:14" x14ac:dyDescent="0.3">
      <c r="G14860" s="1"/>
      <c r="N14860" s="1"/>
    </row>
    <row r="14861" spans="7:14" x14ac:dyDescent="0.3">
      <c r="G14861" s="1"/>
      <c r="N14861" s="1"/>
    </row>
    <row r="14862" spans="7:14" x14ac:dyDescent="0.3">
      <c r="G14862" s="1"/>
      <c r="N14862" s="1"/>
    </row>
    <row r="14863" spans="7:14" x14ac:dyDescent="0.3">
      <c r="G14863" s="1"/>
      <c r="N14863" s="1"/>
    </row>
    <row r="14864" spans="7:14" x14ac:dyDescent="0.3">
      <c r="G14864" s="1"/>
      <c r="N14864" s="1"/>
    </row>
    <row r="14865" spans="7:14" x14ac:dyDescent="0.3">
      <c r="G14865" s="1"/>
      <c r="N14865" s="1"/>
    </row>
    <row r="14866" spans="7:14" x14ac:dyDescent="0.3">
      <c r="G14866" s="1"/>
      <c r="N14866" s="1"/>
    </row>
    <row r="14867" spans="7:14" x14ac:dyDescent="0.3">
      <c r="G14867" s="1"/>
      <c r="N14867" s="1"/>
    </row>
    <row r="14868" spans="7:14" x14ac:dyDescent="0.3">
      <c r="G14868" s="1"/>
      <c r="N14868" s="1"/>
    </row>
    <row r="14869" spans="7:14" x14ac:dyDescent="0.3">
      <c r="G14869" s="1"/>
      <c r="N14869" s="1"/>
    </row>
    <row r="14870" spans="7:14" x14ac:dyDescent="0.3">
      <c r="G14870" s="1"/>
      <c r="N14870" s="1"/>
    </row>
    <row r="14871" spans="7:14" x14ac:dyDescent="0.3">
      <c r="G14871" s="1"/>
      <c r="N14871" s="1"/>
    </row>
    <row r="14872" spans="7:14" x14ac:dyDescent="0.3">
      <c r="G14872" s="1"/>
      <c r="N14872" s="1"/>
    </row>
    <row r="14873" spans="7:14" x14ac:dyDescent="0.3">
      <c r="G14873" s="1"/>
      <c r="N14873" s="1"/>
    </row>
    <row r="14874" spans="7:14" x14ac:dyDescent="0.3">
      <c r="G14874" s="1"/>
      <c r="N14874" s="1"/>
    </row>
    <row r="14875" spans="7:14" x14ac:dyDescent="0.3">
      <c r="G14875" s="1"/>
      <c r="N14875" s="1"/>
    </row>
    <row r="14876" spans="7:14" x14ac:dyDescent="0.3">
      <c r="G14876" s="1"/>
      <c r="N14876" s="1"/>
    </row>
    <row r="14877" spans="7:14" x14ac:dyDescent="0.3">
      <c r="G14877" s="1"/>
      <c r="N14877" s="1"/>
    </row>
    <row r="14878" spans="7:14" x14ac:dyDescent="0.3">
      <c r="G14878" s="1"/>
      <c r="N14878" s="1"/>
    </row>
    <row r="14879" spans="7:14" x14ac:dyDescent="0.3">
      <c r="G14879" s="1"/>
      <c r="N14879" s="1"/>
    </row>
    <row r="14880" spans="7:14" x14ac:dyDescent="0.3">
      <c r="G14880" s="1"/>
      <c r="N14880" s="1"/>
    </row>
    <row r="14881" spans="7:14" x14ac:dyDescent="0.3">
      <c r="G14881" s="1"/>
      <c r="N14881" s="1"/>
    </row>
    <row r="14882" spans="7:14" x14ac:dyDescent="0.3">
      <c r="G14882" s="1"/>
      <c r="N14882" s="1"/>
    </row>
    <row r="14883" spans="7:14" x14ac:dyDescent="0.3">
      <c r="G14883" s="1"/>
      <c r="N14883" s="1"/>
    </row>
    <row r="14884" spans="7:14" x14ac:dyDescent="0.3">
      <c r="G14884" s="1"/>
      <c r="N14884" s="1"/>
    </row>
    <row r="14885" spans="7:14" x14ac:dyDescent="0.3">
      <c r="G14885" s="1"/>
      <c r="N14885" s="1"/>
    </row>
    <row r="14886" spans="7:14" x14ac:dyDescent="0.3">
      <c r="G14886" s="1"/>
      <c r="N14886" s="1"/>
    </row>
    <row r="14887" spans="7:14" x14ac:dyDescent="0.3">
      <c r="G14887" s="1"/>
      <c r="N14887" s="1"/>
    </row>
    <row r="14888" spans="7:14" x14ac:dyDescent="0.3">
      <c r="G14888" s="1"/>
      <c r="N14888" s="1"/>
    </row>
    <row r="14889" spans="7:14" x14ac:dyDescent="0.3">
      <c r="G14889" s="1"/>
      <c r="N14889" s="1"/>
    </row>
    <row r="14890" spans="7:14" x14ac:dyDescent="0.3">
      <c r="G14890" s="1"/>
      <c r="N14890" s="1"/>
    </row>
    <row r="14891" spans="7:14" x14ac:dyDescent="0.3">
      <c r="G14891" s="1"/>
      <c r="N14891" s="1"/>
    </row>
    <row r="14892" spans="7:14" x14ac:dyDescent="0.3">
      <c r="G14892" s="1"/>
      <c r="N14892" s="1"/>
    </row>
    <row r="14893" spans="7:14" x14ac:dyDescent="0.3">
      <c r="G14893" s="1"/>
      <c r="N14893" s="1"/>
    </row>
    <row r="14894" spans="7:14" x14ac:dyDescent="0.3">
      <c r="G14894" s="1"/>
      <c r="N14894" s="1"/>
    </row>
    <row r="14895" spans="7:14" x14ac:dyDescent="0.3">
      <c r="G14895" s="1"/>
      <c r="N14895" s="1"/>
    </row>
    <row r="14896" spans="7:14" x14ac:dyDescent="0.3">
      <c r="G14896" s="1"/>
      <c r="N14896" s="1"/>
    </row>
    <row r="14897" spans="7:14" x14ac:dyDescent="0.3">
      <c r="G14897" s="1"/>
      <c r="N14897" s="1"/>
    </row>
    <row r="14898" spans="7:14" x14ac:dyDescent="0.3">
      <c r="G14898" s="1"/>
      <c r="N14898" s="1"/>
    </row>
    <row r="14899" spans="7:14" x14ac:dyDescent="0.3">
      <c r="G14899" s="1"/>
      <c r="N14899" s="1"/>
    </row>
    <row r="14900" spans="7:14" x14ac:dyDescent="0.3">
      <c r="G14900" s="1"/>
      <c r="N14900" s="1"/>
    </row>
    <row r="14901" spans="7:14" x14ac:dyDescent="0.3">
      <c r="G14901" s="1"/>
      <c r="N14901" s="1"/>
    </row>
    <row r="14902" spans="7:14" x14ac:dyDescent="0.3">
      <c r="G14902" s="1"/>
      <c r="N14902" s="1"/>
    </row>
    <row r="14903" spans="7:14" x14ac:dyDescent="0.3">
      <c r="G14903" s="1"/>
      <c r="N14903" s="1"/>
    </row>
    <row r="14904" spans="7:14" x14ac:dyDescent="0.3">
      <c r="G14904" s="1"/>
      <c r="N14904" s="1"/>
    </row>
    <row r="14905" spans="7:14" x14ac:dyDescent="0.3">
      <c r="G14905" s="1"/>
      <c r="N14905" s="1"/>
    </row>
    <row r="14906" spans="7:14" x14ac:dyDescent="0.3">
      <c r="G14906" s="1"/>
      <c r="N14906" s="1"/>
    </row>
    <row r="14907" spans="7:14" x14ac:dyDescent="0.3">
      <c r="G14907" s="1"/>
      <c r="N14907" s="1"/>
    </row>
    <row r="14908" spans="7:14" x14ac:dyDescent="0.3">
      <c r="G14908" s="1"/>
      <c r="N14908" s="1"/>
    </row>
    <row r="14909" spans="7:14" x14ac:dyDescent="0.3">
      <c r="G14909" s="1"/>
      <c r="N14909" s="1"/>
    </row>
    <row r="14910" spans="7:14" x14ac:dyDescent="0.3">
      <c r="G14910" s="1"/>
      <c r="N14910" s="1"/>
    </row>
    <row r="14911" spans="7:14" x14ac:dyDescent="0.3">
      <c r="G14911" s="1"/>
      <c r="N14911" s="1"/>
    </row>
    <row r="14912" spans="7:14" x14ac:dyDescent="0.3">
      <c r="G14912" s="1"/>
      <c r="N14912" s="1"/>
    </row>
    <row r="14913" spans="7:14" x14ac:dyDescent="0.3">
      <c r="G14913" s="1"/>
      <c r="N14913" s="1"/>
    </row>
    <row r="14914" spans="7:14" x14ac:dyDescent="0.3">
      <c r="G14914" s="1"/>
      <c r="N14914" s="1"/>
    </row>
    <row r="14915" spans="7:14" x14ac:dyDescent="0.3">
      <c r="G14915" s="1"/>
      <c r="N14915" s="1"/>
    </row>
    <row r="14916" spans="7:14" x14ac:dyDescent="0.3">
      <c r="G14916" s="1"/>
      <c r="N14916" s="1"/>
    </row>
    <row r="14917" spans="7:14" x14ac:dyDescent="0.3">
      <c r="G14917" s="1"/>
      <c r="N14917" s="1"/>
    </row>
    <row r="14918" spans="7:14" x14ac:dyDescent="0.3">
      <c r="G14918" s="1"/>
      <c r="N14918" s="1"/>
    </row>
    <row r="14919" spans="7:14" x14ac:dyDescent="0.3">
      <c r="G14919" s="1"/>
      <c r="N14919" s="1"/>
    </row>
    <row r="14920" spans="7:14" x14ac:dyDescent="0.3">
      <c r="G14920" s="1"/>
      <c r="N14920" s="1"/>
    </row>
    <row r="14921" spans="7:14" x14ac:dyDescent="0.3">
      <c r="G14921" s="1"/>
      <c r="N14921" s="1"/>
    </row>
    <row r="14922" spans="7:14" x14ac:dyDescent="0.3">
      <c r="G14922" s="1"/>
      <c r="N14922" s="1"/>
    </row>
    <row r="14923" spans="7:14" x14ac:dyDescent="0.3">
      <c r="G14923" s="1"/>
      <c r="N14923" s="1"/>
    </row>
    <row r="14924" spans="7:14" x14ac:dyDescent="0.3">
      <c r="G14924" s="1"/>
      <c r="N14924" s="1"/>
    </row>
    <row r="14925" spans="7:14" x14ac:dyDescent="0.3">
      <c r="G14925" s="1"/>
      <c r="N14925" s="1"/>
    </row>
    <row r="14926" spans="7:14" x14ac:dyDescent="0.3">
      <c r="G14926" s="1"/>
      <c r="N14926" s="1"/>
    </row>
    <row r="14927" spans="7:14" x14ac:dyDescent="0.3">
      <c r="G14927" s="1"/>
      <c r="N14927" s="1"/>
    </row>
    <row r="14928" spans="7:14" x14ac:dyDescent="0.3">
      <c r="G14928" s="1"/>
      <c r="N14928" s="1"/>
    </row>
    <row r="14929" spans="7:14" x14ac:dyDescent="0.3">
      <c r="G14929" s="1"/>
      <c r="N14929" s="1"/>
    </row>
    <row r="14930" spans="7:14" x14ac:dyDescent="0.3">
      <c r="G14930" s="1"/>
      <c r="N14930" s="1"/>
    </row>
    <row r="14931" spans="7:14" x14ac:dyDescent="0.3">
      <c r="G14931" s="1"/>
      <c r="N14931" s="1"/>
    </row>
    <row r="14932" spans="7:14" x14ac:dyDescent="0.3">
      <c r="G14932" s="1"/>
      <c r="N14932" s="1"/>
    </row>
    <row r="14933" spans="7:14" x14ac:dyDescent="0.3">
      <c r="G14933" s="1"/>
      <c r="N14933" s="1"/>
    </row>
    <row r="14934" spans="7:14" x14ac:dyDescent="0.3">
      <c r="G14934" s="1"/>
      <c r="N14934" s="1"/>
    </row>
    <row r="14935" spans="7:14" x14ac:dyDescent="0.3">
      <c r="G14935" s="1"/>
      <c r="N14935" s="1"/>
    </row>
    <row r="14936" spans="7:14" x14ac:dyDescent="0.3">
      <c r="G14936" s="1"/>
      <c r="N14936" s="1"/>
    </row>
    <row r="14937" spans="7:14" x14ac:dyDescent="0.3">
      <c r="G14937" s="1"/>
      <c r="N14937" s="1"/>
    </row>
    <row r="14938" spans="7:14" x14ac:dyDescent="0.3">
      <c r="G14938" s="1"/>
      <c r="N14938" s="1"/>
    </row>
    <row r="14939" spans="7:14" x14ac:dyDescent="0.3">
      <c r="G14939" s="1"/>
      <c r="N14939" s="1"/>
    </row>
    <row r="14940" spans="7:14" x14ac:dyDescent="0.3">
      <c r="G14940" s="1"/>
      <c r="N14940" s="1"/>
    </row>
    <row r="14941" spans="7:14" x14ac:dyDescent="0.3">
      <c r="G14941" s="1"/>
      <c r="N14941" s="1"/>
    </row>
    <row r="14942" spans="7:14" x14ac:dyDescent="0.3">
      <c r="G14942" s="1"/>
      <c r="N14942" s="1"/>
    </row>
    <row r="14943" spans="7:14" x14ac:dyDescent="0.3">
      <c r="G14943" s="1"/>
      <c r="N14943" s="1"/>
    </row>
    <row r="14944" spans="7:14" x14ac:dyDescent="0.3">
      <c r="G14944" s="1"/>
      <c r="N14944" s="1"/>
    </row>
    <row r="14945" spans="7:14" x14ac:dyDescent="0.3">
      <c r="G14945" s="1"/>
      <c r="N14945" s="1"/>
    </row>
    <row r="14946" spans="7:14" x14ac:dyDescent="0.3">
      <c r="G14946" s="1"/>
      <c r="N14946" s="1"/>
    </row>
    <row r="14947" spans="7:14" x14ac:dyDescent="0.3">
      <c r="G14947" s="1"/>
      <c r="N14947" s="1"/>
    </row>
    <row r="14948" spans="7:14" x14ac:dyDescent="0.3">
      <c r="G14948" s="1"/>
      <c r="N14948" s="1"/>
    </row>
    <row r="14949" spans="7:14" x14ac:dyDescent="0.3">
      <c r="G14949" s="1"/>
      <c r="N14949" s="1"/>
    </row>
    <row r="14950" spans="7:14" x14ac:dyDescent="0.3">
      <c r="G14950" s="1"/>
      <c r="N14950" s="1"/>
    </row>
    <row r="14951" spans="7:14" x14ac:dyDescent="0.3">
      <c r="G14951" s="1"/>
      <c r="N14951" s="1"/>
    </row>
    <row r="14952" spans="7:14" x14ac:dyDescent="0.3">
      <c r="G14952" s="1"/>
      <c r="N14952" s="1"/>
    </row>
    <row r="14953" spans="7:14" x14ac:dyDescent="0.3">
      <c r="G14953" s="1"/>
      <c r="N14953" s="1"/>
    </row>
    <row r="14954" spans="7:14" x14ac:dyDescent="0.3">
      <c r="G14954" s="1"/>
      <c r="N14954" s="1"/>
    </row>
    <row r="14955" spans="7:14" x14ac:dyDescent="0.3">
      <c r="G14955" s="1"/>
      <c r="N14955" s="1"/>
    </row>
    <row r="14956" spans="7:14" x14ac:dyDescent="0.3">
      <c r="G14956" s="1"/>
      <c r="N14956" s="1"/>
    </row>
    <row r="14957" spans="7:14" x14ac:dyDescent="0.3">
      <c r="G14957" s="1"/>
      <c r="N14957" s="1"/>
    </row>
    <row r="14958" spans="7:14" x14ac:dyDescent="0.3">
      <c r="G14958" s="1"/>
      <c r="N14958" s="1"/>
    </row>
    <row r="14959" spans="7:14" x14ac:dyDescent="0.3">
      <c r="G14959" s="1"/>
      <c r="N14959" s="1"/>
    </row>
    <row r="14960" spans="7:14" x14ac:dyDescent="0.3">
      <c r="G14960" s="1"/>
      <c r="N14960" s="1"/>
    </row>
    <row r="14961" spans="7:14" x14ac:dyDescent="0.3">
      <c r="G14961" s="1"/>
      <c r="N14961" s="1"/>
    </row>
    <row r="14962" spans="7:14" x14ac:dyDescent="0.3">
      <c r="G14962" s="1"/>
      <c r="N14962" s="1"/>
    </row>
    <row r="14963" spans="7:14" x14ac:dyDescent="0.3">
      <c r="G14963" s="1"/>
      <c r="N14963" s="1"/>
    </row>
    <row r="14964" spans="7:14" x14ac:dyDescent="0.3">
      <c r="G14964" s="1"/>
      <c r="N14964" s="1"/>
    </row>
    <row r="14965" spans="7:14" x14ac:dyDescent="0.3">
      <c r="G14965" s="1"/>
      <c r="N14965" s="1"/>
    </row>
    <row r="14966" spans="7:14" x14ac:dyDescent="0.3">
      <c r="G14966" s="1"/>
      <c r="N14966" s="1"/>
    </row>
    <row r="14967" spans="7:14" x14ac:dyDescent="0.3">
      <c r="G14967" s="1"/>
      <c r="N14967" s="1"/>
    </row>
    <row r="14968" spans="7:14" x14ac:dyDescent="0.3">
      <c r="G14968" s="1"/>
      <c r="N14968" s="1"/>
    </row>
    <row r="14969" spans="7:14" x14ac:dyDescent="0.3">
      <c r="G14969" s="1"/>
      <c r="N14969" s="1"/>
    </row>
    <row r="14970" spans="7:14" x14ac:dyDescent="0.3">
      <c r="G14970" s="1"/>
      <c r="N14970" s="1"/>
    </row>
    <row r="14971" spans="7:14" x14ac:dyDescent="0.3">
      <c r="G14971" s="1"/>
      <c r="N14971" s="1"/>
    </row>
    <row r="14972" spans="7:14" x14ac:dyDescent="0.3">
      <c r="G14972" s="1"/>
      <c r="N14972" s="1"/>
    </row>
    <row r="14973" spans="7:14" x14ac:dyDescent="0.3">
      <c r="G14973" s="1"/>
      <c r="N14973" s="1"/>
    </row>
    <row r="14974" spans="7:14" x14ac:dyDescent="0.3">
      <c r="G14974" s="1"/>
      <c r="N14974" s="1"/>
    </row>
    <row r="14975" spans="7:14" x14ac:dyDescent="0.3">
      <c r="G14975" s="1"/>
      <c r="N14975" s="1"/>
    </row>
    <row r="14976" spans="7:14" x14ac:dyDescent="0.3">
      <c r="G14976" s="1"/>
      <c r="N14976" s="1"/>
    </row>
    <row r="14977" spans="7:14" x14ac:dyDescent="0.3">
      <c r="G14977" s="1"/>
      <c r="N14977" s="1"/>
    </row>
    <row r="14978" spans="7:14" x14ac:dyDescent="0.3">
      <c r="G14978" s="1"/>
      <c r="N14978" s="1"/>
    </row>
    <row r="14979" spans="7:14" x14ac:dyDescent="0.3">
      <c r="G14979" s="1"/>
      <c r="N14979" s="1"/>
    </row>
    <row r="14980" spans="7:14" x14ac:dyDescent="0.3">
      <c r="G14980" s="1"/>
      <c r="N14980" s="1"/>
    </row>
    <row r="14981" spans="7:14" x14ac:dyDescent="0.3">
      <c r="G14981" s="1"/>
      <c r="N14981" s="1"/>
    </row>
    <row r="14982" spans="7:14" x14ac:dyDescent="0.3">
      <c r="G14982" s="1"/>
      <c r="N14982" s="1"/>
    </row>
    <row r="14983" spans="7:14" x14ac:dyDescent="0.3">
      <c r="G14983" s="1"/>
      <c r="N14983" s="1"/>
    </row>
    <row r="14984" spans="7:14" x14ac:dyDescent="0.3">
      <c r="G14984" s="1"/>
      <c r="N14984" s="1"/>
    </row>
    <row r="14985" spans="7:14" x14ac:dyDescent="0.3">
      <c r="G14985" s="1"/>
      <c r="N14985" s="1"/>
    </row>
    <row r="14986" spans="7:14" x14ac:dyDescent="0.3">
      <c r="G14986" s="1"/>
      <c r="N14986" s="1"/>
    </row>
    <row r="14987" spans="7:14" x14ac:dyDescent="0.3">
      <c r="G14987" s="1"/>
      <c r="N14987" s="1"/>
    </row>
    <row r="14988" spans="7:14" x14ac:dyDescent="0.3">
      <c r="G14988" s="1"/>
      <c r="N14988" s="1"/>
    </row>
    <row r="14989" spans="7:14" x14ac:dyDescent="0.3">
      <c r="G14989" s="1"/>
      <c r="N14989" s="1"/>
    </row>
    <row r="14990" spans="7:14" x14ac:dyDescent="0.3">
      <c r="G14990" s="1"/>
      <c r="N14990" s="1"/>
    </row>
    <row r="14991" spans="7:14" x14ac:dyDescent="0.3">
      <c r="G14991" s="1"/>
      <c r="N14991" s="1"/>
    </row>
    <row r="14992" spans="7:14" x14ac:dyDescent="0.3">
      <c r="G14992" s="1"/>
      <c r="N14992" s="1"/>
    </row>
    <row r="14993" spans="7:14" x14ac:dyDescent="0.3">
      <c r="G14993" s="1"/>
      <c r="N14993" s="1"/>
    </row>
    <row r="14994" spans="7:14" x14ac:dyDescent="0.3">
      <c r="G14994" s="1"/>
      <c r="N14994" s="1"/>
    </row>
    <row r="14995" spans="7:14" x14ac:dyDescent="0.3">
      <c r="G14995" s="1"/>
      <c r="N14995" s="1"/>
    </row>
    <row r="14996" spans="7:14" x14ac:dyDescent="0.3">
      <c r="G14996" s="1"/>
      <c r="N14996" s="1"/>
    </row>
    <row r="14997" spans="7:14" x14ac:dyDescent="0.3">
      <c r="G14997" s="1"/>
      <c r="N14997" s="1"/>
    </row>
    <row r="14998" spans="7:14" x14ac:dyDescent="0.3">
      <c r="G14998" s="1"/>
      <c r="N14998" s="1"/>
    </row>
    <row r="14999" spans="7:14" x14ac:dyDescent="0.3">
      <c r="G14999" s="1"/>
      <c r="N14999" s="1"/>
    </row>
    <row r="15000" spans="7:14" x14ac:dyDescent="0.3">
      <c r="G15000" s="1"/>
      <c r="N15000" s="1"/>
    </row>
    <row r="15001" spans="7:14" x14ac:dyDescent="0.3">
      <c r="G15001" s="1"/>
      <c r="N15001" s="1"/>
    </row>
    <row r="15002" spans="7:14" x14ac:dyDescent="0.3">
      <c r="G15002" s="1"/>
      <c r="N15002" s="1"/>
    </row>
    <row r="15003" spans="7:14" x14ac:dyDescent="0.3">
      <c r="G15003" s="1"/>
      <c r="N15003" s="1"/>
    </row>
    <row r="15004" spans="7:14" x14ac:dyDescent="0.3">
      <c r="G15004" s="1"/>
      <c r="N15004" s="1"/>
    </row>
    <row r="15005" spans="7:14" x14ac:dyDescent="0.3">
      <c r="G15005" s="1"/>
      <c r="N15005" s="1"/>
    </row>
    <row r="15006" spans="7:14" x14ac:dyDescent="0.3">
      <c r="G15006" s="1"/>
      <c r="N15006" s="1"/>
    </row>
    <row r="15007" spans="7:14" x14ac:dyDescent="0.3">
      <c r="G15007" s="1"/>
      <c r="N15007" s="1"/>
    </row>
    <row r="15008" spans="7:14" x14ac:dyDescent="0.3">
      <c r="G15008" s="1"/>
      <c r="N15008" s="1"/>
    </row>
    <row r="15009" spans="7:14" x14ac:dyDescent="0.3">
      <c r="G15009" s="1"/>
      <c r="N15009" s="1"/>
    </row>
    <row r="15010" spans="7:14" x14ac:dyDescent="0.3">
      <c r="G15010" s="1"/>
      <c r="N15010" s="1"/>
    </row>
    <row r="15011" spans="7:14" x14ac:dyDescent="0.3">
      <c r="G15011" s="1"/>
      <c r="N15011" s="1"/>
    </row>
    <row r="15012" spans="7:14" x14ac:dyDescent="0.3">
      <c r="G15012" s="1"/>
      <c r="N15012" s="1"/>
    </row>
    <row r="15013" spans="7:14" x14ac:dyDescent="0.3">
      <c r="G15013" s="1"/>
      <c r="N15013" s="1"/>
    </row>
    <row r="15014" spans="7:14" x14ac:dyDescent="0.3">
      <c r="G15014" s="1"/>
      <c r="N15014" s="1"/>
    </row>
    <row r="15015" spans="7:14" x14ac:dyDescent="0.3">
      <c r="G15015" s="1"/>
      <c r="N15015" s="1"/>
    </row>
    <row r="15016" spans="7:14" x14ac:dyDescent="0.3">
      <c r="G15016" s="1"/>
      <c r="N15016" s="1"/>
    </row>
    <row r="15017" spans="7:14" x14ac:dyDescent="0.3">
      <c r="G15017" s="1"/>
      <c r="N15017" s="1"/>
    </row>
    <row r="15018" spans="7:14" x14ac:dyDescent="0.3">
      <c r="G15018" s="1"/>
      <c r="N15018" s="1"/>
    </row>
    <row r="15019" spans="7:14" x14ac:dyDescent="0.3">
      <c r="G15019" s="1"/>
      <c r="N15019" s="1"/>
    </row>
    <row r="15020" spans="7:14" x14ac:dyDescent="0.3">
      <c r="G15020" s="1"/>
      <c r="N15020" s="1"/>
    </row>
    <row r="15021" spans="7:14" x14ac:dyDescent="0.3">
      <c r="G15021" s="1"/>
      <c r="N15021" s="1"/>
    </row>
    <row r="15022" spans="7:14" x14ac:dyDescent="0.3">
      <c r="G15022" s="1"/>
      <c r="N15022" s="1"/>
    </row>
    <row r="15023" spans="7:14" x14ac:dyDescent="0.3">
      <c r="G15023" s="1"/>
      <c r="N15023" s="1"/>
    </row>
    <row r="15024" spans="7:14" x14ac:dyDescent="0.3">
      <c r="G15024" s="1"/>
      <c r="N15024" s="1"/>
    </row>
    <row r="15025" spans="7:14" x14ac:dyDescent="0.3">
      <c r="G15025" s="1"/>
      <c r="N15025" s="1"/>
    </row>
    <row r="15026" spans="7:14" x14ac:dyDescent="0.3">
      <c r="G15026" s="1"/>
      <c r="N15026" s="1"/>
    </row>
    <row r="15027" spans="7:14" x14ac:dyDescent="0.3">
      <c r="G15027" s="1"/>
      <c r="N15027" s="1"/>
    </row>
    <row r="15028" spans="7:14" x14ac:dyDescent="0.3">
      <c r="G15028" s="1"/>
      <c r="N15028" s="1"/>
    </row>
    <row r="15029" spans="7:14" x14ac:dyDescent="0.3">
      <c r="G15029" s="1"/>
      <c r="N15029" s="1"/>
    </row>
    <row r="15030" spans="7:14" x14ac:dyDescent="0.3">
      <c r="G15030" s="1"/>
      <c r="N15030" s="1"/>
    </row>
    <row r="15031" spans="7:14" x14ac:dyDescent="0.3">
      <c r="G15031" s="1"/>
      <c r="N15031" s="1"/>
    </row>
    <row r="15032" spans="7:14" x14ac:dyDescent="0.3">
      <c r="G15032" s="1"/>
      <c r="N15032" s="1"/>
    </row>
    <row r="15033" spans="7:14" x14ac:dyDescent="0.3">
      <c r="G15033" s="1"/>
      <c r="N15033" s="1"/>
    </row>
    <row r="15034" spans="7:14" x14ac:dyDescent="0.3">
      <c r="G15034" s="1"/>
      <c r="N15034" s="1"/>
    </row>
    <row r="15035" spans="7:14" x14ac:dyDescent="0.3">
      <c r="G15035" s="1"/>
      <c r="N15035" s="1"/>
    </row>
    <row r="15036" spans="7:14" x14ac:dyDescent="0.3">
      <c r="G15036" s="1"/>
      <c r="N15036" s="1"/>
    </row>
    <row r="15037" spans="7:14" x14ac:dyDescent="0.3">
      <c r="G15037" s="1"/>
      <c r="N15037" s="1"/>
    </row>
    <row r="15038" spans="7:14" x14ac:dyDescent="0.3">
      <c r="G15038" s="1"/>
      <c r="N15038" s="1"/>
    </row>
    <row r="15039" spans="7:14" x14ac:dyDescent="0.3">
      <c r="G15039" s="1"/>
      <c r="N15039" s="1"/>
    </row>
    <row r="15040" spans="7:14" x14ac:dyDescent="0.3">
      <c r="G15040" s="1"/>
      <c r="N15040" s="1"/>
    </row>
    <row r="15041" spans="7:14" x14ac:dyDescent="0.3">
      <c r="G15041" s="1"/>
      <c r="N15041" s="1"/>
    </row>
    <row r="15042" spans="7:14" x14ac:dyDescent="0.3">
      <c r="G15042" s="1"/>
      <c r="N15042" s="1"/>
    </row>
    <row r="15043" spans="7:14" x14ac:dyDescent="0.3">
      <c r="G15043" s="1"/>
      <c r="N15043" s="1"/>
    </row>
    <row r="15044" spans="7:14" x14ac:dyDescent="0.3">
      <c r="G15044" s="1"/>
      <c r="N15044" s="1"/>
    </row>
    <row r="15045" spans="7:14" x14ac:dyDescent="0.3">
      <c r="G15045" s="1"/>
      <c r="N15045" s="1"/>
    </row>
    <row r="15046" spans="7:14" x14ac:dyDescent="0.3">
      <c r="G15046" s="1"/>
      <c r="N15046" s="1"/>
    </row>
    <row r="15047" spans="7:14" x14ac:dyDescent="0.3">
      <c r="G15047" s="1"/>
      <c r="N15047" s="1"/>
    </row>
    <row r="15048" spans="7:14" x14ac:dyDescent="0.3">
      <c r="G15048" s="1"/>
      <c r="N15048" s="1"/>
    </row>
    <row r="15049" spans="7:14" x14ac:dyDescent="0.3">
      <c r="G15049" s="1"/>
      <c r="N15049" s="1"/>
    </row>
    <row r="15050" spans="7:14" x14ac:dyDescent="0.3">
      <c r="G15050" s="1"/>
      <c r="N15050" s="1"/>
    </row>
    <row r="15051" spans="7:14" x14ac:dyDescent="0.3">
      <c r="G15051" s="1"/>
      <c r="N15051" s="1"/>
    </row>
    <row r="15052" spans="7:14" x14ac:dyDescent="0.3">
      <c r="G15052" s="1"/>
      <c r="N15052" s="1"/>
    </row>
    <row r="15053" spans="7:14" x14ac:dyDescent="0.3">
      <c r="G15053" s="1"/>
      <c r="N15053" s="1"/>
    </row>
    <row r="15054" spans="7:14" x14ac:dyDescent="0.3">
      <c r="G15054" s="1"/>
      <c r="N15054" s="1"/>
    </row>
    <row r="15055" spans="7:14" x14ac:dyDescent="0.3">
      <c r="G15055" s="1"/>
      <c r="N15055" s="1"/>
    </row>
    <row r="15056" spans="7:14" x14ac:dyDescent="0.3">
      <c r="G15056" s="1"/>
      <c r="N15056" s="1"/>
    </row>
    <row r="15057" spans="7:14" x14ac:dyDescent="0.3">
      <c r="G15057" s="1"/>
      <c r="N15057" s="1"/>
    </row>
    <row r="15058" spans="7:14" x14ac:dyDescent="0.3">
      <c r="G15058" s="1"/>
      <c r="N15058" s="1"/>
    </row>
    <row r="15059" spans="7:14" x14ac:dyDescent="0.3">
      <c r="G15059" s="1"/>
      <c r="N15059" s="1"/>
    </row>
    <row r="15060" spans="7:14" x14ac:dyDescent="0.3">
      <c r="G15060" s="1"/>
      <c r="N15060" s="1"/>
    </row>
    <row r="15061" spans="7:14" x14ac:dyDescent="0.3">
      <c r="G15061" s="1"/>
      <c r="N15061" s="1"/>
    </row>
    <row r="15062" spans="7:14" x14ac:dyDescent="0.3">
      <c r="G15062" s="1"/>
      <c r="N15062" s="1"/>
    </row>
    <row r="15063" spans="7:14" x14ac:dyDescent="0.3">
      <c r="G15063" s="1"/>
      <c r="N15063" s="1"/>
    </row>
    <row r="15064" spans="7:14" x14ac:dyDescent="0.3">
      <c r="G15064" s="1"/>
      <c r="N15064" s="1"/>
    </row>
    <row r="15065" spans="7:14" x14ac:dyDescent="0.3">
      <c r="G15065" s="1"/>
      <c r="N15065" s="1"/>
    </row>
    <row r="15066" spans="7:14" x14ac:dyDescent="0.3">
      <c r="G15066" s="1"/>
      <c r="N15066" s="1"/>
    </row>
    <row r="15067" spans="7:14" x14ac:dyDescent="0.3">
      <c r="G15067" s="1"/>
      <c r="N15067" s="1"/>
    </row>
    <row r="15068" spans="7:14" x14ac:dyDescent="0.3">
      <c r="G15068" s="1"/>
      <c r="N15068" s="1"/>
    </row>
    <row r="15069" spans="7:14" x14ac:dyDescent="0.3">
      <c r="G15069" s="1"/>
      <c r="N15069" s="1"/>
    </row>
    <row r="15070" spans="7:14" x14ac:dyDescent="0.3">
      <c r="G15070" s="1"/>
      <c r="N15070" s="1"/>
    </row>
    <row r="15071" spans="7:14" x14ac:dyDescent="0.3">
      <c r="G15071" s="1"/>
      <c r="N15071" s="1"/>
    </row>
    <row r="15072" spans="7:14" x14ac:dyDescent="0.3">
      <c r="G15072" s="1"/>
      <c r="N15072" s="1"/>
    </row>
    <row r="15073" spans="7:14" x14ac:dyDescent="0.3">
      <c r="G15073" s="1"/>
      <c r="N15073" s="1"/>
    </row>
    <row r="15074" spans="7:14" x14ac:dyDescent="0.3">
      <c r="G15074" s="1"/>
      <c r="N15074" s="1"/>
    </row>
    <row r="15075" spans="7:14" x14ac:dyDescent="0.3">
      <c r="G15075" s="1"/>
      <c r="N15075" s="1"/>
    </row>
    <row r="15076" spans="7:14" x14ac:dyDescent="0.3">
      <c r="G15076" s="1"/>
      <c r="N15076" s="1"/>
    </row>
    <row r="15077" spans="7:14" x14ac:dyDescent="0.3">
      <c r="G15077" s="1"/>
      <c r="N15077" s="1"/>
    </row>
    <row r="15078" spans="7:14" x14ac:dyDescent="0.3">
      <c r="G15078" s="1"/>
      <c r="N15078" s="1"/>
    </row>
    <row r="15079" spans="7:14" x14ac:dyDescent="0.3">
      <c r="G15079" s="1"/>
      <c r="N15079" s="1"/>
    </row>
    <row r="15080" spans="7:14" x14ac:dyDescent="0.3">
      <c r="G15080" s="1"/>
      <c r="N15080" s="1"/>
    </row>
    <row r="15081" spans="7:14" x14ac:dyDescent="0.3">
      <c r="G15081" s="1"/>
      <c r="N15081" s="1"/>
    </row>
    <row r="15082" spans="7:14" x14ac:dyDescent="0.3">
      <c r="G15082" s="1"/>
      <c r="N15082" s="1"/>
    </row>
    <row r="15083" spans="7:14" x14ac:dyDescent="0.3">
      <c r="G15083" s="1"/>
      <c r="N15083" s="1"/>
    </row>
    <row r="15084" spans="7:14" x14ac:dyDescent="0.3">
      <c r="G15084" s="1"/>
      <c r="N15084" s="1"/>
    </row>
    <row r="15085" spans="7:14" x14ac:dyDescent="0.3">
      <c r="G15085" s="1"/>
      <c r="N15085" s="1"/>
    </row>
    <row r="15086" spans="7:14" x14ac:dyDescent="0.3">
      <c r="G15086" s="1"/>
      <c r="N15086" s="1"/>
    </row>
    <row r="15087" spans="7:14" x14ac:dyDescent="0.3">
      <c r="G15087" s="1"/>
      <c r="N15087" s="1"/>
    </row>
    <row r="15088" spans="7:14" x14ac:dyDescent="0.3">
      <c r="G15088" s="1"/>
      <c r="N15088" s="1"/>
    </row>
    <row r="15089" spans="7:14" x14ac:dyDescent="0.3">
      <c r="G15089" s="1"/>
      <c r="N15089" s="1"/>
    </row>
    <row r="15090" spans="7:14" x14ac:dyDescent="0.3">
      <c r="G15090" s="1"/>
      <c r="N15090" s="1"/>
    </row>
    <row r="15091" spans="7:14" x14ac:dyDescent="0.3">
      <c r="G15091" s="1"/>
      <c r="N15091" s="1"/>
    </row>
    <row r="15092" spans="7:14" x14ac:dyDescent="0.3">
      <c r="G15092" s="1"/>
      <c r="N15092" s="1"/>
    </row>
    <row r="15093" spans="7:14" x14ac:dyDescent="0.3">
      <c r="G15093" s="1"/>
      <c r="N15093" s="1"/>
    </row>
    <row r="15094" spans="7:14" x14ac:dyDescent="0.3">
      <c r="G15094" s="1"/>
      <c r="N15094" s="1"/>
    </row>
    <row r="15095" spans="7:14" x14ac:dyDescent="0.3">
      <c r="G15095" s="1"/>
      <c r="N15095" s="1"/>
    </row>
    <row r="15096" spans="7:14" x14ac:dyDescent="0.3">
      <c r="G15096" s="1"/>
      <c r="N15096" s="1"/>
    </row>
    <row r="15097" spans="7:14" x14ac:dyDescent="0.3">
      <c r="G15097" s="1"/>
      <c r="N15097" s="1"/>
    </row>
    <row r="15098" spans="7:14" x14ac:dyDescent="0.3">
      <c r="G15098" s="1"/>
      <c r="N15098" s="1"/>
    </row>
    <row r="15099" spans="7:14" x14ac:dyDescent="0.3">
      <c r="G15099" s="1"/>
      <c r="N15099" s="1"/>
    </row>
    <row r="15100" spans="7:14" x14ac:dyDescent="0.3">
      <c r="G15100" s="1"/>
      <c r="N15100" s="1"/>
    </row>
    <row r="15101" spans="7:14" x14ac:dyDescent="0.3">
      <c r="G15101" s="1"/>
      <c r="N15101" s="1"/>
    </row>
    <row r="15102" spans="7:14" x14ac:dyDescent="0.3">
      <c r="G15102" s="1"/>
      <c r="N15102" s="1"/>
    </row>
    <row r="15103" spans="7:14" x14ac:dyDescent="0.3">
      <c r="G15103" s="1"/>
      <c r="N15103" s="1"/>
    </row>
    <row r="15104" spans="7:14" x14ac:dyDescent="0.3">
      <c r="G15104" s="1"/>
      <c r="N15104" s="1"/>
    </row>
    <row r="15105" spans="7:14" x14ac:dyDescent="0.3">
      <c r="G15105" s="1"/>
      <c r="N15105" s="1"/>
    </row>
    <row r="15106" spans="7:14" x14ac:dyDescent="0.3">
      <c r="G15106" s="1"/>
      <c r="N15106" s="1"/>
    </row>
    <row r="15107" spans="7:14" x14ac:dyDescent="0.3">
      <c r="G15107" s="1"/>
      <c r="N15107" s="1"/>
    </row>
    <row r="15108" spans="7:14" x14ac:dyDescent="0.3">
      <c r="G15108" s="1"/>
      <c r="N15108" s="1"/>
    </row>
    <row r="15109" spans="7:14" x14ac:dyDescent="0.3">
      <c r="G15109" s="1"/>
      <c r="N15109" s="1"/>
    </row>
    <row r="15110" spans="7:14" x14ac:dyDescent="0.3">
      <c r="G15110" s="1"/>
      <c r="N15110" s="1"/>
    </row>
    <row r="15111" spans="7:14" x14ac:dyDescent="0.3">
      <c r="G15111" s="1"/>
      <c r="N15111" s="1"/>
    </row>
    <row r="15112" spans="7:14" x14ac:dyDescent="0.3">
      <c r="G15112" s="1"/>
      <c r="N15112" s="1"/>
    </row>
    <row r="15113" spans="7:14" x14ac:dyDescent="0.3">
      <c r="G15113" s="1"/>
      <c r="N15113" s="1"/>
    </row>
    <row r="15114" spans="7:14" x14ac:dyDescent="0.3">
      <c r="G15114" s="1"/>
      <c r="N15114" s="1"/>
    </row>
    <row r="15115" spans="7:14" x14ac:dyDescent="0.3">
      <c r="G15115" s="1"/>
      <c r="N15115" s="1"/>
    </row>
    <row r="15116" spans="7:14" x14ac:dyDescent="0.3">
      <c r="G15116" s="1"/>
      <c r="N15116" s="1"/>
    </row>
    <row r="15117" spans="7:14" x14ac:dyDescent="0.3">
      <c r="G15117" s="1"/>
      <c r="N15117" s="1"/>
    </row>
    <row r="15118" spans="7:14" x14ac:dyDescent="0.3">
      <c r="G15118" s="1"/>
      <c r="N15118" s="1"/>
    </row>
    <row r="15119" spans="7:14" x14ac:dyDescent="0.3">
      <c r="G15119" s="1"/>
      <c r="N15119" s="1"/>
    </row>
    <row r="15120" spans="7:14" x14ac:dyDescent="0.3">
      <c r="G15120" s="1"/>
      <c r="N15120" s="1"/>
    </row>
    <row r="15121" spans="7:14" x14ac:dyDescent="0.3">
      <c r="G15121" s="1"/>
      <c r="N15121" s="1"/>
    </row>
    <row r="15122" spans="7:14" x14ac:dyDescent="0.3">
      <c r="G15122" s="1"/>
      <c r="N15122" s="1"/>
    </row>
    <row r="15123" spans="7:14" x14ac:dyDescent="0.3">
      <c r="G15123" s="1"/>
      <c r="N15123" s="1"/>
    </row>
    <row r="15124" spans="7:14" x14ac:dyDescent="0.3">
      <c r="G15124" s="1"/>
      <c r="N15124" s="1"/>
    </row>
    <row r="15125" spans="7:14" x14ac:dyDescent="0.3">
      <c r="G15125" s="1"/>
      <c r="N15125" s="1"/>
    </row>
    <row r="15126" spans="7:14" x14ac:dyDescent="0.3">
      <c r="G15126" s="1"/>
      <c r="N15126" s="1"/>
    </row>
    <row r="15127" spans="7:14" x14ac:dyDescent="0.3">
      <c r="G15127" s="1"/>
      <c r="N15127" s="1"/>
    </row>
    <row r="15128" spans="7:14" x14ac:dyDescent="0.3">
      <c r="G15128" s="1"/>
      <c r="N15128" s="1"/>
    </row>
    <row r="15129" spans="7:14" x14ac:dyDescent="0.3">
      <c r="G15129" s="1"/>
      <c r="N15129" s="1"/>
    </row>
    <row r="15130" spans="7:14" x14ac:dyDescent="0.3">
      <c r="G15130" s="1"/>
      <c r="N15130" s="1"/>
    </row>
    <row r="15131" spans="7:14" x14ac:dyDescent="0.3">
      <c r="G15131" s="1"/>
      <c r="N15131" s="1"/>
    </row>
    <row r="15132" spans="7:14" x14ac:dyDescent="0.3">
      <c r="G15132" s="1"/>
      <c r="N15132" s="1"/>
    </row>
    <row r="15133" spans="7:14" x14ac:dyDescent="0.3">
      <c r="G15133" s="1"/>
      <c r="N15133" s="1"/>
    </row>
    <row r="15134" spans="7:14" x14ac:dyDescent="0.3">
      <c r="G15134" s="1"/>
      <c r="N15134" s="1"/>
    </row>
    <row r="15135" spans="7:14" x14ac:dyDescent="0.3">
      <c r="G15135" s="1"/>
      <c r="N15135" s="1"/>
    </row>
    <row r="15136" spans="7:14" x14ac:dyDescent="0.3">
      <c r="G15136" s="1"/>
      <c r="N15136" s="1"/>
    </row>
    <row r="15137" spans="7:14" x14ac:dyDescent="0.3">
      <c r="G15137" s="1"/>
      <c r="N15137" s="1"/>
    </row>
    <row r="15138" spans="7:14" x14ac:dyDescent="0.3">
      <c r="G15138" s="1"/>
      <c r="N15138" s="1"/>
    </row>
    <row r="15139" spans="7:14" x14ac:dyDescent="0.3">
      <c r="G15139" s="1"/>
      <c r="N15139" s="1"/>
    </row>
    <row r="15140" spans="7:14" x14ac:dyDescent="0.3">
      <c r="G15140" s="1"/>
      <c r="N15140" s="1"/>
    </row>
    <row r="15141" spans="7:14" x14ac:dyDescent="0.3">
      <c r="G15141" s="1"/>
      <c r="N15141" s="1"/>
    </row>
    <row r="15142" spans="7:14" x14ac:dyDescent="0.3">
      <c r="G15142" s="1"/>
      <c r="N15142" s="1"/>
    </row>
    <row r="15143" spans="7:14" x14ac:dyDescent="0.3">
      <c r="G15143" s="1"/>
      <c r="N15143" s="1"/>
    </row>
    <row r="15144" spans="7:14" x14ac:dyDescent="0.3">
      <c r="G15144" s="1"/>
      <c r="N15144" s="1"/>
    </row>
    <row r="15145" spans="7:14" x14ac:dyDescent="0.3">
      <c r="G15145" s="1"/>
      <c r="N15145" s="1"/>
    </row>
    <row r="15146" spans="7:14" x14ac:dyDescent="0.3">
      <c r="G15146" s="1"/>
      <c r="N15146" s="1"/>
    </row>
    <row r="15147" spans="7:14" x14ac:dyDescent="0.3">
      <c r="G15147" s="1"/>
      <c r="N15147" s="1"/>
    </row>
    <row r="15148" spans="7:14" x14ac:dyDescent="0.3">
      <c r="G15148" s="1"/>
      <c r="N15148" s="1"/>
    </row>
    <row r="15149" spans="7:14" x14ac:dyDescent="0.3">
      <c r="G15149" s="1"/>
      <c r="N15149" s="1"/>
    </row>
    <row r="15150" spans="7:14" x14ac:dyDescent="0.3">
      <c r="G15150" s="1"/>
      <c r="N15150" s="1"/>
    </row>
    <row r="15151" spans="7:14" x14ac:dyDescent="0.3">
      <c r="G15151" s="1"/>
      <c r="N15151" s="1"/>
    </row>
    <row r="15152" spans="7:14" x14ac:dyDescent="0.3">
      <c r="G15152" s="1"/>
      <c r="N15152" s="1"/>
    </row>
    <row r="15153" spans="7:14" x14ac:dyDescent="0.3">
      <c r="G15153" s="1"/>
      <c r="N15153" s="1"/>
    </row>
    <row r="15154" spans="7:14" x14ac:dyDescent="0.3">
      <c r="G15154" s="1"/>
      <c r="N15154" s="1"/>
    </row>
    <row r="15155" spans="7:14" x14ac:dyDescent="0.3">
      <c r="G15155" s="1"/>
      <c r="N15155" s="1"/>
    </row>
    <row r="15156" spans="7:14" x14ac:dyDescent="0.3">
      <c r="G15156" s="1"/>
      <c r="N15156" s="1"/>
    </row>
    <row r="15157" spans="7:14" x14ac:dyDescent="0.3">
      <c r="G15157" s="1"/>
      <c r="N15157" s="1"/>
    </row>
    <row r="15158" spans="7:14" x14ac:dyDescent="0.3">
      <c r="G15158" s="1"/>
      <c r="N15158" s="1"/>
    </row>
    <row r="15159" spans="7:14" x14ac:dyDescent="0.3">
      <c r="G15159" s="1"/>
      <c r="N15159" s="1"/>
    </row>
    <row r="15160" spans="7:14" x14ac:dyDescent="0.3">
      <c r="G15160" s="1"/>
      <c r="N15160" s="1"/>
    </row>
    <row r="15161" spans="7:14" x14ac:dyDescent="0.3">
      <c r="G15161" s="1"/>
      <c r="N15161" s="1"/>
    </row>
    <row r="15162" spans="7:14" x14ac:dyDescent="0.3">
      <c r="G15162" s="1"/>
      <c r="N15162" s="1"/>
    </row>
    <row r="15163" spans="7:14" x14ac:dyDescent="0.3">
      <c r="G15163" s="1"/>
      <c r="N15163" s="1"/>
    </row>
    <row r="15164" spans="7:14" x14ac:dyDescent="0.3">
      <c r="G15164" s="1"/>
      <c r="N15164" s="1"/>
    </row>
    <row r="15165" spans="7:14" x14ac:dyDescent="0.3">
      <c r="G15165" s="1"/>
      <c r="N15165" s="1"/>
    </row>
    <row r="15166" spans="7:14" x14ac:dyDescent="0.3">
      <c r="G15166" s="1"/>
      <c r="N15166" s="1"/>
    </row>
    <row r="15167" spans="7:14" x14ac:dyDescent="0.3">
      <c r="G15167" s="1"/>
      <c r="N15167" s="1"/>
    </row>
    <row r="15168" spans="7:14" x14ac:dyDescent="0.3">
      <c r="G15168" s="1"/>
      <c r="N15168" s="1"/>
    </row>
    <row r="15169" spans="7:14" x14ac:dyDescent="0.3">
      <c r="G15169" s="1"/>
      <c r="N15169" s="1"/>
    </row>
    <row r="15170" spans="7:14" x14ac:dyDescent="0.3">
      <c r="G15170" s="1"/>
      <c r="N15170" s="1"/>
    </row>
    <row r="15171" spans="7:14" x14ac:dyDescent="0.3">
      <c r="G15171" s="1"/>
      <c r="N15171" s="1"/>
    </row>
    <row r="15172" spans="7:14" x14ac:dyDescent="0.3">
      <c r="G15172" s="1"/>
      <c r="N15172" s="1"/>
    </row>
    <row r="15173" spans="7:14" x14ac:dyDescent="0.3">
      <c r="G15173" s="1"/>
      <c r="N15173" s="1"/>
    </row>
    <row r="15174" spans="7:14" x14ac:dyDescent="0.3">
      <c r="G15174" s="1"/>
      <c r="N15174" s="1"/>
    </row>
    <row r="15175" spans="7:14" x14ac:dyDescent="0.3">
      <c r="G15175" s="1"/>
      <c r="N15175" s="1"/>
    </row>
    <row r="15176" spans="7:14" x14ac:dyDescent="0.3">
      <c r="G15176" s="1"/>
      <c r="N15176" s="1"/>
    </row>
    <row r="15177" spans="7:14" x14ac:dyDescent="0.3">
      <c r="G15177" s="1"/>
      <c r="N15177" s="1"/>
    </row>
    <row r="15178" spans="7:14" x14ac:dyDescent="0.3">
      <c r="G15178" s="1"/>
      <c r="N15178" s="1"/>
    </row>
    <row r="15179" spans="7:14" x14ac:dyDescent="0.3">
      <c r="G15179" s="1"/>
      <c r="N15179" s="1"/>
    </row>
    <row r="15180" spans="7:14" x14ac:dyDescent="0.3">
      <c r="G15180" s="1"/>
      <c r="N15180" s="1"/>
    </row>
    <row r="15181" spans="7:14" x14ac:dyDescent="0.3">
      <c r="G15181" s="1"/>
      <c r="N15181" s="1"/>
    </row>
    <row r="15182" spans="7:14" x14ac:dyDescent="0.3">
      <c r="G15182" s="1"/>
      <c r="N15182" s="1"/>
    </row>
    <row r="15183" spans="7:14" x14ac:dyDescent="0.3">
      <c r="G15183" s="1"/>
      <c r="N15183" s="1"/>
    </row>
    <row r="15184" spans="7:14" x14ac:dyDescent="0.3">
      <c r="G15184" s="1"/>
      <c r="N15184" s="1"/>
    </row>
    <row r="15185" spans="7:14" x14ac:dyDescent="0.3">
      <c r="G15185" s="1"/>
      <c r="N15185" s="1"/>
    </row>
    <row r="15186" spans="7:14" x14ac:dyDescent="0.3">
      <c r="G15186" s="1"/>
      <c r="N15186" s="1"/>
    </row>
    <row r="15187" spans="7:14" x14ac:dyDescent="0.3">
      <c r="G15187" s="1"/>
      <c r="N15187" s="1"/>
    </row>
    <row r="15188" spans="7:14" x14ac:dyDescent="0.3">
      <c r="G15188" s="1"/>
      <c r="N15188" s="1"/>
    </row>
    <row r="15189" spans="7:14" x14ac:dyDescent="0.3">
      <c r="G15189" s="1"/>
      <c r="N15189" s="1"/>
    </row>
    <row r="15190" spans="7:14" x14ac:dyDescent="0.3">
      <c r="G15190" s="1"/>
      <c r="N15190" s="1"/>
    </row>
    <row r="15191" spans="7:14" x14ac:dyDescent="0.3">
      <c r="G15191" s="1"/>
      <c r="N15191" s="1"/>
    </row>
    <row r="15192" spans="7:14" x14ac:dyDescent="0.3">
      <c r="G15192" s="1"/>
      <c r="N15192" s="1"/>
    </row>
    <row r="15193" spans="7:14" x14ac:dyDescent="0.3">
      <c r="G15193" s="1"/>
      <c r="N15193" s="1"/>
    </row>
    <row r="15194" spans="7:14" x14ac:dyDescent="0.3">
      <c r="G15194" s="1"/>
      <c r="N15194" s="1"/>
    </row>
    <row r="15195" spans="7:14" x14ac:dyDescent="0.3">
      <c r="G15195" s="1"/>
      <c r="N15195" s="1"/>
    </row>
    <row r="15196" spans="7:14" x14ac:dyDescent="0.3">
      <c r="G15196" s="1"/>
      <c r="N15196" s="1"/>
    </row>
    <row r="15197" spans="7:14" x14ac:dyDescent="0.3">
      <c r="G15197" s="1"/>
      <c r="N15197" s="1"/>
    </row>
    <row r="15198" spans="7:14" x14ac:dyDescent="0.3">
      <c r="G15198" s="1"/>
      <c r="N15198" s="1"/>
    </row>
    <row r="15199" spans="7:14" x14ac:dyDescent="0.3">
      <c r="G15199" s="1"/>
      <c r="N15199" s="1"/>
    </row>
    <row r="15200" spans="7:14" x14ac:dyDescent="0.3">
      <c r="G15200" s="1"/>
      <c r="N15200" s="1"/>
    </row>
    <row r="15201" spans="7:14" x14ac:dyDescent="0.3">
      <c r="G15201" s="1"/>
      <c r="N15201" s="1"/>
    </row>
    <row r="15202" spans="7:14" x14ac:dyDescent="0.3">
      <c r="G15202" s="1"/>
      <c r="N15202" s="1"/>
    </row>
    <row r="15203" spans="7:14" x14ac:dyDescent="0.3">
      <c r="G15203" s="1"/>
      <c r="N15203" s="1"/>
    </row>
    <row r="15204" spans="7:14" x14ac:dyDescent="0.3">
      <c r="G15204" s="1"/>
      <c r="N15204" s="1"/>
    </row>
    <row r="15205" spans="7:14" x14ac:dyDescent="0.3">
      <c r="G15205" s="1"/>
      <c r="N15205" s="1"/>
    </row>
    <row r="15206" spans="7:14" x14ac:dyDescent="0.3">
      <c r="G15206" s="1"/>
      <c r="N15206" s="1"/>
    </row>
    <row r="15207" spans="7:14" x14ac:dyDescent="0.3">
      <c r="G15207" s="1"/>
      <c r="N15207" s="1"/>
    </row>
    <row r="15208" spans="7:14" x14ac:dyDescent="0.3">
      <c r="G15208" s="1"/>
      <c r="N15208" s="1"/>
    </row>
    <row r="15209" spans="7:14" x14ac:dyDescent="0.3">
      <c r="G15209" s="1"/>
      <c r="N15209" s="1"/>
    </row>
    <row r="15210" spans="7:14" x14ac:dyDescent="0.3">
      <c r="G15210" s="1"/>
      <c r="N15210" s="1"/>
    </row>
    <row r="15211" spans="7:14" x14ac:dyDescent="0.3">
      <c r="G15211" s="1"/>
      <c r="N15211" s="1"/>
    </row>
    <row r="15212" spans="7:14" x14ac:dyDescent="0.3">
      <c r="G15212" s="1"/>
      <c r="N15212" s="1"/>
    </row>
    <row r="15213" spans="7:14" x14ac:dyDescent="0.3">
      <c r="G15213" s="1"/>
      <c r="N15213" s="1"/>
    </row>
    <row r="15214" spans="7:14" x14ac:dyDescent="0.3">
      <c r="G15214" s="1"/>
      <c r="N15214" s="1"/>
    </row>
    <row r="15215" spans="7:14" x14ac:dyDescent="0.3">
      <c r="G15215" s="1"/>
      <c r="N15215" s="1"/>
    </row>
    <row r="15216" spans="7:14" x14ac:dyDescent="0.3">
      <c r="G15216" s="1"/>
      <c r="N15216" s="1"/>
    </row>
    <row r="15217" spans="7:14" x14ac:dyDescent="0.3">
      <c r="G15217" s="1"/>
      <c r="N15217" s="1"/>
    </row>
    <row r="15218" spans="7:14" x14ac:dyDescent="0.3">
      <c r="G15218" s="1"/>
      <c r="N15218" s="1"/>
    </row>
    <row r="15219" spans="7:14" x14ac:dyDescent="0.3">
      <c r="G15219" s="1"/>
      <c r="N15219" s="1"/>
    </row>
    <row r="15220" spans="7:14" x14ac:dyDescent="0.3">
      <c r="G15220" s="1"/>
      <c r="N15220" s="1"/>
    </row>
    <row r="15221" spans="7:14" x14ac:dyDescent="0.3">
      <c r="G15221" s="1"/>
      <c r="N15221" s="1"/>
    </row>
    <row r="15222" spans="7:14" x14ac:dyDescent="0.3">
      <c r="G15222" s="1"/>
      <c r="N15222" s="1"/>
    </row>
    <row r="15223" spans="7:14" x14ac:dyDescent="0.3">
      <c r="G15223" s="1"/>
      <c r="N15223" s="1"/>
    </row>
    <row r="15224" spans="7:14" x14ac:dyDescent="0.3">
      <c r="G15224" s="1"/>
      <c r="N15224" s="1"/>
    </row>
    <row r="15225" spans="7:14" x14ac:dyDescent="0.3">
      <c r="G15225" s="1"/>
      <c r="N15225" s="1"/>
    </row>
    <row r="15226" spans="7:14" x14ac:dyDescent="0.3">
      <c r="G15226" s="1"/>
      <c r="N15226" s="1"/>
    </row>
    <row r="15227" spans="7:14" x14ac:dyDescent="0.3">
      <c r="G15227" s="1"/>
      <c r="N15227" s="1"/>
    </row>
    <row r="15228" spans="7:14" x14ac:dyDescent="0.3">
      <c r="G15228" s="1"/>
      <c r="N15228" s="1"/>
    </row>
    <row r="15229" spans="7:14" x14ac:dyDescent="0.3">
      <c r="G15229" s="1"/>
      <c r="N15229" s="1"/>
    </row>
    <row r="15230" spans="7:14" x14ac:dyDescent="0.3">
      <c r="G15230" s="1"/>
      <c r="N15230" s="1"/>
    </row>
    <row r="15231" spans="7:14" x14ac:dyDescent="0.3">
      <c r="G15231" s="1"/>
      <c r="N15231" s="1"/>
    </row>
    <row r="15232" spans="7:14" x14ac:dyDescent="0.3">
      <c r="G15232" s="1"/>
      <c r="N15232" s="1"/>
    </row>
    <row r="15233" spans="7:14" x14ac:dyDescent="0.3">
      <c r="G15233" s="1"/>
      <c r="N15233" s="1"/>
    </row>
    <row r="15234" spans="7:14" x14ac:dyDescent="0.3">
      <c r="G15234" s="1"/>
      <c r="N15234" s="1"/>
    </row>
    <row r="15235" spans="7:14" x14ac:dyDescent="0.3">
      <c r="G15235" s="1"/>
      <c r="N15235" s="1"/>
    </row>
    <row r="15236" spans="7:14" x14ac:dyDescent="0.3">
      <c r="G15236" s="1"/>
      <c r="N15236" s="1"/>
    </row>
    <row r="15237" spans="7:14" x14ac:dyDescent="0.3">
      <c r="G15237" s="1"/>
      <c r="N15237" s="1"/>
    </row>
    <row r="15238" spans="7:14" x14ac:dyDescent="0.3">
      <c r="G15238" s="1"/>
      <c r="N15238" s="1"/>
    </row>
    <row r="15239" spans="7:14" x14ac:dyDescent="0.3">
      <c r="G15239" s="1"/>
      <c r="N15239" s="1"/>
    </row>
    <row r="15240" spans="7:14" x14ac:dyDescent="0.3">
      <c r="G15240" s="1"/>
      <c r="N15240" s="1"/>
    </row>
    <row r="15241" spans="7:14" x14ac:dyDescent="0.3">
      <c r="G15241" s="1"/>
      <c r="N15241" s="1"/>
    </row>
    <row r="15242" spans="7:14" x14ac:dyDescent="0.3">
      <c r="G15242" s="1"/>
      <c r="N15242" s="1"/>
    </row>
    <row r="15243" spans="7:14" x14ac:dyDescent="0.3">
      <c r="G15243" s="1"/>
      <c r="N15243" s="1"/>
    </row>
    <row r="15244" spans="7:14" x14ac:dyDescent="0.3">
      <c r="G15244" s="1"/>
      <c r="N15244" s="1"/>
    </row>
    <row r="15245" spans="7:14" x14ac:dyDescent="0.3">
      <c r="G15245" s="1"/>
      <c r="N15245" s="1"/>
    </row>
    <row r="15246" spans="7:14" x14ac:dyDescent="0.3">
      <c r="G15246" s="1"/>
      <c r="N15246" s="1"/>
    </row>
    <row r="15247" spans="7:14" x14ac:dyDescent="0.3">
      <c r="G15247" s="1"/>
      <c r="N15247" s="1"/>
    </row>
    <row r="15248" spans="7:14" x14ac:dyDescent="0.3">
      <c r="G15248" s="1"/>
      <c r="N15248" s="1"/>
    </row>
    <row r="15249" spans="7:14" x14ac:dyDescent="0.3">
      <c r="G15249" s="1"/>
      <c r="N15249" s="1"/>
    </row>
    <row r="15250" spans="7:14" x14ac:dyDescent="0.3">
      <c r="G15250" s="1"/>
      <c r="N15250" s="1"/>
    </row>
    <row r="15251" spans="7:14" x14ac:dyDescent="0.3">
      <c r="G15251" s="1"/>
      <c r="N15251" s="1"/>
    </row>
    <row r="15252" spans="7:14" x14ac:dyDescent="0.3">
      <c r="G15252" s="1"/>
      <c r="N15252" s="1"/>
    </row>
    <row r="15253" spans="7:14" x14ac:dyDescent="0.3">
      <c r="G15253" s="1"/>
      <c r="N15253" s="1"/>
    </row>
    <row r="15254" spans="7:14" x14ac:dyDescent="0.3">
      <c r="G15254" s="1"/>
      <c r="N15254" s="1"/>
    </row>
    <row r="15255" spans="7:14" x14ac:dyDescent="0.3">
      <c r="G15255" s="1"/>
      <c r="N15255" s="1"/>
    </row>
    <row r="15256" spans="7:14" x14ac:dyDescent="0.3">
      <c r="G15256" s="1"/>
      <c r="N15256" s="1"/>
    </row>
    <row r="15257" spans="7:14" x14ac:dyDescent="0.3">
      <c r="G15257" s="1"/>
      <c r="N15257" s="1"/>
    </row>
    <row r="15258" spans="7:14" x14ac:dyDescent="0.3">
      <c r="G15258" s="1"/>
      <c r="N15258" s="1"/>
    </row>
    <row r="15259" spans="7:14" x14ac:dyDescent="0.3">
      <c r="G15259" s="1"/>
      <c r="N15259" s="1"/>
    </row>
    <row r="15260" spans="7:14" x14ac:dyDescent="0.3">
      <c r="G15260" s="1"/>
      <c r="N15260" s="1"/>
    </row>
    <row r="15261" spans="7:14" x14ac:dyDescent="0.3">
      <c r="G15261" s="1"/>
      <c r="N15261" s="1"/>
    </row>
    <row r="15262" spans="7:14" x14ac:dyDescent="0.3">
      <c r="G15262" s="1"/>
      <c r="N15262" s="1"/>
    </row>
    <row r="15263" spans="7:14" x14ac:dyDescent="0.3">
      <c r="G15263" s="1"/>
      <c r="N15263" s="1"/>
    </row>
    <row r="15264" spans="7:14" x14ac:dyDescent="0.3">
      <c r="G15264" s="1"/>
      <c r="N15264" s="1"/>
    </row>
    <row r="15265" spans="7:14" x14ac:dyDescent="0.3">
      <c r="G15265" s="1"/>
      <c r="N15265" s="1"/>
    </row>
    <row r="15266" spans="7:14" x14ac:dyDescent="0.3">
      <c r="G15266" s="1"/>
      <c r="N15266" s="1"/>
    </row>
    <row r="15267" spans="7:14" x14ac:dyDescent="0.3">
      <c r="G15267" s="1"/>
      <c r="N15267" s="1"/>
    </row>
    <row r="15268" spans="7:14" x14ac:dyDescent="0.3">
      <c r="G15268" s="1"/>
      <c r="N15268" s="1"/>
    </row>
    <row r="15269" spans="7:14" x14ac:dyDescent="0.3">
      <c r="G15269" s="1"/>
      <c r="N15269" s="1"/>
    </row>
    <row r="15270" spans="7:14" x14ac:dyDescent="0.3">
      <c r="G15270" s="1"/>
      <c r="N15270" s="1"/>
    </row>
    <row r="15271" spans="7:14" x14ac:dyDescent="0.3">
      <c r="G15271" s="1"/>
      <c r="N15271" s="1"/>
    </row>
    <row r="15272" spans="7:14" x14ac:dyDescent="0.3">
      <c r="G15272" s="1"/>
      <c r="N15272" s="1"/>
    </row>
    <row r="15273" spans="7:14" x14ac:dyDescent="0.3">
      <c r="G15273" s="1"/>
      <c r="N15273" s="1"/>
    </row>
    <row r="15274" spans="7:14" x14ac:dyDescent="0.3">
      <c r="G15274" s="1"/>
      <c r="N15274" s="1"/>
    </row>
    <row r="15275" spans="7:14" x14ac:dyDescent="0.3">
      <c r="G15275" s="1"/>
      <c r="N15275" s="1"/>
    </row>
    <row r="15276" spans="7:14" x14ac:dyDescent="0.3">
      <c r="G15276" s="1"/>
      <c r="N15276" s="1"/>
    </row>
    <row r="15277" spans="7:14" x14ac:dyDescent="0.3">
      <c r="G15277" s="1"/>
      <c r="N15277" s="1"/>
    </row>
    <row r="15278" spans="7:14" x14ac:dyDescent="0.3">
      <c r="G15278" s="1"/>
      <c r="N15278" s="1"/>
    </row>
    <row r="15279" spans="7:14" x14ac:dyDescent="0.3">
      <c r="G15279" s="1"/>
      <c r="N15279" s="1"/>
    </row>
    <row r="15280" spans="7:14" x14ac:dyDescent="0.3">
      <c r="G15280" s="1"/>
      <c r="N15280" s="1"/>
    </row>
    <row r="15281" spans="7:14" x14ac:dyDescent="0.3">
      <c r="G15281" s="1"/>
      <c r="N15281" s="1"/>
    </row>
    <row r="15282" spans="7:14" x14ac:dyDescent="0.3">
      <c r="G15282" s="1"/>
      <c r="N15282" s="1"/>
    </row>
    <row r="15283" spans="7:14" x14ac:dyDescent="0.3">
      <c r="G15283" s="1"/>
      <c r="N15283" s="1"/>
    </row>
    <row r="15284" spans="7:14" x14ac:dyDescent="0.3">
      <c r="G15284" s="1"/>
      <c r="N15284" s="1"/>
    </row>
    <row r="15285" spans="7:14" x14ac:dyDescent="0.3">
      <c r="G15285" s="1"/>
      <c r="N15285" s="1"/>
    </row>
    <row r="15286" spans="7:14" x14ac:dyDescent="0.3">
      <c r="G15286" s="1"/>
      <c r="N15286" s="1"/>
    </row>
    <row r="15287" spans="7:14" x14ac:dyDescent="0.3">
      <c r="G15287" s="1"/>
      <c r="N15287" s="1"/>
    </row>
    <row r="15288" spans="7:14" x14ac:dyDescent="0.3">
      <c r="G15288" s="1"/>
      <c r="N15288" s="1"/>
    </row>
    <row r="15289" spans="7:14" x14ac:dyDescent="0.3">
      <c r="G15289" s="1"/>
      <c r="N15289" s="1"/>
    </row>
    <row r="15290" spans="7:14" x14ac:dyDescent="0.3">
      <c r="G15290" s="1"/>
      <c r="N15290" s="1"/>
    </row>
    <row r="15291" spans="7:14" x14ac:dyDescent="0.3">
      <c r="G15291" s="1"/>
      <c r="N15291" s="1"/>
    </row>
    <row r="15292" spans="7:14" x14ac:dyDescent="0.3">
      <c r="G15292" s="1"/>
      <c r="N15292" s="1"/>
    </row>
    <row r="15293" spans="7:14" x14ac:dyDescent="0.3">
      <c r="G15293" s="1"/>
      <c r="N15293" s="1"/>
    </row>
    <row r="15294" spans="7:14" x14ac:dyDescent="0.3">
      <c r="G15294" s="1"/>
      <c r="N15294" s="1"/>
    </row>
    <row r="15295" spans="7:14" x14ac:dyDescent="0.3">
      <c r="G15295" s="1"/>
      <c r="N15295" s="1"/>
    </row>
    <row r="15296" spans="7:14" x14ac:dyDescent="0.3">
      <c r="G15296" s="1"/>
      <c r="N15296" s="1"/>
    </row>
    <row r="15297" spans="7:14" x14ac:dyDescent="0.3">
      <c r="G15297" s="1"/>
      <c r="N15297" s="1"/>
    </row>
    <row r="15298" spans="7:14" x14ac:dyDescent="0.3">
      <c r="G15298" s="1"/>
      <c r="N15298" s="1"/>
    </row>
    <row r="15299" spans="7:14" x14ac:dyDescent="0.3">
      <c r="G15299" s="1"/>
      <c r="N15299" s="1"/>
    </row>
    <row r="15300" spans="7:14" x14ac:dyDescent="0.3">
      <c r="G15300" s="1"/>
      <c r="N15300" s="1"/>
    </row>
    <row r="15301" spans="7:14" x14ac:dyDescent="0.3">
      <c r="G15301" s="1"/>
      <c r="N15301" s="1"/>
    </row>
    <row r="15302" spans="7:14" x14ac:dyDescent="0.3">
      <c r="G15302" s="1"/>
      <c r="N15302" s="1"/>
    </row>
    <row r="15303" spans="7:14" x14ac:dyDescent="0.3">
      <c r="G15303" s="1"/>
      <c r="N15303" s="1"/>
    </row>
    <row r="15304" spans="7:14" x14ac:dyDescent="0.3">
      <c r="G15304" s="1"/>
      <c r="N15304" s="1"/>
    </row>
    <row r="15305" spans="7:14" x14ac:dyDescent="0.3">
      <c r="G15305" s="1"/>
      <c r="N15305" s="1"/>
    </row>
    <row r="15306" spans="7:14" x14ac:dyDescent="0.3">
      <c r="G15306" s="1"/>
      <c r="N15306" s="1"/>
    </row>
    <row r="15307" spans="7:14" x14ac:dyDescent="0.3">
      <c r="G15307" s="1"/>
      <c r="N15307" s="1"/>
    </row>
    <row r="15308" spans="7:14" x14ac:dyDescent="0.3">
      <c r="G15308" s="1"/>
      <c r="N15308" s="1"/>
    </row>
    <row r="15309" spans="7:14" x14ac:dyDescent="0.3">
      <c r="G15309" s="1"/>
      <c r="N15309" s="1"/>
    </row>
    <row r="15310" spans="7:14" x14ac:dyDescent="0.3">
      <c r="G15310" s="1"/>
      <c r="N15310" s="1"/>
    </row>
    <row r="15311" spans="7:14" x14ac:dyDescent="0.3">
      <c r="G15311" s="1"/>
      <c r="N15311" s="1"/>
    </row>
    <row r="15312" spans="7:14" x14ac:dyDescent="0.3">
      <c r="G15312" s="1"/>
      <c r="N15312" s="1"/>
    </row>
    <row r="15313" spans="7:14" x14ac:dyDescent="0.3">
      <c r="G15313" s="1"/>
      <c r="N15313" s="1"/>
    </row>
    <row r="15314" spans="7:14" x14ac:dyDescent="0.3">
      <c r="G15314" s="1"/>
      <c r="N15314" s="1"/>
    </row>
    <row r="15315" spans="7:14" x14ac:dyDescent="0.3">
      <c r="G15315" s="1"/>
      <c r="N15315" s="1"/>
    </row>
    <row r="15316" spans="7:14" x14ac:dyDescent="0.3">
      <c r="G15316" s="1"/>
      <c r="N15316" s="1"/>
    </row>
    <row r="15317" spans="7:14" x14ac:dyDescent="0.3">
      <c r="G15317" s="1"/>
      <c r="N15317" s="1"/>
    </row>
    <row r="15318" spans="7:14" x14ac:dyDescent="0.3">
      <c r="G15318" s="1"/>
      <c r="N15318" s="1"/>
    </row>
    <row r="15319" spans="7:14" x14ac:dyDescent="0.3">
      <c r="G15319" s="1"/>
      <c r="N15319" s="1"/>
    </row>
    <row r="15320" spans="7:14" x14ac:dyDescent="0.3">
      <c r="G15320" s="1"/>
      <c r="N15320" s="1"/>
    </row>
    <row r="15321" spans="7:14" x14ac:dyDescent="0.3">
      <c r="G15321" s="1"/>
      <c r="N15321" s="1"/>
    </row>
    <row r="15322" spans="7:14" x14ac:dyDescent="0.3">
      <c r="G15322" s="1"/>
      <c r="N15322" s="1"/>
    </row>
    <row r="15323" spans="7:14" x14ac:dyDescent="0.3">
      <c r="G15323" s="1"/>
      <c r="N15323" s="1"/>
    </row>
    <row r="15324" spans="7:14" x14ac:dyDescent="0.3">
      <c r="G15324" s="1"/>
      <c r="N15324" s="1"/>
    </row>
    <row r="15325" spans="7:14" x14ac:dyDescent="0.3">
      <c r="G15325" s="1"/>
      <c r="N15325" s="1"/>
    </row>
    <row r="15326" spans="7:14" x14ac:dyDescent="0.3">
      <c r="G15326" s="1"/>
      <c r="N15326" s="1"/>
    </row>
    <row r="15327" spans="7:14" x14ac:dyDescent="0.3">
      <c r="G15327" s="1"/>
      <c r="N15327" s="1"/>
    </row>
    <row r="15328" spans="7:14" x14ac:dyDescent="0.3">
      <c r="G15328" s="1"/>
      <c r="N15328" s="1"/>
    </row>
    <row r="15329" spans="7:14" x14ac:dyDescent="0.3">
      <c r="G15329" s="1"/>
      <c r="N15329" s="1"/>
    </row>
    <row r="15330" spans="7:14" x14ac:dyDescent="0.3">
      <c r="G15330" s="1"/>
      <c r="N15330" s="1"/>
    </row>
    <row r="15331" spans="7:14" x14ac:dyDescent="0.3">
      <c r="G15331" s="1"/>
      <c r="N15331" s="1"/>
    </row>
    <row r="15332" spans="7:14" x14ac:dyDescent="0.3">
      <c r="G15332" s="1"/>
      <c r="N15332" s="1"/>
    </row>
    <row r="15333" spans="7:14" x14ac:dyDescent="0.3">
      <c r="G15333" s="1"/>
      <c r="N15333" s="1"/>
    </row>
    <row r="15334" spans="7:14" x14ac:dyDescent="0.3">
      <c r="G15334" s="1"/>
      <c r="N15334" s="1"/>
    </row>
    <row r="15335" spans="7:14" x14ac:dyDescent="0.3">
      <c r="G15335" s="1"/>
      <c r="N15335" s="1"/>
    </row>
    <row r="15336" spans="7:14" x14ac:dyDescent="0.3">
      <c r="G15336" s="1"/>
      <c r="N15336" s="1"/>
    </row>
    <row r="15337" spans="7:14" x14ac:dyDescent="0.3">
      <c r="G15337" s="1"/>
      <c r="N15337" s="1"/>
    </row>
    <row r="15338" spans="7:14" x14ac:dyDescent="0.3">
      <c r="G15338" s="1"/>
      <c r="N15338" s="1"/>
    </row>
    <row r="15339" spans="7:14" x14ac:dyDescent="0.3">
      <c r="G15339" s="1"/>
      <c r="N15339" s="1"/>
    </row>
    <row r="15340" spans="7:14" x14ac:dyDescent="0.3">
      <c r="G15340" s="1"/>
      <c r="N15340" s="1"/>
    </row>
    <row r="15341" spans="7:14" x14ac:dyDescent="0.3">
      <c r="G15341" s="1"/>
      <c r="N15341" s="1"/>
    </row>
    <row r="15342" spans="7:14" x14ac:dyDescent="0.3">
      <c r="G15342" s="1"/>
      <c r="N15342" s="1"/>
    </row>
    <row r="15343" spans="7:14" x14ac:dyDescent="0.3">
      <c r="G15343" s="1"/>
      <c r="N15343" s="1"/>
    </row>
    <row r="15344" spans="7:14" x14ac:dyDescent="0.3">
      <c r="G15344" s="1"/>
      <c r="N15344" s="1"/>
    </row>
    <row r="15345" spans="7:14" x14ac:dyDescent="0.3">
      <c r="G15345" s="1"/>
      <c r="N15345" s="1"/>
    </row>
    <row r="15346" spans="7:14" x14ac:dyDescent="0.3">
      <c r="G15346" s="1"/>
      <c r="N15346" s="1"/>
    </row>
    <row r="15347" spans="7:14" x14ac:dyDescent="0.3">
      <c r="G15347" s="1"/>
      <c r="N15347" s="1"/>
    </row>
    <row r="15348" spans="7:14" x14ac:dyDescent="0.3">
      <c r="G15348" s="1"/>
      <c r="N15348" s="1"/>
    </row>
    <row r="15349" spans="7:14" x14ac:dyDescent="0.3">
      <c r="G15349" s="1"/>
      <c r="N15349" s="1"/>
    </row>
    <row r="15350" spans="7:14" x14ac:dyDescent="0.3">
      <c r="G15350" s="1"/>
      <c r="N15350" s="1"/>
    </row>
    <row r="15351" spans="7:14" x14ac:dyDescent="0.3">
      <c r="G15351" s="1"/>
      <c r="N15351" s="1"/>
    </row>
    <row r="15352" spans="7:14" x14ac:dyDescent="0.3">
      <c r="G15352" s="1"/>
      <c r="N15352" s="1"/>
    </row>
    <row r="15353" spans="7:14" x14ac:dyDescent="0.3">
      <c r="G15353" s="1"/>
      <c r="N15353" s="1"/>
    </row>
    <row r="15354" spans="7:14" x14ac:dyDescent="0.3">
      <c r="G15354" s="1"/>
      <c r="N15354" s="1"/>
    </row>
    <row r="15355" spans="7:14" x14ac:dyDescent="0.3">
      <c r="G15355" s="1"/>
      <c r="N15355" s="1"/>
    </row>
    <row r="15356" spans="7:14" x14ac:dyDescent="0.3">
      <c r="G15356" s="1"/>
      <c r="N15356" s="1"/>
    </row>
    <row r="15357" spans="7:14" x14ac:dyDescent="0.3">
      <c r="G15357" s="1"/>
      <c r="N15357" s="1"/>
    </row>
    <row r="15358" spans="7:14" x14ac:dyDescent="0.3">
      <c r="G15358" s="1"/>
      <c r="N15358" s="1"/>
    </row>
    <row r="15359" spans="7:14" x14ac:dyDescent="0.3">
      <c r="G15359" s="1"/>
      <c r="N15359" s="1"/>
    </row>
    <row r="15360" spans="7:14" x14ac:dyDescent="0.3">
      <c r="G15360" s="1"/>
      <c r="N15360" s="1"/>
    </row>
    <row r="15361" spans="7:14" x14ac:dyDescent="0.3">
      <c r="G15361" s="1"/>
      <c r="N15361" s="1"/>
    </row>
    <row r="15362" spans="7:14" x14ac:dyDescent="0.3">
      <c r="G15362" s="1"/>
      <c r="N15362" s="1"/>
    </row>
    <row r="15363" spans="7:14" x14ac:dyDescent="0.3">
      <c r="G15363" s="1"/>
      <c r="N15363" s="1"/>
    </row>
    <row r="15364" spans="7:14" x14ac:dyDescent="0.3">
      <c r="G15364" s="1"/>
      <c r="N15364" s="1"/>
    </row>
    <row r="15365" spans="7:14" x14ac:dyDescent="0.3">
      <c r="G15365" s="1"/>
      <c r="N15365" s="1"/>
    </row>
    <row r="15366" spans="7:14" x14ac:dyDescent="0.3">
      <c r="G15366" s="1"/>
      <c r="N15366" s="1"/>
    </row>
    <row r="15367" spans="7:14" x14ac:dyDescent="0.3">
      <c r="G15367" s="1"/>
      <c r="N15367" s="1"/>
    </row>
    <row r="15368" spans="7:14" x14ac:dyDescent="0.3">
      <c r="G15368" s="1"/>
      <c r="N15368" s="1"/>
    </row>
    <row r="15369" spans="7:14" x14ac:dyDescent="0.3">
      <c r="G15369" s="1"/>
      <c r="N15369" s="1"/>
    </row>
    <row r="15370" spans="7:14" x14ac:dyDescent="0.3">
      <c r="G15370" s="1"/>
      <c r="N15370" s="1"/>
    </row>
    <row r="15371" spans="7:14" x14ac:dyDescent="0.3">
      <c r="G15371" s="1"/>
      <c r="N15371" s="1"/>
    </row>
    <row r="15372" spans="7:14" x14ac:dyDescent="0.3">
      <c r="G15372" s="1"/>
      <c r="N15372" s="1"/>
    </row>
    <row r="15373" spans="7:14" x14ac:dyDescent="0.3">
      <c r="G15373" s="1"/>
      <c r="N15373" s="1"/>
    </row>
    <row r="15374" spans="7:14" x14ac:dyDescent="0.3">
      <c r="G15374" s="1"/>
      <c r="N15374" s="1"/>
    </row>
    <row r="15375" spans="7:14" x14ac:dyDescent="0.3">
      <c r="G15375" s="1"/>
      <c r="N15375" s="1"/>
    </row>
    <row r="15376" spans="7:14" x14ac:dyDescent="0.3">
      <c r="G15376" s="1"/>
      <c r="N15376" s="1"/>
    </row>
    <row r="15377" spans="7:14" x14ac:dyDescent="0.3">
      <c r="G15377" s="1"/>
      <c r="N15377" s="1"/>
    </row>
    <row r="15378" spans="7:14" x14ac:dyDescent="0.3">
      <c r="G15378" s="1"/>
      <c r="N15378" s="1"/>
    </row>
    <row r="15379" spans="7:14" x14ac:dyDescent="0.3">
      <c r="G15379" s="1"/>
      <c r="N15379" s="1"/>
    </row>
    <row r="15380" spans="7:14" x14ac:dyDescent="0.3">
      <c r="G15380" s="1"/>
      <c r="N15380" s="1"/>
    </row>
    <row r="15381" spans="7:14" x14ac:dyDescent="0.3">
      <c r="G15381" s="1"/>
      <c r="N15381" s="1"/>
    </row>
    <row r="15382" spans="7:14" x14ac:dyDescent="0.3">
      <c r="G15382" s="1"/>
      <c r="N15382" s="1"/>
    </row>
    <row r="15383" spans="7:14" x14ac:dyDescent="0.3">
      <c r="G15383" s="1"/>
      <c r="N15383" s="1"/>
    </row>
    <row r="15384" spans="7:14" x14ac:dyDescent="0.3">
      <c r="G15384" s="1"/>
      <c r="N15384" s="1"/>
    </row>
    <row r="15385" spans="7:14" x14ac:dyDescent="0.3">
      <c r="G15385" s="1"/>
      <c r="N15385" s="1"/>
    </row>
    <row r="15386" spans="7:14" x14ac:dyDescent="0.3">
      <c r="G15386" s="1"/>
      <c r="N15386" s="1"/>
    </row>
    <row r="15387" spans="7:14" x14ac:dyDescent="0.3">
      <c r="G15387" s="1"/>
      <c r="N15387" s="1"/>
    </row>
    <row r="15388" spans="7:14" x14ac:dyDescent="0.3">
      <c r="G15388" s="1"/>
      <c r="N15388" s="1"/>
    </row>
    <row r="15389" spans="7:14" x14ac:dyDescent="0.3">
      <c r="G15389" s="1"/>
      <c r="N15389" s="1"/>
    </row>
    <row r="15390" spans="7:14" x14ac:dyDescent="0.3">
      <c r="G15390" s="1"/>
      <c r="N15390" s="1"/>
    </row>
    <row r="15391" spans="7:14" x14ac:dyDescent="0.3">
      <c r="G15391" s="1"/>
      <c r="N15391" s="1"/>
    </row>
    <row r="15392" spans="7:14" x14ac:dyDescent="0.3">
      <c r="G15392" s="1"/>
      <c r="N15392" s="1"/>
    </row>
    <row r="15393" spans="7:14" x14ac:dyDescent="0.3">
      <c r="G15393" s="1"/>
      <c r="N15393" s="1"/>
    </row>
    <row r="15394" spans="7:14" x14ac:dyDescent="0.3">
      <c r="G15394" s="1"/>
      <c r="N15394" s="1"/>
    </row>
    <row r="15395" spans="7:14" x14ac:dyDescent="0.3">
      <c r="G15395" s="1"/>
      <c r="N15395" s="1"/>
    </row>
    <row r="15396" spans="7:14" x14ac:dyDescent="0.3">
      <c r="G15396" s="1"/>
      <c r="N15396" s="1"/>
    </row>
    <row r="15397" spans="7:14" x14ac:dyDescent="0.3">
      <c r="G15397" s="1"/>
      <c r="N15397" s="1"/>
    </row>
    <row r="15398" spans="7:14" x14ac:dyDescent="0.3">
      <c r="G15398" s="1"/>
      <c r="N15398" s="1"/>
    </row>
    <row r="15399" spans="7:14" x14ac:dyDescent="0.3">
      <c r="G15399" s="1"/>
      <c r="N15399" s="1"/>
    </row>
    <row r="15400" spans="7:14" x14ac:dyDescent="0.3">
      <c r="G15400" s="1"/>
      <c r="N15400" s="1"/>
    </row>
    <row r="15401" spans="7:14" x14ac:dyDescent="0.3">
      <c r="G15401" s="1"/>
      <c r="N15401" s="1"/>
    </row>
    <row r="15402" spans="7:14" x14ac:dyDescent="0.3">
      <c r="G15402" s="1"/>
      <c r="N15402" s="1"/>
    </row>
    <row r="15403" spans="7:14" x14ac:dyDescent="0.3">
      <c r="G15403" s="1"/>
      <c r="N15403" s="1"/>
    </row>
    <row r="15404" spans="7:14" x14ac:dyDescent="0.3">
      <c r="G15404" s="1"/>
      <c r="N15404" s="1"/>
    </row>
    <row r="15405" spans="7:14" x14ac:dyDescent="0.3">
      <c r="G15405" s="1"/>
      <c r="N15405" s="1"/>
    </row>
    <row r="15406" spans="7:14" x14ac:dyDescent="0.3">
      <c r="G15406" s="1"/>
      <c r="N15406" s="1"/>
    </row>
    <row r="15407" spans="7:14" x14ac:dyDescent="0.3">
      <c r="G15407" s="1"/>
      <c r="N15407" s="1"/>
    </row>
    <row r="15408" spans="7:14" x14ac:dyDescent="0.3">
      <c r="G15408" s="1"/>
      <c r="N15408" s="1"/>
    </row>
    <row r="15409" spans="7:14" x14ac:dyDescent="0.3">
      <c r="G15409" s="1"/>
      <c r="N15409" s="1"/>
    </row>
    <row r="15410" spans="7:14" x14ac:dyDescent="0.3">
      <c r="G15410" s="1"/>
      <c r="N15410" s="1"/>
    </row>
    <row r="15411" spans="7:14" x14ac:dyDescent="0.3">
      <c r="G15411" s="1"/>
      <c r="N15411" s="1"/>
    </row>
    <row r="15412" spans="7:14" x14ac:dyDescent="0.3">
      <c r="G15412" s="1"/>
      <c r="N15412" s="1"/>
    </row>
    <row r="15413" spans="7:14" x14ac:dyDescent="0.3">
      <c r="G15413" s="1"/>
      <c r="N15413" s="1"/>
    </row>
    <row r="15414" spans="7:14" x14ac:dyDescent="0.3">
      <c r="G15414" s="1"/>
      <c r="N15414" s="1"/>
    </row>
    <row r="15415" spans="7:14" x14ac:dyDescent="0.3">
      <c r="G15415" s="1"/>
      <c r="N15415" s="1"/>
    </row>
    <row r="15416" spans="7:14" x14ac:dyDescent="0.3">
      <c r="G15416" s="1"/>
      <c r="N15416" s="1"/>
    </row>
    <row r="15417" spans="7:14" x14ac:dyDescent="0.3">
      <c r="G15417" s="1"/>
      <c r="N15417" s="1"/>
    </row>
    <row r="15418" spans="7:14" x14ac:dyDescent="0.3">
      <c r="G15418" s="1"/>
      <c r="N15418" s="1"/>
    </row>
    <row r="15419" spans="7:14" x14ac:dyDescent="0.3">
      <c r="G15419" s="1"/>
      <c r="N15419" s="1"/>
    </row>
    <row r="15420" spans="7:14" x14ac:dyDescent="0.3">
      <c r="G15420" s="1"/>
      <c r="N15420" s="1"/>
    </row>
    <row r="15421" spans="7:14" x14ac:dyDescent="0.3">
      <c r="G15421" s="1"/>
      <c r="N15421" s="1"/>
    </row>
    <row r="15422" spans="7:14" x14ac:dyDescent="0.3">
      <c r="G15422" s="1"/>
      <c r="N15422" s="1"/>
    </row>
    <row r="15423" spans="7:14" x14ac:dyDescent="0.3">
      <c r="G15423" s="1"/>
      <c r="N15423" s="1"/>
    </row>
    <row r="15424" spans="7:14" x14ac:dyDescent="0.3">
      <c r="G15424" s="1"/>
      <c r="N15424" s="1"/>
    </row>
    <row r="15425" spans="7:14" x14ac:dyDescent="0.3">
      <c r="G15425" s="1"/>
      <c r="N15425" s="1"/>
    </row>
    <row r="15426" spans="7:14" x14ac:dyDescent="0.3">
      <c r="G15426" s="1"/>
      <c r="N15426" s="1"/>
    </row>
    <row r="15427" spans="7:14" x14ac:dyDescent="0.3">
      <c r="G15427" s="1"/>
      <c r="N15427" s="1"/>
    </row>
    <row r="15428" spans="7:14" x14ac:dyDescent="0.3">
      <c r="G15428" s="1"/>
      <c r="N15428" s="1"/>
    </row>
    <row r="15429" spans="7:14" x14ac:dyDescent="0.3">
      <c r="G15429" s="1"/>
      <c r="N15429" s="1"/>
    </row>
    <row r="15430" spans="7:14" x14ac:dyDescent="0.3">
      <c r="G15430" s="1"/>
      <c r="N15430" s="1"/>
    </row>
    <row r="15431" spans="7:14" x14ac:dyDescent="0.3">
      <c r="G15431" s="1"/>
      <c r="N15431" s="1"/>
    </row>
    <row r="15432" spans="7:14" x14ac:dyDescent="0.3">
      <c r="G15432" s="1"/>
      <c r="N15432" s="1"/>
    </row>
    <row r="15433" spans="7:14" x14ac:dyDescent="0.3">
      <c r="G15433" s="1"/>
      <c r="N15433" s="1"/>
    </row>
    <row r="15434" spans="7:14" x14ac:dyDescent="0.3">
      <c r="G15434" s="1"/>
      <c r="N15434" s="1"/>
    </row>
    <row r="15435" spans="7:14" x14ac:dyDescent="0.3">
      <c r="G15435" s="1"/>
      <c r="N15435" s="1"/>
    </row>
    <row r="15436" spans="7:14" x14ac:dyDescent="0.3">
      <c r="G15436" s="1"/>
      <c r="N15436" s="1"/>
    </row>
    <row r="15437" spans="7:14" x14ac:dyDescent="0.3">
      <c r="G15437" s="1"/>
      <c r="N15437" s="1"/>
    </row>
    <row r="15438" spans="7:14" x14ac:dyDescent="0.3">
      <c r="G15438" s="1"/>
      <c r="N15438" s="1"/>
    </row>
    <row r="15439" spans="7:14" x14ac:dyDescent="0.3">
      <c r="G15439" s="1"/>
      <c r="N15439" s="1"/>
    </row>
    <row r="15440" spans="7:14" x14ac:dyDescent="0.3">
      <c r="G15440" s="1"/>
      <c r="N15440" s="1"/>
    </row>
    <row r="15441" spans="7:14" x14ac:dyDescent="0.3">
      <c r="G15441" s="1"/>
      <c r="N15441" s="1"/>
    </row>
    <row r="15442" spans="7:14" x14ac:dyDescent="0.3">
      <c r="G15442" s="1"/>
      <c r="N15442" s="1"/>
    </row>
    <row r="15443" spans="7:14" x14ac:dyDescent="0.3">
      <c r="G15443" s="1"/>
      <c r="N15443" s="1"/>
    </row>
    <row r="15444" spans="7:14" x14ac:dyDescent="0.3">
      <c r="G15444" s="1"/>
      <c r="N15444" s="1"/>
    </row>
    <row r="15445" spans="7:14" x14ac:dyDescent="0.3">
      <c r="G15445" s="1"/>
      <c r="N15445" s="1"/>
    </row>
    <row r="15446" spans="7:14" x14ac:dyDescent="0.3">
      <c r="G15446" s="1"/>
      <c r="N15446" s="1"/>
    </row>
    <row r="15447" spans="7:14" x14ac:dyDescent="0.3">
      <c r="G15447" s="1"/>
      <c r="N15447" s="1"/>
    </row>
    <row r="15448" spans="7:14" x14ac:dyDescent="0.3">
      <c r="G15448" s="1"/>
      <c r="N15448" s="1"/>
    </row>
    <row r="15449" spans="7:14" x14ac:dyDescent="0.3">
      <c r="G15449" s="1"/>
      <c r="N15449" s="1"/>
    </row>
    <row r="15450" spans="7:14" x14ac:dyDescent="0.3">
      <c r="G15450" s="1"/>
      <c r="N15450" s="1"/>
    </row>
    <row r="15451" spans="7:14" x14ac:dyDescent="0.3">
      <c r="G15451" s="1"/>
      <c r="N15451" s="1"/>
    </row>
    <row r="15452" spans="7:14" x14ac:dyDescent="0.3">
      <c r="G15452" s="1"/>
      <c r="N15452" s="1"/>
    </row>
    <row r="15453" spans="7:14" x14ac:dyDescent="0.3">
      <c r="G15453" s="1"/>
      <c r="N15453" s="1"/>
    </row>
    <row r="15454" spans="7:14" x14ac:dyDescent="0.3">
      <c r="G15454" s="1"/>
      <c r="N15454" s="1"/>
    </row>
    <row r="15455" spans="7:14" x14ac:dyDescent="0.3">
      <c r="G15455" s="1"/>
      <c r="N15455" s="1"/>
    </row>
    <row r="15456" spans="7:14" x14ac:dyDescent="0.3">
      <c r="G15456" s="1"/>
      <c r="N15456" s="1"/>
    </row>
    <row r="15457" spans="7:14" x14ac:dyDescent="0.3">
      <c r="G15457" s="1"/>
      <c r="N15457" s="1"/>
    </row>
    <row r="15458" spans="7:14" x14ac:dyDescent="0.3">
      <c r="G15458" s="1"/>
      <c r="N15458" s="1"/>
    </row>
    <row r="15459" spans="7:14" x14ac:dyDescent="0.3">
      <c r="G15459" s="1"/>
      <c r="N15459" s="1"/>
    </row>
    <row r="15460" spans="7:14" x14ac:dyDescent="0.3">
      <c r="G15460" s="1"/>
      <c r="N15460" s="1"/>
    </row>
    <row r="15461" spans="7:14" x14ac:dyDescent="0.3">
      <c r="G15461" s="1"/>
      <c r="N15461" s="1"/>
    </row>
    <row r="15462" spans="7:14" x14ac:dyDescent="0.3">
      <c r="G15462" s="1"/>
      <c r="N15462" s="1"/>
    </row>
    <row r="15463" spans="7:14" x14ac:dyDescent="0.3">
      <c r="G15463" s="1"/>
      <c r="N15463" s="1"/>
    </row>
    <row r="15464" spans="7:14" x14ac:dyDescent="0.3">
      <c r="G15464" s="1"/>
      <c r="N15464" s="1"/>
    </row>
    <row r="15465" spans="7:14" x14ac:dyDescent="0.3">
      <c r="G15465" s="1"/>
      <c r="N15465" s="1"/>
    </row>
    <row r="15466" spans="7:14" x14ac:dyDescent="0.3">
      <c r="G15466" s="1"/>
      <c r="N15466" s="1"/>
    </row>
    <row r="15467" spans="7:14" x14ac:dyDescent="0.3">
      <c r="G15467" s="1"/>
      <c r="N15467" s="1"/>
    </row>
    <row r="15468" spans="7:14" x14ac:dyDescent="0.3">
      <c r="G15468" s="1"/>
      <c r="N15468" s="1"/>
    </row>
    <row r="15469" spans="7:14" x14ac:dyDescent="0.3">
      <c r="G15469" s="1"/>
      <c r="N15469" s="1"/>
    </row>
    <row r="15470" spans="7:14" x14ac:dyDescent="0.3">
      <c r="G15470" s="1"/>
      <c r="N15470" s="1"/>
    </row>
    <row r="15471" spans="7:14" x14ac:dyDescent="0.3">
      <c r="G15471" s="1"/>
      <c r="N15471" s="1"/>
    </row>
    <row r="15472" spans="7:14" x14ac:dyDescent="0.3">
      <c r="G15472" s="1"/>
      <c r="N15472" s="1"/>
    </row>
    <row r="15473" spans="7:14" x14ac:dyDescent="0.3">
      <c r="G15473" s="1"/>
      <c r="N15473" s="1"/>
    </row>
    <row r="15474" spans="7:14" x14ac:dyDescent="0.3">
      <c r="G15474" s="1"/>
      <c r="N15474" s="1"/>
    </row>
    <row r="15475" spans="7:14" x14ac:dyDescent="0.3">
      <c r="G15475" s="1"/>
      <c r="N15475" s="1"/>
    </row>
    <row r="15476" spans="7:14" x14ac:dyDescent="0.3">
      <c r="G15476" s="1"/>
      <c r="N15476" s="1"/>
    </row>
    <row r="15477" spans="7:14" x14ac:dyDescent="0.3">
      <c r="G15477" s="1"/>
      <c r="N15477" s="1"/>
    </row>
    <row r="15478" spans="7:14" x14ac:dyDescent="0.3">
      <c r="G15478" s="1"/>
      <c r="N15478" s="1"/>
    </row>
    <row r="15479" spans="7:14" x14ac:dyDescent="0.3">
      <c r="G15479" s="1"/>
      <c r="N15479" s="1"/>
    </row>
    <row r="15480" spans="7:14" x14ac:dyDescent="0.3">
      <c r="G15480" s="1"/>
      <c r="N15480" s="1"/>
    </row>
    <row r="15481" spans="7:14" x14ac:dyDescent="0.3">
      <c r="G15481" s="1"/>
      <c r="N15481" s="1"/>
    </row>
    <row r="15482" spans="7:14" x14ac:dyDescent="0.3">
      <c r="G15482" s="1"/>
      <c r="N15482" s="1"/>
    </row>
    <row r="15483" spans="7:14" x14ac:dyDescent="0.3">
      <c r="G15483" s="1"/>
      <c r="N15483" s="1"/>
    </row>
    <row r="15484" spans="7:14" x14ac:dyDescent="0.3">
      <c r="G15484" s="1"/>
      <c r="N15484" s="1"/>
    </row>
    <row r="15485" spans="7:14" x14ac:dyDescent="0.3">
      <c r="G15485" s="1"/>
      <c r="N15485" s="1"/>
    </row>
    <row r="15486" spans="7:14" x14ac:dyDescent="0.3">
      <c r="G15486" s="1"/>
      <c r="N15486" s="1"/>
    </row>
    <row r="15487" spans="7:14" x14ac:dyDescent="0.3">
      <c r="G15487" s="1"/>
      <c r="N15487" s="1"/>
    </row>
    <row r="15488" spans="7:14" x14ac:dyDescent="0.3">
      <c r="G15488" s="1"/>
      <c r="N15488" s="1"/>
    </row>
    <row r="15489" spans="7:14" x14ac:dyDescent="0.3">
      <c r="G15489" s="1"/>
      <c r="N15489" s="1"/>
    </row>
    <row r="15490" spans="7:14" x14ac:dyDescent="0.3">
      <c r="G15490" s="1"/>
      <c r="N15490" s="1"/>
    </row>
    <row r="15491" spans="7:14" x14ac:dyDescent="0.3">
      <c r="G15491" s="1"/>
      <c r="N15491" s="1"/>
    </row>
    <row r="15492" spans="7:14" x14ac:dyDescent="0.3">
      <c r="G15492" s="1"/>
      <c r="N15492" s="1"/>
    </row>
    <row r="15493" spans="7:14" x14ac:dyDescent="0.3">
      <c r="G15493" s="1"/>
      <c r="N15493" s="1"/>
    </row>
    <row r="15494" spans="7:14" x14ac:dyDescent="0.3">
      <c r="G15494" s="1"/>
      <c r="N15494" s="1"/>
    </row>
    <row r="15495" spans="7:14" x14ac:dyDescent="0.3">
      <c r="G15495" s="1"/>
      <c r="N15495" s="1"/>
    </row>
    <row r="15496" spans="7:14" x14ac:dyDescent="0.3">
      <c r="G15496" s="1"/>
      <c r="N15496" s="1"/>
    </row>
    <row r="15497" spans="7:14" x14ac:dyDescent="0.3">
      <c r="G15497" s="1"/>
      <c r="N15497" s="1"/>
    </row>
    <row r="15498" spans="7:14" x14ac:dyDescent="0.3">
      <c r="G15498" s="1"/>
      <c r="N15498" s="1"/>
    </row>
    <row r="15499" spans="7:14" x14ac:dyDescent="0.3">
      <c r="G15499" s="1"/>
      <c r="N15499" s="1"/>
    </row>
    <row r="15500" spans="7:14" x14ac:dyDescent="0.3">
      <c r="G15500" s="1"/>
      <c r="N15500" s="1"/>
    </row>
    <row r="15501" spans="7:14" x14ac:dyDescent="0.3">
      <c r="G15501" s="1"/>
      <c r="N15501" s="1"/>
    </row>
    <row r="15502" spans="7:14" x14ac:dyDescent="0.3">
      <c r="G15502" s="1"/>
      <c r="N15502" s="1"/>
    </row>
    <row r="15503" spans="7:14" x14ac:dyDescent="0.3">
      <c r="G15503" s="1"/>
      <c r="N15503" s="1"/>
    </row>
    <row r="15504" spans="7:14" x14ac:dyDescent="0.3">
      <c r="G15504" s="1"/>
      <c r="N15504" s="1"/>
    </row>
    <row r="15505" spans="7:14" x14ac:dyDescent="0.3">
      <c r="G15505" s="1"/>
      <c r="N15505" s="1"/>
    </row>
    <row r="15506" spans="7:14" x14ac:dyDescent="0.3">
      <c r="G15506" s="1"/>
      <c r="N15506" s="1"/>
    </row>
    <row r="15507" spans="7:14" x14ac:dyDescent="0.3">
      <c r="G15507" s="1"/>
      <c r="N15507" s="1"/>
    </row>
    <row r="15508" spans="7:14" x14ac:dyDescent="0.3">
      <c r="G15508" s="1"/>
      <c r="N15508" s="1"/>
    </row>
    <row r="15509" spans="7:14" x14ac:dyDescent="0.3">
      <c r="G15509" s="1"/>
      <c r="N15509" s="1"/>
    </row>
    <row r="15510" spans="7:14" x14ac:dyDescent="0.3">
      <c r="G15510" s="1"/>
      <c r="N15510" s="1"/>
    </row>
    <row r="15511" spans="7:14" x14ac:dyDescent="0.3">
      <c r="G15511" s="1"/>
      <c r="N15511" s="1"/>
    </row>
    <row r="15512" spans="7:14" x14ac:dyDescent="0.3">
      <c r="G15512" s="1"/>
      <c r="N15512" s="1"/>
    </row>
    <row r="15513" spans="7:14" x14ac:dyDescent="0.3">
      <c r="G15513" s="1"/>
      <c r="N15513" s="1"/>
    </row>
    <row r="15514" spans="7:14" x14ac:dyDescent="0.3">
      <c r="G15514" s="1"/>
      <c r="N15514" s="1"/>
    </row>
    <row r="15515" spans="7:14" x14ac:dyDescent="0.3">
      <c r="G15515" s="1"/>
      <c r="N15515" s="1"/>
    </row>
    <row r="15516" spans="7:14" x14ac:dyDescent="0.3">
      <c r="G15516" s="1"/>
      <c r="N15516" s="1"/>
    </row>
    <row r="15517" spans="7:14" x14ac:dyDescent="0.3">
      <c r="G15517" s="1"/>
      <c r="N15517" s="1"/>
    </row>
    <row r="15518" spans="7:14" x14ac:dyDescent="0.3">
      <c r="G15518" s="1"/>
      <c r="N15518" s="1"/>
    </row>
    <row r="15519" spans="7:14" x14ac:dyDescent="0.3">
      <c r="G15519" s="1"/>
      <c r="N15519" s="1"/>
    </row>
    <row r="15520" spans="7:14" x14ac:dyDescent="0.3">
      <c r="G15520" s="1"/>
      <c r="N15520" s="1"/>
    </row>
    <row r="15521" spans="7:14" x14ac:dyDescent="0.3">
      <c r="G15521" s="1"/>
      <c r="N15521" s="1"/>
    </row>
    <row r="15522" spans="7:14" x14ac:dyDescent="0.3">
      <c r="G15522" s="1"/>
      <c r="N15522" s="1"/>
    </row>
    <row r="15523" spans="7:14" x14ac:dyDescent="0.3">
      <c r="G15523" s="1"/>
      <c r="N15523" s="1"/>
    </row>
    <row r="15524" spans="7:14" x14ac:dyDescent="0.3">
      <c r="G15524" s="1"/>
      <c r="N15524" s="1"/>
    </row>
    <row r="15525" spans="7:14" x14ac:dyDescent="0.3">
      <c r="G15525" s="1"/>
      <c r="N15525" s="1"/>
    </row>
    <row r="15526" spans="7:14" x14ac:dyDescent="0.3">
      <c r="G15526" s="1"/>
      <c r="N15526" s="1"/>
    </row>
    <row r="15527" spans="7:14" x14ac:dyDescent="0.3">
      <c r="G15527" s="1"/>
      <c r="N15527" s="1"/>
    </row>
    <row r="15528" spans="7:14" x14ac:dyDescent="0.3">
      <c r="G15528" s="1"/>
      <c r="N15528" s="1"/>
    </row>
    <row r="15529" spans="7:14" x14ac:dyDescent="0.3">
      <c r="G15529" s="1"/>
      <c r="N15529" s="1"/>
    </row>
    <row r="15530" spans="7:14" x14ac:dyDescent="0.3">
      <c r="G15530" s="1"/>
      <c r="N15530" s="1"/>
    </row>
    <row r="15531" spans="7:14" x14ac:dyDescent="0.3">
      <c r="G15531" s="1"/>
      <c r="N15531" s="1"/>
    </row>
    <row r="15532" spans="7:14" x14ac:dyDescent="0.3">
      <c r="G15532" s="1"/>
      <c r="N15532" s="1"/>
    </row>
    <row r="15533" spans="7:14" x14ac:dyDescent="0.3">
      <c r="G15533" s="1"/>
      <c r="N15533" s="1"/>
    </row>
    <row r="15534" spans="7:14" x14ac:dyDescent="0.3">
      <c r="G15534" s="1"/>
      <c r="N15534" s="1"/>
    </row>
    <row r="15535" spans="7:14" x14ac:dyDescent="0.3">
      <c r="G15535" s="1"/>
      <c r="N15535" s="1"/>
    </row>
    <row r="15536" spans="7:14" x14ac:dyDescent="0.3">
      <c r="G15536" s="1"/>
      <c r="N15536" s="1"/>
    </row>
    <row r="15537" spans="7:14" x14ac:dyDescent="0.3">
      <c r="G15537" s="1"/>
      <c r="N15537" s="1"/>
    </row>
    <row r="15538" spans="7:14" x14ac:dyDescent="0.3">
      <c r="G15538" s="1"/>
      <c r="N15538" s="1"/>
    </row>
    <row r="15539" spans="7:14" x14ac:dyDescent="0.3">
      <c r="G15539" s="1"/>
      <c r="N15539" s="1"/>
    </row>
    <row r="15540" spans="7:14" x14ac:dyDescent="0.3">
      <c r="G15540" s="1"/>
      <c r="N15540" s="1"/>
    </row>
    <row r="15541" spans="7:14" x14ac:dyDescent="0.3">
      <c r="G15541" s="1"/>
      <c r="N15541" s="1"/>
    </row>
    <row r="15542" spans="7:14" x14ac:dyDescent="0.3">
      <c r="G15542" s="1"/>
      <c r="N15542" s="1"/>
    </row>
    <row r="15543" spans="7:14" x14ac:dyDescent="0.3">
      <c r="G15543" s="1"/>
      <c r="N15543" s="1"/>
    </row>
    <row r="15544" spans="7:14" x14ac:dyDescent="0.3">
      <c r="G15544" s="1"/>
      <c r="N15544" s="1"/>
    </row>
    <row r="15545" spans="7:14" x14ac:dyDescent="0.3">
      <c r="G15545" s="1"/>
      <c r="N15545" s="1"/>
    </row>
    <row r="15546" spans="7:14" x14ac:dyDescent="0.3">
      <c r="G15546" s="1"/>
      <c r="N15546" s="1"/>
    </row>
    <row r="15547" spans="7:14" x14ac:dyDescent="0.3">
      <c r="G15547" s="1"/>
      <c r="N15547" s="1"/>
    </row>
    <row r="15548" spans="7:14" x14ac:dyDescent="0.3">
      <c r="G15548" s="1"/>
      <c r="N15548" s="1"/>
    </row>
    <row r="15549" spans="7:14" x14ac:dyDescent="0.3">
      <c r="G15549" s="1"/>
      <c r="N15549" s="1"/>
    </row>
    <row r="15550" spans="7:14" x14ac:dyDescent="0.3">
      <c r="G15550" s="1"/>
      <c r="N15550" s="1"/>
    </row>
    <row r="15551" spans="7:14" x14ac:dyDescent="0.3">
      <c r="G15551" s="1"/>
      <c r="N15551" s="1"/>
    </row>
    <row r="15552" spans="7:14" x14ac:dyDescent="0.3">
      <c r="G15552" s="1"/>
      <c r="N15552" s="1"/>
    </row>
    <row r="15553" spans="7:14" x14ac:dyDescent="0.3">
      <c r="G15553" s="1"/>
      <c r="N15553" s="1"/>
    </row>
    <row r="15554" spans="7:14" x14ac:dyDescent="0.3">
      <c r="G15554" s="1"/>
      <c r="N15554" s="1"/>
    </row>
    <row r="15555" spans="7:14" x14ac:dyDescent="0.3">
      <c r="G15555" s="1"/>
      <c r="N15555" s="1"/>
    </row>
    <row r="15556" spans="7:14" x14ac:dyDescent="0.3">
      <c r="G15556" s="1"/>
      <c r="N15556" s="1"/>
    </row>
    <row r="15557" spans="7:14" x14ac:dyDescent="0.3">
      <c r="G15557" s="1"/>
      <c r="N15557" s="1"/>
    </row>
    <row r="15558" spans="7:14" x14ac:dyDescent="0.3">
      <c r="G15558" s="1"/>
      <c r="N15558" s="1"/>
    </row>
    <row r="15559" spans="7:14" x14ac:dyDescent="0.3">
      <c r="G15559" s="1"/>
      <c r="N15559" s="1"/>
    </row>
    <row r="15560" spans="7:14" x14ac:dyDescent="0.3">
      <c r="G15560" s="1"/>
      <c r="N15560" s="1"/>
    </row>
    <row r="15561" spans="7:14" x14ac:dyDescent="0.3">
      <c r="G15561" s="1"/>
      <c r="N15561" s="1"/>
    </row>
    <row r="15562" spans="7:14" x14ac:dyDescent="0.3">
      <c r="G15562" s="1"/>
      <c r="N15562" s="1"/>
    </row>
    <row r="15563" spans="7:14" x14ac:dyDescent="0.3">
      <c r="G15563" s="1"/>
      <c r="N15563" s="1"/>
    </row>
    <row r="15564" spans="7:14" x14ac:dyDescent="0.3">
      <c r="G15564" s="1"/>
      <c r="N15564" s="1"/>
    </row>
    <row r="15565" spans="7:14" x14ac:dyDescent="0.3">
      <c r="G15565" s="1"/>
      <c r="N15565" s="1"/>
    </row>
    <row r="15566" spans="7:14" x14ac:dyDescent="0.3">
      <c r="G15566" s="1"/>
      <c r="N15566" s="1"/>
    </row>
    <row r="15567" spans="7:14" x14ac:dyDescent="0.3">
      <c r="G15567" s="1"/>
      <c r="N15567" s="1"/>
    </row>
    <row r="15568" spans="7:14" x14ac:dyDescent="0.3">
      <c r="G15568" s="1"/>
      <c r="N15568" s="1"/>
    </row>
    <row r="15569" spans="7:14" x14ac:dyDescent="0.3">
      <c r="G15569" s="1"/>
      <c r="N15569" s="1"/>
    </row>
    <row r="15570" spans="7:14" x14ac:dyDescent="0.3">
      <c r="G15570" s="1"/>
      <c r="N15570" s="1"/>
    </row>
    <row r="15571" spans="7:14" x14ac:dyDescent="0.3">
      <c r="G15571" s="1"/>
      <c r="N15571" s="1"/>
    </row>
    <row r="15572" spans="7:14" x14ac:dyDescent="0.3">
      <c r="G15572" s="1"/>
      <c r="N15572" s="1"/>
    </row>
    <row r="15573" spans="7:14" x14ac:dyDescent="0.3">
      <c r="G15573" s="1"/>
      <c r="N15573" s="1"/>
    </row>
    <row r="15574" spans="7:14" x14ac:dyDescent="0.3">
      <c r="G15574" s="1"/>
      <c r="N15574" s="1"/>
    </row>
    <row r="15575" spans="7:14" x14ac:dyDescent="0.3">
      <c r="G15575" s="1"/>
      <c r="N15575" s="1"/>
    </row>
    <row r="15576" spans="7:14" x14ac:dyDescent="0.3">
      <c r="G15576" s="1"/>
      <c r="N15576" s="1"/>
    </row>
    <row r="15577" spans="7:14" x14ac:dyDescent="0.3">
      <c r="G15577" s="1"/>
      <c r="N15577" s="1"/>
    </row>
    <row r="15578" spans="7:14" x14ac:dyDescent="0.3">
      <c r="G15578" s="1"/>
      <c r="N15578" s="1"/>
    </row>
    <row r="15579" spans="7:14" x14ac:dyDescent="0.3">
      <c r="G15579" s="1"/>
      <c r="N15579" s="1"/>
    </row>
    <row r="15580" spans="7:14" x14ac:dyDescent="0.3">
      <c r="G15580" s="1"/>
      <c r="N15580" s="1"/>
    </row>
    <row r="15581" spans="7:14" x14ac:dyDescent="0.3">
      <c r="G15581" s="1"/>
      <c r="N15581" s="1"/>
    </row>
    <row r="15582" spans="7:14" x14ac:dyDescent="0.3">
      <c r="G15582" s="1"/>
      <c r="N15582" s="1"/>
    </row>
    <row r="15583" spans="7:14" x14ac:dyDescent="0.3">
      <c r="G15583" s="1"/>
      <c r="N15583" s="1"/>
    </row>
    <row r="15584" spans="7:14" x14ac:dyDescent="0.3">
      <c r="G15584" s="1"/>
      <c r="N15584" s="1"/>
    </row>
    <row r="15585" spans="7:14" x14ac:dyDescent="0.3">
      <c r="G15585" s="1"/>
      <c r="N15585" s="1"/>
    </row>
    <row r="15586" spans="7:14" x14ac:dyDescent="0.3">
      <c r="G15586" s="1"/>
      <c r="N15586" s="1"/>
    </row>
    <row r="15587" spans="7:14" x14ac:dyDescent="0.3">
      <c r="G15587" s="1"/>
      <c r="N15587" s="1"/>
    </row>
    <row r="15588" spans="7:14" x14ac:dyDescent="0.3">
      <c r="G15588" s="1"/>
      <c r="N15588" s="1"/>
    </row>
    <row r="15589" spans="7:14" x14ac:dyDescent="0.3">
      <c r="G15589" s="1"/>
      <c r="N15589" s="1"/>
    </row>
    <row r="15590" spans="7:14" x14ac:dyDescent="0.3">
      <c r="G15590" s="1"/>
      <c r="N15590" s="1"/>
    </row>
    <row r="15591" spans="7:14" x14ac:dyDescent="0.3">
      <c r="G15591" s="1"/>
      <c r="N15591" s="1"/>
    </row>
    <row r="15592" spans="7:14" x14ac:dyDescent="0.3">
      <c r="G15592" s="1"/>
      <c r="N15592" s="1"/>
    </row>
    <row r="15593" spans="7:14" x14ac:dyDescent="0.3">
      <c r="G15593" s="1"/>
      <c r="N15593" s="1"/>
    </row>
    <row r="15594" spans="7:14" x14ac:dyDescent="0.3">
      <c r="G15594" s="1"/>
      <c r="N15594" s="1"/>
    </row>
    <row r="15595" spans="7:14" x14ac:dyDescent="0.3">
      <c r="G15595" s="1"/>
      <c r="N15595" s="1"/>
    </row>
    <row r="15596" spans="7:14" x14ac:dyDescent="0.3">
      <c r="G15596" s="1"/>
      <c r="N15596" s="1"/>
    </row>
    <row r="15597" spans="7:14" x14ac:dyDescent="0.3">
      <c r="G15597" s="1"/>
      <c r="N15597" s="1"/>
    </row>
    <row r="15598" spans="7:14" x14ac:dyDescent="0.3">
      <c r="G15598" s="1"/>
      <c r="N15598" s="1"/>
    </row>
    <row r="15599" spans="7:14" x14ac:dyDescent="0.3">
      <c r="G15599" s="1"/>
      <c r="N15599" s="1"/>
    </row>
    <row r="15600" spans="7:14" x14ac:dyDescent="0.3">
      <c r="G15600" s="1"/>
      <c r="N15600" s="1"/>
    </row>
    <row r="15601" spans="7:14" x14ac:dyDescent="0.3">
      <c r="G15601" s="1"/>
      <c r="N15601" s="1"/>
    </row>
    <row r="15602" spans="7:14" x14ac:dyDescent="0.3">
      <c r="G15602" s="1"/>
      <c r="N15602" s="1"/>
    </row>
    <row r="15603" spans="7:14" x14ac:dyDescent="0.3">
      <c r="G15603" s="1"/>
      <c r="N15603" s="1"/>
    </row>
    <row r="15604" spans="7:14" x14ac:dyDescent="0.3">
      <c r="G15604" s="1"/>
      <c r="N15604" s="1"/>
    </row>
    <row r="15605" spans="7:14" x14ac:dyDescent="0.3">
      <c r="G15605" s="1"/>
      <c r="N15605" s="1"/>
    </row>
    <row r="15606" spans="7:14" x14ac:dyDescent="0.3">
      <c r="G15606" s="1"/>
      <c r="N15606" s="1"/>
    </row>
    <row r="15607" spans="7:14" x14ac:dyDescent="0.3">
      <c r="G15607" s="1"/>
      <c r="N15607" s="1"/>
    </row>
    <row r="15608" spans="7:14" x14ac:dyDescent="0.3">
      <c r="G15608" s="1"/>
      <c r="N15608" s="1"/>
    </row>
    <row r="15609" spans="7:14" x14ac:dyDescent="0.3">
      <c r="G15609" s="1"/>
      <c r="N15609" s="1"/>
    </row>
    <row r="15610" spans="7:14" x14ac:dyDescent="0.3">
      <c r="G15610" s="1"/>
      <c r="N15610" s="1"/>
    </row>
    <row r="15611" spans="7:14" x14ac:dyDescent="0.3">
      <c r="G15611" s="1"/>
      <c r="N15611" s="1"/>
    </row>
    <row r="15612" spans="7:14" x14ac:dyDescent="0.3">
      <c r="G15612" s="1"/>
      <c r="N15612" s="1"/>
    </row>
    <row r="15613" spans="7:14" x14ac:dyDescent="0.3">
      <c r="G15613" s="1"/>
      <c r="N15613" s="1"/>
    </row>
    <row r="15614" spans="7:14" x14ac:dyDescent="0.3">
      <c r="G15614" s="1"/>
      <c r="N15614" s="1"/>
    </row>
    <row r="15615" spans="7:14" x14ac:dyDescent="0.3">
      <c r="G15615" s="1"/>
      <c r="N15615" s="1"/>
    </row>
    <row r="15616" spans="7:14" x14ac:dyDescent="0.3">
      <c r="G15616" s="1"/>
      <c r="N15616" s="1"/>
    </row>
    <row r="15617" spans="7:14" x14ac:dyDescent="0.3">
      <c r="G15617" s="1"/>
      <c r="N15617" s="1"/>
    </row>
    <row r="15618" spans="7:14" x14ac:dyDescent="0.3">
      <c r="G15618" s="1"/>
      <c r="N15618" s="1"/>
    </row>
    <row r="15619" spans="7:14" x14ac:dyDescent="0.3">
      <c r="G15619" s="1"/>
      <c r="N15619" s="1"/>
    </row>
    <row r="15620" spans="7:14" x14ac:dyDescent="0.3">
      <c r="G15620" s="1"/>
      <c r="N15620" s="1"/>
    </row>
    <row r="15621" spans="7:14" x14ac:dyDescent="0.3">
      <c r="G15621" s="1"/>
      <c r="N15621" s="1"/>
    </row>
    <row r="15622" spans="7:14" x14ac:dyDescent="0.3">
      <c r="G15622" s="1"/>
      <c r="N15622" s="1"/>
    </row>
    <row r="15623" spans="7:14" x14ac:dyDescent="0.3">
      <c r="G15623" s="1"/>
      <c r="N15623" s="1"/>
    </row>
    <row r="15624" spans="7:14" x14ac:dyDescent="0.3">
      <c r="G15624" s="1"/>
      <c r="N15624" s="1"/>
    </row>
    <row r="15625" spans="7:14" x14ac:dyDescent="0.3">
      <c r="G15625" s="1"/>
      <c r="N15625" s="1"/>
    </row>
    <row r="15626" spans="7:14" x14ac:dyDescent="0.3">
      <c r="G15626" s="1"/>
      <c r="N15626" s="1"/>
    </row>
    <row r="15627" spans="7:14" x14ac:dyDescent="0.3">
      <c r="G15627" s="1"/>
      <c r="N15627" s="1"/>
    </row>
    <row r="15628" spans="7:14" x14ac:dyDescent="0.3">
      <c r="G15628" s="1"/>
      <c r="N15628" s="1"/>
    </row>
    <row r="15629" spans="7:14" x14ac:dyDescent="0.3">
      <c r="G15629" s="1"/>
      <c r="N15629" s="1"/>
    </row>
    <row r="15630" spans="7:14" x14ac:dyDescent="0.3">
      <c r="G15630" s="1"/>
      <c r="N15630" s="1"/>
    </row>
    <row r="15631" spans="7:14" x14ac:dyDescent="0.3">
      <c r="G15631" s="1"/>
      <c r="N15631" s="1"/>
    </row>
    <row r="15632" spans="7:14" x14ac:dyDescent="0.3">
      <c r="G15632" s="1"/>
      <c r="N15632" s="1"/>
    </row>
    <row r="15633" spans="7:14" x14ac:dyDescent="0.3">
      <c r="G15633" s="1"/>
      <c r="N15633" s="1"/>
    </row>
    <row r="15634" spans="7:14" x14ac:dyDescent="0.3">
      <c r="G15634" s="1"/>
      <c r="N15634" s="1"/>
    </row>
    <row r="15635" spans="7:14" x14ac:dyDescent="0.3">
      <c r="G15635" s="1"/>
      <c r="N15635" s="1"/>
    </row>
    <row r="15636" spans="7:14" x14ac:dyDescent="0.3">
      <c r="G15636" s="1"/>
      <c r="N15636" s="1"/>
    </row>
    <row r="15637" spans="7:14" x14ac:dyDescent="0.3">
      <c r="G15637" s="1"/>
      <c r="N15637" s="1"/>
    </row>
    <row r="15638" spans="7:14" x14ac:dyDescent="0.3">
      <c r="G15638" s="1"/>
      <c r="N15638" s="1"/>
    </row>
    <row r="15639" spans="7:14" x14ac:dyDescent="0.3">
      <c r="G15639" s="1"/>
      <c r="N15639" s="1"/>
    </row>
    <row r="15640" spans="7:14" x14ac:dyDescent="0.3">
      <c r="G15640" s="1"/>
      <c r="N15640" s="1"/>
    </row>
    <row r="15641" spans="7:14" x14ac:dyDescent="0.3">
      <c r="G15641" s="1"/>
      <c r="N15641" s="1"/>
    </row>
    <row r="15642" spans="7:14" x14ac:dyDescent="0.3">
      <c r="G15642" s="1"/>
      <c r="N15642" s="1"/>
    </row>
    <row r="15643" spans="7:14" x14ac:dyDescent="0.3">
      <c r="G15643" s="1"/>
      <c r="N15643" s="1"/>
    </row>
    <row r="15644" spans="7:14" x14ac:dyDescent="0.3">
      <c r="G15644" s="1"/>
      <c r="N15644" s="1"/>
    </row>
    <row r="15645" spans="7:14" x14ac:dyDescent="0.3">
      <c r="G15645" s="1"/>
      <c r="N15645" s="1"/>
    </row>
    <row r="15646" spans="7:14" x14ac:dyDescent="0.3">
      <c r="G15646" s="1"/>
      <c r="N15646" s="1"/>
    </row>
    <row r="15647" spans="7:14" x14ac:dyDescent="0.3">
      <c r="G15647" s="1"/>
      <c r="N15647" s="1"/>
    </row>
    <row r="15648" spans="7:14" x14ac:dyDescent="0.3">
      <c r="G15648" s="1"/>
      <c r="N15648" s="1"/>
    </row>
    <row r="15649" spans="7:14" x14ac:dyDescent="0.3">
      <c r="G15649" s="1"/>
      <c r="N15649" s="1"/>
    </row>
    <row r="15650" spans="7:14" x14ac:dyDescent="0.3">
      <c r="G15650" s="1"/>
      <c r="N15650" s="1"/>
    </row>
    <row r="15651" spans="7:14" x14ac:dyDescent="0.3">
      <c r="G15651" s="1"/>
      <c r="N15651" s="1"/>
    </row>
    <row r="15652" spans="7:14" x14ac:dyDescent="0.3">
      <c r="G15652" s="1"/>
      <c r="N15652" s="1"/>
    </row>
    <row r="15653" spans="7:14" x14ac:dyDescent="0.3">
      <c r="G15653" s="1"/>
      <c r="N15653" s="1"/>
    </row>
    <row r="15654" spans="7:14" x14ac:dyDescent="0.3">
      <c r="G15654" s="1"/>
      <c r="N15654" s="1"/>
    </row>
    <row r="15655" spans="7:14" x14ac:dyDescent="0.3">
      <c r="G15655" s="1"/>
      <c r="N15655" s="1"/>
    </row>
    <row r="15656" spans="7:14" x14ac:dyDescent="0.3">
      <c r="G15656" s="1"/>
      <c r="N15656" s="1"/>
    </row>
    <row r="15657" spans="7:14" x14ac:dyDescent="0.3">
      <c r="G15657" s="1"/>
      <c r="N15657" s="1"/>
    </row>
    <row r="15658" spans="7:14" x14ac:dyDescent="0.3">
      <c r="G15658" s="1"/>
      <c r="N15658" s="1"/>
    </row>
    <row r="15659" spans="7:14" x14ac:dyDescent="0.3">
      <c r="G15659" s="1"/>
      <c r="N15659" s="1"/>
    </row>
    <row r="15660" spans="7:14" x14ac:dyDescent="0.3">
      <c r="G15660" s="1"/>
      <c r="N15660" s="1"/>
    </row>
    <row r="15661" spans="7:14" x14ac:dyDescent="0.3">
      <c r="G15661" s="1"/>
      <c r="N15661" s="1"/>
    </row>
    <row r="15662" spans="7:14" x14ac:dyDescent="0.3">
      <c r="G15662" s="1"/>
      <c r="N15662" s="1"/>
    </row>
    <row r="15663" spans="7:14" x14ac:dyDescent="0.3">
      <c r="G15663" s="1"/>
      <c r="N15663" s="1"/>
    </row>
    <row r="15664" spans="7:14" x14ac:dyDescent="0.3">
      <c r="G15664" s="1"/>
      <c r="N15664" s="1"/>
    </row>
    <row r="15665" spans="7:14" x14ac:dyDescent="0.3">
      <c r="G15665" s="1"/>
      <c r="N15665" s="1"/>
    </row>
    <row r="15666" spans="7:14" x14ac:dyDescent="0.3">
      <c r="G15666" s="1"/>
      <c r="N15666" s="1"/>
    </row>
    <row r="15667" spans="7:14" x14ac:dyDescent="0.3">
      <c r="G15667" s="1"/>
      <c r="N15667" s="1"/>
    </row>
    <row r="15668" spans="7:14" x14ac:dyDescent="0.3">
      <c r="G15668" s="1"/>
      <c r="N15668" s="1"/>
    </row>
    <row r="15669" spans="7:14" x14ac:dyDescent="0.3">
      <c r="G15669" s="1"/>
      <c r="N15669" s="1"/>
    </row>
    <row r="15670" spans="7:14" x14ac:dyDescent="0.3">
      <c r="G15670" s="1"/>
      <c r="N15670" s="1"/>
    </row>
    <row r="15671" spans="7:14" x14ac:dyDescent="0.3">
      <c r="G15671" s="1"/>
      <c r="N15671" s="1"/>
    </row>
    <row r="15672" spans="7:14" x14ac:dyDescent="0.3">
      <c r="G15672" s="1"/>
      <c r="N15672" s="1"/>
    </row>
    <row r="15673" spans="7:14" x14ac:dyDescent="0.3">
      <c r="G15673" s="1"/>
      <c r="N15673" s="1"/>
    </row>
    <row r="15674" spans="7:14" x14ac:dyDescent="0.3">
      <c r="G15674" s="1"/>
      <c r="N15674" s="1"/>
    </row>
    <row r="15675" spans="7:14" x14ac:dyDescent="0.3">
      <c r="G15675" s="1"/>
      <c r="N15675" s="1"/>
    </row>
    <row r="15676" spans="7:14" x14ac:dyDescent="0.3">
      <c r="G15676" s="1"/>
      <c r="N15676" s="1"/>
    </row>
    <row r="15677" spans="7:14" x14ac:dyDescent="0.3">
      <c r="G15677" s="1"/>
      <c r="N15677" s="1"/>
    </row>
    <row r="15678" spans="7:14" x14ac:dyDescent="0.3">
      <c r="G15678" s="1"/>
      <c r="N15678" s="1"/>
    </row>
    <row r="15679" spans="7:14" x14ac:dyDescent="0.3">
      <c r="G15679" s="1"/>
      <c r="N15679" s="1"/>
    </row>
    <row r="15680" spans="7:14" x14ac:dyDescent="0.3">
      <c r="G15680" s="1"/>
      <c r="N15680" s="1"/>
    </row>
    <row r="15681" spans="7:14" x14ac:dyDescent="0.3">
      <c r="G15681" s="1"/>
      <c r="N15681" s="1"/>
    </row>
    <row r="15682" spans="7:14" x14ac:dyDescent="0.3">
      <c r="G15682" s="1"/>
      <c r="N15682" s="1"/>
    </row>
    <row r="15683" spans="7:14" x14ac:dyDescent="0.3">
      <c r="G15683" s="1"/>
      <c r="N15683" s="1"/>
    </row>
    <row r="15684" spans="7:14" x14ac:dyDescent="0.3">
      <c r="G15684" s="1"/>
      <c r="N15684" s="1"/>
    </row>
    <row r="15685" spans="7:14" x14ac:dyDescent="0.3">
      <c r="G15685" s="1"/>
      <c r="N15685" s="1"/>
    </row>
    <row r="15686" spans="7:14" x14ac:dyDescent="0.3">
      <c r="G15686" s="1"/>
      <c r="N15686" s="1"/>
    </row>
    <row r="15687" spans="7:14" x14ac:dyDescent="0.3">
      <c r="G15687" s="1"/>
      <c r="N15687" s="1"/>
    </row>
    <row r="15688" spans="7:14" x14ac:dyDescent="0.3">
      <c r="G15688" s="1"/>
      <c r="N15688" s="1"/>
    </row>
    <row r="15689" spans="7:14" x14ac:dyDescent="0.3">
      <c r="G15689" s="1"/>
      <c r="N15689" s="1"/>
    </row>
    <row r="15690" spans="7:14" x14ac:dyDescent="0.3">
      <c r="G15690" s="1"/>
      <c r="N15690" s="1"/>
    </row>
    <row r="15691" spans="7:14" x14ac:dyDescent="0.3">
      <c r="G15691" s="1"/>
      <c r="N15691" s="1"/>
    </row>
    <row r="15692" spans="7:14" x14ac:dyDescent="0.3">
      <c r="G15692" s="1"/>
      <c r="N15692" s="1"/>
    </row>
    <row r="15693" spans="7:14" x14ac:dyDescent="0.3">
      <c r="G15693" s="1"/>
      <c r="N15693" s="1"/>
    </row>
    <row r="15694" spans="7:14" x14ac:dyDescent="0.3">
      <c r="G15694" s="1"/>
      <c r="N15694" s="1"/>
    </row>
    <row r="15695" spans="7:14" x14ac:dyDescent="0.3">
      <c r="G15695" s="1"/>
      <c r="N15695" s="1"/>
    </row>
    <row r="15696" spans="7:14" x14ac:dyDescent="0.3">
      <c r="G15696" s="1"/>
      <c r="N15696" s="1"/>
    </row>
    <row r="15697" spans="7:14" x14ac:dyDescent="0.3">
      <c r="G15697" s="1"/>
      <c r="N15697" s="1"/>
    </row>
    <row r="15698" spans="7:14" x14ac:dyDescent="0.3">
      <c r="G15698" s="1"/>
      <c r="N15698" s="1"/>
    </row>
    <row r="15699" spans="7:14" x14ac:dyDescent="0.3">
      <c r="G15699" s="1"/>
      <c r="N15699" s="1"/>
    </row>
    <row r="15700" spans="7:14" x14ac:dyDescent="0.3">
      <c r="G15700" s="1"/>
      <c r="N15700" s="1"/>
    </row>
    <row r="15701" spans="7:14" x14ac:dyDescent="0.3">
      <c r="G15701" s="1"/>
      <c r="N15701" s="1"/>
    </row>
    <row r="15702" spans="7:14" x14ac:dyDescent="0.3">
      <c r="G15702" s="1"/>
      <c r="N15702" s="1"/>
    </row>
    <row r="15703" spans="7:14" x14ac:dyDescent="0.3">
      <c r="G15703" s="1"/>
      <c r="N15703" s="1"/>
    </row>
    <row r="15704" spans="7:14" x14ac:dyDescent="0.3">
      <c r="G15704" s="1"/>
      <c r="N15704" s="1"/>
    </row>
    <row r="15705" spans="7:14" x14ac:dyDescent="0.3">
      <c r="G15705" s="1"/>
      <c r="N15705" s="1"/>
    </row>
    <row r="15706" spans="7:14" x14ac:dyDescent="0.3">
      <c r="G15706" s="1"/>
      <c r="N15706" s="1"/>
    </row>
    <row r="15707" spans="7:14" x14ac:dyDescent="0.3">
      <c r="G15707" s="1"/>
      <c r="N15707" s="1"/>
    </row>
    <row r="15708" spans="7:14" x14ac:dyDescent="0.3">
      <c r="G15708" s="1"/>
      <c r="N15708" s="1"/>
    </row>
    <row r="15709" spans="7:14" x14ac:dyDescent="0.3">
      <c r="G15709" s="1"/>
      <c r="N15709" s="1"/>
    </row>
    <row r="15710" spans="7:14" x14ac:dyDescent="0.3">
      <c r="G15710" s="1"/>
      <c r="N15710" s="1"/>
    </row>
    <row r="15711" spans="7:14" x14ac:dyDescent="0.3">
      <c r="G15711" s="1"/>
      <c r="N15711" s="1"/>
    </row>
    <row r="15712" spans="7:14" x14ac:dyDescent="0.3">
      <c r="G15712" s="1"/>
      <c r="N15712" s="1"/>
    </row>
    <row r="15713" spans="7:14" x14ac:dyDescent="0.3">
      <c r="G15713" s="1"/>
      <c r="N15713" s="1"/>
    </row>
    <row r="15714" spans="7:14" x14ac:dyDescent="0.3">
      <c r="G15714" s="1"/>
      <c r="N15714" s="1"/>
    </row>
    <row r="15715" spans="7:14" x14ac:dyDescent="0.3">
      <c r="G15715" s="1"/>
      <c r="N15715" s="1"/>
    </row>
    <row r="15716" spans="7:14" x14ac:dyDescent="0.3">
      <c r="G15716" s="1"/>
      <c r="N15716" s="1"/>
    </row>
    <row r="15717" spans="7:14" x14ac:dyDescent="0.3">
      <c r="G15717" s="1"/>
      <c r="N15717" s="1"/>
    </row>
    <row r="15718" spans="7:14" x14ac:dyDescent="0.3">
      <c r="G15718" s="1"/>
      <c r="N15718" s="1"/>
    </row>
    <row r="15719" spans="7:14" x14ac:dyDescent="0.3">
      <c r="G15719" s="1"/>
      <c r="N15719" s="1"/>
    </row>
    <row r="15720" spans="7:14" x14ac:dyDescent="0.3">
      <c r="G15720" s="1"/>
      <c r="N15720" s="1"/>
    </row>
    <row r="15721" spans="7:14" x14ac:dyDescent="0.3">
      <c r="G15721" s="1"/>
      <c r="N15721" s="1"/>
    </row>
    <row r="15722" spans="7:14" x14ac:dyDescent="0.3">
      <c r="G15722" s="1"/>
      <c r="N15722" s="1"/>
    </row>
    <row r="15723" spans="7:14" x14ac:dyDescent="0.3">
      <c r="G15723" s="1"/>
      <c r="N15723" s="1"/>
    </row>
    <row r="15724" spans="7:14" x14ac:dyDescent="0.3">
      <c r="G15724" s="1"/>
      <c r="N15724" s="1"/>
    </row>
    <row r="15725" spans="7:14" x14ac:dyDescent="0.3">
      <c r="G15725" s="1"/>
      <c r="N15725" s="1"/>
    </row>
    <row r="15726" spans="7:14" x14ac:dyDescent="0.3">
      <c r="G15726" s="1"/>
      <c r="N15726" s="1"/>
    </row>
    <row r="15727" spans="7:14" x14ac:dyDescent="0.3">
      <c r="G15727" s="1"/>
      <c r="N15727" s="1"/>
    </row>
    <row r="15728" spans="7:14" x14ac:dyDescent="0.3">
      <c r="G15728" s="1"/>
      <c r="N15728" s="1"/>
    </row>
    <row r="15729" spans="7:14" x14ac:dyDescent="0.3">
      <c r="G15729" s="1"/>
      <c r="N15729" s="1"/>
    </row>
    <row r="15730" spans="7:14" x14ac:dyDescent="0.3">
      <c r="G15730" s="1"/>
      <c r="N15730" s="1"/>
    </row>
    <row r="15731" spans="7:14" x14ac:dyDescent="0.3">
      <c r="G15731" s="1"/>
      <c r="N15731" s="1"/>
    </row>
    <row r="15732" spans="7:14" x14ac:dyDescent="0.3">
      <c r="G15732" s="1"/>
      <c r="N15732" s="1"/>
    </row>
    <row r="15733" spans="7:14" x14ac:dyDescent="0.3">
      <c r="G15733" s="1"/>
      <c r="N15733" s="1"/>
    </row>
    <row r="15734" spans="7:14" x14ac:dyDescent="0.3">
      <c r="G15734" s="1"/>
      <c r="N15734" s="1"/>
    </row>
    <row r="15735" spans="7:14" x14ac:dyDescent="0.3">
      <c r="G15735" s="1"/>
      <c r="N15735" s="1"/>
    </row>
    <row r="15736" spans="7:14" x14ac:dyDescent="0.3">
      <c r="G15736" s="1"/>
      <c r="N15736" s="1"/>
    </row>
    <row r="15737" spans="7:14" x14ac:dyDescent="0.3">
      <c r="G15737" s="1"/>
      <c r="N15737" s="1"/>
    </row>
    <row r="15738" spans="7:14" x14ac:dyDescent="0.3">
      <c r="G15738" s="1"/>
      <c r="N15738" s="1"/>
    </row>
    <row r="15739" spans="7:14" x14ac:dyDescent="0.3">
      <c r="G15739" s="1"/>
      <c r="N15739" s="1"/>
    </row>
    <row r="15740" spans="7:14" x14ac:dyDescent="0.3">
      <c r="G15740" s="1"/>
      <c r="N15740" s="1"/>
    </row>
    <row r="15741" spans="7:14" x14ac:dyDescent="0.3">
      <c r="G15741" s="1"/>
      <c r="N15741" s="1"/>
    </row>
    <row r="15742" spans="7:14" x14ac:dyDescent="0.3">
      <c r="G15742" s="1"/>
      <c r="N15742" s="1"/>
    </row>
    <row r="15743" spans="7:14" x14ac:dyDescent="0.3">
      <c r="G15743" s="1"/>
      <c r="N15743" s="1"/>
    </row>
    <row r="15744" spans="7:14" x14ac:dyDescent="0.3">
      <c r="G15744" s="1"/>
      <c r="N15744" s="1"/>
    </row>
    <row r="15745" spans="7:14" x14ac:dyDescent="0.3">
      <c r="G15745" s="1"/>
      <c r="N15745" s="1"/>
    </row>
    <row r="15746" spans="7:14" x14ac:dyDescent="0.3">
      <c r="G15746" s="1"/>
      <c r="N15746" s="1"/>
    </row>
    <row r="15747" spans="7:14" x14ac:dyDescent="0.3">
      <c r="G15747" s="1"/>
      <c r="N15747" s="1"/>
    </row>
    <row r="15748" spans="7:14" x14ac:dyDescent="0.3">
      <c r="G15748" s="1"/>
      <c r="N15748" s="1"/>
    </row>
    <row r="15749" spans="7:14" x14ac:dyDescent="0.3">
      <c r="G15749" s="1"/>
      <c r="N15749" s="1"/>
    </row>
    <row r="15750" spans="7:14" x14ac:dyDescent="0.3">
      <c r="G15750" s="1"/>
      <c r="N15750" s="1"/>
    </row>
    <row r="15751" spans="7:14" x14ac:dyDescent="0.3">
      <c r="G15751" s="1"/>
      <c r="N15751" s="1"/>
    </row>
    <row r="15752" spans="7:14" x14ac:dyDescent="0.3">
      <c r="G15752" s="1"/>
      <c r="N15752" s="1"/>
    </row>
    <row r="15753" spans="7:14" x14ac:dyDescent="0.3">
      <c r="G15753" s="1"/>
      <c r="N15753" s="1"/>
    </row>
    <row r="15754" spans="7:14" x14ac:dyDescent="0.3">
      <c r="G15754" s="1"/>
      <c r="N15754" s="1"/>
    </row>
    <row r="15755" spans="7:14" x14ac:dyDescent="0.3">
      <c r="G15755" s="1"/>
      <c r="N15755" s="1"/>
    </row>
    <row r="15756" spans="7:14" x14ac:dyDescent="0.3">
      <c r="G15756" s="1"/>
      <c r="N15756" s="1"/>
    </row>
    <row r="15757" spans="7:14" x14ac:dyDescent="0.3">
      <c r="G15757" s="1"/>
      <c r="N15757" s="1"/>
    </row>
    <row r="15758" spans="7:14" x14ac:dyDescent="0.3">
      <c r="G15758" s="1"/>
      <c r="N15758" s="1"/>
    </row>
    <row r="15759" spans="7:14" x14ac:dyDescent="0.3">
      <c r="G15759" s="1"/>
      <c r="N15759" s="1"/>
    </row>
    <row r="15760" spans="7:14" x14ac:dyDescent="0.3">
      <c r="G15760" s="1"/>
      <c r="N15760" s="1"/>
    </row>
    <row r="15761" spans="7:14" x14ac:dyDescent="0.3">
      <c r="G15761" s="1"/>
      <c r="N15761" s="1"/>
    </row>
    <row r="15762" spans="7:14" x14ac:dyDescent="0.3">
      <c r="G15762" s="1"/>
      <c r="N15762" s="1"/>
    </row>
    <row r="15763" spans="7:14" x14ac:dyDescent="0.3">
      <c r="G15763" s="1"/>
      <c r="N15763" s="1"/>
    </row>
    <row r="15764" spans="7:14" x14ac:dyDescent="0.3">
      <c r="G15764" s="1"/>
      <c r="N15764" s="1"/>
    </row>
    <row r="15765" spans="7:14" x14ac:dyDescent="0.3">
      <c r="G15765" s="1"/>
      <c r="N15765" s="1"/>
    </row>
    <row r="15766" spans="7:14" x14ac:dyDescent="0.3">
      <c r="G15766" s="1"/>
      <c r="N15766" s="1"/>
    </row>
    <row r="15767" spans="7:14" x14ac:dyDescent="0.3">
      <c r="G15767" s="1"/>
      <c r="N15767" s="1"/>
    </row>
    <row r="15768" spans="7:14" x14ac:dyDescent="0.3">
      <c r="G15768" s="1"/>
      <c r="N15768" s="1"/>
    </row>
    <row r="15769" spans="7:14" x14ac:dyDescent="0.3">
      <c r="G15769" s="1"/>
      <c r="N15769" s="1"/>
    </row>
    <row r="15770" spans="7:14" x14ac:dyDescent="0.3">
      <c r="G15770" s="1"/>
      <c r="N15770" s="1"/>
    </row>
    <row r="15771" spans="7:14" x14ac:dyDescent="0.3">
      <c r="G15771" s="1"/>
      <c r="N15771" s="1"/>
    </row>
    <row r="15772" spans="7:14" x14ac:dyDescent="0.3">
      <c r="G15772" s="1"/>
      <c r="N15772" s="1"/>
    </row>
    <row r="15773" spans="7:14" x14ac:dyDescent="0.3">
      <c r="G15773" s="1"/>
      <c r="N15773" s="1"/>
    </row>
    <row r="15774" spans="7:14" x14ac:dyDescent="0.3">
      <c r="G15774" s="1"/>
      <c r="N15774" s="1"/>
    </row>
    <row r="15775" spans="7:14" x14ac:dyDescent="0.3">
      <c r="G15775" s="1"/>
      <c r="N15775" s="1"/>
    </row>
    <row r="15776" spans="7:14" x14ac:dyDescent="0.3">
      <c r="G15776" s="1"/>
      <c r="N15776" s="1"/>
    </row>
    <row r="15777" spans="7:14" x14ac:dyDescent="0.3">
      <c r="G15777" s="1"/>
      <c r="N15777" s="1"/>
    </row>
    <row r="15778" spans="7:14" x14ac:dyDescent="0.3">
      <c r="G15778" s="1"/>
      <c r="N15778" s="1"/>
    </row>
    <row r="15779" spans="7:14" x14ac:dyDescent="0.3">
      <c r="G15779" s="1"/>
      <c r="N15779" s="1"/>
    </row>
    <row r="15780" spans="7:14" x14ac:dyDescent="0.3">
      <c r="G15780" s="1"/>
      <c r="N15780" s="1"/>
    </row>
    <row r="15781" spans="7:14" x14ac:dyDescent="0.3">
      <c r="G15781" s="1"/>
      <c r="N15781" s="1"/>
    </row>
    <row r="15782" spans="7:14" x14ac:dyDescent="0.3">
      <c r="G15782" s="1"/>
      <c r="N15782" s="1"/>
    </row>
    <row r="15783" spans="7:14" x14ac:dyDescent="0.3">
      <c r="G15783" s="1"/>
      <c r="N15783" s="1"/>
    </row>
    <row r="15784" spans="7:14" x14ac:dyDescent="0.3">
      <c r="G15784" s="1"/>
      <c r="N15784" s="1"/>
    </row>
    <row r="15785" spans="7:14" x14ac:dyDescent="0.3">
      <c r="G15785" s="1"/>
      <c r="N15785" s="1"/>
    </row>
    <row r="15786" spans="7:14" x14ac:dyDescent="0.3">
      <c r="G15786" s="1"/>
      <c r="N15786" s="1"/>
    </row>
    <row r="15787" spans="7:14" x14ac:dyDescent="0.3">
      <c r="G15787" s="1"/>
      <c r="N15787" s="1"/>
    </row>
    <row r="15788" spans="7:14" x14ac:dyDescent="0.3">
      <c r="G15788" s="1"/>
      <c r="N15788" s="1"/>
    </row>
    <row r="15789" spans="7:14" x14ac:dyDescent="0.3">
      <c r="G15789" s="1"/>
      <c r="N15789" s="1"/>
    </row>
    <row r="15790" spans="7:14" x14ac:dyDescent="0.3">
      <c r="G15790" s="1"/>
      <c r="N15790" s="1"/>
    </row>
    <row r="15791" spans="7:14" x14ac:dyDescent="0.3">
      <c r="G15791" s="1"/>
      <c r="N15791" s="1"/>
    </row>
    <row r="15792" spans="7:14" x14ac:dyDescent="0.3">
      <c r="G15792" s="1"/>
      <c r="N15792" s="1"/>
    </row>
    <row r="15793" spans="7:14" x14ac:dyDescent="0.3">
      <c r="G15793" s="1"/>
      <c r="N15793" s="1"/>
    </row>
    <row r="15794" spans="7:14" x14ac:dyDescent="0.3">
      <c r="G15794" s="1"/>
      <c r="N15794" s="1"/>
    </row>
    <row r="15795" spans="7:14" x14ac:dyDescent="0.3">
      <c r="G15795" s="1"/>
      <c r="N15795" s="1"/>
    </row>
    <row r="15796" spans="7:14" x14ac:dyDescent="0.3">
      <c r="G15796" s="1"/>
      <c r="N15796" s="1"/>
    </row>
    <row r="15797" spans="7:14" x14ac:dyDescent="0.3">
      <c r="G15797" s="1"/>
      <c r="N15797" s="1"/>
    </row>
    <row r="15798" spans="7:14" x14ac:dyDescent="0.3">
      <c r="G15798" s="1"/>
      <c r="N15798" s="1"/>
    </row>
    <row r="15799" spans="7:14" x14ac:dyDescent="0.3">
      <c r="G15799" s="1"/>
      <c r="N15799" s="1"/>
    </row>
    <row r="15800" spans="7:14" x14ac:dyDescent="0.3">
      <c r="G15800" s="1"/>
      <c r="N15800" s="1"/>
    </row>
    <row r="15801" spans="7:14" x14ac:dyDescent="0.3">
      <c r="G15801" s="1"/>
      <c r="N15801" s="1"/>
    </row>
    <row r="15802" spans="7:14" x14ac:dyDescent="0.3">
      <c r="G15802" s="1"/>
      <c r="N15802" s="1"/>
    </row>
    <row r="15803" spans="7:14" x14ac:dyDescent="0.3">
      <c r="G15803" s="1"/>
      <c r="N15803" s="1"/>
    </row>
    <row r="15804" spans="7:14" x14ac:dyDescent="0.3">
      <c r="G15804" s="1"/>
      <c r="N15804" s="1"/>
    </row>
    <row r="15805" spans="7:14" x14ac:dyDescent="0.3">
      <c r="G15805" s="1"/>
      <c r="N15805" s="1"/>
    </row>
    <row r="15806" spans="7:14" x14ac:dyDescent="0.3">
      <c r="G15806" s="1"/>
      <c r="N15806" s="1"/>
    </row>
    <row r="15807" spans="7:14" x14ac:dyDescent="0.3">
      <c r="G15807" s="1"/>
      <c r="N15807" s="1"/>
    </row>
    <row r="15808" spans="7:14" x14ac:dyDescent="0.3">
      <c r="G15808" s="1"/>
      <c r="N15808" s="1"/>
    </row>
    <row r="15809" spans="7:14" x14ac:dyDescent="0.3">
      <c r="G15809" s="1"/>
      <c r="N15809" s="1"/>
    </row>
    <row r="15810" spans="7:14" x14ac:dyDescent="0.3">
      <c r="G15810" s="1"/>
      <c r="N15810" s="1"/>
    </row>
    <row r="15811" spans="7:14" x14ac:dyDescent="0.3">
      <c r="G15811" s="1"/>
      <c r="N15811" s="1"/>
    </row>
    <row r="15812" spans="7:14" x14ac:dyDescent="0.3">
      <c r="G15812" s="1"/>
      <c r="N15812" s="1"/>
    </row>
    <row r="15813" spans="7:14" x14ac:dyDescent="0.3">
      <c r="G15813" s="1"/>
      <c r="N15813" s="1"/>
    </row>
    <row r="15814" spans="7:14" x14ac:dyDescent="0.3">
      <c r="G15814" s="1"/>
      <c r="N15814" s="1"/>
    </row>
    <row r="15815" spans="7:14" x14ac:dyDescent="0.3">
      <c r="G15815" s="1"/>
      <c r="N15815" s="1"/>
    </row>
    <row r="15816" spans="7:14" x14ac:dyDescent="0.3">
      <c r="G15816" s="1"/>
      <c r="N15816" s="1"/>
    </row>
    <row r="15817" spans="7:14" x14ac:dyDescent="0.3">
      <c r="G15817" s="1"/>
      <c r="N15817" s="1"/>
    </row>
    <row r="15818" spans="7:14" x14ac:dyDescent="0.3">
      <c r="G15818" s="1"/>
      <c r="N15818" s="1"/>
    </row>
    <row r="15819" spans="7:14" x14ac:dyDescent="0.3">
      <c r="G15819" s="1"/>
      <c r="N15819" s="1"/>
    </row>
    <row r="15820" spans="7:14" x14ac:dyDescent="0.3">
      <c r="G15820" s="1"/>
      <c r="N15820" s="1"/>
    </row>
    <row r="15821" spans="7:14" x14ac:dyDescent="0.3">
      <c r="G15821" s="1"/>
      <c r="N15821" s="1"/>
    </row>
    <row r="15822" spans="7:14" x14ac:dyDescent="0.3">
      <c r="G15822" s="1"/>
      <c r="N15822" s="1"/>
    </row>
    <row r="15823" spans="7:14" x14ac:dyDescent="0.3">
      <c r="G15823" s="1"/>
      <c r="N15823" s="1"/>
    </row>
    <row r="15824" spans="7:14" x14ac:dyDescent="0.3">
      <c r="G15824" s="1"/>
      <c r="N15824" s="1"/>
    </row>
    <row r="15825" spans="7:14" x14ac:dyDescent="0.3">
      <c r="G15825" s="1"/>
      <c r="N15825" s="1"/>
    </row>
    <row r="15826" spans="7:14" x14ac:dyDescent="0.3">
      <c r="G15826" s="1"/>
      <c r="N15826" s="1"/>
    </row>
    <row r="15827" spans="7:14" x14ac:dyDescent="0.3">
      <c r="G15827" s="1"/>
      <c r="N15827" s="1"/>
    </row>
    <row r="15828" spans="7:14" x14ac:dyDescent="0.3">
      <c r="G15828" s="1"/>
      <c r="N15828" s="1"/>
    </row>
    <row r="15829" spans="7:14" x14ac:dyDescent="0.3">
      <c r="G15829" s="1"/>
      <c r="N15829" s="1"/>
    </row>
    <row r="15830" spans="7:14" x14ac:dyDescent="0.3">
      <c r="G15830" s="1"/>
      <c r="N15830" s="1"/>
    </row>
    <row r="15831" spans="7:14" x14ac:dyDescent="0.3">
      <c r="G15831" s="1"/>
      <c r="N15831" s="1"/>
    </row>
    <row r="15832" spans="7:14" x14ac:dyDescent="0.3">
      <c r="G15832" s="1"/>
      <c r="N15832" s="1"/>
    </row>
    <row r="15833" spans="7:14" x14ac:dyDescent="0.3">
      <c r="G15833" s="1"/>
      <c r="N15833" s="1"/>
    </row>
    <row r="15834" spans="7:14" x14ac:dyDescent="0.3">
      <c r="G15834" s="1"/>
      <c r="N15834" s="1"/>
    </row>
    <row r="15835" spans="7:14" x14ac:dyDescent="0.3">
      <c r="G15835" s="1"/>
      <c r="N15835" s="1"/>
    </row>
    <row r="15836" spans="7:14" x14ac:dyDescent="0.3">
      <c r="G15836" s="1"/>
      <c r="N15836" s="1"/>
    </row>
    <row r="15837" spans="7:14" x14ac:dyDescent="0.3">
      <c r="G15837" s="1"/>
      <c r="N15837" s="1"/>
    </row>
    <row r="15838" spans="7:14" x14ac:dyDescent="0.3">
      <c r="G15838" s="1"/>
      <c r="N15838" s="1"/>
    </row>
    <row r="15839" spans="7:14" x14ac:dyDescent="0.3">
      <c r="G15839" s="1"/>
      <c r="N15839" s="1"/>
    </row>
    <row r="15840" spans="7:14" x14ac:dyDescent="0.3">
      <c r="G15840" s="1"/>
      <c r="N15840" s="1"/>
    </row>
    <row r="15841" spans="7:14" x14ac:dyDescent="0.3">
      <c r="G15841" s="1"/>
      <c r="N15841" s="1"/>
    </row>
    <row r="15842" spans="7:14" x14ac:dyDescent="0.3">
      <c r="G15842" s="1"/>
      <c r="N15842" s="1"/>
    </row>
    <row r="15843" spans="7:14" x14ac:dyDescent="0.3">
      <c r="G15843" s="1"/>
      <c r="N15843" s="1"/>
    </row>
    <row r="15844" spans="7:14" x14ac:dyDescent="0.3">
      <c r="G15844" s="1"/>
      <c r="N15844" s="1"/>
    </row>
    <row r="15845" spans="7:14" x14ac:dyDescent="0.3">
      <c r="G15845" s="1"/>
      <c r="N15845" s="1"/>
    </row>
    <row r="15846" spans="7:14" x14ac:dyDescent="0.3">
      <c r="G15846" s="1"/>
      <c r="N15846" s="1"/>
    </row>
    <row r="15847" spans="7:14" x14ac:dyDescent="0.3">
      <c r="G15847" s="1"/>
      <c r="N15847" s="1"/>
    </row>
    <row r="15848" spans="7:14" x14ac:dyDescent="0.3">
      <c r="G15848" s="1"/>
      <c r="N15848" s="1"/>
    </row>
    <row r="15849" spans="7:14" x14ac:dyDescent="0.3">
      <c r="G15849" s="1"/>
      <c r="N15849" s="1"/>
    </row>
    <row r="15850" spans="7:14" x14ac:dyDescent="0.3">
      <c r="G15850" s="1"/>
      <c r="N15850" s="1"/>
    </row>
    <row r="15851" spans="7:14" x14ac:dyDescent="0.3">
      <c r="G15851" s="1"/>
      <c r="N15851" s="1"/>
    </row>
    <row r="15852" spans="7:14" x14ac:dyDescent="0.3">
      <c r="G15852" s="1"/>
      <c r="N15852" s="1"/>
    </row>
    <row r="15853" spans="7:14" x14ac:dyDescent="0.3">
      <c r="G15853" s="1"/>
      <c r="N15853" s="1"/>
    </row>
    <row r="15854" spans="7:14" x14ac:dyDescent="0.3">
      <c r="G15854" s="1"/>
      <c r="N15854" s="1"/>
    </row>
    <row r="15855" spans="7:14" x14ac:dyDescent="0.3">
      <c r="G15855" s="1"/>
      <c r="N15855" s="1"/>
    </row>
    <row r="15856" spans="7:14" x14ac:dyDescent="0.3">
      <c r="G15856" s="1"/>
      <c r="N15856" s="1"/>
    </row>
    <row r="15857" spans="7:14" x14ac:dyDescent="0.3">
      <c r="G15857" s="1"/>
      <c r="N15857" s="1"/>
    </row>
    <row r="15858" spans="7:14" x14ac:dyDescent="0.3">
      <c r="G15858" s="1"/>
      <c r="N15858" s="1"/>
    </row>
    <row r="15859" spans="7:14" x14ac:dyDescent="0.3">
      <c r="G15859" s="1"/>
      <c r="N15859" s="1"/>
    </row>
    <row r="15860" spans="7:14" x14ac:dyDescent="0.3">
      <c r="G15860" s="1"/>
      <c r="N15860" s="1"/>
    </row>
    <row r="15861" spans="7:14" x14ac:dyDescent="0.3">
      <c r="G15861" s="1"/>
      <c r="N15861" s="1"/>
    </row>
    <row r="15862" spans="7:14" x14ac:dyDescent="0.3">
      <c r="G15862" s="1"/>
      <c r="N15862" s="1"/>
    </row>
    <row r="15863" spans="7:14" x14ac:dyDescent="0.3">
      <c r="G15863" s="1"/>
      <c r="N15863" s="1"/>
    </row>
    <row r="15864" spans="7:14" x14ac:dyDescent="0.3">
      <c r="G15864" s="1"/>
      <c r="N15864" s="1"/>
    </row>
    <row r="15865" spans="7:14" x14ac:dyDescent="0.3">
      <c r="G15865" s="1"/>
      <c r="N15865" s="1"/>
    </row>
    <row r="15866" spans="7:14" x14ac:dyDescent="0.3">
      <c r="G15866" s="1"/>
      <c r="N15866" s="1"/>
    </row>
    <row r="15867" spans="7:14" x14ac:dyDescent="0.3">
      <c r="G15867" s="1"/>
      <c r="N15867" s="1"/>
    </row>
    <row r="15868" spans="7:14" x14ac:dyDescent="0.3">
      <c r="G15868" s="1"/>
      <c r="N15868" s="1"/>
    </row>
    <row r="15869" spans="7:14" x14ac:dyDescent="0.3">
      <c r="G15869" s="1"/>
      <c r="N15869" s="1"/>
    </row>
    <row r="15870" spans="7:14" x14ac:dyDescent="0.3">
      <c r="G15870" s="1"/>
      <c r="N15870" s="1"/>
    </row>
    <row r="15871" spans="7:14" x14ac:dyDescent="0.3">
      <c r="G15871" s="1"/>
      <c r="N15871" s="1"/>
    </row>
    <row r="15872" spans="7:14" x14ac:dyDescent="0.3">
      <c r="G15872" s="1"/>
      <c r="N15872" s="1"/>
    </row>
    <row r="15873" spans="7:14" x14ac:dyDescent="0.3">
      <c r="G15873" s="1"/>
      <c r="N15873" s="1"/>
    </row>
    <row r="15874" spans="7:14" x14ac:dyDescent="0.3">
      <c r="G15874" s="1"/>
      <c r="N15874" s="1"/>
    </row>
    <row r="15875" spans="7:14" x14ac:dyDescent="0.3">
      <c r="G15875" s="1"/>
      <c r="N15875" s="1"/>
    </row>
    <row r="15876" spans="7:14" x14ac:dyDescent="0.3">
      <c r="G15876" s="1"/>
      <c r="N15876" s="1"/>
    </row>
    <row r="15877" spans="7:14" x14ac:dyDescent="0.3">
      <c r="G15877" s="1"/>
      <c r="N15877" s="1"/>
    </row>
    <row r="15878" spans="7:14" x14ac:dyDescent="0.3">
      <c r="G15878" s="1"/>
      <c r="N15878" s="1"/>
    </row>
    <row r="15879" spans="7:14" x14ac:dyDescent="0.3">
      <c r="G15879" s="1"/>
      <c r="N15879" s="1"/>
    </row>
    <row r="15880" spans="7:14" x14ac:dyDescent="0.3">
      <c r="G15880" s="1"/>
      <c r="N15880" s="1"/>
    </row>
    <row r="15881" spans="7:14" x14ac:dyDescent="0.3">
      <c r="G15881" s="1"/>
      <c r="N15881" s="1"/>
    </row>
    <row r="15882" spans="7:14" x14ac:dyDescent="0.3">
      <c r="G15882" s="1"/>
      <c r="N15882" s="1"/>
    </row>
    <row r="15883" spans="7:14" x14ac:dyDescent="0.3">
      <c r="G15883" s="1"/>
      <c r="N15883" s="1"/>
    </row>
    <row r="15884" spans="7:14" x14ac:dyDescent="0.3">
      <c r="G15884" s="1"/>
      <c r="N15884" s="1"/>
    </row>
    <row r="15885" spans="7:14" x14ac:dyDescent="0.3">
      <c r="G15885" s="1"/>
      <c r="N15885" s="1"/>
    </row>
    <row r="15886" spans="7:14" x14ac:dyDescent="0.3">
      <c r="G15886" s="1"/>
      <c r="N15886" s="1"/>
    </row>
    <row r="15887" spans="7:14" x14ac:dyDescent="0.3">
      <c r="G15887" s="1"/>
      <c r="N15887" s="1"/>
    </row>
    <row r="15888" spans="7:14" x14ac:dyDescent="0.3">
      <c r="G15888" s="1"/>
      <c r="N15888" s="1"/>
    </row>
    <row r="15889" spans="7:14" x14ac:dyDescent="0.3">
      <c r="G15889" s="1"/>
      <c r="N15889" s="1"/>
    </row>
    <row r="15890" spans="7:14" x14ac:dyDescent="0.3">
      <c r="G15890" s="1"/>
      <c r="N15890" s="1"/>
    </row>
    <row r="15891" spans="7:14" x14ac:dyDescent="0.3">
      <c r="G15891" s="1"/>
      <c r="N15891" s="1"/>
    </row>
    <row r="15892" spans="7:14" x14ac:dyDescent="0.3">
      <c r="G15892" s="1"/>
      <c r="N15892" s="1"/>
    </row>
    <row r="15893" spans="7:14" x14ac:dyDescent="0.3">
      <c r="G15893" s="1"/>
      <c r="N15893" s="1"/>
    </row>
    <row r="15894" spans="7:14" x14ac:dyDescent="0.3">
      <c r="G15894" s="1"/>
      <c r="N15894" s="1"/>
    </row>
    <row r="15895" spans="7:14" x14ac:dyDescent="0.3">
      <c r="G15895" s="1"/>
      <c r="N15895" s="1"/>
    </row>
    <row r="15896" spans="7:14" x14ac:dyDescent="0.3">
      <c r="G15896" s="1"/>
      <c r="N15896" s="1"/>
    </row>
    <row r="15897" spans="7:14" x14ac:dyDescent="0.3">
      <c r="G15897" s="1"/>
      <c r="N15897" s="1"/>
    </row>
    <row r="15898" spans="7:14" x14ac:dyDescent="0.3">
      <c r="G15898" s="1"/>
      <c r="N15898" s="1"/>
    </row>
    <row r="15899" spans="7:14" x14ac:dyDescent="0.3">
      <c r="G15899" s="1"/>
      <c r="N15899" s="1"/>
    </row>
    <row r="15900" spans="7:14" x14ac:dyDescent="0.3">
      <c r="G15900" s="1"/>
      <c r="N15900" s="1"/>
    </row>
    <row r="15901" spans="7:14" x14ac:dyDescent="0.3">
      <c r="G15901" s="1"/>
      <c r="N15901" s="1"/>
    </row>
    <row r="15902" spans="7:14" x14ac:dyDescent="0.3">
      <c r="G15902" s="1"/>
      <c r="N15902" s="1"/>
    </row>
    <row r="15903" spans="7:14" x14ac:dyDescent="0.3">
      <c r="G15903" s="1"/>
      <c r="N15903" s="1"/>
    </row>
    <row r="15904" spans="7:14" x14ac:dyDescent="0.3">
      <c r="G15904" s="1"/>
      <c r="N15904" s="1"/>
    </row>
    <row r="15905" spans="7:14" x14ac:dyDescent="0.3">
      <c r="G15905" s="1"/>
      <c r="N15905" s="1"/>
    </row>
    <row r="15906" spans="7:14" x14ac:dyDescent="0.3">
      <c r="G15906" s="1"/>
      <c r="N15906" s="1"/>
    </row>
    <row r="15907" spans="7:14" x14ac:dyDescent="0.3">
      <c r="G15907" s="1"/>
      <c r="N15907" s="1"/>
    </row>
    <row r="15908" spans="7:14" x14ac:dyDescent="0.3">
      <c r="G15908" s="1"/>
      <c r="N15908" s="1"/>
    </row>
    <row r="15909" spans="7:14" x14ac:dyDescent="0.3">
      <c r="G15909" s="1"/>
      <c r="N15909" s="1"/>
    </row>
    <row r="15910" spans="7:14" x14ac:dyDescent="0.3">
      <c r="G15910" s="1"/>
      <c r="N15910" s="1"/>
    </row>
    <row r="15911" spans="7:14" x14ac:dyDescent="0.3">
      <c r="G15911" s="1"/>
      <c r="N15911" s="1"/>
    </row>
    <row r="15912" spans="7:14" x14ac:dyDescent="0.3">
      <c r="G15912" s="1"/>
      <c r="N15912" s="1"/>
    </row>
    <row r="15913" spans="7:14" x14ac:dyDescent="0.3">
      <c r="G15913" s="1"/>
      <c r="N15913" s="1"/>
    </row>
    <row r="15914" spans="7:14" x14ac:dyDescent="0.3">
      <c r="G15914" s="1"/>
      <c r="N15914" s="1"/>
    </row>
    <row r="15915" spans="7:14" x14ac:dyDescent="0.3">
      <c r="G15915" s="1"/>
      <c r="N15915" s="1"/>
    </row>
    <row r="15916" spans="7:14" x14ac:dyDescent="0.3">
      <c r="G15916" s="1"/>
      <c r="N15916" s="1"/>
    </row>
    <row r="15917" spans="7:14" x14ac:dyDescent="0.3">
      <c r="G15917" s="1"/>
      <c r="N15917" s="1"/>
    </row>
    <row r="15918" spans="7:14" x14ac:dyDescent="0.3">
      <c r="G15918" s="1"/>
      <c r="N15918" s="1"/>
    </row>
    <row r="15919" spans="7:14" x14ac:dyDescent="0.3">
      <c r="G15919" s="1"/>
      <c r="N15919" s="1"/>
    </row>
    <row r="15920" spans="7:14" x14ac:dyDescent="0.3">
      <c r="G15920" s="1"/>
      <c r="N15920" s="1"/>
    </row>
    <row r="15921" spans="7:14" x14ac:dyDescent="0.3">
      <c r="G15921" s="1"/>
      <c r="N15921" s="1"/>
    </row>
    <row r="15922" spans="7:14" x14ac:dyDescent="0.3">
      <c r="G15922" s="1"/>
      <c r="N15922" s="1"/>
    </row>
    <row r="15923" spans="7:14" x14ac:dyDescent="0.3">
      <c r="G15923" s="1"/>
      <c r="N15923" s="1"/>
    </row>
    <row r="15924" spans="7:14" x14ac:dyDescent="0.3">
      <c r="G15924" s="1"/>
      <c r="N15924" s="1"/>
    </row>
    <row r="15925" spans="7:14" x14ac:dyDescent="0.3">
      <c r="G15925" s="1"/>
      <c r="N15925" s="1"/>
    </row>
    <row r="15926" spans="7:14" x14ac:dyDescent="0.3">
      <c r="G15926" s="1"/>
      <c r="N15926" s="1"/>
    </row>
    <row r="15927" spans="7:14" x14ac:dyDescent="0.3">
      <c r="G15927" s="1"/>
      <c r="N15927" s="1"/>
    </row>
    <row r="15928" spans="7:14" x14ac:dyDescent="0.3">
      <c r="G15928" s="1"/>
      <c r="N15928" s="1"/>
    </row>
    <row r="15929" spans="7:14" x14ac:dyDescent="0.3">
      <c r="G15929" s="1"/>
      <c r="N15929" s="1"/>
    </row>
    <row r="15930" spans="7:14" x14ac:dyDescent="0.3">
      <c r="G15930" s="1"/>
      <c r="N15930" s="1"/>
    </row>
    <row r="15931" spans="7:14" x14ac:dyDescent="0.3">
      <c r="G15931" s="1"/>
      <c r="N15931" s="1"/>
    </row>
    <row r="15932" spans="7:14" x14ac:dyDescent="0.3">
      <c r="G15932" s="1"/>
      <c r="N15932" s="1"/>
    </row>
    <row r="15933" spans="7:14" x14ac:dyDescent="0.3">
      <c r="G15933" s="1"/>
      <c r="N15933" s="1"/>
    </row>
    <row r="15934" spans="7:14" x14ac:dyDescent="0.3">
      <c r="G15934" s="1"/>
      <c r="N15934" s="1"/>
    </row>
    <row r="15935" spans="7:14" x14ac:dyDescent="0.3">
      <c r="G15935" s="1"/>
      <c r="N15935" s="1"/>
    </row>
    <row r="15936" spans="7:14" x14ac:dyDescent="0.3">
      <c r="G15936" s="1"/>
      <c r="N15936" s="1"/>
    </row>
    <row r="15937" spans="7:14" x14ac:dyDescent="0.3">
      <c r="G15937" s="1"/>
      <c r="N15937" s="1"/>
    </row>
    <row r="15938" spans="7:14" x14ac:dyDescent="0.3">
      <c r="G15938" s="1"/>
      <c r="N15938" s="1"/>
    </row>
    <row r="15939" spans="7:14" x14ac:dyDescent="0.3">
      <c r="G15939" s="1"/>
      <c r="N15939" s="1"/>
    </row>
    <row r="15940" spans="7:14" x14ac:dyDescent="0.3">
      <c r="G15940" s="1"/>
      <c r="N15940" s="1"/>
    </row>
    <row r="15941" spans="7:14" x14ac:dyDescent="0.3">
      <c r="G15941" s="1"/>
      <c r="N15941" s="1"/>
    </row>
    <row r="15942" spans="7:14" x14ac:dyDescent="0.3">
      <c r="G15942" s="1"/>
      <c r="N15942" s="1"/>
    </row>
    <row r="15943" spans="7:14" x14ac:dyDescent="0.3">
      <c r="G15943" s="1"/>
      <c r="N15943" s="1"/>
    </row>
    <row r="15944" spans="7:14" x14ac:dyDescent="0.3">
      <c r="G15944" s="1"/>
      <c r="N15944" s="1"/>
    </row>
    <row r="15945" spans="7:14" x14ac:dyDescent="0.3">
      <c r="G15945" s="1"/>
      <c r="N15945" s="1"/>
    </row>
    <row r="15946" spans="7:14" x14ac:dyDescent="0.3">
      <c r="G15946" s="1"/>
      <c r="N15946" s="1"/>
    </row>
    <row r="15947" spans="7:14" x14ac:dyDescent="0.3">
      <c r="G15947" s="1"/>
      <c r="N15947" s="1"/>
    </row>
    <row r="15948" spans="7:14" x14ac:dyDescent="0.3">
      <c r="G15948" s="1"/>
      <c r="N15948" s="1"/>
    </row>
    <row r="15949" spans="7:14" x14ac:dyDescent="0.3">
      <c r="G15949" s="1"/>
      <c r="N15949" s="1"/>
    </row>
    <row r="15950" spans="7:14" x14ac:dyDescent="0.3">
      <c r="G15950" s="1"/>
      <c r="N15950" s="1"/>
    </row>
    <row r="15951" spans="7:14" x14ac:dyDescent="0.3">
      <c r="G15951" s="1"/>
      <c r="N15951" s="1"/>
    </row>
    <row r="15952" spans="7:14" x14ac:dyDescent="0.3">
      <c r="G15952" s="1"/>
      <c r="N15952" s="1"/>
    </row>
    <row r="15953" spans="7:14" x14ac:dyDescent="0.3">
      <c r="G15953" s="1"/>
      <c r="N15953" s="1"/>
    </row>
    <row r="15954" spans="7:14" x14ac:dyDescent="0.3">
      <c r="G15954" s="1"/>
      <c r="N15954" s="1"/>
    </row>
    <row r="15955" spans="7:14" x14ac:dyDescent="0.3">
      <c r="G15955" s="1"/>
      <c r="N15955" s="1"/>
    </row>
    <row r="15956" spans="7:14" x14ac:dyDescent="0.3">
      <c r="G15956" s="1"/>
      <c r="N15956" s="1"/>
    </row>
    <row r="15957" spans="7:14" x14ac:dyDescent="0.3">
      <c r="G15957" s="1"/>
      <c r="N15957" s="1"/>
    </row>
    <row r="15958" spans="7:14" x14ac:dyDescent="0.3">
      <c r="G15958" s="1"/>
      <c r="N15958" s="1"/>
    </row>
    <row r="15959" spans="7:14" x14ac:dyDescent="0.3">
      <c r="G15959" s="1"/>
      <c r="N15959" s="1"/>
    </row>
    <row r="15960" spans="7:14" x14ac:dyDescent="0.3">
      <c r="G15960" s="1"/>
      <c r="N15960" s="1"/>
    </row>
    <row r="15961" spans="7:14" x14ac:dyDescent="0.3">
      <c r="G15961" s="1"/>
      <c r="N15961" s="1"/>
    </row>
    <row r="15962" spans="7:14" x14ac:dyDescent="0.3">
      <c r="G15962" s="1"/>
      <c r="N15962" s="1"/>
    </row>
    <row r="15963" spans="7:14" x14ac:dyDescent="0.3">
      <c r="G15963" s="1"/>
      <c r="N15963" s="1"/>
    </row>
    <row r="15964" spans="7:14" x14ac:dyDescent="0.3">
      <c r="G15964" s="1"/>
      <c r="N15964" s="1"/>
    </row>
    <row r="15965" spans="7:14" x14ac:dyDescent="0.3">
      <c r="G15965" s="1"/>
      <c r="N15965" s="1"/>
    </row>
    <row r="15966" spans="7:14" x14ac:dyDescent="0.3">
      <c r="G15966" s="1"/>
      <c r="N15966" s="1"/>
    </row>
    <row r="15967" spans="7:14" x14ac:dyDescent="0.3">
      <c r="G15967" s="1"/>
      <c r="N15967" s="1"/>
    </row>
    <row r="15968" spans="7:14" x14ac:dyDescent="0.3">
      <c r="G15968" s="1"/>
      <c r="N15968" s="1"/>
    </row>
    <row r="15969" spans="7:14" x14ac:dyDescent="0.3">
      <c r="G15969" s="1"/>
      <c r="N15969" s="1"/>
    </row>
    <row r="15970" spans="7:14" x14ac:dyDescent="0.3">
      <c r="G15970" s="1"/>
      <c r="N15970" s="1"/>
    </row>
    <row r="15971" spans="7:14" x14ac:dyDescent="0.3">
      <c r="G15971" s="1"/>
      <c r="N15971" s="1"/>
    </row>
    <row r="15972" spans="7:14" x14ac:dyDescent="0.3">
      <c r="G15972" s="1"/>
      <c r="N15972" s="1"/>
    </row>
    <row r="15973" spans="7:14" x14ac:dyDescent="0.3">
      <c r="G15973" s="1"/>
      <c r="N15973" s="1"/>
    </row>
    <row r="15974" spans="7:14" x14ac:dyDescent="0.3">
      <c r="G15974" s="1"/>
      <c r="N15974" s="1"/>
    </row>
    <row r="15975" spans="7:14" x14ac:dyDescent="0.3">
      <c r="G15975" s="1"/>
      <c r="N15975" s="1"/>
    </row>
    <row r="15976" spans="7:14" x14ac:dyDescent="0.3">
      <c r="G15976" s="1"/>
      <c r="N15976" s="1"/>
    </row>
    <row r="15977" spans="7:14" x14ac:dyDescent="0.3">
      <c r="G15977" s="1"/>
      <c r="N15977" s="1"/>
    </row>
    <row r="15978" spans="7:14" x14ac:dyDescent="0.3">
      <c r="G15978" s="1"/>
      <c r="N15978" s="1"/>
    </row>
    <row r="15979" spans="7:14" x14ac:dyDescent="0.3">
      <c r="G15979" s="1"/>
      <c r="N15979" s="1"/>
    </row>
    <row r="15980" spans="7:14" x14ac:dyDescent="0.3">
      <c r="G15980" s="1"/>
      <c r="N15980" s="1"/>
    </row>
    <row r="15981" spans="7:14" x14ac:dyDescent="0.3">
      <c r="G15981" s="1"/>
      <c r="N15981" s="1"/>
    </row>
    <row r="15982" spans="7:14" x14ac:dyDescent="0.3">
      <c r="G15982" s="1"/>
      <c r="N15982" s="1"/>
    </row>
    <row r="15983" spans="7:14" x14ac:dyDescent="0.3">
      <c r="G15983" s="1"/>
      <c r="N15983" s="1"/>
    </row>
    <row r="15984" spans="7:14" x14ac:dyDescent="0.3">
      <c r="G15984" s="1"/>
      <c r="N15984" s="1"/>
    </row>
    <row r="15985" spans="7:14" x14ac:dyDescent="0.3">
      <c r="G15985" s="1"/>
      <c r="N15985" s="1"/>
    </row>
    <row r="15986" spans="7:14" x14ac:dyDescent="0.3">
      <c r="G15986" s="1"/>
      <c r="N15986" s="1"/>
    </row>
    <row r="15987" spans="7:14" x14ac:dyDescent="0.3">
      <c r="G15987" s="1"/>
      <c r="N15987" s="1"/>
    </row>
    <row r="15988" spans="7:14" x14ac:dyDescent="0.3">
      <c r="G15988" s="1"/>
      <c r="N15988" s="1"/>
    </row>
    <row r="15989" spans="7:14" x14ac:dyDescent="0.3">
      <c r="G15989" s="1"/>
      <c r="N15989" s="1"/>
    </row>
    <row r="15990" spans="7:14" x14ac:dyDescent="0.3">
      <c r="G15990" s="1"/>
      <c r="N15990" s="1"/>
    </row>
    <row r="15991" spans="7:14" x14ac:dyDescent="0.3">
      <c r="G15991" s="1"/>
      <c r="N15991" s="1"/>
    </row>
    <row r="15992" spans="7:14" x14ac:dyDescent="0.3">
      <c r="G15992" s="1"/>
      <c r="N15992" s="1"/>
    </row>
    <row r="15993" spans="7:14" x14ac:dyDescent="0.3">
      <c r="G15993" s="1"/>
      <c r="N15993" s="1"/>
    </row>
    <row r="15994" spans="7:14" x14ac:dyDescent="0.3">
      <c r="G15994" s="1"/>
      <c r="N15994" s="1"/>
    </row>
    <row r="15995" spans="7:14" x14ac:dyDescent="0.3">
      <c r="G15995" s="1"/>
      <c r="N15995" s="1"/>
    </row>
    <row r="15996" spans="7:14" x14ac:dyDescent="0.3">
      <c r="G15996" s="1"/>
      <c r="N15996" s="1"/>
    </row>
    <row r="15997" spans="7:14" x14ac:dyDescent="0.3">
      <c r="G15997" s="1"/>
      <c r="N15997" s="1"/>
    </row>
    <row r="15998" spans="7:14" x14ac:dyDescent="0.3">
      <c r="G15998" s="1"/>
      <c r="N15998" s="1"/>
    </row>
    <row r="15999" spans="7:14" x14ac:dyDescent="0.3">
      <c r="G15999" s="1"/>
      <c r="N15999" s="1"/>
    </row>
    <row r="16000" spans="7:14" x14ac:dyDescent="0.3">
      <c r="G16000" s="1"/>
      <c r="N16000" s="1"/>
    </row>
    <row r="16001" spans="7:14" x14ac:dyDescent="0.3">
      <c r="G16001" s="1"/>
      <c r="N16001" s="1"/>
    </row>
    <row r="16002" spans="7:14" x14ac:dyDescent="0.3">
      <c r="G16002" s="1"/>
      <c r="N16002" s="1"/>
    </row>
    <row r="16003" spans="7:14" x14ac:dyDescent="0.3">
      <c r="G16003" s="1"/>
      <c r="N16003" s="1"/>
    </row>
    <row r="16004" spans="7:14" x14ac:dyDescent="0.3">
      <c r="G16004" s="1"/>
      <c r="N16004" s="1"/>
    </row>
    <row r="16005" spans="7:14" x14ac:dyDescent="0.3">
      <c r="G16005" s="1"/>
      <c r="N16005" s="1"/>
    </row>
    <row r="16006" spans="7:14" x14ac:dyDescent="0.3">
      <c r="G16006" s="1"/>
      <c r="N16006" s="1"/>
    </row>
    <row r="16007" spans="7:14" x14ac:dyDescent="0.3">
      <c r="G16007" s="1"/>
      <c r="N16007" s="1"/>
    </row>
    <row r="16008" spans="7:14" x14ac:dyDescent="0.3">
      <c r="G16008" s="1"/>
      <c r="N16008" s="1"/>
    </row>
    <row r="16009" spans="7:14" x14ac:dyDescent="0.3">
      <c r="G16009" s="1"/>
      <c r="N16009" s="1"/>
    </row>
    <row r="16010" spans="7:14" x14ac:dyDescent="0.3">
      <c r="G16010" s="1"/>
      <c r="N16010" s="1"/>
    </row>
    <row r="16011" spans="7:14" x14ac:dyDescent="0.3">
      <c r="G16011" s="1"/>
      <c r="N16011" s="1"/>
    </row>
    <row r="16012" spans="7:14" x14ac:dyDescent="0.3">
      <c r="G16012" s="1"/>
      <c r="N16012" s="1"/>
    </row>
    <row r="16013" spans="7:14" x14ac:dyDescent="0.3">
      <c r="G16013" s="1"/>
      <c r="N16013" s="1"/>
    </row>
    <row r="16014" spans="7:14" x14ac:dyDescent="0.3">
      <c r="G16014" s="1"/>
      <c r="N16014" s="1"/>
    </row>
    <row r="16015" spans="7:14" x14ac:dyDescent="0.3">
      <c r="G16015" s="1"/>
      <c r="N16015" s="1"/>
    </row>
    <row r="16016" spans="7:14" x14ac:dyDescent="0.3">
      <c r="G16016" s="1"/>
      <c r="N16016" s="1"/>
    </row>
    <row r="16017" spans="7:14" x14ac:dyDescent="0.3">
      <c r="G16017" s="1"/>
      <c r="N16017" s="1"/>
    </row>
    <row r="16018" spans="7:14" x14ac:dyDescent="0.3">
      <c r="G16018" s="1"/>
      <c r="N16018" s="1"/>
    </row>
    <row r="16019" spans="7:14" x14ac:dyDescent="0.3">
      <c r="G16019" s="1"/>
      <c r="N16019" s="1"/>
    </row>
    <row r="16020" spans="7:14" x14ac:dyDescent="0.3">
      <c r="G16020" s="1"/>
      <c r="N16020" s="1"/>
    </row>
    <row r="16021" spans="7:14" x14ac:dyDescent="0.3">
      <c r="G16021" s="1"/>
      <c r="N16021" s="1"/>
    </row>
    <row r="16022" spans="7:14" x14ac:dyDescent="0.3">
      <c r="G16022" s="1"/>
      <c r="N16022" s="1"/>
    </row>
    <row r="16023" spans="7:14" x14ac:dyDescent="0.3">
      <c r="G16023" s="1"/>
      <c r="N16023" s="1"/>
    </row>
    <row r="16024" spans="7:14" x14ac:dyDescent="0.3">
      <c r="G16024" s="1"/>
      <c r="N16024" s="1"/>
    </row>
    <row r="16025" spans="7:14" x14ac:dyDescent="0.3">
      <c r="G16025" s="1"/>
      <c r="N16025" s="1"/>
    </row>
    <row r="16026" spans="7:14" x14ac:dyDescent="0.3">
      <c r="G16026" s="1"/>
      <c r="N16026" s="1"/>
    </row>
    <row r="16027" spans="7:14" x14ac:dyDescent="0.3">
      <c r="G16027" s="1"/>
      <c r="N16027" s="1"/>
    </row>
    <row r="16028" spans="7:14" x14ac:dyDescent="0.3">
      <c r="G16028" s="1"/>
      <c r="N16028" s="1"/>
    </row>
    <row r="16029" spans="7:14" x14ac:dyDescent="0.3">
      <c r="G16029" s="1"/>
      <c r="N16029" s="1"/>
    </row>
    <row r="16030" spans="7:14" x14ac:dyDescent="0.3">
      <c r="G16030" s="1"/>
      <c r="N16030" s="1"/>
    </row>
    <row r="16031" spans="7:14" x14ac:dyDescent="0.3">
      <c r="G16031" s="1"/>
      <c r="N16031" s="1"/>
    </row>
    <row r="16032" spans="7:14" x14ac:dyDescent="0.3">
      <c r="G16032" s="1"/>
      <c r="N16032" s="1"/>
    </row>
    <row r="16033" spans="7:14" x14ac:dyDescent="0.3">
      <c r="G16033" s="1"/>
      <c r="N16033" s="1"/>
    </row>
    <row r="16034" spans="7:14" x14ac:dyDescent="0.3">
      <c r="G16034" s="1"/>
      <c r="N16034" s="1"/>
    </row>
    <row r="16035" spans="7:14" x14ac:dyDescent="0.3">
      <c r="G16035" s="1"/>
      <c r="N16035" s="1"/>
    </row>
    <row r="16036" spans="7:14" x14ac:dyDescent="0.3">
      <c r="G16036" s="1"/>
      <c r="N16036" s="1"/>
    </row>
    <row r="16037" spans="7:14" x14ac:dyDescent="0.3">
      <c r="G16037" s="1"/>
      <c r="N16037" s="1"/>
    </row>
    <row r="16038" spans="7:14" x14ac:dyDescent="0.3">
      <c r="G16038" s="1"/>
      <c r="N16038" s="1"/>
    </row>
    <row r="16039" spans="7:14" x14ac:dyDescent="0.3">
      <c r="G16039" s="1"/>
      <c r="N16039" s="1"/>
    </row>
    <row r="16040" spans="7:14" x14ac:dyDescent="0.3">
      <c r="G16040" s="1"/>
      <c r="N16040" s="1"/>
    </row>
    <row r="16041" spans="7:14" x14ac:dyDescent="0.3">
      <c r="G16041" s="1"/>
      <c r="N16041" s="1"/>
    </row>
    <row r="16042" spans="7:14" x14ac:dyDescent="0.3">
      <c r="G16042" s="1"/>
      <c r="N16042" s="1"/>
    </row>
    <row r="16043" spans="7:14" x14ac:dyDescent="0.3">
      <c r="G16043" s="1"/>
      <c r="N16043" s="1"/>
    </row>
    <row r="16044" spans="7:14" x14ac:dyDescent="0.3">
      <c r="G16044" s="1"/>
      <c r="N16044" s="1"/>
    </row>
    <row r="16045" spans="7:14" x14ac:dyDescent="0.3">
      <c r="G16045" s="1"/>
      <c r="N16045" s="1"/>
    </row>
    <row r="16046" spans="7:14" x14ac:dyDescent="0.3">
      <c r="G16046" s="1"/>
      <c r="N16046" s="1"/>
    </row>
    <row r="16047" spans="7:14" x14ac:dyDescent="0.3">
      <c r="G16047" s="1"/>
      <c r="N16047" s="1"/>
    </row>
    <row r="16048" spans="7:14" x14ac:dyDescent="0.3">
      <c r="G16048" s="1"/>
      <c r="N16048" s="1"/>
    </row>
    <row r="16049" spans="7:14" x14ac:dyDescent="0.3">
      <c r="G16049" s="1"/>
      <c r="N16049" s="1"/>
    </row>
    <row r="16050" spans="7:14" x14ac:dyDescent="0.3">
      <c r="G16050" s="1"/>
      <c r="N16050" s="1"/>
    </row>
    <row r="16051" spans="7:14" x14ac:dyDescent="0.3">
      <c r="G16051" s="1"/>
      <c r="N16051" s="1"/>
    </row>
    <row r="16052" spans="7:14" x14ac:dyDescent="0.3">
      <c r="G16052" s="1"/>
      <c r="N16052" s="1"/>
    </row>
    <row r="16053" spans="7:14" x14ac:dyDescent="0.3">
      <c r="G16053" s="1"/>
      <c r="N16053" s="1"/>
    </row>
    <row r="16054" spans="7:14" x14ac:dyDescent="0.3">
      <c r="G16054" s="1"/>
      <c r="N16054" s="1"/>
    </row>
    <row r="16055" spans="7:14" x14ac:dyDescent="0.3">
      <c r="G16055" s="1"/>
      <c r="N16055" s="1"/>
    </row>
    <row r="16056" spans="7:14" x14ac:dyDescent="0.3">
      <c r="G16056" s="1"/>
      <c r="N16056" s="1"/>
    </row>
    <row r="16057" spans="7:14" x14ac:dyDescent="0.3">
      <c r="G16057" s="1"/>
      <c r="N16057" s="1"/>
    </row>
    <row r="16058" spans="7:14" x14ac:dyDescent="0.3">
      <c r="G16058" s="1"/>
      <c r="N16058" s="1"/>
    </row>
    <row r="16059" spans="7:14" x14ac:dyDescent="0.3">
      <c r="G16059" s="1"/>
      <c r="N16059" s="1"/>
    </row>
    <row r="16060" spans="7:14" x14ac:dyDescent="0.3">
      <c r="G16060" s="1"/>
      <c r="N16060" s="1"/>
    </row>
    <row r="16061" spans="7:14" x14ac:dyDescent="0.3">
      <c r="G16061" s="1"/>
      <c r="N16061" s="1"/>
    </row>
    <row r="16062" spans="7:14" x14ac:dyDescent="0.3">
      <c r="G16062" s="1"/>
      <c r="N16062" s="1"/>
    </row>
    <row r="16063" spans="7:14" x14ac:dyDescent="0.3">
      <c r="G16063" s="1"/>
      <c r="N16063" s="1"/>
    </row>
    <row r="16064" spans="7:14" x14ac:dyDescent="0.3">
      <c r="G16064" s="1"/>
      <c r="N16064" s="1"/>
    </row>
    <row r="16065" spans="7:14" x14ac:dyDescent="0.3">
      <c r="G16065" s="1"/>
      <c r="N16065" s="1"/>
    </row>
    <row r="16066" spans="7:14" x14ac:dyDescent="0.3">
      <c r="G16066" s="1"/>
      <c r="N16066" s="1"/>
    </row>
    <row r="16067" spans="7:14" x14ac:dyDescent="0.3">
      <c r="G16067" s="1"/>
      <c r="N16067" s="1"/>
    </row>
    <row r="16068" spans="7:14" x14ac:dyDescent="0.3">
      <c r="G16068" s="1"/>
      <c r="N16068" s="1"/>
    </row>
    <row r="16069" spans="7:14" x14ac:dyDescent="0.3">
      <c r="G16069" s="1"/>
      <c r="N16069" s="1"/>
    </row>
    <row r="16070" spans="7:14" x14ac:dyDescent="0.3">
      <c r="G16070" s="1"/>
      <c r="N16070" s="1"/>
    </row>
    <row r="16071" spans="7:14" x14ac:dyDescent="0.3">
      <c r="G16071" s="1"/>
      <c r="N16071" s="1"/>
    </row>
    <row r="16072" spans="7:14" x14ac:dyDescent="0.3">
      <c r="G16072" s="1"/>
      <c r="N16072" s="1"/>
    </row>
    <row r="16073" spans="7:14" x14ac:dyDescent="0.3">
      <c r="G16073" s="1"/>
      <c r="N16073" s="1"/>
    </row>
    <row r="16074" spans="7:14" x14ac:dyDescent="0.3">
      <c r="G16074" s="1"/>
      <c r="N16074" s="1"/>
    </row>
    <row r="16075" spans="7:14" x14ac:dyDescent="0.3">
      <c r="G16075" s="1"/>
      <c r="N16075" s="1"/>
    </row>
    <row r="16076" spans="7:14" x14ac:dyDescent="0.3">
      <c r="G16076" s="1"/>
      <c r="N16076" s="1"/>
    </row>
    <row r="16077" spans="7:14" x14ac:dyDescent="0.3">
      <c r="G16077" s="1"/>
      <c r="N16077" s="1"/>
    </row>
    <row r="16078" spans="7:14" x14ac:dyDescent="0.3">
      <c r="G16078" s="1"/>
      <c r="N16078" s="1"/>
    </row>
    <row r="16079" spans="7:14" x14ac:dyDescent="0.3">
      <c r="G16079" s="1"/>
      <c r="N16079" s="1"/>
    </row>
    <row r="16080" spans="7:14" x14ac:dyDescent="0.3">
      <c r="G16080" s="1"/>
      <c r="N16080" s="1"/>
    </row>
    <row r="16081" spans="7:14" x14ac:dyDescent="0.3">
      <c r="G16081" s="1"/>
      <c r="N16081" s="1"/>
    </row>
    <row r="16082" spans="7:14" x14ac:dyDescent="0.3">
      <c r="G16082" s="1"/>
      <c r="N16082" s="1"/>
    </row>
    <row r="16083" spans="7:14" x14ac:dyDescent="0.3">
      <c r="G16083" s="1"/>
      <c r="N16083" s="1"/>
    </row>
    <row r="16084" spans="7:14" x14ac:dyDescent="0.3">
      <c r="G16084" s="1"/>
      <c r="N16084" s="1"/>
    </row>
    <row r="16085" spans="7:14" x14ac:dyDescent="0.3">
      <c r="G16085" s="1"/>
      <c r="N16085" s="1"/>
    </row>
    <row r="16086" spans="7:14" x14ac:dyDescent="0.3">
      <c r="G16086" s="1"/>
      <c r="N16086" s="1"/>
    </row>
    <row r="16087" spans="7:14" x14ac:dyDescent="0.3">
      <c r="G16087" s="1"/>
      <c r="N16087" s="1"/>
    </row>
    <row r="16088" spans="7:14" x14ac:dyDescent="0.3">
      <c r="G16088" s="1"/>
      <c r="N16088" s="1"/>
    </row>
    <row r="16089" spans="7:14" x14ac:dyDescent="0.3">
      <c r="G16089" s="1"/>
      <c r="N16089" s="1"/>
    </row>
    <row r="16090" spans="7:14" x14ac:dyDescent="0.3">
      <c r="G16090" s="1"/>
      <c r="N16090" s="1"/>
    </row>
    <row r="16091" spans="7:14" x14ac:dyDescent="0.3">
      <c r="G16091" s="1"/>
      <c r="N16091" s="1"/>
    </row>
    <row r="16092" spans="7:14" x14ac:dyDescent="0.3">
      <c r="G16092" s="1"/>
      <c r="N16092" s="1"/>
    </row>
    <row r="16093" spans="7:14" x14ac:dyDescent="0.3">
      <c r="G16093" s="1"/>
      <c r="N16093" s="1"/>
    </row>
    <row r="16094" spans="7:14" x14ac:dyDescent="0.3">
      <c r="G16094" s="1"/>
      <c r="N16094" s="1"/>
    </row>
    <row r="16095" spans="7:14" x14ac:dyDescent="0.3">
      <c r="G16095" s="1"/>
      <c r="N16095" s="1"/>
    </row>
    <row r="16096" spans="7:14" x14ac:dyDescent="0.3">
      <c r="G16096" s="1"/>
      <c r="N16096" s="1"/>
    </row>
    <row r="16097" spans="7:14" x14ac:dyDescent="0.3">
      <c r="G16097" s="1"/>
      <c r="N16097" s="1"/>
    </row>
    <row r="16098" spans="7:14" x14ac:dyDescent="0.3">
      <c r="G16098" s="1"/>
      <c r="N16098" s="1"/>
    </row>
    <row r="16099" spans="7:14" x14ac:dyDescent="0.3">
      <c r="G16099" s="1"/>
      <c r="N16099" s="1"/>
    </row>
    <row r="16100" spans="7:14" x14ac:dyDescent="0.3">
      <c r="G16100" s="1"/>
      <c r="N16100" s="1"/>
    </row>
    <row r="16101" spans="7:14" x14ac:dyDescent="0.3">
      <c r="G16101" s="1"/>
      <c r="N16101" s="1"/>
    </row>
    <row r="16102" spans="7:14" x14ac:dyDescent="0.3">
      <c r="G16102" s="1"/>
      <c r="N16102" s="1"/>
    </row>
    <row r="16103" spans="7:14" x14ac:dyDescent="0.3">
      <c r="G16103" s="1"/>
      <c r="N16103" s="1"/>
    </row>
    <row r="16104" spans="7:14" x14ac:dyDescent="0.3">
      <c r="G16104" s="1"/>
      <c r="N16104" s="1"/>
    </row>
    <row r="16105" spans="7:14" x14ac:dyDescent="0.3">
      <c r="G16105" s="1"/>
      <c r="N16105" s="1"/>
    </row>
    <row r="16106" spans="7:14" x14ac:dyDescent="0.3">
      <c r="G16106" s="1"/>
      <c r="N16106" s="1"/>
    </row>
    <row r="16107" spans="7:14" x14ac:dyDescent="0.3">
      <c r="G16107" s="1"/>
      <c r="N16107" s="1"/>
    </row>
    <row r="16108" spans="7:14" x14ac:dyDescent="0.3">
      <c r="G16108" s="1"/>
      <c r="N16108" s="1"/>
    </row>
    <row r="16109" spans="7:14" x14ac:dyDescent="0.3">
      <c r="G16109" s="1"/>
      <c r="N16109" s="1"/>
    </row>
    <row r="16110" spans="7:14" x14ac:dyDescent="0.3">
      <c r="G16110" s="1"/>
      <c r="N16110" s="1"/>
    </row>
    <row r="16111" spans="7:14" x14ac:dyDescent="0.3">
      <c r="G16111" s="1"/>
      <c r="N16111" s="1"/>
    </row>
    <row r="16112" spans="7:14" x14ac:dyDescent="0.3">
      <c r="G16112" s="1"/>
      <c r="N16112" s="1"/>
    </row>
    <row r="16113" spans="7:14" x14ac:dyDescent="0.3">
      <c r="G16113" s="1"/>
      <c r="N16113" s="1"/>
    </row>
    <row r="16114" spans="7:14" x14ac:dyDescent="0.3">
      <c r="G16114" s="1"/>
      <c r="N16114" s="1"/>
    </row>
    <row r="16115" spans="7:14" x14ac:dyDescent="0.3">
      <c r="G16115" s="1"/>
      <c r="N16115" s="1"/>
    </row>
    <row r="16116" spans="7:14" x14ac:dyDescent="0.3">
      <c r="G16116" s="1"/>
      <c r="N16116" s="1"/>
    </row>
    <row r="16117" spans="7:14" x14ac:dyDescent="0.3">
      <c r="G16117" s="1"/>
      <c r="N16117" s="1"/>
    </row>
    <row r="16118" spans="7:14" x14ac:dyDescent="0.3">
      <c r="G16118" s="1"/>
      <c r="N16118" s="1"/>
    </row>
    <row r="16119" spans="7:14" x14ac:dyDescent="0.3">
      <c r="G16119" s="1"/>
      <c r="N16119" s="1"/>
    </row>
    <row r="16120" spans="7:14" x14ac:dyDescent="0.3">
      <c r="G16120" s="1"/>
      <c r="N16120" s="1"/>
    </row>
    <row r="16121" spans="7:14" x14ac:dyDescent="0.3">
      <c r="G16121" s="1"/>
      <c r="N16121" s="1"/>
    </row>
    <row r="16122" spans="7:14" x14ac:dyDescent="0.3">
      <c r="G16122" s="1"/>
      <c r="N16122" s="1"/>
    </row>
    <row r="16123" spans="7:14" x14ac:dyDescent="0.3">
      <c r="G16123" s="1"/>
      <c r="N16123" s="1"/>
    </row>
    <row r="16124" spans="7:14" x14ac:dyDescent="0.3">
      <c r="G16124" s="1"/>
      <c r="N16124" s="1"/>
    </row>
    <row r="16125" spans="7:14" x14ac:dyDescent="0.3">
      <c r="G16125" s="1"/>
      <c r="N16125" s="1"/>
    </row>
    <row r="16126" spans="7:14" x14ac:dyDescent="0.3">
      <c r="G16126" s="1"/>
      <c r="N16126" s="1"/>
    </row>
    <row r="16127" spans="7:14" x14ac:dyDescent="0.3">
      <c r="G16127" s="1"/>
      <c r="N16127" s="1"/>
    </row>
    <row r="16128" spans="7:14" x14ac:dyDescent="0.3">
      <c r="G16128" s="1"/>
      <c r="N16128" s="1"/>
    </row>
    <row r="16129" spans="7:14" x14ac:dyDescent="0.3">
      <c r="G16129" s="1"/>
      <c r="N16129" s="1"/>
    </row>
    <row r="16130" spans="7:14" x14ac:dyDescent="0.3">
      <c r="G16130" s="1"/>
      <c r="N16130" s="1"/>
    </row>
    <row r="16131" spans="7:14" x14ac:dyDescent="0.3">
      <c r="G16131" s="1"/>
      <c r="N16131" s="1"/>
    </row>
    <row r="16132" spans="7:14" x14ac:dyDescent="0.3">
      <c r="G16132" s="1"/>
      <c r="N16132" s="1"/>
    </row>
    <row r="16133" spans="7:14" x14ac:dyDescent="0.3">
      <c r="G16133" s="1"/>
      <c r="N16133" s="1"/>
    </row>
    <row r="16134" spans="7:14" x14ac:dyDescent="0.3">
      <c r="G16134" s="1"/>
      <c r="N16134" s="1"/>
    </row>
    <row r="16135" spans="7:14" x14ac:dyDescent="0.3">
      <c r="G16135" s="1"/>
      <c r="N16135" s="1"/>
    </row>
    <row r="16136" spans="7:14" x14ac:dyDescent="0.3">
      <c r="G16136" s="1"/>
      <c r="N16136" s="1"/>
    </row>
    <row r="16137" spans="7:14" x14ac:dyDescent="0.3">
      <c r="G16137" s="1"/>
      <c r="N16137" s="1"/>
    </row>
    <row r="16138" spans="7:14" x14ac:dyDescent="0.3">
      <c r="G16138" s="1"/>
      <c r="N16138" s="1"/>
    </row>
    <row r="16139" spans="7:14" x14ac:dyDescent="0.3">
      <c r="G16139" s="1"/>
      <c r="N16139" s="1"/>
    </row>
    <row r="16140" spans="7:14" x14ac:dyDescent="0.3">
      <c r="G16140" s="1"/>
      <c r="N16140" s="1"/>
    </row>
    <row r="16141" spans="7:14" x14ac:dyDescent="0.3">
      <c r="G16141" s="1"/>
      <c r="N16141" s="1"/>
    </row>
    <row r="16142" spans="7:14" x14ac:dyDescent="0.3">
      <c r="G16142" s="1"/>
      <c r="N16142" s="1"/>
    </row>
    <row r="16143" spans="7:14" x14ac:dyDescent="0.3">
      <c r="G16143" s="1"/>
      <c r="N16143" s="1"/>
    </row>
    <row r="16144" spans="7:14" x14ac:dyDescent="0.3">
      <c r="G16144" s="1"/>
      <c r="N16144" s="1"/>
    </row>
    <row r="16145" spans="7:14" x14ac:dyDescent="0.3">
      <c r="G16145" s="1"/>
      <c r="N16145" s="1"/>
    </row>
    <row r="16146" spans="7:14" x14ac:dyDescent="0.3">
      <c r="G16146" s="1"/>
      <c r="N16146" s="1"/>
    </row>
    <row r="16147" spans="7:14" x14ac:dyDescent="0.3">
      <c r="G16147" s="1"/>
      <c r="N16147" s="1"/>
    </row>
    <row r="16148" spans="7:14" x14ac:dyDescent="0.3">
      <c r="G16148" s="1"/>
      <c r="N16148" s="1"/>
    </row>
    <row r="16149" spans="7:14" x14ac:dyDescent="0.3">
      <c r="G16149" s="1"/>
      <c r="N16149" s="1"/>
    </row>
    <row r="16150" spans="7:14" x14ac:dyDescent="0.3">
      <c r="G16150" s="1"/>
      <c r="N16150" s="1"/>
    </row>
    <row r="16151" spans="7:14" x14ac:dyDescent="0.3">
      <c r="G16151" s="1"/>
      <c r="N16151" s="1"/>
    </row>
    <row r="16152" spans="7:14" x14ac:dyDescent="0.3">
      <c r="G16152" s="1"/>
      <c r="N16152" s="1"/>
    </row>
    <row r="16153" spans="7:14" x14ac:dyDescent="0.3">
      <c r="G16153" s="1"/>
      <c r="N16153" s="1"/>
    </row>
    <row r="16154" spans="7:14" x14ac:dyDescent="0.3">
      <c r="G16154" s="1"/>
      <c r="N16154" s="1"/>
    </row>
    <row r="16155" spans="7:14" x14ac:dyDescent="0.3">
      <c r="G16155" s="1"/>
      <c r="N16155" s="1"/>
    </row>
    <row r="16156" spans="7:14" x14ac:dyDescent="0.3">
      <c r="G16156" s="1"/>
      <c r="N16156" s="1"/>
    </row>
    <row r="16157" spans="7:14" x14ac:dyDescent="0.3">
      <c r="G16157" s="1"/>
      <c r="N16157" s="1"/>
    </row>
    <row r="16158" spans="7:14" x14ac:dyDescent="0.3">
      <c r="G16158" s="1"/>
      <c r="N16158" s="1"/>
    </row>
    <row r="16159" spans="7:14" x14ac:dyDescent="0.3">
      <c r="G16159" s="1"/>
      <c r="N16159" s="1"/>
    </row>
    <row r="16160" spans="7:14" x14ac:dyDescent="0.3">
      <c r="G16160" s="1"/>
      <c r="N16160" s="1"/>
    </row>
    <row r="16161" spans="7:14" x14ac:dyDescent="0.3">
      <c r="G16161" s="1"/>
      <c r="N16161" s="1"/>
    </row>
    <row r="16162" spans="7:14" x14ac:dyDescent="0.3">
      <c r="G16162" s="1"/>
      <c r="N16162" s="1"/>
    </row>
    <row r="16163" spans="7:14" x14ac:dyDescent="0.3">
      <c r="G16163" s="1"/>
      <c r="N16163" s="1"/>
    </row>
    <row r="16164" spans="7:14" x14ac:dyDescent="0.3">
      <c r="G16164" s="1"/>
      <c r="N16164" s="1"/>
    </row>
    <row r="16165" spans="7:14" x14ac:dyDescent="0.3">
      <c r="G16165" s="1"/>
      <c r="N16165" s="1"/>
    </row>
    <row r="16166" spans="7:14" x14ac:dyDescent="0.3">
      <c r="G16166" s="1"/>
      <c r="N16166" s="1"/>
    </row>
    <row r="16167" spans="7:14" x14ac:dyDescent="0.3">
      <c r="G16167" s="1"/>
      <c r="N16167" s="1"/>
    </row>
    <row r="16168" spans="7:14" x14ac:dyDescent="0.3">
      <c r="G16168" s="1"/>
      <c r="N16168" s="1"/>
    </row>
    <row r="16169" spans="7:14" x14ac:dyDescent="0.3">
      <c r="G16169" s="1"/>
      <c r="N16169" s="1"/>
    </row>
    <row r="16170" spans="7:14" x14ac:dyDescent="0.3">
      <c r="G16170" s="1"/>
      <c r="N16170" s="1"/>
    </row>
    <row r="16171" spans="7:14" x14ac:dyDescent="0.3">
      <c r="G16171" s="1"/>
      <c r="N16171" s="1"/>
    </row>
    <row r="16172" spans="7:14" x14ac:dyDescent="0.3">
      <c r="G16172" s="1"/>
      <c r="N16172" s="1"/>
    </row>
    <row r="16173" spans="7:14" x14ac:dyDescent="0.3">
      <c r="G16173" s="1"/>
      <c r="N16173" s="1"/>
    </row>
    <row r="16174" spans="7:14" x14ac:dyDescent="0.3">
      <c r="G16174" s="1"/>
      <c r="N16174" s="1"/>
    </row>
    <row r="16175" spans="7:14" x14ac:dyDescent="0.3">
      <c r="G16175" s="1"/>
      <c r="N16175" s="1"/>
    </row>
    <row r="16176" spans="7:14" x14ac:dyDescent="0.3">
      <c r="G16176" s="1"/>
      <c r="N16176" s="1"/>
    </row>
    <row r="16177" spans="7:14" x14ac:dyDescent="0.3">
      <c r="G16177" s="1"/>
      <c r="N16177" s="1"/>
    </row>
    <row r="16178" spans="7:14" x14ac:dyDescent="0.3">
      <c r="G16178" s="1"/>
      <c r="N16178" s="1"/>
    </row>
    <row r="16179" spans="7:14" x14ac:dyDescent="0.3">
      <c r="G16179" s="1"/>
      <c r="N16179" s="1"/>
    </row>
    <row r="16180" spans="7:14" x14ac:dyDescent="0.3">
      <c r="G16180" s="1"/>
      <c r="N16180" s="1"/>
    </row>
    <row r="16181" spans="7:14" x14ac:dyDescent="0.3">
      <c r="G16181" s="1"/>
      <c r="N16181" s="1"/>
    </row>
    <row r="16182" spans="7:14" x14ac:dyDescent="0.3">
      <c r="G16182" s="1"/>
      <c r="N16182" s="1"/>
    </row>
    <row r="16183" spans="7:14" x14ac:dyDescent="0.3">
      <c r="G16183" s="1"/>
      <c r="N16183" s="1"/>
    </row>
    <row r="16184" spans="7:14" x14ac:dyDescent="0.3">
      <c r="G16184" s="1"/>
      <c r="N16184" s="1"/>
    </row>
    <row r="16185" spans="7:14" x14ac:dyDescent="0.3">
      <c r="G16185" s="1"/>
      <c r="N16185" s="1"/>
    </row>
    <row r="16186" spans="7:14" x14ac:dyDescent="0.3">
      <c r="G16186" s="1"/>
      <c r="N16186" s="1"/>
    </row>
    <row r="16187" spans="7:14" x14ac:dyDescent="0.3">
      <c r="G16187" s="1"/>
      <c r="N16187" s="1"/>
    </row>
    <row r="16188" spans="7:14" x14ac:dyDescent="0.3">
      <c r="G16188" s="1"/>
      <c r="N16188" s="1"/>
    </row>
    <row r="16189" spans="7:14" x14ac:dyDescent="0.3">
      <c r="G16189" s="1"/>
      <c r="N16189" s="1"/>
    </row>
    <row r="16190" spans="7:14" x14ac:dyDescent="0.3">
      <c r="G16190" s="1"/>
      <c r="N16190" s="1"/>
    </row>
    <row r="16191" spans="7:14" x14ac:dyDescent="0.3">
      <c r="G16191" s="1"/>
      <c r="N16191" s="1"/>
    </row>
    <row r="16192" spans="7:14" x14ac:dyDescent="0.3">
      <c r="G16192" s="1"/>
      <c r="N16192" s="1"/>
    </row>
    <row r="16193" spans="7:14" x14ac:dyDescent="0.3">
      <c r="G16193" s="1"/>
      <c r="N16193" s="1"/>
    </row>
    <row r="16194" spans="7:14" x14ac:dyDescent="0.3">
      <c r="G16194" s="1"/>
      <c r="N16194" s="1"/>
    </row>
    <row r="16195" spans="7:14" x14ac:dyDescent="0.3">
      <c r="G16195" s="1"/>
      <c r="N16195" s="1"/>
    </row>
    <row r="16196" spans="7:14" x14ac:dyDescent="0.3">
      <c r="G16196" s="1"/>
      <c r="N16196" s="1"/>
    </row>
    <row r="16197" spans="7:14" x14ac:dyDescent="0.3">
      <c r="G16197" s="1"/>
      <c r="N16197" s="1"/>
    </row>
    <row r="16198" spans="7:14" x14ac:dyDescent="0.3">
      <c r="G16198" s="1"/>
      <c r="N16198" s="1"/>
    </row>
    <row r="16199" spans="7:14" x14ac:dyDescent="0.3">
      <c r="G16199" s="1"/>
      <c r="N16199" s="1"/>
    </row>
    <row r="16200" spans="7:14" x14ac:dyDescent="0.3">
      <c r="G16200" s="1"/>
      <c r="N16200" s="1"/>
    </row>
    <row r="16201" spans="7:14" x14ac:dyDescent="0.3">
      <c r="G16201" s="1"/>
      <c r="N16201" s="1"/>
    </row>
    <row r="16202" spans="7:14" x14ac:dyDescent="0.3">
      <c r="G16202" s="1"/>
      <c r="N16202" s="1"/>
    </row>
    <row r="16203" spans="7:14" x14ac:dyDescent="0.3">
      <c r="G16203" s="1"/>
      <c r="N16203" s="1"/>
    </row>
    <row r="16204" spans="7:14" x14ac:dyDescent="0.3">
      <c r="G16204" s="1"/>
      <c r="N16204" s="1"/>
    </row>
    <row r="16205" spans="7:14" x14ac:dyDescent="0.3">
      <c r="G16205" s="1"/>
      <c r="N16205" s="1"/>
    </row>
    <row r="16206" spans="7:14" x14ac:dyDescent="0.3">
      <c r="G16206" s="1"/>
      <c r="N16206" s="1"/>
    </row>
    <row r="16207" spans="7:14" x14ac:dyDescent="0.3">
      <c r="G16207" s="1"/>
      <c r="N16207" s="1"/>
    </row>
    <row r="16208" spans="7:14" x14ac:dyDescent="0.3">
      <c r="G16208" s="1"/>
      <c r="N16208" s="1"/>
    </row>
    <row r="16209" spans="7:14" x14ac:dyDescent="0.3">
      <c r="G16209" s="1"/>
      <c r="N16209" s="1"/>
    </row>
    <row r="16210" spans="7:14" x14ac:dyDescent="0.3">
      <c r="G16210" s="1"/>
      <c r="N16210" s="1"/>
    </row>
    <row r="16211" spans="7:14" x14ac:dyDescent="0.3">
      <c r="G16211" s="1"/>
      <c r="N16211" s="1"/>
    </row>
    <row r="16212" spans="7:14" x14ac:dyDescent="0.3">
      <c r="G16212" s="1"/>
      <c r="N16212" s="1"/>
    </row>
    <row r="16213" spans="7:14" x14ac:dyDescent="0.3">
      <c r="G16213" s="1"/>
      <c r="N16213" s="1"/>
    </row>
    <row r="16214" spans="7:14" x14ac:dyDescent="0.3">
      <c r="G16214" s="1"/>
      <c r="N16214" s="1"/>
    </row>
    <row r="16215" spans="7:14" x14ac:dyDescent="0.3">
      <c r="G16215" s="1"/>
      <c r="N16215" s="1"/>
    </row>
    <row r="16216" spans="7:14" x14ac:dyDescent="0.3">
      <c r="G16216" s="1"/>
      <c r="N16216" s="1"/>
    </row>
    <row r="16217" spans="7:14" x14ac:dyDescent="0.3">
      <c r="G16217" s="1"/>
      <c r="N16217" s="1"/>
    </row>
    <row r="16218" spans="7:14" x14ac:dyDescent="0.3">
      <c r="G16218" s="1"/>
      <c r="N16218" s="1"/>
    </row>
    <row r="16219" spans="7:14" x14ac:dyDescent="0.3">
      <c r="G16219" s="1"/>
      <c r="N16219" s="1"/>
    </row>
    <row r="16220" spans="7:14" x14ac:dyDescent="0.3">
      <c r="G16220" s="1"/>
      <c r="N16220" s="1"/>
    </row>
    <row r="16221" spans="7:14" x14ac:dyDescent="0.3">
      <c r="G16221" s="1"/>
      <c r="N16221" s="1"/>
    </row>
    <row r="16222" spans="7:14" x14ac:dyDescent="0.3">
      <c r="G16222" s="1"/>
      <c r="N16222" s="1"/>
    </row>
    <row r="16223" spans="7:14" x14ac:dyDescent="0.3">
      <c r="G16223" s="1"/>
      <c r="N16223" s="1"/>
    </row>
    <row r="16224" spans="7:14" x14ac:dyDescent="0.3">
      <c r="G16224" s="1"/>
      <c r="N16224" s="1"/>
    </row>
    <row r="16225" spans="7:14" x14ac:dyDescent="0.3">
      <c r="G16225" s="1"/>
      <c r="N16225" s="1"/>
    </row>
    <row r="16226" spans="7:14" x14ac:dyDescent="0.3">
      <c r="G16226" s="1"/>
      <c r="N16226" s="1"/>
    </row>
    <row r="16227" spans="7:14" x14ac:dyDescent="0.3">
      <c r="G16227" s="1"/>
      <c r="N16227" s="1"/>
    </row>
    <row r="16228" spans="7:14" x14ac:dyDescent="0.3">
      <c r="G16228" s="1"/>
      <c r="N16228" s="1"/>
    </row>
    <row r="16229" spans="7:14" x14ac:dyDescent="0.3">
      <c r="G16229" s="1"/>
      <c r="N16229" s="1"/>
    </row>
    <row r="16230" spans="7:14" x14ac:dyDescent="0.3">
      <c r="G16230" s="1"/>
      <c r="N16230" s="1"/>
    </row>
    <row r="16231" spans="7:14" x14ac:dyDescent="0.3">
      <c r="G16231" s="1"/>
      <c r="N16231" s="1"/>
    </row>
    <row r="16232" spans="7:14" x14ac:dyDescent="0.3">
      <c r="G16232" s="1"/>
      <c r="N16232" s="1"/>
    </row>
    <row r="16233" spans="7:14" x14ac:dyDescent="0.3">
      <c r="G16233" s="1"/>
      <c r="N16233" s="1"/>
    </row>
    <row r="16234" spans="7:14" x14ac:dyDescent="0.3">
      <c r="G16234" s="1"/>
      <c r="N16234" s="1"/>
    </row>
    <row r="16235" spans="7:14" x14ac:dyDescent="0.3">
      <c r="G16235" s="1"/>
      <c r="N16235" s="1"/>
    </row>
    <row r="16236" spans="7:14" x14ac:dyDescent="0.3">
      <c r="G16236" s="1"/>
      <c r="N16236" s="1"/>
    </row>
    <row r="16237" spans="7:14" x14ac:dyDescent="0.3">
      <c r="G16237" s="1"/>
      <c r="N16237" s="1"/>
    </row>
    <row r="16238" spans="7:14" x14ac:dyDescent="0.3">
      <c r="G16238" s="1"/>
      <c r="N16238" s="1"/>
    </row>
    <row r="16239" spans="7:14" x14ac:dyDescent="0.3">
      <c r="G16239" s="1"/>
      <c r="N16239" s="1"/>
    </row>
    <row r="16240" spans="7:14" x14ac:dyDescent="0.3">
      <c r="G16240" s="1"/>
      <c r="N16240" s="1"/>
    </row>
    <row r="16241" spans="7:14" x14ac:dyDescent="0.3">
      <c r="G16241" s="1"/>
      <c r="N16241" s="1"/>
    </row>
    <row r="16242" spans="7:14" x14ac:dyDescent="0.3">
      <c r="G16242" s="1"/>
      <c r="N16242" s="1"/>
    </row>
    <row r="16243" spans="7:14" x14ac:dyDescent="0.3">
      <c r="G16243" s="1"/>
      <c r="N16243" s="1"/>
    </row>
    <row r="16244" spans="7:14" x14ac:dyDescent="0.3">
      <c r="G16244" s="1"/>
      <c r="N16244" s="1"/>
    </row>
    <row r="16245" spans="7:14" x14ac:dyDescent="0.3">
      <c r="G16245" s="1"/>
      <c r="N16245" s="1"/>
    </row>
    <row r="16246" spans="7:14" x14ac:dyDescent="0.3">
      <c r="G16246" s="1"/>
      <c r="N16246" s="1"/>
    </row>
    <row r="16247" spans="7:14" x14ac:dyDescent="0.3">
      <c r="G16247" s="1"/>
      <c r="N16247" s="1"/>
    </row>
    <row r="16248" spans="7:14" x14ac:dyDescent="0.3">
      <c r="G16248" s="1"/>
      <c r="N16248" s="1"/>
    </row>
    <row r="16249" spans="7:14" x14ac:dyDescent="0.3">
      <c r="G16249" s="1"/>
      <c r="N16249" s="1"/>
    </row>
    <row r="16250" spans="7:14" x14ac:dyDescent="0.3">
      <c r="G16250" s="1"/>
      <c r="N16250" s="1"/>
    </row>
    <row r="16251" spans="7:14" x14ac:dyDescent="0.3">
      <c r="G16251" s="1"/>
      <c r="N16251" s="1"/>
    </row>
    <row r="16252" spans="7:14" x14ac:dyDescent="0.3">
      <c r="G16252" s="1"/>
      <c r="N16252" s="1"/>
    </row>
    <row r="16253" spans="7:14" x14ac:dyDescent="0.3">
      <c r="G16253" s="1"/>
      <c r="N16253" s="1"/>
    </row>
    <row r="16254" spans="7:14" x14ac:dyDescent="0.3">
      <c r="G16254" s="1"/>
      <c r="N16254" s="1"/>
    </row>
    <row r="16255" spans="7:14" x14ac:dyDescent="0.3">
      <c r="G16255" s="1"/>
      <c r="N16255" s="1"/>
    </row>
    <row r="16256" spans="7:14" x14ac:dyDescent="0.3">
      <c r="G16256" s="1"/>
      <c r="N16256" s="1"/>
    </row>
    <row r="16257" spans="7:14" x14ac:dyDescent="0.3">
      <c r="G16257" s="1"/>
      <c r="N16257" s="1"/>
    </row>
    <row r="16258" spans="7:14" x14ac:dyDescent="0.3">
      <c r="G16258" s="1"/>
      <c r="N16258" s="1"/>
    </row>
    <row r="16259" spans="7:14" x14ac:dyDescent="0.3">
      <c r="G16259" s="1"/>
      <c r="N16259" s="1"/>
    </row>
    <row r="16260" spans="7:14" x14ac:dyDescent="0.3">
      <c r="G16260" s="1"/>
      <c r="N16260" s="1"/>
    </row>
    <row r="16261" spans="7:14" x14ac:dyDescent="0.3">
      <c r="G16261" s="1"/>
      <c r="N16261" s="1"/>
    </row>
    <row r="16262" spans="7:14" x14ac:dyDescent="0.3">
      <c r="G16262" s="1"/>
      <c r="N16262" s="1"/>
    </row>
    <row r="16263" spans="7:14" x14ac:dyDescent="0.3">
      <c r="G16263" s="1"/>
      <c r="N16263" s="1"/>
    </row>
    <row r="16264" spans="7:14" x14ac:dyDescent="0.3">
      <c r="G16264" s="1"/>
      <c r="N16264" s="1"/>
    </row>
    <row r="16265" spans="7:14" x14ac:dyDescent="0.3">
      <c r="G16265" s="1"/>
      <c r="N16265" s="1"/>
    </row>
    <row r="16266" spans="7:14" x14ac:dyDescent="0.3">
      <c r="G16266" s="1"/>
      <c r="N16266" s="1"/>
    </row>
    <row r="16267" spans="7:14" x14ac:dyDescent="0.3">
      <c r="G16267" s="1"/>
      <c r="N16267" s="1"/>
    </row>
    <row r="16268" spans="7:14" x14ac:dyDescent="0.3">
      <c r="G16268" s="1"/>
      <c r="N16268" s="1"/>
    </row>
    <row r="16269" spans="7:14" x14ac:dyDescent="0.3">
      <c r="G16269" s="1"/>
      <c r="N16269" s="1"/>
    </row>
    <row r="16270" spans="7:14" x14ac:dyDescent="0.3">
      <c r="G16270" s="1"/>
      <c r="N16270" s="1"/>
    </row>
    <row r="16271" spans="7:14" x14ac:dyDescent="0.3">
      <c r="G16271" s="1"/>
      <c r="N16271" s="1"/>
    </row>
    <row r="16272" spans="7:14" x14ac:dyDescent="0.3">
      <c r="G16272" s="1"/>
      <c r="N16272" s="1"/>
    </row>
    <row r="16273" spans="7:14" x14ac:dyDescent="0.3">
      <c r="G16273" s="1"/>
      <c r="N16273" s="1"/>
    </row>
    <row r="16274" spans="7:14" x14ac:dyDescent="0.3">
      <c r="G16274" s="1"/>
      <c r="N16274" s="1"/>
    </row>
    <row r="16275" spans="7:14" x14ac:dyDescent="0.3">
      <c r="G16275" s="1"/>
      <c r="N16275" s="1"/>
    </row>
    <row r="16276" spans="7:14" x14ac:dyDescent="0.3">
      <c r="G16276" s="1"/>
      <c r="N16276" s="1"/>
    </row>
    <row r="16277" spans="7:14" x14ac:dyDescent="0.3">
      <c r="G16277" s="1"/>
      <c r="N16277" s="1"/>
    </row>
    <row r="16278" spans="7:14" x14ac:dyDescent="0.3">
      <c r="G16278" s="1"/>
      <c r="N16278" s="1"/>
    </row>
    <row r="16279" spans="7:14" x14ac:dyDescent="0.3">
      <c r="G16279" s="1"/>
      <c r="N16279" s="1"/>
    </row>
    <row r="16280" spans="7:14" x14ac:dyDescent="0.3">
      <c r="G16280" s="1"/>
      <c r="N16280" s="1"/>
    </row>
    <row r="16281" spans="7:14" x14ac:dyDescent="0.3">
      <c r="G16281" s="1"/>
      <c r="N16281" s="1"/>
    </row>
    <row r="16282" spans="7:14" x14ac:dyDescent="0.3">
      <c r="G16282" s="1"/>
      <c r="N16282" s="1"/>
    </row>
    <row r="16283" spans="7:14" x14ac:dyDescent="0.3">
      <c r="G16283" s="1"/>
      <c r="N16283" s="1"/>
    </row>
    <row r="16284" spans="7:14" x14ac:dyDescent="0.3">
      <c r="G16284" s="1"/>
      <c r="N16284" s="1"/>
    </row>
    <row r="16285" spans="7:14" x14ac:dyDescent="0.3">
      <c r="G16285" s="1"/>
      <c r="N16285" s="1"/>
    </row>
    <row r="16286" spans="7:14" x14ac:dyDescent="0.3">
      <c r="G16286" s="1"/>
      <c r="N16286" s="1"/>
    </row>
    <row r="16287" spans="7:14" x14ac:dyDescent="0.3">
      <c r="G16287" s="1"/>
      <c r="N16287" s="1"/>
    </row>
    <row r="16288" spans="7:14" x14ac:dyDescent="0.3">
      <c r="G16288" s="1"/>
      <c r="N16288" s="1"/>
    </row>
    <row r="16289" spans="7:14" x14ac:dyDescent="0.3">
      <c r="G16289" s="1"/>
      <c r="N16289" s="1"/>
    </row>
    <row r="16290" spans="7:14" x14ac:dyDescent="0.3">
      <c r="G16290" s="1"/>
      <c r="N16290" s="1"/>
    </row>
    <row r="16291" spans="7:14" x14ac:dyDescent="0.3">
      <c r="G16291" s="1"/>
      <c r="N16291" s="1"/>
    </row>
    <row r="16292" spans="7:14" x14ac:dyDescent="0.3">
      <c r="G16292" s="1"/>
      <c r="N16292" s="1"/>
    </row>
    <row r="16293" spans="7:14" x14ac:dyDescent="0.3">
      <c r="G16293" s="1"/>
      <c r="N16293" s="1"/>
    </row>
    <row r="16294" spans="7:14" x14ac:dyDescent="0.3">
      <c r="G16294" s="1"/>
      <c r="N16294" s="1"/>
    </row>
    <row r="16295" spans="7:14" x14ac:dyDescent="0.3">
      <c r="G16295" s="1"/>
      <c r="N16295" s="1"/>
    </row>
    <row r="16296" spans="7:14" x14ac:dyDescent="0.3">
      <c r="G16296" s="1"/>
      <c r="N16296" s="1"/>
    </row>
    <row r="16297" spans="7:14" x14ac:dyDescent="0.3">
      <c r="G16297" s="1"/>
      <c r="N16297" s="1"/>
    </row>
    <row r="16298" spans="7:14" x14ac:dyDescent="0.3">
      <c r="G16298" s="1"/>
      <c r="N16298" s="1"/>
    </row>
    <row r="16299" spans="7:14" x14ac:dyDescent="0.3">
      <c r="G16299" s="1"/>
      <c r="N16299" s="1"/>
    </row>
    <row r="16300" spans="7:14" x14ac:dyDescent="0.3">
      <c r="G16300" s="1"/>
      <c r="N16300" s="1"/>
    </row>
    <row r="16301" spans="7:14" x14ac:dyDescent="0.3">
      <c r="G16301" s="1"/>
      <c r="N16301" s="1"/>
    </row>
    <row r="16302" spans="7:14" x14ac:dyDescent="0.3">
      <c r="G16302" s="1"/>
      <c r="N16302" s="1"/>
    </row>
    <row r="16303" spans="7:14" x14ac:dyDescent="0.3">
      <c r="G16303" s="1"/>
      <c r="N16303" s="1"/>
    </row>
    <row r="16304" spans="7:14" x14ac:dyDescent="0.3">
      <c r="G16304" s="1"/>
      <c r="N16304" s="1"/>
    </row>
    <row r="16305" spans="7:14" x14ac:dyDescent="0.3">
      <c r="G16305" s="1"/>
      <c r="N16305" s="1"/>
    </row>
    <row r="16306" spans="7:14" x14ac:dyDescent="0.3">
      <c r="G16306" s="1"/>
      <c r="N16306" s="1"/>
    </row>
    <row r="16307" spans="7:14" x14ac:dyDescent="0.3">
      <c r="G16307" s="1"/>
      <c r="N16307" s="1"/>
    </row>
    <row r="16308" spans="7:14" x14ac:dyDescent="0.3">
      <c r="G16308" s="1"/>
      <c r="N16308" s="1"/>
    </row>
    <row r="16309" spans="7:14" x14ac:dyDescent="0.3">
      <c r="G16309" s="1"/>
      <c r="N16309" s="1"/>
    </row>
    <row r="16310" spans="7:14" x14ac:dyDescent="0.3">
      <c r="G16310" s="1"/>
      <c r="N16310" s="1"/>
    </row>
    <row r="16311" spans="7:14" x14ac:dyDescent="0.3">
      <c r="G16311" s="1"/>
      <c r="N16311" s="1"/>
    </row>
    <row r="16312" spans="7:14" x14ac:dyDescent="0.3">
      <c r="G16312" s="1"/>
      <c r="N16312" s="1"/>
    </row>
    <row r="16313" spans="7:14" x14ac:dyDescent="0.3">
      <c r="G16313" s="1"/>
      <c r="N16313" s="1"/>
    </row>
    <row r="16314" spans="7:14" x14ac:dyDescent="0.3">
      <c r="G16314" s="1"/>
      <c r="N16314" s="1"/>
    </row>
    <row r="16315" spans="7:14" x14ac:dyDescent="0.3">
      <c r="G16315" s="1"/>
      <c r="N16315" s="1"/>
    </row>
    <row r="16316" spans="7:14" x14ac:dyDescent="0.3">
      <c r="G16316" s="1"/>
      <c r="N16316" s="1"/>
    </row>
    <row r="16317" spans="7:14" x14ac:dyDescent="0.3">
      <c r="G16317" s="1"/>
      <c r="N16317" s="1"/>
    </row>
    <row r="16318" spans="7:14" x14ac:dyDescent="0.3">
      <c r="G16318" s="1"/>
      <c r="N16318" s="1"/>
    </row>
    <row r="16319" spans="7:14" x14ac:dyDescent="0.3">
      <c r="G16319" s="1"/>
      <c r="N16319" s="1"/>
    </row>
    <row r="16320" spans="7:14" x14ac:dyDescent="0.3">
      <c r="G16320" s="1"/>
      <c r="N16320" s="1"/>
    </row>
    <row r="16321" spans="7:14" x14ac:dyDescent="0.3">
      <c r="G16321" s="1"/>
      <c r="N16321" s="1"/>
    </row>
    <row r="16322" spans="7:14" x14ac:dyDescent="0.3">
      <c r="G16322" s="1"/>
      <c r="N16322" s="1"/>
    </row>
    <row r="16323" spans="7:14" x14ac:dyDescent="0.3">
      <c r="G16323" s="1"/>
      <c r="N16323" s="1"/>
    </row>
    <row r="16324" spans="7:14" x14ac:dyDescent="0.3">
      <c r="G16324" s="1"/>
      <c r="N16324" s="1"/>
    </row>
    <row r="16325" spans="7:14" x14ac:dyDescent="0.3">
      <c r="G16325" s="1"/>
      <c r="N16325" s="1"/>
    </row>
    <row r="16326" spans="7:14" x14ac:dyDescent="0.3">
      <c r="G16326" s="1"/>
      <c r="N16326" s="1"/>
    </row>
    <row r="16327" spans="7:14" x14ac:dyDescent="0.3">
      <c r="G16327" s="1"/>
      <c r="N16327" s="1"/>
    </row>
    <row r="16328" spans="7:14" x14ac:dyDescent="0.3">
      <c r="G16328" s="1"/>
      <c r="N16328" s="1"/>
    </row>
    <row r="16329" spans="7:14" x14ac:dyDescent="0.3">
      <c r="G16329" s="1"/>
      <c r="N16329" s="1"/>
    </row>
    <row r="16330" spans="7:14" x14ac:dyDescent="0.3">
      <c r="G16330" s="1"/>
      <c r="N16330" s="1"/>
    </row>
    <row r="16331" spans="7:14" x14ac:dyDescent="0.3">
      <c r="G16331" s="1"/>
      <c r="N16331" s="1"/>
    </row>
    <row r="16332" spans="7:14" x14ac:dyDescent="0.3">
      <c r="G16332" s="1"/>
      <c r="N16332" s="1"/>
    </row>
    <row r="16333" spans="7:14" x14ac:dyDescent="0.3">
      <c r="G16333" s="1"/>
      <c r="N16333" s="1"/>
    </row>
    <row r="16334" spans="7:14" x14ac:dyDescent="0.3">
      <c r="G16334" s="1"/>
      <c r="N16334" s="1"/>
    </row>
    <row r="16335" spans="7:14" x14ac:dyDescent="0.3">
      <c r="G16335" s="1"/>
      <c r="N16335" s="1"/>
    </row>
    <row r="16336" spans="7:14" x14ac:dyDescent="0.3">
      <c r="G16336" s="1"/>
      <c r="N16336" s="1"/>
    </row>
    <row r="16337" spans="7:14" x14ac:dyDescent="0.3">
      <c r="G16337" s="1"/>
      <c r="N16337" s="1"/>
    </row>
    <row r="16338" spans="7:14" x14ac:dyDescent="0.3">
      <c r="G16338" s="1"/>
      <c r="N16338" s="1"/>
    </row>
    <row r="16339" spans="7:14" x14ac:dyDescent="0.3">
      <c r="G16339" s="1"/>
      <c r="N16339" s="1"/>
    </row>
    <row r="16340" spans="7:14" x14ac:dyDescent="0.3">
      <c r="G16340" s="1"/>
      <c r="N16340" s="1"/>
    </row>
    <row r="16341" spans="7:14" x14ac:dyDescent="0.3">
      <c r="G16341" s="1"/>
      <c r="N16341" s="1"/>
    </row>
    <row r="16342" spans="7:14" x14ac:dyDescent="0.3">
      <c r="G16342" s="1"/>
      <c r="N16342" s="1"/>
    </row>
    <row r="16343" spans="7:14" x14ac:dyDescent="0.3">
      <c r="G16343" s="1"/>
      <c r="N16343" s="1"/>
    </row>
    <row r="16344" spans="7:14" x14ac:dyDescent="0.3">
      <c r="G16344" s="1"/>
      <c r="N16344" s="1"/>
    </row>
    <row r="16345" spans="7:14" x14ac:dyDescent="0.3">
      <c r="G16345" s="1"/>
      <c r="N16345" s="1"/>
    </row>
    <row r="16346" spans="7:14" x14ac:dyDescent="0.3">
      <c r="G16346" s="1"/>
      <c r="N16346" s="1"/>
    </row>
    <row r="16347" spans="7:14" x14ac:dyDescent="0.3">
      <c r="G16347" s="1"/>
      <c r="N16347" s="1"/>
    </row>
    <row r="16348" spans="7:14" x14ac:dyDescent="0.3">
      <c r="G16348" s="1"/>
      <c r="N16348" s="1"/>
    </row>
    <row r="16349" spans="7:14" x14ac:dyDescent="0.3">
      <c r="G16349" s="1"/>
      <c r="N16349" s="1"/>
    </row>
    <row r="16350" spans="7:14" x14ac:dyDescent="0.3">
      <c r="G16350" s="1"/>
      <c r="N16350" s="1"/>
    </row>
    <row r="16351" spans="7:14" x14ac:dyDescent="0.3">
      <c r="G16351" s="1"/>
      <c r="N16351" s="1"/>
    </row>
    <row r="16352" spans="7:14" x14ac:dyDescent="0.3">
      <c r="G16352" s="1"/>
      <c r="N16352" s="1"/>
    </row>
    <row r="16353" spans="7:14" x14ac:dyDescent="0.3">
      <c r="G16353" s="1"/>
      <c r="N16353" s="1"/>
    </row>
    <row r="16354" spans="7:14" x14ac:dyDescent="0.3">
      <c r="G16354" s="1"/>
      <c r="N16354" s="1"/>
    </row>
    <row r="16355" spans="7:14" x14ac:dyDescent="0.3">
      <c r="G16355" s="1"/>
      <c r="N16355" s="1"/>
    </row>
    <row r="16356" spans="7:14" x14ac:dyDescent="0.3">
      <c r="G16356" s="1"/>
      <c r="N16356" s="1"/>
    </row>
    <row r="16357" spans="7:14" x14ac:dyDescent="0.3">
      <c r="G16357" s="1"/>
      <c r="N16357" s="1"/>
    </row>
    <row r="16358" spans="7:14" x14ac:dyDescent="0.3">
      <c r="G16358" s="1"/>
      <c r="N16358" s="1"/>
    </row>
    <row r="16359" spans="7:14" x14ac:dyDescent="0.3">
      <c r="G16359" s="1"/>
      <c r="N16359" s="1"/>
    </row>
    <row r="16360" spans="7:14" x14ac:dyDescent="0.3">
      <c r="G16360" s="1"/>
      <c r="N16360" s="1"/>
    </row>
    <row r="16361" spans="7:14" x14ac:dyDescent="0.3">
      <c r="G16361" s="1"/>
      <c r="N16361" s="1"/>
    </row>
    <row r="16362" spans="7:14" x14ac:dyDescent="0.3">
      <c r="G16362" s="1"/>
      <c r="N16362" s="1"/>
    </row>
    <row r="16363" spans="7:14" x14ac:dyDescent="0.3">
      <c r="G16363" s="1"/>
      <c r="N16363" s="1"/>
    </row>
    <row r="16364" spans="7:14" x14ac:dyDescent="0.3">
      <c r="G16364" s="1"/>
      <c r="N16364" s="1"/>
    </row>
    <row r="16365" spans="7:14" x14ac:dyDescent="0.3">
      <c r="G16365" s="1"/>
      <c r="N16365" s="1"/>
    </row>
    <row r="16366" spans="7:14" x14ac:dyDescent="0.3">
      <c r="G16366" s="1"/>
      <c r="N16366" s="1"/>
    </row>
    <row r="16367" spans="7:14" x14ac:dyDescent="0.3">
      <c r="G16367" s="1"/>
      <c r="N16367" s="1"/>
    </row>
    <row r="16368" spans="7:14" x14ac:dyDescent="0.3">
      <c r="G16368" s="1"/>
      <c r="N16368" s="1"/>
    </row>
    <row r="16369" spans="7:14" x14ac:dyDescent="0.3">
      <c r="G16369" s="1"/>
      <c r="N16369" s="1"/>
    </row>
    <row r="16370" spans="7:14" x14ac:dyDescent="0.3">
      <c r="G16370" s="1"/>
      <c r="N16370" s="1"/>
    </row>
    <row r="16371" spans="7:14" x14ac:dyDescent="0.3">
      <c r="G16371" s="1"/>
      <c r="N16371" s="1"/>
    </row>
    <row r="16372" spans="7:14" x14ac:dyDescent="0.3">
      <c r="G16372" s="1"/>
      <c r="N16372" s="1"/>
    </row>
    <row r="16373" spans="7:14" x14ac:dyDescent="0.3">
      <c r="G16373" s="1"/>
      <c r="N16373" s="1"/>
    </row>
    <row r="16374" spans="7:14" x14ac:dyDescent="0.3">
      <c r="G16374" s="1"/>
      <c r="N16374" s="1"/>
    </row>
    <row r="16375" spans="7:14" x14ac:dyDescent="0.3">
      <c r="G16375" s="1"/>
      <c r="N16375" s="1"/>
    </row>
    <row r="16376" spans="7:14" x14ac:dyDescent="0.3">
      <c r="G16376" s="1"/>
      <c r="N16376" s="1"/>
    </row>
    <row r="16377" spans="7:14" x14ac:dyDescent="0.3">
      <c r="G16377" s="1"/>
      <c r="N16377" s="1"/>
    </row>
    <row r="16378" spans="7:14" x14ac:dyDescent="0.3">
      <c r="G16378" s="1"/>
      <c r="N16378" s="1"/>
    </row>
    <row r="16379" spans="7:14" x14ac:dyDescent="0.3">
      <c r="G16379" s="1"/>
      <c r="N16379" s="1"/>
    </row>
    <row r="16380" spans="7:14" x14ac:dyDescent="0.3">
      <c r="G16380" s="1"/>
      <c r="N16380" s="1"/>
    </row>
    <row r="16381" spans="7:14" x14ac:dyDescent="0.3">
      <c r="G16381" s="1"/>
      <c r="N16381" s="1"/>
    </row>
    <row r="16382" spans="7:14" x14ac:dyDescent="0.3">
      <c r="G16382" s="1"/>
      <c r="N16382" s="1"/>
    </row>
    <row r="16383" spans="7:14" x14ac:dyDescent="0.3">
      <c r="G16383" s="1"/>
      <c r="N16383" s="1"/>
    </row>
    <row r="16384" spans="7:14" x14ac:dyDescent="0.3">
      <c r="G16384" s="1"/>
      <c r="N16384" s="1"/>
    </row>
    <row r="16385" spans="7:14" x14ac:dyDescent="0.3">
      <c r="G16385" s="1"/>
      <c r="N16385" s="1"/>
    </row>
    <row r="16386" spans="7:14" x14ac:dyDescent="0.3">
      <c r="G16386" s="1"/>
      <c r="N16386" s="1"/>
    </row>
    <row r="16387" spans="7:14" x14ac:dyDescent="0.3">
      <c r="G16387" s="1"/>
      <c r="N16387" s="1"/>
    </row>
    <row r="16388" spans="7:14" x14ac:dyDescent="0.3">
      <c r="G16388" s="1"/>
      <c r="N16388" s="1"/>
    </row>
    <row r="16389" spans="7:14" x14ac:dyDescent="0.3">
      <c r="G16389" s="1"/>
      <c r="N16389" s="1"/>
    </row>
    <row r="16390" spans="7:14" x14ac:dyDescent="0.3">
      <c r="G16390" s="1"/>
      <c r="N16390" s="1"/>
    </row>
    <row r="16391" spans="7:14" x14ac:dyDescent="0.3">
      <c r="G16391" s="1"/>
      <c r="N16391" s="1"/>
    </row>
    <row r="16392" spans="7:14" x14ac:dyDescent="0.3">
      <c r="G16392" s="1"/>
      <c r="N16392" s="1"/>
    </row>
    <row r="16393" spans="7:14" x14ac:dyDescent="0.3">
      <c r="G16393" s="1"/>
      <c r="N16393" s="1"/>
    </row>
    <row r="16394" spans="7:14" x14ac:dyDescent="0.3">
      <c r="G16394" s="1"/>
      <c r="N16394" s="1"/>
    </row>
    <row r="16395" spans="7:14" x14ac:dyDescent="0.3">
      <c r="G16395" s="1"/>
      <c r="N16395" s="1"/>
    </row>
    <row r="16396" spans="7:14" x14ac:dyDescent="0.3">
      <c r="G16396" s="1"/>
      <c r="N16396" s="1"/>
    </row>
    <row r="16397" spans="7:14" x14ac:dyDescent="0.3">
      <c r="G16397" s="1"/>
      <c r="N16397" s="1"/>
    </row>
    <row r="16398" spans="7:14" x14ac:dyDescent="0.3">
      <c r="G16398" s="1"/>
      <c r="N16398" s="1"/>
    </row>
    <row r="16399" spans="7:14" x14ac:dyDescent="0.3">
      <c r="G16399" s="1"/>
      <c r="N16399" s="1"/>
    </row>
    <row r="16400" spans="7:14" x14ac:dyDescent="0.3">
      <c r="G16400" s="1"/>
      <c r="N16400" s="1"/>
    </row>
    <row r="16401" spans="7:14" x14ac:dyDescent="0.3">
      <c r="G16401" s="1"/>
      <c r="N16401" s="1"/>
    </row>
    <row r="16402" spans="7:14" x14ac:dyDescent="0.3">
      <c r="G16402" s="1"/>
      <c r="N16402" s="1"/>
    </row>
    <row r="16403" spans="7:14" x14ac:dyDescent="0.3">
      <c r="G16403" s="1"/>
      <c r="N16403" s="1"/>
    </row>
    <row r="16404" spans="7:14" x14ac:dyDescent="0.3">
      <c r="G16404" s="1"/>
      <c r="N16404" s="1"/>
    </row>
    <row r="16405" spans="7:14" x14ac:dyDescent="0.3">
      <c r="G16405" s="1"/>
      <c r="N16405" s="1"/>
    </row>
    <row r="16406" spans="7:14" x14ac:dyDescent="0.3">
      <c r="G16406" s="1"/>
      <c r="N16406" s="1"/>
    </row>
    <row r="16407" spans="7:14" x14ac:dyDescent="0.3">
      <c r="G16407" s="1"/>
      <c r="N16407" s="1"/>
    </row>
    <row r="16408" spans="7:14" x14ac:dyDescent="0.3">
      <c r="G16408" s="1"/>
      <c r="N16408" s="1"/>
    </row>
    <row r="16409" spans="7:14" x14ac:dyDescent="0.3">
      <c r="G16409" s="1"/>
      <c r="N16409" s="1"/>
    </row>
    <row r="16410" spans="7:14" x14ac:dyDescent="0.3">
      <c r="G16410" s="1"/>
      <c r="N16410" s="1"/>
    </row>
    <row r="16411" spans="7:14" x14ac:dyDescent="0.3">
      <c r="G16411" s="1"/>
      <c r="N16411" s="1"/>
    </row>
    <row r="16412" spans="7:14" x14ac:dyDescent="0.3">
      <c r="G16412" s="1"/>
      <c r="N16412" s="1"/>
    </row>
    <row r="16413" spans="7:14" x14ac:dyDescent="0.3">
      <c r="G16413" s="1"/>
      <c r="N16413" s="1"/>
    </row>
    <row r="16414" spans="7:14" x14ac:dyDescent="0.3">
      <c r="G16414" s="1"/>
      <c r="N16414" s="1"/>
    </row>
    <row r="16415" spans="7:14" x14ac:dyDescent="0.3">
      <c r="G16415" s="1"/>
      <c r="N16415" s="1"/>
    </row>
    <row r="16416" spans="7:14" x14ac:dyDescent="0.3">
      <c r="G16416" s="1"/>
      <c r="N16416" s="1"/>
    </row>
    <row r="16417" spans="7:14" x14ac:dyDescent="0.3">
      <c r="G16417" s="1"/>
      <c r="N16417" s="1"/>
    </row>
    <row r="16418" spans="7:14" x14ac:dyDescent="0.3">
      <c r="G16418" s="1"/>
      <c r="N16418" s="1"/>
    </row>
    <row r="16419" spans="7:14" x14ac:dyDescent="0.3">
      <c r="G16419" s="1"/>
      <c r="N16419" s="1"/>
    </row>
    <row r="16420" spans="7:14" x14ac:dyDescent="0.3">
      <c r="G16420" s="1"/>
      <c r="N16420" s="1"/>
    </row>
    <row r="16421" spans="7:14" x14ac:dyDescent="0.3">
      <c r="G16421" s="1"/>
      <c r="N16421" s="1"/>
    </row>
    <row r="16422" spans="7:14" x14ac:dyDescent="0.3">
      <c r="G16422" s="1"/>
      <c r="N16422" s="1"/>
    </row>
    <row r="16423" spans="7:14" x14ac:dyDescent="0.3">
      <c r="G16423" s="1"/>
      <c r="N16423" s="1"/>
    </row>
    <row r="16424" spans="7:14" x14ac:dyDescent="0.3">
      <c r="G16424" s="1"/>
      <c r="N16424" s="1"/>
    </row>
    <row r="16425" spans="7:14" x14ac:dyDescent="0.3">
      <c r="G16425" s="1"/>
      <c r="N16425" s="1"/>
    </row>
    <row r="16426" spans="7:14" x14ac:dyDescent="0.3">
      <c r="G16426" s="1"/>
      <c r="N16426" s="1"/>
    </row>
    <row r="16427" spans="7:14" x14ac:dyDescent="0.3">
      <c r="G16427" s="1"/>
      <c r="N16427" s="1"/>
    </row>
    <row r="16428" spans="7:14" x14ac:dyDescent="0.3">
      <c r="G16428" s="1"/>
      <c r="N16428" s="1"/>
    </row>
    <row r="16429" spans="7:14" x14ac:dyDescent="0.3">
      <c r="G16429" s="1"/>
      <c r="N16429" s="1"/>
    </row>
    <row r="16430" spans="7:14" x14ac:dyDescent="0.3">
      <c r="G16430" s="1"/>
      <c r="N16430" s="1"/>
    </row>
    <row r="16431" spans="7:14" x14ac:dyDescent="0.3">
      <c r="G16431" s="1"/>
      <c r="N16431" s="1"/>
    </row>
    <row r="16432" spans="7:14" x14ac:dyDescent="0.3">
      <c r="G16432" s="1"/>
      <c r="N16432" s="1"/>
    </row>
    <row r="16433" spans="7:14" x14ac:dyDescent="0.3">
      <c r="G16433" s="1"/>
      <c r="N16433" s="1"/>
    </row>
    <row r="16434" spans="7:14" x14ac:dyDescent="0.3">
      <c r="G16434" s="1"/>
      <c r="N16434" s="1"/>
    </row>
    <row r="16435" spans="7:14" x14ac:dyDescent="0.3">
      <c r="G16435" s="1"/>
      <c r="N16435" s="1"/>
    </row>
    <row r="16436" spans="7:14" x14ac:dyDescent="0.3">
      <c r="G16436" s="1"/>
      <c r="N16436" s="1"/>
    </row>
    <row r="16437" spans="7:14" x14ac:dyDescent="0.3">
      <c r="G16437" s="1"/>
      <c r="N16437" s="1"/>
    </row>
    <row r="16438" spans="7:14" x14ac:dyDescent="0.3">
      <c r="G16438" s="1"/>
      <c r="N16438" s="1"/>
    </row>
    <row r="16439" spans="7:14" x14ac:dyDescent="0.3">
      <c r="G16439" s="1"/>
      <c r="N16439" s="1"/>
    </row>
    <row r="16440" spans="7:14" x14ac:dyDescent="0.3">
      <c r="G16440" s="1"/>
      <c r="N16440" s="1"/>
    </row>
    <row r="16441" spans="7:14" x14ac:dyDescent="0.3">
      <c r="G16441" s="1"/>
      <c r="N16441" s="1"/>
    </row>
    <row r="16442" spans="7:14" x14ac:dyDescent="0.3">
      <c r="G16442" s="1"/>
      <c r="N16442" s="1"/>
    </row>
    <row r="16443" spans="7:14" x14ac:dyDescent="0.3">
      <c r="G16443" s="1"/>
      <c r="N16443" s="1"/>
    </row>
    <row r="16444" spans="7:14" x14ac:dyDescent="0.3">
      <c r="G16444" s="1"/>
      <c r="N16444" s="1"/>
    </row>
    <row r="16445" spans="7:14" x14ac:dyDescent="0.3">
      <c r="G16445" s="1"/>
      <c r="N16445" s="1"/>
    </row>
    <row r="16446" spans="7:14" x14ac:dyDescent="0.3">
      <c r="G16446" s="1"/>
      <c r="N16446" s="1"/>
    </row>
    <row r="16447" spans="7:14" x14ac:dyDescent="0.3">
      <c r="G16447" s="1"/>
      <c r="N16447" s="1"/>
    </row>
    <row r="16448" spans="7:14" x14ac:dyDescent="0.3">
      <c r="G16448" s="1"/>
      <c r="N16448" s="1"/>
    </row>
    <row r="16449" spans="7:14" x14ac:dyDescent="0.3">
      <c r="G16449" s="1"/>
      <c r="N16449" s="1"/>
    </row>
    <row r="16450" spans="7:14" x14ac:dyDescent="0.3">
      <c r="G16450" s="1"/>
      <c r="N16450" s="1"/>
    </row>
    <row r="16451" spans="7:14" x14ac:dyDescent="0.3">
      <c r="G16451" s="1"/>
      <c r="N16451" s="1"/>
    </row>
    <row r="16452" spans="7:14" x14ac:dyDescent="0.3">
      <c r="G16452" s="1"/>
      <c r="N16452" s="1"/>
    </row>
    <row r="16453" spans="7:14" x14ac:dyDescent="0.3">
      <c r="G16453" s="1"/>
      <c r="N16453" s="1"/>
    </row>
    <row r="16454" spans="7:14" x14ac:dyDescent="0.3">
      <c r="G16454" s="1"/>
      <c r="N16454" s="1"/>
    </row>
    <row r="16455" spans="7:14" x14ac:dyDescent="0.3">
      <c r="G16455" s="1"/>
      <c r="N16455" s="1"/>
    </row>
    <row r="16456" spans="7:14" x14ac:dyDescent="0.3">
      <c r="G16456" s="1"/>
      <c r="N16456" s="1"/>
    </row>
    <row r="16457" spans="7:14" x14ac:dyDescent="0.3">
      <c r="G16457" s="1"/>
      <c r="N16457" s="1"/>
    </row>
    <row r="16458" spans="7:14" x14ac:dyDescent="0.3">
      <c r="G16458" s="1"/>
      <c r="N16458" s="1"/>
    </row>
    <row r="16459" spans="7:14" x14ac:dyDescent="0.3">
      <c r="G16459" s="1"/>
      <c r="N16459" s="1"/>
    </row>
    <row r="16460" spans="7:14" x14ac:dyDescent="0.3">
      <c r="G16460" s="1"/>
      <c r="N16460" s="1"/>
    </row>
    <row r="16461" spans="7:14" x14ac:dyDescent="0.3">
      <c r="G16461" s="1"/>
      <c r="N16461" s="1"/>
    </row>
    <row r="16462" spans="7:14" x14ac:dyDescent="0.3">
      <c r="G16462" s="1"/>
      <c r="N16462" s="1"/>
    </row>
    <row r="16463" spans="7:14" x14ac:dyDescent="0.3">
      <c r="G16463" s="1"/>
      <c r="N16463" s="1"/>
    </row>
    <row r="16464" spans="7:14" x14ac:dyDescent="0.3">
      <c r="G16464" s="1"/>
      <c r="N16464" s="1"/>
    </row>
    <row r="16465" spans="7:14" x14ac:dyDescent="0.3">
      <c r="G16465" s="1"/>
      <c r="N16465" s="1"/>
    </row>
    <row r="16466" spans="7:14" x14ac:dyDescent="0.3">
      <c r="G16466" s="1"/>
      <c r="N16466" s="1"/>
    </row>
    <row r="16467" spans="7:14" x14ac:dyDescent="0.3">
      <c r="G16467" s="1"/>
      <c r="N16467" s="1"/>
    </row>
    <row r="16468" spans="7:14" x14ac:dyDescent="0.3">
      <c r="G16468" s="1"/>
      <c r="N16468" s="1"/>
    </row>
    <row r="16469" spans="7:14" x14ac:dyDescent="0.3">
      <c r="G16469" s="1"/>
      <c r="N16469" s="1"/>
    </row>
    <row r="16470" spans="7:14" x14ac:dyDescent="0.3">
      <c r="G16470" s="1"/>
      <c r="N16470" s="1"/>
    </row>
    <row r="16471" spans="7:14" x14ac:dyDescent="0.3">
      <c r="G16471" s="1"/>
      <c r="N16471" s="1"/>
    </row>
    <row r="16472" spans="7:14" x14ac:dyDescent="0.3">
      <c r="G16472" s="1"/>
      <c r="N16472" s="1"/>
    </row>
    <row r="16473" spans="7:14" x14ac:dyDescent="0.3">
      <c r="G16473" s="1"/>
      <c r="N16473" s="1"/>
    </row>
    <row r="16474" spans="7:14" x14ac:dyDescent="0.3">
      <c r="G16474" s="1"/>
      <c r="N16474" s="1"/>
    </row>
    <row r="16475" spans="7:14" x14ac:dyDescent="0.3">
      <c r="G16475" s="1"/>
      <c r="N16475" s="1"/>
    </row>
    <row r="16476" spans="7:14" x14ac:dyDescent="0.3">
      <c r="G16476" s="1"/>
      <c r="N16476" s="1"/>
    </row>
    <row r="16477" spans="7:14" x14ac:dyDescent="0.3">
      <c r="G16477" s="1"/>
      <c r="N16477" s="1"/>
    </row>
    <row r="16478" spans="7:14" x14ac:dyDescent="0.3">
      <c r="G16478" s="1"/>
      <c r="N16478" s="1"/>
    </row>
    <row r="16479" spans="7:14" x14ac:dyDescent="0.3">
      <c r="G16479" s="1"/>
      <c r="N16479" s="1"/>
    </row>
    <row r="16480" spans="7:14" x14ac:dyDescent="0.3">
      <c r="G16480" s="1"/>
      <c r="N16480" s="1"/>
    </row>
    <row r="16481" spans="7:14" x14ac:dyDescent="0.3">
      <c r="G16481" s="1"/>
      <c r="N16481" s="1"/>
    </row>
    <row r="16482" spans="7:14" x14ac:dyDescent="0.3">
      <c r="G16482" s="1"/>
      <c r="N16482" s="1"/>
    </row>
    <row r="16483" spans="7:14" x14ac:dyDescent="0.3">
      <c r="G16483" s="1"/>
      <c r="N16483" s="1"/>
    </row>
    <row r="16484" spans="7:14" x14ac:dyDescent="0.3">
      <c r="G16484" s="1"/>
      <c r="N16484" s="1"/>
    </row>
    <row r="16485" spans="7:14" x14ac:dyDescent="0.3">
      <c r="G16485" s="1"/>
      <c r="N16485" s="1"/>
    </row>
    <row r="16486" spans="7:14" x14ac:dyDescent="0.3">
      <c r="G16486" s="1"/>
      <c r="N16486" s="1"/>
    </row>
    <row r="16487" spans="7:14" x14ac:dyDescent="0.3">
      <c r="G16487" s="1"/>
      <c r="N16487" s="1"/>
    </row>
    <row r="16488" spans="7:14" x14ac:dyDescent="0.3">
      <c r="G16488" s="1"/>
      <c r="N16488" s="1"/>
    </row>
    <row r="16489" spans="7:14" x14ac:dyDescent="0.3">
      <c r="G16489" s="1"/>
      <c r="N16489" s="1"/>
    </row>
    <row r="16490" spans="7:14" x14ac:dyDescent="0.3">
      <c r="G16490" s="1"/>
      <c r="N16490" s="1"/>
    </row>
    <row r="16491" spans="7:14" x14ac:dyDescent="0.3">
      <c r="G16491" s="1"/>
      <c r="N16491" s="1"/>
    </row>
    <row r="16492" spans="7:14" x14ac:dyDescent="0.3">
      <c r="G16492" s="1"/>
      <c r="N16492" s="1"/>
    </row>
    <row r="16493" spans="7:14" x14ac:dyDescent="0.3">
      <c r="G16493" s="1"/>
      <c r="N16493" s="1"/>
    </row>
    <row r="16494" spans="7:14" x14ac:dyDescent="0.3">
      <c r="G16494" s="1"/>
      <c r="N16494" s="1"/>
    </row>
    <row r="16495" spans="7:14" x14ac:dyDescent="0.3">
      <c r="G16495" s="1"/>
      <c r="N16495" s="1"/>
    </row>
    <row r="16496" spans="7:14" x14ac:dyDescent="0.3">
      <c r="G16496" s="1"/>
      <c r="N16496" s="1"/>
    </row>
    <row r="16497" spans="7:14" x14ac:dyDescent="0.3">
      <c r="G16497" s="1"/>
      <c r="N16497" s="1"/>
    </row>
    <row r="16498" spans="7:14" x14ac:dyDescent="0.3">
      <c r="G16498" s="1"/>
      <c r="N16498" s="1"/>
    </row>
    <row r="16499" spans="7:14" x14ac:dyDescent="0.3">
      <c r="G16499" s="1"/>
      <c r="N16499" s="1"/>
    </row>
    <row r="16500" spans="7:14" x14ac:dyDescent="0.3">
      <c r="G16500" s="1"/>
      <c r="N16500" s="1"/>
    </row>
    <row r="16501" spans="7:14" x14ac:dyDescent="0.3">
      <c r="G16501" s="1"/>
      <c r="N16501" s="1"/>
    </row>
    <row r="16502" spans="7:14" x14ac:dyDescent="0.3">
      <c r="G16502" s="1"/>
      <c r="N16502" s="1"/>
    </row>
    <row r="16503" spans="7:14" x14ac:dyDescent="0.3">
      <c r="G16503" s="1"/>
      <c r="N16503" s="1"/>
    </row>
    <row r="16504" spans="7:14" x14ac:dyDescent="0.3">
      <c r="G16504" s="1"/>
      <c r="N16504" s="1"/>
    </row>
    <row r="16505" spans="7:14" x14ac:dyDescent="0.3">
      <c r="G16505" s="1"/>
      <c r="N16505" s="1"/>
    </row>
    <row r="16506" spans="7:14" x14ac:dyDescent="0.3">
      <c r="G16506" s="1"/>
      <c r="N16506" s="1"/>
    </row>
    <row r="16507" spans="7:14" x14ac:dyDescent="0.3">
      <c r="G16507" s="1"/>
      <c r="N16507" s="1"/>
    </row>
    <row r="16508" spans="7:14" x14ac:dyDescent="0.3">
      <c r="G16508" s="1"/>
      <c r="N16508" s="1"/>
    </row>
    <row r="16509" spans="7:14" x14ac:dyDescent="0.3">
      <c r="G16509" s="1"/>
      <c r="N16509" s="1"/>
    </row>
    <row r="16510" spans="7:14" x14ac:dyDescent="0.3">
      <c r="G16510" s="1"/>
      <c r="N16510" s="1"/>
    </row>
    <row r="16511" spans="7:14" x14ac:dyDescent="0.3">
      <c r="G16511" s="1"/>
      <c r="N16511" s="1"/>
    </row>
    <row r="16512" spans="7:14" x14ac:dyDescent="0.3">
      <c r="G16512" s="1"/>
      <c r="N16512" s="1"/>
    </row>
    <row r="16513" spans="7:14" x14ac:dyDescent="0.3">
      <c r="G16513" s="1"/>
      <c r="N16513" s="1"/>
    </row>
    <row r="16514" spans="7:14" x14ac:dyDescent="0.3">
      <c r="G16514" s="1"/>
      <c r="N16514" s="1"/>
    </row>
    <row r="16515" spans="7:14" x14ac:dyDescent="0.3">
      <c r="G16515" s="1"/>
      <c r="N16515" s="1"/>
    </row>
    <row r="16516" spans="7:14" x14ac:dyDescent="0.3">
      <c r="G16516" s="1"/>
      <c r="N16516" s="1"/>
    </row>
    <row r="16517" spans="7:14" x14ac:dyDescent="0.3">
      <c r="G16517" s="1"/>
      <c r="N16517" s="1"/>
    </row>
    <row r="16518" spans="7:14" x14ac:dyDescent="0.3">
      <c r="G16518" s="1"/>
      <c r="N16518" s="1"/>
    </row>
    <row r="16519" spans="7:14" x14ac:dyDescent="0.3">
      <c r="G16519" s="1"/>
      <c r="N16519" s="1"/>
    </row>
    <row r="16520" spans="7:14" x14ac:dyDescent="0.3">
      <c r="G16520" s="1"/>
      <c r="N16520" s="1"/>
    </row>
    <row r="16521" spans="7:14" x14ac:dyDescent="0.3">
      <c r="G16521" s="1"/>
      <c r="N16521" s="1"/>
    </row>
    <row r="16522" spans="7:14" x14ac:dyDescent="0.3">
      <c r="G16522" s="1"/>
      <c r="N16522" s="1"/>
    </row>
    <row r="16523" spans="7:14" x14ac:dyDescent="0.3">
      <c r="G16523" s="1"/>
      <c r="N16523" s="1"/>
    </row>
    <row r="16524" spans="7:14" x14ac:dyDescent="0.3">
      <c r="G16524" s="1"/>
      <c r="N16524" s="1"/>
    </row>
    <row r="16525" spans="7:14" x14ac:dyDescent="0.3">
      <c r="G16525" s="1"/>
      <c r="N16525" s="1"/>
    </row>
    <row r="16526" spans="7:14" x14ac:dyDescent="0.3">
      <c r="G16526" s="1"/>
      <c r="N16526" s="1"/>
    </row>
    <row r="16527" spans="7:14" x14ac:dyDescent="0.3">
      <c r="G16527" s="1"/>
      <c r="N16527" s="1"/>
    </row>
    <row r="16528" spans="7:14" x14ac:dyDescent="0.3">
      <c r="G16528" s="1"/>
      <c r="N16528" s="1"/>
    </row>
    <row r="16529" spans="7:14" x14ac:dyDescent="0.3">
      <c r="G16529" s="1"/>
      <c r="N16529" s="1"/>
    </row>
    <row r="16530" spans="7:14" x14ac:dyDescent="0.3">
      <c r="G16530" s="1"/>
      <c r="N16530" s="1"/>
    </row>
    <row r="16531" spans="7:14" x14ac:dyDescent="0.3">
      <c r="G16531" s="1"/>
      <c r="N16531" s="1"/>
    </row>
    <row r="16532" spans="7:14" x14ac:dyDescent="0.3">
      <c r="G16532" s="1"/>
      <c r="N16532" s="1"/>
    </row>
    <row r="16533" spans="7:14" x14ac:dyDescent="0.3">
      <c r="G16533" s="1"/>
      <c r="N16533" s="1"/>
    </row>
    <row r="16534" spans="7:14" x14ac:dyDescent="0.3">
      <c r="G16534" s="1"/>
      <c r="N16534" s="1"/>
    </row>
    <row r="16535" spans="7:14" x14ac:dyDescent="0.3">
      <c r="G16535" s="1"/>
      <c r="N16535" s="1"/>
    </row>
    <row r="16536" spans="7:14" x14ac:dyDescent="0.3">
      <c r="G16536" s="1"/>
      <c r="N16536" s="1"/>
    </row>
    <row r="16537" spans="7:14" x14ac:dyDescent="0.3">
      <c r="G16537" s="1"/>
      <c r="N16537" s="1"/>
    </row>
    <row r="16538" spans="7:14" x14ac:dyDescent="0.3">
      <c r="G16538" s="1"/>
      <c r="N16538" s="1"/>
    </row>
    <row r="16539" spans="7:14" x14ac:dyDescent="0.3">
      <c r="G16539" s="1"/>
      <c r="N16539" s="1"/>
    </row>
    <row r="16540" spans="7:14" x14ac:dyDescent="0.3">
      <c r="G16540" s="1"/>
      <c r="N16540" s="1"/>
    </row>
    <row r="16541" spans="7:14" x14ac:dyDescent="0.3">
      <c r="G16541" s="1"/>
      <c r="N16541" s="1"/>
    </row>
    <row r="16542" spans="7:14" x14ac:dyDescent="0.3">
      <c r="G16542" s="1"/>
      <c r="N16542" s="1"/>
    </row>
    <row r="16543" spans="7:14" x14ac:dyDescent="0.3">
      <c r="G16543" s="1"/>
      <c r="N16543" s="1"/>
    </row>
    <row r="16544" spans="7:14" x14ac:dyDescent="0.3">
      <c r="G16544" s="1"/>
      <c r="N16544" s="1"/>
    </row>
    <row r="16545" spans="7:14" x14ac:dyDescent="0.3">
      <c r="G16545" s="1"/>
      <c r="N16545" s="1"/>
    </row>
    <row r="16546" spans="7:14" x14ac:dyDescent="0.3">
      <c r="G16546" s="1"/>
      <c r="N16546" s="1"/>
    </row>
    <row r="16547" spans="7:14" x14ac:dyDescent="0.3">
      <c r="G16547" s="1"/>
      <c r="N16547" s="1"/>
    </row>
    <row r="16548" spans="7:14" x14ac:dyDescent="0.3">
      <c r="G16548" s="1"/>
      <c r="N16548" s="1"/>
    </row>
    <row r="16549" spans="7:14" x14ac:dyDescent="0.3">
      <c r="G16549" s="1"/>
      <c r="N16549" s="1"/>
    </row>
    <row r="16550" spans="7:14" x14ac:dyDescent="0.3">
      <c r="G16550" s="1"/>
      <c r="N16550" s="1"/>
    </row>
    <row r="16551" spans="7:14" x14ac:dyDescent="0.3">
      <c r="G16551" s="1"/>
      <c r="N16551" s="1"/>
    </row>
    <row r="16552" spans="7:14" x14ac:dyDescent="0.3">
      <c r="G16552" s="1"/>
      <c r="N16552" s="1"/>
    </row>
    <row r="16553" spans="7:14" x14ac:dyDescent="0.3">
      <c r="G16553" s="1"/>
      <c r="N16553" s="1"/>
    </row>
    <row r="16554" spans="7:14" x14ac:dyDescent="0.3">
      <c r="G16554" s="1"/>
      <c r="N16554" s="1"/>
    </row>
    <row r="16555" spans="7:14" x14ac:dyDescent="0.3">
      <c r="G16555" s="1"/>
      <c r="N16555" s="1"/>
    </row>
    <row r="16556" spans="7:14" x14ac:dyDescent="0.3">
      <c r="G16556" s="1"/>
      <c r="N16556" s="1"/>
    </row>
    <row r="16557" spans="7:14" x14ac:dyDescent="0.3">
      <c r="G16557" s="1"/>
      <c r="N16557" s="1"/>
    </row>
    <row r="16558" spans="7:14" x14ac:dyDescent="0.3">
      <c r="G16558" s="1"/>
      <c r="N16558" s="1"/>
    </row>
    <row r="16559" spans="7:14" x14ac:dyDescent="0.3">
      <c r="G16559" s="1"/>
      <c r="N16559" s="1"/>
    </row>
    <row r="16560" spans="7:14" x14ac:dyDescent="0.3">
      <c r="G16560" s="1"/>
      <c r="N16560" s="1"/>
    </row>
    <row r="16561" spans="7:14" x14ac:dyDescent="0.3">
      <c r="G16561" s="1"/>
      <c r="N16561" s="1"/>
    </row>
    <row r="16562" spans="7:14" x14ac:dyDescent="0.3">
      <c r="G16562" s="1"/>
      <c r="N16562" s="1"/>
    </row>
    <row r="16563" spans="7:14" x14ac:dyDescent="0.3">
      <c r="G16563" s="1"/>
      <c r="N16563" s="1"/>
    </row>
    <row r="16564" spans="7:14" x14ac:dyDescent="0.3">
      <c r="G16564" s="1"/>
      <c r="N16564" s="1"/>
    </row>
    <row r="16565" spans="7:14" x14ac:dyDescent="0.3">
      <c r="G16565" s="1"/>
      <c r="N16565" s="1"/>
    </row>
    <row r="16566" spans="7:14" x14ac:dyDescent="0.3">
      <c r="G16566" s="1"/>
      <c r="N16566" s="1"/>
    </row>
    <row r="16567" spans="7:14" x14ac:dyDescent="0.3">
      <c r="G16567" s="1"/>
      <c r="N16567" s="1"/>
    </row>
    <row r="16568" spans="7:14" x14ac:dyDescent="0.3">
      <c r="G16568" s="1"/>
      <c r="N16568" s="1"/>
    </row>
    <row r="16569" spans="7:14" x14ac:dyDescent="0.3">
      <c r="G16569" s="1"/>
      <c r="N16569" s="1"/>
    </row>
    <row r="16570" spans="7:14" x14ac:dyDescent="0.3">
      <c r="G16570" s="1"/>
      <c r="N16570" s="1"/>
    </row>
    <row r="16571" spans="7:14" x14ac:dyDescent="0.3">
      <c r="G16571" s="1"/>
      <c r="N16571" s="1"/>
    </row>
    <row r="16572" spans="7:14" x14ac:dyDescent="0.3">
      <c r="G16572" s="1"/>
      <c r="N16572" s="1"/>
    </row>
    <row r="16573" spans="7:14" x14ac:dyDescent="0.3">
      <c r="G16573" s="1"/>
      <c r="N16573" s="1"/>
    </row>
    <row r="16574" spans="7:14" x14ac:dyDescent="0.3">
      <c r="G16574" s="1"/>
      <c r="N16574" s="1"/>
    </row>
    <row r="16575" spans="7:14" x14ac:dyDescent="0.3">
      <c r="G16575" s="1"/>
      <c r="N16575" s="1"/>
    </row>
    <row r="16576" spans="7:14" x14ac:dyDescent="0.3">
      <c r="G16576" s="1"/>
      <c r="N16576" s="1"/>
    </row>
    <row r="16577" spans="7:14" x14ac:dyDescent="0.3">
      <c r="G16577" s="1"/>
      <c r="N16577" s="1"/>
    </row>
    <row r="16578" spans="7:14" x14ac:dyDescent="0.3">
      <c r="G16578" s="1"/>
      <c r="N16578" s="1"/>
    </row>
    <row r="16579" spans="7:14" x14ac:dyDescent="0.3">
      <c r="G16579" s="1"/>
      <c r="N16579" s="1"/>
    </row>
    <row r="16580" spans="7:14" x14ac:dyDescent="0.3">
      <c r="G16580" s="1"/>
      <c r="N16580" s="1"/>
    </row>
    <row r="16581" spans="7:14" x14ac:dyDescent="0.3">
      <c r="G16581" s="1"/>
      <c r="N16581" s="1"/>
    </row>
    <row r="16582" spans="7:14" x14ac:dyDescent="0.3">
      <c r="G16582" s="1"/>
      <c r="N16582" s="1"/>
    </row>
    <row r="16583" spans="7:14" x14ac:dyDescent="0.3">
      <c r="G16583" s="1"/>
      <c r="N16583" s="1"/>
    </row>
    <row r="16584" spans="7:14" x14ac:dyDescent="0.3">
      <c r="G16584" s="1"/>
      <c r="N16584" s="1"/>
    </row>
    <row r="16585" spans="7:14" x14ac:dyDescent="0.3">
      <c r="G16585" s="1"/>
      <c r="N16585" s="1"/>
    </row>
    <row r="16586" spans="7:14" x14ac:dyDescent="0.3">
      <c r="G16586" s="1"/>
      <c r="N16586" s="1"/>
    </row>
    <row r="16587" spans="7:14" x14ac:dyDescent="0.3">
      <c r="G16587" s="1"/>
      <c r="N16587" s="1"/>
    </row>
    <row r="16588" spans="7:14" x14ac:dyDescent="0.3">
      <c r="G16588" s="1"/>
      <c r="N16588" s="1"/>
    </row>
    <row r="16589" spans="7:14" x14ac:dyDescent="0.3">
      <c r="G16589" s="1"/>
      <c r="N16589" s="1"/>
    </row>
    <row r="16590" spans="7:14" x14ac:dyDescent="0.3">
      <c r="G16590" s="1"/>
      <c r="N16590" s="1"/>
    </row>
    <row r="16591" spans="7:14" x14ac:dyDescent="0.3">
      <c r="G16591" s="1"/>
      <c r="N16591" s="1"/>
    </row>
    <row r="16592" spans="7:14" x14ac:dyDescent="0.3">
      <c r="G16592" s="1"/>
      <c r="N16592" s="1"/>
    </row>
    <row r="16593" spans="7:14" x14ac:dyDescent="0.3">
      <c r="G16593" s="1"/>
      <c r="N16593" s="1"/>
    </row>
    <row r="16594" spans="7:14" x14ac:dyDescent="0.3">
      <c r="G16594" s="1"/>
      <c r="N16594" s="1"/>
    </row>
    <row r="16595" spans="7:14" x14ac:dyDescent="0.3">
      <c r="G16595" s="1"/>
      <c r="N16595" s="1"/>
    </row>
    <row r="16596" spans="7:14" x14ac:dyDescent="0.3">
      <c r="G16596" s="1"/>
      <c r="N16596" s="1"/>
    </row>
    <row r="16597" spans="7:14" x14ac:dyDescent="0.3">
      <c r="G16597" s="1"/>
      <c r="N16597" s="1"/>
    </row>
    <row r="16598" spans="7:14" x14ac:dyDescent="0.3">
      <c r="G16598" s="1"/>
      <c r="N16598" s="1"/>
    </row>
    <row r="16599" spans="7:14" x14ac:dyDescent="0.3">
      <c r="G16599" s="1"/>
      <c r="N16599" s="1"/>
    </row>
    <row r="16600" spans="7:14" x14ac:dyDescent="0.3">
      <c r="G16600" s="1"/>
      <c r="N16600" s="1"/>
    </row>
    <row r="16601" spans="7:14" x14ac:dyDescent="0.3">
      <c r="G16601" s="1"/>
      <c r="N16601" s="1"/>
    </row>
    <row r="16602" spans="7:14" x14ac:dyDescent="0.3">
      <c r="G16602" s="1"/>
      <c r="N16602" s="1"/>
    </row>
    <row r="16603" spans="7:14" x14ac:dyDescent="0.3">
      <c r="G16603" s="1"/>
      <c r="N16603" s="1"/>
    </row>
    <row r="16604" spans="7:14" x14ac:dyDescent="0.3">
      <c r="G16604" s="1"/>
      <c r="N16604" s="1"/>
    </row>
    <row r="16605" spans="7:14" x14ac:dyDescent="0.3">
      <c r="G16605" s="1"/>
      <c r="N16605" s="1"/>
    </row>
    <row r="16606" spans="7:14" x14ac:dyDescent="0.3">
      <c r="G16606" s="1"/>
      <c r="N16606" s="1"/>
    </row>
    <row r="16607" spans="7:14" x14ac:dyDescent="0.3">
      <c r="G16607" s="1"/>
      <c r="N16607" s="1"/>
    </row>
    <row r="16608" spans="7:14" x14ac:dyDescent="0.3">
      <c r="G16608" s="1"/>
      <c r="N16608" s="1"/>
    </row>
    <row r="16609" spans="7:14" x14ac:dyDescent="0.3">
      <c r="G16609" s="1"/>
      <c r="N16609" s="1"/>
    </row>
    <row r="16610" spans="7:14" x14ac:dyDescent="0.3">
      <c r="G16610" s="1"/>
      <c r="N16610" s="1"/>
    </row>
    <row r="16611" spans="7:14" x14ac:dyDescent="0.3">
      <c r="G16611" s="1"/>
      <c r="N16611" s="1"/>
    </row>
    <row r="16612" spans="7:14" x14ac:dyDescent="0.3">
      <c r="G16612" s="1"/>
      <c r="N16612" s="1"/>
    </row>
    <row r="16613" spans="7:14" x14ac:dyDescent="0.3">
      <c r="G16613" s="1"/>
      <c r="N16613" s="1"/>
    </row>
    <row r="16614" spans="7:14" x14ac:dyDescent="0.3">
      <c r="G16614" s="1"/>
      <c r="N16614" s="1"/>
    </row>
    <row r="16615" spans="7:14" x14ac:dyDescent="0.3">
      <c r="G16615" s="1"/>
      <c r="N16615" s="1"/>
    </row>
    <row r="16616" spans="7:14" x14ac:dyDescent="0.3">
      <c r="G16616" s="1"/>
      <c r="N16616" s="1"/>
    </row>
    <row r="16617" spans="7:14" x14ac:dyDescent="0.3">
      <c r="G16617" s="1"/>
      <c r="N16617" s="1"/>
    </row>
    <row r="16618" spans="7:14" x14ac:dyDescent="0.3">
      <c r="G16618" s="1"/>
      <c r="N16618" s="1"/>
    </row>
    <row r="16619" spans="7:14" x14ac:dyDescent="0.3">
      <c r="G16619" s="1"/>
      <c r="N16619" s="1"/>
    </row>
    <row r="16620" spans="7:14" x14ac:dyDescent="0.3">
      <c r="G16620" s="1"/>
      <c r="N16620" s="1"/>
    </row>
    <row r="16621" spans="7:14" x14ac:dyDescent="0.3">
      <c r="G16621" s="1"/>
      <c r="N16621" s="1"/>
    </row>
    <row r="16622" spans="7:14" x14ac:dyDescent="0.3">
      <c r="G16622" s="1"/>
      <c r="N16622" s="1"/>
    </row>
    <row r="16623" spans="7:14" x14ac:dyDescent="0.3">
      <c r="G16623" s="1"/>
      <c r="N16623" s="1"/>
    </row>
    <row r="16624" spans="7:14" x14ac:dyDescent="0.3">
      <c r="G16624" s="1"/>
      <c r="N16624" s="1"/>
    </row>
    <row r="16625" spans="7:14" x14ac:dyDescent="0.3">
      <c r="G16625" s="1"/>
      <c r="N16625" s="1"/>
    </row>
    <row r="16626" spans="7:14" x14ac:dyDescent="0.3">
      <c r="G16626" s="1"/>
      <c r="N16626" s="1"/>
    </row>
    <row r="16627" spans="7:14" x14ac:dyDescent="0.3">
      <c r="G16627" s="1"/>
      <c r="N16627" s="1"/>
    </row>
    <row r="16628" spans="7:14" x14ac:dyDescent="0.3">
      <c r="G16628" s="1"/>
      <c r="N16628" s="1"/>
    </row>
    <row r="16629" spans="7:14" x14ac:dyDescent="0.3">
      <c r="G16629" s="1"/>
      <c r="N16629" s="1"/>
    </row>
    <row r="16630" spans="7:14" x14ac:dyDescent="0.3">
      <c r="G16630" s="1"/>
      <c r="N16630" s="1"/>
    </row>
    <row r="16631" spans="7:14" x14ac:dyDescent="0.3">
      <c r="G16631" s="1"/>
      <c r="N16631" s="1"/>
    </row>
    <row r="16632" spans="7:14" x14ac:dyDescent="0.3">
      <c r="G16632" s="1"/>
      <c r="N16632" s="1"/>
    </row>
    <row r="16633" spans="7:14" x14ac:dyDescent="0.3">
      <c r="G16633" s="1"/>
      <c r="N16633" s="1"/>
    </row>
    <row r="16634" spans="7:14" x14ac:dyDescent="0.3">
      <c r="G16634" s="1"/>
      <c r="N16634" s="1"/>
    </row>
    <row r="16635" spans="7:14" x14ac:dyDescent="0.3">
      <c r="G16635" s="1"/>
      <c r="N16635" s="1"/>
    </row>
    <row r="16636" spans="7:14" x14ac:dyDescent="0.3">
      <c r="G16636" s="1"/>
      <c r="N16636" s="1"/>
    </row>
    <row r="16637" spans="7:14" x14ac:dyDescent="0.3">
      <c r="G16637" s="1"/>
      <c r="N16637" s="1"/>
    </row>
    <row r="16638" spans="7:14" x14ac:dyDescent="0.3">
      <c r="G16638" s="1"/>
      <c r="N16638" s="1"/>
    </row>
    <row r="16639" spans="7:14" x14ac:dyDescent="0.3">
      <c r="G16639" s="1"/>
      <c r="N16639" s="1"/>
    </row>
    <row r="16640" spans="7:14" x14ac:dyDescent="0.3">
      <c r="G16640" s="1"/>
      <c r="N16640" s="1"/>
    </row>
    <row r="16641" spans="7:14" x14ac:dyDescent="0.3">
      <c r="G16641" s="1"/>
      <c r="N16641" s="1"/>
    </row>
    <row r="16642" spans="7:14" x14ac:dyDescent="0.3">
      <c r="G16642" s="1"/>
      <c r="N16642" s="1"/>
    </row>
    <row r="16643" spans="7:14" x14ac:dyDescent="0.3">
      <c r="G16643" s="1"/>
      <c r="N16643" s="1"/>
    </row>
    <row r="16644" spans="7:14" x14ac:dyDescent="0.3">
      <c r="G16644" s="1"/>
      <c r="N16644" s="1"/>
    </row>
    <row r="16645" spans="7:14" x14ac:dyDescent="0.3">
      <c r="G16645" s="1"/>
      <c r="N16645" s="1"/>
    </row>
    <row r="16646" spans="7:14" x14ac:dyDescent="0.3">
      <c r="G16646" s="1"/>
      <c r="N16646" s="1"/>
    </row>
    <row r="16647" spans="7:14" x14ac:dyDescent="0.3">
      <c r="G16647" s="1"/>
      <c r="N16647" s="1"/>
    </row>
    <row r="16648" spans="7:14" x14ac:dyDescent="0.3">
      <c r="G16648" s="1"/>
      <c r="N16648" s="1"/>
    </row>
    <row r="16649" spans="7:14" x14ac:dyDescent="0.3">
      <c r="G16649" s="1"/>
      <c r="N16649" s="1"/>
    </row>
    <row r="16650" spans="7:14" x14ac:dyDescent="0.3">
      <c r="G16650" s="1"/>
      <c r="N16650" s="1"/>
    </row>
    <row r="16651" spans="7:14" x14ac:dyDescent="0.3">
      <c r="G16651" s="1"/>
      <c r="N16651" s="1"/>
    </row>
    <row r="16652" spans="7:14" x14ac:dyDescent="0.3">
      <c r="G16652" s="1"/>
      <c r="N16652" s="1"/>
    </row>
    <row r="16653" spans="7:14" x14ac:dyDescent="0.3">
      <c r="G16653" s="1"/>
      <c r="N16653" s="1"/>
    </row>
    <row r="16654" spans="7:14" x14ac:dyDescent="0.3">
      <c r="G16654" s="1"/>
      <c r="N16654" s="1"/>
    </row>
    <row r="16655" spans="7:14" x14ac:dyDescent="0.3">
      <c r="G16655" s="1"/>
      <c r="N16655" s="1"/>
    </row>
    <row r="16656" spans="7:14" x14ac:dyDescent="0.3">
      <c r="G16656" s="1"/>
      <c r="N16656" s="1"/>
    </row>
    <row r="16657" spans="7:14" x14ac:dyDescent="0.3">
      <c r="G16657" s="1"/>
      <c r="N16657" s="1"/>
    </row>
    <row r="16658" spans="7:14" x14ac:dyDescent="0.3">
      <c r="G16658" s="1"/>
      <c r="N16658" s="1"/>
    </row>
    <row r="16659" spans="7:14" x14ac:dyDescent="0.3">
      <c r="G16659" s="1"/>
      <c r="N16659" s="1"/>
    </row>
    <row r="16660" spans="7:14" x14ac:dyDescent="0.3">
      <c r="G16660" s="1"/>
      <c r="N16660" s="1"/>
    </row>
    <row r="16661" spans="7:14" x14ac:dyDescent="0.3">
      <c r="G16661" s="1"/>
      <c r="N16661" s="1"/>
    </row>
    <row r="16662" spans="7:14" x14ac:dyDescent="0.3">
      <c r="G16662" s="1"/>
      <c r="N16662" s="1"/>
    </row>
    <row r="16663" spans="7:14" x14ac:dyDescent="0.3">
      <c r="G16663" s="1"/>
      <c r="N16663" s="1"/>
    </row>
    <row r="16664" spans="7:14" x14ac:dyDescent="0.3">
      <c r="G16664" s="1"/>
      <c r="N16664" s="1"/>
    </row>
    <row r="16665" spans="7:14" x14ac:dyDescent="0.3">
      <c r="G16665" s="1"/>
      <c r="N16665" s="1"/>
    </row>
    <row r="16666" spans="7:14" x14ac:dyDescent="0.3">
      <c r="G16666" s="1"/>
      <c r="N16666" s="1"/>
    </row>
    <row r="16667" spans="7:14" x14ac:dyDescent="0.3">
      <c r="G16667" s="1"/>
      <c r="N16667" s="1"/>
    </row>
    <row r="16668" spans="7:14" x14ac:dyDescent="0.3">
      <c r="G16668" s="1"/>
      <c r="N16668" s="1"/>
    </row>
    <row r="16669" spans="7:14" x14ac:dyDescent="0.3">
      <c r="G16669" s="1"/>
      <c r="N16669" s="1"/>
    </row>
    <row r="16670" spans="7:14" x14ac:dyDescent="0.3">
      <c r="G16670" s="1"/>
      <c r="N16670" s="1"/>
    </row>
    <row r="16671" spans="7:14" x14ac:dyDescent="0.3">
      <c r="G16671" s="1"/>
      <c r="N16671" s="1"/>
    </row>
    <row r="16672" spans="7:14" x14ac:dyDescent="0.3">
      <c r="G16672" s="1"/>
      <c r="N16672" s="1"/>
    </row>
    <row r="16673" spans="7:14" x14ac:dyDescent="0.3">
      <c r="G16673" s="1"/>
      <c r="N16673" s="1"/>
    </row>
    <row r="16674" spans="7:14" x14ac:dyDescent="0.3">
      <c r="G16674" s="1"/>
      <c r="N16674" s="1"/>
    </row>
    <row r="16675" spans="7:14" x14ac:dyDescent="0.3">
      <c r="G16675" s="1"/>
      <c r="N16675" s="1"/>
    </row>
    <row r="16676" spans="7:14" x14ac:dyDescent="0.3">
      <c r="G16676" s="1"/>
      <c r="N16676" s="1"/>
    </row>
    <row r="16677" spans="7:14" x14ac:dyDescent="0.3">
      <c r="G16677" s="1"/>
      <c r="N16677" s="1"/>
    </row>
    <row r="16678" spans="7:14" x14ac:dyDescent="0.3">
      <c r="G16678" s="1"/>
      <c r="N16678" s="1"/>
    </row>
    <row r="16679" spans="7:14" x14ac:dyDescent="0.3">
      <c r="G16679" s="1"/>
      <c r="N16679" s="1"/>
    </row>
    <row r="16680" spans="7:14" x14ac:dyDescent="0.3">
      <c r="G16680" s="1"/>
      <c r="N16680" s="1"/>
    </row>
    <row r="16681" spans="7:14" x14ac:dyDescent="0.3">
      <c r="G16681" s="1"/>
      <c r="N16681" s="1"/>
    </row>
    <row r="16682" spans="7:14" x14ac:dyDescent="0.3">
      <c r="G16682" s="1"/>
      <c r="N16682" s="1"/>
    </row>
    <row r="16683" spans="7:14" x14ac:dyDescent="0.3">
      <c r="G16683" s="1"/>
      <c r="N16683" s="1"/>
    </row>
    <row r="16684" spans="7:14" x14ac:dyDescent="0.3">
      <c r="G16684" s="1"/>
      <c r="N16684" s="1"/>
    </row>
    <row r="16685" spans="7:14" x14ac:dyDescent="0.3">
      <c r="G16685" s="1"/>
      <c r="N16685" s="1"/>
    </row>
    <row r="16686" spans="7:14" x14ac:dyDescent="0.3">
      <c r="G16686" s="1"/>
      <c r="N16686" s="1"/>
    </row>
    <row r="16687" spans="7:14" x14ac:dyDescent="0.3">
      <c r="G16687" s="1"/>
      <c r="N16687" s="1"/>
    </row>
    <row r="16688" spans="7:14" x14ac:dyDescent="0.3">
      <c r="G16688" s="1"/>
      <c r="N16688" s="1"/>
    </row>
    <row r="16689" spans="7:14" x14ac:dyDescent="0.3">
      <c r="G16689" s="1"/>
      <c r="N16689" s="1"/>
    </row>
    <row r="16690" spans="7:14" x14ac:dyDescent="0.3">
      <c r="G16690" s="1"/>
      <c r="N16690" s="1"/>
    </row>
    <row r="16691" spans="7:14" x14ac:dyDescent="0.3">
      <c r="G16691" s="1"/>
      <c r="N16691" s="1"/>
    </row>
    <row r="16692" spans="7:14" x14ac:dyDescent="0.3">
      <c r="G16692" s="1"/>
      <c r="N16692" s="1"/>
    </row>
    <row r="16693" spans="7:14" x14ac:dyDescent="0.3">
      <c r="G16693" s="1"/>
      <c r="N16693" s="1"/>
    </row>
    <row r="16694" spans="7:14" x14ac:dyDescent="0.3">
      <c r="G16694" s="1"/>
      <c r="N16694" s="1"/>
    </row>
    <row r="16695" spans="7:14" x14ac:dyDescent="0.3">
      <c r="G16695" s="1"/>
      <c r="N16695" s="1"/>
    </row>
    <row r="16696" spans="7:14" x14ac:dyDescent="0.3">
      <c r="G16696" s="1"/>
      <c r="N16696" s="1"/>
    </row>
    <row r="16697" spans="7:14" x14ac:dyDescent="0.3">
      <c r="G16697" s="1"/>
      <c r="N16697" s="1"/>
    </row>
    <row r="16698" spans="7:14" x14ac:dyDescent="0.3">
      <c r="G16698" s="1"/>
      <c r="N16698" s="1"/>
    </row>
    <row r="16699" spans="7:14" x14ac:dyDescent="0.3">
      <c r="G16699" s="1"/>
      <c r="N16699" s="1"/>
    </row>
    <row r="16700" spans="7:14" x14ac:dyDescent="0.3">
      <c r="G16700" s="1"/>
      <c r="N16700" s="1"/>
    </row>
    <row r="16701" spans="7:14" x14ac:dyDescent="0.3">
      <c r="G16701" s="1"/>
      <c r="N16701" s="1"/>
    </row>
    <row r="16702" spans="7:14" x14ac:dyDescent="0.3">
      <c r="G16702" s="1"/>
      <c r="N16702" s="1"/>
    </row>
    <row r="16703" spans="7:14" x14ac:dyDescent="0.3">
      <c r="G16703" s="1"/>
      <c r="N16703" s="1"/>
    </row>
    <row r="16704" spans="7:14" x14ac:dyDescent="0.3">
      <c r="G16704" s="1"/>
      <c r="N16704" s="1"/>
    </row>
    <row r="16705" spans="7:14" x14ac:dyDescent="0.3">
      <c r="G16705" s="1"/>
      <c r="N16705" s="1"/>
    </row>
    <row r="16706" spans="7:14" x14ac:dyDescent="0.3">
      <c r="G16706" s="1"/>
      <c r="N16706" s="1"/>
    </row>
    <row r="16707" spans="7:14" x14ac:dyDescent="0.3">
      <c r="G16707" s="1"/>
      <c r="N16707" s="1"/>
    </row>
    <row r="16708" spans="7:14" x14ac:dyDescent="0.3">
      <c r="G16708" s="1"/>
      <c r="N16708" s="1"/>
    </row>
    <row r="16709" spans="7:14" x14ac:dyDescent="0.3">
      <c r="G16709" s="1"/>
      <c r="N16709" s="1"/>
    </row>
    <row r="16710" spans="7:14" x14ac:dyDescent="0.3">
      <c r="G16710" s="1"/>
      <c r="N16710" s="1"/>
    </row>
    <row r="16711" spans="7:14" x14ac:dyDescent="0.3">
      <c r="G16711" s="1"/>
      <c r="N16711" s="1"/>
    </row>
    <row r="16712" spans="7:14" x14ac:dyDescent="0.3">
      <c r="G16712" s="1"/>
      <c r="N16712" s="1"/>
    </row>
    <row r="16713" spans="7:14" x14ac:dyDescent="0.3">
      <c r="G16713" s="1"/>
      <c r="N16713" s="1"/>
    </row>
    <row r="16714" spans="7:14" x14ac:dyDescent="0.3">
      <c r="G16714" s="1"/>
      <c r="N16714" s="1"/>
    </row>
    <row r="16715" spans="7:14" x14ac:dyDescent="0.3">
      <c r="G16715" s="1"/>
      <c r="N16715" s="1"/>
    </row>
    <row r="16716" spans="7:14" x14ac:dyDescent="0.3">
      <c r="G16716" s="1"/>
      <c r="N16716" s="1"/>
    </row>
    <row r="16717" spans="7:14" x14ac:dyDescent="0.3">
      <c r="G16717" s="1"/>
      <c r="N16717" s="1"/>
    </row>
    <row r="16718" spans="7:14" x14ac:dyDescent="0.3">
      <c r="G16718" s="1"/>
      <c r="N16718" s="1"/>
    </row>
    <row r="16719" spans="7:14" x14ac:dyDescent="0.3">
      <c r="G16719" s="1"/>
      <c r="N16719" s="1"/>
    </row>
    <row r="16720" spans="7:14" x14ac:dyDescent="0.3">
      <c r="G16720" s="1"/>
      <c r="N16720" s="1"/>
    </row>
    <row r="16721" spans="7:14" x14ac:dyDescent="0.3">
      <c r="G16721" s="1"/>
      <c r="N16721" s="1"/>
    </row>
    <row r="16722" spans="7:14" x14ac:dyDescent="0.3">
      <c r="G16722" s="1"/>
      <c r="N16722" s="1"/>
    </row>
    <row r="16723" spans="7:14" x14ac:dyDescent="0.3">
      <c r="G16723" s="1"/>
      <c r="N16723" s="1"/>
    </row>
    <row r="16724" spans="7:14" x14ac:dyDescent="0.3">
      <c r="G16724" s="1"/>
      <c r="N16724" s="1"/>
    </row>
    <row r="16725" spans="7:14" x14ac:dyDescent="0.3">
      <c r="G16725" s="1"/>
      <c r="N16725" s="1"/>
    </row>
    <row r="16726" spans="7:14" x14ac:dyDescent="0.3">
      <c r="G16726" s="1"/>
      <c r="N16726" s="1"/>
    </row>
    <row r="16727" spans="7:14" x14ac:dyDescent="0.3">
      <c r="G16727" s="1"/>
      <c r="N16727" s="1"/>
    </row>
    <row r="16728" spans="7:14" x14ac:dyDescent="0.3">
      <c r="G16728" s="1"/>
      <c r="N16728" s="1"/>
    </row>
    <row r="16729" spans="7:14" x14ac:dyDescent="0.3">
      <c r="G16729" s="1"/>
      <c r="N16729" s="1"/>
    </row>
    <row r="16730" spans="7:14" x14ac:dyDescent="0.3">
      <c r="G16730" s="1"/>
      <c r="N16730" s="1"/>
    </row>
    <row r="16731" spans="7:14" x14ac:dyDescent="0.3">
      <c r="G16731" s="1"/>
      <c r="N16731" s="1"/>
    </row>
    <row r="16732" spans="7:14" x14ac:dyDescent="0.3">
      <c r="G16732" s="1"/>
      <c r="N16732" s="1"/>
    </row>
    <row r="16733" spans="7:14" x14ac:dyDescent="0.3">
      <c r="G16733" s="1"/>
      <c r="N16733" s="1"/>
    </row>
    <row r="16734" spans="7:14" x14ac:dyDescent="0.3">
      <c r="G16734" s="1"/>
      <c r="N16734" s="1"/>
    </row>
    <row r="16735" spans="7:14" x14ac:dyDescent="0.3">
      <c r="G16735" s="1"/>
      <c r="N16735" s="1"/>
    </row>
    <row r="16736" spans="7:14" x14ac:dyDescent="0.3">
      <c r="G16736" s="1"/>
      <c r="N16736" s="1"/>
    </row>
    <row r="16737" spans="7:14" x14ac:dyDescent="0.3">
      <c r="G16737" s="1"/>
      <c r="N16737" s="1"/>
    </row>
    <row r="16738" spans="7:14" x14ac:dyDescent="0.3">
      <c r="G16738" s="1"/>
      <c r="N16738" s="1"/>
    </row>
    <row r="16739" spans="7:14" x14ac:dyDescent="0.3">
      <c r="G16739" s="1"/>
      <c r="N16739" s="1"/>
    </row>
    <row r="16740" spans="7:14" x14ac:dyDescent="0.3">
      <c r="G16740" s="1"/>
      <c r="N16740" s="1"/>
    </row>
    <row r="16741" spans="7:14" x14ac:dyDescent="0.3">
      <c r="G16741" s="1"/>
      <c r="N16741" s="1"/>
    </row>
    <row r="16742" spans="7:14" x14ac:dyDescent="0.3">
      <c r="G16742" s="1"/>
      <c r="N16742" s="1"/>
    </row>
    <row r="16743" spans="7:14" x14ac:dyDescent="0.3">
      <c r="G16743" s="1"/>
      <c r="N16743" s="1"/>
    </row>
    <row r="16744" spans="7:14" x14ac:dyDescent="0.3">
      <c r="G16744" s="1"/>
      <c r="N16744" s="1"/>
    </row>
    <row r="16745" spans="7:14" x14ac:dyDescent="0.3">
      <c r="G16745" s="1"/>
      <c r="N16745" s="1"/>
    </row>
    <row r="16746" spans="7:14" x14ac:dyDescent="0.3">
      <c r="G16746" s="1"/>
      <c r="N16746" s="1"/>
    </row>
    <row r="16747" spans="7:14" x14ac:dyDescent="0.3">
      <c r="G16747" s="1"/>
      <c r="N16747" s="1"/>
    </row>
    <row r="16748" spans="7:14" x14ac:dyDescent="0.3">
      <c r="G16748" s="1"/>
      <c r="N16748" s="1"/>
    </row>
    <row r="16749" spans="7:14" x14ac:dyDescent="0.3">
      <c r="G16749" s="1"/>
      <c r="N16749" s="1"/>
    </row>
    <row r="16750" spans="7:14" x14ac:dyDescent="0.3">
      <c r="G16750" s="1"/>
      <c r="N16750" s="1"/>
    </row>
    <row r="16751" spans="7:14" x14ac:dyDescent="0.3">
      <c r="G16751" s="1"/>
      <c r="N16751" s="1"/>
    </row>
    <row r="16752" spans="7:14" x14ac:dyDescent="0.3">
      <c r="G16752" s="1"/>
      <c r="N16752" s="1"/>
    </row>
    <row r="16753" spans="7:14" x14ac:dyDescent="0.3">
      <c r="G16753" s="1"/>
      <c r="N16753" s="1"/>
    </row>
    <row r="16754" spans="7:14" x14ac:dyDescent="0.3">
      <c r="G16754" s="1"/>
      <c r="N16754" s="1"/>
    </row>
    <row r="16755" spans="7:14" x14ac:dyDescent="0.3">
      <c r="G16755" s="1"/>
      <c r="N16755" s="1"/>
    </row>
    <row r="16756" spans="7:14" x14ac:dyDescent="0.3">
      <c r="G16756" s="1"/>
      <c r="N16756" s="1"/>
    </row>
    <row r="16757" spans="7:14" x14ac:dyDescent="0.3">
      <c r="G16757" s="1"/>
      <c r="N16757" s="1"/>
    </row>
    <row r="16758" spans="7:14" x14ac:dyDescent="0.3">
      <c r="G16758" s="1"/>
      <c r="N16758" s="1"/>
    </row>
    <row r="16759" spans="7:14" x14ac:dyDescent="0.3">
      <c r="G16759" s="1"/>
      <c r="N16759" s="1"/>
    </row>
    <row r="16760" spans="7:14" x14ac:dyDescent="0.3">
      <c r="G16760" s="1"/>
      <c r="N16760" s="1"/>
    </row>
    <row r="16761" spans="7:14" x14ac:dyDescent="0.3">
      <c r="G16761" s="1"/>
      <c r="N16761" s="1"/>
    </row>
    <row r="16762" spans="7:14" x14ac:dyDescent="0.3">
      <c r="G16762" s="1"/>
      <c r="N16762" s="1"/>
    </row>
    <row r="16763" spans="7:14" x14ac:dyDescent="0.3">
      <c r="G16763" s="1"/>
      <c r="N16763" s="1"/>
    </row>
    <row r="16764" spans="7:14" x14ac:dyDescent="0.3">
      <c r="G16764" s="1"/>
      <c r="N16764" s="1"/>
    </row>
    <row r="16765" spans="7:14" x14ac:dyDescent="0.3">
      <c r="G16765" s="1"/>
      <c r="N16765" s="1"/>
    </row>
    <row r="16766" spans="7:14" x14ac:dyDescent="0.3">
      <c r="G16766" s="1"/>
      <c r="N16766" s="1"/>
    </row>
    <row r="16767" spans="7:14" x14ac:dyDescent="0.3">
      <c r="G16767" s="1"/>
      <c r="N16767" s="1"/>
    </row>
    <row r="16768" spans="7:14" x14ac:dyDescent="0.3">
      <c r="G16768" s="1"/>
      <c r="N16768" s="1"/>
    </row>
    <row r="16769" spans="7:14" x14ac:dyDescent="0.3">
      <c r="G16769" s="1"/>
      <c r="N16769" s="1"/>
    </row>
    <row r="16770" spans="7:14" x14ac:dyDescent="0.3">
      <c r="G16770" s="1"/>
      <c r="N16770" s="1"/>
    </row>
    <row r="16771" spans="7:14" x14ac:dyDescent="0.3">
      <c r="G16771" s="1"/>
      <c r="N16771" s="1"/>
    </row>
    <row r="16772" spans="7:14" x14ac:dyDescent="0.3">
      <c r="G16772" s="1"/>
      <c r="N16772" s="1"/>
    </row>
    <row r="16773" spans="7:14" x14ac:dyDescent="0.3">
      <c r="G16773" s="1"/>
      <c r="N16773" s="1"/>
    </row>
    <row r="16774" spans="7:14" x14ac:dyDescent="0.3">
      <c r="G16774" s="1"/>
      <c r="N16774" s="1"/>
    </row>
    <row r="16775" spans="7:14" x14ac:dyDescent="0.3">
      <c r="G16775" s="1"/>
      <c r="N16775" s="1"/>
    </row>
    <row r="16776" spans="7:14" x14ac:dyDescent="0.3">
      <c r="G16776" s="1"/>
      <c r="N16776" s="1"/>
    </row>
    <row r="16777" spans="7:14" x14ac:dyDescent="0.3">
      <c r="G16777" s="1"/>
      <c r="N16777" s="1"/>
    </row>
    <row r="16778" spans="7:14" x14ac:dyDescent="0.3">
      <c r="G16778" s="1"/>
      <c r="N16778" s="1"/>
    </row>
    <row r="16779" spans="7:14" x14ac:dyDescent="0.3">
      <c r="G16779" s="1"/>
      <c r="N16779" s="1"/>
    </row>
    <row r="16780" spans="7:14" x14ac:dyDescent="0.3">
      <c r="G16780" s="1"/>
      <c r="N16780" s="1"/>
    </row>
    <row r="16781" spans="7:14" x14ac:dyDescent="0.3">
      <c r="G16781" s="1"/>
      <c r="N16781" s="1"/>
    </row>
    <row r="16782" spans="7:14" x14ac:dyDescent="0.3">
      <c r="G16782" s="1"/>
      <c r="N16782" s="1"/>
    </row>
    <row r="16783" spans="7:14" x14ac:dyDescent="0.3">
      <c r="G16783" s="1"/>
      <c r="N16783" s="1"/>
    </row>
    <row r="16784" spans="7:14" x14ac:dyDescent="0.3">
      <c r="G16784" s="1"/>
      <c r="N16784" s="1"/>
    </row>
    <row r="16785" spans="7:14" x14ac:dyDescent="0.3">
      <c r="G16785" s="1"/>
      <c r="N16785" s="1"/>
    </row>
    <row r="16786" spans="7:14" x14ac:dyDescent="0.3">
      <c r="G16786" s="1"/>
      <c r="N16786" s="1"/>
    </row>
    <row r="16787" spans="7:14" x14ac:dyDescent="0.3">
      <c r="G16787" s="1"/>
      <c r="N16787" s="1"/>
    </row>
    <row r="16788" spans="7:14" x14ac:dyDescent="0.3">
      <c r="G16788" s="1"/>
      <c r="N16788" s="1"/>
    </row>
    <row r="16789" spans="7:14" x14ac:dyDescent="0.3">
      <c r="G16789" s="1"/>
      <c r="N16789" s="1"/>
    </row>
    <row r="16790" spans="7:14" x14ac:dyDescent="0.3">
      <c r="G16790" s="1"/>
      <c r="N16790" s="1"/>
    </row>
    <row r="16791" spans="7:14" x14ac:dyDescent="0.3">
      <c r="G16791" s="1"/>
      <c r="N16791" s="1"/>
    </row>
    <row r="16792" spans="7:14" x14ac:dyDescent="0.3">
      <c r="G16792" s="1"/>
      <c r="N16792" s="1"/>
    </row>
    <row r="16793" spans="7:14" x14ac:dyDescent="0.3">
      <c r="G16793" s="1"/>
      <c r="N16793" s="1"/>
    </row>
    <row r="16794" spans="7:14" x14ac:dyDescent="0.3">
      <c r="G16794" s="1"/>
      <c r="N16794" s="1"/>
    </row>
    <row r="16795" spans="7:14" x14ac:dyDescent="0.3">
      <c r="G16795" s="1"/>
      <c r="N16795" s="1"/>
    </row>
    <row r="16796" spans="7:14" x14ac:dyDescent="0.3">
      <c r="G16796" s="1"/>
      <c r="N16796" s="1"/>
    </row>
    <row r="16797" spans="7:14" x14ac:dyDescent="0.3">
      <c r="G16797" s="1"/>
      <c r="N16797" s="1"/>
    </row>
    <row r="16798" spans="7:14" x14ac:dyDescent="0.3">
      <c r="G16798" s="1"/>
      <c r="N16798" s="1"/>
    </row>
    <row r="16799" spans="7:14" x14ac:dyDescent="0.3">
      <c r="G16799" s="1"/>
      <c r="N16799" s="1"/>
    </row>
    <row r="16800" spans="7:14" x14ac:dyDescent="0.3">
      <c r="G16800" s="1"/>
      <c r="N16800" s="1"/>
    </row>
    <row r="16801" spans="7:14" x14ac:dyDescent="0.3">
      <c r="G16801" s="1"/>
      <c r="N16801" s="1"/>
    </row>
    <row r="16802" spans="7:14" x14ac:dyDescent="0.3">
      <c r="G16802" s="1"/>
      <c r="N16802" s="1"/>
    </row>
    <row r="16803" spans="7:14" x14ac:dyDescent="0.3">
      <c r="G16803" s="1"/>
      <c r="N16803" s="1"/>
    </row>
    <row r="16804" spans="7:14" x14ac:dyDescent="0.3">
      <c r="G16804" s="1"/>
      <c r="N16804" s="1"/>
    </row>
    <row r="16805" spans="7:14" x14ac:dyDescent="0.3">
      <c r="G16805" s="1"/>
      <c r="N16805" s="1"/>
    </row>
    <row r="16806" spans="7:14" x14ac:dyDescent="0.3">
      <c r="G16806" s="1"/>
      <c r="N16806" s="1"/>
    </row>
    <row r="16807" spans="7:14" x14ac:dyDescent="0.3">
      <c r="G16807" s="1"/>
      <c r="N16807" s="1"/>
    </row>
    <row r="16808" spans="7:14" x14ac:dyDescent="0.3">
      <c r="G16808" s="1"/>
      <c r="N16808" s="1"/>
    </row>
    <row r="16809" spans="7:14" x14ac:dyDescent="0.3">
      <c r="G16809" s="1"/>
      <c r="N16809" s="1"/>
    </row>
    <row r="16810" spans="7:14" x14ac:dyDescent="0.3">
      <c r="G16810" s="1"/>
      <c r="N16810" s="1"/>
    </row>
    <row r="16811" spans="7:14" x14ac:dyDescent="0.3">
      <c r="G16811" s="1"/>
      <c r="N16811" s="1"/>
    </row>
    <row r="16812" spans="7:14" x14ac:dyDescent="0.3">
      <c r="G16812" s="1"/>
      <c r="N16812" s="1"/>
    </row>
    <row r="16813" spans="7:14" x14ac:dyDescent="0.3">
      <c r="G16813" s="1"/>
      <c r="N16813" s="1"/>
    </row>
    <row r="16814" spans="7:14" x14ac:dyDescent="0.3">
      <c r="G16814" s="1"/>
      <c r="N16814" s="1"/>
    </row>
    <row r="16815" spans="7:14" x14ac:dyDescent="0.3">
      <c r="G16815" s="1"/>
      <c r="N16815" s="1"/>
    </row>
    <row r="16816" spans="7:14" x14ac:dyDescent="0.3">
      <c r="G16816" s="1"/>
      <c r="N16816" s="1"/>
    </row>
    <row r="16817" spans="7:14" x14ac:dyDescent="0.3">
      <c r="G16817" s="1"/>
      <c r="N16817" s="1"/>
    </row>
    <row r="16818" spans="7:14" x14ac:dyDescent="0.3">
      <c r="G16818" s="1"/>
      <c r="N16818" s="1"/>
    </row>
    <row r="16819" spans="7:14" x14ac:dyDescent="0.3">
      <c r="G16819" s="1"/>
      <c r="N16819" s="1"/>
    </row>
    <row r="16820" spans="7:14" x14ac:dyDescent="0.3">
      <c r="G16820" s="1"/>
      <c r="N16820" s="1"/>
    </row>
    <row r="16821" spans="7:14" x14ac:dyDescent="0.3">
      <c r="G16821" s="1"/>
      <c r="N16821" s="1"/>
    </row>
    <row r="16822" spans="7:14" x14ac:dyDescent="0.3">
      <c r="G16822" s="1"/>
      <c r="N16822" s="1"/>
    </row>
    <row r="16823" spans="7:14" x14ac:dyDescent="0.3">
      <c r="G16823" s="1"/>
      <c r="N16823" s="1"/>
    </row>
    <row r="16824" spans="7:14" x14ac:dyDescent="0.3">
      <c r="G16824" s="1"/>
      <c r="N16824" s="1"/>
    </row>
    <row r="16825" spans="7:14" x14ac:dyDescent="0.3">
      <c r="G16825" s="1"/>
      <c r="N16825" s="1"/>
    </row>
    <row r="16826" spans="7:14" x14ac:dyDescent="0.3">
      <c r="G16826" s="1"/>
      <c r="N16826" s="1"/>
    </row>
    <row r="16827" spans="7:14" x14ac:dyDescent="0.3">
      <c r="G16827" s="1"/>
      <c r="N16827" s="1"/>
    </row>
    <row r="16828" spans="7:14" x14ac:dyDescent="0.3">
      <c r="G16828" s="1"/>
      <c r="N16828" s="1"/>
    </row>
    <row r="16829" spans="7:14" x14ac:dyDescent="0.3">
      <c r="G16829" s="1"/>
      <c r="N16829" s="1"/>
    </row>
    <row r="16830" spans="7:14" x14ac:dyDescent="0.3">
      <c r="G16830" s="1"/>
      <c r="N16830" s="1"/>
    </row>
    <row r="16831" spans="7:14" x14ac:dyDescent="0.3">
      <c r="G16831" s="1"/>
      <c r="N16831" s="1"/>
    </row>
    <row r="16832" spans="7:14" x14ac:dyDescent="0.3">
      <c r="G16832" s="1"/>
      <c r="N16832" s="1"/>
    </row>
    <row r="16833" spans="7:14" x14ac:dyDescent="0.3">
      <c r="G16833" s="1"/>
      <c r="N16833" s="1"/>
    </row>
    <row r="16834" spans="7:14" x14ac:dyDescent="0.3">
      <c r="G16834" s="1"/>
      <c r="N16834" s="1"/>
    </row>
    <row r="16835" spans="7:14" x14ac:dyDescent="0.3">
      <c r="G16835" s="1"/>
      <c r="N16835" s="1"/>
    </row>
    <row r="16836" spans="7:14" x14ac:dyDescent="0.3">
      <c r="G16836" s="1"/>
      <c r="N16836" s="1"/>
    </row>
    <row r="16837" spans="7:14" x14ac:dyDescent="0.3">
      <c r="G16837" s="1"/>
      <c r="N16837" s="1"/>
    </row>
    <row r="16838" spans="7:14" x14ac:dyDescent="0.3">
      <c r="G16838" s="1"/>
      <c r="N16838" s="1"/>
    </row>
    <row r="16839" spans="7:14" x14ac:dyDescent="0.3">
      <c r="G16839" s="1"/>
      <c r="N16839" s="1"/>
    </row>
    <row r="16840" spans="7:14" x14ac:dyDescent="0.3">
      <c r="G16840" s="1"/>
      <c r="N16840" s="1"/>
    </row>
    <row r="16841" spans="7:14" x14ac:dyDescent="0.3">
      <c r="G16841" s="1"/>
      <c r="N16841" s="1"/>
    </row>
    <row r="16842" spans="7:14" x14ac:dyDescent="0.3">
      <c r="G16842" s="1"/>
      <c r="N16842" s="1"/>
    </row>
    <row r="16843" spans="7:14" x14ac:dyDescent="0.3">
      <c r="G16843" s="1"/>
      <c r="N16843" s="1"/>
    </row>
    <row r="16844" spans="7:14" x14ac:dyDescent="0.3">
      <c r="G16844" s="1"/>
      <c r="N16844" s="1"/>
    </row>
    <row r="16845" spans="7:14" x14ac:dyDescent="0.3">
      <c r="G16845" s="1"/>
      <c r="N16845" s="1"/>
    </row>
    <row r="16846" spans="7:14" x14ac:dyDescent="0.3">
      <c r="G16846" s="1"/>
      <c r="N16846" s="1"/>
    </row>
    <row r="16847" spans="7:14" x14ac:dyDescent="0.3">
      <c r="G16847" s="1"/>
      <c r="N16847" s="1"/>
    </row>
    <row r="16848" spans="7:14" x14ac:dyDescent="0.3">
      <c r="G16848" s="1"/>
      <c r="N16848" s="1"/>
    </row>
    <row r="16849" spans="7:14" x14ac:dyDescent="0.3">
      <c r="G16849" s="1"/>
      <c r="N16849" s="1"/>
    </row>
    <row r="16850" spans="7:14" x14ac:dyDescent="0.3">
      <c r="G16850" s="1"/>
      <c r="N16850" s="1"/>
    </row>
    <row r="16851" spans="7:14" x14ac:dyDescent="0.3">
      <c r="G16851" s="1"/>
      <c r="N16851" s="1"/>
    </row>
    <row r="16852" spans="7:14" x14ac:dyDescent="0.3">
      <c r="G16852" s="1"/>
      <c r="N16852" s="1"/>
    </row>
    <row r="16853" spans="7:14" x14ac:dyDescent="0.3">
      <c r="G16853" s="1"/>
      <c r="N16853" s="1"/>
    </row>
    <row r="16854" spans="7:14" x14ac:dyDescent="0.3">
      <c r="G16854" s="1"/>
      <c r="N16854" s="1"/>
    </row>
    <row r="16855" spans="7:14" x14ac:dyDescent="0.3">
      <c r="G16855" s="1"/>
      <c r="N16855" s="1"/>
    </row>
    <row r="16856" spans="7:14" x14ac:dyDescent="0.3">
      <c r="G16856" s="1"/>
      <c r="N16856" s="1"/>
    </row>
    <row r="16857" spans="7:14" x14ac:dyDescent="0.3">
      <c r="G16857" s="1"/>
      <c r="N16857" s="1"/>
    </row>
    <row r="16858" spans="7:14" x14ac:dyDescent="0.3">
      <c r="G16858" s="1"/>
      <c r="N16858" s="1"/>
    </row>
    <row r="16859" spans="7:14" x14ac:dyDescent="0.3">
      <c r="G16859" s="1"/>
      <c r="N16859" s="1"/>
    </row>
    <row r="16860" spans="7:14" x14ac:dyDescent="0.3">
      <c r="G16860" s="1"/>
      <c r="N16860" s="1"/>
    </row>
    <row r="16861" spans="7:14" x14ac:dyDescent="0.3">
      <c r="G16861" s="1"/>
      <c r="N16861" s="1"/>
    </row>
    <row r="16862" spans="7:14" x14ac:dyDescent="0.3">
      <c r="G16862" s="1"/>
      <c r="N16862" s="1"/>
    </row>
    <row r="16863" spans="7:14" x14ac:dyDescent="0.3">
      <c r="G16863" s="1"/>
      <c r="N16863" s="1"/>
    </row>
    <row r="16864" spans="7:14" x14ac:dyDescent="0.3">
      <c r="G16864" s="1"/>
      <c r="N16864" s="1"/>
    </row>
    <row r="16865" spans="7:14" x14ac:dyDescent="0.3">
      <c r="G16865" s="1"/>
      <c r="N16865" s="1"/>
    </row>
    <row r="16866" spans="7:14" x14ac:dyDescent="0.3">
      <c r="G16866" s="1"/>
      <c r="N16866" s="1"/>
    </row>
    <row r="16867" spans="7:14" x14ac:dyDescent="0.3">
      <c r="G16867" s="1"/>
      <c r="N16867" s="1"/>
    </row>
    <row r="16868" spans="7:14" x14ac:dyDescent="0.3">
      <c r="G16868" s="1"/>
      <c r="N16868" s="1"/>
    </row>
    <row r="16869" spans="7:14" x14ac:dyDescent="0.3">
      <c r="G16869" s="1"/>
      <c r="N16869" s="1"/>
    </row>
    <row r="16870" spans="7:14" x14ac:dyDescent="0.3">
      <c r="G16870" s="1"/>
      <c r="N16870" s="1"/>
    </row>
    <row r="16871" spans="7:14" x14ac:dyDescent="0.3">
      <c r="G16871" s="1"/>
      <c r="N16871" s="1"/>
    </row>
    <row r="16872" spans="7:14" x14ac:dyDescent="0.3">
      <c r="G16872" s="1"/>
      <c r="N16872" s="1"/>
    </row>
    <row r="16873" spans="7:14" x14ac:dyDescent="0.3">
      <c r="G16873" s="1"/>
      <c r="N16873" s="1"/>
    </row>
    <row r="16874" spans="7:14" x14ac:dyDescent="0.3">
      <c r="G16874" s="1"/>
      <c r="N16874" s="1"/>
    </row>
    <row r="16875" spans="7:14" x14ac:dyDescent="0.3">
      <c r="G16875" s="1"/>
      <c r="N16875" s="1"/>
    </row>
    <row r="16876" spans="7:14" x14ac:dyDescent="0.3">
      <c r="G16876" s="1"/>
      <c r="N16876" s="1"/>
    </row>
    <row r="16877" spans="7:14" x14ac:dyDescent="0.3">
      <c r="G16877" s="1"/>
      <c r="N16877" s="1"/>
    </row>
    <row r="16878" spans="7:14" x14ac:dyDescent="0.3">
      <c r="G16878" s="1"/>
      <c r="N16878" s="1"/>
    </row>
    <row r="16879" spans="7:14" x14ac:dyDescent="0.3">
      <c r="G16879" s="1"/>
      <c r="N16879" s="1"/>
    </row>
    <row r="16880" spans="7:14" x14ac:dyDescent="0.3">
      <c r="G16880" s="1"/>
      <c r="N16880" s="1"/>
    </row>
    <row r="16881" spans="7:14" x14ac:dyDescent="0.3">
      <c r="G16881" s="1"/>
      <c r="N16881" s="1"/>
    </row>
    <row r="16882" spans="7:14" x14ac:dyDescent="0.3">
      <c r="G16882" s="1"/>
      <c r="N16882" s="1"/>
    </row>
    <row r="16883" spans="7:14" x14ac:dyDescent="0.3">
      <c r="G16883" s="1"/>
      <c r="N16883" s="1"/>
    </row>
    <row r="16884" spans="7:14" x14ac:dyDescent="0.3">
      <c r="G16884" s="1"/>
      <c r="N16884" s="1"/>
    </row>
    <row r="16885" spans="7:14" x14ac:dyDescent="0.3">
      <c r="G16885" s="1"/>
      <c r="N16885" s="1"/>
    </row>
    <row r="16886" spans="7:14" x14ac:dyDescent="0.3">
      <c r="G16886" s="1"/>
      <c r="N16886" s="1"/>
    </row>
    <row r="16887" spans="7:14" x14ac:dyDescent="0.3">
      <c r="G16887" s="1"/>
      <c r="N16887" s="1"/>
    </row>
    <row r="16888" spans="7:14" x14ac:dyDescent="0.3">
      <c r="G16888" s="1"/>
      <c r="N16888" s="1"/>
    </row>
    <row r="16889" spans="7:14" x14ac:dyDescent="0.3">
      <c r="G16889" s="1"/>
      <c r="N16889" s="1"/>
    </row>
    <row r="16890" spans="7:14" x14ac:dyDescent="0.3">
      <c r="G16890" s="1"/>
      <c r="N16890" s="1"/>
    </row>
    <row r="16891" spans="7:14" x14ac:dyDescent="0.3">
      <c r="G16891" s="1"/>
      <c r="N16891" s="1"/>
    </row>
    <row r="16892" spans="7:14" x14ac:dyDescent="0.3">
      <c r="G16892" s="1"/>
      <c r="N16892" s="1"/>
    </row>
    <row r="16893" spans="7:14" x14ac:dyDescent="0.3">
      <c r="G16893" s="1"/>
      <c r="N16893" s="1"/>
    </row>
    <row r="16894" spans="7:14" x14ac:dyDescent="0.3">
      <c r="G16894" s="1"/>
      <c r="N16894" s="1"/>
    </row>
    <row r="16895" spans="7:14" x14ac:dyDescent="0.3">
      <c r="G16895" s="1"/>
      <c r="N16895" s="1"/>
    </row>
    <row r="16896" spans="7:14" x14ac:dyDescent="0.3">
      <c r="G16896" s="1"/>
      <c r="N16896" s="1"/>
    </row>
    <row r="16897" spans="7:14" x14ac:dyDescent="0.3">
      <c r="G16897" s="1"/>
      <c r="N16897" s="1"/>
    </row>
    <row r="16898" spans="7:14" x14ac:dyDescent="0.3">
      <c r="G16898" s="1"/>
      <c r="N16898" s="1"/>
    </row>
    <row r="16899" spans="7:14" x14ac:dyDescent="0.3">
      <c r="G16899" s="1"/>
      <c r="N16899" s="1"/>
    </row>
    <row r="16900" spans="7:14" x14ac:dyDescent="0.3">
      <c r="G16900" s="1"/>
      <c r="N16900" s="1"/>
    </row>
    <row r="16901" spans="7:14" x14ac:dyDescent="0.3">
      <c r="G16901" s="1"/>
      <c r="N16901" s="1"/>
    </row>
    <row r="16902" spans="7:14" x14ac:dyDescent="0.3">
      <c r="G16902" s="1"/>
      <c r="N16902" s="1"/>
    </row>
    <row r="16903" spans="7:14" x14ac:dyDescent="0.3">
      <c r="G16903" s="1"/>
      <c r="N16903" s="1"/>
    </row>
    <row r="16904" spans="7:14" x14ac:dyDescent="0.3">
      <c r="G16904" s="1"/>
      <c r="N16904" s="1"/>
    </row>
    <row r="16905" spans="7:14" x14ac:dyDescent="0.3">
      <c r="G16905" s="1"/>
      <c r="N16905" s="1"/>
    </row>
    <row r="16906" spans="7:14" x14ac:dyDescent="0.3">
      <c r="G16906" s="1"/>
      <c r="N16906" s="1"/>
    </row>
    <row r="16907" spans="7:14" x14ac:dyDescent="0.3">
      <c r="G16907" s="1"/>
      <c r="N16907" s="1"/>
    </row>
    <row r="16908" spans="7:14" x14ac:dyDescent="0.3">
      <c r="G16908" s="1"/>
      <c r="N16908" s="1"/>
    </row>
    <row r="16909" spans="7:14" x14ac:dyDescent="0.3">
      <c r="G16909" s="1"/>
      <c r="N16909" s="1"/>
    </row>
    <row r="16910" spans="7:14" x14ac:dyDescent="0.3">
      <c r="G16910" s="1"/>
      <c r="N16910" s="1"/>
    </row>
    <row r="16911" spans="7:14" x14ac:dyDescent="0.3">
      <c r="G16911" s="1"/>
      <c r="N16911" s="1"/>
    </row>
    <row r="16912" spans="7:14" x14ac:dyDescent="0.3">
      <c r="G16912" s="1"/>
      <c r="N16912" s="1"/>
    </row>
    <row r="16913" spans="7:14" x14ac:dyDescent="0.3">
      <c r="G16913" s="1"/>
      <c r="N16913" s="1"/>
    </row>
    <row r="16914" spans="7:14" x14ac:dyDescent="0.3">
      <c r="G16914" s="1"/>
      <c r="N16914" s="1"/>
    </row>
    <row r="16915" spans="7:14" x14ac:dyDescent="0.3">
      <c r="G16915" s="1"/>
      <c r="N16915" s="1"/>
    </row>
    <row r="16916" spans="7:14" x14ac:dyDescent="0.3">
      <c r="G16916" s="1"/>
      <c r="N16916" s="1"/>
    </row>
    <row r="16917" spans="7:14" x14ac:dyDescent="0.3">
      <c r="G16917" s="1"/>
      <c r="N16917" s="1"/>
    </row>
    <row r="16918" spans="7:14" x14ac:dyDescent="0.3">
      <c r="G16918" s="1"/>
      <c r="N16918" s="1"/>
    </row>
    <row r="16919" spans="7:14" x14ac:dyDescent="0.3">
      <c r="G16919" s="1"/>
      <c r="N16919" s="1"/>
    </row>
    <row r="16920" spans="7:14" x14ac:dyDescent="0.3">
      <c r="G16920" s="1"/>
      <c r="N16920" s="1"/>
    </row>
    <row r="16921" spans="7:14" x14ac:dyDescent="0.3">
      <c r="G16921" s="1"/>
      <c r="N16921" s="1"/>
    </row>
    <row r="16922" spans="7:14" x14ac:dyDescent="0.3">
      <c r="G16922" s="1"/>
      <c r="N16922" s="1"/>
    </row>
    <row r="16923" spans="7:14" x14ac:dyDescent="0.3">
      <c r="G16923" s="1"/>
      <c r="N16923" s="1"/>
    </row>
    <row r="16924" spans="7:14" x14ac:dyDescent="0.3">
      <c r="G16924" s="1"/>
      <c r="N16924" s="1"/>
    </row>
    <row r="16925" spans="7:14" x14ac:dyDescent="0.3">
      <c r="G16925" s="1"/>
      <c r="N16925" s="1"/>
    </row>
    <row r="16926" spans="7:14" x14ac:dyDescent="0.3">
      <c r="G16926" s="1"/>
      <c r="N16926" s="1"/>
    </row>
    <row r="16927" spans="7:14" x14ac:dyDescent="0.3">
      <c r="G16927" s="1"/>
      <c r="N16927" s="1"/>
    </row>
    <row r="16928" spans="7:14" x14ac:dyDescent="0.3">
      <c r="G16928" s="1"/>
      <c r="N16928" s="1"/>
    </row>
    <row r="16929" spans="7:14" x14ac:dyDescent="0.3">
      <c r="G16929" s="1"/>
      <c r="N16929" s="1"/>
    </row>
    <row r="16930" spans="7:14" x14ac:dyDescent="0.3">
      <c r="G16930" s="1"/>
      <c r="N16930" s="1"/>
    </row>
    <row r="16931" spans="7:14" x14ac:dyDescent="0.3">
      <c r="G16931" s="1"/>
      <c r="N16931" s="1"/>
    </row>
    <row r="16932" spans="7:14" x14ac:dyDescent="0.3">
      <c r="G16932" s="1"/>
      <c r="N16932" s="1"/>
    </row>
    <row r="16933" spans="7:14" x14ac:dyDescent="0.3">
      <c r="G16933" s="1"/>
      <c r="N16933" s="1"/>
    </row>
    <row r="16934" spans="7:14" x14ac:dyDescent="0.3">
      <c r="G16934" s="1"/>
      <c r="N16934" s="1"/>
    </row>
    <row r="16935" spans="7:14" x14ac:dyDescent="0.3">
      <c r="G16935" s="1"/>
      <c r="N16935" s="1"/>
    </row>
    <row r="16936" spans="7:14" x14ac:dyDescent="0.3">
      <c r="G16936" s="1"/>
      <c r="N16936" s="1"/>
    </row>
    <row r="16937" spans="7:14" x14ac:dyDescent="0.3">
      <c r="G16937" s="1"/>
      <c r="N16937" s="1"/>
    </row>
    <row r="16938" spans="7:14" x14ac:dyDescent="0.3">
      <c r="G16938" s="1"/>
      <c r="N16938" s="1"/>
    </row>
    <row r="16939" spans="7:14" x14ac:dyDescent="0.3">
      <c r="G16939" s="1"/>
      <c r="N16939" s="1"/>
    </row>
    <row r="16940" spans="7:14" x14ac:dyDescent="0.3">
      <c r="G16940" s="1"/>
      <c r="N16940" s="1"/>
    </row>
    <row r="16941" spans="7:14" x14ac:dyDescent="0.3">
      <c r="G16941" s="1"/>
      <c r="N16941" s="1"/>
    </row>
    <row r="16942" spans="7:14" x14ac:dyDescent="0.3">
      <c r="G16942" s="1"/>
      <c r="N16942" s="1"/>
    </row>
    <row r="16943" spans="7:14" x14ac:dyDescent="0.3">
      <c r="G16943" s="1"/>
      <c r="N16943" s="1"/>
    </row>
    <row r="16944" spans="7:14" x14ac:dyDescent="0.3">
      <c r="G16944" s="1"/>
      <c r="N16944" s="1"/>
    </row>
    <row r="16945" spans="7:14" x14ac:dyDescent="0.3">
      <c r="G16945" s="1"/>
      <c r="N16945" s="1"/>
    </row>
    <row r="16946" spans="7:14" x14ac:dyDescent="0.3">
      <c r="G16946" s="1"/>
      <c r="N16946" s="1"/>
    </row>
    <row r="16947" spans="7:14" x14ac:dyDescent="0.3">
      <c r="G16947" s="1"/>
      <c r="N16947" s="1"/>
    </row>
    <row r="16948" spans="7:14" x14ac:dyDescent="0.3">
      <c r="G16948" s="1"/>
      <c r="N16948" s="1"/>
    </row>
    <row r="16949" spans="7:14" x14ac:dyDescent="0.3">
      <c r="G16949" s="1"/>
      <c r="N16949" s="1"/>
    </row>
    <row r="16950" spans="7:14" x14ac:dyDescent="0.3">
      <c r="G16950" s="1"/>
      <c r="N16950" s="1"/>
    </row>
    <row r="16951" spans="7:14" x14ac:dyDescent="0.3">
      <c r="G16951" s="1"/>
      <c r="N16951" s="1"/>
    </row>
    <row r="16952" spans="7:14" x14ac:dyDescent="0.3">
      <c r="G16952" s="1"/>
      <c r="N16952" s="1"/>
    </row>
    <row r="16953" spans="7:14" x14ac:dyDescent="0.3">
      <c r="G16953" s="1"/>
      <c r="N16953" s="1"/>
    </row>
    <row r="16954" spans="7:14" x14ac:dyDescent="0.3">
      <c r="G16954" s="1"/>
      <c r="N16954" s="1"/>
    </row>
    <row r="16955" spans="7:14" x14ac:dyDescent="0.3">
      <c r="G16955" s="1"/>
      <c r="N16955" s="1"/>
    </row>
    <row r="16956" spans="7:14" x14ac:dyDescent="0.3">
      <c r="G16956" s="1"/>
      <c r="N16956" s="1"/>
    </row>
    <row r="16957" spans="7:14" x14ac:dyDescent="0.3">
      <c r="G16957" s="1"/>
      <c r="N16957" s="1"/>
    </row>
    <row r="16958" spans="7:14" x14ac:dyDescent="0.3">
      <c r="G16958" s="1"/>
      <c r="N16958" s="1"/>
    </row>
    <row r="16959" spans="7:14" x14ac:dyDescent="0.3">
      <c r="G16959" s="1"/>
      <c r="N16959" s="1"/>
    </row>
    <row r="16960" spans="7:14" x14ac:dyDescent="0.3">
      <c r="G16960" s="1"/>
      <c r="N16960" s="1"/>
    </row>
    <row r="16961" spans="7:14" x14ac:dyDescent="0.3">
      <c r="G16961" s="1"/>
      <c r="N16961" s="1"/>
    </row>
    <row r="16962" spans="7:14" x14ac:dyDescent="0.3">
      <c r="G16962" s="1"/>
      <c r="N16962" s="1"/>
    </row>
    <row r="16963" spans="7:14" x14ac:dyDescent="0.3">
      <c r="G16963" s="1"/>
      <c r="N16963" s="1"/>
    </row>
    <row r="16964" spans="7:14" x14ac:dyDescent="0.3">
      <c r="G16964" s="1"/>
      <c r="N16964" s="1"/>
    </row>
    <row r="16965" spans="7:14" x14ac:dyDescent="0.3">
      <c r="G16965" s="1"/>
      <c r="N16965" s="1"/>
    </row>
    <row r="16966" spans="7:14" x14ac:dyDescent="0.3">
      <c r="G16966" s="1"/>
      <c r="N16966" s="1"/>
    </row>
    <row r="16967" spans="7:14" x14ac:dyDescent="0.3">
      <c r="G16967" s="1"/>
      <c r="N16967" s="1"/>
    </row>
    <row r="16968" spans="7:14" x14ac:dyDescent="0.3">
      <c r="G16968" s="1"/>
      <c r="N16968" s="1"/>
    </row>
    <row r="16969" spans="7:14" x14ac:dyDescent="0.3">
      <c r="G16969" s="1"/>
      <c r="N16969" s="1"/>
    </row>
    <row r="16970" spans="7:14" x14ac:dyDescent="0.3">
      <c r="G16970" s="1"/>
      <c r="N16970" s="1"/>
    </row>
    <row r="16971" spans="7:14" x14ac:dyDescent="0.3">
      <c r="G16971" s="1"/>
      <c r="N16971" s="1"/>
    </row>
    <row r="16972" spans="7:14" x14ac:dyDescent="0.3">
      <c r="G16972" s="1"/>
      <c r="N16972" s="1"/>
    </row>
    <row r="16973" spans="7:14" x14ac:dyDescent="0.3">
      <c r="G16973" s="1"/>
      <c r="N16973" s="1"/>
    </row>
    <row r="16974" spans="7:14" x14ac:dyDescent="0.3">
      <c r="G16974" s="1"/>
      <c r="N16974" s="1"/>
    </row>
    <row r="16975" spans="7:14" x14ac:dyDescent="0.3">
      <c r="G16975" s="1"/>
      <c r="N16975" s="1"/>
    </row>
    <row r="16976" spans="7:14" x14ac:dyDescent="0.3">
      <c r="G16976" s="1"/>
      <c r="N16976" s="1"/>
    </row>
    <row r="16977" spans="7:14" x14ac:dyDescent="0.3">
      <c r="G16977" s="1"/>
      <c r="N16977" s="1"/>
    </row>
    <row r="16978" spans="7:14" x14ac:dyDescent="0.3">
      <c r="G16978" s="1"/>
      <c r="N16978" s="1"/>
    </row>
    <row r="16979" spans="7:14" x14ac:dyDescent="0.3">
      <c r="G16979" s="1"/>
      <c r="N16979" s="1"/>
    </row>
    <row r="16980" spans="7:14" x14ac:dyDescent="0.3">
      <c r="G16980" s="1"/>
      <c r="N16980" s="1"/>
    </row>
    <row r="16981" spans="7:14" x14ac:dyDescent="0.3">
      <c r="G16981" s="1"/>
      <c r="N16981" s="1"/>
    </row>
    <row r="16982" spans="7:14" x14ac:dyDescent="0.3">
      <c r="G16982" s="1"/>
      <c r="N16982" s="1"/>
    </row>
    <row r="16983" spans="7:14" x14ac:dyDescent="0.3">
      <c r="G16983" s="1"/>
      <c r="N16983" s="1"/>
    </row>
    <row r="16984" spans="7:14" x14ac:dyDescent="0.3">
      <c r="G16984" s="1"/>
      <c r="N16984" s="1"/>
    </row>
    <row r="16985" spans="7:14" x14ac:dyDescent="0.3">
      <c r="G16985" s="1"/>
      <c r="N16985" s="1"/>
    </row>
    <row r="16986" spans="7:14" x14ac:dyDescent="0.3">
      <c r="G16986" s="1"/>
      <c r="N16986" s="1"/>
    </row>
    <row r="16987" spans="7:14" x14ac:dyDescent="0.3">
      <c r="G16987" s="1"/>
      <c r="N16987" s="1"/>
    </row>
    <row r="16988" spans="7:14" x14ac:dyDescent="0.3">
      <c r="G16988" s="1"/>
      <c r="N16988" s="1"/>
    </row>
    <row r="16989" spans="7:14" x14ac:dyDescent="0.3">
      <c r="G16989" s="1"/>
      <c r="N16989" s="1"/>
    </row>
    <row r="16990" spans="7:14" x14ac:dyDescent="0.3">
      <c r="G16990" s="1"/>
      <c r="N16990" s="1"/>
    </row>
    <row r="16991" spans="7:14" x14ac:dyDescent="0.3">
      <c r="G16991" s="1"/>
      <c r="N16991" s="1"/>
    </row>
    <row r="16992" spans="7:14" x14ac:dyDescent="0.3">
      <c r="G16992" s="1"/>
      <c r="N16992" s="1"/>
    </row>
    <row r="16993" spans="7:14" x14ac:dyDescent="0.3">
      <c r="G16993" s="1"/>
      <c r="N16993" s="1"/>
    </row>
    <row r="16994" spans="7:14" x14ac:dyDescent="0.3">
      <c r="G16994" s="1"/>
      <c r="N16994" s="1"/>
    </row>
    <row r="16995" spans="7:14" x14ac:dyDescent="0.3">
      <c r="G16995" s="1"/>
      <c r="N16995" s="1"/>
    </row>
    <row r="16996" spans="7:14" x14ac:dyDescent="0.3">
      <c r="G16996" s="1"/>
      <c r="N16996" s="1"/>
    </row>
    <row r="16997" spans="7:14" x14ac:dyDescent="0.3">
      <c r="G16997" s="1"/>
      <c r="N16997" s="1"/>
    </row>
    <row r="16998" spans="7:14" x14ac:dyDescent="0.3">
      <c r="G16998" s="1"/>
      <c r="N16998" s="1"/>
    </row>
    <row r="16999" spans="7:14" x14ac:dyDescent="0.3">
      <c r="G16999" s="1"/>
      <c r="N16999" s="1"/>
    </row>
    <row r="17000" spans="7:14" x14ac:dyDescent="0.3">
      <c r="G17000" s="1"/>
      <c r="N17000" s="1"/>
    </row>
    <row r="17001" spans="7:14" x14ac:dyDescent="0.3">
      <c r="G17001" s="1"/>
      <c r="N17001" s="1"/>
    </row>
    <row r="17002" spans="7:14" x14ac:dyDescent="0.3">
      <c r="G17002" s="1"/>
      <c r="N17002" s="1"/>
    </row>
    <row r="17003" spans="7:14" x14ac:dyDescent="0.3">
      <c r="G17003" s="1"/>
      <c r="N17003" s="1"/>
    </row>
    <row r="17004" spans="7:14" x14ac:dyDescent="0.3">
      <c r="G17004" s="1"/>
      <c r="N17004" s="1"/>
    </row>
    <row r="17005" spans="7:14" x14ac:dyDescent="0.3">
      <c r="G17005" s="1"/>
      <c r="N17005" s="1"/>
    </row>
    <row r="17006" spans="7:14" x14ac:dyDescent="0.3">
      <c r="G17006" s="1"/>
      <c r="N17006" s="1"/>
    </row>
    <row r="17007" spans="7:14" x14ac:dyDescent="0.3">
      <c r="G17007" s="1"/>
      <c r="N17007" s="1"/>
    </row>
    <row r="17008" spans="7:14" x14ac:dyDescent="0.3">
      <c r="G17008" s="1"/>
      <c r="N17008" s="1"/>
    </row>
    <row r="17009" spans="7:14" x14ac:dyDescent="0.3">
      <c r="G17009" s="1"/>
      <c r="N17009" s="1"/>
    </row>
    <row r="17010" spans="7:14" x14ac:dyDescent="0.3">
      <c r="G17010" s="1"/>
      <c r="N17010" s="1"/>
    </row>
    <row r="17011" spans="7:14" x14ac:dyDescent="0.3">
      <c r="G17011" s="1"/>
      <c r="N17011" s="1"/>
    </row>
    <row r="17012" spans="7:14" x14ac:dyDescent="0.3">
      <c r="G17012" s="1"/>
      <c r="N17012" s="1"/>
    </row>
    <row r="17013" spans="7:14" x14ac:dyDescent="0.3">
      <c r="G17013" s="1"/>
      <c r="N17013" s="1"/>
    </row>
    <row r="17014" spans="7:14" x14ac:dyDescent="0.3">
      <c r="G17014" s="1"/>
      <c r="N17014" s="1"/>
    </row>
    <row r="17015" spans="7:14" x14ac:dyDescent="0.3">
      <c r="G17015" s="1"/>
      <c r="N17015" s="1"/>
    </row>
    <row r="17016" spans="7:14" x14ac:dyDescent="0.3">
      <c r="G17016" s="1"/>
      <c r="N17016" s="1"/>
    </row>
    <row r="17017" spans="7:14" x14ac:dyDescent="0.3">
      <c r="G17017" s="1"/>
      <c r="N17017" s="1"/>
    </row>
    <row r="17018" spans="7:14" x14ac:dyDescent="0.3">
      <c r="G17018" s="1"/>
      <c r="N17018" s="1"/>
    </row>
    <row r="17019" spans="7:14" x14ac:dyDescent="0.3">
      <c r="G17019" s="1"/>
      <c r="N17019" s="1"/>
    </row>
    <row r="17020" spans="7:14" x14ac:dyDescent="0.3">
      <c r="G17020" s="1"/>
      <c r="N17020" s="1"/>
    </row>
    <row r="17021" spans="7:14" x14ac:dyDescent="0.3">
      <c r="G17021" s="1"/>
      <c r="N17021" s="1"/>
    </row>
    <row r="17022" spans="7:14" x14ac:dyDescent="0.3">
      <c r="G17022" s="1"/>
      <c r="N17022" s="1"/>
    </row>
    <row r="17023" spans="7:14" x14ac:dyDescent="0.3">
      <c r="G17023" s="1"/>
      <c r="N17023" s="1"/>
    </row>
    <row r="17024" spans="7:14" x14ac:dyDescent="0.3">
      <c r="G17024" s="1"/>
      <c r="N17024" s="1"/>
    </row>
    <row r="17025" spans="7:14" x14ac:dyDescent="0.3">
      <c r="G17025" s="1"/>
      <c r="N17025" s="1"/>
    </row>
    <row r="17026" spans="7:14" x14ac:dyDescent="0.3">
      <c r="G17026" s="1"/>
      <c r="N17026" s="1"/>
    </row>
    <row r="17027" spans="7:14" x14ac:dyDescent="0.3">
      <c r="G17027" s="1"/>
      <c r="N17027" s="1"/>
    </row>
    <row r="17028" spans="7:14" x14ac:dyDescent="0.3">
      <c r="G17028" s="1"/>
      <c r="N17028" s="1"/>
    </row>
    <row r="17029" spans="7:14" x14ac:dyDescent="0.3">
      <c r="G17029" s="1"/>
      <c r="N17029" s="1"/>
    </row>
    <row r="17030" spans="7:14" x14ac:dyDescent="0.3">
      <c r="G17030" s="1"/>
      <c r="N17030" s="1"/>
    </row>
    <row r="17031" spans="7:14" x14ac:dyDescent="0.3">
      <c r="G17031" s="1"/>
      <c r="N17031" s="1"/>
    </row>
    <row r="17032" spans="7:14" x14ac:dyDescent="0.3">
      <c r="G17032" s="1"/>
      <c r="N17032" s="1"/>
    </row>
    <row r="17033" spans="7:14" x14ac:dyDescent="0.3">
      <c r="G17033" s="1"/>
      <c r="N17033" s="1"/>
    </row>
    <row r="17034" spans="7:14" x14ac:dyDescent="0.3">
      <c r="G17034" s="1"/>
      <c r="N17034" s="1"/>
    </row>
    <row r="17035" spans="7:14" x14ac:dyDescent="0.3">
      <c r="G17035" s="1"/>
      <c r="N17035" s="1"/>
    </row>
    <row r="17036" spans="7:14" x14ac:dyDescent="0.3">
      <c r="G17036" s="1"/>
      <c r="N17036" s="1"/>
    </row>
    <row r="17037" spans="7:14" x14ac:dyDescent="0.3">
      <c r="G17037" s="1"/>
      <c r="N17037" s="1"/>
    </row>
    <row r="17038" spans="7:14" x14ac:dyDescent="0.3">
      <c r="G17038" s="1"/>
      <c r="N17038" s="1"/>
    </row>
    <row r="17039" spans="7:14" x14ac:dyDescent="0.3">
      <c r="G17039" s="1"/>
      <c r="N17039" s="1"/>
    </row>
    <row r="17040" spans="7:14" x14ac:dyDescent="0.3">
      <c r="G17040" s="1"/>
      <c r="N17040" s="1"/>
    </row>
    <row r="17041" spans="7:14" x14ac:dyDescent="0.3">
      <c r="G17041" s="1"/>
      <c r="N17041" s="1"/>
    </row>
    <row r="17042" spans="7:14" x14ac:dyDescent="0.3">
      <c r="G17042" s="1"/>
      <c r="N17042" s="1"/>
    </row>
    <row r="17043" spans="7:14" x14ac:dyDescent="0.3">
      <c r="G17043" s="1"/>
      <c r="N17043" s="1"/>
    </row>
    <row r="17044" spans="7:14" x14ac:dyDescent="0.3">
      <c r="G17044" s="1"/>
      <c r="N17044" s="1"/>
    </row>
    <row r="17045" spans="7:14" x14ac:dyDescent="0.3">
      <c r="G17045" s="1"/>
      <c r="N17045" s="1"/>
    </row>
    <row r="17046" spans="7:14" x14ac:dyDescent="0.3">
      <c r="G17046" s="1"/>
      <c r="N17046" s="1"/>
    </row>
    <row r="17047" spans="7:14" x14ac:dyDescent="0.3">
      <c r="G17047" s="1"/>
      <c r="N17047" s="1"/>
    </row>
    <row r="17048" spans="7:14" x14ac:dyDescent="0.3">
      <c r="G17048" s="1"/>
      <c r="N17048" s="1"/>
    </row>
    <row r="17049" spans="7:14" x14ac:dyDescent="0.3">
      <c r="G17049" s="1"/>
      <c r="N17049" s="1"/>
    </row>
    <row r="17050" spans="7:14" x14ac:dyDescent="0.3">
      <c r="G17050" s="1"/>
      <c r="N17050" s="1"/>
    </row>
    <row r="17051" spans="7:14" x14ac:dyDescent="0.3">
      <c r="G17051" s="1"/>
      <c r="N17051" s="1"/>
    </row>
    <row r="17052" spans="7:14" x14ac:dyDescent="0.3">
      <c r="G17052" s="1"/>
      <c r="N17052" s="1"/>
    </row>
    <row r="17053" spans="7:14" x14ac:dyDescent="0.3">
      <c r="G17053" s="1"/>
      <c r="N17053" s="1"/>
    </row>
    <row r="17054" spans="7:14" x14ac:dyDescent="0.3">
      <c r="G17054" s="1"/>
      <c r="N17054" s="1"/>
    </row>
    <row r="17055" spans="7:14" x14ac:dyDescent="0.3">
      <c r="G17055" s="1"/>
      <c r="N17055" s="1"/>
    </row>
    <row r="17056" spans="7:14" x14ac:dyDescent="0.3">
      <c r="G17056" s="1"/>
      <c r="N17056" s="1"/>
    </row>
    <row r="17057" spans="7:14" x14ac:dyDescent="0.3">
      <c r="G17057" s="1"/>
      <c r="N17057" s="1"/>
    </row>
    <row r="17058" spans="7:14" x14ac:dyDescent="0.3">
      <c r="G17058" s="1"/>
      <c r="N17058" s="1"/>
    </row>
    <row r="17059" spans="7:14" x14ac:dyDescent="0.3">
      <c r="G17059" s="1"/>
      <c r="N17059" s="1"/>
    </row>
    <row r="17060" spans="7:14" x14ac:dyDescent="0.3">
      <c r="G17060" s="1"/>
      <c r="N17060" s="1"/>
    </row>
    <row r="17061" spans="7:14" x14ac:dyDescent="0.3">
      <c r="G17061" s="1"/>
      <c r="N17061" s="1"/>
    </row>
    <row r="17062" spans="7:14" x14ac:dyDescent="0.3">
      <c r="G17062" s="1"/>
      <c r="N17062" s="1"/>
    </row>
    <row r="17063" spans="7:14" x14ac:dyDescent="0.3">
      <c r="G17063" s="1"/>
      <c r="N17063" s="1"/>
    </row>
    <row r="17064" spans="7:14" x14ac:dyDescent="0.3">
      <c r="G17064" s="1"/>
      <c r="N17064" s="1"/>
    </row>
    <row r="17065" spans="7:14" x14ac:dyDescent="0.3">
      <c r="G17065" s="1"/>
      <c r="N17065" s="1"/>
    </row>
    <row r="17066" spans="7:14" x14ac:dyDescent="0.3">
      <c r="G17066" s="1"/>
      <c r="N17066" s="1"/>
    </row>
    <row r="17067" spans="7:14" x14ac:dyDescent="0.3">
      <c r="G17067" s="1"/>
      <c r="N17067" s="1"/>
    </row>
    <row r="17068" spans="7:14" x14ac:dyDescent="0.3">
      <c r="G17068" s="1"/>
      <c r="N17068" s="1"/>
    </row>
    <row r="17069" spans="7:14" x14ac:dyDescent="0.3">
      <c r="G17069" s="1"/>
      <c r="N17069" s="1"/>
    </row>
    <row r="17070" spans="7:14" x14ac:dyDescent="0.3">
      <c r="G17070" s="1"/>
      <c r="N17070" s="1"/>
    </row>
    <row r="17071" spans="7:14" x14ac:dyDescent="0.3">
      <c r="G17071" s="1"/>
      <c r="N17071" s="1"/>
    </row>
    <row r="17072" spans="7:14" x14ac:dyDescent="0.3">
      <c r="G17072" s="1"/>
      <c r="N17072" s="1"/>
    </row>
    <row r="17073" spans="7:14" x14ac:dyDescent="0.3">
      <c r="G17073" s="1"/>
      <c r="N17073" s="1"/>
    </row>
    <row r="17074" spans="7:14" x14ac:dyDescent="0.3">
      <c r="G17074" s="1"/>
      <c r="N17074" s="1"/>
    </row>
    <row r="17075" spans="7:14" x14ac:dyDescent="0.3">
      <c r="G17075" s="1"/>
      <c r="N17075" s="1"/>
    </row>
    <row r="17076" spans="7:14" x14ac:dyDescent="0.3">
      <c r="G17076" s="1"/>
      <c r="N17076" s="1"/>
    </row>
    <row r="17077" spans="7:14" x14ac:dyDescent="0.3">
      <c r="G17077" s="1"/>
      <c r="N17077" s="1"/>
    </row>
    <row r="17078" spans="7:14" x14ac:dyDescent="0.3">
      <c r="G17078" s="1"/>
      <c r="N17078" s="1"/>
    </row>
    <row r="17079" spans="7:14" x14ac:dyDescent="0.3">
      <c r="G17079" s="1"/>
      <c r="N17079" s="1"/>
    </row>
    <row r="17080" spans="7:14" x14ac:dyDescent="0.3">
      <c r="G17080" s="1"/>
      <c r="N17080" s="1"/>
    </row>
    <row r="17081" spans="7:14" x14ac:dyDescent="0.3">
      <c r="G17081" s="1"/>
      <c r="N17081" s="1"/>
    </row>
    <row r="17082" spans="7:14" x14ac:dyDescent="0.3">
      <c r="G17082" s="1"/>
      <c r="N17082" s="1"/>
    </row>
    <row r="17083" spans="7:14" x14ac:dyDescent="0.3">
      <c r="G17083" s="1"/>
      <c r="N17083" s="1"/>
    </row>
    <row r="17084" spans="7:14" x14ac:dyDescent="0.3">
      <c r="G17084" s="1"/>
      <c r="N17084" s="1"/>
    </row>
    <row r="17085" spans="7:14" x14ac:dyDescent="0.3">
      <c r="G17085" s="1"/>
      <c r="N17085" s="1"/>
    </row>
    <row r="17086" spans="7:14" x14ac:dyDescent="0.3">
      <c r="G17086" s="1"/>
      <c r="N17086" s="1"/>
    </row>
    <row r="17087" spans="7:14" x14ac:dyDescent="0.3">
      <c r="G17087" s="1"/>
      <c r="N17087" s="1"/>
    </row>
    <row r="17088" spans="7:14" x14ac:dyDescent="0.3">
      <c r="G17088" s="1"/>
      <c r="N17088" s="1"/>
    </row>
    <row r="17089" spans="7:14" x14ac:dyDescent="0.3">
      <c r="G17089" s="1"/>
      <c r="N17089" s="1"/>
    </row>
    <row r="17090" spans="7:14" x14ac:dyDescent="0.3">
      <c r="G17090" s="1"/>
      <c r="N17090" s="1"/>
    </row>
    <row r="17091" spans="7:14" x14ac:dyDescent="0.3">
      <c r="G17091" s="1"/>
      <c r="N17091" s="1"/>
    </row>
    <row r="17092" spans="7:14" x14ac:dyDescent="0.3">
      <c r="G17092" s="1"/>
      <c r="N17092" s="1"/>
    </row>
    <row r="17093" spans="7:14" x14ac:dyDescent="0.3">
      <c r="G17093" s="1"/>
      <c r="N17093" s="1"/>
    </row>
    <row r="17094" spans="7:14" x14ac:dyDescent="0.3">
      <c r="G17094" s="1"/>
      <c r="N17094" s="1"/>
    </row>
    <row r="17095" spans="7:14" x14ac:dyDescent="0.3">
      <c r="G17095" s="1"/>
      <c r="N17095" s="1"/>
    </row>
    <row r="17096" spans="7:14" x14ac:dyDescent="0.3">
      <c r="G17096" s="1"/>
      <c r="N17096" s="1"/>
    </row>
    <row r="17097" spans="7:14" x14ac:dyDescent="0.3">
      <c r="G17097" s="1"/>
      <c r="N17097" s="1"/>
    </row>
    <row r="17098" spans="7:14" x14ac:dyDescent="0.3">
      <c r="G17098" s="1"/>
      <c r="N17098" s="1"/>
    </row>
    <row r="17099" spans="7:14" x14ac:dyDescent="0.3">
      <c r="G17099" s="1"/>
      <c r="N17099" s="1"/>
    </row>
    <row r="17100" spans="7:14" x14ac:dyDescent="0.3">
      <c r="G17100" s="1"/>
      <c r="N17100" s="1"/>
    </row>
    <row r="17101" spans="7:14" x14ac:dyDescent="0.3">
      <c r="G17101" s="1"/>
      <c r="N17101" s="1"/>
    </row>
    <row r="17102" spans="7:14" x14ac:dyDescent="0.3">
      <c r="G17102" s="1"/>
      <c r="N17102" s="1"/>
    </row>
    <row r="17103" spans="7:14" x14ac:dyDescent="0.3">
      <c r="G17103" s="1"/>
      <c r="N17103" s="1"/>
    </row>
    <row r="17104" spans="7:14" x14ac:dyDescent="0.3">
      <c r="G17104" s="1"/>
      <c r="N17104" s="1"/>
    </row>
    <row r="17105" spans="7:14" x14ac:dyDescent="0.3">
      <c r="G17105" s="1"/>
      <c r="N17105" s="1"/>
    </row>
    <row r="17106" spans="7:14" x14ac:dyDescent="0.3">
      <c r="G17106" s="1"/>
      <c r="N17106" s="1"/>
    </row>
    <row r="17107" spans="7:14" x14ac:dyDescent="0.3">
      <c r="G17107" s="1"/>
      <c r="N17107" s="1"/>
    </row>
    <row r="17108" spans="7:14" x14ac:dyDescent="0.3">
      <c r="G17108" s="1"/>
      <c r="N17108" s="1"/>
    </row>
    <row r="17109" spans="7:14" x14ac:dyDescent="0.3">
      <c r="G17109" s="1"/>
      <c r="N17109" s="1"/>
    </row>
    <row r="17110" spans="7:14" x14ac:dyDescent="0.3">
      <c r="G17110" s="1"/>
      <c r="N17110" s="1"/>
    </row>
    <row r="17111" spans="7:14" x14ac:dyDescent="0.3">
      <c r="G17111" s="1"/>
      <c r="N17111" s="1"/>
    </row>
    <row r="17112" spans="7:14" x14ac:dyDescent="0.3">
      <c r="G17112" s="1"/>
      <c r="N17112" s="1"/>
    </row>
    <row r="17113" spans="7:14" x14ac:dyDescent="0.3">
      <c r="G17113" s="1"/>
      <c r="N17113" s="1"/>
    </row>
    <row r="17114" spans="7:14" x14ac:dyDescent="0.3">
      <c r="G17114" s="1"/>
      <c r="N17114" s="1"/>
    </row>
    <row r="17115" spans="7:14" x14ac:dyDescent="0.3">
      <c r="G17115" s="1"/>
      <c r="N17115" s="1"/>
    </row>
    <row r="17116" spans="7:14" x14ac:dyDescent="0.3">
      <c r="G17116" s="1"/>
      <c r="N17116" s="1"/>
    </row>
    <row r="17117" spans="7:14" x14ac:dyDescent="0.3">
      <c r="G17117" s="1"/>
      <c r="N17117" s="1"/>
    </row>
    <row r="17118" spans="7:14" x14ac:dyDescent="0.3">
      <c r="G17118" s="1"/>
      <c r="N17118" s="1"/>
    </row>
    <row r="17119" spans="7:14" x14ac:dyDescent="0.3">
      <c r="G17119" s="1"/>
      <c r="N17119" s="1"/>
    </row>
    <row r="17120" spans="7:14" x14ac:dyDescent="0.3">
      <c r="G17120" s="1"/>
      <c r="N17120" s="1"/>
    </row>
    <row r="17121" spans="7:14" x14ac:dyDescent="0.3">
      <c r="G17121" s="1"/>
      <c r="N17121" s="1"/>
    </row>
    <row r="17122" spans="7:14" x14ac:dyDescent="0.3">
      <c r="G17122" s="1"/>
      <c r="N17122" s="1"/>
    </row>
    <row r="17123" spans="7:14" x14ac:dyDescent="0.3">
      <c r="G17123" s="1"/>
      <c r="N17123" s="1"/>
    </row>
    <row r="17124" spans="7:14" x14ac:dyDescent="0.3">
      <c r="G17124" s="1"/>
      <c r="N17124" s="1"/>
    </row>
    <row r="17125" spans="7:14" x14ac:dyDescent="0.3">
      <c r="G17125" s="1"/>
      <c r="N17125" s="1"/>
    </row>
    <row r="17126" spans="7:14" x14ac:dyDescent="0.3">
      <c r="G17126" s="1"/>
      <c r="N17126" s="1"/>
    </row>
    <row r="17127" spans="7:14" x14ac:dyDescent="0.3">
      <c r="G17127" s="1"/>
      <c r="N17127" s="1"/>
    </row>
    <row r="17128" spans="7:14" x14ac:dyDescent="0.3">
      <c r="G17128" s="1"/>
      <c r="N17128" s="1"/>
    </row>
    <row r="17129" spans="7:14" x14ac:dyDescent="0.3">
      <c r="G17129" s="1"/>
      <c r="N17129" s="1"/>
    </row>
    <row r="17130" spans="7:14" x14ac:dyDescent="0.3">
      <c r="G17130" s="1"/>
      <c r="N17130" s="1"/>
    </row>
    <row r="17131" spans="7:14" x14ac:dyDescent="0.3">
      <c r="G17131" s="1"/>
      <c r="N17131" s="1"/>
    </row>
    <row r="17132" spans="7:14" x14ac:dyDescent="0.3">
      <c r="G17132" s="1"/>
      <c r="N17132" s="1"/>
    </row>
    <row r="17133" spans="7:14" x14ac:dyDescent="0.3">
      <c r="G17133" s="1"/>
      <c r="N17133" s="1"/>
    </row>
    <row r="17134" spans="7:14" x14ac:dyDescent="0.3">
      <c r="G17134" s="1"/>
      <c r="N17134" s="1"/>
    </row>
    <row r="17135" spans="7:14" x14ac:dyDescent="0.3">
      <c r="G17135" s="1"/>
      <c r="N17135" s="1"/>
    </row>
    <row r="17136" spans="7:14" x14ac:dyDescent="0.3">
      <c r="G17136" s="1"/>
      <c r="N17136" s="1"/>
    </row>
    <row r="17137" spans="7:14" x14ac:dyDescent="0.3">
      <c r="G17137" s="1"/>
      <c r="N17137" s="1"/>
    </row>
    <row r="17138" spans="7:14" x14ac:dyDescent="0.3">
      <c r="G17138" s="1"/>
      <c r="N17138" s="1"/>
    </row>
    <row r="17139" spans="7:14" x14ac:dyDescent="0.3">
      <c r="G17139" s="1"/>
      <c r="N17139" s="1"/>
    </row>
    <row r="17140" spans="7:14" x14ac:dyDescent="0.3">
      <c r="G17140" s="1"/>
      <c r="N17140" s="1"/>
    </row>
    <row r="17141" spans="7:14" x14ac:dyDescent="0.3">
      <c r="G17141" s="1"/>
      <c r="N17141" s="1"/>
    </row>
    <row r="17142" spans="7:14" x14ac:dyDescent="0.3">
      <c r="G17142" s="1"/>
      <c r="N17142" s="1"/>
    </row>
    <row r="17143" spans="7:14" x14ac:dyDescent="0.3">
      <c r="G17143" s="1"/>
      <c r="N17143" s="1"/>
    </row>
    <row r="17144" spans="7:14" x14ac:dyDescent="0.3">
      <c r="G17144" s="1"/>
      <c r="N17144" s="1"/>
    </row>
    <row r="17145" spans="7:14" x14ac:dyDescent="0.3">
      <c r="G17145" s="1"/>
      <c r="N17145" s="1"/>
    </row>
    <row r="17146" spans="7:14" x14ac:dyDescent="0.3">
      <c r="G17146" s="1"/>
      <c r="N17146" s="1"/>
    </row>
    <row r="17147" spans="7:14" x14ac:dyDescent="0.3">
      <c r="G17147" s="1"/>
      <c r="N17147" s="1"/>
    </row>
    <row r="17148" spans="7:14" x14ac:dyDescent="0.3">
      <c r="G17148" s="1"/>
      <c r="N17148" s="1"/>
    </row>
    <row r="17149" spans="7:14" x14ac:dyDescent="0.3">
      <c r="G17149" s="1"/>
      <c r="N17149" s="1"/>
    </row>
    <row r="17150" spans="7:14" x14ac:dyDescent="0.3">
      <c r="G17150" s="1"/>
      <c r="N17150" s="1"/>
    </row>
    <row r="17151" spans="7:14" x14ac:dyDescent="0.3">
      <c r="G17151" s="1"/>
      <c r="N17151" s="1"/>
    </row>
    <row r="17152" spans="7:14" x14ac:dyDescent="0.3">
      <c r="G17152" s="1"/>
      <c r="N17152" s="1"/>
    </row>
    <row r="17153" spans="7:14" x14ac:dyDescent="0.3">
      <c r="G17153" s="1"/>
      <c r="N17153" s="1"/>
    </row>
    <row r="17154" spans="7:14" x14ac:dyDescent="0.3">
      <c r="G17154" s="1"/>
      <c r="N17154" s="1"/>
    </row>
    <row r="17155" spans="7:14" x14ac:dyDescent="0.3">
      <c r="G17155" s="1"/>
      <c r="N17155" s="1"/>
    </row>
    <row r="17156" spans="7:14" x14ac:dyDescent="0.3">
      <c r="G17156" s="1"/>
      <c r="N17156" s="1"/>
    </row>
    <row r="17157" spans="7:14" x14ac:dyDescent="0.3">
      <c r="G17157" s="1"/>
      <c r="N17157" s="1"/>
    </row>
    <row r="17158" spans="7:14" x14ac:dyDescent="0.3">
      <c r="G17158" s="1"/>
      <c r="N17158" s="1"/>
    </row>
    <row r="17159" spans="7:14" x14ac:dyDescent="0.3">
      <c r="G17159" s="1"/>
      <c r="N17159" s="1"/>
    </row>
    <row r="17160" spans="7:14" x14ac:dyDescent="0.3">
      <c r="G17160" s="1"/>
      <c r="N17160" s="1"/>
    </row>
    <row r="17161" spans="7:14" x14ac:dyDescent="0.3">
      <c r="G17161" s="1"/>
      <c r="N17161" s="1"/>
    </row>
    <row r="17162" spans="7:14" x14ac:dyDescent="0.3">
      <c r="G17162" s="1"/>
      <c r="N17162" s="1"/>
    </row>
    <row r="17163" spans="7:14" x14ac:dyDescent="0.3">
      <c r="G17163" s="1"/>
      <c r="N17163" s="1"/>
    </row>
    <row r="17164" spans="7:14" x14ac:dyDescent="0.3">
      <c r="G17164" s="1"/>
      <c r="N17164" s="1"/>
    </row>
    <row r="17165" spans="7:14" x14ac:dyDescent="0.3">
      <c r="G17165" s="1"/>
      <c r="N17165" s="1"/>
    </row>
    <row r="17166" spans="7:14" x14ac:dyDescent="0.3">
      <c r="G17166" s="1"/>
      <c r="N17166" s="1"/>
    </row>
    <row r="17167" spans="7:14" x14ac:dyDescent="0.3">
      <c r="G17167" s="1"/>
      <c r="N17167" s="1"/>
    </row>
    <row r="17168" spans="7:14" x14ac:dyDescent="0.3">
      <c r="G17168" s="1"/>
      <c r="N17168" s="1"/>
    </row>
    <row r="17169" spans="7:14" x14ac:dyDescent="0.3">
      <c r="G17169" s="1"/>
      <c r="N17169" s="1"/>
    </row>
    <row r="17170" spans="7:14" x14ac:dyDescent="0.3">
      <c r="G17170" s="1"/>
      <c r="N17170" s="1"/>
    </row>
    <row r="17171" spans="7:14" x14ac:dyDescent="0.3">
      <c r="G17171" s="1"/>
      <c r="N17171" s="1"/>
    </row>
    <row r="17172" spans="7:14" x14ac:dyDescent="0.3">
      <c r="G17172" s="1"/>
      <c r="N17172" s="1"/>
    </row>
    <row r="17173" spans="7:14" x14ac:dyDescent="0.3">
      <c r="G17173" s="1"/>
      <c r="N17173" s="1"/>
    </row>
    <row r="17174" spans="7:14" x14ac:dyDescent="0.3">
      <c r="G17174" s="1"/>
      <c r="N17174" s="1"/>
    </row>
    <row r="17175" spans="7:14" x14ac:dyDescent="0.3">
      <c r="G17175" s="1"/>
      <c r="N17175" s="1"/>
    </row>
    <row r="17176" spans="7:14" x14ac:dyDescent="0.3">
      <c r="G17176" s="1"/>
      <c r="N17176" s="1"/>
    </row>
    <row r="17177" spans="7:14" x14ac:dyDescent="0.3">
      <c r="G17177" s="1"/>
      <c r="N17177" s="1"/>
    </row>
    <row r="17178" spans="7:14" x14ac:dyDescent="0.3">
      <c r="G17178" s="1"/>
      <c r="N17178" s="1"/>
    </row>
    <row r="17179" spans="7:14" x14ac:dyDescent="0.3">
      <c r="G17179" s="1"/>
      <c r="N17179" s="1"/>
    </row>
    <row r="17180" spans="7:14" x14ac:dyDescent="0.3">
      <c r="G17180" s="1"/>
      <c r="N17180" s="1"/>
    </row>
    <row r="17181" spans="7:14" x14ac:dyDescent="0.3">
      <c r="G17181" s="1"/>
      <c r="N17181" s="1"/>
    </row>
    <row r="17182" spans="7:14" x14ac:dyDescent="0.3">
      <c r="G17182" s="1"/>
      <c r="N17182" s="1"/>
    </row>
    <row r="17183" spans="7:14" x14ac:dyDescent="0.3">
      <c r="G17183" s="1"/>
      <c r="N17183" s="1"/>
    </row>
    <row r="17184" spans="7:14" x14ac:dyDescent="0.3">
      <c r="G17184" s="1"/>
      <c r="N17184" s="1"/>
    </row>
    <row r="17185" spans="7:14" x14ac:dyDescent="0.3">
      <c r="G17185" s="1"/>
      <c r="N17185" s="1"/>
    </row>
    <row r="17186" spans="7:14" x14ac:dyDescent="0.3">
      <c r="G17186" s="1"/>
      <c r="N17186" s="1"/>
    </row>
    <row r="17187" spans="7:14" x14ac:dyDescent="0.3">
      <c r="G17187" s="1"/>
      <c r="N17187" s="1"/>
    </row>
    <row r="17188" spans="7:14" x14ac:dyDescent="0.3">
      <c r="G17188" s="1"/>
      <c r="N17188" s="1"/>
    </row>
    <row r="17189" spans="7:14" x14ac:dyDescent="0.3">
      <c r="G17189" s="1"/>
      <c r="N17189" s="1"/>
    </row>
    <row r="17190" spans="7:14" x14ac:dyDescent="0.3">
      <c r="G17190" s="1"/>
      <c r="N17190" s="1"/>
    </row>
    <row r="17191" spans="7:14" x14ac:dyDescent="0.3">
      <c r="G17191" s="1"/>
      <c r="N17191" s="1"/>
    </row>
    <row r="17192" spans="7:14" x14ac:dyDescent="0.3">
      <c r="G17192" s="1"/>
      <c r="N17192" s="1"/>
    </row>
    <row r="17193" spans="7:14" x14ac:dyDescent="0.3">
      <c r="G17193" s="1"/>
      <c r="N17193" s="1"/>
    </row>
    <row r="17194" spans="7:14" x14ac:dyDescent="0.3">
      <c r="G17194" s="1"/>
      <c r="N17194" s="1"/>
    </row>
    <row r="17195" spans="7:14" x14ac:dyDescent="0.3">
      <c r="G17195" s="1"/>
      <c r="N17195" s="1"/>
    </row>
    <row r="17196" spans="7:14" x14ac:dyDescent="0.3">
      <c r="G17196" s="1"/>
      <c r="N17196" s="1"/>
    </row>
    <row r="17197" spans="7:14" x14ac:dyDescent="0.3">
      <c r="G17197" s="1"/>
      <c r="N17197" s="1"/>
    </row>
    <row r="17198" spans="7:14" x14ac:dyDescent="0.3">
      <c r="G17198" s="1"/>
      <c r="N17198" s="1"/>
    </row>
    <row r="17199" spans="7:14" x14ac:dyDescent="0.3">
      <c r="G17199" s="1"/>
      <c r="N17199" s="1"/>
    </row>
    <row r="17200" spans="7:14" x14ac:dyDescent="0.3">
      <c r="G17200" s="1"/>
      <c r="N17200" s="1"/>
    </row>
    <row r="17201" spans="7:14" x14ac:dyDescent="0.3">
      <c r="G17201" s="1"/>
      <c r="N17201" s="1"/>
    </row>
    <row r="17202" spans="7:14" x14ac:dyDescent="0.3">
      <c r="G17202" s="1"/>
      <c r="N17202" s="1"/>
    </row>
    <row r="17203" spans="7:14" x14ac:dyDescent="0.3">
      <c r="G17203" s="1"/>
      <c r="N17203" s="1"/>
    </row>
    <row r="17204" spans="7:14" x14ac:dyDescent="0.3">
      <c r="G17204" s="1"/>
      <c r="N17204" s="1"/>
    </row>
    <row r="17205" spans="7:14" x14ac:dyDescent="0.3">
      <c r="G17205" s="1"/>
      <c r="N17205" s="1"/>
    </row>
    <row r="17206" spans="7:14" x14ac:dyDescent="0.3">
      <c r="G17206" s="1"/>
      <c r="N17206" s="1"/>
    </row>
    <row r="17207" spans="7:14" x14ac:dyDescent="0.3">
      <c r="G17207" s="1"/>
      <c r="N17207" s="1"/>
    </row>
    <row r="17208" spans="7:14" x14ac:dyDescent="0.3">
      <c r="G17208" s="1"/>
      <c r="N17208" s="1"/>
    </row>
    <row r="17209" spans="7:14" x14ac:dyDescent="0.3">
      <c r="G17209" s="1"/>
      <c r="N17209" s="1"/>
    </row>
    <row r="17210" spans="7:14" x14ac:dyDescent="0.3">
      <c r="G17210" s="1"/>
      <c r="N17210" s="1"/>
    </row>
    <row r="17211" spans="7:14" x14ac:dyDescent="0.3">
      <c r="G17211" s="1"/>
      <c r="N17211" s="1"/>
    </row>
    <row r="17212" spans="7:14" x14ac:dyDescent="0.3">
      <c r="G17212" s="1"/>
      <c r="N17212" s="1"/>
    </row>
    <row r="17213" spans="7:14" x14ac:dyDescent="0.3">
      <c r="G17213" s="1"/>
      <c r="N17213" s="1"/>
    </row>
    <row r="17214" spans="7:14" x14ac:dyDescent="0.3">
      <c r="G17214" s="1"/>
      <c r="N17214" s="1"/>
    </row>
    <row r="17215" spans="7:14" x14ac:dyDescent="0.3">
      <c r="G17215" s="1"/>
      <c r="N17215" s="1"/>
    </row>
    <row r="17216" spans="7:14" x14ac:dyDescent="0.3">
      <c r="G17216" s="1"/>
      <c r="N17216" s="1"/>
    </row>
    <row r="17217" spans="7:14" x14ac:dyDescent="0.3">
      <c r="G17217" s="1"/>
      <c r="N17217" s="1"/>
    </row>
    <row r="17218" spans="7:14" x14ac:dyDescent="0.3">
      <c r="G17218" s="1"/>
      <c r="N17218" s="1"/>
    </row>
    <row r="17219" spans="7:14" x14ac:dyDescent="0.3">
      <c r="G17219" s="1"/>
      <c r="N17219" s="1"/>
    </row>
    <row r="17220" spans="7:14" x14ac:dyDescent="0.3">
      <c r="G17220" s="1"/>
      <c r="N17220" s="1"/>
    </row>
    <row r="17221" spans="7:14" x14ac:dyDescent="0.3">
      <c r="G17221" s="1"/>
      <c r="N17221" s="1"/>
    </row>
    <row r="17222" spans="7:14" x14ac:dyDescent="0.3">
      <c r="G17222" s="1"/>
      <c r="N17222" s="1"/>
    </row>
    <row r="17223" spans="7:14" x14ac:dyDescent="0.3">
      <c r="G17223" s="1"/>
      <c r="N17223" s="1"/>
    </row>
    <row r="17224" spans="7:14" x14ac:dyDescent="0.3">
      <c r="G17224" s="1"/>
      <c r="N17224" s="1"/>
    </row>
    <row r="17225" spans="7:14" x14ac:dyDescent="0.3">
      <c r="G17225" s="1"/>
      <c r="N17225" s="1"/>
    </row>
    <row r="17226" spans="7:14" x14ac:dyDescent="0.3">
      <c r="G17226" s="1"/>
      <c r="N17226" s="1"/>
    </row>
    <row r="17227" spans="7:14" x14ac:dyDescent="0.3">
      <c r="G17227" s="1"/>
      <c r="N17227" s="1"/>
    </row>
    <row r="17228" spans="7:14" x14ac:dyDescent="0.3">
      <c r="G17228" s="1"/>
      <c r="N17228" s="1"/>
    </row>
    <row r="17229" spans="7:14" x14ac:dyDescent="0.3">
      <c r="G17229" s="1"/>
      <c r="N17229" s="1"/>
    </row>
    <row r="17230" spans="7:14" x14ac:dyDescent="0.3">
      <c r="G17230" s="1"/>
      <c r="N17230" s="1"/>
    </row>
    <row r="17231" spans="7:14" x14ac:dyDescent="0.3">
      <c r="G17231" s="1"/>
      <c r="N17231" s="1"/>
    </row>
    <row r="17232" spans="7:14" x14ac:dyDescent="0.3">
      <c r="G17232" s="1"/>
      <c r="N17232" s="1"/>
    </row>
    <row r="17233" spans="7:14" x14ac:dyDescent="0.3">
      <c r="G17233" s="1"/>
      <c r="N17233" s="1"/>
    </row>
    <row r="17234" spans="7:14" x14ac:dyDescent="0.3">
      <c r="G17234" s="1"/>
      <c r="N17234" s="1"/>
    </row>
    <row r="17235" spans="7:14" x14ac:dyDescent="0.3">
      <c r="G17235" s="1"/>
      <c r="N17235" s="1"/>
    </row>
    <row r="17236" spans="7:14" x14ac:dyDescent="0.3">
      <c r="G17236" s="1"/>
      <c r="N17236" s="1"/>
    </row>
    <row r="17237" spans="7:14" x14ac:dyDescent="0.3">
      <c r="G17237" s="1"/>
      <c r="N17237" s="1"/>
    </row>
    <row r="17238" spans="7:14" x14ac:dyDescent="0.3">
      <c r="G17238" s="1"/>
      <c r="N17238" s="1"/>
    </row>
    <row r="17239" spans="7:14" x14ac:dyDescent="0.3">
      <c r="G17239" s="1"/>
      <c r="N17239" s="1"/>
    </row>
    <row r="17240" spans="7:14" x14ac:dyDescent="0.3">
      <c r="G17240" s="1"/>
      <c r="N17240" s="1"/>
    </row>
    <row r="17241" spans="7:14" x14ac:dyDescent="0.3">
      <c r="G17241" s="1"/>
      <c r="N17241" s="1"/>
    </row>
    <row r="17242" spans="7:14" x14ac:dyDescent="0.3">
      <c r="G17242" s="1"/>
      <c r="N17242" s="1"/>
    </row>
    <row r="17243" spans="7:14" x14ac:dyDescent="0.3">
      <c r="G17243" s="1"/>
      <c r="N17243" s="1"/>
    </row>
    <row r="17244" spans="7:14" x14ac:dyDescent="0.3">
      <c r="G17244" s="1"/>
      <c r="N17244" s="1"/>
    </row>
    <row r="17245" spans="7:14" x14ac:dyDescent="0.3">
      <c r="G17245" s="1"/>
      <c r="N17245" s="1"/>
    </row>
    <row r="17246" spans="7:14" x14ac:dyDescent="0.3">
      <c r="G17246" s="1"/>
      <c r="N17246" s="1"/>
    </row>
    <row r="17247" spans="7:14" x14ac:dyDescent="0.3">
      <c r="G17247" s="1"/>
      <c r="N17247" s="1"/>
    </row>
    <row r="17248" spans="7:14" x14ac:dyDescent="0.3">
      <c r="G17248" s="1"/>
      <c r="N17248" s="1"/>
    </row>
    <row r="17249" spans="7:14" x14ac:dyDescent="0.3">
      <c r="G17249" s="1"/>
      <c r="N17249" s="1"/>
    </row>
    <row r="17250" spans="7:14" x14ac:dyDescent="0.3">
      <c r="G17250" s="1"/>
      <c r="N17250" s="1"/>
    </row>
    <row r="17251" spans="7:14" x14ac:dyDescent="0.3">
      <c r="G17251" s="1"/>
      <c r="N17251" s="1"/>
    </row>
    <row r="17252" spans="7:14" x14ac:dyDescent="0.3">
      <c r="G17252" s="1"/>
      <c r="N17252" s="1"/>
    </row>
    <row r="17253" spans="7:14" x14ac:dyDescent="0.3">
      <c r="G17253" s="1"/>
      <c r="N17253" s="1"/>
    </row>
    <row r="17254" spans="7:14" x14ac:dyDescent="0.3">
      <c r="G17254" s="1"/>
      <c r="N17254" s="1"/>
    </row>
    <row r="17255" spans="7:14" x14ac:dyDescent="0.3">
      <c r="G17255" s="1"/>
      <c r="N17255" s="1"/>
    </row>
    <row r="17256" spans="7:14" x14ac:dyDescent="0.3">
      <c r="G17256" s="1"/>
      <c r="N17256" s="1"/>
    </row>
    <row r="17257" spans="7:14" x14ac:dyDescent="0.3">
      <c r="G17257" s="1"/>
      <c r="N17257" s="1"/>
    </row>
    <row r="17258" spans="7:14" x14ac:dyDescent="0.3">
      <c r="G17258" s="1"/>
      <c r="N17258" s="1"/>
    </row>
    <row r="17259" spans="7:14" x14ac:dyDescent="0.3">
      <c r="G17259" s="1"/>
      <c r="N17259" s="1"/>
    </row>
    <row r="17260" spans="7:14" x14ac:dyDescent="0.3">
      <c r="G17260" s="1"/>
      <c r="N17260" s="1"/>
    </row>
    <row r="17261" spans="7:14" x14ac:dyDescent="0.3">
      <c r="G17261" s="1"/>
      <c r="N17261" s="1"/>
    </row>
    <row r="17262" spans="7:14" x14ac:dyDescent="0.3">
      <c r="G17262" s="1"/>
      <c r="N17262" s="1"/>
    </row>
    <row r="17263" spans="7:14" x14ac:dyDescent="0.3">
      <c r="G17263" s="1"/>
      <c r="N17263" s="1"/>
    </row>
    <row r="17264" spans="7:14" x14ac:dyDescent="0.3">
      <c r="G17264" s="1"/>
      <c r="N17264" s="1"/>
    </row>
    <row r="17265" spans="7:14" x14ac:dyDescent="0.3">
      <c r="G17265" s="1"/>
      <c r="N17265" s="1"/>
    </row>
    <row r="17266" spans="7:14" x14ac:dyDescent="0.3">
      <c r="G17266" s="1"/>
      <c r="N17266" s="1"/>
    </row>
    <row r="17267" spans="7:14" x14ac:dyDescent="0.3">
      <c r="G17267" s="1"/>
      <c r="N17267" s="1"/>
    </row>
    <row r="17268" spans="7:14" x14ac:dyDescent="0.3">
      <c r="G17268" s="1"/>
      <c r="N17268" s="1"/>
    </row>
    <row r="17269" spans="7:14" x14ac:dyDescent="0.3">
      <c r="G17269" s="1"/>
      <c r="N17269" s="1"/>
    </row>
    <row r="17270" spans="7:14" x14ac:dyDescent="0.3">
      <c r="G17270" s="1"/>
      <c r="N17270" s="1"/>
    </row>
    <row r="17271" spans="7:14" x14ac:dyDescent="0.3">
      <c r="G17271" s="1"/>
      <c r="N17271" s="1"/>
    </row>
    <row r="17272" spans="7:14" x14ac:dyDescent="0.3">
      <c r="G17272" s="1"/>
      <c r="N17272" s="1"/>
    </row>
    <row r="17273" spans="7:14" x14ac:dyDescent="0.3">
      <c r="G17273" s="1"/>
      <c r="N17273" s="1"/>
    </row>
    <row r="17274" spans="7:14" x14ac:dyDescent="0.3">
      <c r="G17274" s="1"/>
      <c r="N17274" s="1"/>
    </row>
    <row r="17275" spans="7:14" x14ac:dyDescent="0.3">
      <c r="G17275" s="1"/>
      <c r="N17275" s="1"/>
    </row>
    <row r="17276" spans="7:14" x14ac:dyDescent="0.3">
      <c r="G17276" s="1"/>
      <c r="N17276" s="1"/>
    </row>
    <row r="17277" spans="7:14" x14ac:dyDescent="0.3">
      <c r="G17277" s="1"/>
      <c r="N17277" s="1"/>
    </row>
    <row r="17278" spans="7:14" x14ac:dyDescent="0.3">
      <c r="G17278" s="1"/>
      <c r="N17278" s="1"/>
    </row>
    <row r="17279" spans="7:14" x14ac:dyDescent="0.3">
      <c r="G17279" s="1"/>
      <c r="N17279" s="1"/>
    </row>
    <row r="17280" spans="7:14" x14ac:dyDescent="0.3">
      <c r="G17280" s="1"/>
      <c r="N17280" s="1"/>
    </row>
    <row r="17281" spans="7:14" x14ac:dyDescent="0.3">
      <c r="G17281" s="1"/>
      <c r="N17281" s="1"/>
    </row>
    <row r="17282" spans="7:14" x14ac:dyDescent="0.3">
      <c r="G17282" s="1"/>
      <c r="N17282" s="1"/>
    </row>
    <row r="17283" spans="7:14" x14ac:dyDescent="0.3">
      <c r="G17283" s="1"/>
      <c r="N17283" s="1"/>
    </row>
    <row r="17284" spans="7:14" x14ac:dyDescent="0.3">
      <c r="G17284" s="1"/>
      <c r="N17284" s="1"/>
    </row>
    <row r="17285" spans="7:14" x14ac:dyDescent="0.3">
      <c r="G17285" s="1"/>
      <c r="N17285" s="1"/>
    </row>
    <row r="17286" spans="7:14" x14ac:dyDescent="0.3">
      <c r="G17286" s="1"/>
      <c r="N17286" s="1"/>
    </row>
    <row r="17287" spans="7:14" x14ac:dyDescent="0.3">
      <c r="G17287" s="1"/>
      <c r="N17287" s="1"/>
    </row>
    <row r="17288" spans="7:14" x14ac:dyDescent="0.3">
      <c r="G17288" s="1"/>
      <c r="N17288" s="1"/>
    </row>
    <row r="17289" spans="7:14" x14ac:dyDescent="0.3">
      <c r="G17289" s="1"/>
      <c r="N17289" s="1"/>
    </row>
    <row r="17290" spans="7:14" x14ac:dyDescent="0.3">
      <c r="G17290" s="1"/>
      <c r="N17290" s="1"/>
    </row>
    <row r="17291" spans="7:14" x14ac:dyDescent="0.3">
      <c r="G17291" s="1"/>
      <c r="N17291" s="1"/>
    </row>
    <row r="17292" spans="7:14" x14ac:dyDescent="0.3">
      <c r="G17292" s="1"/>
      <c r="N17292" s="1"/>
    </row>
    <row r="17293" spans="7:14" x14ac:dyDescent="0.3">
      <c r="G17293" s="1"/>
      <c r="N17293" s="1"/>
    </row>
    <row r="17294" spans="7:14" x14ac:dyDescent="0.3">
      <c r="G17294" s="1"/>
      <c r="N17294" s="1"/>
    </row>
    <row r="17295" spans="7:14" x14ac:dyDescent="0.3">
      <c r="G17295" s="1"/>
      <c r="N17295" s="1"/>
    </row>
    <row r="17296" spans="7:14" x14ac:dyDescent="0.3">
      <c r="G17296" s="1"/>
      <c r="N17296" s="1"/>
    </row>
    <row r="17297" spans="7:14" x14ac:dyDescent="0.3">
      <c r="G17297" s="1"/>
      <c r="N17297" s="1"/>
    </row>
    <row r="17298" spans="7:14" x14ac:dyDescent="0.3">
      <c r="G17298" s="1"/>
      <c r="N17298" s="1"/>
    </row>
    <row r="17299" spans="7:14" x14ac:dyDescent="0.3">
      <c r="G17299" s="1"/>
      <c r="N17299" s="1"/>
    </row>
    <row r="17300" spans="7:14" x14ac:dyDescent="0.3">
      <c r="G17300" s="1"/>
      <c r="N17300" s="1"/>
    </row>
    <row r="17301" spans="7:14" x14ac:dyDescent="0.3">
      <c r="G17301" s="1"/>
      <c r="N17301" s="1"/>
    </row>
    <row r="17302" spans="7:14" x14ac:dyDescent="0.3">
      <c r="G17302" s="1"/>
      <c r="N17302" s="1"/>
    </row>
    <row r="17303" spans="7:14" x14ac:dyDescent="0.3">
      <c r="G17303" s="1"/>
      <c r="N17303" s="1"/>
    </row>
    <row r="17304" spans="7:14" x14ac:dyDescent="0.3">
      <c r="G17304" s="1"/>
      <c r="N17304" s="1"/>
    </row>
    <row r="17305" spans="7:14" x14ac:dyDescent="0.3">
      <c r="G17305" s="1"/>
      <c r="N17305" s="1"/>
    </row>
    <row r="17306" spans="7:14" x14ac:dyDescent="0.3">
      <c r="G17306" s="1"/>
      <c r="N17306" s="1"/>
    </row>
    <row r="17307" spans="7:14" x14ac:dyDescent="0.3">
      <c r="G17307" s="1"/>
      <c r="N17307" s="1"/>
    </row>
    <row r="17308" spans="7:14" x14ac:dyDescent="0.3">
      <c r="G17308" s="1"/>
      <c r="N17308" s="1"/>
    </row>
    <row r="17309" spans="7:14" x14ac:dyDescent="0.3">
      <c r="G17309" s="1"/>
      <c r="N17309" s="1"/>
    </row>
    <row r="17310" spans="7:14" x14ac:dyDescent="0.3">
      <c r="G17310" s="1"/>
      <c r="N17310" s="1"/>
    </row>
    <row r="17311" spans="7:14" x14ac:dyDescent="0.3">
      <c r="G17311" s="1"/>
      <c r="N17311" s="1"/>
    </row>
    <row r="17312" spans="7:14" x14ac:dyDescent="0.3">
      <c r="G17312" s="1"/>
      <c r="N17312" s="1"/>
    </row>
    <row r="17313" spans="7:14" x14ac:dyDescent="0.3">
      <c r="G17313" s="1"/>
      <c r="N17313" s="1"/>
    </row>
    <row r="17314" spans="7:14" x14ac:dyDescent="0.3">
      <c r="G17314" s="1"/>
      <c r="N17314" s="1"/>
    </row>
    <row r="17315" spans="7:14" x14ac:dyDescent="0.3">
      <c r="G17315" s="1"/>
      <c r="N17315" s="1"/>
    </row>
    <row r="17316" spans="7:14" x14ac:dyDescent="0.3">
      <c r="G17316" s="1"/>
      <c r="N17316" s="1"/>
    </row>
    <row r="17317" spans="7:14" x14ac:dyDescent="0.3">
      <c r="G17317" s="1"/>
      <c r="N17317" s="1"/>
    </row>
    <row r="17318" spans="7:14" x14ac:dyDescent="0.3">
      <c r="G17318" s="1"/>
      <c r="N17318" s="1"/>
    </row>
    <row r="17319" spans="7:14" x14ac:dyDescent="0.3">
      <c r="G17319" s="1"/>
      <c r="N17319" s="1"/>
    </row>
    <row r="17320" spans="7:14" x14ac:dyDescent="0.3">
      <c r="G17320" s="1"/>
      <c r="N17320" s="1"/>
    </row>
    <row r="17321" spans="7:14" x14ac:dyDescent="0.3">
      <c r="G17321" s="1"/>
      <c r="N17321" s="1"/>
    </row>
    <row r="17322" spans="7:14" x14ac:dyDescent="0.3">
      <c r="G17322" s="1"/>
      <c r="N17322" s="1"/>
    </row>
    <row r="17323" spans="7:14" x14ac:dyDescent="0.3">
      <c r="G17323" s="1"/>
      <c r="N17323" s="1"/>
    </row>
    <row r="17324" spans="7:14" x14ac:dyDescent="0.3">
      <c r="G17324" s="1"/>
      <c r="N17324" s="1"/>
    </row>
    <row r="17325" spans="7:14" x14ac:dyDescent="0.3">
      <c r="G17325" s="1"/>
      <c r="N17325" s="1"/>
    </row>
    <row r="17326" spans="7:14" x14ac:dyDescent="0.3">
      <c r="G17326" s="1"/>
      <c r="N17326" s="1"/>
    </row>
    <row r="17327" spans="7:14" x14ac:dyDescent="0.3">
      <c r="G17327" s="1"/>
      <c r="N17327" s="1"/>
    </row>
    <row r="17328" spans="7:14" x14ac:dyDescent="0.3">
      <c r="G17328" s="1"/>
      <c r="N17328" s="1"/>
    </row>
    <row r="17329" spans="7:14" x14ac:dyDescent="0.3">
      <c r="G17329" s="1"/>
      <c r="N17329" s="1"/>
    </row>
    <row r="17330" spans="7:14" x14ac:dyDescent="0.3">
      <c r="G17330" s="1"/>
      <c r="N17330" s="1"/>
    </row>
    <row r="17331" spans="7:14" x14ac:dyDescent="0.3">
      <c r="G17331" s="1"/>
      <c r="N17331" s="1"/>
    </row>
    <row r="17332" spans="7:14" x14ac:dyDescent="0.3">
      <c r="G17332" s="1"/>
      <c r="N17332" s="1"/>
    </row>
    <row r="17333" spans="7:14" x14ac:dyDescent="0.3">
      <c r="G17333" s="1"/>
      <c r="N17333" s="1"/>
    </row>
    <row r="17334" spans="7:14" x14ac:dyDescent="0.3">
      <c r="G17334" s="1"/>
      <c r="N17334" s="1"/>
    </row>
    <row r="17335" spans="7:14" x14ac:dyDescent="0.3">
      <c r="G17335" s="1"/>
      <c r="N17335" s="1"/>
    </row>
    <row r="17336" spans="7:14" x14ac:dyDescent="0.3">
      <c r="G17336" s="1"/>
      <c r="N17336" s="1"/>
    </row>
    <row r="17337" spans="7:14" x14ac:dyDescent="0.3">
      <c r="G17337" s="1"/>
      <c r="N17337" s="1"/>
    </row>
    <row r="17338" spans="7:14" x14ac:dyDescent="0.3">
      <c r="G17338" s="1"/>
      <c r="N17338" s="1"/>
    </row>
    <row r="17339" spans="7:14" x14ac:dyDescent="0.3">
      <c r="G17339" s="1"/>
      <c r="N17339" s="1"/>
    </row>
    <row r="17340" spans="7:14" x14ac:dyDescent="0.3">
      <c r="G17340" s="1"/>
      <c r="N17340" s="1"/>
    </row>
    <row r="17341" spans="7:14" x14ac:dyDescent="0.3">
      <c r="G17341" s="1"/>
      <c r="N17341" s="1"/>
    </row>
    <row r="17342" spans="7:14" x14ac:dyDescent="0.3">
      <c r="G17342" s="1"/>
      <c r="N17342" s="1"/>
    </row>
    <row r="17343" spans="7:14" x14ac:dyDescent="0.3">
      <c r="G17343" s="1"/>
      <c r="N17343" s="1"/>
    </row>
    <row r="17344" spans="7:14" x14ac:dyDescent="0.3">
      <c r="G17344" s="1"/>
      <c r="N17344" s="1"/>
    </row>
    <row r="17345" spans="7:14" x14ac:dyDescent="0.3">
      <c r="G17345" s="1"/>
      <c r="N17345" s="1"/>
    </row>
    <row r="17346" spans="7:14" x14ac:dyDescent="0.3">
      <c r="G17346" s="1"/>
      <c r="N17346" s="1"/>
    </row>
    <row r="17347" spans="7:14" x14ac:dyDescent="0.3">
      <c r="G17347" s="1"/>
      <c r="N17347" s="1"/>
    </row>
    <row r="17348" spans="7:14" x14ac:dyDescent="0.3">
      <c r="G17348" s="1"/>
      <c r="N17348" s="1"/>
    </row>
    <row r="17349" spans="7:14" x14ac:dyDescent="0.3">
      <c r="G17349" s="1"/>
      <c r="N17349" s="1"/>
    </row>
    <row r="17350" spans="7:14" x14ac:dyDescent="0.3">
      <c r="G17350" s="1"/>
      <c r="N17350" s="1"/>
    </row>
    <row r="17351" spans="7:14" x14ac:dyDescent="0.3">
      <c r="G17351" s="1"/>
      <c r="N17351" s="1"/>
    </row>
    <row r="17352" spans="7:14" x14ac:dyDescent="0.3">
      <c r="G17352" s="1"/>
      <c r="N17352" s="1"/>
    </row>
    <row r="17353" spans="7:14" x14ac:dyDescent="0.3">
      <c r="G17353" s="1"/>
      <c r="N17353" s="1"/>
    </row>
    <row r="17354" spans="7:14" x14ac:dyDescent="0.3">
      <c r="G17354" s="1"/>
      <c r="N17354" s="1"/>
    </row>
    <row r="17355" spans="7:14" x14ac:dyDescent="0.3">
      <c r="G17355" s="1"/>
      <c r="N17355" s="1"/>
    </row>
    <row r="17356" spans="7:14" x14ac:dyDescent="0.3">
      <c r="G17356" s="1"/>
      <c r="N17356" s="1"/>
    </row>
    <row r="17357" spans="7:14" x14ac:dyDescent="0.3">
      <c r="G17357" s="1"/>
      <c r="N17357" s="1"/>
    </row>
    <row r="17358" spans="7:14" x14ac:dyDescent="0.3">
      <c r="G17358" s="1"/>
      <c r="N17358" s="1"/>
    </row>
    <row r="17359" spans="7:14" x14ac:dyDescent="0.3">
      <c r="G17359" s="1"/>
      <c r="N17359" s="1"/>
    </row>
    <row r="17360" spans="7:14" x14ac:dyDescent="0.3">
      <c r="G17360" s="1"/>
      <c r="N17360" s="1"/>
    </row>
    <row r="17361" spans="7:14" x14ac:dyDescent="0.3">
      <c r="G17361" s="1"/>
      <c r="N17361" s="1"/>
    </row>
    <row r="17362" spans="7:14" x14ac:dyDescent="0.3">
      <c r="G17362" s="1"/>
      <c r="N17362" s="1"/>
    </row>
    <row r="17363" spans="7:14" x14ac:dyDescent="0.3">
      <c r="G17363" s="1"/>
      <c r="N17363" s="1"/>
    </row>
    <row r="17364" spans="7:14" x14ac:dyDescent="0.3">
      <c r="G17364" s="1"/>
      <c r="N17364" s="1"/>
    </row>
    <row r="17365" spans="7:14" x14ac:dyDescent="0.3">
      <c r="G17365" s="1"/>
      <c r="N17365" s="1"/>
    </row>
    <row r="17366" spans="7:14" x14ac:dyDescent="0.3">
      <c r="G17366" s="1"/>
      <c r="N17366" s="1"/>
    </row>
    <row r="17367" spans="7:14" x14ac:dyDescent="0.3">
      <c r="G17367" s="1"/>
      <c r="N17367" s="1"/>
    </row>
    <row r="17368" spans="7:14" x14ac:dyDescent="0.3">
      <c r="G17368" s="1"/>
      <c r="N17368" s="1"/>
    </row>
    <row r="17369" spans="7:14" x14ac:dyDescent="0.3">
      <c r="G17369" s="1"/>
      <c r="N17369" s="1"/>
    </row>
    <row r="17370" spans="7:14" x14ac:dyDescent="0.3">
      <c r="G17370" s="1"/>
      <c r="N17370" s="1"/>
    </row>
    <row r="17371" spans="7:14" x14ac:dyDescent="0.3">
      <c r="G17371" s="1"/>
      <c r="N17371" s="1"/>
    </row>
    <row r="17372" spans="7:14" x14ac:dyDescent="0.3">
      <c r="G17372" s="1"/>
      <c r="N17372" s="1"/>
    </row>
    <row r="17373" spans="7:14" x14ac:dyDescent="0.3">
      <c r="G17373" s="1"/>
      <c r="N17373" s="1"/>
    </row>
    <row r="17374" spans="7:14" x14ac:dyDescent="0.3">
      <c r="G17374" s="1"/>
      <c r="N17374" s="1"/>
    </row>
    <row r="17375" spans="7:14" x14ac:dyDescent="0.3">
      <c r="G17375" s="1"/>
      <c r="N17375" s="1"/>
    </row>
    <row r="17376" spans="7:14" x14ac:dyDescent="0.3">
      <c r="G17376" s="1"/>
      <c r="N17376" s="1"/>
    </row>
    <row r="17377" spans="7:14" x14ac:dyDescent="0.3">
      <c r="G17377" s="1"/>
      <c r="N17377" s="1"/>
    </row>
    <row r="17378" spans="7:14" x14ac:dyDescent="0.3">
      <c r="G17378" s="1"/>
      <c r="N17378" s="1"/>
    </row>
    <row r="17379" spans="7:14" x14ac:dyDescent="0.3">
      <c r="G17379" s="1"/>
      <c r="N17379" s="1"/>
    </row>
    <row r="17380" spans="7:14" x14ac:dyDescent="0.3">
      <c r="G17380" s="1"/>
      <c r="N17380" s="1"/>
    </row>
    <row r="17381" spans="7:14" x14ac:dyDescent="0.3">
      <c r="G17381" s="1"/>
      <c r="N17381" s="1"/>
    </row>
    <row r="17382" spans="7:14" x14ac:dyDescent="0.3">
      <c r="G17382" s="1"/>
      <c r="N17382" s="1"/>
    </row>
    <row r="17383" spans="7:14" x14ac:dyDescent="0.3">
      <c r="G17383" s="1"/>
      <c r="N17383" s="1"/>
    </row>
    <row r="17384" spans="7:14" x14ac:dyDescent="0.3">
      <c r="G17384" s="1"/>
      <c r="N17384" s="1"/>
    </row>
    <row r="17385" spans="7:14" x14ac:dyDescent="0.3">
      <c r="G17385" s="1"/>
      <c r="N17385" s="1"/>
    </row>
    <row r="17386" spans="7:14" x14ac:dyDescent="0.3">
      <c r="G17386" s="1"/>
      <c r="N17386" s="1"/>
    </row>
    <row r="17387" spans="7:14" x14ac:dyDescent="0.3">
      <c r="G17387" s="1"/>
      <c r="N17387" s="1"/>
    </row>
    <row r="17388" spans="7:14" x14ac:dyDescent="0.3">
      <c r="G17388" s="1"/>
      <c r="N17388" s="1"/>
    </row>
    <row r="17389" spans="7:14" x14ac:dyDescent="0.3">
      <c r="G17389" s="1"/>
      <c r="N17389" s="1"/>
    </row>
    <row r="17390" spans="7:14" x14ac:dyDescent="0.3">
      <c r="G17390" s="1"/>
      <c r="N17390" s="1"/>
    </row>
    <row r="17391" spans="7:14" x14ac:dyDescent="0.3">
      <c r="G17391" s="1"/>
      <c r="N17391" s="1"/>
    </row>
    <row r="17392" spans="7:14" x14ac:dyDescent="0.3">
      <c r="G17392" s="1"/>
      <c r="N17392" s="1"/>
    </row>
    <row r="17393" spans="7:14" x14ac:dyDescent="0.3">
      <c r="G17393" s="1"/>
      <c r="N17393" s="1"/>
    </row>
    <row r="17394" spans="7:14" x14ac:dyDescent="0.3">
      <c r="G17394" s="1"/>
      <c r="N17394" s="1"/>
    </row>
    <row r="17395" spans="7:14" x14ac:dyDescent="0.3">
      <c r="G17395" s="1"/>
      <c r="N17395" s="1"/>
    </row>
    <row r="17396" spans="7:14" x14ac:dyDescent="0.3">
      <c r="G17396" s="1"/>
      <c r="N17396" s="1"/>
    </row>
    <row r="17397" spans="7:14" x14ac:dyDescent="0.3">
      <c r="G17397" s="1"/>
      <c r="N17397" s="1"/>
    </row>
    <row r="17398" spans="7:14" x14ac:dyDescent="0.3">
      <c r="G17398" s="1"/>
      <c r="N17398" s="1"/>
    </row>
    <row r="17399" spans="7:14" x14ac:dyDescent="0.3">
      <c r="G17399" s="1"/>
      <c r="N17399" s="1"/>
    </row>
    <row r="17400" spans="7:14" x14ac:dyDescent="0.3">
      <c r="G17400" s="1"/>
      <c r="N17400" s="1"/>
    </row>
    <row r="17401" spans="7:14" x14ac:dyDescent="0.3">
      <c r="G17401" s="1"/>
      <c r="N17401" s="1"/>
    </row>
    <row r="17402" spans="7:14" x14ac:dyDescent="0.3">
      <c r="G17402" s="1"/>
      <c r="N17402" s="1"/>
    </row>
    <row r="17403" spans="7:14" x14ac:dyDescent="0.3">
      <c r="G17403" s="1"/>
      <c r="N17403" s="1"/>
    </row>
    <row r="17404" spans="7:14" x14ac:dyDescent="0.3">
      <c r="G17404" s="1"/>
      <c r="N17404" s="1"/>
    </row>
    <row r="17405" spans="7:14" x14ac:dyDescent="0.3">
      <c r="G17405" s="1"/>
      <c r="N17405" s="1"/>
    </row>
    <row r="17406" spans="7:14" x14ac:dyDescent="0.3">
      <c r="G17406" s="1"/>
      <c r="N17406" s="1"/>
    </row>
    <row r="17407" spans="7:14" x14ac:dyDescent="0.3">
      <c r="G17407" s="1"/>
      <c r="N17407" s="1"/>
    </row>
    <row r="17408" spans="7:14" x14ac:dyDescent="0.3">
      <c r="G17408" s="1"/>
      <c r="N17408" s="1"/>
    </row>
    <row r="17409" spans="7:14" x14ac:dyDescent="0.3">
      <c r="G17409" s="1"/>
      <c r="N17409" s="1"/>
    </row>
    <row r="17410" spans="7:14" x14ac:dyDescent="0.3">
      <c r="G17410" s="1"/>
      <c r="N17410" s="1"/>
    </row>
    <row r="17411" spans="7:14" x14ac:dyDescent="0.3">
      <c r="G17411" s="1"/>
      <c r="N17411" s="1"/>
    </row>
    <row r="17412" spans="7:14" x14ac:dyDescent="0.3">
      <c r="G17412" s="1"/>
      <c r="N17412" s="1"/>
    </row>
    <row r="17413" spans="7:14" x14ac:dyDescent="0.3">
      <c r="G17413" s="1"/>
      <c r="N17413" s="1"/>
    </row>
    <row r="17414" spans="7:14" x14ac:dyDescent="0.3">
      <c r="G17414" s="1"/>
      <c r="N17414" s="1"/>
    </row>
    <row r="17415" spans="7:14" x14ac:dyDescent="0.3">
      <c r="G17415" s="1"/>
      <c r="N17415" s="1"/>
    </row>
    <row r="17416" spans="7:14" x14ac:dyDescent="0.3">
      <c r="G17416" s="1"/>
      <c r="N17416" s="1"/>
    </row>
    <row r="17417" spans="7:14" x14ac:dyDescent="0.3">
      <c r="G17417" s="1"/>
      <c r="N17417" s="1"/>
    </row>
    <row r="17418" spans="7:14" x14ac:dyDescent="0.3">
      <c r="G17418" s="1"/>
      <c r="N17418" s="1"/>
    </row>
    <row r="17419" spans="7:14" x14ac:dyDescent="0.3">
      <c r="G17419" s="1"/>
      <c r="N17419" s="1"/>
    </row>
    <row r="17420" spans="7:14" x14ac:dyDescent="0.3">
      <c r="G17420" s="1"/>
      <c r="N17420" s="1"/>
    </row>
    <row r="17421" spans="7:14" x14ac:dyDescent="0.3">
      <c r="G17421" s="1"/>
      <c r="N17421" s="1"/>
    </row>
    <row r="17422" spans="7:14" x14ac:dyDescent="0.3">
      <c r="G17422" s="1"/>
      <c r="N17422" s="1"/>
    </row>
    <row r="17423" spans="7:14" x14ac:dyDescent="0.3">
      <c r="G17423" s="1"/>
      <c r="N17423" s="1"/>
    </row>
    <row r="17424" spans="7:14" x14ac:dyDescent="0.3">
      <c r="G17424" s="1"/>
      <c r="N17424" s="1"/>
    </row>
    <row r="17425" spans="7:14" x14ac:dyDescent="0.3">
      <c r="G17425" s="1"/>
      <c r="N17425" s="1"/>
    </row>
    <row r="17426" spans="7:14" x14ac:dyDescent="0.3">
      <c r="G17426" s="1"/>
      <c r="N17426" s="1"/>
    </row>
    <row r="17427" spans="7:14" x14ac:dyDescent="0.3">
      <c r="G17427" s="1"/>
      <c r="N17427" s="1"/>
    </row>
    <row r="17428" spans="7:14" x14ac:dyDescent="0.3">
      <c r="G17428" s="1"/>
      <c r="N17428" s="1"/>
    </row>
    <row r="17429" spans="7:14" x14ac:dyDescent="0.3">
      <c r="G17429" s="1"/>
      <c r="N17429" s="1"/>
    </row>
    <row r="17430" spans="7:14" x14ac:dyDescent="0.3">
      <c r="G17430" s="1"/>
      <c r="N17430" s="1"/>
    </row>
    <row r="17431" spans="7:14" x14ac:dyDescent="0.3">
      <c r="G17431" s="1"/>
      <c r="N17431" s="1"/>
    </row>
    <row r="17432" spans="7:14" x14ac:dyDescent="0.3">
      <c r="G17432" s="1"/>
      <c r="N17432" s="1"/>
    </row>
    <row r="17433" spans="7:14" x14ac:dyDescent="0.3">
      <c r="G17433" s="1"/>
      <c r="N17433" s="1"/>
    </row>
    <row r="17434" spans="7:14" x14ac:dyDescent="0.3">
      <c r="G17434" s="1"/>
      <c r="N17434" s="1"/>
    </row>
    <row r="17435" spans="7:14" x14ac:dyDescent="0.3">
      <c r="G17435" s="1"/>
      <c r="N17435" s="1"/>
    </row>
    <row r="17436" spans="7:14" x14ac:dyDescent="0.3">
      <c r="G17436" s="1"/>
      <c r="N17436" s="1"/>
    </row>
    <row r="17437" spans="7:14" x14ac:dyDescent="0.3">
      <c r="G17437" s="1"/>
      <c r="N17437" s="1"/>
    </row>
    <row r="17438" spans="7:14" x14ac:dyDescent="0.3">
      <c r="G17438" s="1"/>
      <c r="N17438" s="1"/>
    </row>
    <row r="17439" spans="7:14" x14ac:dyDescent="0.3">
      <c r="G17439" s="1"/>
      <c r="N17439" s="1"/>
    </row>
    <row r="17440" spans="7:14" x14ac:dyDescent="0.3">
      <c r="G17440" s="1"/>
      <c r="N17440" s="1"/>
    </row>
    <row r="17441" spans="7:14" x14ac:dyDescent="0.3">
      <c r="G17441" s="1"/>
      <c r="N17441" s="1"/>
    </row>
    <row r="17442" spans="7:14" x14ac:dyDescent="0.3">
      <c r="G17442" s="1"/>
      <c r="N17442" s="1"/>
    </row>
    <row r="17443" spans="7:14" x14ac:dyDescent="0.3">
      <c r="G17443" s="1"/>
      <c r="N17443" s="1"/>
    </row>
    <row r="17444" spans="7:14" x14ac:dyDescent="0.3">
      <c r="G17444" s="1"/>
      <c r="N17444" s="1"/>
    </row>
    <row r="17445" spans="7:14" x14ac:dyDescent="0.3">
      <c r="G17445" s="1"/>
      <c r="N17445" s="1"/>
    </row>
    <row r="17446" spans="7:14" x14ac:dyDescent="0.3">
      <c r="G17446" s="1"/>
      <c r="N17446" s="1"/>
    </row>
    <row r="17447" spans="7:14" x14ac:dyDescent="0.3">
      <c r="G17447" s="1"/>
      <c r="N17447" s="1"/>
    </row>
    <row r="17448" spans="7:14" x14ac:dyDescent="0.3">
      <c r="G17448" s="1"/>
      <c r="N17448" s="1"/>
    </row>
    <row r="17449" spans="7:14" x14ac:dyDescent="0.3">
      <c r="G17449" s="1"/>
      <c r="N17449" s="1"/>
    </row>
    <row r="17450" spans="7:14" x14ac:dyDescent="0.3">
      <c r="G17450" s="1"/>
      <c r="N17450" s="1"/>
    </row>
    <row r="17451" spans="7:14" x14ac:dyDescent="0.3">
      <c r="G17451" s="1"/>
      <c r="N17451" s="1"/>
    </row>
    <row r="17452" spans="7:14" x14ac:dyDescent="0.3">
      <c r="G17452" s="1"/>
      <c r="N17452" s="1"/>
    </row>
    <row r="17453" spans="7:14" x14ac:dyDescent="0.3">
      <c r="G17453" s="1"/>
      <c r="N17453" s="1"/>
    </row>
    <row r="17454" spans="7:14" x14ac:dyDescent="0.3">
      <c r="G17454" s="1"/>
      <c r="N17454" s="1"/>
    </row>
    <row r="17455" spans="7:14" x14ac:dyDescent="0.3">
      <c r="G17455" s="1"/>
      <c r="N17455" s="1"/>
    </row>
    <row r="17456" spans="7:14" x14ac:dyDescent="0.3">
      <c r="G17456" s="1"/>
      <c r="N17456" s="1"/>
    </row>
    <row r="17457" spans="7:14" x14ac:dyDescent="0.3">
      <c r="G17457" s="1"/>
      <c r="N17457" s="1"/>
    </row>
    <row r="17458" spans="7:14" x14ac:dyDescent="0.3">
      <c r="G17458" s="1"/>
      <c r="N17458" s="1"/>
    </row>
    <row r="17459" spans="7:14" x14ac:dyDescent="0.3">
      <c r="G17459" s="1"/>
      <c r="N17459" s="1"/>
    </row>
    <row r="17460" spans="7:14" x14ac:dyDescent="0.3">
      <c r="G17460" s="1"/>
      <c r="N17460" s="1"/>
    </row>
    <row r="17461" spans="7:14" x14ac:dyDescent="0.3">
      <c r="G17461" s="1"/>
      <c r="N17461" s="1"/>
    </row>
    <row r="17462" spans="7:14" x14ac:dyDescent="0.3">
      <c r="G17462" s="1"/>
      <c r="N17462" s="1"/>
    </row>
    <row r="17463" spans="7:14" x14ac:dyDescent="0.3">
      <c r="G17463" s="1"/>
      <c r="N17463" s="1"/>
    </row>
    <row r="17464" spans="7:14" x14ac:dyDescent="0.3">
      <c r="G17464" s="1"/>
      <c r="N17464" s="1"/>
    </row>
    <row r="17465" spans="7:14" x14ac:dyDescent="0.3">
      <c r="G17465" s="1"/>
      <c r="N17465" s="1"/>
    </row>
    <row r="17466" spans="7:14" x14ac:dyDescent="0.3">
      <c r="G17466" s="1"/>
      <c r="N17466" s="1"/>
    </row>
    <row r="17467" spans="7:14" x14ac:dyDescent="0.3">
      <c r="G17467" s="1"/>
      <c r="N17467" s="1"/>
    </row>
    <row r="17468" spans="7:14" x14ac:dyDescent="0.3">
      <c r="G17468" s="1"/>
      <c r="N17468" s="1"/>
    </row>
    <row r="17469" spans="7:14" x14ac:dyDescent="0.3">
      <c r="G17469" s="1"/>
      <c r="N17469" s="1"/>
    </row>
    <row r="17470" spans="7:14" x14ac:dyDescent="0.3">
      <c r="G17470" s="1"/>
      <c r="N17470" s="1"/>
    </row>
    <row r="17471" spans="7:14" x14ac:dyDescent="0.3">
      <c r="G17471" s="1"/>
      <c r="N17471" s="1"/>
    </row>
    <row r="17472" spans="7:14" x14ac:dyDescent="0.3">
      <c r="G17472" s="1"/>
      <c r="N17472" s="1"/>
    </row>
    <row r="17473" spans="7:14" x14ac:dyDescent="0.3">
      <c r="G17473" s="1"/>
      <c r="N17473" s="1"/>
    </row>
    <row r="17474" spans="7:14" x14ac:dyDescent="0.3">
      <c r="G17474" s="1"/>
      <c r="N17474" s="1"/>
    </row>
    <row r="17475" spans="7:14" x14ac:dyDescent="0.3">
      <c r="G17475" s="1"/>
      <c r="N17475" s="1"/>
    </row>
    <row r="17476" spans="7:14" x14ac:dyDescent="0.3">
      <c r="G17476" s="1"/>
      <c r="N17476" s="1"/>
    </row>
    <row r="17477" spans="7:14" x14ac:dyDescent="0.3">
      <c r="G17477" s="1"/>
      <c r="N17477" s="1"/>
    </row>
    <row r="17478" spans="7:14" x14ac:dyDescent="0.3">
      <c r="G17478" s="1"/>
      <c r="N17478" s="1"/>
    </row>
    <row r="17479" spans="7:14" x14ac:dyDescent="0.3">
      <c r="G17479" s="1"/>
      <c r="N17479" s="1"/>
    </row>
    <row r="17480" spans="7:14" x14ac:dyDescent="0.3">
      <c r="G17480" s="1"/>
      <c r="N17480" s="1"/>
    </row>
    <row r="17481" spans="7:14" x14ac:dyDescent="0.3">
      <c r="G17481" s="1"/>
      <c r="N17481" s="1"/>
    </row>
    <row r="17482" spans="7:14" x14ac:dyDescent="0.3">
      <c r="G17482" s="1"/>
      <c r="N17482" s="1"/>
    </row>
    <row r="17483" spans="7:14" x14ac:dyDescent="0.3">
      <c r="G17483" s="1"/>
      <c r="N17483" s="1"/>
    </row>
    <row r="17484" spans="7:14" x14ac:dyDescent="0.3">
      <c r="G17484" s="1"/>
      <c r="N17484" s="1"/>
    </row>
    <row r="17485" spans="7:14" x14ac:dyDescent="0.3">
      <c r="G17485" s="1"/>
      <c r="N17485" s="1"/>
    </row>
    <row r="17486" spans="7:14" x14ac:dyDescent="0.3">
      <c r="G17486" s="1"/>
      <c r="N17486" s="1"/>
    </row>
    <row r="17487" spans="7:14" x14ac:dyDescent="0.3">
      <c r="G17487" s="1"/>
      <c r="N17487" s="1"/>
    </row>
    <row r="17488" spans="7:14" x14ac:dyDescent="0.3">
      <c r="G17488" s="1"/>
      <c r="N17488" s="1"/>
    </row>
    <row r="17489" spans="7:14" x14ac:dyDescent="0.3">
      <c r="G17489" s="1"/>
      <c r="N17489" s="1"/>
    </row>
    <row r="17490" spans="7:14" x14ac:dyDescent="0.3">
      <c r="G17490" s="1"/>
      <c r="N17490" s="1"/>
    </row>
    <row r="17491" spans="7:14" x14ac:dyDescent="0.3">
      <c r="G17491" s="1"/>
      <c r="N17491" s="1"/>
    </row>
    <row r="17492" spans="7:14" x14ac:dyDescent="0.3">
      <c r="G17492" s="1"/>
      <c r="N17492" s="1"/>
    </row>
    <row r="17493" spans="7:14" x14ac:dyDescent="0.3">
      <c r="G17493" s="1"/>
      <c r="N17493" s="1"/>
    </row>
    <row r="17494" spans="7:14" x14ac:dyDescent="0.3">
      <c r="G17494" s="1"/>
      <c r="N17494" s="1"/>
    </row>
    <row r="17495" spans="7:14" x14ac:dyDescent="0.3">
      <c r="G17495" s="1"/>
      <c r="N17495" s="1"/>
    </row>
    <row r="17496" spans="7:14" x14ac:dyDescent="0.3">
      <c r="G17496" s="1"/>
      <c r="N17496" s="1"/>
    </row>
    <row r="17497" spans="7:14" x14ac:dyDescent="0.3">
      <c r="G17497" s="1"/>
      <c r="N17497" s="1"/>
    </row>
    <row r="17498" spans="7:14" x14ac:dyDescent="0.3">
      <c r="G17498" s="1"/>
      <c r="N17498" s="1"/>
    </row>
    <row r="17499" spans="7:14" x14ac:dyDescent="0.3">
      <c r="G17499" s="1"/>
      <c r="N17499" s="1"/>
    </row>
    <row r="17500" spans="7:14" x14ac:dyDescent="0.3">
      <c r="G17500" s="1"/>
      <c r="N17500" s="1"/>
    </row>
    <row r="17501" spans="7:14" x14ac:dyDescent="0.3">
      <c r="G17501" s="1"/>
      <c r="N17501" s="1"/>
    </row>
    <row r="17502" spans="7:14" x14ac:dyDescent="0.3">
      <c r="G17502" s="1"/>
      <c r="N17502" s="1"/>
    </row>
    <row r="17503" spans="7:14" x14ac:dyDescent="0.3">
      <c r="G17503" s="1"/>
      <c r="N17503" s="1"/>
    </row>
    <row r="17504" spans="7:14" x14ac:dyDescent="0.3">
      <c r="G17504" s="1"/>
      <c r="N17504" s="1"/>
    </row>
    <row r="17505" spans="7:14" x14ac:dyDescent="0.3">
      <c r="G17505" s="1"/>
      <c r="N17505" s="1"/>
    </row>
    <row r="17506" spans="7:14" x14ac:dyDescent="0.3">
      <c r="G17506" s="1"/>
      <c r="N17506" s="1"/>
    </row>
    <row r="17507" spans="7:14" x14ac:dyDescent="0.3">
      <c r="G17507" s="1"/>
      <c r="N17507" s="1"/>
    </row>
    <row r="17508" spans="7:14" x14ac:dyDescent="0.3">
      <c r="G17508" s="1"/>
      <c r="N17508" s="1"/>
    </row>
    <row r="17509" spans="7:14" x14ac:dyDescent="0.3">
      <c r="G17509" s="1"/>
      <c r="N17509" s="1"/>
    </row>
    <row r="17510" spans="7:14" x14ac:dyDescent="0.3">
      <c r="G17510" s="1"/>
      <c r="N17510" s="1"/>
    </row>
    <row r="17511" spans="7:14" x14ac:dyDescent="0.3">
      <c r="G17511" s="1"/>
      <c r="N17511" s="1"/>
    </row>
    <row r="17512" spans="7:14" x14ac:dyDescent="0.3">
      <c r="G17512" s="1"/>
      <c r="N17512" s="1"/>
    </row>
    <row r="17513" spans="7:14" x14ac:dyDescent="0.3">
      <c r="G17513" s="1"/>
      <c r="N17513" s="1"/>
    </row>
    <row r="17514" spans="7:14" x14ac:dyDescent="0.3">
      <c r="G17514" s="1"/>
      <c r="N17514" s="1"/>
    </row>
    <row r="17515" spans="7:14" x14ac:dyDescent="0.3">
      <c r="G17515" s="1"/>
      <c r="N17515" s="1"/>
    </row>
    <row r="17516" spans="7:14" x14ac:dyDescent="0.3">
      <c r="G17516" s="1"/>
      <c r="N17516" s="1"/>
    </row>
    <row r="17517" spans="7:14" x14ac:dyDescent="0.3">
      <c r="G17517" s="1"/>
      <c r="N17517" s="1"/>
    </row>
    <row r="17518" spans="7:14" x14ac:dyDescent="0.3">
      <c r="G17518" s="1"/>
      <c r="N17518" s="1"/>
    </row>
    <row r="17519" spans="7:14" x14ac:dyDescent="0.3">
      <c r="G17519" s="1"/>
      <c r="N17519" s="1"/>
    </row>
    <row r="17520" spans="7:14" x14ac:dyDescent="0.3">
      <c r="G17520" s="1"/>
      <c r="N17520" s="1"/>
    </row>
    <row r="17521" spans="7:14" x14ac:dyDescent="0.3">
      <c r="G17521" s="1"/>
      <c r="N17521" s="1"/>
    </row>
    <row r="17522" spans="7:14" x14ac:dyDescent="0.3">
      <c r="G17522" s="1"/>
      <c r="N17522" s="1"/>
    </row>
    <row r="17523" spans="7:14" x14ac:dyDescent="0.3">
      <c r="G17523" s="1"/>
      <c r="N17523" s="1"/>
    </row>
    <row r="17524" spans="7:14" x14ac:dyDescent="0.3">
      <c r="G17524" s="1"/>
      <c r="N17524" s="1"/>
    </row>
    <row r="17525" spans="7:14" x14ac:dyDescent="0.3">
      <c r="G17525" s="1"/>
      <c r="N17525" s="1"/>
    </row>
    <row r="17526" spans="7:14" x14ac:dyDescent="0.3">
      <c r="G17526" s="1"/>
      <c r="N17526" s="1"/>
    </row>
    <row r="17527" spans="7:14" x14ac:dyDescent="0.3">
      <c r="G17527" s="1"/>
      <c r="N17527" s="1"/>
    </row>
    <row r="17528" spans="7:14" x14ac:dyDescent="0.3">
      <c r="G17528" s="1"/>
      <c r="N17528" s="1"/>
    </row>
    <row r="17529" spans="7:14" x14ac:dyDescent="0.3">
      <c r="G17529" s="1"/>
      <c r="N17529" s="1"/>
    </row>
    <row r="17530" spans="7:14" x14ac:dyDescent="0.3">
      <c r="G17530" s="1"/>
      <c r="N17530" s="1"/>
    </row>
    <row r="17531" spans="7:14" x14ac:dyDescent="0.3">
      <c r="G17531" s="1"/>
      <c r="N17531" s="1"/>
    </row>
    <row r="17532" spans="7:14" x14ac:dyDescent="0.3">
      <c r="G17532" s="1"/>
      <c r="N17532" s="1"/>
    </row>
    <row r="17533" spans="7:14" x14ac:dyDescent="0.3">
      <c r="G17533" s="1"/>
      <c r="N17533" s="1"/>
    </row>
    <row r="17534" spans="7:14" x14ac:dyDescent="0.3">
      <c r="G17534" s="1"/>
      <c r="N17534" s="1"/>
    </row>
    <row r="17535" spans="7:14" x14ac:dyDescent="0.3">
      <c r="G17535" s="1"/>
      <c r="N17535" s="1"/>
    </row>
    <row r="17536" spans="7:14" x14ac:dyDescent="0.3">
      <c r="G17536" s="1"/>
      <c r="N17536" s="1"/>
    </row>
    <row r="17537" spans="7:14" x14ac:dyDescent="0.3">
      <c r="G17537" s="1"/>
      <c r="N17537" s="1"/>
    </row>
    <row r="17538" spans="7:14" x14ac:dyDescent="0.3">
      <c r="G17538" s="1"/>
      <c r="N17538" s="1"/>
    </row>
    <row r="17539" spans="7:14" x14ac:dyDescent="0.3">
      <c r="G17539" s="1"/>
      <c r="N17539" s="1"/>
    </row>
    <row r="17540" spans="7:14" x14ac:dyDescent="0.3">
      <c r="G17540" s="1"/>
      <c r="N17540" s="1"/>
    </row>
    <row r="17541" spans="7:14" x14ac:dyDescent="0.3">
      <c r="G17541" s="1"/>
      <c r="N17541" s="1"/>
    </row>
    <row r="17542" spans="7:14" x14ac:dyDescent="0.3">
      <c r="G17542" s="1"/>
      <c r="N17542" s="1"/>
    </row>
    <row r="17543" spans="7:14" x14ac:dyDescent="0.3">
      <c r="G17543" s="1"/>
      <c r="N17543" s="1"/>
    </row>
    <row r="17544" spans="7:14" x14ac:dyDescent="0.3">
      <c r="G17544" s="1"/>
      <c r="N17544" s="1"/>
    </row>
    <row r="17545" spans="7:14" x14ac:dyDescent="0.3">
      <c r="G17545" s="1"/>
      <c r="N17545" s="1"/>
    </row>
    <row r="17546" spans="7:14" x14ac:dyDescent="0.3">
      <c r="G17546" s="1"/>
      <c r="N17546" s="1"/>
    </row>
    <row r="17547" spans="7:14" x14ac:dyDescent="0.3">
      <c r="G17547" s="1"/>
      <c r="N17547" s="1"/>
    </row>
    <row r="17548" spans="7:14" x14ac:dyDescent="0.3">
      <c r="G17548" s="1"/>
      <c r="N17548" s="1"/>
    </row>
    <row r="17549" spans="7:14" x14ac:dyDescent="0.3">
      <c r="G17549" s="1"/>
      <c r="N17549" s="1"/>
    </row>
    <row r="17550" spans="7:14" x14ac:dyDescent="0.3">
      <c r="G17550" s="1"/>
      <c r="N17550" s="1"/>
    </row>
    <row r="17551" spans="7:14" x14ac:dyDescent="0.3">
      <c r="G17551" s="1"/>
      <c r="N17551" s="1"/>
    </row>
    <row r="17552" spans="7:14" x14ac:dyDescent="0.3">
      <c r="G17552" s="1"/>
      <c r="N17552" s="1"/>
    </row>
    <row r="17553" spans="7:14" x14ac:dyDescent="0.3">
      <c r="G17553" s="1"/>
      <c r="N17553" s="1"/>
    </row>
    <row r="17554" spans="7:14" x14ac:dyDescent="0.3">
      <c r="G17554" s="1"/>
      <c r="N17554" s="1"/>
    </row>
    <row r="17555" spans="7:14" x14ac:dyDescent="0.3">
      <c r="G17555" s="1"/>
      <c r="N17555" s="1"/>
    </row>
    <row r="17556" spans="7:14" x14ac:dyDescent="0.3">
      <c r="G17556" s="1"/>
      <c r="N17556" s="1"/>
    </row>
    <row r="17557" spans="7:14" x14ac:dyDescent="0.3">
      <c r="G17557" s="1"/>
      <c r="N17557" s="1"/>
    </row>
    <row r="17558" spans="7:14" x14ac:dyDescent="0.3">
      <c r="G17558" s="1"/>
      <c r="N17558" s="1"/>
    </row>
    <row r="17559" spans="7:14" x14ac:dyDescent="0.3">
      <c r="G17559" s="1"/>
      <c r="N17559" s="1"/>
    </row>
    <row r="17560" spans="7:14" x14ac:dyDescent="0.3">
      <c r="G17560" s="1"/>
      <c r="N17560" s="1"/>
    </row>
    <row r="17561" spans="7:14" x14ac:dyDescent="0.3">
      <c r="G17561" s="1"/>
      <c r="N17561" s="1"/>
    </row>
    <row r="17562" spans="7:14" x14ac:dyDescent="0.3">
      <c r="G17562" s="1"/>
      <c r="N17562" s="1"/>
    </row>
    <row r="17563" spans="7:14" x14ac:dyDescent="0.3">
      <c r="G17563" s="1"/>
      <c r="N17563" s="1"/>
    </row>
    <row r="17564" spans="7:14" x14ac:dyDescent="0.3">
      <c r="G17564" s="1"/>
      <c r="N17564" s="1"/>
    </row>
    <row r="17565" spans="7:14" x14ac:dyDescent="0.3">
      <c r="G17565" s="1"/>
      <c r="N17565" s="1"/>
    </row>
    <row r="17566" spans="7:14" x14ac:dyDescent="0.3">
      <c r="G17566" s="1"/>
      <c r="N17566" s="1"/>
    </row>
    <row r="17567" spans="7:14" x14ac:dyDescent="0.3">
      <c r="G17567" s="1"/>
      <c r="N17567" s="1"/>
    </row>
    <row r="17568" spans="7:14" x14ac:dyDescent="0.3">
      <c r="G17568" s="1"/>
      <c r="N17568" s="1"/>
    </row>
    <row r="17569" spans="7:14" x14ac:dyDescent="0.3">
      <c r="G17569" s="1"/>
      <c r="N17569" s="1"/>
    </row>
    <row r="17570" spans="7:14" x14ac:dyDescent="0.3">
      <c r="G17570" s="1"/>
      <c r="N17570" s="1"/>
    </row>
    <row r="17571" spans="7:14" x14ac:dyDescent="0.3">
      <c r="G17571" s="1"/>
      <c r="N17571" s="1"/>
    </row>
    <row r="17572" spans="7:14" x14ac:dyDescent="0.3">
      <c r="G17572" s="1"/>
      <c r="N17572" s="1"/>
    </row>
    <row r="17573" spans="7:14" x14ac:dyDescent="0.3">
      <c r="G17573" s="1"/>
      <c r="N17573" s="1"/>
    </row>
    <row r="17574" spans="7:14" x14ac:dyDescent="0.3">
      <c r="G17574" s="1"/>
      <c r="N17574" s="1"/>
    </row>
    <row r="17575" spans="7:14" x14ac:dyDescent="0.3">
      <c r="G17575" s="1"/>
      <c r="N17575" s="1"/>
    </row>
    <row r="17576" spans="7:14" x14ac:dyDescent="0.3">
      <c r="G17576" s="1"/>
      <c r="N17576" s="1"/>
    </row>
    <row r="17577" spans="7:14" x14ac:dyDescent="0.3">
      <c r="G17577" s="1"/>
      <c r="N17577" s="1"/>
    </row>
    <row r="17578" spans="7:14" x14ac:dyDescent="0.3">
      <c r="G17578" s="1"/>
      <c r="N17578" s="1"/>
    </row>
    <row r="17579" spans="7:14" x14ac:dyDescent="0.3">
      <c r="G17579" s="1"/>
      <c r="N17579" s="1"/>
    </row>
    <row r="17580" spans="7:14" x14ac:dyDescent="0.3">
      <c r="G17580" s="1"/>
      <c r="N17580" s="1"/>
    </row>
    <row r="17581" spans="7:14" x14ac:dyDescent="0.3">
      <c r="G17581" s="1"/>
      <c r="N17581" s="1"/>
    </row>
    <row r="17582" spans="7:14" x14ac:dyDescent="0.3">
      <c r="G17582" s="1"/>
      <c r="N17582" s="1"/>
    </row>
    <row r="17583" spans="7:14" x14ac:dyDescent="0.3">
      <c r="G17583" s="1"/>
      <c r="N17583" s="1"/>
    </row>
    <row r="17584" spans="7:14" x14ac:dyDescent="0.3">
      <c r="G17584" s="1"/>
      <c r="N17584" s="1"/>
    </row>
    <row r="17585" spans="7:14" x14ac:dyDescent="0.3">
      <c r="G17585" s="1"/>
      <c r="N17585" s="1"/>
    </row>
    <row r="17586" spans="7:14" x14ac:dyDescent="0.3">
      <c r="G17586" s="1"/>
      <c r="N17586" s="1"/>
    </row>
    <row r="17587" spans="7:14" x14ac:dyDescent="0.3">
      <c r="G17587" s="1"/>
      <c r="N17587" s="1"/>
    </row>
    <row r="17588" spans="7:14" x14ac:dyDescent="0.3">
      <c r="G17588" s="1"/>
      <c r="N17588" s="1"/>
    </row>
    <row r="17589" spans="7:14" x14ac:dyDescent="0.3">
      <c r="G17589" s="1"/>
      <c r="N17589" s="1"/>
    </row>
    <row r="17590" spans="7:14" x14ac:dyDescent="0.3">
      <c r="G17590" s="1"/>
      <c r="N17590" s="1"/>
    </row>
    <row r="17591" spans="7:14" x14ac:dyDescent="0.3">
      <c r="G17591" s="1"/>
      <c r="N17591" s="1"/>
    </row>
    <row r="17592" spans="7:14" x14ac:dyDescent="0.3">
      <c r="G17592" s="1"/>
      <c r="N17592" s="1"/>
    </row>
    <row r="17593" spans="7:14" x14ac:dyDescent="0.3">
      <c r="G17593" s="1"/>
      <c r="N17593" s="1"/>
    </row>
    <row r="17594" spans="7:14" x14ac:dyDescent="0.3">
      <c r="G17594" s="1"/>
      <c r="N17594" s="1"/>
    </row>
    <row r="17595" spans="7:14" x14ac:dyDescent="0.3">
      <c r="G17595" s="1"/>
      <c r="N17595" s="1"/>
    </row>
    <row r="17596" spans="7:14" x14ac:dyDescent="0.3">
      <c r="G17596" s="1"/>
      <c r="N17596" s="1"/>
    </row>
    <row r="17597" spans="7:14" x14ac:dyDescent="0.3">
      <c r="G17597" s="1"/>
      <c r="N17597" s="1"/>
    </row>
    <row r="17598" spans="7:14" x14ac:dyDescent="0.3">
      <c r="G17598" s="1"/>
      <c r="N17598" s="1"/>
    </row>
    <row r="17599" spans="7:14" x14ac:dyDescent="0.3">
      <c r="G17599" s="1"/>
      <c r="N17599" s="1"/>
    </row>
    <row r="17600" spans="7:14" x14ac:dyDescent="0.3">
      <c r="G17600" s="1"/>
      <c r="N17600" s="1"/>
    </row>
    <row r="17601" spans="7:14" x14ac:dyDescent="0.3">
      <c r="G17601" s="1"/>
      <c r="N17601" s="1"/>
    </row>
    <row r="17602" spans="7:14" x14ac:dyDescent="0.3">
      <c r="G17602" s="1"/>
      <c r="N17602" s="1"/>
    </row>
    <row r="17603" spans="7:14" x14ac:dyDescent="0.3">
      <c r="G17603" s="1"/>
      <c r="N17603" s="1"/>
    </row>
    <row r="17604" spans="7:14" x14ac:dyDescent="0.3">
      <c r="G17604" s="1"/>
      <c r="N17604" s="1"/>
    </row>
    <row r="17605" spans="7:14" x14ac:dyDescent="0.3">
      <c r="G17605" s="1"/>
      <c r="N17605" s="1"/>
    </row>
    <row r="17606" spans="7:14" x14ac:dyDescent="0.3">
      <c r="G17606" s="1"/>
      <c r="N17606" s="1"/>
    </row>
    <row r="17607" spans="7:14" x14ac:dyDescent="0.3">
      <c r="G17607" s="1"/>
      <c r="N17607" s="1"/>
    </row>
    <row r="17608" spans="7:14" x14ac:dyDescent="0.3">
      <c r="G17608" s="1"/>
      <c r="N17608" s="1"/>
    </row>
    <row r="17609" spans="7:14" x14ac:dyDescent="0.3">
      <c r="G17609" s="1"/>
      <c r="N17609" s="1"/>
    </row>
    <row r="17610" spans="7:14" x14ac:dyDescent="0.3">
      <c r="G17610" s="1"/>
      <c r="N17610" s="1"/>
    </row>
    <row r="17611" spans="7:14" x14ac:dyDescent="0.3">
      <c r="G17611" s="1"/>
      <c r="N17611" s="1"/>
    </row>
    <row r="17612" spans="7:14" x14ac:dyDescent="0.3">
      <c r="G17612" s="1"/>
      <c r="N17612" s="1"/>
    </row>
    <row r="17613" spans="7:14" x14ac:dyDescent="0.3">
      <c r="G17613" s="1"/>
      <c r="N17613" s="1"/>
    </row>
    <row r="17614" spans="7:14" x14ac:dyDescent="0.3">
      <c r="G17614" s="1"/>
      <c r="N17614" s="1"/>
    </row>
    <row r="17615" spans="7:14" x14ac:dyDescent="0.3">
      <c r="G17615" s="1"/>
      <c r="N17615" s="1"/>
    </row>
    <row r="17616" spans="7:14" x14ac:dyDescent="0.3">
      <c r="G17616" s="1"/>
      <c r="N17616" s="1"/>
    </row>
    <row r="17617" spans="7:14" x14ac:dyDescent="0.3">
      <c r="G17617" s="1"/>
      <c r="N17617" s="1"/>
    </row>
    <row r="17618" spans="7:14" x14ac:dyDescent="0.3">
      <c r="G17618" s="1"/>
      <c r="N17618" s="1"/>
    </row>
    <row r="17619" spans="7:14" x14ac:dyDescent="0.3">
      <c r="G17619" s="1"/>
      <c r="N17619" s="1"/>
    </row>
    <row r="17620" spans="7:14" x14ac:dyDescent="0.3">
      <c r="G17620" s="1"/>
      <c r="N17620" s="1"/>
    </row>
    <row r="17621" spans="7:14" x14ac:dyDescent="0.3">
      <c r="G17621" s="1"/>
      <c r="N17621" s="1"/>
    </row>
    <row r="17622" spans="7:14" x14ac:dyDescent="0.3">
      <c r="G17622" s="1"/>
      <c r="N17622" s="1"/>
    </row>
    <row r="17623" spans="7:14" x14ac:dyDescent="0.3">
      <c r="G17623" s="1"/>
      <c r="N17623" s="1"/>
    </row>
    <row r="17624" spans="7:14" x14ac:dyDescent="0.3">
      <c r="G17624" s="1"/>
      <c r="N17624" s="1"/>
    </row>
    <row r="17625" spans="7:14" x14ac:dyDescent="0.3">
      <c r="G17625" s="1"/>
      <c r="N17625" s="1"/>
    </row>
    <row r="17626" spans="7:14" x14ac:dyDescent="0.3">
      <c r="G17626" s="1"/>
      <c r="N17626" s="1"/>
    </row>
    <row r="17627" spans="7:14" x14ac:dyDescent="0.3">
      <c r="G17627" s="1"/>
      <c r="N17627" s="1"/>
    </row>
    <row r="17628" spans="7:14" x14ac:dyDescent="0.3">
      <c r="G17628" s="1"/>
      <c r="N17628" s="1"/>
    </row>
    <row r="17629" spans="7:14" x14ac:dyDescent="0.3">
      <c r="G17629" s="1"/>
      <c r="N17629" s="1"/>
    </row>
    <row r="17630" spans="7:14" x14ac:dyDescent="0.3">
      <c r="G17630" s="1"/>
      <c r="N17630" s="1"/>
    </row>
    <row r="17631" spans="7:14" x14ac:dyDescent="0.3">
      <c r="G17631" s="1"/>
      <c r="N17631" s="1"/>
    </row>
    <row r="17632" spans="7:14" x14ac:dyDescent="0.3">
      <c r="G17632" s="1"/>
      <c r="N17632" s="1"/>
    </row>
    <row r="17633" spans="7:14" x14ac:dyDescent="0.3">
      <c r="G17633" s="1"/>
      <c r="N17633" s="1"/>
    </row>
    <row r="17634" spans="7:14" x14ac:dyDescent="0.3">
      <c r="G17634" s="1"/>
      <c r="N17634" s="1"/>
    </row>
    <row r="17635" spans="7:14" x14ac:dyDescent="0.3">
      <c r="G17635" s="1"/>
      <c r="N17635" s="1"/>
    </row>
    <row r="17636" spans="7:14" x14ac:dyDescent="0.3">
      <c r="G17636" s="1"/>
      <c r="N17636" s="1"/>
    </row>
    <row r="17637" spans="7:14" x14ac:dyDescent="0.3">
      <c r="G17637" s="1"/>
      <c r="N17637" s="1"/>
    </row>
    <row r="17638" spans="7:14" x14ac:dyDescent="0.3">
      <c r="G17638" s="1"/>
      <c r="N17638" s="1"/>
    </row>
    <row r="17639" spans="7:14" x14ac:dyDescent="0.3">
      <c r="G17639" s="1"/>
      <c r="N17639" s="1"/>
    </row>
    <row r="17640" spans="7:14" x14ac:dyDescent="0.3">
      <c r="G17640" s="1"/>
      <c r="N17640" s="1"/>
    </row>
    <row r="17641" spans="7:14" x14ac:dyDescent="0.3">
      <c r="G17641" s="1"/>
      <c r="N17641" s="1"/>
    </row>
    <row r="17642" spans="7:14" x14ac:dyDescent="0.3">
      <c r="G17642" s="1"/>
      <c r="N17642" s="1"/>
    </row>
    <row r="17643" spans="7:14" x14ac:dyDescent="0.3">
      <c r="G17643" s="1"/>
      <c r="N17643" s="1"/>
    </row>
    <row r="17644" spans="7:14" x14ac:dyDescent="0.3">
      <c r="G17644" s="1"/>
      <c r="N17644" s="1"/>
    </row>
    <row r="17645" spans="7:14" x14ac:dyDescent="0.3">
      <c r="G17645" s="1"/>
      <c r="N17645" s="1"/>
    </row>
    <row r="17646" spans="7:14" x14ac:dyDescent="0.3">
      <c r="G17646" s="1"/>
      <c r="N17646" s="1"/>
    </row>
    <row r="17647" spans="7:14" x14ac:dyDescent="0.3">
      <c r="G17647" s="1"/>
      <c r="N17647" s="1"/>
    </row>
    <row r="17648" spans="7:14" x14ac:dyDescent="0.3">
      <c r="G17648" s="1"/>
      <c r="N17648" s="1"/>
    </row>
    <row r="17649" spans="7:14" x14ac:dyDescent="0.3">
      <c r="G17649" s="1"/>
      <c r="N17649" s="1"/>
    </row>
    <row r="17650" spans="7:14" x14ac:dyDescent="0.3">
      <c r="G17650" s="1"/>
      <c r="N17650" s="1"/>
    </row>
    <row r="17651" spans="7:14" x14ac:dyDescent="0.3">
      <c r="G17651" s="1"/>
      <c r="N17651" s="1"/>
    </row>
    <row r="17652" spans="7:14" x14ac:dyDescent="0.3">
      <c r="G17652" s="1"/>
      <c r="N17652" s="1"/>
    </row>
    <row r="17653" spans="7:14" x14ac:dyDescent="0.3">
      <c r="G17653" s="1"/>
      <c r="N17653" s="1"/>
    </row>
    <row r="17654" spans="7:14" x14ac:dyDescent="0.3">
      <c r="G17654" s="1"/>
      <c r="N17654" s="1"/>
    </row>
    <row r="17655" spans="7:14" x14ac:dyDescent="0.3">
      <c r="G17655" s="1"/>
      <c r="N17655" s="1"/>
    </row>
    <row r="17656" spans="7:14" x14ac:dyDescent="0.3">
      <c r="G17656" s="1"/>
      <c r="N17656" s="1"/>
    </row>
    <row r="17657" spans="7:14" x14ac:dyDescent="0.3">
      <c r="G17657" s="1"/>
      <c r="N17657" s="1"/>
    </row>
    <row r="17658" spans="7:14" x14ac:dyDescent="0.3">
      <c r="G17658" s="1"/>
      <c r="N17658" s="1"/>
    </row>
    <row r="17659" spans="7:14" x14ac:dyDescent="0.3">
      <c r="G17659" s="1"/>
      <c r="N17659" s="1"/>
    </row>
    <row r="17660" spans="7:14" x14ac:dyDescent="0.3">
      <c r="G17660" s="1"/>
      <c r="N17660" s="1"/>
    </row>
    <row r="17661" spans="7:14" x14ac:dyDescent="0.3">
      <c r="G17661" s="1"/>
      <c r="N17661" s="1"/>
    </row>
    <row r="17662" spans="7:14" x14ac:dyDescent="0.3">
      <c r="G17662" s="1"/>
      <c r="N17662" s="1"/>
    </row>
    <row r="17663" spans="7:14" x14ac:dyDescent="0.3">
      <c r="G17663" s="1"/>
      <c r="N17663" s="1"/>
    </row>
    <row r="17664" spans="7:14" x14ac:dyDescent="0.3">
      <c r="G17664" s="1"/>
      <c r="N17664" s="1"/>
    </row>
    <row r="17665" spans="7:14" x14ac:dyDescent="0.3">
      <c r="G17665" s="1"/>
      <c r="N17665" s="1"/>
    </row>
    <row r="17666" spans="7:14" x14ac:dyDescent="0.3">
      <c r="G17666" s="1"/>
      <c r="N17666" s="1"/>
    </row>
    <row r="17667" spans="7:14" x14ac:dyDescent="0.3">
      <c r="G17667" s="1"/>
      <c r="N17667" s="1"/>
    </row>
    <row r="17668" spans="7:14" x14ac:dyDescent="0.3">
      <c r="G17668" s="1"/>
      <c r="N17668" s="1"/>
    </row>
    <row r="17669" spans="7:14" x14ac:dyDescent="0.3">
      <c r="G17669" s="1"/>
      <c r="N17669" s="1"/>
    </row>
    <row r="17670" spans="7:14" x14ac:dyDescent="0.3">
      <c r="G17670" s="1"/>
      <c r="N17670" s="1"/>
    </row>
    <row r="17671" spans="7:14" x14ac:dyDescent="0.3">
      <c r="G17671" s="1"/>
      <c r="N17671" s="1"/>
    </row>
    <row r="17672" spans="7:14" x14ac:dyDescent="0.3">
      <c r="G17672" s="1"/>
      <c r="N17672" s="1"/>
    </row>
    <row r="17673" spans="7:14" x14ac:dyDescent="0.3">
      <c r="G17673" s="1"/>
      <c r="N17673" s="1"/>
    </row>
    <row r="17674" spans="7:14" x14ac:dyDescent="0.3">
      <c r="G17674" s="1"/>
      <c r="N17674" s="1"/>
    </row>
    <row r="17675" spans="7:14" x14ac:dyDescent="0.3">
      <c r="G17675" s="1"/>
      <c r="N17675" s="1"/>
    </row>
    <row r="17676" spans="7:14" x14ac:dyDescent="0.3">
      <c r="G17676" s="1"/>
      <c r="N17676" s="1"/>
    </row>
    <row r="17677" spans="7:14" x14ac:dyDescent="0.3">
      <c r="G17677" s="1"/>
      <c r="N17677" s="1"/>
    </row>
    <row r="17678" spans="7:14" x14ac:dyDescent="0.3">
      <c r="G17678" s="1"/>
      <c r="N17678" s="1"/>
    </row>
    <row r="17679" spans="7:14" x14ac:dyDescent="0.3">
      <c r="G17679" s="1"/>
      <c r="N17679" s="1"/>
    </row>
    <row r="17680" spans="7:14" x14ac:dyDescent="0.3">
      <c r="G17680" s="1"/>
      <c r="N17680" s="1"/>
    </row>
    <row r="17681" spans="7:14" x14ac:dyDescent="0.3">
      <c r="G17681" s="1"/>
      <c r="N17681" s="1"/>
    </row>
    <row r="17682" spans="7:14" x14ac:dyDescent="0.3">
      <c r="G17682" s="1"/>
      <c r="N17682" s="1"/>
    </row>
    <row r="17683" spans="7:14" x14ac:dyDescent="0.3">
      <c r="G17683" s="1"/>
      <c r="N17683" s="1"/>
    </row>
    <row r="17684" spans="7:14" x14ac:dyDescent="0.3">
      <c r="G17684" s="1"/>
      <c r="N17684" s="1"/>
    </row>
    <row r="17685" spans="7:14" x14ac:dyDescent="0.3">
      <c r="G17685" s="1"/>
      <c r="N17685" s="1"/>
    </row>
    <row r="17686" spans="7:14" x14ac:dyDescent="0.3">
      <c r="G17686" s="1"/>
      <c r="N17686" s="1"/>
    </row>
    <row r="17687" spans="7:14" x14ac:dyDescent="0.3">
      <c r="G17687" s="1"/>
      <c r="N17687" s="1"/>
    </row>
    <row r="17688" spans="7:14" x14ac:dyDescent="0.3">
      <c r="G17688" s="1"/>
      <c r="N17688" s="1"/>
    </row>
    <row r="17689" spans="7:14" x14ac:dyDescent="0.3">
      <c r="G17689" s="1"/>
      <c r="N17689" s="1"/>
    </row>
    <row r="17690" spans="7:14" x14ac:dyDescent="0.3">
      <c r="G17690" s="1"/>
      <c r="N17690" s="1"/>
    </row>
    <row r="17691" spans="7:14" x14ac:dyDescent="0.3">
      <c r="G17691" s="1"/>
      <c r="N17691" s="1"/>
    </row>
    <row r="17692" spans="7:14" x14ac:dyDescent="0.3">
      <c r="G17692" s="1"/>
      <c r="N17692" s="1"/>
    </row>
    <row r="17693" spans="7:14" x14ac:dyDescent="0.3">
      <c r="G17693" s="1"/>
      <c r="N17693" s="1"/>
    </row>
    <row r="17694" spans="7:14" x14ac:dyDescent="0.3">
      <c r="G17694" s="1"/>
      <c r="N17694" s="1"/>
    </row>
    <row r="17695" spans="7:14" x14ac:dyDescent="0.3">
      <c r="G17695" s="1"/>
      <c r="N17695" s="1"/>
    </row>
    <row r="17696" spans="7:14" x14ac:dyDescent="0.3">
      <c r="G17696" s="1"/>
      <c r="N17696" s="1"/>
    </row>
    <row r="17697" spans="7:14" x14ac:dyDescent="0.3">
      <c r="G17697" s="1"/>
      <c r="N17697" s="1"/>
    </row>
    <row r="17698" spans="7:14" x14ac:dyDescent="0.3">
      <c r="G17698" s="1"/>
      <c r="N17698" s="1"/>
    </row>
    <row r="17699" spans="7:14" x14ac:dyDescent="0.3">
      <c r="G17699" s="1"/>
      <c r="N17699" s="1"/>
    </row>
    <row r="17700" spans="7:14" x14ac:dyDescent="0.3">
      <c r="G17700" s="1"/>
      <c r="N17700" s="1"/>
    </row>
    <row r="17701" spans="7:14" x14ac:dyDescent="0.3">
      <c r="G17701" s="1"/>
      <c r="N17701" s="1"/>
    </row>
    <row r="17702" spans="7:14" x14ac:dyDescent="0.3">
      <c r="G17702" s="1"/>
      <c r="N17702" s="1"/>
    </row>
    <row r="17703" spans="7:14" x14ac:dyDescent="0.3">
      <c r="G17703" s="1"/>
      <c r="N17703" s="1"/>
    </row>
    <row r="17704" spans="7:14" x14ac:dyDescent="0.3">
      <c r="G17704" s="1"/>
      <c r="N17704" s="1"/>
    </row>
    <row r="17705" spans="7:14" x14ac:dyDescent="0.3">
      <c r="G17705" s="1"/>
      <c r="N17705" s="1"/>
    </row>
    <row r="17706" spans="7:14" x14ac:dyDescent="0.3">
      <c r="G17706" s="1"/>
      <c r="N17706" s="1"/>
    </row>
    <row r="17707" spans="7:14" x14ac:dyDescent="0.3">
      <c r="G17707" s="1"/>
      <c r="N17707" s="1"/>
    </row>
    <row r="17708" spans="7:14" x14ac:dyDescent="0.3">
      <c r="G17708" s="1"/>
      <c r="N17708" s="1"/>
    </row>
    <row r="17709" spans="7:14" x14ac:dyDescent="0.3">
      <c r="G17709" s="1"/>
      <c r="N17709" s="1"/>
    </row>
    <row r="17710" spans="7:14" x14ac:dyDescent="0.3">
      <c r="G17710" s="1"/>
      <c r="N17710" s="1"/>
    </row>
    <row r="17711" spans="7:14" x14ac:dyDescent="0.3">
      <c r="G17711" s="1"/>
      <c r="N17711" s="1"/>
    </row>
    <row r="17712" spans="7:14" x14ac:dyDescent="0.3">
      <c r="G17712" s="1"/>
      <c r="N17712" s="1"/>
    </row>
    <row r="17713" spans="7:14" x14ac:dyDescent="0.3">
      <c r="G17713" s="1"/>
      <c r="N17713" s="1"/>
    </row>
    <row r="17714" spans="7:14" x14ac:dyDescent="0.3">
      <c r="G17714" s="1"/>
      <c r="N17714" s="1"/>
    </row>
    <row r="17715" spans="7:14" x14ac:dyDescent="0.3">
      <c r="G17715" s="1"/>
      <c r="N17715" s="1"/>
    </row>
    <row r="17716" spans="7:14" x14ac:dyDescent="0.3">
      <c r="G17716" s="1"/>
      <c r="N17716" s="1"/>
    </row>
    <row r="17717" spans="7:14" x14ac:dyDescent="0.3">
      <c r="G17717" s="1"/>
      <c r="N17717" s="1"/>
    </row>
    <row r="17718" spans="7:14" x14ac:dyDescent="0.3">
      <c r="G17718" s="1"/>
      <c r="N17718" s="1"/>
    </row>
    <row r="17719" spans="7:14" x14ac:dyDescent="0.3">
      <c r="G17719" s="1"/>
      <c r="N17719" s="1"/>
    </row>
    <row r="17720" spans="7:14" x14ac:dyDescent="0.3">
      <c r="G17720" s="1"/>
      <c r="N17720" s="1"/>
    </row>
    <row r="17721" spans="7:14" x14ac:dyDescent="0.3">
      <c r="G17721" s="1"/>
      <c r="N17721" s="1"/>
    </row>
    <row r="17722" spans="7:14" x14ac:dyDescent="0.3">
      <c r="G17722" s="1"/>
      <c r="N17722" s="1"/>
    </row>
    <row r="17723" spans="7:14" x14ac:dyDescent="0.3">
      <c r="G17723" s="1"/>
      <c r="N17723" s="1"/>
    </row>
    <row r="17724" spans="7:14" x14ac:dyDescent="0.3">
      <c r="G17724" s="1"/>
      <c r="N17724" s="1"/>
    </row>
    <row r="17725" spans="7:14" x14ac:dyDescent="0.3">
      <c r="G17725" s="1"/>
      <c r="N17725" s="1"/>
    </row>
    <row r="17726" spans="7:14" x14ac:dyDescent="0.3">
      <c r="G17726" s="1"/>
      <c r="N17726" s="1"/>
    </row>
    <row r="17727" spans="7:14" x14ac:dyDescent="0.3">
      <c r="G17727" s="1"/>
      <c r="N17727" s="1"/>
    </row>
    <row r="17728" spans="7:14" x14ac:dyDescent="0.3">
      <c r="G17728" s="1"/>
      <c r="N17728" s="1"/>
    </row>
    <row r="17729" spans="7:14" x14ac:dyDescent="0.3">
      <c r="G17729" s="1"/>
      <c r="N17729" s="1"/>
    </row>
    <row r="17730" spans="7:14" x14ac:dyDescent="0.3">
      <c r="G17730" s="1"/>
      <c r="N17730" s="1"/>
    </row>
    <row r="17731" spans="7:14" x14ac:dyDescent="0.3">
      <c r="G17731" s="1"/>
      <c r="N17731" s="1"/>
    </row>
    <row r="17732" spans="7:14" x14ac:dyDescent="0.3">
      <c r="G17732" s="1"/>
      <c r="N17732" s="1"/>
    </row>
    <row r="17733" spans="7:14" x14ac:dyDescent="0.3">
      <c r="G17733" s="1"/>
      <c r="N17733" s="1"/>
    </row>
    <row r="17734" spans="7:14" x14ac:dyDescent="0.3">
      <c r="G17734" s="1"/>
      <c r="N17734" s="1"/>
    </row>
    <row r="17735" spans="7:14" x14ac:dyDescent="0.3">
      <c r="G17735" s="1"/>
      <c r="N17735" s="1"/>
    </row>
    <row r="17736" spans="7:14" x14ac:dyDescent="0.3">
      <c r="G17736" s="1"/>
      <c r="N17736" s="1"/>
    </row>
    <row r="17737" spans="7:14" x14ac:dyDescent="0.3">
      <c r="G17737" s="1"/>
      <c r="N17737" s="1"/>
    </row>
    <row r="17738" spans="7:14" x14ac:dyDescent="0.3">
      <c r="G17738" s="1"/>
      <c r="N17738" s="1"/>
    </row>
    <row r="17739" spans="7:14" x14ac:dyDescent="0.3">
      <c r="G17739" s="1"/>
      <c r="N17739" s="1"/>
    </row>
    <row r="17740" spans="7:14" x14ac:dyDescent="0.3">
      <c r="G17740" s="1"/>
      <c r="N17740" s="1"/>
    </row>
    <row r="17741" spans="7:14" x14ac:dyDescent="0.3">
      <c r="G17741" s="1"/>
      <c r="N17741" s="1"/>
    </row>
    <row r="17742" spans="7:14" x14ac:dyDescent="0.3">
      <c r="G17742" s="1"/>
      <c r="N17742" s="1"/>
    </row>
    <row r="17743" spans="7:14" x14ac:dyDescent="0.3">
      <c r="G17743" s="1"/>
      <c r="N17743" s="1"/>
    </row>
    <row r="17744" spans="7:14" x14ac:dyDescent="0.3">
      <c r="G17744" s="1"/>
      <c r="N17744" s="1"/>
    </row>
    <row r="17745" spans="7:14" x14ac:dyDescent="0.3">
      <c r="G17745" s="1"/>
      <c r="N17745" s="1"/>
    </row>
    <row r="17746" spans="7:14" x14ac:dyDescent="0.3">
      <c r="G17746" s="1"/>
      <c r="N17746" s="1"/>
    </row>
    <row r="17747" spans="7:14" x14ac:dyDescent="0.3">
      <c r="G17747" s="1"/>
      <c r="N17747" s="1"/>
    </row>
    <row r="17748" spans="7:14" x14ac:dyDescent="0.3">
      <c r="G17748" s="1"/>
      <c r="N17748" s="1"/>
    </row>
    <row r="17749" spans="7:14" x14ac:dyDescent="0.3">
      <c r="G17749" s="1"/>
      <c r="N17749" s="1"/>
    </row>
    <row r="17750" spans="7:14" x14ac:dyDescent="0.3">
      <c r="G17750" s="1"/>
      <c r="N17750" s="1"/>
    </row>
    <row r="17751" spans="7:14" x14ac:dyDescent="0.3">
      <c r="G17751" s="1"/>
      <c r="N17751" s="1"/>
    </row>
    <row r="17752" spans="7:14" x14ac:dyDescent="0.3">
      <c r="G17752" s="1"/>
      <c r="N17752" s="1"/>
    </row>
    <row r="17753" spans="7:14" x14ac:dyDescent="0.3">
      <c r="G17753" s="1"/>
      <c r="N17753" s="1"/>
    </row>
    <row r="17754" spans="7:14" x14ac:dyDescent="0.3">
      <c r="G17754" s="1"/>
      <c r="N17754" s="1"/>
    </row>
    <row r="17755" spans="7:14" x14ac:dyDescent="0.3">
      <c r="G17755" s="1"/>
      <c r="N17755" s="1"/>
    </row>
    <row r="17756" spans="7:14" x14ac:dyDescent="0.3">
      <c r="G17756" s="1"/>
      <c r="N17756" s="1"/>
    </row>
    <row r="17757" spans="7:14" x14ac:dyDescent="0.3">
      <c r="G17757" s="1"/>
      <c r="N17757" s="1"/>
    </row>
    <row r="17758" spans="7:14" x14ac:dyDescent="0.3">
      <c r="G17758" s="1"/>
      <c r="N17758" s="1"/>
    </row>
    <row r="17759" spans="7:14" x14ac:dyDescent="0.3">
      <c r="G17759" s="1"/>
      <c r="N17759" s="1"/>
    </row>
    <row r="17760" spans="7:14" x14ac:dyDescent="0.3">
      <c r="G17760" s="1"/>
      <c r="N17760" s="1"/>
    </row>
    <row r="17761" spans="7:14" x14ac:dyDescent="0.3">
      <c r="G17761" s="1"/>
      <c r="N17761" s="1"/>
    </row>
    <row r="17762" spans="7:14" x14ac:dyDescent="0.3">
      <c r="G17762" s="1"/>
      <c r="N17762" s="1"/>
    </row>
    <row r="17763" spans="7:14" x14ac:dyDescent="0.3">
      <c r="G17763" s="1"/>
      <c r="N17763" s="1"/>
    </row>
    <row r="17764" spans="7:14" x14ac:dyDescent="0.3">
      <c r="G17764" s="1"/>
      <c r="N17764" s="1"/>
    </row>
    <row r="17765" spans="7:14" x14ac:dyDescent="0.3">
      <c r="G17765" s="1"/>
      <c r="N17765" s="1"/>
    </row>
    <row r="17766" spans="7:14" x14ac:dyDescent="0.3">
      <c r="G17766" s="1"/>
      <c r="N17766" s="1"/>
    </row>
    <row r="17767" spans="7:14" x14ac:dyDescent="0.3">
      <c r="G17767" s="1"/>
      <c r="N17767" s="1"/>
    </row>
    <row r="17768" spans="7:14" x14ac:dyDescent="0.3">
      <c r="G17768" s="1"/>
      <c r="N17768" s="1"/>
    </row>
    <row r="17769" spans="7:14" x14ac:dyDescent="0.3">
      <c r="G17769" s="1"/>
      <c r="N17769" s="1"/>
    </row>
    <row r="17770" spans="7:14" x14ac:dyDescent="0.3">
      <c r="G17770" s="1"/>
      <c r="N17770" s="1"/>
    </row>
    <row r="17771" spans="7:14" x14ac:dyDescent="0.3">
      <c r="G17771" s="1"/>
      <c r="N17771" s="1"/>
    </row>
    <row r="17772" spans="7:14" x14ac:dyDescent="0.3">
      <c r="G17772" s="1"/>
      <c r="N17772" s="1"/>
    </row>
    <row r="17773" spans="7:14" x14ac:dyDescent="0.3">
      <c r="G17773" s="1"/>
      <c r="N17773" s="1"/>
    </row>
    <row r="17774" spans="7:14" x14ac:dyDescent="0.3">
      <c r="G17774" s="1"/>
      <c r="N17774" s="1"/>
    </row>
    <row r="17775" spans="7:14" x14ac:dyDescent="0.3">
      <c r="G17775" s="1"/>
      <c r="N17775" s="1"/>
    </row>
    <row r="17776" spans="7:14" x14ac:dyDescent="0.3">
      <c r="G17776" s="1"/>
      <c r="N17776" s="1"/>
    </row>
    <row r="17777" spans="7:14" x14ac:dyDescent="0.3">
      <c r="G17777" s="1"/>
      <c r="N17777" s="1"/>
    </row>
    <row r="17778" spans="7:14" x14ac:dyDescent="0.3">
      <c r="G17778" s="1"/>
      <c r="N17778" s="1"/>
    </row>
    <row r="17779" spans="7:14" x14ac:dyDescent="0.3">
      <c r="G17779" s="1"/>
      <c r="N17779" s="1"/>
    </row>
    <row r="17780" spans="7:14" x14ac:dyDescent="0.3">
      <c r="G17780" s="1"/>
      <c r="N17780" s="1"/>
    </row>
    <row r="17781" spans="7:14" x14ac:dyDescent="0.3">
      <c r="G17781" s="1"/>
      <c r="N17781" s="1"/>
    </row>
    <row r="17782" spans="7:14" x14ac:dyDescent="0.3">
      <c r="G17782" s="1"/>
      <c r="N17782" s="1"/>
    </row>
    <row r="17783" spans="7:14" x14ac:dyDescent="0.3">
      <c r="G17783" s="1"/>
      <c r="N17783" s="1"/>
    </row>
    <row r="17784" spans="7:14" x14ac:dyDescent="0.3">
      <c r="G17784" s="1"/>
      <c r="N17784" s="1"/>
    </row>
    <row r="17785" spans="7:14" x14ac:dyDescent="0.3">
      <c r="G17785" s="1"/>
      <c r="N17785" s="1"/>
    </row>
    <row r="17786" spans="7:14" x14ac:dyDescent="0.3">
      <c r="G17786" s="1"/>
      <c r="N17786" s="1"/>
    </row>
    <row r="17787" spans="7:14" x14ac:dyDescent="0.3">
      <c r="G17787" s="1"/>
      <c r="N17787" s="1"/>
    </row>
    <row r="17788" spans="7:14" x14ac:dyDescent="0.3">
      <c r="G17788" s="1"/>
      <c r="N17788" s="1"/>
    </row>
    <row r="17789" spans="7:14" x14ac:dyDescent="0.3">
      <c r="G17789" s="1"/>
      <c r="N17789" s="1"/>
    </row>
    <row r="17790" spans="7:14" x14ac:dyDescent="0.3">
      <c r="G17790" s="1"/>
      <c r="N17790" s="1"/>
    </row>
    <row r="17791" spans="7:14" x14ac:dyDescent="0.3">
      <c r="G17791" s="1"/>
      <c r="N17791" s="1"/>
    </row>
    <row r="17792" spans="7:14" x14ac:dyDescent="0.3">
      <c r="G17792" s="1"/>
      <c r="N17792" s="1"/>
    </row>
    <row r="17793" spans="7:14" x14ac:dyDescent="0.3">
      <c r="G17793" s="1"/>
      <c r="N17793" s="1"/>
    </row>
    <row r="17794" spans="7:14" x14ac:dyDescent="0.3">
      <c r="G17794" s="1"/>
      <c r="N17794" s="1"/>
    </row>
    <row r="17795" spans="7:14" x14ac:dyDescent="0.3">
      <c r="G17795" s="1"/>
      <c r="N17795" s="1"/>
    </row>
    <row r="17796" spans="7:14" x14ac:dyDescent="0.3">
      <c r="G17796" s="1"/>
      <c r="N17796" s="1"/>
    </row>
    <row r="17797" spans="7:14" x14ac:dyDescent="0.3">
      <c r="G17797" s="1"/>
      <c r="N17797" s="1"/>
    </row>
    <row r="17798" spans="7:14" x14ac:dyDescent="0.3">
      <c r="G17798" s="1"/>
      <c r="N17798" s="1"/>
    </row>
    <row r="17799" spans="7:14" x14ac:dyDescent="0.3">
      <c r="G17799" s="1"/>
      <c r="N17799" s="1"/>
    </row>
    <row r="17800" spans="7:14" x14ac:dyDescent="0.3">
      <c r="G17800" s="1"/>
      <c r="N17800" s="1"/>
    </row>
    <row r="17801" spans="7:14" x14ac:dyDescent="0.3">
      <c r="G17801" s="1"/>
      <c r="N17801" s="1"/>
    </row>
    <row r="17802" spans="7:14" x14ac:dyDescent="0.3">
      <c r="G17802" s="1"/>
      <c r="N17802" s="1"/>
    </row>
    <row r="17803" spans="7:14" x14ac:dyDescent="0.3">
      <c r="G17803" s="1"/>
      <c r="N17803" s="1"/>
    </row>
    <row r="17804" spans="7:14" x14ac:dyDescent="0.3">
      <c r="G17804" s="1"/>
      <c r="N17804" s="1"/>
    </row>
    <row r="17805" spans="7:14" x14ac:dyDescent="0.3">
      <c r="G17805" s="1"/>
      <c r="N17805" s="1"/>
    </row>
    <row r="17806" spans="7:14" x14ac:dyDescent="0.3">
      <c r="G17806" s="1"/>
      <c r="N17806" s="1"/>
    </row>
    <row r="17807" spans="7:14" x14ac:dyDescent="0.3">
      <c r="G17807" s="1"/>
      <c r="N17807" s="1"/>
    </row>
    <row r="17808" spans="7:14" x14ac:dyDescent="0.3">
      <c r="G17808" s="1"/>
      <c r="N17808" s="1"/>
    </row>
    <row r="17809" spans="7:14" x14ac:dyDescent="0.3">
      <c r="G17809" s="1"/>
      <c r="N17809" s="1"/>
    </row>
    <row r="17810" spans="7:14" x14ac:dyDescent="0.3">
      <c r="G17810" s="1"/>
      <c r="N17810" s="1"/>
    </row>
    <row r="17811" spans="7:14" x14ac:dyDescent="0.3">
      <c r="G17811" s="1"/>
      <c r="N17811" s="1"/>
    </row>
    <row r="17812" spans="7:14" x14ac:dyDescent="0.3">
      <c r="G17812" s="1"/>
      <c r="N17812" s="1"/>
    </row>
    <row r="17813" spans="7:14" x14ac:dyDescent="0.3">
      <c r="G17813" s="1"/>
      <c r="N17813" s="1"/>
    </row>
    <row r="17814" spans="7:14" x14ac:dyDescent="0.3">
      <c r="G17814" s="1"/>
      <c r="N17814" s="1"/>
    </row>
    <row r="17815" spans="7:14" x14ac:dyDescent="0.3">
      <c r="G17815" s="1"/>
      <c r="N17815" s="1"/>
    </row>
    <row r="17816" spans="7:14" x14ac:dyDescent="0.3">
      <c r="G17816" s="1"/>
      <c r="N17816" s="1"/>
    </row>
    <row r="17817" spans="7:14" x14ac:dyDescent="0.3">
      <c r="G17817" s="1"/>
      <c r="N17817" s="1"/>
    </row>
    <row r="17818" spans="7:14" x14ac:dyDescent="0.3">
      <c r="G17818" s="1"/>
      <c r="N17818" s="1"/>
    </row>
    <row r="17819" spans="7:14" x14ac:dyDescent="0.3">
      <c r="G17819" s="1"/>
      <c r="N17819" s="1"/>
    </row>
    <row r="17820" spans="7:14" x14ac:dyDescent="0.3">
      <c r="G17820" s="1"/>
      <c r="N17820" s="1"/>
    </row>
    <row r="17821" spans="7:14" x14ac:dyDescent="0.3">
      <c r="G17821" s="1"/>
      <c r="N17821" s="1"/>
    </row>
    <row r="17822" spans="7:14" x14ac:dyDescent="0.3">
      <c r="G17822" s="1"/>
      <c r="N17822" s="1"/>
    </row>
    <row r="17823" spans="7:14" x14ac:dyDescent="0.3">
      <c r="G17823" s="1"/>
      <c r="N17823" s="1"/>
    </row>
    <row r="17824" spans="7:14" x14ac:dyDescent="0.3">
      <c r="G17824" s="1"/>
      <c r="N17824" s="1"/>
    </row>
    <row r="17825" spans="7:14" x14ac:dyDescent="0.3">
      <c r="G17825" s="1"/>
      <c r="N17825" s="1"/>
    </row>
    <row r="17826" spans="7:14" x14ac:dyDescent="0.3">
      <c r="G17826" s="1"/>
      <c r="N17826" s="1"/>
    </row>
    <row r="17827" spans="7:14" x14ac:dyDescent="0.3">
      <c r="G17827" s="1"/>
      <c r="N17827" s="1"/>
    </row>
    <row r="17828" spans="7:14" x14ac:dyDescent="0.3">
      <c r="G17828" s="1"/>
      <c r="N17828" s="1"/>
    </row>
    <row r="17829" spans="7:14" x14ac:dyDescent="0.3">
      <c r="G17829" s="1"/>
      <c r="N17829" s="1"/>
    </row>
    <row r="17830" spans="7:14" x14ac:dyDescent="0.3">
      <c r="G17830" s="1"/>
      <c r="N17830" s="1"/>
    </row>
    <row r="17831" spans="7:14" x14ac:dyDescent="0.3">
      <c r="G17831" s="1"/>
      <c r="N17831" s="1"/>
    </row>
    <row r="17832" spans="7:14" x14ac:dyDescent="0.3">
      <c r="G17832" s="1"/>
      <c r="N17832" s="1"/>
    </row>
    <row r="17833" spans="7:14" x14ac:dyDescent="0.3">
      <c r="G17833" s="1"/>
      <c r="N17833" s="1"/>
    </row>
    <row r="17834" spans="7:14" x14ac:dyDescent="0.3">
      <c r="G17834" s="1"/>
      <c r="N17834" s="1"/>
    </row>
    <row r="17835" spans="7:14" x14ac:dyDescent="0.3">
      <c r="G17835" s="1"/>
      <c r="N17835" s="1"/>
    </row>
    <row r="17836" spans="7:14" x14ac:dyDescent="0.3">
      <c r="G17836" s="1"/>
      <c r="N17836" s="1"/>
    </row>
    <row r="17837" spans="7:14" x14ac:dyDescent="0.3">
      <c r="G17837" s="1"/>
      <c r="N17837" s="1"/>
    </row>
    <row r="17838" spans="7:14" x14ac:dyDescent="0.3">
      <c r="G17838" s="1"/>
      <c r="N17838" s="1"/>
    </row>
    <row r="17839" spans="7:14" x14ac:dyDescent="0.3">
      <c r="G17839" s="1"/>
      <c r="N17839" s="1"/>
    </row>
    <row r="17840" spans="7:14" x14ac:dyDescent="0.3">
      <c r="G17840" s="1"/>
      <c r="N17840" s="1"/>
    </row>
    <row r="17841" spans="7:14" x14ac:dyDescent="0.3">
      <c r="G17841" s="1"/>
      <c r="N17841" s="1"/>
    </row>
    <row r="17842" spans="7:14" x14ac:dyDescent="0.3">
      <c r="G17842" s="1"/>
      <c r="N17842" s="1"/>
    </row>
    <row r="17843" spans="7:14" x14ac:dyDescent="0.3">
      <c r="G17843" s="1"/>
      <c r="N17843" s="1"/>
    </row>
    <row r="17844" spans="7:14" x14ac:dyDescent="0.3">
      <c r="G17844" s="1"/>
      <c r="N17844" s="1"/>
    </row>
    <row r="17845" spans="7:14" x14ac:dyDescent="0.3">
      <c r="G17845" s="1"/>
      <c r="N17845" s="1"/>
    </row>
    <row r="17846" spans="7:14" x14ac:dyDescent="0.3">
      <c r="G17846" s="1"/>
      <c r="N17846" s="1"/>
    </row>
    <row r="17847" spans="7:14" x14ac:dyDescent="0.3">
      <c r="G17847" s="1"/>
      <c r="N17847" s="1"/>
    </row>
    <row r="17848" spans="7:14" x14ac:dyDescent="0.3">
      <c r="G17848" s="1"/>
      <c r="N17848" s="1"/>
    </row>
    <row r="17849" spans="7:14" x14ac:dyDescent="0.3">
      <c r="G17849" s="1"/>
      <c r="N17849" s="1"/>
    </row>
    <row r="17850" spans="7:14" x14ac:dyDescent="0.3">
      <c r="G17850" s="1"/>
      <c r="N17850" s="1"/>
    </row>
    <row r="17851" spans="7:14" x14ac:dyDescent="0.3">
      <c r="G17851" s="1"/>
      <c r="N17851" s="1"/>
    </row>
    <row r="17852" spans="7:14" x14ac:dyDescent="0.3">
      <c r="G17852" s="1"/>
      <c r="N17852" s="1"/>
    </row>
    <row r="17853" spans="7:14" x14ac:dyDescent="0.3">
      <c r="G17853" s="1"/>
      <c r="N17853" s="1"/>
    </row>
    <row r="17854" spans="7:14" x14ac:dyDescent="0.3">
      <c r="G17854" s="1"/>
      <c r="N17854" s="1"/>
    </row>
    <row r="17855" spans="7:14" x14ac:dyDescent="0.3">
      <c r="G17855" s="1"/>
      <c r="N17855" s="1"/>
    </row>
    <row r="17856" spans="7:14" x14ac:dyDescent="0.3">
      <c r="G17856" s="1"/>
      <c r="N17856" s="1"/>
    </row>
    <row r="17857" spans="7:14" x14ac:dyDescent="0.3">
      <c r="G17857" s="1"/>
      <c r="N17857" s="1"/>
    </row>
    <row r="17858" spans="7:14" x14ac:dyDescent="0.3">
      <c r="G17858" s="1"/>
      <c r="N17858" s="1"/>
    </row>
    <row r="17859" spans="7:14" x14ac:dyDescent="0.3">
      <c r="G17859" s="1"/>
      <c r="N17859" s="1"/>
    </row>
    <row r="17860" spans="7:14" x14ac:dyDescent="0.3">
      <c r="G17860" s="1"/>
      <c r="N17860" s="1"/>
    </row>
    <row r="17861" spans="7:14" x14ac:dyDescent="0.3">
      <c r="G17861" s="1"/>
      <c r="N17861" s="1"/>
    </row>
    <row r="17862" spans="7:14" x14ac:dyDescent="0.3">
      <c r="G17862" s="1"/>
      <c r="N17862" s="1"/>
    </row>
    <row r="17863" spans="7:14" x14ac:dyDescent="0.3">
      <c r="G17863" s="1"/>
      <c r="N17863" s="1"/>
    </row>
    <row r="17864" spans="7:14" x14ac:dyDescent="0.3">
      <c r="G17864" s="1"/>
      <c r="N17864" s="1"/>
    </row>
    <row r="17865" spans="7:14" x14ac:dyDescent="0.3">
      <c r="G17865" s="1"/>
      <c r="N17865" s="1"/>
    </row>
    <row r="17866" spans="7:14" x14ac:dyDescent="0.3">
      <c r="G17866" s="1"/>
      <c r="N17866" s="1"/>
    </row>
    <row r="17867" spans="7:14" x14ac:dyDescent="0.3">
      <c r="G17867" s="1"/>
      <c r="N17867" s="1"/>
    </row>
    <row r="17868" spans="7:14" x14ac:dyDescent="0.3">
      <c r="G17868" s="1"/>
      <c r="N17868" s="1"/>
    </row>
    <row r="17869" spans="7:14" x14ac:dyDescent="0.3">
      <c r="G17869" s="1"/>
      <c r="N17869" s="1"/>
    </row>
    <row r="17870" spans="7:14" x14ac:dyDescent="0.3">
      <c r="G17870" s="1"/>
      <c r="N17870" s="1"/>
    </row>
    <row r="17871" spans="7:14" x14ac:dyDescent="0.3">
      <c r="G17871" s="1"/>
      <c r="N17871" s="1"/>
    </row>
    <row r="17872" spans="7:14" x14ac:dyDescent="0.3">
      <c r="G17872" s="1"/>
      <c r="N17872" s="1"/>
    </row>
    <row r="17873" spans="7:14" x14ac:dyDescent="0.3">
      <c r="G17873" s="1"/>
      <c r="N17873" s="1"/>
    </row>
    <row r="17874" spans="7:14" x14ac:dyDescent="0.3">
      <c r="G17874" s="1"/>
      <c r="N17874" s="1"/>
    </row>
    <row r="17875" spans="7:14" x14ac:dyDescent="0.3">
      <c r="G17875" s="1"/>
      <c r="N17875" s="1"/>
    </row>
    <row r="17876" spans="7:14" x14ac:dyDescent="0.3">
      <c r="G17876" s="1"/>
      <c r="N17876" s="1"/>
    </row>
    <row r="17877" spans="7:14" x14ac:dyDescent="0.3">
      <c r="G17877" s="1"/>
      <c r="N17877" s="1"/>
    </row>
    <row r="17878" spans="7:14" x14ac:dyDescent="0.3">
      <c r="G17878" s="1"/>
      <c r="N17878" s="1"/>
    </row>
    <row r="17879" spans="7:14" x14ac:dyDescent="0.3">
      <c r="G17879" s="1"/>
      <c r="N17879" s="1"/>
    </row>
    <row r="17880" spans="7:14" x14ac:dyDescent="0.3">
      <c r="G17880" s="1"/>
      <c r="N17880" s="1"/>
    </row>
    <row r="17881" spans="7:14" x14ac:dyDescent="0.3">
      <c r="G17881" s="1"/>
      <c r="N17881" s="1"/>
    </row>
    <row r="17882" spans="7:14" x14ac:dyDescent="0.3">
      <c r="G17882" s="1"/>
      <c r="N17882" s="1"/>
    </row>
    <row r="17883" spans="7:14" x14ac:dyDescent="0.3">
      <c r="G17883" s="1"/>
      <c r="N17883" s="1"/>
    </row>
    <row r="17884" spans="7:14" x14ac:dyDescent="0.3">
      <c r="G17884" s="1"/>
      <c r="N17884" s="1"/>
    </row>
    <row r="17885" spans="7:14" x14ac:dyDescent="0.3">
      <c r="G17885" s="1"/>
      <c r="N17885" s="1"/>
    </row>
    <row r="17886" spans="7:14" x14ac:dyDescent="0.3">
      <c r="G17886" s="1"/>
      <c r="N17886" s="1"/>
    </row>
    <row r="17887" spans="7:14" x14ac:dyDescent="0.3">
      <c r="G17887" s="1"/>
      <c r="N17887" s="1"/>
    </row>
    <row r="17888" spans="7:14" x14ac:dyDescent="0.3">
      <c r="G17888" s="1"/>
      <c r="N17888" s="1"/>
    </row>
    <row r="17889" spans="7:14" x14ac:dyDescent="0.3">
      <c r="G17889" s="1"/>
      <c r="N17889" s="1"/>
    </row>
    <row r="17890" spans="7:14" x14ac:dyDescent="0.3">
      <c r="G17890" s="1"/>
      <c r="N17890" s="1"/>
    </row>
    <row r="17891" spans="7:14" x14ac:dyDescent="0.3">
      <c r="G17891" s="1"/>
      <c r="N17891" s="1"/>
    </row>
    <row r="17892" spans="7:14" x14ac:dyDescent="0.3">
      <c r="G17892" s="1"/>
      <c r="N17892" s="1"/>
    </row>
    <row r="17893" spans="7:14" x14ac:dyDescent="0.3">
      <c r="G17893" s="1"/>
      <c r="N17893" s="1"/>
    </row>
    <row r="17894" spans="7:14" x14ac:dyDescent="0.3">
      <c r="G17894" s="1"/>
      <c r="N17894" s="1"/>
    </row>
    <row r="17895" spans="7:14" x14ac:dyDescent="0.3">
      <c r="G17895" s="1"/>
      <c r="N17895" s="1"/>
    </row>
    <row r="17896" spans="7:14" x14ac:dyDescent="0.3">
      <c r="G17896" s="1"/>
      <c r="N17896" s="1"/>
    </row>
    <row r="17897" spans="7:14" x14ac:dyDescent="0.3">
      <c r="G17897" s="1"/>
      <c r="N17897" s="1"/>
    </row>
    <row r="17898" spans="7:14" x14ac:dyDescent="0.3">
      <c r="G17898" s="1"/>
      <c r="N17898" s="1"/>
    </row>
    <row r="17899" spans="7:14" x14ac:dyDescent="0.3">
      <c r="G17899" s="1"/>
      <c r="N17899" s="1"/>
    </row>
    <row r="17900" spans="7:14" x14ac:dyDescent="0.3">
      <c r="G17900" s="1"/>
      <c r="N17900" s="1"/>
    </row>
    <row r="17901" spans="7:14" x14ac:dyDescent="0.3">
      <c r="G17901" s="1"/>
      <c r="N17901" s="1"/>
    </row>
    <row r="17902" spans="7:14" x14ac:dyDescent="0.3">
      <c r="G17902" s="1"/>
      <c r="N17902" s="1"/>
    </row>
    <row r="17903" spans="7:14" x14ac:dyDescent="0.3">
      <c r="G17903" s="1"/>
      <c r="N17903" s="1"/>
    </row>
    <row r="17904" spans="7:14" x14ac:dyDescent="0.3">
      <c r="G17904" s="1"/>
      <c r="N17904" s="1"/>
    </row>
    <row r="17905" spans="7:14" x14ac:dyDescent="0.3">
      <c r="G17905" s="1"/>
      <c r="N17905" s="1"/>
    </row>
    <row r="17906" spans="7:14" x14ac:dyDescent="0.3">
      <c r="G17906" s="1"/>
      <c r="N17906" s="1"/>
    </row>
    <row r="17907" spans="7:14" x14ac:dyDescent="0.3">
      <c r="G17907" s="1"/>
      <c r="N17907" s="1"/>
    </row>
    <row r="17908" spans="7:14" x14ac:dyDescent="0.3">
      <c r="G17908" s="1"/>
      <c r="N17908" s="1"/>
    </row>
    <row r="17909" spans="7:14" x14ac:dyDescent="0.3">
      <c r="G17909" s="1"/>
      <c r="N17909" s="1"/>
    </row>
    <row r="17910" spans="7:14" x14ac:dyDescent="0.3">
      <c r="G17910" s="1"/>
      <c r="N17910" s="1"/>
    </row>
    <row r="17911" spans="7:14" x14ac:dyDescent="0.3">
      <c r="G17911" s="1"/>
      <c r="N17911" s="1"/>
    </row>
    <row r="17912" spans="7:14" x14ac:dyDescent="0.3">
      <c r="G17912" s="1"/>
      <c r="N17912" s="1"/>
    </row>
    <row r="17913" spans="7:14" x14ac:dyDescent="0.3">
      <c r="G17913" s="1"/>
      <c r="N17913" s="1"/>
    </row>
    <row r="17914" spans="7:14" x14ac:dyDescent="0.3">
      <c r="G17914" s="1"/>
      <c r="N17914" s="1"/>
    </row>
    <row r="17915" spans="7:14" x14ac:dyDescent="0.3">
      <c r="G17915" s="1"/>
      <c r="N17915" s="1"/>
    </row>
    <row r="17916" spans="7:14" x14ac:dyDescent="0.3">
      <c r="G17916" s="1"/>
      <c r="N17916" s="1"/>
    </row>
    <row r="17917" spans="7:14" x14ac:dyDescent="0.3">
      <c r="G17917" s="1"/>
      <c r="N17917" s="1"/>
    </row>
    <row r="17918" spans="7:14" x14ac:dyDescent="0.3">
      <c r="G17918" s="1"/>
      <c r="N17918" s="1"/>
    </row>
    <row r="17919" spans="7:14" x14ac:dyDescent="0.3">
      <c r="G17919" s="1"/>
      <c r="N17919" s="1"/>
    </row>
    <row r="17920" spans="7:14" x14ac:dyDescent="0.3">
      <c r="G17920" s="1"/>
      <c r="N17920" s="1"/>
    </row>
    <row r="17921" spans="7:14" x14ac:dyDescent="0.3">
      <c r="G17921" s="1"/>
      <c r="N17921" s="1"/>
    </row>
    <row r="17922" spans="7:14" x14ac:dyDescent="0.3">
      <c r="G17922" s="1"/>
      <c r="N17922" s="1"/>
    </row>
    <row r="17923" spans="7:14" x14ac:dyDescent="0.3">
      <c r="G17923" s="1"/>
      <c r="N17923" s="1"/>
    </row>
    <row r="17924" spans="7:14" x14ac:dyDescent="0.3">
      <c r="G17924" s="1"/>
      <c r="N17924" s="1"/>
    </row>
    <row r="17925" spans="7:14" x14ac:dyDescent="0.3">
      <c r="G17925" s="1"/>
      <c r="N17925" s="1"/>
    </row>
    <row r="17926" spans="7:14" x14ac:dyDescent="0.3">
      <c r="G17926" s="1"/>
      <c r="N17926" s="1"/>
    </row>
    <row r="17927" spans="7:14" x14ac:dyDescent="0.3">
      <c r="G17927" s="1"/>
      <c r="N17927" s="1"/>
    </row>
    <row r="17928" spans="7:14" x14ac:dyDescent="0.3">
      <c r="G17928" s="1"/>
      <c r="N17928" s="1"/>
    </row>
    <row r="17929" spans="7:14" x14ac:dyDescent="0.3">
      <c r="G17929" s="1"/>
      <c r="N17929" s="1"/>
    </row>
    <row r="17930" spans="7:14" x14ac:dyDescent="0.3">
      <c r="G17930" s="1"/>
      <c r="N17930" s="1"/>
    </row>
    <row r="17931" spans="7:14" x14ac:dyDescent="0.3">
      <c r="G17931" s="1"/>
      <c r="N17931" s="1"/>
    </row>
    <row r="17932" spans="7:14" x14ac:dyDescent="0.3">
      <c r="G17932" s="1"/>
      <c r="N17932" s="1"/>
    </row>
    <row r="17933" spans="7:14" x14ac:dyDescent="0.3">
      <c r="G17933" s="1"/>
      <c r="N17933" s="1"/>
    </row>
    <row r="17934" spans="7:14" x14ac:dyDescent="0.3">
      <c r="G17934" s="1"/>
      <c r="N17934" s="1"/>
    </row>
    <row r="17935" spans="7:14" x14ac:dyDescent="0.3">
      <c r="G17935" s="1"/>
      <c r="N17935" s="1"/>
    </row>
    <row r="17936" spans="7:14" x14ac:dyDescent="0.3">
      <c r="G17936" s="1"/>
      <c r="N17936" s="1"/>
    </row>
    <row r="17937" spans="7:14" x14ac:dyDescent="0.3">
      <c r="G17937" s="1"/>
      <c r="N17937" s="1"/>
    </row>
    <row r="17938" spans="7:14" x14ac:dyDescent="0.3">
      <c r="G17938" s="1"/>
      <c r="N17938" s="1"/>
    </row>
    <row r="17939" spans="7:14" x14ac:dyDescent="0.3">
      <c r="G17939" s="1"/>
      <c r="N17939" s="1"/>
    </row>
    <row r="17940" spans="7:14" x14ac:dyDescent="0.3">
      <c r="G17940" s="1"/>
      <c r="N17940" s="1"/>
    </row>
    <row r="17941" spans="7:14" x14ac:dyDescent="0.3">
      <c r="G17941" s="1"/>
      <c r="N17941" s="1"/>
    </row>
    <row r="17942" spans="7:14" x14ac:dyDescent="0.3">
      <c r="G17942" s="1"/>
      <c r="N17942" s="1"/>
    </row>
    <row r="17943" spans="7:14" x14ac:dyDescent="0.3">
      <c r="G17943" s="1"/>
      <c r="N17943" s="1"/>
    </row>
    <row r="17944" spans="7:14" x14ac:dyDescent="0.3">
      <c r="G17944" s="1"/>
      <c r="N17944" s="1"/>
    </row>
    <row r="17945" spans="7:14" x14ac:dyDescent="0.3">
      <c r="G17945" s="1"/>
      <c r="N17945" s="1"/>
    </row>
    <row r="17946" spans="7:14" x14ac:dyDescent="0.3">
      <c r="G17946" s="1"/>
      <c r="N17946" s="1"/>
    </row>
    <row r="17947" spans="7:14" x14ac:dyDescent="0.3">
      <c r="G17947" s="1"/>
      <c r="N17947" s="1"/>
    </row>
    <row r="17948" spans="7:14" x14ac:dyDescent="0.3">
      <c r="G17948" s="1"/>
      <c r="N17948" s="1"/>
    </row>
    <row r="17949" spans="7:14" x14ac:dyDescent="0.3">
      <c r="G17949" s="1"/>
      <c r="N17949" s="1"/>
    </row>
    <row r="17950" spans="7:14" x14ac:dyDescent="0.3">
      <c r="G17950" s="1"/>
      <c r="N17950" s="1"/>
    </row>
    <row r="17951" spans="7:14" x14ac:dyDescent="0.3">
      <c r="G17951" s="1"/>
      <c r="N17951" s="1"/>
    </row>
    <row r="17952" spans="7:14" x14ac:dyDescent="0.3">
      <c r="G17952" s="1"/>
      <c r="N17952" s="1"/>
    </row>
    <row r="17953" spans="7:14" x14ac:dyDescent="0.3">
      <c r="G17953" s="1"/>
      <c r="N17953" s="1"/>
    </row>
    <row r="17954" spans="7:14" x14ac:dyDescent="0.3">
      <c r="G17954" s="1"/>
      <c r="N17954" s="1"/>
    </row>
    <row r="17955" spans="7:14" x14ac:dyDescent="0.3">
      <c r="G17955" s="1"/>
      <c r="N17955" s="1"/>
    </row>
    <row r="17956" spans="7:14" x14ac:dyDescent="0.3">
      <c r="G17956" s="1"/>
      <c r="N17956" s="1"/>
    </row>
    <row r="17957" spans="7:14" x14ac:dyDescent="0.3">
      <c r="G17957" s="1"/>
      <c r="N17957" s="1"/>
    </row>
    <row r="17958" spans="7:14" x14ac:dyDescent="0.3">
      <c r="G17958" s="1"/>
      <c r="N17958" s="1"/>
    </row>
    <row r="17959" spans="7:14" x14ac:dyDescent="0.3">
      <c r="G17959" s="1"/>
      <c r="N17959" s="1"/>
    </row>
    <row r="17960" spans="7:14" x14ac:dyDescent="0.3">
      <c r="G17960" s="1"/>
      <c r="N17960" s="1"/>
    </row>
    <row r="17961" spans="7:14" x14ac:dyDescent="0.3">
      <c r="G17961" s="1"/>
      <c r="N17961" s="1"/>
    </row>
    <row r="17962" spans="7:14" x14ac:dyDescent="0.3">
      <c r="G17962" s="1"/>
      <c r="N17962" s="1"/>
    </row>
    <row r="17963" spans="7:14" x14ac:dyDescent="0.3">
      <c r="G17963" s="1"/>
      <c r="N17963" s="1"/>
    </row>
    <row r="17964" spans="7:14" x14ac:dyDescent="0.3">
      <c r="G17964" s="1"/>
      <c r="N17964" s="1"/>
    </row>
    <row r="17965" spans="7:14" x14ac:dyDescent="0.3">
      <c r="G17965" s="1"/>
      <c r="N17965" s="1"/>
    </row>
    <row r="17966" spans="7:14" x14ac:dyDescent="0.3">
      <c r="G17966" s="1"/>
      <c r="N17966" s="1"/>
    </row>
    <row r="17967" spans="7:14" x14ac:dyDescent="0.3">
      <c r="G17967" s="1"/>
      <c r="N17967" s="1"/>
    </row>
    <row r="17968" spans="7:14" x14ac:dyDescent="0.3">
      <c r="G17968" s="1"/>
      <c r="N17968" s="1"/>
    </row>
    <row r="17969" spans="7:14" x14ac:dyDescent="0.3">
      <c r="G17969" s="1"/>
      <c r="N17969" s="1"/>
    </row>
    <row r="17970" spans="7:14" x14ac:dyDescent="0.3">
      <c r="G17970" s="1"/>
      <c r="N17970" s="1"/>
    </row>
    <row r="17971" spans="7:14" x14ac:dyDescent="0.3">
      <c r="G17971" s="1"/>
      <c r="N17971" s="1"/>
    </row>
    <row r="17972" spans="7:14" x14ac:dyDescent="0.3">
      <c r="G17972" s="1"/>
      <c r="N17972" s="1"/>
    </row>
    <row r="17973" spans="7:14" x14ac:dyDescent="0.3">
      <c r="G17973" s="1"/>
      <c r="N17973" s="1"/>
    </row>
    <row r="17974" spans="7:14" x14ac:dyDescent="0.3">
      <c r="G17974" s="1"/>
      <c r="N17974" s="1"/>
    </row>
    <row r="17975" spans="7:14" x14ac:dyDescent="0.3">
      <c r="G17975" s="1"/>
      <c r="N17975" s="1"/>
    </row>
    <row r="17976" spans="7:14" x14ac:dyDescent="0.3">
      <c r="G17976" s="1"/>
      <c r="N17976" s="1"/>
    </row>
    <row r="17977" spans="7:14" x14ac:dyDescent="0.3">
      <c r="G17977" s="1"/>
      <c r="N17977" s="1"/>
    </row>
    <row r="17978" spans="7:14" x14ac:dyDescent="0.3">
      <c r="G17978" s="1"/>
      <c r="N17978" s="1"/>
    </row>
    <row r="17979" spans="7:14" x14ac:dyDescent="0.3">
      <c r="G17979" s="1"/>
      <c r="N17979" s="1"/>
    </row>
    <row r="17980" spans="7:14" x14ac:dyDescent="0.3">
      <c r="G17980" s="1"/>
      <c r="N17980" s="1"/>
    </row>
    <row r="17981" spans="7:14" x14ac:dyDescent="0.3">
      <c r="G17981" s="1"/>
      <c r="N17981" s="1"/>
    </row>
    <row r="17982" spans="7:14" x14ac:dyDescent="0.3">
      <c r="G17982" s="1"/>
      <c r="N17982" s="1"/>
    </row>
    <row r="17983" spans="7:14" x14ac:dyDescent="0.3">
      <c r="G17983" s="1"/>
      <c r="N17983" s="1"/>
    </row>
    <row r="17984" spans="7:14" x14ac:dyDescent="0.3">
      <c r="G17984" s="1"/>
      <c r="N17984" s="1"/>
    </row>
    <row r="17985" spans="7:14" x14ac:dyDescent="0.3">
      <c r="G17985" s="1"/>
      <c r="N17985" s="1"/>
    </row>
    <row r="17986" spans="7:14" x14ac:dyDescent="0.3">
      <c r="G17986" s="1"/>
      <c r="N17986" s="1"/>
    </row>
    <row r="17987" spans="7:14" x14ac:dyDescent="0.3">
      <c r="G17987" s="1"/>
      <c r="N17987" s="1"/>
    </row>
    <row r="17988" spans="7:14" x14ac:dyDescent="0.3">
      <c r="G17988" s="1"/>
      <c r="N17988" s="1"/>
    </row>
    <row r="17989" spans="7:14" x14ac:dyDescent="0.3">
      <c r="G17989" s="1"/>
      <c r="N17989" s="1"/>
    </row>
    <row r="17990" spans="7:14" x14ac:dyDescent="0.3">
      <c r="G17990" s="1"/>
      <c r="N17990" s="1"/>
    </row>
    <row r="17991" spans="7:14" x14ac:dyDescent="0.3">
      <c r="G17991" s="1"/>
      <c r="N17991" s="1"/>
    </row>
    <row r="17992" spans="7:14" x14ac:dyDescent="0.3">
      <c r="G17992" s="1"/>
      <c r="N17992" s="1"/>
    </row>
    <row r="17993" spans="7:14" x14ac:dyDescent="0.3">
      <c r="G17993" s="1"/>
      <c r="N17993" s="1"/>
    </row>
    <row r="17994" spans="7:14" x14ac:dyDescent="0.3">
      <c r="G17994" s="1"/>
      <c r="N17994" s="1"/>
    </row>
    <row r="17995" spans="7:14" x14ac:dyDescent="0.3">
      <c r="G17995" s="1"/>
      <c r="N17995" s="1"/>
    </row>
    <row r="17996" spans="7:14" x14ac:dyDescent="0.3">
      <c r="G17996" s="1"/>
      <c r="N17996" s="1"/>
    </row>
    <row r="17997" spans="7:14" x14ac:dyDescent="0.3">
      <c r="G17997" s="1"/>
      <c r="N17997" s="1"/>
    </row>
    <row r="17998" spans="7:14" x14ac:dyDescent="0.3">
      <c r="G17998" s="1"/>
      <c r="N17998" s="1"/>
    </row>
    <row r="17999" spans="7:14" x14ac:dyDescent="0.3">
      <c r="G17999" s="1"/>
      <c r="N17999" s="1"/>
    </row>
    <row r="18000" spans="7:14" x14ac:dyDescent="0.3">
      <c r="G18000" s="1"/>
      <c r="N18000" s="1"/>
    </row>
    <row r="18001" spans="7:14" x14ac:dyDescent="0.3">
      <c r="G18001" s="1"/>
      <c r="N18001" s="1"/>
    </row>
    <row r="18002" spans="7:14" x14ac:dyDescent="0.3">
      <c r="G18002" s="1"/>
      <c r="N18002" s="1"/>
    </row>
    <row r="18003" spans="7:14" x14ac:dyDescent="0.3">
      <c r="G18003" s="1"/>
      <c r="N18003" s="1"/>
    </row>
    <row r="18004" spans="7:14" x14ac:dyDescent="0.3">
      <c r="G18004" s="1"/>
      <c r="N18004" s="1"/>
    </row>
    <row r="18005" spans="7:14" x14ac:dyDescent="0.3">
      <c r="G18005" s="1"/>
      <c r="N18005" s="1"/>
    </row>
    <row r="18006" spans="7:14" x14ac:dyDescent="0.3">
      <c r="G18006" s="1"/>
      <c r="N18006" s="1"/>
    </row>
    <row r="18007" spans="7:14" x14ac:dyDescent="0.3">
      <c r="G18007" s="1"/>
      <c r="N18007" s="1"/>
    </row>
    <row r="18008" spans="7:14" x14ac:dyDescent="0.3">
      <c r="G18008" s="1"/>
      <c r="N18008" s="1"/>
    </row>
    <row r="18009" spans="7:14" x14ac:dyDescent="0.3">
      <c r="G18009" s="1"/>
      <c r="N18009" s="1"/>
    </row>
    <row r="18010" spans="7:14" x14ac:dyDescent="0.3">
      <c r="G18010" s="1"/>
      <c r="N18010" s="1"/>
    </row>
    <row r="18011" spans="7:14" x14ac:dyDescent="0.3">
      <c r="G18011" s="1"/>
      <c r="N18011" s="1"/>
    </row>
    <row r="18012" spans="7:14" x14ac:dyDescent="0.3">
      <c r="G18012" s="1"/>
      <c r="N18012" s="1"/>
    </row>
    <row r="18013" spans="7:14" x14ac:dyDescent="0.3">
      <c r="G18013" s="1"/>
      <c r="N18013" s="1"/>
    </row>
    <row r="18014" spans="7:14" x14ac:dyDescent="0.3">
      <c r="G18014" s="1"/>
      <c r="N18014" s="1"/>
    </row>
    <row r="18015" spans="7:14" x14ac:dyDescent="0.3">
      <c r="G18015" s="1"/>
      <c r="N18015" s="1"/>
    </row>
    <row r="18016" spans="7:14" x14ac:dyDescent="0.3">
      <c r="G18016" s="1"/>
      <c r="N18016" s="1"/>
    </row>
    <row r="18017" spans="7:14" x14ac:dyDescent="0.3">
      <c r="G18017" s="1"/>
      <c r="N18017" s="1"/>
    </row>
    <row r="18018" spans="7:14" x14ac:dyDescent="0.3">
      <c r="G18018" s="1"/>
      <c r="N18018" s="1"/>
    </row>
    <row r="18019" spans="7:14" x14ac:dyDescent="0.3">
      <c r="G18019" s="1"/>
      <c r="N18019" s="1"/>
    </row>
    <row r="18020" spans="7:14" x14ac:dyDescent="0.3">
      <c r="G18020" s="1"/>
      <c r="N18020" s="1"/>
    </row>
    <row r="18021" spans="7:14" x14ac:dyDescent="0.3">
      <c r="G18021" s="1"/>
      <c r="N18021" s="1"/>
    </row>
    <row r="18022" spans="7:14" x14ac:dyDescent="0.3">
      <c r="G18022" s="1"/>
      <c r="N18022" s="1"/>
    </row>
    <row r="18023" spans="7:14" x14ac:dyDescent="0.3">
      <c r="G18023" s="1"/>
      <c r="N18023" s="1"/>
    </row>
    <row r="18024" spans="7:14" x14ac:dyDescent="0.3">
      <c r="G18024" s="1"/>
      <c r="N18024" s="1"/>
    </row>
    <row r="18025" spans="7:14" x14ac:dyDescent="0.3">
      <c r="G18025" s="1"/>
      <c r="N18025" s="1"/>
    </row>
    <row r="18026" spans="7:14" x14ac:dyDescent="0.3">
      <c r="G18026" s="1"/>
      <c r="N18026" s="1"/>
    </row>
    <row r="18027" spans="7:14" x14ac:dyDescent="0.3">
      <c r="G18027" s="1"/>
      <c r="N18027" s="1"/>
    </row>
    <row r="18028" spans="7:14" x14ac:dyDescent="0.3">
      <c r="G18028" s="1"/>
      <c r="N18028" s="1"/>
    </row>
    <row r="18029" spans="7:14" x14ac:dyDescent="0.3">
      <c r="G18029" s="1"/>
      <c r="N18029" s="1"/>
    </row>
    <row r="18030" spans="7:14" x14ac:dyDescent="0.3">
      <c r="G18030" s="1"/>
      <c r="N18030" s="1"/>
    </row>
    <row r="18031" spans="7:14" x14ac:dyDescent="0.3">
      <c r="G18031" s="1"/>
      <c r="N18031" s="1"/>
    </row>
    <row r="18032" spans="7:14" x14ac:dyDescent="0.3">
      <c r="G18032" s="1"/>
      <c r="N18032" s="1"/>
    </row>
    <row r="18033" spans="7:14" x14ac:dyDescent="0.3">
      <c r="G18033" s="1"/>
      <c r="N18033" s="1"/>
    </row>
    <row r="18034" spans="7:14" x14ac:dyDescent="0.3">
      <c r="G18034" s="1"/>
      <c r="N18034" s="1"/>
    </row>
    <row r="18035" spans="7:14" x14ac:dyDescent="0.3">
      <c r="G18035" s="1"/>
      <c r="N18035" s="1"/>
    </row>
    <row r="18036" spans="7:14" x14ac:dyDescent="0.3">
      <c r="G18036" s="1"/>
      <c r="N18036" s="1"/>
    </row>
    <row r="18037" spans="7:14" x14ac:dyDescent="0.3">
      <c r="G18037" s="1"/>
      <c r="N18037" s="1"/>
    </row>
    <row r="18038" spans="7:14" x14ac:dyDescent="0.3">
      <c r="G18038" s="1"/>
      <c r="N18038" s="1"/>
    </row>
    <row r="18039" spans="7:14" x14ac:dyDescent="0.3">
      <c r="G18039" s="1"/>
      <c r="N18039" s="1"/>
    </row>
    <row r="18040" spans="7:14" x14ac:dyDescent="0.3">
      <c r="G18040" s="1"/>
      <c r="N18040" s="1"/>
    </row>
    <row r="18041" spans="7:14" x14ac:dyDescent="0.3">
      <c r="G18041" s="1"/>
      <c r="N18041" s="1"/>
    </row>
    <row r="18042" spans="7:14" x14ac:dyDescent="0.3">
      <c r="G18042" s="1"/>
      <c r="N18042" s="1"/>
    </row>
    <row r="18043" spans="7:14" x14ac:dyDescent="0.3">
      <c r="G18043" s="1"/>
      <c r="N18043" s="1"/>
    </row>
    <row r="18044" spans="7:14" x14ac:dyDescent="0.3">
      <c r="G18044" s="1"/>
      <c r="N18044" s="1"/>
    </row>
    <row r="18045" spans="7:14" x14ac:dyDescent="0.3">
      <c r="G18045" s="1"/>
      <c r="N18045" s="1"/>
    </row>
    <row r="18046" spans="7:14" x14ac:dyDescent="0.3">
      <c r="G18046" s="1"/>
      <c r="N18046" s="1"/>
    </row>
    <row r="18047" spans="7:14" x14ac:dyDescent="0.3">
      <c r="G18047" s="1"/>
      <c r="N18047" s="1"/>
    </row>
    <row r="18048" spans="7:14" x14ac:dyDescent="0.3">
      <c r="G18048" s="1"/>
      <c r="N18048" s="1"/>
    </row>
    <row r="18049" spans="7:14" x14ac:dyDescent="0.3">
      <c r="G18049" s="1"/>
      <c r="N18049" s="1"/>
    </row>
    <row r="18050" spans="7:14" x14ac:dyDescent="0.3">
      <c r="G18050" s="1"/>
      <c r="N18050" s="1"/>
    </row>
    <row r="18051" spans="7:14" x14ac:dyDescent="0.3">
      <c r="G18051" s="1"/>
      <c r="N18051" s="1"/>
    </row>
    <row r="18052" spans="7:14" x14ac:dyDescent="0.3">
      <c r="G18052" s="1"/>
      <c r="N18052" s="1"/>
    </row>
    <row r="18053" spans="7:14" x14ac:dyDescent="0.3">
      <c r="G18053" s="1"/>
      <c r="N18053" s="1"/>
    </row>
    <row r="18054" spans="7:14" x14ac:dyDescent="0.3">
      <c r="G18054" s="1"/>
      <c r="N18054" s="1"/>
    </row>
    <row r="18055" spans="7:14" x14ac:dyDescent="0.3">
      <c r="G18055" s="1"/>
      <c r="N18055" s="1"/>
    </row>
    <row r="18056" spans="7:14" x14ac:dyDescent="0.3">
      <c r="G18056" s="1"/>
      <c r="N18056" s="1"/>
    </row>
    <row r="18057" spans="7:14" x14ac:dyDescent="0.3">
      <c r="G18057" s="1"/>
      <c r="N18057" s="1"/>
    </row>
    <row r="18058" spans="7:14" x14ac:dyDescent="0.3">
      <c r="G18058" s="1"/>
      <c r="N18058" s="1"/>
    </row>
    <row r="18059" spans="7:14" x14ac:dyDescent="0.3">
      <c r="G18059" s="1"/>
      <c r="N18059" s="1"/>
    </row>
    <row r="18060" spans="7:14" x14ac:dyDescent="0.3">
      <c r="G18060" s="1"/>
      <c r="N18060" s="1"/>
    </row>
    <row r="18061" spans="7:14" x14ac:dyDescent="0.3">
      <c r="G18061" s="1"/>
      <c r="N18061" s="1"/>
    </row>
    <row r="18062" spans="7:14" x14ac:dyDescent="0.3">
      <c r="G18062" s="1"/>
      <c r="N18062" s="1"/>
    </row>
    <row r="18063" spans="7:14" x14ac:dyDescent="0.3">
      <c r="G18063" s="1"/>
      <c r="N18063" s="1"/>
    </row>
    <row r="18064" spans="7:14" x14ac:dyDescent="0.3">
      <c r="G18064" s="1"/>
      <c r="N18064" s="1"/>
    </row>
    <row r="18065" spans="7:14" x14ac:dyDescent="0.3">
      <c r="G18065" s="1"/>
      <c r="N18065" s="1"/>
    </row>
    <row r="18066" spans="7:14" x14ac:dyDescent="0.3">
      <c r="G18066" s="1"/>
      <c r="N18066" s="1"/>
    </row>
    <row r="18067" spans="7:14" x14ac:dyDescent="0.3">
      <c r="G18067" s="1"/>
      <c r="N18067" s="1"/>
    </row>
    <row r="18068" spans="7:14" x14ac:dyDescent="0.3">
      <c r="G18068" s="1"/>
      <c r="N18068" s="1"/>
    </row>
    <row r="18069" spans="7:14" x14ac:dyDescent="0.3">
      <c r="G18069" s="1"/>
      <c r="N18069" s="1"/>
    </row>
    <row r="18070" spans="7:14" x14ac:dyDescent="0.3">
      <c r="G18070" s="1"/>
      <c r="N18070" s="1"/>
    </row>
    <row r="18071" spans="7:14" x14ac:dyDescent="0.3">
      <c r="G18071" s="1"/>
      <c r="N18071" s="1"/>
    </row>
    <row r="18072" spans="7:14" x14ac:dyDescent="0.3">
      <c r="G18072" s="1"/>
      <c r="N18072" s="1"/>
    </row>
    <row r="18073" spans="7:14" x14ac:dyDescent="0.3">
      <c r="G18073" s="1"/>
      <c r="N18073" s="1"/>
    </row>
    <row r="18074" spans="7:14" x14ac:dyDescent="0.3">
      <c r="G18074" s="1"/>
      <c r="N18074" s="1"/>
    </row>
    <row r="18075" spans="7:14" x14ac:dyDescent="0.3">
      <c r="G18075" s="1"/>
      <c r="N18075" s="1"/>
    </row>
    <row r="18076" spans="7:14" x14ac:dyDescent="0.3">
      <c r="G18076" s="1"/>
      <c r="N18076" s="1"/>
    </row>
    <row r="18077" spans="7:14" x14ac:dyDescent="0.3">
      <c r="G18077" s="1"/>
      <c r="N18077" s="1"/>
    </row>
    <row r="18078" spans="7:14" x14ac:dyDescent="0.3">
      <c r="G18078" s="1"/>
      <c r="N18078" s="1"/>
    </row>
    <row r="18079" spans="7:14" x14ac:dyDescent="0.3">
      <c r="G18079" s="1"/>
      <c r="N18079" s="1"/>
    </row>
    <row r="18080" spans="7:14" x14ac:dyDescent="0.3">
      <c r="G18080" s="1"/>
      <c r="N18080" s="1"/>
    </row>
    <row r="18081" spans="7:14" x14ac:dyDescent="0.3">
      <c r="G18081" s="1"/>
      <c r="N18081" s="1"/>
    </row>
    <row r="18082" spans="7:14" x14ac:dyDescent="0.3">
      <c r="G18082" s="1"/>
      <c r="N18082" s="1"/>
    </row>
    <row r="18083" spans="7:14" x14ac:dyDescent="0.3">
      <c r="G18083" s="1"/>
      <c r="N18083" s="1"/>
    </row>
    <row r="18084" spans="7:14" x14ac:dyDescent="0.3">
      <c r="G18084" s="1"/>
      <c r="N18084" s="1"/>
    </row>
    <row r="18085" spans="7:14" x14ac:dyDescent="0.3">
      <c r="G18085" s="1"/>
      <c r="N18085" s="1"/>
    </row>
    <row r="18086" spans="7:14" x14ac:dyDescent="0.3">
      <c r="G18086" s="1"/>
      <c r="N18086" s="1"/>
    </row>
    <row r="18087" spans="7:14" x14ac:dyDescent="0.3">
      <c r="G18087" s="1"/>
      <c r="N18087" s="1"/>
    </row>
    <row r="18088" spans="7:14" x14ac:dyDescent="0.3">
      <c r="G18088" s="1"/>
      <c r="N18088" s="1"/>
    </row>
    <row r="18089" spans="7:14" x14ac:dyDescent="0.3">
      <c r="G18089" s="1"/>
      <c r="N18089" s="1"/>
    </row>
    <row r="18090" spans="7:14" x14ac:dyDescent="0.3">
      <c r="G18090" s="1"/>
      <c r="N18090" s="1"/>
    </row>
    <row r="18091" spans="7:14" x14ac:dyDescent="0.3">
      <c r="G18091" s="1"/>
      <c r="N18091" s="1"/>
    </row>
    <row r="18092" spans="7:14" x14ac:dyDescent="0.3">
      <c r="G18092" s="1"/>
      <c r="N18092" s="1"/>
    </row>
    <row r="18093" spans="7:14" x14ac:dyDescent="0.3">
      <c r="G18093" s="1"/>
      <c r="N18093" s="1"/>
    </row>
    <row r="18094" spans="7:14" x14ac:dyDescent="0.3">
      <c r="G18094" s="1"/>
      <c r="N18094" s="1"/>
    </row>
    <row r="18095" spans="7:14" x14ac:dyDescent="0.3">
      <c r="G18095" s="1"/>
      <c r="N18095" s="1"/>
    </row>
    <row r="18096" spans="7:14" x14ac:dyDescent="0.3">
      <c r="G18096" s="1"/>
      <c r="N18096" s="1"/>
    </row>
    <row r="18097" spans="7:14" x14ac:dyDescent="0.3">
      <c r="G18097" s="1"/>
      <c r="N18097" s="1"/>
    </row>
    <row r="18098" spans="7:14" x14ac:dyDescent="0.3">
      <c r="G18098" s="1"/>
      <c r="N18098" s="1"/>
    </row>
    <row r="18099" spans="7:14" x14ac:dyDescent="0.3">
      <c r="G18099" s="1"/>
      <c r="N18099" s="1"/>
    </row>
    <row r="18100" spans="7:14" x14ac:dyDescent="0.3">
      <c r="G18100" s="1"/>
      <c r="N18100" s="1"/>
    </row>
    <row r="18101" spans="7:14" x14ac:dyDescent="0.3">
      <c r="G18101" s="1"/>
      <c r="N18101" s="1"/>
    </row>
    <row r="18102" spans="7:14" x14ac:dyDescent="0.3">
      <c r="G18102" s="1"/>
      <c r="N18102" s="1"/>
    </row>
    <row r="18103" spans="7:14" x14ac:dyDescent="0.3">
      <c r="G18103" s="1"/>
      <c r="N18103" s="1"/>
    </row>
    <row r="18104" spans="7:14" x14ac:dyDescent="0.3">
      <c r="G18104" s="1"/>
      <c r="N18104" s="1"/>
    </row>
    <row r="18105" spans="7:14" x14ac:dyDescent="0.3">
      <c r="G18105" s="1"/>
      <c r="N18105" s="1"/>
    </row>
    <row r="18106" spans="7:14" x14ac:dyDescent="0.3">
      <c r="G18106" s="1"/>
      <c r="N18106" s="1"/>
    </row>
    <row r="18107" spans="7:14" x14ac:dyDescent="0.3">
      <c r="G18107" s="1"/>
      <c r="N18107" s="1"/>
    </row>
    <row r="18108" spans="7:14" x14ac:dyDescent="0.3">
      <c r="G18108" s="1"/>
      <c r="N18108" s="1"/>
    </row>
    <row r="18109" spans="7:14" x14ac:dyDescent="0.3">
      <c r="G18109" s="1"/>
      <c r="N18109" s="1"/>
    </row>
    <row r="18110" spans="7:14" x14ac:dyDescent="0.3">
      <c r="G18110" s="1"/>
      <c r="N18110" s="1"/>
    </row>
    <row r="18111" spans="7:14" x14ac:dyDescent="0.3">
      <c r="G18111" s="1"/>
      <c r="N18111" s="1"/>
    </row>
    <row r="18112" spans="7:14" x14ac:dyDescent="0.3">
      <c r="G18112" s="1"/>
      <c r="N18112" s="1"/>
    </row>
    <row r="18113" spans="7:14" x14ac:dyDescent="0.3">
      <c r="G18113" s="1"/>
      <c r="N18113" s="1"/>
    </row>
    <row r="18114" spans="7:14" x14ac:dyDescent="0.3">
      <c r="G18114" s="1"/>
      <c r="N18114" s="1"/>
    </row>
    <row r="18115" spans="7:14" x14ac:dyDescent="0.3">
      <c r="G18115" s="1"/>
      <c r="N18115" s="1"/>
    </row>
    <row r="18116" spans="7:14" x14ac:dyDescent="0.3">
      <c r="G18116" s="1"/>
      <c r="N18116" s="1"/>
    </row>
    <row r="18117" spans="7:14" x14ac:dyDescent="0.3">
      <c r="G18117" s="1"/>
      <c r="N18117" s="1"/>
    </row>
    <row r="18118" spans="7:14" x14ac:dyDescent="0.3">
      <c r="G18118" s="1"/>
      <c r="N18118" s="1"/>
    </row>
    <row r="18119" spans="7:14" x14ac:dyDescent="0.3">
      <c r="G18119" s="1"/>
      <c r="N18119" s="1"/>
    </row>
    <row r="18120" spans="7:14" x14ac:dyDescent="0.3">
      <c r="G18120" s="1"/>
      <c r="N18120" s="1"/>
    </row>
    <row r="18121" spans="7:14" x14ac:dyDescent="0.3">
      <c r="G18121" s="1"/>
      <c r="N18121" s="1"/>
    </row>
    <row r="18122" spans="7:14" x14ac:dyDescent="0.3">
      <c r="G18122" s="1"/>
      <c r="N18122" s="1"/>
    </row>
    <row r="18123" spans="7:14" x14ac:dyDescent="0.3">
      <c r="G18123" s="1"/>
      <c r="N18123" s="1"/>
    </row>
    <row r="18124" spans="7:14" x14ac:dyDescent="0.3">
      <c r="G18124" s="1"/>
      <c r="N18124" s="1"/>
    </row>
    <row r="18125" spans="7:14" x14ac:dyDescent="0.3">
      <c r="G18125" s="1"/>
      <c r="N18125" s="1"/>
    </row>
    <row r="18126" spans="7:14" x14ac:dyDescent="0.3">
      <c r="G18126" s="1"/>
      <c r="N18126" s="1"/>
    </row>
    <row r="18127" spans="7:14" x14ac:dyDescent="0.3">
      <c r="G18127" s="1"/>
      <c r="N18127" s="1"/>
    </row>
    <row r="18128" spans="7:14" x14ac:dyDescent="0.3">
      <c r="G18128" s="1"/>
      <c r="N18128" s="1"/>
    </row>
    <row r="18129" spans="7:14" x14ac:dyDescent="0.3">
      <c r="G18129" s="1"/>
      <c r="N18129" s="1"/>
    </row>
    <row r="18130" spans="7:14" x14ac:dyDescent="0.3">
      <c r="G18130" s="1"/>
      <c r="N18130" s="1"/>
    </row>
    <row r="18131" spans="7:14" x14ac:dyDescent="0.3">
      <c r="G18131" s="1"/>
      <c r="N18131" s="1"/>
    </row>
    <row r="18132" spans="7:14" x14ac:dyDescent="0.3">
      <c r="G18132" s="1"/>
      <c r="N18132" s="1"/>
    </row>
    <row r="18133" spans="7:14" x14ac:dyDescent="0.3">
      <c r="G18133" s="1"/>
      <c r="N18133" s="1"/>
    </row>
    <row r="18134" spans="7:14" x14ac:dyDescent="0.3">
      <c r="G18134" s="1"/>
      <c r="N18134" s="1"/>
    </row>
    <row r="18135" spans="7:14" x14ac:dyDescent="0.3">
      <c r="G18135" s="1"/>
      <c r="N18135" s="1"/>
    </row>
    <row r="18136" spans="7:14" x14ac:dyDescent="0.3">
      <c r="G18136" s="1"/>
      <c r="N18136" s="1"/>
    </row>
    <row r="18137" spans="7:14" x14ac:dyDescent="0.3">
      <c r="G18137" s="1"/>
      <c r="N18137" s="1"/>
    </row>
    <row r="18138" spans="7:14" x14ac:dyDescent="0.3">
      <c r="G18138" s="1"/>
      <c r="N18138" s="1"/>
    </row>
    <row r="18139" spans="7:14" x14ac:dyDescent="0.3">
      <c r="G18139" s="1"/>
      <c r="N18139" s="1"/>
    </row>
    <row r="18140" spans="7:14" x14ac:dyDescent="0.3">
      <c r="G18140" s="1"/>
      <c r="N18140" s="1"/>
    </row>
    <row r="18141" spans="7:14" x14ac:dyDescent="0.3">
      <c r="G18141" s="1"/>
      <c r="N18141" s="1"/>
    </row>
    <row r="18142" spans="7:14" x14ac:dyDescent="0.3">
      <c r="G18142" s="1"/>
      <c r="N18142" s="1"/>
    </row>
    <row r="18143" spans="7:14" x14ac:dyDescent="0.3">
      <c r="G18143" s="1"/>
      <c r="N18143" s="1"/>
    </row>
    <row r="18144" spans="7:14" x14ac:dyDescent="0.3">
      <c r="G18144" s="1"/>
      <c r="N18144" s="1"/>
    </row>
    <row r="18145" spans="7:14" x14ac:dyDescent="0.3">
      <c r="G18145" s="1"/>
      <c r="N18145" s="1"/>
    </row>
    <row r="18146" spans="7:14" x14ac:dyDescent="0.3">
      <c r="G18146" s="1"/>
      <c r="N18146" s="1"/>
    </row>
    <row r="18147" spans="7:14" x14ac:dyDescent="0.3">
      <c r="G18147" s="1"/>
      <c r="N18147" s="1"/>
    </row>
    <row r="18148" spans="7:14" x14ac:dyDescent="0.3">
      <c r="G18148" s="1"/>
      <c r="N18148" s="1"/>
    </row>
    <row r="18149" spans="7:14" x14ac:dyDescent="0.3">
      <c r="G18149" s="1"/>
      <c r="N18149" s="1"/>
    </row>
    <row r="18150" spans="7:14" x14ac:dyDescent="0.3">
      <c r="G18150" s="1"/>
      <c r="N18150" s="1"/>
    </row>
    <row r="18151" spans="7:14" x14ac:dyDescent="0.3">
      <c r="G18151" s="1"/>
      <c r="N18151" s="1"/>
    </row>
    <row r="18152" spans="7:14" x14ac:dyDescent="0.3">
      <c r="G18152" s="1"/>
      <c r="N18152" s="1"/>
    </row>
    <row r="18153" spans="7:14" x14ac:dyDescent="0.3">
      <c r="G18153" s="1"/>
      <c r="N18153" s="1"/>
    </row>
    <row r="18154" spans="7:14" x14ac:dyDescent="0.3">
      <c r="G18154" s="1"/>
      <c r="N18154" s="1"/>
    </row>
    <row r="18155" spans="7:14" x14ac:dyDescent="0.3">
      <c r="G18155" s="1"/>
      <c r="N18155" s="1"/>
    </row>
    <row r="18156" spans="7:14" x14ac:dyDescent="0.3">
      <c r="G18156" s="1"/>
      <c r="N18156" s="1"/>
    </row>
    <row r="18157" spans="7:14" x14ac:dyDescent="0.3">
      <c r="G18157" s="1"/>
      <c r="N18157" s="1"/>
    </row>
    <row r="18158" spans="7:14" x14ac:dyDescent="0.3">
      <c r="G18158" s="1"/>
      <c r="N18158" s="1"/>
    </row>
    <row r="18159" spans="7:14" x14ac:dyDescent="0.3">
      <c r="G18159" s="1"/>
      <c r="N18159" s="1"/>
    </row>
    <row r="18160" spans="7:14" x14ac:dyDescent="0.3">
      <c r="G18160" s="1"/>
      <c r="N18160" s="1"/>
    </row>
    <row r="18161" spans="7:14" x14ac:dyDescent="0.3">
      <c r="G18161" s="1"/>
      <c r="N18161" s="1"/>
    </row>
    <row r="18162" spans="7:14" x14ac:dyDescent="0.3">
      <c r="G18162" s="1"/>
      <c r="N18162" s="1"/>
    </row>
    <row r="18163" spans="7:14" x14ac:dyDescent="0.3">
      <c r="G18163" s="1"/>
      <c r="N18163" s="1"/>
    </row>
    <row r="18164" spans="7:14" x14ac:dyDescent="0.3">
      <c r="G18164" s="1"/>
      <c r="N18164" s="1"/>
    </row>
    <row r="18165" spans="7:14" x14ac:dyDescent="0.3">
      <c r="G18165" s="1"/>
      <c r="N18165" s="1"/>
    </row>
    <row r="18166" spans="7:14" x14ac:dyDescent="0.3">
      <c r="G18166" s="1"/>
      <c r="N18166" s="1"/>
    </row>
    <row r="18167" spans="7:14" x14ac:dyDescent="0.3">
      <c r="G18167" s="1"/>
      <c r="N18167" s="1"/>
    </row>
    <row r="18168" spans="7:14" x14ac:dyDescent="0.3">
      <c r="G18168" s="1"/>
      <c r="N18168" s="1"/>
    </row>
    <row r="18169" spans="7:14" x14ac:dyDescent="0.3">
      <c r="G18169" s="1"/>
      <c r="N18169" s="1"/>
    </row>
    <row r="18170" spans="7:14" x14ac:dyDescent="0.3">
      <c r="G18170" s="1"/>
      <c r="N18170" s="1"/>
    </row>
    <row r="18171" spans="7:14" x14ac:dyDescent="0.3">
      <c r="G18171" s="1"/>
      <c r="N18171" s="1"/>
    </row>
    <row r="18172" spans="7:14" x14ac:dyDescent="0.3">
      <c r="G18172" s="1"/>
      <c r="N18172" s="1"/>
    </row>
    <row r="18173" spans="7:14" x14ac:dyDescent="0.3">
      <c r="G18173" s="1"/>
      <c r="N18173" s="1"/>
    </row>
    <row r="18174" spans="7:14" x14ac:dyDescent="0.3">
      <c r="G18174" s="1"/>
      <c r="N18174" s="1"/>
    </row>
    <row r="18175" spans="7:14" x14ac:dyDescent="0.3">
      <c r="G18175" s="1"/>
      <c r="N18175" s="1"/>
    </row>
    <row r="18176" spans="7:14" x14ac:dyDescent="0.3">
      <c r="G18176" s="1"/>
      <c r="N18176" s="1"/>
    </row>
    <row r="18177" spans="7:14" x14ac:dyDescent="0.3">
      <c r="G18177" s="1"/>
      <c r="N18177" s="1"/>
    </row>
    <row r="18178" spans="7:14" x14ac:dyDescent="0.3">
      <c r="G18178" s="1"/>
      <c r="N18178" s="1"/>
    </row>
    <row r="18179" spans="7:14" x14ac:dyDescent="0.3">
      <c r="G18179" s="1"/>
      <c r="N18179" s="1"/>
    </row>
    <row r="18180" spans="7:14" x14ac:dyDescent="0.3">
      <c r="G18180" s="1"/>
      <c r="N18180" s="1"/>
    </row>
    <row r="18181" spans="7:14" x14ac:dyDescent="0.3">
      <c r="G18181" s="1"/>
      <c r="N18181" s="1"/>
    </row>
    <row r="18182" spans="7:14" x14ac:dyDescent="0.3">
      <c r="G18182" s="1"/>
      <c r="N18182" s="1"/>
    </row>
    <row r="18183" spans="7:14" x14ac:dyDescent="0.3">
      <c r="G18183" s="1"/>
      <c r="N18183" s="1"/>
    </row>
    <row r="18184" spans="7:14" x14ac:dyDescent="0.3">
      <c r="G18184" s="1"/>
      <c r="N18184" s="1"/>
    </row>
    <row r="18185" spans="7:14" x14ac:dyDescent="0.3">
      <c r="G18185" s="1"/>
      <c r="N18185" s="1"/>
    </row>
    <row r="18186" spans="7:14" x14ac:dyDescent="0.3">
      <c r="G18186" s="1"/>
      <c r="N18186" s="1"/>
    </row>
    <row r="18187" spans="7:14" x14ac:dyDescent="0.3">
      <c r="G18187" s="1"/>
      <c r="N18187" s="1"/>
    </row>
    <row r="18188" spans="7:14" x14ac:dyDescent="0.3">
      <c r="G18188" s="1"/>
      <c r="N18188" s="1"/>
    </row>
    <row r="18189" spans="7:14" x14ac:dyDescent="0.3">
      <c r="G18189" s="1"/>
      <c r="N18189" s="1"/>
    </row>
    <row r="18190" spans="7:14" x14ac:dyDescent="0.3">
      <c r="G18190" s="1"/>
      <c r="N18190" s="1"/>
    </row>
    <row r="18191" spans="7:14" x14ac:dyDescent="0.3">
      <c r="G18191" s="1"/>
      <c r="N18191" s="1"/>
    </row>
    <row r="18192" spans="7:14" x14ac:dyDescent="0.3">
      <c r="G18192" s="1"/>
      <c r="N18192" s="1"/>
    </row>
    <row r="18193" spans="7:14" x14ac:dyDescent="0.3">
      <c r="G18193" s="1"/>
      <c r="N18193" s="1"/>
    </row>
    <row r="18194" spans="7:14" x14ac:dyDescent="0.3">
      <c r="G18194" s="1"/>
      <c r="N18194" s="1"/>
    </row>
    <row r="18195" spans="7:14" x14ac:dyDescent="0.3">
      <c r="G18195" s="1"/>
      <c r="N18195" s="1"/>
    </row>
    <row r="18196" spans="7:14" x14ac:dyDescent="0.3">
      <c r="G18196" s="1"/>
      <c r="N18196" s="1"/>
    </row>
    <row r="18197" spans="7:14" x14ac:dyDescent="0.3">
      <c r="G18197" s="1"/>
      <c r="N18197" s="1"/>
    </row>
    <row r="18198" spans="7:14" x14ac:dyDescent="0.3">
      <c r="G18198" s="1"/>
      <c r="N18198" s="1"/>
    </row>
    <row r="18199" spans="7:14" x14ac:dyDescent="0.3">
      <c r="G18199" s="1"/>
      <c r="N18199" s="1"/>
    </row>
    <row r="18200" spans="7:14" x14ac:dyDescent="0.3">
      <c r="G18200" s="1"/>
      <c r="N18200" s="1"/>
    </row>
    <row r="18201" spans="7:14" x14ac:dyDescent="0.3">
      <c r="G18201" s="1"/>
      <c r="N18201" s="1"/>
    </row>
    <row r="18202" spans="7:14" x14ac:dyDescent="0.3">
      <c r="G18202" s="1"/>
      <c r="N18202" s="1"/>
    </row>
    <row r="18203" spans="7:14" x14ac:dyDescent="0.3">
      <c r="G18203" s="1"/>
      <c r="N18203" s="1"/>
    </row>
    <row r="18204" spans="7:14" x14ac:dyDescent="0.3">
      <c r="G18204" s="1"/>
      <c r="N18204" s="1"/>
    </row>
    <row r="18205" spans="7:14" x14ac:dyDescent="0.3">
      <c r="G18205" s="1"/>
      <c r="N18205" s="1"/>
    </row>
    <row r="18206" spans="7:14" x14ac:dyDescent="0.3">
      <c r="G18206" s="1"/>
      <c r="N18206" s="1"/>
    </row>
    <row r="18207" spans="7:14" x14ac:dyDescent="0.3">
      <c r="G18207" s="1"/>
      <c r="N18207" s="1"/>
    </row>
    <row r="18208" spans="7:14" x14ac:dyDescent="0.3">
      <c r="G18208" s="1"/>
      <c r="N18208" s="1"/>
    </row>
    <row r="18209" spans="7:14" x14ac:dyDescent="0.3">
      <c r="G18209" s="1"/>
      <c r="N18209" s="1"/>
    </row>
    <row r="18210" spans="7:14" x14ac:dyDescent="0.3">
      <c r="G18210" s="1"/>
      <c r="N18210" s="1"/>
    </row>
    <row r="18211" spans="7:14" x14ac:dyDescent="0.3">
      <c r="G18211" s="1"/>
      <c r="N18211" s="1"/>
    </row>
    <row r="18212" spans="7:14" x14ac:dyDescent="0.3">
      <c r="G18212" s="1"/>
      <c r="N18212" s="1"/>
    </row>
    <row r="18213" spans="7:14" x14ac:dyDescent="0.3">
      <c r="G18213" s="1"/>
      <c r="N18213" s="1"/>
    </row>
    <row r="18214" spans="7:14" x14ac:dyDescent="0.3">
      <c r="G18214" s="1"/>
      <c r="N18214" s="1"/>
    </row>
    <row r="18215" spans="7:14" x14ac:dyDescent="0.3">
      <c r="G18215" s="1"/>
      <c r="N18215" s="1"/>
    </row>
    <row r="18216" spans="7:14" x14ac:dyDescent="0.3">
      <c r="G18216" s="1"/>
      <c r="N18216" s="1"/>
    </row>
    <row r="18217" spans="7:14" x14ac:dyDescent="0.3">
      <c r="G18217" s="1"/>
      <c r="N18217" s="1"/>
    </row>
    <row r="18218" spans="7:14" x14ac:dyDescent="0.3">
      <c r="G18218" s="1"/>
      <c r="N18218" s="1"/>
    </row>
    <row r="18219" spans="7:14" x14ac:dyDescent="0.3">
      <c r="G18219" s="1"/>
      <c r="N18219" s="1"/>
    </row>
    <row r="18220" spans="7:14" x14ac:dyDescent="0.3">
      <c r="G18220" s="1"/>
      <c r="N18220" s="1"/>
    </row>
    <row r="18221" spans="7:14" x14ac:dyDescent="0.3">
      <c r="G18221" s="1"/>
      <c r="N18221" s="1"/>
    </row>
    <row r="18222" spans="7:14" x14ac:dyDescent="0.3">
      <c r="G18222" s="1"/>
      <c r="N18222" s="1"/>
    </row>
    <row r="18223" spans="7:14" x14ac:dyDescent="0.3">
      <c r="G18223" s="1"/>
      <c r="N18223" s="1"/>
    </row>
    <row r="18224" spans="7:14" x14ac:dyDescent="0.3">
      <c r="G18224" s="1"/>
      <c r="N18224" s="1"/>
    </row>
    <row r="18225" spans="7:14" x14ac:dyDescent="0.3">
      <c r="G18225" s="1"/>
      <c r="N18225" s="1"/>
    </row>
    <row r="18226" spans="7:14" x14ac:dyDescent="0.3">
      <c r="G18226" s="1"/>
      <c r="N18226" s="1"/>
    </row>
    <row r="18227" spans="7:14" x14ac:dyDescent="0.3">
      <c r="G18227" s="1"/>
      <c r="N18227" s="1"/>
    </row>
    <row r="18228" spans="7:14" x14ac:dyDescent="0.3">
      <c r="G18228" s="1"/>
      <c r="N18228" s="1"/>
    </row>
    <row r="18229" spans="7:14" x14ac:dyDescent="0.3">
      <c r="G18229" s="1"/>
      <c r="N18229" s="1"/>
    </row>
    <row r="18230" spans="7:14" x14ac:dyDescent="0.3">
      <c r="G18230" s="1"/>
      <c r="N18230" s="1"/>
    </row>
    <row r="18231" spans="7:14" x14ac:dyDescent="0.3">
      <c r="G18231" s="1"/>
      <c r="N18231" s="1"/>
    </row>
    <row r="18232" spans="7:14" x14ac:dyDescent="0.3">
      <c r="G18232" s="1"/>
      <c r="N18232" s="1"/>
    </row>
    <row r="18233" spans="7:14" x14ac:dyDescent="0.3">
      <c r="G18233" s="1"/>
      <c r="N18233" s="1"/>
    </row>
    <row r="18234" spans="7:14" x14ac:dyDescent="0.3">
      <c r="G18234" s="1"/>
      <c r="N18234" s="1"/>
    </row>
    <row r="18235" spans="7:14" x14ac:dyDescent="0.3">
      <c r="G18235" s="1"/>
      <c r="N18235" s="1"/>
    </row>
    <row r="18236" spans="7:14" x14ac:dyDescent="0.3">
      <c r="G18236" s="1"/>
      <c r="N18236" s="1"/>
    </row>
    <row r="18237" spans="7:14" x14ac:dyDescent="0.3">
      <c r="G18237" s="1"/>
      <c r="N18237" s="1"/>
    </row>
    <row r="18238" spans="7:14" x14ac:dyDescent="0.3">
      <c r="G18238" s="1"/>
      <c r="N18238" s="1"/>
    </row>
    <row r="18239" spans="7:14" x14ac:dyDescent="0.3">
      <c r="G18239" s="1"/>
      <c r="N18239" s="1"/>
    </row>
    <row r="18240" spans="7:14" x14ac:dyDescent="0.3">
      <c r="G18240" s="1"/>
      <c r="N18240" s="1"/>
    </row>
    <row r="18241" spans="7:14" x14ac:dyDescent="0.3">
      <c r="G18241" s="1"/>
      <c r="N18241" s="1"/>
    </row>
    <row r="18242" spans="7:14" x14ac:dyDescent="0.3">
      <c r="G18242" s="1"/>
      <c r="N18242" s="1"/>
    </row>
    <row r="18243" spans="7:14" x14ac:dyDescent="0.3">
      <c r="G18243" s="1"/>
      <c r="N18243" s="1"/>
    </row>
    <row r="18244" spans="7:14" x14ac:dyDescent="0.3">
      <c r="G18244" s="1"/>
      <c r="N18244" s="1"/>
    </row>
    <row r="18245" spans="7:14" x14ac:dyDescent="0.3">
      <c r="G18245" s="1"/>
      <c r="N18245" s="1"/>
    </row>
    <row r="18246" spans="7:14" x14ac:dyDescent="0.3">
      <c r="G18246" s="1"/>
      <c r="N18246" s="1"/>
    </row>
    <row r="18247" spans="7:14" x14ac:dyDescent="0.3">
      <c r="G18247" s="1"/>
      <c r="N18247" s="1"/>
    </row>
    <row r="18248" spans="7:14" x14ac:dyDescent="0.3">
      <c r="G18248" s="1"/>
      <c r="N18248" s="1"/>
    </row>
    <row r="18249" spans="7:14" x14ac:dyDescent="0.3">
      <c r="G18249" s="1"/>
      <c r="N18249" s="1"/>
    </row>
    <row r="18250" spans="7:14" x14ac:dyDescent="0.3">
      <c r="G18250" s="1"/>
      <c r="N18250" s="1"/>
    </row>
    <row r="18251" spans="7:14" x14ac:dyDescent="0.3">
      <c r="G18251" s="1"/>
      <c r="N18251" s="1"/>
    </row>
    <row r="18252" spans="7:14" x14ac:dyDescent="0.3">
      <c r="G18252" s="1"/>
      <c r="N18252" s="1"/>
    </row>
    <row r="18253" spans="7:14" x14ac:dyDescent="0.3">
      <c r="G18253" s="1"/>
      <c r="N18253" s="1"/>
    </row>
    <row r="18254" spans="7:14" x14ac:dyDescent="0.3">
      <c r="G18254" s="1"/>
      <c r="N18254" s="1"/>
    </row>
    <row r="18255" spans="7:14" x14ac:dyDescent="0.3">
      <c r="G18255" s="1"/>
      <c r="N18255" s="1"/>
    </row>
    <row r="18256" spans="7:14" x14ac:dyDescent="0.3">
      <c r="G18256" s="1"/>
      <c r="N18256" s="1"/>
    </row>
    <row r="18257" spans="7:14" x14ac:dyDescent="0.3">
      <c r="G18257" s="1"/>
      <c r="N18257" s="1"/>
    </row>
    <row r="18258" spans="7:14" x14ac:dyDescent="0.3">
      <c r="G18258" s="1"/>
      <c r="N18258" s="1"/>
    </row>
    <row r="18259" spans="7:14" x14ac:dyDescent="0.3">
      <c r="G18259" s="1"/>
      <c r="N18259" s="1"/>
    </row>
    <row r="18260" spans="7:14" x14ac:dyDescent="0.3">
      <c r="G18260" s="1"/>
      <c r="N18260" s="1"/>
    </row>
    <row r="18261" spans="7:14" x14ac:dyDescent="0.3">
      <c r="G18261" s="1"/>
      <c r="N18261" s="1"/>
    </row>
    <row r="18262" spans="7:14" x14ac:dyDescent="0.3">
      <c r="G18262" s="1"/>
      <c r="N18262" s="1"/>
    </row>
    <row r="18263" spans="7:14" x14ac:dyDescent="0.3">
      <c r="G18263" s="1"/>
      <c r="N18263" s="1"/>
    </row>
    <row r="18264" spans="7:14" x14ac:dyDescent="0.3">
      <c r="G18264" s="1"/>
      <c r="N18264" s="1"/>
    </row>
    <row r="18265" spans="7:14" x14ac:dyDescent="0.3">
      <c r="G18265" s="1"/>
      <c r="N18265" s="1"/>
    </row>
    <row r="18266" spans="7:14" x14ac:dyDescent="0.3">
      <c r="G18266" s="1"/>
      <c r="N18266" s="1"/>
    </row>
    <row r="18267" spans="7:14" x14ac:dyDescent="0.3">
      <c r="G18267" s="1"/>
      <c r="N18267" s="1"/>
    </row>
    <row r="18268" spans="7:14" x14ac:dyDescent="0.3">
      <c r="G18268" s="1"/>
      <c r="N18268" s="1"/>
    </row>
    <row r="18269" spans="7:14" x14ac:dyDescent="0.3">
      <c r="G18269" s="1"/>
      <c r="N18269" s="1"/>
    </row>
    <row r="18270" spans="7:14" x14ac:dyDescent="0.3">
      <c r="G18270" s="1"/>
      <c r="N18270" s="1"/>
    </row>
    <row r="18271" spans="7:14" x14ac:dyDescent="0.3">
      <c r="G18271" s="1"/>
      <c r="N18271" s="1"/>
    </row>
    <row r="18272" spans="7:14" x14ac:dyDescent="0.3">
      <c r="G18272" s="1"/>
      <c r="N18272" s="1"/>
    </row>
    <row r="18273" spans="7:14" x14ac:dyDescent="0.3">
      <c r="G18273" s="1"/>
      <c r="N18273" s="1"/>
    </row>
    <row r="18274" spans="7:14" x14ac:dyDescent="0.3">
      <c r="G18274" s="1"/>
      <c r="N18274" s="1"/>
    </row>
    <row r="18275" spans="7:14" x14ac:dyDescent="0.3">
      <c r="G18275" s="1"/>
      <c r="N18275" s="1"/>
    </row>
    <row r="18276" spans="7:14" x14ac:dyDescent="0.3">
      <c r="G18276" s="1"/>
      <c r="N18276" s="1"/>
    </row>
    <row r="18277" spans="7:14" x14ac:dyDescent="0.3">
      <c r="G18277" s="1"/>
      <c r="N18277" s="1"/>
    </row>
    <row r="18278" spans="7:14" x14ac:dyDescent="0.3">
      <c r="G18278" s="1"/>
      <c r="N18278" s="1"/>
    </row>
    <row r="18279" spans="7:14" x14ac:dyDescent="0.3">
      <c r="G18279" s="1"/>
      <c r="N18279" s="1"/>
    </row>
    <row r="18280" spans="7:14" x14ac:dyDescent="0.3">
      <c r="G18280" s="1"/>
      <c r="N18280" s="1"/>
    </row>
    <row r="18281" spans="7:14" x14ac:dyDescent="0.3">
      <c r="G18281" s="1"/>
      <c r="N18281" s="1"/>
    </row>
    <row r="18282" spans="7:14" x14ac:dyDescent="0.3">
      <c r="G18282" s="1"/>
      <c r="N18282" s="1"/>
    </row>
    <row r="18283" spans="7:14" x14ac:dyDescent="0.3">
      <c r="G18283" s="1"/>
      <c r="N18283" s="1"/>
    </row>
    <row r="18284" spans="7:14" x14ac:dyDescent="0.3">
      <c r="G18284" s="1"/>
      <c r="N18284" s="1"/>
    </row>
    <row r="18285" spans="7:14" x14ac:dyDescent="0.3">
      <c r="G18285" s="1"/>
      <c r="N18285" s="1"/>
    </row>
    <row r="18286" spans="7:14" x14ac:dyDescent="0.3">
      <c r="G18286" s="1"/>
      <c r="N18286" s="1"/>
    </row>
    <row r="18287" spans="7:14" x14ac:dyDescent="0.3">
      <c r="G18287" s="1"/>
      <c r="N18287" s="1"/>
    </row>
    <row r="18288" spans="7:14" x14ac:dyDescent="0.3">
      <c r="G18288" s="1"/>
      <c r="N18288" s="1"/>
    </row>
    <row r="18289" spans="7:14" x14ac:dyDescent="0.3">
      <c r="G18289" s="1"/>
      <c r="N18289" s="1"/>
    </row>
    <row r="18290" spans="7:14" x14ac:dyDescent="0.3">
      <c r="G18290" s="1"/>
      <c r="N18290" s="1"/>
    </row>
    <row r="18291" spans="7:14" x14ac:dyDescent="0.3">
      <c r="G18291" s="1"/>
      <c r="N18291" s="1"/>
    </row>
    <row r="18292" spans="7:14" x14ac:dyDescent="0.3">
      <c r="G18292" s="1"/>
      <c r="N18292" s="1"/>
    </row>
    <row r="18293" spans="7:14" x14ac:dyDescent="0.3">
      <c r="G18293" s="1"/>
      <c r="N18293" s="1"/>
    </row>
    <row r="18294" spans="7:14" x14ac:dyDescent="0.3">
      <c r="G18294" s="1"/>
      <c r="N18294" s="1"/>
    </row>
    <row r="18295" spans="7:14" x14ac:dyDescent="0.3">
      <c r="G18295" s="1"/>
      <c r="N18295" s="1"/>
    </row>
    <row r="18296" spans="7:14" x14ac:dyDescent="0.3">
      <c r="G18296" s="1"/>
      <c r="N18296" s="1"/>
    </row>
    <row r="18297" spans="7:14" x14ac:dyDescent="0.3">
      <c r="G18297" s="1"/>
      <c r="N18297" s="1"/>
    </row>
    <row r="18298" spans="7:14" x14ac:dyDescent="0.3">
      <c r="G18298" s="1"/>
      <c r="N18298" s="1"/>
    </row>
    <row r="18299" spans="7:14" x14ac:dyDescent="0.3">
      <c r="G18299" s="1"/>
      <c r="N18299" s="1"/>
    </row>
    <row r="18300" spans="7:14" x14ac:dyDescent="0.3">
      <c r="G18300" s="1"/>
      <c r="N18300" s="1"/>
    </row>
    <row r="18301" spans="7:14" x14ac:dyDescent="0.3">
      <c r="G18301" s="1"/>
      <c r="N18301" s="1"/>
    </row>
    <row r="18302" spans="7:14" x14ac:dyDescent="0.3">
      <c r="G18302" s="1"/>
      <c r="N18302" s="1"/>
    </row>
    <row r="18303" spans="7:14" x14ac:dyDescent="0.3">
      <c r="G18303" s="1"/>
      <c r="N18303" s="1"/>
    </row>
    <row r="18304" spans="7:14" x14ac:dyDescent="0.3">
      <c r="G18304" s="1"/>
      <c r="N18304" s="1"/>
    </row>
    <row r="18305" spans="7:14" x14ac:dyDescent="0.3">
      <c r="G18305" s="1"/>
      <c r="N18305" s="1"/>
    </row>
    <row r="18306" spans="7:14" x14ac:dyDescent="0.3">
      <c r="G18306" s="1"/>
      <c r="N18306" s="1"/>
    </row>
    <row r="18307" spans="7:14" x14ac:dyDescent="0.3">
      <c r="G18307" s="1"/>
      <c r="N18307" s="1"/>
    </row>
    <row r="18308" spans="7:14" x14ac:dyDescent="0.3">
      <c r="G18308" s="1"/>
      <c r="N18308" s="1"/>
    </row>
    <row r="18309" spans="7:14" x14ac:dyDescent="0.3">
      <c r="G18309" s="1"/>
      <c r="N18309" s="1"/>
    </row>
    <row r="18310" spans="7:14" x14ac:dyDescent="0.3">
      <c r="G18310" s="1"/>
      <c r="N18310" s="1"/>
    </row>
    <row r="18311" spans="7:14" x14ac:dyDescent="0.3">
      <c r="G18311" s="1"/>
      <c r="N18311" s="1"/>
    </row>
    <row r="18312" spans="7:14" x14ac:dyDescent="0.3">
      <c r="G18312" s="1"/>
      <c r="N18312" s="1"/>
    </row>
    <row r="18313" spans="7:14" x14ac:dyDescent="0.3">
      <c r="G18313" s="1"/>
      <c r="N18313" s="1"/>
    </row>
    <row r="18314" spans="7:14" x14ac:dyDescent="0.3">
      <c r="G18314" s="1"/>
      <c r="N18314" s="1"/>
    </row>
    <row r="18315" spans="7:14" x14ac:dyDescent="0.3">
      <c r="G18315" s="1"/>
      <c r="N18315" s="1"/>
    </row>
    <row r="18316" spans="7:14" x14ac:dyDescent="0.3">
      <c r="G18316" s="1"/>
      <c r="N18316" s="1"/>
    </row>
    <row r="18317" spans="7:14" x14ac:dyDescent="0.3">
      <c r="G18317" s="1"/>
      <c r="N18317" s="1"/>
    </row>
    <row r="18318" spans="7:14" x14ac:dyDescent="0.3">
      <c r="G18318" s="1"/>
      <c r="N18318" s="1"/>
    </row>
    <row r="18319" spans="7:14" x14ac:dyDescent="0.3">
      <c r="G18319" s="1"/>
      <c r="N18319" s="1"/>
    </row>
    <row r="18320" spans="7:14" x14ac:dyDescent="0.3">
      <c r="G18320" s="1"/>
      <c r="N18320" s="1"/>
    </row>
    <row r="18321" spans="7:14" x14ac:dyDescent="0.3">
      <c r="G18321" s="1"/>
      <c r="N18321" s="1"/>
    </row>
    <row r="18322" spans="7:14" x14ac:dyDescent="0.3">
      <c r="G18322" s="1"/>
      <c r="N18322" s="1"/>
    </row>
    <row r="18323" spans="7:14" x14ac:dyDescent="0.3">
      <c r="G18323" s="1"/>
      <c r="N18323" s="1"/>
    </row>
    <row r="18324" spans="7:14" x14ac:dyDescent="0.3">
      <c r="G18324" s="1"/>
      <c r="N18324" s="1"/>
    </row>
    <row r="18325" spans="7:14" x14ac:dyDescent="0.3">
      <c r="G18325" s="1"/>
      <c r="N18325" s="1"/>
    </row>
    <row r="18326" spans="7:14" x14ac:dyDescent="0.3">
      <c r="G18326" s="1"/>
      <c r="N18326" s="1"/>
    </row>
    <row r="18327" spans="7:14" x14ac:dyDescent="0.3">
      <c r="G18327" s="1"/>
      <c r="N18327" s="1"/>
    </row>
    <row r="18328" spans="7:14" x14ac:dyDescent="0.3">
      <c r="G18328" s="1"/>
      <c r="N18328" s="1"/>
    </row>
    <row r="18329" spans="7:14" x14ac:dyDescent="0.3">
      <c r="G18329" s="1"/>
      <c r="N18329" s="1"/>
    </row>
    <row r="18330" spans="7:14" x14ac:dyDescent="0.3">
      <c r="G18330" s="1"/>
      <c r="N18330" s="1"/>
    </row>
    <row r="18331" spans="7:14" x14ac:dyDescent="0.3">
      <c r="G18331" s="1"/>
      <c r="N18331" s="1"/>
    </row>
    <row r="18332" spans="7:14" x14ac:dyDescent="0.3">
      <c r="G18332" s="1"/>
      <c r="N18332" s="1"/>
    </row>
    <row r="18333" spans="7:14" x14ac:dyDescent="0.3">
      <c r="G18333" s="1"/>
      <c r="N18333" s="1"/>
    </row>
    <row r="18334" spans="7:14" x14ac:dyDescent="0.3">
      <c r="G18334" s="1"/>
      <c r="N18334" s="1"/>
    </row>
    <row r="18335" spans="7:14" x14ac:dyDescent="0.3">
      <c r="G18335" s="1"/>
      <c r="N18335" s="1"/>
    </row>
    <row r="18336" spans="7:14" x14ac:dyDescent="0.3">
      <c r="G18336" s="1"/>
      <c r="N18336" s="1"/>
    </row>
    <row r="18337" spans="7:14" x14ac:dyDescent="0.3">
      <c r="G18337" s="1"/>
      <c r="N18337" s="1"/>
    </row>
    <row r="18338" spans="7:14" x14ac:dyDescent="0.3">
      <c r="G18338" s="1"/>
      <c r="N18338" s="1"/>
    </row>
    <row r="18339" spans="7:14" x14ac:dyDescent="0.3">
      <c r="G18339" s="1"/>
      <c r="N18339" s="1"/>
    </row>
    <row r="18340" spans="7:14" x14ac:dyDescent="0.3">
      <c r="G18340" s="1"/>
      <c r="N18340" s="1"/>
    </row>
    <row r="18341" spans="7:14" x14ac:dyDescent="0.3">
      <c r="G18341" s="1"/>
      <c r="N18341" s="1"/>
    </row>
    <row r="18342" spans="7:14" x14ac:dyDescent="0.3">
      <c r="G18342" s="1"/>
      <c r="N18342" s="1"/>
    </row>
    <row r="18343" spans="7:14" x14ac:dyDescent="0.3">
      <c r="G18343" s="1"/>
      <c r="N18343" s="1"/>
    </row>
    <row r="18344" spans="7:14" x14ac:dyDescent="0.3">
      <c r="G18344" s="1"/>
      <c r="N18344" s="1"/>
    </row>
    <row r="18345" spans="7:14" x14ac:dyDescent="0.3">
      <c r="G18345" s="1"/>
      <c r="N18345" s="1"/>
    </row>
    <row r="18346" spans="7:14" x14ac:dyDescent="0.3">
      <c r="G18346" s="1"/>
      <c r="N18346" s="1"/>
    </row>
    <row r="18347" spans="7:14" x14ac:dyDescent="0.3">
      <c r="G18347" s="1"/>
      <c r="N18347" s="1"/>
    </row>
    <row r="18348" spans="7:14" x14ac:dyDescent="0.3">
      <c r="G18348" s="1"/>
      <c r="N18348" s="1"/>
    </row>
    <row r="18349" spans="7:14" x14ac:dyDescent="0.3">
      <c r="G18349" s="1"/>
      <c r="N18349" s="1"/>
    </row>
    <row r="18350" spans="7:14" x14ac:dyDescent="0.3">
      <c r="G18350" s="1"/>
      <c r="N18350" s="1"/>
    </row>
    <row r="18351" spans="7:14" x14ac:dyDescent="0.3">
      <c r="G18351" s="1"/>
      <c r="N18351" s="1"/>
    </row>
    <row r="18352" spans="7:14" x14ac:dyDescent="0.3">
      <c r="G18352" s="1"/>
      <c r="N18352" s="1"/>
    </row>
    <row r="18353" spans="7:14" x14ac:dyDescent="0.3">
      <c r="G18353" s="1"/>
      <c r="N18353" s="1"/>
    </row>
    <row r="18354" spans="7:14" x14ac:dyDescent="0.3">
      <c r="G18354" s="1"/>
      <c r="N18354" s="1"/>
    </row>
    <row r="18355" spans="7:14" x14ac:dyDescent="0.3">
      <c r="G18355" s="1"/>
      <c r="N18355" s="1"/>
    </row>
    <row r="18356" spans="7:14" x14ac:dyDescent="0.3">
      <c r="G18356" s="1"/>
      <c r="N18356" s="1"/>
    </row>
    <row r="18357" spans="7:14" x14ac:dyDescent="0.3">
      <c r="G18357" s="1"/>
      <c r="N18357" s="1"/>
    </row>
    <row r="18358" spans="7:14" x14ac:dyDescent="0.3">
      <c r="G18358" s="1"/>
      <c r="N18358" s="1"/>
    </row>
    <row r="18359" spans="7:14" x14ac:dyDescent="0.3">
      <c r="G18359" s="1"/>
      <c r="N18359" s="1"/>
    </row>
    <row r="18360" spans="7:14" x14ac:dyDescent="0.3">
      <c r="G18360" s="1"/>
      <c r="N18360" s="1"/>
    </row>
    <row r="18361" spans="7:14" x14ac:dyDescent="0.3">
      <c r="G18361" s="1"/>
      <c r="N18361" s="1"/>
    </row>
    <row r="18362" spans="7:14" x14ac:dyDescent="0.3">
      <c r="G18362" s="1"/>
      <c r="N18362" s="1"/>
    </row>
    <row r="18363" spans="7:14" x14ac:dyDescent="0.3">
      <c r="G18363" s="1"/>
      <c r="N18363" s="1"/>
    </row>
    <row r="18364" spans="7:14" x14ac:dyDescent="0.3">
      <c r="G18364" s="1"/>
      <c r="N18364" s="1"/>
    </row>
    <row r="18365" spans="7:14" x14ac:dyDescent="0.3">
      <c r="G18365" s="1"/>
      <c r="N18365" s="1"/>
    </row>
    <row r="18366" spans="7:14" x14ac:dyDescent="0.3">
      <c r="G18366" s="1"/>
      <c r="N18366" s="1"/>
    </row>
    <row r="18367" spans="7:14" x14ac:dyDescent="0.3">
      <c r="G18367" s="1"/>
      <c r="N18367" s="1"/>
    </row>
    <row r="18368" spans="7:14" x14ac:dyDescent="0.3">
      <c r="G18368" s="1"/>
      <c r="N18368" s="1"/>
    </row>
    <row r="18369" spans="7:14" x14ac:dyDescent="0.3">
      <c r="G18369" s="1"/>
      <c r="N18369" s="1"/>
    </row>
    <row r="18370" spans="7:14" x14ac:dyDescent="0.3">
      <c r="G18370" s="1"/>
      <c r="N18370" s="1"/>
    </row>
    <row r="18371" spans="7:14" x14ac:dyDescent="0.3">
      <c r="G18371" s="1"/>
      <c r="N18371" s="1"/>
    </row>
    <row r="18372" spans="7:14" x14ac:dyDescent="0.3">
      <c r="G18372" s="1"/>
      <c r="N18372" s="1"/>
    </row>
    <row r="18373" spans="7:14" x14ac:dyDescent="0.3">
      <c r="G18373" s="1"/>
      <c r="N18373" s="1"/>
    </row>
    <row r="18374" spans="7:14" x14ac:dyDescent="0.3">
      <c r="G18374" s="1"/>
      <c r="N18374" s="1"/>
    </row>
    <row r="18375" spans="7:14" x14ac:dyDescent="0.3">
      <c r="G18375" s="1"/>
      <c r="N18375" s="1"/>
    </row>
    <row r="18376" spans="7:14" x14ac:dyDescent="0.3">
      <c r="G18376" s="1"/>
      <c r="N18376" s="1"/>
    </row>
    <row r="18377" spans="7:14" x14ac:dyDescent="0.3">
      <c r="G18377" s="1"/>
      <c r="N18377" s="1"/>
    </row>
    <row r="18378" spans="7:14" x14ac:dyDescent="0.3">
      <c r="G18378" s="1"/>
      <c r="N18378" s="1"/>
    </row>
    <row r="18379" spans="7:14" x14ac:dyDescent="0.3">
      <c r="G18379" s="1"/>
      <c r="N18379" s="1"/>
    </row>
    <row r="18380" spans="7:14" x14ac:dyDescent="0.3">
      <c r="G18380" s="1"/>
      <c r="N18380" s="1"/>
    </row>
    <row r="18381" spans="7:14" x14ac:dyDescent="0.3">
      <c r="G18381" s="1"/>
      <c r="N18381" s="1"/>
    </row>
    <row r="18382" spans="7:14" x14ac:dyDescent="0.3">
      <c r="G18382" s="1"/>
      <c r="N18382" s="1"/>
    </row>
    <row r="18383" spans="7:14" x14ac:dyDescent="0.3">
      <c r="G18383" s="1"/>
      <c r="N18383" s="1"/>
    </row>
    <row r="18384" spans="7:14" x14ac:dyDescent="0.3">
      <c r="G18384" s="1"/>
      <c r="N18384" s="1"/>
    </row>
    <row r="18385" spans="7:14" x14ac:dyDescent="0.3">
      <c r="G18385" s="1"/>
      <c r="N18385" s="1"/>
    </row>
    <row r="18386" spans="7:14" x14ac:dyDescent="0.3">
      <c r="G18386" s="1"/>
      <c r="N18386" s="1"/>
    </row>
    <row r="18387" spans="7:14" x14ac:dyDescent="0.3">
      <c r="G18387" s="1"/>
      <c r="N18387" s="1"/>
    </row>
    <row r="18388" spans="7:14" x14ac:dyDescent="0.3">
      <c r="G18388" s="1"/>
      <c r="N18388" s="1"/>
    </row>
    <row r="18389" spans="7:14" x14ac:dyDescent="0.3">
      <c r="G18389" s="1"/>
      <c r="N18389" s="1"/>
    </row>
    <row r="18390" spans="7:14" x14ac:dyDescent="0.3">
      <c r="G18390" s="1"/>
      <c r="N18390" s="1"/>
    </row>
    <row r="18391" spans="7:14" x14ac:dyDescent="0.3">
      <c r="G18391" s="1"/>
      <c r="N18391" s="1"/>
    </row>
    <row r="18392" spans="7:14" x14ac:dyDescent="0.3">
      <c r="G18392" s="1"/>
      <c r="N18392" s="1"/>
    </row>
    <row r="18393" spans="7:14" x14ac:dyDescent="0.3">
      <c r="G18393" s="1"/>
      <c r="N18393" s="1"/>
    </row>
    <row r="18394" spans="7:14" x14ac:dyDescent="0.3">
      <c r="G18394" s="1"/>
      <c r="N18394" s="1"/>
    </row>
    <row r="18395" spans="7:14" x14ac:dyDescent="0.3">
      <c r="G18395" s="1"/>
      <c r="N18395" s="1"/>
    </row>
    <row r="18396" spans="7:14" x14ac:dyDescent="0.3">
      <c r="G18396" s="1"/>
      <c r="N18396" s="1"/>
    </row>
    <row r="18397" spans="7:14" x14ac:dyDescent="0.3">
      <c r="G18397" s="1"/>
      <c r="N18397" s="1"/>
    </row>
    <row r="18398" spans="7:14" x14ac:dyDescent="0.3">
      <c r="G18398" s="1"/>
      <c r="N18398" s="1"/>
    </row>
    <row r="18399" spans="7:14" x14ac:dyDescent="0.3">
      <c r="G18399" s="1"/>
      <c r="N18399" s="1"/>
    </row>
    <row r="18400" spans="7:14" x14ac:dyDescent="0.3">
      <c r="G18400" s="1"/>
      <c r="N18400" s="1"/>
    </row>
    <row r="18401" spans="7:14" x14ac:dyDescent="0.3">
      <c r="G18401" s="1"/>
      <c r="N18401" s="1"/>
    </row>
    <row r="18402" spans="7:14" x14ac:dyDescent="0.3">
      <c r="G18402" s="1"/>
      <c r="N18402" s="1"/>
    </row>
    <row r="18403" spans="7:14" x14ac:dyDescent="0.3">
      <c r="G18403" s="1"/>
      <c r="N18403" s="1"/>
    </row>
    <row r="18404" spans="7:14" x14ac:dyDescent="0.3">
      <c r="G18404" s="1"/>
      <c r="N18404" s="1"/>
    </row>
    <row r="18405" spans="7:14" x14ac:dyDescent="0.3">
      <c r="G18405" s="1"/>
      <c r="N18405" s="1"/>
    </row>
    <row r="18406" spans="7:14" x14ac:dyDescent="0.3">
      <c r="G18406" s="1"/>
      <c r="N18406" s="1"/>
    </row>
    <row r="18407" spans="7:14" x14ac:dyDescent="0.3">
      <c r="G18407" s="1"/>
      <c r="N18407" s="1"/>
    </row>
    <row r="18408" spans="7:14" x14ac:dyDescent="0.3">
      <c r="G18408" s="1"/>
      <c r="N18408" s="1"/>
    </row>
    <row r="18409" spans="7:14" x14ac:dyDescent="0.3">
      <c r="G18409" s="1"/>
      <c r="N18409" s="1"/>
    </row>
    <row r="18410" spans="7:14" x14ac:dyDescent="0.3">
      <c r="G18410" s="1"/>
      <c r="N18410" s="1"/>
    </row>
    <row r="18411" spans="7:14" x14ac:dyDescent="0.3">
      <c r="G18411" s="1"/>
      <c r="N18411" s="1"/>
    </row>
    <row r="18412" spans="7:14" x14ac:dyDescent="0.3">
      <c r="G18412" s="1"/>
      <c r="N18412" s="1"/>
    </row>
    <row r="18413" spans="7:14" x14ac:dyDescent="0.3">
      <c r="G18413" s="1"/>
      <c r="N18413" s="1"/>
    </row>
    <row r="18414" spans="7:14" x14ac:dyDescent="0.3">
      <c r="G18414" s="1"/>
      <c r="N18414" s="1"/>
    </row>
    <row r="18415" spans="7:14" x14ac:dyDescent="0.3">
      <c r="G18415" s="1"/>
      <c r="N18415" s="1"/>
    </row>
    <row r="18416" spans="7:14" x14ac:dyDescent="0.3">
      <c r="G18416" s="1"/>
      <c r="N18416" s="1"/>
    </row>
    <row r="18417" spans="7:14" x14ac:dyDescent="0.3">
      <c r="G18417" s="1"/>
      <c r="N18417" s="1"/>
    </row>
    <row r="18418" spans="7:14" x14ac:dyDescent="0.3">
      <c r="G18418" s="1"/>
      <c r="N18418" s="1"/>
    </row>
    <row r="18419" spans="7:14" x14ac:dyDescent="0.3">
      <c r="G18419" s="1"/>
      <c r="N18419" s="1"/>
    </row>
    <row r="18420" spans="7:14" x14ac:dyDescent="0.3">
      <c r="G18420" s="1"/>
      <c r="N18420" s="1"/>
    </row>
    <row r="18421" spans="7:14" x14ac:dyDescent="0.3">
      <c r="G18421" s="1"/>
      <c r="N18421" s="1"/>
    </row>
    <row r="18422" spans="7:14" x14ac:dyDescent="0.3">
      <c r="G18422" s="1"/>
      <c r="N18422" s="1"/>
    </row>
    <row r="18423" spans="7:14" x14ac:dyDescent="0.3">
      <c r="G18423" s="1"/>
      <c r="N18423" s="1"/>
    </row>
    <row r="18424" spans="7:14" x14ac:dyDescent="0.3">
      <c r="G18424" s="1"/>
      <c r="N18424" s="1"/>
    </row>
    <row r="18425" spans="7:14" x14ac:dyDescent="0.3">
      <c r="G18425" s="1"/>
      <c r="N18425" s="1"/>
    </row>
    <row r="18426" spans="7:14" x14ac:dyDescent="0.3">
      <c r="G18426" s="1"/>
      <c r="N18426" s="1"/>
    </row>
    <row r="18427" spans="7:14" x14ac:dyDescent="0.3">
      <c r="G18427" s="1"/>
      <c r="N18427" s="1"/>
    </row>
    <row r="18428" spans="7:14" x14ac:dyDescent="0.3">
      <c r="G18428" s="1"/>
      <c r="N18428" s="1"/>
    </row>
    <row r="18429" spans="7:14" x14ac:dyDescent="0.3">
      <c r="G18429" s="1"/>
      <c r="N18429" s="1"/>
    </row>
    <row r="18430" spans="7:14" x14ac:dyDescent="0.3">
      <c r="G18430" s="1"/>
      <c r="N18430" s="1"/>
    </row>
    <row r="18431" spans="7:14" x14ac:dyDescent="0.3">
      <c r="G18431" s="1"/>
      <c r="N18431" s="1"/>
    </row>
    <row r="18432" spans="7:14" x14ac:dyDescent="0.3">
      <c r="G18432" s="1"/>
      <c r="N18432" s="1"/>
    </row>
    <row r="18433" spans="7:14" x14ac:dyDescent="0.3">
      <c r="G18433" s="1"/>
      <c r="N18433" s="1"/>
    </row>
    <row r="18434" spans="7:14" x14ac:dyDescent="0.3">
      <c r="G18434" s="1"/>
      <c r="N18434" s="1"/>
    </row>
    <row r="18435" spans="7:14" x14ac:dyDescent="0.3">
      <c r="G18435" s="1"/>
      <c r="N18435" s="1"/>
    </row>
    <row r="18436" spans="7:14" x14ac:dyDescent="0.3">
      <c r="G18436" s="1"/>
      <c r="N18436" s="1"/>
    </row>
    <row r="18437" spans="7:14" x14ac:dyDescent="0.3">
      <c r="G18437" s="1"/>
      <c r="N18437" s="1"/>
    </row>
    <row r="18438" spans="7:14" x14ac:dyDescent="0.3">
      <c r="G18438" s="1"/>
      <c r="N18438" s="1"/>
    </row>
    <row r="18439" spans="7:14" x14ac:dyDescent="0.3">
      <c r="G18439" s="1"/>
      <c r="N18439" s="1"/>
    </row>
    <row r="18440" spans="7:14" x14ac:dyDescent="0.3">
      <c r="G18440" s="1"/>
      <c r="N18440" s="1"/>
    </row>
    <row r="18441" spans="7:14" x14ac:dyDescent="0.3">
      <c r="G18441" s="1"/>
      <c r="N18441" s="1"/>
    </row>
    <row r="18442" spans="7:14" x14ac:dyDescent="0.3">
      <c r="G18442" s="1"/>
      <c r="N18442" s="1"/>
    </row>
    <row r="18443" spans="7:14" x14ac:dyDescent="0.3">
      <c r="G18443" s="1"/>
      <c r="N18443" s="1"/>
    </row>
    <row r="18444" spans="7:14" x14ac:dyDescent="0.3">
      <c r="G18444" s="1"/>
      <c r="N18444" s="1"/>
    </row>
    <row r="18445" spans="7:14" x14ac:dyDescent="0.3">
      <c r="G18445" s="1"/>
      <c r="N18445" s="1"/>
    </row>
    <row r="18446" spans="7:14" x14ac:dyDescent="0.3">
      <c r="G18446" s="1"/>
      <c r="N18446" s="1"/>
    </row>
    <row r="18447" spans="7:14" x14ac:dyDescent="0.3">
      <c r="G18447" s="1"/>
      <c r="N18447" s="1"/>
    </row>
    <row r="18448" spans="7:14" x14ac:dyDescent="0.3">
      <c r="G18448" s="1"/>
      <c r="N18448" s="1"/>
    </row>
    <row r="18449" spans="7:14" x14ac:dyDescent="0.3">
      <c r="G18449" s="1"/>
      <c r="N18449" s="1"/>
    </row>
    <row r="18450" spans="7:14" x14ac:dyDescent="0.3">
      <c r="G18450" s="1"/>
      <c r="N18450" s="1"/>
    </row>
    <row r="18451" spans="7:14" x14ac:dyDescent="0.3">
      <c r="G18451" s="1"/>
      <c r="N18451" s="1"/>
    </row>
    <row r="18452" spans="7:14" x14ac:dyDescent="0.3">
      <c r="G18452" s="1"/>
      <c r="N18452" s="1"/>
    </row>
    <row r="18453" spans="7:14" x14ac:dyDescent="0.3">
      <c r="G18453" s="1"/>
      <c r="N18453" s="1"/>
    </row>
    <row r="18454" spans="7:14" x14ac:dyDescent="0.3">
      <c r="G18454" s="1"/>
      <c r="N18454" s="1"/>
    </row>
    <row r="18455" spans="7:14" x14ac:dyDescent="0.3">
      <c r="G18455" s="1"/>
      <c r="N18455" s="1"/>
    </row>
    <row r="18456" spans="7:14" x14ac:dyDescent="0.3">
      <c r="G18456" s="1"/>
      <c r="N18456" s="1"/>
    </row>
    <row r="18457" spans="7:14" x14ac:dyDescent="0.3">
      <c r="G18457" s="1"/>
      <c r="N18457" s="1"/>
    </row>
    <row r="18458" spans="7:14" x14ac:dyDescent="0.3">
      <c r="G18458" s="1"/>
      <c r="N18458" s="1"/>
    </row>
    <row r="18459" spans="7:14" x14ac:dyDescent="0.3">
      <c r="G18459" s="1"/>
      <c r="N18459" s="1"/>
    </row>
    <row r="18460" spans="7:14" x14ac:dyDescent="0.3">
      <c r="G18460" s="1"/>
      <c r="N18460" s="1"/>
    </row>
    <row r="18461" spans="7:14" x14ac:dyDescent="0.3">
      <c r="G18461" s="1"/>
      <c r="N18461" s="1"/>
    </row>
    <row r="18462" spans="7:14" x14ac:dyDescent="0.3">
      <c r="G18462" s="1"/>
      <c r="N18462" s="1"/>
    </row>
    <row r="18463" spans="7:14" x14ac:dyDescent="0.3">
      <c r="G18463" s="1"/>
      <c r="N18463" s="1"/>
    </row>
    <row r="18464" spans="7:14" x14ac:dyDescent="0.3">
      <c r="G18464" s="1"/>
      <c r="N18464" s="1"/>
    </row>
    <row r="18465" spans="7:14" x14ac:dyDescent="0.3">
      <c r="G18465" s="1"/>
      <c r="N18465" s="1"/>
    </row>
    <row r="18466" spans="7:14" x14ac:dyDescent="0.3">
      <c r="G18466" s="1"/>
      <c r="N18466" s="1"/>
    </row>
    <row r="18467" spans="7:14" x14ac:dyDescent="0.3">
      <c r="G18467" s="1"/>
      <c r="N18467" s="1"/>
    </row>
    <row r="18468" spans="7:14" x14ac:dyDescent="0.3">
      <c r="G18468" s="1"/>
      <c r="N18468" s="1"/>
    </row>
    <row r="18469" spans="7:14" x14ac:dyDescent="0.3">
      <c r="G18469" s="1"/>
      <c r="N18469" s="1"/>
    </row>
    <row r="18470" spans="7:14" x14ac:dyDescent="0.3">
      <c r="G18470" s="1"/>
      <c r="N18470" s="1"/>
    </row>
    <row r="18471" spans="7:14" x14ac:dyDescent="0.3">
      <c r="G18471" s="1"/>
      <c r="N18471" s="1"/>
    </row>
    <row r="18472" spans="7:14" x14ac:dyDescent="0.3">
      <c r="G18472" s="1"/>
      <c r="N18472" s="1"/>
    </row>
    <row r="18473" spans="7:14" x14ac:dyDescent="0.3">
      <c r="G18473" s="1"/>
      <c r="N18473" s="1"/>
    </row>
    <row r="18474" spans="7:14" x14ac:dyDescent="0.3">
      <c r="G18474" s="1"/>
      <c r="N18474" s="1"/>
    </row>
    <row r="18475" spans="7:14" x14ac:dyDescent="0.3">
      <c r="G18475" s="1"/>
      <c r="N18475" s="1"/>
    </row>
    <row r="18476" spans="7:14" x14ac:dyDescent="0.3">
      <c r="G18476" s="1"/>
      <c r="N18476" s="1"/>
    </row>
    <row r="18477" spans="7:14" x14ac:dyDescent="0.3">
      <c r="G18477" s="1"/>
      <c r="N18477" s="1"/>
    </row>
    <row r="18478" spans="7:14" x14ac:dyDescent="0.3">
      <c r="G18478" s="1"/>
      <c r="N18478" s="1"/>
    </row>
    <row r="18479" spans="7:14" x14ac:dyDescent="0.3">
      <c r="G18479" s="1"/>
      <c r="N18479" s="1"/>
    </row>
    <row r="18480" spans="7:14" x14ac:dyDescent="0.3">
      <c r="G18480" s="1"/>
      <c r="N18480" s="1"/>
    </row>
    <row r="18481" spans="7:14" x14ac:dyDescent="0.3">
      <c r="G18481" s="1"/>
      <c r="N18481" s="1"/>
    </row>
    <row r="18482" spans="7:14" x14ac:dyDescent="0.3">
      <c r="G18482" s="1"/>
      <c r="N18482" s="1"/>
    </row>
    <row r="18483" spans="7:14" x14ac:dyDescent="0.3">
      <c r="G18483" s="1"/>
      <c r="N18483" s="1"/>
    </row>
    <row r="18484" spans="7:14" x14ac:dyDescent="0.3">
      <c r="G18484" s="1"/>
      <c r="N18484" s="1"/>
    </row>
    <row r="18485" spans="7:14" x14ac:dyDescent="0.3">
      <c r="G18485" s="1"/>
      <c r="N18485" s="1"/>
    </row>
    <row r="18486" spans="7:14" x14ac:dyDescent="0.3">
      <c r="G18486" s="1"/>
      <c r="N18486" s="1"/>
    </row>
    <row r="18487" spans="7:14" x14ac:dyDescent="0.3">
      <c r="G18487" s="1"/>
      <c r="N18487" s="1"/>
    </row>
    <row r="18488" spans="7:14" x14ac:dyDescent="0.3">
      <c r="G18488" s="1"/>
      <c r="N18488" s="1"/>
    </row>
    <row r="18489" spans="7:14" x14ac:dyDescent="0.3">
      <c r="G18489" s="1"/>
      <c r="N18489" s="1"/>
    </row>
    <row r="18490" spans="7:14" x14ac:dyDescent="0.3">
      <c r="G18490" s="1"/>
      <c r="N18490" s="1"/>
    </row>
    <row r="18491" spans="7:14" x14ac:dyDescent="0.3">
      <c r="G18491" s="1"/>
      <c r="N18491" s="1"/>
    </row>
    <row r="18492" spans="7:14" x14ac:dyDescent="0.3">
      <c r="G18492" s="1"/>
      <c r="N18492" s="1"/>
    </row>
    <row r="18493" spans="7:14" x14ac:dyDescent="0.3">
      <c r="G18493" s="1"/>
      <c r="N18493" s="1"/>
    </row>
    <row r="18494" spans="7:14" x14ac:dyDescent="0.3">
      <c r="G18494" s="1"/>
      <c r="N18494" s="1"/>
    </row>
    <row r="18495" spans="7:14" x14ac:dyDescent="0.3">
      <c r="G18495" s="1"/>
      <c r="N18495" s="1"/>
    </row>
    <row r="18496" spans="7:14" x14ac:dyDescent="0.3">
      <c r="G18496" s="1"/>
      <c r="N18496" s="1"/>
    </row>
    <row r="18497" spans="7:14" x14ac:dyDescent="0.3">
      <c r="G18497" s="1"/>
      <c r="N18497" s="1"/>
    </row>
    <row r="18498" spans="7:14" x14ac:dyDescent="0.3">
      <c r="G18498" s="1"/>
      <c r="N18498" s="1"/>
    </row>
    <row r="18499" spans="7:14" x14ac:dyDescent="0.3">
      <c r="G18499" s="1"/>
      <c r="N18499" s="1"/>
    </row>
    <row r="18500" spans="7:14" x14ac:dyDescent="0.3">
      <c r="G18500" s="1"/>
      <c r="N18500" s="1"/>
    </row>
    <row r="18501" spans="7:14" x14ac:dyDescent="0.3">
      <c r="G18501" s="1"/>
      <c r="N18501" s="1"/>
    </row>
    <row r="18502" spans="7:14" x14ac:dyDescent="0.3">
      <c r="G18502" s="1"/>
      <c r="N18502" s="1"/>
    </row>
    <row r="18503" spans="7:14" x14ac:dyDescent="0.3">
      <c r="G18503" s="1"/>
      <c r="N18503" s="1"/>
    </row>
    <row r="18504" spans="7:14" x14ac:dyDescent="0.3">
      <c r="G18504" s="1"/>
      <c r="N18504" s="1"/>
    </row>
    <row r="18505" spans="7:14" x14ac:dyDescent="0.3">
      <c r="G18505" s="1"/>
      <c r="N18505" s="1"/>
    </row>
    <row r="18506" spans="7:14" x14ac:dyDescent="0.3">
      <c r="G18506" s="1"/>
      <c r="N18506" s="1"/>
    </row>
    <row r="18507" spans="7:14" x14ac:dyDescent="0.3">
      <c r="G18507" s="1"/>
      <c r="N18507" s="1"/>
    </row>
    <row r="18508" spans="7:14" x14ac:dyDescent="0.3">
      <c r="G18508" s="1"/>
      <c r="N18508" s="1"/>
    </row>
    <row r="18509" spans="7:14" x14ac:dyDescent="0.3">
      <c r="G18509" s="1"/>
      <c r="N18509" s="1"/>
    </row>
    <row r="18510" spans="7:14" x14ac:dyDescent="0.3">
      <c r="G18510" s="1"/>
      <c r="N18510" s="1"/>
    </row>
    <row r="18511" spans="7:14" x14ac:dyDescent="0.3">
      <c r="G18511" s="1"/>
      <c r="N18511" s="1"/>
    </row>
    <row r="18512" spans="7:14" x14ac:dyDescent="0.3">
      <c r="G18512" s="1"/>
      <c r="N18512" s="1"/>
    </row>
    <row r="18513" spans="7:14" x14ac:dyDescent="0.3">
      <c r="G18513" s="1"/>
      <c r="N18513" s="1"/>
    </row>
    <row r="18514" spans="7:14" x14ac:dyDescent="0.3">
      <c r="G18514" s="1"/>
      <c r="N18514" s="1"/>
    </row>
    <row r="18515" spans="7:14" x14ac:dyDescent="0.3">
      <c r="G18515" s="1"/>
      <c r="N18515" s="1"/>
    </row>
    <row r="18516" spans="7:14" x14ac:dyDescent="0.3">
      <c r="G18516" s="1"/>
      <c r="N18516" s="1"/>
    </row>
    <row r="18517" spans="7:14" x14ac:dyDescent="0.3">
      <c r="G18517" s="1"/>
      <c r="N18517" s="1"/>
    </row>
    <row r="18518" spans="7:14" x14ac:dyDescent="0.3">
      <c r="G18518" s="1"/>
      <c r="N18518" s="1"/>
    </row>
    <row r="18519" spans="7:14" x14ac:dyDescent="0.3">
      <c r="G18519" s="1"/>
      <c r="N18519" s="1"/>
    </row>
    <row r="18520" spans="7:14" x14ac:dyDescent="0.3">
      <c r="G18520" s="1"/>
      <c r="N18520" s="1"/>
    </row>
    <row r="18521" spans="7:14" x14ac:dyDescent="0.3">
      <c r="G18521" s="1"/>
      <c r="N18521" s="1"/>
    </row>
    <row r="18522" spans="7:14" x14ac:dyDescent="0.3">
      <c r="G18522" s="1"/>
      <c r="N18522" s="1"/>
    </row>
    <row r="18523" spans="7:14" x14ac:dyDescent="0.3">
      <c r="G18523" s="1"/>
      <c r="N18523" s="1"/>
    </row>
    <row r="18524" spans="7:14" x14ac:dyDescent="0.3">
      <c r="G18524" s="1"/>
      <c r="N18524" s="1"/>
    </row>
    <row r="18525" spans="7:14" x14ac:dyDescent="0.3">
      <c r="G18525" s="1"/>
      <c r="N18525" s="1"/>
    </row>
    <row r="18526" spans="7:14" x14ac:dyDescent="0.3">
      <c r="G18526" s="1"/>
      <c r="N18526" s="1"/>
    </row>
    <row r="18527" spans="7:14" x14ac:dyDescent="0.3">
      <c r="G18527" s="1"/>
      <c r="N18527" s="1"/>
    </row>
    <row r="18528" spans="7:14" x14ac:dyDescent="0.3">
      <c r="G18528" s="1"/>
      <c r="N18528" s="1"/>
    </row>
    <row r="18529" spans="7:14" x14ac:dyDescent="0.3">
      <c r="G18529" s="1"/>
      <c r="N18529" s="1"/>
    </row>
    <row r="18530" spans="7:14" x14ac:dyDescent="0.3">
      <c r="G18530" s="1"/>
      <c r="N18530" s="1"/>
    </row>
    <row r="18531" spans="7:14" x14ac:dyDescent="0.3">
      <c r="G18531" s="1"/>
      <c r="N18531" s="1"/>
    </row>
    <row r="18532" spans="7:14" x14ac:dyDescent="0.3">
      <c r="G18532" s="1"/>
      <c r="N18532" s="1"/>
    </row>
    <row r="18533" spans="7:14" x14ac:dyDescent="0.3">
      <c r="G18533" s="1"/>
      <c r="N18533" s="1"/>
    </row>
    <row r="18534" spans="7:14" x14ac:dyDescent="0.3">
      <c r="G18534" s="1"/>
      <c r="N18534" s="1"/>
    </row>
    <row r="18535" spans="7:14" x14ac:dyDescent="0.3">
      <c r="G18535" s="1"/>
      <c r="N18535" s="1"/>
    </row>
    <row r="18536" spans="7:14" x14ac:dyDescent="0.3">
      <c r="G18536" s="1"/>
      <c r="N18536" s="1"/>
    </row>
    <row r="18537" spans="7:14" x14ac:dyDescent="0.3">
      <c r="G18537" s="1"/>
      <c r="N18537" s="1"/>
    </row>
    <row r="18538" spans="7:14" x14ac:dyDescent="0.3">
      <c r="G18538" s="1"/>
      <c r="N18538" s="1"/>
    </row>
    <row r="18539" spans="7:14" x14ac:dyDescent="0.3">
      <c r="G18539" s="1"/>
      <c r="N18539" s="1"/>
    </row>
    <row r="18540" spans="7:14" x14ac:dyDescent="0.3">
      <c r="G18540" s="1"/>
      <c r="N18540" s="1"/>
    </row>
    <row r="18541" spans="7:14" x14ac:dyDescent="0.3">
      <c r="G18541" s="1"/>
      <c r="N18541" s="1"/>
    </row>
    <row r="18542" spans="7:14" x14ac:dyDescent="0.3">
      <c r="G18542" s="1"/>
      <c r="N18542" s="1"/>
    </row>
    <row r="18543" spans="7:14" x14ac:dyDescent="0.3">
      <c r="G18543" s="1"/>
      <c r="N18543" s="1"/>
    </row>
    <row r="18544" spans="7:14" x14ac:dyDescent="0.3">
      <c r="G18544" s="1"/>
      <c r="N18544" s="1"/>
    </row>
    <row r="18545" spans="7:14" x14ac:dyDescent="0.3">
      <c r="G18545" s="1"/>
      <c r="N18545" s="1"/>
    </row>
    <row r="18546" spans="7:14" x14ac:dyDescent="0.3">
      <c r="G18546" s="1"/>
      <c r="N18546" s="1"/>
    </row>
    <row r="18547" spans="7:14" x14ac:dyDescent="0.3">
      <c r="G18547" s="1"/>
      <c r="N18547" s="1"/>
    </row>
    <row r="18548" spans="7:14" x14ac:dyDescent="0.3">
      <c r="G18548" s="1"/>
      <c r="N18548" s="1"/>
    </row>
    <row r="18549" spans="7:14" x14ac:dyDescent="0.3">
      <c r="G18549" s="1"/>
      <c r="N18549" s="1"/>
    </row>
    <row r="18550" spans="7:14" x14ac:dyDescent="0.3">
      <c r="G18550" s="1"/>
      <c r="N18550" s="1"/>
    </row>
    <row r="18551" spans="7:14" x14ac:dyDescent="0.3">
      <c r="G18551" s="1"/>
      <c r="N18551" s="1"/>
    </row>
    <row r="18552" spans="7:14" x14ac:dyDescent="0.3">
      <c r="G18552" s="1"/>
      <c r="N18552" s="1"/>
    </row>
    <row r="18553" spans="7:14" x14ac:dyDescent="0.3">
      <c r="G18553" s="1"/>
      <c r="N18553" s="1"/>
    </row>
    <row r="18554" spans="7:14" x14ac:dyDescent="0.3">
      <c r="G18554" s="1"/>
      <c r="N18554" s="1"/>
    </row>
    <row r="18555" spans="7:14" x14ac:dyDescent="0.3">
      <c r="G18555" s="1"/>
      <c r="N18555" s="1"/>
    </row>
    <row r="18556" spans="7:14" x14ac:dyDescent="0.3">
      <c r="G18556" s="1"/>
      <c r="N18556" s="1"/>
    </row>
    <row r="18557" spans="7:14" x14ac:dyDescent="0.3">
      <c r="G18557" s="1"/>
      <c r="N18557" s="1"/>
    </row>
    <row r="18558" spans="7:14" x14ac:dyDescent="0.3">
      <c r="G18558" s="1"/>
      <c r="N18558" s="1"/>
    </row>
    <row r="18559" spans="7:14" x14ac:dyDescent="0.3">
      <c r="G18559" s="1"/>
      <c r="N18559" s="1"/>
    </row>
    <row r="18560" spans="7:14" x14ac:dyDescent="0.3">
      <c r="G18560" s="1"/>
      <c r="N18560" s="1"/>
    </row>
    <row r="18561" spans="7:14" x14ac:dyDescent="0.3">
      <c r="G18561" s="1"/>
      <c r="N18561" s="1"/>
    </row>
    <row r="18562" spans="7:14" x14ac:dyDescent="0.3">
      <c r="G18562" s="1"/>
      <c r="N18562" s="1"/>
    </row>
    <row r="18563" spans="7:14" x14ac:dyDescent="0.3">
      <c r="G18563" s="1"/>
      <c r="N18563" s="1"/>
    </row>
    <row r="18564" spans="7:14" x14ac:dyDescent="0.3">
      <c r="G18564" s="1"/>
      <c r="N18564" s="1"/>
    </row>
    <row r="18565" spans="7:14" x14ac:dyDescent="0.3">
      <c r="G18565" s="1"/>
      <c r="N18565" s="1"/>
    </row>
    <row r="18566" spans="7:14" x14ac:dyDescent="0.3">
      <c r="G18566" s="1"/>
      <c r="N18566" s="1"/>
    </row>
    <row r="18567" spans="7:14" x14ac:dyDescent="0.3">
      <c r="G18567" s="1"/>
      <c r="N18567" s="1"/>
    </row>
    <row r="18568" spans="7:14" x14ac:dyDescent="0.3">
      <c r="G18568" s="1"/>
      <c r="N18568" s="1"/>
    </row>
    <row r="18569" spans="7:14" x14ac:dyDescent="0.3">
      <c r="G18569" s="1"/>
      <c r="N18569" s="1"/>
    </row>
    <row r="18570" spans="7:14" x14ac:dyDescent="0.3">
      <c r="G18570" s="1"/>
      <c r="N18570" s="1"/>
    </row>
    <row r="18571" spans="7:14" x14ac:dyDescent="0.3">
      <c r="G18571" s="1"/>
      <c r="N18571" s="1"/>
    </row>
    <row r="18572" spans="7:14" x14ac:dyDescent="0.3">
      <c r="G18572" s="1"/>
      <c r="N18572" s="1"/>
    </row>
    <row r="18573" spans="7:14" x14ac:dyDescent="0.3">
      <c r="G18573" s="1"/>
      <c r="N18573" s="1"/>
    </row>
    <row r="18574" spans="7:14" x14ac:dyDescent="0.3">
      <c r="G18574" s="1"/>
      <c r="N18574" s="1"/>
    </row>
    <row r="18575" spans="7:14" x14ac:dyDescent="0.3">
      <c r="G18575" s="1"/>
      <c r="N18575" s="1"/>
    </row>
    <row r="18576" spans="7:14" x14ac:dyDescent="0.3">
      <c r="G18576" s="1"/>
      <c r="N18576" s="1"/>
    </row>
    <row r="18577" spans="7:14" x14ac:dyDescent="0.3">
      <c r="G18577" s="1"/>
      <c r="N18577" s="1"/>
    </row>
    <row r="18578" spans="7:14" x14ac:dyDescent="0.3">
      <c r="G18578" s="1"/>
      <c r="N18578" s="1"/>
    </row>
    <row r="18579" spans="7:14" x14ac:dyDescent="0.3">
      <c r="G18579" s="1"/>
      <c r="N18579" s="1"/>
    </row>
    <row r="18580" spans="7:14" x14ac:dyDescent="0.3">
      <c r="G18580" s="1"/>
      <c r="N18580" s="1"/>
    </row>
    <row r="18581" spans="7:14" x14ac:dyDescent="0.3">
      <c r="G18581" s="1"/>
      <c r="N18581" s="1"/>
    </row>
    <row r="18582" spans="7:14" x14ac:dyDescent="0.3">
      <c r="G18582" s="1"/>
      <c r="N18582" s="1"/>
    </row>
    <row r="18583" spans="7:14" x14ac:dyDescent="0.3">
      <c r="G18583" s="1"/>
      <c r="N18583" s="1"/>
    </row>
    <row r="18584" spans="7:14" x14ac:dyDescent="0.3">
      <c r="G18584" s="1"/>
      <c r="N18584" s="1"/>
    </row>
    <row r="18585" spans="7:14" x14ac:dyDescent="0.3">
      <c r="G18585" s="1"/>
      <c r="N18585" s="1"/>
    </row>
    <row r="18586" spans="7:14" x14ac:dyDescent="0.3">
      <c r="G18586" s="1"/>
      <c r="N18586" s="1"/>
    </row>
    <row r="18587" spans="7:14" x14ac:dyDescent="0.3">
      <c r="G18587" s="1"/>
      <c r="N18587" s="1"/>
    </row>
    <row r="18588" spans="7:14" x14ac:dyDescent="0.3">
      <c r="G18588" s="1"/>
      <c r="N18588" s="1"/>
    </row>
    <row r="18589" spans="7:14" x14ac:dyDescent="0.3">
      <c r="G18589" s="1"/>
      <c r="N18589" s="1"/>
    </row>
    <row r="18590" spans="7:14" x14ac:dyDescent="0.3">
      <c r="G18590" s="1"/>
      <c r="N18590" s="1"/>
    </row>
    <row r="18591" spans="7:14" x14ac:dyDescent="0.3">
      <c r="G18591" s="1"/>
      <c r="N18591" s="1"/>
    </row>
    <row r="18592" spans="7:14" x14ac:dyDescent="0.3">
      <c r="G18592" s="1"/>
      <c r="N18592" s="1"/>
    </row>
    <row r="18593" spans="7:14" x14ac:dyDescent="0.3">
      <c r="G18593" s="1"/>
      <c r="N18593" s="1"/>
    </row>
    <row r="18594" spans="7:14" x14ac:dyDescent="0.3">
      <c r="G18594" s="1"/>
      <c r="N18594" s="1"/>
    </row>
    <row r="18595" spans="7:14" x14ac:dyDescent="0.3">
      <c r="G18595" s="1"/>
      <c r="N18595" s="1"/>
    </row>
    <row r="18596" spans="7:14" x14ac:dyDescent="0.3">
      <c r="G18596" s="1"/>
      <c r="N18596" s="1"/>
    </row>
    <row r="18597" spans="7:14" x14ac:dyDescent="0.3">
      <c r="G18597" s="1"/>
      <c r="N18597" s="1"/>
    </row>
    <row r="18598" spans="7:14" x14ac:dyDescent="0.3">
      <c r="G18598" s="1"/>
      <c r="N18598" s="1"/>
    </row>
    <row r="18599" spans="7:14" x14ac:dyDescent="0.3">
      <c r="G18599" s="1"/>
      <c r="N18599" s="1"/>
    </row>
    <row r="18600" spans="7:14" x14ac:dyDescent="0.3">
      <c r="G18600" s="1"/>
      <c r="N18600" s="1"/>
    </row>
    <row r="18601" spans="7:14" x14ac:dyDescent="0.3">
      <c r="G18601" s="1"/>
      <c r="N18601" s="1"/>
    </row>
    <row r="18602" spans="7:14" x14ac:dyDescent="0.3">
      <c r="G18602" s="1"/>
      <c r="N18602" s="1"/>
    </row>
    <row r="18603" spans="7:14" x14ac:dyDescent="0.3">
      <c r="G18603" s="1"/>
      <c r="N18603" s="1"/>
    </row>
    <row r="18604" spans="7:14" x14ac:dyDescent="0.3">
      <c r="G18604" s="1"/>
      <c r="N18604" s="1"/>
    </row>
    <row r="18605" spans="7:14" x14ac:dyDescent="0.3">
      <c r="G18605" s="1"/>
      <c r="N18605" s="1"/>
    </row>
    <row r="18606" spans="7:14" x14ac:dyDescent="0.3">
      <c r="G18606" s="1"/>
      <c r="N18606" s="1"/>
    </row>
    <row r="18607" spans="7:14" x14ac:dyDescent="0.3">
      <c r="G18607" s="1"/>
      <c r="N18607" s="1"/>
    </row>
    <row r="18608" spans="7:14" x14ac:dyDescent="0.3">
      <c r="G18608" s="1"/>
      <c r="N18608" s="1"/>
    </row>
    <row r="18609" spans="7:14" x14ac:dyDescent="0.3">
      <c r="G18609" s="1"/>
      <c r="N18609" s="1"/>
    </row>
    <row r="18610" spans="7:14" x14ac:dyDescent="0.3">
      <c r="G18610" s="1"/>
      <c r="N18610" s="1"/>
    </row>
    <row r="18611" spans="7:14" x14ac:dyDescent="0.3">
      <c r="G18611" s="1"/>
      <c r="N18611" s="1"/>
    </row>
    <row r="18612" spans="7:14" x14ac:dyDescent="0.3">
      <c r="G18612" s="1"/>
      <c r="N18612" s="1"/>
    </row>
    <row r="18613" spans="7:14" x14ac:dyDescent="0.3">
      <c r="G18613" s="1"/>
      <c r="N18613" s="1"/>
    </row>
    <row r="18614" spans="7:14" x14ac:dyDescent="0.3">
      <c r="G18614" s="1"/>
      <c r="N18614" s="1"/>
    </row>
    <row r="18615" spans="7:14" x14ac:dyDescent="0.3">
      <c r="G18615" s="1"/>
      <c r="N18615" s="1"/>
    </row>
    <row r="18616" spans="7:14" x14ac:dyDescent="0.3">
      <c r="G18616" s="1"/>
      <c r="N18616" s="1"/>
    </row>
    <row r="18617" spans="7:14" x14ac:dyDescent="0.3">
      <c r="G18617" s="1"/>
      <c r="N18617" s="1"/>
    </row>
    <row r="18618" spans="7:14" x14ac:dyDescent="0.3">
      <c r="G18618" s="1"/>
      <c r="N18618" s="1"/>
    </row>
    <row r="18619" spans="7:14" x14ac:dyDescent="0.3">
      <c r="G18619" s="1"/>
      <c r="N18619" s="1"/>
    </row>
    <row r="18620" spans="7:14" x14ac:dyDescent="0.3">
      <c r="G18620" s="1"/>
      <c r="N18620" s="1"/>
    </row>
    <row r="18621" spans="7:14" x14ac:dyDescent="0.3">
      <c r="G18621" s="1"/>
      <c r="N18621" s="1"/>
    </row>
    <row r="18622" spans="7:14" x14ac:dyDescent="0.3">
      <c r="G18622" s="1"/>
      <c r="N18622" s="1"/>
    </row>
    <row r="18623" spans="7:14" x14ac:dyDescent="0.3">
      <c r="G18623" s="1"/>
      <c r="N18623" s="1"/>
    </row>
    <row r="18624" spans="7:14" x14ac:dyDescent="0.3">
      <c r="G18624" s="1"/>
      <c r="N18624" s="1"/>
    </row>
    <row r="18625" spans="7:14" x14ac:dyDescent="0.3">
      <c r="G18625" s="1"/>
      <c r="N18625" s="1"/>
    </row>
    <row r="18626" spans="7:14" x14ac:dyDescent="0.3">
      <c r="G18626" s="1"/>
      <c r="N18626" s="1"/>
    </row>
    <row r="18627" spans="7:14" x14ac:dyDescent="0.3">
      <c r="G18627" s="1"/>
      <c r="N18627" s="1"/>
    </row>
    <row r="18628" spans="7:14" x14ac:dyDescent="0.3">
      <c r="G18628" s="1"/>
      <c r="N18628" s="1"/>
    </row>
    <row r="18629" spans="7:14" x14ac:dyDescent="0.3">
      <c r="G18629" s="1"/>
      <c r="N18629" s="1"/>
    </row>
    <row r="18630" spans="7:14" x14ac:dyDescent="0.3">
      <c r="G18630" s="1"/>
      <c r="N18630" s="1"/>
    </row>
    <row r="18631" spans="7:14" x14ac:dyDescent="0.3">
      <c r="G18631" s="1"/>
      <c r="N18631" s="1"/>
    </row>
    <row r="18632" spans="7:14" x14ac:dyDescent="0.3">
      <c r="G18632" s="1"/>
      <c r="N18632" s="1"/>
    </row>
    <row r="18633" spans="7:14" x14ac:dyDescent="0.3">
      <c r="G18633" s="1"/>
      <c r="N18633" s="1"/>
    </row>
    <row r="18634" spans="7:14" x14ac:dyDescent="0.3">
      <c r="G18634" s="1"/>
      <c r="N18634" s="1"/>
    </row>
    <row r="18635" spans="7:14" x14ac:dyDescent="0.3">
      <c r="G18635" s="1"/>
      <c r="N18635" s="1"/>
    </row>
    <row r="18636" spans="7:14" x14ac:dyDescent="0.3">
      <c r="G18636" s="1"/>
      <c r="N18636" s="1"/>
    </row>
    <row r="18637" spans="7:14" x14ac:dyDescent="0.3">
      <c r="G18637" s="1"/>
      <c r="N18637" s="1"/>
    </row>
    <row r="18638" spans="7:14" x14ac:dyDescent="0.3">
      <c r="G18638" s="1"/>
      <c r="N18638" s="1"/>
    </row>
    <row r="18639" spans="7:14" x14ac:dyDescent="0.3">
      <c r="G18639" s="1"/>
      <c r="N18639" s="1"/>
    </row>
    <row r="18640" spans="7:14" x14ac:dyDescent="0.3">
      <c r="G18640" s="1"/>
      <c r="N18640" s="1"/>
    </row>
    <row r="18641" spans="7:14" x14ac:dyDescent="0.3">
      <c r="G18641" s="1"/>
      <c r="N18641" s="1"/>
    </row>
    <row r="18642" spans="7:14" x14ac:dyDescent="0.3">
      <c r="G18642" s="1"/>
      <c r="N18642" s="1"/>
    </row>
    <row r="18643" spans="7:14" x14ac:dyDescent="0.3">
      <c r="G18643" s="1"/>
      <c r="N18643" s="1"/>
    </row>
    <row r="18644" spans="7:14" x14ac:dyDescent="0.3">
      <c r="G18644" s="1"/>
      <c r="N18644" s="1"/>
    </row>
    <row r="18645" spans="7:14" x14ac:dyDescent="0.3">
      <c r="G18645" s="1"/>
      <c r="N18645" s="1"/>
    </row>
    <row r="18646" spans="7:14" x14ac:dyDescent="0.3">
      <c r="G18646" s="1"/>
      <c r="N18646" s="1"/>
    </row>
    <row r="18647" spans="7:14" x14ac:dyDescent="0.3">
      <c r="G18647" s="1"/>
      <c r="N18647" s="1"/>
    </row>
    <row r="18648" spans="7:14" x14ac:dyDescent="0.3">
      <c r="G18648" s="1"/>
      <c r="N18648" s="1"/>
    </row>
    <row r="18649" spans="7:14" x14ac:dyDescent="0.3">
      <c r="G18649" s="1"/>
      <c r="N18649" s="1"/>
    </row>
    <row r="18650" spans="7:14" x14ac:dyDescent="0.3">
      <c r="G18650" s="1"/>
      <c r="N18650" s="1"/>
    </row>
    <row r="18651" spans="7:14" x14ac:dyDescent="0.3">
      <c r="G18651" s="1"/>
      <c r="N18651" s="1"/>
    </row>
    <row r="18652" spans="7:14" x14ac:dyDescent="0.3">
      <c r="G18652" s="1"/>
      <c r="N18652" s="1"/>
    </row>
    <row r="18653" spans="7:14" x14ac:dyDescent="0.3">
      <c r="G18653" s="1"/>
      <c r="N18653" s="1"/>
    </row>
    <row r="18654" spans="7:14" x14ac:dyDescent="0.3">
      <c r="G18654" s="1"/>
      <c r="N18654" s="1"/>
    </row>
    <row r="18655" spans="7:14" x14ac:dyDescent="0.3">
      <c r="G18655" s="1"/>
      <c r="N18655" s="1"/>
    </row>
    <row r="18656" spans="7:14" x14ac:dyDescent="0.3">
      <c r="G18656" s="1"/>
      <c r="N18656" s="1"/>
    </row>
    <row r="18657" spans="7:14" x14ac:dyDescent="0.3">
      <c r="G18657" s="1"/>
      <c r="N18657" s="1"/>
    </row>
    <row r="18658" spans="7:14" x14ac:dyDescent="0.3">
      <c r="G18658" s="1"/>
      <c r="N18658" s="1"/>
    </row>
    <row r="18659" spans="7:14" x14ac:dyDescent="0.3">
      <c r="G18659" s="1"/>
      <c r="N18659" s="1"/>
    </row>
    <row r="18660" spans="7:14" x14ac:dyDescent="0.3">
      <c r="G18660" s="1"/>
      <c r="N18660" s="1"/>
    </row>
    <row r="18661" spans="7:14" x14ac:dyDescent="0.3">
      <c r="G18661" s="1"/>
      <c r="N18661" s="1"/>
    </row>
    <row r="18662" spans="7:14" x14ac:dyDescent="0.3">
      <c r="G18662" s="1"/>
      <c r="N18662" s="1"/>
    </row>
    <row r="18663" spans="7:14" x14ac:dyDescent="0.3">
      <c r="G18663" s="1"/>
      <c r="N18663" s="1"/>
    </row>
    <row r="18664" spans="7:14" x14ac:dyDescent="0.3">
      <c r="G18664" s="1"/>
      <c r="N18664" s="1"/>
    </row>
    <row r="18665" spans="7:14" x14ac:dyDescent="0.3">
      <c r="G18665" s="1"/>
      <c r="N18665" s="1"/>
    </row>
    <row r="18666" spans="7:14" x14ac:dyDescent="0.3">
      <c r="G18666" s="1"/>
      <c r="N18666" s="1"/>
    </row>
    <row r="18667" spans="7:14" x14ac:dyDescent="0.3">
      <c r="G18667" s="1"/>
      <c r="N18667" s="1"/>
    </row>
    <row r="18668" spans="7:14" x14ac:dyDescent="0.3">
      <c r="G18668" s="1"/>
      <c r="N18668" s="1"/>
    </row>
    <row r="18669" spans="7:14" x14ac:dyDescent="0.3">
      <c r="G18669" s="1"/>
      <c r="N18669" s="1"/>
    </row>
    <row r="18670" spans="7:14" x14ac:dyDescent="0.3">
      <c r="G18670" s="1"/>
      <c r="N18670" s="1"/>
    </row>
    <row r="18671" spans="7:14" x14ac:dyDescent="0.3">
      <c r="G18671" s="1"/>
      <c r="N18671" s="1"/>
    </row>
    <row r="18672" spans="7:14" x14ac:dyDescent="0.3">
      <c r="G18672" s="1"/>
      <c r="N18672" s="1"/>
    </row>
    <row r="18673" spans="7:14" x14ac:dyDescent="0.3">
      <c r="G18673" s="1"/>
      <c r="N18673" s="1"/>
    </row>
    <row r="18674" spans="7:14" x14ac:dyDescent="0.3">
      <c r="G18674" s="1"/>
      <c r="N18674" s="1"/>
    </row>
    <row r="18675" spans="7:14" x14ac:dyDescent="0.3">
      <c r="G18675" s="1"/>
      <c r="N18675" s="1"/>
    </row>
    <row r="18676" spans="7:14" x14ac:dyDescent="0.3">
      <c r="G18676" s="1"/>
      <c r="N18676" s="1"/>
    </row>
    <row r="18677" spans="7:14" x14ac:dyDescent="0.3">
      <c r="G18677" s="1"/>
      <c r="N18677" s="1"/>
    </row>
    <row r="18678" spans="7:14" x14ac:dyDescent="0.3">
      <c r="G18678" s="1"/>
      <c r="N18678" s="1"/>
    </row>
    <row r="18679" spans="7:14" x14ac:dyDescent="0.3">
      <c r="G18679" s="1"/>
      <c r="N18679" s="1"/>
    </row>
    <row r="18680" spans="7:14" x14ac:dyDescent="0.3">
      <c r="G18680" s="1"/>
      <c r="N18680" s="1"/>
    </row>
    <row r="18681" spans="7:14" x14ac:dyDescent="0.3">
      <c r="G18681" s="1"/>
      <c r="N18681" s="1"/>
    </row>
    <row r="18682" spans="7:14" x14ac:dyDescent="0.3">
      <c r="G18682" s="1"/>
      <c r="N18682" s="1"/>
    </row>
    <row r="18683" spans="7:14" x14ac:dyDescent="0.3">
      <c r="G18683" s="1"/>
      <c r="N18683" s="1"/>
    </row>
    <row r="18684" spans="7:14" x14ac:dyDescent="0.3">
      <c r="G18684" s="1"/>
      <c r="N18684" s="1"/>
    </row>
    <row r="18685" spans="7:14" x14ac:dyDescent="0.3">
      <c r="G18685" s="1"/>
      <c r="N18685" s="1"/>
    </row>
    <row r="18686" spans="7:14" x14ac:dyDescent="0.3">
      <c r="G18686" s="1"/>
      <c r="N18686" s="1"/>
    </row>
    <row r="18687" spans="7:14" x14ac:dyDescent="0.3">
      <c r="G18687" s="1"/>
      <c r="N18687" s="1"/>
    </row>
    <row r="18688" spans="7:14" x14ac:dyDescent="0.3">
      <c r="G18688" s="1"/>
      <c r="N18688" s="1"/>
    </row>
    <row r="18689" spans="7:14" x14ac:dyDescent="0.3">
      <c r="G18689" s="1"/>
      <c r="N18689" s="1"/>
    </row>
    <row r="18690" spans="7:14" x14ac:dyDescent="0.3">
      <c r="G18690" s="1"/>
      <c r="N18690" s="1"/>
    </row>
    <row r="18691" spans="7:14" x14ac:dyDescent="0.3">
      <c r="G18691" s="1"/>
      <c r="N18691" s="1"/>
    </row>
    <row r="18692" spans="7:14" x14ac:dyDescent="0.3">
      <c r="G18692" s="1"/>
      <c r="N18692" s="1"/>
    </row>
    <row r="18693" spans="7:14" x14ac:dyDescent="0.3">
      <c r="G18693" s="1"/>
      <c r="N18693" s="1"/>
    </row>
    <row r="18694" spans="7:14" x14ac:dyDescent="0.3">
      <c r="G18694" s="1"/>
      <c r="N18694" s="1"/>
    </row>
    <row r="18695" spans="7:14" x14ac:dyDescent="0.3">
      <c r="G18695" s="1"/>
      <c r="N18695" s="1"/>
    </row>
    <row r="18696" spans="7:14" x14ac:dyDescent="0.3">
      <c r="G18696" s="1"/>
      <c r="N18696" s="1"/>
    </row>
    <row r="18697" spans="7:14" x14ac:dyDescent="0.3">
      <c r="G18697" s="1"/>
      <c r="N18697" s="1"/>
    </row>
    <row r="18698" spans="7:14" x14ac:dyDescent="0.3">
      <c r="G18698" s="1"/>
      <c r="N18698" s="1"/>
    </row>
    <row r="18699" spans="7:14" x14ac:dyDescent="0.3">
      <c r="G18699" s="1"/>
      <c r="N18699" s="1"/>
    </row>
    <row r="18700" spans="7:14" x14ac:dyDescent="0.3">
      <c r="G18700" s="1"/>
      <c r="N18700" s="1"/>
    </row>
    <row r="18701" spans="7:14" x14ac:dyDescent="0.3">
      <c r="G18701" s="1"/>
      <c r="N18701" s="1"/>
    </row>
    <row r="18702" spans="7:14" x14ac:dyDescent="0.3">
      <c r="G18702" s="1"/>
      <c r="N18702" s="1"/>
    </row>
    <row r="18703" spans="7:14" x14ac:dyDescent="0.3">
      <c r="G18703" s="1"/>
      <c r="N18703" s="1"/>
    </row>
    <row r="18704" spans="7:14" x14ac:dyDescent="0.3">
      <c r="G18704" s="1"/>
      <c r="N18704" s="1"/>
    </row>
    <row r="18705" spans="7:14" x14ac:dyDescent="0.3">
      <c r="G18705" s="1"/>
      <c r="N18705" s="1"/>
    </row>
    <row r="18706" spans="7:14" x14ac:dyDescent="0.3">
      <c r="G18706" s="1"/>
      <c r="N18706" s="1"/>
    </row>
    <row r="18707" spans="7:14" x14ac:dyDescent="0.3">
      <c r="G18707" s="1"/>
      <c r="N18707" s="1"/>
    </row>
    <row r="18708" spans="7:14" x14ac:dyDescent="0.3">
      <c r="G18708" s="1"/>
      <c r="N18708" s="1"/>
    </row>
    <row r="18709" spans="7:14" x14ac:dyDescent="0.3">
      <c r="G18709" s="1"/>
      <c r="N18709" s="1"/>
    </row>
    <row r="18710" spans="7:14" x14ac:dyDescent="0.3">
      <c r="G18710" s="1"/>
      <c r="N18710" s="1"/>
    </row>
    <row r="18711" spans="7:14" x14ac:dyDescent="0.3">
      <c r="G18711" s="1"/>
      <c r="N18711" s="1"/>
    </row>
    <row r="18712" spans="7:14" x14ac:dyDescent="0.3">
      <c r="G18712" s="1"/>
      <c r="N18712" s="1"/>
    </row>
    <row r="18713" spans="7:14" x14ac:dyDescent="0.3">
      <c r="G18713" s="1"/>
      <c r="N18713" s="1"/>
    </row>
    <row r="18714" spans="7:14" x14ac:dyDescent="0.3">
      <c r="G18714" s="1"/>
      <c r="N18714" s="1"/>
    </row>
    <row r="18715" spans="7:14" x14ac:dyDescent="0.3">
      <c r="G18715" s="1"/>
      <c r="N18715" s="1"/>
    </row>
    <row r="18716" spans="7:14" x14ac:dyDescent="0.3">
      <c r="G18716" s="1"/>
      <c r="N18716" s="1"/>
    </row>
    <row r="18717" spans="7:14" x14ac:dyDescent="0.3">
      <c r="G18717" s="1"/>
      <c r="N18717" s="1"/>
    </row>
    <row r="18718" spans="7:14" x14ac:dyDescent="0.3">
      <c r="G18718" s="1"/>
      <c r="N18718" s="1"/>
    </row>
    <row r="18719" spans="7:14" x14ac:dyDescent="0.3">
      <c r="G18719" s="1"/>
      <c r="N18719" s="1"/>
    </row>
    <row r="18720" spans="7:14" x14ac:dyDescent="0.3">
      <c r="G18720" s="1"/>
      <c r="N18720" s="1"/>
    </row>
    <row r="18721" spans="7:14" x14ac:dyDescent="0.3">
      <c r="G18721" s="1"/>
      <c r="N18721" s="1"/>
    </row>
    <row r="18722" spans="7:14" x14ac:dyDescent="0.3">
      <c r="G18722" s="1"/>
      <c r="N18722" s="1"/>
    </row>
    <row r="18723" spans="7:14" x14ac:dyDescent="0.3">
      <c r="G18723" s="1"/>
      <c r="N18723" s="1"/>
    </row>
    <row r="18724" spans="7:14" x14ac:dyDescent="0.3">
      <c r="G18724" s="1"/>
      <c r="N18724" s="1"/>
    </row>
    <row r="18725" spans="7:14" x14ac:dyDescent="0.3">
      <c r="G18725" s="1"/>
      <c r="N18725" s="1"/>
    </row>
    <row r="18726" spans="7:14" x14ac:dyDescent="0.3">
      <c r="G18726" s="1"/>
      <c r="N18726" s="1"/>
    </row>
    <row r="18727" spans="7:14" x14ac:dyDescent="0.3">
      <c r="G18727" s="1"/>
      <c r="N18727" s="1"/>
    </row>
    <row r="18728" spans="7:14" x14ac:dyDescent="0.3">
      <c r="G18728" s="1"/>
      <c r="N18728" s="1"/>
    </row>
    <row r="18729" spans="7:14" x14ac:dyDescent="0.3">
      <c r="G18729" s="1"/>
      <c r="N18729" s="1"/>
    </row>
    <row r="18730" spans="7:14" x14ac:dyDescent="0.3">
      <c r="G18730" s="1"/>
      <c r="N18730" s="1"/>
    </row>
    <row r="18731" spans="7:14" x14ac:dyDescent="0.3">
      <c r="G18731" s="1"/>
      <c r="N18731" s="1"/>
    </row>
    <row r="18732" spans="7:14" x14ac:dyDescent="0.3">
      <c r="G18732" s="1"/>
      <c r="N18732" s="1"/>
    </row>
    <row r="18733" spans="7:14" x14ac:dyDescent="0.3">
      <c r="G18733" s="1"/>
      <c r="N18733" s="1"/>
    </row>
    <row r="18734" spans="7:14" x14ac:dyDescent="0.3">
      <c r="G18734" s="1"/>
      <c r="N18734" s="1"/>
    </row>
    <row r="18735" spans="7:14" x14ac:dyDescent="0.3">
      <c r="G18735" s="1"/>
      <c r="N18735" s="1"/>
    </row>
    <row r="18736" spans="7:14" x14ac:dyDescent="0.3">
      <c r="G18736" s="1"/>
      <c r="N18736" s="1"/>
    </row>
    <row r="18737" spans="7:14" x14ac:dyDescent="0.3">
      <c r="G18737" s="1"/>
      <c r="N18737" s="1"/>
    </row>
    <row r="18738" spans="7:14" x14ac:dyDescent="0.3">
      <c r="G18738" s="1"/>
      <c r="N18738" s="1"/>
    </row>
    <row r="18739" spans="7:14" x14ac:dyDescent="0.3">
      <c r="G18739" s="1"/>
      <c r="N18739" s="1"/>
    </row>
    <row r="18740" spans="7:14" x14ac:dyDescent="0.3">
      <c r="G18740" s="1"/>
      <c r="N18740" s="1"/>
    </row>
    <row r="18741" spans="7:14" x14ac:dyDescent="0.3">
      <c r="G18741" s="1"/>
      <c r="N18741" s="1"/>
    </row>
    <row r="18742" spans="7:14" x14ac:dyDescent="0.3">
      <c r="G18742" s="1"/>
      <c r="N18742" s="1"/>
    </row>
    <row r="18743" spans="7:14" x14ac:dyDescent="0.3">
      <c r="G18743" s="1"/>
      <c r="N18743" s="1"/>
    </row>
    <row r="18744" spans="7:14" x14ac:dyDescent="0.3">
      <c r="G18744" s="1"/>
      <c r="N18744" s="1"/>
    </row>
    <row r="18745" spans="7:14" x14ac:dyDescent="0.3">
      <c r="G18745" s="1"/>
      <c r="N18745" s="1"/>
    </row>
    <row r="18746" spans="7:14" x14ac:dyDescent="0.3">
      <c r="G18746" s="1"/>
      <c r="N18746" s="1"/>
    </row>
    <row r="18747" spans="7:14" x14ac:dyDescent="0.3">
      <c r="G18747" s="1"/>
      <c r="N18747" s="1"/>
    </row>
    <row r="18748" spans="7:14" x14ac:dyDescent="0.3">
      <c r="G18748" s="1"/>
      <c r="N18748" s="1"/>
    </row>
    <row r="18749" spans="7:14" x14ac:dyDescent="0.3">
      <c r="G18749" s="1"/>
      <c r="N18749" s="1"/>
    </row>
    <row r="18750" spans="7:14" x14ac:dyDescent="0.3">
      <c r="G18750" s="1"/>
      <c r="N18750" s="1"/>
    </row>
    <row r="18751" spans="7:14" x14ac:dyDescent="0.3">
      <c r="G18751" s="1"/>
      <c r="N18751" s="1"/>
    </row>
    <row r="18752" spans="7:14" x14ac:dyDescent="0.3">
      <c r="G18752" s="1"/>
      <c r="N18752" s="1"/>
    </row>
    <row r="18753" spans="7:14" x14ac:dyDescent="0.3">
      <c r="G18753" s="1"/>
      <c r="N18753" s="1"/>
    </row>
    <row r="18754" spans="7:14" x14ac:dyDescent="0.3">
      <c r="G18754" s="1"/>
      <c r="N18754" s="1"/>
    </row>
    <row r="18755" spans="7:14" x14ac:dyDescent="0.3">
      <c r="G18755" s="1"/>
      <c r="N18755" s="1"/>
    </row>
    <row r="18756" spans="7:14" x14ac:dyDescent="0.3">
      <c r="G18756" s="1"/>
      <c r="N18756" s="1"/>
    </row>
    <row r="18757" spans="7:14" x14ac:dyDescent="0.3">
      <c r="G18757" s="1"/>
      <c r="N18757" s="1"/>
    </row>
    <row r="18758" spans="7:14" x14ac:dyDescent="0.3">
      <c r="G18758" s="1"/>
      <c r="N18758" s="1"/>
    </row>
    <row r="18759" spans="7:14" x14ac:dyDescent="0.3">
      <c r="G18759" s="1"/>
      <c r="N18759" s="1"/>
    </row>
    <row r="18760" spans="7:14" x14ac:dyDescent="0.3">
      <c r="G18760" s="1"/>
      <c r="N18760" s="1"/>
    </row>
    <row r="18761" spans="7:14" x14ac:dyDescent="0.3">
      <c r="G18761" s="1"/>
      <c r="N18761" s="1"/>
    </row>
    <row r="18762" spans="7:14" x14ac:dyDescent="0.3">
      <c r="G18762" s="1"/>
      <c r="N18762" s="1"/>
    </row>
    <row r="18763" spans="7:14" x14ac:dyDescent="0.3">
      <c r="G18763" s="1"/>
      <c r="N18763" s="1"/>
    </row>
    <row r="18764" spans="7:14" x14ac:dyDescent="0.3">
      <c r="G18764" s="1"/>
      <c r="N18764" s="1"/>
    </row>
    <row r="18765" spans="7:14" x14ac:dyDescent="0.3">
      <c r="G18765" s="1"/>
      <c r="N18765" s="1"/>
    </row>
    <row r="18766" spans="7:14" x14ac:dyDescent="0.3">
      <c r="G18766" s="1"/>
      <c r="N18766" s="1"/>
    </row>
    <row r="18767" spans="7:14" x14ac:dyDescent="0.3">
      <c r="G18767" s="1"/>
      <c r="N18767" s="1"/>
    </row>
    <row r="18768" spans="7:14" x14ac:dyDescent="0.3">
      <c r="G18768" s="1"/>
      <c r="N18768" s="1"/>
    </row>
    <row r="18769" spans="7:14" x14ac:dyDescent="0.3">
      <c r="G18769" s="1"/>
      <c r="N18769" s="1"/>
    </row>
    <row r="18770" spans="7:14" x14ac:dyDescent="0.3">
      <c r="G18770" s="1"/>
      <c r="N18770" s="1"/>
    </row>
    <row r="18771" spans="7:14" x14ac:dyDescent="0.3">
      <c r="G18771" s="1"/>
      <c r="N18771" s="1"/>
    </row>
    <row r="18772" spans="7:14" x14ac:dyDescent="0.3">
      <c r="G18772" s="1"/>
      <c r="N18772" s="1"/>
    </row>
    <row r="18773" spans="7:14" x14ac:dyDescent="0.3">
      <c r="G18773" s="1"/>
      <c r="N18773" s="1"/>
    </row>
    <row r="18774" spans="7:14" x14ac:dyDescent="0.3">
      <c r="G18774" s="1"/>
      <c r="N18774" s="1"/>
    </row>
    <row r="18775" spans="7:14" x14ac:dyDescent="0.3">
      <c r="G18775" s="1"/>
      <c r="N18775" s="1"/>
    </row>
    <row r="18776" spans="7:14" x14ac:dyDescent="0.3">
      <c r="G18776" s="1"/>
      <c r="N18776" s="1"/>
    </row>
    <row r="18777" spans="7:14" x14ac:dyDescent="0.3">
      <c r="G18777" s="1"/>
      <c r="N18777" s="1"/>
    </row>
    <row r="18778" spans="7:14" x14ac:dyDescent="0.3">
      <c r="G18778" s="1"/>
      <c r="N18778" s="1"/>
    </row>
    <row r="18779" spans="7:14" x14ac:dyDescent="0.3">
      <c r="G18779" s="1"/>
      <c r="N18779" s="1"/>
    </row>
    <row r="18780" spans="7:14" x14ac:dyDescent="0.3">
      <c r="G18780" s="1"/>
      <c r="N18780" s="1"/>
    </row>
    <row r="18781" spans="7:14" x14ac:dyDescent="0.3">
      <c r="G18781" s="1"/>
      <c r="N18781" s="1"/>
    </row>
    <row r="18782" spans="7:14" x14ac:dyDescent="0.3">
      <c r="G18782" s="1"/>
      <c r="N18782" s="1"/>
    </row>
    <row r="18783" spans="7:14" x14ac:dyDescent="0.3">
      <c r="G18783" s="1"/>
      <c r="N18783" s="1"/>
    </row>
    <row r="18784" spans="7:14" x14ac:dyDescent="0.3">
      <c r="G18784" s="1"/>
      <c r="N18784" s="1"/>
    </row>
    <row r="18785" spans="7:14" x14ac:dyDescent="0.3">
      <c r="G18785" s="1"/>
      <c r="N18785" s="1"/>
    </row>
    <row r="18786" spans="7:14" x14ac:dyDescent="0.3">
      <c r="G18786" s="1"/>
      <c r="N18786" s="1"/>
    </row>
    <row r="18787" spans="7:14" x14ac:dyDescent="0.3">
      <c r="G18787" s="1"/>
      <c r="N18787" s="1"/>
    </row>
    <row r="18788" spans="7:14" x14ac:dyDescent="0.3">
      <c r="G18788" s="1"/>
      <c r="N18788" s="1"/>
    </row>
    <row r="18789" spans="7:14" x14ac:dyDescent="0.3">
      <c r="G18789" s="1"/>
      <c r="N18789" s="1"/>
    </row>
    <row r="18790" spans="7:14" x14ac:dyDescent="0.3">
      <c r="G18790" s="1"/>
      <c r="N18790" s="1"/>
    </row>
    <row r="18791" spans="7:14" x14ac:dyDescent="0.3">
      <c r="G18791" s="1"/>
      <c r="N18791" s="1"/>
    </row>
    <row r="18792" spans="7:14" x14ac:dyDescent="0.3">
      <c r="G18792" s="1"/>
      <c r="N18792" s="1"/>
    </row>
    <row r="18793" spans="7:14" x14ac:dyDescent="0.3">
      <c r="G18793" s="1"/>
      <c r="N18793" s="1"/>
    </row>
    <row r="18794" spans="7:14" x14ac:dyDescent="0.3">
      <c r="G18794" s="1"/>
      <c r="N18794" s="1"/>
    </row>
    <row r="18795" spans="7:14" x14ac:dyDescent="0.3">
      <c r="G18795" s="1"/>
      <c r="N18795" s="1"/>
    </row>
    <row r="18796" spans="7:14" x14ac:dyDescent="0.3">
      <c r="G18796" s="1"/>
      <c r="N18796" s="1"/>
    </row>
    <row r="18797" spans="7:14" x14ac:dyDescent="0.3">
      <c r="G18797" s="1"/>
      <c r="N18797" s="1"/>
    </row>
    <row r="18798" spans="7:14" x14ac:dyDescent="0.3">
      <c r="G18798" s="1"/>
      <c r="N18798" s="1"/>
    </row>
    <row r="18799" spans="7:14" x14ac:dyDescent="0.3">
      <c r="G18799" s="1"/>
      <c r="N18799" s="1"/>
    </row>
    <row r="18800" spans="7:14" x14ac:dyDescent="0.3">
      <c r="G18800" s="1"/>
      <c r="N18800" s="1"/>
    </row>
    <row r="18801" spans="7:14" x14ac:dyDescent="0.3">
      <c r="G18801" s="1"/>
      <c r="N18801" s="1"/>
    </row>
    <row r="18802" spans="7:14" x14ac:dyDescent="0.3">
      <c r="G18802" s="1"/>
      <c r="N18802" s="1"/>
    </row>
    <row r="18803" spans="7:14" x14ac:dyDescent="0.3">
      <c r="G18803" s="1"/>
      <c r="N18803" s="1"/>
    </row>
    <row r="18804" spans="7:14" x14ac:dyDescent="0.3">
      <c r="G18804" s="1"/>
      <c r="N18804" s="1"/>
    </row>
    <row r="18805" spans="7:14" x14ac:dyDescent="0.3">
      <c r="G18805" s="1"/>
      <c r="N18805" s="1"/>
    </row>
    <row r="18806" spans="7:14" x14ac:dyDescent="0.3">
      <c r="G18806" s="1"/>
      <c r="N18806" s="1"/>
    </row>
    <row r="18807" spans="7:14" x14ac:dyDescent="0.3">
      <c r="G18807" s="1"/>
      <c r="N18807" s="1"/>
    </row>
    <row r="18808" spans="7:14" x14ac:dyDescent="0.3">
      <c r="G18808" s="1"/>
      <c r="N18808" s="1"/>
    </row>
    <row r="18809" spans="7:14" x14ac:dyDescent="0.3">
      <c r="G18809" s="1"/>
      <c r="N18809" s="1"/>
    </row>
    <row r="18810" spans="7:14" x14ac:dyDescent="0.3">
      <c r="G18810" s="1"/>
      <c r="N18810" s="1"/>
    </row>
    <row r="18811" spans="7:14" x14ac:dyDescent="0.3">
      <c r="G18811" s="1"/>
      <c r="N18811" s="1"/>
    </row>
    <row r="18812" spans="7:14" x14ac:dyDescent="0.3">
      <c r="G18812" s="1"/>
      <c r="N18812" s="1"/>
    </row>
    <row r="18813" spans="7:14" x14ac:dyDescent="0.3">
      <c r="G18813" s="1"/>
      <c r="N18813" s="1"/>
    </row>
    <row r="18814" spans="7:14" x14ac:dyDescent="0.3">
      <c r="G18814" s="1"/>
      <c r="N18814" s="1"/>
    </row>
    <row r="18815" spans="7:14" x14ac:dyDescent="0.3">
      <c r="G18815" s="1"/>
      <c r="N18815" s="1"/>
    </row>
    <row r="18816" spans="7:14" x14ac:dyDescent="0.3">
      <c r="G18816" s="1"/>
      <c r="N18816" s="1"/>
    </row>
    <row r="18817" spans="7:14" x14ac:dyDescent="0.3">
      <c r="G18817" s="1"/>
      <c r="N18817" s="1"/>
    </row>
    <row r="18818" spans="7:14" x14ac:dyDescent="0.3">
      <c r="G18818" s="1"/>
      <c r="N18818" s="1"/>
    </row>
    <row r="18819" spans="7:14" x14ac:dyDescent="0.3">
      <c r="G18819" s="1"/>
      <c r="N18819" s="1"/>
    </row>
    <row r="18820" spans="7:14" x14ac:dyDescent="0.3">
      <c r="G18820" s="1"/>
      <c r="N18820" s="1"/>
    </row>
    <row r="18821" spans="7:14" x14ac:dyDescent="0.3">
      <c r="G18821" s="1"/>
      <c r="N18821" s="1"/>
    </row>
    <row r="18822" spans="7:14" x14ac:dyDescent="0.3">
      <c r="G18822" s="1"/>
      <c r="N18822" s="1"/>
    </row>
    <row r="18823" spans="7:14" x14ac:dyDescent="0.3">
      <c r="G18823" s="1"/>
      <c r="N18823" s="1"/>
    </row>
    <row r="18824" spans="7:14" x14ac:dyDescent="0.3">
      <c r="G18824" s="1"/>
      <c r="N18824" s="1"/>
    </row>
    <row r="18825" spans="7:14" x14ac:dyDescent="0.3">
      <c r="G18825" s="1"/>
      <c r="N18825" s="1"/>
    </row>
    <row r="18826" spans="7:14" x14ac:dyDescent="0.3">
      <c r="G18826" s="1"/>
      <c r="N18826" s="1"/>
    </row>
    <row r="18827" spans="7:14" x14ac:dyDescent="0.3">
      <c r="G18827" s="1"/>
      <c r="N18827" s="1"/>
    </row>
    <row r="18828" spans="7:14" x14ac:dyDescent="0.3">
      <c r="G18828" s="1"/>
      <c r="N18828" s="1"/>
    </row>
    <row r="18829" spans="7:14" x14ac:dyDescent="0.3">
      <c r="G18829" s="1"/>
      <c r="N18829" s="1"/>
    </row>
    <row r="18830" spans="7:14" x14ac:dyDescent="0.3">
      <c r="G18830" s="1"/>
      <c r="N18830" s="1"/>
    </row>
    <row r="18831" spans="7:14" x14ac:dyDescent="0.3">
      <c r="G18831" s="1"/>
      <c r="N18831" s="1"/>
    </row>
    <row r="18832" spans="7:14" x14ac:dyDescent="0.3">
      <c r="G18832" s="1"/>
      <c r="N18832" s="1"/>
    </row>
    <row r="18833" spans="7:14" x14ac:dyDescent="0.3">
      <c r="G18833" s="1"/>
      <c r="N18833" s="1"/>
    </row>
    <row r="18834" spans="7:14" x14ac:dyDescent="0.3">
      <c r="G18834" s="1"/>
      <c r="N18834" s="1"/>
    </row>
    <row r="18835" spans="7:14" x14ac:dyDescent="0.3">
      <c r="G18835" s="1"/>
      <c r="N18835" s="1"/>
    </row>
    <row r="18836" spans="7:14" x14ac:dyDescent="0.3">
      <c r="G18836" s="1"/>
      <c r="N18836" s="1"/>
    </row>
    <row r="18837" spans="7:14" x14ac:dyDescent="0.3">
      <c r="G18837" s="1"/>
      <c r="N18837" s="1"/>
    </row>
    <row r="18838" spans="7:14" x14ac:dyDescent="0.3">
      <c r="G18838" s="1"/>
      <c r="N18838" s="1"/>
    </row>
    <row r="18839" spans="7:14" x14ac:dyDescent="0.3">
      <c r="G18839" s="1"/>
      <c r="N18839" s="1"/>
    </row>
    <row r="18840" spans="7:14" x14ac:dyDescent="0.3">
      <c r="G18840" s="1"/>
      <c r="N18840" s="1"/>
    </row>
    <row r="18841" spans="7:14" x14ac:dyDescent="0.3">
      <c r="G18841" s="1"/>
      <c r="N18841" s="1"/>
    </row>
    <row r="18842" spans="7:14" x14ac:dyDescent="0.3">
      <c r="G18842" s="1"/>
      <c r="N18842" s="1"/>
    </row>
    <row r="18843" spans="7:14" x14ac:dyDescent="0.3">
      <c r="G18843" s="1"/>
      <c r="N18843" s="1"/>
    </row>
    <row r="18844" spans="7:14" x14ac:dyDescent="0.3">
      <c r="G18844" s="1"/>
      <c r="N18844" s="1"/>
    </row>
    <row r="18845" spans="7:14" x14ac:dyDescent="0.3">
      <c r="G18845" s="1"/>
      <c r="N18845" s="1"/>
    </row>
    <row r="18846" spans="7:14" x14ac:dyDescent="0.3">
      <c r="G18846" s="1"/>
      <c r="N18846" s="1"/>
    </row>
    <row r="18847" spans="7:14" x14ac:dyDescent="0.3">
      <c r="G18847" s="1"/>
      <c r="N18847" s="1"/>
    </row>
    <row r="18848" spans="7:14" x14ac:dyDescent="0.3">
      <c r="G18848" s="1"/>
      <c r="N18848" s="1"/>
    </row>
    <row r="18849" spans="7:14" x14ac:dyDescent="0.3">
      <c r="G18849" s="1"/>
      <c r="N18849" s="1"/>
    </row>
    <row r="18850" spans="7:14" x14ac:dyDescent="0.3">
      <c r="G18850" s="1"/>
      <c r="N18850" s="1"/>
    </row>
    <row r="18851" spans="7:14" x14ac:dyDescent="0.3">
      <c r="G18851" s="1"/>
      <c r="N18851" s="1"/>
    </row>
    <row r="18852" spans="7:14" x14ac:dyDescent="0.3">
      <c r="G18852" s="1"/>
      <c r="N18852" s="1"/>
    </row>
    <row r="18853" spans="7:14" x14ac:dyDescent="0.3">
      <c r="G18853" s="1"/>
      <c r="N18853" s="1"/>
    </row>
    <row r="18854" spans="7:14" x14ac:dyDescent="0.3">
      <c r="G18854" s="1"/>
      <c r="N18854" s="1"/>
    </row>
    <row r="18855" spans="7:14" x14ac:dyDescent="0.3">
      <c r="G18855" s="1"/>
      <c r="N18855" s="1"/>
    </row>
    <row r="18856" spans="7:14" x14ac:dyDescent="0.3">
      <c r="G18856" s="1"/>
      <c r="N18856" s="1"/>
    </row>
    <row r="18857" spans="7:14" x14ac:dyDescent="0.3">
      <c r="G18857" s="1"/>
      <c r="N18857" s="1"/>
    </row>
    <row r="18858" spans="7:14" x14ac:dyDescent="0.3">
      <c r="G18858" s="1"/>
      <c r="N18858" s="1"/>
    </row>
    <row r="18859" spans="7:14" x14ac:dyDescent="0.3">
      <c r="G18859" s="1"/>
      <c r="N18859" s="1"/>
    </row>
    <row r="18860" spans="7:14" x14ac:dyDescent="0.3">
      <c r="G18860" s="1"/>
      <c r="N18860" s="1"/>
    </row>
    <row r="18861" spans="7:14" x14ac:dyDescent="0.3">
      <c r="G18861" s="1"/>
      <c r="N18861" s="1"/>
    </row>
    <row r="18862" spans="7:14" x14ac:dyDescent="0.3">
      <c r="G18862" s="1"/>
      <c r="N18862" s="1"/>
    </row>
    <row r="18863" spans="7:14" x14ac:dyDescent="0.3">
      <c r="G18863" s="1"/>
      <c r="N18863" s="1"/>
    </row>
    <row r="18864" spans="7:14" x14ac:dyDescent="0.3">
      <c r="G18864" s="1"/>
      <c r="N18864" s="1"/>
    </row>
    <row r="18865" spans="7:14" x14ac:dyDescent="0.3">
      <c r="G18865" s="1"/>
      <c r="N18865" s="1"/>
    </row>
    <row r="18866" spans="7:14" x14ac:dyDescent="0.3">
      <c r="G18866" s="1"/>
      <c r="N18866" s="1"/>
    </row>
    <row r="18867" spans="7:14" x14ac:dyDescent="0.3">
      <c r="G18867" s="1"/>
      <c r="N18867" s="1"/>
    </row>
    <row r="18868" spans="7:14" x14ac:dyDescent="0.3">
      <c r="G18868" s="1"/>
      <c r="N18868" s="1"/>
    </row>
    <row r="18869" spans="7:14" x14ac:dyDescent="0.3">
      <c r="G18869" s="1"/>
      <c r="N18869" s="1"/>
    </row>
    <row r="18870" spans="7:14" x14ac:dyDescent="0.3">
      <c r="G18870" s="1"/>
      <c r="N18870" s="1"/>
    </row>
    <row r="18871" spans="7:14" x14ac:dyDescent="0.3">
      <c r="G18871" s="1"/>
      <c r="N18871" s="1"/>
    </row>
    <row r="18872" spans="7:14" x14ac:dyDescent="0.3">
      <c r="G18872" s="1"/>
      <c r="N18872" s="1"/>
    </row>
    <row r="18873" spans="7:14" x14ac:dyDescent="0.3">
      <c r="G18873" s="1"/>
      <c r="N18873" s="1"/>
    </row>
    <row r="18874" spans="7:14" x14ac:dyDescent="0.3">
      <c r="G18874" s="1"/>
      <c r="N18874" s="1"/>
    </row>
    <row r="18875" spans="7:14" x14ac:dyDescent="0.3">
      <c r="G18875" s="1"/>
      <c r="N18875" s="1"/>
    </row>
    <row r="18876" spans="7:14" x14ac:dyDescent="0.3">
      <c r="G18876" s="1"/>
      <c r="N18876" s="1"/>
    </row>
    <row r="18877" spans="7:14" x14ac:dyDescent="0.3">
      <c r="G18877" s="1"/>
      <c r="N18877" s="1"/>
    </row>
    <row r="18878" spans="7:14" x14ac:dyDescent="0.3">
      <c r="G18878" s="1"/>
      <c r="N18878" s="1"/>
    </row>
    <row r="18879" spans="7:14" x14ac:dyDescent="0.3">
      <c r="G18879" s="1"/>
      <c r="N18879" s="1"/>
    </row>
    <row r="18880" spans="7:14" x14ac:dyDescent="0.3">
      <c r="G18880" s="1"/>
      <c r="N18880" s="1"/>
    </row>
    <row r="18881" spans="7:14" x14ac:dyDescent="0.3">
      <c r="G18881" s="1"/>
      <c r="N18881" s="1"/>
    </row>
    <row r="18882" spans="7:14" x14ac:dyDescent="0.3">
      <c r="G18882" s="1"/>
      <c r="N18882" s="1"/>
    </row>
    <row r="18883" spans="7:14" x14ac:dyDescent="0.3">
      <c r="G18883" s="1"/>
      <c r="N18883" s="1"/>
    </row>
    <row r="18884" spans="7:14" x14ac:dyDescent="0.3">
      <c r="G18884" s="1"/>
      <c r="N18884" s="1"/>
    </row>
    <row r="18885" spans="7:14" x14ac:dyDescent="0.3">
      <c r="G18885" s="1"/>
      <c r="N18885" s="1"/>
    </row>
    <row r="18886" spans="7:14" x14ac:dyDescent="0.3">
      <c r="G18886" s="1"/>
      <c r="N18886" s="1"/>
    </row>
    <row r="18887" spans="7:14" x14ac:dyDescent="0.3">
      <c r="G18887" s="1"/>
      <c r="N18887" s="1"/>
    </row>
    <row r="18888" spans="7:14" x14ac:dyDescent="0.3">
      <c r="G18888" s="1"/>
      <c r="N18888" s="1"/>
    </row>
    <row r="18889" spans="7:14" x14ac:dyDescent="0.3">
      <c r="G18889" s="1"/>
      <c r="N18889" s="1"/>
    </row>
    <row r="18890" spans="7:14" x14ac:dyDescent="0.3">
      <c r="G18890" s="1"/>
      <c r="N18890" s="1"/>
    </row>
    <row r="18891" spans="7:14" x14ac:dyDescent="0.3">
      <c r="G18891" s="1"/>
      <c r="N18891" s="1"/>
    </row>
    <row r="18892" spans="7:14" x14ac:dyDescent="0.3">
      <c r="G18892" s="1"/>
      <c r="N18892" s="1"/>
    </row>
    <row r="18893" spans="7:14" x14ac:dyDescent="0.3">
      <c r="G18893" s="1"/>
      <c r="N18893" s="1"/>
    </row>
    <row r="18894" spans="7:14" x14ac:dyDescent="0.3">
      <c r="G18894" s="1"/>
      <c r="N18894" s="1"/>
    </row>
    <row r="18895" spans="7:14" x14ac:dyDescent="0.3">
      <c r="G18895" s="1"/>
      <c r="N18895" s="1"/>
    </row>
    <row r="18896" spans="7:14" x14ac:dyDescent="0.3">
      <c r="G18896" s="1"/>
      <c r="N18896" s="1"/>
    </row>
    <row r="18897" spans="7:14" x14ac:dyDescent="0.3">
      <c r="G18897" s="1"/>
      <c r="N18897" s="1"/>
    </row>
    <row r="18898" spans="7:14" x14ac:dyDescent="0.3">
      <c r="G18898" s="1"/>
      <c r="N18898" s="1"/>
    </row>
    <row r="18899" spans="7:14" x14ac:dyDescent="0.3">
      <c r="G18899" s="1"/>
      <c r="N18899" s="1"/>
    </row>
    <row r="18900" spans="7:14" x14ac:dyDescent="0.3">
      <c r="G18900" s="1"/>
      <c r="N18900" s="1"/>
    </row>
    <row r="18901" spans="7:14" x14ac:dyDescent="0.3">
      <c r="G18901" s="1"/>
      <c r="N18901" s="1"/>
    </row>
    <row r="18902" spans="7:14" x14ac:dyDescent="0.3">
      <c r="G18902" s="1"/>
      <c r="N18902" s="1"/>
    </row>
    <row r="18903" spans="7:14" x14ac:dyDescent="0.3">
      <c r="G18903" s="1"/>
      <c r="N18903" s="1"/>
    </row>
    <row r="18904" spans="7:14" x14ac:dyDescent="0.3">
      <c r="G18904" s="1"/>
      <c r="N18904" s="1"/>
    </row>
    <row r="18905" spans="7:14" x14ac:dyDescent="0.3">
      <c r="G18905" s="1"/>
      <c r="N18905" s="1"/>
    </row>
    <row r="18906" spans="7:14" x14ac:dyDescent="0.3">
      <c r="G18906" s="1"/>
      <c r="N18906" s="1"/>
    </row>
    <row r="18907" spans="7:14" x14ac:dyDescent="0.3">
      <c r="G18907" s="1"/>
      <c r="N18907" s="1"/>
    </row>
    <row r="18908" spans="7:14" x14ac:dyDescent="0.3">
      <c r="G18908" s="1"/>
      <c r="N18908" s="1"/>
    </row>
    <row r="18909" spans="7:14" x14ac:dyDescent="0.3">
      <c r="G18909" s="1"/>
      <c r="N18909" s="1"/>
    </row>
    <row r="18910" spans="7:14" x14ac:dyDescent="0.3">
      <c r="G18910" s="1"/>
      <c r="N18910" s="1"/>
    </row>
    <row r="18911" spans="7:14" x14ac:dyDescent="0.3">
      <c r="G18911" s="1"/>
      <c r="N18911" s="1"/>
    </row>
    <row r="18912" spans="7:14" x14ac:dyDescent="0.3">
      <c r="G18912" s="1"/>
      <c r="N18912" s="1"/>
    </row>
    <row r="18913" spans="7:14" x14ac:dyDescent="0.3">
      <c r="G18913" s="1"/>
      <c r="N18913" s="1"/>
    </row>
    <row r="18914" spans="7:14" x14ac:dyDescent="0.3">
      <c r="G18914" s="1"/>
      <c r="N18914" s="1"/>
    </row>
    <row r="18915" spans="7:14" x14ac:dyDescent="0.3">
      <c r="G18915" s="1"/>
      <c r="N18915" s="1"/>
    </row>
    <row r="18916" spans="7:14" x14ac:dyDescent="0.3">
      <c r="G18916" s="1"/>
      <c r="N18916" s="1"/>
    </row>
    <row r="18917" spans="7:14" x14ac:dyDescent="0.3">
      <c r="G18917" s="1"/>
      <c r="N18917" s="1"/>
    </row>
    <row r="18918" spans="7:14" x14ac:dyDescent="0.3">
      <c r="G18918" s="1"/>
      <c r="N18918" s="1"/>
    </row>
    <row r="18919" spans="7:14" x14ac:dyDescent="0.3">
      <c r="G18919" s="1"/>
      <c r="N18919" s="1"/>
    </row>
    <row r="18920" spans="7:14" x14ac:dyDescent="0.3">
      <c r="G18920" s="1"/>
      <c r="N18920" s="1"/>
    </row>
    <row r="18921" spans="7:14" x14ac:dyDescent="0.3">
      <c r="G18921" s="1"/>
      <c r="N18921" s="1"/>
    </row>
    <row r="18922" spans="7:14" x14ac:dyDescent="0.3">
      <c r="G18922" s="1"/>
      <c r="N18922" s="1"/>
    </row>
    <row r="18923" spans="7:14" x14ac:dyDescent="0.3">
      <c r="G18923" s="1"/>
      <c r="N18923" s="1"/>
    </row>
    <row r="18924" spans="7:14" x14ac:dyDescent="0.3">
      <c r="G18924" s="1"/>
      <c r="N18924" s="1"/>
    </row>
    <row r="18925" spans="7:14" x14ac:dyDescent="0.3">
      <c r="G18925" s="1"/>
      <c r="N18925" s="1"/>
    </row>
    <row r="18926" spans="7:14" x14ac:dyDescent="0.3">
      <c r="G18926" s="1"/>
      <c r="N18926" s="1"/>
    </row>
    <row r="18927" spans="7:14" x14ac:dyDescent="0.3">
      <c r="G18927" s="1"/>
      <c r="N18927" s="1"/>
    </row>
    <row r="18928" spans="7:14" x14ac:dyDescent="0.3">
      <c r="G18928" s="1"/>
      <c r="N18928" s="1"/>
    </row>
    <row r="18929" spans="7:14" x14ac:dyDescent="0.3">
      <c r="G18929" s="1"/>
      <c r="N18929" s="1"/>
    </row>
    <row r="18930" spans="7:14" x14ac:dyDescent="0.3">
      <c r="G18930" s="1"/>
      <c r="N18930" s="1"/>
    </row>
    <row r="18931" spans="7:14" x14ac:dyDescent="0.3">
      <c r="G18931" s="1"/>
      <c r="N18931" s="1"/>
    </row>
    <row r="18932" spans="7:14" x14ac:dyDescent="0.3">
      <c r="G18932" s="1"/>
      <c r="N18932" s="1"/>
    </row>
    <row r="18933" spans="7:14" x14ac:dyDescent="0.3">
      <c r="G18933" s="1"/>
      <c r="N18933" s="1"/>
    </row>
    <row r="18934" spans="7:14" x14ac:dyDescent="0.3">
      <c r="G18934" s="1"/>
      <c r="N18934" s="1"/>
    </row>
    <row r="18935" spans="7:14" x14ac:dyDescent="0.3">
      <c r="G18935" s="1"/>
      <c r="N18935" s="1"/>
    </row>
    <row r="18936" spans="7:14" x14ac:dyDescent="0.3">
      <c r="G18936" s="1"/>
      <c r="N18936" s="1"/>
    </row>
    <row r="18937" spans="7:14" x14ac:dyDescent="0.3">
      <c r="G18937" s="1"/>
      <c r="N18937" s="1"/>
    </row>
    <row r="18938" spans="7:14" x14ac:dyDescent="0.3">
      <c r="G18938" s="1"/>
      <c r="N18938" s="1"/>
    </row>
    <row r="18939" spans="7:14" x14ac:dyDescent="0.3">
      <c r="G18939" s="1"/>
      <c r="N18939" s="1"/>
    </row>
    <row r="18940" spans="7:14" x14ac:dyDescent="0.3">
      <c r="G18940" s="1"/>
      <c r="N18940" s="1"/>
    </row>
    <row r="18941" spans="7:14" x14ac:dyDescent="0.3">
      <c r="G18941" s="1"/>
      <c r="N18941" s="1"/>
    </row>
    <row r="18942" spans="7:14" x14ac:dyDescent="0.3">
      <c r="G18942" s="1"/>
      <c r="N18942" s="1"/>
    </row>
    <row r="18943" spans="7:14" x14ac:dyDescent="0.3">
      <c r="G18943" s="1"/>
      <c r="N18943" s="1"/>
    </row>
    <row r="18944" spans="7:14" x14ac:dyDescent="0.3">
      <c r="G18944" s="1"/>
      <c r="N18944" s="1"/>
    </row>
    <row r="18945" spans="7:14" x14ac:dyDescent="0.3">
      <c r="G18945" s="1"/>
      <c r="N18945" s="1"/>
    </row>
    <row r="18946" spans="7:14" x14ac:dyDescent="0.3">
      <c r="G18946" s="1"/>
      <c r="N18946" s="1"/>
    </row>
    <row r="18947" spans="7:14" x14ac:dyDescent="0.3">
      <c r="G18947" s="1"/>
      <c r="N18947" s="1"/>
    </row>
    <row r="18948" spans="7:14" x14ac:dyDescent="0.3">
      <c r="G18948" s="1"/>
      <c r="N18948" s="1"/>
    </row>
    <row r="18949" spans="7:14" x14ac:dyDescent="0.3">
      <c r="G18949" s="1"/>
      <c r="N18949" s="1"/>
    </row>
    <row r="18950" spans="7:14" x14ac:dyDescent="0.3">
      <c r="G18950" s="1"/>
      <c r="N18950" s="1"/>
    </row>
    <row r="18951" spans="7:14" x14ac:dyDescent="0.3">
      <c r="G18951" s="1"/>
      <c r="N18951" s="1"/>
    </row>
    <row r="18952" spans="7:14" x14ac:dyDescent="0.3">
      <c r="G18952" s="1"/>
      <c r="N18952" s="1"/>
    </row>
    <row r="18953" spans="7:14" x14ac:dyDescent="0.3">
      <c r="G18953" s="1"/>
      <c r="N18953" s="1"/>
    </row>
    <row r="18954" spans="7:14" x14ac:dyDescent="0.3">
      <c r="G18954" s="1"/>
      <c r="N18954" s="1"/>
    </row>
    <row r="18955" spans="7:14" x14ac:dyDescent="0.3">
      <c r="G18955" s="1"/>
      <c r="N18955" s="1"/>
    </row>
    <row r="18956" spans="7:14" x14ac:dyDescent="0.3">
      <c r="G18956" s="1"/>
      <c r="N18956" s="1"/>
    </row>
    <row r="18957" spans="7:14" x14ac:dyDescent="0.3">
      <c r="G18957" s="1"/>
      <c r="N18957" s="1"/>
    </row>
    <row r="18958" spans="7:14" x14ac:dyDescent="0.3">
      <c r="G18958" s="1"/>
      <c r="N18958" s="1"/>
    </row>
    <row r="18959" spans="7:14" x14ac:dyDescent="0.3">
      <c r="G18959" s="1"/>
      <c r="N18959" s="1"/>
    </row>
    <row r="18960" spans="7:14" x14ac:dyDescent="0.3">
      <c r="G18960" s="1"/>
      <c r="N18960" s="1"/>
    </row>
    <row r="18961" spans="7:14" x14ac:dyDescent="0.3">
      <c r="G18961" s="1"/>
      <c r="N18961" s="1"/>
    </row>
    <row r="18962" spans="7:14" x14ac:dyDescent="0.3">
      <c r="G18962" s="1"/>
      <c r="N18962" s="1"/>
    </row>
    <row r="18963" spans="7:14" x14ac:dyDescent="0.3">
      <c r="G18963" s="1"/>
      <c r="N18963" s="1"/>
    </row>
    <row r="18964" spans="7:14" x14ac:dyDescent="0.3">
      <c r="G18964" s="1"/>
      <c r="N18964" s="1"/>
    </row>
    <row r="18965" spans="7:14" x14ac:dyDescent="0.3">
      <c r="G18965" s="1"/>
      <c r="N18965" s="1"/>
    </row>
    <row r="18966" spans="7:14" x14ac:dyDescent="0.3">
      <c r="G18966" s="1"/>
      <c r="N18966" s="1"/>
    </row>
    <row r="18967" spans="7:14" x14ac:dyDescent="0.3">
      <c r="G18967" s="1"/>
      <c r="N18967" s="1"/>
    </row>
    <row r="18968" spans="7:14" x14ac:dyDescent="0.3">
      <c r="G18968" s="1"/>
      <c r="N18968" s="1"/>
    </row>
    <row r="18969" spans="7:14" x14ac:dyDescent="0.3">
      <c r="G18969" s="1"/>
      <c r="N18969" s="1"/>
    </row>
    <row r="18970" spans="7:14" x14ac:dyDescent="0.3">
      <c r="G18970" s="1"/>
      <c r="N18970" s="1"/>
    </row>
    <row r="18971" spans="7:14" x14ac:dyDescent="0.3">
      <c r="G18971" s="1"/>
      <c r="N18971" s="1"/>
    </row>
    <row r="18972" spans="7:14" x14ac:dyDescent="0.3">
      <c r="G18972" s="1"/>
      <c r="N18972" s="1"/>
    </row>
    <row r="18973" spans="7:14" x14ac:dyDescent="0.3">
      <c r="G18973" s="1"/>
      <c r="N18973" s="1"/>
    </row>
    <row r="18974" spans="7:14" x14ac:dyDescent="0.3">
      <c r="G18974" s="1"/>
      <c r="N18974" s="1"/>
    </row>
    <row r="18975" spans="7:14" x14ac:dyDescent="0.3">
      <c r="G18975" s="1"/>
      <c r="N18975" s="1"/>
    </row>
    <row r="18976" spans="7:14" x14ac:dyDescent="0.3">
      <c r="G18976" s="1"/>
      <c r="N18976" s="1"/>
    </row>
    <row r="18977" spans="7:14" x14ac:dyDescent="0.3">
      <c r="G18977" s="1"/>
      <c r="N18977" s="1"/>
    </row>
    <row r="18978" spans="7:14" x14ac:dyDescent="0.3">
      <c r="G18978" s="1"/>
      <c r="N18978" s="1"/>
    </row>
    <row r="18979" spans="7:14" x14ac:dyDescent="0.3">
      <c r="G18979" s="1"/>
      <c r="N18979" s="1"/>
    </row>
    <row r="18980" spans="7:14" x14ac:dyDescent="0.3">
      <c r="G18980" s="1"/>
      <c r="N18980" s="1"/>
    </row>
    <row r="18981" spans="7:14" x14ac:dyDescent="0.3">
      <c r="G18981" s="1"/>
      <c r="N18981" s="1"/>
    </row>
    <row r="18982" spans="7:14" x14ac:dyDescent="0.3">
      <c r="G18982" s="1"/>
      <c r="N18982" s="1"/>
    </row>
    <row r="18983" spans="7:14" x14ac:dyDescent="0.3">
      <c r="G18983" s="1"/>
      <c r="N18983" s="1"/>
    </row>
    <row r="18984" spans="7:14" x14ac:dyDescent="0.3">
      <c r="G18984" s="1"/>
      <c r="N18984" s="1"/>
    </row>
    <row r="18985" spans="7:14" x14ac:dyDescent="0.3">
      <c r="G18985" s="1"/>
      <c r="N18985" s="1"/>
    </row>
    <row r="18986" spans="7:14" x14ac:dyDescent="0.3">
      <c r="G18986" s="1"/>
      <c r="N18986" s="1"/>
    </row>
    <row r="18987" spans="7:14" x14ac:dyDescent="0.3">
      <c r="G18987" s="1"/>
      <c r="N18987" s="1"/>
    </row>
    <row r="18988" spans="7:14" x14ac:dyDescent="0.3">
      <c r="G18988" s="1"/>
      <c r="N18988" s="1"/>
    </row>
    <row r="18989" spans="7:14" x14ac:dyDescent="0.3">
      <c r="G18989" s="1"/>
      <c r="N18989" s="1"/>
    </row>
    <row r="18990" spans="7:14" x14ac:dyDescent="0.3">
      <c r="G18990" s="1"/>
      <c r="N18990" s="1"/>
    </row>
    <row r="18991" spans="7:14" x14ac:dyDescent="0.3">
      <c r="G18991" s="1"/>
      <c r="N18991" s="1"/>
    </row>
    <row r="18992" spans="7:14" x14ac:dyDescent="0.3">
      <c r="G18992" s="1"/>
      <c r="N18992" s="1"/>
    </row>
    <row r="18993" spans="7:14" x14ac:dyDescent="0.3">
      <c r="G18993" s="1"/>
      <c r="N18993" s="1"/>
    </row>
    <row r="18994" spans="7:14" x14ac:dyDescent="0.3">
      <c r="G18994" s="1"/>
      <c r="N18994" s="1"/>
    </row>
    <row r="18995" spans="7:14" x14ac:dyDescent="0.3">
      <c r="G18995" s="1"/>
      <c r="N18995" s="1"/>
    </row>
    <row r="18996" spans="7:14" x14ac:dyDescent="0.3">
      <c r="G18996" s="1"/>
      <c r="N18996" s="1"/>
    </row>
    <row r="18997" spans="7:14" x14ac:dyDescent="0.3">
      <c r="G18997" s="1"/>
      <c r="N18997" s="1"/>
    </row>
    <row r="18998" spans="7:14" x14ac:dyDescent="0.3">
      <c r="G18998" s="1"/>
      <c r="N18998" s="1"/>
    </row>
    <row r="18999" spans="7:14" x14ac:dyDescent="0.3">
      <c r="G18999" s="1"/>
      <c r="N18999" s="1"/>
    </row>
    <row r="19000" spans="7:14" x14ac:dyDescent="0.3">
      <c r="G19000" s="1"/>
      <c r="N19000" s="1"/>
    </row>
    <row r="19001" spans="7:14" x14ac:dyDescent="0.3">
      <c r="G19001" s="1"/>
      <c r="N19001" s="1"/>
    </row>
    <row r="19002" spans="7:14" x14ac:dyDescent="0.3">
      <c r="G19002" s="1"/>
      <c r="N19002" s="1"/>
    </row>
    <row r="19003" spans="7:14" x14ac:dyDescent="0.3">
      <c r="G19003" s="1"/>
      <c r="N19003" s="1"/>
    </row>
    <row r="19004" spans="7:14" x14ac:dyDescent="0.3">
      <c r="G19004" s="1"/>
      <c r="N19004" s="1"/>
    </row>
    <row r="19005" spans="7:14" x14ac:dyDescent="0.3">
      <c r="G19005" s="1"/>
      <c r="N19005" s="1"/>
    </row>
    <row r="19006" spans="7:14" x14ac:dyDescent="0.3">
      <c r="G19006" s="1"/>
      <c r="N19006" s="1"/>
    </row>
    <row r="19007" spans="7:14" x14ac:dyDescent="0.3">
      <c r="G19007" s="1"/>
      <c r="N19007" s="1"/>
    </row>
    <row r="19008" spans="7:14" x14ac:dyDescent="0.3">
      <c r="G19008" s="1"/>
      <c r="N19008" s="1"/>
    </row>
    <row r="19009" spans="7:14" x14ac:dyDescent="0.3">
      <c r="G19009" s="1"/>
      <c r="N19009" s="1"/>
    </row>
    <row r="19010" spans="7:14" x14ac:dyDescent="0.3">
      <c r="G19010" s="1"/>
      <c r="N19010" s="1"/>
    </row>
    <row r="19011" spans="7:14" x14ac:dyDescent="0.3">
      <c r="G19011" s="1"/>
      <c r="N19011" s="1"/>
    </row>
    <row r="19012" spans="7:14" x14ac:dyDescent="0.3">
      <c r="G19012" s="1"/>
      <c r="N19012" s="1"/>
    </row>
    <row r="19013" spans="7:14" x14ac:dyDescent="0.3">
      <c r="G19013" s="1"/>
      <c r="N19013" s="1"/>
    </row>
    <row r="19014" spans="7:14" x14ac:dyDescent="0.3">
      <c r="G19014" s="1"/>
      <c r="N19014" s="1"/>
    </row>
    <row r="19015" spans="7:14" x14ac:dyDescent="0.3">
      <c r="G19015" s="1"/>
      <c r="N19015" s="1"/>
    </row>
    <row r="19016" spans="7:14" x14ac:dyDescent="0.3">
      <c r="G19016" s="1"/>
      <c r="N19016" s="1"/>
    </row>
    <row r="19017" spans="7:14" x14ac:dyDescent="0.3">
      <c r="G19017" s="1"/>
      <c r="N19017" s="1"/>
    </row>
    <row r="19018" spans="7:14" x14ac:dyDescent="0.3">
      <c r="G19018" s="1"/>
      <c r="N19018" s="1"/>
    </row>
    <row r="19019" spans="7:14" x14ac:dyDescent="0.3">
      <c r="G19019" s="1"/>
      <c r="N19019" s="1"/>
    </row>
    <row r="19020" spans="7:14" x14ac:dyDescent="0.3">
      <c r="G19020" s="1"/>
      <c r="N19020" s="1"/>
    </row>
    <row r="19021" spans="7:14" x14ac:dyDescent="0.3">
      <c r="G19021" s="1"/>
      <c r="N19021" s="1"/>
    </row>
    <row r="19022" spans="7:14" x14ac:dyDescent="0.3">
      <c r="G19022" s="1"/>
      <c r="N19022" s="1"/>
    </row>
    <row r="19023" spans="7:14" x14ac:dyDescent="0.3">
      <c r="G19023" s="1"/>
      <c r="N19023" s="1"/>
    </row>
    <row r="19024" spans="7:14" x14ac:dyDescent="0.3">
      <c r="G19024" s="1"/>
      <c r="N19024" s="1"/>
    </row>
    <row r="19025" spans="7:14" x14ac:dyDescent="0.3">
      <c r="G19025" s="1"/>
      <c r="N19025" s="1"/>
    </row>
    <row r="19026" spans="7:14" x14ac:dyDescent="0.3">
      <c r="G19026" s="1"/>
      <c r="N19026" s="1"/>
    </row>
    <row r="19027" spans="7:14" x14ac:dyDescent="0.3">
      <c r="G19027" s="1"/>
      <c r="N19027" s="1"/>
    </row>
    <row r="19028" spans="7:14" x14ac:dyDescent="0.3">
      <c r="G19028" s="1"/>
      <c r="N19028" s="1"/>
    </row>
    <row r="19029" spans="7:14" x14ac:dyDescent="0.3">
      <c r="G19029" s="1"/>
      <c r="N19029" s="1"/>
    </row>
    <row r="19030" spans="7:14" x14ac:dyDescent="0.3">
      <c r="G19030" s="1"/>
      <c r="N19030" s="1"/>
    </row>
    <row r="19031" spans="7:14" x14ac:dyDescent="0.3">
      <c r="G19031" s="1"/>
      <c r="N19031" s="1"/>
    </row>
    <row r="19032" spans="7:14" x14ac:dyDescent="0.3">
      <c r="G19032" s="1"/>
      <c r="N19032" s="1"/>
    </row>
    <row r="19033" spans="7:14" x14ac:dyDescent="0.3">
      <c r="G19033" s="1"/>
      <c r="N19033" s="1"/>
    </row>
    <row r="19034" spans="7:14" x14ac:dyDescent="0.3">
      <c r="G19034" s="1"/>
      <c r="N19034" s="1"/>
    </row>
    <row r="19035" spans="7:14" x14ac:dyDescent="0.3">
      <c r="G19035" s="1"/>
      <c r="N19035" s="1"/>
    </row>
    <row r="19036" spans="7:14" x14ac:dyDescent="0.3">
      <c r="G19036" s="1"/>
      <c r="N19036" s="1"/>
    </row>
    <row r="19037" spans="7:14" x14ac:dyDescent="0.3">
      <c r="G19037" s="1"/>
      <c r="N19037" s="1"/>
    </row>
    <row r="19038" spans="7:14" x14ac:dyDescent="0.3">
      <c r="G19038" s="1"/>
      <c r="N19038" s="1"/>
    </row>
    <row r="19039" spans="7:14" x14ac:dyDescent="0.3">
      <c r="G19039" s="1"/>
      <c r="N19039" s="1"/>
    </row>
    <row r="19040" spans="7:14" x14ac:dyDescent="0.3">
      <c r="G19040" s="1"/>
      <c r="N19040" s="1"/>
    </row>
    <row r="19041" spans="7:14" x14ac:dyDescent="0.3">
      <c r="G19041" s="1"/>
      <c r="N19041" s="1"/>
    </row>
    <row r="19042" spans="7:14" x14ac:dyDescent="0.3">
      <c r="G19042" s="1"/>
      <c r="N19042" s="1"/>
    </row>
    <row r="19043" spans="7:14" x14ac:dyDescent="0.3">
      <c r="G19043" s="1"/>
      <c r="N19043" s="1"/>
    </row>
    <row r="19044" spans="7:14" x14ac:dyDescent="0.3">
      <c r="G19044" s="1"/>
      <c r="N19044" s="1"/>
    </row>
    <row r="19045" spans="7:14" x14ac:dyDescent="0.3">
      <c r="G19045" s="1"/>
      <c r="N19045" s="1"/>
    </row>
    <row r="19046" spans="7:14" x14ac:dyDescent="0.3">
      <c r="G19046" s="1"/>
      <c r="N19046" s="1"/>
    </row>
    <row r="19047" spans="7:14" x14ac:dyDescent="0.3">
      <c r="G19047" s="1"/>
      <c r="N19047" s="1"/>
    </row>
    <row r="19048" spans="7:14" x14ac:dyDescent="0.3">
      <c r="G19048" s="1"/>
      <c r="N19048" s="1"/>
    </row>
    <row r="19049" spans="7:14" x14ac:dyDescent="0.3">
      <c r="G19049" s="1"/>
      <c r="N19049" s="1"/>
    </row>
    <row r="19050" spans="7:14" x14ac:dyDescent="0.3">
      <c r="G19050" s="1"/>
      <c r="N19050" s="1"/>
    </row>
    <row r="19051" spans="7:14" x14ac:dyDescent="0.3">
      <c r="G19051" s="1"/>
      <c r="N19051" s="1"/>
    </row>
    <row r="19052" spans="7:14" x14ac:dyDescent="0.3">
      <c r="G19052" s="1"/>
      <c r="N19052" s="1"/>
    </row>
    <row r="19053" spans="7:14" x14ac:dyDescent="0.3">
      <c r="G19053" s="1"/>
      <c r="N19053" s="1"/>
    </row>
    <row r="19054" spans="7:14" x14ac:dyDescent="0.3">
      <c r="G19054" s="1"/>
      <c r="N19054" s="1"/>
    </row>
    <row r="19055" spans="7:14" x14ac:dyDescent="0.3">
      <c r="G19055" s="1"/>
      <c r="N19055" s="1"/>
    </row>
    <row r="19056" spans="7:14" x14ac:dyDescent="0.3">
      <c r="G19056" s="1"/>
      <c r="N19056" s="1"/>
    </row>
    <row r="19057" spans="7:14" x14ac:dyDescent="0.3">
      <c r="G19057" s="1"/>
      <c r="N19057" s="1"/>
    </row>
    <row r="19058" spans="7:14" x14ac:dyDescent="0.3">
      <c r="G19058" s="1"/>
      <c r="N19058" s="1"/>
    </row>
    <row r="19059" spans="7:14" x14ac:dyDescent="0.3">
      <c r="G19059" s="1"/>
      <c r="N19059" s="1"/>
    </row>
    <row r="19060" spans="7:14" x14ac:dyDescent="0.3">
      <c r="G19060" s="1"/>
      <c r="N19060" s="1"/>
    </row>
    <row r="19061" spans="7:14" x14ac:dyDescent="0.3">
      <c r="G19061" s="1"/>
      <c r="N19061" s="1"/>
    </row>
    <row r="19062" spans="7:14" x14ac:dyDescent="0.3">
      <c r="G19062" s="1"/>
      <c r="N19062" s="1"/>
    </row>
    <row r="19063" spans="7:14" x14ac:dyDescent="0.3">
      <c r="G19063" s="1"/>
      <c r="N19063" s="1"/>
    </row>
    <row r="19064" spans="7:14" x14ac:dyDescent="0.3">
      <c r="G19064" s="1"/>
      <c r="N19064" s="1"/>
    </row>
    <row r="19065" spans="7:14" x14ac:dyDescent="0.3">
      <c r="G19065" s="1"/>
      <c r="N19065" s="1"/>
    </row>
    <row r="19066" spans="7:14" x14ac:dyDescent="0.3">
      <c r="G19066" s="1"/>
      <c r="N19066" s="1"/>
    </row>
    <row r="19067" spans="7:14" x14ac:dyDescent="0.3">
      <c r="G19067" s="1"/>
      <c r="N19067" s="1"/>
    </row>
    <row r="19068" spans="7:14" x14ac:dyDescent="0.3">
      <c r="G19068" s="1"/>
      <c r="N19068" s="1"/>
    </row>
    <row r="19069" spans="7:14" x14ac:dyDescent="0.3">
      <c r="G19069" s="1"/>
      <c r="N19069" s="1"/>
    </row>
    <row r="19070" spans="7:14" x14ac:dyDescent="0.3">
      <c r="G19070" s="1"/>
      <c r="N19070" s="1"/>
    </row>
    <row r="19071" spans="7:14" x14ac:dyDescent="0.3">
      <c r="G19071" s="1"/>
      <c r="N19071" s="1"/>
    </row>
    <row r="19072" spans="7:14" x14ac:dyDescent="0.3">
      <c r="G19072" s="1"/>
      <c r="N19072" s="1"/>
    </row>
    <row r="19073" spans="7:14" x14ac:dyDescent="0.3">
      <c r="G19073" s="1"/>
      <c r="N19073" s="1"/>
    </row>
    <row r="19074" spans="7:14" x14ac:dyDescent="0.3">
      <c r="G19074" s="1"/>
      <c r="N19074" s="1"/>
    </row>
    <row r="19075" spans="7:14" x14ac:dyDescent="0.3">
      <c r="G19075" s="1"/>
      <c r="N19075" s="1"/>
    </row>
    <row r="19076" spans="7:14" x14ac:dyDescent="0.3">
      <c r="G19076" s="1"/>
      <c r="N19076" s="1"/>
    </row>
    <row r="19077" spans="7:14" x14ac:dyDescent="0.3">
      <c r="G19077" s="1"/>
      <c r="N19077" s="1"/>
    </row>
    <row r="19078" spans="7:14" x14ac:dyDescent="0.3">
      <c r="G19078" s="1"/>
      <c r="N19078" s="1"/>
    </row>
    <row r="19079" spans="7:14" x14ac:dyDescent="0.3">
      <c r="G19079" s="1"/>
      <c r="N19079" s="1"/>
    </row>
    <row r="19080" spans="7:14" x14ac:dyDescent="0.3">
      <c r="G19080" s="1"/>
      <c r="N19080" s="1"/>
    </row>
    <row r="19081" spans="7:14" x14ac:dyDescent="0.3">
      <c r="G19081" s="1"/>
      <c r="N19081" s="1"/>
    </row>
    <row r="19082" spans="7:14" x14ac:dyDescent="0.3">
      <c r="G19082" s="1"/>
      <c r="N19082" s="1"/>
    </row>
    <row r="19083" spans="7:14" x14ac:dyDescent="0.3">
      <c r="G19083" s="1"/>
      <c r="N19083" s="1"/>
    </row>
    <row r="19084" spans="7:14" x14ac:dyDescent="0.3">
      <c r="G19084" s="1"/>
      <c r="N19084" s="1"/>
    </row>
    <row r="19085" spans="7:14" x14ac:dyDescent="0.3">
      <c r="G19085" s="1"/>
      <c r="N19085" s="1"/>
    </row>
    <row r="19086" spans="7:14" x14ac:dyDescent="0.3">
      <c r="G19086" s="1"/>
      <c r="N19086" s="1"/>
    </row>
    <row r="19087" spans="7:14" x14ac:dyDescent="0.3">
      <c r="G19087" s="1"/>
      <c r="N19087" s="1"/>
    </row>
    <row r="19088" spans="7:14" x14ac:dyDescent="0.3">
      <c r="G19088" s="1"/>
      <c r="N19088" s="1"/>
    </row>
    <row r="19089" spans="7:14" x14ac:dyDescent="0.3">
      <c r="G19089" s="1"/>
      <c r="N19089" s="1"/>
    </row>
    <row r="19090" spans="7:14" x14ac:dyDescent="0.3">
      <c r="G19090" s="1"/>
      <c r="N19090" s="1"/>
    </row>
    <row r="19091" spans="7:14" x14ac:dyDescent="0.3">
      <c r="G19091" s="1"/>
      <c r="N19091" s="1"/>
    </row>
    <row r="19092" spans="7:14" x14ac:dyDescent="0.3">
      <c r="G19092" s="1"/>
      <c r="N19092" s="1"/>
    </row>
    <row r="19093" spans="7:14" x14ac:dyDescent="0.3">
      <c r="G19093" s="1"/>
      <c r="N19093" s="1"/>
    </row>
    <row r="19094" spans="7:14" x14ac:dyDescent="0.3">
      <c r="G19094" s="1"/>
      <c r="N19094" s="1"/>
    </row>
    <row r="19095" spans="7:14" x14ac:dyDescent="0.3">
      <c r="G19095" s="1"/>
      <c r="N19095" s="1"/>
    </row>
    <row r="19096" spans="7:14" x14ac:dyDescent="0.3">
      <c r="G19096" s="1"/>
      <c r="N19096" s="1"/>
    </row>
    <row r="19097" spans="7:14" x14ac:dyDescent="0.3">
      <c r="G19097" s="1"/>
      <c r="N19097" s="1"/>
    </row>
    <row r="19098" spans="7:14" x14ac:dyDescent="0.3">
      <c r="G19098" s="1"/>
      <c r="N19098" s="1"/>
    </row>
    <row r="19099" spans="7:14" x14ac:dyDescent="0.3">
      <c r="G19099" s="1"/>
      <c r="N19099" s="1"/>
    </row>
    <row r="19100" spans="7:14" x14ac:dyDescent="0.3">
      <c r="G19100" s="1"/>
      <c r="N19100" s="1"/>
    </row>
    <row r="19101" spans="7:14" x14ac:dyDescent="0.3">
      <c r="G19101" s="1"/>
      <c r="N19101" s="1"/>
    </row>
    <row r="19102" spans="7:14" x14ac:dyDescent="0.3">
      <c r="G19102" s="1"/>
      <c r="N19102" s="1"/>
    </row>
    <row r="19103" spans="7:14" x14ac:dyDescent="0.3">
      <c r="G19103" s="1"/>
      <c r="N19103" s="1"/>
    </row>
    <row r="19104" spans="7:14" x14ac:dyDescent="0.3">
      <c r="G19104" s="1"/>
      <c r="N19104" s="1"/>
    </row>
    <row r="19105" spans="7:14" x14ac:dyDescent="0.3">
      <c r="G19105" s="1"/>
      <c r="N19105" s="1"/>
    </row>
    <row r="19106" spans="7:14" x14ac:dyDescent="0.3">
      <c r="G19106" s="1"/>
      <c r="N19106" s="1"/>
    </row>
    <row r="19107" spans="7:14" x14ac:dyDescent="0.3">
      <c r="G19107" s="1"/>
      <c r="N19107" s="1"/>
    </row>
    <row r="19108" spans="7:14" x14ac:dyDescent="0.3">
      <c r="G19108" s="1"/>
      <c r="N19108" s="1"/>
    </row>
    <row r="19109" spans="7:14" x14ac:dyDescent="0.3">
      <c r="G19109" s="1"/>
      <c r="N19109" s="1"/>
    </row>
    <row r="19110" spans="7:14" x14ac:dyDescent="0.3">
      <c r="G19110" s="1"/>
      <c r="N19110" s="1"/>
    </row>
    <row r="19111" spans="7:14" x14ac:dyDescent="0.3">
      <c r="G19111" s="1"/>
      <c r="N19111" s="1"/>
    </row>
    <row r="19112" spans="7:14" x14ac:dyDescent="0.3">
      <c r="G19112" s="1"/>
      <c r="N19112" s="1"/>
    </row>
    <row r="19113" spans="7:14" x14ac:dyDescent="0.3">
      <c r="G19113" s="1"/>
      <c r="N19113" s="1"/>
    </row>
    <row r="19114" spans="7:14" x14ac:dyDescent="0.3">
      <c r="G19114" s="1"/>
      <c r="N19114" s="1"/>
    </row>
    <row r="19115" spans="7:14" x14ac:dyDescent="0.3">
      <c r="G19115" s="1"/>
      <c r="N19115" s="1"/>
    </row>
    <row r="19116" spans="7:14" x14ac:dyDescent="0.3">
      <c r="G19116" s="1"/>
      <c r="N19116" s="1"/>
    </row>
    <row r="19117" spans="7:14" x14ac:dyDescent="0.3">
      <c r="G19117" s="1"/>
      <c r="N19117" s="1"/>
    </row>
    <row r="19118" spans="7:14" x14ac:dyDescent="0.3">
      <c r="G19118" s="1"/>
      <c r="N19118" s="1"/>
    </row>
    <row r="19119" spans="7:14" x14ac:dyDescent="0.3">
      <c r="G19119" s="1"/>
      <c r="N19119" s="1"/>
    </row>
    <row r="19120" spans="7:14" x14ac:dyDescent="0.3">
      <c r="G19120" s="1"/>
      <c r="N19120" s="1"/>
    </row>
    <row r="19121" spans="7:14" x14ac:dyDescent="0.3">
      <c r="G19121" s="1"/>
      <c r="N19121" s="1"/>
    </row>
    <row r="19122" spans="7:14" x14ac:dyDescent="0.3">
      <c r="G19122" s="1"/>
      <c r="N19122" s="1"/>
    </row>
    <row r="19123" spans="7:14" x14ac:dyDescent="0.3">
      <c r="G19123" s="1"/>
      <c r="N19123" s="1"/>
    </row>
    <row r="19124" spans="7:14" x14ac:dyDescent="0.3">
      <c r="G19124" s="1"/>
      <c r="N19124" s="1"/>
    </row>
    <row r="19125" spans="7:14" x14ac:dyDescent="0.3">
      <c r="G19125" s="1"/>
      <c r="N19125" s="1"/>
    </row>
    <row r="19126" spans="7:14" x14ac:dyDescent="0.3">
      <c r="G19126" s="1"/>
      <c r="N19126" s="1"/>
    </row>
    <row r="19127" spans="7:14" x14ac:dyDescent="0.3">
      <c r="G19127" s="1"/>
      <c r="N19127" s="1"/>
    </row>
    <row r="19128" spans="7:14" x14ac:dyDescent="0.3">
      <c r="G19128" s="1"/>
      <c r="N19128" s="1"/>
    </row>
    <row r="19129" spans="7:14" x14ac:dyDescent="0.3">
      <c r="G19129" s="1"/>
      <c r="N19129" s="1"/>
    </row>
    <row r="19130" spans="7:14" x14ac:dyDescent="0.3">
      <c r="G19130" s="1"/>
      <c r="N19130" s="1"/>
    </row>
    <row r="19131" spans="7:14" x14ac:dyDescent="0.3">
      <c r="G19131" s="1"/>
      <c r="N19131" s="1"/>
    </row>
    <row r="19132" spans="7:14" x14ac:dyDescent="0.3">
      <c r="G19132" s="1"/>
      <c r="N19132" s="1"/>
    </row>
    <row r="19133" spans="7:14" x14ac:dyDescent="0.3">
      <c r="G19133" s="1"/>
      <c r="N19133" s="1"/>
    </row>
    <row r="19134" spans="7:14" x14ac:dyDescent="0.3">
      <c r="G19134" s="1"/>
      <c r="N19134" s="1"/>
    </row>
    <row r="19135" spans="7:14" x14ac:dyDescent="0.3">
      <c r="G19135" s="1"/>
      <c r="N19135" s="1"/>
    </row>
    <row r="19136" spans="7:14" x14ac:dyDescent="0.3">
      <c r="G19136" s="1"/>
      <c r="N19136" s="1"/>
    </row>
    <row r="19137" spans="7:14" x14ac:dyDescent="0.3">
      <c r="G19137" s="1"/>
      <c r="N19137" s="1"/>
    </row>
    <row r="19138" spans="7:14" x14ac:dyDescent="0.3">
      <c r="G19138" s="1"/>
      <c r="N19138" s="1"/>
    </row>
    <row r="19139" spans="7:14" x14ac:dyDescent="0.3">
      <c r="G19139" s="1"/>
      <c r="N19139" s="1"/>
    </row>
    <row r="19140" spans="7:14" x14ac:dyDescent="0.3">
      <c r="G19140" s="1"/>
      <c r="N19140" s="1"/>
    </row>
    <row r="19141" spans="7:14" x14ac:dyDescent="0.3">
      <c r="G19141" s="1"/>
      <c r="N19141" s="1"/>
    </row>
    <row r="19142" spans="7:14" x14ac:dyDescent="0.3">
      <c r="G19142" s="1"/>
      <c r="N19142" s="1"/>
    </row>
    <row r="19143" spans="7:14" x14ac:dyDescent="0.3">
      <c r="G19143" s="1"/>
      <c r="N19143" s="1"/>
    </row>
    <row r="19144" spans="7:14" x14ac:dyDescent="0.3">
      <c r="G19144" s="1"/>
      <c r="N19144" s="1"/>
    </row>
    <row r="19145" spans="7:14" x14ac:dyDescent="0.3">
      <c r="G19145" s="1"/>
      <c r="N19145" s="1"/>
    </row>
    <row r="19146" spans="7:14" x14ac:dyDescent="0.3">
      <c r="G19146" s="1"/>
      <c r="N19146" s="1"/>
    </row>
    <row r="19147" spans="7:14" x14ac:dyDescent="0.3">
      <c r="G19147" s="1"/>
      <c r="N19147" s="1"/>
    </row>
    <row r="19148" spans="7:14" x14ac:dyDescent="0.3">
      <c r="G19148" s="1"/>
      <c r="N19148" s="1"/>
    </row>
    <row r="19149" spans="7:14" x14ac:dyDescent="0.3">
      <c r="G19149" s="1"/>
      <c r="N19149" s="1"/>
    </row>
    <row r="19150" spans="7:14" x14ac:dyDescent="0.3">
      <c r="G19150" s="1"/>
      <c r="N19150" s="1"/>
    </row>
    <row r="19151" spans="7:14" x14ac:dyDescent="0.3">
      <c r="G19151" s="1"/>
      <c r="N19151" s="1"/>
    </row>
    <row r="19152" spans="7:14" x14ac:dyDescent="0.3">
      <c r="G19152" s="1"/>
      <c r="N19152" s="1"/>
    </row>
    <row r="19153" spans="7:14" x14ac:dyDescent="0.3">
      <c r="G19153" s="1"/>
      <c r="N19153" s="1"/>
    </row>
    <row r="19154" spans="7:14" x14ac:dyDescent="0.3">
      <c r="G19154" s="1"/>
      <c r="N19154" s="1"/>
    </row>
    <row r="19155" spans="7:14" x14ac:dyDescent="0.3">
      <c r="G19155" s="1"/>
      <c r="N19155" s="1"/>
    </row>
    <row r="19156" spans="7:14" x14ac:dyDescent="0.3">
      <c r="G19156" s="1"/>
      <c r="N19156" s="1"/>
    </row>
    <row r="19157" spans="7:14" x14ac:dyDescent="0.3">
      <c r="G19157" s="1"/>
      <c r="N19157" s="1"/>
    </row>
    <row r="19158" spans="7:14" x14ac:dyDescent="0.3">
      <c r="G19158" s="1"/>
      <c r="N19158" s="1"/>
    </row>
    <row r="19159" spans="7:14" x14ac:dyDescent="0.3">
      <c r="G19159" s="1"/>
      <c r="N19159" s="1"/>
    </row>
    <row r="19160" spans="7:14" x14ac:dyDescent="0.3">
      <c r="G19160" s="1"/>
      <c r="N19160" s="1"/>
    </row>
    <row r="19161" spans="7:14" x14ac:dyDescent="0.3">
      <c r="G19161" s="1"/>
      <c r="N19161" s="1"/>
    </row>
    <row r="19162" spans="7:14" x14ac:dyDescent="0.3">
      <c r="G19162" s="1"/>
      <c r="N19162" s="1"/>
    </row>
    <row r="19163" spans="7:14" x14ac:dyDescent="0.3">
      <c r="G19163" s="1"/>
      <c r="N19163" s="1"/>
    </row>
    <row r="19164" spans="7:14" x14ac:dyDescent="0.3">
      <c r="G19164" s="1"/>
      <c r="N19164" s="1"/>
    </row>
    <row r="19165" spans="7:14" x14ac:dyDescent="0.3">
      <c r="G19165" s="1"/>
      <c r="N19165" s="1"/>
    </row>
    <row r="19166" spans="7:14" x14ac:dyDescent="0.3">
      <c r="G19166" s="1"/>
      <c r="N19166" s="1"/>
    </row>
    <row r="19167" spans="7:14" x14ac:dyDescent="0.3">
      <c r="G19167" s="1"/>
      <c r="N19167" s="1"/>
    </row>
    <row r="19168" spans="7:14" x14ac:dyDescent="0.3">
      <c r="G19168" s="1"/>
      <c r="N19168" s="1"/>
    </row>
    <row r="19169" spans="7:14" x14ac:dyDescent="0.3">
      <c r="G19169" s="1"/>
      <c r="N19169" s="1"/>
    </row>
    <row r="19170" spans="7:14" x14ac:dyDescent="0.3">
      <c r="G19170" s="1"/>
      <c r="N19170" s="1"/>
    </row>
    <row r="19171" spans="7:14" x14ac:dyDescent="0.3">
      <c r="G19171" s="1"/>
      <c r="N19171" s="1"/>
    </row>
    <row r="19172" spans="7:14" x14ac:dyDescent="0.3">
      <c r="G19172" s="1"/>
      <c r="N19172" s="1"/>
    </row>
    <row r="19173" spans="7:14" x14ac:dyDescent="0.3">
      <c r="G19173" s="1"/>
      <c r="N19173" s="1"/>
    </row>
    <row r="19174" spans="7:14" x14ac:dyDescent="0.3">
      <c r="G19174" s="1"/>
      <c r="N19174" s="1"/>
    </row>
    <row r="19175" spans="7:14" x14ac:dyDescent="0.3">
      <c r="G19175" s="1"/>
      <c r="N19175" s="1"/>
    </row>
    <row r="19176" spans="7:14" x14ac:dyDescent="0.3">
      <c r="G19176" s="1"/>
      <c r="N19176" s="1"/>
    </row>
    <row r="19177" spans="7:14" x14ac:dyDescent="0.3">
      <c r="G19177" s="1"/>
      <c r="N19177" s="1"/>
    </row>
    <row r="19178" spans="7:14" x14ac:dyDescent="0.3">
      <c r="G19178" s="1"/>
      <c r="N19178" s="1"/>
    </row>
    <row r="19179" spans="7:14" x14ac:dyDescent="0.3">
      <c r="G19179" s="1"/>
      <c r="N19179" s="1"/>
    </row>
    <row r="19180" spans="7:14" x14ac:dyDescent="0.3">
      <c r="G19180" s="1"/>
      <c r="N19180" s="1"/>
    </row>
    <row r="19181" spans="7:14" x14ac:dyDescent="0.3">
      <c r="G19181" s="1"/>
      <c r="N19181" s="1"/>
    </row>
    <row r="19182" spans="7:14" x14ac:dyDescent="0.3">
      <c r="G19182" s="1"/>
      <c r="N19182" s="1"/>
    </row>
    <row r="19183" spans="7:14" x14ac:dyDescent="0.3">
      <c r="G19183" s="1"/>
      <c r="N19183" s="1"/>
    </row>
    <row r="19184" spans="7:14" x14ac:dyDescent="0.3">
      <c r="G19184" s="1"/>
      <c r="N19184" s="1"/>
    </row>
    <row r="19185" spans="7:14" x14ac:dyDescent="0.3">
      <c r="G19185" s="1"/>
      <c r="N19185" s="1"/>
    </row>
    <row r="19186" spans="7:14" x14ac:dyDescent="0.3">
      <c r="G19186" s="1"/>
      <c r="N19186" s="1"/>
    </row>
    <row r="19187" spans="7:14" x14ac:dyDescent="0.3">
      <c r="G19187" s="1"/>
      <c r="N19187" s="1"/>
    </row>
    <row r="19188" spans="7:14" x14ac:dyDescent="0.3">
      <c r="G19188" s="1"/>
      <c r="N19188" s="1"/>
    </row>
    <row r="19189" spans="7:14" x14ac:dyDescent="0.3">
      <c r="G19189" s="1"/>
      <c r="N19189" s="1"/>
    </row>
    <row r="19190" spans="7:14" x14ac:dyDescent="0.3">
      <c r="G19190" s="1"/>
      <c r="N19190" s="1"/>
    </row>
    <row r="19191" spans="7:14" x14ac:dyDescent="0.3">
      <c r="G19191" s="1"/>
      <c r="N19191" s="1"/>
    </row>
    <row r="19192" spans="7:14" x14ac:dyDescent="0.3">
      <c r="G19192" s="1"/>
      <c r="N19192" s="1"/>
    </row>
    <row r="19193" spans="7:14" x14ac:dyDescent="0.3">
      <c r="G19193" s="1"/>
      <c r="N19193" s="1"/>
    </row>
    <row r="19194" spans="7:14" x14ac:dyDescent="0.3">
      <c r="G19194" s="1"/>
      <c r="N19194" s="1"/>
    </row>
    <row r="19195" spans="7:14" x14ac:dyDescent="0.3">
      <c r="G19195" s="1"/>
      <c r="N19195" s="1"/>
    </row>
    <row r="19196" spans="7:14" x14ac:dyDescent="0.3">
      <c r="G19196" s="1"/>
      <c r="N19196" s="1"/>
    </row>
    <row r="19197" spans="7:14" x14ac:dyDescent="0.3">
      <c r="G19197" s="1"/>
      <c r="N19197" s="1"/>
    </row>
    <row r="19198" spans="7:14" x14ac:dyDescent="0.3">
      <c r="G19198" s="1"/>
      <c r="N19198" s="1"/>
    </row>
    <row r="19199" spans="7:14" x14ac:dyDescent="0.3">
      <c r="G19199" s="1"/>
      <c r="N19199" s="1"/>
    </row>
    <row r="19200" spans="7:14" x14ac:dyDescent="0.3">
      <c r="G19200" s="1"/>
      <c r="N19200" s="1"/>
    </row>
    <row r="19201" spans="7:14" x14ac:dyDescent="0.3">
      <c r="G19201" s="1"/>
      <c r="N19201" s="1"/>
    </row>
    <row r="19202" spans="7:14" x14ac:dyDescent="0.3">
      <c r="G19202" s="1"/>
      <c r="N19202" s="1"/>
    </row>
    <row r="19203" spans="7:14" x14ac:dyDescent="0.3">
      <c r="G19203" s="1"/>
      <c r="N19203" s="1"/>
    </row>
    <row r="19204" spans="7:14" x14ac:dyDescent="0.3">
      <c r="G19204" s="1"/>
      <c r="N19204" s="1"/>
    </row>
    <row r="19205" spans="7:14" x14ac:dyDescent="0.3">
      <c r="G19205" s="1"/>
      <c r="N19205" s="1"/>
    </row>
    <row r="19206" spans="7:14" x14ac:dyDescent="0.3">
      <c r="G19206" s="1"/>
      <c r="N19206" s="1"/>
    </row>
    <row r="19207" spans="7:14" x14ac:dyDescent="0.3">
      <c r="G19207" s="1"/>
      <c r="N19207" s="1"/>
    </row>
    <row r="19208" spans="7:14" x14ac:dyDescent="0.3">
      <c r="G19208" s="1"/>
      <c r="N19208" s="1"/>
    </row>
    <row r="19209" spans="7:14" x14ac:dyDescent="0.3">
      <c r="G19209" s="1"/>
      <c r="N19209" s="1"/>
    </row>
    <row r="19210" spans="7:14" x14ac:dyDescent="0.3">
      <c r="G19210" s="1"/>
      <c r="N19210" s="1"/>
    </row>
    <row r="19211" spans="7:14" x14ac:dyDescent="0.3">
      <c r="G19211" s="1"/>
      <c r="N19211" s="1"/>
    </row>
    <row r="19212" spans="7:14" x14ac:dyDescent="0.3">
      <c r="G19212" s="1"/>
      <c r="N19212" s="1"/>
    </row>
    <row r="19213" spans="7:14" x14ac:dyDescent="0.3">
      <c r="G19213" s="1"/>
      <c r="N19213" s="1"/>
    </row>
    <row r="19214" spans="7:14" x14ac:dyDescent="0.3">
      <c r="G19214" s="1"/>
      <c r="N19214" s="1"/>
    </row>
    <row r="19215" spans="7:14" x14ac:dyDescent="0.3">
      <c r="G19215" s="1"/>
      <c r="N19215" s="1"/>
    </row>
    <row r="19216" spans="7:14" x14ac:dyDescent="0.3">
      <c r="G19216" s="1"/>
      <c r="N19216" s="1"/>
    </row>
    <row r="19217" spans="7:14" x14ac:dyDescent="0.3">
      <c r="G19217" s="1"/>
      <c r="N19217" s="1"/>
    </row>
    <row r="19218" spans="7:14" x14ac:dyDescent="0.3">
      <c r="G19218" s="1"/>
      <c r="N19218" s="1"/>
    </row>
    <row r="19219" spans="7:14" x14ac:dyDescent="0.3">
      <c r="G19219" s="1"/>
      <c r="N19219" s="1"/>
    </row>
    <row r="19220" spans="7:14" x14ac:dyDescent="0.3">
      <c r="G19220" s="1"/>
      <c r="N19220" s="1"/>
    </row>
    <row r="19221" spans="7:14" x14ac:dyDescent="0.3">
      <c r="G19221" s="1"/>
      <c r="N19221" s="1"/>
    </row>
    <row r="19222" spans="7:14" x14ac:dyDescent="0.3">
      <c r="G19222" s="1"/>
      <c r="N19222" s="1"/>
    </row>
    <row r="19223" spans="7:14" x14ac:dyDescent="0.3">
      <c r="G19223" s="1"/>
      <c r="N19223" s="1"/>
    </row>
    <row r="19224" spans="7:14" x14ac:dyDescent="0.3">
      <c r="G19224" s="1"/>
      <c r="N19224" s="1"/>
    </row>
    <row r="19225" spans="7:14" x14ac:dyDescent="0.3">
      <c r="G19225" s="1"/>
      <c r="N19225" s="1"/>
    </row>
    <row r="19226" spans="7:14" x14ac:dyDescent="0.3">
      <c r="G19226" s="1"/>
      <c r="N19226" s="1"/>
    </row>
    <row r="19227" spans="7:14" x14ac:dyDescent="0.3">
      <c r="G19227" s="1"/>
      <c r="N19227" s="1"/>
    </row>
    <row r="19228" spans="7:14" x14ac:dyDescent="0.3">
      <c r="G19228" s="1"/>
      <c r="N19228" s="1"/>
    </row>
    <row r="19229" spans="7:14" x14ac:dyDescent="0.3">
      <c r="G19229" s="1"/>
      <c r="N19229" s="1"/>
    </row>
    <row r="19230" spans="7:14" x14ac:dyDescent="0.3">
      <c r="G19230" s="1"/>
      <c r="N19230" s="1"/>
    </row>
    <row r="19231" spans="7:14" x14ac:dyDescent="0.3">
      <c r="G19231" s="1"/>
      <c r="N19231" s="1"/>
    </row>
    <row r="19232" spans="7:14" x14ac:dyDescent="0.3">
      <c r="G19232" s="1"/>
      <c r="N19232" s="1"/>
    </row>
    <row r="19233" spans="7:14" x14ac:dyDescent="0.3">
      <c r="G19233" s="1"/>
      <c r="N19233" s="1"/>
    </row>
    <row r="19234" spans="7:14" x14ac:dyDescent="0.3">
      <c r="G19234" s="1"/>
      <c r="N19234" s="1"/>
    </row>
    <row r="19235" spans="7:14" x14ac:dyDescent="0.3">
      <c r="G19235" s="1"/>
      <c r="N19235" s="1"/>
    </row>
    <row r="19236" spans="7:14" x14ac:dyDescent="0.3">
      <c r="G19236" s="1"/>
      <c r="N19236" s="1"/>
    </row>
    <row r="19237" spans="7:14" x14ac:dyDescent="0.3">
      <c r="G19237" s="1"/>
      <c r="N19237" s="1"/>
    </row>
    <row r="19238" spans="7:14" x14ac:dyDescent="0.3">
      <c r="G19238" s="1"/>
      <c r="N19238" s="1"/>
    </row>
    <row r="19239" spans="7:14" x14ac:dyDescent="0.3">
      <c r="G19239" s="1"/>
      <c r="N19239" s="1"/>
    </row>
    <row r="19240" spans="7:14" x14ac:dyDescent="0.3">
      <c r="G19240" s="1"/>
      <c r="N19240" s="1"/>
    </row>
    <row r="19241" spans="7:14" x14ac:dyDescent="0.3">
      <c r="G19241" s="1"/>
      <c r="N19241" s="1"/>
    </row>
    <row r="19242" spans="7:14" x14ac:dyDescent="0.3">
      <c r="G19242" s="1"/>
      <c r="N19242" s="1"/>
    </row>
    <row r="19243" spans="7:14" x14ac:dyDescent="0.3">
      <c r="G19243" s="1"/>
      <c r="N19243" s="1"/>
    </row>
    <row r="19244" spans="7:14" x14ac:dyDescent="0.3">
      <c r="G19244" s="1"/>
      <c r="N19244" s="1"/>
    </row>
    <row r="19245" spans="7:14" x14ac:dyDescent="0.3">
      <c r="G19245" s="1"/>
      <c r="N19245" s="1"/>
    </row>
    <row r="19246" spans="7:14" x14ac:dyDescent="0.3">
      <c r="G19246" s="1"/>
      <c r="N19246" s="1"/>
    </row>
    <row r="19247" spans="7:14" x14ac:dyDescent="0.3">
      <c r="G19247" s="1"/>
      <c r="N19247" s="1"/>
    </row>
    <row r="19248" spans="7:14" x14ac:dyDescent="0.3">
      <c r="G19248" s="1"/>
      <c r="N19248" s="1"/>
    </row>
    <row r="19249" spans="7:14" x14ac:dyDescent="0.3">
      <c r="G19249" s="1"/>
      <c r="N19249" s="1"/>
    </row>
    <row r="19250" spans="7:14" x14ac:dyDescent="0.3">
      <c r="G19250" s="1"/>
      <c r="N19250" s="1"/>
    </row>
    <row r="19251" spans="7:14" x14ac:dyDescent="0.3">
      <c r="G19251" s="1"/>
      <c r="N19251" s="1"/>
    </row>
    <row r="19252" spans="7:14" x14ac:dyDescent="0.3">
      <c r="G19252" s="1"/>
      <c r="N19252" s="1"/>
    </row>
    <row r="19253" spans="7:14" x14ac:dyDescent="0.3">
      <c r="G19253" s="1"/>
      <c r="N19253" s="1"/>
    </row>
    <row r="19254" spans="7:14" x14ac:dyDescent="0.3">
      <c r="G19254" s="1"/>
      <c r="N19254" s="1"/>
    </row>
    <row r="19255" spans="7:14" x14ac:dyDescent="0.3">
      <c r="G19255" s="1"/>
      <c r="N19255" s="1"/>
    </row>
    <row r="19256" spans="7:14" x14ac:dyDescent="0.3">
      <c r="G19256" s="1"/>
      <c r="N19256" s="1"/>
    </row>
    <row r="19257" spans="7:14" x14ac:dyDescent="0.3">
      <c r="G19257" s="1"/>
      <c r="N19257" s="1"/>
    </row>
    <row r="19258" spans="7:14" x14ac:dyDescent="0.3">
      <c r="G19258" s="1"/>
      <c r="N19258" s="1"/>
    </row>
    <row r="19259" spans="7:14" x14ac:dyDescent="0.3">
      <c r="G19259" s="1"/>
      <c r="N19259" s="1"/>
    </row>
    <row r="19260" spans="7:14" x14ac:dyDescent="0.3">
      <c r="G19260" s="1"/>
      <c r="N19260" s="1"/>
    </row>
    <row r="19261" spans="7:14" x14ac:dyDescent="0.3">
      <c r="G19261" s="1"/>
      <c r="N19261" s="1"/>
    </row>
    <row r="19262" spans="7:14" x14ac:dyDescent="0.3">
      <c r="G19262" s="1"/>
      <c r="N19262" s="1"/>
    </row>
    <row r="19263" spans="7:14" x14ac:dyDescent="0.3">
      <c r="G19263" s="1"/>
      <c r="N19263" s="1"/>
    </row>
    <row r="19264" spans="7:14" x14ac:dyDescent="0.3">
      <c r="G19264" s="1"/>
      <c r="N19264" s="1"/>
    </row>
    <row r="19265" spans="7:14" x14ac:dyDescent="0.3">
      <c r="G19265" s="1"/>
      <c r="N19265" s="1"/>
    </row>
    <row r="19266" spans="7:14" x14ac:dyDescent="0.3">
      <c r="G19266" s="1"/>
      <c r="N19266" s="1"/>
    </row>
    <row r="19267" spans="7:14" x14ac:dyDescent="0.3">
      <c r="G19267" s="1"/>
      <c r="N19267" s="1"/>
    </row>
    <row r="19268" spans="7:14" x14ac:dyDescent="0.3">
      <c r="G19268" s="1"/>
      <c r="N19268" s="1"/>
    </row>
    <row r="19269" spans="7:14" x14ac:dyDescent="0.3">
      <c r="G19269" s="1"/>
      <c r="N19269" s="1"/>
    </row>
    <row r="19270" spans="7:14" x14ac:dyDescent="0.3">
      <c r="G19270" s="1"/>
      <c r="N19270" s="1"/>
    </row>
    <row r="19271" spans="7:14" x14ac:dyDescent="0.3">
      <c r="G19271" s="1"/>
      <c r="N19271" s="1"/>
    </row>
    <row r="19272" spans="7:14" x14ac:dyDescent="0.3">
      <c r="G19272" s="1"/>
      <c r="N19272" s="1"/>
    </row>
    <row r="19273" spans="7:14" x14ac:dyDescent="0.3">
      <c r="G19273" s="1"/>
      <c r="N19273" s="1"/>
    </row>
    <row r="19274" spans="7:14" x14ac:dyDescent="0.3">
      <c r="G19274" s="1"/>
      <c r="N19274" s="1"/>
    </row>
    <row r="19275" spans="7:14" x14ac:dyDescent="0.3">
      <c r="G19275" s="1"/>
      <c r="N19275" s="1"/>
    </row>
    <row r="19276" spans="7:14" x14ac:dyDescent="0.3">
      <c r="G19276" s="1"/>
      <c r="N19276" s="1"/>
    </row>
    <row r="19277" spans="7:14" x14ac:dyDescent="0.3">
      <c r="G19277" s="1"/>
      <c r="N19277" s="1"/>
    </row>
    <row r="19278" spans="7:14" x14ac:dyDescent="0.3">
      <c r="G19278" s="1"/>
      <c r="N19278" s="1"/>
    </row>
    <row r="19279" spans="7:14" x14ac:dyDescent="0.3">
      <c r="G19279" s="1"/>
      <c r="N19279" s="1"/>
    </row>
    <row r="19280" spans="7:14" x14ac:dyDescent="0.3">
      <c r="G19280" s="1"/>
      <c r="N19280" s="1"/>
    </row>
    <row r="19281" spans="7:14" x14ac:dyDescent="0.3">
      <c r="G19281" s="1"/>
      <c r="N19281" s="1"/>
    </row>
    <row r="19282" spans="7:14" x14ac:dyDescent="0.3">
      <c r="G19282" s="1"/>
      <c r="N19282" s="1"/>
    </row>
    <row r="19283" spans="7:14" x14ac:dyDescent="0.3">
      <c r="G19283" s="1"/>
      <c r="N19283" s="1"/>
    </row>
    <row r="19284" spans="7:14" x14ac:dyDescent="0.3">
      <c r="G19284" s="1"/>
      <c r="N19284" s="1"/>
    </row>
    <row r="19285" spans="7:14" x14ac:dyDescent="0.3">
      <c r="G19285" s="1"/>
      <c r="N19285" s="1"/>
    </row>
    <row r="19286" spans="7:14" x14ac:dyDescent="0.3">
      <c r="G19286" s="1"/>
      <c r="N19286" s="1"/>
    </row>
    <row r="19287" spans="7:14" x14ac:dyDescent="0.3">
      <c r="G19287" s="1"/>
      <c r="N19287" s="1"/>
    </row>
    <row r="19288" spans="7:14" x14ac:dyDescent="0.3">
      <c r="G19288" s="1"/>
      <c r="N19288" s="1"/>
    </row>
    <row r="19289" spans="7:14" x14ac:dyDescent="0.3">
      <c r="G19289" s="1"/>
      <c r="N19289" s="1"/>
    </row>
    <row r="19290" spans="7:14" x14ac:dyDescent="0.3">
      <c r="G19290" s="1"/>
      <c r="N19290" s="1"/>
    </row>
    <row r="19291" spans="7:14" x14ac:dyDescent="0.3">
      <c r="G19291" s="1"/>
      <c r="N19291" s="1"/>
    </row>
    <row r="19292" spans="7:14" x14ac:dyDescent="0.3">
      <c r="G19292" s="1"/>
      <c r="N19292" s="1"/>
    </row>
    <row r="19293" spans="7:14" x14ac:dyDescent="0.3">
      <c r="G19293" s="1"/>
      <c r="N19293" s="1"/>
    </row>
    <row r="19294" spans="7:14" x14ac:dyDescent="0.3">
      <c r="G19294" s="1"/>
      <c r="N19294" s="1"/>
    </row>
    <row r="19295" spans="7:14" x14ac:dyDescent="0.3">
      <c r="G19295" s="1"/>
      <c r="N19295" s="1"/>
    </row>
    <row r="19296" spans="7:14" x14ac:dyDescent="0.3">
      <c r="G19296" s="1"/>
      <c r="N19296" s="1"/>
    </row>
    <row r="19297" spans="7:14" x14ac:dyDescent="0.3">
      <c r="G19297" s="1"/>
      <c r="N19297" s="1"/>
    </row>
    <row r="19298" spans="7:14" x14ac:dyDescent="0.3">
      <c r="G19298" s="1"/>
      <c r="N19298" s="1"/>
    </row>
    <row r="19299" spans="7:14" x14ac:dyDescent="0.3">
      <c r="G19299" s="1"/>
      <c r="N19299" s="1"/>
    </row>
    <row r="19300" spans="7:14" x14ac:dyDescent="0.3">
      <c r="G19300" s="1"/>
      <c r="N19300" s="1"/>
    </row>
    <row r="19301" spans="7:14" x14ac:dyDescent="0.3">
      <c r="G19301" s="1"/>
      <c r="N19301" s="1"/>
    </row>
    <row r="19302" spans="7:14" x14ac:dyDescent="0.3">
      <c r="G19302" s="1"/>
      <c r="N19302" s="1"/>
    </row>
    <row r="19303" spans="7:14" x14ac:dyDescent="0.3">
      <c r="G19303" s="1"/>
      <c r="N19303" s="1"/>
    </row>
    <row r="19304" spans="7:14" x14ac:dyDescent="0.3">
      <c r="G19304" s="1"/>
      <c r="N19304" s="1"/>
    </row>
    <row r="19305" spans="7:14" x14ac:dyDescent="0.3">
      <c r="G19305" s="1"/>
      <c r="N19305" s="1"/>
    </row>
    <row r="19306" spans="7:14" x14ac:dyDescent="0.3">
      <c r="G19306" s="1"/>
      <c r="N19306" s="1"/>
    </row>
    <row r="19307" spans="7:14" x14ac:dyDescent="0.3">
      <c r="G19307" s="1"/>
      <c r="N19307" s="1"/>
    </row>
    <row r="19308" spans="7:14" x14ac:dyDescent="0.3">
      <c r="G19308" s="1"/>
      <c r="N19308" s="1"/>
    </row>
    <row r="19309" spans="7:14" x14ac:dyDescent="0.3">
      <c r="G19309" s="1"/>
      <c r="N19309" s="1"/>
    </row>
    <row r="19310" spans="7:14" x14ac:dyDescent="0.3">
      <c r="G19310" s="1"/>
      <c r="N19310" s="1"/>
    </row>
    <row r="19311" spans="7:14" x14ac:dyDescent="0.3">
      <c r="G19311" s="1"/>
      <c r="N19311" s="1"/>
    </row>
    <row r="19312" spans="7:14" x14ac:dyDescent="0.3">
      <c r="G19312" s="1"/>
      <c r="N19312" s="1"/>
    </row>
    <row r="19313" spans="7:14" x14ac:dyDescent="0.3">
      <c r="G19313" s="1"/>
      <c r="N19313" s="1"/>
    </row>
    <row r="19314" spans="7:14" x14ac:dyDescent="0.3">
      <c r="G19314" s="1"/>
      <c r="N19314" s="1"/>
    </row>
    <row r="19315" spans="7:14" x14ac:dyDescent="0.3">
      <c r="G19315" s="1"/>
      <c r="N19315" s="1"/>
    </row>
    <row r="19316" spans="7:14" x14ac:dyDescent="0.3">
      <c r="G19316" s="1"/>
      <c r="N19316" s="1"/>
    </row>
    <row r="19317" spans="7:14" x14ac:dyDescent="0.3">
      <c r="G19317" s="1"/>
      <c r="N19317" s="1"/>
    </row>
    <row r="19318" spans="7:14" x14ac:dyDescent="0.3">
      <c r="G19318" s="1"/>
      <c r="N19318" s="1"/>
    </row>
    <row r="19319" spans="7:14" x14ac:dyDescent="0.3">
      <c r="G19319" s="1"/>
      <c r="N19319" s="1"/>
    </row>
    <row r="19320" spans="7:14" x14ac:dyDescent="0.3">
      <c r="G19320" s="1"/>
      <c r="N19320" s="1"/>
    </row>
    <row r="19321" spans="7:14" x14ac:dyDescent="0.3">
      <c r="G19321" s="1"/>
      <c r="N19321" s="1"/>
    </row>
    <row r="19322" spans="7:14" x14ac:dyDescent="0.3">
      <c r="G19322" s="1"/>
      <c r="N19322" s="1"/>
    </row>
    <row r="19323" spans="7:14" x14ac:dyDescent="0.3">
      <c r="G19323" s="1"/>
      <c r="N19323" s="1"/>
    </row>
    <row r="19324" spans="7:14" x14ac:dyDescent="0.3">
      <c r="G19324" s="1"/>
      <c r="N19324" s="1"/>
    </row>
    <row r="19325" spans="7:14" x14ac:dyDescent="0.3">
      <c r="G19325" s="1"/>
      <c r="N19325" s="1"/>
    </row>
    <row r="19326" spans="7:14" x14ac:dyDescent="0.3">
      <c r="G19326" s="1"/>
      <c r="N19326" s="1"/>
    </row>
    <row r="19327" spans="7:14" x14ac:dyDescent="0.3">
      <c r="G19327" s="1"/>
      <c r="N19327" s="1"/>
    </row>
    <row r="19328" spans="7:14" x14ac:dyDescent="0.3">
      <c r="G19328" s="1"/>
      <c r="N19328" s="1"/>
    </row>
    <row r="19329" spans="7:14" x14ac:dyDescent="0.3">
      <c r="G19329" s="1"/>
      <c r="N19329" s="1"/>
    </row>
    <row r="19330" spans="7:14" x14ac:dyDescent="0.3">
      <c r="G19330" s="1"/>
      <c r="N19330" s="1"/>
    </row>
    <row r="19331" spans="7:14" x14ac:dyDescent="0.3">
      <c r="G19331" s="1"/>
      <c r="N19331" s="1"/>
    </row>
    <row r="19332" spans="7:14" x14ac:dyDescent="0.3">
      <c r="G19332" s="1"/>
      <c r="N19332" s="1"/>
    </row>
    <row r="19333" spans="7:14" x14ac:dyDescent="0.3">
      <c r="G19333" s="1"/>
      <c r="N19333" s="1"/>
    </row>
    <row r="19334" spans="7:14" x14ac:dyDescent="0.3">
      <c r="G19334" s="1"/>
      <c r="N19334" s="1"/>
    </row>
    <row r="19335" spans="7:14" x14ac:dyDescent="0.3">
      <c r="G19335" s="1"/>
      <c r="N19335" s="1"/>
    </row>
    <row r="19336" spans="7:14" x14ac:dyDescent="0.3">
      <c r="G19336" s="1"/>
      <c r="N19336" s="1"/>
    </row>
    <row r="19337" spans="7:14" x14ac:dyDescent="0.3">
      <c r="G19337" s="1"/>
      <c r="N19337" s="1"/>
    </row>
    <row r="19338" spans="7:14" x14ac:dyDescent="0.3">
      <c r="G19338" s="1"/>
      <c r="N19338" s="1"/>
    </row>
    <row r="19339" spans="7:14" x14ac:dyDescent="0.3">
      <c r="G19339" s="1"/>
      <c r="N19339" s="1"/>
    </row>
    <row r="19340" spans="7:14" x14ac:dyDescent="0.3">
      <c r="G19340" s="1"/>
      <c r="N19340" s="1"/>
    </row>
    <row r="19341" spans="7:14" x14ac:dyDescent="0.3">
      <c r="G19341" s="1"/>
      <c r="N19341" s="1"/>
    </row>
    <row r="19342" spans="7:14" x14ac:dyDescent="0.3">
      <c r="G19342" s="1"/>
      <c r="N19342" s="1"/>
    </row>
    <row r="19343" spans="7:14" x14ac:dyDescent="0.3">
      <c r="G19343" s="1"/>
      <c r="N19343" s="1"/>
    </row>
    <row r="19344" spans="7:14" x14ac:dyDescent="0.3">
      <c r="G19344" s="1"/>
      <c r="N19344" s="1"/>
    </row>
    <row r="19345" spans="7:14" x14ac:dyDescent="0.3">
      <c r="G19345" s="1"/>
      <c r="N19345" s="1"/>
    </row>
    <row r="19346" spans="7:14" x14ac:dyDescent="0.3">
      <c r="G19346" s="1"/>
      <c r="N19346" s="1"/>
    </row>
    <row r="19347" spans="7:14" x14ac:dyDescent="0.3">
      <c r="G19347" s="1"/>
      <c r="N19347" s="1"/>
    </row>
    <row r="19348" spans="7:14" x14ac:dyDescent="0.3">
      <c r="G19348" s="1"/>
      <c r="N19348" s="1"/>
    </row>
    <row r="19349" spans="7:14" x14ac:dyDescent="0.3">
      <c r="G19349" s="1"/>
      <c r="N19349" s="1"/>
    </row>
    <row r="19350" spans="7:14" x14ac:dyDescent="0.3">
      <c r="G19350" s="1"/>
      <c r="N19350" s="1"/>
    </row>
    <row r="19351" spans="7:14" x14ac:dyDescent="0.3">
      <c r="G19351" s="1"/>
      <c r="N19351" s="1"/>
    </row>
    <row r="19352" spans="7:14" x14ac:dyDescent="0.3">
      <c r="G19352" s="1"/>
      <c r="N19352" s="1"/>
    </row>
    <row r="19353" spans="7:14" x14ac:dyDescent="0.3">
      <c r="G19353" s="1"/>
      <c r="N19353" s="1"/>
    </row>
    <row r="19354" spans="7:14" x14ac:dyDescent="0.3">
      <c r="G19354" s="1"/>
      <c r="N19354" s="1"/>
    </row>
    <row r="19355" spans="7:14" x14ac:dyDescent="0.3">
      <c r="G19355" s="1"/>
      <c r="N19355" s="1"/>
    </row>
    <row r="19356" spans="7:14" x14ac:dyDescent="0.3">
      <c r="G19356" s="1"/>
      <c r="N19356" s="1"/>
    </row>
    <row r="19357" spans="7:14" x14ac:dyDescent="0.3">
      <c r="G19357" s="1"/>
      <c r="N19357" s="1"/>
    </row>
    <row r="19358" spans="7:14" x14ac:dyDescent="0.3">
      <c r="G19358" s="1"/>
      <c r="N19358" s="1"/>
    </row>
    <row r="19359" spans="7:14" x14ac:dyDescent="0.3">
      <c r="G19359" s="1"/>
      <c r="N19359" s="1"/>
    </row>
    <row r="19360" spans="7:14" x14ac:dyDescent="0.3">
      <c r="G19360" s="1"/>
      <c r="N19360" s="1"/>
    </row>
    <row r="19361" spans="7:14" x14ac:dyDescent="0.3">
      <c r="G19361" s="1"/>
      <c r="N19361" s="1"/>
    </row>
    <row r="19362" spans="7:14" x14ac:dyDescent="0.3">
      <c r="G19362" s="1"/>
      <c r="N19362" s="1"/>
    </row>
    <row r="19363" spans="7:14" x14ac:dyDescent="0.3">
      <c r="G19363" s="1"/>
      <c r="N19363" s="1"/>
    </row>
    <row r="19364" spans="7:14" x14ac:dyDescent="0.3">
      <c r="G19364" s="1"/>
      <c r="N19364" s="1"/>
    </row>
    <row r="19365" spans="7:14" x14ac:dyDescent="0.3">
      <c r="G19365" s="1"/>
      <c r="N19365" s="1"/>
    </row>
    <row r="19366" spans="7:14" x14ac:dyDescent="0.3">
      <c r="G19366" s="1"/>
      <c r="N19366" s="1"/>
    </row>
    <row r="19367" spans="7:14" x14ac:dyDescent="0.3">
      <c r="G19367" s="1"/>
      <c r="N19367" s="1"/>
    </row>
    <row r="19368" spans="7:14" x14ac:dyDescent="0.3">
      <c r="G19368" s="1"/>
      <c r="N19368" s="1"/>
    </row>
    <row r="19369" spans="7:14" x14ac:dyDescent="0.3">
      <c r="G19369" s="1"/>
      <c r="N19369" s="1"/>
    </row>
    <row r="19370" spans="7:14" x14ac:dyDescent="0.3">
      <c r="G19370" s="1"/>
      <c r="N19370" s="1"/>
    </row>
    <row r="19371" spans="7:14" x14ac:dyDescent="0.3">
      <c r="G19371" s="1"/>
      <c r="N19371" s="1"/>
    </row>
    <row r="19372" spans="7:14" x14ac:dyDescent="0.3">
      <c r="G19372" s="1"/>
      <c r="N19372" s="1"/>
    </row>
    <row r="19373" spans="7:14" x14ac:dyDescent="0.3">
      <c r="G19373" s="1"/>
      <c r="N19373" s="1"/>
    </row>
    <row r="19374" spans="7:14" x14ac:dyDescent="0.3">
      <c r="G19374" s="1"/>
      <c r="N19374" s="1"/>
    </row>
    <row r="19375" spans="7:14" x14ac:dyDescent="0.3">
      <c r="G19375" s="1"/>
      <c r="N19375" s="1"/>
    </row>
    <row r="19376" spans="7:14" x14ac:dyDescent="0.3">
      <c r="G19376" s="1"/>
      <c r="N19376" s="1"/>
    </row>
    <row r="19377" spans="7:14" x14ac:dyDescent="0.3">
      <c r="G19377" s="1"/>
      <c r="N19377" s="1"/>
    </row>
    <row r="19378" spans="7:14" x14ac:dyDescent="0.3">
      <c r="G19378" s="1"/>
      <c r="N19378" s="1"/>
    </row>
    <row r="19379" spans="7:14" x14ac:dyDescent="0.3">
      <c r="G19379" s="1"/>
      <c r="N19379" s="1"/>
    </row>
    <row r="19380" spans="7:14" x14ac:dyDescent="0.3">
      <c r="G19380" s="1"/>
      <c r="N19380" s="1"/>
    </row>
    <row r="19381" spans="7:14" x14ac:dyDescent="0.3">
      <c r="G19381" s="1"/>
      <c r="N19381" s="1"/>
    </row>
    <row r="19382" spans="7:14" x14ac:dyDescent="0.3">
      <c r="G19382" s="1"/>
      <c r="N19382" s="1"/>
    </row>
    <row r="19383" spans="7:14" x14ac:dyDescent="0.3">
      <c r="G19383" s="1"/>
      <c r="N19383" s="1"/>
    </row>
    <row r="19384" spans="7:14" x14ac:dyDescent="0.3">
      <c r="G19384" s="1"/>
      <c r="N19384" s="1"/>
    </row>
    <row r="19385" spans="7:14" x14ac:dyDescent="0.3">
      <c r="G19385" s="1"/>
      <c r="N19385" s="1"/>
    </row>
    <row r="19386" spans="7:14" x14ac:dyDescent="0.3">
      <c r="G19386" s="1"/>
      <c r="N19386" s="1"/>
    </row>
    <row r="19387" spans="7:14" x14ac:dyDescent="0.3">
      <c r="G19387" s="1"/>
      <c r="N19387" s="1"/>
    </row>
    <row r="19388" spans="7:14" x14ac:dyDescent="0.3">
      <c r="G19388" s="1"/>
      <c r="N19388" s="1"/>
    </row>
    <row r="19389" spans="7:14" x14ac:dyDescent="0.3">
      <c r="G19389" s="1"/>
      <c r="N19389" s="1"/>
    </row>
    <row r="19390" spans="7:14" x14ac:dyDescent="0.3">
      <c r="G19390" s="1"/>
      <c r="N19390" s="1"/>
    </row>
    <row r="19391" spans="7:14" x14ac:dyDescent="0.3">
      <c r="G19391" s="1"/>
      <c r="N19391" s="1"/>
    </row>
    <row r="19392" spans="7:14" x14ac:dyDescent="0.3">
      <c r="G19392" s="1"/>
      <c r="N19392" s="1"/>
    </row>
    <row r="19393" spans="7:14" x14ac:dyDescent="0.3">
      <c r="G19393" s="1"/>
      <c r="N19393" s="1"/>
    </row>
    <row r="19394" spans="7:14" x14ac:dyDescent="0.3">
      <c r="G19394" s="1"/>
      <c r="N19394" s="1"/>
    </row>
    <row r="19395" spans="7:14" x14ac:dyDescent="0.3">
      <c r="G19395" s="1"/>
      <c r="N19395" s="1"/>
    </row>
    <row r="19396" spans="7:14" x14ac:dyDescent="0.3">
      <c r="G19396" s="1"/>
      <c r="N19396" s="1"/>
    </row>
    <row r="19397" spans="7:14" x14ac:dyDescent="0.3">
      <c r="G19397" s="1"/>
      <c r="N19397" s="1"/>
    </row>
    <row r="19398" spans="7:14" x14ac:dyDescent="0.3">
      <c r="G19398" s="1"/>
      <c r="N19398" s="1"/>
    </row>
    <row r="19399" spans="7:14" x14ac:dyDescent="0.3">
      <c r="G19399" s="1"/>
      <c r="N19399" s="1"/>
    </row>
    <row r="19400" spans="7:14" x14ac:dyDescent="0.3">
      <c r="G19400" s="1"/>
      <c r="N19400" s="1"/>
    </row>
    <row r="19401" spans="7:14" x14ac:dyDescent="0.3">
      <c r="G19401" s="1"/>
      <c r="N19401" s="1"/>
    </row>
    <row r="19402" spans="7:14" x14ac:dyDescent="0.3">
      <c r="G19402" s="1"/>
      <c r="N19402" s="1"/>
    </row>
    <row r="19403" spans="7:14" x14ac:dyDescent="0.3">
      <c r="G19403" s="1"/>
      <c r="N19403" s="1"/>
    </row>
    <row r="19404" spans="7:14" x14ac:dyDescent="0.3">
      <c r="G19404" s="1"/>
      <c r="N19404" s="1"/>
    </row>
    <row r="19405" spans="7:14" x14ac:dyDescent="0.3">
      <c r="G19405" s="1"/>
      <c r="N19405" s="1"/>
    </row>
    <row r="19406" spans="7:14" x14ac:dyDescent="0.3">
      <c r="G19406" s="1"/>
      <c r="N19406" s="1"/>
    </row>
    <row r="19407" spans="7:14" x14ac:dyDescent="0.3">
      <c r="G19407" s="1"/>
      <c r="N19407" s="1"/>
    </row>
    <row r="19408" spans="7:14" x14ac:dyDescent="0.3">
      <c r="G19408" s="1"/>
      <c r="N19408" s="1"/>
    </row>
    <row r="19409" spans="7:14" x14ac:dyDescent="0.3">
      <c r="G19409" s="1"/>
      <c r="N19409" s="1"/>
    </row>
    <row r="19410" spans="7:14" x14ac:dyDescent="0.3">
      <c r="G19410" s="1"/>
      <c r="N19410" s="1"/>
    </row>
    <row r="19411" spans="7:14" x14ac:dyDescent="0.3">
      <c r="G19411" s="1"/>
      <c r="N19411" s="1"/>
    </row>
    <row r="19412" spans="7:14" x14ac:dyDescent="0.3">
      <c r="G19412" s="1"/>
      <c r="N19412" s="1"/>
    </row>
    <row r="19413" spans="7:14" x14ac:dyDescent="0.3">
      <c r="G19413" s="1"/>
      <c r="N19413" s="1"/>
    </row>
    <row r="19414" spans="7:14" x14ac:dyDescent="0.3">
      <c r="G19414" s="1"/>
      <c r="N19414" s="1"/>
    </row>
    <row r="19415" spans="7:14" x14ac:dyDescent="0.3">
      <c r="G19415" s="1"/>
      <c r="N19415" s="1"/>
    </row>
    <row r="19416" spans="7:14" x14ac:dyDescent="0.3">
      <c r="G19416" s="1"/>
      <c r="N19416" s="1"/>
    </row>
    <row r="19417" spans="7:14" x14ac:dyDescent="0.3">
      <c r="G19417" s="1"/>
      <c r="N19417" s="1"/>
    </row>
    <row r="19418" spans="7:14" x14ac:dyDescent="0.3">
      <c r="G19418" s="1"/>
      <c r="N19418" s="1"/>
    </row>
    <row r="19419" spans="7:14" x14ac:dyDescent="0.3">
      <c r="G19419" s="1"/>
      <c r="N19419" s="1"/>
    </row>
    <row r="19420" spans="7:14" x14ac:dyDescent="0.3">
      <c r="G19420" s="1"/>
      <c r="N19420" s="1"/>
    </row>
    <row r="19421" spans="7:14" x14ac:dyDescent="0.3">
      <c r="G19421" s="1"/>
      <c r="N19421" s="1"/>
    </row>
    <row r="19422" spans="7:14" x14ac:dyDescent="0.3">
      <c r="G19422" s="1"/>
      <c r="N19422" s="1"/>
    </row>
    <row r="19423" spans="7:14" x14ac:dyDescent="0.3">
      <c r="G19423" s="1"/>
      <c r="N19423" s="1"/>
    </row>
    <row r="19424" spans="7:14" x14ac:dyDescent="0.3">
      <c r="G19424" s="1"/>
      <c r="N19424" s="1"/>
    </row>
    <row r="19425" spans="7:14" x14ac:dyDescent="0.3">
      <c r="G19425" s="1"/>
      <c r="N19425" s="1"/>
    </row>
    <row r="19426" spans="7:14" x14ac:dyDescent="0.3">
      <c r="G19426" s="1"/>
      <c r="N19426" s="1"/>
    </row>
    <row r="19427" spans="7:14" x14ac:dyDescent="0.3">
      <c r="G19427" s="1"/>
      <c r="N19427" s="1"/>
    </row>
    <row r="19428" spans="7:14" x14ac:dyDescent="0.3">
      <c r="G19428" s="1"/>
      <c r="N19428" s="1"/>
    </row>
    <row r="19429" spans="7:14" x14ac:dyDescent="0.3">
      <c r="G19429" s="1"/>
      <c r="N19429" s="1"/>
    </row>
    <row r="19430" spans="7:14" x14ac:dyDescent="0.3">
      <c r="G19430" s="1"/>
      <c r="N19430" s="1"/>
    </row>
    <row r="19431" spans="7:14" x14ac:dyDescent="0.3">
      <c r="G19431" s="1"/>
      <c r="N19431" s="1"/>
    </row>
    <row r="19432" spans="7:14" x14ac:dyDescent="0.3">
      <c r="G19432" s="1"/>
      <c r="N19432" s="1"/>
    </row>
    <row r="19433" spans="7:14" x14ac:dyDescent="0.3">
      <c r="G19433" s="1"/>
      <c r="N19433" s="1"/>
    </row>
    <row r="19434" spans="7:14" x14ac:dyDescent="0.3">
      <c r="G19434" s="1"/>
      <c r="N19434" s="1"/>
    </row>
    <row r="19435" spans="7:14" x14ac:dyDescent="0.3">
      <c r="G19435" s="1"/>
      <c r="N19435" s="1"/>
    </row>
    <row r="19436" spans="7:14" x14ac:dyDescent="0.3">
      <c r="G19436" s="1"/>
      <c r="N19436" s="1"/>
    </row>
    <row r="19437" spans="7:14" x14ac:dyDescent="0.3">
      <c r="G19437" s="1"/>
      <c r="N19437" s="1"/>
    </row>
    <row r="19438" spans="7:14" x14ac:dyDescent="0.3">
      <c r="G19438" s="1"/>
      <c r="N19438" s="1"/>
    </row>
    <row r="19439" spans="7:14" x14ac:dyDescent="0.3">
      <c r="G19439" s="1"/>
      <c r="N19439" s="1"/>
    </row>
    <row r="19440" spans="7:14" x14ac:dyDescent="0.3">
      <c r="G19440" s="1"/>
      <c r="N19440" s="1"/>
    </row>
    <row r="19441" spans="7:14" x14ac:dyDescent="0.3">
      <c r="G19441" s="1"/>
      <c r="N19441" s="1"/>
    </row>
    <row r="19442" spans="7:14" x14ac:dyDescent="0.3">
      <c r="G19442" s="1"/>
      <c r="N19442" s="1"/>
    </row>
    <row r="19443" spans="7:14" x14ac:dyDescent="0.3">
      <c r="G19443" s="1"/>
      <c r="N19443" s="1"/>
    </row>
    <row r="19444" spans="7:14" x14ac:dyDescent="0.3">
      <c r="G19444" s="1"/>
      <c r="N19444" s="1"/>
    </row>
    <row r="19445" spans="7:14" x14ac:dyDescent="0.3">
      <c r="G19445" s="1"/>
      <c r="N19445" s="1"/>
    </row>
    <row r="19446" spans="7:14" x14ac:dyDescent="0.3">
      <c r="G19446" s="1"/>
      <c r="N19446" s="1"/>
    </row>
    <row r="19447" spans="7:14" x14ac:dyDescent="0.3">
      <c r="G19447" s="1"/>
      <c r="N19447" s="1"/>
    </row>
    <row r="19448" spans="7:14" x14ac:dyDescent="0.3">
      <c r="G19448" s="1"/>
      <c r="N19448" s="1"/>
    </row>
    <row r="19449" spans="7:14" x14ac:dyDescent="0.3">
      <c r="G19449" s="1"/>
      <c r="N19449" s="1"/>
    </row>
    <row r="19450" spans="7:14" x14ac:dyDescent="0.3">
      <c r="G19450" s="1"/>
      <c r="N19450" s="1"/>
    </row>
    <row r="19451" spans="7:14" x14ac:dyDescent="0.3">
      <c r="G19451" s="1"/>
      <c r="N19451" s="1"/>
    </row>
    <row r="19452" spans="7:14" x14ac:dyDescent="0.3">
      <c r="G19452" s="1"/>
      <c r="N19452" s="1"/>
    </row>
    <row r="19453" spans="7:14" x14ac:dyDescent="0.3">
      <c r="G19453" s="1"/>
      <c r="N19453" s="1"/>
    </row>
    <row r="19454" spans="7:14" x14ac:dyDescent="0.3">
      <c r="G19454" s="1"/>
      <c r="N19454" s="1"/>
    </row>
    <row r="19455" spans="7:14" x14ac:dyDescent="0.3">
      <c r="G19455" s="1"/>
      <c r="N19455" s="1"/>
    </row>
    <row r="19456" spans="7:14" x14ac:dyDescent="0.3">
      <c r="G19456" s="1"/>
      <c r="N19456" s="1"/>
    </row>
    <row r="19457" spans="7:14" x14ac:dyDescent="0.3">
      <c r="G19457" s="1"/>
      <c r="N19457" s="1"/>
    </row>
    <row r="19458" spans="7:14" x14ac:dyDescent="0.3">
      <c r="G19458" s="1"/>
      <c r="N19458" s="1"/>
    </row>
    <row r="19459" spans="7:14" x14ac:dyDescent="0.3">
      <c r="G19459" s="1"/>
      <c r="N19459" s="1"/>
    </row>
    <row r="19460" spans="7:14" x14ac:dyDescent="0.3">
      <c r="G19460" s="1"/>
      <c r="N19460" s="1"/>
    </row>
    <row r="19461" spans="7:14" x14ac:dyDescent="0.3">
      <c r="G19461" s="1"/>
      <c r="N19461" s="1"/>
    </row>
    <row r="19462" spans="7:14" x14ac:dyDescent="0.3">
      <c r="G19462" s="1"/>
      <c r="N19462" s="1"/>
    </row>
    <row r="19463" spans="7:14" x14ac:dyDescent="0.3">
      <c r="G19463" s="1"/>
      <c r="N19463" s="1"/>
    </row>
    <row r="19464" spans="7:14" x14ac:dyDescent="0.3">
      <c r="G19464" s="1"/>
      <c r="N19464" s="1"/>
    </row>
    <row r="19465" spans="7:14" x14ac:dyDescent="0.3">
      <c r="G19465" s="1"/>
      <c r="N19465" s="1"/>
    </row>
    <row r="19466" spans="7:14" x14ac:dyDescent="0.3">
      <c r="G19466" s="1"/>
      <c r="N19466" s="1"/>
    </row>
    <row r="19467" spans="7:14" x14ac:dyDescent="0.3">
      <c r="G19467" s="1"/>
      <c r="N19467" s="1"/>
    </row>
    <row r="19468" spans="7:14" x14ac:dyDescent="0.3">
      <c r="G19468" s="1"/>
      <c r="N19468" s="1"/>
    </row>
    <row r="19469" spans="7:14" x14ac:dyDescent="0.3">
      <c r="G19469" s="1"/>
      <c r="N19469" s="1"/>
    </row>
    <row r="19470" spans="7:14" x14ac:dyDescent="0.3">
      <c r="G19470" s="1"/>
      <c r="N19470" s="1"/>
    </row>
    <row r="19471" spans="7:14" x14ac:dyDescent="0.3">
      <c r="G19471" s="1"/>
      <c r="N19471" s="1"/>
    </row>
    <row r="19472" spans="7:14" x14ac:dyDescent="0.3">
      <c r="G19472" s="1"/>
      <c r="N19472" s="1"/>
    </row>
    <row r="19473" spans="7:14" x14ac:dyDescent="0.3">
      <c r="G19473" s="1"/>
      <c r="N19473" s="1"/>
    </row>
    <row r="19474" spans="7:14" x14ac:dyDescent="0.3">
      <c r="G19474" s="1"/>
      <c r="N19474" s="1"/>
    </row>
    <row r="19475" spans="7:14" x14ac:dyDescent="0.3">
      <c r="G19475" s="1"/>
      <c r="N19475" s="1"/>
    </row>
    <row r="19476" spans="7:14" x14ac:dyDescent="0.3">
      <c r="G19476" s="1"/>
      <c r="N19476" s="1"/>
    </row>
    <row r="19477" spans="7:14" x14ac:dyDescent="0.3">
      <c r="G19477" s="1"/>
      <c r="N19477" s="1"/>
    </row>
    <row r="19478" spans="7:14" x14ac:dyDescent="0.3">
      <c r="G19478" s="1"/>
      <c r="N19478" s="1"/>
    </row>
    <row r="19479" spans="7:14" x14ac:dyDescent="0.3">
      <c r="G19479" s="1"/>
      <c r="N19479" s="1"/>
    </row>
    <row r="19480" spans="7:14" x14ac:dyDescent="0.3">
      <c r="G19480" s="1"/>
      <c r="N19480" s="1"/>
    </row>
    <row r="19481" spans="7:14" x14ac:dyDescent="0.3">
      <c r="G19481" s="1"/>
      <c r="N19481" s="1"/>
    </row>
    <row r="19482" spans="7:14" x14ac:dyDescent="0.3">
      <c r="G19482" s="1"/>
      <c r="N19482" s="1"/>
    </row>
    <row r="19483" spans="7:14" x14ac:dyDescent="0.3">
      <c r="G19483" s="1"/>
      <c r="N19483" s="1"/>
    </row>
    <row r="19484" spans="7:14" x14ac:dyDescent="0.3">
      <c r="G19484" s="1"/>
      <c r="N19484" s="1"/>
    </row>
    <row r="19485" spans="7:14" x14ac:dyDescent="0.3">
      <c r="G19485" s="1"/>
      <c r="N19485" s="1"/>
    </row>
    <row r="19486" spans="7:14" x14ac:dyDescent="0.3">
      <c r="G19486" s="1"/>
      <c r="N19486" s="1"/>
    </row>
    <row r="19487" spans="7:14" x14ac:dyDescent="0.3">
      <c r="G19487" s="1"/>
      <c r="N19487" s="1"/>
    </row>
    <row r="19488" spans="7:14" x14ac:dyDescent="0.3">
      <c r="G19488" s="1"/>
      <c r="N19488" s="1"/>
    </row>
    <row r="19489" spans="7:14" x14ac:dyDescent="0.3">
      <c r="G19489" s="1"/>
      <c r="N19489" s="1"/>
    </row>
    <row r="19490" spans="7:14" x14ac:dyDescent="0.3">
      <c r="G19490" s="1"/>
      <c r="N19490" s="1"/>
    </row>
    <row r="19491" spans="7:14" x14ac:dyDescent="0.3">
      <c r="G19491" s="1"/>
      <c r="N19491" s="1"/>
    </row>
    <row r="19492" spans="7:14" x14ac:dyDescent="0.3">
      <c r="G19492" s="1"/>
      <c r="N19492" s="1"/>
    </row>
    <row r="19493" spans="7:14" x14ac:dyDescent="0.3">
      <c r="G19493" s="1"/>
      <c r="N19493" s="1"/>
    </row>
    <row r="19494" spans="7:14" x14ac:dyDescent="0.3">
      <c r="G19494" s="1"/>
      <c r="N19494" s="1"/>
    </row>
    <row r="19495" spans="7:14" x14ac:dyDescent="0.3">
      <c r="G19495" s="1"/>
      <c r="N19495" s="1"/>
    </row>
    <row r="19496" spans="7:14" x14ac:dyDescent="0.3">
      <c r="G19496" s="1"/>
      <c r="N19496" s="1"/>
    </row>
    <row r="19497" spans="7:14" x14ac:dyDescent="0.3">
      <c r="G19497" s="1"/>
      <c r="N19497" s="1"/>
    </row>
    <row r="19498" spans="7:14" x14ac:dyDescent="0.3">
      <c r="G19498" s="1"/>
      <c r="N19498" s="1"/>
    </row>
    <row r="19499" spans="7:14" x14ac:dyDescent="0.3">
      <c r="G19499" s="1"/>
      <c r="N19499" s="1"/>
    </row>
    <row r="19500" spans="7:14" x14ac:dyDescent="0.3">
      <c r="G19500" s="1"/>
      <c r="N19500" s="1"/>
    </row>
    <row r="19501" spans="7:14" x14ac:dyDescent="0.3">
      <c r="G19501" s="1"/>
      <c r="N19501" s="1"/>
    </row>
    <row r="19502" spans="7:14" x14ac:dyDescent="0.3">
      <c r="G19502" s="1"/>
      <c r="N19502" s="1"/>
    </row>
    <row r="19503" spans="7:14" x14ac:dyDescent="0.3">
      <c r="G19503" s="1"/>
      <c r="N19503" s="1"/>
    </row>
    <row r="19504" spans="7:14" x14ac:dyDescent="0.3">
      <c r="G19504" s="1"/>
      <c r="N19504" s="1"/>
    </row>
    <row r="19505" spans="7:14" x14ac:dyDescent="0.3">
      <c r="G19505" s="1"/>
      <c r="N19505" s="1"/>
    </row>
    <row r="19506" spans="7:14" x14ac:dyDescent="0.3">
      <c r="G19506" s="1"/>
      <c r="N19506" s="1"/>
    </row>
    <row r="19507" spans="7:14" x14ac:dyDescent="0.3">
      <c r="G19507" s="1"/>
      <c r="N19507" s="1"/>
    </row>
    <row r="19508" spans="7:14" x14ac:dyDescent="0.3">
      <c r="G19508" s="1"/>
      <c r="N19508" s="1"/>
    </row>
    <row r="19509" spans="7:14" x14ac:dyDescent="0.3">
      <c r="G19509" s="1"/>
      <c r="N19509" s="1"/>
    </row>
    <row r="19510" spans="7:14" x14ac:dyDescent="0.3">
      <c r="G19510" s="1"/>
      <c r="N19510" s="1"/>
    </row>
    <row r="19511" spans="7:14" x14ac:dyDescent="0.3">
      <c r="G19511" s="1"/>
      <c r="N19511" s="1"/>
    </row>
    <row r="19512" spans="7:14" x14ac:dyDescent="0.3">
      <c r="G19512" s="1"/>
      <c r="N19512" s="1"/>
    </row>
    <row r="19513" spans="7:14" x14ac:dyDescent="0.3">
      <c r="G19513" s="1"/>
      <c r="N19513" s="1"/>
    </row>
    <row r="19514" spans="7:14" x14ac:dyDescent="0.3">
      <c r="G19514" s="1"/>
      <c r="N19514" s="1"/>
    </row>
    <row r="19515" spans="7:14" x14ac:dyDescent="0.3">
      <c r="G19515" s="1"/>
      <c r="N19515" s="1"/>
    </row>
    <row r="19516" spans="7:14" x14ac:dyDescent="0.3">
      <c r="G19516" s="1"/>
      <c r="N19516" s="1"/>
    </row>
    <row r="19517" spans="7:14" x14ac:dyDescent="0.3">
      <c r="G19517" s="1"/>
      <c r="N19517" s="1"/>
    </row>
    <row r="19518" spans="7:14" x14ac:dyDescent="0.3">
      <c r="G19518" s="1"/>
      <c r="N19518" s="1"/>
    </row>
    <row r="19519" spans="7:14" x14ac:dyDescent="0.3">
      <c r="G19519" s="1"/>
      <c r="N19519" s="1"/>
    </row>
    <row r="19520" spans="7:14" x14ac:dyDescent="0.3">
      <c r="G19520" s="1"/>
      <c r="N19520" s="1"/>
    </row>
    <row r="19521" spans="7:14" x14ac:dyDescent="0.3">
      <c r="G19521" s="1"/>
      <c r="N19521" s="1"/>
    </row>
    <row r="19522" spans="7:14" x14ac:dyDescent="0.3">
      <c r="G19522" s="1"/>
      <c r="N19522" s="1"/>
    </row>
    <row r="19523" spans="7:14" x14ac:dyDescent="0.3">
      <c r="G19523" s="1"/>
      <c r="N19523" s="1"/>
    </row>
    <row r="19524" spans="7:14" x14ac:dyDescent="0.3">
      <c r="G19524" s="1"/>
      <c r="N19524" s="1"/>
    </row>
    <row r="19525" spans="7:14" x14ac:dyDescent="0.3">
      <c r="G19525" s="1"/>
      <c r="N19525" s="1"/>
    </row>
    <row r="19526" spans="7:14" x14ac:dyDescent="0.3">
      <c r="G19526" s="1"/>
      <c r="N19526" s="1"/>
    </row>
    <row r="19527" spans="7:14" x14ac:dyDescent="0.3">
      <c r="G19527" s="1"/>
      <c r="N19527" s="1"/>
    </row>
    <row r="19528" spans="7:14" x14ac:dyDescent="0.3">
      <c r="G19528" s="1"/>
      <c r="N19528" s="1"/>
    </row>
    <row r="19529" spans="7:14" x14ac:dyDescent="0.3">
      <c r="G19529" s="1"/>
      <c r="N19529" s="1"/>
    </row>
    <row r="19530" spans="7:14" x14ac:dyDescent="0.3">
      <c r="G19530" s="1"/>
      <c r="N19530" s="1"/>
    </row>
    <row r="19531" spans="7:14" x14ac:dyDescent="0.3">
      <c r="G19531" s="1"/>
      <c r="N19531" s="1"/>
    </row>
    <row r="19532" spans="7:14" x14ac:dyDescent="0.3">
      <c r="G19532" s="1"/>
      <c r="N19532" s="1"/>
    </row>
    <row r="19533" spans="7:14" x14ac:dyDescent="0.3">
      <c r="G19533" s="1"/>
      <c r="N19533" s="1"/>
    </row>
    <row r="19534" spans="7:14" x14ac:dyDescent="0.3">
      <c r="G19534" s="1"/>
      <c r="N19534" s="1"/>
    </row>
    <row r="19535" spans="7:14" x14ac:dyDescent="0.3">
      <c r="G19535" s="1"/>
      <c r="N19535" s="1"/>
    </row>
    <row r="19536" spans="7:14" x14ac:dyDescent="0.3">
      <c r="G19536" s="1"/>
      <c r="N19536" s="1"/>
    </row>
    <row r="19537" spans="7:14" x14ac:dyDescent="0.3">
      <c r="G19537" s="1"/>
      <c r="N19537" s="1"/>
    </row>
    <row r="19538" spans="7:14" x14ac:dyDescent="0.3">
      <c r="G19538" s="1"/>
      <c r="N19538" s="1"/>
    </row>
    <row r="19539" spans="7:14" x14ac:dyDescent="0.3">
      <c r="G19539" s="1"/>
      <c r="N19539" s="1"/>
    </row>
    <row r="19540" spans="7:14" x14ac:dyDescent="0.3">
      <c r="G19540" s="1"/>
      <c r="N19540" s="1"/>
    </row>
    <row r="19541" spans="7:14" x14ac:dyDescent="0.3">
      <c r="G19541" s="1"/>
      <c r="N19541" s="1"/>
    </row>
    <row r="19542" spans="7:14" x14ac:dyDescent="0.3">
      <c r="G19542" s="1"/>
      <c r="N19542" s="1"/>
    </row>
    <row r="19543" spans="7:14" x14ac:dyDescent="0.3">
      <c r="G19543" s="1"/>
      <c r="N19543" s="1"/>
    </row>
    <row r="19544" spans="7:14" x14ac:dyDescent="0.3">
      <c r="G19544" s="1"/>
      <c r="N19544" s="1"/>
    </row>
    <row r="19545" spans="7:14" x14ac:dyDescent="0.3">
      <c r="G19545" s="1"/>
      <c r="N19545" s="1"/>
    </row>
    <row r="19546" spans="7:14" x14ac:dyDescent="0.3">
      <c r="G19546" s="1"/>
      <c r="N19546" s="1"/>
    </row>
    <row r="19547" spans="7:14" x14ac:dyDescent="0.3">
      <c r="G19547" s="1"/>
      <c r="N19547" s="1"/>
    </row>
    <row r="19548" spans="7:14" x14ac:dyDescent="0.3">
      <c r="G19548" s="1"/>
      <c r="N19548" s="1"/>
    </row>
    <row r="19549" spans="7:14" x14ac:dyDescent="0.3">
      <c r="G19549" s="1"/>
      <c r="N19549" s="1"/>
    </row>
    <row r="19550" spans="7:14" x14ac:dyDescent="0.3">
      <c r="G19550" s="1"/>
      <c r="N19550" s="1"/>
    </row>
    <row r="19551" spans="7:14" x14ac:dyDescent="0.3">
      <c r="G19551" s="1"/>
      <c r="N19551" s="1"/>
    </row>
    <row r="19552" spans="7:14" x14ac:dyDescent="0.3">
      <c r="G19552" s="1"/>
      <c r="N19552" s="1"/>
    </row>
    <row r="19553" spans="7:14" x14ac:dyDescent="0.3">
      <c r="G19553" s="1"/>
      <c r="N19553" s="1"/>
    </row>
    <row r="19554" spans="7:14" x14ac:dyDescent="0.3">
      <c r="G19554" s="1"/>
      <c r="N19554" s="1"/>
    </row>
    <row r="19555" spans="7:14" x14ac:dyDescent="0.3">
      <c r="G19555" s="1"/>
      <c r="N19555" s="1"/>
    </row>
    <row r="19556" spans="7:14" x14ac:dyDescent="0.3">
      <c r="G19556" s="1"/>
      <c r="N19556" s="1"/>
    </row>
    <row r="19557" spans="7:14" x14ac:dyDescent="0.3">
      <c r="G19557" s="1"/>
      <c r="N19557" s="1"/>
    </row>
    <row r="19558" spans="7:14" x14ac:dyDescent="0.3">
      <c r="G19558" s="1"/>
      <c r="N19558" s="1"/>
    </row>
    <row r="19559" spans="7:14" x14ac:dyDescent="0.3">
      <c r="G19559" s="1"/>
      <c r="N19559" s="1"/>
    </row>
    <row r="19560" spans="7:14" x14ac:dyDescent="0.3">
      <c r="G19560" s="1"/>
      <c r="N19560" s="1"/>
    </row>
    <row r="19561" spans="7:14" x14ac:dyDescent="0.3">
      <c r="G19561" s="1"/>
      <c r="N19561" s="1"/>
    </row>
    <row r="19562" spans="7:14" x14ac:dyDescent="0.3">
      <c r="G19562" s="1"/>
      <c r="N19562" s="1"/>
    </row>
    <row r="19563" spans="7:14" x14ac:dyDescent="0.3">
      <c r="G19563" s="1"/>
      <c r="N19563" s="1"/>
    </row>
    <row r="19564" spans="7:14" x14ac:dyDescent="0.3">
      <c r="G19564" s="1"/>
      <c r="N19564" s="1"/>
    </row>
    <row r="19565" spans="7:14" x14ac:dyDescent="0.3">
      <c r="G19565" s="1"/>
      <c r="N19565" s="1"/>
    </row>
    <row r="19566" spans="7:14" x14ac:dyDescent="0.3">
      <c r="G19566" s="1"/>
      <c r="N19566" s="1"/>
    </row>
    <row r="19567" spans="7:14" x14ac:dyDescent="0.3">
      <c r="G19567" s="1"/>
      <c r="N19567" s="1"/>
    </row>
    <row r="19568" spans="7:14" x14ac:dyDescent="0.3">
      <c r="G19568" s="1"/>
      <c r="N19568" s="1"/>
    </row>
    <row r="19569" spans="7:14" x14ac:dyDescent="0.3">
      <c r="G19569" s="1"/>
      <c r="N19569" s="1"/>
    </row>
    <row r="19570" spans="7:14" x14ac:dyDescent="0.3">
      <c r="G19570" s="1"/>
      <c r="N19570" s="1"/>
    </row>
    <row r="19571" spans="7:14" x14ac:dyDescent="0.3">
      <c r="G19571" s="1"/>
      <c r="N19571" s="1"/>
    </row>
    <row r="19572" spans="7:14" x14ac:dyDescent="0.3">
      <c r="G19572" s="1"/>
      <c r="N19572" s="1"/>
    </row>
    <row r="19573" spans="7:14" x14ac:dyDescent="0.3">
      <c r="G19573" s="1"/>
      <c r="N19573" s="1"/>
    </row>
    <row r="19574" spans="7:14" x14ac:dyDescent="0.3">
      <c r="G19574" s="1"/>
      <c r="N19574" s="1"/>
    </row>
    <row r="19575" spans="7:14" x14ac:dyDescent="0.3">
      <c r="G19575" s="1"/>
      <c r="N19575" s="1"/>
    </row>
    <row r="19576" spans="7:14" x14ac:dyDescent="0.3">
      <c r="G19576" s="1"/>
      <c r="N19576" s="1"/>
    </row>
    <row r="19577" spans="7:14" x14ac:dyDescent="0.3">
      <c r="G19577" s="1"/>
      <c r="N19577" s="1"/>
    </row>
    <row r="19578" spans="7:14" x14ac:dyDescent="0.3">
      <c r="G19578" s="1"/>
      <c r="N19578" s="1"/>
    </row>
    <row r="19579" spans="7:14" x14ac:dyDescent="0.3">
      <c r="G19579" s="1"/>
      <c r="N19579" s="1"/>
    </row>
    <row r="19580" spans="7:14" x14ac:dyDescent="0.3">
      <c r="G19580" s="1"/>
      <c r="N19580" s="1"/>
    </row>
    <row r="19581" spans="7:14" x14ac:dyDescent="0.3">
      <c r="G19581" s="1"/>
      <c r="N19581" s="1"/>
    </row>
    <row r="19582" spans="7:14" x14ac:dyDescent="0.3">
      <c r="G19582" s="1"/>
      <c r="N19582" s="1"/>
    </row>
    <row r="19583" spans="7:14" x14ac:dyDescent="0.3">
      <c r="G19583" s="1"/>
      <c r="N19583" s="1"/>
    </row>
    <row r="19584" spans="7:14" x14ac:dyDescent="0.3">
      <c r="G19584" s="1"/>
      <c r="N19584" s="1"/>
    </row>
    <row r="19585" spans="7:14" x14ac:dyDescent="0.3">
      <c r="G19585" s="1"/>
      <c r="N19585" s="1"/>
    </row>
    <row r="19586" spans="7:14" x14ac:dyDescent="0.3">
      <c r="G19586" s="1"/>
      <c r="N19586" s="1"/>
    </row>
    <row r="19587" spans="7:14" x14ac:dyDescent="0.3">
      <c r="G19587" s="1"/>
      <c r="N19587" s="1"/>
    </row>
    <row r="19588" spans="7:14" x14ac:dyDescent="0.3">
      <c r="G19588" s="1"/>
      <c r="N19588" s="1"/>
    </row>
    <row r="19589" spans="7:14" x14ac:dyDescent="0.3">
      <c r="G19589" s="1"/>
      <c r="N19589" s="1"/>
    </row>
    <row r="19590" spans="7:14" x14ac:dyDescent="0.3">
      <c r="G19590" s="1"/>
      <c r="N19590" s="1"/>
    </row>
    <row r="19591" spans="7:14" x14ac:dyDescent="0.3">
      <c r="G19591" s="1"/>
      <c r="N19591" s="1"/>
    </row>
    <row r="19592" spans="7:14" x14ac:dyDescent="0.3">
      <c r="G19592" s="1"/>
      <c r="N19592" s="1"/>
    </row>
    <row r="19593" spans="7:14" x14ac:dyDescent="0.3">
      <c r="G19593" s="1"/>
      <c r="N19593" s="1"/>
    </row>
    <row r="19594" spans="7:14" x14ac:dyDescent="0.3">
      <c r="G19594" s="1"/>
      <c r="N19594" s="1"/>
    </row>
    <row r="19595" spans="7:14" x14ac:dyDescent="0.3">
      <c r="G19595" s="1"/>
      <c r="N19595" s="1"/>
    </row>
    <row r="19596" spans="7:14" x14ac:dyDescent="0.3">
      <c r="G19596" s="1"/>
      <c r="N19596" s="1"/>
    </row>
    <row r="19597" spans="7:14" x14ac:dyDescent="0.3">
      <c r="G19597" s="1"/>
      <c r="N19597" s="1"/>
    </row>
    <row r="19598" spans="7:14" x14ac:dyDescent="0.3">
      <c r="G19598" s="1"/>
      <c r="N19598" s="1"/>
    </row>
    <row r="19599" spans="7:14" x14ac:dyDescent="0.3">
      <c r="G19599" s="1"/>
      <c r="N19599" s="1"/>
    </row>
    <row r="19600" spans="7:14" x14ac:dyDescent="0.3">
      <c r="G19600" s="1"/>
      <c r="N19600" s="1"/>
    </row>
    <row r="19601" spans="7:14" x14ac:dyDescent="0.3">
      <c r="G19601" s="1"/>
      <c r="N19601" s="1"/>
    </row>
    <row r="19602" spans="7:14" x14ac:dyDescent="0.3">
      <c r="G19602" s="1"/>
      <c r="N19602" s="1"/>
    </row>
    <row r="19603" spans="7:14" x14ac:dyDescent="0.3">
      <c r="G19603" s="1"/>
      <c r="N19603" s="1"/>
    </row>
    <row r="19604" spans="7:14" x14ac:dyDescent="0.3">
      <c r="G19604" s="1"/>
      <c r="N19604" s="1"/>
    </row>
    <row r="19605" spans="7:14" x14ac:dyDescent="0.3">
      <c r="G19605" s="1"/>
      <c r="N19605" s="1"/>
    </row>
    <row r="19606" spans="7:14" x14ac:dyDescent="0.3">
      <c r="G19606" s="1"/>
      <c r="N19606" s="1"/>
    </row>
    <row r="19607" spans="7:14" x14ac:dyDescent="0.3">
      <c r="G19607" s="1"/>
      <c r="N19607" s="1"/>
    </row>
    <row r="19608" spans="7:14" x14ac:dyDescent="0.3">
      <c r="G19608" s="1"/>
      <c r="N19608" s="1"/>
    </row>
    <row r="19609" spans="7:14" x14ac:dyDescent="0.3">
      <c r="G19609" s="1"/>
      <c r="N19609" s="1"/>
    </row>
    <row r="19610" spans="7:14" x14ac:dyDescent="0.3">
      <c r="G19610" s="1"/>
      <c r="N19610" s="1"/>
    </row>
    <row r="19611" spans="7:14" x14ac:dyDescent="0.3">
      <c r="G19611" s="1"/>
      <c r="N19611" s="1"/>
    </row>
    <row r="19612" spans="7:14" x14ac:dyDescent="0.3">
      <c r="G19612" s="1"/>
      <c r="N19612" s="1"/>
    </row>
    <row r="19613" spans="7:14" x14ac:dyDescent="0.3">
      <c r="G19613" s="1"/>
      <c r="N19613" s="1"/>
    </row>
    <row r="19614" spans="7:14" x14ac:dyDescent="0.3">
      <c r="G19614" s="1"/>
      <c r="N19614" s="1"/>
    </row>
    <row r="19615" spans="7:14" x14ac:dyDescent="0.3">
      <c r="G19615" s="1"/>
      <c r="N19615" s="1"/>
    </row>
    <row r="19616" spans="7:14" x14ac:dyDescent="0.3">
      <c r="G19616" s="1"/>
      <c r="N19616" s="1"/>
    </row>
    <row r="19617" spans="7:14" x14ac:dyDescent="0.3">
      <c r="G19617" s="1"/>
      <c r="N19617" s="1"/>
    </row>
    <row r="19618" spans="7:14" x14ac:dyDescent="0.3">
      <c r="G19618" s="1"/>
      <c r="N19618" s="1"/>
    </row>
    <row r="19619" spans="7:14" x14ac:dyDescent="0.3">
      <c r="G19619" s="1"/>
      <c r="N19619" s="1"/>
    </row>
    <row r="19620" spans="7:14" x14ac:dyDescent="0.3">
      <c r="G19620" s="1"/>
      <c r="N19620" s="1"/>
    </row>
    <row r="19621" spans="7:14" x14ac:dyDescent="0.3">
      <c r="G19621" s="1"/>
      <c r="N19621" s="1"/>
    </row>
    <row r="19622" spans="7:14" x14ac:dyDescent="0.3">
      <c r="G19622" s="1"/>
      <c r="N19622" s="1"/>
    </row>
    <row r="19623" spans="7:14" x14ac:dyDescent="0.3">
      <c r="G19623" s="1"/>
      <c r="N19623" s="1"/>
    </row>
    <row r="19624" spans="7:14" x14ac:dyDescent="0.3">
      <c r="G19624" s="1"/>
      <c r="N19624" s="1"/>
    </row>
    <row r="19625" spans="7:14" x14ac:dyDescent="0.3">
      <c r="G19625" s="1"/>
      <c r="N19625" s="1"/>
    </row>
    <row r="19626" spans="7:14" x14ac:dyDescent="0.3">
      <c r="G19626" s="1"/>
      <c r="N19626" s="1"/>
    </row>
    <row r="19627" spans="7:14" x14ac:dyDescent="0.3">
      <c r="G19627" s="1"/>
      <c r="N19627" s="1"/>
    </row>
    <row r="19628" spans="7:14" x14ac:dyDescent="0.3">
      <c r="G19628" s="1"/>
      <c r="N19628" s="1"/>
    </row>
    <row r="19629" spans="7:14" x14ac:dyDescent="0.3">
      <c r="G19629" s="1"/>
      <c r="N19629" s="1"/>
    </row>
    <row r="19630" spans="7:14" x14ac:dyDescent="0.3">
      <c r="G19630" s="1"/>
      <c r="N19630" s="1"/>
    </row>
    <row r="19631" spans="7:14" x14ac:dyDescent="0.3">
      <c r="G19631" s="1"/>
      <c r="N19631" s="1"/>
    </row>
    <row r="19632" spans="7:14" x14ac:dyDescent="0.3">
      <c r="G19632" s="1"/>
      <c r="N19632" s="1"/>
    </row>
    <row r="19633" spans="7:14" x14ac:dyDescent="0.3">
      <c r="G19633" s="1"/>
      <c r="N19633" s="1"/>
    </row>
    <row r="19634" spans="7:14" x14ac:dyDescent="0.3">
      <c r="G19634" s="1"/>
      <c r="N19634" s="1"/>
    </row>
    <row r="19635" spans="7:14" x14ac:dyDescent="0.3">
      <c r="G19635" s="1"/>
      <c r="N19635" s="1"/>
    </row>
    <row r="19636" spans="7:14" x14ac:dyDescent="0.3">
      <c r="G19636" s="1"/>
      <c r="N19636" s="1"/>
    </row>
    <row r="19637" spans="7:14" x14ac:dyDescent="0.3">
      <c r="G19637" s="1"/>
      <c r="N19637" s="1"/>
    </row>
    <row r="19638" spans="7:14" x14ac:dyDescent="0.3">
      <c r="G19638" s="1"/>
      <c r="N19638" s="1"/>
    </row>
    <row r="19639" spans="7:14" x14ac:dyDescent="0.3">
      <c r="G19639" s="1"/>
      <c r="N19639" s="1"/>
    </row>
    <row r="19640" spans="7:14" x14ac:dyDescent="0.3">
      <c r="G19640" s="1"/>
      <c r="N19640" s="1"/>
    </row>
    <row r="19641" spans="7:14" x14ac:dyDescent="0.3">
      <c r="G19641" s="1"/>
      <c r="N19641" s="1"/>
    </row>
    <row r="19642" spans="7:14" x14ac:dyDescent="0.3">
      <c r="G19642" s="1"/>
      <c r="N19642" s="1"/>
    </row>
    <row r="19643" spans="7:14" x14ac:dyDescent="0.3">
      <c r="G19643" s="1"/>
      <c r="N19643" s="1"/>
    </row>
    <row r="19644" spans="7:14" x14ac:dyDescent="0.3">
      <c r="G19644" s="1"/>
      <c r="N19644" s="1"/>
    </row>
    <row r="19645" spans="7:14" x14ac:dyDescent="0.3">
      <c r="G19645" s="1"/>
      <c r="N19645" s="1"/>
    </row>
    <row r="19646" spans="7:14" x14ac:dyDescent="0.3">
      <c r="G19646" s="1"/>
      <c r="N19646" s="1"/>
    </row>
    <row r="19647" spans="7:14" x14ac:dyDescent="0.3">
      <c r="G19647" s="1"/>
      <c r="N19647" s="1"/>
    </row>
    <row r="19648" spans="7:14" x14ac:dyDescent="0.3">
      <c r="G19648" s="1"/>
      <c r="N19648" s="1"/>
    </row>
    <row r="19649" spans="7:14" x14ac:dyDescent="0.3">
      <c r="G19649" s="1"/>
      <c r="N19649" s="1"/>
    </row>
    <row r="19650" spans="7:14" x14ac:dyDescent="0.3">
      <c r="G19650" s="1"/>
      <c r="N19650" s="1"/>
    </row>
    <row r="19651" spans="7:14" x14ac:dyDescent="0.3">
      <c r="G19651" s="1"/>
      <c r="N19651" s="1"/>
    </row>
    <row r="19652" spans="7:14" x14ac:dyDescent="0.3">
      <c r="G19652" s="1"/>
      <c r="N19652" s="1"/>
    </row>
    <row r="19653" spans="7:14" x14ac:dyDescent="0.3">
      <c r="G19653" s="1"/>
      <c r="N19653" s="1"/>
    </row>
    <row r="19654" spans="7:14" x14ac:dyDescent="0.3">
      <c r="G19654" s="1"/>
      <c r="N19654" s="1"/>
    </row>
    <row r="19655" spans="7:14" x14ac:dyDescent="0.3">
      <c r="G19655" s="1"/>
      <c r="N19655" s="1"/>
    </row>
    <row r="19656" spans="7:14" x14ac:dyDescent="0.3">
      <c r="G19656" s="1"/>
      <c r="N19656" s="1"/>
    </row>
    <row r="19657" spans="7:14" x14ac:dyDescent="0.3">
      <c r="G19657" s="1"/>
      <c r="N19657" s="1"/>
    </row>
    <row r="19658" spans="7:14" x14ac:dyDescent="0.3">
      <c r="G19658" s="1"/>
      <c r="N19658" s="1"/>
    </row>
    <row r="19659" spans="7:14" x14ac:dyDescent="0.3">
      <c r="G19659" s="1"/>
      <c r="N19659" s="1"/>
    </row>
    <row r="19660" spans="7:14" x14ac:dyDescent="0.3">
      <c r="G19660" s="1"/>
      <c r="N19660" s="1"/>
    </row>
    <row r="19661" spans="7:14" x14ac:dyDescent="0.3">
      <c r="G19661" s="1"/>
      <c r="N19661" s="1"/>
    </row>
    <row r="19662" spans="7:14" x14ac:dyDescent="0.3">
      <c r="G19662" s="1"/>
      <c r="N19662" s="1"/>
    </row>
    <row r="19663" spans="7:14" x14ac:dyDescent="0.3">
      <c r="G19663" s="1"/>
      <c r="N19663" s="1"/>
    </row>
    <row r="19664" spans="7:14" x14ac:dyDescent="0.3">
      <c r="G19664" s="1"/>
      <c r="N19664" s="1"/>
    </row>
    <row r="19665" spans="7:14" x14ac:dyDescent="0.3">
      <c r="G19665" s="1"/>
      <c r="N19665" s="1"/>
    </row>
    <row r="19666" spans="7:14" x14ac:dyDescent="0.3">
      <c r="G19666" s="1"/>
      <c r="N19666" s="1"/>
    </row>
    <row r="19667" spans="7:14" x14ac:dyDescent="0.3">
      <c r="G19667" s="1"/>
      <c r="N19667" s="1"/>
    </row>
    <row r="19668" spans="7:14" x14ac:dyDescent="0.3">
      <c r="G19668" s="1"/>
      <c r="N19668" s="1"/>
    </row>
    <row r="19669" spans="7:14" x14ac:dyDescent="0.3">
      <c r="G19669" s="1"/>
      <c r="N19669" s="1"/>
    </row>
    <row r="19670" spans="7:14" x14ac:dyDescent="0.3">
      <c r="G19670" s="1"/>
      <c r="N19670" s="1"/>
    </row>
    <row r="19671" spans="7:14" x14ac:dyDescent="0.3">
      <c r="G19671" s="1"/>
      <c r="N19671" s="1"/>
    </row>
    <row r="19672" spans="7:14" x14ac:dyDescent="0.3">
      <c r="G19672" s="1"/>
      <c r="N19672" s="1"/>
    </row>
    <row r="19673" spans="7:14" x14ac:dyDescent="0.3">
      <c r="G19673" s="1"/>
      <c r="N19673" s="1"/>
    </row>
    <row r="19674" spans="7:14" x14ac:dyDescent="0.3">
      <c r="G19674" s="1"/>
      <c r="N19674" s="1"/>
    </row>
    <row r="19675" spans="7:14" x14ac:dyDescent="0.3">
      <c r="G19675" s="1"/>
      <c r="N19675" s="1"/>
    </row>
    <row r="19676" spans="7:14" x14ac:dyDescent="0.3">
      <c r="G19676" s="1"/>
      <c r="N19676" s="1"/>
    </row>
    <row r="19677" spans="7:14" x14ac:dyDescent="0.3">
      <c r="G19677" s="1"/>
      <c r="N19677" s="1"/>
    </row>
    <row r="19678" spans="7:14" x14ac:dyDescent="0.3">
      <c r="G19678" s="1"/>
      <c r="N19678" s="1"/>
    </row>
    <row r="19679" spans="7:14" x14ac:dyDescent="0.3">
      <c r="G19679" s="1"/>
      <c r="N19679" s="1"/>
    </row>
    <row r="19680" spans="7:14" x14ac:dyDescent="0.3">
      <c r="G19680" s="1"/>
      <c r="N19680" s="1"/>
    </row>
    <row r="19681" spans="7:14" x14ac:dyDescent="0.3">
      <c r="G19681" s="1"/>
      <c r="N19681" s="1"/>
    </row>
    <row r="19682" spans="7:14" x14ac:dyDescent="0.3">
      <c r="G19682" s="1"/>
      <c r="N19682" s="1"/>
    </row>
    <row r="19683" spans="7:14" x14ac:dyDescent="0.3">
      <c r="G19683" s="1"/>
      <c r="N19683" s="1"/>
    </row>
    <row r="19684" spans="7:14" x14ac:dyDescent="0.3">
      <c r="G19684" s="1"/>
      <c r="N19684" s="1"/>
    </row>
    <row r="19685" spans="7:14" x14ac:dyDescent="0.3">
      <c r="G19685" s="1"/>
      <c r="N19685" s="1"/>
    </row>
    <row r="19686" spans="7:14" x14ac:dyDescent="0.3">
      <c r="G19686" s="1"/>
      <c r="N19686" s="1"/>
    </row>
    <row r="19687" spans="7:14" x14ac:dyDescent="0.3">
      <c r="G19687" s="1"/>
      <c r="N19687" s="1"/>
    </row>
    <row r="19688" spans="7:14" x14ac:dyDescent="0.3">
      <c r="G19688" s="1"/>
      <c r="N19688" s="1"/>
    </row>
    <row r="19689" spans="7:14" x14ac:dyDescent="0.3">
      <c r="G19689" s="1"/>
      <c r="N19689" s="1"/>
    </row>
    <row r="19690" spans="7:14" x14ac:dyDescent="0.3">
      <c r="G19690" s="1"/>
      <c r="N19690" s="1"/>
    </row>
    <row r="19691" spans="7:14" x14ac:dyDescent="0.3">
      <c r="G19691" s="1"/>
      <c r="N19691" s="1"/>
    </row>
    <row r="19692" spans="7:14" x14ac:dyDescent="0.3">
      <c r="G19692" s="1"/>
      <c r="N19692" s="1"/>
    </row>
    <row r="19693" spans="7:14" x14ac:dyDescent="0.3">
      <c r="G19693" s="1"/>
      <c r="N19693" s="1"/>
    </row>
    <row r="19694" spans="7:14" x14ac:dyDescent="0.3">
      <c r="G19694" s="1"/>
      <c r="N19694" s="1"/>
    </row>
    <row r="19695" spans="7:14" x14ac:dyDescent="0.3">
      <c r="G19695" s="1"/>
      <c r="N19695" s="1"/>
    </row>
    <row r="19696" spans="7:14" x14ac:dyDescent="0.3">
      <c r="G19696" s="1"/>
      <c r="N19696" s="1"/>
    </row>
    <row r="19697" spans="7:14" x14ac:dyDescent="0.3">
      <c r="G19697" s="1"/>
      <c r="N19697" s="1"/>
    </row>
    <row r="19698" spans="7:14" x14ac:dyDescent="0.3">
      <c r="G19698" s="1"/>
      <c r="N19698" s="1"/>
    </row>
    <row r="19699" spans="7:14" x14ac:dyDescent="0.3">
      <c r="G19699" s="1"/>
      <c r="N19699" s="1"/>
    </row>
    <row r="19700" spans="7:14" x14ac:dyDescent="0.3">
      <c r="G19700" s="1"/>
      <c r="N19700" s="1"/>
    </row>
    <row r="19701" spans="7:14" x14ac:dyDescent="0.3">
      <c r="G19701" s="1"/>
      <c r="N19701" s="1"/>
    </row>
    <row r="19702" spans="7:14" x14ac:dyDescent="0.3">
      <c r="G19702" s="1"/>
      <c r="N19702" s="1"/>
    </row>
    <row r="19703" spans="7:14" x14ac:dyDescent="0.3">
      <c r="G19703" s="1"/>
      <c r="N19703" s="1"/>
    </row>
    <row r="19704" spans="7:14" x14ac:dyDescent="0.3">
      <c r="G19704" s="1"/>
      <c r="N19704" s="1"/>
    </row>
    <row r="19705" spans="7:14" x14ac:dyDescent="0.3">
      <c r="G19705" s="1"/>
      <c r="N19705" s="1"/>
    </row>
    <row r="19706" spans="7:14" x14ac:dyDescent="0.3">
      <c r="G19706" s="1"/>
      <c r="N19706" s="1"/>
    </row>
    <row r="19707" spans="7:14" x14ac:dyDescent="0.3">
      <c r="G19707" s="1"/>
      <c r="N19707" s="1"/>
    </row>
    <row r="19708" spans="7:14" x14ac:dyDescent="0.3">
      <c r="G19708" s="1"/>
      <c r="N19708" s="1"/>
    </row>
    <row r="19709" spans="7:14" x14ac:dyDescent="0.3">
      <c r="G19709" s="1"/>
      <c r="N19709" s="1"/>
    </row>
    <row r="19710" spans="7:14" x14ac:dyDescent="0.3">
      <c r="G19710" s="1"/>
      <c r="N19710" s="1"/>
    </row>
    <row r="19711" spans="7:14" x14ac:dyDescent="0.3">
      <c r="G19711" s="1"/>
      <c r="N19711" s="1"/>
    </row>
    <row r="19712" spans="7:14" x14ac:dyDescent="0.3">
      <c r="G19712" s="1"/>
      <c r="N19712" s="1"/>
    </row>
    <row r="19713" spans="7:14" x14ac:dyDescent="0.3">
      <c r="G19713" s="1"/>
      <c r="N19713" s="1"/>
    </row>
    <row r="19714" spans="7:14" x14ac:dyDescent="0.3">
      <c r="G19714" s="1"/>
      <c r="N19714" s="1"/>
    </row>
    <row r="19715" spans="7:14" x14ac:dyDescent="0.3">
      <c r="G19715" s="1"/>
      <c r="N19715" s="1"/>
    </row>
    <row r="19716" spans="7:14" x14ac:dyDescent="0.3">
      <c r="G19716" s="1"/>
      <c r="N19716" s="1"/>
    </row>
    <row r="19717" spans="7:14" x14ac:dyDescent="0.3">
      <c r="G19717" s="1"/>
      <c r="N19717" s="1"/>
    </row>
    <row r="19718" spans="7:14" x14ac:dyDescent="0.3">
      <c r="G19718" s="1"/>
      <c r="N19718" s="1"/>
    </row>
    <row r="19719" spans="7:14" x14ac:dyDescent="0.3">
      <c r="G19719" s="1"/>
      <c r="N19719" s="1"/>
    </row>
    <row r="19720" spans="7:14" x14ac:dyDescent="0.3">
      <c r="G19720" s="1"/>
      <c r="N19720" s="1"/>
    </row>
    <row r="19721" spans="7:14" x14ac:dyDescent="0.3">
      <c r="G19721" s="1"/>
      <c r="N19721" s="1"/>
    </row>
    <row r="19722" spans="7:14" x14ac:dyDescent="0.3">
      <c r="G19722" s="1"/>
      <c r="N19722" s="1"/>
    </row>
    <row r="19723" spans="7:14" x14ac:dyDescent="0.3">
      <c r="G19723" s="1"/>
      <c r="N19723" s="1"/>
    </row>
    <row r="19724" spans="7:14" x14ac:dyDescent="0.3">
      <c r="G19724" s="1"/>
      <c r="N19724" s="1"/>
    </row>
    <row r="19725" spans="7:14" x14ac:dyDescent="0.3">
      <c r="G19725" s="1"/>
      <c r="N19725" s="1"/>
    </row>
    <row r="19726" spans="7:14" x14ac:dyDescent="0.3">
      <c r="G19726" s="1"/>
      <c r="N19726" s="1"/>
    </row>
    <row r="19727" spans="7:14" x14ac:dyDescent="0.3">
      <c r="G19727" s="1"/>
      <c r="N19727" s="1"/>
    </row>
    <row r="19728" spans="7:14" x14ac:dyDescent="0.3">
      <c r="G19728" s="1"/>
      <c r="N19728" s="1"/>
    </row>
    <row r="19729" spans="7:14" x14ac:dyDescent="0.3">
      <c r="G19729" s="1"/>
      <c r="N19729" s="1"/>
    </row>
    <row r="19730" spans="7:14" x14ac:dyDescent="0.3">
      <c r="G19730" s="1"/>
      <c r="N19730" s="1"/>
    </row>
    <row r="19731" spans="7:14" x14ac:dyDescent="0.3">
      <c r="G19731" s="1"/>
      <c r="N19731" s="1"/>
    </row>
    <row r="19732" spans="7:14" x14ac:dyDescent="0.3">
      <c r="G19732" s="1"/>
      <c r="N19732" s="1"/>
    </row>
    <row r="19733" spans="7:14" x14ac:dyDescent="0.3">
      <c r="G19733" s="1"/>
      <c r="N19733" s="1"/>
    </row>
    <row r="19734" spans="7:14" x14ac:dyDescent="0.3">
      <c r="G19734" s="1"/>
      <c r="N19734" s="1"/>
    </row>
    <row r="19735" spans="7:14" x14ac:dyDescent="0.3">
      <c r="G19735" s="1"/>
      <c r="N19735" s="1"/>
    </row>
    <row r="19736" spans="7:14" x14ac:dyDescent="0.3">
      <c r="G19736" s="1"/>
      <c r="N19736" s="1"/>
    </row>
    <row r="19737" spans="7:14" x14ac:dyDescent="0.3">
      <c r="G19737" s="1"/>
      <c r="N19737" s="1"/>
    </row>
    <row r="19738" spans="7:14" x14ac:dyDescent="0.3">
      <c r="G19738" s="1"/>
      <c r="N19738" s="1"/>
    </row>
    <row r="19739" spans="7:14" x14ac:dyDescent="0.3">
      <c r="G19739" s="1"/>
      <c r="N19739" s="1"/>
    </row>
    <row r="19740" spans="7:14" x14ac:dyDescent="0.3">
      <c r="G19740" s="1"/>
      <c r="N19740" s="1"/>
    </row>
    <row r="19741" spans="7:14" x14ac:dyDescent="0.3">
      <c r="G19741" s="1"/>
      <c r="N19741" s="1"/>
    </row>
    <row r="19742" spans="7:14" x14ac:dyDescent="0.3">
      <c r="G19742" s="1"/>
      <c r="N19742" s="1"/>
    </row>
    <row r="19743" spans="7:14" x14ac:dyDescent="0.3">
      <c r="G19743" s="1"/>
      <c r="N19743" s="1"/>
    </row>
    <row r="19744" spans="7:14" x14ac:dyDescent="0.3">
      <c r="G19744" s="1"/>
      <c r="N19744" s="1"/>
    </row>
    <row r="19745" spans="7:14" x14ac:dyDescent="0.3">
      <c r="G19745" s="1"/>
      <c r="N19745" s="1"/>
    </row>
    <row r="19746" spans="7:14" x14ac:dyDescent="0.3">
      <c r="G19746" s="1"/>
      <c r="N19746" s="1"/>
    </row>
    <row r="19747" spans="7:14" x14ac:dyDescent="0.3">
      <c r="G19747" s="1"/>
      <c r="N19747" s="1"/>
    </row>
    <row r="19748" spans="7:14" x14ac:dyDescent="0.3">
      <c r="G19748" s="1"/>
      <c r="N19748" s="1"/>
    </row>
    <row r="19749" spans="7:14" x14ac:dyDescent="0.3">
      <c r="G19749" s="1"/>
      <c r="N19749" s="1"/>
    </row>
    <row r="19750" spans="7:14" x14ac:dyDescent="0.3">
      <c r="G19750" s="1"/>
      <c r="N19750" s="1"/>
    </row>
    <row r="19751" spans="7:14" x14ac:dyDescent="0.3">
      <c r="G19751" s="1"/>
      <c r="N19751" s="1"/>
    </row>
    <row r="19752" spans="7:14" x14ac:dyDescent="0.3">
      <c r="G19752" s="1"/>
      <c r="N19752" s="1"/>
    </row>
    <row r="19753" spans="7:14" x14ac:dyDescent="0.3">
      <c r="G19753" s="1"/>
      <c r="N19753" s="1"/>
    </row>
    <row r="19754" spans="7:14" x14ac:dyDescent="0.3">
      <c r="G19754" s="1"/>
      <c r="N19754" s="1"/>
    </row>
    <row r="19755" spans="7:14" x14ac:dyDescent="0.3">
      <c r="G19755" s="1"/>
      <c r="N19755" s="1"/>
    </row>
    <row r="19756" spans="7:14" x14ac:dyDescent="0.3">
      <c r="G19756" s="1"/>
      <c r="N19756" s="1"/>
    </row>
    <row r="19757" spans="7:14" x14ac:dyDescent="0.3">
      <c r="G19757" s="1"/>
      <c r="N19757" s="1"/>
    </row>
    <row r="19758" spans="7:14" x14ac:dyDescent="0.3">
      <c r="G19758" s="1"/>
      <c r="N19758" s="1"/>
    </row>
    <row r="19759" spans="7:14" x14ac:dyDescent="0.3">
      <c r="G19759" s="1"/>
      <c r="N19759" s="1"/>
    </row>
    <row r="19760" spans="7:14" x14ac:dyDescent="0.3">
      <c r="G19760" s="1"/>
      <c r="N19760" s="1"/>
    </row>
    <row r="19761" spans="7:14" x14ac:dyDescent="0.3">
      <c r="G19761" s="1"/>
      <c r="N19761" s="1"/>
    </row>
    <row r="19762" spans="7:14" x14ac:dyDescent="0.3">
      <c r="G19762" s="1"/>
      <c r="N19762" s="1"/>
    </row>
    <row r="19763" spans="7:14" x14ac:dyDescent="0.3">
      <c r="G19763" s="1"/>
      <c r="N19763" s="1"/>
    </row>
    <row r="19764" spans="7:14" x14ac:dyDescent="0.3">
      <c r="G19764" s="1"/>
      <c r="N19764" s="1"/>
    </row>
    <row r="19765" spans="7:14" x14ac:dyDescent="0.3">
      <c r="G19765" s="1"/>
      <c r="N19765" s="1"/>
    </row>
    <row r="19766" spans="7:14" x14ac:dyDescent="0.3">
      <c r="G19766" s="1"/>
      <c r="N19766" s="1"/>
    </row>
    <row r="19767" spans="7:14" x14ac:dyDescent="0.3">
      <c r="G19767" s="1"/>
      <c r="N19767" s="1"/>
    </row>
    <row r="19768" spans="7:14" x14ac:dyDescent="0.3">
      <c r="G19768" s="1"/>
      <c r="N19768" s="1"/>
    </row>
    <row r="19769" spans="7:14" x14ac:dyDescent="0.3">
      <c r="G19769" s="1"/>
      <c r="N19769" s="1"/>
    </row>
    <row r="19770" spans="7:14" x14ac:dyDescent="0.3">
      <c r="G19770" s="1"/>
      <c r="N19770" s="1"/>
    </row>
    <row r="19771" spans="7:14" x14ac:dyDescent="0.3">
      <c r="G19771" s="1"/>
      <c r="N19771" s="1"/>
    </row>
    <row r="19772" spans="7:14" x14ac:dyDescent="0.3">
      <c r="G19772" s="1"/>
      <c r="N19772" s="1"/>
    </row>
    <row r="19773" spans="7:14" x14ac:dyDescent="0.3">
      <c r="G19773" s="1"/>
      <c r="N19773" s="1"/>
    </row>
    <row r="19774" spans="7:14" x14ac:dyDescent="0.3">
      <c r="G19774" s="1"/>
      <c r="N19774" s="1"/>
    </row>
    <row r="19775" spans="7:14" x14ac:dyDescent="0.3">
      <c r="G19775" s="1"/>
      <c r="N19775" s="1"/>
    </row>
    <row r="19776" spans="7:14" x14ac:dyDescent="0.3">
      <c r="G19776" s="1"/>
      <c r="N19776" s="1"/>
    </row>
    <row r="19777" spans="7:14" x14ac:dyDescent="0.3">
      <c r="G19777" s="1"/>
      <c r="N19777" s="1"/>
    </row>
    <row r="19778" spans="7:14" x14ac:dyDescent="0.3">
      <c r="G19778" s="1"/>
      <c r="N19778" s="1"/>
    </row>
    <row r="19779" spans="7:14" x14ac:dyDescent="0.3">
      <c r="G19779" s="1"/>
      <c r="N19779" s="1"/>
    </row>
    <row r="19780" spans="7:14" x14ac:dyDescent="0.3">
      <c r="G19780" s="1"/>
      <c r="N19780" s="1"/>
    </row>
    <row r="19781" spans="7:14" x14ac:dyDescent="0.3">
      <c r="G19781" s="1"/>
      <c r="N19781" s="1"/>
    </row>
    <row r="19782" spans="7:14" x14ac:dyDescent="0.3">
      <c r="G19782" s="1"/>
      <c r="N19782" s="1"/>
    </row>
    <row r="19783" spans="7:14" x14ac:dyDescent="0.3">
      <c r="G19783" s="1"/>
      <c r="N19783" s="1"/>
    </row>
    <row r="19784" spans="7:14" x14ac:dyDescent="0.3">
      <c r="G19784" s="1"/>
      <c r="N19784" s="1"/>
    </row>
    <row r="19785" spans="7:14" x14ac:dyDescent="0.3">
      <c r="G19785" s="1"/>
      <c r="N19785" s="1"/>
    </row>
    <row r="19786" spans="7:14" x14ac:dyDescent="0.3">
      <c r="G19786" s="1"/>
      <c r="N19786" s="1"/>
    </row>
    <row r="19787" spans="7:14" x14ac:dyDescent="0.3">
      <c r="G19787" s="1"/>
      <c r="N19787" s="1"/>
    </row>
    <row r="19788" spans="7:14" x14ac:dyDescent="0.3">
      <c r="G19788" s="1"/>
      <c r="N19788" s="1"/>
    </row>
    <row r="19789" spans="7:14" x14ac:dyDescent="0.3">
      <c r="G19789" s="1"/>
      <c r="N19789" s="1"/>
    </row>
    <row r="19790" spans="7:14" x14ac:dyDescent="0.3">
      <c r="G19790" s="1"/>
      <c r="N19790" s="1"/>
    </row>
    <row r="19791" spans="7:14" x14ac:dyDescent="0.3">
      <c r="G19791" s="1"/>
      <c r="N19791" s="1"/>
    </row>
    <row r="19792" spans="7:14" x14ac:dyDescent="0.3">
      <c r="G19792" s="1"/>
      <c r="N19792" s="1"/>
    </row>
    <row r="19793" spans="7:14" x14ac:dyDescent="0.3">
      <c r="G19793" s="1"/>
      <c r="N19793" s="1"/>
    </row>
    <row r="19794" spans="7:14" x14ac:dyDescent="0.3">
      <c r="G19794" s="1"/>
      <c r="N19794" s="1"/>
    </row>
    <row r="19795" spans="7:14" x14ac:dyDescent="0.3">
      <c r="G19795" s="1"/>
      <c r="N19795" s="1"/>
    </row>
    <row r="19796" spans="7:14" x14ac:dyDescent="0.3">
      <c r="G19796" s="1"/>
      <c r="N19796" s="1"/>
    </row>
    <row r="19797" spans="7:14" x14ac:dyDescent="0.3">
      <c r="G19797" s="1"/>
      <c r="N19797" s="1"/>
    </row>
    <row r="19798" spans="7:14" x14ac:dyDescent="0.3">
      <c r="G19798" s="1"/>
      <c r="N19798" s="1"/>
    </row>
    <row r="19799" spans="7:14" x14ac:dyDescent="0.3">
      <c r="G19799" s="1"/>
      <c r="N19799" s="1"/>
    </row>
    <row r="19800" spans="7:14" x14ac:dyDescent="0.3">
      <c r="G19800" s="1"/>
      <c r="N19800" s="1"/>
    </row>
    <row r="19801" spans="7:14" x14ac:dyDescent="0.3">
      <c r="G19801" s="1"/>
      <c r="N19801" s="1"/>
    </row>
    <row r="19802" spans="7:14" x14ac:dyDescent="0.3">
      <c r="G19802" s="1"/>
      <c r="N19802" s="1"/>
    </row>
    <row r="19803" spans="7:14" x14ac:dyDescent="0.3">
      <c r="G19803" s="1"/>
      <c r="N19803" s="1"/>
    </row>
    <row r="19804" spans="7:14" x14ac:dyDescent="0.3">
      <c r="G19804" s="1"/>
      <c r="N19804" s="1"/>
    </row>
    <row r="19805" spans="7:14" x14ac:dyDescent="0.3">
      <c r="G19805" s="1"/>
      <c r="N19805" s="1"/>
    </row>
    <row r="19806" spans="7:14" x14ac:dyDescent="0.3">
      <c r="G19806" s="1"/>
      <c r="N19806" s="1"/>
    </row>
    <row r="19807" spans="7:14" x14ac:dyDescent="0.3">
      <c r="G19807" s="1"/>
      <c r="N19807" s="1"/>
    </row>
    <row r="19808" spans="7:14" x14ac:dyDescent="0.3">
      <c r="G19808" s="1"/>
      <c r="N19808" s="1"/>
    </row>
    <row r="19809" spans="7:14" x14ac:dyDescent="0.3">
      <c r="G19809" s="1"/>
      <c r="N19809" s="1"/>
    </row>
    <row r="19810" spans="7:14" x14ac:dyDescent="0.3">
      <c r="G19810" s="1"/>
      <c r="N19810" s="1"/>
    </row>
    <row r="19811" spans="7:14" x14ac:dyDescent="0.3">
      <c r="G19811" s="1"/>
      <c r="N19811" s="1"/>
    </row>
    <row r="19812" spans="7:14" x14ac:dyDescent="0.3">
      <c r="G19812" s="1"/>
      <c r="N19812" s="1"/>
    </row>
    <row r="19813" spans="7:14" x14ac:dyDescent="0.3">
      <c r="G19813" s="1"/>
      <c r="N19813" s="1"/>
    </row>
    <row r="19814" spans="7:14" x14ac:dyDescent="0.3">
      <c r="G19814" s="1"/>
      <c r="N19814" s="1"/>
    </row>
    <row r="19815" spans="7:14" x14ac:dyDescent="0.3">
      <c r="G19815" s="1"/>
      <c r="N19815" s="1"/>
    </row>
    <row r="19816" spans="7:14" x14ac:dyDescent="0.3">
      <c r="G19816" s="1"/>
      <c r="N19816" s="1"/>
    </row>
    <row r="19817" spans="7:14" x14ac:dyDescent="0.3">
      <c r="G19817" s="1"/>
      <c r="N19817" s="1"/>
    </row>
    <row r="19818" spans="7:14" x14ac:dyDescent="0.3">
      <c r="G19818" s="1"/>
      <c r="N19818" s="1"/>
    </row>
    <row r="19819" spans="7:14" x14ac:dyDescent="0.3">
      <c r="G19819" s="1"/>
      <c r="N19819" s="1"/>
    </row>
    <row r="19820" spans="7:14" x14ac:dyDescent="0.3">
      <c r="G19820" s="1"/>
      <c r="N19820" s="1"/>
    </row>
    <row r="19821" spans="7:14" x14ac:dyDescent="0.3">
      <c r="G19821" s="1"/>
      <c r="N19821" s="1"/>
    </row>
    <row r="19822" spans="7:14" x14ac:dyDescent="0.3">
      <c r="G19822" s="1"/>
      <c r="N19822" s="1"/>
    </row>
    <row r="19823" spans="7:14" x14ac:dyDescent="0.3">
      <c r="G19823" s="1"/>
      <c r="N19823" s="1"/>
    </row>
    <row r="19824" spans="7:14" x14ac:dyDescent="0.3">
      <c r="G19824" s="1"/>
      <c r="N19824" s="1"/>
    </row>
    <row r="19825" spans="7:14" x14ac:dyDescent="0.3">
      <c r="G19825" s="1"/>
      <c r="N19825" s="1"/>
    </row>
    <row r="19826" spans="7:14" x14ac:dyDescent="0.3">
      <c r="G19826" s="1"/>
      <c r="N19826" s="1"/>
    </row>
    <row r="19827" spans="7:14" x14ac:dyDescent="0.3">
      <c r="G19827" s="1"/>
      <c r="N19827" s="1"/>
    </row>
    <row r="19828" spans="7:14" x14ac:dyDescent="0.3">
      <c r="G19828" s="1"/>
      <c r="N19828" s="1"/>
    </row>
    <row r="19829" spans="7:14" x14ac:dyDescent="0.3">
      <c r="G19829" s="1"/>
      <c r="N19829" s="1"/>
    </row>
    <row r="19830" spans="7:14" x14ac:dyDescent="0.3">
      <c r="G19830" s="1"/>
      <c r="N19830" s="1"/>
    </row>
    <row r="19831" spans="7:14" x14ac:dyDescent="0.3">
      <c r="G19831" s="1"/>
      <c r="N19831" s="1"/>
    </row>
    <row r="19832" spans="7:14" x14ac:dyDescent="0.3">
      <c r="G19832" s="1"/>
      <c r="N19832" s="1"/>
    </row>
    <row r="19833" spans="7:14" x14ac:dyDescent="0.3">
      <c r="G19833" s="1"/>
      <c r="N19833" s="1"/>
    </row>
    <row r="19834" spans="7:14" x14ac:dyDescent="0.3">
      <c r="G19834" s="1"/>
      <c r="N19834" s="1"/>
    </row>
    <row r="19835" spans="7:14" x14ac:dyDescent="0.3">
      <c r="G19835" s="1"/>
      <c r="N19835" s="1"/>
    </row>
    <row r="19836" spans="7:14" x14ac:dyDescent="0.3">
      <c r="G19836" s="1"/>
      <c r="N19836" s="1"/>
    </row>
    <row r="19837" spans="7:14" x14ac:dyDescent="0.3">
      <c r="G19837" s="1"/>
      <c r="N19837" s="1"/>
    </row>
    <row r="19838" spans="7:14" x14ac:dyDescent="0.3">
      <c r="G19838" s="1"/>
      <c r="N19838" s="1"/>
    </row>
    <row r="19839" spans="7:14" x14ac:dyDescent="0.3">
      <c r="G19839" s="1"/>
      <c r="N19839" s="1"/>
    </row>
    <row r="19840" spans="7:14" x14ac:dyDescent="0.3">
      <c r="G19840" s="1"/>
      <c r="N19840" s="1"/>
    </row>
    <row r="19841" spans="7:14" x14ac:dyDescent="0.3">
      <c r="G19841" s="1"/>
      <c r="N19841" s="1"/>
    </row>
    <row r="19842" spans="7:14" x14ac:dyDescent="0.3">
      <c r="G19842" s="1"/>
      <c r="N19842" s="1"/>
    </row>
    <row r="19843" spans="7:14" x14ac:dyDescent="0.3">
      <c r="G19843" s="1"/>
      <c r="N19843" s="1"/>
    </row>
    <row r="19844" spans="7:14" x14ac:dyDescent="0.3">
      <c r="G19844" s="1"/>
      <c r="N19844" s="1"/>
    </row>
    <row r="19845" spans="7:14" x14ac:dyDescent="0.3">
      <c r="G19845" s="1"/>
      <c r="N19845" s="1"/>
    </row>
    <row r="19846" spans="7:14" x14ac:dyDescent="0.3">
      <c r="G19846" s="1"/>
      <c r="N19846" s="1"/>
    </row>
    <row r="19847" spans="7:14" x14ac:dyDescent="0.3">
      <c r="G19847" s="1"/>
      <c r="N19847" s="1"/>
    </row>
    <row r="19848" spans="7:14" x14ac:dyDescent="0.3">
      <c r="G19848" s="1"/>
      <c r="N19848" s="1"/>
    </row>
    <row r="19849" spans="7:14" x14ac:dyDescent="0.3">
      <c r="G19849" s="1"/>
      <c r="N19849" s="1"/>
    </row>
    <row r="19850" spans="7:14" x14ac:dyDescent="0.3">
      <c r="G19850" s="1"/>
      <c r="N19850" s="1"/>
    </row>
    <row r="19851" spans="7:14" x14ac:dyDescent="0.3">
      <c r="G19851" s="1"/>
      <c r="N19851" s="1"/>
    </row>
    <row r="19852" spans="7:14" x14ac:dyDescent="0.3">
      <c r="G19852" s="1"/>
      <c r="N19852" s="1"/>
    </row>
    <row r="19853" spans="7:14" x14ac:dyDescent="0.3">
      <c r="G19853" s="1"/>
      <c r="N19853" s="1"/>
    </row>
    <row r="19854" spans="7:14" x14ac:dyDescent="0.3">
      <c r="G19854" s="1"/>
      <c r="N19854" s="1"/>
    </row>
    <row r="19855" spans="7:14" x14ac:dyDescent="0.3">
      <c r="G19855" s="1"/>
      <c r="N19855" s="1"/>
    </row>
    <row r="19856" spans="7:14" x14ac:dyDescent="0.3">
      <c r="G19856" s="1"/>
      <c r="N19856" s="1"/>
    </row>
    <row r="19857" spans="7:14" x14ac:dyDescent="0.3">
      <c r="G19857" s="1"/>
      <c r="N19857" s="1"/>
    </row>
    <row r="19858" spans="7:14" x14ac:dyDescent="0.3">
      <c r="G19858" s="1"/>
      <c r="N19858" s="1"/>
    </row>
    <row r="19859" spans="7:14" x14ac:dyDescent="0.3">
      <c r="G19859" s="1"/>
      <c r="N19859" s="1"/>
    </row>
    <row r="19860" spans="7:14" x14ac:dyDescent="0.3">
      <c r="G19860" s="1"/>
      <c r="N19860" s="1"/>
    </row>
    <row r="19861" spans="7:14" x14ac:dyDescent="0.3">
      <c r="G19861" s="1"/>
      <c r="N19861" s="1"/>
    </row>
    <row r="19862" spans="7:14" x14ac:dyDescent="0.3">
      <c r="G19862" s="1"/>
      <c r="N19862" s="1"/>
    </row>
    <row r="19863" spans="7:14" x14ac:dyDescent="0.3">
      <c r="G19863" s="1"/>
      <c r="N19863" s="1"/>
    </row>
    <row r="19864" spans="7:14" x14ac:dyDescent="0.3">
      <c r="G19864" s="1"/>
      <c r="N19864" s="1"/>
    </row>
    <row r="19865" spans="7:14" x14ac:dyDescent="0.3">
      <c r="G19865" s="1"/>
      <c r="N19865" s="1"/>
    </row>
    <row r="19866" spans="7:14" x14ac:dyDescent="0.3">
      <c r="G19866" s="1"/>
      <c r="N19866" s="1"/>
    </row>
    <row r="19867" spans="7:14" x14ac:dyDescent="0.3">
      <c r="G19867" s="1"/>
      <c r="N19867" s="1"/>
    </row>
    <row r="19868" spans="7:14" x14ac:dyDescent="0.3">
      <c r="G19868" s="1"/>
      <c r="N19868" s="1"/>
    </row>
    <row r="19869" spans="7:14" x14ac:dyDescent="0.3">
      <c r="G19869" s="1"/>
      <c r="N19869" s="1"/>
    </row>
    <row r="19870" spans="7:14" x14ac:dyDescent="0.3">
      <c r="G19870" s="1"/>
      <c r="N19870" s="1"/>
    </row>
    <row r="19871" spans="7:14" x14ac:dyDescent="0.3">
      <c r="G19871" s="1"/>
      <c r="N19871" s="1"/>
    </row>
    <row r="19872" spans="7:14" x14ac:dyDescent="0.3">
      <c r="G19872" s="1"/>
      <c r="N19872" s="1"/>
    </row>
    <row r="19873" spans="7:14" x14ac:dyDescent="0.3">
      <c r="G19873" s="1"/>
      <c r="N19873" s="1"/>
    </row>
    <row r="19874" spans="7:14" x14ac:dyDescent="0.3">
      <c r="G19874" s="1"/>
      <c r="N19874" s="1"/>
    </row>
    <row r="19875" spans="7:14" x14ac:dyDescent="0.3">
      <c r="G19875" s="1"/>
      <c r="N19875" s="1"/>
    </row>
    <row r="19876" spans="7:14" x14ac:dyDescent="0.3">
      <c r="G19876" s="1"/>
      <c r="N19876" s="1"/>
    </row>
    <row r="19877" spans="7:14" x14ac:dyDescent="0.3">
      <c r="G19877" s="1"/>
      <c r="N19877" s="1"/>
    </row>
    <row r="19878" spans="7:14" x14ac:dyDescent="0.3">
      <c r="G19878" s="1"/>
      <c r="N19878" s="1"/>
    </row>
    <row r="19879" spans="7:14" x14ac:dyDescent="0.3">
      <c r="G19879" s="1"/>
      <c r="N19879" s="1"/>
    </row>
    <row r="19880" spans="7:14" x14ac:dyDescent="0.3">
      <c r="G19880" s="1"/>
      <c r="N19880" s="1"/>
    </row>
    <row r="19881" spans="7:14" x14ac:dyDescent="0.3">
      <c r="G19881" s="1"/>
      <c r="N19881" s="1"/>
    </row>
    <row r="19882" spans="7:14" x14ac:dyDescent="0.3">
      <c r="G19882" s="1"/>
      <c r="N19882" s="1"/>
    </row>
    <row r="19883" spans="7:14" x14ac:dyDescent="0.3">
      <c r="G19883" s="1"/>
      <c r="N19883" s="1"/>
    </row>
    <row r="19884" spans="7:14" x14ac:dyDescent="0.3">
      <c r="G19884" s="1"/>
      <c r="N19884" s="1"/>
    </row>
    <row r="19885" spans="7:14" x14ac:dyDescent="0.3">
      <c r="G19885" s="1"/>
      <c r="N19885" s="1"/>
    </row>
    <row r="19886" spans="7:14" x14ac:dyDescent="0.3">
      <c r="G19886" s="1"/>
      <c r="N19886" s="1"/>
    </row>
    <row r="19887" spans="7:14" x14ac:dyDescent="0.3">
      <c r="G19887" s="1"/>
      <c r="N19887" s="1"/>
    </row>
    <row r="19888" spans="7:14" x14ac:dyDescent="0.3">
      <c r="G19888" s="1"/>
      <c r="N19888" s="1"/>
    </row>
    <row r="19889" spans="7:14" x14ac:dyDescent="0.3">
      <c r="G19889" s="1"/>
      <c r="N19889" s="1"/>
    </row>
    <row r="19890" spans="7:14" x14ac:dyDescent="0.3">
      <c r="G19890" s="1"/>
      <c r="N19890" s="1"/>
    </row>
    <row r="19891" spans="7:14" x14ac:dyDescent="0.3">
      <c r="G19891" s="1"/>
      <c r="N19891" s="1"/>
    </row>
    <row r="19892" spans="7:14" x14ac:dyDescent="0.3">
      <c r="G19892" s="1"/>
      <c r="N19892" s="1"/>
    </row>
    <row r="19893" spans="7:14" x14ac:dyDescent="0.3">
      <c r="G19893" s="1"/>
      <c r="N19893" s="1"/>
    </row>
    <row r="19894" spans="7:14" x14ac:dyDescent="0.3">
      <c r="G19894" s="1"/>
      <c r="N19894" s="1"/>
    </row>
    <row r="19895" spans="7:14" x14ac:dyDescent="0.3">
      <c r="G19895" s="1"/>
      <c r="N19895" s="1"/>
    </row>
    <row r="19896" spans="7:14" x14ac:dyDescent="0.3">
      <c r="G19896" s="1"/>
      <c r="N19896" s="1"/>
    </row>
    <row r="19897" spans="7:14" x14ac:dyDescent="0.3">
      <c r="G19897" s="1"/>
      <c r="N19897" s="1"/>
    </row>
    <row r="19898" spans="7:14" x14ac:dyDescent="0.3">
      <c r="G19898" s="1"/>
      <c r="N19898" s="1"/>
    </row>
    <row r="19899" spans="7:14" x14ac:dyDescent="0.3">
      <c r="G19899" s="1"/>
      <c r="N19899" s="1"/>
    </row>
    <row r="19900" spans="7:14" x14ac:dyDescent="0.3">
      <c r="G19900" s="1"/>
      <c r="N19900" s="1"/>
    </row>
    <row r="19901" spans="7:14" x14ac:dyDescent="0.3">
      <c r="G19901" s="1"/>
      <c r="N19901" s="1"/>
    </row>
    <row r="19902" spans="7:14" x14ac:dyDescent="0.3">
      <c r="G19902" s="1"/>
      <c r="N19902" s="1"/>
    </row>
    <row r="19903" spans="7:14" x14ac:dyDescent="0.3">
      <c r="G19903" s="1"/>
      <c r="N19903" s="1"/>
    </row>
    <row r="19904" spans="7:14" x14ac:dyDescent="0.3">
      <c r="G19904" s="1"/>
      <c r="N19904" s="1"/>
    </row>
    <row r="19905" spans="7:14" x14ac:dyDescent="0.3">
      <c r="G19905" s="1"/>
      <c r="N19905" s="1"/>
    </row>
    <row r="19906" spans="7:14" x14ac:dyDescent="0.3">
      <c r="G19906" s="1"/>
      <c r="N19906" s="1"/>
    </row>
    <row r="19907" spans="7:14" x14ac:dyDescent="0.3">
      <c r="G19907" s="1"/>
      <c r="N19907" s="1"/>
    </row>
    <row r="19908" spans="7:14" x14ac:dyDescent="0.3">
      <c r="G19908" s="1"/>
      <c r="N19908" s="1"/>
    </row>
    <row r="19909" spans="7:14" x14ac:dyDescent="0.3">
      <c r="G19909" s="1"/>
      <c r="N19909" s="1"/>
    </row>
    <row r="19910" spans="7:14" x14ac:dyDescent="0.3">
      <c r="G19910" s="1"/>
      <c r="N19910" s="1"/>
    </row>
    <row r="19911" spans="7:14" x14ac:dyDescent="0.3">
      <c r="G19911" s="1"/>
      <c r="N19911" s="1"/>
    </row>
    <row r="19912" spans="7:14" x14ac:dyDescent="0.3">
      <c r="G19912" s="1"/>
      <c r="N19912" s="1"/>
    </row>
    <row r="19913" spans="7:14" x14ac:dyDescent="0.3">
      <c r="G19913" s="1"/>
      <c r="N19913" s="1"/>
    </row>
    <row r="19914" spans="7:14" x14ac:dyDescent="0.3">
      <c r="G19914" s="1"/>
      <c r="N19914" s="1"/>
    </row>
    <row r="19915" spans="7:14" x14ac:dyDescent="0.3">
      <c r="G19915" s="1"/>
      <c r="N19915" s="1"/>
    </row>
    <row r="19916" spans="7:14" x14ac:dyDescent="0.3">
      <c r="G19916" s="1"/>
      <c r="N19916" s="1"/>
    </row>
    <row r="19917" spans="7:14" x14ac:dyDescent="0.3">
      <c r="G19917" s="1"/>
      <c r="N19917" s="1"/>
    </row>
    <row r="19918" spans="7:14" x14ac:dyDescent="0.3">
      <c r="G19918" s="1"/>
      <c r="N19918" s="1"/>
    </row>
    <row r="19919" spans="7:14" x14ac:dyDescent="0.3">
      <c r="G19919" s="1"/>
      <c r="N19919" s="1"/>
    </row>
    <row r="19920" spans="7:14" x14ac:dyDescent="0.3">
      <c r="G19920" s="1"/>
      <c r="N19920" s="1"/>
    </row>
    <row r="19921" spans="7:14" x14ac:dyDescent="0.3">
      <c r="G19921" s="1"/>
      <c r="N19921" s="1"/>
    </row>
    <row r="19922" spans="7:14" x14ac:dyDescent="0.3">
      <c r="G19922" s="1"/>
      <c r="N19922" s="1"/>
    </row>
    <row r="19923" spans="7:14" x14ac:dyDescent="0.3">
      <c r="G19923" s="1"/>
      <c r="N19923" s="1"/>
    </row>
    <row r="19924" spans="7:14" x14ac:dyDescent="0.3">
      <c r="G19924" s="1"/>
      <c r="N19924" s="1"/>
    </row>
    <row r="19925" spans="7:14" x14ac:dyDescent="0.3">
      <c r="G19925" s="1"/>
      <c r="N19925" s="1"/>
    </row>
    <row r="19926" spans="7:14" x14ac:dyDescent="0.3">
      <c r="G19926" s="1"/>
      <c r="N19926" s="1"/>
    </row>
    <row r="19927" spans="7:14" x14ac:dyDescent="0.3">
      <c r="G19927" s="1"/>
      <c r="N19927" s="1"/>
    </row>
    <row r="19928" spans="7:14" x14ac:dyDescent="0.3">
      <c r="G19928" s="1"/>
      <c r="N19928" s="1"/>
    </row>
    <row r="19929" spans="7:14" x14ac:dyDescent="0.3">
      <c r="G19929" s="1"/>
      <c r="N19929" s="1"/>
    </row>
    <row r="19930" spans="7:14" x14ac:dyDescent="0.3">
      <c r="G19930" s="1"/>
      <c r="N19930" s="1"/>
    </row>
    <row r="19931" spans="7:14" x14ac:dyDescent="0.3">
      <c r="G19931" s="1"/>
      <c r="N19931" s="1"/>
    </row>
    <row r="19932" spans="7:14" x14ac:dyDescent="0.3">
      <c r="G19932" s="1"/>
      <c r="N19932" s="1"/>
    </row>
    <row r="19933" spans="7:14" x14ac:dyDescent="0.3">
      <c r="G19933" s="1"/>
      <c r="N19933" s="1"/>
    </row>
    <row r="19934" spans="7:14" x14ac:dyDescent="0.3">
      <c r="G19934" s="1"/>
      <c r="N19934" s="1"/>
    </row>
    <row r="19935" spans="7:14" x14ac:dyDescent="0.3">
      <c r="G19935" s="1"/>
      <c r="N19935" s="1"/>
    </row>
    <row r="19936" spans="7:14" x14ac:dyDescent="0.3">
      <c r="G19936" s="1"/>
      <c r="N19936" s="1"/>
    </row>
    <row r="19937" spans="7:14" x14ac:dyDescent="0.3">
      <c r="G19937" s="1"/>
      <c r="N19937" s="1"/>
    </row>
    <row r="19938" spans="7:14" x14ac:dyDescent="0.3">
      <c r="G19938" s="1"/>
      <c r="N19938" s="1"/>
    </row>
    <row r="19939" spans="7:14" x14ac:dyDescent="0.3">
      <c r="G19939" s="1"/>
      <c r="N19939" s="1"/>
    </row>
    <row r="19940" spans="7:14" x14ac:dyDescent="0.3">
      <c r="G19940" s="1"/>
      <c r="N19940" s="1"/>
    </row>
    <row r="19941" spans="7:14" x14ac:dyDescent="0.3">
      <c r="G19941" s="1"/>
      <c r="N19941" s="1"/>
    </row>
    <row r="19942" spans="7:14" x14ac:dyDescent="0.3">
      <c r="G19942" s="1"/>
      <c r="N19942" s="1"/>
    </row>
    <row r="19943" spans="7:14" x14ac:dyDescent="0.3">
      <c r="G19943" s="1"/>
      <c r="N19943" s="1"/>
    </row>
    <row r="19944" spans="7:14" x14ac:dyDescent="0.3">
      <c r="G19944" s="1"/>
      <c r="N19944" s="1"/>
    </row>
    <row r="19945" spans="7:14" x14ac:dyDescent="0.3">
      <c r="G19945" s="1"/>
      <c r="N19945" s="1"/>
    </row>
    <row r="19946" spans="7:14" x14ac:dyDescent="0.3">
      <c r="G19946" s="1"/>
      <c r="N19946" s="1"/>
    </row>
    <row r="19947" spans="7:14" x14ac:dyDescent="0.3">
      <c r="G19947" s="1"/>
      <c r="N19947" s="1"/>
    </row>
    <row r="19948" spans="7:14" x14ac:dyDescent="0.3">
      <c r="G19948" s="1"/>
      <c r="N19948" s="1"/>
    </row>
    <row r="19949" spans="7:14" x14ac:dyDescent="0.3">
      <c r="G19949" s="1"/>
      <c r="N19949" s="1"/>
    </row>
    <row r="19950" spans="7:14" x14ac:dyDescent="0.3">
      <c r="G19950" s="1"/>
      <c r="N19950" s="1"/>
    </row>
    <row r="19951" spans="7:14" x14ac:dyDescent="0.3">
      <c r="G19951" s="1"/>
      <c r="N19951" s="1"/>
    </row>
    <row r="19952" spans="7:14" x14ac:dyDescent="0.3">
      <c r="G19952" s="1"/>
      <c r="N19952" s="1"/>
    </row>
    <row r="19953" spans="7:14" x14ac:dyDescent="0.3">
      <c r="G19953" s="1"/>
      <c r="N19953" s="1"/>
    </row>
    <row r="19954" spans="7:14" x14ac:dyDescent="0.3">
      <c r="G19954" s="1"/>
      <c r="N19954" s="1"/>
    </row>
    <row r="19955" spans="7:14" x14ac:dyDescent="0.3">
      <c r="G19955" s="1"/>
      <c r="N19955" s="1"/>
    </row>
    <row r="19956" spans="7:14" x14ac:dyDescent="0.3">
      <c r="G19956" s="1"/>
      <c r="N19956" s="1"/>
    </row>
    <row r="19957" spans="7:14" x14ac:dyDescent="0.3">
      <c r="G19957" s="1"/>
      <c r="N19957" s="1"/>
    </row>
    <row r="19958" spans="7:14" x14ac:dyDescent="0.3">
      <c r="G19958" s="1"/>
      <c r="N19958" s="1"/>
    </row>
    <row r="19959" spans="7:14" x14ac:dyDescent="0.3">
      <c r="G19959" s="1"/>
      <c r="N19959" s="1"/>
    </row>
    <row r="19960" spans="7:14" x14ac:dyDescent="0.3">
      <c r="G19960" s="1"/>
      <c r="N19960" s="1"/>
    </row>
    <row r="19961" spans="7:14" x14ac:dyDescent="0.3">
      <c r="G19961" s="1"/>
      <c r="N19961" s="1"/>
    </row>
    <row r="19962" spans="7:14" x14ac:dyDescent="0.3">
      <c r="G19962" s="1"/>
      <c r="N19962" s="1"/>
    </row>
    <row r="19963" spans="7:14" x14ac:dyDescent="0.3">
      <c r="G19963" s="1"/>
      <c r="N19963" s="1"/>
    </row>
    <row r="19964" spans="7:14" x14ac:dyDescent="0.3">
      <c r="G19964" s="1"/>
      <c r="N19964" s="1"/>
    </row>
    <row r="19965" spans="7:14" x14ac:dyDescent="0.3">
      <c r="G19965" s="1"/>
      <c r="N19965" s="1"/>
    </row>
    <row r="19966" spans="7:14" x14ac:dyDescent="0.3">
      <c r="G19966" s="1"/>
      <c r="N19966" s="1"/>
    </row>
    <row r="19967" spans="7:14" x14ac:dyDescent="0.3">
      <c r="G19967" s="1"/>
      <c r="N19967" s="1"/>
    </row>
    <row r="19968" spans="7:14" x14ac:dyDescent="0.3">
      <c r="G19968" s="1"/>
      <c r="N19968" s="1"/>
    </row>
    <row r="19969" spans="7:14" x14ac:dyDescent="0.3">
      <c r="G19969" s="1"/>
      <c r="N19969" s="1"/>
    </row>
    <row r="19970" spans="7:14" x14ac:dyDescent="0.3">
      <c r="G19970" s="1"/>
      <c r="N19970" s="1"/>
    </row>
    <row r="19971" spans="7:14" x14ac:dyDescent="0.3">
      <c r="G19971" s="1"/>
      <c r="N19971" s="1"/>
    </row>
    <row r="19972" spans="7:14" x14ac:dyDescent="0.3">
      <c r="G19972" s="1"/>
      <c r="N19972" s="1"/>
    </row>
    <row r="19973" spans="7:14" x14ac:dyDescent="0.3">
      <c r="G19973" s="1"/>
      <c r="N19973" s="1"/>
    </row>
    <row r="19974" spans="7:14" x14ac:dyDescent="0.3">
      <c r="G19974" s="1"/>
      <c r="N19974" s="1"/>
    </row>
    <row r="19975" spans="7:14" x14ac:dyDescent="0.3">
      <c r="G19975" s="1"/>
      <c r="N19975" s="1"/>
    </row>
    <row r="19976" spans="7:14" x14ac:dyDescent="0.3">
      <c r="G19976" s="1"/>
      <c r="N19976" s="1"/>
    </row>
    <row r="19977" spans="7:14" x14ac:dyDescent="0.3">
      <c r="G19977" s="1"/>
      <c r="N19977" s="1"/>
    </row>
    <row r="19978" spans="7:14" x14ac:dyDescent="0.3">
      <c r="G19978" s="1"/>
      <c r="N19978" s="1"/>
    </row>
    <row r="19979" spans="7:14" x14ac:dyDescent="0.3">
      <c r="G19979" s="1"/>
      <c r="N19979" s="1"/>
    </row>
    <row r="19980" spans="7:14" x14ac:dyDescent="0.3">
      <c r="G19980" s="1"/>
      <c r="N19980" s="1"/>
    </row>
    <row r="19981" spans="7:14" x14ac:dyDescent="0.3">
      <c r="G19981" s="1"/>
      <c r="N19981" s="1"/>
    </row>
    <row r="19982" spans="7:14" x14ac:dyDescent="0.3">
      <c r="G19982" s="1"/>
      <c r="N19982" s="1"/>
    </row>
    <row r="19983" spans="7:14" x14ac:dyDescent="0.3">
      <c r="G19983" s="1"/>
      <c r="N19983" s="1"/>
    </row>
    <row r="19984" spans="7:14" x14ac:dyDescent="0.3">
      <c r="G19984" s="1"/>
      <c r="N19984" s="1"/>
    </row>
    <row r="19985" spans="7:14" x14ac:dyDescent="0.3">
      <c r="G19985" s="1"/>
      <c r="N19985" s="1"/>
    </row>
    <row r="19986" spans="7:14" x14ac:dyDescent="0.3">
      <c r="G19986" s="1"/>
      <c r="N19986" s="1"/>
    </row>
    <row r="19987" spans="7:14" x14ac:dyDescent="0.3">
      <c r="G19987" s="1"/>
      <c r="N19987" s="1"/>
    </row>
    <row r="19988" spans="7:14" x14ac:dyDescent="0.3">
      <c r="G19988" s="1"/>
      <c r="N19988" s="1"/>
    </row>
    <row r="19989" spans="7:14" x14ac:dyDescent="0.3">
      <c r="G19989" s="1"/>
      <c r="N19989" s="1"/>
    </row>
    <row r="19990" spans="7:14" x14ac:dyDescent="0.3">
      <c r="G19990" s="1"/>
      <c r="N19990" s="1"/>
    </row>
    <row r="19991" spans="7:14" x14ac:dyDescent="0.3">
      <c r="G19991" s="1"/>
      <c r="N19991" s="1"/>
    </row>
    <row r="19992" spans="7:14" x14ac:dyDescent="0.3">
      <c r="G19992" s="1"/>
      <c r="N19992" s="1"/>
    </row>
    <row r="19993" spans="7:14" x14ac:dyDescent="0.3">
      <c r="G19993" s="1"/>
      <c r="N19993" s="1"/>
    </row>
    <row r="19994" spans="7:14" x14ac:dyDescent="0.3">
      <c r="G19994" s="1"/>
      <c r="N19994" s="1"/>
    </row>
    <row r="19995" spans="7:14" x14ac:dyDescent="0.3">
      <c r="G19995" s="1"/>
      <c r="N19995" s="1"/>
    </row>
    <row r="19996" spans="7:14" x14ac:dyDescent="0.3">
      <c r="G19996" s="1"/>
      <c r="N19996" s="1"/>
    </row>
    <row r="19997" spans="7:14" x14ac:dyDescent="0.3">
      <c r="G19997" s="1"/>
      <c r="N19997" s="1"/>
    </row>
    <row r="19998" spans="7:14" x14ac:dyDescent="0.3">
      <c r="G19998" s="1"/>
      <c r="N19998" s="1"/>
    </row>
    <row r="19999" spans="7:14" x14ac:dyDescent="0.3">
      <c r="G19999" s="1"/>
      <c r="N19999" s="1"/>
    </row>
    <row r="20000" spans="7:14" x14ac:dyDescent="0.3">
      <c r="G20000" s="1"/>
      <c r="N20000" s="1"/>
    </row>
    <row r="20001" spans="7:14" x14ac:dyDescent="0.3">
      <c r="G20001" s="1"/>
      <c r="N20001" s="1"/>
    </row>
    <row r="20002" spans="7:14" x14ac:dyDescent="0.3">
      <c r="G20002" s="1"/>
      <c r="N20002" s="1"/>
    </row>
    <row r="20003" spans="7:14" x14ac:dyDescent="0.3">
      <c r="G20003" s="1"/>
      <c r="N20003" s="1"/>
    </row>
    <row r="20004" spans="7:14" x14ac:dyDescent="0.3">
      <c r="G20004" s="1"/>
      <c r="N20004" s="1"/>
    </row>
    <row r="20005" spans="7:14" x14ac:dyDescent="0.3">
      <c r="G20005" s="1"/>
      <c r="N20005" s="1"/>
    </row>
    <row r="20006" spans="7:14" x14ac:dyDescent="0.3">
      <c r="G20006" s="1"/>
      <c r="N20006" s="1"/>
    </row>
    <row r="20007" spans="7:14" x14ac:dyDescent="0.3">
      <c r="G20007" s="1"/>
      <c r="N20007" s="1"/>
    </row>
    <row r="20008" spans="7:14" x14ac:dyDescent="0.3">
      <c r="G20008" s="1"/>
      <c r="N20008" s="1"/>
    </row>
    <row r="20009" spans="7:14" x14ac:dyDescent="0.3">
      <c r="G20009" s="1"/>
      <c r="N20009" s="1"/>
    </row>
    <row r="20010" spans="7:14" x14ac:dyDescent="0.3">
      <c r="G20010" s="1"/>
      <c r="N20010" s="1"/>
    </row>
    <row r="20011" spans="7:14" x14ac:dyDescent="0.3">
      <c r="G20011" s="1"/>
      <c r="N20011" s="1"/>
    </row>
    <row r="20012" spans="7:14" x14ac:dyDescent="0.3">
      <c r="G20012" s="1"/>
      <c r="N20012" s="1"/>
    </row>
    <row r="20013" spans="7:14" x14ac:dyDescent="0.3">
      <c r="G20013" s="1"/>
      <c r="N20013" s="1"/>
    </row>
    <row r="20014" spans="7:14" x14ac:dyDescent="0.3">
      <c r="G20014" s="1"/>
      <c r="N20014" s="1"/>
    </row>
    <row r="20015" spans="7:14" x14ac:dyDescent="0.3">
      <c r="G20015" s="1"/>
      <c r="N20015" s="1"/>
    </row>
    <row r="20016" spans="7:14" x14ac:dyDescent="0.3">
      <c r="G20016" s="1"/>
      <c r="N20016" s="1"/>
    </row>
    <row r="20017" spans="7:14" x14ac:dyDescent="0.3">
      <c r="G20017" s="1"/>
      <c r="N20017" s="1"/>
    </row>
    <row r="20018" spans="7:14" x14ac:dyDescent="0.3">
      <c r="G20018" s="1"/>
      <c r="N20018" s="1"/>
    </row>
    <row r="20019" spans="7:14" x14ac:dyDescent="0.3">
      <c r="G20019" s="1"/>
      <c r="N20019" s="1"/>
    </row>
    <row r="20020" spans="7:14" x14ac:dyDescent="0.3">
      <c r="G20020" s="1"/>
      <c r="N20020" s="1"/>
    </row>
    <row r="20021" spans="7:14" x14ac:dyDescent="0.3">
      <c r="G20021" s="1"/>
      <c r="N20021" s="1"/>
    </row>
    <row r="20022" spans="7:14" x14ac:dyDescent="0.3">
      <c r="G20022" s="1"/>
      <c r="N20022" s="1"/>
    </row>
    <row r="20023" spans="7:14" x14ac:dyDescent="0.3">
      <c r="G20023" s="1"/>
      <c r="N20023" s="1"/>
    </row>
    <row r="20024" spans="7:14" x14ac:dyDescent="0.3">
      <c r="G20024" s="1"/>
      <c r="N20024" s="1"/>
    </row>
    <row r="20025" spans="7:14" x14ac:dyDescent="0.3">
      <c r="G20025" s="1"/>
      <c r="N20025" s="1"/>
    </row>
    <row r="20026" spans="7:14" x14ac:dyDescent="0.3">
      <c r="G20026" s="1"/>
      <c r="N20026" s="1"/>
    </row>
    <row r="20027" spans="7:14" x14ac:dyDescent="0.3">
      <c r="G20027" s="1"/>
      <c r="N20027" s="1"/>
    </row>
    <row r="20028" spans="7:14" x14ac:dyDescent="0.3">
      <c r="G20028" s="1"/>
      <c r="N20028" s="1"/>
    </row>
    <row r="20029" spans="7:14" x14ac:dyDescent="0.3">
      <c r="G20029" s="1"/>
      <c r="N20029" s="1"/>
    </row>
    <row r="20030" spans="7:14" x14ac:dyDescent="0.3">
      <c r="G20030" s="1"/>
      <c r="N20030" s="1"/>
    </row>
    <row r="20031" spans="7:14" x14ac:dyDescent="0.3">
      <c r="G20031" s="1"/>
      <c r="N20031" s="1"/>
    </row>
    <row r="20032" spans="7:14" x14ac:dyDescent="0.3">
      <c r="G20032" s="1"/>
      <c r="N20032" s="1"/>
    </row>
    <row r="20033" spans="7:14" x14ac:dyDescent="0.3">
      <c r="G20033" s="1"/>
      <c r="N20033" s="1"/>
    </row>
    <row r="20034" spans="7:14" x14ac:dyDescent="0.3">
      <c r="G20034" s="1"/>
      <c r="N20034" s="1"/>
    </row>
    <row r="20035" spans="7:14" x14ac:dyDescent="0.3">
      <c r="G20035" s="1"/>
      <c r="N20035" s="1"/>
    </row>
    <row r="20036" spans="7:14" x14ac:dyDescent="0.3">
      <c r="G20036" s="1"/>
      <c r="N20036" s="1"/>
    </row>
    <row r="20037" spans="7:14" x14ac:dyDescent="0.3">
      <c r="G20037" s="1"/>
      <c r="N20037" s="1"/>
    </row>
    <row r="20038" spans="7:14" x14ac:dyDescent="0.3">
      <c r="G20038" s="1"/>
      <c r="N20038" s="1"/>
    </row>
    <row r="20039" spans="7:14" x14ac:dyDescent="0.3">
      <c r="G20039" s="1"/>
      <c r="N20039" s="1"/>
    </row>
    <row r="20040" spans="7:14" x14ac:dyDescent="0.3">
      <c r="G20040" s="1"/>
      <c r="N20040" s="1"/>
    </row>
    <row r="20041" spans="7:14" x14ac:dyDescent="0.3">
      <c r="G20041" s="1"/>
      <c r="N20041" s="1"/>
    </row>
    <row r="20042" spans="7:14" x14ac:dyDescent="0.3">
      <c r="G20042" s="1"/>
      <c r="N20042" s="1"/>
    </row>
    <row r="20043" spans="7:14" x14ac:dyDescent="0.3">
      <c r="G20043" s="1"/>
      <c r="N20043" s="1"/>
    </row>
    <row r="20044" spans="7:14" x14ac:dyDescent="0.3">
      <c r="G20044" s="1"/>
      <c r="N20044" s="1"/>
    </row>
    <row r="20045" spans="7:14" x14ac:dyDescent="0.3">
      <c r="G20045" s="1"/>
      <c r="N20045" s="1"/>
    </row>
    <row r="20046" spans="7:14" x14ac:dyDescent="0.3">
      <c r="G20046" s="1"/>
      <c r="N20046" s="1"/>
    </row>
    <row r="20047" spans="7:14" x14ac:dyDescent="0.3">
      <c r="G20047" s="1"/>
      <c r="N20047" s="1"/>
    </row>
    <row r="20048" spans="7:14" x14ac:dyDescent="0.3">
      <c r="G20048" s="1"/>
      <c r="N20048" s="1"/>
    </row>
    <row r="20049" spans="7:14" x14ac:dyDescent="0.3">
      <c r="G20049" s="1"/>
      <c r="N20049" s="1"/>
    </row>
    <row r="20050" spans="7:14" x14ac:dyDescent="0.3">
      <c r="G20050" s="1"/>
      <c r="N20050" s="1"/>
    </row>
    <row r="20051" spans="7:14" x14ac:dyDescent="0.3">
      <c r="G20051" s="1"/>
      <c r="N20051" s="1"/>
    </row>
    <row r="20052" spans="7:14" x14ac:dyDescent="0.3">
      <c r="G20052" s="1"/>
      <c r="N20052" s="1"/>
    </row>
    <row r="20053" spans="7:14" x14ac:dyDescent="0.3">
      <c r="G20053" s="1"/>
      <c r="N20053" s="1"/>
    </row>
    <row r="20054" spans="7:14" x14ac:dyDescent="0.3">
      <c r="G20054" s="1"/>
      <c r="N20054" s="1"/>
    </row>
    <row r="20055" spans="7:14" x14ac:dyDescent="0.3">
      <c r="G20055" s="1"/>
      <c r="N20055" s="1"/>
    </row>
    <row r="20056" spans="7:14" x14ac:dyDescent="0.3">
      <c r="G20056" s="1"/>
      <c r="N20056" s="1"/>
    </row>
    <row r="20057" spans="7:14" x14ac:dyDescent="0.3">
      <c r="G20057" s="1"/>
      <c r="N20057" s="1"/>
    </row>
    <row r="20058" spans="7:14" x14ac:dyDescent="0.3">
      <c r="G20058" s="1"/>
      <c r="N20058" s="1"/>
    </row>
    <row r="20059" spans="7:14" x14ac:dyDescent="0.3">
      <c r="G20059" s="1"/>
      <c r="N20059" s="1"/>
    </row>
    <row r="20060" spans="7:14" x14ac:dyDescent="0.3">
      <c r="G20060" s="1"/>
      <c r="N20060" s="1"/>
    </row>
    <row r="20061" spans="7:14" x14ac:dyDescent="0.3">
      <c r="G20061" s="1"/>
      <c r="N20061" s="1"/>
    </row>
    <row r="20062" spans="7:14" x14ac:dyDescent="0.3">
      <c r="G20062" s="1"/>
      <c r="N20062" s="1"/>
    </row>
    <row r="20063" spans="7:14" x14ac:dyDescent="0.3">
      <c r="G20063" s="1"/>
      <c r="N20063" s="1"/>
    </row>
    <row r="20064" spans="7:14" x14ac:dyDescent="0.3">
      <c r="G20064" s="1"/>
      <c r="N20064" s="1"/>
    </row>
    <row r="20065" spans="7:14" x14ac:dyDescent="0.3">
      <c r="G20065" s="1"/>
      <c r="N20065" s="1"/>
    </row>
    <row r="20066" spans="7:14" x14ac:dyDescent="0.3">
      <c r="G20066" s="1"/>
      <c r="N20066" s="1"/>
    </row>
    <row r="20067" spans="7:14" x14ac:dyDescent="0.3">
      <c r="G20067" s="1"/>
      <c r="N20067" s="1"/>
    </row>
    <row r="20068" spans="7:14" x14ac:dyDescent="0.3">
      <c r="G20068" s="1"/>
      <c r="N20068" s="1"/>
    </row>
    <row r="20069" spans="7:14" x14ac:dyDescent="0.3">
      <c r="G20069" s="1"/>
      <c r="N20069" s="1"/>
    </row>
    <row r="20070" spans="7:14" x14ac:dyDescent="0.3">
      <c r="G20070" s="1"/>
      <c r="N20070" s="1"/>
    </row>
    <row r="20071" spans="7:14" x14ac:dyDescent="0.3">
      <c r="G20071" s="1"/>
      <c r="N20071" s="1"/>
    </row>
    <row r="20072" spans="7:14" x14ac:dyDescent="0.3">
      <c r="G20072" s="1"/>
      <c r="N20072" s="1"/>
    </row>
    <row r="20073" spans="7:14" x14ac:dyDescent="0.3">
      <c r="G20073" s="1"/>
      <c r="N20073" s="1"/>
    </row>
    <row r="20074" spans="7:14" x14ac:dyDescent="0.3">
      <c r="G20074" s="1"/>
      <c r="N20074" s="1"/>
    </row>
    <row r="20075" spans="7:14" x14ac:dyDescent="0.3">
      <c r="G20075" s="1"/>
      <c r="N20075" s="1"/>
    </row>
    <row r="20076" spans="7:14" x14ac:dyDescent="0.3">
      <c r="G20076" s="1"/>
      <c r="N20076" s="1"/>
    </row>
    <row r="20077" spans="7:14" x14ac:dyDescent="0.3">
      <c r="G20077" s="1"/>
      <c r="N20077" s="1"/>
    </row>
    <row r="20078" spans="7:14" x14ac:dyDescent="0.3">
      <c r="G20078" s="1"/>
      <c r="N20078" s="1"/>
    </row>
    <row r="20079" spans="7:14" x14ac:dyDescent="0.3">
      <c r="G20079" s="1"/>
      <c r="N20079" s="1"/>
    </row>
    <row r="20080" spans="7:14" x14ac:dyDescent="0.3">
      <c r="G20080" s="1"/>
      <c r="N20080" s="1"/>
    </row>
    <row r="20081" spans="7:14" x14ac:dyDescent="0.3">
      <c r="G20081" s="1"/>
      <c r="N20081" s="1"/>
    </row>
    <row r="20082" spans="7:14" x14ac:dyDescent="0.3">
      <c r="G20082" s="1"/>
      <c r="N20082" s="1"/>
    </row>
    <row r="20083" spans="7:14" x14ac:dyDescent="0.3">
      <c r="G20083" s="1"/>
      <c r="N20083" s="1"/>
    </row>
    <row r="20084" spans="7:14" x14ac:dyDescent="0.3">
      <c r="G20084" s="1"/>
      <c r="N20084" s="1"/>
    </row>
    <row r="20085" spans="7:14" x14ac:dyDescent="0.3">
      <c r="G20085" s="1"/>
      <c r="N20085" s="1"/>
    </row>
    <row r="20086" spans="7:14" x14ac:dyDescent="0.3">
      <c r="G20086" s="1"/>
      <c r="N20086" s="1"/>
    </row>
    <row r="20087" spans="7:14" x14ac:dyDescent="0.3">
      <c r="G20087" s="1"/>
      <c r="N20087" s="1"/>
    </row>
    <row r="20088" spans="7:14" x14ac:dyDescent="0.3">
      <c r="G20088" s="1"/>
      <c r="N20088" s="1"/>
    </row>
    <row r="20089" spans="7:14" x14ac:dyDescent="0.3">
      <c r="G20089" s="1"/>
      <c r="N20089" s="1"/>
    </row>
    <row r="20090" spans="7:14" x14ac:dyDescent="0.3">
      <c r="G20090" s="1"/>
      <c r="N20090" s="1"/>
    </row>
    <row r="20091" spans="7:14" x14ac:dyDescent="0.3">
      <c r="G20091" s="1"/>
      <c r="N20091" s="1"/>
    </row>
    <row r="20092" spans="7:14" x14ac:dyDescent="0.3">
      <c r="G20092" s="1"/>
      <c r="N20092" s="1"/>
    </row>
    <row r="20093" spans="7:14" x14ac:dyDescent="0.3">
      <c r="G20093" s="1"/>
      <c r="N20093" s="1"/>
    </row>
    <row r="20094" spans="7:14" x14ac:dyDescent="0.3">
      <c r="G20094" s="1"/>
      <c r="N20094" s="1"/>
    </row>
    <row r="20095" spans="7:14" x14ac:dyDescent="0.3">
      <c r="G20095" s="1"/>
      <c r="N20095" s="1"/>
    </row>
    <row r="20096" spans="7:14" x14ac:dyDescent="0.3">
      <c r="G20096" s="1"/>
      <c r="N20096" s="1"/>
    </row>
    <row r="20097" spans="7:14" x14ac:dyDescent="0.3">
      <c r="G20097" s="1"/>
      <c r="N20097" s="1"/>
    </row>
    <row r="20098" spans="7:14" x14ac:dyDescent="0.3">
      <c r="G20098" s="1"/>
      <c r="N20098" s="1"/>
    </row>
    <row r="20099" spans="7:14" x14ac:dyDescent="0.3">
      <c r="G20099" s="1"/>
      <c r="N20099" s="1"/>
    </row>
    <row r="20100" spans="7:14" x14ac:dyDescent="0.3">
      <c r="G20100" s="1"/>
      <c r="N20100" s="1"/>
    </row>
    <row r="20101" spans="7:14" x14ac:dyDescent="0.3">
      <c r="G20101" s="1"/>
      <c r="N20101" s="1"/>
    </row>
    <row r="20102" spans="7:14" x14ac:dyDescent="0.3">
      <c r="G20102" s="1"/>
      <c r="N20102" s="1"/>
    </row>
    <row r="20103" spans="7:14" x14ac:dyDescent="0.3">
      <c r="G20103" s="1"/>
      <c r="N20103" s="1"/>
    </row>
    <row r="20104" spans="7:14" x14ac:dyDescent="0.3">
      <c r="G20104" s="1"/>
      <c r="N20104" s="1"/>
    </row>
    <row r="20105" spans="7:14" x14ac:dyDescent="0.3">
      <c r="G20105" s="1"/>
      <c r="N20105" s="1"/>
    </row>
    <row r="20106" spans="7:14" x14ac:dyDescent="0.3">
      <c r="G20106" s="1"/>
      <c r="N20106" s="1"/>
    </row>
    <row r="20107" spans="7:14" x14ac:dyDescent="0.3">
      <c r="G20107" s="1"/>
      <c r="N20107" s="1"/>
    </row>
    <row r="20108" spans="7:14" x14ac:dyDescent="0.3">
      <c r="G20108" s="1"/>
      <c r="N20108" s="1"/>
    </row>
    <row r="20109" spans="7:14" x14ac:dyDescent="0.3">
      <c r="G20109" s="1"/>
      <c r="N20109" s="1"/>
    </row>
    <row r="20110" spans="7:14" x14ac:dyDescent="0.3">
      <c r="G20110" s="1"/>
      <c r="N20110" s="1"/>
    </row>
    <row r="20111" spans="7:14" x14ac:dyDescent="0.3">
      <c r="G20111" s="1"/>
      <c r="N20111" s="1"/>
    </row>
    <row r="20112" spans="7:14" x14ac:dyDescent="0.3">
      <c r="G20112" s="1"/>
      <c r="N20112" s="1"/>
    </row>
    <row r="20113" spans="7:14" x14ac:dyDescent="0.3">
      <c r="G20113" s="1"/>
      <c r="N20113" s="1"/>
    </row>
    <row r="20114" spans="7:14" x14ac:dyDescent="0.3">
      <c r="G20114" s="1"/>
      <c r="N20114" s="1"/>
    </row>
    <row r="20115" spans="7:14" x14ac:dyDescent="0.3">
      <c r="G20115" s="1"/>
      <c r="N20115" s="1"/>
    </row>
    <row r="20116" spans="7:14" x14ac:dyDescent="0.3">
      <c r="G20116" s="1"/>
      <c r="N20116" s="1"/>
    </row>
    <row r="20117" spans="7:14" x14ac:dyDescent="0.3">
      <c r="G20117" s="1"/>
      <c r="N20117" s="1"/>
    </row>
    <row r="20118" spans="7:14" x14ac:dyDescent="0.3">
      <c r="G20118" s="1"/>
      <c r="N20118" s="1"/>
    </row>
    <row r="20119" spans="7:14" x14ac:dyDescent="0.3">
      <c r="G20119" s="1"/>
      <c r="N20119" s="1"/>
    </row>
    <row r="20120" spans="7:14" x14ac:dyDescent="0.3">
      <c r="G20120" s="1"/>
      <c r="N20120" s="1"/>
    </row>
    <row r="20121" spans="7:14" x14ac:dyDescent="0.3">
      <c r="G20121" s="1"/>
      <c r="N20121" s="1"/>
    </row>
    <row r="20122" spans="7:14" x14ac:dyDescent="0.3">
      <c r="G20122" s="1"/>
      <c r="N20122" s="1"/>
    </row>
    <row r="20123" spans="7:14" x14ac:dyDescent="0.3">
      <c r="G20123" s="1"/>
      <c r="N20123" s="1"/>
    </row>
    <row r="20124" spans="7:14" x14ac:dyDescent="0.3">
      <c r="G20124" s="1"/>
      <c r="N20124" s="1"/>
    </row>
    <row r="20125" spans="7:14" x14ac:dyDescent="0.3">
      <c r="G20125" s="1"/>
      <c r="N20125" s="1"/>
    </row>
    <row r="20126" spans="7:14" x14ac:dyDescent="0.3">
      <c r="G20126" s="1"/>
      <c r="N20126" s="1"/>
    </row>
    <row r="20127" spans="7:14" x14ac:dyDescent="0.3">
      <c r="G20127" s="1"/>
      <c r="N20127" s="1"/>
    </row>
    <row r="20128" spans="7:14" x14ac:dyDescent="0.3">
      <c r="G20128" s="1"/>
      <c r="N20128" s="1"/>
    </row>
    <row r="20129" spans="7:14" x14ac:dyDescent="0.3">
      <c r="G20129" s="1"/>
      <c r="N20129" s="1"/>
    </row>
    <row r="20130" spans="7:14" x14ac:dyDescent="0.3">
      <c r="G20130" s="1"/>
      <c r="N20130" s="1"/>
    </row>
    <row r="20131" spans="7:14" x14ac:dyDescent="0.3">
      <c r="G20131" s="1"/>
      <c r="N20131" s="1"/>
    </row>
    <row r="20132" spans="7:14" x14ac:dyDescent="0.3">
      <c r="G20132" s="1"/>
      <c r="N20132" s="1"/>
    </row>
    <row r="20133" spans="7:14" x14ac:dyDescent="0.3">
      <c r="G20133" s="1"/>
      <c r="N20133" s="1"/>
    </row>
    <row r="20134" spans="7:14" x14ac:dyDescent="0.3">
      <c r="G20134" s="1"/>
      <c r="N20134" s="1"/>
    </row>
    <row r="20135" spans="7:14" x14ac:dyDescent="0.3">
      <c r="G20135" s="1"/>
      <c r="N20135" s="1"/>
    </row>
    <row r="20136" spans="7:14" x14ac:dyDescent="0.3">
      <c r="G20136" s="1"/>
      <c r="N20136" s="1"/>
    </row>
    <row r="20137" spans="7:14" x14ac:dyDescent="0.3">
      <c r="G20137" s="1"/>
      <c r="N20137" s="1"/>
    </row>
    <row r="20138" spans="7:14" x14ac:dyDescent="0.3">
      <c r="G20138" s="1"/>
      <c r="N20138" s="1"/>
    </row>
    <row r="20139" spans="7:14" x14ac:dyDescent="0.3">
      <c r="G20139" s="1"/>
      <c r="N20139" s="1"/>
    </row>
    <row r="20140" spans="7:14" x14ac:dyDescent="0.3">
      <c r="G20140" s="1"/>
      <c r="N20140" s="1"/>
    </row>
    <row r="20141" spans="7:14" x14ac:dyDescent="0.3">
      <c r="G20141" s="1"/>
      <c r="N20141" s="1"/>
    </row>
    <row r="20142" spans="7:14" x14ac:dyDescent="0.3">
      <c r="G20142" s="1"/>
      <c r="N20142" s="1"/>
    </row>
    <row r="20143" spans="7:14" x14ac:dyDescent="0.3">
      <c r="G20143" s="1"/>
      <c r="N20143" s="1"/>
    </row>
    <row r="20144" spans="7:14" x14ac:dyDescent="0.3">
      <c r="G20144" s="1"/>
      <c r="N20144" s="1"/>
    </row>
    <row r="20145" spans="7:14" x14ac:dyDescent="0.3">
      <c r="G20145" s="1"/>
      <c r="N20145" s="1"/>
    </row>
    <row r="20146" spans="7:14" x14ac:dyDescent="0.3">
      <c r="G20146" s="1"/>
      <c r="N20146" s="1"/>
    </row>
    <row r="20147" spans="7:14" x14ac:dyDescent="0.3">
      <c r="G20147" s="1"/>
      <c r="N20147" s="1"/>
    </row>
    <row r="20148" spans="7:14" x14ac:dyDescent="0.3">
      <c r="G20148" s="1"/>
      <c r="N20148" s="1"/>
    </row>
    <row r="20149" spans="7:14" x14ac:dyDescent="0.3">
      <c r="G20149" s="1"/>
      <c r="N20149" s="1"/>
    </row>
    <row r="20150" spans="7:14" x14ac:dyDescent="0.3">
      <c r="G20150" s="1"/>
      <c r="N20150" s="1"/>
    </row>
    <row r="20151" spans="7:14" x14ac:dyDescent="0.3">
      <c r="G20151" s="1"/>
      <c r="N20151" s="1"/>
    </row>
    <row r="20152" spans="7:14" x14ac:dyDescent="0.3">
      <c r="G20152" s="1"/>
      <c r="N20152" s="1"/>
    </row>
    <row r="20153" spans="7:14" x14ac:dyDescent="0.3">
      <c r="G20153" s="1"/>
      <c r="N20153" s="1"/>
    </row>
    <row r="20154" spans="7:14" x14ac:dyDescent="0.3">
      <c r="G20154" s="1"/>
      <c r="N20154" s="1"/>
    </row>
    <row r="20155" spans="7:14" x14ac:dyDescent="0.3">
      <c r="G20155" s="1"/>
      <c r="N20155" s="1"/>
    </row>
    <row r="20156" spans="7:14" x14ac:dyDescent="0.3">
      <c r="G20156" s="1"/>
      <c r="N20156" s="1"/>
    </row>
    <row r="20157" spans="7:14" x14ac:dyDescent="0.3">
      <c r="G20157" s="1"/>
      <c r="N20157" s="1"/>
    </row>
    <row r="20158" spans="7:14" x14ac:dyDescent="0.3">
      <c r="G20158" s="1"/>
      <c r="N20158" s="1"/>
    </row>
    <row r="20159" spans="7:14" x14ac:dyDescent="0.3">
      <c r="G20159" s="1"/>
      <c r="N20159" s="1"/>
    </row>
    <row r="20160" spans="7:14" x14ac:dyDescent="0.3">
      <c r="G20160" s="1"/>
      <c r="N20160" s="1"/>
    </row>
    <row r="20161" spans="7:14" x14ac:dyDescent="0.3">
      <c r="G20161" s="1"/>
      <c r="N20161" s="1"/>
    </row>
    <row r="20162" spans="7:14" x14ac:dyDescent="0.3">
      <c r="G20162" s="1"/>
      <c r="N20162" s="1"/>
    </row>
    <row r="20163" spans="7:14" x14ac:dyDescent="0.3">
      <c r="G20163" s="1"/>
      <c r="N20163" s="1"/>
    </row>
    <row r="20164" spans="7:14" x14ac:dyDescent="0.3">
      <c r="G20164" s="1"/>
      <c r="N20164" s="1"/>
    </row>
    <row r="20165" spans="7:14" x14ac:dyDescent="0.3">
      <c r="G20165" s="1"/>
      <c r="N20165" s="1"/>
    </row>
    <row r="20166" spans="7:14" x14ac:dyDescent="0.3">
      <c r="G20166" s="1"/>
      <c r="N20166" s="1"/>
    </row>
    <row r="20167" spans="7:14" x14ac:dyDescent="0.3">
      <c r="G20167" s="1"/>
      <c r="N20167" s="1"/>
    </row>
    <row r="20168" spans="7:14" x14ac:dyDescent="0.3">
      <c r="G20168" s="1"/>
      <c r="N20168" s="1"/>
    </row>
    <row r="20169" spans="7:14" x14ac:dyDescent="0.3">
      <c r="G20169" s="1"/>
      <c r="N20169" s="1"/>
    </row>
    <row r="20170" spans="7:14" x14ac:dyDescent="0.3">
      <c r="G20170" s="1"/>
      <c r="N20170" s="1"/>
    </row>
    <row r="20171" spans="7:14" x14ac:dyDescent="0.3">
      <c r="G20171" s="1"/>
      <c r="N20171" s="1"/>
    </row>
    <row r="20172" spans="7:14" x14ac:dyDescent="0.3">
      <c r="G20172" s="1"/>
      <c r="N20172" s="1"/>
    </row>
    <row r="20173" spans="7:14" x14ac:dyDescent="0.3">
      <c r="G20173" s="1"/>
      <c r="N20173" s="1"/>
    </row>
    <row r="20174" spans="7:14" x14ac:dyDescent="0.3">
      <c r="G20174" s="1"/>
      <c r="N20174" s="1"/>
    </row>
    <row r="20175" spans="7:14" x14ac:dyDescent="0.3">
      <c r="G20175" s="1"/>
      <c r="N20175" s="1"/>
    </row>
    <row r="20176" spans="7:14" x14ac:dyDescent="0.3">
      <c r="G20176" s="1"/>
      <c r="N20176" s="1"/>
    </row>
    <row r="20177" spans="7:14" x14ac:dyDescent="0.3">
      <c r="G20177" s="1"/>
      <c r="N20177" s="1"/>
    </row>
    <row r="20178" spans="7:14" x14ac:dyDescent="0.3">
      <c r="G20178" s="1"/>
      <c r="N20178" s="1"/>
    </row>
    <row r="20179" spans="7:14" x14ac:dyDescent="0.3">
      <c r="G20179" s="1"/>
      <c r="N20179" s="1"/>
    </row>
    <row r="20180" spans="7:14" x14ac:dyDescent="0.3">
      <c r="G20180" s="1"/>
      <c r="N20180" s="1"/>
    </row>
    <row r="20181" spans="7:14" x14ac:dyDescent="0.3">
      <c r="G20181" s="1"/>
      <c r="N20181" s="1"/>
    </row>
    <row r="20182" spans="7:14" x14ac:dyDescent="0.3">
      <c r="G20182" s="1"/>
      <c r="N20182" s="1"/>
    </row>
    <row r="20183" spans="7:14" x14ac:dyDescent="0.3">
      <c r="G20183" s="1"/>
      <c r="N20183" s="1"/>
    </row>
    <row r="20184" spans="7:14" x14ac:dyDescent="0.3">
      <c r="G20184" s="1"/>
      <c r="N20184" s="1"/>
    </row>
    <row r="20185" spans="7:14" x14ac:dyDescent="0.3">
      <c r="G20185" s="1"/>
      <c r="N20185" s="1"/>
    </row>
    <row r="20186" spans="7:14" x14ac:dyDescent="0.3">
      <c r="G20186" s="1"/>
      <c r="N20186" s="1"/>
    </row>
    <row r="20187" spans="7:14" x14ac:dyDescent="0.3">
      <c r="G20187" s="1"/>
      <c r="N20187" s="1"/>
    </row>
    <row r="20188" spans="7:14" x14ac:dyDescent="0.3">
      <c r="G20188" s="1"/>
      <c r="N20188" s="1"/>
    </row>
    <row r="20189" spans="7:14" x14ac:dyDescent="0.3">
      <c r="G20189" s="1"/>
      <c r="N20189" s="1"/>
    </row>
    <row r="20190" spans="7:14" x14ac:dyDescent="0.3">
      <c r="G20190" s="1"/>
      <c r="N20190" s="1"/>
    </row>
    <row r="20191" spans="7:14" x14ac:dyDescent="0.3">
      <c r="G20191" s="1"/>
      <c r="N20191" s="1"/>
    </row>
    <row r="20192" spans="7:14" x14ac:dyDescent="0.3">
      <c r="G20192" s="1"/>
      <c r="N20192" s="1"/>
    </row>
    <row r="20193" spans="7:14" x14ac:dyDescent="0.3">
      <c r="G20193" s="1"/>
      <c r="N20193" s="1"/>
    </row>
    <row r="20194" spans="7:14" x14ac:dyDescent="0.3">
      <c r="G20194" s="1"/>
      <c r="N20194" s="1"/>
    </row>
    <row r="20195" spans="7:14" x14ac:dyDescent="0.3">
      <c r="G20195" s="1"/>
      <c r="N20195" s="1"/>
    </row>
    <row r="20196" spans="7:14" x14ac:dyDescent="0.3">
      <c r="G20196" s="1"/>
      <c r="N20196" s="1"/>
    </row>
    <row r="20197" spans="7:14" x14ac:dyDescent="0.3">
      <c r="G20197" s="1"/>
      <c r="N20197" s="1"/>
    </row>
    <row r="20198" spans="7:14" x14ac:dyDescent="0.3">
      <c r="G20198" s="1"/>
      <c r="N20198" s="1"/>
    </row>
    <row r="20199" spans="7:14" x14ac:dyDescent="0.3">
      <c r="G20199" s="1"/>
      <c r="N20199" s="1"/>
    </row>
    <row r="20200" spans="7:14" x14ac:dyDescent="0.3">
      <c r="G20200" s="1"/>
      <c r="N20200" s="1"/>
    </row>
    <row r="20201" spans="7:14" x14ac:dyDescent="0.3">
      <c r="G20201" s="1"/>
      <c r="N20201" s="1"/>
    </row>
    <row r="20202" spans="7:14" x14ac:dyDescent="0.3">
      <c r="G20202" s="1"/>
      <c r="N20202" s="1"/>
    </row>
    <row r="20203" spans="7:14" x14ac:dyDescent="0.3">
      <c r="G20203" s="1"/>
      <c r="N20203" s="1"/>
    </row>
    <row r="20204" spans="7:14" x14ac:dyDescent="0.3">
      <c r="G20204" s="1"/>
      <c r="N20204" s="1"/>
    </row>
    <row r="20205" spans="7:14" x14ac:dyDescent="0.3">
      <c r="G20205" s="1"/>
      <c r="N20205" s="1"/>
    </row>
    <row r="20206" spans="7:14" x14ac:dyDescent="0.3">
      <c r="G20206" s="1"/>
      <c r="N20206" s="1"/>
    </row>
    <row r="20207" spans="7:14" x14ac:dyDescent="0.3">
      <c r="G20207" s="1"/>
      <c r="N20207" s="1"/>
    </row>
    <row r="20208" spans="7:14" x14ac:dyDescent="0.3">
      <c r="G20208" s="1"/>
      <c r="N20208" s="1"/>
    </row>
    <row r="20209" spans="7:14" x14ac:dyDescent="0.3">
      <c r="G20209" s="1"/>
      <c r="N20209" s="1"/>
    </row>
    <row r="20210" spans="7:14" x14ac:dyDescent="0.3">
      <c r="G20210" s="1"/>
      <c r="N20210" s="1"/>
    </row>
    <row r="20211" spans="7:14" x14ac:dyDescent="0.3">
      <c r="G20211" s="1"/>
      <c r="N20211" s="1"/>
    </row>
    <row r="20212" spans="7:14" x14ac:dyDescent="0.3">
      <c r="G20212" s="1"/>
      <c r="N20212" s="1"/>
    </row>
    <row r="20213" spans="7:14" x14ac:dyDescent="0.3">
      <c r="G20213" s="1"/>
      <c r="N20213" s="1"/>
    </row>
    <row r="20214" spans="7:14" x14ac:dyDescent="0.3">
      <c r="G20214" s="1"/>
      <c r="N20214" s="1"/>
    </row>
    <row r="20215" spans="7:14" x14ac:dyDescent="0.3">
      <c r="G20215" s="1"/>
      <c r="N20215" s="1"/>
    </row>
    <row r="20216" spans="7:14" x14ac:dyDescent="0.3">
      <c r="G20216" s="1"/>
      <c r="N20216" s="1"/>
    </row>
    <row r="20217" spans="7:14" x14ac:dyDescent="0.3">
      <c r="G20217" s="1"/>
      <c r="N20217" s="1"/>
    </row>
    <row r="20218" spans="7:14" x14ac:dyDescent="0.3">
      <c r="G20218" s="1"/>
      <c r="N20218" s="1"/>
    </row>
    <row r="20219" spans="7:14" x14ac:dyDescent="0.3">
      <c r="G20219" s="1"/>
      <c r="N20219" s="1"/>
    </row>
    <row r="20220" spans="7:14" x14ac:dyDescent="0.3">
      <c r="G20220" s="1"/>
      <c r="N20220" s="1"/>
    </row>
    <row r="20221" spans="7:14" x14ac:dyDescent="0.3">
      <c r="G20221" s="1"/>
      <c r="N20221" s="1"/>
    </row>
    <row r="20222" spans="7:14" x14ac:dyDescent="0.3">
      <c r="G20222" s="1"/>
      <c r="N20222" s="1"/>
    </row>
    <row r="20223" spans="7:14" x14ac:dyDescent="0.3">
      <c r="G20223" s="1"/>
      <c r="N20223" s="1"/>
    </row>
    <row r="20224" spans="7:14" x14ac:dyDescent="0.3">
      <c r="G20224" s="1"/>
      <c r="N20224" s="1"/>
    </row>
    <row r="20225" spans="7:14" x14ac:dyDescent="0.3">
      <c r="G20225" s="1"/>
      <c r="N20225" s="1"/>
    </row>
    <row r="20226" spans="7:14" x14ac:dyDescent="0.3">
      <c r="G20226" s="1"/>
      <c r="N20226" s="1"/>
    </row>
    <row r="20227" spans="7:14" x14ac:dyDescent="0.3">
      <c r="G20227" s="1"/>
      <c r="N20227" s="1"/>
    </row>
    <row r="20228" spans="7:14" x14ac:dyDescent="0.3">
      <c r="G20228" s="1"/>
      <c r="N20228" s="1"/>
    </row>
    <row r="20229" spans="7:14" x14ac:dyDescent="0.3">
      <c r="G20229" s="1"/>
      <c r="N20229" s="1"/>
    </row>
    <row r="20230" spans="7:14" x14ac:dyDescent="0.3">
      <c r="G20230" s="1"/>
      <c r="N20230" s="1"/>
    </row>
    <row r="20231" spans="7:14" x14ac:dyDescent="0.3">
      <c r="G20231" s="1"/>
      <c r="N20231" s="1"/>
    </row>
    <row r="20232" spans="7:14" x14ac:dyDescent="0.3">
      <c r="G20232" s="1"/>
      <c r="N20232" s="1"/>
    </row>
    <row r="20233" spans="7:14" x14ac:dyDescent="0.3">
      <c r="G20233" s="1"/>
      <c r="N20233" s="1"/>
    </row>
    <row r="20234" spans="7:14" x14ac:dyDescent="0.3">
      <c r="G20234" s="1"/>
      <c r="N20234" s="1"/>
    </row>
    <row r="20235" spans="7:14" x14ac:dyDescent="0.3">
      <c r="G20235" s="1"/>
      <c r="N20235" s="1"/>
    </row>
    <row r="20236" spans="7:14" x14ac:dyDescent="0.3">
      <c r="G20236" s="1"/>
      <c r="N20236" s="1"/>
    </row>
    <row r="20237" spans="7:14" x14ac:dyDescent="0.3">
      <c r="G20237" s="1"/>
      <c r="N20237" s="1"/>
    </row>
    <row r="20238" spans="7:14" x14ac:dyDescent="0.3">
      <c r="G20238" s="1"/>
      <c r="N20238" s="1"/>
    </row>
    <row r="20239" spans="7:14" x14ac:dyDescent="0.3">
      <c r="G20239" s="1"/>
      <c r="N20239" s="1"/>
    </row>
    <row r="20240" spans="7:14" x14ac:dyDescent="0.3">
      <c r="G20240" s="1"/>
      <c r="N20240" s="1"/>
    </row>
    <row r="20241" spans="7:14" x14ac:dyDescent="0.3">
      <c r="G20241" s="1"/>
      <c r="N20241" s="1"/>
    </row>
    <row r="20242" spans="7:14" x14ac:dyDescent="0.3">
      <c r="G20242" s="1"/>
      <c r="N20242" s="1"/>
    </row>
    <row r="20243" spans="7:14" x14ac:dyDescent="0.3">
      <c r="G20243" s="1"/>
      <c r="N20243" s="1"/>
    </row>
    <row r="20244" spans="7:14" x14ac:dyDescent="0.3">
      <c r="G20244" s="1"/>
      <c r="N20244" s="1"/>
    </row>
    <row r="20245" spans="7:14" x14ac:dyDescent="0.3">
      <c r="G20245" s="1"/>
      <c r="N20245" s="1"/>
    </row>
    <row r="20246" spans="7:14" x14ac:dyDescent="0.3">
      <c r="G20246" s="1"/>
      <c r="N20246" s="1"/>
    </row>
    <row r="20247" spans="7:14" x14ac:dyDescent="0.3">
      <c r="G20247" s="1"/>
      <c r="N20247" s="1"/>
    </row>
    <row r="20248" spans="7:14" x14ac:dyDescent="0.3">
      <c r="G20248" s="1"/>
      <c r="N20248" s="1"/>
    </row>
    <row r="20249" spans="7:14" x14ac:dyDescent="0.3">
      <c r="G20249" s="1"/>
      <c r="N20249" s="1"/>
    </row>
    <row r="20250" spans="7:14" x14ac:dyDescent="0.3">
      <c r="G20250" s="1"/>
      <c r="N20250" s="1"/>
    </row>
    <row r="20251" spans="7:14" x14ac:dyDescent="0.3">
      <c r="G20251" s="1"/>
      <c r="N20251" s="1"/>
    </row>
    <row r="20252" spans="7:14" x14ac:dyDescent="0.3">
      <c r="G20252" s="1"/>
      <c r="N20252" s="1"/>
    </row>
    <row r="20253" spans="7:14" x14ac:dyDescent="0.3">
      <c r="G20253" s="1"/>
      <c r="N20253" s="1"/>
    </row>
    <row r="20254" spans="7:14" x14ac:dyDescent="0.3">
      <c r="G20254" s="1"/>
      <c r="N20254" s="1"/>
    </row>
    <row r="20255" spans="7:14" x14ac:dyDescent="0.3">
      <c r="G20255" s="1"/>
      <c r="N20255" s="1"/>
    </row>
    <row r="20256" spans="7:14" x14ac:dyDescent="0.3">
      <c r="G20256" s="1"/>
      <c r="N20256" s="1"/>
    </row>
    <row r="20257" spans="7:14" x14ac:dyDescent="0.3">
      <c r="G20257" s="1"/>
      <c r="N20257" s="1"/>
    </row>
    <row r="20258" spans="7:14" x14ac:dyDescent="0.3">
      <c r="G20258" s="1"/>
      <c r="N20258" s="1"/>
    </row>
    <row r="20259" spans="7:14" x14ac:dyDescent="0.3">
      <c r="G20259" s="1"/>
      <c r="N20259" s="1"/>
    </row>
    <row r="20260" spans="7:14" x14ac:dyDescent="0.3">
      <c r="G20260" s="1"/>
      <c r="N20260" s="1"/>
    </row>
    <row r="20261" spans="7:14" x14ac:dyDescent="0.3">
      <c r="G20261" s="1"/>
      <c r="N20261" s="1"/>
    </row>
    <row r="20262" spans="7:14" x14ac:dyDescent="0.3">
      <c r="G20262" s="1"/>
      <c r="N20262" s="1"/>
    </row>
    <row r="20263" spans="7:14" x14ac:dyDescent="0.3">
      <c r="G20263" s="1"/>
      <c r="N20263" s="1"/>
    </row>
    <row r="20264" spans="7:14" x14ac:dyDescent="0.3">
      <c r="G20264" s="1"/>
      <c r="N20264" s="1"/>
    </row>
    <row r="20265" spans="7:14" x14ac:dyDescent="0.3">
      <c r="G20265" s="1"/>
      <c r="N20265" s="1"/>
    </row>
    <row r="20266" spans="7:14" x14ac:dyDescent="0.3">
      <c r="G20266" s="1"/>
      <c r="N20266" s="1"/>
    </row>
    <row r="20267" spans="7:14" x14ac:dyDescent="0.3">
      <c r="G20267" s="1"/>
      <c r="N20267" s="1"/>
    </row>
    <row r="20268" spans="7:14" x14ac:dyDescent="0.3">
      <c r="G20268" s="1"/>
      <c r="N20268" s="1"/>
    </row>
    <row r="20269" spans="7:14" x14ac:dyDescent="0.3">
      <c r="G20269" s="1"/>
      <c r="N20269" s="1"/>
    </row>
    <row r="20270" spans="7:14" x14ac:dyDescent="0.3">
      <c r="G20270" s="1"/>
      <c r="N20270" s="1"/>
    </row>
    <row r="20271" spans="7:14" x14ac:dyDescent="0.3">
      <c r="G20271" s="1"/>
      <c r="N20271" s="1"/>
    </row>
    <row r="20272" spans="7:14" x14ac:dyDescent="0.3">
      <c r="G20272" s="1"/>
      <c r="N20272" s="1"/>
    </row>
    <row r="20273" spans="7:14" x14ac:dyDescent="0.3">
      <c r="G20273" s="1"/>
      <c r="N20273" s="1"/>
    </row>
    <row r="20274" spans="7:14" x14ac:dyDescent="0.3">
      <c r="G20274" s="1"/>
      <c r="N20274" s="1"/>
    </row>
    <row r="20275" spans="7:14" x14ac:dyDescent="0.3">
      <c r="G20275" s="1"/>
      <c r="N20275" s="1"/>
    </row>
    <row r="20276" spans="7:14" x14ac:dyDescent="0.3">
      <c r="G20276" s="1"/>
      <c r="N20276" s="1"/>
    </row>
    <row r="20277" spans="7:14" x14ac:dyDescent="0.3">
      <c r="G20277" s="1"/>
      <c r="N20277" s="1"/>
    </row>
    <row r="20278" spans="7:14" x14ac:dyDescent="0.3">
      <c r="G20278" s="1"/>
      <c r="N20278" s="1"/>
    </row>
    <row r="20279" spans="7:14" x14ac:dyDescent="0.3">
      <c r="G20279" s="1"/>
      <c r="N20279" s="1"/>
    </row>
    <row r="20280" spans="7:14" x14ac:dyDescent="0.3">
      <c r="G20280" s="1"/>
      <c r="N20280" s="1"/>
    </row>
    <row r="20281" spans="7:14" x14ac:dyDescent="0.3">
      <c r="G20281" s="1"/>
      <c r="N20281" s="1"/>
    </row>
    <row r="20282" spans="7:14" x14ac:dyDescent="0.3">
      <c r="G20282" s="1"/>
      <c r="N20282" s="1"/>
    </row>
    <row r="20283" spans="7:14" x14ac:dyDescent="0.3">
      <c r="G20283" s="1"/>
      <c r="N20283" s="1"/>
    </row>
    <row r="20284" spans="7:14" x14ac:dyDescent="0.3">
      <c r="G20284" s="1"/>
      <c r="N20284" s="1"/>
    </row>
    <row r="20285" spans="7:14" x14ac:dyDescent="0.3">
      <c r="G20285" s="1"/>
      <c r="N20285" s="1"/>
    </row>
    <row r="20286" spans="7:14" x14ac:dyDescent="0.3">
      <c r="G20286" s="1"/>
      <c r="N20286" s="1"/>
    </row>
    <row r="20287" spans="7:14" x14ac:dyDescent="0.3">
      <c r="G20287" s="1"/>
      <c r="N20287" s="1"/>
    </row>
    <row r="20288" spans="7:14" x14ac:dyDescent="0.3">
      <c r="G20288" s="1"/>
      <c r="N20288" s="1"/>
    </row>
    <row r="20289" spans="7:14" x14ac:dyDescent="0.3">
      <c r="G20289" s="1"/>
      <c r="N20289" s="1"/>
    </row>
    <row r="20290" spans="7:14" x14ac:dyDescent="0.3">
      <c r="G20290" s="1"/>
      <c r="N20290" s="1"/>
    </row>
    <row r="20291" spans="7:14" x14ac:dyDescent="0.3">
      <c r="G20291" s="1"/>
      <c r="N20291" s="1"/>
    </row>
    <row r="20292" spans="7:14" x14ac:dyDescent="0.3">
      <c r="G20292" s="1"/>
      <c r="N20292" s="1"/>
    </row>
    <row r="20293" spans="7:14" x14ac:dyDescent="0.3">
      <c r="G20293" s="1"/>
      <c r="N20293" s="1"/>
    </row>
    <row r="20294" spans="7:14" x14ac:dyDescent="0.3">
      <c r="G20294" s="1"/>
      <c r="N20294" s="1"/>
    </row>
    <row r="20295" spans="7:14" x14ac:dyDescent="0.3">
      <c r="G20295" s="1"/>
      <c r="N20295" s="1"/>
    </row>
    <row r="20296" spans="7:14" x14ac:dyDescent="0.3">
      <c r="G20296" s="1"/>
      <c r="N20296" s="1"/>
    </row>
    <row r="20297" spans="7:14" x14ac:dyDescent="0.3">
      <c r="G20297" s="1"/>
      <c r="N20297" s="1"/>
    </row>
    <row r="20298" spans="7:14" x14ac:dyDescent="0.3">
      <c r="G20298" s="1"/>
      <c r="N20298" s="1"/>
    </row>
    <row r="20299" spans="7:14" x14ac:dyDescent="0.3">
      <c r="G20299" s="1"/>
      <c r="N20299" s="1"/>
    </row>
    <row r="20300" spans="7:14" x14ac:dyDescent="0.3">
      <c r="G20300" s="1"/>
      <c r="N20300" s="1"/>
    </row>
    <row r="20301" spans="7:14" x14ac:dyDescent="0.3">
      <c r="G20301" s="1"/>
      <c r="N20301" s="1"/>
    </row>
    <row r="20302" spans="7:14" x14ac:dyDescent="0.3">
      <c r="G20302" s="1"/>
      <c r="N20302" s="1"/>
    </row>
    <row r="20303" spans="7:14" x14ac:dyDescent="0.3">
      <c r="G20303" s="1"/>
      <c r="N20303" s="1"/>
    </row>
    <row r="20304" spans="7:14" x14ac:dyDescent="0.3">
      <c r="G20304" s="1"/>
      <c r="N20304" s="1"/>
    </row>
    <row r="20305" spans="7:14" x14ac:dyDescent="0.3">
      <c r="G20305" s="1"/>
      <c r="N20305" s="1"/>
    </row>
    <row r="20306" spans="7:14" x14ac:dyDescent="0.3">
      <c r="G20306" s="1"/>
      <c r="N20306" s="1"/>
    </row>
    <row r="20307" spans="7:14" x14ac:dyDescent="0.3">
      <c r="G20307" s="1"/>
      <c r="N20307" s="1"/>
    </row>
    <row r="20308" spans="7:14" x14ac:dyDescent="0.3">
      <c r="G20308" s="1"/>
      <c r="N20308" s="1"/>
    </row>
    <row r="20309" spans="7:14" x14ac:dyDescent="0.3">
      <c r="G20309" s="1"/>
      <c r="N20309" s="1"/>
    </row>
    <row r="20310" spans="7:14" x14ac:dyDescent="0.3">
      <c r="G20310" s="1"/>
      <c r="N20310" s="1"/>
    </row>
    <row r="20311" spans="7:14" x14ac:dyDescent="0.3">
      <c r="G20311" s="1"/>
      <c r="N20311" s="1"/>
    </row>
    <row r="20312" spans="7:14" x14ac:dyDescent="0.3">
      <c r="G20312" s="1"/>
      <c r="N20312" s="1"/>
    </row>
    <row r="20313" spans="7:14" x14ac:dyDescent="0.3">
      <c r="G20313" s="1"/>
      <c r="N20313" s="1"/>
    </row>
    <row r="20314" spans="7:14" x14ac:dyDescent="0.3">
      <c r="G20314" s="1"/>
      <c r="N20314" s="1"/>
    </row>
    <row r="20315" spans="7:14" x14ac:dyDescent="0.3">
      <c r="G20315" s="1"/>
      <c r="N20315" s="1"/>
    </row>
    <row r="20316" spans="7:14" x14ac:dyDescent="0.3">
      <c r="G20316" s="1"/>
      <c r="N20316" s="1"/>
    </row>
    <row r="20317" spans="7:14" x14ac:dyDescent="0.3">
      <c r="G20317" s="1"/>
      <c r="N20317" s="1"/>
    </row>
    <row r="20318" spans="7:14" x14ac:dyDescent="0.3">
      <c r="G20318" s="1"/>
      <c r="N20318" s="1"/>
    </row>
    <row r="20319" spans="7:14" x14ac:dyDescent="0.3">
      <c r="G20319" s="1"/>
      <c r="N20319" s="1"/>
    </row>
    <row r="20320" spans="7:14" x14ac:dyDescent="0.3">
      <c r="G20320" s="1"/>
      <c r="N20320" s="1"/>
    </row>
    <row r="20321" spans="7:14" x14ac:dyDescent="0.3">
      <c r="G20321" s="1"/>
      <c r="N20321" s="1"/>
    </row>
    <row r="20322" spans="7:14" x14ac:dyDescent="0.3">
      <c r="G20322" s="1"/>
      <c r="N20322" s="1"/>
    </row>
    <row r="20323" spans="7:14" x14ac:dyDescent="0.3">
      <c r="G20323" s="1"/>
      <c r="N20323" s="1"/>
    </row>
    <row r="20324" spans="7:14" x14ac:dyDescent="0.3">
      <c r="G20324" s="1"/>
      <c r="N20324" s="1"/>
    </row>
    <row r="20325" spans="7:14" x14ac:dyDescent="0.3">
      <c r="G20325" s="1"/>
      <c r="N20325" s="1"/>
    </row>
    <row r="20326" spans="7:14" x14ac:dyDescent="0.3">
      <c r="G20326" s="1"/>
      <c r="N20326" s="1"/>
    </row>
    <row r="20327" spans="7:14" x14ac:dyDescent="0.3">
      <c r="G20327" s="1"/>
      <c r="N20327" s="1"/>
    </row>
    <row r="20328" spans="7:14" x14ac:dyDescent="0.3">
      <c r="G20328" s="1"/>
      <c r="N20328" s="1"/>
    </row>
    <row r="20329" spans="7:14" x14ac:dyDescent="0.3">
      <c r="G20329" s="1"/>
      <c r="N20329" s="1"/>
    </row>
    <row r="20330" spans="7:14" x14ac:dyDescent="0.3">
      <c r="G20330" s="1"/>
      <c r="N20330" s="1"/>
    </row>
    <row r="20331" spans="7:14" x14ac:dyDescent="0.3">
      <c r="G20331" s="1"/>
      <c r="N20331" s="1"/>
    </row>
    <row r="20332" spans="7:14" x14ac:dyDescent="0.3">
      <c r="G20332" s="1"/>
      <c r="N20332" s="1"/>
    </row>
    <row r="20333" spans="7:14" x14ac:dyDescent="0.3">
      <c r="G20333" s="1"/>
      <c r="N20333" s="1"/>
    </row>
    <row r="20334" spans="7:14" x14ac:dyDescent="0.3">
      <c r="G20334" s="1"/>
      <c r="N20334" s="1"/>
    </row>
    <row r="20335" spans="7:14" x14ac:dyDescent="0.3">
      <c r="G20335" s="1"/>
      <c r="N20335" s="1"/>
    </row>
    <row r="20336" spans="7:14" x14ac:dyDescent="0.3">
      <c r="G20336" s="1"/>
      <c r="N20336" s="1"/>
    </row>
    <row r="20337" spans="7:14" x14ac:dyDescent="0.3">
      <c r="G20337" s="1"/>
      <c r="N20337" s="1"/>
    </row>
    <row r="20338" spans="7:14" x14ac:dyDescent="0.3">
      <c r="G20338" s="1"/>
      <c r="N20338" s="1"/>
    </row>
    <row r="20339" spans="7:14" x14ac:dyDescent="0.3">
      <c r="G20339" s="1"/>
      <c r="N20339" s="1"/>
    </row>
    <row r="20340" spans="7:14" x14ac:dyDescent="0.3">
      <c r="G20340" s="1"/>
      <c r="N20340" s="1"/>
    </row>
    <row r="20341" spans="7:14" x14ac:dyDescent="0.3">
      <c r="G20341" s="1"/>
      <c r="N20341" s="1"/>
    </row>
    <row r="20342" spans="7:14" x14ac:dyDescent="0.3">
      <c r="G20342" s="1"/>
      <c r="N20342" s="1"/>
    </row>
    <row r="20343" spans="7:14" x14ac:dyDescent="0.3">
      <c r="G20343" s="1"/>
      <c r="N20343" s="1"/>
    </row>
    <row r="20344" spans="7:14" x14ac:dyDescent="0.3">
      <c r="G20344" s="1"/>
      <c r="N20344" s="1"/>
    </row>
    <row r="20345" spans="7:14" x14ac:dyDescent="0.3">
      <c r="G20345" s="1"/>
      <c r="N20345" s="1"/>
    </row>
    <row r="20346" spans="7:14" x14ac:dyDescent="0.3">
      <c r="G20346" s="1"/>
      <c r="N20346" s="1"/>
    </row>
    <row r="20347" spans="7:14" x14ac:dyDescent="0.3">
      <c r="G20347" s="1"/>
      <c r="N20347" s="1"/>
    </row>
    <row r="20348" spans="7:14" x14ac:dyDescent="0.3">
      <c r="G20348" s="1"/>
      <c r="N20348" s="1"/>
    </row>
    <row r="20349" spans="7:14" x14ac:dyDescent="0.3">
      <c r="G20349" s="1"/>
      <c r="N20349" s="1"/>
    </row>
    <row r="20350" spans="7:14" x14ac:dyDescent="0.3">
      <c r="G20350" s="1"/>
      <c r="N20350" s="1"/>
    </row>
    <row r="20351" spans="7:14" x14ac:dyDescent="0.3">
      <c r="G20351" s="1"/>
      <c r="N20351" s="1"/>
    </row>
    <row r="20352" spans="7:14" x14ac:dyDescent="0.3">
      <c r="G20352" s="1"/>
      <c r="N20352" s="1"/>
    </row>
    <row r="20353" spans="7:14" x14ac:dyDescent="0.3">
      <c r="G20353" s="1"/>
      <c r="N20353" s="1"/>
    </row>
    <row r="20354" spans="7:14" x14ac:dyDescent="0.3">
      <c r="G20354" s="1"/>
      <c r="N20354" s="1"/>
    </row>
    <row r="20355" spans="7:14" x14ac:dyDescent="0.3">
      <c r="G20355" s="1"/>
      <c r="N20355" s="1"/>
    </row>
    <row r="20356" spans="7:14" x14ac:dyDescent="0.3">
      <c r="G20356" s="1"/>
      <c r="N20356" s="1"/>
    </row>
    <row r="20357" spans="7:14" x14ac:dyDescent="0.3">
      <c r="G20357" s="1"/>
      <c r="N20357" s="1"/>
    </row>
    <row r="20358" spans="7:14" x14ac:dyDescent="0.3">
      <c r="G20358" s="1"/>
      <c r="N20358" s="1"/>
    </row>
    <row r="20359" spans="7:14" x14ac:dyDescent="0.3">
      <c r="G20359" s="1"/>
      <c r="N20359" s="1"/>
    </row>
    <row r="20360" spans="7:14" x14ac:dyDescent="0.3">
      <c r="G20360" s="1"/>
      <c r="N20360" s="1"/>
    </row>
    <row r="20361" spans="7:14" x14ac:dyDescent="0.3">
      <c r="G20361" s="1"/>
      <c r="N20361" s="1"/>
    </row>
    <row r="20362" spans="7:14" x14ac:dyDescent="0.3">
      <c r="G20362" s="1"/>
      <c r="N20362" s="1"/>
    </row>
    <row r="20363" spans="7:14" x14ac:dyDescent="0.3">
      <c r="G20363" s="1"/>
      <c r="N20363" s="1"/>
    </row>
    <row r="20364" spans="7:14" x14ac:dyDescent="0.3">
      <c r="G20364" s="1"/>
      <c r="N20364" s="1"/>
    </row>
    <row r="20365" spans="7:14" x14ac:dyDescent="0.3">
      <c r="G20365" s="1"/>
      <c r="N20365" s="1"/>
    </row>
    <row r="20366" spans="7:14" x14ac:dyDescent="0.3">
      <c r="G20366" s="1"/>
      <c r="N20366" s="1"/>
    </row>
    <row r="20367" spans="7:14" x14ac:dyDescent="0.3">
      <c r="G20367" s="1"/>
      <c r="N20367" s="1"/>
    </row>
    <row r="20368" spans="7:14" x14ac:dyDescent="0.3">
      <c r="G20368" s="1"/>
      <c r="N20368" s="1"/>
    </row>
    <row r="20369" spans="7:14" x14ac:dyDescent="0.3">
      <c r="G20369" s="1"/>
      <c r="N20369" s="1"/>
    </row>
    <row r="20370" spans="7:14" x14ac:dyDescent="0.3">
      <c r="G20370" s="1"/>
      <c r="N20370" s="1"/>
    </row>
    <row r="20371" spans="7:14" x14ac:dyDescent="0.3">
      <c r="G20371" s="1"/>
      <c r="N20371" s="1"/>
    </row>
    <row r="20372" spans="7:14" x14ac:dyDescent="0.3">
      <c r="G20372" s="1"/>
      <c r="N20372" s="1"/>
    </row>
    <row r="20373" spans="7:14" x14ac:dyDescent="0.3">
      <c r="G20373" s="1"/>
      <c r="N20373" s="1"/>
    </row>
    <row r="20374" spans="7:14" x14ac:dyDescent="0.3">
      <c r="G20374" s="1"/>
      <c r="N20374" s="1"/>
    </row>
    <row r="20375" spans="7:14" x14ac:dyDescent="0.3">
      <c r="G20375" s="1"/>
      <c r="N20375" s="1"/>
    </row>
    <row r="20376" spans="7:14" x14ac:dyDescent="0.3">
      <c r="G20376" s="1"/>
      <c r="N20376" s="1"/>
    </row>
    <row r="20377" spans="7:14" x14ac:dyDescent="0.3">
      <c r="G20377" s="1"/>
      <c r="N20377" s="1"/>
    </row>
    <row r="20378" spans="7:14" x14ac:dyDescent="0.3">
      <c r="G20378" s="1"/>
      <c r="N20378" s="1"/>
    </row>
    <row r="20379" spans="7:14" x14ac:dyDescent="0.3">
      <c r="G20379" s="1"/>
      <c r="N20379" s="1"/>
    </row>
    <row r="20380" spans="7:14" x14ac:dyDescent="0.3">
      <c r="G20380" s="1"/>
      <c r="N20380" s="1"/>
    </row>
    <row r="20381" spans="7:14" x14ac:dyDescent="0.3">
      <c r="G20381" s="1"/>
      <c r="N20381" s="1"/>
    </row>
    <row r="20382" spans="7:14" x14ac:dyDescent="0.3">
      <c r="G20382" s="1"/>
      <c r="N20382" s="1"/>
    </row>
    <row r="20383" spans="7:14" x14ac:dyDescent="0.3">
      <c r="G20383" s="1"/>
      <c r="N20383" s="1"/>
    </row>
    <row r="20384" spans="7:14" x14ac:dyDescent="0.3">
      <c r="G20384" s="1"/>
      <c r="N20384" s="1"/>
    </row>
    <row r="20385" spans="7:14" x14ac:dyDescent="0.3">
      <c r="G20385" s="1"/>
      <c r="N20385" s="1"/>
    </row>
    <row r="20386" spans="7:14" x14ac:dyDescent="0.3">
      <c r="G20386" s="1"/>
      <c r="N20386" s="1"/>
    </row>
    <row r="20387" spans="7:14" x14ac:dyDescent="0.3">
      <c r="G20387" s="1"/>
      <c r="N20387" s="1"/>
    </row>
    <row r="20388" spans="7:14" x14ac:dyDescent="0.3">
      <c r="G20388" s="1"/>
      <c r="N20388" s="1"/>
    </row>
    <row r="20389" spans="7:14" x14ac:dyDescent="0.3">
      <c r="G20389" s="1"/>
      <c r="N20389" s="1"/>
    </row>
    <row r="20390" spans="7:14" x14ac:dyDescent="0.3">
      <c r="G20390" s="1"/>
      <c r="N20390" s="1"/>
    </row>
    <row r="20391" spans="7:14" x14ac:dyDescent="0.3">
      <c r="G20391" s="1"/>
      <c r="N20391" s="1"/>
    </row>
    <row r="20392" spans="7:14" x14ac:dyDescent="0.3">
      <c r="G20392" s="1"/>
      <c r="N20392" s="1"/>
    </row>
    <row r="20393" spans="7:14" x14ac:dyDescent="0.3">
      <c r="G20393" s="1"/>
      <c r="N20393" s="1"/>
    </row>
    <row r="20394" spans="7:14" x14ac:dyDescent="0.3">
      <c r="G20394" s="1"/>
      <c r="N20394" s="1"/>
    </row>
    <row r="20395" spans="7:14" x14ac:dyDescent="0.3">
      <c r="G20395" s="1"/>
      <c r="N20395" s="1"/>
    </row>
    <row r="20396" spans="7:14" x14ac:dyDescent="0.3">
      <c r="G20396" s="1"/>
      <c r="N20396" s="1"/>
    </row>
    <row r="20397" spans="7:14" x14ac:dyDescent="0.3">
      <c r="G20397" s="1"/>
      <c r="N20397" s="1"/>
    </row>
    <row r="20398" spans="7:14" x14ac:dyDescent="0.3">
      <c r="G20398" s="1"/>
      <c r="N20398" s="1"/>
    </row>
    <row r="20399" spans="7:14" x14ac:dyDescent="0.3">
      <c r="G20399" s="1"/>
      <c r="N20399" s="1"/>
    </row>
    <row r="20400" spans="7:14" x14ac:dyDescent="0.3">
      <c r="G20400" s="1"/>
      <c r="N20400" s="1"/>
    </row>
    <row r="20401" spans="7:14" x14ac:dyDescent="0.3">
      <c r="G20401" s="1"/>
      <c r="N20401" s="1"/>
    </row>
    <row r="20402" spans="7:14" x14ac:dyDescent="0.3">
      <c r="G20402" s="1"/>
      <c r="N20402" s="1"/>
    </row>
    <row r="20403" spans="7:14" x14ac:dyDescent="0.3">
      <c r="G20403" s="1"/>
      <c r="N20403" s="1"/>
    </row>
    <row r="20404" spans="7:14" x14ac:dyDescent="0.3">
      <c r="G20404" s="1"/>
      <c r="N20404" s="1"/>
    </row>
    <row r="20405" spans="7:14" x14ac:dyDescent="0.3">
      <c r="G20405" s="1"/>
      <c r="N20405" s="1"/>
    </row>
    <row r="20406" spans="7:14" x14ac:dyDescent="0.3">
      <c r="G20406" s="1"/>
      <c r="N20406" s="1"/>
    </row>
    <row r="20407" spans="7:14" x14ac:dyDescent="0.3">
      <c r="G20407" s="1"/>
      <c r="N20407" s="1"/>
    </row>
    <row r="20408" spans="7:14" x14ac:dyDescent="0.3">
      <c r="G20408" s="1"/>
      <c r="N20408" s="1"/>
    </row>
    <row r="20409" spans="7:14" x14ac:dyDescent="0.3">
      <c r="G20409" s="1"/>
      <c r="N20409" s="1"/>
    </row>
    <row r="20410" spans="7:14" x14ac:dyDescent="0.3">
      <c r="G20410" s="1"/>
      <c r="N20410" s="1"/>
    </row>
    <row r="20411" spans="7:14" x14ac:dyDescent="0.3">
      <c r="G20411" s="1"/>
      <c r="N20411" s="1"/>
    </row>
    <row r="20412" spans="7:14" x14ac:dyDescent="0.3">
      <c r="G20412" s="1"/>
      <c r="N20412" s="1"/>
    </row>
    <row r="20413" spans="7:14" x14ac:dyDescent="0.3">
      <c r="G20413" s="1"/>
      <c r="N20413" s="1"/>
    </row>
    <row r="20414" spans="7:14" x14ac:dyDescent="0.3">
      <c r="G20414" s="1"/>
      <c r="N20414" s="1"/>
    </row>
    <row r="20415" spans="7:14" x14ac:dyDescent="0.3">
      <c r="G20415" s="1"/>
      <c r="N20415" s="1"/>
    </row>
    <row r="20416" spans="7:14" x14ac:dyDescent="0.3">
      <c r="G20416" s="1"/>
      <c r="N20416" s="1"/>
    </row>
    <row r="20417" spans="7:14" x14ac:dyDescent="0.3">
      <c r="G20417" s="1"/>
      <c r="N20417" s="1"/>
    </row>
    <row r="20418" spans="7:14" x14ac:dyDescent="0.3">
      <c r="G20418" s="1"/>
      <c r="N20418" s="1"/>
    </row>
    <row r="20419" spans="7:14" x14ac:dyDescent="0.3">
      <c r="G20419" s="1"/>
      <c r="N20419" s="1"/>
    </row>
    <row r="20420" spans="7:14" x14ac:dyDescent="0.3">
      <c r="G20420" s="1"/>
      <c r="N20420" s="1"/>
    </row>
    <row r="20421" spans="7:14" x14ac:dyDescent="0.3">
      <c r="G20421" s="1"/>
      <c r="N20421" s="1"/>
    </row>
    <row r="20422" spans="7:14" x14ac:dyDescent="0.3">
      <c r="G20422" s="1"/>
      <c r="N20422" s="1"/>
    </row>
    <row r="20423" spans="7:14" x14ac:dyDescent="0.3">
      <c r="G20423" s="1"/>
      <c r="N20423" s="1"/>
    </row>
    <row r="20424" spans="7:14" x14ac:dyDescent="0.3">
      <c r="G20424" s="1"/>
      <c r="N20424" s="1"/>
    </row>
    <row r="20425" spans="7:14" x14ac:dyDescent="0.3">
      <c r="G20425" s="1"/>
      <c r="N20425" s="1"/>
    </row>
    <row r="20426" spans="7:14" x14ac:dyDescent="0.3">
      <c r="G20426" s="1"/>
      <c r="N20426" s="1"/>
    </row>
    <row r="20427" spans="7:14" x14ac:dyDescent="0.3">
      <c r="G20427" s="1"/>
      <c r="N20427" s="1"/>
    </row>
    <row r="20428" spans="7:14" x14ac:dyDescent="0.3">
      <c r="G20428" s="1"/>
      <c r="N20428" s="1"/>
    </row>
    <row r="20429" spans="7:14" x14ac:dyDescent="0.3">
      <c r="G20429" s="1"/>
      <c r="N20429" s="1"/>
    </row>
    <row r="20430" spans="7:14" x14ac:dyDescent="0.3">
      <c r="G20430" s="1"/>
      <c r="N20430" s="1"/>
    </row>
    <row r="20431" spans="7:14" x14ac:dyDescent="0.3">
      <c r="G20431" s="1"/>
      <c r="N20431" s="1"/>
    </row>
    <row r="20432" spans="7:14" x14ac:dyDescent="0.3">
      <c r="G20432" s="1"/>
      <c r="N20432" s="1"/>
    </row>
    <row r="20433" spans="7:14" x14ac:dyDescent="0.3">
      <c r="G20433" s="1"/>
      <c r="N20433" s="1"/>
    </row>
    <row r="20434" spans="7:14" x14ac:dyDescent="0.3">
      <c r="G20434" s="1"/>
      <c r="N20434" s="1"/>
    </row>
    <row r="20435" spans="7:14" x14ac:dyDescent="0.3">
      <c r="G20435" s="1"/>
      <c r="N20435" s="1"/>
    </row>
    <row r="20436" spans="7:14" x14ac:dyDescent="0.3">
      <c r="G20436" s="1"/>
      <c r="N20436" s="1"/>
    </row>
    <row r="20437" spans="7:14" x14ac:dyDescent="0.3">
      <c r="G20437" s="1"/>
      <c r="N20437" s="1"/>
    </row>
    <row r="20438" spans="7:14" x14ac:dyDescent="0.3">
      <c r="G20438" s="1"/>
      <c r="N20438" s="1"/>
    </row>
    <row r="20439" spans="7:14" x14ac:dyDescent="0.3">
      <c r="G20439" s="1"/>
      <c r="N20439" s="1"/>
    </row>
    <row r="20440" spans="7:14" x14ac:dyDescent="0.3">
      <c r="G20440" s="1"/>
      <c r="N20440" s="1"/>
    </row>
    <row r="20441" spans="7:14" x14ac:dyDescent="0.3">
      <c r="G20441" s="1"/>
      <c r="N20441" s="1"/>
    </row>
    <row r="20442" spans="7:14" x14ac:dyDescent="0.3">
      <c r="G20442" s="1"/>
      <c r="N20442" s="1"/>
    </row>
    <row r="20443" spans="7:14" x14ac:dyDescent="0.3">
      <c r="G20443" s="1"/>
      <c r="N20443" s="1"/>
    </row>
    <row r="20444" spans="7:14" x14ac:dyDescent="0.3">
      <c r="G20444" s="1"/>
      <c r="N20444" s="1"/>
    </row>
    <row r="20445" spans="7:14" x14ac:dyDescent="0.3">
      <c r="G20445" s="1"/>
      <c r="N20445" s="1"/>
    </row>
    <row r="20446" spans="7:14" x14ac:dyDescent="0.3">
      <c r="G20446" s="1"/>
      <c r="N20446" s="1"/>
    </row>
    <row r="20447" spans="7:14" x14ac:dyDescent="0.3">
      <c r="G20447" s="1"/>
      <c r="N20447" s="1"/>
    </row>
    <row r="20448" spans="7:14" x14ac:dyDescent="0.3">
      <c r="G20448" s="1"/>
      <c r="N20448" s="1"/>
    </row>
    <row r="20449" spans="7:14" x14ac:dyDescent="0.3">
      <c r="G20449" s="1"/>
      <c r="N20449" s="1"/>
    </row>
    <row r="20450" spans="7:14" x14ac:dyDescent="0.3">
      <c r="G20450" s="1"/>
      <c r="N20450" s="1"/>
    </row>
    <row r="20451" spans="7:14" x14ac:dyDescent="0.3">
      <c r="G20451" s="1"/>
      <c r="N20451" s="1"/>
    </row>
    <row r="20452" spans="7:14" x14ac:dyDescent="0.3">
      <c r="G20452" s="1"/>
      <c r="N20452" s="1"/>
    </row>
    <row r="20453" spans="7:14" x14ac:dyDescent="0.3">
      <c r="G20453" s="1"/>
      <c r="N20453" s="1"/>
    </row>
    <row r="20454" spans="7:14" x14ac:dyDescent="0.3">
      <c r="G20454" s="1"/>
      <c r="N20454" s="1"/>
    </row>
    <row r="20455" spans="7:14" x14ac:dyDescent="0.3">
      <c r="G20455" s="1"/>
      <c r="N20455" s="1"/>
    </row>
    <row r="20456" spans="7:14" x14ac:dyDescent="0.3">
      <c r="G20456" s="1"/>
      <c r="N20456" s="1"/>
    </row>
    <row r="20457" spans="7:14" x14ac:dyDescent="0.3">
      <c r="G20457" s="1"/>
      <c r="N20457" s="1"/>
    </row>
    <row r="20458" spans="7:14" x14ac:dyDescent="0.3">
      <c r="G20458" s="1"/>
      <c r="N20458" s="1"/>
    </row>
    <row r="20459" spans="7:14" x14ac:dyDescent="0.3">
      <c r="G20459" s="1"/>
      <c r="N20459" s="1"/>
    </row>
    <row r="20460" spans="7:14" x14ac:dyDescent="0.3">
      <c r="G20460" s="1"/>
      <c r="N20460" s="1"/>
    </row>
    <row r="20461" spans="7:14" x14ac:dyDescent="0.3">
      <c r="G20461" s="1"/>
      <c r="N20461" s="1"/>
    </row>
    <row r="20462" spans="7:14" x14ac:dyDescent="0.3">
      <c r="G20462" s="1"/>
      <c r="N20462" s="1"/>
    </row>
    <row r="20463" spans="7:14" x14ac:dyDescent="0.3">
      <c r="G20463" s="1"/>
      <c r="N20463" s="1"/>
    </row>
    <row r="20464" spans="7:14" x14ac:dyDescent="0.3">
      <c r="G20464" s="1"/>
      <c r="N20464" s="1"/>
    </row>
    <row r="20465" spans="7:14" x14ac:dyDescent="0.3">
      <c r="G20465" s="1"/>
      <c r="N20465" s="1"/>
    </row>
    <row r="20466" spans="7:14" x14ac:dyDescent="0.3">
      <c r="G20466" s="1"/>
      <c r="N20466" s="1"/>
    </row>
    <row r="20467" spans="7:14" x14ac:dyDescent="0.3">
      <c r="G20467" s="1"/>
      <c r="N20467" s="1"/>
    </row>
    <row r="20468" spans="7:14" x14ac:dyDescent="0.3">
      <c r="G20468" s="1"/>
      <c r="N20468" s="1"/>
    </row>
    <row r="20469" spans="7:14" x14ac:dyDescent="0.3">
      <c r="G20469" s="1"/>
      <c r="N20469" s="1"/>
    </row>
    <row r="20470" spans="7:14" x14ac:dyDescent="0.3">
      <c r="G20470" s="1"/>
      <c r="N20470" s="1"/>
    </row>
    <row r="20471" spans="7:14" x14ac:dyDescent="0.3">
      <c r="G20471" s="1"/>
      <c r="N20471" s="1"/>
    </row>
    <row r="20472" spans="7:14" x14ac:dyDescent="0.3">
      <c r="G20472" s="1"/>
      <c r="N20472" s="1"/>
    </row>
    <row r="20473" spans="7:14" x14ac:dyDescent="0.3">
      <c r="G20473" s="1"/>
      <c r="N20473" s="1"/>
    </row>
    <row r="20474" spans="7:14" x14ac:dyDescent="0.3">
      <c r="G20474" s="1"/>
      <c r="N20474" s="1"/>
    </row>
    <row r="20475" spans="7:14" x14ac:dyDescent="0.3">
      <c r="G20475" s="1"/>
      <c r="N20475" s="1"/>
    </row>
    <row r="20476" spans="7:14" x14ac:dyDescent="0.3">
      <c r="G20476" s="1"/>
      <c r="N20476" s="1"/>
    </row>
    <row r="20477" spans="7:14" x14ac:dyDescent="0.3">
      <c r="G20477" s="1"/>
      <c r="N20477" s="1"/>
    </row>
    <row r="20478" spans="7:14" x14ac:dyDescent="0.3">
      <c r="G20478" s="1"/>
      <c r="N20478" s="1"/>
    </row>
    <row r="20479" spans="7:14" x14ac:dyDescent="0.3">
      <c r="G20479" s="1"/>
      <c r="N20479" s="1"/>
    </row>
    <row r="20480" spans="7:14" x14ac:dyDescent="0.3">
      <c r="G20480" s="1"/>
      <c r="N20480" s="1"/>
    </row>
    <row r="20481" spans="7:14" x14ac:dyDescent="0.3">
      <c r="G20481" s="1"/>
      <c r="N20481" s="1"/>
    </row>
    <row r="20482" spans="7:14" x14ac:dyDescent="0.3">
      <c r="G20482" s="1"/>
      <c r="N20482" s="1"/>
    </row>
    <row r="20483" spans="7:14" x14ac:dyDescent="0.3">
      <c r="G20483" s="1"/>
      <c r="N20483" s="1"/>
    </row>
    <row r="20484" spans="7:14" x14ac:dyDescent="0.3">
      <c r="G20484" s="1"/>
      <c r="N20484" s="1"/>
    </row>
    <row r="20485" spans="7:14" x14ac:dyDescent="0.3">
      <c r="G20485" s="1"/>
      <c r="N20485" s="1"/>
    </row>
    <row r="20486" spans="7:14" x14ac:dyDescent="0.3">
      <c r="G20486" s="1"/>
      <c r="N20486" s="1"/>
    </row>
    <row r="20487" spans="7:14" x14ac:dyDescent="0.3">
      <c r="G20487" s="1"/>
      <c r="N20487" s="1"/>
    </row>
    <row r="20488" spans="7:14" x14ac:dyDescent="0.3">
      <c r="G20488" s="1"/>
      <c r="N20488" s="1"/>
    </row>
    <row r="20489" spans="7:14" x14ac:dyDescent="0.3">
      <c r="G20489" s="1"/>
      <c r="N20489" s="1"/>
    </row>
    <row r="20490" spans="7:14" x14ac:dyDescent="0.3">
      <c r="G20490" s="1"/>
      <c r="N20490" s="1"/>
    </row>
    <row r="20491" spans="7:14" x14ac:dyDescent="0.3">
      <c r="G20491" s="1"/>
      <c r="N20491" s="1"/>
    </row>
    <row r="20492" spans="7:14" x14ac:dyDescent="0.3">
      <c r="G20492" s="1"/>
      <c r="N20492" s="1"/>
    </row>
    <row r="20493" spans="7:14" x14ac:dyDescent="0.3">
      <c r="G20493" s="1"/>
      <c r="N20493" s="1"/>
    </row>
    <row r="20494" spans="7:14" x14ac:dyDescent="0.3">
      <c r="G20494" s="1"/>
      <c r="N20494" s="1"/>
    </row>
    <row r="20495" spans="7:14" x14ac:dyDescent="0.3">
      <c r="G20495" s="1"/>
      <c r="N20495" s="1"/>
    </row>
    <row r="20496" spans="7:14" x14ac:dyDescent="0.3">
      <c r="G20496" s="1"/>
      <c r="N20496" s="1"/>
    </row>
    <row r="20497" spans="7:14" x14ac:dyDescent="0.3">
      <c r="G20497" s="1"/>
      <c r="N20497" s="1"/>
    </row>
    <row r="20498" spans="7:14" x14ac:dyDescent="0.3">
      <c r="G20498" s="1"/>
      <c r="N20498" s="1"/>
    </row>
    <row r="20499" spans="7:14" x14ac:dyDescent="0.3">
      <c r="G20499" s="1"/>
      <c r="N20499" s="1"/>
    </row>
    <row r="20500" spans="7:14" x14ac:dyDescent="0.3">
      <c r="G20500" s="1"/>
      <c r="N20500" s="1"/>
    </row>
    <row r="20501" spans="7:14" x14ac:dyDescent="0.3">
      <c r="G20501" s="1"/>
      <c r="N20501" s="1"/>
    </row>
    <row r="20502" spans="7:14" x14ac:dyDescent="0.3">
      <c r="G20502" s="1"/>
      <c r="N20502" s="1"/>
    </row>
    <row r="20503" spans="7:14" x14ac:dyDescent="0.3">
      <c r="G20503" s="1"/>
      <c r="N20503" s="1"/>
    </row>
    <row r="20504" spans="7:14" x14ac:dyDescent="0.3">
      <c r="G20504" s="1"/>
      <c r="N20504" s="1"/>
    </row>
    <row r="20505" spans="7:14" x14ac:dyDescent="0.3">
      <c r="G20505" s="1"/>
      <c r="N20505" s="1"/>
    </row>
    <row r="20506" spans="7:14" x14ac:dyDescent="0.3">
      <c r="G20506" s="1"/>
      <c r="N20506" s="1"/>
    </row>
    <row r="20507" spans="7:14" x14ac:dyDescent="0.3">
      <c r="G20507" s="1"/>
      <c r="N20507" s="1"/>
    </row>
    <row r="20508" spans="7:14" x14ac:dyDescent="0.3">
      <c r="G20508" s="1"/>
      <c r="N20508" s="1"/>
    </row>
    <row r="20509" spans="7:14" x14ac:dyDescent="0.3">
      <c r="G20509" s="1"/>
      <c r="N20509" s="1"/>
    </row>
    <row r="20510" spans="7:14" x14ac:dyDescent="0.3">
      <c r="G20510" s="1"/>
      <c r="N20510" s="1"/>
    </row>
    <row r="20511" spans="7:14" x14ac:dyDescent="0.3">
      <c r="G20511" s="1"/>
      <c r="N20511" s="1"/>
    </row>
    <row r="20512" spans="7:14" x14ac:dyDescent="0.3">
      <c r="G20512" s="1"/>
      <c r="N20512" s="1"/>
    </row>
    <row r="20513" spans="7:14" x14ac:dyDescent="0.3">
      <c r="G20513" s="1"/>
      <c r="N20513" s="1"/>
    </row>
    <row r="20514" spans="7:14" x14ac:dyDescent="0.3">
      <c r="G20514" s="1"/>
      <c r="N20514" s="1"/>
    </row>
    <row r="20515" spans="7:14" x14ac:dyDescent="0.3">
      <c r="G20515" s="1"/>
      <c r="N20515" s="1"/>
    </row>
    <row r="20516" spans="7:14" x14ac:dyDescent="0.3">
      <c r="G20516" s="1"/>
      <c r="N20516" s="1"/>
    </row>
    <row r="20517" spans="7:14" x14ac:dyDescent="0.3">
      <c r="G20517" s="1"/>
      <c r="N20517" s="1"/>
    </row>
    <row r="20518" spans="7:14" x14ac:dyDescent="0.3">
      <c r="G20518" s="1"/>
      <c r="N20518" s="1"/>
    </row>
    <row r="20519" spans="7:14" x14ac:dyDescent="0.3">
      <c r="G20519" s="1"/>
      <c r="N20519" s="1"/>
    </row>
    <row r="20520" spans="7:14" x14ac:dyDescent="0.3">
      <c r="G20520" s="1"/>
      <c r="N20520" s="1"/>
    </row>
    <row r="20521" spans="7:14" x14ac:dyDescent="0.3">
      <c r="G20521" s="1"/>
      <c r="N20521" s="1"/>
    </row>
    <row r="20522" spans="7:14" x14ac:dyDescent="0.3">
      <c r="G20522" s="1"/>
      <c r="N20522" s="1"/>
    </row>
    <row r="20523" spans="7:14" x14ac:dyDescent="0.3">
      <c r="G20523" s="1"/>
      <c r="N20523" s="1"/>
    </row>
    <row r="20524" spans="7:14" x14ac:dyDescent="0.3">
      <c r="G20524" s="1"/>
      <c r="N20524" s="1"/>
    </row>
    <row r="20525" spans="7:14" x14ac:dyDescent="0.3">
      <c r="G20525" s="1"/>
      <c r="N20525" s="1"/>
    </row>
    <row r="20526" spans="7:14" x14ac:dyDescent="0.3">
      <c r="G20526" s="1"/>
      <c r="N20526" s="1"/>
    </row>
    <row r="20527" spans="7:14" x14ac:dyDescent="0.3">
      <c r="G20527" s="1"/>
      <c r="N20527" s="1"/>
    </row>
    <row r="20528" spans="7:14" x14ac:dyDescent="0.3">
      <c r="G20528" s="1"/>
      <c r="N20528" s="1"/>
    </row>
    <row r="20529" spans="7:14" x14ac:dyDescent="0.3">
      <c r="G20529" s="1"/>
      <c r="N20529" s="1"/>
    </row>
    <row r="20530" spans="7:14" x14ac:dyDescent="0.3">
      <c r="G20530" s="1"/>
      <c r="N20530" s="1"/>
    </row>
    <row r="20531" spans="7:14" x14ac:dyDescent="0.3">
      <c r="G20531" s="1"/>
      <c r="N20531" s="1"/>
    </row>
    <row r="20532" spans="7:14" x14ac:dyDescent="0.3">
      <c r="G20532" s="1"/>
      <c r="N20532" s="1"/>
    </row>
    <row r="20533" spans="7:14" x14ac:dyDescent="0.3">
      <c r="G20533" s="1"/>
      <c r="N20533" s="1"/>
    </row>
    <row r="20534" spans="7:14" x14ac:dyDescent="0.3">
      <c r="G20534" s="1"/>
      <c r="N20534" s="1"/>
    </row>
    <row r="20535" spans="7:14" x14ac:dyDescent="0.3">
      <c r="G20535" s="1"/>
      <c r="N20535" s="1"/>
    </row>
    <row r="20536" spans="7:14" x14ac:dyDescent="0.3">
      <c r="G20536" s="1"/>
      <c r="N20536" s="1"/>
    </row>
    <row r="20537" spans="7:14" x14ac:dyDescent="0.3">
      <c r="G20537" s="1"/>
      <c r="N20537" s="1"/>
    </row>
    <row r="20538" spans="7:14" x14ac:dyDescent="0.3">
      <c r="G20538" s="1"/>
      <c r="N20538" s="1"/>
    </row>
    <row r="20539" spans="7:14" x14ac:dyDescent="0.3">
      <c r="G20539" s="1"/>
      <c r="N20539" s="1"/>
    </row>
    <row r="20540" spans="7:14" x14ac:dyDescent="0.3">
      <c r="G20540" s="1"/>
      <c r="N20540" s="1"/>
    </row>
    <row r="20541" spans="7:14" x14ac:dyDescent="0.3">
      <c r="G20541" s="1"/>
      <c r="N20541" s="1"/>
    </row>
    <row r="20542" spans="7:14" x14ac:dyDescent="0.3">
      <c r="G20542" s="1"/>
      <c r="N20542" s="1"/>
    </row>
    <row r="20543" spans="7:14" x14ac:dyDescent="0.3">
      <c r="G20543" s="1"/>
      <c r="N20543" s="1"/>
    </row>
    <row r="20544" spans="7:14" x14ac:dyDescent="0.3">
      <c r="G20544" s="1"/>
      <c r="N20544" s="1"/>
    </row>
    <row r="20545" spans="7:14" x14ac:dyDescent="0.3">
      <c r="G20545" s="1"/>
      <c r="N20545" s="1"/>
    </row>
    <row r="20546" spans="7:14" x14ac:dyDescent="0.3">
      <c r="G20546" s="1"/>
      <c r="N20546" s="1"/>
    </row>
    <row r="20547" spans="7:14" x14ac:dyDescent="0.3">
      <c r="G20547" s="1"/>
      <c r="N20547" s="1"/>
    </row>
    <row r="20548" spans="7:14" x14ac:dyDescent="0.3">
      <c r="G20548" s="1"/>
      <c r="N20548" s="1"/>
    </row>
    <row r="20549" spans="7:14" x14ac:dyDescent="0.3">
      <c r="G20549" s="1"/>
      <c r="N20549" s="1"/>
    </row>
    <row r="20550" spans="7:14" x14ac:dyDescent="0.3">
      <c r="G20550" s="1"/>
      <c r="N20550" s="1"/>
    </row>
    <row r="20551" spans="7:14" x14ac:dyDescent="0.3">
      <c r="G20551" s="1"/>
      <c r="N20551" s="1"/>
    </row>
    <row r="20552" spans="7:14" x14ac:dyDescent="0.3">
      <c r="G20552" s="1"/>
      <c r="N20552" s="1"/>
    </row>
    <row r="20553" spans="7:14" x14ac:dyDescent="0.3">
      <c r="G20553" s="1"/>
      <c r="N20553" s="1"/>
    </row>
    <row r="20554" spans="7:14" x14ac:dyDescent="0.3">
      <c r="G20554" s="1"/>
      <c r="N20554" s="1"/>
    </row>
    <row r="20555" spans="7:14" x14ac:dyDescent="0.3">
      <c r="G20555" s="1"/>
      <c r="N20555" s="1"/>
    </row>
    <row r="20556" spans="7:14" x14ac:dyDescent="0.3">
      <c r="G20556" s="1"/>
      <c r="N20556" s="1"/>
    </row>
    <row r="20557" spans="7:14" x14ac:dyDescent="0.3">
      <c r="G20557" s="1"/>
      <c r="N20557" s="1"/>
    </row>
    <row r="20558" spans="7:14" x14ac:dyDescent="0.3">
      <c r="G20558" s="1"/>
      <c r="N20558" s="1"/>
    </row>
    <row r="20559" spans="7:14" x14ac:dyDescent="0.3">
      <c r="G20559" s="1"/>
      <c r="N20559" s="1"/>
    </row>
    <row r="20560" spans="7:14" x14ac:dyDescent="0.3">
      <c r="G20560" s="1"/>
      <c r="N20560" s="1"/>
    </row>
    <row r="20561" spans="7:14" x14ac:dyDescent="0.3">
      <c r="G20561" s="1"/>
      <c r="N20561" s="1"/>
    </row>
    <row r="20562" spans="7:14" x14ac:dyDescent="0.3">
      <c r="G20562" s="1"/>
      <c r="N20562" s="1"/>
    </row>
    <row r="20563" spans="7:14" x14ac:dyDescent="0.3">
      <c r="G20563" s="1"/>
      <c r="N20563" s="1"/>
    </row>
    <row r="20564" spans="7:14" x14ac:dyDescent="0.3">
      <c r="G20564" s="1"/>
      <c r="N20564" s="1"/>
    </row>
    <row r="20565" spans="7:14" x14ac:dyDescent="0.3">
      <c r="G20565" s="1"/>
      <c r="N20565" s="1"/>
    </row>
    <row r="20566" spans="7:14" x14ac:dyDescent="0.3">
      <c r="G20566" s="1"/>
      <c r="N20566" s="1"/>
    </row>
    <row r="20567" spans="7:14" x14ac:dyDescent="0.3">
      <c r="G20567" s="1"/>
      <c r="N20567" s="1"/>
    </row>
    <row r="20568" spans="7:14" x14ac:dyDescent="0.3">
      <c r="G20568" s="1"/>
      <c r="N20568" s="1"/>
    </row>
    <row r="20569" spans="7:14" x14ac:dyDescent="0.3">
      <c r="G20569" s="1"/>
      <c r="N20569" s="1"/>
    </row>
    <row r="20570" spans="7:14" x14ac:dyDescent="0.3">
      <c r="G20570" s="1"/>
      <c r="N20570" s="1"/>
    </row>
    <row r="20571" spans="7:14" x14ac:dyDescent="0.3">
      <c r="G20571" s="1"/>
      <c r="N20571" s="1"/>
    </row>
    <row r="20572" spans="7:14" x14ac:dyDescent="0.3">
      <c r="G20572" s="1"/>
      <c r="N20572" s="1"/>
    </row>
    <row r="20573" spans="7:14" x14ac:dyDescent="0.3">
      <c r="G20573" s="1"/>
      <c r="N20573" s="1"/>
    </row>
    <row r="20574" spans="7:14" x14ac:dyDescent="0.3">
      <c r="G20574" s="1"/>
      <c r="N20574" s="1"/>
    </row>
    <row r="20575" spans="7:14" x14ac:dyDescent="0.3">
      <c r="G20575" s="1"/>
      <c r="N20575" s="1"/>
    </row>
    <row r="20576" spans="7:14" x14ac:dyDescent="0.3">
      <c r="G20576" s="1"/>
      <c r="N20576" s="1"/>
    </row>
    <row r="20577" spans="7:14" x14ac:dyDescent="0.3">
      <c r="G20577" s="1"/>
      <c r="N20577" s="1"/>
    </row>
    <row r="20578" spans="7:14" x14ac:dyDescent="0.3">
      <c r="G20578" s="1"/>
      <c r="N20578" s="1"/>
    </row>
    <row r="20579" spans="7:14" x14ac:dyDescent="0.3">
      <c r="G20579" s="1"/>
      <c r="N20579" s="1"/>
    </row>
    <row r="20580" spans="7:14" x14ac:dyDescent="0.3">
      <c r="G20580" s="1"/>
      <c r="N20580" s="1"/>
    </row>
    <row r="20581" spans="7:14" x14ac:dyDescent="0.3">
      <c r="G20581" s="1"/>
      <c r="N20581" s="1"/>
    </row>
    <row r="20582" spans="7:14" x14ac:dyDescent="0.3">
      <c r="G20582" s="1"/>
      <c r="N20582" s="1"/>
    </row>
    <row r="20583" spans="7:14" x14ac:dyDescent="0.3">
      <c r="G20583" s="1"/>
      <c r="N20583" s="1"/>
    </row>
    <row r="20584" spans="7:14" x14ac:dyDescent="0.3">
      <c r="G20584" s="1"/>
      <c r="N20584" s="1"/>
    </row>
    <row r="20585" spans="7:14" x14ac:dyDescent="0.3">
      <c r="G20585" s="1"/>
      <c r="N20585" s="1"/>
    </row>
    <row r="20586" spans="7:14" x14ac:dyDescent="0.3">
      <c r="G20586" s="1"/>
      <c r="N20586" s="1"/>
    </row>
    <row r="20587" spans="7:14" x14ac:dyDescent="0.3">
      <c r="G20587" s="1"/>
      <c r="N20587" s="1"/>
    </row>
    <row r="20588" spans="7:14" x14ac:dyDescent="0.3">
      <c r="G20588" s="1"/>
      <c r="N20588" s="1"/>
    </row>
    <row r="20589" spans="7:14" x14ac:dyDescent="0.3">
      <c r="G20589" s="1"/>
      <c r="N20589" s="1"/>
    </row>
    <row r="20590" spans="7:14" x14ac:dyDescent="0.3">
      <c r="G20590" s="1"/>
      <c r="N20590" s="1"/>
    </row>
    <row r="20591" spans="7:14" x14ac:dyDescent="0.3">
      <c r="G20591" s="1"/>
      <c r="N20591" s="1"/>
    </row>
    <row r="20592" spans="7:14" x14ac:dyDescent="0.3">
      <c r="G20592" s="1"/>
      <c r="N20592" s="1"/>
    </row>
    <row r="20593" spans="7:14" x14ac:dyDescent="0.3">
      <c r="G20593" s="1"/>
      <c r="N20593" s="1"/>
    </row>
    <row r="20594" spans="7:14" x14ac:dyDescent="0.3">
      <c r="G20594" s="1"/>
      <c r="N20594" s="1"/>
    </row>
    <row r="20595" spans="7:14" x14ac:dyDescent="0.3">
      <c r="G20595" s="1"/>
      <c r="N20595" s="1"/>
    </row>
    <row r="20596" spans="7:14" x14ac:dyDescent="0.3">
      <c r="G20596" s="1"/>
      <c r="N20596" s="1"/>
    </row>
    <row r="20597" spans="7:14" x14ac:dyDescent="0.3">
      <c r="G20597" s="1"/>
      <c r="N20597" s="1"/>
    </row>
    <row r="20598" spans="7:14" x14ac:dyDescent="0.3">
      <c r="G20598" s="1"/>
      <c r="N20598" s="1"/>
    </row>
    <row r="20599" spans="7:14" x14ac:dyDescent="0.3">
      <c r="G20599" s="1"/>
      <c r="N20599" s="1"/>
    </row>
    <row r="20600" spans="7:14" x14ac:dyDescent="0.3">
      <c r="G20600" s="1"/>
      <c r="N20600" s="1"/>
    </row>
    <row r="20601" spans="7:14" x14ac:dyDescent="0.3">
      <c r="G20601" s="1"/>
      <c r="N20601" s="1"/>
    </row>
    <row r="20602" spans="7:14" x14ac:dyDescent="0.3">
      <c r="G20602" s="1"/>
      <c r="N20602" s="1"/>
    </row>
    <row r="20603" spans="7:14" x14ac:dyDescent="0.3">
      <c r="G20603" s="1"/>
      <c r="N20603" s="1"/>
    </row>
    <row r="20604" spans="7:14" x14ac:dyDescent="0.3">
      <c r="G20604" s="1"/>
      <c r="N20604" s="1"/>
    </row>
    <row r="20605" spans="7:14" x14ac:dyDescent="0.3">
      <c r="G20605" s="1"/>
      <c r="N20605" s="1"/>
    </row>
    <row r="20606" spans="7:14" x14ac:dyDescent="0.3">
      <c r="G20606" s="1"/>
      <c r="N20606" s="1"/>
    </row>
    <row r="20607" spans="7:14" x14ac:dyDescent="0.3">
      <c r="G20607" s="1"/>
      <c r="N20607" s="1"/>
    </row>
    <row r="20608" spans="7:14" x14ac:dyDescent="0.3">
      <c r="G20608" s="1"/>
      <c r="N20608" s="1"/>
    </row>
    <row r="20609" spans="7:14" x14ac:dyDescent="0.3">
      <c r="G20609" s="1"/>
      <c r="N20609" s="1"/>
    </row>
    <row r="20610" spans="7:14" x14ac:dyDescent="0.3">
      <c r="G20610" s="1"/>
      <c r="N20610" s="1"/>
    </row>
    <row r="20611" spans="7:14" x14ac:dyDescent="0.3">
      <c r="G20611" s="1"/>
      <c r="N20611" s="1"/>
    </row>
    <row r="20612" spans="7:14" x14ac:dyDescent="0.3">
      <c r="G20612" s="1"/>
      <c r="N20612" s="1"/>
    </row>
    <row r="20613" spans="7:14" x14ac:dyDescent="0.3">
      <c r="G20613" s="1"/>
      <c r="N20613" s="1"/>
    </row>
    <row r="20614" spans="7:14" x14ac:dyDescent="0.3">
      <c r="G20614" s="1"/>
      <c r="N20614" s="1"/>
    </row>
    <row r="20615" spans="7:14" x14ac:dyDescent="0.3">
      <c r="G20615" s="1"/>
      <c r="N20615" s="1"/>
    </row>
    <row r="20616" spans="7:14" x14ac:dyDescent="0.3">
      <c r="G20616" s="1"/>
      <c r="N20616" s="1"/>
    </row>
    <row r="20617" spans="7:14" x14ac:dyDescent="0.3">
      <c r="G20617" s="1"/>
      <c r="N20617" s="1"/>
    </row>
    <row r="20618" spans="7:14" x14ac:dyDescent="0.3">
      <c r="G20618" s="1"/>
      <c r="N20618" s="1"/>
    </row>
    <row r="20619" spans="7:14" x14ac:dyDescent="0.3">
      <c r="G20619" s="1"/>
      <c r="N20619" s="1"/>
    </row>
    <row r="20620" spans="7:14" x14ac:dyDescent="0.3">
      <c r="G20620" s="1"/>
      <c r="N20620" s="1"/>
    </row>
    <row r="20621" spans="7:14" x14ac:dyDescent="0.3">
      <c r="G20621" s="1"/>
      <c r="N20621" s="1"/>
    </row>
    <row r="20622" spans="7:14" x14ac:dyDescent="0.3">
      <c r="G20622" s="1"/>
      <c r="N20622" s="1"/>
    </row>
    <row r="20623" spans="7:14" x14ac:dyDescent="0.3">
      <c r="G20623" s="1"/>
      <c r="N20623" s="1"/>
    </row>
    <row r="20624" spans="7:14" x14ac:dyDescent="0.3">
      <c r="G20624" s="1"/>
      <c r="N20624" s="1"/>
    </row>
    <row r="20625" spans="7:14" x14ac:dyDescent="0.3">
      <c r="G20625" s="1"/>
      <c r="N20625" s="1"/>
    </row>
    <row r="20626" spans="7:14" x14ac:dyDescent="0.3">
      <c r="G20626" s="1"/>
      <c r="N20626" s="1"/>
    </row>
    <row r="20627" spans="7:14" x14ac:dyDescent="0.3">
      <c r="G20627" s="1"/>
      <c r="N20627" s="1"/>
    </row>
    <row r="20628" spans="7:14" x14ac:dyDescent="0.3">
      <c r="G20628" s="1"/>
      <c r="N20628" s="1"/>
    </row>
    <row r="20629" spans="7:14" x14ac:dyDescent="0.3">
      <c r="G20629" s="1"/>
      <c r="N20629" s="1"/>
    </row>
    <row r="20630" spans="7:14" x14ac:dyDescent="0.3">
      <c r="G20630" s="1"/>
      <c r="N20630" s="1"/>
    </row>
    <row r="20631" spans="7:14" x14ac:dyDescent="0.3">
      <c r="G20631" s="1"/>
      <c r="N20631" s="1"/>
    </row>
    <row r="20632" spans="7:14" x14ac:dyDescent="0.3">
      <c r="G20632" s="1"/>
      <c r="N20632" s="1"/>
    </row>
    <row r="20633" spans="7:14" x14ac:dyDescent="0.3">
      <c r="G20633" s="1"/>
      <c r="N20633" s="1"/>
    </row>
    <row r="20634" spans="7:14" x14ac:dyDescent="0.3">
      <c r="G20634" s="1"/>
      <c r="N20634" s="1"/>
    </row>
    <row r="20635" spans="7:14" x14ac:dyDescent="0.3">
      <c r="G20635" s="1"/>
      <c r="N20635" s="1"/>
    </row>
    <row r="20636" spans="7:14" x14ac:dyDescent="0.3">
      <c r="G20636" s="1"/>
      <c r="N20636" s="1"/>
    </row>
    <row r="20637" spans="7:14" x14ac:dyDescent="0.3">
      <c r="G20637" s="1"/>
      <c r="N20637" s="1"/>
    </row>
    <row r="20638" spans="7:14" x14ac:dyDescent="0.3">
      <c r="G20638" s="1"/>
      <c r="N20638" s="1"/>
    </row>
    <row r="20639" spans="7:14" x14ac:dyDescent="0.3">
      <c r="G20639" s="1"/>
      <c r="N20639" s="1"/>
    </row>
    <row r="20640" spans="7:14" x14ac:dyDescent="0.3">
      <c r="G20640" s="1"/>
      <c r="N20640" s="1"/>
    </row>
    <row r="20641" spans="7:14" x14ac:dyDescent="0.3">
      <c r="G20641" s="1"/>
      <c r="N20641" s="1"/>
    </row>
    <row r="20642" spans="7:14" x14ac:dyDescent="0.3">
      <c r="G20642" s="1"/>
      <c r="N20642" s="1"/>
    </row>
    <row r="20643" spans="7:14" x14ac:dyDescent="0.3">
      <c r="G20643" s="1"/>
      <c r="N20643" s="1"/>
    </row>
    <row r="20644" spans="7:14" x14ac:dyDescent="0.3">
      <c r="G20644" s="1"/>
      <c r="N20644" s="1"/>
    </row>
    <row r="20645" spans="7:14" x14ac:dyDescent="0.3">
      <c r="G20645" s="1"/>
      <c r="N20645" s="1"/>
    </row>
    <row r="20646" spans="7:14" x14ac:dyDescent="0.3">
      <c r="G20646" s="1"/>
      <c r="N20646" s="1"/>
    </row>
    <row r="20647" spans="7:14" x14ac:dyDescent="0.3">
      <c r="G20647" s="1"/>
      <c r="N20647" s="1"/>
    </row>
    <row r="20648" spans="7:14" x14ac:dyDescent="0.3">
      <c r="G20648" s="1"/>
      <c r="N20648" s="1"/>
    </row>
    <row r="20649" spans="7:14" x14ac:dyDescent="0.3">
      <c r="G20649" s="1"/>
      <c r="N20649" s="1"/>
    </row>
    <row r="20650" spans="7:14" x14ac:dyDescent="0.3">
      <c r="G20650" s="1"/>
      <c r="N20650" s="1"/>
    </row>
    <row r="20651" spans="7:14" x14ac:dyDescent="0.3">
      <c r="G20651" s="1"/>
      <c r="N20651" s="1"/>
    </row>
    <row r="20652" spans="7:14" x14ac:dyDescent="0.3">
      <c r="G20652" s="1"/>
      <c r="N20652" s="1"/>
    </row>
    <row r="20653" spans="7:14" x14ac:dyDescent="0.3">
      <c r="G20653" s="1"/>
      <c r="N20653" s="1"/>
    </row>
    <row r="20654" spans="7:14" x14ac:dyDescent="0.3">
      <c r="G20654" s="1"/>
      <c r="N20654" s="1"/>
    </row>
    <row r="20655" spans="7:14" x14ac:dyDescent="0.3">
      <c r="G20655" s="1"/>
      <c r="N20655" s="1"/>
    </row>
    <row r="20656" spans="7:14" x14ac:dyDescent="0.3">
      <c r="G20656" s="1"/>
      <c r="N20656" s="1"/>
    </row>
    <row r="20657" spans="7:14" x14ac:dyDescent="0.3">
      <c r="G20657" s="1"/>
      <c r="N20657" s="1"/>
    </row>
    <row r="20658" spans="7:14" x14ac:dyDescent="0.3">
      <c r="G20658" s="1"/>
      <c r="N20658" s="1"/>
    </row>
    <row r="20659" spans="7:14" x14ac:dyDescent="0.3">
      <c r="G20659" s="1"/>
      <c r="N20659" s="1"/>
    </row>
    <row r="20660" spans="7:14" x14ac:dyDescent="0.3">
      <c r="G20660" s="1"/>
      <c r="N20660" s="1"/>
    </row>
    <row r="20661" spans="7:14" x14ac:dyDescent="0.3">
      <c r="G20661" s="1"/>
      <c r="N20661" s="1"/>
    </row>
    <row r="20662" spans="7:14" x14ac:dyDescent="0.3">
      <c r="G20662" s="1"/>
      <c r="N20662" s="1"/>
    </row>
    <row r="20663" spans="7:14" x14ac:dyDescent="0.3">
      <c r="G20663" s="1"/>
      <c r="N20663" s="1"/>
    </row>
    <row r="20664" spans="7:14" x14ac:dyDescent="0.3">
      <c r="G20664" s="1"/>
      <c r="N20664" s="1"/>
    </row>
    <row r="20665" spans="7:14" x14ac:dyDescent="0.3">
      <c r="G20665" s="1"/>
      <c r="N20665" s="1"/>
    </row>
    <row r="20666" spans="7:14" x14ac:dyDescent="0.3">
      <c r="G20666" s="1"/>
      <c r="N20666" s="1"/>
    </row>
    <row r="20667" spans="7:14" x14ac:dyDescent="0.3">
      <c r="G20667" s="1"/>
      <c r="N20667" s="1"/>
    </row>
    <row r="20668" spans="7:14" x14ac:dyDescent="0.3">
      <c r="G20668" s="1"/>
      <c r="N20668" s="1"/>
    </row>
    <row r="20669" spans="7:14" x14ac:dyDescent="0.3">
      <c r="G20669" s="1"/>
      <c r="N20669" s="1"/>
    </row>
    <row r="20670" spans="7:14" x14ac:dyDescent="0.3">
      <c r="G20670" s="1"/>
      <c r="N20670" s="1"/>
    </row>
    <row r="20671" spans="7:14" x14ac:dyDescent="0.3">
      <c r="G20671" s="1"/>
      <c r="N20671" s="1"/>
    </row>
    <row r="20672" spans="7:14" x14ac:dyDescent="0.3">
      <c r="G20672" s="1"/>
      <c r="N20672" s="1"/>
    </row>
    <row r="20673" spans="7:14" x14ac:dyDescent="0.3">
      <c r="G20673" s="1"/>
      <c r="N20673" s="1"/>
    </row>
    <row r="20674" spans="7:14" x14ac:dyDescent="0.3">
      <c r="G20674" s="1"/>
      <c r="N20674" s="1"/>
    </row>
    <row r="20675" spans="7:14" x14ac:dyDescent="0.3">
      <c r="G20675" s="1"/>
      <c r="N20675" s="1"/>
    </row>
    <row r="20676" spans="7:14" x14ac:dyDescent="0.3">
      <c r="G20676" s="1"/>
      <c r="N20676" s="1"/>
    </row>
    <row r="20677" spans="7:14" x14ac:dyDescent="0.3">
      <c r="G20677" s="1"/>
      <c r="N20677" s="1"/>
    </row>
    <row r="20678" spans="7:14" x14ac:dyDescent="0.3">
      <c r="G20678" s="1"/>
      <c r="N20678" s="1"/>
    </row>
    <row r="20679" spans="7:14" x14ac:dyDescent="0.3">
      <c r="G20679" s="1"/>
      <c r="N20679" s="1"/>
    </row>
    <row r="20680" spans="7:14" x14ac:dyDescent="0.3">
      <c r="G20680" s="1"/>
      <c r="N20680" s="1"/>
    </row>
    <row r="20681" spans="7:14" x14ac:dyDescent="0.3">
      <c r="G20681" s="1"/>
      <c r="N20681" s="1"/>
    </row>
    <row r="20682" spans="7:14" x14ac:dyDescent="0.3">
      <c r="G20682" s="1"/>
      <c r="N20682" s="1"/>
    </row>
    <row r="20683" spans="7:14" x14ac:dyDescent="0.3">
      <c r="G20683" s="1"/>
      <c r="N20683" s="1"/>
    </row>
    <row r="20684" spans="7:14" x14ac:dyDescent="0.3">
      <c r="G20684" s="1"/>
      <c r="N20684" s="1"/>
    </row>
    <row r="20685" spans="7:14" x14ac:dyDescent="0.3">
      <c r="G20685" s="1"/>
      <c r="N20685" s="1"/>
    </row>
    <row r="20686" spans="7:14" x14ac:dyDescent="0.3">
      <c r="G20686" s="1"/>
      <c r="N20686" s="1"/>
    </row>
    <row r="20687" spans="7:14" x14ac:dyDescent="0.3">
      <c r="G20687" s="1"/>
      <c r="N20687" s="1"/>
    </row>
    <row r="20688" spans="7:14" x14ac:dyDescent="0.3">
      <c r="G20688" s="1"/>
      <c r="N20688" s="1"/>
    </row>
    <row r="20689" spans="7:14" x14ac:dyDescent="0.3">
      <c r="G20689" s="1"/>
      <c r="N20689" s="1"/>
    </row>
    <row r="20690" spans="7:14" x14ac:dyDescent="0.3">
      <c r="G20690" s="1"/>
      <c r="N20690" s="1"/>
    </row>
    <row r="20691" spans="7:14" x14ac:dyDescent="0.3">
      <c r="G20691" s="1"/>
      <c r="N20691" s="1"/>
    </row>
    <row r="20692" spans="7:14" x14ac:dyDescent="0.3">
      <c r="G20692" s="1"/>
      <c r="N20692" s="1"/>
    </row>
    <row r="20693" spans="7:14" x14ac:dyDescent="0.3">
      <c r="G20693" s="1"/>
      <c r="N20693" s="1"/>
    </row>
    <row r="20694" spans="7:14" x14ac:dyDescent="0.3">
      <c r="G20694" s="1"/>
      <c r="N20694" s="1"/>
    </row>
    <row r="20695" spans="7:14" x14ac:dyDescent="0.3">
      <c r="G20695" s="1"/>
      <c r="N20695" s="1"/>
    </row>
    <row r="20696" spans="7:14" x14ac:dyDescent="0.3">
      <c r="G20696" s="1"/>
      <c r="N20696" s="1"/>
    </row>
    <row r="20697" spans="7:14" x14ac:dyDescent="0.3">
      <c r="G20697" s="1"/>
      <c r="N20697" s="1"/>
    </row>
    <row r="20698" spans="7:14" x14ac:dyDescent="0.3">
      <c r="G20698" s="1"/>
      <c r="N20698" s="1"/>
    </row>
    <row r="20699" spans="7:14" x14ac:dyDescent="0.3">
      <c r="G20699" s="1"/>
      <c r="N20699" s="1"/>
    </row>
    <row r="20700" spans="7:14" x14ac:dyDescent="0.3">
      <c r="G20700" s="1"/>
      <c r="N20700" s="1"/>
    </row>
    <row r="20701" spans="7:14" x14ac:dyDescent="0.3">
      <c r="G20701" s="1"/>
      <c r="N20701" s="1"/>
    </row>
    <row r="20702" spans="7:14" x14ac:dyDescent="0.3">
      <c r="G20702" s="1"/>
      <c r="N20702" s="1"/>
    </row>
    <row r="20703" spans="7:14" x14ac:dyDescent="0.3">
      <c r="G20703" s="1"/>
      <c r="N20703" s="1"/>
    </row>
    <row r="20704" spans="7:14" x14ac:dyDescent="0.3">
      <c r="G20704" s="1"/>
      <c r="N20704" s="1"/>
    </row>
    <row r="20705" spans="7:14" x14ac:dyDescent="0.3">
      <c r="G20705" s="1"/>
      <c r="N20705" s="1"/>
    </row>
    <row r="20706" spans="7:14" x14ac:dyDescent="0.3">
      <c r="G20706" s="1"/>
      <c r="N20706" s="1"/>
    </row>
    <row r="20707" spans="7:14" x14ac:dyDescent="0.3">
      <c r="G20707" s="1"/>
      <c r="N20707" s="1"/>
    </row>
    <row r="20708" spans="7:14" x14ac:dyDescent="0.3">
      <c r="G20708" s="1"/>
      <c r="N20708" s="1"/>
    </row>
    <row r="20709" spans="7:14" x14ac:dyDescent="0.3">
      <c r="G20709" s="1"/>
      <c r="N20709" s="1"/>
    </row>
    <row r="20710" spans="7:14" x14ac:dyDescent="0.3">
      <c r="G20710" s="1"/>
      <c r="N20710" s="1"/>
    </row>
    <row r="20711" spans="7:14" x14ac:dyDescent="0.3">
      <c r="G20711" s="1"/>
      <c r="N20711" s="1"/>
    </row>
    <row r="20712" spans="7:14" x14ac:dyDescent="0.3">
      <c r="G20712" s="1"/>
      <c r="N20712" s="1"/>
    </row>
    <row r="20713" spans="7:14" x14ac:dyDescent="0.3">
      <c r="G20713" s="1"/>
      <c r="N20713" s="1"/>
    </row>
    <row r="20714" spans="7:14" x14ac:dyDescent="0.3">
      <c r="G20714" s="1"/>
      <c r="N20714" s="1"/>
    </row>
    <row r="20715" spans="7:14" x14ac:dyDescent="0.3">
      <c r="G20715" s="1"/>
      <c r="N20715" s="1"/>
    </row>
    <row r="20716" spans="7:14" x14ac:dyDescent="0.3">
      <c r="G20716" s="1"/>
      <c r="N20716" s="1"/>
    </row>
    <row r="20717" spans="7:14" x14ac:dyDescent="0.3">
      <c r="G20717" s="1"/>
      <c r="N20717" s="1"/>
    </row>
    <row r="20718" spans="7:14" x14ac:dyDescent="0.3">
      <c r="G20718" s="1"/>
      <c r="N20718" s="1"/>
    </row>
    <row r="20719" spans="7:14" x14ac:dyDescent="0.3">
      <c r="G20719" s="1"/>
      <c r="N20719" s="1"/>
    </row>
    <row r="20720" spans="7:14" x14ac:dyDescent="0.3">
      <c r="G20720" s="1"/>
      <c r="N20720" s="1"/>
    </row>
    <row r="20721" spans="7:14" x14ac:dyDescent="0.3">
      <c r="G20721" s="1"/>
      <c r="N20721" s="1"/>
    </row>
    <row r="20722" spans="7:14" x14ac:dyDescent="0.3">
      <c r="G20722" s="1"/>
      <c r="N20722" s="1"/>
    </row>
    <row r="20723" spans="7:14" x14ac:dyDescent="0.3">
      <c r="G20723" s="1"/>
      <c r="N20723" s="1"/>
    </row>
    <row r="20724" spans="7:14" x14ac:dyDescent="0.3">
      <c r="G20724" s="1"/>
      <c r="N20724" s="1"/>
    </row>
    <row r="20725" spans="7:14" x14ac:dyDescent="0.3">
      <c r="G20725" s="1"/>
      <c r="N20725" s="1"/>
    </row>
    <row r="20726" spans="7:14" x14ac:dyDescent="0.3">
      <c r="G20726" s="1"/>
      <c r="N20726" s="1"/>
    </row>
    <row r="20727" spans="7:14" x14ac:dyDescent="0.3">
      <c r="G20727" s="1"/>
      <c r="N20727" s="1"/>
    </row>
    <row r="20728" spans="7:14" x14ac:dyDescent="0.3">
      <c r="G20728" s="1"/>
      <c r="N20728" s="1"/>
    </row>
    <row r="20729" spans="7:14" x14ac:dyDescent="0.3">
      <c r="G20729" s="1"/>
      <c r="N20729" s="1"/>
    </row>
    <row r="20730" spans="7:14" x14ac:dyDescent="0.3">
      <c r="G20730" s="1"/>
      <c r="N20730" s="1"/>
    </row>
    <row r="20731" spans="7:14" x14ac:dyDescent="0.3">
      <c r="G20731" s="1"/>
      <c r="N20731" s="1"/>
    </row>
    <row r="20732" spans="7:14" x14ac:dyDescent="0.3">
      <c r="G20732" s="1"/>
      <c r="N20732" s="1"/>
    </row>
    <row r="20733" spans="7:14" x14ac:dyDescent="0.3">
      <c r="G20733" s="1"/>
      <c r="N20733" s="1"/>
    </row>
    <row r="20734" spans="7:14" x14ac:dyDescent="0.3">
      <c r="G20734" s="1"/>
      <c r="N20734" s="1"/>
    </row>
    <row r="20735" spans="7:14" x14ac:dyDescent="0.3">
      <c r="G20735" s="1"/>
      <c r="N20735" s="1"/>
    </row>
    <row r="20736" spans="7:14" x14ac:dyDescent="0.3">
      <c r="G20736" s="1"/>
      <c r="N20736" s="1"/>
    </row>
    <row r="20737" spans="7:14" x14ac:dyDescent="0.3">
      <c r="G20737" s="1"/>
      <c r="N20737" s="1"/>
    </row>
    <row r="20738" spans="7:14" x14ac:dyDescent="0.3">
      <c r="G20738" s="1"/>
      <c r="N20738" s="1"/>
    </row>
    <row r="20739" spans="7:14" x14ac:dyDescent="0.3">
      <c r="G20739" s="1"/>
      <c r="N20739" s="1"/>
    </row>
    <row r="20740" spans="7:14" x14ac:dyDescent="0.3">
      <c r="G20740" s="1"/>
      <c r="N20740" s="1"/>
    </row>
    <row r="20741" spans="7:14" x14ac:dyDescent="0.3">
      <c r="G20741" s="1"/>
      <c r="N20741" s="1"/>
    </row>
    <row r="20742" spans="7:14" x14ac:dyDescent="0.3">
      <c r="G20742" s="1"/>
      <c r="N20742" s="1"/>
    </row>
    <row r="20743" spans="7:14" x14ac:dyDescent="0.3">
      <c r="G20743" s="1"/>
      <c r="N20743" s="1"/>
    </row>
    <row r="20744" spans="7:14" x14ac:dyDescent="0.3">
      <c r="G20744" s="1"/>
      <c r="N20744" s="1"/>
    </row>
    <row r="20745" spans="7:14" x14ac:dyDescent="0.3">
      <c r="G20745" s="1"/>
      <c r="N20745" s="1"/>
    </row>
    <row r="20746" spans="7:14" x14ac:dyDescent="0.3">
      <c r="G20746" s="1"/>
      <c r="N20746" s="1"/>
    </row>
    <row r="20747" spans="7:14" x14ac:dyDescent="0.3">
      <c r="G20747" s="1"/>
      <c r="N20747" s="1"/>
    </row>
    <row r="20748" spans="7:14" x14ac:dyDescent="0.3">
      <c r="G20748" s="1"/>
      <c r="N20748" s="1"/>
    </row>
    <row r="20749" spans="7:14" x14ac:dyDescent="0.3">
      <c r="G20749" s="1"/>
      <c r="N20749" s="1"/>
    </row>
    <row r="20750" spans="7:14" x14ac:dyDescent="0.3">
      <c r="G20750" s="1"/>
      <c r="N20750" s="1"/>
    </row>
    <row r="20751" spans="7:14" x14ac:dyDescent="0.3">
      <c r="G20751" s="1"/>
      <c r="N20751" s="1"/>
    </row>
    <row r="20752" spans="7:14" x14ac:dyDescent="0.3">
      <c r="G20752" s="1"/>
      <c r="N20752" s="1"/>
    </row>
    <row r="20753" spans="7:14" x14ac:dyDescent="0.3">
      <c r="G20753" s="1"/>
      <c r="N20753" s="1"/>
    </row>
    <row r="20754" spans="7:14" x14ac:dyDescent="0.3">
      <c r="G20754" s="1"/>
      <c r="N20754" s="1"/>
    </row>
    <row r="20755" spans="7:14" x14ac:dyDescent="0.3">
      <c r="G20755" s="1"/>
      <c r="N20755" s="1"/>
    </row>
    <row r="20756" spans="7:14" x14ac:dyDescent="0.3">
      <c r="G20756" s="1"/>
      <c r="N20756" s="1"/>
    </row>
    <row r="20757" spans="7:14" x14ac:dyDescent="0.3">
      <c r="G20757" s="1"/>
      <c r="N20757" s="1"/>
    </row>
    <row r="20758" spans="7:14" x14ac:dyDescent="0.3">
      <c r="G20758" s="1"/>
      <c r="N20758" s="1"/>
    </row>
    <row r="20759" spans="7:14" x14ac:dyDescent="0.3">
      <c r="G20759" s="1"/>
      <c r="N20759" s="1"/>
    </row>
    <row r="20760" spans="7:14" x14ac:dyDescent="0.3">
      <c r="G20760" s="1"/>
      <c r="N20760" s="1"/>
    </row>
    <row r="20761" spans="7:14" x14ac:dyDescent="0.3">
      <c r="G20761" s="1"/>
      <c r="N20761" s="1"/>
    </row>
    <row r="20762" spans="7:14" x14ac:dyDescent="0.3">
      <c r="G20762" s="1"/>
      <c r="N20762" s="1"/>
    </row>
    <row r="20763" spans="7:14" x14ac:dyDescent="0.3">
      <c r="G20763" s="1"/>
      <c r="N20763" s="1"/>
    </row>
    <row r="20764" spans="7:14" x14ac:dyDescent="0.3">
      <c r="G20764" s="1"/>
      <c r="N20764" s="1"/>
    </row>
    <row r="20765" spans="7:14" x14ac:dyDescent="0.3">
      <c r="G20765" s="1"/>
      <c r="N20765" s="1"/>
    </row>
    <row r="20766" spans="7:14" x14ac:dyDescent="0.3">
      <c r="G20766" s="1"/>
      <c r="N20766" s="1"/>
    </row>
    <row r="20767" spans="7:14" x14ac:dyDescent="0.3">
      <c r="G20767" s="1"/>
      <c r="N20767" s="1"/>
    </row>
    <row r="20768" spans="7:14" x14ac:dyDescent="0.3">
      <c r="G20768" s="1"/>
      <c r="N20768" s="1"/>
    </row>
    <row r="20769" spans="7:14" x14ac:dyDescent="0.3">
      <c r="G20769" s="1"/>
      <c r="N20769" s="1"/>
    </row>
    <row r="20770" spans="7:14" x14ac:dyDescent="0.3">
      <c r="G20770" s="1"/>
      <c r="N20770" s="1"/>
    </row>
    <row r="20771" spans="7:14" x14ac:dyDescent="0.3">
      <c r="G20771" s="1"/>
      <c r="N20771" s="1"/>
    </row>
    <row r="20772" spans="7:14" x14ac:dyDescent="0.3">
      <c r="G20772" s="1"/>
      <c r="N20772" s="1"/>
    </row>
    <row r="20773" spans="7:14" x14ac:dyDescent="0.3">
      <c r="G20773" s="1"/>
      <c r="N20773" s="1"/>
    </row>
    <row r="20774" spans="7:14" x14ac:dyDescent="0.3">
      <c r="G20774" s="1"/>
      <c r="N20774" s="1"/>
    </row>
    <row r="20775" spans="7:14" x14ac:dyDescent="0.3">
      <c r="G20775" s="1"/>
      <c r="N20775" s="1"/>
    </row>
    <row r="20776" spans="7:14" x14ac:dyDescent="0.3">
      <c r="G20776" s="1"/>
      <c r="N20776" s="1"/>
    </row>
    <row r="20777" spans="7:14" x14ac:dyDescent="0.3">
      <c r="G20777" s="1"/>
      <c r="N20777" s="1"/>
    </row>
    <row r="20778" spans="7:14" x14ac:dyDescent="0.3">
      <c r="G20778" s="1"/>
      <c r="N20778" s="1"/>
    </row>
    <row r="20779" spans="7:14" x14ac:dyDescent="0.3">
      <c r="G20779" s="1"/>
      <c r="N20779" s="1"/>
    </row>
    <row r="20780" spans="7:14" x14ac:dyDescent="0.3">
      <c r="G20780" s="1"/>
      <c r="N20780" s="1"/>
    </row>
    <row r="20781" spans="7:14" x14ac:dyDescent="0.3">
      <c r="G20781" s="1"/>
      <c r="N20781" s="1"/>
    </row>
    <row r="20782" spans="7:14" x14ac:dyDescent="0.3">
      <c r="G20782" s="1"/>
      <c r="N20782" s="1"/>
    </row>
    <row r="20783" spans="7:14" x14ac:dyDescent="0.3">
      <c r="G20783" s="1"/>
      <c r="N20783" s="1"/>
    </row>
    <row r="20784" spans="7:14" x14ac:dyDescent="0.3">
      <c r="G20784" s="1"/>
      <c r="N20784" s="1"/>
    </row>
    <row r="20785" spans="7:14" x14ac:dyDescent="0.3">
      <c r="G20785" s="1"/>
      <c r="N20785" s="1"/>
    </row>
    <row r="20786" spans="7:14" x14ac:dyDescent="0.3">
      <c r="G20786" s="1"/>
      <c r="N20786" s="1"/>
    </row>
    <row r="20787" spans="7:14" x14ac:dyDescent="0.3">
      <c r="G20787" s="1"/>
      <c r="N20787" s="1"/>
    </row>
    <row r="20788" spans="7:14" x14ac:dyDescent="0.3">
      <c r="G20788" s="1"/>
      <c r="N20788" s="1"/>
    </row>
    <row r="20789" spans="7:14" x14ac:dyDescent="0.3">
      <c r="G20789" s="1"/>
      <c r="N20789" s="1"/>
    </row>
    <row r="20790" spans="7:14" x14ac:dyDescent="0.3">
      <c r="G20790" s="1"/>
      <c r="N20790" s="1"/>
    </row>
    <row r="20791" spans="7:14" x14ac:dyDescent="0.3">
      <c r="G20791" s="1"/>
      <c r="N20791" s="1"/>
    </row>
    <row r="20792" spans="7:14" x14ac:dyDescent="0.3">
      <c r="G20792" s="1"/>
      <c r="N20792" s="1"/>
    </row>
    <row r="20793" spans="7:14" x14ac:dyDescent="0.3">
      <c r="G20793" s="1"/>
      <c r="N20793" s="1"/>
    </row>
    <row r="20794" spans="7:14" x14ac:dyDescent="0.3">
      <c r="G20794" s="1"/>
      <c r="N20794" s="1"/>
    </row>
    <row r="20795" spans="7:14" x14ac:dyDescent="0.3">
      <c r="G20795" s="1"/>
      <c r="N20795" s="1"/>
    </row>
    <row r="20796" spans="7:14" x14ac:dyDescent="0.3">
      <c r="G20796" s="1"/>
      <c r="N20796" s="1"/>
    </row>
    <row r="20797" spans="7:14" x14ac:dyDescent="0.3">
      <c r="G20797" s="1"/>
      <c r="N20797" s="1"/>
    </row>
    <row r="20798" spans="7:14" x14ac:dyDescent="0.3">
      <c r="G20798" s="1"/>
      <c r="N20798" s="1"/>
    </row>
    <row r="20799" spans="7:14" x14ac:dyDescent="0.3">
      <c r="G20799" s="1"/>
      <c r="N20799" s="1"/>
    </row>
    <row r="20800" spans="7:14" x14ac:dyDescent="0.3">
      <c r="G20800" s="1"/>
      <c r="N20800" s="1"/>
    </row>
    <row r="20801" spans="7:14" x14ac:dyDescent="0.3">
      <c r="G20801" s="1"/>
      <c r="N20801" s="1"/>
    </row>
    <row r="20802" spans="7:14" x14ac:dyDescent="0.3">
      <c r="G20802" s="1"/>
      <c r="N20802" s="1"/>
    </row>
    <row r="20803" spans="7:14" x14ac:dyDescent="0.3">
      <c r="G20803" s="1"/>
      <c r="N20803" s="1"/>
    </row>
    <row r="20804" spans="7:14" x14ac:dyDescent="0.3">
      <c r="G20804" s="1"/>
      <c r="N20804" s="1"/>
    </row>
    <row r="20805" spans="7:14" x14ac:dyDescent="0.3">
      <c r="G20805" s="1"/>
      <c r="N20805" s="1"/>
    </row>
    <row r="20806" spans="7:14" x14ac:dyDescent="0.3">
      <c r="G20806" s="1"/>
      <c r="N20806" s="1"/>
    </row>
    <row r="20807" spans="7:14" x14ac:dyDescent="0.3">
      <c r="G20807" s="1"/>
      <c r="N20807" s="1"/>
    </row>
    <row r="20808" spans="7:14" x14ac:dyDescent="0.3">
      <c r="G20808" s="1"/>
      <c r="N20808" s="1"/>
    </row>
    <row r="20809" spans="7:14" x14ac:dyDescent="0.3">
      <c r="G20809" s="1"/>
      <c r="N20809" s="1"/>
    </row>
    <row r="20810" spans="7:14" x14ac:dyDescent="0.3">
      <c r="G20810" s="1"/>
      <c r="N20810" s="1"/>
    </row>
    <row r="20811" spans="7:14" x14ac:dyDescent="0.3">
      <c r="G20811" s="1"/>
      <c r="N20811" s="1"/>
    </row>
    <row r="20812" spans="7:14" x14ac:dyDescent="0.3">
      <c r="G20812" s="1"/>
      <c r="N20812" s="1"/>
    </row>
    <row r="20813" spans="7:14" x14ac:dyDescent="0.3">
      <c r="G20813" s="1"/>
      <c r="N20813" s="1"/>
    </row>
    <row r="20814" spans="7:14" x14ac:dyDescent="0.3">
      <c r="G20814" s="1"/>
      <c r="N20814" s="1"/>
    </row>
    <row r="20815" spans="7:14" x14ac:dyDescent="0.3">
      <c r="G20815" s="1"/>
      <c r="N20815" s="1"/>
    </row>
    <row r="20816" spans="7:14" x14ac:dyDescent="0.3">
      <c r="G20816" s="1"/>
      <c r="N20816" s="1"/>
    </row>
    <row r="20817" spans="7:14" x14ac:dyDescent="0.3">
      <c r="G20817" s="1"/>
      <c r="N20817" s="1"/>
    </row>
    <row r="20818" spans="7:14" x14ac:dyDescent="0.3">
      <c r="G20818" s="1"/>
      <c r="N20818" s="1"/>
    </row>
    <row r="20819" spans="7:14" x14ac:dyDescent="0.3">
      <c r="G20819" s="1"/>
      <c r="N20819" s="1"/>
    </row>
    <row r="20820" spans="7:14" x14ac:dyDescent="0.3">
      <c r="G20820" s="1"/>
      <c r="N20820" s="1"/>
    </row>
    <row r="20821" spans="7:14" x14ac:dyDescent="0.3">
      <c r="G20821" s="1"/>
      <c r="N20821" s="1"/>
    </row>
    <row r="20822" spans="7:14" x14ac:dyDescent="0.3">
      <c r="G20822" s="1"/>
      <c r="N20822" s="1"/>
    </row>
    <row r="20823" spans="7:14" x14ac:dyDescent="0.3">
      <c r="G20823" s="1"/>
      <c r="N20823" s="1"/>
    </row>
    <row r="20824" spans="7:14" x14ac:dyDescent="0.3">
      <c r="G20824" s="1"/>
      <c r="N20824" s="1"/>
    </row>
    <row r="20825" spans="7:14" x14ac:dyDescent="0.3">
      <c r="G20825" s="1"/>
      <c r="N20825" s="1"/>
    </row>
    <row r="20826" spans="7:14" x14ac:dyDescent="0.3">
      <c r="G20826" s="1"/>
      <c r="N20826" s="1"/>
    </row>
    <row r="20827" spans="7:14" x14ac:dyDescent="0.3">
      <c r="G20827" s="1"/>
      <c r="N20827" s="1"/>
    </row>
    <row r="20828" spans="7:14" x14ac:dyDescent="0.3">
      <c r="G20828" s="1"/>
      <c r="N20828" s="1"/>
    </row>
    <row r="20829" spans="7:14" x14ac:dyDescent="0.3">
      <c r="G20829" s="1"/>
      <c r="N20829" s="1"/>
    </row>
    <row r="20830" spans="7:14" x14ac:dyDescent="0.3">
      <c r="G20830" s="1"/>
      <c r="N20830" s="1"/>
    </row>
    <row r="20831" spans="7:14" x14ac:dyDescent="0.3">
      <c r="G20831" s="1"/>
      <c r="N20831" s="1"/>
    </row>
    <row r="20832" spans="7:14" x14ac:dyDescent="0.3">
      <c r="G20832" s="1"/>
      <c r="N20832" s="1"/>
    </row>
    <row r="20833" spans="7:14" x14ac:dyDescent="0.3">
      <c r="G20833" s="1"/>
      <c r="N20833" s="1"/>
    </row>
    <row r="20834" spans="7:14" x14ac:dyDescent="0.3">
      <c r="G20834" s="1"/>
      <c r="N20834" s="1"/>
    </row>
    <row r="20835" spans="7:14" x14ac:dyDescent="0.3">
      <c r="G20835" s="1"/>
      <c r="N20835" s="1"/>
    </row>
    <row r="20836" spans="7:14" x14ac:dyDescent="0.3">
      <c r="G20836" s="1"/>
      <c r="N20836" s="1"/>
    </row>
    <row r="20837" spans="7:14" x14ac:dyDescent="0.3">
      <c r="G20837" s="1"/>
      <c r="N20837" s="1"/>
    </row>
    <row r="20838" spans="7:14" x14ac:dyDescent="0.3">
      <c r="G20838" s="1"/>
      <c r="N20838" s="1"/>
    </row>
    <row r="20839" spans="7:14" x14ac:dyDescent="0.3">
      <c r="G20839" s="1"/>
      <c r="N20839" s="1"/>
    </row>
    <row r="20840" spans="7:14" x14ac:dyDescent="0.3">
      <c r="G20840" s="1"/>
      <c r="N20840" s="1"/>
    </row>
    <row r="20841" spans="7:14" x14ac:dyDescent="0.3">
      <c r="G20841" s="1"/>
      <c r="N20841" s="1"/>
    </row>
    <row r="20842" spans="7:14" x14ac:dyDescent="0.3">
      <c r="G20842" s="1"/>
      <c r="N20842" s="1"/>
    </row>
    <row r="20843" spans="7:14" x14ac:dyDescent="0.3">
      <c r="G20843" s="1"/>
      <c r="N20843" s="1"/>
    </row>
    <row r="20844" spans="7:14" x14ac:dyDescent="0.3">
      <c r="G20844" s="1"/>
      <c r="N20844" s="1"/>
    </row>
    <row r="20845" spans="7:14" x14ac:dyDescent="0.3">
      <c r="G20845" s="1"/>
      <c r="N20845" s="1"/>
    </row>
    <row r="20846" spans="7:14" x14ac:dyDescent="0.3">
      <c r="G20846" s="1"/>
      <c r="N20846" s="1"/>
    </row>
    <row r="20847" spans="7:14" x14ac:dyDescent="0.3">
      <c r="G20847" s="1"/>
      <c r="N20847" s="1"/>
    </row>
    <row r="20848" spans="7:14" x14ac:dyDescent="0.3">
      <c r="G20848" s="1"/>
      <c r="N20848" s="1"/>
    </row>
    <row r="20849" spans="7:14" x14ac:dyDescent="0.3">
      <c r="G20849" s="1"/>
      <c r="N20849" s="1"/>
    </row>
    <row r="20850" spans="7:14" x14ac:dyDescent="0.3">
      <c r="G20850" s="1"/>
      <c r="N20850" s="1"/>
    </row>
    <row r="20851" spans="7:14" x14ac:dyDescent="0.3">
      <c r="G20851" s="1"/>
      <c r="N20851" s="1"/>
    </row>
    <row r="20852" spans="7:14" x14ac:dyDescent="0.3">
      <c r="G20852" s="1"/>
      <c r="N20852" s="1"/>
    </row>
    <row r="20853" spans="7:14" x14ac:dyDescent="0.3">
      <c r="G20853" s="1"/>
      <c r="N20853" s="1"/>
    </row>
    <row r="20854" spans="7:14" x14ac:dyDescent="0.3">
      <c r="G20854" s="1"/>
      <c r="N20854" s="1"/>
    </row>
    <row r="20855" spans="7:14" x14ac:dyDescent="0.3">
      <c r="G20855" s="1"/>
      <c r="N20855" s="1"/>
    </row>
    <row r="20856" spans="7:14" x14ac:dyDescent="0.3">
      <c r="G20856" s="1"/>
      <c r="N20856" s="1"/>
    </row>
    <row r="20857" spans="7:14" x14ac:dyDescent="0.3">
      <c r="G20857" s="1"/>
      <c r="N20857" s="1"/>
    </row>
    <row r="20858" spans="7:14" x14ac:dyDescent="0.3">
      <c r="G20858" s="1"/>
      <c r="N20858" s="1"/>
    </row>
    <row r="20859" spans="7:14" x14ac:dyDescent="0.3">
      <c r="G20859" s="1"/>
      <c r="N20859" s="1"/>
    </row>
    <row r="20860" spans="7:14" x14ac:dyDescent="0.3">
      <c r="G20860" s="1"/>
      <c r="N20860" s="1"/>
    </row>
    <row r="20861" spans="7:14" x14ac:dyDescent="0.3">
      <c r="G20861" s="1"/>
      <c r="N20861" s="1"/>
    </row>
    <row r="20862" spans="7:14" x14ac:dyDescent="0.3">
      <c r="G20862" s="1"/>
      <c r="N20862" s="1"/>
    </row>
    <row r="20863" spans="7:14" x14ac:dyDescent="0.3">
      <c r="G20863" s="1"/>
      <c r="N20863" s="1"/>
    </row>
    <row r="20864" spans="7:14" x14ac:dyDescent="0.3">
      <c r="G20864" s="1"/>
      <c r="N20864" s="1"/>
    </row>
    <row r="20865" spans="7:14" x14ac:dyDescent="0.3">
      <c r="G20865" s="1"/>
      <c r="N20865" s="1"/>
    </row>
    <row r="20866" spans="7:14" x14ac:dyDescent="0.3">
      <c r="G20866" s="1"/>
      <c r="N20866" s="1"/>
    </row>
    <row r="20867" spans="7:14" x14ac:dyDescent="0.3">
      <c r="G20867" s="1"/>
      <c r="N20867" s="1"/>
    </row>
    <row r="20868" spans="7:14" x14ac:dyDescent="0.3">
      <c r="G20868" s="1"/>
      <c r="N20868" s="1"/>
    </row>
    <row r="20869" spans="7:14" x14ac:dyDescent="0.3">
      <c r="G20869" s="1"/>
      <c r="N20869" s="1"/>
    </row>
    <row r="20870" spans="7:14" x14ac:dyDescent="0.3">
      <c r="G20870" s="1"/>
      <c r="N20870" s="1"/>
    </row>
    <row r="20871" spans="7:14" x14ac:dyDescent="0.3">
      <c r="G20871" s="1"/>
      <c r="N20871" s="1"/>
    </row>
    <row r="20872" spans="7:14" x14ac:dyDescent="0.3">
      <c r="G20872" s="1"/>
      <c r="N20872" s="1"/>
    </row>
    <row r="20873" spans="7:14" x14ac:dyDescent="0.3">
      <c r="G20873" s="1"/>
      <c r="N20873" s="1"/>
    </row>
    <row r="20874" spans="7:14" x14ac:dyDescent="0.3">
      <c r="G20874" s="1"/>
      <c r="N20874" s="1"/>
    </row>
    <row r="20875" spans="7:14" x14ac:dyDescent="0.3">
      <c r="G20875" s="1"/>
      <c r="N20875" s="1"/>
    </row>
    <row r="20876" spans="7:14" x14ac:dyDescent="0.3">
      <c r="G20876" s="1"/>
      <c r="N20876" s="1"/>
    </row>
    <row r="20877" spans="7:14" x14ac:dyDescent="0.3">
      <c r="G20877" s="1"/>
      <c r="N20877" s="1"/>
    </row>
    <row r="20878" spans="7:14" x14ac:dyDescent="0.3">
      <c r="G20878" s="1"/>
      <c r="N20878" s="1"/>
    </row>
    <row r="20879" spans="7:14" x14ac:dyDescent="0.3">
      <c r="G20879" s="1"/>
      <c r="N20879" s="1"/>
    </row>
    <row r="20880" spans="7:14" x14ac:dyDescent="0.3">
      <c r="G20880" s="1"/>
      <c r="N20880" s="1"/>
    </row>
    <row r="20881" spans="7:14" x14ac:dyDescent="0.3">
      <c r="G20881" s="1"/>
      <c r="N20881" s="1"/>
    </row>
    <row r="20882" spans="7:14" x14ac:dyDescent="0.3">
      <c r="G20882" s="1"/>
      <c r="N20882" s="1"/>
    </row>
    <row r="20883" spans="7:14" x14ac:dyDescent="0.3">
      <c r="G20883" s="1"/>
      <c r="N20883" s="1"/>
    </row>
    <row r="20884" spans="7:14" x14ac:dyDescent="0.3">
      <c r="G20884" s="1"/>
      <c r="N20884" s="1"/>
    </row>
    <row r="20885" spans="7:14" x14ac:dyDescent="0.3">
      <c r="G20885" s="1"/>
      <c r="N20885" s="1"/>
    </row>
    <row r="20886" spans="7:14" x14ac:dyDescent="0.3">
      <c r="G20886" s="1"/>
      <c r="N20886" s="1"/>
    </row>
    <row r="20887" spans="7:14" x14ac:dyDescent="0.3">
      <c r="G20887" s="1"/>
      <c r="N20887" s="1"/>
    </row>
    <row r="20888" spans="7:14" x14ac:dyDescent="0.3">
      <c r="G20888" s="1"/>
      <c r="N20888" s="1"/>
    </row>
    <row r="20889" spans="7:14" x14ac:dyDescent="0.3">
      <c r="G20889" s="1"/>
      <c r="N20889" s="1"/>
    </row>
    <row r="20890" spans="7:14" x14ac:dyDescent="0.3">
      <c r="G20890" s="1"/>
      <c r="N20890" s="1"/>
    </row>
    <row r="20891" spans="7:14" x14ac:dyDescent="0.3">
      <c r="G20891" s="1"/>
      <c r="N20891" s="1"/>
    </row>
    <row r="20892" spans="7:14" x14ac:dyDescent="0.3">
      <c r="G20892" s="1"/>
      <c r="N20892" s="1"/>
    </row>
    <row r="20893" spans="7:14" x14ac:dyDescent="0.3">
      <c r="G20893" s="1"/>
      <c r="N20893" s="1"/>
    </row>
    <row r="20894" spans="7:14" x14ac:dyDescent="0.3">
      <c r="G20894" s="1"/>
      <c r="N20894" s="1"/>
    </row>
    <row r="20895" spans="7:14" x14ac:dyDescent="0.3">
      <c r="G20895" s="1"/>
      <c r="N20895" s="1"/>
    </row>
    <row r="20896" spans="7:14" x14ac:dyDescent="0.3">
      <c r="G20896" s="1"/>
      <c r="N20896" s="1"/>
    </row>
    <row r="20897" spans="7:14" x14ac:dyDescent="0.3">
      <c r="G20897" s="1"/>
      <c r="N20897" s="1"/>
    </row>
    <row r="20898" spans="7:14" x14ac:dyDescent="0.3">
      <c r="G20898" s="1"/>
      <c r="N20898" s="1"/>
    </row>
    <row r="20899" spans="7:14" x14ac:dyDescent="0.3">
      <c r="G20899" s="1"/>
      <c r="N20899" s="1"/>
    </row>
    <row r="20900" spans="7:14" x14ac:dyDescent="0.3">
      <c r="G20900" s="1"/>
      <c r="N20900" s="1"/>
    </row>
    <row r="20901" spans="7:14" x14ac:dyDescent="0.3">
      <c r="G20901" s="1"/>
      <c r="N20901" s="1"/>
    </row>
    <row r="20902" spans="7:14" x14ac:dyDescent="0.3">
      <c r="G20902" s="1"/>
      <c r="N20902" s="1"/>
    </row>
    <row r="20903" spans="7:14" x14ac:dyDescent="0.3">
      <c r="G20903" s="1"/>
      <c r="N20903" s="1"/>
    </row>
    <row r="20904" spans="7:14" x14ac:dyDescent="0.3">
      <c r="G20904" s="1"/>
      <c r="N20904" s="1"/>
    </row>
    <row r="20905" spans="7:14" x14ac:dyDescent="0.3">
      <c r="G20905" s="1"/>
      <c r="N20905" s="1"/>
    </row>
    <row r="20906" spans="7:14" x14ac:dyDescent="0.3">
      <c r="G20906" s="1"/>
      <c r="N20906" s="1"/>
    </row>
    <row r="20907" spans="7:14" x14ac:dyDescent="0.3">
      <c r="G20907" s="1"/>
      <c r="N20907" s="1"/>
    </row>
    <row r="20908" spans="7:14" x14ac:dyDescent="0.3">
      <c r="G20908" s="1"/>
      <c r="N20908" s="1"/>
    </row>
    <row r="20909" spans="7:14" x14ac:dyDescent="0.3">
      <c r="G20909" s="1"/>
      <c r="N20909" s="1"/>
    </row>
    <row r="20910" spans="7:14" x14ac:dyDescent="0.3">
      <c r="G20910" s="1"/>
      <c r="N20910" s="1"/>
    </row>
    <row r="20911" spans="7:14" x14ac:dyDescent="0.3">
      <c r="G20911" s="1"/>
      <c r="N20911" s="1"/>
    </row>
    <row r="20912" spans="7:14" x14ac:dyDescent="0.3">
      <c r="G20912" s="1"/>
      <c r="N20912" s="1"/>
    </row>
    <row r="20913" spans="7:14" x14ac:dyDescent="0.3">
      <c r="G20913" s="1"/>
      <c r="N20913" s="1"/>
    </row>
    <row r="20914" spans="7:14" x14ac:dyDescent="0.3">
      <c r="G20914" s="1"/>
      <c r="N20914" s="1"/>
    </row>
    <row r="20915" spans="7:14" x14ac:dyDescent="0.3">
      <c r="G20915" s="1"/>
      <c r="N20915" s="1"/>
    </row>
    <row r="20916" spans="7:14" x14ac:dyDescent="0.3">
      <c r="G20916" s="1"/>
      <c r="N20916" s="1"/>
    </row>
    <row r="20917" spans="7:14" x14ac:dyDescent="0.3">
      <c r="G20917" s="1"/>
      <c r="N20917" s="1"/>
    </row>
    <row r="20918" spans="7:14" x14ac:dyDescent="0.3">
      <c r="G20918" s="1"/>
      <c r="N20918" s="1"/>
    </row>
    <row r="20919" spans="7:14" x14ac:dyDescent="0.3">
      <c r="G20919" s="1"/>
      <c r="N20919" s="1"/>
    </row>
    <row r="20920" spans="7:14" x14ac:dyDescent="0.3">
      <c r="G20920" s="1"/>
      <c r="N20920" s="1"/>
    </row>
    <row r="20921" spans="7:14" x14ac:dyDescent="0.3">
      <c r="G20921" s="1"/>
      <c r="N20921" s="1"/>
    </row>
    <row r="20922" spans="7:14" x14ac:dyDescent="0.3">
      <c r="G20922" s="1"/>
      <c r="N20922" s="1"/>
    </row>
    <row r="20923" spans="7:14" x14ac:dyDescent="0.3">
      <c r="G20923" s="1"/>
      <c r="N20923" s="1"/>
    </row>
    <row r="20924" spans="7:14" x14ac:dyDescent="0.3">
      <c r="G20924" s="1"/>
      <c r="N20924" s="1"/>
    </row>
    <row r="20925" spans="7:14" x14ac:dyDescent="0.3">
      <c r="G20925" s="1"/>
      <c r="N20925" s="1"/>
    </row>
    <row r="20926" spans="7:14" x14ac:dyDescent="0.3">
      <c r="G20926" s="1"/>
      <c r="N20926" s="1"/>
    </row>
    <row r="20927" spans="7:14" x14ac:dyDescent="0.3">
      <c r="G20927" s="1"/>
      <c r="N20927" s="1"/>
    </row>
    <row r="20928" spans="7:14" x14ac:dyDescent="0.3">
      <c r="G20928" s="1"/>
      <c r="N20928" s="1"/>
    </row>
    <row r="20929" spans="7:14" x14ac:dyDescent="0.3">
      <c r="G20929" s="1"/>
      <c r="N20929" s="1"/>
    </row>
    <row r="20930" spans="7:14" x14ac:dyDescent="0.3">
      <c r="G20930" s="1"/>
      <c r="N20930" s="1"/>
    </row>
    <row r="20931" spans="7:14" x14ac:dyDescent="0.3">
      <c r="G20931" s="1"/>
      <c r="N20931" s="1"/>
    </row>
    <row r="20932" spans="7:14" x14ac:dyDescent="0.3">
      <c r="G20932" s="1"/>
      <c r="N20932" s="1"/>
    </row>
    <row r="20933" spans="7:14" x14ac:dyDescent="0.3">
      <c r="G20933" s="1"/>
      <c r="N20933" s="1"/>
    </row>
    <row r="20934" spans="7:14" x14ac:dyDescent="0.3">
      <c r="G20934" s="1"/>
      <c r="N20934" s="1"/>
    </row>
    <row r="20935" spans="7:14" x14ac:dyDescent="0.3">
      <c r="G20935" s="1"/>
      <c r="N20935" s="1"/>
    </row>
    <row r="20936" spans="7:14" x14ac:dyDescent="0.3">
      <c r="G20936" s="1"/>
      <c r="N20936" s="1"/>
    </row>
    <row r="20937" spans="7:14" x14ac:dyDescent="0.3">
      <c r="G20937" s="1"/>
      <c r="N20937" s="1"/>
    </row>
    <row r="20938" spans="7:14" x14ac:dyDescent="0.3">
      <c r="G20938" s="1"/>
      <c r="N20938" s="1"/>
    </row>
    <row r="20939" spans="7:14" x14ac:dyDescent="0.3">
      <c r="G20939" s="1"/>
      <c r="N20939" s="1"/>
    </row>
    <row r="20940" spans="7:14" x14ac:dyDescent="0.3">
      <c r="G20940" s="1"/>
      <c r="N20940" s="1"/>
    </row>
    <row r="20941" spans="7:14" x14ac:dyDescent="0.3">
      <c r="G20941" s="1"/>
      <c r="N20941" s="1"/>
    </row>
    <row r="20942" spans="7:14" x14ac:dyDescent="0.3">
      <c r="G20942" s="1"/>
      <c r="N20942" s="1"/>
    </row>
    <row r="20943" spans="7:14" x14ac:dyDescent="0.3">
      <c r="G20943" s="1"/>
      <c r="N20943" s="1"/>
    </row>
    <row r="20944" spans="7:14" x14ac:dyDescent="0.3">
      <c r="G20944" s="1"/>
      <c r="N20944" s="1"/>
    </row>
    <row r="20945" spans="7:14" x14ac:dyDescent="0.3">
      <c r="G20945" s="1"/>
      <c r="N20945" s="1"/>
    </row>
    <row r="20946" spans="7:14" x14ac:dyDescent="0.3">
      <c r="G20946" s="1"/>
      <c r="N20946" s="1"/>
    </row>
    <row r="20947" spans="7:14" x14ac:dyDescent="0.3">
      <c r="G20947" s="1"/>
      <c r="N20947" s="1"/>
    </row>
    <row r="20948" spans="7:14" x14ac:dyDescent="0.3">
      <c r="G20948" s="1"/>
      <c r="N20948" s="1"/>
    </row>
    <row r="20949" spans="7:14" x14ac:dyDescent="0.3">
      <c r="G20949" s="1"/>
      <c r="N20949" s="1"/>
    </row>
    <row r="20950" spans="7:14" x14ac:dyDescent="0.3">
      <c r="G20950" s="1"/>
      <c r="N20950" s="1"/>
    </row>
    <row r="20951" spans="7:14" x14ac:dyDescent="0.3">
      <c r="G20951" s="1"/>
      <c r="N20951" s="1"/>
    </row>
    <row r="20952" spans="7:14" x14ac:dyDescent="0.3">
      <c r="G20952" s="1"/>
      <c r="N20952" s="1"/>
    </row>
    <row r="20953" spans="7:14" x14ac:dyDescent="0.3">
      <c r="G20953" s="1"/>
      <c r="N20953" s="1"/>
    </row>
    <row r="20954" spans="7:14" x14ac:dyDescent="0.3">
      <c r="G20954" s="1"/>
      <c r="N20954" s="1"/>
    </row>
    <row r="20955" spans="7:14" x14ac:dyDescent="0.3">
      <c r="G20955" s="1"/>
      <c r="N20955" s="1"/>
    </row>
    <row r="20956" spans="7:14" x14ac:dyDescent="0.3">
      <c r="G20956" s="1"/>
      <c r="N20956" s="1"/>
    </row>
    <row r="20957" spans="7:14" x14ac:dyDescent="0.3">
      <c r="G20957" s="1"/>
      <c r="N20957" s="1"/>
    </row>
    <row r="20958" spans="7:14" x14ac:dyDescent="0.3">
      <c r="G20958" s="1"/>
      <c r="N20958" s="1"/>
    </row>
    <row r="20959" spans="7:14" x14ac:dyDescent="0.3">
      <c r="G20959" s="1"/>
      <c r="N20959" s="1"/>
    </row>
    <row r="20960" spans="7:14" x14ac:dyDescent="0.3">
      <c r="G20960" s="1"/>
      <c r="N20960" s="1"/>
    </row>
    <row r="20961" spans="7:14" x14ac:dyDescent="0.3">
      <c r="G20961" s="1"/>
      <c r="N20961" s="1"/>
    </row>
    <row r="20962" spans="7:14" x14ac:dyDescent="0.3">
      <c r="G20962" s="1"/>
      <c r="N20962" s="1"/>
    </row>
    <row r="20963" spans="7:14" x14ac:dyDescent="0.3">
      <c r="G20963" s="1"/>
      <c r="N20963" s="1"/>
    </row>
    <row r="20964" spans="7:14" x14ac:dyDescent="0.3">
      <c r="G20964" s="1"/>
      <c r="N20964" s="1"/>
    </row>
    <row r="20965" spans="7:14" x14ac:dyDescent="0.3">
      <c r="G20965" s="1"/>
      <c r="N20965" s="1"/>
    </row>
    <row r="20966" spans="7:14" x14ac:dyDescent="0.3">
      <c r="G20966" s="1"/>
      <c r="N20966" s="1"/>
    </row>
    <row r="20967" spans="7:14" x14ac:dyDescent="0.3">
      <c r="G20967" s="1"/>
      <c r="N20967" s="1"/>
    </row>
    <row r="20968" spans="7:14" x14ac:dyDescent="0.3">
      <c r="G20968" s="1"/>
      <c r="N20968" s="1"/>
    </row>
    <row r="20969" spans="7:14" x14ac:dyDescent="0.3">
      <c r="G20969" s="1"/>
      <c r="N20969" s="1"/>
    </row>
    <row r="20970" spans="7:14" x14ac:dyDescent="0.3">
      <c r="G20970" s="1"/>
      <c r="N20970" s="1"/>
    </row>
    <row r="20971" spans="7:14" x14ac:dyDescent="0.3">
      <c r="G20971" s="1"/>
      <c r="N20971" s="1"/>
    </row>
    <row r="20972" spans="7:14" x14ac:dyDescent="0.3">
      <c r="G20972" s="1"/>
      <c r="N20972" s="1"/>
    </row>
    <row r="20973" spans="7:14" x14ac:dyDescent="0.3">
      <c r="G20973" s="1"/>
      <c r="N20973" s="1"/>
    </row>
    <row r="20974" spans="7:14" x14ac:dyDescent="0.3">
      <c r="G20974" s="1"/>
      <c r="N20974" s="1"/>
    </row>
    <row r="20975" spans="7:14" x14ac:dyDescent="0.3">
      <c r="G20975" s="1"/>
      <c r="N20975" s="1"/>
    </row>
    <row r="20976" spans="7:14" x14ac:dyDescent="0.3">
      <c r="G20976" s="1"/>
      <c r="N20976" s="1"/>
    </row>
    <row r="20977" spans="7:14" x14ac:dyDescent="0.3">
      <c r="G20977" s="1"/>
      <c r="N20977" s="1"/>
    </row>
    <row r="20978" spans="7:14" x14ac:dyDescent="0.3">
      <c r="G20978" s="1"/>
      <c r="N20978" s="1"/>
    </row>
    <row r="20979" spans="7:14" x14ac:dyDescent="0.3">
      <c r="G20979" s="1"/>
      <c r="N20979" s="1"/>
    </row>
    <row r="20980" spans="7:14" x14ac:dyDescent="0.3">
      <c r="G20980" s="1"/>
      <c r="N20980" s="1"/>
    </row>
    <row r="20981" spans="7:14" x14ac:dyDescent="0.3">
      <c r="G20981" s="1"/>
      <c r="N20981" s="1"/>
    </row>
    <row r="20982" spans="7:14" x14ac:dyDescent="0.3">
      <c r="G20982" s="1"/>
      <c r="N20982" s="1"/>
    </row>
    <row r="20983" spans="7:14" x14ac:dyDescent="0.3">
      <c r="G20983" s="1"/>
      <c r="N20983" s="1"/>
    </row>
    <row r="20984" spans="7:14" x14ac:dyDescent="0.3">
      <c r="G20984" s="1"/>
      <c r="N20984" s="1"/>
    </row>
    <row r="20985" spans="7:14" x14ac:dyDescent="0.3">
      <c r="G20985" s="1"/>
      <c r="N20985" s="1"/>
    </row>
    <row r="20986" spans="7:14" x14ac:dyDescent="0.3">
      <c r="G20986" s="1"/>
      <c r="N20986" s="1"/>
    </row>
    <row r="20987" spans="7:14" x14ac:dyDescent="0.3">
      <c r="G20987" s="1"/>
      <c r="N20987" s="1"/>
    </row>
    <row r="20988" spans="7:14" x14ac:dyDescent="0.3">
      <c r="G20988" s="1"/>
      <c r="N20988" s="1"/>
    </row>
    <row r="20989" spans="7:14" x14ac:dyDescent="0.3">
      <c r="G20989" s="1"/>
      <c r="N20989" s="1"/>
    </row>
    <row r="20990" spans="7:14" x14ac:dyDescent="0.3">
      <c r="G20990" s="1"/>
      <c r="N20990" s="1"/>
    </row>
    <row r="20991" spans="7:14" x14ac:dyDescent="0.3">
      <c r="G20991" s="1"/>
      <c r="N20991" s="1"/>
    </row>
    <row r="20992" spans="7:14" x14ac:dyDescent="0.3">
      <c r="G20992" s="1"/>
      <c r="N20992" s="1"/>
    </row>
    <row r="20993" spans="7:14" x14ac:dyDescent="0.3">
      <c r="G20993" s="1"/>
      <c r="N20993" s="1"/>
    </row>
    <row r="20994" spans="7:14" x14ac:dyDescent="0.3">
      <c r="G20994" s="1"/>
      <c r="N20994" s="1"/>
    </row>
    <row r="20995" spans="7:14" x14ac:dyDescent="0.3">
      <c r="G20995" s="1"/>
      <c r="N20995" s="1"/>
    </row>
    <row r="20996" spans="7:14" x14ac:dyDescent="0.3">
      <c r="G20996" s="1"/>
      <c r="N20996" s="1"/>
    </row>
    <row r="20997" spans="7:14" x14ac:dyDescent="0.3">
      <c r="G20997" s="1"/>
      <c r="N20997" s="1"/>
    </row>
    <row r="20998" spans="7:14" x14ac:dyDescent="0.3">
      <c r="G20998" s="1"/>
      <c r="N20998" s="1"/>
    </row>
    <row r="20999" spans="7:14" x14ac:dyDescent="0.3">
      <c r="G20999" s="1"/>
      <c r="N20999" s="1"/>
    </row>
    <row r="21000" spans="7:14" x14ac:dyDescent="0.3">
      <c r="G21000" s="1"/>
      <c r="N21000" s="1"/>
    </row>
    <row r="21001" spans="7:14" x14ac:dyDescent="0.3">
      <c r="G21001" s="1"/>
      <c r="N21001" s="1"/>
    </row>
    <row r="21002" spans="7:14" x14ac:dyDescent="0.3">
      <c r="G21002" s="1"/>
      <c r="N21002" s="1"/>
    </row>
    <row r="21003" spans="7:14" x14ac:dyDescent="0.3">
      <c r="G21003" s="1"/>
      <c r="N21003" s="1"/>
    </row>
    <row r="21004" spans="7:14" x14ac:dyDescent="0.3">
      <c r="G21004" s="1"/>
      <c r="N21004" s="1"/>
    </row>
    <row r="21005" spans="7:14" x14ac:dyDescent="0.3">
      <c r="G21005" s="1"/>
      <c r="N21005" s="1"/>
    </row>
    <row r="21006" spans="7:14" x14ac:dyDescent="0.3">
      <c r="G21006" s="1"/>
      <c r="N21006" s="1"/>
    </row>
    <row r="21007" spans="7:14" x14ac:dyDescent="0.3">
      <c r="G21007" s="1"/>
      <c r="N21007" s="1"/>
    </row>
    <row r="21008" spans="7:14" x14ac:dyDescent="0.3">
      <c r="G21008" s="1"/>
      <c r="N21008" s="1"/>
    </row>
    <row r="21009" spans="7:14" x14ac:dyDescent="0.3">
      <c r="G21009" s="1"/>
      <c r="N21009" s="1"/>
    </row>
    <row r="21010" spans="7:14" x14ac:dyDescent="0.3">
      <c r="G21010" s="1"/>
      <c r="N21010" s="1"/>
    </row>
    <row r="21011" spans="7:14" x14ac:dyDescent="0.3">
      <c r="G21011" s="1"/>
      <c r="N21011" s="1"/>
    </row>
    <row r="21012" spans="7:14" x14ac:dyDescent="0.3">
      <c r="G21012" s="1"/>
      <c r="N21012" s="1"/>
    </row>
    <row r="21013" spans="7:14" x14ac:dyDescent="0.3">
      <c r="G21013" s="1"/>
      <c r="N21013" s="1"/>
    </row>
    <row r="21014" spans="7:14" x14ac:dyDescent="0.3">
      <c r="G21014" s="1"/>
      <c r="N21014" s="1"/>
    </row>
    <row r="21015" spans="7:14" x14ac:dyDescent="0.3">
      <c r="G21015" s="1"/>
      <c r="N21015" s="1"/>
    </row>
    <row r="21016" spans="7:14" x14ac:dyDescent="0.3">
      <c r="G21016" s="1"/>
      <c r="N21016" s="1"/>
    </row>
    <row r="21017" spans="7:14" x14ac:dyDescent="0.3">
      <c r="G21017" s="1"/>
      <c r="N21017" s="1"/>
    </row>
    <row r="21018" spans="7:14" x14ac:dyDescent="0.3">
      <c r="G21018" s="1"/>
      <c r="N21018" s="1"/>
    </row>
    <row r="21019" spans="7:14" x14ac:dyDescent="0.3">
      <c r="G21019" s="1"/>
      <c r="N21019" s="1"/>
    </row>
    <row r="21020" spans="7:14" x14ac:dyDescent="0.3">
      <c r="G21020" s="1"/>
      <c r="N21020" s="1"/>
    </row>
    <row r="21021" spans="7:14" x14ac:dyDescent="0.3">
      <c r="G21021" s="1"/>
      <c r="N21021" s="1"/>
    </row>
    <row r="21022" spans="7:14" x14ac:dyDescent="0.3">
      <c r="G21022" s="1"/>
      <c r="N21022" s="1"/>
    </row>
    <row r="21023" spans="7:14" x14ac:dyDescent="0.3">
      <c r="G21023" s="1"/>
      <c r="N21023" s="1"/>
    </row>
    <row r="21024" spans="7:14" x14ac:dyDescent="0.3">
      <c r="G21024" s="1"/>
      <c r="N21024" s="1"/>
    </row>
    <row r="21025" spans="7:14" x14ac:dyDescent="0.3">
      <c r="G21025" s="1"/>
      <c r="N21025" s="1"/>
    </row>
    <row r="21026" spans="7:14" x14ac:dyDescent="0.3">
      <c r="G21026" s="1"/>
      <c r="N21026" s="1"/>
    </row>
    <row r="21027" spans="7:14" x14ac:dyDescent="0.3">
      <c r="G21027" s="1"/>
      <c r="N21027" s="1"/>
    </row>
    <row r="21028" spans="7:14" x14ac:dyDescent="0.3">
      <c r="G21028" s="1"/>
      <c r="N21028" s="1"/>
    </row>
    <row r="21029" spans="7:14" x14ac:dyDescent="0.3">
      <c r="G21029" s="1"/>
      <c r="N21029" s="1"/>
    </row>
    <row r="21030" spans="7:14" x14ac:dyDescent="0.3">
      <c r="G21030" s="1"/>
      <c r="N21030" s="1"/>
    </row>
    <row r="21031" spans="7:14" x14ac:dyDescent="0.3">
      <c r="G21031" s="1"/>
      <c r="N21031" s="1"/>
    </row>
    <row r="21032" spans="7:14" x14ac:dyDescent="0.3">
      <c r="G21032" s="1"/>
      <c r="N21032" s="1"/>
    </row>
    <row r="21033" spans="7:14" x14ac:dyDescent="0.3">
      <c r="G21033" s="1"/>
      <c r="N21033" s="1"/>
    </row>
    <row r="21034" spans="7:14" x14ac:dyDescent="0.3">
      <c r="G21034" s="1"/>
      <c r="N21034" s="1"/>
    </row>
    <row r="21035" spans="7:14" x14ac:dyDescent="0.3">
      <c r="G21035" s="1"/>
      <c r="N21035" s="1"/>
    </row>
    <row r="21036" spans="7:14" x14ac:dyDescent="0.3">
      <c r="G21036" s="1"/>
      <c r="N21036" s="1"/>
    </row>
    <row r="21037" spans="7:14" x14ac:dyDescent="0.3">
      <c r="G21037" s="1"/>
      <c r="N21037" s="1"/>
    </row>
    <row r="21038" spans="7:14" x14ac:dyDescent="0.3">
      <c r="G21038" s="1"/>
      <c r="N21038" s="1"/>
    </row>
    <row r="21039" spans="7:14" x14ac:dyDescent="0.3">
      <c r="G21039" s="1"/>
      <c r="N21039" s="1"/>
    </row>
    <row r="21040" spans="7:14" x14ac:dyDescent="0.3">
      <c r="G21040" s="1"/>
      <c r="N21040" s="1"/>
    </row>
    <row r="21041" spans="7:14" x14ac:dyDescent="0.3">
      <c r="G21041" s="1"/>
      <c r="N21041" s="1"/>
    </row>
    <row r="21042" spans="7:14" x14ac:dyDescent="0.3">
      <c r="G21042" s="1"/>
      <c r="N21042" s="1"/>
    </row>
    <row r="21043" spans="7:14" x14ac:dyDescent="0.3">
      <c r="G21043" s="1"/>
      <c r="N21043" s="1"/>
    </row>
    <row r="21044" spans="7:14" x14ac:dyDescent="0.3">
      <c r="G21044" s="1"/>
      <c r="N21044" s="1"/>
    </row>
    <row r="21045" spans="7:14" x14ac:dyDescent="0.3">
      <c r="G21045" s="1"/>
      <c r="N21045" s="1"/>
    </row>
    <row r="21046" spans="7:14" x14ac:dyDescent="0.3">
      <c r="G21046" s="1"/>
      <c r="N21046" s="1"/>
    </row>
    <row r="21047" spans="7:14" x14ac:dyDescent="0.3">
      <c r="G21047" s="1"/>
      <c r="N21047" s="1"/>
    </row>
    <row r="21048" spans="7:14" x14ac:dyDescent="0.3">
      <c r="G21048" s="1"/>
      <c r="N21048" s="1"/>
    </row>
    <row r="21049" spans="7:14" x14ac:dyDescent="0.3">
      <c r="G21049" s="1"/>
      <c r="N21049" s="1"/>
    </row>
    <row r="21050" spans="7:14" x14ac:dyDescent="0.3">
      <c r="G21050" s="1"/>
      <c r="N21050" s="1"/>
    </row>
    <row r="21051" spans="7:14" x14ac:dyDescent="0.3">
      <c r="G21051" s="1"/>
      <c r="N21051" s="1"/>
    </row>
    <row r="21052" spans="7:14" x14ac:dyDescent="0.3">
      <c r="G21052" s="1"/>
      <c r="N21052" s="1"/>
    </row>
    <row r="21053" spans="7:14" x14ac:dyDescent="0.3">
      <c r="G21053" s="1"/>
      <c r="N21053" s="1"/>
    </row>
    <row r="21054" spans="7:14" x14ac:dyDescent="0.3">
      <c r="G21054" s="1"/>
      <c r="N21054" s="1"/>
    </row>
    <row r="21055" spans="7:14" x14ac:dyDescent="0.3">
      <c r="G21055" s="1"/>
      <c r="N21055" s="1"/>
    </row>
    <row r="21056" spans="7:14" x14ac:dyDescent="0.3">
      <c r="G21056" s="1"/>
      <c r="N21056" s="1"/>
    </row>
    <row r="21057" spans="7:14" x14ac:dyDescent="0.3">
      <c r="G21057" s="1"/>
      <c r="N21057" s="1"/>
    </row>
    <row r="21058" spans="7:14" x14ac:dyDescent="0.3">
      <c r="G21058" s="1"/>
      <c r="N21058" s="1"/>
    </row>
    <row r="21059" spans="7:14" x14ac:dyDescent="0.3">
      <c r="G21059" s="1"/>
      <c r="N21059" s="1"/>
    </row>
    <row r="21060" spans="7:14" x14ac:dyDescent="0.3">
      <c r="G21060" s="1"/>
      <c r="N21060" s="1"/>
    </row>
    <row r="21061" spans="7:14" x14ac:dyDescent="0.3">
      <c r="G21061" s="1"/>
      <c r="N21061" s="1"/>
    </row>
    <row r="21062" spans="7:14" x14ac:dyDescent="0.3">
      <c r="G21062" s="1"/>
      <c r="N21062" s="1"/>
    </row>
    <row r="21063" spans="7:14" x14ac:dyDescent="0.3">
      <c r="G21063" s="1"/>
      <c r="N21063" s="1"/>
    </row>
    <row r="21064" spans="7:14" x14ac:dyDescent="0.3">
      <c r="G21064" s="1"/>
      <c r="N21064" s="1"/>
    </row>
    <row r="21065" spans="7:14" x14ac:dyDescent="0.3">
      <c r="G21065" s="1"/>
      <c r="N21065" s="1"/>
    </row>
    <row r="21066" spans="7:14" x14ac:dyDescent="0.3">
      <c r="G21066" s="1"/>
      <c r="N21066" s="1"/>
    </row>
    <row r="21067" spans="7:14" x14ac:dyDescent="0.3">
      <c r="G21067" s="1"/>
      <c r="N21067" s="1"/>
    </row>
    <row r="21068" spans="7:14" x14ac:dyDescent="0.3">
      <c r="G21068" s="1"/>
      <c r="N21068" s="1"/>
    </row>
    <row r="21069" spans="7:14" x14ac:dyDescent="0.3">
      <c r="G21069" s="1"/>
      <c r="N21069" s="1"/>
    </row>
    <row r="21070" spans="7:14" x14ac:dyDescent="0.3">
      <c r="G21070" s="1"/>
      <c r="N21070" s="1"/>
    </row>
    <row r="21071" spans="7:14" x14ac:dyDescent="0.3">
      <c r="G21071" s="1"/>
      <c r="N21071" s="1"/>
    </row>
    <row r="21072" spans="7:14" x14ac:dyDescent="0.3">
      <c r="G21072" s="1"/>
      <c r="N21072" s="1"/>
    </row>
    <row r="21073" spans="7:14" x14ac:dyDescent="0.3">
      <c r="G21073" s="1"/>
      <c r="N21073" s="1"/>
    </row>
    <row r="21074" spans="7:14" x14ac:dyDescent="0.3">
      <c r="G21074" s="1"/>
      <c r="N21074" s="1"/>
    </row>
    <row r="21075" spans="7:14" x14ac:dyDescent="0.3">
      <c r="G21075" s="1"/>
      <c r="N21075" s="1"/>
    </row>
    <row r="21076" spans="7:14" x14ac:dyDescent="0.3">
      <c r="G21076" s="1"/>
      <c r="N21076" s="1"/>
    </row>
    <row r="21077" spans="7:14" x14ac:dyDescent="0.3">
      <c r="G21077" s="1"/>
      <c r="N21077" s="1"/>
    </row>
    <row r="21078" spans="7:14" x14ac:dyDescent="0.3">
      <c r="G21078" s="1"/>
      <c r="N21078" s="1"/>
    </row>
    <row r="21079" spans="7:14" x14ac:dyDescent="0.3">
      <c r="G21079" s="1"/>
      <c r="N21079" s="1"/>
    </row>
    <row r="21080" spans="7:14" x14ac:dyDescent="0.3">
      <c r="G21080" s="1"/>
      <c r="N21080" s="1"/>
    </row>
    <row r="21081" spans="7:14" x14ac:dyDescent="0.3">
      <c r="G21081" s="1"/>
      <c r="N21081" s="1"/>
    </row>
    <row r="21082" spans="7:14" x14ac:dyDescent="0.3">
      <c r="G21082" s="1"/>
      <c r="N21082" s="1"/>
    </row>
    <row r="21083" spans="7:14" x14ac:dyDescent="0.3">
      <c r="G21083" s="1"/>
      <c r="N21083" s="1"/>
    </row>
    <row r="21084" spans="7:14" x14ac:dyDescent="0.3">
      <c r="G21084" s="1"/>
      <c r="N21084" s="1"/>
    </row>
    <row r="21085" spans="7:14" x14ac:dyDescent="0.3">
      <c r="G21085" s="1"/>
      <c r="N21085" s="1"/>
    </row>
    <row r="21086" spans="7:14" x14ac:dyDescent="0.3">
      <c r="G21086" s="1"/>
      <c r="N21086" s="1"/>
    </row>
    <row r="21087" spans="7:14" x14ac:dyDescent="0.3">
      <c r="G21087" s="1"/>
      <c r="N21087" s="1"/>
    </row>
    <row r="21088" spans="7:14" x14ac:dyDescent="0.3">
      <c r="G21088" s="1"/>
      <c r="N21088" s="1"/>
    </row>
    <row r="21089" spans="7:14" x14ac:dyDescent="0.3">
      <c r="G21089" s="1"/>
      <c r="N21089" s="1"/>
    </row>
    <row r="21090" spans="7:14" x14ac:dyDescent="0.3">
      <c r="G21090" s="1"/>
      <c r="N21090" s="1"/>
    </row>
    <row r="21091" spans="7:14" x14ac:dyDescent="0.3">
      <c r="G21091" s="1"/>
      <c r="N21091" s="1"/>
    </row>
    <row r="21092" spans="7:14" x14ac:dyDescent="0.3">
      <c r="G21092" s="1"/>
      <c r="N21092" s="1"/>
    </row>
    <row r="21093" spans="7:14" x14ac:dyDescent="0.3">
      <c r="G21093" s="1"/>
      <c r="N21093" s="1"/>
    </row>
    <row r="21094" spans="7:14" x14ac:dyDescent="0.3">
      <c r="G21094" s="1"/>
      <c r="N21094" s="1"/>
    </row>
    <row r="21095" spans="7:14" x14ac:dyDescent="0.3">
      <c r="G21095" s="1"/>
      <c r="N21095" s="1"/>
    </row>
    <row r="21096" spans="7:14" x14ac:dyDescent="0.3">
      <c r="G21096" s="1"/>
      <c r="N21096" s="1"/>
    </row>
    <row r="21097" spans="7:14" x14ac:dyDescent="0.3">
      <c r="G21097" s="1"/>
      <c r="N21097" s="1"/>
    </row>
    <row r="21098" spans="7:14" x14ac:dyDescent="0.3">
      <c r="G21098" s="1"/>
      <c r="N21098" s="1"/>
    </row>
    <row r="21099" spans="7:14" x14ac:dyDescent="0.3">
      <c r="G21099" s="1"/>
      <c r="N21099" s="1"/>
    </row>
    <row r="21100" spans="7:14" x14ac:dyDescent="0.3">
      <c r="G21100" s="1"/>
      <c r="N21100" s="1"/>
    </row>
    <row r="21101" spans="7:14" x14ac:dyDescent="0.3">
      <c r="G21101" s="1"/>
      <c r="N21101" s="1"/>
    </row>
    <row r="21102" spans="7:14" x14ac:dyDescent="0.3">
      <c r="G21102" s="1"/>
      <c r="N21102" s="1"/>
    </row>
    <row r="21103" spans="7:14" x14ac:dyDescent="0.3">
      <c r="G21103" s="1"/>
      <c r="N21103" s="1"/>
    </row>
    <row r="21104" spans="7:14" x14ac:dyDescent="0.3">
      <c r="G21104" s="1"/>
      <c r="N21104" s="1"/>
    </row>
    <row r="21105" spans="7:14" x14ac:dyDescent="0.3">
      <c r="G21105" s="1"/>
      <c r="N21105" s="1"/>
    </row>
    <row r="21106" spans="7:14" x14ac:dyDescent="0.3">
      <c r="G21106" s="1"/>
      <c r="N21106" s="1"/>
    </row>
    <row r="21107" spans="7:14" x14ac:dyDescent="0.3">
      <c r="G21107" s="1"/>
      <c r="N21107" s="1"/>
    </row>
    <row r="21108" spans="7:14" x14ac:dyDescent="0.3">
      <c r="G21108" s="1"/>
      <c r="N21108" s="1"/>
    </row>
    <row r="21109" spans="7:14" x14ac:dyDescent="0.3">
      <c r="G21109" s="1"/>
      <c r="N21109" s="1"/>
    </row>
    <row r="21110" spans="7:14" x14ac:dyDescent="0.3">
      <c r="G21110" s="1"/>
      <c r="N21110" s="1"/>
    </row>
    <row r="21111" spans="7:14" x14ac:dyDescent="0.3">
      <c r="G21111" s="1"/>
      <c r="N21111" s="1"/>
    </row>
    <row r="21112" spans="7:14" x14ac:dyDescent="0.3">
      <c r="G21112" s="1"/>
      <c r="N21112" s="1"/>
    </row>
    <row r="21113" spans="7:14" x14ac:dyDescent="0.3">
      <c r="G21113" s="1"/>
      <c r="N21113" s="1"/>
    </row>
    <row r="21114" spans="7:14" x14ac:dyDescent="0.3">
      <c r="G21114" s="1"/>
      <c r="N21114" s="1"/>
    </row>
    <row r="21115" spans="7:14" x14ac:dyDescent="0.3">
      <c r="G21115" s="1"/>
      <c r="N21115" s="1"/>
    </row>
    <row r="21116" spans="7:14" x14ac:dyDescent="0.3">
      <c r="G21116" s="1"/>
      <c r="N21116" s="1"/>
    </row>
    <row r="21117" spans="7:14" x14ac:dyDescent="0.3">
      <c r="G21117" s="1"/>
      <c r="N21117" s="1"/>
    </row>
    <row r="21118" spans="7:14" x14ac:dyDescent="0.3">
      <c r="G21118" s="1"/>
      <c r="N21118" s="1"/>
    </row>
    <row r="21119" spans="7:14" x14ac:dyDescent="0.3">
      <c r="G21119" s="1"/>
      <c r="N21119" s="1"/>
    </row>
    <row r="21120" spans="7:14" x14ac:dyDescent="0.3">
      <c r="G21120" s="1"/>
      <c r="N21120" s="1"/>
    </row>
    <row r="21121" spans="7:14" x14ac:dyDescent="0.3">
      <c r="G21121" s="1"/>
      <c r="N21121" s="1"/>
    </row>
    <row r="21122" spans="7:14" x14ac:dyDescent="0.3">
      <c r="G21122" s="1"/>
      <c r="N21122" s="1"/>
    </row>
    <row r="21123" spans="7:14" x14ac:dyDescent="0.3">
      <c r="G21123" s="1"/>
      <c r="N21123" s="1"/>
    </row>
    <row r="21124" spans="7:14" x14ac:dyDescent="0.3">
      <c r="G21124" s="1"/>
      <c r="N21124" s="1"/>
    </row>
    <row r="21125" spans="7:14" x14ac:dyDescent="0.3">
      <c r="G21125" s="1"/>
      <c r="N21125" s="1"/>
    </row>
    <row r="21126" spans="7:14" x14ac:dyDescent="0.3">
      <c r="G21126" s="1"/>
      <c r="N21126" s="1"/>
    </row>
    <row r="21127" spans="7:14" x14ac:dyDescent="0.3">
      <c r="G21127" s="1"/>
      <c r="N21127" s="1"/>
    </row>
    <row r="21128" spans="7:14" x14ac:dyDescent="0.3">
      <c r="G21128" s="1"/>
      <c r="N21128" s="1"/>
    </row>
    <row r="21129" spans="7:14" x14ac:dyDescent="0.3">
      <c r="G21129" s="1"/>
      <c r="N21129" s="1"/>
    </row>
    <row r="21130" spans="7:14" x14ac:dyDescent="0.3">
      <c r="G21130" s="1"/>
      <c r="N21130" s="1"/>
    </row>
    <row r="21131" spans="7:14" x14ac:dyDescent="0.3">
      <c r="G21131" s="1"/>
      <c r="N21131" s="1"/>
    </row>
    <row r="21132" spans="7:14" x14ac:dyDescent="0.3">
      <c r="G21132" s="1"/>
      <c r="N21132" s="1"/>
    </row>
    <row r="21133" spans="7:14" x14ac:dyDescent="0.3">
      <c r="G21133" s="1"/>
      <c r="N21133" s="1"/>
    </row>
    <row r="21134" spans="7:14" x14ac:dyDescent="0.3">
      <c r="G21134" s="1"/>
      <c r="N21134" s="1"/>
    </row>
    <row r="21135" spans="7:14" x14ac:dyDescent="0.3">
      <c r="G21135" s="1"/>
      <c r="N21135" s="1"/>
    </row>
    <row r="21136" spans="7:14" x14ac:dyDescent="0.3">
      <c r="G21136" s="1"/>
      <c r="N21136" s="1"/>
    </row>
    <row r="21137" spans="7:14" x14ac:dyDescent="0.3">
      <c r="G21137" s="1"/>
      <c r="N21137" s="1"/>
    </row>
    <row r="21138" spans="7:14" x14ac:dyDescent="0.3">
      <c r="G21138" s="1"/>
      <c r="N21138" s="1"/>
    </row>
    <row r="21139" spans="7:14" x14ac:dyDescent="0.3">
      <c r="G21139" s="1"/>
      <c r="N21139" s="1"/>
    </row>
    <row r="21140" spans="7:14" x14ac:dyDescent="0.3">
      <c r="G21140" s="1"/>
      <c r="N21140" s="1"/>
    </row>
    <row r="21141" spans="7:14" x14ac:dyDescent="0.3">
      <c r="G21141" s="1"/>
      <c r="N21141" s="1"/>
    </row>
    <row r="21142" spans="7:14" x14ac:dyDescent="0.3">
      <c r="G21142" s="1"/>
      <c r="N21142" s="1"/>
    </row>
    <row r="21143" spans="7:14" x14ac:dyDescent="0.3">
      <c r="G21143" s="1"/>
      <c r="N21143" s="1"/>
    </row>
    <row r="21144" spans="7:14" x14ac:dyDescent="0.3">
      <c r="G21144" s="1"/>
      <c r="N21144" s="1"/>
    </row>
    <row r="21145" spans="7:14" x14ac:dyDescent="0.3">
      <c r="G21145" s="1"/>
      <c r="N21145" s="1"/>
    </row>
    <row r="21146" spans="7:14" x14ac:dyDescent="0.3">
      <c r="G21146" s="1"/>
      <c r="N21146" s="1"/>
    </row>
    <row r="21147" spans="7:14" x14ac:dyDescent="0.3">
      <c r="G21147" s="1"/>
      <c r="N21147" s="1"/>
    </row>
    <row r="21148" spans="7:14" x14ac:dyDescent="0.3">
      <c r="G21148" s="1"/>
      <c r="N21148" s="1"/>
    </row>
    <row r="21149" spans="7:14" x14ac:dyDescent="0.3">
      <c r="G21149" s="1"/>
      <c r="N21149" s="1"/>
    </row>
    <row r="21150" spans="7:14" x14ac:dyDescent="0.3">
      <c r="G21150" s="1"/>
      <c r="N21150" s="1"/>
    </row>
    <row r="21151" spans="7:14" x14ac:dyDescent="0.3">
      <c r="G21151" s="1"/>
      <c r="N21151" s="1"/>
    </row>
    <row r="21152" spans="7:14" x14ac:dyDescent="0.3">
      <c r="G21152" s="1"/>
      <c r="N21152" s="1"/>
    </row>
    <row r="21153" spans="7:14" x14ac:dyDescent="0.3">
      <c r="G21153" s="1"/>
      <c r="N21153" s="1"/>
    </row>
    <row r="21154" spans="7:14" x14ac:dyDescent="0.3">
      <c r="G21154" s="1"/>
      <c r="N21154" s="1"/>
    </row>
    <row r="21155" spans="7:14" x14ac:dyDescent="0.3">
      <c r="G21155" s="1"/>
      <c r="N21155" s="1"/>
    </row>
    <row r="21156" spans="7:14" x14ac:dyDescent="0.3">
      <c r="G21156" s="1"/>
      <c r="N21156" s="1"/>
    </row>
    <row r="21157" spans="7:14" x14ac:dyDescent="0.3">
      <c r="G21157" s="1"/>
      <c r="N21157" s="1"/>
    </row>
    <row r="21158" spans="7:14" x14ac:dyDescent="0.3">
      <c r="G21158" s="1"/>
      <c r="N21158" s="1"/>
    </row>
    <row r="21159" spans="7:14" x14ac:dyDescent="0.3">
      <c r="G21159" s="1"/>
      <c r="N21159" s="1"/>
    </row>
    <row r="21160" spans="7:14" x14ac:dyDescent="0.3">
      <c r="G21160" s="1"/>
      <c r="N21160" s="1"/>
    </row>
    <row r="21161" spans="7:14" x14ac:dyDescent="0.3">
      <c r="G21161" s="1"/>
      <c r="N21161" s="1"/>
    </row>
    <row r="21162" spans="7:14" x14ac:dyDescent="0.3">
      <c r="G21162" s="1"/>
      <c r="N21162" s="1"/>
    </row>
    <row r="21163" spans="7:14" x14ac:dyDescent="0.3">
      <c r="G21163" s="1"/>
      <c r="N21163" s="1"/>
    </row>
    <row r="21164" spans="7:14" x14ac:dyDescent="0.3">
      <c r="G21164" s="1"/>
      <c r="N21164" s="1"/>
    </row>
    <row r="21165" spans="7:14" x14ac:dyDescent="0.3">
      <c r="G21165" s="1"/>
      <c r="N21165" s="1"/>
    </row>
    <row r="21166" spans="7:14" x14ac:dyDescent="0.3">
      <c r="G21166" s="1"/>
      <c r="N21166" s="1"/>
    </row>
    <row r="21167" spans="7:14" x14ac:dyDescent="0.3">
      <c r="G21167" s="1"/>
      <c r="N21167" s="1"/>
    </row>
    <row r="21168" spans="7:14" x14ac:dyDescent="0.3">
      <c r="G21168" s="1"/>
      <c r="N21168" s="1"/>
    </row>
    <row r="21169" spans="7:14" x14ac:dyDescent="0.3">
      <c r="G21169" s="1"/>
      <c r="N21169" s="1"/>
    </row>
    <row r="21170" spans="7:14" x14ac:dyDescent="0.3">
      <c r="G21170" s="1"/>
      <c r="N21170" s="1"/>
    </row>
    <row r="21171" spans="7:14" x14ac:dyDescent="0.3">
      <c r="G21171" s="1"/>
      <c r="N21171" s="1"/>
    </row>
    <row r="21172" spans="7:14" x14ac:dyDescent="0.3">
      <c r="G21172" s="1"/>
      <c r="N21172" s="1"/>
    </row>
    <row r="21173" spans="7:14" x14ac:dyDescent="0.3">
      <c r="G21173" s="1"/>
      <c r="N21173" s="1"/>
    </row>
    <row r="21174" spans="7:14" x14ac:dyDescent="0.3">
      <c r="G21174" s="1"/>
      <c r="N21174" s="1"/>
    </row>
    <row r="21175" spans="7:14" x14ac:dyDescent="0.3">
      <c r="G21175" s="1"/>
      <c r="N21175" s="1"/>
    </row>
    <row r="21176" spans="7:14" x14ac:dyDescent="0.3">
      <c r="G21176" s="1"/>
      <c r="N21176" s="1"/>
    </row>
    <row r="21177" spans="7:14" x14ac:dyDescent="0.3">
      <c r="G21177" s="1"/>
      <c r="N21177" s="1"/>
    </row>
    <row r="21178" spans="7:14" x14ac:dyDescent="0.3">
      <c r="G21178" s="1"/>
      <c r="N21178" s="1"/>
    </row>
    <row r="21179" spans="7:14" x14ac:dyDescent="0.3">
      <c r="G21179" s="1"/>
      <c r="N21179" s="1"/>
    </row>
    <row r="21180" spans="7:14" x14ac:dyDescent="0.3">
      <c r="G21180" s="1"/>
      <c r="N21180" s="1"/>
    </row>
    <row r="21181" spans="7:14" x14ac:dyDescent="0.3">
      <c r="G21181" s="1"/>
      <c r="N21181" s="1"/>
    </row>
    <row r="21182" spans="7:14" x14ac:dyDescent="0.3">
      <c r="G21182" s="1"/>
      <c r="N21182" s="1"/>
    </row>
    <row r="21183" spans="7:14" x14ac:dyDescent="0.3">
      <c r="G21183" s="1"/>
      <c r="N21183" s="1"/>
    </row>
    <row r="21184" spans="7:14" x14ac:dyDescent="0.3">
      <c r="G21184" s="1"/>
      <c r="N21184" s="1"/>
    </row>
    <row r="21185" spans="7:14" x14ac:dyDescent="0.3">
      <c r="G21185" s="1"/>
      <c r="N21185" s="1"/>
    </row>
    <row r="21186" spans="7:14" x14ac:dyDescent="0.3">
      <c r="G21186" s="1"/>
      <c r="N21186" s="1"/>
    </row>
    <row r="21187" spans="7:14" x14ac:dyDescent="0.3">
      <c r="G21187" s="1"/>
      <c r="N21187" s="1"/>
    </row>
    <row r="21188" spans="7:14" x14ac:dyDescent="0.3">
      <c r="G21188" s="1"/>
      <c r="N21188" s="1"/>
    </row>
    <row r="21189" spans="7:14" x14ac:dyDescent="0.3">
      <c r="G21189" s="1"/>
      <c r="N21189" s="1"/>
    </row>
    <row r="21190" spans="7:14" x14ac:dyDescent="0.3">
      <c r="G21190" s="1"/>
      <c r="N21190" s="1"/>
    </row>
    <row r="21191" spans="7:14" x14ac:dyDescent="0.3">
      <c r="G21191" s="1"/>
      <c r="N21191" s="1"/>
    </row>
    <row r="21192" spans="7:14" x14ac:dyDescent="0.3">
      <c r="G21192" s="1"/>
      <c r="N21192" s="1"/>
    </row>
    <row r="21193" spans="7:14" x14ac:dyDescent="0.3">
      <c r="G21193" s="1"/>
      <c r="N21193" s="1"/>
    </row>
    <row r="21194" spans="7:14" x14ac:dyDescent="0.3">
      <c r="G21194" s="1"/>
      <c r="N21194" s="1"/>
    </row>
    <row r="21195" spans="7:14" x14ac:dyDescent="0.3">
      <c r="G21195" s="1"/>
      <c r="N21195" s="1"/>
    </row>
    <row r="21196" spans="7:14" x14ac:dyDescent="0.3">
      <c r="G21196" s="1"/>
      <c r="N21196" s="1"/>
    </row>
    <row r="21197" spans="7:14" x14ac:dyDescent="0.3">
      <c r="G21197" s="1"/>
      <c r="N21197" s="1"/>
    </row>
    <row r="21198" spans="7:14" x14ac:dyDescent="0.3">
      <c r="G21198" s="1"/>
      <c r="N21198" s="1"/>
    </row>
    <row r="21199" spans="7:14" x14ac:dyDescent="0.3">
      <c r="G21199" s="1"/>
      <c r="N21199" s="1"/>
    </row>
    <row r="21200" spans="7:14" x14ac:dyDescent="0.3">
      <c r="G21200" s="1"/>
      <c r="N21200" s="1"/>
    </row>
    <row r="21201" spans="7:14" x14ac:dyDescent="0.3">
      <c r="G21201" s="1"/>
      <c r="N21201" s="1"/>
    </row>
    <row r="21202" spans="7:14" x14ac:dyDescent="0.3">
      <c r="G21202" s="1"/>
      <c r="N21202" s="1"/>
    </row>
    <row r="21203" spans="7:14" x14ac:dyDescent="0.3">
      <c r="G21203" s="1"/>
      <c r="N21203" s="1"/>
    </row>
    <row r="21204" spans="7:14" x14ac:dyDescent="0.3">
      <c r="G21204" s="1"/>
      <c r="N21204" s="1"/>
    </row>
    <row r="21205" spans="7:14" x14ac:dyDescent="0.3">
      <c r="G21205" s="1"/>
      <c r="N21205" s="1"/>
    </row>
    <row r="21206" spans="7:14" x14ac:dyDescent="0.3">
      <c r="G21206" s="1"/>
      <c r="N21206" s="1"/>
    </row>
    <row r="21207" spans="7:14" x14ac:dyDescent="0.3">
      <c r="G21207" s="1"/>
      <c r="N21207" s="1"/>
    </row>
    <row r="21208" spans="7:14" x14ac:dyDescent="0.3">
      <c r="G21208" s="1"/>
      <c r="N21208" s="1"/>
    </row>
    <row r="21209" spans="7:14" x14ac:dyDescent="0.3">
      <c r="G21209" s="1"/>
      <c r="N21209" s="1"/>
    </row>
    <row r="21210" spans="7:14" x14ac:dyDescent="0.3">
      <c r="G21210" s="1"/>
      <c r="N21210" s="1"/>
    </row>
    <row r="21211" spans="7:14" x14ac:dyDescent="0.3">
      <c r="G21211" s="1"/>
      <c r="N21211" s="1"/>
    </row>
    <row r="21212" spans="7:14" x14ac:dyDescent="0.3">
      <c r="G21212" s="1"/>
      <c r="N21212" s="1"/>
    </row>
    <row r="21213" spans="7:14" x14ac:dyDescent="0.3">
      <c r="G21213" s="1"/>
      <c r="N21213" s="1"/>
    </row>
    <row r="21214" spans="7:14" x14ac:dyDescent="0.3">
      <c r="G21214" s="1"/>
      <c r="N21214" s="1"/>
    </row>
    <row r="21215" spans="7:14" x14ac:dyDescent="0.3">
      <c r="G21215" s="1"/>
      <c r="N21215" s="1"/>
    </row>
    <row r="21216" spans="7:14" x14ac:dyDescent="0.3">
      <c r="G21216" s="1"/>
      <c r="N21216" s="1"/>
    </row>
    <row r="21217" spans="7:14" x14ac:dyDescent="0.3">
      <c r="G21217" s="1"/>
      <c r="N21217" s="1"/>
    </row>
    <row r="21218" spans="7:14" x14ac:dyDescent="0.3">
      <c r="G21218" s="1"/>
      <c r="N21218" s="1"/>
    </row>
    <row r="21219" spans="7:14" x14ac:dyDescent="0.3">
      <c r="G21219" s="1"/>
      <c r="N21219" s="1"/>
    </row>
    <row r="21220" spans="7:14" x14ac:dyDescent="0.3">
      <c r="G21220" s="1"/>
      <c r="N21220" s="1"/>
    </row>
    <row r="21221" spans="7:14" x14ac:dyDescent="0.3">
      <c r="G21221" s="1"/>
      <c r="N21221" s="1"/>
    </row>
    <row r="21222" spans="7:14" x14ac:dyDescent="0.3">
      <c r="G21222" s="1"/>
      <c r="N21222" s="1"/>
    </row>
    <row r="21223" spans="7:14" x14ac:dyDescent="0.3">
      <c r="G21223" s="1"/>
      <c r="N21223" s="1"/>
    </row>
    <row r="21224" spans="7:14" x14ac:dyDescent="0.3">
      <c r="G21224" s="1"/>
      <c r="N21224" s="1"/>
    </row>
    <row r="21225" spans="7:14" x14ac:dyDescent="0.3">
      <c r="G21225" s="1"/>
      <c r="N21225" s="1"/>
    </row>
    <row r="21226" spans="7:14" x14ac:dyDescent="0.3">
      <c r="G21226" s="1"/>
      <c r="N21226" s="1"/>
    </row>
    <row r="21227" spans="7:14" x14ac:dyDescent="0.3">
      <c r="G21227" s="1"/>
      <c r="N21227" s="1"/>
    </row>
    <row r="21228" spans="7:14" x14ac:dyDescent="0.3">
      <c r="G21228" s="1"/>
      <c r="N21228" s="1"/>
    </row>
    <row r="21229" spans="7:14" x14ac:dyDescent="0.3">
      <c r="G21229" s="1"/>
      <c r="N21229" s="1"/>
    </row>
    <row r="21230" spans="7:14" x14ac:dyDescent="0.3">
      <c r="G21230" s="1"/>
      <c r="N21230" s="1"/>
    </row>
    <row r="21231" spans="7:14" x14ac:dyDescent="0.3">
      <c r="G21231" s="1"/>
      <c r="N21231" s="1"/>
    </row>
    <row r="21232" spans="7:14" x14ac:dyDescent="0.3">
      <c r="G21232" s="1"/>
      <c r="N21232" s="1"/>
    </row>
    <row r="21233" spans="7:14" x14ac:dyDescent="0.3">
      <c r="G21233" s="1"/>
      <c r="N21233" s="1"/>
    </row>
    <row r="21234" spans="7:14" x14ac:dyDescent="0.3">
      <c r="G21234" s="1"/>
      <c r="N21234" s="1"/>
    </row>
    <row r="21235" spans="7:14" x14ac:dyDescent="0.3">
      <c r="G21235" s="1"/>
      <c r="N21235" s="1"/>
    </row>
    <row r="21236" spans="7:14" x14ac:dyDescent="0.3">
      <c r="G21236" s="1"/>
      <c r="N21236" s="1"/>
    </row>
    <row r="21237" spans="7:14" x14ac:dyDescent="0.3">
      <c r="G21237" s="1"/>
      <c r="N21237" s="1"/>
    </row>
    <row r="21238" spans="7:14" x14ac:dyDescent="0.3">
      <c r="G21238" s="1"/>
      <c r="N21238" s="1"/>
    </row>
    <row r="21239" spans="7:14" x14ac:dyDescent="0.3">
      <c r="G21239" s="1"/>
      <c r="N21239" s="1"/>
    </row>
    <row r="21240" spans="7:14" x14ac:dyDescent="0.3">
      <c r="G21240" s="1"/>
      <c r="N21240" s="1"/>
    </row>
    <row r="21241" spans="7:14" x14ac:dyDescent="0.3">
      <c r="G21241" s="1"/>
      <c r="N21241" s="1"/>
    </row>
    <row r="21242" spans="7:14" x14ac:dyDescent="0.3">
      <c r="G21242" s="1"/>
      <c r="N21242" s="1"/>
    </row>
    <row r="21243" spans="7:14" x14ac:dyDescent="0.3">
      <c r="G21243" s="1"/>
      <c r="N21243" s="1"/>
    </row>
    <row r="21244" spans="7:14" x14ac:dyDescent="0.3">
      <c r="G21244" s="1"/>
      <c r="N21244" s="1"/>
    </row>
    <row r="21245" spans="7:14" x14ac:dyDescent="0.3">
      <c r="G21245" s="1"/>
      <c r="N21245" s="1"/>
    </row>
    <row r="21246" spans="7:14" x14ac:dyDescent="0.3">
      <c r="G21246" s="1"/>
      <c r="N21246" s="1"/>
    </row>
    <row r="21247" spans="7:14" x14ac:dyDescent="0.3">
      <c r="G21247" s="1"/>
      <c r="N21247" s="1"/>
    </row>
    <row r="21248" spans="7:14" x14ac:dyDescent="0.3">
      <c r="G21248" s="1"/>
      <c r="N21248" s="1"/>
    </row>
    <row r="21249" spans="7:14" x14ac:dyDescent="0.3">
      <c r="G21249" s="1"/>
      <c r="N21249" s="1"/>
    </row>
    <row r="21250" spans="7:14" x14ac:dyDescent="0.3">
      <c r="G21250" s="1"/>
      <c r="N21250" s="1"/>
    </row>
    <row r="21251" spans="7:14" x14ac:dyDescent="0.3">
      <c r="G21251" s="1"/>
      <c r="N21251" s="1"/>
    </row>
    <row r="21252" spans="7:14" x14ac:dyDescent="0.3">
      <c r="G21252" s="1"/>
      <c r="N21252" s="1"/>
    </row>
    <row r="21253" spans="7:14" x14ac:dyDescent="0.3">
      <c r="G21253" s="1"/>
      <c r="N21253" s="1"/>
    </row>
    <row r="21254" spans="7:14" x14ac:dyDescent="0.3">
      <c r="G21254" s="1"/>
      <c r="N21254" s="1"/>
    </row>
    <row r="21255" spans="7:14" x14ac:dyDescent="0.3">
      <c r="G21255" s="1"/>
      <c r="N21255" s="1"/>
    </row>
    <row r="21256" spans="7:14" x14ac:dyDescent="0.3">
      <c r="G21256" s="1"/>
      <c r="N21256" s="1"/>
    </row>
    <row r="21257" spans="7:14" x14ac:dyDescent="0.3">
      <c r="G21257" s="1"/>
      <c r="N21257" s="1"/>
    </row>
    <row r="21258" spans="7:14" x14ac:dyDescent="0.3">
      <c r="G21258" s="1"/>
      <c r="N21258" s="1"/>
    </row>
    <row r="21259" spans="7:14" x14ac:dyDescent="0.3">
      <c r="G21259" s="1"/>
      <c r="N21259" s="1"/>
    </row>
    <row r="21260" spans="7:14" x14ac:dyDescent="0.3">
      <c r="G21260" s="1"/>
      <c r="N21260" s="1"/>
    </row>
    <row r="21261" spans="7:14" x14ac:dyDescent="0.3">
      <c r="G21261" s="1"/>
      <c r="N21261" s="1"/>
    </row>
    <row r="21262" spans="7:14" x14ac:dyDescent="0.3">
      <c r="G21262" s="1"/>
      <c r="N21262" s="1"/>
    </row>
    <row r="21263" spans="7:14" x14ac:dyDescent="0.3">
      <c r="G21263" s="1"/>
      <c r="N21263" s="1"/>
    </row>
    <row r="21264" spans="7:14" x14ac:dyDescent="0.3">
      <c r="G21264" s="1"/>
      <c r="N21264" s="1"/>
    </row>
    <row r="21265" spans="7:14" x14ac:dyDescent="0.3">
      <c r="G21265" s="1"/>
      <c r="N21265" s="1"/>
    </row>
    <row r="21266" spans="7:14" x14ac:dyDescent="0.3">
      <c r="G21266" s="1"/>
      <c r="N21266" s="1"/>
    </row>
    <row r="21267" spans="7:14" x14ac:dyDescent="0.3">
      <c r="G21267" s="1"/>
      <c r="N21267" s="1"/>
    </row>
    <row r="21268" spans="7:14" x14ac:dyDescent="0.3">
      <c r="G21268" s="1"/>
      <c r="N21268" s="1"/>
    </row>
    <row r="21269" spans="7:14" x14ac:dyDescent="0.3">
      <c r="G21269" s="1"/>
      <c r="N21269" s="1"/>
    </row>
    <row r="21270" spans="7:14" x14ac:dyDescent="0.3">
      <c r="G21270" s="1"/>
      <c r="N21270" s="1"/>
    </row>
    <row r="21271" spans="7:14" x14ac:dyDescent="0.3">
      <c r="G21271" s="1"/>
      <c r="N21271" s="1"/>
    </row>
    <row r="21272" spans="7:14" x14ac:dyDescent="0.3">
      <c r="G21272" s="1"/>
      <c r="N21272" s="1"/>
    </row>
    <row r="21273" spans="7:14" x14ac:dyDescent="0.3">
      <c r="G21273" s="1"/>
      <c r="N21273" s="1"/>
    </row>
    <row r="21274" spans="7:14" x14ac:dyDescent="0.3">
      <c r="G21274" s="1"/>
      <c r="N21274" s="1"/>
    </row>
    <row r="21275" spans="7:14" x14ac:dyDescent="0.3">
      <c r="G21275" s="1"/>
      <c r="N21275" s="1"/>
    </row>
    <row r="21276" spans="7:14" x14ac:dyDescent="0.3">
      <c r="G21276" s="1"/>
      <c r="N21276" s="1"/>
    </row>
    <row r="21277" spans="7:14" x14ac:dyDescent="0.3">
      <c r="G21277" s="1"/>
      <c r="N21277" s="1"/>
    </row>
    <row r="21278" spans="7:14" x14ac:dyDescent="0.3">
      <c r="G21278" s="1"/>
      <c r="N21278" s="1"/>
    </row>
    <row r="21279" spans="7:14" x14ac:dyDescent="0.3">
      <c r="G21279" s="1"/>
      <c r="N21279" s="1"/>
    </row>
    <row r="21280" spans="7:14" x14ac:dyDescent="0.3">
      <c r="G21280" s="1"/>
      <c r="N21280" s="1"/>
    </row>
    <row r="21281" spans="7:14" x14ac:dyDescent="0.3">
      <c r="G21281" s="1"/>
      <c r="N21281" s="1"/>
    </row>
    <row r="21282" spans="7:14" x14ac:dyDescent="0.3">
      <c r="G21282" s="1"/>
      <c r="N21282" s="1"/>
    </row>
    <row r="21283" spans="7:14" x14ac:dyDescent="0.3">
      <c r="G21283" s="1"/>
      <c r="N21283" s="1"/>
    </row>
    <row r="21284" spans="7:14" x14ac:dyDescent="0.3">
      <c r="G21284" s="1"/>
      <c r="N21284" s="1"/>
    </row>
    <row r="21285" spans="7:14" x14ac:dyDescent="0.3">
      <c r="G21285" s="1"/>
      <c r="N21285" s="1"/>
    </row>
    <row r="21286" spans="7:14" x14ac:dyDescent="0.3">
      <c r="G21286" s="1"/>
      <c r="N21286" s="1"/>
    </row>
    <row r="21287" spans="7:14" x14ac:dyDescent="0.3">
      <c r="G21287" s="1"/>
      <c r="N21287" s="1"/>
    </row>
    <row r="21288" spans="7:14" x14ac:dyDescent="0.3">
      <c r="G21288" s="1"/>
      <c r="N21288" s="1"/>
    </row>
    <row r="21289" spans="7:14" x14ac:dyDescent="0.3">
      <c r="G21289" s="1"/>
      <c r="N21289" s="1"/>
    </row>
    <row r="21290" spans="7:14" x14ac:dyDescent="0.3">
      <c r="G21290" s="1"/>
      <c r="N21290" s="1"/>
    </row>
    <row r="21291" spans="7:14" x14ac:dyDescent="0.3">
      <c r="G21291" s="1"/>
      <c r="N21291" s="1"/>
    </row>
    <row r="21292" spans="7:14" x14ac:dyDescent="0.3">
      <c r="G21292" s="1"/>
      <c r="N21292" s="1"/>
    </row>
    <row r="21293" spans="7:14" x14ac:dyDescent="0.3">
      <c r="G21293" s="1"/>
      <c r="N21293" s="1"/>
    </row>
    <row r="21294" spans="7:14" x14ac:dyDescent="0.3">
      <c r="G21294" s="1"/>
      <c r="N21294" s="1"/>
    </row>
    <row r="21295" spans="7:14" x14ac:dyDescent="0.3">
      <c r="G21295" s="1"/>
      <c r="N21295" s="1"/>
    </row>
    <row r="21296" spans="7:14" x14ac:dyDescent="0.3">
      <c r="G21296" s="1"/>
      <c r="N21296" s="1"/>
    </row>
    <row r="21297" spans="7:14" x14ac:dyDescent="0.3">
      <c r="G21297" s="1"/>
      <c r="N21297" s="1"/>
    </row>
    <row r="21298" spans="7:14" x14ac:dyDescent="0.3">
      <c r="G21298" s="1"/>
      <c r="N21298" s="1"/>
    </row>
    <row r="21299" spans="7:14" x14ac:dyDescent="0.3">
      <c r="G21299" s="1"/>
      <c r="N21299" s="1"/>
    </row>
    <row r="21300" spans="7:14" x14ac:dyDescent="0.3">
      <c r="G21300" s="1"/>
      <c r="N21300" s="1"/>
    </row>
    <row r="21301" spans="7:14" x14ac:dyDescent="0.3">
      <c r="G21301" s="1"/>
      <c r="N21301" s="1"/>
    </row>
    <row r="21302" spans="7:14" x14ac:dyDescent="0.3">
      <c r="G21302" s="1"/>
      <c r="N21302" s="1"/>
    </row>
    <row r="21303" spans="7:14" x14ac:dyDescent="0.3">
      <c r="G21303" s="1"/>
      <c r="N21303" s="1"/>
    </row>
    <row r="21304" spans="7:14" x14ac:dyDescent="0.3">
      <c r="G21304" s="1"/>
      <c r="N21304" s="1"/>
    </row>
    <row r="21305" spans="7:14" x14ac:dyDescent="0.3">
      <c r="G21305" s="1"/>
      <c r="N21305" s="1"/>
    </row>
    <row r="21306" spans="7:14" x14ac:dyDescent="0.3">
      <c r="G21306" s="1"/>
      <c r="N21306" s="1"/>
    </row>
    <row r="21307" spans="7:14" x14ac:dyDescent="0.3">
      <c r="G21307" s="1"/>
      <c r="N21307" s="1"/>
    </row>
    <row r="21308" spans="7:14" x14ac:dyDescent="0.3">
      <c r="G21308" s="1"/>
      <c r="N21308" s="1"/>
    </row>
    <row r="21309" spans="7:14" x14ac:dyDescent="0.3">
      <c r="G21309" s="1"/>
      <c r="N21309" s="1"/>
    </row>
    <row r="21310" spans="7:14" x14ac:dyDescent="0.3">
      <c r="G21310" s="1"/>
      <c r="N21310" s="1"/>
    </row>
    <row r="21311" spans="7:14" x14ac:dyDescent="0.3">
      <c r="G21311" s="1"/>
      <c r="N21311" s="1"/>
    </row>
    <row r="21312" spans="7:14" x14ac:dyDescent="0.3">
      <c r="G21312" s="1"/>
      <c r="N21312" s="1"/>
    </row>
    <row r="21313" spans="7:14" x14ac:dyDescent="0.3">
      <c r="G21313" s="1"/>
      <c r="N21313" s="1"/>
    </row>
    <row r="21314" spans="7:14" x14ac:dyDescent="0.3">
      <c r="G21314" s="1"/>
      <c r="N21314" s="1"/>
    </row>
    <row r="21315" spans="7:14" x14ac:dyDescent="0.3">
      <c r="G21315" s="1"/>
      <c r="N21315" s="1"/>
    </row>
    <row r="21316" spans="7:14" x14ac:dyDescent="0.3">
      <c r="G21316" s="1"/>
      <c r="N21316" s="1"/>
    </row>
    <row r="21317" spans="7:14" x14ac:dyDescent="0.3">
      <c r="G21317" s="1"/>
      <c r="N21317" s="1"/>
    </row>
    <row r="21318" spans="7:14" x14ac:dyDescent="0.3">
      <c r="G21318" s="1"/>
      <c r="N21318" s="1"/>
    </row>
    <row r="21319" spans="7:14" x14ac:dyDescent="0.3">
      <c r="G21319" s="1"/>
      <c r="N21319" s="1"/>
    </row>
    <row r="21320" spans="7:14" x14ac:dyDescent="0.3">
      <c r="G21320" s="1"/>
      <c r="N21320" s="1"/>
    </row>
    <row r="21321" spans="7:14" x14ac:dyDescent="0.3">
      <c r="G21321" s="1"/>
      <c r="N21321" s="1"/>
    </row>
    <row r="21322" spans="7:14" x14ac:dyDescent="0.3">
      <c r="G21322" s="1"/>
      <c r="N21322" s="1"/>
    </row>
    <row r="21323" spans="7:14" x14ac:dyDescent="0.3">
      <c r="G21323" s="1"/>
      <c r="N21323" s="1"/>
    </row>
    <row r="21324" spans="7:14" x14ac:dyDescent="0.3">
      <c r="G21324" s="1"/>
      <c r="N21324" s="1"/>
    </row>
    <row r="21325" spans="7:14" x14ac:dyDescent="0.3">
      <c r="G21325" s="1"/>
      <c r="N21325" s="1"/>
    </row>
    <row r="21326" spans="7:14" x14ac:dyDescent="0.3">
      <c r="G21326" s="1"/>
      <c r="N21326" s="1"/>
    </row>
    <row r="21327" spans="7:14" x14ac:dyDescent="0.3">
      <c r="G21327" s="1"/>
      <c r="N21327" s="1"/>
    </row>
    <row r="21328" spans="7:14" x14ac:dyDescent="0.3">
      <c r="G21328" s="1"/>
      <c r="N21328" s="1"/>
    </row>
    <row r="21329" spans="7:14" x14ac:dyDescent="0.3">
      <c r="G21329" s="1"/>
      <c r="N21329" s="1"/>
    </row>
    <row r="21330" spans="7:14" x14ac:dyDescent="0.3">
      <c r="G21330" s="1"/>
      <c r="N21330" s="1"/>
    </row>
    <row r="21331" spans="7:14" x14ac:dyDescent="0.3">
      <c r="G21331" s="1"/>
      <c r="N21331" s="1"/>
    </row>
    <row r="21332" spans="7:14" x14ac:dyDescent="0.3">
      <c r="G21332" s="1"/>
      <c r="N21332" s="1"/>
    </row>
    <row r="21333" spans="7:14" x14ac:dyDescent="0.3">
      <c r="G21333" s="1"/>
      <c r="N21333" s="1"/>
    </row>
    <row r="21334" spans="7:14" x14ac:dyDescent="0.3">
      <c r="G21334" s="1"/>
      <c r="N21334" s="1"/>
    </row>
    <row r="21335" spans="7:14" x14ac:dyDescent="0.3">
      <c r="G21335" s="1"/>
      <c r="N21335" s="1"/>
    </row>
    <row r="21336" spans="7:14" x14ac:dyDescent="0.3">
      <c r="G21336" s="1"/>
      <c r="N21336" s="1"/>
    </row>
    <row r="21337" spans="7:14" x14ac:dyDescent="0.3">
      <c r="G21337" s="1"/>
      <c r="N21337" s="1"/>
    </row>
    <row r="21338" spans="7:14" x14ac:dyDescent="0.3">
      <c r="G21338" s="1"/>
      <c r="N21338" s="1"/>
    </row>
    <row r="21339" spans="7:14" x14ac:dyDescent="0.3">
      <c r="G21339" s="1"/>
      <c r="N21339" s="1"/>
    </row>
    <row r="21340" spans="7:14" x14ac:dyDescent="0.3">
      <c r="G21340" s="1"/>
      <c r="N21340" s="1"/>
    </row>
    <row r="21341" spans="7:14" x14ac:dyDescent="0.3">
      <c r="G21341" s="1"/>
      <c r="N21341" s="1"/>
    </row>
    <row r="21342" spans="7:14" x14ac:dyDescent="0.3">
      <c r="G21342" s="1"/>
      <c r="N21342" s="1"/>
    </row>
    <row r="21343" spans="7:14" x14ac:dyDescent="0.3">
      <c r="G21343" s="1"/>
      <c r="N21343" s="1"/>
    </row>
    <row r="21344" spans="7:14" x14ac:dyDescent="0.3">
      <c r="G21344" s="1"/>
      <c r="N21344" s="1"/>
    </row>
    <row r="21345" spans="7:14" x14ac:dyDescent="0.3">
      <c r="G21345" s="1"/>
      <c r="N21345" s="1"/>
    </row>
    <row r="21346" spans="7:14" x14ac:dyDescent="0.3">
      <c r="G21346" s="1"/>
      <c r="N21346" s="1"/>
    </row>
    <row r="21347" spans="7:14" x14ac:dyDescent="0.3">
      <c r="G21347" s="1"/>
      <c r="N21347" s="1"/>
    </row>
    <row r="21348" spans="7:14" x14ac:dyDescent="0.3">
      <c r="G21348" s="1"/>
      <c r="N21348" s="1"/>
    </row>
    <row r="21349" spans="7:14" x14ac:dyDescent="0.3">
      <c r="G21349" s="1"/>
      <c r="N21349" s="1"/>
    </row>
    <row r="21350" spans="7:14" x14ac:dyDescent="0.3">
      <c r="G21350" s="1"/>
      <c r="N21350" s="1"/>
    </row>
    <row r="21351" spans="7:14" x14ac:dyDescent="0.3">
      <c r="G21351" s="1"/>
      <c r="N21351" s="1"/>
    </row>
    <row r="21352" spans="7:14" x14ac:dyDescent="0.3">
      <c r="G21352" s="1"/>
      <c r="N21352" s="1"/>
    </row>
    <row r="21353" spans="7:14" x14ac:dyDescent="0.3">
      <c r="G21353" s="1"/>
      <c r="N21353" s="1"/>
    </row>
    <row r="21354" spans="7:14" x14ac:dyDescent="0.3">
      <c r="G21354" s="1"/>
      <c r="N21354" s="1"/>
    </row>
    <row r="21355" spans="7:14" x14ac:dyDescent="0.3">
      <c r="G21355" s="1"/>
      <c r="N21355" s="1"/>
    </row>
    <row r="21356" spans="7:14" x14ac:dyDescent="0.3">
      <c r="G21356" s="1"/>
      <c r="N21356" s="1"/>
    </row>
    <row r="21357" spans="7:14" x14ac:dyDescent="0.3">
      <c r="G21357" s="1"/>
      <c r="N21357" s="1"/>
    </row>
    <row r="21358" spans="7:14" x14ac:dyDescent="0.3">
      <c r="G21358" s="1"/>
      <c r="N21358" s="1"/>
    </row>
    <row r="21359" spans="7:14" x14ac:dyDescent="0.3">
      <c r="G21359" s="1"/>
      <c r="N21359" s="1"/>
    </row>
    <row r="21360" spans="7:14" x14ac:dyDescent="0.3">
      <c r="G21360" s="1"/>
      <c r="N21360" s="1"/>
    </row>
    <row r="21361" spans="7:14" x14ac:dyDescent="0.3">
      <c r="G21361" s="1"/>
      <c r="N21361" s="1"/>
    </row>
    <row r="21362" spans="7:14" x14ac:dyDescent="0.3">
      <c r="G21362" s="1"/>
      <c r="N21362" s="1"/>
    </row>
    <row r="21363" spans="7:14" x14ac:dyDescent="0.3">
      <c r="G21363" s="1"/>
      <c r="N21363" s="1"/>
    </row>
    <row r="21364" spans="7:14" x14ac:dyDescent="0.3">
      <c r="G21364" s="1"/>
      <c r="N21364" s="1"/>
    </row>
    <row r="21365" spans="7:14" x14ac:dyDescent="0.3">
      <c r="G21365" s="1"/>
      <c r="N21365" s="1"/>
    </row>
    <row r="21366" spans="7:14" x14ac:dyDescent="0.3">
      <c r="G21366" s="1"/>
      <c r="N21366" s="1"/>
    </row>
    <row r="21367" spans="7:14" x14ac:dyDescent="0.3">
      <c r="G21367" s="1"/>
      <c r="N21367" s="1"/>
    </row>
    <row r="21368" spans="7:14" x14ac:dyDescent="0.3">
      <c r="G21368" s="1"/>
      <c r="N21368" s="1"/>
    </row>
    <row r="21369" spans="7:14" x14ac:dyDescent="0.3">
      <c r="G21369" s="1"/>
      <c r="N21369" s="1"/>
    </row>
    <row r="21370" spans="7:14" x14ac:dyDescent="0.3">
      <c r="G21370" s="1"/>
      <c r="N21370" s="1"/>
    </row>
    <row r="21371" spans="7:14" x14ac:dyDescent="0.3">
      <c r="G21371" s="1"/>
      <c r="N21371" s="1"/>
    </row>
    <row r="21372" spans="7:14" x14ac:dyDescent="0.3">
      <c r="G21372" s="1"/>
      <c r="N21372" s="1"/>
    </row>
    <row r="21373" spans="7:14" x14ac:dyDescent="0.3">
      <c r="G21373" s="1"/>
      <c r="N21373" s="1"/>
    </row>
    <row r="21374" spans="7:14" x14ac:dyDescent="0.3">
      <c r="G21374" s="1"/>
      <c r="N21374" s="1"/>
    </row>
    <row r="21375" spans="7:14" x14ac:dyDescent="0.3">
      <c r="G21375" s="1"/>
      <c r="N21375" s="1"/>
    </row>
    <row r="21376" spans="7:14" x14ac:dyDescent="0.3">
      <c r="G21376" s="1"/>
      <c r="N21376" s="1"/>
    </row>
    <row r="21377" spans="7:14" x14ac:dyDescent="0.3">
      <c r="G21377" s="1"/>
      <c r="N21377" s="1"/>
    </row>
    <row r="21378" spans="7:14" x14ac:dyDescent="0.3">
      <c r="G21378" s="1"/>
      <c r="N21378" s="1"/>
    </row>
    <row r="21379" spans="7:14" x14ac:dyDescent="0.3">
      <c r="G21379" s="1"/>
      <c r="N21379" s="1"/>
    </row>
    <row r="21380" spans="7:14" x14ac:dyDescent="0.3">
      <c r="G21380" s="1"/>
      <c r="N21380" s="1"/>
    </row>
    <row r="21381" spans="7:14" x14ac:dyDescent="0.3">
      <c r="G21381" s="1"/>
      <c r="N21381" s="1"/>
    </row>
    <row r="21382" spans="7:14" x14ac:dyDescent="0.3">
      <c r="G21382" s="1"/>
      <c r="N21382" s="1"/>
    </row>
    <row r="21383" spans="7:14" x14ac:dyDescent="0.3">
      <c r="G21383" s="1"/>
      <c r="N21383" s="1"/>
    </row>
    <row r="21384" spans="7:14" x14ac:dyDescent="0.3">
      <c r="G21384" s="1"/>
      <c r="N21384" s="1"/>
    </row>
    <row r="21385" spans="7:14" x14ac:dyDescent="0.3">
      <c r="G21385" s="1"/>
      <c r="N21385" s="1"/>
    </row>
    <row r="21386" spans="7:14" x14ac:dyDescent="0.3">
      <c r="G21386" s="1"/>
      <c r="N21386" s="1"/>
    </row>
    <row r="21387" spans="7:14" x14ac:dyDescent="0.3">
      <c r="G21387" s="1"/>
      <c r="N21387" s="1"/>
    </row>
    <row r="21388" spans="7:14" x14ac:dyDescent="0.3">
      <c r="G21388" s="1"/>
      <c r="N21388" s="1"/>
    </row>
    <row r="21389" spans="7:14" x14ac:dyDescent="0.3">
      <c r="G21389" s="1"/>
      <c r="N21389" s="1"/>
    </row>
    <row r="21390" spans="7:14" x14ac:dyDescent="0.3">
      <c r="G21390" s="1"/>
      <c r="N21390" s="1"/>
    </row>
    <row r="21391" spans="7:14" x14ac:dyDescent="0.3">
      <c r="G21391" s="1"/>
      <c r="N21391" s="1"/>
    </row>
    <row r="21392" spans="7:14" x14ac:dyDescent="0.3">
      <c r="G21392" s="1"/>
      <c r="N21392" s="1"/>
    </row>
    <row r="21393" spans="7:14" x14ac:dyDescent="0.3">
      <c r="G21393" s="1"/>
      <c r="N21393" s="1"/>
    </row>
    <row r="21394" spans="7:14" x14ac:dyDescent="0.3">
      <c r="G21394" s="1"/>
      <c r="N21394" s="1"/>
    </row>
    <row r="21395" spans="7:14" x14ac:dyDescent="0.3">
      <c r="G21395" s="1"/>
      <c r="N21395" s="1"/>
    </row>
    <row r="21396" spans="7:14" x14ac:dyDescent="0.3">
      <c r="G21396" s="1"/>
      <c r="N21396" s="1"/>
    </row>
    <row r="21397" spans="7:14" x14ac:dyDescent="0.3">
      <c r="G21397" s="1"/>
      <c r="N21397" s="1"/>
    </row>
    <row r="21398" spans="7:14" x14ac:dyDescent="0.3">
      <c r="G21398" s="1"/>
      <c r="N21398" s="1"/>
    </row>
    <row r="21399" spans="7:14" x14ac:dyDescent="0.3">
      <c r="G21399" s="1"/>
      <c r="N21399" s="1"/>
    </row>
    <row r="21400" spans="7:14" x14ac:dyDescent="0.3">
      <c r="G21400" s="1"/>
      <c r="N21400" s="1"/>
    </row>
    <row r="21401" spans="7:14" x14ac:dyDescent="0.3">
      <c r="G21401" s="1"/>
      <c r="N21401" s="1"/>
    </row>
    <row r="21402" spans="7:14" x14ac:dyDescent="0.3">
      <c r="G21402" s="1"/>
      <c r="N21402" s="1"/>
    </row>
    <row r="21403" spans="7:14" x14ac:dyDescent="0.3">
      <c r="G21403" s="1"/>
      <c r="N21403" s="1"/>
    </row>
    <row r="21404" spans="7:14" x14ac:dyDescent="0.3">
      <c r="G21404" s="1"/>
      <c r="N21404" s="1"/>
    </row>
    <row r="21405" spans="7:14" x14ac:dyDescent="0.3">
      <c r="G21405" s="1"/>
      <c r="N21405" s="1"/>
    </row>
    <row r="21406" spans="7:14" x14ac:dyDescent="0.3">
      <c r="G21406" s="1"/>
      <c r="N21406" s="1"/>
    </row>
    <row r="21407" spans="7:14" x14ac:dyDescent="0.3">
      <c r="G21407" s="1"/>
      <c r="N21407" s="1"/>
    </row>
    <row r="21408" spans="7:14" x14ac:dyDescent="0.3">
      <c r="G21408" s="1"/>
      <c r="N21408" s="1"/>
    </row>
    <row r="21409" spans="7:14" x14ac:dyDescent="0.3">
      <c r="G21409" s="1"/>
      <c r="N21409" s="1"/>
    </row>
    <row r="21410" spans="7:14" x14ac:dyDescent="0.3">
      <c r="G21410" s="1"/>
      <c r="N21410" s="1"/>
    </row>
    <row r="21411" spans="7:14" x14ac:dyDescent="0.3">
      <c r="G21411" s="1"/>
      <c r="N21411" s="1"/>
    </row>
    <row r="21412" spans="7:14" x14ac:dyDescent="0.3">
      <c r="G21412" s="1"/>
      <c r="N21412" s="1"/>
    </row>
    <row r="21413" spans="7:14" x14ac:dyDescent="0.3">
      <c r="G21413" s="1"/>
      <c r="N21413" s="1"/>
    </row>
    <row r="21414" spans="7:14" x14ac:dyDescent="0.3">
      <c r="G21414" s="1"/>
      <c r="N21414" s="1"/>
    </row>
    <row r="21415" spans="7:14" x14ac:dyDescent="0.3">
      <c r="G21415" s="1"/>
      <c r="N21415" s="1"/>
    </row>
    <row r="21416" spans="7:14" x14ac:dyDescent="0.3">
      <c r="G21416" s="1"/>
      <c r="N21416" s="1"/>
    </row>
    <row r="21417" spans="7:14" x14ac:dyDescent="0.3">
      <c r="G21417" s="1"/>
      <c r="N21417" s="1"/>
    </row>
    <row r="21418" spans="7:14" x14ac:dyDescent="0.3">
      <c r="G21418" s="1"/>
      <c r="N21418" s="1"/>
    </row>
    <row r="21419" spans="7:14" x14ac:dyDescent="0.3">
      <c r="G21419" s="1"/>
      <c r="N21419" s="1"/>
    </row>
    <row r="21420" spans="7:14" x14ac:dyDescent="0.3">
      <c r="G21420" s="1"/>
      <c r="N21420" s="1"/>
    </row>
    <row r="21421" spans="7:14" x14ac:dyDescent="0.3">
      <c r="G21421" s="1"/>
      <c r="N21421" s="1"/>
    </row>
    <row r="21422" spans="7:14" x14ac:dyDescent="0.3">
      <c r="G21422" s="1"/>
      <c r="N21422" s="1"/>
    </row>
    <row r="21423" spans="7:14" x14ac:dyDescent="0.3">
      <c r="G21423" s="1"/>
      <c r="N21423" s="1"/>
    </row>
    <row r="21424" spans="7:14" x14ac:dyDescent="0.3">
      <c r="G21424" s="1"/>
      <c r="N21424" s="1"/>
    </row>
    <row r="21425" spans="7:14" x14ac:dyDescent="0.3">
      <c r="G21425" s="1"/>
      <c r="N21425" s="1"/>
    </row>
    <row r="21426" spans="7:14" x14ac:dyDescent="0.3">
      <c r="G21426" s="1"/>
      <c r="N21426" s="1"/>
    </row>
    <row r="21427" spans="7:14" x14ac:dyDescent="0.3">
      <c r="G21427" s="1"/>
      <c r="N21427" s="1"/>
    </row>
    <row r="21428" spans="7:14" x14ac:dyDescent="0.3">
      <c r="G21428" s="1"/>
      <c r="N21428" s="1"/>
    </row>
    <row r="21429" spans="7:14" x14ac:dyDescent="0.3">
      <c r="G21429" s="1"/>
      <c r="N21429" s="1"/>
    </row>
    <row r="21430" spans="7:14" x14ac:dyDescent="0.3">
      <c r="G21430" s="1"/>
      <c r="N21430" s="1"/>
    </row>
    <row r="21431" spans="7:14" x14ac:dyDescent="0.3">
      <c r="G21431" s="1"/>
      <c r="N21431" s="1"/>
    </row>
    <row r="21432" spans="7:14" x14ac:dyDescent="0.3">
      <c r="G21432" s="1"/>
      <c r="N21432" s="1"/>
    </row>
    <row r="21433" spans="7:14" x14ac:dyDescent="0.3">
      <c r="G21433" s="1"/>
      <c r="N21433" s="1"/>
    </row>
    <row r="21434" spans="7:14" x14ac:dyDescent="0.3">
      <c r="G21434" s="1"/>
      <c r="N21434" s="1"/>
    </row>
    <row r="21435" spans="7:14" x14ac:dyDescent="0.3">
      <c r="G21435" s="1"/>
      <c r="N21435" s="1"/>
    </row>
    <row r="21436" spans="7:14" x14ac:dyDescent="0.3">
      <c r="G21436" s="1"/>
      <c r="N21436" s="1"/>
    </row>
    <row r="21437" spans="7:14" x14ac:dyDescent="0.3">
      <c r="G21437" s="1"/>
      <c r="N21437" s="1"/>
    </row>
    <row r="21438" spans="7:14" x14ac:dyDescent="0.3">
      <c r="G21438" s="1"/>
      <c r="N21438" s="1"/>
    </row>
    <row r="21439" spans="7:14" x14ac:dyDescent="0.3">
      <c r="G21439" s="1"/>
      <c r="N21439" s="1"/>
    </row>
    <row r="21440" spans="7:14" x14ac:dyDescent="0.3">
      <c r="G21440" s="1"/>
      <c r="N21440" s="1"/>
    </row>
    <row r="21441" spans="7:14" x14ac:dyDescent="0.3">
      <c r="G21441" s="1"/>
      <c r="N21441" s="1"/>
    </row>
    <row r="21442" spans="7:14" x14ac:dyDescent="0.3">
      <c r="G21442" s="1"/>
      <c r="N21442" s="1"/>
    </row>
    <row r="21443" spans="7:14" x14ac:dyDescent="0.3">
      <c r="G21443" s="1"/>
      <c r="N21443" s="1"/>
    </row>
    <row r="21444" spans="7:14" x14ac:dyDescent="0.3">
      <c r="G21444" s="1"/>
      <c r="N21444" s="1"/>
    </row>
    <row r="21445" spans="7:14" x14ac:dyDescent="0.3">
      <c r="G21445" s="1"/>
      <c r="N21445" s="1"/>
    </row>
    <row r="21446" spans="7:14" x14ac:dyDescent="0.3">
      <c r="G21446" s="1"/>
      <c r="N21446" s="1"/>
    </row>
    <row r="21447" spans="7:14" x14ac:dyDescent="0.3">
      <c r="G21447" s="1"/>
      <c r="N21447" s="1"/>
    </row>
    <row r="21448" spans="7:14" x14ac:dyDescent="0.3">
      <c r="G21448" s="1"/>
      <c r="N21448" s="1"/>
    </row>
    <row r="21449" spans="7:14" x14ac:dyDescent="0.3">
      <c r="G21449" s="1"/>
      <c r="N21449" s="1"/>
    </row>
    <row r="21450" spans="7:14" x14ac:dyDescent="0.3">
      <c r="G21450" s="1"/>
      <c r="N21450" s="1"/>
    </row>
    <row r="21451" spans="7:14" x14ac:dyDescent="0.3">
      <c r="G21451" s="1"/>
      <c r="N21451" s="1"/>
    </row>
    <row r="21452" spans="7:14" x14ac:dyDescent="0.3">
      <c r="G21452" s="1"/>
      <c r="N21452" s="1"/>
    </row>
    <row r="21453" spans="7:14" x14ac:dyDescent="0.3">
      <c r="G21453" s="1"/>
      <c r="N21453" s="1"/>
    </row>
    <row r="21454" spans="7:14" x14ac:dyDescent="0.3">
      <c r="G21454" s="1"/>
      <c r="N21454" s="1"/>
    </row>
    <row r="21455" spans="7:14" x14ac:dyDescent="0.3">
      <c r="G21455" s="1"/>
      <c r="N21455" s="1"/>
    </row>
    <row r="21456" spans="7:14" x14ac:dyDescent="0.3">
      <c r="G21456" s="1"/>
      <c r="N21456" s="1"/>
    </row>
    <row r="21457" spans="7:14" x14ac:dyDescent="0.3">
      <c r="G21457" s="1"/>
      <c r="N21457" s="1"/>
    </row>
    <row r="21458" spans="7:14" x14ac:dyDescent="0.3">
      <c r="G21458" s="1"/>
      <c r="N21458" s="1"/>
    </row>
    <row r="21459" spans="7:14" x14ac:dyDescent="0.3">
      <c r="G21459" s="1"/>
      <c r="N21459" s="1"/>
    </row>
    <row r="21460" spans="7:14" x14ac:dyDescent="0.3">
      <c r="G21460" s="1"/>
      <c r="N21460" s="1"/>
    </row>
    <row r="21461" spans="7:14" x14ac:dyDescent="0.3">
      <c r="G21461" s="1"/>
      <c r="N21461" s="1"/>
    </row>
    <row r="21462" spans="7:14" x14ac:dyDescent="0.3">
      <c r="G21462" s="1"/>
      <c r="N21462" s="1"/>
    </row>
    <row r="21463" spans="7:14" x14ac:dyDescent="0.3">
      <c r="G21463" s="1"/>
      <c r="N21463" s="1"/>
    </row>
    <row r="21464" spans="7:14" x14ac:dyDescent="0.3">
      <c r="G21464" s="1"/>
      <c r="N21464" s="1"/>
    </row>
    <row r="21465" spans="7:14" x14ac:dyDescent="0.3">
      <c r="G21465" s="1"/>
      <c r="N21465" s="1"/>
    </row>
    <row r="21466" spans="7:14" x14ac:dyDescent="0.3">
      <c r="G21466" s="1"/>
      <c r="N21466" s="1"/>
    </row>
    <row r="21467" spans="7:14" x14ac:dyDescent="0.3">
      <c r="G21467" s="1"/>
      <c r="N21467" s="1"/>
    </row>
    <row r="21468" spans="7:14" x14ac:dyDescent="0.3">
      <c r="G21468" s="1"/>
      <c r="N21468" s="1"/>
    </row>
    <row r="21469" spans="7:14" x14ac:dyDescent="0.3">
      <c r="G21469" s="1"/>
      <c r="N21469" s="1"/>
    </row>
    <row r="21470" spans="7:14" x14ac:dyDescent="0.3">
      <c r="G21470" s="1"/>
      <c r="N21470" s="1"/>
    </row>
    <row r="21471" spans="7:14" x14ac:dyDescent="0.3">
      <c r="G21471" s="1"/>
      <c r="N21471" s="1"/>
    </row>
    <row r="21472" spans="7:14" x14ac:dyDescent="0.3">
      <c r="G21472" s="1"/>
      <c r="N21472" s="1"/>
    </row>
    <row r="21473" spans="7:14" x14ac:dyDescent="0.3">
      <c r="G21473" s="1"/>
      <c r="N21473" s="1"/>
    </row>
    <row r="21474" spans="7:14" x14ac:dyDescent="0.3">
      <c r="G21474" s="1"/>
      <c r="N21474" s="1"/>
    </row>
    <row r="21475" spans="7:14" x14ac:dyDescent="0.3">
      <c r="G21475" s="1"/>
      <c r="N21475" s="1"/>
    </row>
    <row r="21476" spans="7:14" x14ac:dyDescent="0.3">
      <c r="G21476" s="1"/>
      <c r="N21476" s="1"/>
    </row>
    <row r="21477" spans="7:14" x14ac:dyDescent="0.3">
      <c r="G21477" s="1"/>
      <c r="N21477" s="1"/>
    </row>
    <row r="21478" spans="7:14" x14ac:dyDescent="0.3">
      <c r="G21478" s="1"/>
      <c r="N21478" s="1"/>
    </row>
    <row r="21479" spans="7:14" x14ac:dyDescent="0.3">
      <c r="G21479" s="1"/>
      <c r="N21479" s="1"/>
    </row>
    <row r="21480" spans="7:14" x14ac:dyDescent="0.3">
      <c r="G21480" s="1"/>
      <c r="N21480" s="1"/>
    </row>
    <row r="21481" spans="7:14" x14ac:dyDescent="0.3">
      <c r="G21481" s="1"/>
      <c r="N21481" s="1"/>
    </row>
    <row r="21482" spans="7:14" x14ac:dyDescent="0.3">
      <c r="G21482" s="1"/>
      <c r="N21482" s="1"/>
    </row>
    <row r="21483" spans="7:14" x14ac:dyDescent="0.3">
      <c r="G21483" s="1"/>
      <c r="N21483" s="1"/>
    </row>
    <row r="21484" spans="7:14" x14ac:dyDescent="0.3">
      <c r="G21484" s="1"/>
      <c r="N21484" s="1"/>
    </row>
    <row r="21485" spans="7:14" x14ac:dyDescent="0.3">
      <c r="G21485" s="1"/>
      <c r="N21485" s="1"/>
    </row>
    <row r="21486" spans="7:14" x14ac:dyDescent="0.3">
      <c r="G21486" s="1"/>
      <c r="N21486" s="1"/>
    </row>
    <row r="21487" spans="7:14" x14ac:dyDescent="0.3">
      <c r="G21487" s="1"/>
      <c r="N21487" s="1"/>
    </row>
    <row r="21488" spans="7:14" x14ac:dyDescent="0.3">
      <c r="G21488" s="1"/>
      <c r="N21488" s="1"/>
    </row>
    <row r="21489" spans="7:14" x14ac:dyDescent="0.3">
      <c r="G21489" s="1"/>
      <c r="N21489" s="1"/>
    </row>
    <row r="21490" spans="7:14" x14ac:dyDescent="0.3">
      <c r="G21490" s="1"/>
      <c r="N21490" s="1"/>
    </row>
    <row r="21491" spans="7:14" x14ac:dyDescent="0.3">
      <c r="G21491" s="1"/>
      <c r="N21491" s="1"/>
    </row>
    <row r="21492" spans="7:14" x14ac:dyDescent="0.3">
      <c r="G21492" s="1"/>
      <c r="N21492" s="1"/>
    </row>
    <row r="21493" spans="7:14" x14ac:dyDescent="0.3">
      <c r="G21493" s="1"/>
      <c r="N21493" s="1"/>
    </row>
    <row r="21494" spans="7:14" x14ac:dyDescent="0.3">
      <c r="G21494" s="1"/>
      <c r="N21494" s="1"/>
    </row>
    <row r="21495" spans="7:14" x14ac:dyDescent="0.3">
      <c r="G21495" s="1"/>
      <c r="N21495" s="1"/>
    </row>
    <row r="21496" spans="7:14" x14ac:dyDescent="0.3">
      <c r="G21496" s="1"/>
      <c r="N21496" s="1"/>
    </row>
    <row r="21497" spans="7:14" x14ac:dyDescent="0.3">
      <c r="G21497" s="1"/>
      <c r="N21497" s="1"/>
    </row>
    <row r="21498" spans="7:14" x14ac:dyDescent="0.3">
      <c r="G21498" s="1"/>
      <c r="N21498" s="1"/>
    </row>
    <row r="21499" spans="7:14" x14ac:dyDescent="0.3">
      <c r="G21499" s="1"/>
      <c r="N21499" s="1"/>
    </row>
    <row r="21500" spans="7:14" x14ac:dyDescent="0.3">
      <c r="G21500" s="1"/>
      <c r="N21500" s="1"/>
    </row>
    <row r="21501" spans="7:14" x14ac:dyDescent="0.3">
      <c r="G21501" s="1"/>
      <c r="N21501" s="1"/>
    </row>
    <row r="21502" spans="7:14" x14ac:dyDescent="0.3">
      <c r="G21502" s="1"/>
      <c r="N21502" s="1"/>
    </row>
    <row r="21503" spans="7:14" x14ac:dyDescent="0.3">
      <c r="G21503" s="1"/>
      <c r="N21503" s="1"/>
    </row>
    <row r="21504" spans="7:14" x14ac:dyDescent="0.3">
      <c r="G21504" s="1"/>
      <c r="N21504" s="1"/>
    </row>
    <row r="21505" spans="7:14" x14ac:dyDescent="0.3">
      <c r="G21505" s="1"/>
      <c r="N21505" s="1"/>
    </row>
    <row r="21506" spans="7:14" x14ac:dyDescent="0.3">
      <c r="G21506" s="1"/>
      <c r="N21506" s="1"/>
    </row>
    <row r="21507" spans="7:14" x14ac:dyDescent="0.3">
      <c r="G21507" s="1"/>
      <c r="N21507" s="1"/>
    </row>
    <row r="21508" spans="7:14" x14ac:dyDescent="0.3">
      <c r="G21508" s="1"/>
      <c r="N21508" s="1"/>
    </row>
    <row r="21509" spans="7:14" x14ac:dyDescent="0.3">
      <c r="G21509" s="1"/>
      <c r="N21509" s="1"/>
    </row>
    <row r="21510" spans="7:14" x14ac:dyDescent="0.3">
      <c r="G21510" s="1"/>
      <c r="N21510" s="1"/>
    </row>
    <row r="21511" spans="7:14" x14ac:dyDescent="0.3">
      <c r="G21511" s="1"/>
      <c r="N21511" s="1"/>
    </row>
    <row r="21512" spans="7:14" x14ac:dyDescent="0.3">
      <c r="G21512" s="1"/>
      <c r="N21512" s="1"/>
    </row>
    <row r="21513" spans="7:14" x14ac:dyDescent="0.3">
      <c r="G21513" s="1"/>
      <c r="N21513" s="1"/>
    </row>
    <row r="21514" spans="7:14" x14ac:dyDescent="0.3">
      <c r="G21514" s="1"/>
      <c r="N21514" s="1"/>
    </row>
    <row r="21515" spans="7:14" x14ac:dyDescent="0.3">
      <c r="G21515" s="1"/>
      <c r="N21515" s="1"/>
    </row>
    <row r="21516" spans="7:14" x14ac:dyDescent="0.3">
      <c r="G21516" s="1"/>
      <c r="N21516" s="1"/>
    </row>
    <row r="21517" spans="7:14" x14ac:dyDescent="0.3">
      <c r="G21517" s="1"/>
      <c r="N21517" s="1"/>
    </row>
    <row r="21518" spans="7:14" x14ac:dyDescent="0.3">
      <c r="G21518" s="1"/>
      <c r="N21518" s="1"/>
    </row>
    <row r="21519" spans="7:14" x14ac:dyDescent="0.3">
      <c r="G21519" s="1"/>
      <c r="N21519" s="1"/>
    </row>
    <row r="21520" spans="7:14" x14ac:dyDescent="0.3">
      <c r="G21520" s="1"/>
      <c r="N21520" s="1"/>
    </row>
    <row r="21521" spans="7:14" x14ac:dyDescent="0.3">
      <c r="G21521" s="1"/>
      <c r="N21521" s="1"/>
    </row>
    <row r="21522" spans="7:14" x14ac:dyDescent="0.3">
      <c r="G21522" s="1"/>
      <c r="N21522" s="1"/>
    </row>
    <row r="21523" spans="7:14" x14ac:dyDescent="0.3">
      <c r="G21523" s="1"/>
      <c r="N21523" s="1"/>
    </row>
    <row r="21524" spans="7:14" x14ac:dyDescent="0.3">
      <c r="G21524" s="1"/>
      <c r="N21524" s="1"/>
    </row>
    <row r="21525" spans="7:14" x14ac:dyDescent="0.3">
      <c r="G21525" s="1"/>
      <c r="N21525" s="1"/>
    </row>
    <row r="21526" spans="7:14" x14ac:dyDescent="0.3">
      <c r="G21526" s="1"/>
      <c r="N21526" s="1"/>
    </row>
    <row r="21527" spans="7:14" x14ac:dyDescent="0.3">
      <c r="G21527" s="1"/>
      <c r="N21527" s="1"/>
    </row>
    <row r="21528" spans="7:14" x14ac:dyDescent="0.3">
      <c r="G21528" s="1"/>
      <c r="N21528" s="1"/>
    </row>
    <row r="21529" spans="7:14" x14ac:dyDescent="0.3">
      <c r="G21529" s="1"/>
      <c r="N21529" s="1"/>
    </row>
    <row r="21530" spans="7:14" x14ac:dyDescent="0.3">
      <c r="G21530" s="1"/>
      <c r="N21530" s="1"/>
    </row>
    <row r="21531" spans="7:14" x14ac:dyDescent="0.3">
      <c r="G21531" s="1"/>
      <c r="N21531" s="1"/>
    </row>
    <row r="21532" spans="7:14" x14ac:dyDescent="0.3">
      <c r="G21532" s="1"/>
      <c r="N21532" s="1"/>
    </row>
    <row r="21533" spans="7:14" x14ac:dyDescent="0.3">
      <c r="G21533" s="1"/>
      <c r="N21533" s="1"/>
    </row>
    <row r="21534" spans="7:14" x14ac:dyDescent="0.3">
      <c r="G21534" s="1"/>
      <c r="N21534" s="1"/>
    </row>
    <row r="21535" spans="7:14" x14ac:dyDescent="0.3">
      <c r="G21535" s="1"/>
      <c r="N21535" s="1"/>
    </row>
    <row r="21536" spans="7:14" x14ac:dyDescent="0.3">
      <c r="G21536" s="1"/>
      <c r="N21536" s="1"/>
    </row>
    <row r="21537" spans="7:14" x14ac:dyDescent="0.3">
      <c r="G21537" s="1"/>
      <c r="N21537" s="1"/>
    </row>
    <row r="21538" spans="7:14" x14ac:dyDescent="0.3">
      <c r="G21538" s="1"/>
      <c r="N21538" s="1"/>
    </row>
    <row r="21539" spans="7:14" x14ac:dyDescent="0.3">
      <c r="G21539" s="1"/>
      <c r="N21539" s="1"/>
    </row>
    <row r="21540" spans="7:14" x14ac:dyDescent="0.3">
      <c r="G21540" s="1"/>
      <c r="N21540" s="1"/>
    </row>
    <row r="21541" spans="7:14" x14ac:dyDescent="0.3">
      <c r="G21541" s="1"/>
      <c r="N21541" s="1"/>
    </row>
    <row r="21542" spans="7:14" x14ac:dyDescent="0.3">
      <c r="G21542" s="1"/>
      <c r="N21542" s="1"/>
    </row>
    <row r="21543" spans="7:14" x14ac:dyDescent="0.3">
      <c r="G21543" s="1"/>
      <c r="N21543" s="1"/>
    </row>
    <row r="21544" spans="7:14" x14ac:dyDescent="0.3">
      <c r="G21544" s="1"/>
      <c r="N21544" s="1"/>
    </row>
    <row r="21545" spans="7:14" x14ac:dyDescent="0.3">
      <c r="G21545" s="1"/>
      <c r="N21545" s="1"/>
    </row>
    <row r="21546" spans="7:14" x14ac:dyDescent="0.3">
      <c r="G21546" s="1"/>
      <c r="N21546" s="1"/>
    </row>
    <row r="21547" spans="7:14" x14ac:dyDescent="0.3">
      <c r="G21547" s="1"/>
      <c r="N21547" s="1"/>
    </row>
    <row r="21548" spans="7:14" x14ac:dyDescent="0.3">
      <c r="G21548" s="1"/>
      <c r="N21548" s="1"/>
    </row>
    <row r="21549" spans="7:14" x14ac:dyDescent="0.3">
      <c r="G21549" s="1"/>
      <c r="N21549" s="1"/>
    </row>
    <row r="21550" spans="7:14" x14ac:dyDescent="0.3">
      <c r="G21550" s="1"/>
      <c r="N21550" s="1"/>
    </row>
    <row r="21551" spans="7:14" x14ac:dyDescent="0.3">
      <c r="G21551" s="1"/>
      <c r="N21551" s="1"/>
    </row>
    <row r="21552" spans="7:14" x14ac:dyDescent="0.3">
      <c r="G21552" s="1"/>
      <c r="N21552" s="1"/>
    </row>
    <row r="21553" spans="7:14" x14ac:dyDescent="0.3">
      <c r="G21553" s="1"/>
      <c r="N21553" s="1"/>
    </row>
    <row r="21554" spans="7:14" x14ac:dyDescent="0.3">
      <c r="G21554" s="1"/>
      <c r="N21554" s="1"/>
    </row>
    <row r="21555" spans="7:14" x14ac:dyDescent="0.3">
      <c r="G21555" s="1"/>
      <c r="N21555" s="1"/>
    </row>
    <row r="21556" spans="7:14" x14ac:dyDescent="0.3">
      <c r="G21556" s="1"/>
      <c r="N21556" s="1"/>
    </row>
    <row r="21557" spans="7:14" x14ac:dyDescent="0.3">
      <c r="G21557" s="1"/>
      <c r="N21557" s="1"/>
    </row>
    <row r="21558" spans="7:14" x14ac:dyDescent="0.3">
      <c r="G21558" s="1"/>
      <c r="N21558" s="1"/>
    </row>
    <row r="21559" spans="7:14" x14ac:dyDescent="0.3">
      <c r="G21559" s="1"/>
      <c r="N21559" s="1"/>
    </row>
    <row r="21560" spans="7:14" x14ac:dyDescent="0.3">
      <c r="G21560" s="1"/>
      <c r="N21560" s="1"/>
    </row>
    <row r="21561" spans="7:14" x14ac:dyDescent="0.3">
      <c r="G21561" s="1"/>
      <c r="N21561" s="1"/>
    </row>
    <row r="21562" spans="7:14" x14ac:dyDescent="0.3">
      <c r="G21562" s="1"/>
      <c r="N21562" s="1"/>
    </row>
    <row r="21563" spans="7:14" x14ac:dyDescent="0.3">
      <c r="G21563" s="1"/>
      <c r="N21563" s="1"/>
    </row>
    <row r="21564" spans="7:14" x14ac:dyDescent="0.3">
      <c r="G21564" s="1"/>
      <c r="N21564" s="1"/>
    </row>
    <row r="21565" spans="7:14" x14ac:dyDescent="0.3">
      <c r="G21565" s="1"/>
      <c r="N21565" s="1"/>
    </row>
    <row r="21566" spans="7:14" x14ac:dyDescent="0.3">
      <c r="G21566" s="1"/>
      <c r="N21566" s="1"/>
    </row>
    <row r="21567" spans="7:14" x14ac:dyDescent="0.3">
      <c r="G21567" s="1"/>
      <c r="N21567" s="1"/>
    </row>
    <row r="21568" spans="7:14" x14ac:dyDescent="0.3">
      <c r="G21568" s="1"/>
      <c r="N21568" s="1"/>
    </row>
    <row r="21569" spans="7:14" x14ac:dyDescent="0.3">
      <c r="G21569" s="1"/>
      <c r="N21569" s="1"/>
    </row>
    <row r="21570" spans="7:14" x14ac:dyDescent="0.3">
      <c r="G21570" s="1"/>
      <c r="N21570" s="1"/>
    </row>
    <row r="21571" spans="7:14" x14ac:dyDescent="0.3">
      <c r="G21571" s="1"/>
      <c r="N21571" s="1"/>
    </row>
    <row r="21572" spans="7:14" x14ac:dyDescent="0.3">
      <c r="G21572" s="1"/>
      <c r="N21572" s="1"/>
    </row>
    <row r="21573" spans="7:14" x14ac:dyDescent="0.3">
      <c r="G21573" s="1"/>
      <c r="N21573" s="1"/>
    </row>
    <row r="21574" spans="7:14" x14ac:dyDescent="0.3">
      <c r="G21574" s="1"/>
      <c r="N21574" s="1"/>
    </row>
    <row r="21575" spans="7:14" x14ac:dyDescent="0.3">
      <c r="G21575" s="1"/>
      <c r="N21575" s="1"/>
    </row>
    <row r="21576" spans="7:14" x14ac:dyDescent="0.3">
      <c r="G21576" s="1"/>
      <c r="N21576" s="1"/>
    </row>
    <row r="21577" spans="7:14" x14ac:dyDescent="0.3">
      <c r="G21577" s="1"/>
      <c r="N21577" s="1"/>
    </row>
    <row r="21578" spans="7:14" x14ac:dyDescent="0.3">
      <c r="G21578" s="1"/>
      <c r="N21578" s="1"/>
    </row>
    <row r="21579" spans="7:14" x14ac:dyDescent="0.3">
      <c r="G21579" s="1"/>
      <c r="N21579" s="1"/>
    </row>
    <row r="21580" spans="7:14" x14ac:dyDescent="0.3">
      <c r="G21580" s="1"/>
      <c r="N21580" s="1"/>
    </row>
    <row r="21581" spans="7:14" x14ac:dyDescent="0.3">
      <c r="G21581" s="1"/>
      <c r="N21581" s="1"/>
    </row>
    <row r="21582" spans="7:14" x14ac:dyDescent="0.3">
      <c r="G21582" s="1"/>
      <c r="N21582" s="1"/>
    </row>
    <row r="21583" spans="7:14" x14ac:dyDescent="0.3">
      <c r="G21583" s="1"/>
      <c r="N21583" s="1"/>
    </row>
    <row r="21584" spans="7:14" x14ac:dyDescent="0.3">
      <c r="G21584" s="1"/>
      <c r="N21584" s="1"/>
    </row>
    <row r="21585" spans="7:14" x14ac:dyDescent="0.3">
      <c r="G21585" s="1"/>
      <c r="N21585" s="1"/>
    </row>
    <row r="21586" spans="7:14" x14ac:dyDescent="0.3">
      <c r="G21586" s="1"/>
      <c r="N21586" s="1"/>
    </row>
    <row r="21587" spans="7:14" x14ac:dyDescent="0.3">
      <c r="G21587" s="1"/>
      <c r="N21587" s="1"/>
    </row>
    <row r="21588" spans="7:14" x14ac:dyDescent="0.3">
      <c r="G21588" s="1"/>
      <c r="N21588" s="1"/>
    </row>
    <row r="21589" spans="7:14" x14ac:dyDescent="0.3">
      <c r="G21589" s="1"/>
      <c r="N21589" s="1"/>
    </row>
    <row r="21590" spans="7:14" x14ac:dyDescent="0.3">
      <c r="G21590" s="1"/>
      <c r="N21590" s="1"/>
    </row>
    <row r="21591" spans="7:14" x14ac:dyDescent="0.3">
      <c r="G21591" s="1"/>
      <c r="N21591" s="1"/>
    </row>
    <row r="21592" spans="7:14" x14ac:dyDescent="0.3">
      <c r="G21592" s="1"/>
      <c r="N21592" s="1"/>
    </row>
    <row r="21593" spans="7:14" x14ac:dyDescent="0.3">
      <c r="G21593" s="1"/>
      <c r="N21593" s="1"/>
    </row>
    <row r="21594" spans="7:14" x14ac:dyDescent="0.3">
      <c r="G21594" s="1"/>
      <c r="N21594" s="1"/>
    </row>
    <row r="21595" spans="7:14" x14ac:dyDescent="0.3">
      <c r="G21595" s="1"/>
      <c r="N21595" s="1"/>
    </row>
    <row r="21596" spans="7:14" x14ac:dyDescent="0.3">
      <c r="G21596" s="1"/>
      <c r="N21596" s="1"/>
    </row>
    <row r="21597" spans="7:14" x14ac:dyDescent="0.3">
      <c r="G21597" s="1"/>
      <c r="N21597" s="1"/>
    </row>
    <row r="21598" spans="7:14" x14ac:dyDescent="0.3">
      <c r="G21598" s="1"/>
      <c r="N21598" s="1"/>
    </row>
    <row r="21599" spans="7:14" x14ac:dyDescent="0.3">
      <c r="G21599" s="1"/>
      <c r="N21599" s="1"/>
    </row>
    <row r="21600" spans="7:14" x14ac:dyDescent="0.3">
      <c r="G21600" s="1"/>
      <c r="N21600" s="1"/>
    </row>
    <row r="21601" spans="7:14" x14ac:dyDescent="0.3">
      <c r="G21601" s="1"/>
      <c r="N21601" s="1"/>
    </row>
    <row r="21602" spans="7:14" x14ac:dyDescent="0.3">
      <c r="G21602" s="1"/>
      <c r="N21602" s="1"/>
    </row>
    <row r="21603" spans="7:14" x14ac:dyDescent="0.3">
      <c r="G21603" s="1"/>
      <c r="N21603" s="1"/>
    </row>
    <row r="21604" spans="7:14" x14ac:dyDescent="0.3">
      <c r="G21604" s="1"/>
      <c r="N21604" s="1"/>
    </row>
    <row r="21605" spans="7:14" x14ac:dyDescent="0.3">
      <c r="G21605" s="1"/>
      <c r="N21605" s="1"/>
    </row>
    <row r="21606" spans="7:14" x14ac:dyDescent="0.3">
      <c r="G21606" s="1"/>
      <c r="N21606" s="1"/>
    </row>
    <row r="21607" spans="7:14" x14ac:dyDescent="0.3">
      <c r="G21607" s="1"/>
      <c r="N21607" s="1"/>
    </row>
    <row r="21608" spans="7:14" x14ac:dyDescent="0.3">
      <c r="G21608" s="1"/>
      <c r="N21608" s="1"/>
    </row>
    <row r="21609" spans="7:14" x14ac:dyDescent="0.3">
      <c r="G21609" s="1"/>
      <c r="N21609" s="1"/>
    </row>
    <row r="21610" spans="7:14" x14ac:dyDescent="0.3">
      <c r="G21610" s="1"/>
      <c r="N21610" s="1"/>
    </row>
    <row r="21611" spans="7:14" x14ac:dyDescent="0.3">
      <c r="G21611" s="1"/>
      <c r="N21611" s="1"/>
    </row>
    <row r="21612" spans="7:14" x14ac:dyDescent="0.3">
      <c r="G21612" s="1"/>
      <c r="N21612" s="1"/>
    </row>
    <row r="21613" spans="7:14" x14ac:dyDescent="0.3">
      <c r="G21613" s="1"/>
      <c r="N21613" s="1"/>
    </row>
    <row r="21614" spans="7:14" x14ac:dyDescent="0.3">
      <c r="G21614" s="1"/>
      <c r="N21614" s="1"/>
    </row>
    <row r="21615" spans="7:14" x14ac:dyDescent="0.3">
      <c r="G21615" s="1"/>
      <c r="N21615" s="1"/>
    </row>
    <row r="21616" spans="7:14" x14ac:dyDescent="0.3">
      <c r="G21616" s="1"/>
      <c r="N21616" s="1"/>
    </row>
    <row r="21617" spans="7:14" x14ac:dyDescent="0.3">
      <c r="G21617" s="1"/>
      <c r="N21617" s="1"/>
    </row>
    <row r="21618" spans="7:14" x14ac:dyDescent="0.3">
      <c r="G21618" s="1"/>
      <c r="N21618" s="1"/>
    </row>
    <row r="21619" spans="7:14" x14ac:dyDescent="0.3">
      <c r="G21619" s="1"/>
      <c r="N21619" s="1"/>
    </row>
    <row r="21620" spans="7:14" x14ac:dyDescent="0.3">
      <c r="G21620" s="1"/>
      <c r="N21620" s="1"/>
    </row>
    <row r="21621" spans="7:14" x14ac:dyDescent="0.3">
      <c r="G21621" s="1"/>
      <c r="N21621" s="1"/>
    </row>
    <row r="21622" spans="7:14" x14ac:dyDescent="0.3">
      <c r="G21622" s="1"/>
      <c r="N21622" s="1"/>
    </row>
    <row r="21623" spans="7:14" x14ac:dyDescent="0.3">
      <c r="G21623" s="1"/>
      <c r="N21623" s="1"/>
    </row>
    <row r="21624" spans="7:14" x14ac:dyDescent="0.3">
      <c r="G21624" s="1"/>
      <c r="N21624" s="1"/>
    </row>
    <row r="21625" spans="7:14" x14ac:dyDescent="0.3">
      <c r="G21625" s="1"/>
      <c r="N21625" s="1"/>
    </row>
    <row r="21626" spans="7:14" x14ac:dyDescent="0.3">
      <c r="G21626" s="1"/>
      <c r="N21626" s="1"/>
    </row>
    <row r="21627" spans="7:14" x14ac:dyDescent="0.3">
      <c r="G21627" s="1"/>
      <c r="N21627" s="1"/>
    </row>
    <row r="21628" spans="7:14" x14ac:dyDescent="0.3">
      <c r="G21628" s="1"/>
      <c r="N21628" s="1"/>
    </row>
    <row r="21629" spans="7:14" x14ac:dyDescent="0.3">
      <c r="G21629" s="1"/>
      <c r="N21629" s="1"/>
    </row>
    <row r="21630" spans="7:14" x14ac:dyDescent="0.3">
      <c r="G21630" s="1"/>
      <c r="N21630" s="1"/>
    </row>
    <row r="21631" spans="7:14" x14ac:dyDescent="0.3">
      <c r="G21631" s="1"/>
      <c r="N21631" s="1"/>
    </row>
    <row r="21632" spans="7:14" x14ac:dyDescent="0.3">
      <c r="G21632" s="1"/>
      <c r="N21632" s="1"/>
    </row>
    <row r="21633" spans="7:14" x14ac:dyDescent="0.3">
      <c r="G21633" s="1"/>
      <c r="N21633" s="1"/>
    </row>
    <row r="21634" spans="7:14" x14ac:dyDescent="0.3">
      <c r="G21634" s="1"/>
      <c r="N21634" s="1"/>
    </row>
    <row r="21635" spans="7:14" x14ac:dyDescent="0.3">
      <c r="G21635" s="1"/>
      <c r="N21635" s="1"/>
    </row>
    <row r="21636" spans="7:14" x14ac:dyDescent="0.3">
      <c r="G21636" s="1"/>
      <c r="N21636" s="1"/>
    </row>
    <row r="21637" spans="7:14" x14ac:dyDescent="0.3">
      <c r="G21637" s="1"/>
      <c r="N21637" s="1"/>
    </row>
    <row r="21638" spans="7:14" x14ac:dyDescent="0.3">
      <c r="G21638" s="1"/>
      <c r="N21638" s="1"/>
    </row>
    <row r="21639" spans="7:14" x14ac:dyDescent="0.3">
      <c r="G21639" s="1"/>
      <c r="N21639" s="1"/>
    </row>
    <row r="21640" spans="7:14" x14ac:dyDescent="0.3">
      <c r="G21640" s="1"/>
      <c r="N21640" s="1"/>
    </row>
    <row r="21641" spans="7:14" x14ac:dyDescent="0.3">
      <c r="G21641" s="1"/>
      <c r="N21641" s="1"/>
    </row>
    <row r="21642" spans="7:14" x14ac:dyDescent="0.3">
      <c r="G21642" s="1"/>
      <c r="N21642" s="1"/>
    </row>
    <row r="21643" spans="7:14" x14ac:dyDescent="0.3">
      <c r="G21643" s="1"/>
      <c r="N21643" s="1"/>
    </row>
    <row r="21644" spans="7:14" x14ac:dyDescent="0.3">
      <c r="G21644" s="1"/>
      <c r="N21644" s="1"/>
    </row>
    <row r="21645" spans="7:14" x14ac:dyDescent="0.3">
      <c r="G21645" s="1"/>
      <c r="N21645" s="1"/>
    </row>
    <row r="21646" spans="7:14" x14ac:dyDescent="0.3">
      <c r="G21646" s="1"/>
      <c r="N21646" s="1"/>
    </row>
    <row r="21647" spans="7:14" x14ac:dyDescent="0.3">
      <c r="G21647" s="1"/>
      <c r="N21647" s="1"/>
    </row>
    <row r="21648" spans="7:14" x14ac:dyDescent="0.3">
      <c r="G21648" s="1"/>
      <c r="N21648" s="1"/>
    </row>
    <row r="21649" spans="7:14" x14ac:dyDescent="0.3">
      <c r="G21649" s="1"/>
      <c r="N21649" s="1"/>
    </row>
    <row r="21650" spans="7:14" x14ac:dyDescent="0.3">
      <c r="G21650" s="1"/>
      <c r="N21650" s="1"/>
    </row>
    <row r="21651" spans="7:14" x14ac:dyDescent="0.3">
      <c r="G21651" s="1"/>
      <c r="N21651" s="1"/>
    </row>
    <row r="21652" spans="7:14" x14ac:dyDescent="0.3">
      <c r="G21652" s="1"/>
      <c r="N21652" s="1"/>
    </row>
    <row r="21653" spans="7:14" x14ac:dyDescent="0.3">
      <c r="G21653" s="1"/>
      <c r="N21653" s="1"/>
    </row>
    <row r="21654" spans="7:14" x14ac:dyDescent="0.3">
      <c r="G21654" s="1"/>
      <c r="N21654" s="1"/>
    </row>
    <row r="21655" spans="7:14" x14ac:dyDescent="0.3">
      <c r="G21655" s="1"/>
      <c r="N21655" s="1"/>
    </row>
    <row r="21656" spans="7:14" x14ac:dyDescent="0.3">
      <c r="G21656" s="1"/>
      <c r="N21656" s="1"/>
    </row>
    <row r="21657" spans="7:14" x14ac:dyDescent="0.3">
      <c r="G21657" s="1"/>
      <c r="N21657" s="1"/>
    </row>
    <row r="21658" spans="7:14" x14ac:dyDescent="0.3">
      <c r="G21658" s="1"/>
      <c r="N21658" s="1"/>
    </row>
    <row r="21659" spans="7:14" x14ac:dyDescent="0.3">
      <c r="G21659" s="1"/>
      <c r="N21659" s="1"/>
    </row>
    <row r="21660" spans="7:14" x14ac:dyDescent="0.3">
      <c r="G21660" s="1"/>
      <c r="N21660" s="1"/>
    </row>
    <row r="21661" spans="7:14" x14ac:dyDescent="0.3">
      <c r="G21661" s="1"/>
      <c r="N21661" s="1"/>
    </row>
    <row r="21662" spans="7:14" x14ac:dyDescent="0.3">
      <c r="G21662" s="1"/>
      <c r="N21662" s="1"/>
    </row>
    <row r="21663" spans="7:14" x14ac:dyDescent="0.3">
      <c r="G21663" s="1"/>
      <c r="N21663" s="1"/>
    </row>
    <row r="21664" spans="7:14" x14ac:dyDescent="0.3">
      <c r="G21664" s="1"/>
      <c r="N21664" s="1"/>
    </row>
    <row r="21665" spans="7:14" x14ac:dyDescent="0.3">
      <c r="G21665" s="1"/>
      <c r="N21665" s="1"/>
    </row>
    <row r="21666" spans="7:14" x14ac:dyDescent="0.3">
      <c r="G21666" s="1"/>
      <c r="N21666" s="1"/>
    </row>
    <row r="21667" spans="7:14" x14ac:dyDescent="0.3">
      <c r="G21667" s="1"/>
      <c r="N21667" s="1"/>
    </row>
    <row r="21668" spans="7:14" x14ac:dyDescent="0.3">
      <c r="G21668" s="1"/>
      <c r="N21668" s="1"/>
    </row>
    <row r="21669" spans="7:14" x14ac:dyDescent="0.3">
      <c r="G21669" s="1"/>
      <c r="N21669" s="1"/>
    </row>
    <row r="21670" spans="7:14" x14ac:dyDescent="0.3">
      <c r="G21670" s="1"/>
      <c r="N21670" s="1"/>
    </row>
    <row r="21671" spans="7:14" x14ac:dyDescent="0.3">
      <c r="G21671" s="1"/>
      <c r="N21671" s="1"/>
    </row>
    <row r="21672" spans="7:14" x14ac:dyDescent="0.3">
      <c r="G21672" s="1"/>
      <c r="N21672" s="1"/>
    </row>
    <row r="21673" spans="7:14" x14ac:dyDescent="0.3">
      <c r="G21673" s="1"/>
      <c r="N21673" s="1"/>
    </row>
    <row r="21674" spans="7:14" x14ac:dyDescent="0.3">
      <c r="G21674" s="1"/>
      <c r="N21674" s="1"/>
    </row>
    <row r="21675" spans="7:14" x14ac:dyDescent="0.3">
      <c r="G21675" s="1"/>
      <c r="N21675" s="1"/>
    </row>
    <row r="21676" spans="7:14" x14ac:dyDescent="0.3">
      <c r="G21676" s="1"/>
      <c r="N21676" s="1"/>
    </row>
    <row r="21677" spans="7:14" x14ac:dyDescent="0.3">
      <c r="G21677" s="1"/>
      <c r="N21677" s="1"/>
    </row>
    <row r="21678" spans="7:14" x14ac:dyDescent="0.3">
      <c r="G21678" s="1"/>
      <c r="N21678" s="1"/>
    </row>
    <row r="21679" spans="7:14" x14ac:dyDescent="0.3">
      <c r="G21679" s="1"/>
      <c r="N21679" s="1"/>
    </row>
    <row r="21680" spans="7:14" x14ac:dyDescent="0.3">
      <c r="G21680" s="1"/>
      <c r="N21680" s="1"/>
    </row>
    <row r="21681" spans="7:14" x14ac:dyDescent="0.3">
      <c r="G21681" s="1"/>
      <c r="N21681" s="1"/>
    </row>
    <row r="21682" spans="7:14" x14ac:dyDescent="0.3">
      <c r="G21682" s="1"/>
      <c r="N21682" s="1"/>
    </row>
    <row r="21683" spans="7:14" x14ac:dyDescent="0.3">
      <c r="G21683" s="1"/>
      <c r="N21683" s="1"/>
    </row>
    <row r="21684" spans="7:14" x14ac:dyDescent="0.3">
      <c r="G21684" s="1"/>
      <c r="N21684" s="1"/>
    </row>
    <row r="21685" spans="7:14" x14ac:dyDescent="0.3">
      <c r="G21685" s="1"/>
      <c r="N21685" s="1"/>
    </row>
    <row r="21686" spans="7:14" x14ac:dyDescent="0.3">
      <c r="G21686" s="1"/>
      <c r="N21686" s="1"/>
    </row>
    <row r="21687" spans="7:14" x14ac:dyDescent="0.3">
      <c r="G21687" s="1"/>
      <c r="N21687" s="1"/>
    </row>
    <row r="21688" spans="7:14" x14ac:dyDescent="0.3">
      <c r="G21688" s="1"/>
      <c r="N21688" s="1"/>
    </row>
    <row r="21689" spans="7:14" x14ac:dyDescent="0.3">
      <c r="G21689" s="1"/>
      <c r="N21689" s="1"/>
    </row>
    <row r="21690" spans="7:14" x14ac:dyDescent="0.3">
      <c r="G21690" s="1"/>
      <c r="N21690" s="1"/>
    </row>
    <row r="21691" spans="7:14" x14ac:dyDescent="0.3">
      <c r="G21691" s="1"/>
      <c r="N21691" s="1"/>
    </row>
    <row r="21692" spans="7:14" x14ac:dyDescent="0.3">
      <c r="G21692" s="1"/>
      <c r="N21692" s="1"/>
    </row>
    <row r="21693" spans="7:14" x14ac:dyDescent="0.3">
      <c r="G21693" s="1"/>
      <c r="N21693" s="1"/>
    </row>
    <row r="21694" spans="7:14" x14ac:dyDescent="0.3">
      <c r="G21694" s="1"/>
      <c r="N21694" s="1"/>
    </row>
    <row r="21695" spans="7:14" x14ac:dyDescent="0.3">
      <c r="G21695" s="1"/>
      <c r="N21695" s="1"/>
    </row>
    <row r="21696" spans="7:14" x14ac:dyDescent="0.3">
      <c r="G21696" s="1"/>
      <c r="N21696" s="1"/>
    </row>
    <row r="21697" spans="7:14" x14ac:dyDescent="0.3">
      <c r="G21697" s="1"/>
      <c r="N21697" s="1"/>
    </row>
    <row r="21698" spans="7:14" x14ac:dyDescent="0.3">
      <c r="G21698" s="1"/>
      <c r="N21698" s="1"/>
    </row>
    <row r="21699" spans="7:14" x14ac:dyDescent="0.3">
      <c r="G21699" s="1"/>
      <c r="N21699" s="1"/>
    </row>
    <row r="21700" spans="7:14" x14ac:dyDescent="0.3">
      <c r="G21700" s="1"/>
      <c r="N21700" s="1"/>
    </row>
    <row r="21701" spans="7:14" x14ac:dyDescent="0.3">
      <c r="G21701" s="1"/>
      <c r="N21701" s="1"/>
    </row>
    <row r="21702" spans="7:14" x14ac:dyDescent="0.3">
      <c r="G21702" s="1"/>
      <c r="N21702" s="1"/>
    </row>
    <row r="21703" spans="7:14" x14ac:dyDescent="0.3">
      <c r="G21703" s="1"/>
      <c r="N21703" s="1"/>
    </row>
    <row r="21704" spans="7:14" x14ac:dyDescent="0.3">
      <c r="G21704" s="1"/>
      <c r="N21704" s="1"/>
    </row>
    <row r="21705" spans="7:14" x14ac:dyDescent="0.3">
      <c r="G21705" s="1"/>
      <c r="N21705" s="1"/>
    </row>
    <row r="21706" spans="7:14" x14ac:dyDescent="0.3">
      <c r="G21706" s="1"/>
      <c r="N21706" s="1"/>
    </row>
    <row r="21707" spans="7:14" x14ac:dyDescent="0.3">
      <c r="G21707" s="1"/>
      <c r="N21707" s="1"/>
    </row>
    <row r="21708" spans="7:14" x14ac:dyDescent="0.3">
      <c r="G21708" s="1"/>
      <c r="N21708" s="1"/>
    </row>
    <row r="21709" spans="7:14" x14ac:dyDescent="0.3">
      <c r="G21709" s="1"/>
      <c r="N21709" s="1"/>
    </row>
    <row r="21710" spans="7:14" x14ac:dyDescent="0.3">
      <c r="G21710" s="1"/>
      <c r="N21710" s="1"/>
    </row>
    <row r="21711" spans="7:14" x14ac:dyDescent="0.3">
      <c r="G21711" s="1"/>
      <c r="N21711" s="1"/>
    </row>
    <row r="21712" spans="7:14" x14ac:dyDescent="0.3">
      <c r="G21712" s="1"/>
      <c r="N21712" s="1"/>
    </row>
    <row r="21713" spans="7:14" x14ac:dyDescent="0.3">
      <c r="G21713" s="1"/>
      <c r="N21713" s="1"/>
    </row>
    <row r="21714" spans="7:14" x14ac:dyDescent="0.3">
      <c r="G21714" s="1"/>
      <c r="N21714" s="1"/>
    </row>
    <row r="21715" spans="7:14" x14ac:dyDescent="0.3">
      <c r="G21715" s="1"/>
      <c r="N21715" s="1"/>
    </row>
    <row r="21716" spans="7:14" x14ac:dyDescent="0.3">
      <c r="G21716" s="1"/>
      <c r="N21716" s="1"/>
    </row>
    <row r="21717" spans="7:14" x14ac:dyDescent="0.3">
      <c r="G21717" s="1"/>
      <c r="N21717" s="1"/>
    </row>
    <row r="21718" spans="7:14" x14ac:dyDescent="0.3">
      <c r="G21718" s="1"/>
      <c r="N21718" s="1"/>
    </row>
    <row r="21719" spans="7:14" x14ac:dyDescent="0.3">
      <c r="G21719" s="1"/>
      <c r="N21719" s="1"/>
    </row>
    <row r="21720" spans="7:14" x14ac:dyDescent="0.3">
      <c r="G21720" s="1"/>
      <c r="N21720" s="1"/>
    </row>
    <row r="21721" spans="7:14" x14ac:dyDescent="0.3">
      <c r="G21721" s="1"/>
      <c r="N21721" s="1"/>
    </row>
    <row r="21722" spans="7:14" x14ac:dyDescent="0.3">
      <c r="G21722" s="1"/>
      <c r="N21722" s="1"/>
    </row>
    <row r="21723" spans="7:14" x14ac:dyDescent="0.3">
      <c r="G21723" s="1"/>
      <c r="N21723" s="1"/>
    </row>
    <row r="21724" spans="7:14" x14ac:dyDescent="0.3">
      <c r="G21724" s="1"/>
      <c r="N21724" s="1"/>
    </row>
    <row r="21725" spans="7:14" x14ac:dyDescent="0.3">
      <c r="G21725" s="1"/>
      <c r="N21725" s="1"/>
    </row>
    <row r="21726" spans="7:14" x14ac:dyDescent="0.3">
      <c r="G21726" s="1"/>
      <c r="N21726" s="1"/>
    </row>
    <row r="21727" spans="7:14" x14ac:dyDescent="0.3">
      <c r="G21727" s="1"/>
      <c r="N21727" s="1"/>
    </row>
    <row r="21728" spans="7:14" x14ac:dyDescent="0.3">
      <c r="G21728" s="1"/>
      <c r="N21728" s="1"/>
    </row>
    <row r="21729" spans="7:14" x14ac:dyDescent="0.3">
      <c r="G21729" s="1"/>
      <c r="N21729" s="1"/>
    </row>
    <row r="21730" spans="7:14" x14ac:dyDescent="0.3">
      <c r="G21730" s="1"/>
      <c r="N21730" s="1"/>
    </row>
    <row r="21731" spans="7:14" x14ac:dyDescent="0.3">
      <c r="G21731" s="1"/>
      <c r="N21731" s="1"/>
    </row>
    <row r="21732" spans="7:14" x14ac:dyDescent="0.3">
      <c r="G21732" s="1"/>
      <c r="N21732" s="1"/>
    </row>
    <row r="21733" spans="7:14" x14ac:dyDescent="0.3">
      <c r="G21733" s="1"/>
      <c r="N21733" s="1"/>
    </row>
    <row r="21734" spans="7:14" x14ac:dyDescent="0.3">
      <c r="G21734" s="1"/>
      <c r="N21734" s="1"/>
    </row>
    <row r="21735" spans="7:14" x14ac:dyDescent="0.3">
      <c r="G21735" s="1"/>
      <c r="N21735" s="1"/>
    </row>
    <row r="21736" spans="7:14" x14ac:dyDescent="0.3">
      <c r="G21736" s="1"/>
      <c r="N21736" s="1"/>
    </row>
    <row r="21737" spans="7:14" x14ac:dyDescent="0.3">
      <c r="G21737" s="1"/>
      <c r="N21737" s="1"/>
    </row>
    <row r="21738" spans="7:14" x14ac:dyDescent="0.3">
      <c r="G21738" s="1"/>
      <c r="N21738" s="1"/>
    </row>
    <row r="21739" spans="7:14" x14ac:dyDescent="0.3">
      <c r="G21739" s="1"/>
      <c r="N21739" s="1"/>
    </row>
    <row r="21740" spans="7:14" x14ac:dyDescent="0.3">
      <c r="G21740" s="1"/>
      <c r="N21740" s="1"/>
    </row>
    <row r="21741" spans="7:14" x14ac:dyDescent="0.3">
      <c r="G21741" s="1"/>
      <c r="N21741" s="1"/>
    </row>
    <row r="21742" spans="7:14" x14ac:dyDescent="0.3">
      <c r="G21742" s="1"/>
      <c r="N21742" s="1"/>
    </row>
    <row r="21743" spans="7:14" x14ac:dyDescent="0.3">
      <c r="G21743" s="1"/>
      <c r="N21743" s="1"/>
    </row>
    <row r="21744" spans="7:14" x14ac:dyDescent="0.3">
      <c r="G21744" s="1"/>
      <c r="N21744" s="1"/>
    </row>
    <row r="21745" spans="7:14" x14ac:dyDescent="0.3">
      <c r="G21745" s="1"/>
      <c r="N21745" s="1"/>
    </row>
    <row r="21746" spans="7:14" x14ac:dyDescent="0.3">
      <c r="G21746" s="1"/>
      <c r="N21746" s="1"/>
    </row>
    <row r="21747" spans="7:14" x14ac:dyDescent="0.3">
      <c r="G21747" s="1"/>
      <c r="N21747" s="1"/>
    </row>
    <row r="21748" spans="7:14" x14ac:dyDescent="0.3">
      <c r="G21748" s="1"/>
      <c r="N21748" s="1"/>
    </row>
    <row r="21749" spans="7:14" x14ac:dyDescent="0.3">
      <c r="G21749" s="1"/>
      <c r="N21749" s="1"/>
    </row>
    <row r="21750" spans="7:14" x14ac:dyDescent="0.3">
      <c r="G21750" s="1"/>
      <c r="N21750" s="1"/>
    </row>
    <row r="21751" spans="7:14" x14ac:dyDescent="0.3">
      <c r="G21751" s="1"/>
      <c r="N21751" s="1"/>
    </row>
    <row r="21752" spans="7:14" x14ac:dyDescent="0.3">
      <c r="G21752" s="1"/>
      <c r="N21752" s="1"/>
    </row>
    <row r="21753" spans="7:14" x14ac:dyDescent="0.3">
      <c r="G21753" s="1"/>
      <c r="N21753" s="1"/>
    </row>
    <row r="21754" spans="7:14" x14ac:dyDescent="0.3">
      <c r="G21754" s="1"/>
      <c r="N21754" s="1"/>
    </row>
    <row r="21755" spans="7:14" x14ac:dyDescent="0.3">
      <c r="G21755" s="1"/>
      <c r="N21755" s="1"/>
    </row>
    <row r="21756" spans="7:14" x14ac:dyDescent="0.3">
      <c r="G21756" s="1"/>
      <c r="N21756" s="1"/>
    </row>
    <row r="21757" spans="7:14" x14ac:dyDescent="0.3">
      <c r="G21757" s="1"/>
      <c r="N21757" s="1"/>
    </row>
    <row r="21758" spans="7:14" x14ac:dyDescent="0.3">
      <c r="G21758" s="1"/>
      <c r="N21758" s="1"/>
    </row>
    <row r="21759" spans="7:14" x14ac:dyDescent="0.3">
      <c r="G21759" s="1"/>
      <c r="N21759" s="1"/>
    </row>
    <row r="21760" spans="7:14" x14ac:dyDescent="0.3">
      <c r="G21760" s="1"/>
      <c r="N21760" s="1"/>
    </row>
    <row r="21761" spans="7:14" x14ac:dyDescent="0.3">
      <c r="G21761" s="1"/>
      <c r="N21761" s="1"/>
    </row>
    <row r="21762" spans="7:14" x14ac:dyDescent="0.3">
      <c r="G21762" s="1"/>
      <c r="N21762" s="1"/>
    </row>
    <row r="21763" spans="7:14" x14ac:dyDescent="0.3">
      <c r="G21763" s="1"/>
      <c r="N21763" s="1"/>
    </row>
    <row r="21764" spans="7:14" x14ac:dyDescent="0.3">
      <c r="G21764" s="1"/>
      <c r="N21764" s="1"/>
    </row>
    <row r="21765" spans="7:14" x14ac:dyDescent="0.3">
      <c r="G21765" s="1"/>
      <c r="N21765" s="1"/>
    </row>
    <row r="21766" spans="7:14" x14ac:dyDescent="0.3">
      <c r="G21766" s="1"/>
      <c r="N21766" s="1"/>
    </row>
    <row r="21767" spans="7:14" x14ac:dyDescent="0.3">
      <c r="G21767" s="1"/>
      <c r="N21767" s="1"/>
    </row>
    <row r="21768" spans="7:14" x14ac:dyDescent="0.3">
      <c r="G21768" s="1"/>
      <c r="N21768" s="1"/>
    </row>
    <row r="21769" spans="7:14" x14ac:dyDescent="0.3">
      <c r="G21769" s="1"/>
      <c r="N21769" s="1"/>
    </row>
    <row r="21770" spans="7:14" x14ac:dyDescent="0.3">
      <c r="G21770" s="1"/>
      <c r="N21770" s="1"/>
    </row>
    <row r="21771" spans="7:14" x14ac:dyDescent="0.3">
      <c r="G21771" s="1"/>
      <c r="N21771" s="1"/>
    </row>
    <row r="21772" spans="7:14" x14ac:dyDescent="0.3">
      <c r="G21772" s="1"/>
      <c r="N21772" s="1"/>
    </row>
    <row r="21773" spans="7:14" x14ac:dyDescent="0.3">
      <c r="G21773" s="1"/>
      <c r="N21773" s="1"/>
    </row>
    <row r="21774" spans="7:14" x14ac:dyDescent="0.3">
      <c r="G21774" s="1"/>
      <c r="N21774" s="1"/>
    </row>
    <row r="21775" spans="7:14" x14ac:dyDescent="0.3">
      <c r="G21775" s="1"/>
      <c r="N21775" s="1"/>
    </row>
    <row r="21776" spans="7:14" x14ac:dyDescent="0.3">
      <c r="G21776" s="1"/>
      <c r="N21776" s="1"/>
    </row>
    <row r="21777" spans="7:14" x14ac:dyDescent="0.3">
      <c r="G21777" s="1"/>
      <c r="N21777" s="1"/>
    </row>
    <row r="21778" spans="7:14" x14ac:dyDescent="0.3">
      <c r="G21778" s="1"/>
      <c r="N21778" s="1"/>
    </row>
    <row r="21779" spans="7:14" x14ac:dyDescent="0.3">
      <c r="G21779" s="1"/>
      <c r="N21779" s="1"/>
    </row>
    <row r="21780" spans="7:14" x14ac:dyDescent="0.3">
      <c r="G21780" s="1"/>
      <c r="N21780" s="1"/>
    </row>
    <row r="21781" spans="7:14" x14ac:dyDescent="0.3">
      <c r="G21781" s="1"/>
      <c r="N21781" s="1"/>
    </row>
    <row r="21782" spans="7:14" x14ac:dyDescent="0.3">
      <c r="G21782" s="1"/>
      <c r="N21782" s="1"/>
    </row>
    <row r="21783" spans="7:14" x14ac:dyDescent="0.3">
      <c r="G21783" s="1"/>
      <c r="N21783" s="1"/>
    </row>
    <row r="21784" spans="7:14" x14ac:dyDescent="0.3">
      <c r="G21784" s="1"/>
      <c r="N21784" s="1"/>
    </row>
    <row r="21785" spans="7:14" x14ac:dyDescent="0.3">
      <c r="G21785" s="1"/>
      <c r="N21785" s="1"/>
    </row>
    <row r="21786" spans="7:14" x14ac:dyDescent="0.3">
      <c r="G21786" s="1"/>
      <c r="N21786" s="1"/>
    </row>
    <row r="21787" spans="7:14" x14ac:dyDescent="0.3">
      <c r="G21787" s="1"/>
      <c r="N21787" s="1"/>
    </row>
    <row r="21788" spans="7:14" x14ac:dyDescent="0.3">
      <c r="G21788" s="1"/>
      <c r="N21788" s="1"/>
    </row>
    <row r="21789" spans="7:14" x14ac:dyDescent="0.3">
      <c r="G21789" s="1"/>
      <c r="N21789" s="1"/>
    </row>
    <row r="21790" spans="7:14" x14ac:dyDescent="0.3">
      <c r="G21790" s="1"/>
      <c r="N21790" s="1"/>
    </row>
    <row r="21791" spans="7:14" x14ac:dyDescent="0.3">
      <c r="G21791" s="1"/>
      <c r="N21791" s="1"/>
    </row>
    <row r="21792" spans="7:14" x14ac:dyDescent="0.3">
      <c r="G21792" s="1"/>
      <c r="N21792" s="1"/>
    </row>
    <row r="21793" spans="7:14" x14ac:dyDescent="0.3">
      <c r="G21793" s="1"/>
      <c r="N21793" s="1"/>
    </row>
    <row r="21794" spans="7:14" x14ac:dyDescent="0.3">
      <c r="G21794" s="1"/>
      <c r="N21794" s="1"/>
    </row>
    <row r="21795" spans="7:14" x14ac:dyDescent="0.3">
      <c r="G21795" s="1"/>
      <c r="N21795" s="1"/>
    </row>
    <row r="21796" spans="7:14" x14ac:dyDescent="0.3">
      <c r="G21796" s="1"/>
      <c r="N21796" s="1"/>
    </row>
    <row r="21797" spans="7:14" x14ac:dyDescent="0.3">
      <c r="G21797" s="1"/>
      <c r="N21797" s="1"/>
    </row>
    <row r="21798" spans="7:14" x14ac:dyDescent="0.3">
      <c r="G21798" s="1"/>
      <c r="N21798" s="1"/>
    </row>
    <row r="21799" spans="7:14" x14ac:dyDescent="0.3">
      <c r="G21799" s="1"/>
      <c r="N21799" s="1"/>
    </row>
    <row r="21800" spans="7:14" x14ac:dyDescent="0.3">
      <c r="G21800" s="1"/>
      <c r="N21800" s="1"/>
    </row>
    <row r="21801" spans="7:14" x14ac:dyDescent="0.3">
      <c r="G21801" s="1"/>
      <c r="N21801" s="1"/>
    </row>
    <row r="21802" spans="7:14" x14ac:dyDescent="0.3">
      <c r="G21802" s="1"/>
      <c r="N21802" s="1"/>
    </row>
    <row r="21803" spans="7:14" x14ac:dyDescent="0.3">
      <c r="G21803" s="1"/>
      <c r="N21803" s="1"/>
    </row>
    <row r="21804" spans="7:14" x14ac:dyDescent="0.3">
      <c r="G21804" s="1"/>
      <c r="N21804" s="1"/>
    </row>
    <row r="21805" spans="7:14" x14ac:dyDescent="0.3">
      <c r="G21805" s="1"/>
      <c r="N21805" s="1"/>
    </row>
    <row r="21806" spans="7:14" x14ac:dyDescent="0.3">
      <c r="G21806" s="1"/>
      <c r="N21806" s="1"/>
    </row>
    <row r="21807" spans="7:14" x14ac:dyDescent="0.3">
      <c r="G21807" s="1"/>
      <c r="N21807" s="1"/>
    </row>
    <row r="21808" spans="7:14" x14ac:dyDescent="0.3">
      <c r="G21808" s="1"/>
      <c r="N21808" s="1"/>
    </row>
    <row r="21809" spans="7:14" x14ac:dyDescent="0.3">
      <c r="G21809" s="1"/>
      <c r="N21809" s="1"/>
    </row>
    <row r="21810" spans="7:14" x14ac:dyDescent="0.3">
      <c r="G21810" s="1"/>
      <c r="N21810" s="1"/>
    </row>
    <row r="21811" spans="7:14" x14ac:dyDescent="0.3">
      <c r="G21811" s="1"/>
      <c r="N21811" s="1"/>
    </row>
    <row r="21812" spans="7:14" x14ac:dyDescent="0.3">
      <c r="G21812" s="1"/>
      <c r="N21812" s="1"/>
    </row>
    <row r="21813" spans="7:14" x14ac:dyDescent="0.3">
      <c r="G21813" s="1"/>
      <c r="N21813" s="1"/>
    </row>
    <row r="21814" spans="7:14" x14ac:dyDescent="0.3">
      <c r="G21814" s="1"/>
      <c r="N21814" s="1"/>
    </row>
    <row r="21815" spans="7:14" x14ac:dyDescent="0.3">
      <c r="G21815" s="1"/>
      <c r="N21815" s="1"/>
    </row>
    <row r="21816" spans="7:14" x14ac:dyDescent="0.3">
      <c r="G21816" s="1"/>
      <c r="N21816" s="1"/>
    </row>
    <row r="21817" spans="7:14" x14ac:dyDescent="0.3">
      <c r="G21817" s="1"/>
      <c r="N21817" s="1"/>
    </row>
    <row r="21818" spans="7:14" x14ac:dyDescent="0.3">
      <c r="G21818" s="1"/>
      <c r="N21818" s="1"/>
    </row>
    <row r="21819" spans="7:14" x14ac:dyDescent="0.3">
      <c r="G21819" s="1"/>
      <c r="N21819" s="1"/>
    </row>
    <row r="21820" spans="7:14" x14ac:dyDescent="0.3">
      <c r="G21820" s="1"/>
      <c r="N21820" s="1"/>
    </row>
    <row r="21821" spans="7:14" x14ac:dyDescent="0.3">
      <c r="G21821" s="1"/>
      <c r="N21821" s="1"/>
    </row>
    <row r="21822" spans="7:14" x14ac:dyDescent="0.3">
      <c r="G21822" s="1"/>
      <c r="N21822" s="1"/>
    </row>
    <row r="21823" spans="7:14" x14ac:dyDescent="0.3">
      <c r="G21823" s="1"/>
      <c r="N21823" s="1"/>
    </row>
    <row r="21824" spans="7:14" x14ac:dyDescent="0.3">
      <c r="G21824" s="1"/>
      <c r="N21824" s="1"/>
    </row>
    <row r="21825" spans="7:14" x14ac:dyDescent="0.3">
      <c r="G21825" s="1"/>
      <c r="N21825" s="1"/>
    </row>
    <row r="21826" spans="7:14" x14ac:dyDescent="0.3">
      <c r="G21826" s="1"/>
      <c r="N21826" s="1"/>
    </row>
    <row r="21827" spans="7:14" x14ac:dyDescent="0.3">
      <c r="G21827" s="1"/>
      <c r="N21827" s="1"/>
    </row>
    <row r="21828" spans="7:14" x14ac:dyDescent="0.3">
      <c r="G21828" s="1"/>
      <c r="N21828" s="1"/>
    </row>
    <row r="21829" spans="7:14" x14ac:dyDescent="0.3">
      <c r="G21829" s="1"/>
      <c r="N21829" s="1"/>
    </row>
    <row r="21830" spans="7:14" x14ac:dyDescent="0.3">
      <c r="G21830" s="1"/>
      <c r="N21830" s="1"/>
    </row>
    <row r="21831" spans="7:14" x14ac:dyDescent="0.3">
      <c r="G21831" s="1"/>
      <c r="N21831" s="1"/>
    </row>
    <row r="21832" spans="7:14" x14ac:dyDescent="0.3">
      <c r="G21832" s="1"/>
      <c r="N21832" s="1"/>
    </row>
    <row r="21833" spans="7:14" x14ac:dyDescent="0.3">
      <c r="G21833" s="1"/>
      <c r="N21833" s="1"/>
    </row>
    <row r="21834" spans="7:14" x14ac:dyDescent="0.3">
      <c r="G21834" s="1"/>
      <c r="N21834" s="1"/>
    </row>
    <row r="21835" spans="7:14" x14ac:dyDescent="0.3">
      <c r="G21835" s="1"/>
      <c r="N21835" s="1"/>
    </row>
    <row r="21836" spans="7:14" x14ac:dyDescent="0.3">
      <c r="G21836" s="1"/>
      <c r="N21836" s="1"/>
    </row>
    <row r="21837" spans="7:14" x14ac:dyDescent="0.3">
      <c r="G21837" s="1"/>
      <c r="N21837" s="1"/>
    </row>
    <row r="21838" spans="7:14" x14ac:dyDescent="0.3">
      <c r="G21838" s="1"/>
      <c r="N21838" s="1"/>
    </row>
    <row r="21839" spans="7:14" x14ac:dyDescent="0.3">
      <c r="G21839" s="1"/>
      <c r="N21839" s="1"/>
    </row>
    <row r="21840" spans="7:14" x14ac:dyDescent="0.3">
      <c r="G21840" s="1"/>
      <c r="N21840" s="1"/>
    </row>
    <row r="21841" spans="7:14" x14ac:dyDescent="0.3">
      <c r="G21841" s="1"/>
      <c r="N21841" s="1"/>
    </row>
    <row r="21842" spans="7:14" x14ac:dyDescent="0.3">
      <c r="G21842" s="1"/>
      <c r="N21842" s="1"/>
    </row>
    <row r="21843" spans="7:14" x14ac:dyDescent="0.3">
      <c r="G21843" s="1"/>
      <c r="N21843" s="1"/>
    </row>
    <row r="21844" spans="7:14" x14ac:dyDescent="0.3">
      <c r="G21844" s="1"/>
      <c r="N21844" s="1"/>
    </row>
    <row r="21845" spans="7:14" x14ac:dyDescent="0.3">
      <c r="G21845" s="1"/>
      <c r="N21845" s="1"/>
    </row>
    <row r="21846" spans="7:14" x14ac:dyDescent="0.3">
      <c r="G21846" s="1"/>
      <c r="N21846" s="1"/>
    </row>
    <row r="21847" spans="7:14" x14ac:dyDescent="0.3">
      <c r="G21847" s="1"/>
      <c r="N21847" s="1"/>
    </row>
    <row r="21848" spans="7:14" x14ac:dyDescent="0.3">
      <c r="G21848" s="1"/>
      <c r="N21848" s="1"/>
    </row>
    <row r="21849" spans="7:14" x14ac:dyDescent="0.3">
      <c r="G21849" s="1"/>
      <c r="N21849" s="1"/>
    </row>
    <row r="21850" spans="7:14" x14ac:dyDescent="0.3">
      <c r="G21850" s="1"/>
      <c r="N21850" s="1"/>
    </row>
    <row r="21851" spans="7:14" x14ac:dyDescent="0.3">
      <c r="G21851" s="1"/>
      <c r="N21851" s="1"/>
    </row>
    <row r="21852" spans="7:14" x14ac:dyDescent="0.3">
      <c r="G21852" s="1"/>
      <c r="N21852" s="1"/>
    </row>
    <row r="21853" spans="7:14" x14ac:dyDescent="0.3">
      <c r="G21853" s="1"/>
      <c r="N21853" s="1"/>
    </row>
    <row r="21854" spans="7:14" x14ac:dyDescent="0.3">
      <c r="G21854" s="1"/>
      <c r="N21854" s="1"/>
    </row>
    <row r="21855" spans="7:14" x14ac:dyDescent="0.3">
      <c r="G21855" s="1"/>
      <c r="N21855" s="1"/>
    </row>
    <row r="21856" spans="7:14" x14ac:dyDescent="0.3">
      <c r="G21856" s="1"/>
      <c r="N21856" s="1"/>
    </row>
    <row r="21857" spans="7:14" x14ac:dyDescent="0.3">
      <c r="G21857" s="1"/>
      <c r="N21857" s="1"/>
    </row>
    <row r="21858" spans="7:14" x14ac:dyDescent="0.3">
      <c r="G21858" s="1"/>
      <c r="N21858" s="1"/>
    </row>
    <row r="21859" spans="7:14" x14ac:dyDescent="0.3">
      <c r="G21859" s="1"/>
      <c r="N21859" s="1"/>
    </row>
    <row r="21860" spans="7:14" x14ac:dyDescent="0.3">
      <c r="G21860" s="1"/>
      <c r="N21860" s="1"/>
    </row>
    <row r="21861" spans="7:14" x14ac:dyDescent="0.3">
      <c r="G21861" s="1"/>
      <c r="N21861" s="1"/>
    </row>
    <row r="21862" spans="7:14" x14ac:dyDescent="0.3">
      <c r="G21862" s="1"/>
      <c r="N21862" s="1"/>
    </row>
    <row r="21863" spans="7:14" x14ac:dyDescent="0.3">
      <c r="G21863" s="1"/>
      <c r="N21863" s="1"/>
    </row>
    <row r="21864" spans="7:14" x14ac:dyDescent="0.3">
      <c r="G21864" s="1"/>
      <c r="N21864" s="1"/>
    </row>
    <row r="21865" spans="7:14" x14ac:dyDescent="0.3">
      <c r="G21865" s="1"/>
      <c r="N21865" s="1"/>
    </row>
    <row r="21866" spans="7:14" x14ac:dyDescent="0.3">
      <c r="G21866" s="1"/>
      <c r="N21866" s="1"/>
    </row>
    <row r="21867" spans="7:14" x14ac:dyDescent="0.3">
      <c r="G21867" s="1"/>
      <c r="N21867" s="1"/>
    </row>
    <row r="21868" spans="7:14" x14ac:dyDescent="0.3">
      <c r="G21868" s="1"/>
      <c r="N21868" s="1"/>
    </row>
    <row r="21869" spans="7:14" x14ac:dyDescent="0.3">
      <c r="G21869" s="1"/>
      <c r="N21869" s="1"/>
    </row>
    <row r="21870" spans="7:14" x14ac:dyDescent="0.3">
      <c r="G21870" s="1"/>
      <c r="N21870" s="1"/>
    </row>
    <row r="21871" spans="7:14" x14ac:dyDescent="0.3">
      <c r="G21871" s="1"/>
      <c r="N21871" s="1"/>
    </row>
    <row r="21872" spans="7:14" x14ac:dyDescent="0.3">
      <c r="G21872" s="1"/>
      <c r="N21872" s="1"/>
    </row>
    <row r="21873" spans="7:14" x14ac:dyDescent="0.3">
      <c r="G21873" s="1"/>
      <c r="N21873" s="1"/>
    </row>
    <row r="21874" spans="7:14" x14ac:dyDescent="0.3">
      <c r="G21874" s="1"/>
      <c r="N21874" s="1"/>
    </row>
    <row r="21875" spans="7:14" x14ac:dyDescent="0.3">
      <c r="G21875" s="1"/>
      <c r="N21875" s="1"/>
    </row>
    <row r="21876" spans="7:14" x14ac:dyDescent="0.3">
      <c r="G21876" s="1"/>
      <c r="N21876" s="1"/>
    </row>
    <row r="21877" spans="7:14" x14ac:dyDescent="0.3">
      <c r="G21877" s="1"/>
      <c r="N21877" s="1"/>
    </row>
    <row r="21878" spans="7:14" x14ac:dyDescent="0.3">
      <c r="G21878" s="1"/>
      <c r="N21878" s="1"/>
    </row>
    <row r="21879" spans="7:14" x14ac:dyDescent="0.3">
      <c r="G21879" s="1"/>
      <c r="N21879" s="1"/>
    </row>
    <row r="21880" spans="7:14" x14ac:dyDescent="0.3">
      <c r="G21880" s="1"/>
      <c r="N21880" s="1"/>
    </row>
    <row r="21881" spans="7:14" x14ac:dyDescent="0.3">
      <c r="G21881" s="1"/>
      <c r="N21881" s="1"/>
    </row>
    <row r="21882" spans="7:14" x14ac:dyDescent="0.3">
      <c r="G21882" s="1"/>
      <c r="N21882" s="1"/>
    </row>
    <row r="21883" spans="7:14" x14ac:dyDescent="0.3">
      <c r="G21883" s="1"/>
      <c r="N21883" s="1"/>
    </row>
    <row r="21884" spans="7:14" x14ac:dyDescent="0.3">
      <c r="G21884" s="1"/>
      <c r="N21884" s="1"/>
    </row>
    <row r="21885" spans="7:14" x14ac:dyDescent="0.3">
      <c r="G21885" s="1"/>
      <c r="N21885" s="1"/>
    </row>
    <row r="21886" spans="7:14" x14ac:dyDescent="0.3">
      <c r="G21886" s="1"/>
      <c r="N21886" s="1"/>
    </row>
    <row r="21887" spans="7:14" x14ac:dyDescent="0.3">
      <c r="G21887" s="1"/>
      <c r="N21887" s="1"/>
    </row>
    <row r="21888" spans="7:14" x14ac:dyDescent="0.3">
      <c r="G21888" s="1"/>
      <c r="N21888" s="1"/>
    </row>
    <row r="21889" spans="7:14" x14ac:dyDescent="0.3">
      <c r="G21889" s="1"/>
      <c r="N21889" s="1"/>
    </row>
    <row r="21890" spans="7:14" x14ac:dyDescent="0.3">
      <c r="G21890" s="1"/>
      <c r="N21890" s="1"/>
    </row>
    <row r="21891" spans="7:14" x14ac:dyDescent="0.3">
      <c r="G21891" s="1"/>
      <c r="N21891" s="1"/>
    </row>
    <row r="21892" spans="7:14" x14ac:dyDescent="0.3">
      <c r="G21892" s="1"/>
      <c r="N21892" s="1"/>
    </row>
    <row r="21893" spans="7:14" x14ac:dyDescent="0.3">
      <c r="G21893" s="1"/>
      <c r="N21893" s="1"/>
    </row>
    <row r="21894" spans="7:14" x14ac:dyDescent="0.3">
      <c r="G21894" s="1"/>
      <c r="N21894" s="1"/>
    </row>
    <row r="21895" spans="7:14" x14ac:dyDescent="0.3">
      <c r="G21895" s="1"/>
      <c r="N21895" s="1"/>
    </row>
    <row r="21896" spans="7:14" x14ac:dyDescent="0.3">
      <c r="G21896" s="1"/>
      <c r="N21896" s="1"/>
    </row>
    <row r="21897" spans="7:14" x14ac:dyDescent="0.3">
      <c r="G21897" s="1"/>
      <c r="N21897" s="1"/>
    </row>
    <row r="21898" spans="7:14" x14ac:dyDescent="0.3">
      <c r="G21898" s="1"/>
      <c r="N21898" s="1"/>
    </row>
    <row r="21899" spans="7:14" x14ac:dyDescent="0.3">
      <c r="G21899" s="1"/>
      <c r="N21899" s="1"/>
    </row>
    <row r="21900" spans="7:14" x14ac:dyDescent="0.3">
      <c r="G21900" s="1"/>
      <c r="N21900" s="1"/>
    </row>
    <row r="21901" spans="7:14" x14ac:dyDescent="0.3">
      <c r="G21901" s="1"/>
      <c r="N21901" s="1"/>
    </row>
    <row r="21902" spans="7:14" x14ac:dyDescent="0.3">
      <c r="G21902" s="1"/>
      <c r="N21902" s="1"/>
    </row>
    <row r="21903" spans="7:14" x14ac:dyDescent="0.3">
      <c r="G21903" s="1"/>
      <c r="N21903" s="1"/>
    </row>
    <row r="21904" spans="7:14" x14ac:dyDescent="0.3">
      <c r="G21904" s="1"/>
      <c r="N21904" s="1"/>
    </row>
    <row r="21905" spans="7:14" x14ac:dyDescent="0.3">
      <c r="G21905" s="1"/>
      <c r="N21905" s="1"/>
    </row>
    <row r="21906" spans="7:14" x14ac:dyDescent="0.3">
      <c r="G21906" s="1"/>
      <c r="N21906" s="1"/>
    </row>
    <row r="21907" spans="7:14" x14ac:dyDescent="0.3">
      <c r="G21907" s="1"/>
      <c r="N21907" s="1"/>
    </row>
    <row r="21908" spans="7:14" x14ac:dyDescent="0.3">
      <c r="G21908" s="1"/>
      <c r="N21908" s="1"/>
    </row>
    <row r="21909" spans="7:14" x14ac:dyDescent="0.3">
      <c r="G21909" s="1"/>
      <c r="N21909" s="1"/>
    </row>
    <row r="21910" spans="7:14" x14ac:dyDescent="0.3">
      <c r="G21910" s="1"/>
      <c r="N21910" s="1"/>
    </row>
    <row r="21911" spans="7:14" x14ac:dyDescent="0.3">
      <c r="G21911" s="1"/>
      <c r="N21911" s="1"/>
    </row>
    <row r="21912" spans="7:14" x14ac:dyDescent="0.3">
      <c r="G21912" s="1"/>
      <c r="N21912" s="1"/>
    </row>
    <row r="21913" spans="7:14" x14ac:dyDescent="0.3">
      <c r="G21913" s="1"/>
      <c r="N21913" s="1"/>
    </row>
    <row r="21914" spans="7:14" x14ac:dyDescent="0.3">
      <c r="G21914" s="1"/>
      <c r="N21914" s="1"/>
    </row>
    <row r="21915" spans="7:14" x14ac:dyDescent="0.3">
      <c r="G21915" s="1"/>
      <c r="N21915" s="1"/>
    </row>
    <row r="21916" spans="7:14" x14ac:dyDescent="0.3">
      <c r="G21916" s="1"/>
      <c r="N21916" s="1"/>
    </row>
    <row r="21917" spans="7:14" x14ac:dyDescent="0.3">
      <c r="G21917" s="1"/>
      <c r="N21917" s="1"/>
    </row>
    <row r="21918" spans="7:14" x14ac:dyDescent="0.3">
      <c r="G21918" s="1"/>
      <c r="N21918" s="1"/>
    </row>
    <row r="21919" spans="7:14" x14ac:dyDescent="0.3">
      <c r="G21919" s="1"/>
      <c r="N21919" s="1"/>
    </row>
    <row r="21920" spans="7:14" x14ac:dyDescent="0.3">
      <c r="G21920" s="1"/>
      <c r="N21920" s="1"/>
    </row>
    <row r="21921" spans="7:14" x14ac:dyDescent="0.3">
      <c r="G21921" s="1"/>
      <c r="N21921" s="1"/>
    </row>
    <row r="21922" spans="7:14" x14ac:dyDescent="0.3">
      <c r="G21922" s="1"/>
      <c r="N21922" s="1"/>
    </row>
    <row r="21923" spans="7:14" x14ac:dyDescent="0.3">
      <c r="G21923" s="1"/>
      <c r="N21923" s="1"/>
    </row>
    <row r="21924" spans="7:14" x14ac:dyDescent="0.3">
      <c r="G21924" s="1"/>
      <c r="N21924" s="1"/>
    </row>
    <row r="21925" spans="7:14" x14ac:dyDescent="0.3">
      <c r="G21925" s="1"/>
      <c r="N21925" s="1"/>
    </row>
    <row r="21926" spans="7:14" x14ac:dyDescent="0.3">
      <c r="G21926" s="1"/>
      <c r="N21926" s="1"/>
    </row>
    <row r="21927" spans="7:14" x14ac:dyDescent="0.3">
      <c r="G21927" s="1"/>
      <c r="N21927" s="1"/>
    </row>
    <row r="21928" spans="7:14" x14ac:dyDescent="0.3">
      <c r="G21928" s="1"/>
      <c r="N21928" s="1"/>
    </row>
    <row r="21929" spans="7:14" x14ac:dyDescent="0.3">
      <c r="G21929" s="1"/>
      <c r="N21929" s="1"/>
    </row>
    <row r="21930" spans="7:14" x14ac:dyDescent="0.3">
      <c r="G21930" s="1"/>
      <c r="N21930" s="1"/>
    </row>
    <row r="21931" spans="7:14" x14ac:dyDescent="0.3">
      <c r="G21931" s="1"/>
      <c r="N21931" s="1"/>
    </row>
    <row r="21932" spans="7:14" x14ac:dyDescent="0.3">
      <c r="G21932" s="1"/>
      <c r="N21932" s="1"/>
    </row>
    <row r="21933" spans="7:14" x14ac:dyDescent="0.3">
      <c r="G21933" s="1"/>
      <c r="N21933" s="1"/>
    </row>
    <row r="21934" spans="7:14" x14ac:dyDescent="0.3">
      <c r="G21934" s="1"/>
      <c r="N21934" s="1"/>
    </row>
    <row r="21935" spans="7:14" x14ac:dyDescent="0.3">
      <c r="G21935" s="1"/>
      <c r="N21935" s="1"/>
    </row>
    <row r="21936" spans="7:14" x14ac:dyDescent="0.3">
      <c r="G21936" s="1"/>
      <c r="N21936" s="1"/>
    </row>
    <row r="21937" spans="7:14" x14ac:dyDescent="0.3">
      <c r="G21937" s="1"/>
      <c r="N21937" s="1"/>
    </row>
    <row r="21938" spans="7:14" x14ac:dyDescent="0.3">
      <c r="G21938" s="1"/>
      <c r="N21938" s="1"/>
    </row>
    <row r="21939" spans="7:14" x14ac:dyDescent="0.3">
      <c r="G21939" s="1"/>
      <c r="N21939" s="1"/>
    </row>
    <row r="21940" spans="7:14" x14ac:dyDescent="0.3">
      <c r="G21940" s="1"/>
      <c r="N21940" s="1"/>
    </row>
    <row r="21941" spans="7:14" x14ac:dyDescent="0.3">
      <c r="G21941" s="1"/>
      <c r="N21941" s="1"/>
    </row>
    <row r="21942" spans="7:14" x14ac:dyDescent="0.3">
      <c r="G21942" s="1"/>
      <c r="N21942" s="1"/>
    </row>
    <row r="21943" spans="7:14" x14ac:dyDescent="0.3">
      <c r="G21943" s="1"/>
      <c r="N21943" s="1"/>
    </row>
    <row r="21944" spans="7:14" x14ac:dyDescent="0.3">
      <c r="G21944" s="1"/>
      <c r="N21944" s="1"/>
    </row>
    <row r="21945" spans="7:14" x14ac:dyDescent="0.3">
      <c r="G21945" s="1"/>
      <c r="N21945" s="1"/>
    </row>
    <row r="21946" spans="7:14" x14ac:dyDescent="0.3">
      <c r="G21946" s="1"/>
      <c r="N21946" s="1"/>
    </row>
    <row r="21947" spans="7:14" x14ac:dyDescent="0.3">
      <c r="G21947" s="1"/>
      <c r="N21947" s="1"/>
    </row>
    <row r="21948" spans="7:14" x14ac:dyDescent="0.3">
      <c r="G21948" s="1"/>
      <c r="N21948" s="1"/>
    </row>
    <row r="21949" spans="7:14" x14ac:dyDescent="0.3">
      <c r="G21949" s="1"/>
      <c r="N21949" s="1"/>
    </row>
    <row r="21950" spans="7:14" x14ac:dyDescent="0.3">
      <c r="G21950" s="1"/>
      <c r="N21950" s="1"/>
    </row>
    <row r="21951" spans="7:14" x14ac:dyDescent="0.3">
      <c r="G21951" s="1"/>
      <c r="N21951" s="1"/>
    </row>
    <row r="21952" spans="7:14" x14ac:dyDescent="0.3">
      <c r="G21952" s="1"/>
      <c r="N21952" s="1"/>
    </row>
    <row r="21953" spans="7:14" x14ac:dyDescent="0.3">
      <c r="G21953" s="1"/>
      <c r="N21953" s="1"/>
    </row>
    <row r="21954" spans="7:14" x14ac:dyDescent="0.3">
      <c r="G21954" s="1"/>
      <c r="N21954" s="1"/>
    </row>
    <row r="21955" spans="7:14" x14ac:dyDescent="0.3">
      <c r="G21955" s="1"/>
      <c r="N21955" s="1"/>
    </row>
    <row r="21956" spans="7:14" x14ac:dyDescent="0.3">
      <c r="G21956" s="1"/>
      <c r="N21956" s="1"/>
    </row>
    <row r="21957" spans="7:14" x14ac:dyDescent="0.3">
      <c r="G21957" s="1"/>
      <c r="N21957" s="1"/>
    </row>
    <row r="21958" spans="7:14" x14ac:dyDescent="0.3">
      <c r="G21958" s="1"/>
      <c r="N21958" s="1"/>
    </row>
    <row r="21959" spans="7:14" x14ac:dyDescent="0.3">
      <c r="G21959" s="1"/>
      <c r="N21959" s="1"/>
    </row>
    <row r="21960" spans="7:14" x14ac:dyDescent="0.3">
      <c r="G21960" s="1"/>
      <c r="N21960" s="1"/>
    </row>
    <row r="21961" spans="7:14" x14ac:dyDescent="0.3">
      <c r="G21961" s="1"/>
      <c r="N21961" s="1"/>
    </row>
    <row r="21962" spans="7:14" x14ac:dyDescent="0.3">
      <c r="G21962" s="1"/>
      <c r="N21962" s="1"/>
    </row>
    <row r="21963" spans="7:14" x14ac:dyDescent="0.3">
      <c r="G21963" s="1"/>
      <c r="N21963" s="1"/>
    </row>
    <row r="21964" spans="7:14" x14ac:dyDescent="0.3">
      <c r="G21964" s="1"/>
      <c r="N21964" s="1"/>
    </row>
    <row r="21965" spans="7:14" x14ac:dyDescent="0.3">
      <c r="G21965" s="1"/>
      <c r="N21965" s="1"/>
    </row>
    <row r="21966" spans="7:14" x14ac:dyDescent="0.3">
      <c r="G21966" s="1"/>
      <c r="N21966" s="1"/>
    </row>
    <row r="21967" spans="7:14" x14ac:dyDescent="0.3">
      <c r="G21967" s="1"/>
      <c r="N21967" s="1"/>
    </row>
    <row r="21968" spans="7:14" x14ac:dyDescent="0.3">
      <c r="G21968" s="1"/>
      <c r="N21968" s="1"/>
    </row>
    <row r="21969" spans="7:14" x14ac:dyDescent="0.3">
      <c r="G21969" s="1"/>
      <c r="N21969" s="1"/>
    </row>
    <row r="21970" spans="7:14" x14ac:dyDescent="0.3">
      <c r="G21970" s="1"/>
      <c r="N21970" s="1"/>
    </row>
    <row r="21971" spans="7:14" x14ac:dyDescent="0.3">
      <c r="G21971" s="1"/>
      <c r="N21971" s="1"/>
    </row>
    <row r="21972" spans="7:14" x14ac:dyDescent="0.3">
      <c r="G21972" s="1"/>
      <c r="N21972" s="1"/>
    </row>
    <row r="21973" spans="7:14" x14ac:dyDescent="0.3">
      <c r="G21973" s="1"/>
      <c r="N21973" s="1"/>
    </row>
    <row r="21974" spans="7:14" x14ac:dyDescent="0.3">
      <c r="G21974" s="1"/>
      <c r="N21974" s="1"/>
    </row>
    <row r="21975" spans="7:14" x14ac:dyDescent="0.3">
      <c r="G21975" s="1"/>
      <c r="N21975" s="1"/>
    </row>
    <row r="21976" spans="7:14" x14ac:dyDescent="0.3">
      <c r="G21976" s="1"/>
      <c r="N21976" s="1"/>
    </row>
    <row r="21977" spans="7:14" x14ac:dyDescent="0.3">
      <c r="G21977" s="1"/>
      <c r="N21977" s="1"/>
    </row>
    <row r="21978" spans="7:14" x14ac:dyDescent="0.3">
      <c r="G21978" s="1"/>
      <c r="N21978" s="1"/>
    </row>
    <row r="21979" spans="7:14" x14ac:dyDescent="0.3">
      <c r="G21979" s="1"/>
      <c r="N21979" s="1"/>
    </row>
    <row r="21980" spans="7:14" x14ac:dyDescent="0.3">
      <c r="G21980" s="1"/>
      <c r="N21980" s="1"/>
    </row>
    <row r="21981" spans="7:14" x14ac:dyDescent="0.3">
      <c r="G21981" s="1"/>
      <c r="N21981" s="1"/>
    </row>
    <row r="21982" spans="7:14" x14ac:dyDescent="0.3">
      <c r="G21982" s="1"/>
      <c r="N21982" s="1"/>
    </row>
    <row r="21983" spans="7:14" x14ac:dyDescent="0.3">
      <c r="G21983" s="1"/>
      <c r="N21983" s="1"/>
    </row>
    <row r="21984" spans="7:14" x14ac:dyDescent="0.3">
      <c r="G21984" s="1"/>
      <c r="N21984" s="1"/>
    </row>
    <row r="21985" spans="7:14" x14ac:dyDescent="0.3">
      <c r="G21985" s="1"/>
      <c r="N21985" s="1"/>
    </row>
    <row r="21986" spans="7:14" x14ac:dyDescent="0.3">
      <c r="G21986" s="1"/>
      <c r="N21986" s="1"/>
    </row>
    <row r="21987" spans="7:14" x14ac:dyDescent="0.3">
      <c r="G21987" s="1"/>
      <c r="N21987" s="1"/>
    </row>
    <row r="21988" spans="7:14" x14ac:dyDescent="0.3">
      <c r="G21988" s="1"/>
      <c r="N21988" s="1"/>
    </row>
    <row r="21989" spans="7:14" x14ac:dyDescent="0.3">
      <c r="G21989" s="1"/>
      <c r="N21989" s="1"/>
    </row>
    <row r="21990" spans="7:14" x14ac:dyDescent="0.3">
      <c r="G21990" s="1"/>
      <c r="N21990" s="1"/>
    </row>
    <row r="21991" spans="7:14" x14ac:dyDescent="0.3">
      <c r="G21991" s="1"/>
      <c r="N21991" s="1"/>
    </row>
    <row r="21992" spans="7:14" x14ac:dyDescent="0.3">
      <c r="G21992" s="1"/>
      <c r="N21992" s="1"/>
    </row>
    <row r="21993" spans="7:14" x14ac:dyDescent="0.3">
      <c r="G21993" s="1"/>
      <c r="N21993" s="1"/>
    </row>
    <row r="21994" spans="7:14" x14ac:dyDescent="0.3">
      <c r="G21994" s="1"/>
      <c r="N21994" s="1"/>
    </row>
    <row r="21995" spans="7:14" x14ac:dyDescent="0.3">
      <c r="G21995" s="1"/>
      <c r="N21995" s="1"/>
    </row>
    <row r="21996" spans="7:14" x14ac:dyDescent="0.3">
      <c r="G21996" s="1"/>
      <c r="N21996" s="1"/>
    </row>
    <row r="21997" spans="7:14" x14ac:dyDescent="0.3">
      <c r="G21997" s="1"/>
      <c r="N21997" s="1"/>
    </row>
    <row r="21998" spans="7:14" x14ac:dyDescent="0.3">
      <c r="G21998" s="1"/>
      <c r="N21998" s="1"/>
    </row>
    <row r="21999" spans="7:14" x14ac:dyDescent="0.3">
      <c r="G21999" s="1"/>
      <c r="N21999" s="1"/>
    </row>
    <row r="22000" spans="7:14" x14ac:dyDescent="0.3">
      <c r="G22000" s="1"/>
      <c r="N22000" s="1"/>
    </row>
    <row r="22001" spans="7:14" x14ac:dyDescent="0.3">
      <c r="G22001" s="1"/>
      <c r="N22001" s="1"/>
    </row>
    <row r="22002" spans="7:14" x14ac:dyDescent="0.3">
      <c r="G22002" s="1"/>
      <c r="N22002" s="1"/>
    </row>
    <row r="22003" spans="7:14" x14ac:dyDescent="0.3">
      <c r="G22003" s="1"/>
      <c r="N22003" s="1"/>
    </row>
    <row r="22004" spans="7:14" x14ac:dyDescent="0.3">
      <c r="G22004" s="1"/>
      <c r="N22004" s="1"/>
    </row>
    <row r="22005" spans="7:14" x14ac:dyDescent="0.3">
      <c r="G22005" s="1"/>
      <c r="N22005" s="1"/>
    </row>
    <row r="22006" spans="7:14" x14ac:dyDescent="0.3">
      <c r="G22006" s="1"/>
      <c r="N22006" s="1"/>
    </row>
    <row r="22007" spans="7:14" x14ac:dyDescent="0.3">
      <c r="G22007" s="1"/>
      <c r="N22007" s="1"/>
    </row>
    <row r="22008" spans="7:14" x14ac:dyDescent="0.3">
      <c r="G22008" s="1"/>
      <c r="N22008" s="1"/>
    </row>
    <row r="22009" spans="7:14" x14ac:dyDescent="0.3">
      <c r="G22009" s="1"/>
      <c r="N22009" s="1"/>
    </row>
    <row r="22010" spans="7:14" x14ac:dyDescent="0.3">
      <c r="G22010" s="1"/>
      <c r="N22010" s="1"/>
    </row>
    <row r="22011" spans="7:14" x14ac:dyDescent="0.3">
      <c r="G22011" s="1"/>
      <c r="N22011" s="1"/>
    </row>
    <row r="22012" spans="7:14" x14ac:dyDescent="0.3">
      <c r="G22012" s="1"/>
      <c r="N22012" s="1"/>
    </row>
    <row r="22013" spans="7:14" x14ac:dyDescent="0.3">
      <c r="G22013" s="1"/>
      <c r="N22013" s="1"/>
    </row>
    <row r="22014" spans="7:14" x14ac:dyDescent="0.3">
      <c r="G22014" s="1"/>
      <c r="N22014" s="1"/>
    </row>
    <row r="22015" spans="7:14" x14ac:dyDescent="0.3">
      <c r="G22015" s="1"/>
      <c r="N22015" s="1"/>
    </row>
    <row r="22016" spans="7:14" x14ac:dyDescent="0.3">
      <c r="G22016" s="1"/>
      <c r="N22016" s="1"/>
    </row>
    <row r="22017" spans="7:14" x14ac:dyDescent="0.3">
      <c r="G22017" s="1"/>
      <c r="N22017" s="1"/>
    </row>
    <row r="22018" spans="7:14" x14ac:dyDescent="0.3">
      <c r="G22018" s="1"/>
      <c r="N22018" s="1"/>
    </row>
    <row r="22019" spans="7:14" x14ac:dyDescent="0.3">
      <c r="G22019" s="1"/>
      <c r="N22019" s="1"/>
    </row>
    <row r="22020" spans="7:14" x14ac:dyDescent="0.3">
      <c r="G22020" s="1"/>
      <c r="N22020" s="1"/>
    </row>
    <row r="22021" spans="7:14" x14ac:dyDescent="0.3">
      <c r="G22021" s="1"/>
      <c r="N22021" s="1"/>
    </row>
    <row r="22022" spans="7:14" x14ac:dyDescent="0.3">
      <c r="G22022" s="1"/>
      <c r="N22022" s="1"/>
    </row>
    <row r="22023" spans="7:14" x14ac:dyDescent="0.3">
      <c r="G22023" s="1"/>
      <c r="N22023" s="1"/>
    </row>
    <row r="22024" spans="7:14" x14ac:dyDescent="0.3">
      <c r="G22024" s="1"/>
      <c r="N22024" s="1"/>
    </row>
    <row r="22025" spans="7:14" x14ac:dyDescent="0.3">
      <c r="G22025" s="1"/>
      <c r="N22025" s="1"/>
    </row>
    <row r="22026" spans="7:14" x14ac:dyDescent="0.3">
      <c r="G22026" s="1"/>
      <c r="N22026" s="1"/>
    </row>
    <row r="22027" spans="7:14" x14ac:dyDescent="0.3">
      <c r="G22027" s="1"/>
      <c r="N22027" s="1"/>
    </row>
    <row r="22028" spans="7:14" x14ac:dyDescent="0.3">
      <c r="G22028" s="1"/>
      <c r="N22028" s="1"/>
    </row>
    <row r="22029" spans="7:14" x14ac:dyDescent="0.3">
      <c r="G22029" s="1"/>
      <c r="N22029" s="1"/>
    </row>
    <row r="22030" spans="7:14" x14ac:dyDescent="0.3">
      <c r="G22030" s="1"/>
      <c r="N22030" s="1"/>
    </row>
    <row r="22031" spans="7:14" x14ac:dyDescent="0.3">
      <c r="G22031" s="1"/>
      <c r="N22031" s="1"/>
    </row>
    <row r="22032" spans="7:14" x14ac:dyDescent="0.3">
      <c r="G22032" s="1"/>
      <c r="N22032" s="1"/>
    </row>
    <row r="22033" spans="7:14" x14ac:dyDescent="0.3">
      <c r="G22033" s="1"/>
      <c r="N22033" s="1"/>
    </row>
    <row r="22034" spans="7:14" x14ac:dyDescent="0.3">
      <c r="G22034" s="1"/>
      <c r="N22034" s="1"/>
    </row>
    <row r="22035" spans="7:14" x14ac:dyDescent="0.3">
      <c r="G22035" s="1"/>
      <c r="N22035" s="1"/>
    </row>
    <row r="22036" spans="7:14" x14ac:dyDescent="0.3">
      <c r="G22036" s="1"/>
      <c r="N22036" s="1"/>
    </row>
    <row r="22037" spans="7:14" x14ac:dyDescent="0.3">
      <c r="G22037" s="1"/>
      <c r="N22037" s="1"/>
    </row>
    <row r="22038" spans="7:14" x14ac:dyDescent="0.3">
      <c r="G22038" s="1"/>
      <c r="N22038" s="1"/>
    </row>
    <row r="22039" spans="7:14" x14ac:dyDescent="0.3">
      <c r="G22039" s="1"/>
      <c r="N22039" s="1"/>
    </row>
    <row r="22040" spans="7:14" x14ac:dyDescent="0.3">
      <c r="G22040" s="1"/>
      <c r="N22040" s="1"/>
    </row>
    <row r="22041" spans="7:14" x14ac:dyDescent="0.3">
      <c r="G22041" s="1"/>
      <c r="N22041" s="1"/>
    </row>
    <row r="22042" spans="7:14" x14ac:dyDescent="0.3">
      <c r="G22042" s="1"/>
      <c r="N22042" s="1"/>
    </row>
    <row r="22043" spans="7:14" x14ac:dyDescent="0.3">
      <c r="G22043" s="1"/>
      <c r="N22043" s="1"/>
    </row>
    <row r="22044" spans="7:14" x14ac:dyDescent="0.3">
      <c r="G22044" s="1"/>
      <c r="N22044" s="1"/>
    </row>
    <row r="22045" spans="7:14" x14ac:dyDescent="0.3">
      <c r="G22045" s="1"/>
      <c r="N22045" s="1"/>
    </row>
    <row r="22046" spans="7:14" x14ac:dyDescent="0.3">
      <c r="G22046" s="1"/>
      <c r="N22046" s="1"/>
    </row>
    <row r="22047" spans="7:14" x14ac:dyDescent="0.3">
      <c r="G22047" s="1"/>
      <c r="N22047" s="1"/>
    </row>
    <row r="22048" spans="7:14" x14ac:dyDescent="0.3">
      <c r="G22048" s="1"/>
      <c r="N22048" s="1"/>
    </row>
    <row r="22049" spans="7:14" x14ac:dyDescent="0.3">
      <c r="G22049" s="1"/>
      <c r="N22049" s="1"/>
    </row>
    <row r="22050" spans="7:14" x14ac:dyDescent="0.3">
      <c r="G22050" s="1"/>
      <c r="N22050" s="1"/>
    </row>
    <row r="22051" spans="7:14" x14ac:dyDescent="0.3">
      <c r="G22051" s="1"/>
      <c r="N22051" s="1"/>
    </row>
    <row r="22052" spans="7:14" x14ac:dyDescent="0.3">
      <c r="G22052" s="1"/>
      <c r="N22052" s="1"/>
    </row>
    <row r="22053" spans="7:14" x14ac:dyDescent="0.3">
      <c r="G22053" s="1"/>
      <c r="N22053" s="1"/>
    </row>
    <row r="22054" spans="7:14" x14ac:dyDescent="0.3">
      <c r="G22054" s="1"/>
      <c r="N22054" s="1"/>
    </row>
    <row r="22055" spans="7:14" x14ac:dyDescent="0.3">
      <c r="G22055" s="1"/>
      <c r="N22055" s="1"/>
    </row>
    <row r="22056" spans="7:14" x14ac:dyDescent="0.3">
      <c r="G22056" s="1"/>
      <c r="N22056" s="1"/>
    </row>
    <row r="22057" spans="7:14" x14ac:dyDescent="0.3">
      <c r="G22057" s="1"/>
      <c r="N22057" s="1"/>
    </row>
    <row r="22058" spans="7:14" x14ac:dyDescent="0.3">
      <c r="G22058" s="1"/>
      <c r="N22058" s="1"/>
    </row>
    <row r="22059" spans="7:14" x14ac:dyDescent="0.3">
      <c r="G22059" s="1"/>
      <c r="N22059" s="1"/>
    </row>
    <row r="22060" spans="7:14" x14ac:dyDescent="0.3">
      <c r="G22060" s="1"/>
      <c r="N22060" s="1"/>
    </row>
    <row r="22061" spans="7:14" x14ac:dyDescent="0.3">
      <c r="G22061" s="1"/>
      <c r="N22061" s="1"/>
    </row>
    <row r="22062" spans="7:14" x14ac:dyDescent="0.3">
      <c r="G22062" s="1"/>
      <c r="N22062" s="1"/>
    </row>
    <row r="22063" spans="7:14" x14ac:dyDescent="0.3">
      <c r="G22063" s="1"/>
      <c r="N22063" s="1"/>
    </row>
    <row r="22064" spans="7:14" x14ac:dyDescent="0.3">
      <c r="G22064" s="1"/>
      <c r="N22064" s="1"/>
    </row>
    <row r="22065" spans="7:14" x14ac:dyDescent="0.3">
      <c r="G22065" s="1"/>
      <c r="N22065" s="1"/>
    </row>
    <row r="22066" spans="7:14" x14ac:dyDescent="0.3">
      <c r="G22066" s="1"/>
      <c r="N22066" s="1"/>
    </row>
    <row r="22067" spans="7:14" x14ac:dyDescent="0.3">
      <c r="G22067" s="1"/>
      <c r="N22067" s="1"/>
    </row>
    <row r="22068" spans="7:14" x14ac:dyDescent="0.3">
      <c r="G22068" s="1"/>
      <c r="N22068" s="1"/>
    </row>
    <row r="22069" spans="7:14" x14ac:dyDescent="0.3">
      <c r="G22069" s="1"/>
      <c r="N22069" s="1"/>
    </row>
    <row r="22070" spans="7:14" x14ac:dyDescent="0.3">
      <c r="G22070" s="1"/>
      <c r="N22070" s="1"/>
    </row>
    <row r="22071" spans="7:14" x14ac:dyDescent="0.3">
      <c r="G22071" s="1"/>
      <c r="N22071" s="1"/>
    </row>
    <row r="22072" spans="7:14" x14ac:dyDescent="0.3">
      <c r="G22072" s="1"/>
      <c r="N22072" s="1"/>
    </row>
    <row r="22073" spans="7:14" x14ac:dyDescent="0.3">
      <c r="G22073" s="1"/>
      <c r="N22073" s="1"/>
    </row>
    <row r="22074" spans="7:14" x14ac:dyDescent="0.3">
      <c r="G22074" s="1"/>
      <c r="N22074" s="1"/>
    </row>
    <row r="22075" spans="7:14" x14ac:dyDescent="0.3">
      <c r="G22075" s="1"/>
      <c r="N22075" s="1"/>
    </row>
    <row r="22076" spans="7:14" x14ac:dyDescent="0.3">
      <c r="G22076" s="1"/>
      <c r="N22076" s="1"/>
    </row>
    <row r="22077" spans="7:14" x14ac:dyDescent="0.3">
      <c r="G22077" s="1"/>
      <c r="N22077" s="1"/>
    </row>
    <row r="22078" spans="7:14" x14ac:dyDescent="0.3">
      <c r="G22078" s="1"/>
      <c r="N22078" s="1"/>
    </row>
    <row r="22079" spans="7:14" x14ac:dyDescent="0.3">
      <c r="G22079" s="1"/>
      <c r="N22079" s="1"/>
    </row>
    <row r="22080" spans="7:14" x14ac:dyDescent="0.3">
      <c r="G22080" s="1"/>
      <c r="N22080" s="1"/>
    </row>
    <row r="22081" spans="7:14" x14ac:dyDescent="0.3">
      <c r="G22081" s="1"/>
      <c r="N22081" s="1"/>
    </row>
    <row r="22082" spans="7:14" x14ac:dyDescent="0.3">
      <c r="G22082" s="1"/>
      <c r="N22082" s="1"/>
    </row>
    <row r="22083" spans="7:14" x14ac:dyDescent="0.3">
      <c r="G22083" s="1"/>
      <c r="N22083" s="1"/>
    </row>
    <row r="22084" spans="7:14" x14ac:dyDescent="0.3">
      <c r="G22084" s="1"/>
      <c r="N22084" s="1"/>
    </row>
    <row r="22085" spans="7:14" x14ac:dyDescent="0.3">
      <c r="G22085" s="1"/>
      <c r="N22085" s="1"/>
    </row>
    <row r="22086" spans="7:14" x14ac:dyDescent="0.3">
      <c r="G22086" s="1"/>
      <c r="N22086" s="1"/>
    </row>
    <row r="22087" spans="7:14" x14ac:dyDescent="0.3">
      <c r="G22087" s="1"/>
      <c r="N22087" s="1"/>
    </row>
    <row r="22088" spans="7:14" x14ac:dyDescent="0.3">
      <c r="G22088" s="1"/>
      <c r="N22088" s="1"/>
    </row>
    <row r="22089" spans="7:14" x14ac:dyDescent="0.3">
      <c r="G22089" s="1"/>
      <c r="N22089" s="1"/>
    </row>
    <row r="22090" spans="7:14" x14ac:dyDescent="0.3">
      <c r="G22090" s="1"/>
      <c r="N22090" s="1"/>
    </row>
    <row r="22091" spans="7:14" x14ac:dyDescent="0.3">
      <c r="G22091" s="1"/>
      <c r="N22091" s="1"/>
    </row>
    <row r="22092" spans="7:14" x14ac:dyDescent="0.3">
      <c r="G22092" s="1"/>
      <c r="N22092" s="1"/>
    </row>
    <row r="22093" spans="7:14" x14ac:dyDescent="0.3">
      <c r="G22093" s="1"/>
      <c r="N22093" s="1"/>
    </row>
    <row r="22094" spans="7:14" x14ac:dyDescent="0.3">
      <c r="G22094" s="1"/>
      <c r="N22094" s="1"/>
    </row>
    <row r="22095" spans="7:14" x14ac:dyDescent="0.3">
      <c r="G22095" s="1"/>
      <c r="N22095" s="1"/>
    </row>
    <row r="22096" spans="7:14" x14ac:dyDescent="0.3">
      <c r="G22096" s="1"/>
      <c r="N22096" s="1"/>
    </row>
    <row r="22097" spans="7:14" x14ac:dyDescent="0.3">
      <c r="G22097" s="1"/>
      <c r="N22097" s="1"/>
    </row>
    <row r="22098" spans="7:14" x14ac:dyDescent="0.3">
      <c r="G22098" s="1"/>
      <c r="N22098" s="1"/>
    </row>
    <row r="22099" spans="7:14" x14ac:dyDescent="0.3">
      <c r="G22099" s="1"/>
      <c r="N22099" s="1"/>
    </row>
    <row r="22100" spans="7:14" x14ac:dyDescent="0.3">
      <c r="G22100" s="1"/>
      <c r="N22100" s="1"/>
    </row>
    <row r="22101" spans="7:14" x14ac:dyDescent="0.3">
      <c r="G22101" s="1"/>
      <c r="N22101" s="1"/>
    </row>
    <row r="22102" spans="7:14" x14ac:dyDescent="0.3">
      <c r="G22102" s="1"/>
      <c r="N22102" s="1"/>
    </row>
    <row r="22103" spans="7:14" x14ac:dyDescent="0.3">
      <c r="G22103" s="1"/>
      <c r="N22103" s="1"/>
    </row>
    <row r="22104" spans="7:14" x14ac:dyDescent="0.3">
      <c r="G22104" s="1"/>
      <c r="N22104" s="1"/>
    </row>
    <row r="22105" spans="7:14" x14ac:dyDescent="0.3">
      <c r="G22105" s="1"/>
      <c r="N22105" s="1"/>
    </row>
    <row r="22106" spans="7:14" x14ac:dyDescent="0.3">
      <c r="G22106" s="1"/>
      <c r="N22106" s="1"/>
    </row>
    <row r="22107" spans="7:14" x14ac:dyDescent="0.3">
      <c r="G22107" s="1"/>
      <c r="N22107" s="1"/>
    </row>
    <row r="22108" spans="7:14" x14ac:dyDescent="0.3">
      <c r="G22108" s="1"/>
      <c r="N22108" s="1"/>
    </row>
    <row r="22109" spans="7:14" x14ac:dyDescent="0.3">
      <c r="G22109" s="1"/>
      <c r="N22109" s="1"/>
    </row>
    <row r="22110" spans="7:14" x14ac:dyDescent="0.3">
      <c r="G22110" s="1"/>
      <c r="N22110" s="1"/>
    </row>
    <row r="22111" spans="7:14" x14ac:dyDescent="0.3">
      <c r="G22111" s="1"/>
      <c r="N22111" s="1"/>
    </row>
    <row r="22112" spans="7:14" x14ac:dyDescent="0.3">
      <c r="G22112" s="1"/>
      <c r="N22112" s="1"/>
    </row>
    <row r="22113" spans="7:14" x14ac:dyDescent="0.3">
      <c r="G22113" s="1"/>
      <c r="N22113" s="1"/>
    </row>
    <row r="22114" spans="7:14" x14ac:dyDescent="0.3">
      <c r="G22114" s="1"/>
      <c r="N22114" s="1"/>
    </row>
    <row r="22115" spans="7:14" x14ac:dyDescent="0.3">
      <c r="G22115" s="1"/>
      <c r="N22115" s="1"/>
    </row>
    <row r="22116" spans="7:14" x14ac:dyDescent="0.3">
      <c r="G22116" s="1"/>
      <c r="N22116" s="1"/>
    </row>
    <row r="22117" spans="7:14" x14ac:dyDescent="0.3">
      <c r="G22117" s="1"/>
      <c r="N22117" s="1"/>
    </row>
    <row r="22118" spans="7:14" x14ac:dyDescent="0.3">
      <c r="G22118" s="1"/>
      <c r="N22118" s="1"/>
    </row>
    <row r="22119" spans="7:14" x14ac:dyDescent="0.3">
      <c r="G22119" s="1"/>
      <c r="N22119" s="1"/>
    </row>
    <row r="22120" spans="7:14" x14ac:dyDescent="0.3">
      <c r="G22120" s="1"/>
      <c r="N22120" s="1"/>
    </row>
    <row r="22121" spans="7:14" x14ac:dyDescent="0.3">
      <c r="G22121" s="1"/>
      <c r="N22121" s="1"/>
    </row>
    <row r="22122" spans="7:14" x14ac:dyDescent="0.3">
      <c r="G22122" s="1"/>
      <c r="N22122" s="1"/>
    </row>
    <row r="22123" spans="7:14" x14ac:dyDescent="0.3">
      <c r="G22123" s="1"/>
      <c r="N22123" s="1"/>
    </row>
    <row r="22124" spans="7:14" x14ac:dyDescent="0.3">
      <c r="G22124" s="1"/>
      <c r="N22124" s="1"/>
    </row>
    <row r="22125" spans="7:14" x14ac:dyDescent="0.3">
      <c r="G22125" s="1"/>
      <c r="N22125" s="1"/>
    </row>
    <row r="22126" spans="7:14" x14ac:dyDescent="0.3">
      <c r="G22126" s="1"/>
      <c r="N22126" s="1"/>
    </row>
    <row r="22127" spans="7:14" x14ac:dyDescent="0.3">
      <c r="G22127" s="1"/>
      <c r="N22127" s="1"/>
    </row>
    <row r="22128" spans="7:14" x14ac:dyDescent="0.3">
      <c r="G22128" s="1"/>
      <c r="N22128" s="1"/>
    </row>
    <row r="22129" spans="7:14" x14ac:dyDescent="0.3">
      <c r="G22129" s="1"/>
      <c r="N22129" s="1"/>
    </row>
    <row r="22130" spans="7:14" x14ac:dyDescent="0.3">
      <c r="G22130" s="1"/>
      <c r="N22130" s="1"/>
    </row>
    <row r="22131" spans="7:14" x14ac:dyDescent="0.3">
      <c r="G22131" s="1"/>
      <c r="N22131" s="1"/>
    </row>
    <row r="22132" spans="7:14" x14ac:dyDescent="0.3">
      <c r="G22132" s="1"/>
      <c r="N22132" s="1"/>
    </row>
    <row r="22133" spans="7:14" x14ac:dyDescent="0.3">
      <c r="G22133" s="1"/>
      <c r="N22133" s="1"/>
    </row>
    <row r="22134" spans="7:14" x14ac:dyDescent="0.3">
      <c r="G22134" s="1"/>
      <c r="N22134" s="1"/>
    </row>
    <row r="22135" spans="7:14" x14ac:dyDescent="0.3">
      <c r="G22135" s="1"/>
      <c r="N22135" s="1"/>
    </row>
    <row r="22136" spans="7:14" x14ac:dyDescent="0.3">
      <c r="G22136" s="1"/>
      <c r="N22136" s="1"/>
    </row>
    <row r="22137" spans="7:14" x14ac:dyDescent="0.3">
      <c r="G22137" s="1"/>
      <c r="N22137" s="1"/>
    </row>
    <row r="22138" spans="7:14" x14ac:dyDescent="0.3">
      <c r="G22138" s="1"/>
      <c r="N22138" s="1"/>
    </row>
    <row r="22139" spans="7:14" x14ac:dyDescent="0.3">
      <c r="G22139" s="1"/>
      <c r="N22139" s="1"/>
    </row>
    <row r="22140" spans="7:14" x14ac:dyDescent="0.3">
      <c r="G22140" s="1"/>
      <c r="N22140" s="1"/>
    </row>
    <row r="22141" spans="7:14" x14ac:dyDescent="0.3">
      <c r="G22141" s="1"/>
      <c r="N22141" s="1"/>
    </row>
    <row r="22142" spans="7:14" x14ac:dyDescent="0.3">
      <c r="G22142" s="1"/>
      <c r="N22142" s="1"/>
    </row>
    <row r="22143" spans="7:14" x14ac:dyDescent="0.3">
      <c r="G22143" s="1"/>
      <c r="N22143" s="1"/>
    </row>
    <row r="22144" spans="7:14" x14ac:dyDescent="0.3">
      <c r="G22144" s="1"/>
      <c r="N22144" s="1"/>
    </row>
    <row r="22145" spans="7:14" x14ac:dyDescent="0.3">
      <c r="G22145" s="1"/>
      <c r="N22145" s="1"/>
    </row>
    <row r="22146" spans="7:14" x14ac:dyDescent="0.3">
      <c r="G22146" s="1"/>
      <c r="N22146" s="1"/>
    </row>
    <row r="22147" spans="7:14" x14ac:dyDescent="0.3">
      <c r="G22147" s="1"/>
      <c r="N22147" s="1"/>
    </row>
    <row r="22148" spans="7:14" x14ac:dyDescent="0.3">
      <c r="G22148" s="1"/>
      <c r="N22148" s="1"/>
    </row>
    <row r="22149" spans="7:14" x14ac:dyDescent="0.3">
      <c r="G22149" s="1"/>
      <c r="N22149" s="1"/>
    </row>
    <row r="22150" spans="7:14" x14ac:dyDescent="0.3">
      <c r="G22150" s="1"/>
      <c r="N22150" s="1"/>
    </row>
    <row r="22151" spans="7:14" x14ac:dyDescent="0.3">
      <c r="G22151" s="1"/>
      <c r="N22151" s="1"/>
    </row>
    <row r="22152" spans="7:14" x14ac:dyDescent="0.3">
      <c r="G22152" s="1"/>
      <c r="N22152" s="1"/>
    </row>
    <row r="22153" spans="7:14" x14ac:dyDescent="0.3">
      <c r="G22153" s="1"/>
      <c r="N22153" s="1"/>
    </row>
    <row r="22154" spans="7:14" x14ac:dyDescent="0.3">
      <c r="G22154" s="1"/>
      <c r="N22154" s="1"/>
    </row>
    <row r="22155" spans="7:14" x14ac:dyDescent="0.3">
      <c r="G22155" s="1"/>
      <c r="N22155" s="1"/>
    </row>
    <row r="22156" spans="7:14" x14ac:dyDescent="0.3">
      <c r="G22156" s="1"/>
      <c r="N22156" s="1"/>
    </row>
    <row r="22157" spans="7:14" x14ac:dyDescent="0.3">
      <c r="G22157" s="1"/>
      <c r="N22157" s="1"/>
    </row>
    <row r="22158" spans="7:14" x14ac:dyDescent="0.3">
      <c r="G22158" s="1"/>
      <c r="N22158" s="1"/>
    </row>
    <row r="22159" spans="7:14" x14ac:dyDescent="0.3">
      <c r="G22159" s="1"/>
      <c r="N22159" s="1"/>
    </row>
    <row r="22160" spans="7:14" x14ac:dyDescent="0.3">
      <c r="G22160" s="1"/>
      <c r="N22160" s="1"/>
    </row>
    <row r="22161" spans="7:14" x14ac:dyDescent="0.3">
      <c r="G22161" s="1"/>
      <c r="N22161" s="1"/>
    </row>
    <row r="22162" spans="7:14" x14ac:dyDescent="0.3">
      <c r="G22162" s="1"/>
      <c r="N22162" s="1"/>
    </row>
    <row r="22163" spans="7:14" x14ac:dyDescent="0.3">
      <c r="G22163" s="1"/>
      <c r="N22163" s="1"/>
    </row>
    <row r="22164" spans="7:14" x14ac:dyDescent="0.3">
      <c r="G22164" s="1"/>
      <c r="N22164" s="1"/>
    </row>
    <row r="22165" spans="7:14" x14ac:dyDescent="0.3">
      <c r="G22165" s="1"/>
      <c r="N22165" s="1"/>
    </row>
    <row r="22166" spans="7:14" x14ac:dyDescent="0.3">
      <c r="G22166" s="1"/>
      <c r="N22166" s="1"/>
    </row>
    <row r="22167" spans="7:14" x14ac:dyDescent="0.3">
      <c r="G22167" s="1"/>
      <c r="N22167" s="1"/>
    </row>
    <row r="22168" spans="7:14" x14ac:dyDescent="0.3">
      <c r="G22168" s="1"/>
      <c r="N22168" s="1"/>
    </row>
    <row r="22169" spans="7:14" x14ac:dyDescent="0.3">
      <c r="G22169" s="1"/>
      <c r="N22169" s="1"/>
    </row>
    <row r="22170" spans="7:14" x14ac:dyDescent="0.3">
      <c r="G22170" s="1"/>
      <c r="N22170" s="1"/>
    </row>
    <row r="22171" spans="7:14" x14ac:dyDescent="0.3">
      <c r="G22171" s="1"/>
      <c r="N22171" s="1"/>
    </row>
    <row r="22172" spans="7:14" x14ac:dyDescent="0.3">
      <c r="G22172" s="1"/>
      <c r="N22172" s="1"/>
    </row>
    <row r="22173" spans="7:14" x14ac:dyDescent="0.3">
      <c r="G22173" s="1"/>
      <c r="N22173" s="1"/>
    </row>
    <row r="22174" spans="7:14" x14ac:dyDescent="0.3">
      <c r="G22174" s="1"/>
      <c r="N22174" s="1"/>
    </row>
    <row r="22175" spans="7:14" x14ac:dyDescent="0.3">
      <c r="G22175" s="1"/>
      <c r="N22175" s="1"/>
    </row>
    <row r="22176" spans="7:14" x14ac:dyDescent="0.3">
      <c r="G22176" s="1"/>
      <c r="N22176" s="1"/>
    </row>
    <row r="22177" spans="7:14" x14ac:dyDescent="0.3">
      <c r="G22177" s="1"/>
      <c r="N22177" s="1"/>
    </row>
    <row r="22178" spans="7:14" x14ac:dyDescent="0.3">
      <c r="G22178" s="1"/>
      <c r="N22178" s="1"/>
    </row>
    <row r="22179" spans="7:14" x14ac:dyDescent="0.3">
      <c r="G22179" s="1"/>
      <c r="N22179" s="1"/>
    </row>
    <row r="22180" spans="7:14" x14ac:dyDescent="0.3">
      <c r="G22180" s="1"/>
      <c r="N22180" s="1"/>
    </row>
    <row r="22181" spans="7:14" x14ac:dyDescent="0.3">
      <c r="G22181" s="1"/>
      <c r="N22181" s="1"/>
    </row>
    <row r="22182" spans="7:14" x14ac:dyDescent="0.3">
      <c r="G22182" s="1"/>
      <c r="N22182" s="1"/>
    </row>
    <row r="22183" spans="7:14" x14ac:dyDescent="0.3">
      <c r="G22183" s="1"/>
      <c r="N22183" s="1"/>
    </row>
    <row r="22184" spans="7:14" x14ac:dyDescent="0.3">
      <c r="G22184" s="1"/>
      <c r="N22184" s="1"/>
    </row>
    <row r="22185" spans="7:14" x14ac:dyDescent="0.3">
      <c r="G22185" s="1"/>
      <c r="N22185" s="1"/>
    </row>
    <row r="22186" spans="7:14" x14ac:dyDescent="0.3">
      <c r="G22186" s="1"/>
      <c r="N22186" s="1"/>
    </row>
    <row r="22187" spans="7:14" x14ac:dyDescent="0.3">
      <c r="G22187" s="1"/>
      <c r="N22187" s="1"/>
    </row>
    <row r="22188" spans="7:14" x14ac:dyDescent="0.3">
      <c r="G22188" s="1"/>
      <c r="N22188" s="1"/>
    </row>
    <row r="22189" spans="7:14" x14ac:dyDescent="0.3">
      <c r="G22189" s="1"/>
      <c r="N22189" s="1"/>
    </row>
    <row r="22190" spans="7:14" x14ac:dyDescent="0.3">
      <c r="G22190" s="1"/>
      <c r="N22190" s="1"/>
    </row>
    <row r="22191" spans="7:14" x14ac:dyDescent="0.3">
      <c r="G22191" s="1"/>
      <c r="N22191" s="1"/>
    </row>
    <row r="22192" spans="7:14" x14ac:dyDescent="0.3">
      <c r="G22192" s="1"/>
      <c r="N22192" s="1"/>
    </row>
    <row r="22193" spans="7:14" x14ac:dyDescent="0.3">
      <c r="G22193" s="1"/>
      <c r="N22193" s="1"/>
    </row>
    <row r="22194" spans="7:14" x14ac:dyDescent="0.3">
      <c r="G22194" s="1"/>
      <c r="N22194" s="1"/>
    </row>
    <row r="22195" spans="7:14" x14ac:dyDescent="0.3">
      <c r="G22195" s="1"/>
      <c r="N22195" s="1"/>
    </row>
    <row r="22196" spans="7:14" x14ac:dyDescent="0.3">
      <c r="G22196" s="1"/>
      <c r="N22196" s="1"/>
    </row>
    <row r="22197" spans="7:14" x14ac:dyDescent="0.3">
      <c r="G22197" s="1"/>
      <c r="N22197" s="1"/>
    </row>
    <row r="22198" spans="7:14" x14ac:dyDescent="0.3">
      <c r="G22198" s="1"/>
      <c r="N22198" s="1"/>
    </row>
    <row r="22199" spans="7:14" x14ac:dyDescent="0.3">
      <c r="G22199" s="1"/>
      <c r="N22199" s="1"/>
    </row>
    <row r="22200" spans="7:14" x14ac:dyDescent="0.3">
      <c r="G22200" s="1"/>
      <c r="N22200" s="1"/>
    </row>
    <row r="22201" spans="7:14" x14ac:dyDescent="0.3">
      <c r="G22201" s="1"/>
      <c r="N22201" s="1"/>
    </row>
    <row r="22202" spans="7:14" x14ac:dyDescent="0.3">
      <c r="G22202" s="1"/>
      <c r="N22202" s="1"/>
    </row>
    <row r="22203" spans="7:14" x14ac:dyDescent="0.3">
      <c r="G22203" s="1"/>
      <c r="N22203" s="1"/>
    </row>
    <row r="22204" spans="7:14" x14ac:dyDescent="0.3">
      <c r="G22204" s="1"/>
      <c r="N22204" s="1"/>
    </row>
    <row r="22205" spans="7:14" x14ac:dyDescent="0.3">
      <c r="G22205" s="1"/>
      <c r="N22205" s="1"/>
    </row>
    <row r="22206" spans="7:14" x14ac:dyDescent="0.3">
      <c r="G22206" s="1"/>
      <c r="N22206" s="1"/>
    </row>
    <row r="22207" spans="7:14" x14ac:dyDescent="0.3">
      <c r="G22207" s="1"/>
      <c r="N22207" s="1"/>
    </row>
    <row r="22208" spans="7:14" x14ac:dyDescent="0.3">
      <c r="G22208" s="1"/>
      <c r="N22208" s="1"/>
    </row>
    <row r="22209" spans="7:14" x14ac:dyDescent="0.3">
      <c r="G22209" s="1"/>
      <c r="N22209" s="1"/>
    </row>
    <row r="22210" spans="7:14" x14ac:dyDescent="0.3">
      <c r="G22210" s="1"/>
      <c r="N22210" s="1"/>
    </row>
    <row r="22211" spans="7:14" x14ac:dyDescent="0.3">
      <c r="G22211" s="1"/>
      <c r="N22211" s="1"/>
    </row>
    <row r="22212" spans="7:14" x14ac:dyDescent="0.3">
      <c r="G22212" s="1"/>
      <c r="N22212" s="1"/>
    </row>
    <row r="22213" spans="7:14" x14ac:dyDescent="0.3">
      <c r="G22213" s="1"/>
      <c r="N22213" s="1"/>
    </row>
    <row r="22214" spans="7:14" x14ac:dyDescent="0.3">
      <c r="G22214" s="1"/>
      <c r="N22214" s="1"/>
    </row>
    <row r="22215" spans="7:14" x14ac:dyDescent="0.3">
      <c r="G22215" s="1"/>
      <c r="N22215" s="1"/>
    </row>
    <row r="22216" spans="7:14" x14ac:dyDescent="0.3">
      <c r="G22216" s="1"/>
      <c r="N22216" s="1"/>
    </row>
    <row r="22217" spans="7:14" x14ac:dyDescent="0.3">
      <c r="G22217" s="1"/>
      <c r="N22217" s="1"/>
    </row>
    <row r="22218" spans="7:14" x14ac:dyDescent="0.3">
      <c r="G22218" s="1"/>
      <c r="N22218" s="1"/>
    </row>
    <row r="22219" spans="7:14" x14ac:dyDescent="0.3">
      <c r="G22219" s="1"/>
      <c r="N22219" s="1"/>
    </row>
    <row r="22220" spans="7:14" x14ac:dyDescent="0.3">
      <c r="G22220" s="1"/>
      <c r="N22220" s="1"/>
    </row>
    <row r="22221" spans="7:14" x14ac:dyDescent="0.3">
      <c r="G22221" s="1"/>
      <c r="N22221" s="1"/>
    </row>
    <row r="22222" spans="7:14" x14ac:dyDescent="0.3">
      <c r="G22222" s="1"/>
      <c r="N22222" s="1"/>
    </row>
    <row r="22223" spans="7:14" x14ac:dyDescent="0.3">
      <c r="G22223" s="1"/>
      <c r="N22223" s="1"/>
    </row>
    <row r="22224" spans="7:14" x14ac:dyDescent="0.3">
      <c r="G22224" s="1"/>
      <c r="N22224" s="1"/>
    </row>
    <row r="22225" spans="7:14" x14ac:dyDescent="0.3">
      <c r="G22225" s="1"/>
      <c r="N22225" s="1"/>
    </row>
    <row r="22226" spans="7:14" x14ac:dyDescent="0.3">
      <c r="G22226" s="1"/>
      <c r="N22226" s="1"/>
    </row>
    <row r="22227" spans="7:14" x14ac:dyDescent="0.3">
      <c r="G22227" s="1"/>
      <c r="N22227" s="1"/>
    </row>
    <row r="22228" spans="7:14" x14ac:dyDescent="0.3">
      <c r="G22228" s="1"/>
      <c r="N22228" s="1"/>
    </row>
    <row r="22229" spans="7:14" x14ac:dyDescent="0.3">
      <c r="G22229" s="1"/>
      <c r="N22229" s="1"/>
    </row>
    <row r="22230" spans="7:14" x14ac:dyDescent="0.3">
      <c r="G22230" s="1"/>
      <c r="N22230" s="1"/>
    </row>
    <row r="22231" spans="7:14" x14ac:dyDescent="0.3">
      <c r="G22231" s="1"/>
      <c r="N22231" s="1"/>
    </row>
    <row r="22232" spans="7:14" x14ac:dyDescent="0.3">
      <c r="G22232" s="1"/>
      <c r="N22232" s="1"/>
    </row>
    <row r="22233" spans="7:14" x14ac:dyDescent="0.3">
      <c r="G22233" s="1"/>
      <c r="N22233" s="1"/>
    </row>
    <row r="22234" spans="7:14" x14ac:dyDescent="0.3">
      <c r="G22234" s="1"/>
      <c r="N22234" s="1"/>
    </row>
    <row r="22235" spans="7:14" x14ac:dyDescent="0.3">
      <c r="G22235" s="1"/>
      <c r="N22235" s="1"/>
    </row>
    <row r="22236" spans="7:14" x14ac:dyDescent="0.3">
      <c r="G22236" s="1"/>
      <c r="N22236" s="1"/>
    </row>
    <row r="22237" spans="7:14" x14ac:dyDescent="0.3">
      <c r="G22237" s="1"/>
      <c r="N22237" s="1"/>
    </row>
    <row r="22238" spans="7:14" x14ac:dyDescent="0.3">
      <c r="G22238" s="1"/>
      <c r="N22238" s="1"/>
    </row>
    <row r="22239" spans="7:14" x14ac:dyDescent="0.3">
      <c r="G22239" s="1"/>
      <c r="N22239" s="1"/>
    </row>
    <row r="22240" spans="7:14" x14ac:dyDescent="0.3">
      <c r="G22240" s="1"/>
      <c r="N22240" s="1"/>
    </row>
    <row r="22241" spans="7:14" x14ac:dyDescent="0.3">
      <c r="G22241" s="1"/>
      <c r="N22241" s="1"/>
    </row>
    <row r="22242" spans="7:14" x14ac:dyDescent="0.3">
      <c r="G22242" s="1"/>
      <c r="N22242" s="1"/>
    </row>
    <row r="22243" spans="7:14" x14ac:dyDescent="0.3">
      <c r="G22243" s="1"/>
      <c r="N22243" s="1"/>
    </row>
    <row r="22244" spans="7:14" x14ac:dyDescent="0.3">
      <c r="G22244" s="1"/>
      <c r="N22244" s="1"/>
    </row>
    <row r="22245" spans="7:14" x14ac:dyDescent="0.3">
      <c r="G22245" s="1"/>
      <c r="N22245" s="1"/>
    </row>
    <row r="22246" spans="7:14" x14ac:dyDescent="0.3">
      <c r="G22246" s="1"/>
      <c r="N22246" s="1"/>
    </row>
    <row r="22247" spans="7:14" x14ac:dyDescent="0.3">
      <c r="G22247" s="1"/>
      <c r="N22247" s="1"/>
    </row>
    <row r="22248" spans="7:14" x14ac:dyDescent="0.3">
      <c r="G22248" s="1"/>
      <c r="N22248" s="1"/>
    </row>
    <row r="22249" spans="7:14" x14ac:dyDescent="0.3">
      <c r="G22249" s="1"/>
      <c r="N22249" s="1"/>
    </row>
    <row r="22250" spans="7:14" x14ac:dyDescent="0.3">
      <c r="G22250" s="1"/>
      <c r="N22250" s="1"/>
    </row>
    <row r="22251" spans="7:14" x14ac:dyDescent="0.3">
      <c r="G22251" s="1"/>
      <c r="N22251" s="1"/>
    </row>
    <row r="22252" spans="7:14" x14ac:dyDescent="0.3">
      <c r="G22252" s="1"/>
      <c r="N22252" s="1"/>
    </row>
    <row r="22253" spans="7:14" x14ac:dyDescent="0.3">
      <c r="G22253" s="1"/>
      <c r="N22253" s="1"/>
    </row>
    <row r="22254" spans="7:14" x14ac:dyDescent="0.3">
      <c r="G22254" s="1"/>
      <c r="N22254" s="1"/>
    </row>
    <row r="22255" spans="7:14" x14ac:dyDescent="0.3">
      <c r="G22255" s="1"/>
      <c r="N22255" s="1"/>
    </row>
    <row r="22256" spans="7:14" x14ac:dyDescent="0.3">
      <c r="G22256" s="1"/>
      <c r="N22256" s="1"/>
    </row>
    <row r="22257" spans="7:14" x14ac:dyDescent="0.3">
      <c r="G22257" s="1"/>
      <c r="N22257" s="1"/>
    </row>
    <row r="22258" spans="7:14" x14ac:dyDescent="0.3">
      <c r="G22258" s="1"/>
      <c r="N22258" s="1"/>
    </row>
    <row r="22259" spans="7:14" x14ac:dyDescent="0.3">
      <c r="G22259" s="1"/>
      <c r="N22259" s="1"/>
    </row>
    <row r="22260" spans="7:14" x14ac:dyDescent="0.3">
      <c r="G22260" s="1"/>
      <c r="N22260" s="1"/>
    </row>
    <row r="22261" spans="7:14" x14ac:dyDescent="0.3">
      <c r="G22261" s="1"/>
      <c r="N22261" s="1"/>
    </row>
    <row r="22262" spans="7:14" x14ac:dyDescent="0.3">
      <c r="G22262" s="1"/>
      <c r="N22262" s="1"/>
    </row>
    <row r="22263" spans="7:14" x14ac:dyDescent="0.3">
      <c r="G22263" s="1"/>
      <c r="N22263" s="1"/>
    </row>
    <row r="22264" spans="7:14" x14ac:dyDescent="0.3">
      <c r="G22264" s="1"/>
      <c r="N22264" s="1"/>
    </row>
    <row r="22265" spans="7:14" x14ac:dyDescent="0.3">
      <c r="G22265" s="1"/>
      <c r="N22265" s="1"/>
    </row>
    <row r="22266" spans="7:14" x14ac:dyDescent="0.3">
      <c r="G22266" s="1"/>
      <c r="N22266" s="1"/>
    </row>
    <row r="22267" spans="7:14" x14ac:dyDescent="0.3">
      <c r="G22267" s="1"/>
      <c r="N22267" s="1"/>
    </row>
    <row r="22268" spans="7:14" x14ac:dyDescent="0.3">
      <c r="G22268" s="1"/>
      <c r="N22268" s="1"/>
    </row>
    <row r="22269" spans="7:14" x14ac:dyDescent="0.3">
      <c r="G22269" s="1"/>
      <c r="N22269" s="1"/>
    </row>
    <row r="22270" spans="7:14" x14ac:dyDescent="0.3">
      <c r="G22270" s="1"/>
      <c r="N22270" s="1"/>
    </row>
    <row r="22271" spans="7:14" x14ac:dyDescent="0.3">
      <c r="G22271" s="1"/>
      <c r="N22271" s="1"/>
    </row>
    <row r="22272" spans="7:14" x14ac:dyDescent="0.3">
      <c r="G22272" s="1"/>
      <c r="N22272" s="1"/>
    </row>
    <row r="22273" spans="7:14" x14ac:dyDescent="0.3">
      <c r="G22273" s="1"/>
      <c r="N22273" s="1"/>
    </row>
    <row r="22274" spans="7:14" x14ac:dyDescent="0.3">
      <c r="G22274" s="1"/>
      <c r="N22274" s="1"/>
    </row>
    <row r="22275" spans="7:14" x14ac:dyDescent="0.3">
      <c r="G22275" s="1"/>
      <c r="N22275" s="1"/>
    </row>
    <row r="22276" spans="7:14" x14ac:dyDescent="0.3">
      <c r="G22276" s="1"/>
      <c r="N22276" s="1"/>
    </row>
    <row r="22277" spans="7:14" x14ac:dyDescent="0.3">
      <c r="G22277" s="1"/>
      <c r="N22277" s="1"/>
    </row>
    <row r="22278" spans="7:14" x14ac:dyDescent="0.3">
      <c r="G22278" s="1"/>
      <c r="N22278" s="1"/>
    </row>
    <row r="22279" spans="7:14" x14ac:dyDescent="0.3">
      <c r="G22279" s="1"/>
      <c r="N22279" s="1"/>
    </row>
    <row r="22280" spans="7:14" x14ac:dyDescent="0.3">
      <c r="G22280" s="1"/>
      <c r="N22280" s="1"/>
    </row>
    <row r="22281" spans="7:14" x14ac:dyDescent="0.3">
      <c r="G22281" s="1"/>
      <c r="N22281" s="1"/>
    </row>
    <row r="22282" spans="7:14" x14ac:dyDescent="0.3">
      <c r="G22282" s="1"/>
      <c r="N22282" s="1"/>
    </row>
    <row r="22283" spans="7:14" x14ac:dyDescent="0.3">
      <c r="G22283" s="1"/>
      <c r="N22283" s="1"/>
    </row>
    <row r="22284" spans="7:14" x14ac:dyDescent="0.3">
      <c r="G22284" s="1"/>
      <c r="N22284" s="1"/>
    </row>
    <row r="22285" spans="7:14" x14ac:dyDescent="0.3">
      <c r="G22285" s="1"/>
      <c r="N22285" s="1"/>
    </row>
    <row r="22286" spans="7:14" x14ac:dyDescent="0.3">
      <c r="G22286" s="1"/>
      <c r="N22286" s="1"/>
    </row>
    <row r="22287" spans="7:14" x14ac:dyDescent="0.3">
      <c r="G22287" s="1"/>
      <c r="N22287" s="1"/>
    </row>
    <row r="22288" spans="7:14" x14ac:dyDescent="0.3">
      <c r="G22288" s="1"/>
      <c r="N22288" s="1"/>
    </row>
    <row r="22289" spans="7:14" x14ac:dyDescent="0.3">
      <c r="G22289" s="1"/>
      <c r="N22289" s="1"/>
    </row>
    <row r="22290" spans="7:14" x14ac:dyDescent="0.3">
      <c r="G22290" s="1"/>
      <c r="N22290" s="1"/>
    </row>
    <row r="22291" spans="7:14" x14ac:dyDescent="0.3">
      <c r="G22291" s="1"/>
      <c r="N22291" s="1"/>
    </row>
    <row r="22292" spans="7:14" x14ac:dyDescent="0.3">
      <c r="G22292" s="1"/>
      <c r="N22292" s="1"/>
    </row>
    <row r="22293" spans="7:14" x14ac:dyDescent="0.3">
      <c r="G22293" s="1"/>
      <c r="N22293" s="1"/>
    </row>
    <row r="22294" spans="7:14" x14ac:dyDescent="0.3">
      <c r="G22294" s="1"/>
      <c r="N22294" s="1"/>
    </row>
    <row r="22295" spans="7:14" x14ac:dyDescent="0.3">
      <c r="G22295" s="1"/>
      <c r="N22295" s="1"/>
    </row>
    <row r="22296" spans="7:14" x14ac:dyDescent="0.3">
      <c r="G22296" s="1"/>
      <c r="N22296" s="1"/>
    </row>
    <row r="22297" spans="7:14" x14ac:dyDescent="0.3">
      <c r="G22297" s="1"/>
      <c r="N22297" s="1"/>
    </row>
    <row r="22298" spans="7:14" x14ac:dyDescent="0.3">
      <c r="G22298" s="1"/>
      <c r="N22298" s="1"/>
    </row>
    <row r="22299" spans="7:14" x14ac:dyDescent="0.3">
      <c r="G22299" s="1"/>
      <c r="N22299" s="1"/>
    </row>
    <row r="22300" spans="7:14" x14ac:dyDescent="0.3">
      <c r="G22300" s="1"/>
      <c r="N22300" s="1"/>
    </row>
    <row r="22301" spans="7:14" x14ac:dyDescent="0.3">
      <c r="G22301" s="1"/>
      <c r="N22301" s="1"/>
    </row>
    <row r="22302" spans="7:14" x14ac:dyDescent="0.3">
      <c r="G22302" s="1"/>
      <c r="N22302" s="1"/>
    </row>
    <row r="22303" spans="7:14" x14ac:dyDescent="0.3">
      <c r="G22303" s="1"/>
      <c r="N22303" s="1"/>
    </row>
    <row r="22304" spans="7:14" x14ac:dyDescent="0.3">
      <c r="G22304" s="1"/>
      <c r="N22304" s="1"/>
    </row>
    <row r="22305" spans="7:14" x14ac:dyDescent="0.3">
      <c r="G22305" s="1"/>
      <c r="N22305" s="1"/>
    </row>
    <row r="22306" spans="7:14" x14ac:dyDescent="0.3">
      <c r="G22306" s="1"/>
      <c r="N22306" s="1"/>
    </row>
    <row r="22307" spans="7:14" x14ac:dyDescent="0.3">
      <c r="G22307" s="1"/>
      <c r="N22307" s="1"/>
    </row>
    <row r="22308" spans="7:14" x14ac:dyDescent="0.3">
      <c r="G22308" s="1"/>
      <c r="N22308" s="1"/>
    </row>
    <row r="22309" spans="7:14" x14ac:dyDescent="0.3">
      <c r="G22309" s="1"/>
      <c r="N22309" s="1"/>
    </row>
    <row r="22310" spans="7:14" x14ac:dyDescent="0.3">
      <c r="G22310" s="1"/>
      <c r="N22310" s="1"/>
    </row>
    <row r="22311" spans="7:14" x14ac:dyDescent="0.3">
      <c r="G22311" s="1"/>
      <c r="N22311" s="1"/>
    </row>
    <row r="22312" spans="7:14" x14ac:dyDescent="0.3">
      <c r="G22312" s="1"/>
      <c r="N22312" s="1"/>
    </row>
    <row r="22313" spans="7:14" x14ac:dyDescent="0.3">
      <c r="G22313" s="1"/>
      <c r="N22313" s="1"/>
    </row>
    <row r="22314" spans="7:14" x14ac:dyDescent="0.3">
      <c r="G22314" s="1"/>
      <c r="N22314" s="1"/>
    </row>
    <row r="22315" spans="7:14" x14ac:dyDescent="0.3">
      <c r="G22315" s="1"/>
      <c r="N22315" s="1"/>
    </row>
    <row r="22316" spans="7:14" x14ac:dyDescent="0.3">
      <c r="G22316" s="1"/>
      <c r="N22316" s="1"/>
    </row>
    <row r="22317" spans="7:14" x14ac:dyDescent="0.3">
      <c r="G22317" s="1"/>
      <c r="N22317" s="1"/>
    </row>
    <row r="22318" spans="7:14" x14ac:dyDescent="0.3">
      <c r="G22318" s="1"/>
      <c r="N22318" s="1"/>
    </row>
    <row r="22319" spans="7:14" x14ac:dyDescent="0.3">
      <c r="G22319" s="1"/>
      <c r="N22319" s="1"/>
    </row>
    <row r="22320" spans="7:14" x14ac:dyDescent="0.3">
      <c r="G22320" s="1"/>
      <c r="N22320" s="1"/>
    </row>
    <row r="22321" spans="7:14" x14ac:dyDescent="0.3">
      <c r="G22321" s="1"/>
      <c r="N22321" s="1"/>
    </row>
    <row r="22322" spans="7:14" x14ac:dyDescent="0.3">
      <c r="G22322" s="1"/>
      <c r="N22322" s="1"/>
    </row>
    <row r="22323" spans="7:14" x14ac:dyDescent="0.3">
      <c r="G22323" s="1"/>
      <c r="N22323" s="1"/>
    </row>
    <row r="22324" spans="7:14" x14ac:dyDescent="0.3">
      <c r="G22324" s="1"/>
      <c r="N22324" s="1"/>
    </row>
    <row r="22325" spans="7:14" x14ac:dyDescent="0.3">
      <c r="G22325" s="1"/>
      <c r="N22325" s="1"/>
    </row>
    <row r="22326" spans="7:14" x14ac:dyDescent="0.3">
      <c r="G22326" s="1"/>
      <c r="N22326" s="1"/>
    </row>
    <row r="22327" spans="7:14" x14ac:dyDescent="0.3">
      <c r="G22327" s="1"/>
      <c r="N22327" s="1"/>
    </row>
    <row r="22328" spans="7:14" x14ac:dyDescent="0.3">
      <c r="G22328" s="1"/>
      <c r="N22328" s="1"/>
    </row>
    <row r="22329" spans="7:14" x14ac:dyDescent="0.3">
      <c r="G22329" s="1"/>
      <c r="N22329" s="1"/>
    </row>
    <row r="22330" spans="7:14" x14ac:dyDescent="0.3">
      <c r="G22330" s="1"/>
      <c r="N22330" s="1"/>
    </row>
    <row r="22331" spans="7:14" x14ac:dyDescent="0.3">
      <c r="G22331" s="1"/>
      <c r="N22331" s="1"/>
    </row>
    <row r="22332" spans="7:14" x14ac:dyDescent="0.3">
      <c r="G22332" s="1"/>
      <c r="N22332" s="1"/>
    </row>
    <row r="22333" spans="7:14" x14ac:dyDescent="0.3">
      <c r="G22333" s="1"/>
      <c r="N22333" s="1"/>
    </row>
    <row r="22334" spans="7:14" x14ac:dyDescent="0.3">
      <c r="G22334" s="1"/>
      <c r="N22334" s="1"/>
    </row>
    <row r="22335" spans="7:14" x14ac:dyDescent="0.3">
      <c r="G22335" s="1"/>
      <c r="N22335" s="1"/>
    </row>
    <row r="22336" spans="7:14" x14ac:dyDescent="0.3">
      <c r="G22336" s="1"/>
      <c r="N22336" s="1"/>
    </row>
    <row r="22337" spans="7:14" x14ac:dyDescent="0.3">
      <c r="G22337" s="1"/>
      <c r="N22337" s="1"/>
    </row>
    <row r="22338" spans="7:14" x14ac:dyDescent="0.3">
      <c r="G22338" s="1"/>
      <c r="N22338" s="1"/>
    </row>
    <row r="22339" spans="7:14" x14ac:dyDescent="0.3">
      <c r="G22339" s="1"/>
      <c r="N22339" s="1"/>
    </row>
    <row r="22340" spans="7:14" x14ac:dyDescent="0.3">
      <c r="G22340" s="1"/>
      <c r="N22340" s="1"/>
    </row>
    <row r="22341" spans="7:14" x14ac:dyDescent="0.3">
      <c r="G22341" s="1"/>
      <c r="N22341" s="1"/>
    </row>
    <row r="22342" spans="7:14" x14ac:dyDescent="0.3">
      <c r="G22342" s="1"/>
      <c r="N22342" s="1"/>
    </row>
    <row r="22343" spans="7:14" x14ac:dyDescent="0.3">
      <c r="G22343" s="1"/>
      <c r="N22343" s="1"/>
    </row>
    <row r="22344" spans="7:14" x14ac:dyDescent="0.3">
      <c r="G22344" s="1"/>
      <c r="N22344" s="1"/>
    </row>
    <row r="22345" spans="7:14" x14ac:dyDescent="0.3">
      <c r="G22345" s="1"/>
      <c r="N22345" s="1"/>
    </row>
    <row r="22346" spans="7:14" x14ac:dyDescent="0.3">
      <c r="G22346" s="1"/>
      <c r="N22346" s="1"/>
    </row>
    <row r="22347" spans="7:14" x14ac:dyDescent="0.3">
      <c r="G22347" s="1"/>
      <c r="N22347" s="1"/>
    </row>
    <row r="22348" spans="7:14" x14ac:dyDescent="0.3">
      <c r="G22348" s="1"/>
      <c r="N22348" s="1"/>
    </row>
    <row r="22349" spans="7:14" x14ac:dyDescent="0.3">
      <c r="G22349" s="1"/>
      <c r="N22349" s="1"/>
    </row>
    <row r="22350" spans="7:14" x14ac:dyDescent="0.3">
      <c r="G22350" s="1"/>
      <c r="N22350" s="1"/>
    </row>
    <row r="22351" spans="7:14" x14ac:dyDescent="0.3">
      <c r="G22351" s="1"/>
      <c r="N22351" s="1"/>
    </row>
    <row r="22352" spans="7:14" x14ac:dyDescent="0.3">
      <c r="G22352" s="1"/>
      <c r="N22352" s="1"/>
    </row>
    <row r="22353" spans="7:14" x14ac:dyDescent="0.3">
      <c r="G22353" s="1"/>
      <c r="N22353" s="1"/>
    </row>
    <row r="22354" spans="7:14" x14ac:dyDescent="0.3">
      <c r="G22354" s="1"/>
      <c r="N22354" s="1"/>
    </row>
    <row r="22355" spans="7:14" x14ac:dyDescent="0.3">
      <c r="G22355" s="1"/>
      <c r="N22355" s="1"/>
    </row>
    <row r="22356" spans="7:14" x14ac:dyDescent="0.3">
      <c r="G22356" s="1"/>
      <c r="N22356" s="1"/>
    </row>
    <row r="22357" spans="7:14" x14ac:dyDescent="0.3">
      <c r="G22357" s="1"/>
      <c r="N22357" s="1"/>
    </row>
    <row r="22358" spans="7:14" x14ac:dyDescent="0.3">
      <c r="G22358" s="1"/>
      <c r="N22358" s="1"/>
    </row>
    <row r="22359" spans="7:14" x14ac:dyDescent="0.3">
      <c r="G22359" s="1"/>
      <c r="N22359" s="1"/>
    </row>
    <row r="22360" spans="7:14" x14ac:dyDescent="0.3">
      <c r="G22360" s="1"/>
      <c r="N22360" s="1"/>
    </row>
    <row r="22361" spans="7:14" x14ac:dyDescent="0.3">
      <c r="G22361" s="1"/>
      <c r="N22361" s="1"/>
    </row>
    <row r="22362" spans="7:14" x14ac:dyDescent="0.3">
      <c r="G22362" s="1"/>
      <c r="N22362" s="1"/>
    </row>
    <row r="22363" spans="7:14" x14ac:dyDescent="0.3">
      <c r="G22363" s="1"/>
      <c r="N22363" s="1"/>
    </row>
    <row r="22364" spans="7:14" x14ac:dyDescent="0.3">
      <c r="G22364" s="1"/>
      <c r="N22364" s="1"/>
    </row>
    <row r="22365" spans="7:14" x14ac:dyDescent="0.3">
      <c r="G22365" s="1"/>
      <c r="N22365" s="1"/>
    </row>
    <row r="22366" spans="7:14" x14ac:dyDescent="0.3">
      <c r="G22366" s="1"/>
      <c r="N22366" s="1"/>
    </row>
    <row r="22367" spans="7:14" x14ac:dyDescent="0.3">
      <c r="G22367" s="1"/>
      <c r="N22367" s="1"/>
    </row>
    <row r="22368" spans="7:14" x14ac:dyDescent="0.3">
      <c r="G22368" s="1"/>
      <c r="N22368" s="1"/>
    </row>
    <row r="22369" spans="7:14" x14ac:dyDescent="0.3">
      <c r="G22369" s="1"/>
      <c r="N22369" s="1"/>
    </row>
    <row r="22370" spans="7:14" x14ac:dyDescent="0.3">
      <c r="G22370" s="1"/>
      <c r="N22370" s="1"/>
    </row>
    <row r="22371" spans="7:14" x14ac:dyDescent="0.3">
      <c r="G22371" s="1"/>
      <c r="N22371" s="1"/>
    </row>
    <row r="22372" spans="7:14" x14ac:dyDescent="0.3">
      <c r="G22372" s="1"/>
      <c r="N22372" s="1"/>
    </row>
    <row r="22373" spans="7:14" x14ac:dyDescent="0.3">
      <c r="G22373" s="1"/>
      <c r="N22373" s="1"/>
    </row>
    <row r="22374" spans="7:14" x14ac:dyDescent="0.3">
      <c r="G22374" s="1"/>
      <c r="N22374" s="1"/>
    </row>
    <row r="22375" spans="7:14" x14ac:dyDescent="0.3">
      <c r="G22375" s="1"/>
      <c r="N22375" s="1"/>
    </row>
    <row r="22376" spans="7:14" x14ac:dyDescent="0.3">
      <c r="G22376" s="1"/>
      <c r="N22376" s="1"/>
    </row>
    <row r="22377" spans="7:14" x14ac:dyDescent="0.3">
      <c r="G22377" s="1"/>
      <c r="N22377" s="1"/>
    </row>
    <row r="22378" spans="7:14" x14ac:dyDescent="0.3">
      <c r="G22378" s="1"/>
      <c r="N22378" s="1"/>
    </row>
    <row r="22379" spans="7:14" x14ac:dyDescent="0.3">
      <c r="G22379" s="1"/>
      <c r="N22379" s="1"/>
    </row>
    <row r="22380" spans="7:14" x14ac:dyDescent="0.3">
      <c r="G22380" s="1"/>
      <c r="N22380" s="1"/>
    </row>
    <row r="22381" spans="7:14" x14ac:dyDescent="0.3">
      <c r="G22381" s="1"/>
      <c r="N22381" s="1"/>
    </row>
    <row r="22382" spans="7:14" x14ac:dyDescent="0.3">
      <c r="G22382" s="1"/>
      <c r="N22382" s="1"/>
    </row>
    <row r="22383" spans="7:14" x14ac:dyDescent="0.3">
      <c r="G22383" s="1"/>
      <c r="N22383" s="1"/>
    </row>
    <row r="22384" spans="7:14" x14ac:dyDescent="0.3">
      <c r="G22384" s="1"/>
      <c r="N22384" s="1"/>
    </row>
    <row r="22385" spans="7:14" x14ac:dyDescent="0.3">
      <c r="G22385" s="1"/>
      <c r="N22385" s="1"/>
    </row>
    <row r="22386" spans="7:14" x14ac:dyDescent="0.3">
      <c r="G22386" s="1"/>
      <c r="N22386" s="1"/>
    </row>
    <row r="22387" spans="7:14" x14ac:dyDescent="0.3">
      <c r="G22387" s="1"/>
      <c r="N22387" s="1"/>
    </row>
    <row r="22388" spans="7:14" x14ac:dyDescent="0.3">
      <c r="G22388" s="1"/>
      <c r="N22388" s="1"/>
    </row>
    <row r="22389" spans="7:14" x14ac:dyDescent="0.3">
      <c r="G22389" s="1"/>
      <c r="N22389" s="1"/>
    </row>
    <row r="22390" spans="7:14" x14ac:dyDescent="0.3">
      <c r="G22390" s="1"/>
      <c r="N22390" s="1"/>
    </row>
    <row r="22391" spans="7:14" x14ac:dyDescent="0.3">
      <c r="G22391" s="1"/>
      <c r="N22391" s="1"/>
    </row>
    <row r="22392" spans="7:14" x14ac:dyDescent="0.3">
      <c r="G22392" s="1"/>
      <c r="N22392" s="1"/>
    </row>
    <row r="22393" spans="7:14" x14ac:dyDescent="0.3">
      <c r="G22393" s="1"/>
      <c r="N22393" s="1"/>
    </row>
    <row r="22394" spans="7:14" x14ac:dyDescent="0.3">
      <c r="G22394" s="1"/>
      <c r="N22394" s="1"/>
    </row>
    <row r="22395" spans="7:14" x14ac:dyDescent="0.3">
      <c r="G22395" s="1"/>
      <c r="N22395" s="1"/>
    </row>
    <row r="22396" spans="7:14" x14ac:dyDescent="0.3">
      <c r="G22396" s="1"/>
      <c r="N22396" s="1"/>
    </row>
    <row r="22397" spans="7:14" x14ac:dyDescent="0.3">
      <c r="G22397" s="1"/>
      <c r="N22397" s="1"/>
    </row>
    <row r="22398" spans="7:14" x14ac:dyDescent="0.3">
      <c r="G22398" s="1"/>
      <c r="N22398" s="1"/>
    </row>
    <row r="22399" spans="7:14" x14ac:dyDescent="0.3">
      <c r="G22399" s="1"/>
      <c r="N22399" s="1"/>
    </row>
    <row r="22400" spans="7:14" x14ac:dyDescent="0.3">
      <c r="G22400" s="1"/>
      <c r="N22400" s="1"/>
    </row>
    <row r="22401" spans="7:14" x14ac:dyDescent="0.3">
      <c r="G22401" s="1"/>
      <c r="N22401" s="1"/>
    </row>
    <row r="22402" spans="7:14" x14ac:dyDescent="0.3">
      <c r="G22402" s="1"/>
      <c r="N22402" s="1"/>
    </row>
    <row r="22403" spans="7:14" x14ac:dyDescent="0.3">
      <c r="G22403" s="1"/>
      <c r="N22403" s="1"/>
    </row>
    <row r="22404" spans="7:14" x14ac:dyDescent="0.3">
      <c r="G22404" s="1"/>
      <c r="N22404" s="1"/>
    </row>
    <row r="22405" spans="7:14" x14ac:dyDescent="0.3">
      <c r="G22405" s="1"/>
      <c r="N22405" s="1"/>
    </row>
    <row r="22406" spans="7:14" x14ac:dyDescent="0.3">
      <c r="G22406" s="1"/>
      <c r="N22406" s="1"/>
    </row>
    <row r="22407" spans="7:14" x14ac:dyDescent="0.3">
      <c r="G22407" s="1"/>
      <c r="N22407" s="1"/>
    </row>
    <row r="22408" spans="7:14" x14ac:dyDescent="0.3">
      <c r="G22408" s="1"/>
      <c r="N22408" s="1"/>
    </row>
    <row r="22409" spans="7:14" x14ac:dyDescent="0.3">
      <c r="G22409" s="1"/>
      <c r="N22409" s="1"/>
    </row>
    <row r="22410" spans="7:14" x14ac:dyDescent="0.3">
      <c r="G22410" s="1"/>
      <c r="N22410" s="1"/>
    </row>
    <row r="22411" spans="7:14" x14ac:dyDescent="0.3">
      <c r="G22411" s="1"/>
      <c r="N22411" s="1"/>
    </row>
    <row r="22412" spans="7:14" x14ac:dyDescent="0.3">
      <c r="G22412" s="1"/>
      <c r="N22412" s="1"/>
    </row>
    <row r="22413" spans="7:14" x14ac:dyDescent="0.3">
      <c r="G22413" s="1"/>
      <c r="N22413" s="1"/>
    </row>
    <row r="22414" spans="7:14" x14ac:dyDescent="0.3">
      <c r="G22414" s="1"/>
      <c r="N22414" s="1"/>
    </row>
    <row r="22415" spans="7:14" x14ac:dyDescent="0.3">
      <c r="G22415" s="1"/>
      <c r="N22415" s="1"/>
    </row>
    <row r="22416" spans="7:14" x14ac:dyDescent="0.3">
      <c r="G22416" s="1"/>
      <c r="N22416" s="1"/>
    </row>
    <row r="22417" spans="7:14" x14ac:dyDescent="0.3">
      <c r="G22417" s="1"/>
      <c r="N22417" s="1"/>
    </row>
    <row r="22418" spans="7:14" x14ac:dyDescent="0.3">
      <c r="G22418" s="1"/>
      <c r="N22418" s="1"/>
    </row>
    <row r="22419" spans="7:14" x14ac:dyDescent="0.3">
      <c r="G22419" s="1"/>
      <c r="N22419" s="1"/>
    </row>
    <row r="22420" spans="7:14" x14ac:dyDescent="0.3">
      <c r="G22420" s="1"/>
      <c r="N22420" s="1"/>
    </row>
    <row r="22421" spans="7:14" x14ac:dyDescent="0.3">
      <c r="G22421" s="1"/>
      <c r="N22421" s="1"/>
    </row>
    <row r="22422" spans="7:14" x14ac:dyDescent="0.3">
      <c r="G22422" s="1"/>
      <c r="N22422" s="1"/>
    </row>
    <row r="22423" spans="7:14" x14ac:dyDescent="0.3">
      <c r="G22423" s="1"/>
      <c r="N22423" s="1"/>
    </row>
    <row r="22424" spans="7:14" x14ac:dyDescent="0.3">
      <c r="G22424" s="1"/>
      <c r="N22424" s="1"/>
    </row>
    <row r="22425" spans="7:14" x14ac:dyDescent="0.3">
      <c r="G22425" s="1"/>
      <c r="N22425" s="1"/>
    </row>
    <row r="22426" spans="7:14" x14ac:dyDescent="0.3">
      <c r="G22426" s="1"/>
      <c r="N22426" s="1"/>
    </row>
    <row r="22427" spans="7:14" x14ac:dyDescent="0.3">
      <c r="G22427" s="1"/>
      <c r="N22427" s="1"/>
    </row>
    <row r="22428" spans="7:14" x14ac:dyDescent="0.3">
      <c r="G22428" s="1"/>
      <c r="N22428" s="1"/>
    </row>
    <row r="22429" spans="7:14" x14ac:dyDescent="0.3">
      <c r="G22429" s="1"/>
      <c r="N22429" s="1"/>
    </row>
    <row r="22430" spans="7:14" x14ac:dyDescent="0.3">
      <c r="G22430" s="1"/>
      <c r="N22430" s="1"/>
    </row>
    <row r="22431" spans="7:14" x14ac:dyDescent="0.3">
      <c r="G22431" s="1"/>
      <c r="N22431" s="1"/>
    </row>
    <row r="22432" spans="7:14" x14ac:dyDescent="0.3">
      <c r="G22432" s="1"/>
      <c r="N22432" s="1"/>
    </row>
    <row r="22433" spans="7:14" x14ac:dyDescent="0.3">
      <c r="G22433" s="1"/>
      <c r="N22433" s="1"/>
    </row>
    <row r="22434" spans="7:14" x14ac:dyDescent="0.3">
      <c r="G22434" s="1"/>
      <c r="N22434" s="1"/>
    </row>
    <row r="22435" spans="7:14" x14ac:dyDescent="0.3">
      <c r="G22435" s="1"/>
      <c r="N22435" s="1"/>
    </row>
    <row r="22436" spans="7:14" x14ac:dyDescent="0.3">
      <c r="G22436" s="1"/>
      <c r="N22436" s="1"/>
    </row>
    <row r="22437" spans="7:14" x14ac:dyDescent="0.3">
      <c r="G22437" s="1"/>
      <c r="N22437" s="1"/>
    </row>
    <row r="22438" spans="7:14" x14ac:dyDescent="0.3">
      <c r="G22438" s="1"/>
      <c r="N22438" s="1"/>
    </row>
    <row r="22439" spans="7:14" x14ac:dyDescent="0.3">
      <c r="G22439" s="1"/>
      <c r="N22439" s="1"/>
    </row>
    <row r="22440" spans="7:14" x14ac:dyDescent="0.3">
      <c r="G22440" s="1"/>
      <c r="N22440" s="1"/>
    </row>
    <row r="22441" spans="7:14" x14ac:dyDescent="0.3">
      <c r="G22441" s="1"/>
      <c r="N22441" s="1"/>
    </row>
    <row r="22442" spans="7:14" x14ac:dyDescent="0.3">
      <c r="G22442" s="1"/>
      <c r="N22442" s="1"/>
    </row>
    <row r="22443" spans="7:14" x14ac:dyDescent="0.3">
      <c r="G22443" s="1"/>
      <c r="N22443" s="1"/>
    </row>
    <row r="22444" spans="7:14" x14ac:dyDescent="0.3">
      <c r="G22444" s="1"/>
      <c r="N22444" s="1"/>
    </row>
    <row r="22445" spans="7:14" x14ac:dyDescent="0.3">
      <c r="G22445" s="1"/>
      <c r="N22445" s="1"/>
    </row>
    <row r="22446" spans="7:14" x14ac:dyDescent="0.3">
      <c r="G22446" s="1"/>
      <c r="N22446" s="1"/>
    </row>
    <row r="22447" spans="7:14" x14ac:dyDescent="0.3">
      <c r="G22447" s="1"/>
      <c r="N22447" s="1"/>
    </row>
    <row r="22448" spans="7:14" x14ac:dyDescent="0.3">
      <c r="G22448" s="1"/>
      <c r="N22448" s="1"/>
    </row>
    <row r="22449" spans="7:14" x14ac:dyDescent="0.3">
      <c r="G22449" s="1"/>
      <c r="N22449" s="1"/>
    </row>
    <row r="22450" spans="7:14" x14ac:dyDescent="0.3">
      <c r="G22450" s="1"/>
      <c r="N22450" s="1"/>
    </row>
    <row r="22451" spans="7:14" x14ac:dyDescent="0.3">
      <c r="G22451" s="1"/>
      <c r="N22451" s="1"/>
    </row>
    <row r="22452" spans="7:14" x14ac:dyDescent="0.3">
      <c r="G22452" s="1"/>
      <c r="N22452" s="1"/>
    </row>
    <row r="22453" spans="7:14" x14ac:dyDescent="0.3">
      <c r="G22453" s="1"/>
      <c r="N22453" s="1"/>
    </row>
    <row r="22454" spans="7:14" x14ac:dyDescent="0.3">
      <c r="G22454" s="1"/>
      <c r="N22454" s="1"/>
    </row>
    <row r="22455" spans="7:14" x14ac:dyDescent="0.3">
      <c r="G22455" s="1"/>
      <c r="N22455" s="1"/>
    </row>
    <row r="22456" spans="7:14" x14ac:dyDescent="0.3">
      <c r="G22456" s="1"/>
      <c r="N22456" s="1"/>
    </row>
    <row r="22457" spans="7:14" x14ac:dyDescent="0.3">
      <c r="G22457" s="1"/>
      <c r="N22457" s="1"/>
    </row>
    <row r="22458" spans="7:14" x14ac:dyDescent="0.3">
      <c r="G22458" s="1"/>
      <c r="N22458" s="1"/>
    </row>
    <row r="22459" spans="7:14" x14ac:dyDescent="0.3">
      <c r="G22459" s="1"/>
      <c r="N22459" s="1"/>
    </row>
    <row r="22460" spans="7:14" x14ac:dyDescent="0.3">
      <c r="G22460" s="1"/>
      <c r="N22460" s="1"/>
    </row>
    <row r="22461" spans="7:14" x14ac:dyDescent="0.3">
      <c r="G22461" s="1"/>
      <c r="N22461" s="1"/>
    </row>
    <row r="22462" spans="7:14" x14ac:dyDescent="0.3">
      <c r="G22462" s="1"/>
      <c r="N22462" s="1"/>
    </row>
    <row r="22463" spans="7:14" x14ac:dyDescent="0.3">
      <c r="G22463" s="1"/>
      <c r="N22463" s="1"/>
    </row>
    <row r="22464" spans="7:14" x14ac:dyDescent="0.3">
      <c r="G22464" s="1"/>
      <c r="N22464" s="1"/>
    </row>
    <row r="22465" spans="7:14" x14ac:dyDescent="0.3">
      <c r="G22465" s="1"/>
      <c r="N22465" s="1"/>
    </row>
    <row r="22466" spans="7:14" x14ac:dyDescent="0.3">
      <c r="G22466" s="1"/>
      <c r="N22466" s="1"/>
    </row>
    <row r="22467" spans="7:14" x14ac:dyDescent="0.3">
      <c r="G22467" s="1"/>
      <c r="N22467" s="1"/>
    </row>
    <row r="22468" spans="7:14" x14ac:dyDescent="0.3">
      <c r="G22468" s="1"/>
      <c r="N22468" s="1"/>
    </row>
    <row r="22469" spans="7:14" x14ac:dyDescent="0.3">
      <c r="G22469" s="1"/>
      <c r="N22469" s="1"/>
    </row>
    <row r="22470" spans="7:14" x14ac:dyDescent="0.3">
      <c r="G22470" s="1"/>
      <c r="N22470" s="1"/>
    </row>
    <row r="22471" spans="7:14" x14ac:dyDescent="0.3">
      <c r="G22471" s="1"/>
      <c r="N22471" s="1"/>
    </row>
    <row r="22472" spans="7:14" x14ac:dyDescent="0.3">
      <c r="G22472" s="1"/>
      <c r="N22472" s="1"/>
    </row>
    <row r="22473" spans="7:14" x14ac:dyDescent="0.3">
      <c r="G22473" s="1"/>
      <c r="N22473" s="1"/>
    </row>
    <row r="22474" spans="7:14" x14ac:dyDescent="0.3">
      <c r="G22474" s="1"/>
      <c r="N22474" s="1"/>
    </row>
    <row r="22475" spans="7:14" x14ac:dyDescent="0.3">
      <c r="G22475" s="1"/>
      <c r="N22475" s="1"/>
    </row>
    <row r="22476" spans="7:14" x14ac:dyDescent="0.3">
      <c r="G22476" s="1"/>
      <c r="N22476" s="1"/>
    </row>
    <row r="22477" spans="7:14" x14ac:dyDescent="0.3">
      <c r="G22477" s="1"/>
      <c r="N22477" s="1"/>
    </row>
    <row r="22478" spans="7:14" x14ac:dyDescent="0.3">
      <c r="G22478" s="1"/>
      <c r="N22478" s="1"/>
    </row>
    <row r="22479" spans="7:14" x14ac:dyDescent="0.3">
      <c r="G22479" s="1"/>
      <c r="N22479" s="1"/>
    </row>
    <row r="22480" spans="7:14" x14ac:dyDescent="0.3">
      <c r="G22480" s="1"/>
      <c r="N22480" s="1"/>
    </row>
    <row r="22481" spans="7:14" x14ac:dyDescent="0.3">
      <c r="G22481" s="1"/>
      <c r="N22481" s="1"/>
    </row>
    <row r="22482" spans="7:14" x14ac:dyDescent="0.3">
      <c r="G22482" s="1"/>
      <c r="N22482" s="1"/>
    </row>
    <row r="22483" spans="7:14" x14ac:dyDescent="0.3">
      <c r="G22483" s="1"/>
      <c r="N22483" s="1"/>
    </row>
    <row r="22484" spans="7:14" x14ac:dyDescent="0.3">
      <c r="G22484" s="1"/>
      <c r="N22484" s="1"/>
    </row>
    <row r="22485" spans="7:14" x14ac:dyDescent="0.3">
      <c r="G22485" s="1"/>
      <c r="N22485" s="1"/>
    </row>
    <row r="22486" spans="7:14" x14ac:dyDescent="0.3">
      <c r="G22486" s="1"/>
      <c r="N22486" s="1"/>
    </row>
    <row r="22487" spans="7:14" x14ac:dyDescent="0.3">
      <c r="G22487" s="1"/>
      <c r="N22487" s="1"/>
    </row>
    <row r="22488" spans="7:14" x14ac:dyDescent="0.3">
      <c r="G22488" s="1"/>
      <c r="N22488" s="1"/>
    </row>
    <row r="22489" spans="7:14" x14ac:dyDescent="0.3">
      <c r="G22489" s="1"/>
      <c r="N22489" s="1"/>
    </row>
    <row r="22490" spans="7:14" x14ac:dyDescent="0.3">
      <c r="G22490" s="1"/>
      <c r="N22490" s="1"/>
    </row>
    <row r="22491" spans="7:14" x14ac:dyDescent="0.3">
      <c r="G22491" s="1"/>
      <c r="N22491" s="1"/>
    </row>
    <row r="22492" spans="7:14" x14ac:dyDescent="0.3">
      <c r="G22492" s="1"/>
      <c r="N22492" s="1"/>
    </row>
    <row r="22493" spans="7:14" x14ac:dyDescent="0.3">
      <c r="G22493" s="1"/>
      <c r="N22493" s="1"/>
    </row>
    <row r="22494" spans="7:14" x14ac:dyDescent="0.3">
      <c r="G22494" s="1"/>
      <c r="N22494" s="1"/>
    </row>
    <row r="22495" spans="7:14" x14ac:dyDescent="0.3">
      <c r="G22495" s="1"/>
      <c r="N22495" s="1"/>
    </row>
    <row r="22496" spans="7:14" x14ac:dyDescent="0.3">
      <c r="G22496" s="1"/>
      <c r="N22496" s="1"/>
    </row>
    <row r="22497" spans="7:14" x14ac:dyDescent="0.3">
      <c r="G22497" s="1"/>
      <c r="N22497" s="1"/>
    </row>
    <row r="22498" spans="7:14" x14ac:dyDescent="0.3">
      <c r="G22498" s="1"/>
      <c r="N22498" s="1"/>
    </row>
    <row r="22499" spans="7:14" x14ac:dyDescent="0.3">
      <c r="G22499" s="1"/>
      <c r="N22499" s="1"/>
    </row>
    <row r="22500" spans="7:14" x14ac:dyDescent="0.3">
      <c r="G22500" s="1"/>
      <c r="N22500" s="1"/>
    </row>
    <row r="22501" spans="7:14" x14ac:dyDescent="0.3">
      <c r="G22501" s="1"/>
      <c r="N22501" s="1"/>
    </row>
    <row r="22502" spans="7:14" x14ac:dyDescent="0.3">
      <c r="G22502" s="1"/>
      <c r="N22502" s="1"/>
    </row>
    <row r="22503" spans="7:14" x14ac:dyDescent="0.3">
      <c r="G22503" s="1"/>
      <c r="N22503" s="1"/>
    </row>
    <row r="22504" spans="7:14" x14ac:dyDescent="0.3">
      <c r="G22504" s="1"/>
      <c r="N22504" s="1"/>
    </row>
    <row r="22505" spans="7:14" x14ac:dyDescent="0.3">
      <c r="G22505" s="1"/>
      <c r="N22505" s="1"/>
    </row>
    <row r="22506" spans="7:14" x14ac:dyDescent="0.3">
      <c r="G22506" s="1"/>
      <c r="N22506" s="1"/>
    </row>
    <row r="22507" spans="7:14" x14ac:dyDescent="0.3">
      <c r="G22507" s="1"/>
      <c r="N22507" s="1"/>
    </row>
    <row r="22508" spans="7:14" x14ac:dyDescent="0.3">
      <c r="G22508" s="1"/>
      <c r="N22508" s="1"/>
    </row>
    <row r="22509" spans="7:14" x14ac:dyDescent="0.3">
      <c r="G22509" s="1"/>
      <c r="N22509" s="1"/>
    </row>
    <row r="22510" spans="7:14" x14ac:dyDescent="0.3">
      <c r="G22510" s="1"/>
      <c r="N22510" s="1"/>
    </row>
    <row r="22511" spans="7:14" x14ac:dyDescent="0.3">
      <c r="G22511" s="1"/>
      <c r="N22511" s="1"/>
    </row>
    <row r="22512" spans="7:14" x14ac:dyDescent="0.3">
      <c r="G22512" s="1"/>
      <c r="N22512" s="1"/>
    </row>
    <row r="22513" spans="7:14" x14ac:dyDescent="0.3">
      <c r="G22513" s="1"/>
      <c r="N22513" s="1"/>
    </row>
    <row r="22514" spans="7:14" x14ac:dyDescent="0.3">
      <c r="G22514" s="1"/>
      <c r="N22514" s="1"/>
    </row>
    <row r="22515" spans="7:14" x14ac:dyDescent="0.3">
      <c r="G22515" s="1"/>
      <c r="N22515" s="1"/>
    </row>
    <row r="22516" spans="7:14" x14ac:dyDescent="0.3">
      <c r="G22516" s="1"/>
      <c r="N22516" s="1"/>
    </row>
    <row r="22517" spans="7:14" x14ac:dyDescent="0.3">
      <c r="G22517" s="1"/>
      <c r="N22517" s="1"/>
    </row>
    <row r="22518" spans="7:14" x14ac:dyDescent="0.3">
      <c r="G22518" s="1"/>
      <c r="N22518" s="1"/>
    </row>
    <row r="22519" spans="7:14" x14ac:dyDescent="0.3">
      <c r="G22519" s="1"/>
      <c r="N22519" s="1"/>
    </row>
    <row r="22520" spans="7:14" x14ac:dyDescent="0.3">
      <c r="G22520" s="1"/>
      <c r="N22520" s="1"/>
    </row>
    <row r="22521" spans="7:14" x14ac:dyDescent="0.3">
      <c r="G22521" s="1"/>
      <c r="N22521" s="1"/>
    </row>
    <row r="22522" spans="7:14" x14ac:dyDescent="0.3">
      <c r="G22522" s="1"/>
      <c r="N22522" s="1"/>
    </row>
    <row r="22523" spans="7:14" x14ac:dyDescent="0.3">
      <c r="G22523" s="1"/>
      <c r="N22523" s="1"/>
    </row>
    <row r="22524" spans="7:14" x14ac:dyDescent="0.3">
      <c r="G22524" s="1"/>
      <c r="N22524" s="1"/>
    </row>
    <row r="22525" spans="7:14" x14ac:dyDescent="0.3">
      <c r="G22525" s="1"/>
      <c r="N22525" s="1"/>
    </row>
    <row r="22526" spans="7:14" x14ac:dyDescent="0.3">
      <c r="G22526" s="1"/>
      <c r="N22526" s="1"/>
    </row>
    <row r="22527" spans="7:14" x14ac:dyDescent="0.3">
      <c r="G22527" s="1"/>
      <c r="N22527" s="1"/>
    </row>
    <row r="22528" spans="7:14" x14ac:dyDescent="0.3">
      <c r="G22528" s="1"/>
      <c r="N22528" s="1"/>
    </row>
    <row r="22529" spans="7:14" x14ac:dyDescent="0.3">
      <c r="G22529" s="1"/>
      <c r="N22529" s="1"/>
    </row>
    <row r="22530" spans="7:14" x14ac:dyDescent="0.3">
      <c r="G22530" s="1"/>
      <c r="N22530" s="1"/>
    </row>
    <row r="22531" spans="7:14" x14ac:dyDescent="0.3">
      <c r="G22531" s="1"/>
      <c r="N22531" s="1"/>
    </row>
    <row r="22532" spans="7:14" x14ac:dyDescent="0.3">
      <c r="G22532" s="1"/>
      <c r="N22532" s="1"/>
    </row>
    <row r="22533" spans="7:14" x14ac:dyDescent="0.3">
      <c r="G22533" s="1"/>
      <c r="N22533" s="1"/>
    </row>
    <row r="22534" spans="7:14" x14ac:dyDescent="0.3">
      <c r="G22534" s="1"/>
      <c r="N22534" s="1"/>
    </row>
    <row r="22535" spans="7:14" x14ac:dyDescent="0.3">
      <c r="G22535" s="1"/>
      <c r="N22535" s="1"/>
    </row>
    <row r="22536" spans="7:14" x14ac:dyDescent="0.3">
      <c r="G22536" s="1"/>
      <c r="N22536" s="1"/>
    </row>
    <row r="22537" spans="7:14" x14ac:dyDescent="0.3">
      <c r="G22537" s="1"/>
      <c r="N22537" s="1"/>
    </row>
    <row r="22538" spans="7:14" x14ac:dyDescent="0.3">
      <c r="G22538" s="1"/>
      <c r="N22538" s="1"/>
    </row>
    <row r="22539" spans="7:14" x14ac:dyDescent="0.3">
      <c r="G22539" s="1"/>
      <c r="N22539" s="1"/>
    </row>
    <row r="22540" spans="7:14" x14ac:dyDescent="0.3">
      <c r="G22540" s="1"/>
      <c r="N22540" s="1"/>
    </row>
    <row r="22541" spans="7:14" x14ac:dyDescent="0.3">
      <c r="G22541" s="1"/>
      <c r="N22541" s="1"/>
    </row>
    <row r="22542" spans="7:14" x14ac:dyDescent="0.3">
      <c r="G22542" s="1"/>
      <c r="N22542" s="1"/>
    </row>
    <row r="22543" spans="7:14" x14ac:dyDescent="0.3">
      <c r="G22543" s="1"/>
      <c r="N22543" s="1"/>
    </row>
    <row r="22544" spans="7:14" x14ac:dyDescent="0.3">
      <c r="G22544" s="1"/>
      <c r="N22544" s="1"/>
    </row>
    <row r="22545" spans="7:14" x14ac:dyDescent="0.3">
      <c r="G22545" s="1"/>
      <c r="N22545" s="1"/>
    </row>
    <row r="22546" spans="7:14" x14ac:dyDescent="0.3">
      <c r="G22546" s="1"/>
      <c r="N22546" s="1"/>
    </row>
    <row r="22547" spans="7:14" x14ac:dyDescent="0.3">
      <c r="G22547" s="1"/>
      <c r="N22547" s="1"/>
    </row>
    <row r="22548" spans="7:14" x14ac:dyDescent="0.3">
      <c r="G22548" s="1"/>
      <c r="N22548" s="1"/>
    </row>
    <row r="22549" spans="7:14" x14ac:dyDescent="0.3">
      <c r="G22549" s="1"/>
      <c r="N22549" s="1"/>
    </row>
    <row r="22550" spans="7:14" x14ac:dyDescent="0.3">
      <c r="G22550" s="1"/>
      <c r="N22550" s="1"/>
    </row>
    <row r="22551" spans="7:14" x14ac:dyDescent="0.3">
      <c r="G22551" s="1"/>
      <c r="N22551" s="1"/>
    </row>
    <row r="22552" spans="7:14" x14ac:dyDescent="0.3">
      <c r="G22552" s="1"/>
      <c r="N22552" s="1"/>
    </row>
    <row r="22553" spans="7:14" x14ac:dyDescent="0.3">
      <c r="G22553" s="1"/>
      <c r="N22553" s="1"/>
    </row>
    <row r="22554" spans="7:14" x14ac:dyDescent="0.3">
      <c r="G22554" s="1"/>
      <c r="N22554" s="1"/>
    </row>
    <row r="22555" spans="7:14" x14ac:dyDescent="0.3">
      <c r="G22555" s="1"/>
      <c r="N22555" s="1"/>
    </row>
    <row r="22556" spans="7:14" x14ac:dyDescent="0.3">
      <c r="G22556" s="1"/>
      <c r="N22556" s="1"/>
    </row>
    <row r="22557" spans="7:14" x14ac:dyDescent="0.3">
      <c r="G22557" s="1"/>
      <c r="N22557" s="1"/>
    </row>
    <row r="22558" spans="7:14" x14ac:dyDescent="0.3">
      <c r="G22558" s="1"/>
      <c r="N22558" s="1"/>
    </row>
    <row r="22559" spans="7:14" x14ac:dyDescent="0.3">
      <c r="G22559" s="1"/>
      <c r="N22559" s="1"/>
    </row>
    <row r="22560" spans="7:14" x14ac:dyDescent="0.3">
      <c r="G22560" s="1"/>
      <c r="N22560" s="1"/>
    </row>
    <row r="22561" spans="7:14" x14ac:dyDescent="0.3">
      <c r="G22561" s="1"/>
      <c r="N22561" s="1"/>
    </row>
    <row r="22562" spans="7:14" x14ac:dyDescent="0.3">
      <c r="G22562" s="1"/>
      <c r="N22562" s="1"/>
    </row>
    <row r="22563" spans="7:14" x14ac:dyDescent="0.3">
      <c r="G22563" s="1"/>
      <c r="N22563" s="1"/>
    </row>
    <row r="22564" spans="7:14" x14ac:dyDescent="0.3">
      <c r="G22564" s="1"/>
      <c r="N22564" s="1"/>
    </row>
    <row r="22565" spans="7:14" x14ac:dyDescent="0.3">
      <c r="G22565" s="1"/>
      <c r="N22565" s="1"/>
    </row>
    <row r="22566" spans="7:14" x14ac:dyDescent="0.3">
      <c r="G22566" s="1"/>
      <c r="N22566" s="1"/>
    </row>
    <row r="22567" spans="7:14" x14ac:dyDescent="0.3">
      <c r="G22567" s="1"/>
      <c r="N22567" s="1"/>
    </row>
    <row r="22568" spans="7:14" x14ac:dyDescent="0.3">
      <c r="G22568" s="1"/>
      <c r="N22568" s="1"/>
    </row>
    <row r="22569" spans="7:14" x14ac:dyDescent="0.3">
      <c r="G22569" s="1"/>
      <c r="N22569" s="1"/>
    </row>
    <row r="22570" spans="7:14" x14ac:dyDescent="0.3">
      <c r="G22570" s="1"/>
      <c r="N22570" s="1"/>
    </row>
    <row r="22571" spans="7:14" x14ac:dyDescent="0.3">
      <c r="G22571" s="1"/>
      <c r="N22571" s="1"/>
    </row>
    <row r="22572" spans="7:14" x14ac:dyDescent="0.3">
      <c r="G22572" s="1"/>
      <c r="N22572" s="1"/>
    </row>
    <row r="22573" spans="7:14" x14ac:dyDescent="0.3">
      <c r="G22573" s="1"/>
      <c r="N22573" s="1"/>
    </row>
    <row r="22574" spans="7:14" x14ac:dyDescent="0.3">
      <c r="G22574" s="1"/>
      <c r="N22574" s="1"/>
    </row>
    <row r="22575" spans="7:14" x14ac:dyDescent="0.3">
      <c r="G22575" s="1"/>
      <c r="N22575" s="1"/>
    </row>
    <row r="22576" spans="7:14" x14ac:dyDescent="0.3">
      <c r="G22576" s="1"/>
      <c r="N22576" s="1"/>
    </row>
    <row r="22577" spans="7:14" x14ac:dyDescent="0.3">
      <c r="G22577" s="1"/>
      <c r="N22577" s="1"/>
    </row>
    <row r="22578" spans="7:14" x14ac:dyDescent="0.3">
      <c r="G22578" s="1"/>
      <c r="N22578" s="1"/>
    </row>
    <row r="22579" spans="7:14" x14ac:dyDescent="0.3">
      <c r="G22579" s="1"/>
      <c r="N22579" s="1"/>
    </row>
    <row r="22580" spans="7:14" x14ac:dyDescent="0.3">
      <c r="G22580" s="1"/>
      <c r="N22580" s="1"/>
    </row>
    <row r="22581" spans="7:14" x14ac:dyDescent="0.3">
      <c r="G22581" s="1"/>
      <c r="N22581" s="1"/>
    </row>
    <row r="22582" spans="7:14" x14ac:dyDescent="0.3">
      <c r="G22582" s="1"/>
      <c r="N22582" s="1"/>
    </row>
    <row r="22583" spans="7:14" x14ac:dyDescent="0.3">
      <c r="G22583" s="1"/>
      <c r="N22583" s="1"/>
    </row>
    <row r="22584" spans="7:14" x14ac:dyDescent="0.3">
      <c r="G22584" s="1"/>
      <c r="N22584" s="1"/>
    </row>
    <row r="22585" spans="7:14" x14ac:dyDescent="0.3">
      <c r="G22585" s="1"/>
      <c r="N22585" s="1"/>
    </row>
    <row r="22586" spans="7:14" x14ac:dyDescent="0.3">
      <c r="G22586" s="1"/>
      <c r="N22586" s="1"/>
    </row>
    <row r="22587" spans="7:14" x14ac:dyDescent="0.3">
      <c r="G22587" s="1"/>
      <c r="N22587" s="1"/>
    </row>
    <row r="22588" spans="7:14" x14ac:dyDescent="0.3">
      <c r="G22588" s="1"/>
      <c r="N22588" s="1"/>
    </row>
    <row r="22589" spans="7:14" x14ac:dyDescent="0.3">
      <c r="G22589" s="1"/>
      <c r="N22589" s="1"/>
    </row>
    <row r="22590" spans="7:14" x14ac:dyDescent="0.3">
      <c r="G22590" s="1"/>
      <c r="N22590" s="1"/>
    </row>
    <row r="22591" spans="7:14" x14ac:dyDescent="0.3">
      <c r="G22591" s="1"/>
      <c r="N22591" s="1"/>
    </row>
    <row r="22592" spans="7:14" x14ac:dyDescent="0.3">
      <c r="G22592" s="1"/>
      <c r="N22592" s="1"/>
    </row>
    <row r="22593" spans="7:14" x14ac:dyDescent="0.3">
      <c r="G22593" s="1"/>
      <c r="N22593" s="1"/>
    </row>
    <row r="22594" spans="7:14" x14ac:dyDescent="0.3">
      <c r="G22594" s="1"/>
      <c r="N22594" s="1"/>
    </row>
    <row r="22595" spans="7:14" x14ac:dyDescent="0.3">
      <c r="G22595" s="1"/>
      <c r="N22595" s="1"/>
    </row>
    <row r="22596" spans="7:14" x14ac:dyDescent="0.3">
      <c r="G22596" s="1"/>
      <c r="N22596" s="1"/>
    </row>
    <row r="22597" spans="7:14" x14ac:dyDescent="0.3">
      <c r="G22597" s="1"/>
      <c r="N22597" s="1"/>
    </row>
    <row r="22598" spans="7:14" x14ac:dyDescent="0.3">
      <c r="G22598" s="1"/>
      <c r="N22598" s="1"/>
    </row>
    <row r="22599" spans="7:14" x14ac:dyDescent="0.3">
      <c r="G22599" s="1"/>
      <c r="N22599" s="1"/>
    </row>
    <row r="22600" spans="7:14" x14ac:dyDescent="0.3">
      <c r="G22600" s="1"/>
      <c r="N22600" s="1"/>
    </row>
    <row r="22601" spans="7:14" x14ac:dyDescent="0.3">
      <c r="G22601" s="1"/>
      <c r="N22601" s="1"/>
    </row>
    <row r="22602" spans="7:14" x14ac:dyDescent="0.3">
      <c r="G22602" s="1"/>
      <c r="N22602" s="1"/>
    </row>
    <row r="22603" spans="7:14" x14ac:dyDescent="0.3">
      <c r="G22603" s="1"/>
      <c r="N22603" s="1"/>
    </row>
    <row r="22604" spans="7:14" x14ac:dyDescent="0.3">
      <c r="G22604" s="1"/>
      <c r="N22604" s="1"/>
    </row>
    <row r="22605" spans="7:14" x14ac:dyDescent="0.3">
      <c r="G22605" s="1"/>
      <c r="N22605" s="1"/>
    </row>
    <row r="22606" spans="7:14" x14ac:dyDescent="0.3">
      <c r="G22606" s="1"/>
      <c r="N22606" s="1"/>
    </row>
    <row r="22607" spans="7:14" x14ac:dyDescent="0.3">
      <c r="G22607" s="1"/>
      <c r="N22607" s="1"/>
    </row>
    <row r="22608" spans="7:14" x14ac:dyDescent="0.3">
      <c r="G22608" s="1"/>
      <c r="N22608" s="1"/>
    </row>
    <row r="22609" spans="7:14" x14ac:dyDescent="0.3">
      <c r="G22609" s="1"/>
      <c r="N22609" s="1"/>
    </row>
    <row r="22610" spans="7:14" x14ac:dyDescent="0.3">
      <c r="G22610" s="1"/>
      <c r="N22610" s="1"/>
    </row>
    <row r="22611" spans="7:14" x14ac:dyDescent="0.3">
      <c r="G22611" s="1"/>
      <c r="N22611" s="1"/>
    </row>
    <row r="22612" spans="7:14" x14ac:dyDescent="0.3">
      <c r="G22612" s="1"/>
      <c r="N22612" s="1"/>
    </row>
    <row r="22613" spans="7:14" x14ac:dyDescent="0.3">
      <c r="G22613" s="1"/>
      <c r="N22613" s="1"/>
    </row>
    <row r="22614" spans="7:14" x14ac:dyDescent="0.3">
      <c r="G22614" s="1"/>
      <c r="N22614" s="1"/>
    </row>
    <row r="22615" spans="7:14" x14ac:dyDescent="0.3">
      <c r="G22615" s="1"/>
      <c r="N22615" s="1"/>
    </row>
    <row r="22616" spans="7:14" x14ac:dyDescent="0.3">
      <c r="G22616" s="1"/>
      <c r="N22616" s="1"/>
    </row>
    <row r="22617" spans="7:14" x14ac:dyDescent="0.3">
      <c r="G22617" s="1"/>
      <c r="N22617" s="1"/>
    </row>
    <row r="22618" spans="7:14" x14ac:dyDescent="0.3">
      <c r="G22618" s="1"/>
      <c r="N22618" s="1"/>
    </row>
    <row r="22619" spans="7:14" x14ac:dyDescent="0.3">
      <c r="G22619" s="1"/>
      <c r="N22619" s="1"/>
    </row>
    <row r="22620" spans="7:14" x14ac:dyDescent="0.3">
      <c r="G22620" s="1"/>
      <c r="N22620" s="1"/>
    </row>
    <row r="22621" spans="7:14" x14ac:dyDescent="0.3">
      <c r="G22621" s="1"/>
      <c r="N22621" s="1"/>
    </row>
    <row r="22622" spans="7:14" x14ac:dyDescent="0.3">
      <c r="G22622" s="1"/>
      <c r="N22622" s="1"/>
    </row>
    <row r="22623" spans="7:14" x14ac:dyDescent="0.3">
      <c r="G22623" s="1"/>
      <c r="N22623" s="1"/>
    </row>
    <row r="22624" spans="7:14" x14ac:dyDescent="0.3">
      <c r="G22624" s="1"/>
      <c r="N22624" s="1"/>
    </row>
    <row r="22625" spans="7:14" x14ac:dyDescent="0.3">
      <c r="G22625" s="1"/>
      <c r="N22625" s="1"/>
    </row>
    <row r="22626" spans="7:14" x14ac:dyDescent="0.3">
      <c r="G22626" s="1"/>
      <c r="N22626" s="1"/>
    </row>
    <row r="22627" spans="7:14" x14ac:dyDescent="0.3">
      <c r="G22627" s="1"/>
      <c r="N22627" s="1"/>
    </row>
    <row r="22628" spans="7:14" x14ac:dyDescent="0.3">
      <c r="G22628" s="1"/>
      <c r="N22628" s="1"/>
    </row>
    <row r="22629" spans="7:14" x14ac:dyDescent="0.3">
      <c r="G22629" s="1"/>
      <c r="N22629" s="1"/>
    </row>
    <row r="22630" spans="7:14" x14ac:dyDescent="0.3">
      <c r="G22630" s="1"/>
      <c r="N22630" s="1"/>
    </row>
    <row r="22631" spans="7:14" x14ac:dyDescent="0.3">
      <c r="G22631" s="1"/>
      <c r="N22631" s="1"/>
    </row>
    <row r="22632" spans="7:14" x14ac:dyDescent="0.3">
      <c r="G22632" s="1"/>
      <c r="N22632" s="1"/>
    </row>
    <row r="22633" spans="7:14" x14ac:dyDescent="0.3">
      <c r="G22633" s="1"/>
      <c r="N22633" s="1"/>
    </row>
    <row r="22634" spans="7:14" x14ac:dyDescent="0.3">
      <c r="G22634" s="1"/>
      <c r="N22634" s="1"/>
    </row>
    <row r="22635" spans="7:14" x14ac:dyDescent="0.3">
      <c r="G22635" s="1"/>
      <c r="N22635" s="1"/>
    </row>
    <row r="22636" spans="7:14" x14ac:dyDescent="0.3">
      <c r="G22636" s="1"/>
      <c r="N22636" s="1"/>
    </row>
    <row r="22637" spans="7:14" x14ac:dyDescent="0.3">
      <c r="G22637" s="1"/>
      <c r="N22637" s="1"/>
    </row>
    <row r="22638" spans="7:14" x14ac:dyDescent="0.3">
      <c r="G22638" s="1"/>
      <c r="N22638" s="1"/>
    </row>
    <row r="22639" spans="7:14" x14ac:dyDescent="0.3">
      <c r="G22639" s="1"/>
      <c r="N22639" s="1"/>
    </row>
    <row r="22640" spans="7:14" x14ac:dyDescent="0.3">
      <c r="G22640" s="1"/>
      <c r="N22640" s="1"/>
    </row>
    <row r="22641" spans="7:14" x14ac:dyDescent="0.3">
      <c r="G22641" s="1"/>
      <c r="N22641" s="1"/>
    </row>
    <row r="22642" spans="7:14" x14ac:dyDescent="0.3">
      <c r="G22642" s="1"/>
      <c r="N22642" s="1"/>
    </row>
    <row r="22643" spans="7:14" x14ac:dyDescent="0.3">
      <c r="G22643" s="1"/>
      <c r="N22643" s="1"/>
    </row>
    <row r="22644" spans="7:14" x14ac:dyDescent="0.3">
      <c r="G22644" s="1"/>
      <c r="N22644" s="1"/>
    </row>
    <row r="22645" spans="7:14" x14ac:dyDescent="0.3">
      <c r="G22645" s="1"/>
      <c r="N22645" s="1"/>
    </row>
    <row r="22646" spans="7:14" x14ac:dyDescent="0.3">
      <c r="G22646" s="1"/>
      <c r="N22646" s="1"/>
    </row>
    <row r="22647" spans="7:14" x14ac:dyDescent="0.3">
      <c r="G22647" s="1"/>
      <c r="N22647" s="1"/>
    </row>
    <row r="22648" spans="7:14" x14ac:dyDescent="0.3">
      <c r="G22648" s="1"/>
      <c r="N22648" s="1"/>
    </row>
    <row r="22649" spans="7:14" x14ac:dyDescent="0.3">
      <c r="G22649" s="1"/>
      <c r="N22649" s="1"/>
    </row>
    <row r="22650" spans="7:14" x14ac:dyDescent="0.3">
      <c r="G22650" s="1"/>
      <c r="N22650" s="1"/>
    </row>
    <row r="22651" spans="7:14" x14ac:dyDescent="0.3">
      <c r="G22651" s="1"/>
      <c r="N22651" s="1"/>
    </row>
    <row r="22652" spans="7:14" x14ac:dyDescent="0.3">
      <c r="G22652" s="1"/>
      <c r="N22652" s="1"/>
    </row>
    <row r="22653" spans="7:14" x14ac:dyDescent="0.3">
      <c r="G22653" s="1"/>
      <c r="N22653" s="1"/>
    </row>
    <row r="22654" spans="7:14" x14ac:dyDescent="0.3">
      <c r="G22654" s="1"/>
      <c r="N22654" s="1"/>
    </row>
    <row r="22655" spans="7:14" x14ac:dyDescent="0.3">
      <c r="G22655" s="1"/>
      <c r="N22655" s="1"/>
    </row>
    <row r="22656" spans="7:14" x14ac:dyDescent="0.3">
      <c r="G22656" s="1"/>
      <c r="N22656" s="1"/>
    </row>
    <row r="22657" spans="7:14" x14ac:dyDescent="0.3">
      <c r="G22657" s="1"/>
      <c r="N22657" s="1"/>
    </row>
    <row r="22658" spans="7:14" x14ac:dyDescent="0.3">
      <c r="G22658" s="1"/>
      <c r="N22658" s="1"/>
    </row>
    <row r="22659" spans="7:14" x14ac:dyDescent="0.3">
      <c r="G22659" s="1"/>
      <c r="N22659" s="1"/>
    </row>
    <row r="22660" spans="7:14" x14ac:dyDescent="0.3">
      <c r="G22660" s="1"/>
      <c r="N22660" s="1"/>
    </row>
    <row r="22661" spans="7:14" x14ac:dyDescent="0.3">
      <c r="G22661" s="1"/>
      <c r="N22661" s="1"/>
    </row>
    <row r="22662" spans="7:14" x14ac:dyDescent="0.3">
      <c r="G22662" s="1"/>
      <c r="N22662" s="1"/>
    </row>
    <row r="22663" spans="7:14" x14ac:dyDescent="0.3">
      <c r="G22663" s="1"/>
      <c r="N22663" s="1"/>
    </row>
    <row r="22664" spans="7:14" x14ac:dyDescent="0.3">
      <c r="G22664" s="1"/>
      <c r="N22664" s="1"/>
    </row>
    <row r="22665" spans="7:14" x14ac:dyDescent="0.3">
      <c r="G22665" s="1"/>
      <c r="N22665" s="1"/>
    </row>
    <row r="22666" spans="7:14" x14ac:dyDescent="0.3">
      <c r="G22666" s="1"/>
      <c r="N22666" s="1"/>
    </row>
    <row r="22667" spans="7:14" x14ac:dyDescent="0.3">
      <c r="G22667" s="1"/>
      <c r="N22667" s="1"/>
    </row>
    <row r="22668" spans="7:14" x14ac:dyDescent="0.3">
      <c r="G22668" s="1"/>
      <c r="N22668" s="1"/>
    </row>
    <row r="22669" spans="7:14" x14ac:dyDescent="0.3">
      <c r="G22669" s="1"/>
      <c r="N22669" s="1"/>
    </row>
    <row r="22670" spans="7:14" x14ac:dyDescent="0.3">
      <c r="G22670" s="1"/>
      <c r="N22670" s="1"/>
    </row>
    <row r="22671" spans="7:14" x14ac:dyDescent="0.3">
      <c r="G22671" s="1"/>
      <c r="N22671" s="1"/>
    </row>
    <row r="22672" spans="7:14" x14ac:dyDescent="0.3">
      <c r="G22672" s="1"/>
      <c r="N22672" s="1"/>
    </row>
    <row r="22673" spans="7:14" x14ac:dyDescent="0.3">
      <c r="G22673" s="1"/>
      <c r="N22673" s="1"/>
    </row>
    <row r="22674" spans="7:14" x14ac:dyDescent="0.3">
      <c r="G22674" s="1"/>
      <c r="N22674" s="1"/>
    </row>
    <row r="22675" spans="7:14" x14ac:dyDescent="0.3">
      <c r="G22675" s="1"/>
      <c r="N22675" s="1"/>
    </row>
    <row r="22676" spans="7:14" x14ac:dyDescent="0.3">
      <c r="G22676" s="1"/>
      <c r="N22676" s="1"/>
    </row>
    <row r="22677" spans="7:14" x14ac:dyDescent="0.3">
      <c r="G22677" s="1"/>
      <c r="N22677" s="1"/>
    </row>
    <row r="22678" spans="7:14" x14ac:dyDescent="0.3">
      <c r="G22678" s="1"/>
      <c r="N22678" s="1"/>
    </row>
    <row r="22679" spans="7:14" x14ac:dyDescent="0.3">
      <c r="G22679" s="1"/>
      <c r="N22679" s="1"/>
    </row>
    <row r="22680" spans="7:14" x14ac:dyDescent="0.3">
      <c r="G22680" s="1"/>
      <c r="N22680" s="1"/>
    </row>
    <row r="22681" spans="7:14" x14ac:dyDescent="0.3">
      <c r="G22681" s="1"/>
      <c r="N22681" s="1"/>
    </row>
    <row r="22682" spans="7:14" x14ac:dyDescent="0.3">
      <c r="G22682" s="1"/>
      <c r="N22682" s="1"/>
    </row>
    <row r="22683" spans="7:14" x14ac:dyDescent="0.3">
      <c r="G22683" s="1"/>
      <c r="N22683" s="1"/>
    </row>
    <row r="22684" spans="7:14" x14ac:dyDescent="0.3">
      <c r="G22684" s="1"/>
      <c r="N22684" s="1"/>
    </row>
    <row r="22685" spans="7:14" x14ac:dyDescent="0.3">
      <c r="G22685" s="1"/>
      <c r="N22685" s="1"/>
    </row>
    <row r="22686" spans="7:14" x14ac:dyDescent="0.3">
      <c r="G22686" s="1"/>
      <c r="N22686" s="1"/>
    </row>
    <row r="22687" spans="7:14" x14ac:dyDescent="0.3">
      <c r="G22687" s="1"/>
      <c r="N22687" s="1"/>
    </row>
    <row r="22688" spans="7:14" x14ac:dyDescent="0.3">
      <c r="G22688" s="1"/>
      <c r="N22688" s="1"/>
    </row>
    <row r="22689" spans="7:14" x14ac:dyDescent="0.3">
      <c r="G22689" s="1"/>
      <c r="N22689" s="1"/>
    </row>
    <row r="22690" spans="7:14" x14ac:dyDescent="0.3">
      <c r="G22690" s="1"/>
      <c r="N22690" s="1"/>
    </row>
    <row r="22691" spans="7:14" x14ac:dyDescent="0.3">
      <c r="G22691" s="1"/>
      <c r="N22691" s="1"/>
    </row>
    <row r="22692" spans="7:14" x14ac:dyDescent="0.3">
      <c r="G22692" s="1"/>
      <c r="N22692" s="1"/>
    </row>
    <row r="22693" spans="7:14" x14ac:dyDescent="0.3">
      <c r="G22693" s="1"/>
      <c r="N22693" s="1"/>
    </row>
    <row r="22694" spans="7:14" x14ac:dyDescent="0.3">
      <c r="G22694" s="1"/>
      <c r="N22694" s="1"/>
    </row>
    <row r="22695" spans="7:14" x14ac:dyDescent="0.3">
      <c r="G22695" s="1"/>
      <c r="N22695" s="1"/>
    </row>
    <row r="22696" spans="7:14" x14ac:dyDescent="0.3">
      <c r="G22696" s="1"/>
      <c r="N22696" s="1"/>
    </row>
    <row r="22697" spans="7:14" x14ac:dyDescent="0.3">
      <c r="G22697" s="1"/>
      <c r="N22697" s="1"/>
    </row>
    <row r="22698" spans="7:14" x14ac:dyDescent="0.3">
      <c r="G22698" s="1"/>
      <c r="N22698" s="1"/>
    </row>
    <row r="22699" spans="7:14" x14ac:dyDescent="0.3">
      <c r="G22699" s="1"/>
      <c r="N22699" s="1"/>
    </row>
    <row r="22700" spans="7:14" x14ac:dyDescent="0.3">
      <c r="G22700" s="1"/>
      <c r="N22700" s="1"/>
    </row>
    <row r="22701" spans="7:14" x14ac:dyDescent="0.3">
      <c r="G22701" s="1"/>
      <c r="N22701" s="1"/>
    </row>
    <row r="22702" spans="7:14" x14ac:dyDescent="0.3">
      <c r="G22702" s="1"/>
      <c r="N22702" s="1"/>
    </row>
    <row r="22703" spans="7:14" x14ac:dyDescent="0.3">
      <c r="G22703" s="1"/>
      <c r="N22703" s="1"/>
    </row>
    <row r="22704" spans="7:14" x14ac:dyDescent="0.3">
      <c r="G22704" s="1"/>
      <c r="N22704" s="1"/>
    </row>
    <row r="22705" spans="7:14" x14ac:dyDescent="0.3">
      <c r="G22705" s="1"/>
      <c r="N22705" s="1"/>
    </row>
    <row r="22706" spans="7:14" x14ac:dyDescent="0.3">
      <c r="G22706" s="1"/>
      <c r="N22706" s="1"/>
    </row>
    <row r="22707" spans="7:14" x14ac:dyDescent="0.3">
      <c r="G22707" s="1"/>
      <c r="N22707" s="1"/>
    </row>
    <row r="22708" spans="7:14" x14ac:dyDescent="0.3">
      <c r="G22708" s="1"/>
      <c r="N22708" s="1"/>
    </row>
    <row r="22709" spans="7:14" x14ac:dyDescent="0.3">
      <c r="G22709" s="1"/>
      <c r="N22709" s="1"/>
    </row>
    <row r="22710" spans="7:14" x14ac:dyDescent="0.3">
      <c r="G22710" s="1"/>
      <c r="N22710" s="1"/>
    </row>
    <row r="22711" spans="7:14" x14ac:dyDescent="0.3">
      <c r="G22711" s="1"/>
      <c r="N22711" s="1"/>
    </row>
    <row r="22712" spans="7:14" x14ac:dyDescent="0.3">
      <c r="G22712" s="1"/>
      <c r="N22712" s="1"/>
    </row>
    <row r="22713" spans="7:14" x14ac:dyDescent="0.3">
      <c r="G22713" s="1"/>
      <c r="N22713" s="1"/>
    </row>
    <row r="22714" spans="7:14" x14ac:dyDescent="0.3">
      <c r="G22714" s="1"/>
      <c r="N22714" s="1"/>
    </row>
    <row r="22715" spans="7:14" x14ac:dyDescent="0.3">
      <c r="G22715" s="1"/>
      <c r="N22715" s="1"/>
    </row>
    <row r="22716" spans="7:14" x14ac:dyDescent="0.3">
      <c r="G22716" s="1"/>
      <c r="N22716" s="1"/>
    </row>
    <row r="22717" spans="7:14" x14ac:dyDescent="0.3">
      <c r="G22717" s="1"/>
      <c r="N22717" s="1"/>
    </row>
    <row r="22718" spans="7:14" x14ac:dyDescent="0.3">
      <c r="G22718" s="1"/>
      <c r="N22718" s="1"/>
    </row>
    <row r="22719" spans="7:14" x14ac:dyDescent="0.3">
      <c r="G22719" s="1"/>
      <c r="N22719" s="1"/>
    </row>
    <row r="22720" spans="7:14" x14ac:dyDescent="0.3">
      <c r="G22720" s="1"/>
      <c r="N22720" s="1"/>
    </row>
    <row r="22721" spans="7:14" x14ac:dyDescent="0.3">
      <c r="G22721" s="1"/>
      <c r="N22721" s="1"/>
    </row>
    <row r="22722" spans="7:14" x14ac:dyDescent="0.3">
      <c r="G22722" s="1"/>
      <c r="N22722" s="1"/>
    </row>
    <row r="22723" spans="7:14" x14ac:dyDescent="0.3">
      <c r="G22723" s="1"/>
      <c r="N22723" s="1"/>
    </row>
    <row r="22724" spans="7:14" x14ac:dyDescent="0.3">
      <c r="G22724" s="1"/>
      <c r="N22724" s="1"/>
    </row>
    <row r="22725" spans="7:14" x14ac:dyDescent="0.3">
      <c r="G22725" s="1"/>
      <c r="N22725" s="1"/>
    </row>
    <row r="22726" spans="7:14" x14ac:dyDescent="0.3">
      <c r="G22726" s="1"/>
      <c r="N22726" s="1"/>
    </row>
    <row r="22727" spans="7:14" x14ac:dyDescent="0.3">
      <c r="G22727" s="1"/>
      <c r="N22727" s="1"/>
    </row>
    <row r="22728" spans="7:14" x14ac:dyDescent="0.3">
      <c r="G22728" s="1"/>
      <c r="N22728" s="1"/>
    </row>
    <row r="22729" spans="7:14" x14ac:dyDescent="0.3">
      <c r="G22729" s="1"/>
      <c r="N22729" s="1"/>
    </row>
    <row r="22730" spans="7:14" x14ac:dyDescent="0.3">
      <c r="G22730" s="1"/>
      <c r="N22730" s="1"/>
    </row>
    <row r="22731" spans="7:14" x14ac:dyDescent="0.3">
      <c r="G22731" s="1"/>
      <c r="N22731" s="1"/>
    </row>
    <row r="22732" spans="7:14" x14ac:dyDescent="0.3">
      <c r="G22732" s="1"/>
      <c r="N22732" s="1"/>
    </row>
    <row r="22733" spans="7:14" x14ac:dyDescent="0.3">
      <c r="G22733" s="1"/>
      <c r="N22733" s="1"/>
    </row>
    <row r="22734" spans="7:14" x14ac:dyDescent="0.3">
      <c r="G22734" s="1"/>
      <c r="N22734" s="1"/>
    </row>
    <row r="22735" spans="7:14" x14ac:dyDescent="0.3">
      <c r="G22735" s="1"/>
      <c r="N22735" s="1"/>
    </row>
    <row r="22736" spans="7:14" x14ac:dyDescent="0.3">
      <c r="G22736" s="1"/>
      <c r="N22736" s="1"/>
    </row>
    <row r="22737" spans="7:14" x14ac:dyDescent="0.3">
      <c r="G22737" s="1"/>
      <c r="N22737" s="1"/>
    </row>
    <row r="22738" spans="7:14" x14ac:dyDescent="0.3">
      <c r="G22738" s="1"/>
      <c r="N22738" s="1"/>
    </row>
    <row r="22739" spans="7:14" x14ac:dyDescent="0.3">
      <c r="G22739" s="1"/>
      <c r="N22739" s="1"/>
    </row>
    <row r="22740" spans="7:14" x14ac:dyDescent="0.3">
      <c r="G22740" s="1"/>
      <c r="N22740" s="1"/>
    </row>
    <row r="22741" spans="7:14" x14ac:dyDescent="0.3">
      <c r="G22741" s="1"/>
      <c r="N22741" s="1"/>
    </row>
    <row r="22742" spans="7:14" x14ac:dyDescent="0.3">
      <c r="G22742" s="1"/>
      <c r="N22742" s="1"/>
    </row>
    <row r="22743" spans="7:14" x14ac:dyDescent="0.3">
      <c r="G22743" s="1"/>
      <c r="N22743" s="1"/>
    </row>
    <row r="22744" spans="7:14" x14ac:dyDescent="0.3">
      <c r="G22744" s="1"/>
      <c r="N22744" s="1"/>
    </row>
    <row r="22745" spans="7:14" x14ac:dyDescent="0.3">
      <c r="G22745" s="1"/>
      <c r="N22745" s="1"/>
    </row>
    <row r="22746" spans="7:14" x14ac:dyDescent="0.3">
      <c r="G22746" s="1"/>
      <c r="N22746" s="1"/>
    </row>
    <row r="22747" spans="7:14" x14ac:dyDescent="0.3">
      <c r="G22747" s="1"/>
      <c r="N22747" s="1"/>
    </row>
    <row r="22748" spans="7:14" x14ac:dyDescent="0.3">
      <c r="G22748" s="1"/>
      <c r="N22748" s="1"/>
    </row>
    <row r="22749" spans="7:14" x14ac:dyDescent="0.3">
      <c r="G22749" s="1"/>
      <c r="N22749" s="1"/>
    </row>
    <row r="22750" spans="7:14" x14ac:dyDescent="0.3">
      <c r="G22750" s="1"/>
      <c r="N22750" s="1"/>
    </row>
    <row r="22751" spans="7:14" x14ac:dyDescent="0.3">
      <c r="G22751" s="1"/>
      <c r="N22751" s="1"/>
    </row>
    <row r="22752" spans="7:14" x14ac:dyDescent="0.3">
      <c r="G22752" s="1"/>
      <c r="N22752" s="1"/>
    </row>
    <row r="22753" spans="7:14" x14ac:dyDescent="0.3">
      <c r="G22753" s="1"/>
      <c r="N22753" s="1"/>
    </row>
    <row r="22754" spans="7:14" x14ac:dyDescent="0.3">
      <c r="G22754" s="1"/>
      <c r="N22754" s="1"/>
    </row>
    <row r="22755" spans="7:14" x14ac:dyDescent="0.3">
      <c r="G22755" s="1"/>
      <c r="N22755" s="1"/>
    </row>
    <row r="22756" spans="7:14" x14ac:dyDescent="0.3">
      <c r="G22756" s="1"/>
      <c r="N22756" s="1"/>
    </row>
    <row r="22757" spans="7:14" x14ac:dyDescent="0.3">
      <c r="G22757" s="1"/>
      <c r="N22757" s="1"/>
    </row>
    <row r="22758" spans="7:14" x14ac:dyDescent="0.3">
      <c r="G22758" s="1"/>
      <c r="N22758" s="1"/>
    </row>
    <row r="22759" spans="7:14" x14ac:dyDescent="0.3">
      <c r="G22759" s="1"/>
      <c r="N22759" s="1"/>
    </row>
    <row r="22760" spans="7:14" x14ac:dyDescent="0.3">
      <c r="G22760" s="1"/>
      <c r="N22760" s="1"/>
    </row>
    <row r="22761" spans="7:14" x14ac:dyDescent="0.3">
      <c r="G22761" s="1"/>
      <c r="N22761" s="1"/>
    </row>
    <row r="22762" spans="7:14" x14ac:dyDescent="0.3">
      <c r="G22762" s="1"/>
      <c r="N22762" s="1"/>
    </row>
    <row r="22763" spans="7:14" x14ac:dyDescent="0.3">
      <c r="G22763" s="1"/>
      <c r="N22763" s="1"/>
    </row>
    <row r="22764" spans="7:14" x14ac:dyDescent="0.3">
      <c r="G22764" s="1"/>
      <c r="N22764" s="1"/>
    </row>
    <row r="22765" spans="7:14" x14ac:dyDescent="0.3">
      <c r="G22765" s="1"/>
      <c r="N22765" s="1"/>
    </row>
    <row r="22766" spans="7:14" x14ac:dyDescent="0.3">
      <c r="G22766" s="1"/>
      <c r="N22766" s="1"/>
    </row>
    <row r="22767" spans="7:14" x14ac:dyDescent="0.3">
      <c r="G22767" s="1"/>
      <c r="N22767" s="1"/>
    </row>
    <row r="22768" spans="7:14" x14ac:dyDescent="0.3">
      <c r="G22768" s="1"/>
      <c r="N22768" s="1"/>
    </row>
    <row r="22769" spans="7:14" x14ac:dyDescent="0.3">
      <c r="G22769" s="1"/>
      <c r="N22769" s="1"/>
    </row>
    <row r="22770" spans="7:14" x14ac:dyDescent="0.3">
      <c r="G22770" s="1"/>
      <c r="N22770" s="1"/>
    </row>
    <row r="22771" spans="7:14" x14ac:dyDescent="0.3">
      <c r="G22771" s="1"/>
      <c r="N22771" s="1"/>
    </row>
    <row r="22772" spans="7:14" x14ac:dyDescent="0.3">
      <c r="G22772" s="1"/>
      <c r="N22772" s="1"/>
    </row>
    <row r="22773" spans="7:14" x14ac:dyDescent="0.3">
      <c r="G22773" s="1"/>
      <c r="N22773" s="1"/>
    </row>
    <row r="22774" spans="7:14" x14ac:dyDescent="0.3">
      <c r="G22774" s="1"/>
      <c r="N22774" s="1"/>
    </row>
    <row r="22775" spans="7:14" x14ac:dyDescent="0.3">
      <c r="G22775" s="1"/>
      <c r="N22775" s="1"/>
    </row>
    <row r="22776" spans="7:14" x14ac:dyDescent="0.3">
      <c r="G22776" s="1"/>
      <c r="N22776" s="1"/>
    </row>
    <row r="22777" spans="7:14" x14ac:dyDescent="0.3">
      <c r="G22777" s="1"/>
      <c r="N22777" s="1"/>
    </row>
    <row r="22778" spans="7:14" x14ac:dyDescent="0.3">
      <c r="G22778" s="1"/>
      <c r="N22778" s="1"/>
    </row>
    <row r="22779" spans="7:14" x14ac:dyDescent="0.3">
      <c r="G22779" s="1"/>
      <c r="N22779" s="1"/>
    </row>
    <row r="22780" spans="7:14" x14ac:dyDescent="0.3">
      <c r="G22780" s="1"/>
      <c r="N22780" s="1"/>
    </row>
    <row r="22781" spans="7:14" x14ac:dyDescent="0.3">
      <c r="G22781" s="1"/>
      <c r="N22781" s="1"/>
    </row>
    <row r="22782" spans="7:14" x14ac:dyDescent="0.3">
      <c r="G22782" s="1"/>
      <c r="N22782" s="1"/>
    </row>
    <row r="22783" spans="7:14" x14ac:dyDescent="0.3">
      <c r="G22783" s="1"/>
      <c r="N22783" s="1"/>
    </row>
    <row r="22784" spans="7:14" x14ac:dyDescent="0.3">
      <c r="G22784" s="1"/>
      <c r="N22784" s="1"/>
    </row>
    <row r="22785" spans="7:14" x14ac:dyDescent="0.3">
      <c r="G22785" s="1"/>
      <c r="N22785" s="1"/>
    </row>
    <row r="22786" spans="7:14" x14ac:dyDescent="0.3">
      <c r="G22786" s="1"/>
      <c r="N22786" s="1"/>
    </row>
    <row r="22787" spans="7:14" x14ac:dyDescent="0.3">
      <c r="G22787" s="1"/>
      <c r="N22787" s="1"/>
    </row>
    <row r="22788" spans="7:14" x14ac:dyDescent="0.3">
      <c r="G22788" s="1"/>
      <c r="N22788" s="1"/>
    </row>
    <row r="22789" spans="7:14" x14ac:dyDescent="0.3">
      <c r="G22789" s="1"/>
      <c r="N22789" s="1"/>
    </row>
    <row r="22790" spans="7:14" x14ac:dyDescent="0.3">
      <c r="G22790" s="1"/>
      <c r="N22790" s="1"/>
    </row>
    <row r="22791" spans="7:14" x14ac:dyDescent="0.3">
      <c r="G22791" s="1"/>
      <c r="N22791" s="1"/>
    </row>
    <row r="22792" spans="7:14" x14ac:dyDescent="0.3">
      <c r="G22792" s="1"/>
      <c r="N22792" s="1"/>
    </row>
    <row r="22793" spans="7:14" x14ac:dyDescent="0.3">
      <c r="G22793" s="1"/>
      <c r="N22793" s="1"/>
    </row>
    <row r="22794" spans="7:14" x14ac:dyDescent="0.3">
      <c r="G22794" s="1"/>
      <c r="N22794" s="1"/>
    </row>
    <row r="22795" spans="7:14" x14ac:dyDescent="0.3">
      <c r="G22795" s="1"/>
      <c r="N22795" s="1"/>
    </row>
    <row r="22796" spans="7:14" x14ac:dyDescent="0.3">
      <c r="G22796" s="1"/>
      <c r="N22796" s="1"/>
    </row>
    <row r="22797" spans="7:14" x14ac:dyDescent="0.3">
      <c r="G22797" s="1"/>
      <c r="N22797" s="1"/>
    </row>
    <row r="22798" spans="7:14" x14ac:dyDescent="0.3">
      <c r="G22798" s="1"/>
      <c r="N22798" s="1"/>
    </row>
    <row r="22799" spans="7:14" x14ac:dyDescent="0.3">
      <c r="G22799" s="1"/>
      <c r="N22799" s="1"/>
    </row>
    <row r="22800" spans="7:14" x14ac:dyDescent="0.3">
      <c r="G22800" s="1"/>
      <c r="N22800" s="1"/>
    </row>
    <row r="22801" spans="7:14" x14ac:dyDescent="0.3">
      <c r="G22801" s="1"/>
      <c r="N22801" s="1"/>
    </row>
    <row r="22802" spans="7:14" x14ac:dyDescent="0.3">
      <c r="G22802" s="1"/>
      <c r="N22802" s="1"/>
    </row>
    <row r="22803" spans="7:14" x14ac:dyDescent="0.3">
      <c r="G22803" s="1"/>
      <c r="N22803" s="1"/>
    </row>
    <row r="22804" spans="7:14" x14ac:dyDescent="0.3">
      <c r="G22804" s="1"/>
      <c r="N22804" s="1"/>
    </row>
    <row r="22805" spans="7:14" x14ac:dyDescent="0.3">
      <c r="G22805" s="1"/>
      <c r="N22805" s="1"/>
    </row>
    <row r="22806" spans="7:14" x14ac:dyDescent="0.3">
      <c r="G22806" s="1"/>
      <c r="N22806" s="1"/>
    </row>
    <row r="22807" spans="7:14" x14ac:dyDescent="0.3">
      <c r="G22807" s="1"/>
      <c r="N22807" s="1"/>
    </row>
    <row r="22808" spans="7:14" x14ac:dyDescent="0.3">
      <c r="G22808" s="1"/>
      <c r="N22808" s="1"/>
    </row>
    <row r="22809" spans="7:14" x14ac:dyDescent="0.3">
      <c r="G22809" s="1"/>
      <c r="N22809" s="1"/>
    </row>
    <row r="22810" spans="7:14" x14ac:dyDescent="0.3">
      <c r="G22810" s="1"/>
      <c r="N22810" s="1"/>
    </row>
    <row r="22811" spans="7:14" x14ac:dyDescent="0.3">
      <c r="G22811" s="1"/>
      <c r="N22811" s="1"/>
    </row>
    <row r="22812" spans="7:14" x14ac:dyDescent="0.3">
      <c r="G22812" s="1"/>
      <c r="N22812" s="1"/>
    </row>
    <row r="22813" spans="7:14" x14ac:dyDescent="0.3">
      <c r="G22813" s="1"/>
      <c r="N22813" s="1"/>
    </row>
    <row r="22814" spans="7:14" x14ac:dyDescent="0.3">
      <c r="G22814" s="1"/>
      <c r="N22814" s="1"/>
    </row>
    <row r="22815" spans="7:14" x14ac:dyDescent="0.3">
      <c r="G22815" s="1"/>
      <c r="N22815" s="1"/>
    </row>
    <row r="22816" spans="7:14" x14ac:dyDescent="0.3">
      <c r="G22816" s="1"/>
      <c r="N22816" s="1"/>
    </row>
    <row r="22817" spans="7:14" x14ac:dyDescent="0.3">
      <c r="G22817" s="1"/>
      <c r="N22817" s="1"/>
    </row>
    <row r="22818" spans="7:14" x14ac:dyDescent="0.3">
      <c r="G22818" s="1"/>
      <c r="N22818" s="1"/>
    </row>
    <row r="22819" spans="7:14" x14ac:dyDescent="0.3">
      <c r="G22819" s="1"/>
      <c r="N22819" s="1"/>
    </row>
    <row r="22820" spans="7:14" x14ac:dyDescent="0.3">
      <c r="G22820" s="1"/>
      <c r="N22820" s="1"/>
    </row>
    <row r="22821" spans="7:14" x14ac:dyDescent="0.3">
      <c r="G22821" s="1"/>
      <c r="N22821" s="1"/>
    </row>
    <row r="22822" spans="7:14" x14ac:dyDescent="0.3">
      <c r="G22822" s="1"/>
      <c r="N22822" s="1"/>
    </row>
    <row r="22823" spans="7:14" x14ac:dyDescent="0.3">
      <c r="G22823" s="1"/>
      <c r="N22823" s="1"/>
    </row>
    <row r="22824" spans="7:14" x14ac:dyDescent="0.3">
      <c r="G22824" s="1"/>
      <c r="N22824" s="1"/>
    </row>
    <row r="22825" spans="7:14" x14ac:dyDescent="0.3">
      <c r="G22825" s="1"/>
      <c r="N22825" s="1"/>
    </row>
    <row r="22826" spans="7:14" x14ac:dyDescent="0.3">
      <c r="G22826" s="1"/>
      <c r="N22826" s="1"/>
    </row>
    <row r="22827" spans="7:14" x14ac:dyDescent="0.3">
      <c r="G22827" s="1"/>
      <c r="N22827" s="1"/>
    </row>
    <row r="22828" spans="7:14" x14ac:dyDescent="0.3">
      <c r="G22828" s="1"/>
      <c r="N22828" s="1"/>
    </row>
    <row r="22829" spans="7:14" x14ac:dyDescent="0.3">
      <c r="G22829" s="1"/>
      <c r="N22829" s="1"/>
    </row>
    <row r="22830" spans="7:14" x14ac:dyDescent="0.3">
      <c r="G22830" s="1"/>
      <c r="N22830" s="1"/>
    </row>
    <row r="22831" spans="7:14" x14ac:dyDescent="0.3">
      <c r="G22831" s="1"/>
      <c r="N22831" s="1"/>
    </row>
    <row r="22832" spans="7:14" x14ac:dyDescent="0.3">
      <c r="G22832" s="1"/>
      <c r="N22832" s="1"/>
    </row>
    <row r="22833" spans="7:14" x14ac:dyDescent="0.3">
      <c r="G22833" s="1"/>
      <c r="N22833" s="1"/>
    </row>
    <row r="22834" spans="7:14" x14ac:dyDescent="0.3">
      <c r="G22834" s="1"/>
      <c r="N22834" s="1"/>
    </row>
    <row r="22835" spans="7:14" x14ac:dyDescent="0.3">
      <c r="G22835" s="1"/>
      <c r="N22835" s="1"/>
    </row>
    <row r="22836" spans="7:14" x14ac:dyDescent="0.3">
      <c r="G22836" s="1"/>
      <c r="N22836" s="1"/>
    </row>
    <row r="22837" spans="7:14" x14ac:dyDescent="0.3">
      <c r="G22837" s="1"/>
      <c r="N22837" s="1"/>
    </row>
    <row r="22838" spans="7:14" x14ac:dyDescent="0.3">
      <c r="G22838" s="1"/>
      <c r="N22838" s="1"/>
    </row>
    <row r="22839" spans="7:14" x14ac:dyDescent="0.3">
      <c r="G22839" s="1"/>
      <c r="N22839" s="1"/>
    </row>
    <row r="22840" spans="7:14" x14ac:dyDescent="0.3">
      <c r="G22840" s="1"/>
      <c r="N22840" s="1"/>
    </row>
    <row r="22841" spans="7:14" x14ac:dyDescent="0.3">
      <c r="G22841" s="1"/>
      <c r="N22841" s="1"/>
    </row>
    <row r="22842" spans="7:14" x14ac:dyDescent="0.3">
      <c r="G22842" s="1"/>
      <c r="N22842" s="1"/>
    </row>
    <row r="22843" spans="7:14" x14ac:dyDescent="0.3">
      <c r="G22843" s="1"/>
      <c r="N22843" s="1"/>
    </row>
    <row r="22844" spans="7:14" x14ac:dyDescent="0.3">
      <c r="G22844" s="1"/>
      <c r="N22844" s="1"/>
    </row>
    <row r="22845" spans="7:14" x14ac:dyDescent="0.3">
      <c r="G22845" s="1"/>
      <c r="N22845" s="1"/>
    </row>
    <row r="22846" spans="7:14" x14ac:dyDescent="0.3">
      <c r="G22846" s="1"/>
      <c r="N22846" s="1"/>
    </row>
    <row r="22847" spans="7:14" x14ac:dyDescent="0.3">
      <c r="G22847" s="1"/>
      <c r="N22847" s="1"/>
    </row>
    <row r="22848" spans="7:14" x14ac:dyDescent="0.3">
      <c r="G22848" s="1"/>
      <c r="N22848" s="1"/>
    </row>
    <row r="22849" spans="7:14" x14ac:dyDescent="0.3">
      <c r="G22849" s="1"/>
      <c r="N22849" s="1"/>
    </row>
    <row r="22850" spans="7:14" x14ac:dyDescent="0.3">
      <c r="G22850" s="1"/>
      <c r="N22850" s="1"/>
    </row>
    <row r="22851" spans="7:14" x14ac:dyDescent="0.3">
      <c r="G22851" s="1"/>
      <c r="N22851" s="1"/>
    </row>
    <row r="22852" spans="7:14" x14ac:dyDescent="0.3">
      <c r="G22852" s="1"/>
      <c r="N22852" s="1"/>
    </row>
    <row r="22853" spans="7:14" x14ac:dyDescent="0.3">
      <c r="G22853" s="1"/>
      <c r="N22853" s="1"/>
    </row>
    <row r="22854" spans="7:14" x14ac:dyDescent="0.3">
      <c r="G22854" s="1"/>
      <c r="N22854" s="1"/>
    </row>
    <row r="22855" spans="7:14" x14ac:dyDescent="0.3">
      <c r="G22855" s="1"/>
      <c r="N22855" s="1"/>
    </row>
    <row r="22856" spans="7:14" x14ac:dyDescent="0.3">
      <c r="G22856" s="1"/>
      <c r="N22856" s="1"/>
    </row>
    <row r="22857" spans="7:14" x14ac:dyDescent="0.3">
      <c r="G22857" s="1"/>
      <c r="N22857" s="1"/>
    </row>
    <row r="22858" spans="7:14" x14ac:dyDescent="0.3">
      <c r="G22858" s="1"/>
      <c r="N22858" s="1"/>
    </row>
    <row r="22859" spans="7:14" x14ac:dyDescent="0.3">
      <c r="G22859" s="1"/>
      <c r="N22859" s="1"/>
    </row>
    <row r="22860" spans="7:14" x14ac:dyDescent="0.3">
      <c r="G22860" s="1"/>
      <c r="N22860" s="1"/>
    </row>
    <row r="22861" spans="7:14" x14ac:dyDescent="0.3">
      <c r="G22861" s="1"/>
      <c r="N22861" s="1"/>
    </row>
    <row r="22862" spans="7:14" x14ac:dyDescent="0.3">
      <c r="G22862" s="1"/>
      <c r="N22862" s="1"/>
    </row>
    <row r="22863" spans="7:14" x14ac:dyDescent="0.3">
      <c r="G22863" s="1"/>
      <c r="N22863" s="1"/>
    </row>
    <row r="22864" spans="7:14" x14ac:dyDescent="0.3">
      <c r="G22864" s="1"/>
      <c r="N22864" s="1"/>
    </row>
    <row r="22865" spans="7:14" x14ac:dyDescent="0.3">
      <c r="G22865" s="1"/>
      <c r="N22865" s="1"/>
    </row>
    <row r="22866" spans="7:14" x14ac:dyDescent="0.3">
      <c r="G22866" s="1"/>
      <c r="N22866" s="1"/>
    </row>
    <row r="22867" spans="7:14" x14ac:dyDescent="0.3">
      <c r="G22867" s="1"/>
      <c r="N22867" s="1"/>
    </row>
    <row r="22868" spans="7:14" x14ac:dyDescent="0.3">
      <c r="G22868" s="1"/>
      <c r="N22868" s="1"/>
    </row>
    <row r="22869" spans="7:14" x14ac:dyDescent="0.3">
      <c r="G22869" s="1"/>
      <c r="N22869" s="1"/>
    </row>
    <row r="22870" spans="7:14" x14ac:dyDescent="0.3">
      <c r="G22870" s="1"/>
      <c r="N22870" s="1"/>
    </row>
    <row r="22871" spans="7:14" x14ac:dyDescent="0.3">
      <c r="G22871" s="1"/>
      <c r="N22871" s="1"/>
    </row>
    <row r="22872" spans="7:14" x14ac:dyDescent="0.3">
      <c r="G22872" s="1"/>
      <c r="N22872" s="1"/>
    </row>
    <row r="22873" spans="7:14" x14ac:dyDescent="0.3">
      <c r="G22873" s="1"/>
      <c r="N22873" s="1"/>
    </row>
    <row r="22874" spans="7:14" x14ac:dyDescent="0.3">
      <c r="G22874" s="1"/>
      <c r="N22874" s="1"/>
    </row>
    <row r="22875" spans="7:14" x14ac:dyDescent="0.3">
      <c r="G22875" s="1"/>
      <c r="N22875" s="1"/>
    </row>
    <row r="22876" spans="7:14" x14ac:dyDescent="0.3">
      <c r="G22876" s="1"/>
      <c r="N22876" s="1"/>
    </row>
    <row r="22877" spans="7:14" x14ac:dyDescent="0.3">
      <c r="G22877" s="1"/>
      <c r="N22877" s="1"/>
    </row>
    <row r="22878" spans="7:14" x14ac:dyDescent="0.3">
      <c r="G22878" s="1"/>
      <c r="N22878" s="1"/>
    </row>
    <row r="22879" spans="7:14" x14ac:dyDescent="0.3">
      <c r="G22879" s="1"/>
      <c r="N22879" s="1"/>
    </row>
    <row r="22880" spans="7:14" x14ac:dyDescent="0.3">
      <c r="G22880" s="1"/>
      <c r="N22880" s="1"/>
    </row>
    <row r="22881" spans="7:14" x14ac:dyDescent="0.3">
      <c r="G22881" s="1"/>
      <c r="N22881" s="1"/>
    </row>
    <row r="22882" spans="7:14" x14ac:dyDescent="0.3">
      <c r="G22882" s="1"/>
      <c r="N22882" s="1"/>
    </row>
    <row r="22883" spans="7:14" x14ac:dyDescent="0.3">
      <c r="G22883" s="1"/>
      <c r="N22883" s="1"/>
    </row>
    <row r="22884" spans="7:14" x14ac:dyDescent="0.3">
      <c r="G22884" s="1"/>
      <c r="N22884" s="1"/>
    </row>
    <row r="22885" spans="7:14" x14ac:dyDescent="0.3">
      <c r="G22885" s="1"/>
      <c r="N22885" s="1"/>
    </row>
    <row r="22886" spans="7:14" x14ac:dyDescent="0.3">
      <c r="G22886" s="1"/>
      <c r="N22886" s="1"/>
    </row>
    <row r="22887" spans="7:14" x14ac:dyDescent="0.3">
      <c r="G22887" s="1"/>
      <c r="N22887" s="1"/>
    </row>
    <row r="22888" spans="7:14" x14ac:dyDescent="0.3">
      <c r="G22888" s="1"/>
      <c r="N22888" s="1"/>
    </row>
    <row r="22889" spans="7:14" x14ac:dyDescent="0.3">
      <c r="G22889" s="1"/>
      <c r="N22889" s="1"/>
    </row>
    <row r="22890" spans="7:14" x14ac:dyDescent="0.3">
      <c r="G22890" s="1"/>
      <c r="N22890" s="1"/>
    </row>
    <row r="22891" spans="7:14" x14ac:dyDescent="0.3">
      <c r="G22891" s="1"/>
      <c r="N22891" s="1"/>
    </row>
    <row r="22892" spans="7:14" x14ac:dyDescent="0.3">
      <c r="G22892" s="1"/>
      <c r="N22892" s="1"/>
    </row>
    <row r="22893" spans="7:14" x14ac:dyDescent="0.3">
      <c r="G22893" s="1"/>
      <c r="N22893" s="1"/>
    </row>
    <row r="22894" spans="7:14" x14ac:dyDescent="0.3">
      <c r="G22894" s="1"/>
      <c r="N22894" s="1"/>
    </row>
    <row r="22895" spans="7:14" x14ac:dyDescent="0.3">
      <c r="G22895" s="1"/>
      <c r="N22895" s="1"/>
    </row>
    <row r="22896" spans="7:14" x14ac:dyDescent="0.3">
      <c r="G22896" s="1"/>
      <c r="N22896" s="1"/>
    </row>
    <row r="22897" spans="7:14" x14ac:dyDescent="0.3">
      <c r="G22897" s="1"/>
      <c r="N22897" s="1"/>
    </row>
    <row r="22898" spans="7:14" x14ac:dyDescent="0.3">
      <c r="G22898" s="1"/>
      <c r="N22898" s="1"/>
    </row>
    <row r="22899" spans="7:14" x14ac:dyDescent="0.3">
      <c r="G22899" s="1"/>
      <c r="N22899" s="1"/>
    </row>
    <row r="22900" spans="7:14" x14ac:dyDescent="0.3">
      <c r="G22900" s="1"/>
      <c r="N22900" s="1"/>
    </row>
    <row r="22901" spans="7:14" x14ac:dyDescent="0.3">
      <c r="G22901" s="1"/>
      <c r="N22901" s="1"/>
    </row>
    <row r="22902" spans="7:14" x14ac:dyDescent="0.3">
      <c r="G22902" s="1"/>
      <c r="N22902" s="1"/>
    </row>
    <row r="22903" spans="7:14" x14ac:dyDescent="0.3">
      <c r="G22903" s="1"/>
      <c r="N22903" s="1"/>
    </row>
    <row r="22904" spans="7:14" x14ac:dyDescent="0.3">
      <c r="G22904" s="1"/>
      <c r="N22904" s="1"/>
    </row>
    <row r="22905" spans="7:14" x14ac:dyDescent="0.3">
      <c r="G22905" s="1"/>
      <c r="N22905" s="1"/>
    </row>
    <row r="22906" spans="7:14" x14ac:dyDescent="0.3">
      <c r="G22906" s="1"/>
      <c r="N22906" s="1"/>
    </row>
    <row r="22907" spans="7:14" x14ac:dyDescent="0.3">
      <c r="G22907" s="1"/>
      <c r="N22907" s="1"/>
    </row>
    <row r="22908" spans="7:14" x14ac:dyDescent="0.3">
      <c r="G22908" s="1"/>
      <c r="N22908" s="1"/>
    </row>
    <row r="22909" spans="7:14" x14ac:dyDescent="0.3">
      <c r="G22909" s="1"/>
      <c r="N22909" s="1"/>
    </row>
    <row r="22910" spans="7:14" x14ac:dyDescent="0.3">
      <c r="G22910" s="1"/>
      <c r="N22910" s="1"/>
    </row>
    <row r="22911" spans="7:14" x14ac:dyDescent="0.3">
      <c r="G22911" s="1"/>
      <c r="N22911" s="1"/>
    </row>
    <row r="22912" spans="7:14" x14ac:dyDescent="0.3">
      <c r="G22912" s="1"/>
      <c r="N22912" s="1"/>
    </row>
    <row r="22913" spans="7:14" x14ac:dyDescent="0.3">
      <c r="G22913" s="1"/>
      <c r="N22913" s="1"/>
    </row>
    <row r="22914" spans="7:14" x14ac:dyDescent="0.3">
      <c r="G22914" s="1"/>
      <c r="N22914" s="1"/>
    </row>
    <row r="22915" spans="7:14" x14ac:dyDescent="0.3">
      <c r="G22915" s="1"/>
      <c r="N22915" s="1"/>
    </row>
    <row r="22916" spans="7:14" x14ac:dyDescent="0.3">
      <c r="G22916" s="1"/>
      <c r="N22916" s="1"/>
    </row>
    <row r="22917" spans="7:14" x14ac:dyDescent="0.3">
      <c r="G22917" s="1"/>
      <c r="N22917" s="1"/>
    </row>
    <row r="22918" spans="7:14" x14ac:dyDescent="0.3">
      <c r="G22918" s="1"/>
      <c r="N22918" s="1"/>
    </row>
    <row r="22919" spans="7:14" x14ac:dyDescent="0.3">
      <c r="G22919" s="1"/>
      <c r="N22919" s="1"/>
    </row>
    <row r="22920" spans="7:14" x14ac:dyDescent="0.3">
      <c r="G22920" s="1"/>
      <c r="N22920" s="1"/>
    </row>
    <row r="22921" spans="7:14" x14ac:dyDescent="0.3">
      <c r="G22921" s="1"/>
      <c r="N22921" s="1"/>
    </row>
    <row r="22922" spans="7:14" x14ac:dyDescent="0.3">
      <c r="G22922" s="1"/>
      <c r="N22922" s="1"/>
    </row>
    <row r="22923" spans="7:14" x14ac:dyDescent="0.3">
      <c r="G22923" s="1"/>
      <c r="N22923" s="1"/>
    </row>
    <row r="22924" spans="7:14" x14ac:dyDescent="0.3">
      <c r="G22924" s="1"/>
      <c r="N22924" s="1"/>
    </row>
    <row r="22925" spans="7:14" x14ac:dyDescent="0.3">
      <c r="G22925" s="1"/>
      <c r="N22925" s="1"/>
    </row>
    <row r="22926" spans="7:14" x14ac:dyDescent="0.3">
      <c r="G22926" s="1"/>
      <c r="N22926" s="1"/>
    </row>
    <row r="22927" spans="7:14" x14ac:dyDescent="0.3">
      <c r="G22927" s="1"/>
      <c r="N22927" s="1"/>
    </row>
    <row r="22928" spans="7:14" x14ac:dyDescent="0.3">
      <c r="G22928" s="1"/>
      <c r="N22928" s="1"/>
    </row>
    <row r="22929" spans="7:14" x14ac:dyDescent="0.3">
      <c r="G22929" s="1"/>
      <c r="N22929" s="1"/>
    </row>
    <row r="22930" spans="7:14" x14ac:dyDescent="0.3">
      <c r="G22930" s="1"/>
      <c r="N22930" s="1"/>
    </row>
    <row r="22931" spans="7:14" x14ac:dyDescent="0.3">
      <c r="G22931" s="1"/>
      <c r="N22931" s="1"/>
    </row>
    <row r="22932" spans="7:14" x14ac:dyDescent="0.3">
      <c r="G22932" s="1"/>
      <c r="N22932" s="1"/>
    </row>
    <row r="22933" spans="7:14" x14ac:dyDescent="0.3">
      <c r="G22933" s="1"/>
      <c r="N22933" s="1"/>
    </row>
    <row r="22934" spans="7:14" x14ac:dyDescent="0.3">
      <c r="G22934" s="1"/>
      <c r="N22934" s="1"/>
    </row>
    <row r="22935" spans="7:14" x14ac:dyDescent="0.3">
      <c r="G22935" s="1"/>
      <c r="N22935" s="1"/>
    </row>
    <row r="22936" spans="7:14" x14ac:dyDescent="0.3">
      <c r="G22936" s="1"/>
      <c r="N22936" s="1"/>
    </row>
    <row r="22937" spans="7:14" x14ac:dyDescent="0.3">
      <c r="G22937" s="1"/>
      <c r="N22937" s="1"/>
    </row>
    <row r="22938" spans="7:14" x14ac:dyDescent="0.3">
      <c r="G22938" s="1"/>
      <c r="N22938" s="1"/>
    </row>
    <row r="22939" spans="7:14" x14ac:dyDescent="0.3">
      <c r="G22939" s="1"/>
      <c r="N22939" s="1"/>
    </row>
    <row r="22940" spans="7:14" x14ac:dyDescent="0.3">
      <c r="G22940" s="1"/>
      <c r="N22940" s="1"/>
    </row>
    <row r="22941" spans="7:14" x14ac:dyDescent="0.3">
      <c r="G22941" s="1"/>
      <c r="N22941" s="1"/>
    </row>
    <row r="22942" spans="7:14" x14ac:dyDescent="0.3">
      <c r="G22942" s="1"/>
      <c r="N22942" s="1"/>
    </row>
    <row r="22943" spans="7:14" x14ac:dyDescent="0.3">
      <c r="G22943" s="1"/>
      <c r="N22943" s="1"/>
    </row>
    <row r="22944" spans="7:14" x14ac:dyDescent="0.3">
      <c r="G22944" s="1"/>
      <c r="N22944" s="1"/>
    </row>
    <row r="22945" spans="7:14" x14ac:dyDescent="0.3">
      <c r="G22945" s="1"/>
      <c r="N22945" s="1"/>
    </row>
    <row r="22946" spans="7:14" x14ac:dyDescent="0.3">
      <c r="G22946" s="1"/>
      <c r="N22946" s="1"/>
    </row>
    <row r="22947" spans="7:14" x14ac:dyDescent="0.3">
      <c r="G22947" s="1"/>
      <c r="N22947" s="1"/>
    </row>
    <row r="22948" spans="7:14" x14ac:dyDescent="0.3">
      <c r="G22948" s="1"/>
      <c r="N22948" s="1"/>
    </row>
    <row r="22949" spans="7:14" x14ac:dyDescent="0.3">
      <c r="G22949" s="1"/>
      <c r="N22949" s="1"/>
    </row>
    <row r="22950" spans="7:14" x14ac:dyDescent="0.3">
      <c r="G22950" s="1"/>
      <c r="N22950" s="1"/>
    </row>
    <row r="22951" spans="7:14" x14ac:dyDescent="0.3">
      <c r="G22951" s="1"/>
      <c r="N22951" s="1"/>
    </row>
    <row r="22952" spans="7:14" x14ac:dyDescent="0.3">
      <c r="G22952" s="1"/>
      <c r="N22952" s="1"/>
    </row>
    <row r="22953" spans="7:14" x14ac:dyDescent="0.3">
      <c r="G22953" s="1"/>
      <c r="N22953" s="1"/>
    </row>
    <row r="22954" spans="7:14" x14ac:dyDescent="0.3">
      <c r="G22954" s="1"/>
      <c r="N22954" s="1"/>
    </row>
    <row r="22955" spans="7:14" x14ac:dyDescent="0.3">
      <c r="G22955" s="1"/>
      <c r="N22955" s="1"/>
    </row>
    <row r="22956" spans="7:14" x14ac:dyDescent="0.3">
      <c r="G22956" s="1"/>
      <c r="N22956" s="1"/>
    </row>
    <row r="22957" spans="7:14" x14ac:dyDescent="0.3">
      <c r="G22957" s="1"/>
      <c r="N22957" s="1"/>
    </row>
    <row r="22958" spans="7:14" x14ac:dyDescent="0.3">
      <c r="G22958" s="1"/>
      <c r="N22958" s="1"/>
    </row>
    <row r="22959" spans="7:14" x14ac:dyDescent="0.3">
      <c r="G22959" s="1"/>
      <c r="N22959" s="1"/>
    </row>
    <row r="22960" spans="7:14" x14ac:dyDescent="0.3">
      <c r="G22960" s="1"/>
      <c r="N22960" s="1"/>
    </row>
    <row r="22961" spans="7:14" x14ac:dyDescent="0.3">
      <c r="G22961" s="1"/>
      <c r="N22961" s="1"/>
    </row>
    <row r="22962" spans="7:14" x14ac:dyDescent="0.3">
      <c r="G22962" s="1"/>
      <c r="N22962" s="1"/>
    </row>
    <row r="22963" spans="7:14" x14ac:dyDescent="0.3">
      <c r="G22963" s="1"/>
      <c r="N22963" s="1"/>
    </row>
    <row r="22964" spans="7:14" x14ac:dyDescent="0.3">
      <c r="G22964" s="1"/>
      <c r="N22964" s="1"/>
    </row>
    <row r="22965" spans="7:14" x14ac:dyDescent="0.3">
      <c r="G22965" s="1"/>
      <c r="N22965" s="1"/>
    </row>
    <row r="22966" spans="7:14" x14ac:dyDescent="0.3">
      <c r="G22966" s="1"/>
      <c r="N22966" s="1"/>
    </row>
    <row r="22967" spans="7:14" x14ac:dyDescent="0.3">
      <c r="G22967" s="1"/>
      <c r="N22967" s="1"/>
    </row>
    <row r="22968" spans="7:14" x14ac:dyDescent="0.3">
      <c r="G22968" s="1"/>
      <c r="N22968" s="1"/>
    </row>
    <row r="22969" spans="7:14" x14ac:dyDescent="0.3">
      <c r="G22969" s="1"/>
      <c r="N22969" s="1"/>
    </row>
    <row r="22970" spans="7:14" x14ac:dyDescent="0.3">
      <c r="G22970" s="1"/>
      <c r="N22970" s="1"/>
    </row>
    <row r="22971" spans="7:14" x14ac:dyDescent="0.3">
      <c r="G22971" s="1"/>
      <c r="N22971" s="1"/>
    </row>
    <row r="22972" spans="7:14" x14ac:dyDescent="0.3">
      <c r="G22972" s="1"/>
      <c r="N22972" s="1"/>
    </row>
    <row r="22973" spans="7:14" x14ac:dyDescent="0.3">
      <c r="G22973" s="1"/>
      <c r="N22973" s="1"/>
    </row>
    <row r="22974" spans="7:14" x14ac:dyDescent="0.3">
      <c r="G22974" s="1"/>
      <c r="N22974" s="1"/>
    </row>
    <row r="22975" spans="7:14" x14ac:dyDescent="0.3">
      <c r="G22975" s="1"/>
      <c r="N22975" s="1"/>
    </row>
    <row r="22976" spans="7:14" x14ac:dyDescent="0.3">
      <c r="G22976" s="1"/>
      <c r="N22976" s="1"/>
    </row>
    <row r="22977" spans="7:14" x14ac:dyDescent="0.3">
      <c r="G22977" s="1"/>
      <c r="N22977" s="1"/>
    </row>
    <row r="22978" spans="7:14" x14ac:dyDescent="0.3">
      <c r="G22978" s="1"/>
      <c r="N22978" s="1"/>
    </row>
    <row r="22979" spans="7:14" x14ac:dyDescent="0.3">
      <c r="G22979" s="1"/>
      <c r="N22979" s="1"/>
    </row>
    <row r="22980" spans="7:14" x14ac:dyDescent="0.3">
      <c r="G22980" s="1"/>
      <c r="N22980" s="1"/>
    </row>
    <row r="22981" spans="7:14" x14ac:dyDescent="0.3">
      <c r="G22981" s="1"/>
      <c r="N22981" s="1"/>
    </row>
    <row r="22982" spans="7:14" x14ac:dyDescent="0.3">
      <c r="G22982" s="1"/>
      <c r="N22982" s="1"/>
    </row>
    <row r="22983" spans="7:14" x14ac:dyDescent="0.3">
      <c r="G22983" s="1"/>
      <c r="N22983" s="1"/>
    </row>
    <row r="22984" spans="7:14" x14ac:dyDescent="0.3">
      <c r="G22984" s="1"/>
      <c r="N22984" s="1"/>
    </row>
    <row r="22985" spans="7:14" x14ac:dyDescent="0.3">
      <c r="G22985" s="1"/>
      <c r="N22985" s="1"/>
    </row>
    <row r="22986" spans="7:14" x14ac:dyDescent="0.3">
      <c r="G22986" s="1"/>
      <c r="N22986" s="1"/>
    </row>
    <row r="22987" spans="7:14" x14ac:dyDescent="0.3">
      <c r="G22987" s="1"/>
      <c r="N22987" s="1"/>
    </row>
    <row r="22988" spans="7:14" x14ac:dyDescent="0.3">
      <c r="G22988" s="1"/>
      <c r="N22988" s="1"/>
    </row>
    <row r="22989" spans="7:14" x14ac:dyDescent="0.3">
      <c r="G22989" s="1"/>
      <c r="N22989" s="1"/>
    </row>
    <row r="22990" spans="7:14" x14ac:dyDescent="0.3">
      <c r="G22990" s="1"/>
      <c r="N22990" s="1"/>
    </row>
    <row r="22991" spans="7:14" x14ac:dyDescent="0.3">
      <c r="G22991" s="1"/>
      <c r="N22991" s="1"/>
    </row>
    <row r="22992" spans="7:14" x14ac:dyDescent="0.3">
      <c r="G22992" s="1"/>
      <c r="N22992" s="1"/>
    </row>
    <row r="22993" spans="7:14" x14ac:dyDescent="0.3">
      <c r="G22993" s="1"/>
      <c r="N22993" s="1"/>
    </row>
    <row r="22994" spans="7:14" x14ac:dyDescent="0.3">
      <c r="G22994" s="1"/>
      <c r="N22994" s="1"/>
    </row>
    <row r="22995" spans="7:14" x14ac:dyDescent="0.3">
      <c r="G22995" s="1"/>
      <c r="N22995" s="1"/>
    </row>
    <row r="22996" spans="7:14" x14ac:dyDescent="0.3">
      <c r="G22996" s="1"/>
      <c r="N22996" s="1"/>
    </row>
    <row r="22997" spans="7:14" x14ac:dyDescent="0.3">
      <c r="G22997" s="1"/>
      <c r="N22997" s="1"/>
    </row>
    <row r="22998" spans="7:14" x14ac:dyDescent="0.3">
      <c r="G22998" s="1"/>
      <c r="N22998" s="1"/>
    </row>
    <row r="22999" spans="7:14" x14ac:dyDescent="0.3">
      <c r="G22999" s="1"/>
      <c r="N22999" s="1"/>
    </row>
    <row r="23000" spans="7:14" x14ac:dyDescent="0.3">
      <c r="G23000" s="1"/>
      <c r="N23000" s="1"/>
    </row>
    <row r="23001" spans="7:14" x14ac:dyDescent="0.3">
      <c r="G23001" s="1"/>
      <c r="N23001" s="1"/>
    </row>
    <row r="23002" spans="7:14" x14ac:dyDescent="0.3">
      <c r="G23002" s="1"/>
      <c r="N23002" s="1"/>
    </row>
    <row r="23003" spans="7:14" x14ac:dyDescent="0.3">
      <c r="G23003" s="1"/>
      <c r="N23003" s="1"/>
    </row>
    <row r="23004" spans="7:14" x14ac:dyDescent="0.3">
      <c r="G23004" s="1"/>
      <c r="N23004" s="1"/>
    </row>
    <row r="23005" spans="7:14" x14ac:dyDescent="0.3">
      <c r="G23005" s="1"/>
      <c r="N23005" s="1"/>
    </row>
    <row r="23006" spans="7:14" x14ac:dyDescent="0.3">
      <c r="G23006" s="1"/>
      <c r="N23006" s="1"/>
    </row>
    <row r="23007" spans="7:14" x14ac:dyDescent="0.3">
      <c r="G23007" s="1"/>
      <c r="N23007" s="1"/>
    </row>
    <row r="23008" spans="7:14" x14ac:dyDescent="0.3">
      <c r="G23008" s="1"/>
      <c r="N23008" s="1"/>
    </row>
    <row r="23009" spans="7:14" x14ac:dyDescent="0.3">
      <c r="G23009" s="1"/>
      <c r="N23009" s="1"/>
    </row>
    <row r="23010" spans="7:14" x14ac:dyDescent="0.3">
      <c r="G23010" s="1"/>
      <c r="N23010" s="1"/>
    </row>
    <row r="23011" spans="7:14" x14ac:dyDescent="0.3">
      <c r="G23011" s="1"/>
      <c r="N23011" s="1"/>
    </row>
    <row r="23012" spans="7:14" x14ac:dyDescent="0.3">
      <c r="G23012" s="1"/>
      <c r="N23012" s="1"/>
    </row>
    <row r="23013" spans="7:14" x14ac:dyDescent="0.3">
      <c r="G23013" s="1"/>
      <c r="N23013" s="1"/>
    </row>
    <row r="23014" spans="7:14" x14ac:dyDescent="0.3">
      <c r="G23014" s="1"/>
      <c r="N23014" s="1"/>
    </row>
    <row r="23015" spans="7:14" x14ac:dyDescent="0.3">
      <c r="G23015" s="1"/>
      <c r="N23015" s="1"/>
    </row>
    <row r="23016" spans="7:14" x14ac:dyDescent="0.3">
      <c r="G23016" s="1"/>
      <c r="N23016" s="1"/>
    </row>
    <row r="23017" spans="7:14" x14ac:dyDescent="0.3">
      <c r="G23017" s="1"/>
      <c r="N23017" s="1"/>
    </row>
    <row r="23018" spans="7:14" x14ac:dyDescent="0.3">
      <c r="G23018" s="1"/>
      <c r="N23018" s="1"/>
    </row>
    <row r="23019" spans="7:14" x14ac:dyDescent="0.3">
      <c r="G23019" s="1"/>
      <c r="N23019" s="1"/>
    </row>
    <row r="23020" spans="7:14" x14ac:dyDescent="0.3">
      <c r="G23020" s="1"/>
      <c r="N23020" s="1"/>
    </row>
    <row r="23021" spans="7:14" x14ac:dyDescent="0.3">
      <c r="G23021" s="1"/>
      <c r="N23021" s="1"/>
    </row>
    <row r="23022" spans="7:14" x14ac:dyDescent="0.3">
      <c r="G23022" s="1"/>
      <c r="N23022" s="1"/>
    </row>
    <row r="23023" spans="7:14" x14ac:dyDescent="0.3">
      <c r="G23023" s="1"/>
      <c r="N23023" s="1"/>
    </row>
    <row r="23024" spans="7:14" x14ac:dyDescent="0.3">
      <c r="G23024" s="1"/>
      <c r="N23024" s="1"/>
    </row>
    <row r="23025" spans="7:14" x14ac:dyDescent="0.3">
      <c r="G23025" s="1"/>
      <c r="N23025" s="1"/>
    </row>
    <row r="23026" spans="7:14" x14ac:dyDescent="0.3">
      <c r="G23026" s="1"/>
      <c r="N23026" s="1"/>
    </row>
    <row r="23027" spans="7:14" x14ac:dyDescent="0.3">
      <c r="G23027" s="1"/>
      <c r="N23027" s="1"/>
    </row>
    <row r="23028" spans="7:14" x14ac:dyDescent="0.3">
      <c r="G23028" s="1"/>
      <c r="N23028" s="1"/>
    </row>
    <row r="23029" spans="7:14" x14ac:dyDescent="0.3">
      <c r="G23029" s="1"/>
      <c r="N23029" s="1"/>
    </row>
    <row r="23030" spans="7:14" x14ac:dyDescent="0.3">
      <c r="G23030" s="1"/>
      <c r="N23030" s="1"/>
    </row>
    <row r="23031" spans="7:14" x14ac:dyDescent="0.3">
      <c r="G23031" s="1"/>
      <c r="N23031" s="1"/>
    </row>
    <row r="23032" spans="7:14" x14ac:dyDescent="0.3">
      <c r="G23032" s="1"/>
      <c r="N23032" s="1"/>
    </row>
    <row r="23033" spans="7:14" x14ac:dyDescent="0.3">
      <c r="G23033" s="1"/>
      <c r="N23033" s="1"/>
    </row>
    <row r="23034" spans="7:14" x14ac:dyDescent="0.3">
      <c r="G23034" s="1"/>
      <c r="N23034" s="1"/>
    </row>
    <row r="23035" spans="7:14" x14ac:dyDescent="0.3">
      <c r="G23035" s="1"/>
      <c r="N23035" s="1"/>
    </row>
    <row r="23036" spans="7:14" x14ac:dyDescent="0.3">
      <c r="G23036" s="1"/>
      <c r="N23036" s="1"/>
    </row>
    <row r="23037" spans="7:14" x14ac:dyDescent="0.3">
      <c r="G23037" s="1"/>
      <c r="N23037" s="1"/>
    </row>
    <row r="23038" spans="7:14" x14ac:dyDescent="0.3">
      <c r="G23038" s="1"/>
      <c r="N23038" s="1"/>
    </row>
    <row r="23039" spans="7:14" x14ac:dyDescent="0.3">
      <c r="G23039" s="1"/>
      <c r="N23039" s="1"/>
    </row>
    <row r="23040" spans="7:14" x14ac:dyDescent="0.3">
      <c r="G23040" s="1"/>
      <c r="N23040" s="1"/>
    </row>
    <row r="23041" spans="7:14" x14ac:dyDescent="0.3">
      <c r="G23041" s="1"/>
      <c r="N23041" s="1"/>
    </row>
    <row r="23042" spans="7:14" x14ac:dyDescent="0.3">
      <c r="G23042" s="1"/>
      <c r="N23042" s="1"/>
    </row>
    <row r="23043" spans="7:14" x14ac:dyDescent="0.3">
      <c r="G23043" s="1"/>
      <c r="N23043" s="1"/>
    </row>
    <row r="23044" spans="7:14" x14ac:dyDescent="0.3">
      <c r="G23044" s="1"/>
      <c r="N23044" s="1"/>
    </row>
    <row r="23045" spans="7:14" x14ac:dyDescent="0.3">
      <c r="G23045" s="1"/>
      <c r="N23045" s="1"/>
    </row>
    <row r="23046" spans="7:14" x14ac:dyDescent="0.3">
      <c r="G23046" s="1"/>
      <c r="N23046" s="1"/>
    </row>
    <row r="23047" spans="7:14" x14ac:dyDescent="0.3">
      <c r="G23047" s="1"/>
      <c r="N23047" s="1"/>
    </row>
    <row r="23048" spans="7:14" x14ac:dyDescent="0.3">
      <c r="G23048" s="1"/>
      <c r="N23048" s="1"/>
    </row>
    <row r="23049" spans="7:14" x14ac:dyDescent="0.3">
      <c r="G23049" s="1"/>
      <c r="N23049" s="1"/>
    </row>
    <row r="23050" spans="7:14" x14ac:dyDescent="0.3">
      <c r="G23050" s="1"/>
      <c r="N23050" s="1"/>
    </row>
    <row r="23051" spans="7:14" x14ac:dyDescent="0.3">
      <c r="G23051" s="1"/>
      <c r="N23051" s="1"/>
    </row>
    <row r="23052" spans="7:14" x14ac:dyDescent="0.3">
      <c r="G23052" s="1"/>
      <c r="N23052" s="1"/>
    </row>
    <row r="23053" spans="7:14" x14ac:dyDescent="0.3">
      <c r="G23053" s="1"/>
      <c r="N23053" s="1"/>
    </row>
    <row r="23054" spans="7:14" x14ac:dyDescent="0.3">
      <c r="G23054" s="1"/>
      <c r="N23054" s="1"/>
    </row>
    <row r="23055" spans="7:14" x14ac:dyDescent="0.3">
      <c r="G23055" s="1"/>
      <c r="N23055" s="1"/>
    </row>
    <row r="23056" spans="7:14" x14ac:dyDescent="0.3">
      <c r="G23056" s="1"/>
      <c r="N23056" s="1"/>
    </row>
    <row r="23057" spans="7:14" x14ac:dyDescent="0.3">
      <c r="G23057" s="1"/>
      <c r="N23057" s="1"/>
    </row>
    <row r="23058" spans="7:14" x14ac:dyDescent="0.3">
      <c r="G23058" s="1"/>
      <c r="N23058" s="1"/>
    </row>
    <row r="23059" spans="7:14" x14ac:dyDescent="0.3">
      <c r="G23059" s="1"/>
      <c r="N23059" s="1"/>
    </row>
    <row r="23060" spans="7:14" x14ac:dyDescent="0.3">
      <c r="G23060" s="1"/>
      <c r="N23060" s="1"/>
    </row>
    <row r="23061" spans="7:14" x14ac:dyDescent="0.3">
      <c r="G23061" s="1"/>
      <c r="N23061" s="1"/>
    </row>
    <row r="23062" spans="7:14" x14ac:dyDescent="0.3">
      <c r="G23062" s="1"/>
      <c r="N23062" s="1"/>
    </row>
    <row r="23063" spans="7:14" x14ac:dyDescent="0.3">
      <c r="G23063" s="1"/>
      <c r="N23063" s="1"/>
    </row>
    <row r="23064" spans="7:14" x14ac:dyDescent="0.3">
      <c r="G23064" s="1"/>
      <c r="N23064" s="1"/>
    </row>
    <row r="23065" spans="7:14" x14ac:dyDescent="0.3">
      <c r="G23065" s="1"/>
      <c r="N23065" s="1"/>
    </row>
    <row r="23066" spans="7:14" x14ac:dyDescent="0.3">
      <c r="G23066" s="1"/>
      <c r="N23066" s="1"/>
    </row>
    <row r="23067" spans="7:14" x14ac:dyDescent="0.3">
      <c r="G23067" s="1"/>
      <c r="N23067" s="1"/>
    </row>
    <row r="23068" spans="7:14" x14ac:dyDescent="0.3">
      <c r="G23068" s="1"/>
      <c r="N23068" s="1"/>
    </row>
    <row r="23069" spans="7:14" x14ac:dyDescent="0.3">
      <c r="G23069" s="1"/>
      <c r="N23069" s="1"/>
    </row>
    <row r="23070" spans="7:14" x14ac:dyDescent="0.3">
      <c r="G23070" s="1"/>
      <c r="N23070" s="1"/>
    </row>
    <row r="23071" spans="7:14" x14ac:dyDescent="0.3">
      <c r="G23071" s="1"/>
      <c r="N23071" s="1"/>
    </row>
    <row r="23072" spans="7:14" x14ac:dyDescent="0.3">
      <c r="G23072" s="1"/>
      <c r="N23072" s="1"/>
    </row>
    <row r="23073" spans="7:14" x14ac:dyDescent="0.3">
      <c r="G23073" s="1"/>
      <c r="N23073" s="1"/>
    </row>
    <row r="23074" spans="7:14" x14ac:dyDescent="0.3">
      <c r="G23074" s="1"/>
      <c r="N23074" s="1"/>
    </row>
    <row r="23075" spans="7:14" x14ac:dyDescent="0.3">
      <c r="G23075" s="1"/>
      <c r="N23075" s="1"/>
    </row>
    <row r="23076" spans="7:14" x14ac:dyDescent="0.3">
      <c r="G23076" s="1"/>
      <c r="N23076" s="1"/>
    </row>
    <row r="23077" spans="7:14" x14ac:dyDescent="0.3">
      <c r="G23077" s="1"/>
      <c r="N23077" s="1"/>
    </row>
    <row r="23078" spans="7:14" x14ac:dyDescent="0.3">
      <c r="G23078" s="1"/>
      <c r="N23078" s="1"/>
    </row>
    <row r="23079" spans="7:14" x14ac:dyDescent="0.3">
      <c r="G23079" s="1"/>
      <c r="N23079" s="1"/>
    </row>
    <row r="23080" spans="7:14" x14ac:dyDescent="0.3">
      <c r="G23080" s="1"/>
      <c r="N23080" s="1"/>
    </row>
    <row r="23081" spans="7:14" x14ac:dyDescent="0.3">
      <c r="G23081" s="1"/>
      <c r="N23081" s="1"/>
    </row>
    <row r="23082" spans="7:14" x14ac:dyDescent="0.3">
      <c r="G23082" s="1"/>
      <c r="N23082" s="1"/>
    </row>
    <row r="23083" spans="7:14" x14ac:dyDescent="0.3">
      <c r="G23083" s="1"/>
      <c r="N23083" s="1"/>
    </row>
    <row r="23084" spans="7:14" x14ac:dyDescent="0.3">
      <c r="G23084" s="1"/>
      <c r="N23084" s="1"/>
    </row>
    <row r="23085" spans="7:14" x14ac:dyDescent="0.3">
      <c r="G23085" s="1"/>
      <c r="N23085" s="1"/>
    </row>
    <row r="23086" spans="7:14" x14ac:dyDescent="0.3">
      <c r="G23086" s="1"/>
      <c r="N23086" s="1"/>
    </row>
    <row r="23087" spans="7:14" x14ac:dyDescent="0.3">
      <c r="G23087" s="1"/>
      <c r="N23087" s="1"/>
    </row>
    <row r="23088" spans="7:14" x14ac:dyDescent="0.3">
      <c r="G23088" s="1"/>
      <c r="N23088" s="1"/>
    </row>
    <row r="23089" spans="7:14" x14ac:dyDescent="0.3">
      <c r="G23089" s="1"/>
      <c r="N23089" s="1"/>
    </row>
    <row r="23090" spans="7:14" x14ac:dyDescent="0.3">
      <c r="G23090" s="1"/>
      <c r="N23090" s="1"/>
    </row>
    <row r="23091" spans="7:14" x14ac:dyDescent="0.3">
      <c r="G23091" s="1"/>
      <c r="N23091" s="1"/>
    </row>
    <row r="23092" spans="7:14" x14ac:dyDescent="0.3">
      <c r="G23092" s="1"/>
      <c r="N23092" s="1"/>
    </row>
    <row r="23093" spans="7:14" x14ac:dyDescent="0.3">
      <c r="G23093" s="1"/>
      <c r="N23093" s="1"/>
    </row>
    <row r="23094" spans="7:14" x14ac:dyDescent="0.3">
      <c r="G23094" s="1"/>
      <c r="N23094" s="1"/>
    </row>
    <row r="23095" spans="7:14" x14ac:dyDescent="0.3">
      <c r="G23095" s="1"/>
      <c r="N23095" s="1"/>
    </row>
    <row r="23096" spans="7:14" x14ac:dyDescent="0.3">
      <c r="G23096" s="1"/>
      <c r="N23096" s="1"/>
    </row>
    <row r="23097" spans="7:14" x14ac:dyDescent="0.3">
      <c r="G23097" s="1"/>
      <c r="N23097" s="1"/>
    </row>
    <row r="23098" spans="7:14" x14ac:dyDescent="0.3">
      <c r="G23098" s="1"/>
      <c r="N23098" s="1"/>
    </row>
    <row r="23099" spans="7:14" x14ac:dyDescent="0.3">
      <c r="G23099" s="1"/>
      <c r="N23099" s="1"/>
    </row>
    <row r="23100" spans="7:14" x14ac:dyDescent="0.3">
      <c r="G23100" s="1"/>
      <c r="N23100" s="1"/>
    </row>
    <row r="23101" spans="7:14" x14ac:dyDescent="0.3">
      <c r="G23101" s="1"/>
      <c r="N23101" s="1"/>
    </row>
    <row r="23102" spans="7:14" x14ac:dyDescent="0.3">
      <c r="G23102" s="1"/>
      <c r="N23102" s="1"/>
    </row>
    <row r="23103" spans="7:14" x14ac:dyDescent="0.3">
      <c r="G23103" s="1"/>
      <c r="N23103" s="1"/>
    </row>
    <row r="23104" spans="7:14" x14ac:dyDescent="0.3">
      <c r="G23104" s="1"/>
      <c r="N23104" s="1"/>
    </row>
    <row r="23105" spans="7:14" x14ac:dyDescent="0.3">
      <c r="G23105" s="1"/>
      <c r="N23105" s="1"/>
    </row>
    <row r="23106" spans="7:14" x14ac:dyDescent="0.3">
      <c r="G23106" s="1"/>
      <c r="N23106" s="1"/>
    </row>
    <row r="23107" spans="7:14" x14ac:dyDescent="0.3">
      <c r="G23107" s="1"/>
      <c r="N23107" s="1"/>
    </row>
    <row r="23108" spans="7:14" x14ac:dyDescent="0.3">
      <c r="G23108" s="1"/>
      <c r="N23108" s="1"/>
    </row>
    <row r="23109" spans="7:14" x14ac:dyDescent="0.3">
      <c r="G23109" s="1"/>
      <c r="N23109" s="1"/>
    </row>
    <row r="23110" spans="7:14" x14ac:dyDescent="0.3">
      <c r="G23110" s="1"/>
      <c r="N23110" s="1"/>
    </row>
    <row r="23111" spans="7:14" x14ac:dyDescent="0.3">
      <c r="G23111" s="1"/>
      <c r="N23111" s="1"/>
    </row>
    <row r="23112" spans="7:14" x14ac:dyDescent="0.3">
      <c r="G23112" s="1"/>
      <c r="N23112" s="1"/>
    </row>
    <row r="23113" spans="7:14" x14ac:dyDescent="0.3">
      <c r="G23113" s="1"/>
      <c r="N23113" s="1"/>
    </row>
    <row r="23114" spans="7:14" x14ac:dyDescent="0.3">
      <c r="G23114" s="1"/>
      <c r="N23114" s="1"/>
    </row>
    <row r="23115" spans="7:14" x14ac:dyDescent="0.3">
      <c r="G23115" s="1"/>
      <c r="N23115" s="1"/>
    </row>
    <row r="23116" spans="7:14" x14ac:dyDescent="0.3">
      <c r="G23116" s="1"/>
      <c r="N23116" s="1"/>
    </row>
    <row r="23117" spans="7:14" x14ac:dyDescent="0.3">
      <c r="G23117" s="1"/>
      <c r="N23117" s="1"/>
    </row>
    <row r="23118" spans="7:14" x14ac:dyDescent="0.3">
      <c r="G23118" s="1"/>
      <c r="N23118" s="1"/>
    </row>
    <row r="23119" spans="7:14" x14ac:dyDescent="0.3">
      <c r="G23119" s="1"/>
      <c r="N23119" s="1"/>
    </row>
    <row r="23120" spans="7:14" x14ac:dyDescent="0.3">
      <c r="G23120" s="1"/>
      <c r="N23120" s="1"/>
    </row>
    <row r="23121" spans="7:14" x14ac:dyDescent="0.3">
      <c r="G23121" s="1"/>
      <c r="N23121" s="1"/>
    </row>
    <row r="23122" spans="7:14" x14ac:dyDescent="0.3">
      <c r="G23122" s="1"/>
      <c r="N23122" s="1"/>
    </row>
    <row r="23123" spans="7:14" x14ac:dyDescent="0.3">
      <c r="G23123" s="1"/>
      <c r="N23123" s="1"/>
    </row>
    <row r="23124" spans="7:14" x14ac:dyDescent="0.3">
      <c r="G23124" s="1"/>
      <c r="N23124" s="1"/>
    </row>
    <row r="23125" spans="7:14" x14ac:dyDescent="0.3">
      <c r="G23125" s="1"/>
      <c r="N23125" s="1"/>
    </row>
    <row r="23126" spans="7:14" x14ac:dyDescent="0.3">
      <c r="G23126" s="1"/>
      <c r="N23126" s="1"/>
    </row>
    <row r="23127" spans="7:14" x14ac:dyDescent="0.3">
      <c r="G23127" s="1"/>
      <c r="N23127" s="1"/>
    </row>
    <row r="23128" spans="7:14" x14ac:dyDescent="0.3">
      <c r="G23128" s="1"/>
      <c r="N23128" s="1"/>
    </row>
    <row r="23129" spans="7:14" x14ac:dyDescent="0.3">
      <c r="G23129" s="1"/>
      <c r="N23129" s="1"/>
    </row>
    <row r="23130" spans="7:14" x14ac:dyDescent="0.3">
      <c r="G23130" s="1"/>
      <c r="N23130" s="1"/>
    </row>
    <row r="23131" spans="7:14" x14ac:dyDescent="0.3">
      <c r="G23131" s="1"/>
      <c r="N23131" s="1"/>
    </row>
    <row r="23132" spans="7:14" x14ac:dyDescent="0.3">
      <c r="G23132" s="1"/>
      <c r="N23132" s="1"/>
    </row>
    <row r="23133" spans="7:14" x14ac:dyDescent="0.3">
      <c r="G23133" s="1"/>
      <c r="N23133" s="1"/>
    </row>
    <row r="23134" spans="7:14" x14ac:dyDescent="0.3">
      <c r="G23134" s="1"/>
      <c r="N23134" s="1"/>
    </row>
    <row r="23135" spans="7:14" x14ac:dyDescent="0.3">
      <c r="G23135" s="1"/>
      <c r="N23135" s="1"/>
    </row>
    <row r="23136" spans="7:14" x14ac:dyDescent="0.3">
      <c r="G23136" s="1"/>
      <c r="N23136" s="1"/>
    </row>
    <row r="23137" spans="7:14" x14ac:dyDescent="0.3">
      <c r="G23137" s="1"/>
      <c r="N23137" s="1"/>
    </row>
    <row r="23138" spans="7:14" x14ac:dyDescent="0.3">
      <c r="G23138" s="1"/>
      <c r="N23138" s="1"/>
    </row>
    <row r="23139" spans="7:14" x14ac:dyDescent="0.3">
      <c r="G23139" s="1"/>
      <c r="N23139" s="1"/>
    </row>
    <row r="23140" spans="7:14" x14ac:dyDescent="0.3">
      <c r="G23140" s="1"/>
      <c r="N23140" s="1"/>
    </row>
    <row r="23141" spans="7:14" x14ac:dyDescent="0.3">
      <c r="G23141" s="1"/>
      <c r="N23141" s="1"/>
    </row>
    <row r="23142" spans="7:14" x14ac:dyDescent="0.3">
      <c r="G23142" s="1"/>
      <c r="N23142" s="1"/>
    </row>
    <row r="23143" spans="7:14" x14ac:dyDescent="0.3">
      <c r="G23143" s="1"/>
      <c r="N23143" s="1"/>
    </row>
    <row r="23144" spans="7:14" x14ac:dyDescent="0.3">
      <c r="G23144" s="1"/>
      <c r="N23144" s="1"/>
    </row>
    <row r="23145" spans="7:14" x14ac:dyDescent="0.3">
      <c r="G23145" s="1"/>
      <c r="N23145" s="1"/>
    </row>
    <row r="23146" spans="7:14" x14ac:dyDescent="0.3">
      <c r="G23146" s="1"/>
      <c r="N23146" s="1"/>
    </row>
    <row r="23147" spans="7:14" x14ac:dyDescent="0.3">
      <c r="G23147" s="1"/>
      <c r="N23147" s="1"/>
    </row>
    <row r="23148" spans="7:14" x14ac:dyDescent="0.3">
      <c r="G23148" s="1"/>
      <c r="N23148" s="1"/>
    </row>
    <row r="23149" spans="7:14" x14ac:dyDescent="0.3">
      <c r="G23149" s="1"/>
      <c r="N23149" s="1"/>
    </row>
    <row r="23150" spans="7:14" x14ac:dyDescent="0.3">
      <c r="G23150" s="1"/>
      <c r="N23150" s="1"/>
    </row>
    <row r="23151" spans="7:14" x14ac:dyDescent="0.3">
      <c r="G23151" s="1"/>
      <c r="N23151" s="1"/>
    </row>
    <row r="23152" spans="7:14" x14ac:dyDescent="0.3">
      <c r="G23152" s="1"/>
      <c r="N23152" s="1"/>
    </row>
    <row r="23153" spans="7:14" x14ac:dyDescent="0.3">
      <c r="G23153" s="1"/>
      <c r="N23153" s="1"/>
    </row>
    <row r="23154" spans="7:14" x14ac:dyDescent="0.3">
      <c r="G23154" s="1"/>
      <c r="N23154" s="1"/>
    </row>
    <row r="23155" spans="7:14" x14ac:dyDescent="0.3">
      <c r="G23155" s="1"/>
      <c r="N23155" s="1"/>
    </row>
    <row r="23156" spans="7:14" x14ac:dyDescent="0.3">
      <c r="G23156" s="1"/>
      <c r="N23156" s="1"/>
    </row>
    <row r="23157" spans="7:14" x14ac:dyDescent="0.3">
      <c r="G23157" s="1"/>
      <c r="N23157" s="1"/>
    </row>
    <row r="23158" spans="7:14" x14ac:dyDescent="0.3">
      <c r="G23158" s="1"/>
      <c r="N23158" s="1"/>
    </row>
    <row r="23159" spans="7:14" x14ac:dyDescent="0.3">
      <c r="G23159" s="1"/>
      <c r="N23159" s="1"/>
    </row>
    <row r="23160" spans="7:14" x14ac:dyDescent="0.3">
      <c r="G23160" s="1"/>
      <c r="N23160" s="1"/>
    </row>
    <row r="23161" spans="7:14" x14ac:dyDescent="0.3">
      <c r="G23161" s="1"/>
      <c r="N23161" s="1"/>
    </row>
    <row r="23162" spans="7:14" x14ac:dyDescent="0.3">
      <c r="G23162" s="1"/>
      <c r="N23162" s="1"/>
    </row>
    <row r="23163" spans="7:14" x14ac:dyDescent="0.3">
      <c r="G23163" s="1"/>
      <c r="N23163" s="1"/>
    </row>
    <row r="23164" spans="7:14" x14ac:dyDescent="0.3">
      <c r="G23164" s="1"/>
      <c r="N23164" s="1"/>
    </row>
    <row r="23165" spans="7:14" x14ac:dyDescent="0.3">
      <c r="G23165" s="1"/>
      <c r="N23165" s="1"/>
    </row>
    <row r="23166" spans="7:14" x14ac:dyDescent="0.3">
      <c r="G23166" s="1"/>
      <c r="N23166" s="1"/>
    </row>
    <row r="23167" spans="7:14" x14ac:dyDescent="0.3">
      <c r="G23167" s="1"/>
      <c r="N23167" s="1"/>
    </row>
    <row r="23168" spans="7:14" x14ac:dyDescent="0.3">
      <c r="G23168" s="1"/>
      <c r="N23168" s="1"/>
    </row>
    <row r="23169" spans="7:14" x14ac:dyDescent="0.3">
      <c r="G23169" s="1"/>
      <c r="N23169" s="1"/>
    </row>
    <row r="23170" spans="7:14" x14ac:dyDescent="0.3">
      <c r="G23170" s="1"/>
      <c r="N23170" s="1"/>
    </row>
    <row r="23171" spans="7:14" x14ac:dyDescent="0.3">
      <c r="G23171" s="1"/>
      <c r="N23171" s="1"/>
    </row>
    <row r="23172" spans="7:14" x14ac:dyDescent="0.3">
      <c r="G23172" s="1"/>
      <c r="N23172" s="1"/>
    </row>
    <row r="23173" spans="7:14" x14ac:dyDescent="0.3">
      <c r="G23173" s="1"/>
      <c r="N23173" s="1"/>
    </row>
    <row r="23174" spans="7:14" x14ac:dyDescent="0.3">
      <c r="G23174" s="1"/>
      <c r="N23174" s="1"/>
    </row>
    <row r="23175" spans="7:14" x14ac:dyDescent="0.3">
      <c r="G23175" s="1"/>
      <c r="N23175" s="1"/>
    </row>
    <row r="23176" spans="7:14" x14ac:dyDescent="0.3">
      <c r="G23176" s="1"/>
      <c r="N23176" s="1"/>
    </row>
    <row r="23177" spans="7:14" x14ac:dyDescent="0.3">
      <c r="G23177" s="1"/>
      <c r="N23177" s="1"/>
    </row>
    <row r="23178" spans="7:14" x14ac:dyDescent="0.3">
      <c r="G23178" s="1"/>
      <c r="N23178" s="1"/>
    </row>
    <row r="23179" spans="7:14" x14ac:dyDescent="0.3">
      <c r="G23179" s="1"/>
      <c r="N23179" s="1"/>
    </row>
    <row r="23180" spans="7:14" x14ac:dyDescent="0.3">
      <c r="G23180" s="1"/>
      <c r="N23180" s="1"/>
    </row>
    <row r="23181" spans="7:14" x14ac:dyDescent="0.3">
      <c r="G23181" s="1"/>
      <c r="N23181" s="1"/>
    </row>
    <row r="23182" spans="7:14" x14ac:dyDescent="0.3">
      <c r="G23182" s="1"/>
      <c r="N23182" s="1"/>
    </row>
    <row r="23183" spans="7:14" x14ac:dyDescent="0.3">
      <c r="G23183" s="1"/>
      <c r="N23183" s="1"/>
    </row>
    <row r="23184" spans="7:14" x14ac:dyDescent="0.3">
      <c r="G23184" s="1"/>
      <c r="N23184" s="1"/>
    </row>
    <row r="23185" spans="7:14" x14ac:dyDescent="0.3">
      <c r="G23185" s="1"/>
      <c r="N23185" s="1"/>
    </row>
    <row r="23186" spans="7:14" x14ac:dyDescent="0.3">
      <c r="G23186" s="1"/>
      <c r="N23186" s="1"/>
    </row>
    <row r="23187" spans="7:14" x14ac:dyDescent="0.3">
      <c r="G23187" s="1"/>
      <c r="N23187" s="1"/>
    </row>
    <row r="23188" spans="7:14" x14ac:dyDescent="0.3">
      <c r="G23188" s="1"/>
      <c r="N23188" s="1"/>
    </row>
    <row r="23189" spans="7:14" x14ac:dyDescent="0.3">
      <c r="G23189" s="1"/>
      <c r="N23189" s="1"/>
    </row>
    <row r="23190" spans="7:14" x14ac:dyDescent="0.3">
      <c r="G23190" s="1"/>
      <c r="N23190" s="1"/>
    </row>
    <row r="23191" spans="7:14" x14ac:dyDescent="0.3">
      <c r="G23191" s="1"/>
      <c r="N23191" s="1"/>
    </row>
    <row r="23192" spans="7:14" x14ac:dyDescent="0.3">
      <c r="G23192" s="1"/>
      <c r="N23192" s="1"/>
    </row>
    <row r="23193" spans="7:14" x14ac:dyDescent="0.3">
      <c r="G23193" s="1"/>
      <c r="N23193" s="1"/>
    </row>
    <row r="23194" spans="7:14" x14ac:dyDescent="0.3">
      <c r="G23194" s="1"/>
      <c r="N23194" s="1"/>
    </row>
    <row r="23195" spans="7:14" x14ac:dyDescent="0.3">
      <c r="G23195" s="1"/>
      <c r="N23195" s="1"/>
    </row>
    <row r="23196" spans="7:14" x14ac:dyDescent="0.3">
      <c r="G23196" s="1"/>
      <c r="N23196" s="1"/>
    </row>
    <row r="23197" spans="7:14" x14ac:dyDescent="0.3">
      <c r="G23197" s="1"/>
      <c r="N23197" s="1"/>
    </row>
    <row r="23198" spans="7:14" x14ac:dyDescent="0.3">
      <c r="G23198" s="1"/>
      <c r="N23198" s="1"/>
    </row>
    <row r="23199" spans="7:14" x14ac:dyDescent="0.3">
      <c r="G23199" s="1"/>
      <c r="N23199" s="1"/>
    </row>
    <row r="23200" spans="7:14" x14ac:dyDescent="0.3">
      <c r="G23200" s="1"/>
      <c r="N23200" s="1"/>
    </row>
    <row r="23201" spans="7:14" x14ac:dyDescent="0.3">
      <c r="G23201" s="1"/>
      <c r="N23201" s="1"/>
    </row>
    <row r="23202" spans="7:14" x14ac:dyDescent="0.3">
      <c r="G23202" s="1"/>
      <c r="N23202" s="1"/>
    </row>
    <row r="23203" spans="7:14" x14ac:dyDescent="0.3">
      <c r="G23203" s="1"/>
      <c r="N23203" s="1"/>
    </row>
    <row r="23204" spans="7:14" x14ac:dyDescent="0.3">
      <c r="G23204" s="1"/>
      <c r="N23204" s="1"/>
    </row>
    <row r="23205" spans="7:14" x14ac:dyDescent="0.3">
      <c r="G23205" s="1"/>
      <c r="N23205" s="1"/>
    </row>
    <row r="23206" spans="7:14" x14ac:dyDescent="0.3">
      <c r="G23206" s="1"/>
      <c r="N23206" s="1"/>
    </row>
    <row r="23207" spans="7:14" x14ac:dyDescent="0.3">
      <c r="G23207" s="1"/>
      <c r="N23207" s="1"/>
    </row>
    <row r="23208" spans="7:14" x14ac:dyDescent="0.3">
      <c r="G23208" s="1"/>
      <c r="N23208" s="1"/>
    </row>
    <row r="23209" spans="7:14" x14ac:dyDescent="0.3">
      <c r="G23209" s="1"/>
      <c r="N23209" s="1"/>
    </row>
    <row r="23210" spans="7:14" x14ac:dyDescent="0.3">
      <c r="G23210" s="1"/>
      <c r="N23210" s="1"/>
    </row>
    <row r="23211" spans="7:14" x14ac:dyDescent="0.3">
      <c r="G23211" s="1"/>
      <c r="N23211" s="1"/>
    </row>
    <row r="23212" spans="7:14" x14ac:dyDescent="0.3">
      <c r="G23212" s="1"/>
      <c r="N23212" s="1"/>
    </row>
    <row r="23213" spans="7:14" x14ac:dyDescent="0.3">
      <c r="G23213" s="1"/>
      <c r="N23213" s="1"/>
    </row>
    <row r="23214" spans="7:14" x14ac:dyDescent="0.3">
      <c r="G23214" s="1"/>
      <c r="N23214" s="1"/>
    </row>
    <row r="23215" spans="7:14" x14ac:dyDescent="0.3">
      <c r="G23215" s="1"/>
      <c r="N23215" s="1"/>
    </row>
    <row r="23216" spans="7:14" x14ac:dyDescent="0.3">
      <c r="G23216" s="1"/>
      <c r="N23216" s="1"/>
    </row>
    <row r="23217" spans="7:14" x14ac:dyDescent="0.3">
      <c r="G23217" s="1"/>
      <c r="N23217" s="1"/>
    </row>
    <row r="23218" spans="7:14" x14ac:dyDescent="0.3">
      <c r="G23218" s="1"/>
      <c r="N23218" s="1"/>
    </row>
    <row r="23219" spans="7:14" x14ac:dyDescent="0.3">
      <c r="G23219" s="1"/>
      <c r="N23219" s="1"/>
    </row>
    <row r="23220" spans="7:14" x14ac:dyDescent="0.3">
      <c r="G23220" s="1"/>
      <c r="N23220" s="1"/>
    </row>
    <row r="23221" spans="7:14" x14ac:dyDescent="0.3">
      <c r="G23221" s="1"/>
      <c r="N23221" s="1"/>
    </row>
    <row r="23222" spans="7:14" x14ac:dyDescent="0.3">
      <c r="G23222" s="1"/>
      <c r="N23222" s="1"/>
    </row>
    <row r="23223" spans="7:14" x14ac:dyDescent="0.3">
      <c r="G23223" s="1"/>
      <c r="N23223" s="1"/>
    </row>
    <row r="23224" spans="7:14" x14ac:dyDescent="0.3">
      <c r="G23224" s="1"/>
      <c r="N23224" s="1"/>
    </row>
    <row r="23225" spans="7:14" x14ac:dyDescent="0.3">
      <c r="G23225" s="1"/>
      <c r="N23225" s="1"/>
    </row>
    <row r="23226" spans="7:14" x14ac:dyDescent="0.3">
      <c r="G23226" s="1"/>
      <c r="N23226" s="1"/>
    </row>
    <row r="23227" spans="7:14" x14ac:dyDescent="0.3">
      <c r="G23227" s="1"/>
      <c r="N23227" s="1"/>
    </row>
    <row r="23228" spans="7:14" x14ac:dyDescent="0.3">
      <c r="G23228" s="1"/>
      <c r="N23228" s="1"/>
    </row>
    <row r="23229" spans="7:14" x14ac:dyDescent="0.3">
      <c r="G23229" s="1"/>
      <c r="N23229" s="1"/>
    </row>
    <row r="23230" spans="7:14" x14ac:dyDescent="0.3">
      <c r="G23230" s="1"/>
      <c r="N23230" s="1"/>
    </row>
    <row r="23231" spans="7:14" x14ac:dyDescent="0.3">
      <c r="G23231" s="1"/>
      <c r="N23231" s="1"/>
    </row>
    <row r="23232" spans="7:14" x14ac:dyDescent="0.3">
      <c r="G23232" s="1"/>
      <c r="N23232" s="1"/>
    </row>
    <row r="23233" spans="7:14" x14ac:dyDescent="0.3">
      <c r="G23233" s="1"/>
      <c r="N23233" s="1"/>
    </row>
    <row r="23234" spans="7:14" x14ac:dyDescent="0.3">
      <c r="G23234" s="1"/>
      <c r="N23234" s="1"/>
    </row>
    <row r="23235" spans="7:14" x14ac:dyDescent="0.3">
      <c r="G23235" s="1"/>
      <c r="N23235" s="1"/>
    </row>
    <row r="23236" spans="7:14" x14ac:dyDescent="0.3">
      <c r="G23236" s="1"/>
      <c r="N23236" s="1"/>
    </row>
    <row r="23237" spans="7:14" x14ac:dyDescent="0.3">
      <c r="G23237" s="1"/>
      <c r="N23237" s="1"/>
    </row>
    <row r="23238" spans="7:14" x14ac:dyDescent="0.3">
      <c r="G23238" s="1"/>
      <c r="N23238" s="1"/>
    </row>
    <row r="23239" spans="7:14" x14ac:dyDescent="0.3">
      <c r="G23239" s="1"/>
      <c r="N23239" s="1"/>
    </row>
    <row r="23240" spans="7:14" x14ac:dyDescent="0.3">
      <c r="G23240" s="1"/>
      <c r="N23240" s="1"/>
    </row>
    <row r="23241" spans="7:14" x14ac:dyDescent="0.3">
      <c r="G23241" s="1"/>
      <c r="N23241" s="1"/>
    </row>
    <row r="23242" spans="7:14" x14ac:dyDescent="0.3">
      <c r="G23242" s="1"/>
      <c r="N23242" s="1"/>
    </row>
    <row r="23243" spans="7:14" x14ac:dyDescent="0.3">
      <c r="G23243" s="1"/>
      <c r="N23243" s="1"/>
    </row>
    <row r="23244" spans="7:14" x14ac:dyDescent="0.3">
      <c r="G23244" s="1"/>
      <c r="N23244" s="1"/>
    </row>
    <row r="23245" spans="7:14" x14ac:dyDescent="0.3">
      <c r="G23245" s="1"/>
      <c r="N23245" s="1"/>
    </row>
    <row r="23246" spans="7:14" x14ac:dyDescent="0.3">
      <c r="G23246" s="1"/>
      <c r="N23246" s="1"/>
    </row>
    <row r="23247" spans="7:14" x14ac:dyDescent="0.3">
      <c r="G23247" s="1"/>
      <c r="N23247" s="1"/>
    </row>
    <row r="23248" spans="7:14" x14ac:dyDescent="0.3">
      <c r="G23248" s="1"/>
      <c r="N23248" s="1"/>
    </row>
    <row r="23249" spans="7:14" x14ac:dyDescent="0.3">
      <c r="G23249" s="1"/>
      <c r="N23249" s="1"/>
    </row>
    <row r="23250" spans="7:14" x14ac:dyDescent="0.3">
      <c r="G23250" s="1"/>
      <c r="N23250" s="1"/>
    </row>
    <row r="23251" spans="7:14" x14ac:dyDescent="0.3">
      <c r="G23251" s="1"/>
      <c r="N23251" s="1"/>
    </row>
    <row r="23252" spans="7:14" x14ac:dyDescent="0.3">
      <c r="G23252" s="1"/>
      <c r="N23252" s="1"/>
    </row>
    <row r="23253" spans="7:14" x14ac:dyDescent="0.3">
      <c r="G23253" s="1"/>
      <c r="N23253" s="1"/>
    </row>
    <row r="23254" spans="7:14" x14ac:dyDescent="0.3">
      <c r="G23254" s="1"/>
      <c r="N23254" s="1"/>
    </row>
    <row r="23255" spans="7:14" x14ac:dyDescent="0.3">
      <c r="G23255" s="1"/>
      <c r="N23255" s="1"/>
    </row>
    <row r="23256" spans="7:14" x14ac:dyDescent="0.3">
      <c r="G23256" s="1"/>
      <c r="N23256" s="1"/>
    </row>
    <row r="23257" spans="7:14" x14ac:dyDescent="0.3">
      <c r="G23257" s="1"/>
      <c r="N23257" s="1"/>
    </row>
    <row r="23258" spans="7:14" x14ac:dyDescent="0.3">
      <c r="G23258" s="1"/>
      <c r="N23258" s="1"/>
    </row>
    <row r="23259" spans="7:14" x14ac:dyDescent="0.3">
      <c r="G23259" s="1"/>
      <c r="N23259" s="1"/>
    </row>
    <row r="23260" spans="7:14" x14ac:dyDescent="0.3">
      <c r="G23260" s="1"/>
      <c r="N23260" s="1"/>
    </row>
    <row r="23261" spans="7:14" x14ac:dyDescent="0.3">
      <c r="G23261" s="1"/>
      <c r="N23261" s="1"/>
    </row>
    <row r="23262" spans="7:14" x14ac:dyDescent="0.3">
      <c r="G23262" s="1"/>
      <c r="N23262" s="1"/>
    </row>
    <row r="23263" spans="7:14" x14ac:dyDescent="0.3">
      <c r="G23263" s="1"/>
      <c r="N23263" s="1"/>
    </row>
    <row r="23264" spans="7:14" x14ac:dyDescent="0.3">
      <c r="G23264" s="1"/>
      <c r="N23264" s="1"/>
    </row>
    <row r="23265" spans="7:14" x14ac:dyDescent="0.3">
      <c r="G23265" s="1"/>
      <c r="N23265" s="1"/>
    </row>
    <row r="23266" spans="7:14" x14ac:dyDescent="0.3">
      <c r="G23266" s="1"/>
      <c r="N23266" s="1"/>
    </row>
    <row r="23267" spans="7:14" x14ac:dyDescent="0.3">
      <c r="G23267" s="1"/>
      <c r="N23267" s="1"/>
    </row>
    <row r="23268" spans="7:14" x14ac:dyDescent="0.3">
      <c r="G23268" s="1"/>
      <c r="N23268" s="1"/>
    </row>
    <row r="23269" spans="7:14" x14ac:dyDescent="0.3">
      <c r="G23269" s="1"/>
      <c r="N23269" s="1"/>
    </row>
    <row r="23270" spans="7:14" x14ac:dyDescent="0.3">
      <c r="G23270" s="1"/>
      <c r="N23270" s="1"/>
    </row>
    <row r="23271" spans="7:14" x14ac:dyDescent="0.3">
      <c r="G23271" s="1"/>
      <c r="N23271" s="1"/>
    </row>
    <row r="23272" spans="7:14" x14ac:dyDescent="0.3">
      <c r="G23272" s="1"/>
      <c r="N23272" s="1"/>
    </row>
    <row r="23273" spans="7:14" x14ac:dyDescent="0.3">
      <c r="G23273" s="1"/>
      <c r="N23273" s="1"/>
    </row>
    <row r="23274" spans="7:14" x14ac:dyDescent="0.3">
      <c r="G23274" s="1"/>
      <c r="N23274" s="1"/>
    </row>
    <row r="23275" spans="7:14" x14ac:dyDescent="0.3">
      <c r="G23275" s="1"/>
      <c r="N23275" s="1"/>
    </row>
    <row r="23276" spans="7:14" x14ac:dyDescent="0.3">
      <c r="G23276" s="1"/>
      <c r="N23276" s="1"/>
    </row>
    <row r="23277" spans="7:14" x14ac:dyDescent="0.3">
      <c r="G23277" s="1"/>
      <c r="N23277" s="1"/>
    </row>
    <row r="23278" spans="7:14" x14ac:dyDescent="0.3">
      <c r="G23278" s="1"/>
      <c r="N23278" s="1"/>
    </row>
    <row r="23279" spans="7:14" x14ac:dyDescent="0.3">
      <c r="G23279" s="1"/>
      <c r="N23279" s="1"/>
    </row>
    <row r="23280" spans="7:14" x14ac:dyDescent="0.3">
      <c r="G23280" s="1"/>
      <c r="N23280" s="1"/>
    </row>
    <row r="23281" spans="7:14" x14ac:dyDescent="0.3">
      <c r="G23281" s="1"/>
      <c r="N23281" s="1"/>
    </row>
    <row r="23282" spans="7:14" x14ac:dyDescent="0.3">
      <c r="G23282" s="1"/>
      <c r="N23282" s="1"/>
    </row>
    <row r="23283" spans="7:14" x14ac:dyDescent="0.3">
      <c r="G23283" s="1"/>
      <c r="N23283" s="1"/>
    </row>
    <row r="23284" spans="7:14" x14ac:dyDescent="0.3">
      <c r="G23284" s="1"/>
      <c r="N23284" s="1"/>
    </row>
    <row r="23285" spans="7:14" x14ac:dyDescent="0.3">
      <c r="G23285" s="1"/>
      <c r="N23285" s="1"/>
    </row>
    <row r="23286" spans="7:14" x14ac:dyDescent="0.3">
      <c r="G23286" s="1"/>
      <c r="N23286" s="1"/>
    </row>
    <row r="23287" spans="7:14" x14ac:dyDescent="0.3">
      <c r="G23287" s="1"/>
      <c r="N23287" s="1"/>
    </row>
    <row r="23288" spans="7:14" x14ac:dyDescent="0.3">
      <c r="G23288" s="1"/>
      <c r="N23288" s="1"/>
    </row>
    <row r="23289" spans="7:14" x14ac:dyDescent="0.3">
      <c r="G23289" s="1"/>
      <c r="N23289" s="1"/>
    </row>
    <row r="23290" spans="7:14" x14ac:dyDescent="0.3">
      <c r="G23290" s="1"/>
      <c r="N23290" s="1"/>
    </row>
    <row r="23291" spans="7:14" x14ac:dyDescent="0.3">
      <c r="G23291" s="1"/>
      <c r="N23291" s="1"/>
    </row>
    <row r="23292" spans="7:14" x14ac:dyDescent="0.3">
      <c r="G23292" s="1"/>
      <c r="N23292" s="1"/>
    </row>
    <row r="23293" spans="7:14" x14ac:dyDescent="0.3">
      <c r="G23293" s="1"/>
      <c r="N23293" s="1"/>
    </row>
    <row r="23294" spans="7:14" x14ac:dyDescent="0.3">
      <c r="G23294" s="1"/>
      <c r="N23294" s="1"/>
    </row>
    <row r="23295" spans="7:14" x14ac:dyDescent="0.3">
      <c r="G23295" s="1"/>
      <c r="N23295" s="1"/>
    </row>
    <row r="23296" spans="7:14" x14ac:dyDescent="0.3">
      <c r="G23296" s="1"/>
      <c r="N23296" s="1"/>
    </row>
    <row r="23297" spans="7:14" x14ac:dyDescent="0.3">
      <c r="G23297" s="1"/>
      <c r="N23297" s="1"/>
    </row>
    <row r="23298" spans="7:14" x14ac:dyDescent="0.3">
      <c r="G23298" s="1"/>
      <c r="N23298" s="1"/>
    </row>
    <row r="23299" spans="7:14" x14ac:dyDescent="0.3">
      <c r="G23299" s="1"/>
      <c r="N23299" s="1"/>
    </row>
    <row r="23300" spans="7:14" x14ac:dyDescent="0.3">
      <c r="G23300" s="1"/>
      <c r="N23300" s="1"/>
    </row>
    <row r="23301" spans="7:14" x14ac:dyDescent="0.3">
      <c r="G23301" s="1"/>
      <c r="N23301" s="1"/>
    </row>
    <row r="23302" spans="7:14" x14ac:dyDescent="0.3">
      <c r="G23302" s="1"/>
      <c r="N23302" s="1"/>
    </row>
    <row r="23303" spans="7:14" x14ac:dyDescent="0.3">
      <c r="G23303" s="1"/>
      <c r="N23303" s="1"/>
    </row>
    <row r="23304" spans="7:14" x14ac:dyDescent="0.3">
      <c r="G23304" s="1"/>
      <c r="N23304" s="1"/>
    </row>
    <row r="23305" spans="7:14" x14ac:dyDescent="0.3">
      <c r="G23305" s="1"/>
      <c r="N23305" s="1"/>
    </row>
    <row r="23306" spans="7:14" x14ac:dyDescent="0.3">
      <c r="G23306" s="1"/>
      <c r="N23306" s="1"/>
    </row>
    <row r="23307" spans="7:14" x14ac:dyDescent="0.3">
      <c r="G23307" s="1"/>
      <c r="N23307" s="1"/>
    </row>
    <row r="23308" spans="7:14" x14ac:dyDescent="0.3">
      <c r="G23308" s="1"/>
      <c r="N23308" s="1"/>
    </row>
    <row r="23309" spans="7:14" x14ac:dyDescent="0.3">
      <c r="G23309" s="1"/>
      <c r="N23309" s="1"/>
    </row>
    <row r="23310" spans="7:14" x14ac:dyDescent="0.3">
      <c r="G23310" s="1"/>
      <c r="N23310" s="1"/>
    </row>
    <row r="23311" spans="7:14" x14ac:dyDescent="0.3">
      <c r="G23311" s="1"/>
      <c r="N23311" s="1"/>
    </row>
    <row r="23312" spans="7:14" x14ac:dyDescent="0.3">
      <c r="G23312" s="1"/>
      <c r="N23312" s="1"/>
    </row>
    <row r="23313" spans="7:14" x14ac:dyDescent="0.3">
      <c r="G23313" s="1"/>
      <c r="N23313" s="1"/>
    </row>
    <row r="23314" spans="7:14" x14ac:dyDescent="0.3">
      <c r="G23314" s="1"/>
      <c r="N23314" s="1"/>
    </row>
    <row r="23315" spans="7:14" x14ac:dyDescent="0.3">
      <c r="G23315" s="1"/>
      <c r="N23315" s="1"/>
    </row>
    <row r="23316" spans="7:14" x14ac:dyDescent="0.3">
      <c r="G23316" s="1"/>
      <c r="N23316" s="1"/>
    </row>
    <row r="23317" spans="7:14" x14ac:dyDescent="0.3">
      <c r="G23317" s="1"/>
      <c r="N23317" s="1"/>
    </row>
    <row r="23318" spans="7:14" x14ac:dyDescent="0.3">
      <c r="G23318" s="1"/>
      <c r="N23318" s="1"/>
    </row>
    <row r="23319" spans="7:14" x14ac:dyDescent="0.3">
      <c r="G23319" s="1"/>
      <c r="N23319" s="1"/>
    </row>
    <row r="23320" spans="7:14" x14ac:dyDescent="0.3">
      <c r="G23320" s="1"/>
      <c r="N23320" s="1"/>
    </row>
    <row r="23321" spans="7:14" x14ac:dyDescent="0.3">
      <c r="G23321" s="1"/>
      <c r="N23321" s="1"/>
    </row>
    <row r="23322" spans="7:14" x14ac:dyDescent="0.3">
      <c r="G23322" s="1"/>
      <c r="N23322" s="1"/>
    </row>
    <row r="23323" spans="7:14" x14ac:dyDescent="0.3">
      <c r="G23323" s="1"/>
      <c r="N23323" s="1"/>
    </row>
    <row r="23324" spans="7:14" x14ac:dyDescent="0.3">
      <c r="G23324" s="1"/>
      <c r="N23324" s="1"/>
    </row>
    <row r="23325" spans="7:14" x14ac:dyDescent="0.3">
      <c r="G23325" s="1"/>
      <c r="N23325" s="1"/>
    </row>
    <row r="23326" spans="7:14" x14ac:dyDescent="0.3">
      <c r="G23326" s="1"/>
      <c r="N23326" s="1"/>
    </row>
    <row r="23327" spans="7:14" x14ac:dyDescent="0.3">
      <c r="G23327" s="1"/>
      <c r="N23327" s="1"/>
    </row>
    <row r="23328" spans="7:14" x14ac:dyDescent="0.3">
      <c r="G23328" s="1"/>
      <c r="N23328" s="1"/>
    </row>
    <row r="23329" spans="7:14" x14ac:dyDescent="0.3">
      <c r="G23329" s="1"/>
      <c r="N23329" s="1"/>
    </row>
    <row r="23330" spans="7:14" x14ac:dyDescent="0.3">
      <c r="G23330" s="1"/>
      <c r="N23330" s="1"/>
    </row>
    <row r="23331" spans="7:14" x14ac:dyDescent="0.3">
      <c r="G23331" s="1"/>
      <c r="N23331" s="1"/>
    </row>
    <row r="23332" spans="7:14" x14ac:dyDescent="0.3">
      <c r="G23332" s="1"/>
      <c r="N23332" s="1"/>
    </row>
    <row r="23333" spans="7:14" x14ac:dyDescent="0.3">
      <c r="G23333" s="1"/>
      <c r="N23333" s="1"/>
    </row>
    <row r="23334" spans="7:14" x14ac:dyDescent="0.3">
      <c r="G23334" s="1"/>
      <c r="N23334" s="1"/>
    </row>
    <row r="23335" spans="7:14" x14ac:dyDescent="0.3">
      <c r="G23335" s="1"/>
      <c r="N23335" s="1"/>
    </row>
    <row r="23336" spans="7:14" x14ac:dyDescent="0.3">
      <c r="G23336" s="1"/>
      <c r="N23336" s="1"/>
    </row>
    <row r="23337" spans="7:14" x14ac:dyDescent="0.3">
      <c r="G23337" s="1"/>
      <c r="N23337" s="1"/>
    </row>
    <row r="23338" spans="7:14" x14ac:dyDescent="0.3">
      <c r="G23338" s="1"/>
      <c r="N23338" s="1"/>
    </row>
    <row r="23339" spans="7:14" x14ac:dyDescent="0.3">
      <c r="G23339" s="1"/>
      <c r="N23339" s="1"/>
    </row>
    <row r="23340" spans="7:14" x14ac:dyDescent="0.3">
      <c r="G23340" s="1"/>
      <c r="N23340" s="1"/>
    </row>
    <row r="23341" spans="7:14" x14ac:dyDescent="0.3">
      <c r="G23341" s="1"/>
      <c r="N23341" s="1"/>
    </row>
    <row r="23342" spans="7:14" x14ac:dyDescent="0.3">
      <c r="G23342" s="1"/>
      <c r="N23342" s="1"/>
    </row>
    <row r="23343" spans="7:14" x14ac:dyDescent="0.3">
      <c r="G23343" s="1"/>
      <c r="N23343" s="1"/>
    </row>
    <row r="23344" spans="7:14" x14ac:dyDescent="0.3">
      <c r="G23344" s="1"/>
      <c r="N23344" s="1"/>
    </row>
    <row r="23345" spans="7:14" x14ac:dyDescent="0.3">
      <c r="G23345" s="1"/>
      <c r="N23345" s="1"/>
    </row>
    <row r="23346" spans="7:14" x14ac:dyDescent="0.3">
      <c r="G23346" s="1"/>
      <c r="N23346" s="1"/>
    </row>
    <row r="23347" spans="7:14" x14ac:dyDescent="0.3">
      <c r="G23347" s="1"/>
      <c r="N23347" s="1"/>
    </row>
    <row r="23348" spans="7:14" x14ac:dyDescent="0.3">
      <c r="G23348" s="1"/>
      <c r="N23348" s="1"/>
    </row>
    <row r="23349" spans="7:14" x14ac:dyDescent="0.3">
      <c r="G23349" s="1"/>
      <c r="N23349" s="1"/>
    </row>
    <row r="23350" spans="7:14" x14ac:dyDescent="0.3">
      <c r="G23350" s="1"/>
      <c r="N23350" s="1"/>
    </row>
    <row r="23351" spans="7:14" x14ac:dyDescent="0.3">
      <c r="G23351" s="1"/>
      <c r="N23351" s="1"/>
    </row>
    <row r="23352" spans="7:14" x14ac:dyDescent="0.3">
      <c r="G23352" s="1"/>
      <c r="N23352" s="1"/>
    </row>
    <row r="23353" spans="7:14" x14ac:dyDescent="0.3">
      <c r="G23353" s="1"/>
      <c r="N23353" s="1"/>
    </row>
    <row r="23354" spans="7:14" x14ac:dyDescent="0.3">
      <c r="G23354" s="1"/>
      <c r="N23354" s="1"/>
    </row>
    <row r="23355" spans="7:14" x14ac:dyDescent="0.3">
      <c r="G23355" s="1"/>
      <c r="N23355" s="1"/>
    </row>
    <row r="23356" spans="7:14" x14ac:dyDescent="0.3">
      <c r="G23356" s="1"/>
      <c r="N23356" s="1"/>
    </row>
    <row r="23357" spans="7:14" x14ac:dyDescent="0.3">
      <c r="G23357" s="1"/>
      <c r="N23357" s="1"/>
    </row>
    <row r="23358" spans="7:14" x14ac:dyDescent="0.3">
      <c r="G23358" s="1"/>
      <c r="N23358" s="1"/>
    </row>
    <row r="23359" spans="7:14" x14ac:dyDescent="0.3">
      <c r="G23359" s="1"/>
      <c r="N23359" s="1"/>
    </row>
    <row r="23360" spans="7:14" x14ac:dyDescent="0.3">
      <c r="G23360" s="1"/>
      <c r="N23360" s="1"/>
    </row>
    <row r="23361" spans="7:14" x14ac:dyDescent="0.3">
      <c r="G23361" s="1"/>
      <c r="N23361" s="1"/>
    </row>
    <row r="23362" spans="7:14" x14ac:dyDescent="0.3">
      <c r="G23362" s="1"/>
      <c r="N23362" s="1"/>
    </row>
    <row r="23363" spans="7:14" x14ac:dyDescent="0.3">
      <c r="G23363" s="1"/>
      <c r="N23363" s="1"/>
    </row>
    <row r="23364" spans="7:14" x14ac:dyDescent="0.3">
      <c r="G23364" s="1"/>
      <c r="N23364" s="1"/>
    </row>
    <row r="23365" spans="7:14" x14ac:dyDescent="0.3">
      <c r="G23365" s="1"/>
      <c r="N23365" s="1"/>
    </row>
    <row r="23366" spans="7:14" x14ac:dyDescent="0.3">
      <c r="G23366" s="1"/>
      <c r="N23366" s="1"/>
    </row>
    <row r="23367" spans="7:14" x14ac:dyDescent="0.3">
      <c r="G23367" s="1"/>
      <c r="N23367" s="1"/>
    </row>
    <row r="23368" spans="7:14" x14ac:dyDescent="0.3">
      <c r="G23368" s="1"/>
      <c r="N23368" s="1"/>
    </row>
    <row r="23369" spans="7:14" x14ac:dyDescent="0.3">
      <c r="G23369" s="1"/>
      <c r="N23369" s="1"/>
    </row>
    <row r="23370" spans="7:14" x14ac:dyDescent="0.3">
      <c r="G23370" s="1"/>
      <c r="N23370" s="1"/>
    </row>
    <row r="23371" spans="7:14" x14ac:dyDescent="0.3">
      <c r="G23371" s="1"/>
      <c r="N23371" s="1"/>
    </row>
    <row r="23372" spans="7:14" x14ac:dyDescent="0.3">
      <c r="G23372" s="1"/>
      <c r="N23372" s="1"/>
    </row>
    <row r="23373" spans="7:14" x14ac:dyDescent="0.3">
      <c r="G23373" s="1"/>
      <c r="N23373" s="1"/>
    </row>
    <row r="23374" spans="7:14" x14ac:dyDescent="0.3">
      <c r="G23374" s="1"/>
      <c r="N23374" s="1"/>
    </row>
    <row r="23375" spans="7:14" x14ac:dyDescent="0.3">
      <c r="G23375" s="1"/>
      <c r="N23375" s="1"/>
    </row>
    <row r="23376" spans="7:14" x14ac:dyDescent="0.3">
      <c r="G23376" s="1"/>
      <c r="N23376" s="1"/>
    </row>
    <row r="23377" spans="7:14" x14ac:dyDescent="0.3">
      <c r="G23377" s="1"/>
      <c r="N23377" s="1"/>
    </row>
    <row r="23378" spans="7:14" x14ac:dyDescent="0.3">
      <c r="G23378" s="1"/>
      <c r="N23378" s="1"/>
    </row>
    <row r="23379" spans="7:14" x14ac:dyDescent="0.3">
      <c r="G23379" s="1"/>
      <c r="N23379" s="1"/>
    </row>
    <row r="23380" spans="7:14" x14ac:dyDescent="0.3">
      <c r="G23380" s="1"/>
      <c r="N23380" s="1"/>
    </row>
    <row r="23381" spans="7:14" x14ac:dyDescent="0.3">
      <c r="G23381" s="1"/>
      <c r="N23381" s="1"/>
    </row>
    <row r="23382" spans="7:14" x14ac:dyDescent="0.3">
      <c r="G23382" s="1"/>
      <c r="N23382" s="1"/>
    </row>
    <row r="23383" spans="7:14" x14ac:dyDescent="0.3">
      <c r="G23383" s="1"/>
      <c r="N23383" s="1"/>
    </row>
    <row r="23384" spans="7:14" x14ac:dyDescent="0.3">
      <c r="G23384" s="1"/>
      <c r="N23384" s="1"/>
    </row>
    <row r="23385" spans="7:14" x14ac:dyDescent="0.3">
      <c r="G23385" s="1"/>
      <c r="N23385" s="1"/>
    </row>
    <row r="23386" spans="7:14" x14ac:dyDescent="0.3">
      <c r="G23386" s="1"/>
      <c r="N23386" s="1"/>
    </row>
    <row r="23387" spans="7:14" x14ac:dyDescent="0.3">
      <c r="G23387" s="1"/>
      <c r="N23387" s="1"/>
    </row>
    <row r="23388" spans="7:14" x14ac:dyDescent="0.3">
      <c r="G23388" s="1"/>
      <c r="N23388" s="1"/>
    </row>
    <row r="23389" spans="7:14" x14ac:dyDescent="0.3">
      <c r="G23389" s="1"/>
      <c r="N23389" s="1"/>
    </row>
    <row r="23390" spans="7:14" x14ac:dyDescent="0.3">
      <c r="G23390" s="1"/>
      <c r="N23390" s="1"/>
    </row>
    <row r="23391" spans="7:14" x14ac:dyDescent="0.3">
      <c r="G23391" s="1"/>
      <c r="N23391" s="1"/>
    </row>
    <row r="23392" spans="7:14" x14ac:dyDescent="0.3">
      <c r="G23392" s="1"/>
      <c r="N23392" s="1"/>
    </row>
    <row r="23393" spans="7:14" x14ac:dyDescent="0.3">
      <c r="G23393" s="1"/>
      <c r="N23393" s="1"/>
    </row>
    <row r="23394" spans="7:14" x14ac:dyDescent="0.3">
      <c r="G23394" s="1"/>
      <c r="N23394" s="1"/>
    </row>
    <row r="23395" spans="7:14" x14ac:dyDescent="0.3">
      <c r="G23395" s="1"/>
      <c r="N23395" s="1"/>
    </row>
    <row r="23396" spans="7:14" x14ac:dyDescent="0.3">
      <c r="G23396" s="1"/>
      <c r="N23396" s="1"/>
    </row>
    <row r="23397" spans="7:14" x14ac:dyDescent="0.3">
      <c r="G23397" s="1"/>
      <c r="N23397" s="1"/>
    </row>
    <row r="23398" spans="7:14" x14ac:dyDescent="0.3">
      <c r="G23398" s="1"/>
      <c r="N23398" s="1"/>
    </row>
    <row r="23399" spans="7:14" x14ac:dyDescent="0.3">
      <c r="G23399" s="1"/>
      <c r="N23399" s="1"/>
    </row>
    <row r="23400" spans="7:14" x14ac:dyDescent="0.3">
      <c r="G23400" s="1"/>
      <c r="N23400" s="1"/>
    </row>
    <row r="23401" spans="7:14" x14ac:dyDescent="0.3">
      <c r="G23401" s="1"/>
      <c r="N23401" s="1"/>
    </row>
    <row r="23402" spans="7:14" x14ac:dyDescent="0.3">
      <c r="G23402" s="1"/>
      <c r="N23402" s="1"/>
    </row>
    <row r="23403" spans="7:14" x14ac:dyDescent="0.3">
      <c r="G23403" s="1"/>
      <c r="N23403" s="1"/>
    </row>
    <row r="23404" spans="7:14" x14ac:dyDescent="0.3">
      <c r="G23404" s="1"/>
      <c r="N23404" s="1"/>
    </row>
    <row r="23405" spans="7:14" x14ac:dyDescent="0.3">
      <c r="G23405" s="1"/>
      <c r="N23405" s="1"/>
    </row>
    <row r="23406" spans="7:14" x14ac:dyDescent="0.3">
      <c r="G23406" s="1"/>
      <c r="N23406" s="1"/>
    </row>
    <row r="23407" spans="7:14" x14ac:dyDescent="0.3">
      <c r="G23407" s="1"/>
      <c r="N23407" s="1"/>
    </row>
    <row r="23408" spans="7:14" x14ac:dyDescent="0.3">
      <c r="G23408" s="1"/>
      <c r="N23408" s="1"/>
    </row>
    <row r="23409" spans="7:14" x14ac:dyDescent="0.3">
      <c r="G23409" s="1"/>
      <c r="N23409" s="1"/>
    </row>
    <row r="23410" spans="7:14" x14ac:dyDescent="0.3">
      <c r="G23410" s="1"/>
      <c r="N23410" s="1"/>
    </row>
    <row r="23411" spans="7:14" x14ac:dyDescent="0.3">
      <c r="G23411" s="1"/>
      <c r="N23411" s="1"/>
    </row>
    <row r="23412" spans="7:14" x14ac:dyDescent="0.3">
      <c r="G23412" s="1"/>
      <c r="N23412" s="1"/>
    </row>
    <row r="23413" spans="7:14" x14ac:dyDescent="0.3">
      <c r="G23413" s="1"/>
      <c r="N23413" s="1"/>
    </row>
    <row r="23414" spans="7:14" x14ac:dyDescent="0.3">
      <c r="G23414" s="1"/>
      <c r="N23414" s="1"/>
    </row>
    <row r="23415" spans="7:14" x14ac:dyDescent="0.3">
      <c r="G23415" s="1"/>
      <c r="N23415" s="1"/>
    </row>
    <row r="23416" spans="7:14" x14ac:dyDescent="0.3">
      <c r="G23416" s="1"/>
      <c r="N23416" s="1"/>
    </row>
    <row r="23417" spans="7:14" x14ac:dyDescent="0.3">
      <c r="G23417" s="1"/>
      <c r="N23417" s="1"/>
    </row>
    <row r="23418" spans="7:14" x14ac:dyDescent="0.3">
      <c r="G23418" s="1"/>
      <c r="N23418" s="1"/>
    </row>
    <row r="23419" spans="7:14" x14ac:dyDescent="0.3">
      <c r="G23419" s="1"/>
      <c r="N23419" s="1"/>
    </row>
    <row r="23420" spans="7:14" x14ac:dyDescent="0.3">
      <c r="G23420" s="1"/>
      <c r="N23420" s="1"/>
    </row>
    <row r="23421" spans="7:14" x14ac:dyDescent="0.3">
      <c r="G23421" s="1"/>
      <c r="N23421" s="1"/>
    </row>
    <row r="23422" spans="7:14" x14ac:dyDescent="0.3">
      <c r="G23422" s="1"/>
      <c r="N23422" s="1"/>
    </row>
    <row r="23423" spans="7:14" x14ac:dyDescent="0.3">
      <c r="G23423" s="1"/>
      <c r="N23423" s="1"/>
    </row>
    <row r="23424" spans="7:14" x14ac:dyDescent="0.3">
      <c r="G23424" s="1"/>
      <c r="N23424" s="1"/>
    </row>
    <row r="23425" spans="7:14" x14ac:dyDescent="0.3">
      <c r="G23425" s="1"/>
      <c r="N23425" s="1"/>
    </row>
    <row r="23426" spans="7:14" x14ac:dyDescent="0.3">
      <c r="G23426" s="1"/>
      <c r="N23426" s="1"/>
    </row>
    <row r="23427" spans="7:14" x14ac:dyDescent="0.3">
      <c r="G23427" s="1"/>
      <c r="N23427" s="1"/>
    </row>
    <row r="23428" spans="7:14" x14ac:dyDescent="0.3">
      <c r="G23428" s="1"/>
      <c r="N23428" s="1"/>
    </row>
    <row r="23429" spans="7:14" x14ac:dyDescent="0.3">
      <c r="G23429" s="1"/>
      <c r="N23429" s="1"/>
    </row>
    <row r="23430" spans="7:14" x14ac:dyDescent="0.3">
      <c r="G23430" s="1"/>
      <c r="N23430" s="1"/>
    </row>
    <row r="23431" spans="7:14" x14ac:dyDescent="0.3">
      <c r="G23431" s="1"/>
      <c r="N23431" s="1"/>
    </row>
    <row r="23432" spans="7:14" x14ac:dyDescent="0.3">
      <c r="G23432" s="1"/>
      <c r="N23432" s="1"/>
    </row>
    <row r="23433" spans="7:14" x14ac:dyDescent="0.3">
      <c r="G23433" s="1"/>
      <c r="N23433" s="1"/>
    </row>
    <row r="23434" spans="7:14" x14ac:dyDescent="0.3">
      <c r="G23434" s="1"/>
      <c r="N23434" s="1"/>
    </row>
    <row r="23435" spans="7:14" x14ac:dyDescent="0.3">
      <c r="G23435" s="1"/>
      <c r="N23435" s="1"/>
    </row>
    <row r="23436" spans="7:14" x14ac:dyDescent="0.3">
      <c r="G23436" s="1"/>
      <c r="N23436" s="1"/>
    </row>
    <row r="23437" spans="7:14" x14ac:dyDescent="0.3">
      <c r="G23437" s="1"/>
      <c r="N23437" s="1"/>
    </row>
    <row r="23438" spans="7:14" x14ac:dyDescent="0.3">
      <c r="G23438" s="1"/>
      <c r="N23438" s="1"/>
    </row>
    <row r="23439" spans="7:14" x14ac:dyDescent="0.3">
      <c r="G23439" s="1"/>
      <c r="N23439" s="1"/>
    </row>
    <row r="23440" spans="7:14" x14ac:dyDescent="0.3">
      <c r="G23440" s="1"/>
      <c r="N23440" s="1"/>
    </row>
    <row r="23441" spans="7:14" x14ac:dyDescent="0.3">
      <c r="G23441" s="1"/>
      <c r="N23441" s="1"/>
    </row>
    <row r="23442" spans="7:14" x14ac:dyDescent="0.3">
      <c r="G23442" s="1"/>
      <c r="N23442" s="1"/>
    </row>
    <row r="23443" spans="7:14" x14ac:dyDescent="0.3">
      <c r="G23443" s="1"/>
      <c r="N23443" s="1"/>
    </row>
    <row r="23444" spans="7:14" x14ac:dyDescent="0.3">
      <c r="G23444" s="1"/>
      <c r="N23444" s="1"/>
    </row>
    <row r="23445" spans="7:14" x14ac:dyDescent="0.3">
      <c r="G23445" s="1"/>
      <c r="N23445" s="1"/>
    </row>
    <row r="23446" spans="7:14" x14ac:dyDescent="0.3">
      <c r="G23446" s="1"/>
      <c r="N23446" s="1"/>
    </row>
    <row r="23447" spans="7:14" x14ac:dyDescent="0.3">
      <c r="G23447" s="1"/>
      <c r="N23447" s="1"/>
    </row>
    <row r="23448" spans="7:14" x14ac:dyDescent="0.3">
      <c r="G23448" s="1"/>
      <c r="N23448" s="1"/>
    </row>
    <row r="23449" spans="7:14" x14ac:dyDescent="0.3">
      <c r="G23449" s="1"/>
      <c r="N23449" s="1"/>
    </row>
    <row r="23450" spans="7:14" x14ac:dyDescent="0.3">
      <c r="G23450" s="1"/>
      <c r="N23450" s="1"/>
    </row>
    <row r="23451" spans="7:14" x14ac:dyDescent="0.3">
      <c r="G23451" s="1"/>
      <c r="N23451" s="1"/>
    </row>
    <row r="23452" spans="7:14" x14ac:dyDescent="0.3">
      <c r="G23452" s="1"/>
      <c r="N23452" s="1"/>
    </row>
    <row r="23453" spans="7:14" x14ac:dyDescent="0.3">
      <c r="G23453" s="1"/>
      <c r="N23453" s="1"/>
    </row>
    <row r="23454" spans="7:14" x14ac:dyDescent="0.3">
      <c r="G23454" s="1"/>
      <c r="N23454" s="1"/>
    </row>
    <row r="23455" spans="7:14" x14ac:dyDescent="0.3">
      <c r="G23455" s="1"/>
      <c r="N23455" s="1"/>
    </row>
    <row r="23456" spans="7:14" x14ac:dyDescent="0.3">
      <c r="G23456" s="1"/>
      <c r="N23456" s="1"/>
    </row>
    <row r="23457" spans="7:14" x14ac:dyDescent="0.3">
      <c r="G23457" s="1"/>
      <c r="N23457" s="1"/>
    </row>
    <row r="23458" spans="7:14" x14ac:dyDescent="0.3">
      <c r="G23458" s="1"/>
      <c r="N23458" s="1"/>
    </row>
    <row r="23459" spans="7:14" x14ac:dyDescent="0.3">
      <c r="G23459" s="1"/>
      <c r="N23459" s="1"/>
    </row>
    <row r="23460" spans="7:14" x14ac:dyDescent="0.3">
      <c r="G23460" s="1"/>
      <c r="N23460" s="1"/>
    </row>
    <row r="23461" spans="7:14" x14ac:dyDescent="0.3">
      <c r="G23461" s="1"/>
      <c r="N23461" s="1"/>
    </row>
    <row r="23462" spans="7:14" x14ac:dyDescent="0.3">
      <c r="G23462" s="1"/>
      <c r="N23462" s="1"/>
    </row>
    <row r="23463" spans="7:14" x14ac:dyDescent="0.3">
      <c r="G23463" s="1"/>
      <c r="N23463" s="1"/>
    </row>
    <row r="23464" spans="7:14" x14ac:dyDescent="0.3">
      <c r="G23464" s="1"/>
      <c r="N23464" s="1"/>
    </row>
    <row r="23465" spans="7:14" x14ac:dyDescent="0.3">
      <c r="G23465" s="1"/>
      <c r="N23465" s="1"/>
    </row>
    <row r="23466" spans="7:14" x14ac:dyDescent="0.3">
      <c r="G23466" s="1"/>
      <c r="N23466" s="1"/>
    </row>
    <row r="23467" spans="7:14" x14ac:dyDescent="0.3">
      <c r="G23467" s="1"/>
      <c r="N23467" s="1"/>
    </row>
    <row r="23468" spans="7:14" x14ac:dyDescent="0.3">
      <c r="G23468" s="1"/>
      <c r="N23468" s="1"/>
    </row>
    <row r="23469" spans="7:14" x14ac:dyDescent="0.3">
      <c r="G23469" s="1"/>
      <c r="N23469" s="1"/>
    </row>
    <row r="23470" spans="7:14" x14ac:dyDescent="0.3">
      <c r="G23470" s="1"/>
      <c r="N23470" s="1"/>
    </row>
    <row r="23471" spans="7:14" x14ac:dyDescent="0.3">
      <c r="G23471" s="1"/>
      <c r="N23471" s="1"/>
    </row>
    <row r="23472" spans="7:14" x14ac:dyDescent="0.3">
      <c r="G23472" s="1"/>
      <c r="N23472" s="1"/>
    </row>
    <row r="23473" spans="7:14" x14ac:dyDescent="0.3">
      <c r="G23473" s="1"/>
      <c r="N23473" s="1"/>
    </row>
    <row r="23474" spans="7:14" x14ac:dyDescent="0.3">
      <c r="G23474" s="1"/>
      <c r="N23474" s="1"/>
    </row>
    <row r="23475" spans="7:14" x14ac:dyDescent="0.3">
      <c r="G23475" s="1"/>
      <c r="N23475" s="1"/>
    </row>
    <row r="23476" spans="7:14" x14ac:dyDescent="0.3">
      <c r="G23476" s="1"/>
      <c r="N23476" s="1"/>
    </row>
    <row r="23477" spans="7:14" x14ac:dyDescent="0.3">
      <c r="G23477" s="1"/>
      <c r="N23477" s="1"/>
    </row>
    <row r="23478" spans="7:14" x14ac:dyDescent="0.3">
      <c r="G23478" s="1"/>
      <c r="N23478" s="1"/>
    </row>
    <row r="23479" spans="7:14" x14ac:dyDescent="0.3">
      <c r="G23479" s="1"/>
      <c r="N23479" s="1"/>
    </row>
    <row r="23480" spans="7:14" x14ac:dyDescent="0.3">
      <c r="G23480" s="1"/>
      <c r="N23480" s="1"/>
    </row>
    <row r="23481" spans="7:14" x14ac:dyDescent="0.3">
      <c r="G23481" s="1"/>
      <c r="N23481" s="1"/>
    </row>
    <row r="23482" spans="7:14" x14ac:dyDescent="0.3">
      <c r="G23482" s="1"/>
      <c r="N23482" s="1"/>
    </row>
    <row r="23483" spans="7:14" x14ac:dyDescent="0.3">
      <c r="G23483" s="1"/>
      <c r="N23483" s="1"/>
    </row>
    <row r="23484" spans="7:14" x14ac:dyDescent="0.3">
      <c r="G23484" s="1"/>
      <c r="N23484" s="1"/>
    </row>
    <row r="23485" spans="7:14" x14ac:dyDescent="0.3">
      <c r="G23485" s="1"/>
      <c r="N23485" s="1"/>
    </row>
    <row r="23486" spans="7:14" x14ac:dyDescent="0.3">
      <c r="G23486" s="1"/>
      <c r="N23486" s="1"/>
    </row>
    <row r="23487" spans="7:14" x14ac:dyDescent="0.3">
      <c r="G23487" s="1"/>
      <c r="N23487" s="1"/>
    </row>
    <row r="23488" spans="7:14" x14ac:dyDescent="0.3">
      <c r="G23488" s="1"/>
      <c r="N23488" s="1"/>
    </row>
    <row r="23489" spans="7:14" x14ac:dyDescent="0.3">
      <c r="G23489" s="1"/>
      <c r="N23489" s="1"/>
    </row>
    <row r="23490" spans="7:14" x14ac:dyDescent="0.3">
      <c r="G23490" s="1"/>
      <c r="N23490" s="1"/>
    </row>
    <row r="23491" spans="7:14" x14ac:dyDescent="0.3">
      <c r="G23491" s="1"/>
      <c r="N23491" s="1"/>
    </row>
    <row r="23492" spans="7:14" x14ac:dyDescent="0.3">
      <c r="G23492" s="1"/>
      <c r="N23492" s="1"/>
    </row>
    <row r="23493" spans="7:14" x14ac:dyDescent="0.3">
      <c r="G23493" s="1"/>
      <c r="N23493" s="1"/>
    </row>
    <row r="23494" spans="7:14" x14ac:dyDescent="0.3">
      <c r="G23494" s="1"/>
      <c r="N23494" s="1"/>
    </row>
    <row r="23495" spans="7:14" x14ac:dyDescent="0.3">
      <c r="G23495" s="1"/>
      <c r="N23495" s="1"/>
    </row>
    <row r="23496" spans="7:14" x14ac:dyDescent="0.3">
      <c r="G23496" s="1"/>
      <c r="N23496" s="1"/>
    </row>
    <row r="23497" spans="7:14" x14ac:dyDescent="0.3">
      <c r="G23497" s="1"/>
      <c r="N23497" s="1"/>
    </row>
    <row r="23498" spans="7:14" x14ac:dyDescent="0.3">
      <c r="G23498" s="1"/>
      <c r="N23498" s="1"/>
    </row>
    <row r="23499" spans="7:14" x14ac:dyDescent="0.3">
      <c r="G23499" s="1"/>
      <c r="N23499" s="1"/>
    </row>
    <row r="23500" spans="7:14" x14ac:dyDescent="0.3">
      <c r="G23500" s="1"/>
      <c r="N23500" s="1"/>
    </row>
    <row r="23501" spans="7:14" x14ac:dyDescent="0.3">
      <c r="G23501" s="1"/>
      <c r="N23501" s="1"/>
    </row>
    <row r="23502" spans="7:14" x14ac:dyDescent="0.3">
      <c r="G23502" s="1"/>
      <c r="N23502" s="1"/>
    </row>
    <row r="23503" spans="7:14" x14ac:dyDescent="0.3">
      <c r="G23503" s="1"/>
      <c r="N23503" s="1"/>
    </row>
    <row r="23504" spans="7:14" x14ac:dyDescent="0.3">
      <c r="G23504" s="1"/>
      <c r="N23504" s="1"/>
    </row>
    <row r="23505" spans="7:14" x14ac:dyDescent="0.3">
      <c r="G23505" s="1"/>
      <c r="N23505" s="1"/>
    </row>
    <row r="23506" spans="7:14" x14ac:dyDescent="0.3">
      <c r="G23506" s="1"/>
      <c r="N23506" s="1"/>
    </row>
    <row r="23507" spans="7:14" x14ac:dyDescent="0.3">
      <c r="G23507" s="1"/>
      <c r="N23507" s="1"/>
    </row>
    <row r="23508" spans="7:14" x14ac:dyDescent="0.3">
      <c r="G23508" s="1"/>
      <c r="N23508" s="1"/>
    </row>
    <row r="23509" spans="7:14" x14ac:dyDescent="0.3">
      <c r="G23509" s="1"/>
      <c r="N23509" s="1"/>
    </row>
    <row r="23510" spans="7:14" x14ac:dyDescent="0.3">
      <c r="G23510" s="1"/>
      <c r="N23510" s="1"/>
    </row>
    <row r="23511" spans="7:14" x14ac:dyDescent="0.3">
      <c r="G23511" s="1"/>
      <c r="N23511" s="1"/>
    </row>
    <row r="23512" spans="7:14" x14ac:dyDescent="0.3">
      <c r="G23512" s="1"/>
      <c r="N23512" s="1"/>
    </row>
    <row r="23513" spans="7:14" x14ac:dyDescent="0.3">
      <c r="G23513" s="1"/>
      <c r="N23513" s="1"/>
    </row>
    <row r="23514" spans="7:14" x14ac:dyDescent="0.3">
      <c r="G23514" s="1"/>
      <c r="N23514" s="1"/>
    </row>
    <row r="23515" spans="7:14" x14ac:dyDescent="0.3">
      <c r="G23515" s="1"/>
      <c r="N23515" s="1"/>
    </row>
    <row r="23516" spans="7:14" x14ac:dyDescent="0.3">
      <c r="G23516" s="1"/>
      <c r="N23516" s="1"/>
    </row>
    <row r="23517" spans="7:14" x14ac:dyDescent="0.3">
      <c r="G23517" s="1"/>
      <c r="N23517" s="1"/>
    </row>
    <row r="23518" spans="7:14" x14ac:dyDescent="0.3">
      <c r="G23518" s="1"/>
      <c r="N23518" s="1"/>
    </row>
    <row r="23519" spans="7:14" x14ac:dyDescent="0.3">
      <c r="G23519" s="1"/>
      <c r="N23519" s="1"/>
    </row>
    <row r="23520" spans="7:14" x14ac:dyDescent="0.3">
      <c r="G23520" s="1"/>
      <c r="N23520" s="1"/>
    </row>
    <row r="23521" spans="7:14" x14ac:dyDescent="0.3">
      <c r="G23521" s="1"/>
      <c r="N23521" s="1"/>
    </row>
    <row r="23522" spans="7:14" x14ac:dyDescent="0.3">
      <c r="G23522" s="1"/>
      <c r="N23522" s="1"/>
    </row>
    <row r="23523" spans="7:14" x14ac:dyDescent="0.3">
      <c r="G23523" s="1"/>
      <c r="N23523" s="1"/>
    </row>
    <row r="23524" spans="7:14" x14ac:dyDescent="0.3">
      <c r="G23524" s="1"/>
      <c r="N23524" s="1"/>
    </row>
    <row r="23525" spans="7:14" x14ac:dyDescent="0.3">
      <c r="G23525" s="1"/>
      <c r="N23525" s="1"/>
    </row>
    <row r="23526" spans="7:14" x14ac:dyDescent="0.3">
      <c r="G23526" s="1"/>
      <c r="N23526" s="1"/>
    </row>
    <row r="23527" spans="7:14" x14ac:dyDescent="0.3">
      <c r="G23527" s="1"/>
      <c r="N23527" s="1"/>
    </row>
    <row r="23528" spans="7:14" x14ac:dyDescent="0.3">
      <c r="G23528" s="1"/>
      <c r="N23528" s="1"/>
    </row>
    <row r="23529" spans="7:14" x14ac:dyDescent="0.3">
      <c r="G23529" s="1"/>
      <c r="N23529" s="1"/>
    </row>
    <row r="23530" spans="7:14" x14ac:dyDescent="0.3">
      <c r="G23530" s="1"/>
      <c r="N23530" s="1"/>
    </row>
    <row r="23531" spans="7:14" x14ac:dyDescent="0.3">
      <c r="G23531" s="1"/>
      <c r="N23531" s="1"/>
    </row>
    <row r="23532" spans="7:14" x14ac:dyDescent="0.3">
      <c r="G23532" s="1"/>
      <c r="N23532" s="1"/>
    </row>
    <row r="23533" spans="7:14" x14ac:dyDescent="0.3">
      <c r="G23533" s="1"/>
      <c r="N23533" s="1"/>
    </row>
    <row r="23534" spans="7:14" x14ac:dyDescent="0.3">
      <c r="G23534" s="1"/>
      <c r="N23534" s="1"/>
    </row>
    <row r="23535" spans="7:14" x14ac:dyDescent="0.3">
      <c r="G23535" s="1"/>
      <c r="N23535" s="1"/>
    </row>
    <row r="23536" spans="7:14" x14ac:dyDescent="0.3">
      <c r="G23536" s="1"/>
      <c r="N23536" s="1"/>
    </row>
    <row r="23537" spans="7:14" x14ac:dyDescent="0.3">
      <c r="G23537" s="1"/>
      <c r="N23537" s="1"/>
    </row>
    <row r="23538" spans="7:14" x14ac:dyDescent="0.3">
      <c r="G23538" s="1"/>
      <c r="N23538" s="1"/>
    </row>
    <row r="23539" spans="7:14" x14ac:dyDescent="0.3">
      <c r="G23539" s="1"/>
      <c r="N23539" s="1"/>
    </row>
    <row r="23540" spans="7:14" x14ac:dyDescent="0.3">
      <c r="G23540" s="1"/>
      <c r="N23540" s="1"/>
    </row>
    <row r="23541" spans="7:14" x14ac:dyDescent="0.3">
      <c r="G23541" s="1"/>
      <c r="N23541" s="1"/>
    </row>
    <row r="23542" spans="7:14" x14ac:dyDescent="0.3">
      <c r="G23542" s="1"/>
      <c r="N23542" s="1"/>
    </row>
    <row r="23543" spans="7:14" x14ac:dyDescent="0.3">
      <c r="G23543" s="1"/>
      <c r="N23543" s="1"/>
    </row>
    <row r="23544" spans="7:14" x14ac:dyDescent="0.3">
      <c r="G23544" s="1"/>
      <c r="N23544" s="1"/>
    </row>
    <row r="23545" spans="7:14" x14ac:dyDescent="0.3">
      <c r="G23545" s="1"/>
      <c r="N23545" s="1"/>
    </row>
    <row r="23546" spans="7:14" x14ac:dyDescent="0.3">
      <c r="G23546" s="1"/>
      <c r="N23546" s="1"/>
    </row>
    <row r="23547" spans="7:14" x14ac:dyDescent="0.3">
      <c r="G23547" s="1"/>
      <c r="N23547" s="1"/>
    </row>
    <row r="23548" spans="7:14" x14ac:dyDescent="0.3">
      <c r="G23548" s="1"/>
      <c r="N23548" s="1"/>
    </row>
    <row r="23549" spans="7:14" x14ac:dyDescent="0.3">
      <c r="G23549" s="1"/>
      <c r="N23549" s="1"/>
    </row>
    <row r="23550" spans="7:14" x14ac:dyDescent="0.3">
      <c r="G23550" s="1"/>
      <c r="N23550" s="1"/>
    </row>
    <row r="23551" spans="7:14" x14ac:dyDescent="0.3">
      <c r="G23551" s="1"/>
      <c r="N23551" s="1"/>
    </row>
    <row r="23552" spans="7:14" x14ac:dyDescent="0.3">
      <c r="G23552" s="1"/>
      <c r="N23552" s="1"/>
    </row>
    <row r="23553" spans="7:14" x14ac:dyDescent="0.3">
      <c r="G23553" s="1"/>
      <c r="N23553" s="1"/>
    </row>
    <row r="23554" spans="7:14" x14ac:dyDescent="0.3">
      <c r="G23554" s="1"/>
      <c r="N23554" s="1"/>
    </row>
    <row r="23555" spans="7:14" x14ac:dyDescent="0.3">
      <c r="G23555" s="1"/>
      <c r="N23555" s="1"/>
    </row>
    <row r="23556" spans="7:14" x14ac:dyDescent="0.3">
      <c r="G23556" s="1"/>
      <c r="N23556" s="1"/>
    </row>
    <row r="23557" spans="7:14" x14ac:dyDescent="0.3">
      <c r="G23557" s="1"/>
      <c r="N23557" s="1"/>
    </row>
    <row r="23558" spans="7:14" x14ac:dyDescent="0.3">
      <c r="G23558" s="1"/>
      <c r="N23558" s="1"/>
    </row>
    <row r="23559" spans="7:14" x14ac:dyDescent="0.3">
      <c r="G23559" s="1"/>
      <c r="N23559" s="1"/>
    </row>
    <row r="23560" spans="7:14" x14ac:dyDescent="0.3">
      <c r="G23560" s="1"/>
      <c r="N23560" s="1"/>
    </row>
    <row r="23561" spans="7:14" x14ac:dyDescent="0.3">
      <c r="G23561" s="1"/>
      <c r="N23561" s="1"/>
    </row>
    <row r="23562" spans="7:14" x14ac:dyDescent="0.3">
      <c r="G23562" s="1"/>
      <c r="N23562" s="1"/>
    </row>
    <row r="23563" spans="7:14" x14ac:dyDescent="0.3">
      <c r="G23563" s="1"/>
      <c r="N23563" s="1"/>
    </row>
    <row r="23564" spans="7:14" x14ac:dyDescent="0.3">
      <c r="G23564" s="1"/>
      <c r="N23564" s="1"/>
    </row>
    <row r="23565" spans="7:14" x14ac:dyDescent="0.3">
      <c r="G23565" s="1"/>
      <c r="N23565" s="1"/>
    </row>
    <row r="23566" spans="7:14" x14ac:dyDescent="0.3">
      <c r="G23566" s="1"/>
      <c r="N23566" s="1"/>
    </row>
    <row r="23567" spans="7:14" x14ac:dyDescent="0.3">
      <c r="G23567" s="1"/>
      <c r="N23567" s="1"/>
    </row>
    <row r="23568" spans="7:14" x14ac:dyDescent="0.3">
      <c r="G23568" s="1"/>
      <c r="N23568" s="1"/>
    </row>
    <row r="23569" spans="7:14" x14ac:dyDescent="0.3">
      <c r="G23569" s="1"/>
      <c r="N23569" s="1"/>
    </row>
    <row r="23570" spans="7:14" x14ac:dyDescent="0.3">
      <c r="G23570" s="1"/>
      <c r="N23570" s="1"/>
    </row>
    <row r="23571" spans="7:14" x14ac:dyDescent="0.3">
      <c r="G23571" s="1"/>
      <c r="N23571" s="1"/>
    </row>
    <row r="23572" spans="7:14" x14ac:dyDescent="0.3">
      <c r="G23572" s="1"/>
      <c r="N23572" s="1"/>
    </row>
    <row r="23573" spans="7:14" x14ac:dyDescent="0.3">
      <c r="G23573" s="1"/>
      <c r="N23573" s="1"/>
    </row>
    <row r="23574" spans="7:14" x14ac:dyDescent="0.3">
      <c r="G23574" s="1"/>
      <c r="N23574" s="1"/>
    </row>
    <row r="23575" spans="7:14" x14ac:dyDescent="0.3">
      <c r="G23575" s="1"/>
      <c r="N23575" s="1"/>
    </row>
    <row r="23576" spans="7:14" x14ac:dyDescent="0.3">
      <c r="G23576" s="1"/>
      <c r="N23576" s="1"/>
    </row>
    <row r="23577" spans="7:14" x14ac:dyDescent="0.3">
      <c r="G23577" s="1"/>
      <c r="N23577" s="1"/>
    </row>
    <row r="23578" spans="7:14" x14ac:dyDescent="0.3">
      <c r="G23578" s="1"/>
      <c r="N23578" s="1"/>
    </row>
    <row r="23579" spans="7:14" x14ac:dyDescent="0.3">
      <c r="G23579" s="1"/>
      <c r="N23579" s="1"/>
    </row>
    <row r="23580" spans="7:14" x14ac:dyDescent="0.3">
      <c r="G23580" s="1"/>
      <c r="N23580" s="1"/>
    </row>
    <row r="23581" spans="7:14" x14ac:dyDescent="0.3">
      <c r="G23581" s="1"/>
      <c r="N23581" s="1"/>
    </row>
    <row r="23582" spans="7:14" x14ac:dyDescent="0.3">
      <c r="G23582" s="1"/>
      <c r="N23582" s="1"/>
    </row>
    <row r="23583" spans="7:14" x14ac:dyDescent="0.3">
      <c r="G23583" s="1"/>
      <c r="N23583" s="1"/>
    </row>
    <row r="23584" spans="7:14" x14ac:dyDescent="0.3">
      <c r="G23584" s="1"/>
      <c r="N23584" s="1"/>
    </row>
    <row r="23585" spans="7:14" x14ac:dyDescent="0.3">
      <c r="G23585" s="1"/>
      <c r="N23585" s="1"/>
    </row>
    <row r="23586" spans="7:14" x14ac:dyDescent="0.3">
      <c r="G23586" s="1"/>
      <c r="N23586" s="1"/>
    </row>
    <row r="23587" spans="7:14" x14ac:dyDescent="0.3">
      <c r="G23587" s="1"/>
      <c r="N23587" s="1"/>
    </row>
    <row r="23588" spans="7:14" x14ac:dyDescent="0.3">
      <c r="G23588" s="1"/>
      <c r="N23588" s="1"/>
    </row>
    <row r="23589" spans="7:14" x14ac:dyDescent="0.3">
      <c r="G23589" s="1"/>
      <c r="N23589" s="1"/>
    </row>
    <row r="23590" spans="7:14" x14ac:dyDescent="0.3">
      <c r="G23590" s="1"/>
      <c r="N23590" s="1"/>
    </row>
    <row r="23591" spans="7:14" x14ac:dyDescent="0.3">
      <c r="G23591" s="1"/>
      <c r="N23591" s="1"/>
    </row>
    <row r="23592" spans="7:14" x14ac:dyDescent="0.3">
      <c r="G23592" s="1"/>
      <c r="N23592" s="1"/>
    </row>
    <row r="23593" spans="7:14" x14ac:dyDescent="0.3">
      <c r="G23593" s="1"/>
      <c r="N23593" s="1"/>
    </row>
    <row r="23594" spans="7:14" x14ac:dyDescent="0.3">
      <c r="G23594" s="1"/>
      <c r="N23594" s="1"/>
    </row>
    <row r="23595" spans="7:14" x14ac:dyDescent="0.3">
      <c r="G23595" s="1"/>
      <c r="N23595" s="1"/>
    </row>
    <row r="23596" spans="7:14" x14ac:dyDescent="0.3">
      <c r="G23596" s="1"/>
      <c r="N23596" s="1"/>
    </row>
    <row r="23597" spans="7:14" x14ac:dyDescent="0.3">
      <c r="G23597" s="1"/>
      <c r="N23597" s="1"/>
    </row>
    <row r="23598" spans="7:14" x14ac:dyDescent="0.3">
      <c r="G23598" s="1"/>
      <c r="N23598" s="1"/>
    </row>
    <row r="23599" spans="7:14" x14ac:dyDescent="0.3">
      <c r="G23599" s="1"/>
      <c r="N23599" s="1"/>
    </row>
    <row r="23600" spans="7:14" x14ac:dyDescent="0.3">
      <c r="G23600" s="1"/>
      <c r="N23600" s="1"/>
    </row>
    <row r="23601" spans="7:14" x14ac:dyDescent="0.3">
      <c r="G23601" s="1"/>
      <c r="N23601" s="1"/>
    </row>
    <row r="23602" spans="7:14" x14ac:dyDescent="0.3">
      <c r="G23602" s="1"/>
      <c r="N23602" s="1"/>
    </row>
    <row r="23603" spans="7:14" x14ac:dyDescent="0.3">
      <c r="G23603" s="1"/>
      <c r="N23603" s="1"/>
    </row>
    <row r="23604" spans="7:14" x14ac:dyDescent="0.3">
      <c r="G23604" s="1"/>
      <c r="N23604" s="1"/>
    </row>
    <row r="23605" spans="7:14" x14ac:dyDescent="0.3">
      <c r="G23605" s="1"/>
      <c r="N23605" s="1"/>
    </row>
    <row r="23606" spans="7:14" x14ac:dyDescent="0.3">
      <c r="G23606" s="1"/>
      <c r="N23606" s="1"/>
    </row>
    <row r="23607" spans="7:14" x14ac:dyDescent="0.3">
      <c r="G23607" s="1"/>
      <c r="N23607" s="1"/>
    </row>
    <row r="23608" spans="7:14" x14ac:dyDescent="0.3">
      <c r="G23608" s="1"/>
      <c r="N23608" s="1"/>
    </row>
    <row r="23609" spans="7:14" x14ac:dyDescent="0.3">
      <c r="G23609" s="1"/>
      <c r="N23609" s="1"/>
    </row>
    <row r="23610" spans="7:14" x14ac:dyDescent="0.3">
      <c r="G23610" s="1"/>
      <c r="N23610" s="1"/>
    </row>
    <row r="23611" spans="7:14" x14ac:dyDescent="0.3">
      <c r="G23611" s="1"/>
      <c r="N23611" s="1"/>
    </row>
    <row r="23612" spans="7:14" x14ac:dyDescent="0.3">
      <c r="G23612" s="1"/>
      <c r="N23612" s="1"/>
    </row>
    <row r="23613" spans="7:14" x14ac:dyDescent="0.3">
      <c r="G23613" s="1"/>
      <c r="N23613" s="1"/>
    </row>
    <row r="23614" spans="7:14" x14ac:dyDescent="0.3">
      <c r="G23614" s="1"/>
      <c r="N23614" s="1"/>
    </row>
    <row r="23615" spans="7:14" x14ac:dyDescent="0.3">
      <c r="G23615" s="1"/>
      <c r="N23615" s="1"/>
    </row>
    <row r="23616" spans="7:14" x14ac:dyDescent="0.3">
      <c r="G23616" s="1"/>
      <c r="N23616" s="1"/>
    </row>
    <row r="23617" spans="7:14" x14ac:dyDescent="0.3">
      <c r="G23617" s="1"/>
      <c r="N23617" s="1"/>
    </row>
    <row r="23618" spans="7:14" x14ac:dyDescent="0.3">
      <c r="G23618" s="1"/>
      <c r="N23618" s="1"/>
    </row>
    <row r="23619" spans="7:14" x14ac:dyDescent="0.3">
      <c r="G23619" s="1"/>
      <c r="N23619" s="1"/>
    </row>
    <row r="23620" spans="7:14" x14ac:dyDescent="0.3">
      <c r="G23620" s="1"/>
      <c r="N23620" s="1"/>
    </row>
    <row r="23621" spans="7:14" x14ac:dyDescent="0.3">
      <c r="G23621" s="1"/>
      <c r="N23621" s="1"/>
    </row>
    <row r="23622" spans="7:14" x14ac:dyDescent="0.3">
      <c r="G23622" s="1"/>
      <c r="N23622" s="1"/>
    </row>
    <row r="23623" spans="7:14" x14ac:dyDescent="0.3">
      <c r="G23623" s="1"/>
      <c r="N23623" s="1"/>
    </row>
    <row r="23624" spans="7:14" x14ac:dyDescent="0.3">
      <c r="G23624" s="1"/>
      <c r="N23624" s="1"/>
    </row>
    <row r="23625" spans="7:14" x14ac:dyDescent="0.3">
      <c r="G23625" s="1"/>
      <c r="N23625" s="1"/>
    </row>
    <row r="23626" spans="7:14" x14ac:dyDescent="0.3">
      <c r="G23626" s="1"/>
      <c r="N23626" s="1"/>
    </row>
    <row r="23627" spans="7:14" x14ac:dyDescent="0.3">
      <c r="G23627" s="1"/>
      <c r="N23627" s="1"/>
    </row>
    <row r="23628" spans="7:14" x14ac:dyDescent="0.3">
      <c r="G23628" s="1"/>
      <c r="N23628" s="1"/>
    </row>
    <row r="23629" spans="7:14" x14ac:dyDescent="0.3">
      <c r="G23629" s="1"/>
      <c r="N23629" s="1"/>
    </row>
    <row r="23630" spans="7:14" x14ac:dyDescent="0.3">
      <c r="G23630" s="1"/>
      <c r="N23630" s="1"/>
    </row>
    <row r="23631" spans="7:14" x14ac:dyDescent="0.3">
      <c r="G23631" s="1"/>
      <c r="N23631" s="1"/>
    </row>
    <row r="23632" spans="7:14" x14ac:dyDescent="0.3">
      <c r="G23632" s="1"/>
      <c r="N23632" s="1"/>
    </row>
    <row r="23633" spans="7:14" x14ac:dyDescent="0.3">
      <c r="G23633" s="1"/>
      <c r="N23633" s="1"/>
    </row>
    <row r="23634" spans="7:14" x14ac:dyDescent="0.3">
      <c r="G23634" s="1"/>
      <c r="N23634" s="1"/>
    </row>
    <row r="23635" spans="7:14" x14ac:dyDescent="0.3">
      <c r="G23635" s="1"/>
      <c r="N23635" s="1"/>
    </row>
    <row r="23636" spans="7:14" x14ac:dyDescent="0.3">
      <c r="G23636" s="1"/>
      <c r="N23636" s="1"/>
    </row>
    <row r="23637" spans="7:14" x14ac:dyDescent="0.3">
      <c r="G23637" s="1"/>
      <c r="N23637" s="1"/>
    </row>
    <row r="23638" spans="7:14" x14ac:dyDescent="0.3">
      <c r="G23638" s="1"/>
      <c r="N23638" s="1"/>
    </row>
    <row r="23639" spans="7:14" x14ac:dyDescent="0.3">
      <c r="G23639" s="1"/>
      <c r="N23639" s="1"/>
    </row>
    <row r="23640" spans="7:14" x14ac:dyDescent="0.3">
      <c r="G23640" s="1"/>
      <c r="N23640" s="1"/>
    </row>
    <row r="23641" spans="7:14" x14ac:dyDescent="0.3">
      <c r="G23641" s="1"/>
      <c r="N23641" s="1"/>
    </row>
    <row r="23642" spans="7:14" x14ac:dyDescent="0.3">
      <c r="G23642" s="1"/>
      <c r="N23642" s="1"/>
    </row>
    <row r="23643" spans="7:14" x14ac:dyDescent="0.3">
      <c r="G23643" s="1"/>
      <c r="N23643" s="1"/>
    </row>
    <row r="23644" spans="7:14" x14ac:dyDescent="0.3">
      <c r="G23644" s="1"/>
      <c r="N23644" s="1"/>
    </row>
    <row r="23645" spans="7:14" x14ac:dyDescent="0.3">
      <c r="G23645" s="1"/>
      <c r="N23645" s="1"/>
    </row>
    <row r="23646" spans="7:14" x14ac:dyDescent="0.3">
      <c r="G23646" s="1"/>
      <c r="N23646" s="1"/>
    </row>
    <row r="23647" spans="7:14" x14ac:dyDescent="0.3">
      <c r="G23647" s="1"/>
      <c r="N23647" s="1"/>
    </row>
    <row r="23648" spans="7:14" x14ac:dyDescent="0.3">
      <c r="G23648" s="1"/>
      <c r="N23648" s="1"/>
    </row>
    <row r="23649" spans="7:14" x14ac:dyDescent="0.3">
      <c r="G23649" s="1"/>
      <c r="N23649" s="1"/>
    </row>
    <row r="23650" spans="7:14" x14ac:dyDescent="0.3">
      <c r="G23650" s="1"/>
      <c r="N23650" s="1"/>
    </row>
    <row r="23651" spans="7:14" x14ac:dyDescent="0.3">
      <c r="G23651" s="1"/>
      <c r="N23651" s="1"/>
    </row>
    <row r="23652" spans="7:14" x14ac:dyDescent="0.3">
      <c r="G23652" s="1"/>
      <c r="N23652" s="1"/>
    </row>
    <row r="23653" spans="7:14" x14ac:dyDescent="0.3">
      <c r="G23653" s="1"/>
      <c r="N23653" s="1"/>
    </row>
    <row r="23654" spans="7:14" x14ac:dyDescent="0.3">
      <c r="G23654" s="1"/>
      <c r="N23654" s="1"/>
    </row>
    <row r="23655" spans="7:14" x14ac:dyDescent="0.3">
      <c r="G23655" s="1"/>
      <c r="N23655" s="1"/>
    </row>
    <row r="23656" spans="7:14" x14ac:dyDescent="0.3">
      <c r="G23656" s="1"/>
      <c r="N23656" s="1"/>
    </row>
    <row r="23657" spans="7:14" x14ac:dyDescent="0.3">
      <c r="G23657" s="1"/>
      <c r="N23657" s="1"/>
    </row>
    <row r="23658" spans="7:14" x14ac:dyDescent="0.3">
      <c r="G23658" s="1"/>
      <c r="N23658" s="1"/>
    </row>
    <row r="23659" spans="7:14" x14ac:dyDescent="0.3">
      <c r="G23659" s="1"/>
      <c r="N23659" s="1"/>
    </row>
    <row r="23660" spans="7:14" x14ac:dyDescent="0.3">
      <c r="G23660" s="1"/>
      <c r="N23660" s="1"/>
    </row>
    <row r="23661" spans="7:14" x14ac:dyDescent="0.3">
      <c r="G23661" s="1"/>
      <c r="N23661" s="1"/>
    </row>
    <row r="23662" spans="7:14" x14ac:dyDescent="0.3">
      <c r="G23662" s="1"/>
      <c r="N23662" s="1"/>
    </row>
    <row r="23663" spans="7:14" x14ac:dyDescent="0.3">
      <c r="G23663" s="1"/>
      <c r="N23663" s="1"/>
    </row>
    <row r="23664" spans="7:14" x14ac:dyDescent="0.3">
      <c r="G23664" s="1"/>
      <c r="N23664" s="1"/>
    </row>
    <row r="23665" spans="7:14" x14ac:dyDescent="0.3">
      <c r="G23665" s="1"/>
      <c r="N23665" s="1"/>
    </row>
    <row r="23666" spans="7:14" x14ac:dyDescent="0.3">
      <c r="G23666" s="1"/>
      <c r="N23666" s="1"/>
    </row>
    <row r="23667" spans="7:14" x14ac:dyDescent="0.3">
      <c r="G23667" s="1"/>
      <c r="N23667" s="1"/>
    </row>
    <row r="23668" spans="7:14" x14ac:dyDescent="0.3">
      <c r="G23668" s="1"/>
      <c r="N23668" s="1"/>
    </row>
    <row r="23669" spans="7:14" x14ac:dyDescent="0.3">
      <c r="G23669" s="1"/>
      <c r="N23669" s="1"/>
    </row>
    <row r="23670" spans="7:14" x14ac:dyDescent="0.3">
      <c r="G23670" s="1"/>
      <c r="N23670" s="1"/>
    </row>
    <row r="23671" spans="7:14" x14ac:dyDescent="0.3">
      <c r="G23671" s="1"/>
      <c r="N23671" s="1"/>
    </row>
    <row r="23672" spans="7:14" x14ac:dyDescent="0.3">
      <c r="G23672" s="1"/>
      <c r="N23672" s="1"/>
    </row>
    <row r="23673" spans="7:14" x14ac:dyDescent="0.3">
      <c r="G23673" s="1"/>
      <c r="N23673" s="1"/>
    </row>
    <row r="23674" spans="7:14" x14ac:dyDescent="0.3">
      <c r="G23674" s="1"/>
      <c r="N23674" s="1"/>
    </row>
    <row r="23675" spans="7:14" x14ac:dyDescent="0.3">
      <c r="G23675" s="1"/>
      <c r="N23675" s="1"/>
    </row>
    <row r="23676" spans="7:14" x14ac:dyDescent="0.3">
      <c r="G23676" s="1"/>
      <c r="N23676" s="1"/>
    </row>
    <row r="23677" spans="7:14" x14ac:dyDescent="0.3">
      <c r="G23677" s="1"/>
      <c r="N23677" s="1"/>
    </row>
    <row r="23678" spans="7:14" x14ac:dyDescent="0.3">
      <c r="G23678" s="1"/>
      <c r="N23678" s="1"/>
    </row>
    <row r="23679" spans="7:14" x14ac:dyDescent="0.3">
      <c r="G23679" s="1"/>
      <c r="N23679" s="1"/>
    </row>
    <row r="23680" spans="7:14" x14ac:dyDescent="0.3">
      <c r="G23680" s="1"/>
      <c r="N23680" s="1"/>
    </row>
    <row r="23681" spans="7:14" x14ac:dyDescent="0.3">
      <c r="G23681" s="1"/>
      <c r="N23681" s="1"/>
    </row>
    <row r="23682" spans="7:14" x14ac:dyDescent="0.3">
      <c r="G23682" s="1"/>
      <c r="N23682" s="1"/>
    </row>
    <row r="23683" spans="7:14" x14ac:dyDescent="0.3">
      <c r="G23683" s="1"/>
      <c r="N23683" s="1"/>
    </row>
    <row r="23684" spans="7:14" x14ac:dyDescent="0.3">
      <c r="G23684" s="1"/>
      <c r="N23684" s="1"/>
    </row>
    <row r="23685" spans="7:14" x14ac:dyDescent="0.3">
      <c r="G23685" s="1"/>
      <c r="N23685" s="1"/>
    </row>
    <row r="23686" spans="7:14" x14ac:dyDescent="0.3">
      <c r="G23686" s="1"/>
      <c r="N23686" s="1"/>
    </row>
    <row r="23687" spans="7:14" x14ac:dyDescent="0.3">
      <c r="G23687" s="1"/>
      <c r="N23687" s="1"/>
    </row>
    <row r="23688" spans="7:14" x14ac:dyDescent="0.3">
      <c r="G23688" s="1"/>
      <c r="N23688" s="1"/>
    </row>
    <row r="23689" spans="7:14" x14ac:dyDescent="0.3">
      <c r="G23689" s="1"/>
      <c r="N23689" s="1"/>
    </row>
    <row r="23690" spans="7:14" x14ac:dyDescent="0.3">
      <c r="G23690" s="1"/>
      <c r="N23690" s="1"/>
    </row>
    <row r="23691" spans="7:14" x14ac:dyDescent="0.3">
      <c r="G23691" s="1"/>
      <c r="N23691" s="1"/>
    </row>
    <row r="23692" spans="7:14" x14ac:dyDescent="0.3">
      <c r="G23692" s="1"/>
      <c r="N23692" s="1"/>
    </row>
    <row r="23693" spans="7:14" x14ac:dyDescent="0.3">
      <c r="G23693" s="1"/>
      <c r="N23693" s="1"/>
    </row>
    <row r="23694" spans="7:14" x14ac:dyDescent="0.3">
      <c r="G23694" s="1"/>
      <c r="N23694" s="1"/>
    </row>
    <row r="23695" spans="7:14" x14ac:dyDescent="0.3">
      <c r="G23695" s="1"/>
      <c r="N23695" s="1"/>
    </row>
    <row r="23696" spans="7:14" x14ac:dyDescent="0.3">
      <c r="G23696" s="1"/>
      <c r="N23696" s="1"/>
    </row>
    <row r="23697" spans="7:14" x14ac:dyDescent="0.3">
      <c r="G23697" s="1"/>
      <c r="N23697" s="1"/>
    </row>
    <row r="23698" spans="7:14" x14ac:dyDescent="0.3">
      <c r="G23698" s="1"/>
      <c r="N23698" s="1"/>
    </row>
    <row r="23699" spans="7:14" x14ac:dyDescent="0.3">
      <c r="G23699" s="1"/>
      <c r="N23699" s="1"/>
    </row>
    <row r="23700" spans="7:14" x14ac:dyDescent="0.3">
      <c r="G23700" s="1"/>
      <c r="N23700" s="1"/>
    </row>
    <row r="23701" spans="7:14" x14ac:dyDescent="0.3">
      <c r="G23701" s="1"/>
      <c r="N23701" s="1"/>
    </row>
    <row r="23702" spans="7:14" x14ac:dyDescent="0.3">
      <c r="G23702" s="1"/>
      <c r="N23702" s="1"/>
    </row>
    <row r="23703" spans="7:14" x14ac:dyDescent="0.3">
      <c r="G23703" s="1"/>
      <c r="N23703" s="1"/>
    </row>
    <row r="23704" spans="7:14" x14ac:dyDescent="0.3">
      <c r="G23704" s="1"/>
      <c r="N23704" s="1"/>
    </row>
    <row r="23705" spans="7:14" x14ac:dyDescent="0.3">
      <c r="G23705" s="1"/>
      <c r="N23705" s="1"/>
    </row>
    <row r="23706" spans="7:14" x14ac:dyDescent="0.3">
      <c r="G23706" s="1"/>
      <c r="N23706" s="1"/>
    </row>
    <row r="23707" spans="7:14" x14ac:dyDescent="0.3">
      <c r="G23707" s="1"/>
      <c r="N23707" s="1"/>
    </row>
    <row r="23708" spans="7:14" x14ac:dyDescent="0.3">
      <c r="G23708" s="1"/>
      <c r="N23708" s="1"/>
    </row>
    <row r="23709" spans="7:14" x14ac:dyDescent="0.3">
      <c r="G23709" s="1"/>
      <c r="N23709" s="1"/>
    </row>
    <row r="23710" spans="7:14" x14ac:dyDescent="0.3">
      <c r="G23710" s="1"/>
      <c r="N23710" s="1"/>
    </row>
    <row r="23711" spans="7:14" x14ac:dyDescent="0.3">
      <c r="G23711" s="1"/>
      <c r="N23711" s="1"/>
    </row>
    <row r="23712" spans="7:14" x14ac:dyDescent="0.3">
      <c r="G23712" s="1"/>
      <c r="N23712" s="1"/>
    </row>
    <row r="23713" spans="7:14" x14ac:dyDescent="0.3">
      <c r="G23713" s="1"/>
      <c r="N23713" s="1"/>
    </row>
    <row r="23714" spans="7:14" x14ac:dyDescent="0.3">
      <c r="G23714" s="1"/>
      <c r="N23714" s="1"/>
    </row>
    <row r="23715" spans="7:14" x14ac:dyDescent="0.3">
      <c r="G23715" s="1"/>
      <c r="N23715" s="1"/>
    </row>
    <row r="23716" spans="7:14" x14ac:dyDescent="0.3">
      <c r="G23716" s="1"/>
      <c r="N23716" s="1"/>
    </row>
    <row r="23717" spans="7:14" x14ac:dyDescent="0.3">
      <c r="G23717" s="1"/>
      <c r="N23717" s="1"/>
    </row>
    <row r="23718" spans="7:14" x14ac:dyDescent="0.3">
      <c r="G23718" s="1"/>
      <c r="N23718" s="1"/>
    </row>
    <row r="23719" spans="7:14" x14ac:dyDescent="0.3">
      <c r="G23719" s="1"/>
      <c r="N23719" s="1"/>
    </row>
    <row r="23720" spans="7:14" x14ac:dyDescent="0.3">
      <c r="G23720" s="1"/>
      <c r="N23720" s="1"/>
    </row>
    <row r="23721" spans="7:14" x14ac:dyDescent="0.3">
      <c r="G23721" s="1"/>
      <c r="N23721" s="1"/>
    </row>
    <row r="23722" spans="7:14" x14ac:dyDescent="0.3">
      <c r="G23722" s="1"/>
      <c r="N23722" s="1"/>
    </row>
    <row r="23723" spans="7:14" x14ac:dyDescent="0.3">
      <c r="G23723" s="1"/>
      <c r="N23723" s="1"/>
    </row>
    <row r="23724" spans="7:14" x14ac:dyDescent="0.3">
      <c r="G23724" s="1"/>
      <c r="N23724" s="1"/>
    </row>
    <row r="23725" spans="7:14" x14ac:dyDescent="0.3">
      <c r="G23725" s="1"/>
      <c r="N23725" s="1"/>
    </row>
    <row r="23726" spans="7:14" x14ac:dyDescent="0.3">
      <c r="G23726" s="1"/>
      <c r="N23726" s="1"/>
    </row>
    <row r="23727" spans="7:14" x14ac:dyDescent="0.3">
      <c r="G23727" s="1"/>
      <c r="N23727" s="1"/>
    </row>
    <row r="23728" spans="7:14" x14ac:dyDescent="0.3">
      <c r="G23728" s="1"/>
      <c r="N23728" s="1"/>
    </row>
    <row r="23729" spans="7:14" x14ac:dyDescent="0.3">
      <c r="G23729" s="1"/>
      <c r="N23729" s="1"/>
    </row>
    <row r="23730" spans="7:14" x14ac:dyDescent="0.3">
      <c r="G23730" s="1"/>
      <c r="N23730" s="1"/>
    </row>
    <row r="23731" spans="7:14" x14ac:dyDescent="0.3">
      <c r="G23731" s="1"/>
      <c r="N23731" s="1"/>
    </row>
    <row r="23732" spans="7:14" x14ac:dyDescent="0.3">
      <c r="G23732" s="1"/>
      <c r="N23732" s="1"/>
    </row>
    <row r="23733" spans="7:14" x14ac:dyDescent="0.3">
      <c r="G23733" s="1"/>
      <c r="N23733" s="1"/>
    </row>
    <row r="23734" spans="7:14" x14ac:dyDescent="0.3">
      <c r="G23734" s="1"/>
      <c r="N23734" s="1"/>
    </row>
    <row r="23735" spans="7:14" x14ac:dyDescent="0.3">
      <c r="G23735" s="1"/>
      <c r="N23735" s="1"/>
    </row>
    <row r="23736" spans="7:14" x14ac:dyDescent="0.3">
      <c r="G23736" s="1"/>
      <c r="N23736" s="1"/>
    </row>
    <row r="23737" spans="7:14" x14ac:dyDescent="0.3">
      <c r="G23737" s="1"/>
      <c r="N23737" s="1"/>
    </row>
    <row r="23738" spans="7:14" x14ac:dyDescent="0.3">
      <c r="G23738" s="1"/>
      <c r="N23738" s="1"/>
    </row>
    <row r="23739" spans="7:14" x14ac:dyDescent="0.3">
      <c r="G23739" s="1"/>
      <c r="N23739" s="1"/>
    </row>
    <row r="23740" spans="7:14" x14ac:dyDescent="0.3">
      <c r="G23740" s="1"/>
      <c r="N23740" s="1"/>
    </row>
    <row r="23741" spans="7:14" x14ac:dyDescent="0.3">
      <c r="G23741" s="1"/>
      <c r="N23741" s="1"/>
    </row>
    <row r="23742" spans="7:14" x14ac:dyDescent="0.3">
      <c r="G23742" s="1"/>
      <c r="N23742" s="1"/>
    </row>
    <row r="23743" spans="7:14" x14ac:dyDescent="0.3">
      <c r="G23743" s="1"/>
      <c r="N23743" s="1"/>
    </row>
    <row r="23744" spans="7:14" x14ac:dyDescent="0.3">
      <c r="G23744" s="1"/>
      <c r="N23744" s="1"/>
    </row>
    <row r="23745" spans="7:14" x14ac:dyDescent="0.3">
      <c r="G23745" s="1"/>
      <c r="N23745" s="1"/>
    </row>
    <row r="23746" spans="7:14" x14ac:dyDescent="0.3">
      <c r="G23746" s="1"/>
      <c r="N23746" s="1"/>
    </row>
    <row r="23747" spans="7:14" x14ac:dyDescent="0.3">
      <c r="G23747" s="1"/>
      <c r="N23747" s="1"/>
    </row>
    <row r="23748" spans="7:14" x14ac:dyDescent="0.3">
      <c r="G23748" s="1"/>
      <c r="N23748" s="1"/>
    </row>
    <row r="23749" spans="7:14" x14ac:dyDescent="0.3">
      <c r="G23749" s="1"/>
      <c r="N23749" s="1"/>
    </row>
    <row r="23750" spans="7:14" x14ac:dyDescent="0.3">
      <c r="G23750" s="1"/>
      <c r="N23750" s="1"/>
    </row>
    <row r="23751" spans="7:14" x14ac:dyDescent="0.3">
      <c r="G23751" s="1"/>
      <c r="N23751" s="1"/>
    </row>
    <row r="23752" spans="7:14" x14ac:dyDescent="0.3">
      <c r="G23752" s="1"/>
      <c r="N23752" s="1"/>
    </row>
    <row r="23753" spans="7:14" x14ac:dyDescent="0.3">
      <c r="G23753" s="1"/>
      <c r="N23753" s="1"/>
    </row>
    <row r="23754" spans="7:14" x14ac:dyDescent="0.3">
      <c r="G23754" s="1"/>
      <c r="N23754" s="1"/>
    </row>
    <row r="23755" spans="7:14" x14ac:dyDescent="0.3">
      <c r="G23755" s="1"/>
      <c r="N23755" s="1"/>
    </row>
    <row r="23756" spans="7:14" x14ac:dyDescent="0.3">
      <c r="G23756" s="1"/>
      <c r="N23756" s="1"/>
    </row>
    <row r="23757" spans="7:14" x14ac:dyDescent="0.3">
      <c r="G23757" s="1"/>
      <c r="N23757" s="1"/>
    </row>
    <row r="23758" spans="7:14" x14ac:dyDescent="0.3">
      <c r="G23758" s="1"/>
      <c r="N23758" s="1"/>
    </row>
    <row r="23759" spans="7:14" x14ac:dyDescent="0.3">
      <c r="G23759" s="1"/>
      <c r="N23759" s="1"/>
    </row>
    <row r="23760" spans="7:14" x14ac:dyDescent="0.3">
      <c r="G23760" s="1"/>
      <c r="N23760" s="1"/>
    </row>
    <row r="23761" spans="7:14" x14ac:dyDescent="0.3">
      <c r="G23761" s="1"/>
      <c r="N23761" s="1"/>
    </row>
    <row r="23762" spans="7:14" x14ac:dyDescent="0.3">
      <c r="G23762" s="1"/>
      <c r="N23762" s="1"/>
    </row>
    <row r="23763" spans="7:14" x14ac:dyDescent="0.3">
      <c r="G23763" s="1"/>
      <c r="N23763" s="1"/>
    </row>
    <row r="23764" spans="7:14" x14ac:dyDescent="0.3">
      <c r="G23764" s="1"/>
      <c r="N23764" s="1"/>
    </row>
    <row r="23765" spans="7:14" x14ac:dyDescent="0.3">
      <c r="G23765" s="1"/>
      <c r="N23765" s="1"/>
    </row>
    <row r="23766" spans="7:14" x14ac:dyDescent="0.3">
      <c r="G23766" s="1"/>
      <c r="N23766" s="1"/>
    </row>
    <row r="23767" spans="7:14" x14ac:dyDescent="0.3">
      <c r="G23767" s="1"/>
      <c r="N23767" s="1"/>
    </row>
    <row r="23768" spans="7:14" x14ac:dyDescent="0.3">
      <c r="G23768" s="1"/>
      <c r="N23768" s="1"/>
    </row>
    <row r="23769" spans="7:14" x14ac:dyDescent="0.3">
      <c r="G23769" s="1"/>
      <c r="N23769" s="1"/>
    </row>
    <row r="23770" spans="7:14" x14ac:dyDescent="0.3">
      <c r="G23770" s="1"/>
      <c r="N23770" s="1"/>
    </row>
    <row r="23771" spans="7:14" x14ac:dyDescent="0.3">
      <c r="G23771" s="1"/>
      <c r="N23771" s="1"/>
    </row>
    <row r="23772" spans="7:14" x14ac:dyDescent="0.3">
      <c r="G23772" s="1"/>
      <c r="N23772" s="1"/>
    </row>
    <row r="23773" spans="7:14" x14ac:dyDescent="0.3">
      <c r="G23773" s="1"/>
      <c r="N23773" s="1"/>
    </row>
    <row r="23774" spans="7:14" x14ac:dyDescent="0.3">
      <c r="G23774" s="1"/>
      <c r="N23774" s="1"/>
    </row>
    <row r="23775" spans="7:14" x14ac:dyDescent="0.3">
      <c r="G23775" s="1"/>
      <c r="N23775" s="1"/>
    </row>
    <row r="23776" spans="7:14" x14ac:dyDescent="0.3">
      <c r="G23776" s="1"/>
      <c r="N23776" s="1"/>
    </row>
    <row r="23777" spans="7:14" x14ac:dyDescent="0.3">
      <c r="G23777" s="1"/>
      <c r="N23777" s="1"/>
    </row>
    <row r="23778" spans="7:14" x14ac:dyDescent="0.3">
      <c r="G23778" s="1"/>
      <c r="N23778" s="1"/>
    </row>
    <row r="23779" spans="7:14" x14ac:dyDescent="0.3">
      <c r="G23779" s="1"/>
      <c r="N23779" s="1"/>
    </row>
    <row r="23780" spans="7:14" x14ac:dyDescent="0.3">
      <c r="G23780" s="1"/>
      <c r="N23780" s="1"/>
    </row>
    <row r="23781" spans="7:14" x14ac:dyDescent="0.3">
      <c r="G23781" s="1"/>
      <c r="N23781" s="1"/>
    </row>
    <row r="23782" spans="7:14" x14ac:dyDescent="0.3">
      <c r="G23782" s="1"/>
      <c r="N23782" s="1"/>
    </row>
    <row r="23783" spans="7:14" x14ac:dyDescent="0.3">
      <c r="G23783" s="1"/>
      <c r="N23783" s="1"/>
    </row>
    <row r="23784" spans="7:14" x14ac:dyDescent="0.3">
      <c r="G23784" s="1"/>
      <c r="N23784" s="1"/>
    </row>
    <row r="23785" spans="7:14" x14ac:dyDescent="0.3">
      <c r="G23785" s="1"/>
      <c r="N23785" s="1"/>
    </row>
    <row r="23786" spans="7:14" x14ac:dyDescent="0.3">
      <c r="G23786" s="1"/>
      <c r="N23786" s="1"/>
    </row>
    <row r="23787" spans="7:14" x14ac:dyDescent="0.3">
      <c r="G23787" s="1"/>
      <c r="N23787" s="1"/>
    </row>
    <row r="23788" spans="7:14" x14ac:dyDescent="0.3">
      <c r="G23788" s="1"/>
      <c r="N23788" s="1"/>
    </row>
    <row r="23789" spans="7:14" x14ac:dyDescent="0.3">
      <c r="G23789" s="1"/>
      <c r="N23789" s="1"/>
    </row>
    <row r="23790" spans="7:14" x14ac:dyDescent="0.3">
      <c r="G23790" s="1"/>
      <c r="N23790" s="1"/>
    </row>
    <row r="23791" spans="7:14" x14ac:dyDescent="0.3">
      <c r="G23791" s="1"/>
      <c r="N23791" s="1"/>
    </row>
    <row r="23792" spans="7:14" x14ac:dyDescent="0.3">
      <c r="G23792" s="1"/>
      <c r="N23792" s="1"/>
    </row>
    <row r="23793" spans="7:14" x14ac:dyDescent="0.3">
      <c r="G23793" s="1"/>
      <c r="N23793" s="1"/>
    </row>
    <row r="23794" spans="7:14" x14ac:dyDescent="0.3">
      <c r="G23794" s="1"/>
      <c r="N23794" s="1"/>
    </row>
    <row r="23795" spans="7:14" x14ac:dyDescent="0.3">
      <c r="G23795" s="1"/>
      <c r="N23795" s="1"/>
    </row>
    <row r="23796" spans="7:14" x14ac:dyDescent="0.3">
      <c r="G23796" s="1"/>
      <c r="N23796" s="1"/>
    </row>
    <row r="23797" spans="7:14" x14ac:dyDescent="0.3">
      <c r="G23797" s="1"/>
      <c r="N23797" s="1"/>
    </row>
    <row r="23798" spans="7:14" x14ac:dyDescent="0.3">
      <c r="G23798" s="1"/>
      <c r="N23798" s="1"/>
    </row>
    <row r="23799" spans="7:14" x14ac:dyDescent="0.3">
      <c r="G23799" s="1"/>
      <c r="N23799" s="1"/>
    </row>
    <row r="23800" spans="7:14" x14ac:dyDescent="0.3">
      <c r="G23800" s="1"/>
      <c r="N23800" s="1"/>
    </row>
    <row r="23801" spans="7:14" x14ac:dyDescent="0.3">
      <c r="G23801" s="1"/>
      <c r="N23801" s="1"/>
    </row>
    <row r="23802" spans="7:14" x14ac:dyDescent="0.3">
      <c r="G23802" s="1"/>
      <c r="N23802" s="1"/>
    </row>
    <row r="23803" spans="7:14" x14ac:dyDescent="0.3">
      <c r="G23803" s="1"/>
      <c r="N23803" s="1"/>
    </row>
    <row r="23804" spans="7:14" x14ac:dyDescent="0.3">
      <c r="G23804" s="1"/>
      <c r="N23804" s="1"/>
    </row>
    <row r="23805" spans="7:14" x14ac:dyDescent="0.3">
      <c r="G23805" s="1"/>
      <c r="N23805" s="1"/>
    </row>
    <row r="23806" spans="7:14" x14ac:dyDescent="0.3">
      <c r="G23806" s="1"/>
      <c r="N23806" s="1"/>
    </row>
    <row r="23807" spans="7:14" x14ac:dyDescent="0.3">
      <c r="G23807" s="1"/>
      <c r="N23807" s="1"/>
    </row>
    <row r="23808" spans="7:14" x14ac:dyDescent="0.3">
      <c r="G23808" s="1"/>
      <c r="N23808" s="1"/>
    </row>
    <row r="23809" spans="7:14" x14ac:dyDescent="0.3">
      <c r="G23809" s="1"/>
      <c r="N23809" s="1"/>
    </row>
    <row r="23810" spans="7:14" x14ac:dyDescent="0.3">
      <c r="G23810" s="1"/>
      <c r="N23810" s="1"/>
    </row>
    <row r="23811" spans="7:14" x14ac:dyDescent="0.3">
      <c r="G23811" s="1"/>
      <c r="N23811" s="1"/>
    </row>
    <row r="23812" spans="7:14" x14ac:dyDescent="0.3">
      <c r="G23812" s="1"/>
      <c r="N23812" s="1"/>
    </row>
    <row r="23813" spans="7:14" x14ac:dyDescent="0.3">
      <c r="G23813" s="1"/>
      <c r="N23813" s="1"/>
    </row>
    <row r="23814" spans="7:14" x14ac:dyDescent="0.3">
      <c r="G23814" s="1"/>
      <c r="N23814" s="1"/>
    </row>
    <row r="23815" spans="7:14" x14ac:dyDescent="0.3">
      <c r="G23815" s="1"/>
      <c r="N23815" s="1"/>
    </row>
    <row r="23816" spans="7:14" x14ac:dyDescent="0.3">
      <c r="G23816" s="1"/>
      <c r="N23816" s="1"/>
    </row>
    <row r="23817" spans="7:14" x14ac:dyDescent="0.3">
      <c r="G23817" s="1"/>
      <c r="N23817" s="1"/>
    </row>
    <row r="23818" spans="7:14" x14ac:dyDescent="0.3">
      <c r="G23818" s="1"/>
      <c r="N23818" s="1"/>
    </row>
    <row r="23819" spans="7:14" x14ac:dyDescent="0.3">
      <c r="G23819" s="1"/>
      <c r="N23819" s="1"/>
    </row>
    <row r="23820" spans="7:14" x14ac:dyDescent="0.3">
      <c r="G23820" s="1"/>
      <c r="N23820" s="1"/>
    </row>
    <row r="23821" spans="7:14" x14ac:dyDescent="0.3">
      <c r="G23821" s="1"/>
      <c r="N23821" s="1"/>
    </row>
    <row r="23822" spans="7:14" x14ac:dyDescent="0.3">
      <c r="G23822" s="1"/>
      <c r="N23822" s="1"/>
    </row>
    <row r="23823" spans="7:14" x14ac:dyDescent="0.3">
      <c r="G23823" s="1"/>
      <c r="N23823" s="1"/>
    </row>
    <row r="23824" spans="7:14" x14ac:dyDescent="0.3">
      <c r="G23824" s="1"/>
      <c r="N23824" s="1"/>
    </row>
    <row r="23825" spans="7:14" x14ac:dyDescent="0.3">
      <c r="G23825" s="1"/>
      <c r="N23825" s="1"/>
    </row>
    <row r="23826" spans="7:14" x14ac:dyDescent="0.3">
      <c r="G23826" s="1"/>
      <c r="N23826" s="1"/>
    </row>
    <row r="23827" spans="7:14" x14ac:dyDescent="0.3">
      <c r="G23827" s="1"/>
      <c r="N23827" s="1"/>
    </row>
    <row r="23828" spans="7:14" x14ac:dyDescent="0.3">
      <c r="G23828" s="1"/>
      <c r="N23828" s="1"/>
    </row>
    <row r="23829" spans="7:14" x14ac:dyDescent="0.3">
      <c r="G23829" s="1"/>
      <c r="N23829" s="1"/>
    </row>
    <row r="23830" spans="7:14" x14ac:dyDescent="0.3">
      <c r="G23830" s="1"/>
      <c r="N23830" s="1"/>
    </row>
    <row r="23831" spans="7:14" x14ac:dyDescent="0.3">
      <c r="G23831" s="1"/>
      <c r="N23831" s="1"/>
    </row>
    <row r="23832" spans="7:14" x14ac:dyDescent="0.3">
      <c r="G23832" s="1"/>
      <c r="N23832" s="1"/>
    </row>
    <row r="23833" spans="7:14" x14ac:dyDescent="0.3">
      <c r="G23833" s="1"/>
      <c r="N23833" s="1"/>
    </row>
    <row r="23834" spans="7:14" x14ac:dyDescent="0.3">
      <c r="G23834" s="1"/>
      <c r="N23834" s="1"/>
    </row>
    <row r="23835" spans="7:14" x14ac:dyDescent="0.3">
      <c r="G23835" s="1"/>
      <c r="N23835" s="1"/>
    </row>
    <row r="23836" spans="7:14" x14ac:dyDescent="0.3">
      <c r="G23836" s="1"/>
      <c r="N23836" s="1"/>
    </row>
    <row r="23837" spans="7:14" x14ac:dyDescent="0.3">
      <c r="G23837" s="1"/>
      <c r="N23837" s="1"/>
    </row>
    <row r="23838" spans="7:14" x14ac:dyDescent="0.3">
      <c r="G23838" s="1"/>
      <c r="N23838" s="1"/>
    </row>
    <row r="23839" spans="7:14" x14ac:dyDescent="0.3">
      <c r="G23839" s="1"/>
      <c r="N23839" s="1"/>
    </row>
    <row r="23840" spans="7:14" x14ac:dyDescent="0.3">
      <c r="G23840" s="1"/>
      <c r="N23840" s="1"/>
    </row>
    <row r="23841" spans="7:14" x14ac:dyDescent="0.3">
      <c r="G23841" s="1"/>
      <c r="N23841" s="1"/>
    </row>
    <row r="23842" spans="7:14" x14ac:dyDescent="0.3">
      <c r="G23842" s="1"/>
      <c r="N23842" s="1"/>
    </row>
    <row r="23843" spans="7:14" x14ac:dyDescent="0.3">
      <c r="G23843" s="1"/>
      <c r="N23843" s="1"/>
    </row>
    <row r="23844" spans="7:14" x14ac:dyDescent="0.3">
      <c r="G23844" s="1"/>
      <c r="N23844" s="1"/>
    </row>
    <row r="23845" spans="7:14" x14ac:dyDescent="0.3">
      <c r="G23845" s="1"/>
      <c r="N23845" s="1"/>
    </row>
    <row r="23846" spans="7:14" x14ac:dyDescent="0.3">
      <c r="G23846" s="1"/>
      <c r="N23846" s="1"/>
    </row>
    <row r="23847" spans="7:14" x14ac:dyDescent="0.3">
      <c r="G23847" s="1"/>
      <c r="N23847" s="1"/>
    </row>
    <row r="23848" spans="7:14" x14ac:dyDescent="0.3">
      <c r="G23848" s="1"/>
      <c r="N23848" s="1"/>
    </row>
    <row r="23849" spans="7:14" x14ac:dyDescent="0.3">
      <c r="G23849" s="1"/>
      <c r="N23849" s="1"/>
    </row>
    <row r="23850" spans="7:14" x14ac:dyDescent="0.3">
      <c r="G23850" s="1"/>
      <c r="N23850" s="1"/>
    </row>
    <row r="23851" spans="7:14" x14ac:dyDescent="0.3">
      <c r="G23851" s="1"/>
      <c r="N23851" s="1"/>
    </row>
    <row r="23852" spans="7:14" x14ac:dyDescent="0.3">
      <c r="G23852" s="1"/>
      <c r="N23852" s="1"/>
    </row>
    <row r="23853" spans="7:14" x14ac:dyDescent="0.3">
      <c r="G23853" s="1"/>
      <c r="N23853" s="1"/>
    </row>
    <row r="23854" spans="7:14" x14ac:dyDescent="0.3">
      <c r="G23854" s="1"/>
      <c r="N23854" s="1"/>
    </row>
    <row r="23855" spans="7:14" x14ac:dyDescent="0.3">
      <c r="G23855" s="1"/>
      <c r="N23855" s="1"/>
    </row>
    <row r="23856" spans="7:14" x14ac:dyDescent="0.3">
      <c r="G23856" s="1"/>
      <c r="N23856" s="1"/>
    </row>
    <row r="23857" spans="7:14" x14ac:dyDescent="0.3">
      <c r="G23857" s="1"/>
      <c r="N23857" s="1"/>
    </row>
    <row r="23858" spans="7:14" x14ac:dyDescent="0.3">
      <c r="G23858" s="1"/>
      <c r="N23858" s="1"/>
    </row>
    <row r="23859" spans="7:14" x14ac:dyDescent="0.3">
      <c r="G23859" s="1"/>
      <c r="N23859" s="1"/>
    </row>
    <row r="23860" spans="7:14" x14ac:dyDescent="0.3">
      <c r="G23860" s="1"/>
      <c r="N23860" s="1"/>
    </row>
    <row r="23861" spans="7:14" x14ac:dyDescent="0.3">
      <c r="G23861" s="1"/>
      <c r="N23861" s="1"/>
    </row>
    <row r="23862" spans="7:14" x14ac:dyDescent="0.3">
      <c r="G23862" s="1"/>
      <c r="N23862" s="1"/>
    </row>
    <row r="23863" spans="7:14" x14ac:dyDescent="0.3">
      <c r="G23863" s="1"/>
      <c r="N23863" s="1"/>
    </row>
    <row r="23864" spans="7:14" x14ac:dyDescent="0.3">
      <c r="G23864" s="1"/>
      <c r="N23864" s="1"/>
    </row>
    <row r="23865" spans="7:14" x14ac:dyDescent="0.3">
      <c r="G23865" s="1"/>
      <c r="N23865" s="1"/>
    </row>
    <row r="23866" spans="7:14" x14ac:dyDescent="0.3">
      <c r="G23866" s="1"/>
      <c r="N23866" s="1"/>
    </row>
    <row r="23867" spans="7:14" x14ac:dyDescent="0.3">
      <c r="G23867" s="1"/>
      <c r="N23867" s="1"/>
    </row>
    <row r="23868" spans="7:14" x14ac:dyDescent="0.3">
      <c r="G23868" s="1"/>
      <c r="N23868" s="1"/>
    </row>
    <row r="23869" spans="7:14" x14ac:dyDescent="0.3">
      <c r="G23869" s="1"/>
      <c r="N23869" s="1"/>
    </row>
    <row r="23870" spans="7:14" x14ac:dyDescent="0.3">
      <c r="G23870" s="1"/>
      <c r="N23870" s="1"/>
    </row>
    <row r="23871" spans="7:14" x14ac:dyDescent="0.3">
      <c r="G23871" s="1"/>
      <c r="N23871" s="1"/>
    </row>
    <row r="23872" spans="7:14" x14ac:dyDescent="0.3">
      <c r="G23872" s="1"/>
      <c r="N23872" s="1"/>
    </row>
    <row r="23873" spans="7:14" x14ac:dyDescent="0.3">
      <c r="G23873" s="1"/>
      <c r="N23873" s="1"/>
    </row>
    <row r="23874" spans="7:14" x14ac:dyDescent="0.3">
      <c r="G23874" s="1"/>
      <c r="N23874" s="1"/>
    </row>
    <row r="23875" spans="7:14" x14ac:dyDescent="0.3">
      <c r="G23875" s="1"/>
      <c r="N23875" s="1"/>
    </row>
    <row r="23876" spans="7:14" x14ac:dyDescent="0.3">
      <c r="G23876" s="1"/>
      <c r="N23876" s="1"/>
    </row>
    <row r="23877" spans="7:14" x14ac:dyDescent="0.3">
      <c r="G23877" s="1"/>
      <c r="N23877" s="1"/>
    </row>
    <row r="23878" spans="7:14" x14ac:dyDescent="0.3">
      <c r="G23878" s="1"/>
      <c r="N23878" s="1"/>
    </row>
    <row r="23879" spans="7:14" x14ac:dyDescent="0.3">
      <c r="G23879" s="1"/>
      <c r="N23879" s="1"/>
    </row>
    <row r="23880" spans="7:14" x14ac:dyDescent="0.3">
      <c r="G23880" s="1"/>
      <c r="N23880" s="1"/>
    </row>
    <row r="23881" spans="7:14" x14ac:dyDescent="0.3">
      <c r="G23881" s="1"/>
      <c r="N23881" s="1"/>
    </row>
    <row r="23882" spans="7:14" x14ac:dyDescent="0.3">
      <c r="G23882" s="1"/>
      <c r="N23882" s="1"/>
    </row>
    <row r="23883" spans="7:14" x14ac:dyDescent="0.3">
      <c r="G23883" s="1"/>
      <c r="N23883" s="1"/>
    </row>
    <row r="23884" spans="7:14" x14ac:dyDescent="0.3">
      <c r="G23884" s="1"/>
      <c r="N23884" s="1"/>
    </row>
    <row r="23885" spans="7:14" x14ac:dyDescent="0.3">
      <c r="G23885" s="1"/>
      <c r="N23885" s="1"/>
    </row>
    <row r="23886" spans="7:14" x14ac:dyDescent="0.3">
      <c r="G23886" s="1"/>
      <c r="N23886" s="1"/>
    </row>
    <row r="23887" spans="7:14" x14ac:dyDescent="0.3">
      <c r="G23887" s="1"/>
      <c r="N23887" s="1"/>
    </row>
    <row r="23888" spans="7:14" x14ac:dyDescent="0.3">
      <c r="G23888" s="1"/>
      <c r="N23888" s="1"/>
    </row>
    <row r="23889" spans="7:14" x14ac:dyDescent="0.3">
      <c r="G23889" s="1"/>
      <c r="N23889" s="1"/>
    </row>
    <row r="23890" spans="7:14" x14ac:dyDescent="0.3">
      <c r="G23890" s="1"/>
      <c r="N23890" s="1"/>
    </row>
    <row r="23891" spans="7:14" x14ac:dyDescent="0.3">
      <c r="G23891" s="1"/>
      <c r="N23891" s="1"/>
    </row>
    <row r="23892" spans="7:14" x14ac:dyDescent="0.3">
      <c r="G23892" s="1"/>
      <c r="N23892" s="1"/>
    </row>
    <row r="23893" spans="7:14" x14ac:dyDescent="0.3">
      <c r="G23893" s="1"/>
      <c r="N23893" s="1"/>
    </row>
    <row r="23894" spans="7:14" x14ac:dyDescent="0.3">
      <c r="G23894" s="1"/>
      <c r="N23894" s="1"/>
    </row>
    <row r="23895" spans="7:14" x14ac:dyDescent="0.3">
      <c r="G23895" s="1"/>
      <c r="N23895" s="1"/>
    </row>
    <row r="23896" spans="7:14" x14ac:dyDescent="0.3">
      <c r="G23896" s="1"/>
      <c r="N23896" s="1"/>
    </row>
    <row r="23897" spans="7:14" x14ac:dyDescent="0.3">
      <c r="G23897" s="1"/>
      <c r="N23897" s="1"/>
    </row>
    <row r="23898" spans="7:14" x14ac:dyDescent="0.3">
      <c r="G23898" s="1"/>
      <c r="N23898" s="1"/>
    </row>
    <row r="23899" spans="7:14" x14ac:dyDescent="0.3">
      <c r="G23899" s="1"/>
      <c r="N23899" s="1"/>
    </row>
    <row r="23900" spans="7:14" x14ac:dyDescent="0.3">
      <c r="G23900" s="1"/>
      <c r="N23900" s="1"/>
    </row>
    <row r="23901" spans="7:14" x14ac:dyDescent="0.3">
      <c r="G23901" s="1"/>
      <c r="N23901" s="1"/>
    </row>
    <row r="23902" spans="7:14" x14ac:dyDescent="0.3">
      <c r="G23902" s="1"/>
      <c r="N23902" s="1"/>
    </row>
    <row r="23903" spans="7:14" x14ac:dyDescent="0.3">
      <c r="G23903" s="1"/>
      <c r="N23903" s="1"/>
    </row>
    <row r="23904" spans="7:14" x14ac:dyDescent="0.3">
      <c r="G23904" s="1"/>
      <c r="N23904" s="1"/>
    </row>
    <row r="23905" spans="7:14" x14ac:dyDescent="0.3">
      <c r="G23905" s="1"/>
      <c r="N23905" s="1"/>
    </row>
    <row r="23906" spans="7:14" x14ac:dyDescent="0.3">
      <c r="G23906" s="1"/>
      <c r="N23906" s="1"/>
    </row>
    <row r="23907" spans="7:14" x14ac:dyDescent="0.3">
      <c r="G23907" s="1"/>
      <c r="N23907" s="1"/>
    </row>
    <row r="23908" spans="7:14" x14ac:dyDescent="0.3">
      <c r="G23908" s="1"/>
      <c r="N23908" s="1"/>
    </row>
    <row r="23909" spans="7:14" x14ac:dyDescent="0.3">
      <c r="G23909" s="1"/>
      <c r="N23909" s="1"/>
    </row>
    <row r="23910" spans="7:14" x14ac:dyDescent="0.3">
      <c r="G23910" s="1"/>
      <c r="N23910" s="1"/>
    </row>
    <row r="23911" spans="7:14" x14ac:dyDescent="0.3">
      <c r="G23911" s="1"/>
      <c r="N23911" s="1"/>
    </row>
    <row r="23912" spans="7:14" x14ac:dyDescent="0.3">
      <c r="G23912" s="1"/>
      <c r="N23912" s="1"/>
    </row>
    <row r="23913" spans="7:14" x14ac:dyDescent="0.3">
      <c r="G23913" s="1"/>
      <c r="N23913" s="1"/>
    </row>
    <row r="23914" spans="7:14" x14ac:dyDescent="0.3">
      <c r="G23914" s="1"/>
      <c r="N23914" s="1"/>
    </row>
    <row r="23915" spans="7:14" x14ac:dyDescent="0.3">
      <c r="G23915" s="1"/>
      <c r="N23915" s="1"/>
    </row>
    <row r="23916" spans="7:14" x14ac:dyDescent="0.3">
      <c r="G23916" s="1"/>
      <c r="N23916" s="1"/>
    </row>
    <row r="23917" spans="7:14" x14ac:dyDescent="0.3">
      <c r="G23917" s="1"/>
      <c r="N23917" s="1"/>
    </row>
    <row r="23918" spans="7:14" x14ac:dyDescent="0.3">
      <c r="G23918" s="1"/>
      <c r="N23918" s="1"/>
    </row>
    <row r="23919" spans="7:14" x14ac:dyDescent="0.3">
      <c r="G23919" s="1"/>
      <c r="N23919" s="1"/>
    </row>
    <row r="23920" spans="7:14" x14ac:dyDescent="0.3">
      <c r="G23920" s="1"/>
      <c r="N23920" s="1"/>
    </row>
    <row r="23921" spans="7:14" x14ac:dyDescent="0.3">
      <c r="G23921" s="1"/>
      <c r="N23921" s="1"/>
    </row>
    <row r="23922" spans="7:14" x14ac:dyDescent="0.3">
      <c r="G23922" s="1"/>
      <c r="N23922" s="1"/>
    </row>
    <row r="23923" spans="7:14" x14ac:dyDescent="0.3">
      <c r="G23923" s="1"/>
      <c r="N23923" s="1"/>
    </row>
    <row r="23924" spans="7:14" x14ac:dyDescent="0.3">
      <c r="G23924" s="1"/>
      <c r="N23924" s="1"/>
    </row>
    <row r="23925" spans="7:14" x14ac:dyDescent="0.3">
      <c r="G23925" s="1"/>
      <c r="N23925" s="1"/>
    </row>
    <row r="23926" spans="7:14" x14ac:dyDescent="0.3">
      <c r="G23926" s="1"/>
      <c r="N23926" s="1"/>
    </row>
    <row r="23927" spans="7:14" x14ac:dyDescent="0.3">
      <c r="G23927" s="1"/>
      <c r="N23927" s="1"/>
    </row>
    <row r="23928" spans="7:14" x14ac:dyDescent="0.3">
      <c r="G23928" s="1"/>
      <c r="N23928" s="1"/>
    </row>
    <row r="23929" spans="7:14" x14ac:dyDescent="0.3">
      <c r="G23929" s="1"/>
      <c r="N23929" s="1"/>
    </row>
    <row r="23930" spans="7:14" x14ac:dyDescent="0.3">
      <c r="G23930" s="1"/>
      <c r="N23930" s="1"/>
    </row>
    <row r="23931" spans="7:14" x14ac:dyDescent="0.3">
      <c r="G23931" s="1"/>
      <c r="N23931" s="1"/>
    </row>
    <row r="23932" spans="7:14" x14ac:dyDescent="0.3">
      <c r="G23932" s="1"/>
      <c r="N23932" s="1"/>
    </row>
    <row r="23933" spans="7:14" x14ac:dyDescent="0.3">
      <c r="G23933" s="1"/>
      <c r="N23933" s="1"/>
    </row>
    <row r="23934" spans="7:14" x14ac:dyDescent="0.3">
      <c r="G23934" s="1"/>
      <c r="N23934" s="1"/>
    </row>
    <row r="23935" spans="7:14" x14ac:dyDescent="0.3">
      <c r="G23935" s="1"/>
      <c r="N23935" s="1"/>
    </row>
    <row r="23936" spans="7:14" x14ac:dyDescent="0.3">
      <c r="G23936" s="1"/>
      <c r="N23936" s="1"/>
    </row>
    <row r="23937" spans="7:14" x14ac:dyDescent="0.3">
      <c r="G23937" s="1"/>
      <c r="N23937" s="1"/>
    </row>
    <row r="23938" spans="7:14" x14ac:dyDescent="0.3">
      <c r="G23938" s="1"/>
      <c r="N23938" s="1"/>
    </row>
    <row r="23939" spans="7:14" x14ac:dyDescent="0.3">
      <c r="G23939" s="1"/>
      <c r="N23939" s="1"/>
    </row>
    <row r="23940" spans="7:14" x14ac:dyDescent="0.3">
      <c r="G23940" s="1"/>
      <c r="N23940" s="1"/>
    </row>
    <row r="23941" spans="7:14" x14ac:dyDescent="0.3">
      <c r="G23941" s="1"/>
      <c r="N23941" s="1"/>
    </row>
    <row r="23942" spans="7:14" x14ac:dyDescent="0.3">
      <c r="G23942" s="1"/>
      <c r="N23942" s="1"/>
    </row>
    <row r="23943" spans="7:14" x14ac:dyDescent="0.3">
      <c r="G23943" s="1"/>
      <c r="N23943" s="1"/>
    </row>
    <row r="23944" spans="7:14" x14ac:dyDescent="0.3">
      <c r="G23944" s="1"/>
      <c r="N23944" s="1"/>
    </row>
    <row r="23945" spans="7:14" x14ac:dyDescent="0.3">
      <c r="G23945" s="1"/>
      <c r="N23945" s="1"/>
    </row>
    <row r="23946" spans="7:14" x14ac:dyDescent="0.3">
      <c r="G23946" s="1"/>
      <c r="N23946" s="1"/>
    </row>
    <row r="23947" spans="7:14" x14ac:dyDescent="0.3">
      <c r="G23947" s="1"/>
      <c r="N23947" s="1"/>
    </row>
    <row r="23948" spans="7:14" x14ac:dyDescent="0.3">
      <c r="G23948" s="1"/>
      <c r="N23948" s="1"/>
    </row>
    <row r="23949" spans="7:14" x14ac:dyDescent="0.3">
      <c r="G23949" s="1"/>
      <c r="N23949" s="1"/>
    </row>
    <row r="23950" spans="7:14" x14ac:dyDescent="0.3">
      <c r="G23950" s="1"/>
      <c r="N23950" s="1"/>
    </row>
    <row r="23951" spans="7:14" x14ac:dyDescent="0.3">
      <c r="G23951" s="1"/>
      <c r="N23951" s="1"/>
    </row>
    <row r="23952" spans="7:14" x14ac:dyDescent="0.3">
      <c r="G23952" s="1"/>
      <c r="N23952" s="1"/>
    </row>
    <row r="23953" spans="7:14" x14ac:dyDescent="0.3">
      <c r="G23953" s="1"/>
      <c r="N23953" s="1"/>
    </row>
    <row r="23954" spans="7:14" x14ac:dyDescent="0.3">
      <c r="G23954" s="1"/>
      <c r="N23954" s="1"/>
    </row>
    <row r="23955" spans="7:14" x14ac:dyDescent="0.3">
      <c r="G23955" s="1"/>
      <c r="N23955" s="1"/>
    </row>
    <row r="23956" spans="7:14" x14ac:dyDescent="0.3">
      <c r="G23956" s="1"/>
      <c r="N23956" s="1"/>
    </row>
    <row r="23957" spans="7:14" x14ac:dyDescent="0.3">
      <c r="G23957" s="1"/>
      <c r="N23957" s="1"/>
    </row>
    <row r="23958" spans="7:14" x14ac:dyDescent="0.3">
      <c r="G23958" s="1"/>
      <c r="N23958" s="1"/>
    </row>
    <row r="23959" spans="7:14" x14ac:dyDescent="0.3">
      <c r="G23959" s="1"/>
      <c r="N23959" s="1"/>
    </row>
    <row r="23960" spans="7:14" x14ac:dyDescent="0.3">
      <c r="G23960" s="1"/>
      <c r="N23960" s="1"/>
    </row>
    <row r="23961" spans="7:14" x14ac:dyDescent="0.3">
      <c r="G23961" s="1"/>
      <c r="N23961" s="1"/>
    </row>
    <row r="23962" spans="7:14" x14ac:dyDescent="0.3">
      <c r="G23962" s="1"/>
      <c r="N23962" s="1"/>
    </row>
    <row r="23963" spans="7:14" x14ac:dyDescent="0.3">
      <c r="G23963" s="1"/>
      <c r="N23963" s="1"/>
    </row>
    <row r="23964" spans="7:14" x14ac:dyDescent="0.3">
      <c r="G23964" s="1"/>
      <c r="N23964" s="1"/>
    </row>
    <row r="23965" spans="7:14" x14ac:dyDescent="0.3">
      <c r="G23965" s="1"/>
      <c r="N23965" s="1"/>
    </row>
    <row r="23966" spans="7:14" x14ac:dyDescent="0.3">
      <c r="G23966" s="1"/>
      <c r="N23966" s="1"/>
    </row>
    <row r="23967" spans="7:14" x14ac:dyDescent="0.3">
      <c r="G23967" s="1"/>
      <c r="N23967" s="1"/>
    </row>
    <row r="23968" spans="7:14" x14ac:dyDescent="0.3">
      <c r="G23968" s="1"/>
      <c r="N23968" s="1"/>
    </row>
    <row r="23969" spans="7:14" x14ac:dyDescent="0.3">
      <c r="G23969" s="1"/>
      <c r="N23969" s="1"/>
    </row>
    <row r="23970" spans="7:14" x14ac:dyDescent="0.3">
      <c r="G23970" s="1"/>
      <c r="N23970" s="1"/>
    </row>
    <row r="23971" spans="7:14" x14ac:dyDescent="0.3">
      <c r="G23971" s="1"/>
      <c r="N23971" s="1"/>
    </row>
    <row r="23972" spans="7:14" x14ac:dyDescent="0.3">
      <c r="G23972" s="1"/>
      <c r="N23972" s="1"/>
    </row>
    <row r="23973" spans="7:14" x14ac:dyDescent="0.3">
      <c r="G23973" s="1"/>
      <c r="N23973" s="1"/>
    </row>
    <row r="23974" spans="7:14" x14ac:dyDescent="0.3">
      <c r="G23974" s="1"/>
      <c r="N23974" s="1"/>
    </row>
    <row r="23975" spans="7:14" x14ac:dyDescent="0.3">
      <c r="G23975" s="1"/>
      <c r="N23975" s="1"/>
    </row>
    <row r="23976" spans="7:14" x14ac:dyDescent="0.3">
      <c r="G23976" s="1"/>
      <c r="N23976" s="1"/>
    </row>
    <row r="23977" spans="7:14" x14ac:dyDescent="0.3">
      <c r="G23977" s="1"/>
      <c r="N23977" s="1"/>
    </row>
    <row r="23978" spans="7:14" x14ac:dyDescent="0.3">
      <c r="G23978" s="1"/>
      <c r="N23978" s="1"/>
    </row>
    <row r="23979" spans="7:14" x14ac:dyDescent="0.3">
      <c r="G23979" s="1"/>
      <c r="N23979" s="1"/>
    </row>
    <row r="23980" spans="7:14" x14ac:dyDescent="0.3">
      <c r="G23980" s="1"/>
      <c r="N23980" s="1"/>
    </row>
    <row r="23981" spans="7:14" x14ac:dyDescent="0.3">
      <c r="G23981" s="1"/>
      <c r="N23981" s="1"/>
    </row>
    <row r="23982" spans="7:14" x14ac:dyDescent="0.3">
      <c r="G23982" s="1"/>
      <c r="N23982" s="1"/>
    </row>
    <row r="23983" spans="7:14" x14ac:dyDescent="0.3">
      <c r="G23983" s="1"/>
      <c r="N23983" s="1"/>
    </row>
    <row r="23984" spans="7:14" x14ac:dyDescent="0.3">
      <c r="G23984" s="1"/>
      <c r="N23984" s="1"/>
    </row>
    <row r="23985" spans="7:14" x14ac:dyDescent="0.3">
      <c r="G23985" s="1"/>
      <c r="N23985" s="1"/>
    </row>
    <row r="23986" spans="7:14" x14ac:dyDescent="0.3">
      <c r="G23986" s="1"/>
      <c r="N23986" s="1"/>
    </row>
    <row r="23987" spans="7:14" x14ac:dyDescent="0.3">
      <c r="G23987" s="1"/>
      <c r="N23987" s="1"/>
    </row>
    <row r="23988" spans="7:14" x14ac:dyDescent="0.3">
      <c r="G23988" s="1"/>
      <c r="N23988" s="1"/>
    </row>
    <row r="23989" spans="7:14" x14ac:dyDescent="0.3">
      <c r="G23989" s="1"/>
      <c r="N23989" s="1"/>
    </row>
    <row r="23990" spans="7:14" x14ac:dyDescent="0.3">
      <c r="G23990" s="1"/>
      <c r="N23990" s="1"/>
    </row>
    <row r="23991" spans="7:14" x14ac:dyDescent="0.3">
      <c r="G23991" s="1"/>
      <c r="N23991" s="1"/>
    </row>
    <row r="23992" spans="7:14" x14ac:dyDescent="0.3">
      <c r="G23992" s="1"/>
      <c r="N23992" s="1"/>
    </row>
    <row r="23993" spans="7:14" x14ac:dyDescent="0.3">
      <c r="G23993" s="1"/>
      <c r="N23993" s="1"/>
    </row>
    <row r="23994" spans="7:14" x14ac:dyDescent="0.3">
      <c r="G23994" s="1"/>
      <c r="N23994" s="1"/>
    </row>
    <row r="23995" spans="7:14" x14ac:dyDescent="0.3">
      <c r="G23995" s="1"/>
      <c r="N23995" s="1"/>
    </row>
    <row r="23996" spans="7:14" x14ac:dyDescent="0.3">
      <c r="G23996" s="1"/>
      <c r="N23996" s="1"/>
    </row>
    <row r="23997" spans="7:14" x14ac:dyDescent="0.3">
      <c r="G23997" s="1"/>
      <c r="N23997" s="1"/>
    </row>
    <row r="23998" spans="7:14" x14ac:dyDescent="0.3">
      <c r="G23998" s="1"/>
      <c r="N23998" s="1"/>
    </row>
    <row r="23999" spans="7:14" x14ac:dyDescent="0.3">
      <c r="G23999" s="1"/>
      <c r="N23999" s="1"/>
    </row>
    <row r="24000" spans="7:14" x14ac:dyDescent="0.3">
      <c r="G24000" s="1"/>
      <c r="N24000" s="1"/>
    </row>
    <row r="24001" spans="7:14" x14ac:dyDescent="0.3">
      <c r="G24001" s="1"/>
      <c r="N24001" s="1"/>
    </row>
    <row r="24002" spans="7:14" x14ac:dyDescent="0.3">
      <c r="G24002" s="1"/>
      <c r="N24002" s="1"/>
    </row>
    <row r="24003" spans="7:14" x14ac:dyDescent="0.3">
      <c r="G24003" s="1"/>
      <c r="N24003" s="1"/>
    </row>
    <row r="24004" spans="7:14" x14ac:dyDescent="0.3">
      <c r="G24004" s="1"/>
      <c r="N24004" s="1"/>
    </row>
    <row r="24005" spans="7:14" x14ac:dyDescent="0.3">
      <c r="G24005" s="1"/>
      <c r="N24005" s="1"/>
    </row>
    <row r="24006" spans="7:14" x14ac:dyDescent="0.3">
      <c r="G24006" s="1"/>
      <c r="N24006" s="1"/>
    </row>
    <row r="24007" spans="7:14" x14ac:dyDescent="0.3">
      <c r="G24007" s="1"/>
      <c r="N24007" s="1"/>
    </row>
    <row r="24008" spans="7:14" x14ac:dyDescent="0.3">
      <c r="G24008" s="1"/>
      <c r="N24008" s="1"/>
    </row>
    <row r="24009" spans="7:14" x14ac:dyDescent="0.3">
      <c r="G24009" s="1"/>
      <c r="N24009" s="1"/>
    </row>
    <row r="24010" spans="7:14" x14ac:dyDescent="0.3">
      <c r="G24010" s="1"/>
      <c r="N24010" s="1"/>
    </row>
    <row r="24011" spans="7:14" x14ac:dyDescent="0.3">
      <c r="G24011" s="1"/>
      <c r="N24011" s="1"/>
    </row>
    <row r="24012" spans="7:14" x14ac:dyDescent="0.3">
      <c r="G24012" s="1"/>
      <c r="N24012" s="1"/>
    </row>
    <row r="24013" spans="7:14" x14ac:dyDescent="0.3">
      <c r="G24013" s="1"/>
      <c r="N24013" s="1"/>
    </row>
    <row r="24014" spans="7:14" x14ac:dyDescent="0.3">
      <c r="G24014" s="1"/>
      <c r="N24014" s="1"/>
    </row>
    <row r="24015" spans="7:14" x14ac:dyDescent="0.3">
      <c r="G24015" s="1"/>
      <c r="N24015" s="1"/>
    </row>
    <row r="24016" spans="7:14" x14ac:dyDescent="0.3">
      <c r="G24016" s="1"/>
      <c r="N24016" s="1"/>
    </row>
    <row r="24017" spans="7:14" x14ac:dyDescent="0.3">
      <c r="G24017" s="1"/>
      <c r="N24017" s="1"/>
    </row>
    <row r="24018" spans="7:14" x14ac:dyDescent="0.3">
      <c r="G24018" s="1"/>
      <c r="N24018" s="1"/>
    </row>
    <row r="24019" spans="7:14" x14ac:dyDescent="0.3">
      <c r="G24019" s="1"/>
      <c r="N24019" s="1"/>
    </row>
    <row r="24020" spans="7:14" x14ac:dyDescent="0.3">
      <c r="G24020" s="1"/>
      <c r="N24020" s="1"/>
    </row>
    <row r="24021" spans="7:14" x14ac:dyDescent="0.3">
      <c r="G24021" s="1"/>
      <c r="N24021" s="1"/>
    </row>
    <row r="24022" spans="7:14" x14ac:dyDescent="0.3">
      <c r="G24022" s="1"/>
      <c r="N24022" s="1"/>
    </row>
    <row r="24023" spans="7:14" x14ac:dyDescent="0.3">
      <c r="G24023" s="1"/>
      <c r="N24023" s="1"/>
    </row>
    <row r="24024" spans="7:14" x14ac:dyDescent="0.3">
      <c r="G24024" s="1"/>
      <c r="N24024" s="1"/>
    </row>
    <row r="24025" spans="7:14" x14ac:dyDescent="0.3">
      <c r="G24025" s="1"/>
      <c r="N24025" s="1"/>
    </row>
    <row r="24026" spans="7:14" x14ac:dyDescent="0.3">
      <c r="G24026" s="1"/>
      <c r="N24026" s="1"/>
    </row>
    <row r="24027" spans="7:14" x14ac:dyDescent="0.3">
      <c r="G24027" s="1"/>
      <c r="N24027" s="1"/>
    </row>
    <row r="24028" spans="7:14" x14ac:dyDescent="0.3">
      <c r="G24028" s="1"/>
      <c r="N24028" s="1"/>
    </row>
    <row r="24029" spans="7:14" x14ac:dyDescent="0.3">
      <c r="G24029" s="1"/>
      <c r="N24029" s="1"/>
    </row>
    <row r="24030" spans="7:14" x14ac:dyDescent="0.3">
      <c r="G24030" s="1"/>
      <c r="N24030" s="1"/>
    </row>
    <row r="24031" spans="7:14" x14ac:dyDescent="0.3">
      <c r="G24031" s="1"/>
      <c r="N24031" s="1"/>
    </row>
    <row r="24032" spans="7:14" x14ac:dyDescent="0.3">
      <c r="G24032" s="1"/>
      <c r="N24032" s="1"/>
    </row>
    <row r="24033" spans="7:14" x14ac:dyDescent="0.3">
      <c r="G24033" s="1"/>
      <c r="N24033" s="1"/>
    </row>
    <row r="24034" spans="7:14" x14ac:dyDescent="0.3">
      <c r="G24034" s="1"/>
      <c r="N24034" s="1"/>
    </row>
    <row r="24035" spans="7:14" x14ac:dyDescent="0.3">
      <c r="G24035" s="1"/>
      <c r="N24035" s="1"/>
    </row>
    <row r="24036" spans="7:14" x14ac:dyDescent="0.3">
      <c r="G24036" s="1"/>
      <c r="N24036" s="1"/>
    </row>
    <row r="24037" spans="7:14" x14ac:dyDescent="0.3">
      <c r="G24037" s="1"/>
      <c r="N24037" s="1"/>
    </row>
    <row r="24038" spans="7:14" x14ac:dyDescent="0.3">
      <c r="G24038" s="1"/>
      <c r="N24038" s="1"/>
    </row>
    <row r="24039" spans="7:14" x14ac:dyDescent="0.3">
      <c r="G24039" s="1"/>
      <c r="N24039" s="1"/>
    </row>
    <row r="24040" spans="7:14" x14ac:dyDescent="0.3">
      <c r="G24040" s="1"/>
      <c r="N24040" s="1"/>
    </row>
    <row r="24041" spans="7:14" x14ac:dyDescent="0.3">
      <c r="G24041" s="1"/>
      <c r="N24041" s="1"/>
    </row>
    <row r="24042" spans="7:14" x14ac:dyDescent="0.3">
      <c r="G24042" s="1"/>
      <c r="N24042" s="1"/>
    </row>
    <row r="24043" spans="7:14" x14ac:dyDescent="0.3">
      <c r="G24043" s="1"/>
      <c r="N24043" s="1"/>
    </row>
    <row r="24044" spans="7:14" x14ac:dyDescent="0.3">
      <c r="G24044" s="1"/>
      <c r="N24044" s="1"/>
    </row>
    <row r="24045" spans="7:14" x14ac:dyDescent="0.3">
      <c r="G24045" s="1"/>
      <c r="N24045" s="1"/>
    </row>
    <row r="24046" spans="7:14" x14ac:dyDescent="0.3">
      <c r="G24046" s="1"/>
      <c r="N24046" s="1"/>
    </row>
    <row r="24047" spans="7:14" x14ac:dyDescent="0.3">
      <c r="G24047" s="1"/>
      <c r="N24047" s="1"/>
    </row>
    <row r="24048" spans="7:14" x14ac:dyDescent="0.3">
      <c r="G24048" s="1"/>
      <c r="N24048" s="1"/>
    </row>
    <row r="24049" spans="7:14" x14ac:dyDescent="0.3">
      <c r="G24049" s="1"/>
      <c r="N24049" s="1"/>
    </row>
    <row r="24050" spans="7:14" x14ac:dyDescent="0.3">
      <c r="G24050" s="1"/>
      <c r="N24050" s="1"/>
    </row>
    <row r="24051" spans="7:14" x14ac:dyDescent="0.3">
      <c r="G24051" s="1"/>
      <c r="N24051" s="1"/>
    </row>
    <row r="24052" spans="7:14" x14ac:dyDescent="0.3">
      <c r="G24052" s="1"/>
      <c r="N24052" s="1"/>
    </row>
    <row r="24053" spans="7:14" x14ac:dyDescent="0.3">
      <c r="G24053" s="1"/>
      <c r="N24053" s="1"/>
    </row>
    <row r="24054" spans="7:14" x14ac:dyDescent="0.3">
      <c r="G24054" s="1"/>
      <c r="N24054" s="1"/>
    </row>
    <row r="24055" spans="7:14" x14ac:dyDescent="0.3">
      <c r="G24055" s="1"/>
      <c r="N24055" s="1"/>
    </row>
    <row r="24056" spans="7:14" x14ac:dyDescent="0.3">
      <c r="G24056" s="1"/>
      <c r="N24056" s="1"/>
    </row>
    <row r="24057" spans="7:14" x14ac:dyDescent="0.3">
      <c r="G24057" s="1"/>
      <c r="N24057" s="1"/>
    </row>
    <row r="24058" spans="7:14" x14ac:dyDescent="0.3">
      <c r="G24058" s="1"/>
      <c r="N24058" s="1"/>
    </row>
    <row r="24059" spans="7:14" x14ac:dyDescent="0.3">
      <c r="G24059" s="1"/>
      <c r="N24059" s="1"/>
    </row>
    <row r="24060" spans="7:14" x14ac:dyDescent="0.3">
      <c r="G24060" s="1"/>
      <c r="N24060" s="1"/>
    </row>
    <row r="24061" spans="7:14" x14ac:dyDescent="0.3">
      <c r="G24061" s="1"/>
      <c r="N24061" s="1"/>
    </row>
    <row r="24062" spans="7:14" x14ac:dyDescent="0.3">
      <c r="G24062" s="1"/>
      <c r="N24062" s="1"/>
    </row>
    <row r="24063" spans="7:14" x14ac:dyDescent="0.3">
      <c r="G24063" s="1"/>
      <c r="N24063" s="1"/>
    </row>
    <row r="24064" spans="7:14" x14ac:dyDescent="0.3">
      <c r="G24064" s="1"/>
      <c r="N24064" s="1"/>
    </row>
    <row r="24065" spans="7:14" x14ac:dyDescent="0.3">
      <c r="G24065" s="1"/>
      <c r="N24065" s="1"/>
    </row>
    <row r="24066" spans="7:14" x14ac:dyDescent="0.3">
      <c r="G24066" s="1"/>
      <c r="N24066" s="1"/>
    </row>
    <row r="24067" spans="7:14" x14ac:dyDescent="0.3">
      <c r="G24067" s="1"/>
      <c r="N24067" s="1"/>
    </row>
    <row r="24068" spans="7:14" x14ac:dyDescent="0.3">
      <c r="G24068" s="1"/>
      <c r="N24068" s="1"/>
    </row>
    <row r="24069" spans="7:14" x14ac:dyDescent="0.3">
      <c r="G24069" s="1"/>
      <c r="N24069" s="1"/>
    </row>
    <row r="24070" spans="7:14" x14ac:dyDescent="0.3">
      <c r="G24070" s="1"/>
      <c r="N24070" s="1"/>
    </row>
    <row r="24071" spans="7:14" x14ac:dyDescent="0.3">
      <c r="G24071" s="1"/>
      <c r="N24071" s="1"/>
    </row>
    <row r="24072" spans="7:14" x14ac:dyDescent="0.3">
      <c r="G24072" s="1"/>
      <c r="N24072" s="1"/>
    </row>
    <row r="24073" spans="7:14" x14ac:dyDescent="0.3">
      <c r="G24073" s="1"/>
      <c r="N24073" s="1"/>
    </row>
    <row r="24074" spans="7:14" x14ac:dyDescent="0.3">
      <c r="G24074" s="1"/>
      <c r="N24074" s="1"/>
    </row>
    <row r="24075" spans="7:14" x14ac:dyDescent="0.3">
      <c r="G24075" s="1"/>
      <c r="N24075" s="1"/>
    </row>
    <row r="24076" spans="7:14" x14ac:dyDescent="0.3">
      <c r="G24076" s="1"/>
      <c r="N24076" s="1"/>
    </row>
    <row r="24077" spans="7:14" x14ac:dyDescent="0.3">
      <c r="G24077" s="1"/>
      <c r="N24077" s="1"/>
    </row>
    <row r="24078" spans="7:14" x14ac:dyDescent="0.3">
      <c r="G24078" s="1"/>
      <c r="N24078" s="1"/>
    </row>
    <row r="24079" spans="7:14" x14ac:dyDescent="0.3">
      <c r="G24079" s="1"/>
      <c r="N24079" s="1"/>
    </row>
    <row r="24080" spans="7:14" x14ac:dyDescent="0.3">
      <c r="G24080" s="1"/>
      <c r="N24080" s="1"/>
    </row>
    <row r="24081" spans="7:14" x14ac:dyDescent="0.3">
      <c r="G24081" s="1"/>
      <c r="N24081" s="1"/>
    </row>
    <row r="24082" spans="7:14" x14ac:dyDescent="0.3">
      <c r="G24082" s="1"/>
      <c r="N24082" s="1"/>
    </row>
    <row r="24083" spans="7:14" x14ac:dyDescent="0.3">
      <c r="G24083" s="1"/>
      <c r="N24083" s="1"/>
    </row>
    <row r="24084" spans="7:14" x14ac:dyDescent="0.3">
      <c r="G24084" s="1"/>
      <c r="N24084" s="1"/>
    </row>
    <row r="24085" spans="7:14" x14ac:dyDescent="0.3">
      <c r="G24085" s="1"/>
      <c r="N24085" s="1"/>
    </row>
    <row r="24086" spans="7:14" x14ac:dyDescent="0.3">
      <c r="G24086" s="1"/>
      <c r="N24086" s="1"/>
    </row>
    <row r="24087" spans="7:14" x14ac:dyDescent="0.3">
      <c r="G24087" s="1"/>
      <c r="N24087" s="1"/>
    </row>
    <row r="24088" spans="7:14" x14ac:dyDescent="0.3">
      <c r="G24088" s="1"/>
      <c r="N24088" s="1"/>
    </row>
    <row r="24089" spans="7:14" x14ac:dyDescent="0.3">
      <c r="G24089" s="1"/>
      <c r="N24089" s="1"/>
    </row>
    <row r="24090" spans="7:14" x14ac:dyDescent="0.3">
      <c r="G24090" s="1"/>
      <c r="N24090" s="1"/>
    </row>
    <row r="24091" spans="7:14" x14ac:dyDescent="0.3">
      <c r="G24091" s="1"/>
      <c r="N24091" s="1"/>
    </row>
    <row r="24092" spans="7:14" x14ac:dyDescent="0.3">
      <c r="G24092" s="1"/>
      <c r="N24092" s="1"/>
    </row>
    <row r="24093" spans="7:14" x14ac:dyDescent="0.3">
      <c r="G24093" s="1"/>
      <c r="N24093" s="1"/>
    </row>
    <row r="24094" spans="7:14" x14ac:dyDescent="0.3">
      <c r="G24094" s="1"/>
      <c r="N24094" s="1"/>
    </row>
    <row r="24095" spans="7:14" x14ac:dyDescent="0.3">
      <c r="G24095" s="1"/>
      <c r="N24095" s="1"/>
    </row>
    <row r="24096" spans="7:14" x14ac:dyDescent="0.3">
      <c r="G24096" s="1"/>
      <c r="N24096" s="1"/>
    </row>
    <row r="24097" spans="7:14" x14ac:dyDescent="0.3">
      <c r="G24097" s="1"/>
      <c r="N24097" s="1"/>
    </row>
    <row r="24098" spans="7:14" x14ac:dyDescent="0.3">
      <c r="G24098" s="1"/>
      <c r="N24098" s="1"/>
    </row>
    <row r="24099" spans="7:14" x14ac:dyDescent="0.3">
      <c r="G24099" s="1"/>
      <c r="N24099" s="1"/>
    </row>
    <row r="24100" spans="7:14" x14ac:dyDescent="0.3">
      <c r="G24100" s="1"/>
      <c r="N24100" s="1"/>
    </row>
    <row r="24101" spans="7:14" x14ac:dyDescent="0.3">
      <c r="G24101" s="1"/>
      <c r="N24101" s="1"/>
    </row>
    <row r="24102" spans="7:14" x14ac:dyDescent="0.3">
      <c r="G24102" s="1"/>
      <c r="N24102" s="1"/>
    </row>
    <row r="24103" spans="7:14" x14ac:dyDescent="0.3">
      <c r="G24103" s="1"/>
      <c r="N24103" s="1"/>
    </row>
    <row r="24104" spans="7:14" x14ac:dyDescent="0.3">
      <c r="G24104" s="1"/>
      <c r="N24104" s="1"/>
    </row>
    <row r="24105" spans="7:14" x14ac:dyDescent="0.3">
      <c r="G24105" s="1"/>
      <c r="N24105" s="1"/>
    </row>
    <row r="24106" spans="7:14" x14ac:dyDescent="0.3">
      <c r="G24106" s="1"/>
      <c r="N24106" s="1"/>
    </row>
    <row r="24107" spans="7:14" x14ac:dyDescent="0.3">
      <c r="G24107" s="1"/>
      <c r="N24107" s="1"/>
    </row>
    <row r="24108" spans="7:14" x14ac:dyDescent="0.3">
      <c r="G24108" s="1"/>
      <c r="N24108" s="1"/>
    </row>
    <row r="24109" spans="7:14" x14ac:dyDescent="0.3">
      <c r="G24109" s="1"/>
      <c r="N24109" s="1"/>
    </row>
    <row r="24110" spans="7:14" x14ac:dyDescent="0.3">
      <c r="G24110" s="1"/>
      <c r="N24110" s="1"/>
    </row>
    <row r="24111" spans="7:14" x14ac:dyDescent="0.3">
      <c r="G24111" s="1"/>
      <c r="N24111" s="1"/>
    </row>
    <row r="24112" spans="7:14" x14ac:dyDescent="0.3">
      <c r="G24112" s="1"/>
      <c r="N24112" s="1"/>
    </row>
    <row r="24113" spans="7:14" x14ac:dyDescent="0.3">
      <c r="G24113" s="1"/>
      <c r="N24113" s="1"/>
    </row>
    <row r="24114" spans="7:14" x14ac:dyDescent="0.3">
      <c r="G24114" s="1"/>
      <c r="N24114" s="1"/>
    </row>
    <row r="24115" spans="7:14" x14ac:dyDescent="0.3">
      <c r="G24115" s="1"/>
      <c r="N24115" s="1"/>
    </row>
    <row r="24116" spans="7:14" x14ac:dyDescent="0.3">
      <c r="G24116" s="1"/>
      <c r="N24116" s="1"/>
    </row>
    <row r="24117" spans="7:14" x14ac:dyDescent="0.3">
      <c r="G24117" s="1"/>
      <c r="N24117" s="1"/>
    </row>
    <row r="24118" spans="7:14" x14ac:dyDescent="0.3">
      <c r="G24118" s="1"/>
      <c r="N24118" s="1"/>
    </row>
    <row r="24119" spans="7:14" x14ac:dyDescent="0.3">
      <c r="G24119" s="1"/>
      <c r="N24119" s="1"/>
    </row>
    <row r="24120" spans="7:14" x14ac:dyDescent="0.3">
      <c r="G24120" s="1"/>
      <c r="N24120" s="1"/>
    </row>
    <row r="24121" spans="7:14" x14ac:dyDescent="0.3">
      <c r="G24121" s="1"/>
      <c r="N24121" s="1"/>
    </row>
    <row r="24122" spans="7:14" x14ac:dyDescent="0.3">
      <c r="G24122" s="1"/>
      <c r="N24122" s="1"/>
    </row>
    <row r="24123" spans="7:14" x14ac:dyDescent="0.3">
      <c r="G24123" s="1"/>
      <c r="N24123" s="1"/>
    </row>
    <row r="24124" spans="7:14" x14ac:dyDescent="0.3">
      <c r="G24124" s="1"/>
      <c r="N24124" s="1"/>
    </row>
    <row r="24125" spans="7:14" x14ac:dyDescent="0.3">
      <c r="G24125" s="1"/>
      <c r="N24125" s="1"/>
    </row>
    <row r="24126" spans="7:14" x14ac:dyDescent="0.3">
      <c r="G24126" s="1"/>
      <c r="N24126" s="1"/>
    </row>
    <row r="24127" spans="7:14" x14ac:dyDescent="0.3">
      <c r="G24127" s="1"/>
      <c r="N24127" s="1"/>
    </row>
    <row r="24128" spans="7:14" x14ac:dyDescent="0.3">
      <c r="G24128" s="1"/>
      <c r="N24128" s="1"/>
    </row>
    <row r="24129" spans="7:14" x14ac:dyDescent="0.3">
      <c r="G24129" s="1"/>
      <c r="N24129" s="1"/>
    </row>
    <row r="24130" spans="7:14" x14ac:dyDescent="0.3">
      <c r="G24130" s="1"/>
      <c r="N24130" s="1"/>
    </row>
    <row r="24131" spans="7:14" x14ac:dyDescent="0.3">
      <c r="G24131" s="1"/>
      <c r="N24131" s="1"/>
    </row>
    <row r="24132" spans="7:14" x14ac:dyDescent="0.3">
      <c r="G24132" s="1"/>
      <c r="N24132" s="1"/>
    </row>
    <row r="24133" spans="7:14" x14ac:dyDescent="0.3">
      <c r="G24133" s="1"/>
      <c r="N24133" s="1"/>
    </row>
    <row r="24134" spans="7:14" x14ac:dyDescent="0.3">
      <c r="G24134" s="1"/>
      <c r="N24134" s="1"/>
    </row>
    <row r="24135" spans="7:14" x14ac:dyDescent="0.3">
      <c r="G24135" s="1"/>
      <c r="N24135" s="1"/>
    </row>
    <row r="24136" spans="7:14" x14ac:dyDescent="0.3">
      <c r="G24136" s="1"/>
      <c r="N24136" s="1"/>
    </row>
    <row r="24137" spans="7:14" x14ac:dyDescent="0.3">
      <c r="G24137" s="1"/>
      <c r="N24137" s="1"/>
    </row>
    <row r="24138" spans="7:14" x14ac:dyDescent="0.3">
      <c r="G24138" s="1"/>
      <c r="N24138" s="1"/>
    </row>
    <row r="24139" spans="7:14" x14ac:dyDescent="0.3">
      <c r="G24139" s="1"/>
      <c r="N24139" s="1"/>
    </row>
    <row r="24140" spans="7:14" x14ac:dyDescent="0.3">
      <c r="G24140" s="1"/>
      <c r="N24140" s="1"/>
    </row>
    <row r="24141" spans="7:14" x14ac:dyDescent="0.3">
      <c r="G24141" s="1"/>
      <c r="N24141" s="1"/>
    </row>
    <row r="24142" spans="7:14" x14ac:dyDescent="0.3">
      <c r="G24142" s="1"/>
      <c r="N24142" s="1"/>
    </row>
    <row r="24143" spans="7:14" x14ac:dyDescent="0.3">
      <c r="G24143" s="1"/>
      <c r="N24143" s="1"/>
    </row>
    <row r="24144" spans="7:14" x14ac:dyDescent="0.3">
      <c r="G24144" s="1"/>
      <c r="N24144" s="1"/>
    </row>
    <row r="24145" spans="7:14" x14ac:dyDescent="0.3">
      <c r="G24145" s="1"/>
      <c r="N24145" s="1"/>
    </row>
    <row r="24146" spans="7:14" x14ac:dyDescent="0.3">
      <c r="G24146" s="1"/>
      <c r="N24146" s="1"/>
    </row>
    <row r="24147" spans="7:14" x14ac:dyDescent="0.3">
      <c r="G24147" s="1"/>
      <c r="N24147" s="1"/>
    </row>
    <row r="24148" spans="7:14" x14ac:dyDescent="0.3">
      <c r="G24148" s="1"/>
      <c r="N24148" s="1"/>
    </row>
    <row r="24149" spans="7:14" x14ac:dyDescent="0.3">
      <c r="G24149" s="1"/>
      <c r="N24149" s="1"/>
    </row>
    <row r="24150" spans="7:14" x14ac:dyDescent="0.3">
      <c r="G24150" s="1"/>
      <c r="N24150" s="1"/>
    </row>
    <row r="24151" spans="7:14" x14ac:dyDescent="0.3">
      <c r="G24151" s="1"/>
      <c r="N24151" s="1"/>
    </row>
    <row r="24152" spans="7:14" x14ac:dyDescent="0.3">
      <c r="G24152" s="1"/>
      <c r="N24152" s="1"/>
    </row>
    <row r="24153" spans="7:14" x14ac:dyDescent="0.3">
      <c r="G24153" s="1"/>
      <c r="N24153" s="1"/>
    </row>
    <row r="24154" spans="7:14" x14ac:dyDescent="0.3">
      <c r="G24154" s="1"/>
      <c r="N24154" s="1"/>
    </row>
    <row r="24155" spans="7:14" x14ac:dyDescent="0.3">
      <c r="G24155" s="1"/>
      <c r="N24155" s="1"/>
    </row>
    <row r="24156" spans="7:14" x14ac:dyDescent="0.3">
      <c r="G24156" s="1"/>
      <c r="N24156" s="1"/>
    </row>
    <row r="24157" spans="7:14" x14ac:dyDescent="0.3">
      <c r="G24157" s="1"/>
      <c r="N24157" s="1"/>
    </row>
    <row r="24158" spans="7:14" x14ac:dyDescent="0.3">
      <c r="G24158" s="1"/>
      <c r="N24158" s="1"/>
    </row>
    <row r="24159" spans="7:14" x14ac:dyDescent="0.3">
      <c r="G24159" s="1"/>
      <c r="N24159" s="1"/>
    </row>
    <row r="24160" spans="7:14" x14ac:dyDescent="0.3">
      <c r="G24160" s="1"/>
      <c r="N24160" s="1"/>
    </row>
    <row r="24161" spans="7:14" x14ac:dyDescent="0.3">
      <c r="G24161" s="1"/>
      <c r="N24161" s="1"/>
    </row>
    <row r="24162" spans="7:14" x14ac:dyDescent="0.3">
      <c r="G24162" s="1"/>
      <c r="N24162" s="1"/>
    </row>
    <row r="24163" spans="7:14" x14ac:dyDescent="0.3">
      <c r="G24163" s="1"/>
      <c r="N24163" s="1"/>
    </row>
    <row r="24164" spans="7:14" x14ac:dyDescent="0.3">
      <c r="G24164" s="1"/>
      <c r="N24164" s="1"/>
    </row>
    <row r="24165" spans="7:14" x14ac:dyDescent="0.3">
      <c r="G24165" s="1"/>
      <c r="N24165" s="1"/>
    </row>
    <row r="24166" spans="7:14" x14ac:dyDescent="0.3">
      <c r="G24166" s="1"/>
      <c r="N24166" s="1"/>
    </row>
    <row r="24167" spans="7:14" x14ac:dyDescent="0.3">
      <c r="G24167" s="1"/>
      <c r="N24167" s="1"/>
    </row>
    <row r="24168" spans="7:14" x14ac:dyDescent="0.3">
      <c r="G24168" s="1"/>
      <c r="N24168" s="1"/>
    </row>
    <row r="24169" spans="7:14" x14ac:dyDescent="0.3">
      <c r="G24169" s="1"/>
      <c r="N24169" s="1"/>
    </row>
    <row r="24170" spans="7:14" x14ac:dyDescent="0.3">
      <c r="G24170" s="1"/>
      <c r="N24170" s="1"/>
    </row>
    <row r="24171" spans="7:14" x14ac:dyDescent="0.3">
      <c r="G24171" s="1"/>
      <c r="N24171" s="1"/>
    </row>
    <row r="24172" spans="7:14" x14ac:dyDescent="0.3">
      <c r="G24172" s="1"/>
      <c r="N24172" s="1"/>
    </row>
    <row r="24173" spans="7:14" x14ac:dyDescent="0.3">
      <c r="G24173" s="1"/>
      <c r="N24173" s="1"/>
    </row>
    <row r="24174" spans="7:14" x14ac:dyDescent="0.3">
      <c r="G24174" s="1"/>
      <c r="N24174" s="1"/>
    </row>
    <row r="24175" spans="7:14" x14ac:dyDescent="0.3">
      <c r="G24175" s="1"/>
      <c r="N24175" s="1"/>
    </row>
    <row r="24176" spans="7:14" x14ac:dyDescent="0.3">
      <c r="G24176" s="1"/>
      <c r="N24176" s="1"/>
    </row>
    <row r="24177" spans="7:14" x14ac:dyDescent="0.3">
      <c r="G24177" s="1"/>
      <c r="N24177" s="1"/>
    </row>
    <row r="24178" spans="7:14" x14ac:dyDescent="0.3">
      <c r="G24178" s="1"/>
      <c r="N24178" s="1"/>
    </row>
    <row r="24179" spans="7:14" x14ac:dyDescent="0.3">
      <c r="G24179" s="1"/>
      <c r="N24179" s="1"/>
    </row>
    <row r="24180" spans="7:14" x14ac:dyDescent="0.3">
      <c r="G24180" s="1"/>
      <c r="N24180" s="1"/>
    </row>
    <row r="24181" spans="7:14" x14ac:dyDescent="0.3">
      <c r="G24181" s="1"/>
      <c r="N24181" s="1"/>
    </row>
    <row r="24182" spans="7:14" x14ac:dyDescent="0.3">
      <c r="G24182" s="1"/>
      <c r="N24182" s="1"/>
    </row>
    <row r="24183" spans="7:14" x14ac:dyDescent="0.3">
      <c r="G24183" s="1"/>
      <c r="N24183" s="1"/>
    </row>
    <row r="24184" spans="7:14" x14ac:dyDescent="0.3">
      <c r="G24184" s="1"/>
      <c r="N24184" s="1"/>
    </row>
    <row r="24185" spans="7:14" x14ac:dyDescent="0.3">
      <c r="G24185" s="1"/>
      <c r="N24185" s="1"/>
    </row>
    <row r="24186" spans="7:14" x14ac:dyDescent="0.3">
      <c r="G24186" s="1"/>
      <c r="N24186" s="1"/>
    </row>
    <row r="24187" spans="7:14" x14ac:dyDescent="0.3">
      <c r="G24187" s="1"/>
      <c r="N24187" s="1"/>
    </row>
    <row r="24188" spans="7:14" x14ac:dyDescent="0.3">
      <c r="G24188" s="1"/>
      <c r="N24188" s="1"/>
    </row>
    <row r="24189" spans="7:14" x14ac:dyDescent="0.3">
      <c r="G24189" s="1"/>
      <c r="N24189" s="1"/>
    </row>
    <row r="24190" spans="7:14" x14ac:dyDescent="0.3">
      <c r="G24190" s="1"/>
      <c r="N24190" s="1"/>
    </row>
    <row r="24191" spans="7:14" x14ac:dyDescent="0.3">
      <c r="G24191" s="1"/>
      <c r="N24191" s="1"/>
    </row>
    <row r="24192" spans="7:14" x14ac:dyDescent="0.3">
      <c r="G24192" s="1"/>
      <c r="N24192" s="1"/>
    </row>
    <row r="24193" spans="7:14" x14ac:dyDescent="0.3">
      <c r="G24193" s="1"/>
      <c r="N24193" s="1"/>
    </row>
    <row r="24194" spans="7:14" x14ac:dyDescent="0.3">
      <c r="G24194" s="1"/>
      <c r="N24194" s="1"/>
    </row>
    <row r="24195" spans="7:14" x14ac:dyDescent="0.3">
      <c r="G24195" s="1"/>
      <c r="N24195" s="1"/>
    </row>
    <row r="24196" spans="7:14" x14ac:dyDescent="0.3">
      <c r="G24196" s="1"/>
      <c r="N24196" s="1"/>
    </row>
    <row r="24197" spans="7:14" x14ac:dyDescent="0.3">
      <c r="G24197" s="1"/>
      <c r="N24197" s="1"/>
    </row>
    <row r="24198" spans="7:14" x14ac:dyDescent="0.3">
      <c r="G24198" s="1"/>
      <c r="N24198" s="1"/>
    </row>
    <row r="24199" spans="7:14" x14ac:dyDescent="0.3">
      <c r="G24199" s="1"/>
      <c r="N24199" s="1"/>
    </row>
    <row r="24200" spans="7:14" x14ac:dyDescent="0.3">
      <c r="G24200" s="1"/>
      <c r="N24200" s="1"/>
    </row>
    <row r="24201" spans="7:14" x14ac:dyDescent="0.3">
      <c r="G24201" s="1"/>
      <c r="N24201" s="1"/>
    </row>
    <row r="24202" spans="7:14" x14ac:dyDescent="0.3">
      <c r="G24202" s="1"/>
      <c r="N24202" s="1"/>
    </row>
    <row r="24203" spans="7:14" x14ac:dyDescent="0.3">
      <c r="G24203" s="1"/>
      <c r="N24203" s="1"/>
    </row>
    <row r="24204" spans="7:14" x14ac:dyDescent="0.3">
      <c r="G24204" s="1"/>
      <c r="N24204" s="1"/>
    </row>
    <row r="24205" spans="7:14" x14ac:dyDescent="0.3">
      <c r="G24205" s="1"/>
      <c r="N24205" s="1"/>
    </row>
    <row r="24206" spans="7:14" x14ac:dyDescent="0.3">
      <c r="G24206" s="1"/>
      <c r="N24206" s="1"/>
    </row>
    <row r="24207" spans="7:14" x14ac:dyDescent="0.3">
      <c r="G24207" s="1"/>
      <c r="N24207" s="1"/>
    </row>
    <row r="24208" spans="7:14" x14ac:dyDescent="0.3">
      <c r="G24208" s="1"/>
      <c r="N24208" s="1"/>
    </row>
    <row r="24209" spans="7:14" x14ac:dyDescent="0.3">
      <c r="G24209" s="1"/>
      <c r="N24209" s="1"/>
    </row>
    <row r="24210" spans="7:14" x14ac:dyDescent="0.3">
      <c r="G24210" s="1"/>
      <c r="N24210" s="1"/>
    </row>
    <row r="24211" spans="7:14" x14ac:dyDescent="0.3">
      <c r="G24211" s="1"/>
      <c r="N24211" s="1"/>
    </row>
    <row r="24212" spans="7:14" x14ac:dyDescent="0.3">
      <c r="G24212" s="1"/>
      <c r="N24212" s="1"/>
    </row>
    <row r="24213" spans="7:14" x14ac:dyDescent="0.3">
      <c r="G24213" s="1"/>
      <c r="N24213" s="1"/>
    </row>
    <row r="24214" spans="7:14" x14ac:dyDescent="0.3">
      <c r="G24214" s="1"/>
      <c r="N24214" s="1"/>
    </row>
    <row r="24215" spans="7:14" x14ac:dyDescent="0.3">
      <c r="G24215" s="1"/>
      <c r="N24215" s="1"/>
    </row>
    <row r="24216" spans="7:14" x14ac:dyDescent="0.3">
      <c r="G24216" s="1"/>
      <c r="N24216" s="1"/>
    </row>
    <row r="24217" spans="7:14" x14ac:dyDescent="0.3">
      <c r="G24217" s="1"/>
      <c r="N24217" s="1"/>
    </row>
    <row r="24218" spans="7:14" x14ac:dyDescent="0.3">
      <c r="G24218" s="1"/>
      <c r="N24218" s="1"/>
    </row>
    <row r="24219" spans="7:14" x14ac:dyDescent="0.3">
      <c r="G24219" s="1"/>
      <c r="N24219" s="1"/>
    </row>
    <row r="24220" spans="7:14" x14ac:dyDescent="0.3">
      <c r="G24220" s="1"/>
      <c r="N24220" s="1"/>
    </row>
    <row r="24221" spans="7:14" x14ac:dyDescent="0.3">
      <c r="G24221" s="1"/>
      <c r="N24221" s="1"/>
    </row>
    <row r="24222" spans="7:14" x14ac:dyDescent="0.3">
      <c r="G24222" s="1"/>
      <c r="N24222" s="1"/>
    </row>
    <row r="24223" spans="7:14" x14ac:dyDescent="0.3">
      <c r="G24223" s="1"/>
      <c r="N24223" s="1"/>
    </row>
    <row r="24224" spans="7:14" x14ac:dyDescent="0.3">
      <c r="G24224" s="1"/>
      <c r="N24224" s="1"/>
    </row>
    <row r="24225" spans="7:14" x14ac:dyDescent="0.3">
      <c r="G24225" s="1"/>
      <c r="N24225" s="1"/>
    </row>
    <row r="24226" spans="7:14" x14ac:dyDescent="0.3">
      <c r="G24226" s="1"/>
      <c r="N24226" s="1"/>
    </row>
    <row r="24227" spans="7:14" x14ac:dyDescent="0.3">
      <c r="G24227" s="1"/>
      <c r="N24227" s="1"/>
    </row>
    <row r="24228" spans="7:14" x14ac:dyDescent="0.3">
      <c r="G24228" s="1"/>
      <c r="N24228" s="1"/>
    </row>
    <row r="24229" spans="7:14" x14ac:dyDescent="0.3">
      <c r="G24229" s="1"/>
      <c r="N24229" s="1"/>
    </row>
    <row r="24230" spans="7:14" x14ac:dyDescent="0.3">
      <c r="G24230" s="1"/>
      <c r="N24230" s="1"/>
    </row>
    <row r="24231" spans="7:14" x14ac:dyDescent="0.3">
      <c r="G24231" s="1"/>
      <c r="N24231" s="1"/>
    </row>
    <row r="24232" spans="7:14" x14ac:dyDescent="0.3">
      <c r="G24232" s="1"/>
      <c r="N24232" s="1"/>
    </row>
    <row r="24233" spans="7:14" x14ac:dyDescent="0.3">
      <c r="G24233" s="1"/>
      <c r="N24233" s="1"/>
    </row>
    <row r="24234" spans="7:14" x14ac:dyDescent="0.3">
      <c r="G24234" s="1"/>
      <c r="N24234" s="1"/>
    </row>
    <row r="24235" spans="7:14" x14ac:dyDescent="0.3">
      <c r="G24235" s="1"/>
      <c r="N24235" s="1"/>
    </row>
    <row r="24236" spans="7:14" x14ac:dyDescent="0.3">
      <c r="G24236" s="1"/>
      <c r="N24236" s="1"/>
    </row>
    <row r="24237" spans="7:14" x14ac:dyDescent="0.3">
      <c r="G24237" s="1"/>
      <c r="N24237" s="1"/>
    </row>
    <row r="24238" spans="7:14" x14ac:dyDescent="0.3">
      <c r="G24238" s="1"/>
      <c r="N24238" s="1"/>
    </row>
    <row r="24239" spans="7:14" x14ac:dyDescent="0.3">
      <c r="G24239" s="1"/>
      <c r="N24239" s="1"/>
    </row>
    <row r="24240" spans="7:14" x14ac:dyDescent="0.3">
      <c r="G24240" s="1"/>
      <c r="N24240" s="1"/>
    </row>
    <row r="24241" spans="7:14" x14ac:dyDescent="0.3">
      <c r="G24241" s="1"/>
      <c r="N24241" s="1"/>
    </row>
    <row r="24242" spans="7:14" x14ac:dyDescent="0.3">
      <c r="G24242" s="1"/>
      <c r="N24242" s="1"/>
    </row>
    <row r="24243" spans="7:14" x14ac:dyDescent="0.3">
      <c r="G24243" s="1"/>
      <c r="N24243" s="1"/>
    </row>
    <row r="24244" spans="7:14" x14ac:dyDescent="0.3">
      <c r="G24244" s="1"/>
      <c r="N24244" s="1"/>
    </row>
    <row r="24245" spans="7:14" x14ac:dyDescent="0.3">
      <c r="G24245" s="1"/>
      <c r="N24245" s="1"/>
    </row>
    <row r="24246" spans="7:14" x14ac:dyDescent="0.3">
      <c r="G24246" s="1"/>
      <c r="N24246" s="1"/>
    </row>
    <row r="24247" spans="7:14" x14ac:dyDescent="0.3">
      <c r="G24247" s="1"/>
      <c r="N24247" s="1"/>
    </row>
    <row r="24248" spans="7:14" x14ac:dyDescent="0.3">
      <c r="G24248" s="1"/>
      <c r="N24248" s="1"/>
    </row>
    <row r="24249" spans="7:14" x14ac:dyDescent="0.3">
      <c r="G24249" s="1"/>
      <c r="N24249" s="1"/>
    </row>
    <row r="24250" spans="7:14" x14ac:dyDescent="0.3">
      <c r="G24250" s="1"/>
      <c r="N24250" s="1"/>
    </row>
    <row r="24251" spans="7:14" x14ac:dyDescent="0.3">
      <c r="G24251" s="1"/>
      <c r="N24251" s="1"/>
    </row>
    <row r="24252" spans="7:14" x14ac:dyDescent="0.3">
      <c r="G24252" s="1"/>
      <c r="N24252" s="1"/>
    </row>
    <row r="24253" spans="7:14" x14ac:dyDescent="0.3">
      <c r="G24253" s="1"/>
      <c r="N24253" s="1"/>
    </row>
    <row r="24254" spans="7:14" x14ac:dyDescent="0.3">
      <c r="G24254" s="1"/>
      <c r="N24254" s="1"/>
    </row>
    <row r="24255" spans="7:14" x14ac:dyDescent="0.3">
      <c r="G24255" s="1"/>
      <c r="N24255" s="1"/>
    </row>
    <row r="24256" spans="7:14" x14ac:dyDescent="0.3">
      <c r="G24256" s="1"/>
      <c r="N24256" s="1"/>
    </row>
    <row r="24257" spans="7:14" x14ac:dyDescent="0.3">
      <c r="G24257" s="1"/>
      <c r="N24257" s="1"/>
    </row>
    <row r="24258" spans="7:14" x14ac:dyDescent="0.3">
      <c r="G24258" s="1"/>
      <c r="N24258" s="1"/>
    </row>
    <row r="24259" spans="7:14" x14ac:dyDescent="0.3">
      <c r="G24259" s="1"/>
      <c r="N24259" s="1"/>
    </row>
    <row r="24260" spans="7:14" x14ac:dyDescent="0.3">
      <c r="G24260" s="1"/>
      <c r="N24260" s="1"/>
    </row>
    <row r="24261" spans="7:14" x14ac:dyDescent="0.3">
      <c r="G24261" s="1"/>
      <c r="N24261" s="1"/>
    </row>
    <row r="24262" spans="7:14" x14ac:dyDescent="0.3">
      <c r="G24262" s="1"/>
      <c r="N24262" s="1"/>
    </row>
    <row r="24263" spans="7:14" x14ac:dyDescent="0.3">
      <c r="G24263" s="1"/>
      <c r="N24263" s="1"/>
    </row>
    <row r="24264" spans="7:14" x14ac:dyDescent="0.3">
      <c r="G24264" s="1"/>
      <c r="N24264" s="1"/>
    </row>
    <row r="24265" spans="7:14" x14ac:dyDescent="0.3">
      <c r="G24265" s="1"/>
      <c r="N24265" s="1"/>
    </row>
    <row r="24266" spans="7:14" x14ac:dyDescent="0.3">
      <c r="G24266" s="1"/>
      <c r="N24266" s="1"/>
    </row>
    <row r="24267" spans="7:14" x14ac:dyDescent="0.3">
      <c r="G24267" s="1"/>
      <c r="N24267" s="1"/>
    </row>
    <row r="24268" spans="7:14" x14ac:dyDescent="0.3">
      <c r="G24268" s="1"/>
      <c r="N24268" s="1"/>
    </row>
    <row r="24269" spans="7:14" x14ac:dyDescent="0.3">
      <c r="G24269" s="1"/>
      <c r="N24269" s="1"/>
    </row>
    <row r="24270" spans="7:14" x14ac:dyDescent="0.3">
      <c r="G24270" s="1"/>
      <c r="N24270" s="1"/>
    </row>
    <row r="24271" spans="7:14" x14ac:dyDescent="0.3">
      <c r="G24271" s="1"/>
      <c r="N24271" s="1"/>
    </row>
    <row r="24272" spans="7:14" x14ac:dyDescent="0.3">
      <c r="G24272" s="1"/>
      <c r="N24272" s="1"/>
    </row>
    <row r="24273" spans="7:14" x14ac:dyDescent="0.3">
      <c r="G24273" s="1"/>
      <c r="N24273" s="1"/>
    </row>
    <row r="24274" spans="7:14" x14ac:dyDescent="0.3">
      <c r="G24274" s="1"/>
      <c r="N24274" s="1"/>
    </row>
    <row r="24275" spans="7:14" x14ac:dyDescent="0.3">
      <c r="G24275" s="1"/>
      <c r="N24275" s="1"/>
    </row>
    <row r="24276" spans="7:14" x14ac:dyDescent="0.3">
      <c r="G24276" s="1"/>
      <c r="N24276" s="1"/>
    </row>
    <row r="24277" spans="7:14" x14ac:dyDescent="0.3">
      <c r="G24277" s="1"/>
      <c r="N24277" s="1"/>
    </row>
    <row r="24278" spans="7:14" x14ac:dyDescent="0.3">
      <c r="G24278" s="1"/>
      <c r="N24278" s="1"/>
    </row>
    <row r="24279" spans="7:14" x14ac:dyDescent="0.3">
      <c r="G24279" s="1"/>
      <c r="N24279" s="1"/>
    </row>
    <row r="24280" spans="7:14" x14ac:dyDescent="0.3">
      <c r="G24280" s="1"/>
      <c r="N24280" s="1"/>
    </row>
    <row r="24281" spans="7:14" x14ac:dyDescent="0.3">
      <c r="G24281" s="1"/>
      <c r="N24281" s="1"/>
    </row>
    <row r="24282" spans="7:14" x14ac:dyDescent="0.3">
      <c r="G24282" s="1"/>
      <c r="N24282" s="1"/>
    </row>
    <row r="24283" spans="7:14" x14ac:dyDescent="0.3">
      <c r="G24283" s="1"/>
      <c r="N24283" s="1"/>
    </row>
    <row r="24284" spans="7:14" x14ac:dyDescent="0.3">
      <c r="G24284" s="1"/>
      <c r="N24284" s="1"/>
    </row>
    <row r="24285" spans="7:14" x14ac:dyDescent="0.3">
      <c r="G24285" s="1"/>
      <c r="N24285" s="1"/>
    </row>
    <row r="24286" spans="7:14" x14ac:dyDescent="0.3">
      <c r="G24286" s="1"/>
      <c r="N24286" s="1"/>
    </row>
    <row r="24287" spans="7:14" x14ac:dyDescent="0.3">
      <c r="G24287" s="1"/>
      <c r="N24287" s="1"/>
    </row>
    <row r="24288" spans="7:14" x14ac:dyDescent="0.3">
      <c r="G24288" s="1"/>
      <c r="N24288" s="1"/>
    </row>
    <row r="24289" spans="7:14" x14ac:dyDescent="0.3">
      <c r="G24289" s="1"/>
      <c r="N24289" s="1"/>
    </row>
    <row r="24290" spans="7:14" x14ac:dyDescent="0.3">
      <c r="G24290" s="1"/>
      <c r="N24290" s="1"/>
    </row>
    <row r="24291" spans="7:14" x14ac:dyDescent="0.3">
      <c r="G24291" s="1"/>
      <c r="N24291" s="1"/>
    </row>
    <row r="24292" spans="7:14" x14ac:dyDescent="0.3">
      <c r="G24292" s="1"/>
      <c r="N24292" s="1"/>
    </row>
    <row r="24293" spans="7:14" x14ac:dyDescent="0.3">
      <c r="G24293" s="1"/>
      <c r="N24293" s="1"/>
    </row>
    <row r="24294" spans="7:14" x14ac:dyDescent="0.3">
      <c r="G24294" s="1"/>
      <c r="N24294" s="1"/>
    </row>
    <row r="24295" spans="7:14" x14ac:dyDescent="0.3">
      <c r="G24295" s="1"/>
      <c r="N24295" s="1"/>
    </row>
    <row r="24296" spans="7:14" x14ac:dyDescent="0.3">
      <c r="G24296" s="1"/>
      <c r="N24296" s="1"/>
    </row>
    <row r="24297" spans="7:14" x14ac:dyDescent="0.3">
      <c r="G24297" s="1"/>
      <c r="N24297" s="1"/>
    </row>
    <row r="24298" spans="7:14" x14ac:dyDescent="0.3">
      <c r="G24298" s="1"/>
      <c r="N24298" s="1"/>
    </row>
    <row r="24299" spans="7:14" x14ac:dyDescent="0.3">
      <c r="G24299" s="1"/>
      <c r="N24299" s="1"/>
    </row>
    <row r="24300" spans="7:14" x14ac:dyDescent="0.3">
      <c r="G24300" s="1"/>
      <c r="N24300" s="1"/>
    </row>
    <row r="24301" spans="7:14" x14ac:dyDescent="0.3">
      <c r="G24301" s="1"/>
      <c r="N24301" s="1"/>
    </row>
    <row r="24302" spans="7:14" x14ac:dyDescent="0.3">
      <c r="G24302" s="1"/>
      <c r="N24302" s="1"/>
    </row>
    <row r="24303" spans="7:14" x14ac:dyDescent="0.3">
      <c r="G24303" s="1"/>
      <c r="N24303" s="1"/>
    </row>
    <row r="24304" spans="7:14" x14ac:dyDescent="0.3">
      <c r="G24304" s="1"/>
      <c r="N24304" s="1"/>
    </row>
    <row r="24305" spans="7:14" x14ac:dyDescent="0.3">
      <c r="G24305" s="1"/>
      <c r="N24305" s="1"/>
    </row>
    <row r="24306" spans="7:14" x14ac:dyDescent="0.3">
      <c r="G24306" s="1"/>
      <c r="N24306" s="1"/>
    </row>
    <row r="24307" spans="7:14" x14ac:dyDescent="0.3">
      <c r="G24307" s="1"/>
      <c r="N24307" s="1"/>
    </row>
    <row r="24308" spans="7:14" x14ac:dyDescent="0.3">
      <c r="G24308" s="1"/>
      <c r="N24308" s="1"/>
    </row>
    <row r="24309" spans="7:14" x14ac:dyDescent="0.3">
      <c r="G24309" s="1"/>
      <c r="N24309" s="1"/>
    </row>
    <row r="24310" spans="7:14" x14ac:dyDescent="0.3">
      <c r="G24310" s="1"/>
      <c r="N24310" s="1"/>
    </row>
    <row r="24311" spans="7:14" x14ac:dyDescent="0.3">
      <c r="G24311" s="1"/>
      <c r="N24311" s="1"/>
    </row>
    <row r="24312" spans="7:14" x14ac:dyDescent="0.3">
      <c r="G24312" s="1"/>
      <c r="N24312" s="1"/>
    </row>
    <row r="24313" spans="7:14" x14ac:dyDescent="0.3">
      <c r="G24313" s="1"/>
      <c r="N24313" s="1"/>
    </row>
    <row r="24314" spans="7:14" x14ac:dyDescent="0.3">
      <c r="G24314" s="1"/>
      <c r="N24314" s="1"/>
    </row>
    <row r="24315" spans="7:14" x14ac:dyDescent="0.3">
      <c r="G24315" s="1"/>
      <c r="N24315" s="1"/>
    </row>
    <row r="24316" spans="7:14" x14ac:dyDescent="0.3">
      <c r="G24316" s="1"/>
      <c r="N24316" s="1"/>
    </row>
    <row r="24317" spans="7:14" x14ac:dyDescent="0.3">
      <c r="G24317" s="1"/>
      <c r="N24317" s="1"/>
    </row>
    <row r="24318" spans="7:14" x14ac:dyDescent="0.3">
      <c r="G24318" s="1"/>
      <c r="N24318" s="1"/>
    </row>
    <row r="24319" spans="7:14" x14ac:dyDescent="0.3">
      <c r="G24319" s="1"/>
      <c r="N24319" s="1"/>
    </row>
    <row r="24320" spans="7:14" x14ac:dyDescent="0.3">
      <c r="G24320" s="1"/>
      <c r="N24320" s="1"/>
    </row>
    <row r="24321" spans="7:14" x14ac:dyDescent="0.3">
      <c r="G24321" s="1"/>
      <c r="N24321" s="1"/>
    </row>
    <row r="24322" spans="7:14" x14ac:dyDescent="0.3">
      <c r="G24322" s="1"/>
      <c r="N24322" s="1"/>
    </row>
    <row r="24323" spans="7:14" x14ac:dyDescent="0.3">
      <c r="G24323" s="1"/>
      <c r="N24323" s="1"/>
    </row>
    <row r="24324" spans="7:14" x14ac:dyDescent="0.3">
      <c r="G24324" s="1"/>
      <c r="N24324" s="1"/>
    </row>
    <row r="24325" spans="7:14" x14ac:dyDescent="0.3">
      <c r="G24325" s="1"/>
      <c r="N24325" s="1"/>
    </row>
    <row r="24326" spans="7:14" x14ac:dyDescent="0.3">
      <c r="G24326" s="1"/>
      <c r="N24326" s="1"/>
    </row>
    <row r="24327" spans="7:14" x14ac:dyDescent="0.3">
      <c r="G24327" s="1"/>
      <c r="N24327" s="1"/>
    </row>
    <row r="24328" spans="7:14" x14ac:dyDescent="0.3">
      <c r="G24328" s="1"/>
      <c r="N24328" s="1"/>
    </row>
    <row r="24329" spans="7:14" x14ac:dyDescent="0.3">
      <c r="G24329" s="1"/>
      <c r="N24329" s="1"/>
    </row>
    <row r="24330" spans="7:14" x14ac:dyDescent="0.3">
      <c r="G24330" s="1"/>
      <c r="N24330" s="1"/>
    </row>
    <row r="24331" spans="7:14" x14ac:dyDescent="0.3">
      <c r="G24331" s="1"/>
      <c r="N24331" s="1"/>
    </row>
    <row r="24332" spans="7:14" x14ac:dyDescent="0.3">
      <c r="G24332" s="1"/>
      <c r="N24332" s="1"/>
    </row>
    <row r="24333" spans="7:14" x14ac:dyDescent="0.3">
      <c r="G24333" s="1"/>
      <c r="N24333" s="1"/>
    </row>
    <row r="24334" spans="7:14" x14ac:dyDescent="0.3">
      <c r="G24334" s="1"/>
      <c r="N24334" s="1"/>
    </row>
    <row r="24335" spans="7:14" x14ac:dyDescent="0.3">
      <c r="G24335" s="1"/>
      <c r="N24335" s="1"/>
    </row>
    <row r="24336" spans="7:14" x14ac:dyDescent="0.3">
      <c r="G24336" s="1"/>
      <c r="N24336" s="1"/>
    </row>
    <row r="24337" spans="7:14" x14ac:dyDescent="0.3">
      <c r="G24337" s="1"/>
      <c r="N24337" s="1"/>
    </row>
    <row r="24338" spans="7:14" x14ac:dyDescent="0.3">
      <c r="G24338" s="1"/>
      <c r="N24338" s="1"/>
    </row>
    <row r="24339" spans="7:14" x14ac:dyDescent="0.3">
      <c r="G24339" s="1"/>
      <c r="N24339" s="1"/>
    </row>
    <row r="24340" spans="7:14" x14ac:dyDescent="0.3">
      <c r="G24340" s="1"/>
      <c r="N24340" s="1"/>
    </row>
    <row r="24341" spans="7:14" x14ac:dyDescent="0.3">
      <c r="G24341" s="1"/>
      <c r="N24341" s="1"/>
    </row>
    <row r="24342" spans="7:14" x14ac:dyDescent="0.3">
      <c r="G24342" s="1"/>
      <c r="N24342" s="1"/>
    </row>
    <row r="24343" spans="7:14" x14ac:dyDescent="0.3">
      <c r="G24343" s="1"/>
      <c r="N24343" s="1"/>
    </row>
    <row r="24344" spans="7:14" x14ac:dyDescent="0.3">
      <c r="G24344" s="1"/>
      <c r="N24344" s="1"/>
    </row>
    <row r="24345" spans="7:14" x14ac:dyDescent="0.3">
      <c r="G24345" s="1"/>
      <c r="N24345" s="1"/>
    </row>
    <row r="24346" spans="7:14" x14ac:dyDescent="0.3">
      <c r="G24346" s="1"/>
      <c r="N24346" s="1"/>
    </row>
    <row r="24347" spans="7:14" x14ac:dyDescent="0.3">
      <c r="G24347" s="1"/>
      <c r="N24347" s="1"/>
    </row>
    <row r="24348" spans="7:14" x14ac:dyDescent="0.3">
      <c r="G24348" s="1"/>
      <c r="N24348" s="1"/>
    </row>
    <row r="24349" spans="7:14" x14ac:dyDescent="0.3">
      <c r="G24349" s="1"/>
      <c r="N24349" s="1"/>
    </row>
    <row r="24350" spans="7:14" x14ac:dyDescent="0.3">
      <c r="G24350" s="1"/>
      <c r="N24350" s="1"/>
    </row>
    <row r="24351" spans="7:14" x14ac:dyDescent="0.3">
      <c r="G24351" s="1"/>
      <c r="N24351" s="1"/>
    </row>
    <row r="24352" spans="7:14" x14ac:dyDescent="0.3">
      <c r="G24352" s="1"/>
      <c r="N24352" s="1"/>
    </row>
    <row r="24353" spans="7:14" x14ac:dyDescent="0.3">
      <c r="G24353" s="1"/>
      <c r="N24353" s="1"/>
    </row>
    <row r="24354" spans="7:14" x14ac:dyDescent="0.3">
      <c r="G24354" s="1"/>
      <c r="N24354" s="1"/>
    </row>
    <row r="24355" spans="7:14" x14ac:dyDescent="0.3">
      <c r="G24355" s="1"/>
      <c r="N24355" s="1"/>
    </row>
    <row r="24356" spans="7:14" x14ac:dyDescent="0.3">
      <c r="G24356" s="1"/>
      <c r="N24356" s="1"/>
    </row>
    <row r="24357" spans="7:14" x14ac:dyDescent="0.3">
      <c r="G24357" s="1"/>
      <c r="N24357" s="1"/>
    </row>
    <row r="24358" spans="7:14" x14ac:dyDescent="0.3">
      <c r="G24358" s="1"/>
      <c r="N24358" s="1"/>
    </row>
    <row r="24359" spans="7:14" x14ac:dyDescent="0.3">
      <c r="G24359" s="1"/>
      <c r="N24359" s="1"/>
    </row>
    <row r="24360" spans="7:14" x14ac:dyDescent="0.3">
      <c r="G24360" s="1"/>
      <c r="N24360" s="1"/>
    </row>
    <row r="24361" spans="7:14" x14ac:dyDescent="0.3">
      <c r="G24361" s="1"/>
      <c r="N24361" s="1"/>
    </row>
    <row r="24362" spans="7:14" x14ac:dyDescent="0.3">
      <c r="G24362" s="1"/>
      <c r="N24362" s="1"/>
    </row>
    <row r="24363" spans="7:14" x14ac:dyDescent="0.3">
      <c r="G24363" s="1"/>
      <c r="N24363" s="1"/>
    </row>
    <row r="24364" spans="7:14" x14ac:dyDescent="0.3">
      <c r="G24364" s="1"/>
      <c r="N24364" s="1"/>
    </row>
    <row r="24365" spans="7:14" x14ac:dyDescent="0.3">
      <c r="G24365" s="1"/>
      <c r="N24365" s="1"/>
    </row>
    <row r="24366" spans="7:14" x14ac:dyDescent="0.3">
      <c r="G24366" s="1"/>
      <c r="N24366" s="1"/>
    </row>
    <row r="24367" spans="7:14" x14ac:dyDescent="0.3">
      <c r="G24367" s="1"/>
      <c r="N24367" s="1"/>
    </row>
    <row r="24368" spans="7:14" x14ac:dyDescent="0.3">
      <c r="G24368" s="1"/>
      <c r="N24368" s="1"/>
    </row>
    <row r="24369" spans="7:14" x14ac:dyDescent="0.3">
      <c r="G24369" s="1"/>
      <c r="N24369" s="1"/>
    </row>
    <row r="24370" spans="7:14" x14ac:dyDescent="0.3">
      <c r="G24370" s="1"/>
      <c r="N24370" s="1"/>
    </row>
    <row r="24371" spans="7:14" x14ac:dyDescent="0.3">
      <c r="G24371" s="1"/>
      <c r="N24371" s="1"/>
    </row>
    <row r="24372" spans="7:14" x14ac:dyDescent="0.3">
      <c r="G24372" s="1"/>
      <c r="N24372" s="1"/>
    </row>
    <row r="24373" spans="7:14" x14ac:dyDescent="0.3">
      <c r="G24373" s="1"/>
      <c r="N24373" s="1"/>
    </row>
    <row r="24374" spans="7:14" x14ac:dyDescent="0.3">
      <c r="G24374" s="1"/>
      <c r="N24374" s="1"/>
    </row>
    <row r="24375" spans="7:14" x14ac:dyDescent="0.3">
      <c r="G24375" s="1"/>
      <c r="N24375" s="1"/>
    </row>
    <row r="24376" spans="7:14" x14ac:dyDescent="0.3">
      <c r="G24376" s="1"/>
      <c r="N24376" s="1"/>
    </row>
    <row r="24377" spans="7:14" x14ac:dyDescent="0.3">
      <c r="G24377" s="1"/>
      <c r="N24377" s="1"/>
    </row>
    <row r="24378" spans="7:14" x14ac:dyDescent="0.3">
      <c r="G24378" s="1"/>
      <c r="N24378" s="1"/>
    </row>
    <row r="24379" spans="7:14" x14ac:dyDescent="0.3">
      <c r="G24379" s="1"/>
      <c r="N24379" s="1"/>
    </row>
    <row r="24380" spans="7:14" x14ac:dyDescent="0.3">
      <c r="G24380" s="1"/>
      <c r="N24380" s="1"/>
    </row>
    <row r="24381" spans="7:14" x14ac:dyDescent="0.3">
      <c r="G24381" s="1"/>
      <c r="N24381" s="1"/>
    </row>
    <row r="24382" spans="7:14" x14ac:dyDescent="0.3">
      <c r="G24382" s="1"/>
      <c r="N24382" s="1"/>
    </row>
    <row r="24383" spans="7:14" x14ac:dyDescent="0.3">
      <c r="G24383" s="1"/>
      <c r="N24383" s="1"/>
    </row>
    <row r="24384" spans="7:14" x14ac:dyDescent="0.3">
      <c r="G24384" s="1"/>
      <c r="N24384" s="1"/>
    </row>
    <row r="24385" spans="7:14" x14ac:dyDescent="0.3">
      <c r="G24385" s="1"/>
      <c r="N24385" s="1"/>
    </row>
    <row r="24386" spans="7:14" x14ac:dyDescent="0.3">
      <c r="G24386" s="1"/>
      <c r="N24386" s="1"/>
    </row>
    <row r="24387" spans="7:14" x14ac:dyDescent="0.3">
      <c r="G24387" s="1"/>
      <c r="N24387" s="1"/>
    </row>
    <row r="24388" spans="7:14" x14ac:dyDescent="0.3">
      <c r="G24388" s="1"/>
      <c r="N24388" s="1"/>
    </row>
    <row r="24389" spans="7:14" x14ac:dyDescent="0.3">
      <c r="G24389" s="1"/>
      <c r="N24389" s="1"/>
    </row>
    <row r="24390" spans="7:14" x14ac:dyDescent="0.3">
      <c r="G24390" s="1"/>
      <c r="N24390" s="1"/>
    </row>
    <row r="24391" spans="7:14" x14ac:dyDescent="0.3">
      <c r="G24391" s="1"/>
      <c r="N24391" s="1"/>
    </row>
    <row r="24392" spans="7:14" x14ac:dyDescent="0.3">
      <c r="G24392" s="1"/>
      <c r="N24392" s="1"/>
    </row>
    <row r="24393" spans="7:14" x14ac:dyDescent="0.3">
      <c r="G24393" s="1"/>
      <c r="N24393" s="1"/>
    </row>
    <row r="24394" spans="7:14" x14ac:dyDescent="0.3">
      <c r="G24394" s="1"/>
      <c r="N24394" s="1"/>
    </row>
    <row r="24395" spans="7:14" x14ac:dyDescent="0.3">
      <c r="G24395" s="1"/>
      <c r="N24395" s="1"/>
    </row>
    <row r="24396" spans="7:14" x14ac:dyDescent="0.3">
      <c r="G24396" s="1"/>
      <c r="N24396" s="1"/>
    </row>
    <row r="24397" spans="7:14" x14ac:dyDescent="0.3">
      <c r="G24397" s="1"/>
      <c r="N24397" s="1"/>
    </row>
    <row r="24398" spans="7:14" x14ac:dyDescent="0.3">
      <c r="G24398" s="1"/>
      <c r="N24398" s="1"/>
    </row>
    <row r="24399" spans="7:14" x14ac:dyDescent="0.3">
      <c r="G24399" s="1"/>
      <c r="N24399" s="1"/>
    </row>
    <row r="24400" spans="7:14" x14ac:dyDescent="0.3">
      <c r="G24400" s="1"/>
      <c r="N24400" s="1"/>
    </row>
    <row r="24401" spans="7:14" x14ac:dyDescent="0.3">
      <c r="G24401" s="1"/>
      <c r="N24401" s="1"/>
    </row>
    <row r="24402" spans="7:14" x14ac:dyDescent="0.3">
      <c r="G24402" s="1"/>
      <c r="N24402" s="1"/>
    </row>
    <row r="24403" spans="7:14" x14ac:dyDescent="0.3">
      <c r="G24403" s="1"/>
      <c r="N24403" s="1"/>
    </row>
    <row r="24404" spans="7:14" x14ac:dyDescent="0.3">
      <c r="G24404" s="1"/>
      <c r="N24404" s="1"/>
    </row>
    <row r="24405" spans="7:14" x14ac:dyDescent="0.3">
      <c r="G24405" s="1"/>
      <c r="N24405" s="1"/>
    </row>
    <row r="24406" spans="7:14" x14ac:dyDescent="0.3">
      <c r="G24406" s="1"/>
      <c r="N24406" s="1"/>
    </row>
    <row r="24407" spans="7:14" x14ac:dyDescent="0.3">
      <c r="G24407" s="1"/>
      <c r="N24407" s="1"/>
    </row>
    <row r="24408" spans="7:14" x14ac:dyDescent="0.3">
      <c r="G24408" s="1"/>
      <c r="N24408" s="1"/>
    </row>
    <row r="24409" spans="7:14" x14ac:dyDescent="0.3">
      <c r="G24409" s="1"/>
      <c r="N24409" s="1"/>
    </row>
    <row r="24410" spans="7:14" x14ac:dyDescent="0.3">
      <c r="G24410" s="1"/>
      <c r="N24410" s="1"/>
    </row>
    <row r="24411" spans="7:14" x14ac:dyDescent="0.3">
      <c r="G24411" s="1"/>
      <c r="N24411" s="1"/>
    </row>
    <row r="24412" spans="7:14" x14ac:dyDescent="0.3">
      <c r="G24412" s="1"/>
      <c r="N24412" s="1"/>
    </row>
    <row r="24413" spans="7:14" x14ac:dyDescent="0.3">
      <c r="G24413" s="1"/>
      <c r="N24413" s="1"/>
    </row>
    <row r="24414" spans="7:14" x14ac:dyDescent="0.3">
      <c r="G24414" s="1"/>
      <c r="N24414" s="1"/>
    </row>
    <row r="24415" spans="7:14" x14ac:dyDescent="0.3">
      <c r="G24415" s="1"/>
      <c r="N24415" s="1"/>
    </row>
    <row r="24416" spans="7:14" x14ac:dyDescent="0.3">
      <c r="G24416" s="1"/>
      <c r="N24416" s="1"/>
    </row>
    <row r="24417" spans="7:14" x14ac:dyDescent="0.3">
      <c r="G24417" s="1"/>
      <c r="N24417" s="1"/>
    </row>
    <row r="24418" spans="7:14" x14ac:dyDescent="0.3">
      <c r="G24418" s="1"/>
      <c r="N24418" s="1"/>
    </row>
    <row r="24419" spans="7:14" x14ac:dyDescent="0.3">
      <c r="G24419" s="1"/>
      <c r="N24419" s="1"/>
    </row>
    <row r="24420" spans="7:14" x14ac:dyDescent="0.3">
      <c r="G24420" s="1"/>
      <c r="N24420" s="1"/>
    </row>
    <row r="24421" spans="7:14" x14ac:dyDescent="0.3">
      <c r="G24421" s="1"/>
      <c r="N24421" s="1"/>
    </row>
    <row r="24422" spans="7:14" x14ac:dyDescent="0.3">
      <c r="G24422" s="1"/>
      <c r="N24422" s="1"/>
    </row>
    <row r="24423" spans="7:14" x14ac:dyDescent="0.3">
      <c r="G24423" s="1"/>
      <c r="N24423" s="1"/>
    </row>
    <row r="24424" spans="7:14" x14ac:dyDescent="0.3">
      <c r="G24424" s="1"/>
      <c r="N24424" s="1"/>
    </row>
    <row r="24425" spans="7:14" x14ac:dyDescent="0.3">
      <c r="G24425" s="1"/>
      <c r="N24425" s="1"/>
    </row>
    <row r="24426" spans="7:14" x14ac:dyDescent="0.3">
      <c r="G24426" s="1"/>
      <c r="N24426" s="1"/>
    </row>
    <row r="24427" spans="7:14" x14ac:dyDescent="0.3">
      <c r="G24427" s="1"/>
      <c r="N24427" s="1"/>
    </row>
    <row r="24428" spans="7:14" x14ac:dyDescent="0.3">
      <c r="G24428" s="1"/>
      <c r="N24428" s="1"/>
    </row>
    <row r="24429" spans="7:14" x14ac:dyDescent="0.3">
      <c r="G24429" s="1"/>
      <c r="N24429" s="1"/>
    </row>
    <row r="24430" spans="7:14" x14ac:dyDescent="0.3">
      <c r="G24430" s="1"/>
      <c r="N24430" s="1"/>
    </row>
    <row r="24431" spans="7:14" x14ac:dyDescent="0.3">
      <c r="G24431" s="1"/>
      <c r="N24431" s="1"/>
    </row>
    <row r="24432" spans="7:14" x14ac:dyDescent="0.3">
      <c r="G24432" s="1"/>
      <c r="N24432" s="1"/>
    </row>
    <row r="24433" spans="7:14" x14ac:dyDescent="0.3">
      <c r="G24433" s="1"/>
      <c r="N24433" s="1"/>
    </row>
    <row r="24434" spans="7:14" x14ac:dyDescent="0.3">
      <c r="G24434" s="1"/>
      <c r="N24434" s="1"/>
    </row>
    <row r="24435" spans="7:14" x14ac:dyDescent="0.3">
      <c r="G24435" s="1"/>
      <c r="N24435" s="1"/>
    </row>
    <row r="24436" spans="7:14" x14ac:dyDescent="0.3">
      <c r="G24436" s="1"/>
      <c r="N24436" s="1"/>
    </row>
    <row r="24437" spans="7:14" x14ac:dyDescent="0.3">
      <c r="G24437" s="1"/>
      <c r="N24437" s="1"/>
    </row>
    <row r="24438" spans="7:14" x14ac:dyDescent="0.3">
      <c r="G24438" s="1"/>
      <c r="N24438" s="1"/>
    </row>
    <row r="24439" spans="7:14" x14ac:dyDescent="0.3">
      <c r="G24439" s="1"/>
      <c r="N24439" s="1"/>
    </row>
    <row r="24440" spans="7:14" x14ac:dyDescent="0.3">
      <c r="G24440" s="1"/>
      <c r="N24440" s="1"/>
    </row>
    <row r="24441" spans="7:14" x14ac:dyDescent="0.3">
      <c r="G24441" s="1"/>
      <c r="N24441" s="1"/>
    </row>
    <row r="24442" spans="7:14" x14ac:dyDescent="0.3">
      <c r="G24442" s="1"/>
      <c r="N24442" s="1"/>
    </row>
    <row r="24443" spans="7:14" x14ac:dyDescent="0.3">
      <c r="G24443" s="1"/>
      <c r="N24443" s="1"/>
    </row>
    <row r="24444" spans="7:14" x14ac:dyDescent="0.3">
      <c r="G24444" s="1"/>
      <c r="N24444" s="1"/>
    </row>
    <row r="24445" spans="7:14" x14ac:dyDescent="0.3">
      <c r="G24445" s="1"/>
      <c r="N24445" s="1"/>
    </row>
    <row r="24446" spans="7:14" x14ac:dyDescent="0.3">
      <c r="G24446" s="1"/>
      <c r="N24446" s="1"/>
    </row>
    <row r="24447" spans="7:14" x14ac:dyDescent="0.3">
      <c r="G24447" s="1"/>
      <c r="N24447" s="1"/>
    </row>
    <row r="24448" spans="7:14" x14ac:dyDescent="0.3">
      <c r="G24448" s="1"/>
      <c r="N24448" s="1"/>
    </row>
    <row r="24449" spans="7:14" x14ac:dyDescent="0.3">
      <c r="G24449" s="1"/>
      <c r="N24449" s="1"/>
    </row>
    <row r="24450" spans="7:14" x14ac:dyDescent="0.3">
      <c r="G24450" s="1"/>
      <c r="N24450" s="1"/>
    </row>
    <row r="24451" spans="7:14" x14ac:dyDescent="0.3">
      <c r="G24451" s="1"/>
      <c r="N24451" s="1"/>
    </row>
    <row r="24452" spans="7:14" x14ac:dyDescent="0.3">
      <c r="G24452" s="1"/>
      <c r="N24452" s="1"/>
    </row>
    <row r="24453" spans="7:14" x14ac:dyDescent="0.3">
      <c r="G24453" s="1"/>
      <c r="N24453" s="1"/>
    </row>
    <row r="24454" spans="7:14" x14ac:dyDescent="0.3">
      <c r="G24454" s="1"/>
      <c r="N24454" s="1"/>
    </row>
    <row r="24455" spans="7:14" x14ac:dyDescent="0.3">
      <c r="G24455" s="1"/>
      <c r="N24455" s="1"/>
    </row>
    <row r="24456" spans="7:14" x14ac:dyDescent="0.3">
      <c r="G24456" s="1"/>
      <c r="N24456" s="1"/>
    </row>
    <row r="24457" spans="7:14" x14ac:dyDescent="0.3">
      <c r="G24457" s="1"/>
      <c r="N24457" s="1"/>
    </row>
    <row r="24458" spans="7:14" x14ac:dyDescent="0.3">
      <c r="G24458" s="1"/>
      <c r="N24458" s="1"/>
    </row>
    <row r="24459" spans="7:14" x14ac:dyDescent="0.3">
      <c r="G24459" s="1"/>
      <c r="N24459" s="1"/>
    </row>
    <row r="24460" spans="7:14" x14ac:dyDescent="0.3">
      <c r="G24460" s="1"/>
      <c r="N24460" s="1"/>
    </row>
    <row r="24461" spans="7:14" x14ac:dyDescent="0.3">
      <c r="G24461" s="1"/>
      <c r="N24461" s="1"/>
    </row>
    <row r="24462" spans="7:14" x14ac:dyDescent="0.3">
      <c r="G24462" s="1"/>
      <c r="N24462" s="1"/>
    </row>
    <row r="24463" spans="7:14" x14ac:dyDescent="0.3">
      <c r="G24463" s="1"/>
      <c r="N24463" s="1"/>
    </row>
    <row r="24464" spans="7:14" x14ac:dyDescent="0.3">
      <c r="G24464" s="1"/>
      <c r="N24464" s="1"/>
    </row>
    <row r="24465" spans="7:14" x14ac:dyDescent="0.3">
      <c r="G24465" s="1"/>
      <c r="N24465" s="1"/>
    </row>
    <row r="24466" spans="7:14" x14ac:dyDescent="0.3">
      <c r="G24466" s="1"/>
      <c r="N24466" s="1"/>
    </row>
    <row r="24467" spans="7:14" x14ac:dyDescent="0.3">
      <c r="G24467" s="1"/>
      <c r="N24467" s="1"/>
    </row>
    <row r="24468" spans="7:14" x14ac:dyDescent="0.3">
      <c r="G24468" s="1"/>
      <c r="N24468" s="1"/>
    </row>
    <row r="24469" spans="7:14" x14ac:dyDescent="0.3">
      <c r="G24469" s="1"/>
      <c r="N24469" s="1"/>
    </row>
    <row r="24470" spans="7:14" x14ac:dyDescent="0.3">
      <c r="G24470" s="1"/>
      <c r="N24470" s="1"/>
    </row>
    <row r="24471" spans="7:14" x14ac:dyDescent="0.3">
      <c r="G24471" s="1"/>
      <c r="N24471" s="1"/>
    </row>
    <row r="24472" spans="7:14" x14ac:dyDescent="0.3">
      <c r="G24472" s="1"/>
      <c r="N24472" s="1"/>
    </row>
    <row r="24473" spans="7:14" x14ac:dyDescent="0.3">
      <c r="G24473" s="1"/>
      <c r="N24473" s="1"/>
    </row>
    <row r="24474" spans="7:14" x14ac:dyDescent="0.3">
      <c r="G24474" s="1"/>
      <c r="N24474" s="1"/>
    </row>
    <row r="24475" spans="7:14" x14ac:dyDescent="0.3">
      <c r="G24475" s="1"/>
      <c r="N24475" s="1"/>
    </row>
    <row r="24476" spans="7:14" x14ac:dyDescent="0.3">
      <c r="G24476" s="1"/>
      <c r="N24476" s="1"/>
    </row>
    <row r="24477" spans="7:14" x14ac:dyDescent="0.3">
      <c r="G24477" s="1"/>
      <c r="N24477" s="1"/>
    </row>
    <row r="24478" spans="7:14" x14ac:dyDescent="0.3">
      <c r="G24478" s="1"/>
      <c r="N24478" s="1"/>
    </row>
    <row r="24479" spans="7:14" x14ac:dyDescent="0.3">
      <c r="G24479" s="1"/>
      <c r="N24479" s="1"/>
    </row>
    <row r="24480" spans="7:14" x14ac:dyDescent="0.3">
      <c r="G24480" s="1"/>
      <c r="N24480" s="1"/>
    </row>
    <row r="24481" spans="7:14" x14ac:dyDescent="0.3">
      <c r="G24481" s="1"/>
      <c r="N24481" s="1"/>
    </row>
    <row r="24482" spans="7:14" x14ac:dyDescent="0.3">
      <c r="G24482" s="1"/>
      <c r="N24482" s="1"/>
    </row>
    <row r="24483" spans="7:14" x14ac:dyDescent="0.3">
      <c r="G24483" s="1"/>
      <c r="N24483" s="1"/>
    </row>
    <row r="24484" spans="7:14" x14ac:dyDescent="0.3">
      <c r="G24484" s="1"/>
      <c r="N24484" s="1"/>
    </row>
    <row r="24485" spans="7:14" x14ac:dyDescent="0.3">
      <c r="G24485" s="1"/>
      <c r="N24485" s="1"/>
    </row>
    <row r="24486" spans="7:14" x14ac:dyDescent="0.3">
      <c r="G24486" s="1"/>
      <c r="N24486" s="1"/>
    </row>
    <row r="24487" spans="7:14" x14ac:dyDescent="0.3">
      <c r="G24487" s="1"/>
      <c r="N24487" s="1"/>
    </row>
    <row r="24488" spans="7:14" x14ac:dyDescent="0.3">
      <c r="G24488" s="1"/>
      <c r="N24488" s="1"/>
    </row>
    <row r="24489" spans="7:14" x14ac:dyDescent="0.3">
      <c r="G24489" s="1"/>
      <c r="N24489" s="1"/>
    </row>
    <row r="24490" spans="7:14" x14ac:dyDescent="0.3">
      <c r="G24490" s="1"/>
      <c r="N24490" s="1"/>
    </row>
    <row r="24491" spans="7:14" x14ac:dyDescent="0.3">
      <c r="G24491" s="1"/>
      <c r="N24491" s="1"/>
    </row>
    <row r="24492" spans="7:14" x14ac:dyDescent="0.3">
      <c r="G24492" s="1"/>
      <c r="N24492" s="1"/>
    </row>
    <row r="24493" spans="7:14" x14ac:dyDescent="0.3">
      <c r="G24493" s="1"/>
      <c r="N24493" s="1"/>
    </row>
    <row r="24494" spans="7:14" x14ac:dyDescent="0.3">
      <c r="G24494" s="1"/>
      <c r="N24494" s="1"/>
    </row>
    <row r="24495" spans="7:14" x14ac:dyDescent="0.3">
      <c r="G24495" s="1"/>
      <c r="N24495" s="1"/>
    </row>
    <row r="24496" spans="7:14" x14ac:dyDescent="0.3">
      <c r="G24496" s="1"/>
      <c r="N24496" s="1"/>
    </row>
    <row r="24497" spans="7:14" x14ac:dyDescent="0.3">
      <c r="G24497" s="1"/>
      <c r="N24497" s="1"/>
    </row>
    <row r="24498" spans="7:14" x14ac:dyDescent="0.3">
      <c r="G24498" s="1"/>
      <c r="N24498" s="1"/>
    </row>
    <row r="24499" spans="7:14" x14ac:dyDescent="0.3">
      <c r="G24499" s="1"/>
      <c r="N24499" s="1"/>
    </row>
    <row r="24500" spans="7:14" x14ac:dyDescent="0.3">
      <c r="G24500" s="1"/>
      <c r="N24500" s="1"/>
    </row>
    <row r="24501" spans="7:14" x14ac:dyDescent="0.3">
      <c r="G24501" s="1"/>
      <c r="N24501" s="1"/>
    </row>
    <row r="24502" spans="7:14" x14ac:dyDescent="0.3">
      <c r="G24502" s="1"/>
      <c r="N24502" s="1"/>
    </row>
    <row r="24503" spans="7:14" x14ac:dyDescent="0.3">
      <c r="G24503" s="1"/>
      <c r="N24503" s="1"/>
    </row>
    <row r="24504" spans="7:14" x14ac:dyDescent="0.3">
      <c r="G24504" s="1"/>
      <c r="N24504" s="1"/>
    </row>
    <row r="24505" spans="7:14" x14ac:dyDescent="0.3">
      <c r="G24505" s="1"/>
      <c r="N24505" s="1"/>
    </row>
    <row r="24506" spans="7:14" x14ac:dyDescent="0.3">
      <c r="G24506" s="1"/>
      <c r="N24506" s="1"/>
    </row>
    <row r="24507" spans="7:14" x14ac:dyDescent="0.3">
      <c r="G24507" s="1"/>
      <c r="N24507" s="1"/>
    </row>
    <row r="24508" spans="7:14" x14ac:dyDescent="0.3">
      <c r="G24508" s="1"/>
      <c r="N24508" s="1"/>
    </row>
    <row r="24509" spans="7:14" x14ac:dyDescent="0.3">
      <c r="G24509" s="1"/>
      <c r="N24509" s="1"/>
    </row>
    <row r="24510" spans="7:14" x14ac:dyDescent="0.3">
      <c r="G24510" s="1"/>
      <c r="N24510" s="1"/>
    </row>
    <row r="24511" spans="7:14" x14ac:dyDescent="0.3">
      <c r="G24511" s="1"/>
      <c r="N24511" s="1"/>
    </row>
    <row r="24512" spans="7:14" x14ac:dyDescent="0.3">
      <c r="G24512" s="1"/>
      <c r="N24512" s="1"/>
    </row>
    <row r="24513" spans="7:14" x14ac:dyDescent="0.3">
      <c r="G24513" s="1"/>
      <c r="N24513" s="1"/>
    </row>
    <row r="24514" spans="7:14" x14ac:dyDescent="0.3">
      <c r="G24514" s="1"/>
      <c r="N24514" s="1"/>
    </row>
    <row r="24515" spans="7:14" x14ac:dyDescent="0.3">
      <c r="G24515" s="1"/>
      <c r="N24515" s="1"/>
    </row>
    <row r="24516" spans="7:14" x14ac:dyDescent="0.3">
      <c r="G24516" s="1"/>
      <c r="N24516" s="1"/>
    </row>
    <row r="24517" spans="7:14" x14ac:dyDescent="0.3">
      <c r="G24517" s="1"/>
      <c r="N24517" s="1"/>
    </row>
    <row r="24518" spans="7:14" x14ac:dyDescent="0.3">
      <c r="G24518" s="1"/>
      <c r="N24518" s="1"/>
    </row>
    <row r="24519" spans="7:14" x14ac:dyDescent="0.3">
      <c r="G24519" s="1"/>
      <c r="N24519" s="1"/>
    </row>
    <row r="24520" spans="7:14" x14ac:dyDescent="0.3">
      <c r="G24520" s="1"/>
      <c r="N24520" s="1"/>
    </row>
    <row r="24521" spans="7:14" x14ac:dyDescent="0.3">
      <c r="G24521" s="1"/>
      <c r="N24521" s="1"/>
    </row>
    <row r="24522" spans="7:14" x14ac:dyDescent="0.3">
      <c r="G24522" s="1"/>
      <c r="N24522" s="1"/>
    </row>
    <row r="24523" spans="7:14" x14ac:dyDescent="0.3">
      <c r="G24523" s="1"/>
      <c r="N24523" s="1"/>
    </row>
    <row r="24524" spans="7:14" x14ac:dyDescent="0.3">
      <c r="G24524" s="1"/>
      <c r="N24524" s="1"/>
    </row>
    <row r="24525" spans="7:14" x14ac:dyDescent="0.3">
      <c r="G24525" s="1"/>
      <c r="N24525" s="1"/>
    </row>
    <row r="24526" spans="7:14" x14ac:dyDescent="0.3">
      <c r="G24526" s="1"/>
      <c r="N24526" s="1"/>
    </row>
    <row r="24527" spans="7:14" x14ac:dyDescent="0.3">
      <c r="G24527" s="1"/>
      <c r="N24527" s="1"/>
    </row>
    <row r="24528" spans="7:14" x14ac:dyDescent="0.3">
      <c r="G24528" s="1"/>
      <c r="N24528" s="1"/>
    </row>
    <row r="24529" spans="7:14" x14ac:dyDescent="0.3">
      <c r="G24529" s="1"/>
      <c r="N24529" s="1"/>
    </row>
    <row r="24530" spans="7:14" x14ac:dyDescent="0.3">
      <c r="G24530" s="1"/>
      <c r="N24530" s="1"/>
    </row>
    <row r="24531" spans="7:14" x14ac:dyDescent="0.3">
      <c r="G24531" s="1"/>
      <c r="N24531" s="1"/>
    </row>
    <row r="24532" spans="7:14" x14ac:dyDescent="0.3">
      <c r="G24532" s="1"/>
      <c r="N24532" s="1"/>
    </row>
    <row r="24533" spans="7:14" x14ac:dyDescent="0.3">
      <c r="G24533" s="1"/>
      <c r="N24533" s="1"/>
    </row>
    <row r="24534" spans="7:14" x14ac:dyDescent="0.3">
      <c r="G24534" s="1"/>
      <c r="N24534" s="1"/>
    </row>
    <row r="24535" spans="7:14" x14ac:dyDescent="0.3">
      <c r="G24535" s="1"/>
      <c r="N24535" s="1"/>
    </row>
    <row r="24536" spans="7:14" x14ac:dyDescent="0.3">
      <c r="G24536" s="1"/>
      <c r="N24536" s="1"/>
    </row>
    <row r="24537" spans="7:14" x14ac:dyDescent="0.3">
      <c r="G24537" s="1"/>
      <c r="N24537" s="1"/>
    </row>
    <row r="24538" spans="7:14" x14ac:dyDescent="0.3">
      <c r="G24538" s="1"/>
      <c r="N24538" s="1"/>
    </row>
    <row r="24539" spans="7:14" x14ac:dyDescent="0.3">
      <c r="G24539" s="1"/>
      <c r="N24539" s="1"/>
    </row>
    <row r="24540" spans="7:14" x14ac:dyDescent="0.3">
      <c r="G24540" s="1"/>
      <c r="N24540" s="1"/>
    </row>
    <row r="24541" spans="7:14" x14ac:dyDescent="0.3">
      <c r="G24541" s="1"/>
      <c r="N24541" s="1"/>
    </row>
    <row r="24542" spans="7:14" x14ac:dyDescent="0.3">
      <c r="G24542" s="1"/>
      <c r="N24542" s="1"/>
    </row>
    <row r="24543" spans="7:14" x14ac:dyDescent="0.3">
      <c r="G24543" s="1"/>
      <c r="N24543" s="1"/>
    </row>
    <row r="24544" spans="7:14" x14ac:dyDescent="0.3">
      <c r="G24544" s="1"/>
      <c r="N24544" s="1"/>
    </row>
    <row r="24545" spans="7:14" x14ac:dyDescent="0.3">
      <c r="G24545" s="1"/>
      <c r="N24545" s="1"/>
    </row>
    <row r="24546" spans="7:14" x14ac:dyDescent="0.3">
      <c r="G24546" s="1"/>
      <c r="N24546" s="1"/>
    </row>
    <row r="24547" spans="7:14" x14ac:dyDescent="0.3">
      <c r="G24547" s="1"/>
      <c r="N24547" s="1"/>
    </row>
    <row r="24548" spans="7:14" x14ac:dyDescent="0.3">
      <c r="G24548" s="1"/>
      <c r="N24548" s="1"/>
    </row>
    <row r="24549" spans="7:14" x14ac:dyDescent="0.3">
      <c r="G24549" s="1"/>
      <c r="N24549" s="1"/>
    </row>
    <row r="24550" spans="7:14" x14ac:dyDescent="0.3">
      <c r="G24550" s="1"/>
      <c r="N24550" s="1"/>
    </row>
    <row r="24551" spans="7:14" x14ac:dyDescent="0.3">
      <c r="G24551" s="1"/>
      <c r="N24551" s="1"/>
    </row>
    <row r="24552" spans="7:14" x14ac:dyDescent="0.3">
      <c r="G24552" s="1"/>
      <c r="N24552" s="1"/>
    </row>
    <row r="24553" spans="7:14" x14ac:dyDescent="0.3">
      <c r="G24553" s="1"/>
      <c r="N24553" s="1"/>
    </row>
    <row r="24554" spans="7:14" x14ac:dyDescent="0.3">
      <c r="G24554" s="1"/>
      <c r="N24554" s="1"/>
    </row>
    <row r="24555" spans="7:14" x14ac:dyDescent="0.3">
      <c r="G24555" s="1"/>
      <c r="N24555" s="1"/>
    </row>
    <row r="24556" spans="7:14" x14ac:dyDescent="0.3">
      <c r="G24556" s="1"/>
      <c r="N24556" s="1"/>
    </row>
    <row r="24557" spans="7:14" x14ac:dyDescent="0.3">
      <c r="G24557" s="1"/>
      <c r="N24557" s="1"/>
    </row>
    <row r="24558" spans="7:14" x14ac:dyDescent="0.3">
      <c r="G24558" s="1"/>
      <c r="N24558" s="1"/>
    </row>
    <row r="24559" spans="7:14" x14ac:dyDescent="0.3">
      <c r="G24559" s="1"/>
      <c r="N24559" s="1"/>
    </row>
    <row r="24560" spans="7:14" x14ac:dyDescent="0.3">
      <c r="G24560" s="1"/>
      <c r="N24560" s="1"/>
    </row>
    <row r="24561" spans="7:14" x14ac:dyDescent="0.3">
      <c r="G24561" s="1"/>
      <c r="N24561" s="1"/>
    </row>
    <row r="24562" spans="7:14" x14ac:dyDescent="0.3">
      <c r="G24562" s="1"/>
      <c r="N24562" s="1"/>
    </row>
    <row r="24563" spans="7:14" x14ac:dyDescent="0.3">
      <c r="G24563" s="1"/>
      <c r="N24563" s="1"/>
    </row>
    <row r="24564" spans="7:14" x14ac:dyDescent="0.3">
      <c r="G24564" s="1"/>
      <c r="N24564" s="1"/>
    </row>
    <row r="24565" spans="7:14" x14ac:dyDescent="0.3">
      <c r="G24565" s="1"/>
      <c r="N24565" s="1"/>
    </row>
    <row r="24566" spans="7:14" x14ac:dyDescent="0.3">
      <c r="G24566" s="1"/>
      <c r="N24566" s="1"/>
    </row>
    <row r="24567" spans="7:14" x14ac:dyDescent="0.3">
      <c r="G24567" s="1"/>
      <c r="N24567" s="1"/>
    </row>
    <row r="24568" spans="7:14" x14ac:dyDescent="0.3">
      <c r="G24568" s="1"/>
      <c r="N24568" s="1"/>
    </row>
    <row r="24569" spans="7:14" x14ac:dyDescent="0.3">
      <c r="G24569" s="1"/>
      <c r="N24569" s="1"/>
    </row>
    <row r="24570" spans="7:14" x14ac:dyDescent="0.3">
      <c r="G24570" s="1"/>
      <c r="N24570" s="1"/>
    </row>
    <row r="24571" spans="7:14" x14ac:dyDescent="0.3">
      <c r="G24571" s="1"/>
      <c r="N24571" s="1"/>
    </row>
    <row r="24572" spans="7:14" x14ac:dyDescent="0.3">
      <c r="G24572" s="1"/>
      <c r="N24572" s="1"/>
    </row>
    <row r="24573" spans="7:14" x14ac:dyDescent="0.3">
      <c r="G24573" s="1"/>
      <c r="N24573" s="1"/>
    </row>
    <row r="24574" spans="7:14" x14ac:dyDescent="0.3">
      <c r="G24574" s="1"/>
      <c r="N24574" s="1"/>
    </row>
    <row r="24575" spans="7:14" x14ac:dyDescent="0.3">
      <c r="G24575" s="1"/>
      <c r="N24575" s="1"/>
    </row>
    <row r="24576" spans="7:14" x14ac:dyDescent="0.3">
      <c r="G24576" s="1"/>
      <c r="N24576" s="1"/>
    </row>
    <row r="24577" spans="7:14" x14ac:dyDescent="0.3">
      <c r="G24577" s="1"/>
      <c r="N24577" s="1"/>
    </row>
    <row r="24578" spans="7:14" x14ac:dyDescent="0.3">
      <c r="G24578" s="1"/>
      <c r="N24578" s="1"/>
    </row>
    <row r="24579" spans="7:14" x14ac:dyDescent="0.3">
      <c r="G24579" s="1"/>
      <c r="N24579" s="1"/>
    </row>
    <row r="24580" spans="7:14" x14ac:dyDescent="0.3">
      <c r="G24580" s="1"/>
      <c r="N24580" s="1"/>
    </row>
    <row r="24581" spans="7:14" x14ac:dyDescent="0.3">
      <c r="G24581" s="1"/>
      <c r="N24581" s="1"/>
    </row>
    <row r="24582" spans="7:14" x14ac:dyDescent="0.3">
      <c r="G24582" s="1"/>
      <c r="N24582" s="1"/>
    </row>
    <row r="24583" spans="7:14" x14ac:dyDescent="0.3">
      <c r="G24583" s="1"/>
      <c r="N24583" s="1"/>
    </row>
    <row r="24584" spans="7:14" x14ac:dyDescent="0.3">
      <c r="G24584" s="1"/>
      <c r="N24584" s="1"/>
    </row>
    <row r="24585" spans="7:14" x14ac:dyDescent="0.3">
      <c r="G24585" s="1"/>
      <c r="N24585" s="1"/>
    </row>
    <row r="24586" spans="7:14" x14ac:dyDescent="0.3">
      <c r="G24586" s="1"/>
      <c r="N24586" s="1"/>
    </row>
    <row r="24587" spans="7:14" x14ac:dyDescent="0.3">
      <c r="G24587" s="1"/>
      <c r="N24587" s="1"/>
    </row>
    <row r="24588" spans="7:14" x14ac:dyDescent="0.3">
      <c r="G24588" s="1"/>
      <c r="N24588" s="1"/>
    </row>
    <row r="24589" spans="7:14" x14ac:dyDescent="0.3">
      <c r="G24589" s="1"/>
      <c r="N24589" s="1"/>
    </row>
    <row r="24590" spans="7:14" x14ac:dyDescent="0.3">
      <c r="G24590" s="1"/>
      <c r="N24590" s="1"/>
    </row>
    <row r="24591" spans="7:14" x14ac:dyDescent="0.3">
      <c r="G24591" s="1"/>
      <c r="N24591" s="1"/>
    </row>
    <row r="24592" spans="7:14" x14ac:dyDescent="0.3">
      <c r="G24592" s="1"/>
      <c r="N24592" s="1"/>
    </row>
    <row r="24593" spans="7:14" x14ac:dyDescent="0.3">
      <c r="G24593" s="1"/>
      <c r="N24593" s="1"/>
    </row>
    <row r="24594" spans="7:14" x14ac:dyDescent="0.3">
      <c r="G24594" s="1"/>
      <c r="N24594" s="1"/>
    </row>
    <row r="24595" spans="7:14" x14ac:dyDescent="0.3">
      <c r="G24595" s="1"/>
      <c r="N24595" s="1"/>
    </row>
    <row r="24596" spans="7:14" x14ac:dyDescent="0.3">
      <c r="G24596" s="1"/>
      <c r="N24596" s="1"/>
    </row>
    <row r="24597" spans="7:14" x14ac:dyDescent="0.3">
      <c r="G24597" s="1"/>
      <c r="N24597" s="1"/>
    </row>
    <row r="24598" spans="7:14" x14ac:dyDescent="0.3">
      <c r="G24598" s="1"/>
      <c r="N24598" s="1"/>
    </row>
    <row r="24599" spans="7:14" x14ac:dyDescent="0.3">
      <c r="G24599" s="1"/>
      <c r="N24599" s="1"/>
    </row>
    <row r="24600" spans="7:14" x14ac:dyDescent="0.3">
      <c r="G24600" s="1"/>
      <c r="N24600" s="1"/>
    </row>
    <row r="24601" spans="7:14" x14ac:dyDescent="0.3">
      <c r="G24601" s="1"/>
      <c r="N24601" s="1"/>
    </row>
    <row r="24602" spans="7:14" x14ac:dyDescent="0.3">
      <c r="G24602" s="1"/>
      <c r="N24602" s="1"/>
    </row>
    <row r="24603" spans="7:14" x14ac:dyDescent="0.3">
      <c r="G24603" s="1"/>
      <c r="N24603" s="1"/>
    </row>
    <row r="24604" spans="7:14" x14ac:dyDescent="0.3">
      <c r="G24604" s="1"/>
      <c r="N24604" s="1"/>
    </row>
    <row r="24605" spans="7:14" x14ac:dyDescent="0.3">
      <c r="G24605" s="1"/>
      <c r="N24605" s="1"/>
    </row>
    <row r="24606" spans="7:14" x14ac:dyDescent="0.3">
      <c r="G24606" s="1"/>
      <c r="N24606" s="1"/>
    </row>
    <row r="24607" spans="7:14" x14ac:dyDescent="0.3">
      <c r="G24607" s="1"/>
      <c r="N24607" s="1"/>
    </row>
    <row r="24608" spans="7:14" x14ac:dyDescent="0.3">
      <c r="G24608" s="1"/>
      <c r="N24608" s="1"/>
    </row>
    <row r="24609" spans="7:14" x14ac:dyDescent="0.3">
      <c r="G24609" s="1"/>
      <c r="N24609" s="1"/>
    </row>
    <row r="24610" spans="7:14" x14ac:dyDescent="0.3">
      <c r="G24610" s="1"/>
      <c r="N24610" s="1"/>
    </row>
    <row r="24611" spans="7:14" x14ac:dyDescent="0.3">
      <c r="G24611" s="1"/>
      <c r="N24611" s="1"/>
    </row>
    <row r="24612" spans="7:14" x14ac:dyDescent="0.3">
      <c r="G24612" s="1"/>
      <c r="N24612" s="1"/>
    </row>
    <row r="24613" spans="7:14" x14ac:dyDescent="0.3">
      <c r="G24613" s="1"/>
      <c r="N24613" s="1"/>
    </row>
    <row r="24614" spans="7:14" x14ac:dyDescent="0.3">
      <c r="G24614" s="1"/>
      <c r="N24614" s="1"/>
    </row>
    <row r="24615" spans="7:14" x14ac:dyDescent="0.3">
      <c r="G24615" s="1"/>
      <c r="N24615" s="1"/>
    </row>
    <row r="24616" spans="7:14" x14ac:dyDescent="0.3">
      <c r="G24616" s="1"/>
      <c r="N24616" s="1"/>
    </row>
    <row r="24617" spans="7:14" x14ac:dyDescent="0.3">
      <c r="G24617" s="1"/>
      <c r="N24617" s="1"/>
    </row>
    <row r="24618" spans="7:14" x14ac:dyDescent="0.3">
      <c r="G24618" s="1"/>
      <c r="N24618" s="1"/>
    </row>
    <row r="24619" spans="7:14" x14ac:dyDescent="0.3">
      <c r="G24619" s="1"/>
      <c r="N24619" s="1"/>
    </row>
    <row r="24620" spans="7:14" x14ac:dyDescent="0.3">
      <c r="G24620" s="1"/>
      <c r="N24620" s="1"/>
    </row>
    <row r="24621" spans="7:14" x14ac:dyDescent="0.3">
      <c r="G24621" s="1"/>
      <c r="N24621" s="1"/>
    </row>
    <row r="24622" spans="7:14" x14ac:dyDescent="0.3">
      <c r="G24622" s="1"/>
      <c r="N24622" s="1"/>
    </row>
    <row r="24623" spans="7:14" x14ac:dyDescent="0.3">
      <c r="G24623" s="1"/>
      <c r="N24623" s="1"/>
    </row>
    <row r="24624" spans="7:14" x14ac:dyDescent="0.3">
      <c r="G24624" s="1"/>
      <c r="N24624" s="1"/>
    </row>
    <row r="24625" spans="7:14" x14ac:dyDescent="0.3">
      <c r="G24625" s="1"/>
      <c r="N24625" s="1"/>
    </row>
    <row r="24626" spans="7:14" x14ac:dyDescent="0.3">
      <c r="G24626" s="1"/>
      <c r="N24626" s="1"/>
    </row>
    <row r="24627" spans="7:14" x14ac:dyDescent="0.3">
      <c r="G24627" s="1"/>
      <c r="N24627" s="1"/>
    </row>
    <row r="24628" spans="7:14" x14ac:dyDescent="0.3">
      <c r="G24628" s="1"/>
      <c r="N24628" s="1"/>
    </row>
    <row r="24629" spans="7:14" x14ac:dyDescent="0.3">
      <c r="G24629" s="1"/>
      <c r="N24629" s="1"/>
    </row>
    <row r="24630" spans="7:14" x14ac:dyDescent="0.3">
      <c r="G24630" s="1"/>
      <c r="N24630" s="1"/>
    </row>
    <row r="24631" spans="7:14" x14ac:dyDescent="0.3">
      <c r="G24631" s="1"/>
      <c r="N24631" s="1"/>
    </row>
    <row r="24632" spans="7:14" x14ac:dyDescent="0.3">
      <c r="G24632" s="1"/>
      <c r="N24632" s="1"/>
    </row>
    <row r="24633" spans="7:14" x14ac:dyDescent="0.3">
      <c r="G24633" s="1"/>
      <c r="N24633" s="1"/>
    </row>
    <row r="24634" spans="7:14" x14ac:dyDescent="0.3">
      <c r="G24634" s="1"/>
      <c r="N24634" s="1"/>
    </row>
    <row r="24635" spans="7:14" x14ac:dyDescent="0.3">
      <c r="G24635" s="1"/>
      <c r="N24635" s="1"/>
    </row>
    <row r="24636" spans="7:14" x14ac:dyDescent="0.3">
      <c r="G24636" s="1"/>
      <c r="N24636" s="1"/>
    </row>
    <row r="24637" spans="7:14" x14ac:dyDescent="0.3">
      <c r="G24637" s="1"/>
      <c r="N24637" s="1"/>
    </row>
    <row r="24638" spans="7:14" x14ac:dyDescent="0.3">
      <c r="G24638" s="1"/>
      <c r="N24638" s="1"/>
    </row>
    <row r="24639" spans="7:14" x14ac:dyDescent="0.3">
      <c r="G24639" s="1"/>
      <c r="N24639" s="1"/>
    </row>
    <row r="24640" spans="7:14" x14ac:dyDescent="0.3">
      <c r="G24640" s="1"/>
      <c r="N24640" s="1"/>
    </row>
    <row r="24641" spans="7:14" x14ac:dyDescent="0.3">
      <c r="G24641" s="1"/>
      <c r="N24641" s="1"/>
    </row>
    <row r="24642" spans="7:14" x14ac:dyDescent="0.3">
      <c r="G24642" s="1"/>
      <c r="N24642" s="1"/>
    </row>
    <row r="24643" spans="7:14" x14ac:dyDescent="0.3">
      <c r="G24643" s="1"/>
      <c r="N24643" s="1"/>
    </row>
    <row r="24644" spans="7:14" x14ac:dyDescent="0.3">
      <c r="G24644" s="1"/>
      <c r="N24644" s="1"/>
    </row>
    <row r="24645" spans="7:14" x14ac:dyDescent="0.3">
      <c r="G24645" s="1"/>
      <c r="N24645" s="1"/>
    </row>
    <row r="24646" spans="7:14" x14ac:dyDescent="0.3">
      <c r="G24646" s="1"/>
      <c r="N24646" s="1"/>
    </row>
    <row r="24647" spans="7:14" x14ac:dyDescent="0.3">
      <c r="G24647" s="1"/>
      <c r="N24647" s="1"/>
    </row>
    <row r="24648" spans="7:14" x14ac:dyDescent="0.3">
      <c r="G24648" s="1"/>
      <c r="N24648" s="1"/>
    </row>
    <row r="24649" spans="7:14" x14ac:dyDescent="0.3">
      <c r="G24649" s="1"/>
      <c r="N24649" s="1"/>
    </row>
    <row r="24650" spans="7:14" x14ac:dyDescent="0.3">
      <c r="G24650" s="1"/>
      <c r="N24650" s="1"/>
    </row>
    <row r="24651" spans="7:14" x14ac:dyDescent="0.3">
      <c r="G24651" s="1"/>
      <c r="N24651" s="1"/>
    </row>
    <row r="24652" spans="7:14" x14ac:dyDescent="0.3">
      <c r="G24652" s="1"/>
      <c r="N24652" s="1"/>
    </row>
    <row r="24653" spans="7:14" x14ac:dyDescent="0.3">
      <c r="G24653" s="1"/>
      <c r="N24653" s="1"/>
    </row>
    <row r="24654" spans="7:14" x14ac:dyDescent="0.3">
      <c r="G24654" s="1"/>
      <c r="N24654" s="1"/>
    </row>
    <row r="24655" spans="7:14" x14ac:dyDescent="0.3">
      <c r="G24655" s="1"/>
      <c r="N24655" s="1"/>
    </row>
    <row r="24656" spans="7:14" x14ac:dyDescent="0.3">
      <c r="G24656" s="1"/>
      <c r="N24656" s="1"/>
    </row>
    <row r="24657" spans="7:14" x14ac:dyDescent="0.3">
      <c r="G24657" s="1"/>
      <c r="N24657" s="1"/>
    </row>
    <row r="24658" spans="7:14" x14ac:dyDescent="0.3">
      <c r="G24658" s="1"/>
      <c r="N24658" s="1"/>
    </row>
    <row r="24659" spans="7:14" x14ac:dyDescent="0.3">
      <c r="G24659" s="1"/>
      <c r="N24659" s="1"/>
    </row>
    <row r="24660" spans="7:14" x14ac:dyDescent="0.3">
      <c r="G24660" s="1"/>
      <c r="N24660" s="1"/>
    </row>
    <row r="24661" spans="7:14" x14ac:dyDescent="0.3">
      <c r="G24661" s="1"/>
      <c r="N24661" s="1"/>
    </row>
    <row r="24662" spans="7:14" x14ac:dyDescent="0.3">
      <c r="G24662" s="1"/>
      <c r="N24662" s="1"/>
    </row>
    <row r="24663" spans="7:14" x14ac:dyDescent="0.3">
      <c r="G24663" s="1"/>
      <c r="N24663" s="1"/>
    </row>
    <row r="24664" spans="7:14" x14ac:dyDescent="0.3">
      <c r="G24664" s="1"/>
      <c r="N24664" s="1"/>
    </row>
    <row r="24665" spans="7:14" x14ac:dyDescent="0.3">
      <c r="G24665" s="1"/>
      <c r="N24665" s="1"/>
    </row>
    <row r="24666" spans="7:14" x14ac:dyDescent="0.3">
      <c r="G24666" s="1"/>
      <c r="N24666" s="1"/>
    </row>
    <row r="24667" spans="7:14" x14ac:dyDescent="0.3">
      <c r="G24667" s="1"/>
      <c r="N24667" s="1"/>
    </row>
    <row r="24668" spans="7:14" x14ac:dyDescent="0.3">
      <c r="G24668" s="1"/>
      <c r="N24668" s="1"/>
    </row>
    <row r="24669" spans="7:14" x14ac:dyDescent="0.3">
      <c r="G24669" s="1"/>
      <c r="N24669" s="1"/>
    </row>
    <row r="24670" spans="7:14" x14ac:dyDescent="0.3">
      <c r="G24670" s="1"/>
      <c r="N24670" s="1"/>
    </row>
    <row r="24671" spans="7:14" x14ac:dyDescent="0.3">
      <c r="G24671" s="1"/>
      <c r="N24671" s="1"/>
    </row>
    <row r="24672" spans="7:14" x14ac:dyDescent="0.3">
      <c r="G24672" s="1"/>
      <c r="N24672" s="1"/>
    </row>
    <row r="24673" spans="7:14" x14ac:dyDescent="0.3">
      <c r="G24673" s="1"/>
      <c r="N24673" s="1"/>
    </row>
    <row r="24674" spans="7:14" x14ac:dyDescent="0.3">
      <c r="G24674" s="1"/>
      <c r="N24674" s="1"/>
    </row>
    <row r="24675" spans="7:14" x14ac:dyDescent="0.3">
      <c r="G24675" s="1"/>
      <c r="N24675" s="1"/>
    </row>
    <row r="24676" spans="7:14" x14ac:dyDescent="0.3">
      <c r="G24676" s="1"/>
      <c r="N24676" s="1"/>
    </row>
    <row r="24677" spans="7:14" x14ac:dyDescent="0.3">
      <c r="G24677" s="1"/>
      <c r="N24677" s="1"/>
    </row>
    <row r="24678" spans="7:14" x14ac:dyDescent="0.3">
      <c r="G24678" s="1"/>
      <c r="N24678" s="1"/>
    </row>
    <row r="24679" spans="7:14" x14ac:dyDescent="0.3">
      <c r="G24679" s="1"/>
      <c r="N24679" s="1"/>
    </row>
    <row r="24680" spans="7:14" x14ac:dyDescent="0.3">
      <c r="G24680" s="1"/>
      <c r="N24680" s="1"/>
    </row>
    <row r="24681" spans="7:14" x14ac:dyDescent="0.3">
      <c r="G24681" s="1"/>
      <c r="N24681" s="1"/>
    </row>
    <row r="24682" spans="7:14" x14ac:dyDescent="0.3">
      <c r="G24682" s="1"/>
      <c r="N24682" s="1"/>
    </row>
    <row r="24683" spans="7:14" x14ac:dyDescent="0.3">
      <c r="G24683" s="1"/>
      <c r="N24683" s="1"/>
    </row>
    <row r="24684" spans="7:14" x14ac:dyDescent="0.3">
      <c r="G24684" s="1"/>
      <c r="N24684" s="1"/>
    </row>
    <row r="24685" spans="7:14" x14ac:dyDescent="0.3">
      <c r="G24685" s="1"/>
      <c r="N24685" s="1"/>
    </row>
    <row r="24686" spans="7:14" x14ac:dyDescent="0.3">
      <c r="G24686" s="1"/>
      <c r="N24686" s="1"/>
    </row>
    <row r="24687" spans="7:14" x14ac:dyDescent="0.3">
      <c r="G24687" s="1"/>
      <c r="N24687" s="1"/>
    </row>
    <row r="24688" spans="7:14" x14ac:dyDescent="0.3">
      <c r="G24688" s="1"/>
      <c r="N24688" s="1"/>
    </row>
    <row r="24689" spans="7:14" x14ac:dyDescent="0.3">
      <c r="G24689" s="1"/>
      <c r="N24689" s="1"/>
    </row>
    <row r="24690" spans="7:14" x14ac:dyDescent="0.3">
      <c r="G24690" s="1"/>
      <c r="N24690" s="1"/>
    </row>
    <row r="24691" spans="7:14" x14ac:dyDescent="0.3">
      <c r="G24691" s="1"/>
      <c r="N24691" s="1"/>
    </row>
    <row r="24692" spans="7:14" x14ac:dyDescent="0.3">
      <c r="G24692" s="1"/>
      <c r="N24692" s="1"/>
    </row>
    <row r="24693" spans="7:14" x14ac:dyDescent="0.3">
      <c r="G24693" s="1"/>
      <c r="N24693" s="1"/>
    </row>
    <row r="24694" spans="7:14" x14ac:dyDescent="0.3">
      <c r="G24694" s="1"/>
      <c r="N24694" s="1"/>
    </row>
    <row r="24695" spans="7:14" x14ac:dyDescent="0.3">
      <c r="G24695" s="1"/>
      <c r="N24695" s="1"/>
    </row>
    <row r="24696" spans="7:14" x14ac:dyDescent="0.3">
      <c r="G24696" s="1"/>
      <c r="N24696" s="1"/>
    </row>
    <row r="24697" spans="7:14" x14ac:dyDescent="0.3">
      <c r="G24697" s="1"/>
      <c r="N24697" s="1"/>
    </row>
    <row r="24698" spans="7:14" x14ac:dyDescent="0.3">
      <c r="G24698" s="1"/>
      <c r="N24698" s="1"/>
    </row>
    <row r="24699" spans="7:14" x14ac:dyDescent="0.3">
      <c r="G24699" s="1"/>
      <c r="N24699" s="1"/>
    </row>
    <row r="24700" spans="7:14" x14ac:dyDescent="0.3">
      <c r="G24700" s="1"/>
      <c r="N24700" s="1"/>
    </row>
    <row r="24701" spans="7:14" x14ac:dyDescent="0.3">
      <c r="G24701" s="1"/>
      <c r="N24701" s="1"/>
    </row>
    <row r="24702" spans="7:14" x14ac:dyDescent="0.3">
      <c r="G24702" s="1"/>
      <c r="N24702" s="1"/>
    </row>
    <row r="24703" spans="7:14" x14ac:dyDescent="0.3">
      <c r="G24703" s="1"/>
      <c r="N24703" s="1"/>
    </row>
    <row r="24704" spans="7:14" x14ac:dyDescent="0.3">
      <c r="G24704" s="1"/>
      <c r="N24704" s="1"/>
    </row>
    <row r="24705" spans="7:14" x14ac:dyDescent="0.3">
      <c r="G24705" s="1"/>
      <c r="N24705" s="1"/>
    </row>
    <row r="24706" spans="7:14" x14ac:dyDescent="0.3">
      <c r="G24706" s="1"/>
      <c r="N24706" s="1"/>
    </row>
    <row r="24707" spans="7:14" x14ac:dyDescent="0.3">
      <c r="G24707" s="1"/>
      <c r="N24707" s="1"/>
    </row>
    <row r="24708" spans="7:14" x14ac:dyDescent="0.3">
      <c r="G24708" s="1"/>
      <c r="N24708" s="1"/>
    </row>
    <row r="24709" spans="7:14" x14ac:dyDescent="0.3">
      <c r="G24709" s="1"/>
      <c r="N24709" s="1"/>
    </row>
    <row r="24710" spans="7:14" x14ac:dyDescent="0.3">
      <c r="G24710" s="1"/>
      <c r="N24710" s="1"/>
    </row>
    <row r="24711" spans="7:14" x14ac:dyDescent="0.3">
      <c r="G24711" s="1"/>
      <c r="N24711" s="1"/>
    </row>
    <row r="24712" spans="7:14" x14ac:dyDescent="0.3">
      <c r="G24712" s="1"/>
      <c r="N24712" s="1"/>
    </row>
    <row r="24713" spans="7:14" x14ac:dyDescent="0.3">
      <c r="G24713" s="1"/>
      <c r="N24713" s="1"/>
    </row>
    <row r="24714" spans="7:14" x14ac:dyDescent="0.3">
      <c r="G24714" s="1"/>
      <c r="N24714" s="1"/>
    </row>
    <row r="24715" spans="7:14" x14ac:dyDescent="0.3">
      <c r="G24715" s="1"/>
      <c r="N24715" s="1"/>
    </row>
    <row r="24716" spans="7:14" x14ac:dyDescent="0.3">
      <c r="G24716" s="1"/>
      <c r="N24716" s="1"/>
    </row>
    <row r="24717" spans="7:14" x14ac:dyDescent="0.3">
      <c r="G24717" s="1"/>
      <c r="N24717" s="1"/>
    </row>
    <row r="24718" spans="7:14" x14ac:dyDescent="0.3">
      <c r="G24718" s="1"/>
      <c r="N24718" s="1"/>
    </row>
    <row r="24719" spans="7:14" x14ac:dyDescent="0.3">
      <c r="G24719" s="1"/>
      <c r="N24719" s="1"/>
    </row>
    <row r="24720" spans="7:14" x14ac:dyDescent="0.3">
      <c r="G24720" s="1"/>
      <c r="N24720" s="1"/>
    </row>
    <row r="24721" spans="7:14" x14ac:dyDescent="0.3">
      <c r="G24721" s="1"/>
      <c r="N24721" s="1"/>
    </row>
    <row r="24722" spans="7:14" x14ac:dyDescent="0.3">
      <c r="G24722" s="1"/>
      <c r="N24722" s="1"/>
    </row>
    <row r="24723" spans="7:14" x14ac:dyDescent="0.3">
      <c r="G24723" s="1"/>
      <c r="N24723" s="1"/>
    </row>
    <row r="24724" spans="7:14" x14ac:dyDescent="0.3">
      <c r="G24724" s="1"/>
      <c r="N24724" s="1"/>
    </row>
    <row r="24725" spans="7:14" x14ac:dyDescent="0.3">
      <c r="G24725" s="1"/>
      <c r="N24725" s="1"/>
    </row>
    <row r="24726" spans="7:14" x14ac:dyDescent="0.3">
      <c r="G24726" s="1"/>
      <c r="N24726" s="1"/>
    </row>
    <row r="24727" spans="7:14" x14ac:dyDescent="0.3">
      <c r="G24727" s="1"/>
      <c r="N24727" s="1"/>
    </row>
    <row r="24728" spans="7:14" x14ac:dyDescent="0.3">
      <c r="G24728" s="1"/>
      <c r="N24728" s="1"/>
    </row>
    <row r="24729" spans="7:14" x14ac:dyDescent="0.3">
      <c r="G24729" s="1"/>
      <c r="N24729" s="1"/>
    </row>
    <row r="24730" spans="7:14" x14ac:dyDescent="0.3">
      <c r="G24730" s="1"/>
      <c r="N24730" s="1"/>
    </row>
    <row r="24731" spans="7:14" x14ac:dyDescent="0.3">
      <c r="G24731" s="1"/>
      <c r="N24731" s="1"/>
    </row>
    <row r="24732" spans="7:14" x14ac:dyDescent="0.3">
      <c r="G24732" s="1"/>
      <c r="N24732" s="1"/>
    </row>
    <row r="24733" spans="7:14" x14ac:dyDescent="0.3">
      <c r="G24733" s="1"/>
      <c r="N24733" s="1"/>
    </row>
    <row r="24734" spans="7:14" x14ac:dyDescent="0.3">
      <c r="G24734" s="1"/>
      <c r="N24734" s="1"/>
    </row>
    <row r="24735" spans="7:14" x14ac:dyDescent="0.3">
      <c r="G24735" s="1"/>
      <c r="N24735" s="1"/>
    </row>
    <row r="24736" spans="7:14" x14ac:dyDescent="0.3">
      <c r="G24736" s="1"/>
      <c r="N24736" s="1"/>
    </row>
    <row r="24737" spans="7:14" x14ac:dyDescent="0.3">
      <c r="G24737" s="1"/>
      <c r="N24737" s="1"/>
    </row>
    <row r="24738" spans="7:14" x14ac:dyDescent="0.3">
      <c r="G24738" s="1"/>
      <c r="N24738" s="1"/>
    </row>
    <row r="24739" spans="7:14" x14ac:dyDescent="0.3">
      <c r="G24739" s="1"/>
      <c r="N24739" s="1"/>
    </row>
    <row r="24740" spans="7:14" x14ac:dyDescent="0.3">
      <c r="G24740" s="1"/>
      <c r="N24740" s="1"/>
    </row>
    <row r="24741" spans="7:14" x14ac:dyDescent="0.3">
      <c r="G24741" s="1"/>
      <c r="N24741" s="1"/>
    </row>
    <row r="24742" spans="7:14" x14ac:dyDescent="0.3">
      <c r="G24742" s="1"/>
      <c r="N24742" s="1"/>
    </row>
    <row r="24743" spans="7:14" x14ac:dyDescent="0.3">
      <c r="G24743" s="1"/>
      <c r="N24743" s="1"/>
    </row>
    <row r="24744" spans="7:14" x14ac:dyDescent="0.3">
      <c r="G24744" s="1"/>
      <c r="N24744" s="1"/>
    </row>
    <row r="24745" spans="7:14" x14ac:dyDescent="0.3">
      <c r="G24745" s="1"/>
      <c r="N24745" s="1"/>
    </row>
    <row r="24746" spans="7:14" x14ac:dyDescent="0.3">
      <c r="G24746" s="1"/>
      <c r="N24746" s="1"/>
    </row>
    <row r="24747" spans="7:14" x14ac:dyDescent="0.3">
      <c r="G24747" s="1"/>
      <c r="N24747" s="1"/>
    </row>
    <row r="24748" spans="7:14" x14ac:dyDescent="0.3">
      <c r="G24748" s="1"/>
      <c r="N24748" s="1"/>
    </row>
    <row r="24749" spans="7:14" x14ac:dyDescent="0.3">
      <c r="G24749" s="1"/>
      <c r="N24749" s="1"/>
    </row>
    <row r="24750" spans="7:14" x14ac:dyDescent="0.3">
      <c r="G24750" s="1"/>
      <c r="N24750" s="1"/>
    </row>
    <row r="24751" spans="7:14" x14ac:dyDescent="0.3">
      <c r="G24751" s="1"/>
      <c r="N24751" s="1"/>
    </row>
    <row r="24752" spans="7:14" x14ac:dyDescent="0.3">
      <c r="G24752" s="1"/>
      <c r="N24752" s="1"/>
    </row>
    <row r="24753" spans="7:14" x14ac:dyDescent="0.3">
      <c r="G24753" s="1"/>
      <c r="N24753" s="1"/>
    </row>
    <row r="24754" spans="7:14" x14ac:dyDescent="0.3">
      <c r="G24754" s="1"/>
      <c r="N24754" s="1"/>
    </row>
    <row r="24755" spans="7:14" x14ac:dyDescent="0.3">
      <c r="G24755" s="1"/>
      <c r="N24755" s="1"/>
    </row>
    <row r="24756" spans="7:14" x14ac:dyDescent="0.3">
      <c r="G24756" s="1"/>
      <c r="N24756" s="1"/>
    </row>
    <row r="24757" spans="7:14" x14ac:dyDescent="0.3">
      <c r="G24757" s="1"/>
      <c r="N24757" s="1"/>
    </row>
    <row r="24758" spans="7:14" x14ac:dyDescent="0.3">
      <c r="G24758" s="1"/>
      <c r="N24758" s="1"/>
    </row>
    <row r="24759" spans="7:14" x14ac:dyDescent="0.3">
      <c r="G24759" s="1"/>
      <c r="N24759" s="1"/>
    </row>
    <row r="24760" spans="7:14" x14ac:dyDescent="0.3">
      <c r="G24760" s="1"/>
      <c r="N24760" s="1"/>
    </row>
    <row r="24761" spans="7:14" x14ac:dyDescent="0.3">
      <c r="G24761" s="1"/>
      <c r="N24761" s="1"/>
    </row>
    <row r="24762" spans="7:14" x14ac:dyDescent="0.3">
      <c r="G24762" s="1"/>
      <c r="N24762" s="1"/>
    </row>
    <row r="24763" spans="7:14" x14ac:dyDescent="0.3">
      <c r="G24763" s="1"/>
      <c r="N24763" s="1"/>
    </row>
    <row r="24764" spans="7:14" x14ac:dyDescent="0.3">
      <c r="G24764" s="1"/>
      <c r="N24764" s="1"/>
    </row>
    <row r="24765" spans="7:14" x14ac:dyDescent="0.3">
      <c r="G24765" s="1"/>
      <c r="N24765" s="1"/>
    </row>
    <row r="24766" spans="7:14" x14ac:dyDescent="0.3">
      <c r="G24766" s="1"/>
      <c r="N24766" s="1"/>
    </row>
    <row r="24767" spans="7:14" x14ac:dyDescent="0.3">
      <c r="G24767" s="1"/>
      <c r="N24767" s="1"/>
    </row>
    <row r="24768" spans="7:14" x14ac:dyDescent="0.3">
      <c r="G24768" s="1"/>
      <c r="N24768" s="1"/>
    </row>
    <row r="24769" spans="7:14" x14ac:dyDescent="0.3">
      <c r="G24769" s="1"/>
      <c r="N24769" s="1"/>
    </row>
    <row r="24770" spans="7:14" x14ac:dyDescent="0.3">
      <c r="G24770" s="1"/>
      <c r="N24770" s="1"/>
    </row>
    <row r="24771" spans="7:14" x14ac:dyDescent="0.3">
      <c r="G24771" s="1"/>
      <c r="N24771" s="1"/>
    </row>
    <row r="24772" spans="7:14" x14ac:dyDescent="0.3">
      <c r="G24772" s="1"/>
      <c r="N24772" s="1"/>
    </row>
    <row r="24773" spans="7:14" x14ac:dyDescent="0.3">
      <c r="G24773" s="1"/>
      <c r="N24773" s="1"/>
    </row>
    <row r="24774" spans="7:14" x14ac:dyDescent="0.3">
      <c r="G24774" s="1"/>
      <c r="N24774" s="1"/>
    </row>
    <row r="24775" spans="7:14" x14ac:dyDescent="0.3">
      <c r="G24775" s="1"/>
      <c r="N24775" s="1"/>
    </row>
    <row r="24776" spans="7:14" x14ac:dyDescent="0.3">
      <c r="G24776" s="1"/>
      <c r="N24776" s="1"/>
    </row>
    <row r="24777" spans="7:14" x14ac:dyDescent="0.3">
      <c r="G24777" s="1"/>
      <c r="N24777" s="1"/>
    </row>
    <row r="24778" spans="7:14" x14ac:dyDescent="0.3">
      <c r="G24778" s="1"/>
      <c r="N24778" s="1"/>
    </row>
    <row r="24779" spans="7:14" x14ac:dyDescent="0.3">
      <c r="G24779" s="1"/>
      <c r="N24779" s="1"/>
    </row>
    <row r="24780" spans="7:14" x14ac:dyDescent="0.3">
      <c r="G24780" s="1"/>
      <c r="N24780" s="1"/>
    </row>
    <row r="24781" spans="7:14" x14ac:dyDescent="0.3">
      <c r="G24781" s="1"/>
      <c r="N24781" s="1"/>
    </row>
    <row r="24782" spans="7:14" x14ac:dyDescent="0.3">
      <c r="G24782" s="1"/>
      <c r="N24782" s="1"/>
    </row>
    <row r="24783" spans="7:14" x14ac:dyDescent="0.3">
      <c r="G24783" s="1"/>
      <c r="N24783" s="1"/>
    </row>
    <row r="24784" spans="7:14" x14ac:dyDescent="0.3">
      <c r="G24784" s="1"/>
      <c r="N24784" s="1"/>
    </row>
    <row r="24785" spans="7:14" x14ac:dyDescent="0.3">
      <c r="G24785" s="1"/>
      <c r="N24785" s="1"/>
    </row>
    <row r="24786" spans="7:14" x14ac:dyDescent="0.3">
      <c r="G24786" s="1"/>
      <c r="N24786" s="1"/>
    </row>
    <row r="24787" spans="7:14" x14ac:dyDescent="0.3">
      <c r="G24787" s="1"/>
      <c r="N24787" s="1"/>
    </row>
    <row r="24788" spans="7:14" x14ac:dyDescent="0.3">
      <c r="G24788" s="1"/>
      <c r="N24788" s="1"/>
    </row>
    <row r="24789" spans="7:14" x14ac:dyDescent="0.3">
      <c r="G24789" s="1"/>
      <c r="N24789" s="1"/>
    </row>
    <row r="24790" spans="7:14" x14ac:dyDescent="0.3">
      <c r="G24790" s="1"/>
      <c r="N24790" s="1"/>
    </row>
    <row r="24791" spans="7:14" x14ac:dyDescent="0.3">
      <c r="G24791" s="1"/>
      <c r="N24791" s="1"/>
    </row>
    <row r="24792" spans="7:14" x14ac:dyDescent="0.3">
      <c r="G24792" s="1"/>
      <c r="N24792" s="1"/>
    </row>
    <row r="24793" spans="7:14" x14ac:dyDescent="0.3">
      <c r="G24793" s="1"/>
      <c r="N24793" s="1"/>
    </row>
    <row r="24794" spans="7:14" x14ac:dyDescent="0.3">
      <c r="G24794" s="1"/>
      <c r="N24794" s="1"/>
    </row>
    <row r="24795" spans="7:14" x14ac:dyDescent="0.3">
      <c r="G24795" s="1"/>
      <c r="N24795" s="1"/>
    </row>
    <row r="24796" spans="7:14" x14ac:dyDescent="0.3">
      <c r="G24796" s="1"/>
      <c r="N24796" s="1"/>
    </row>
    <row r="24797" spans="7:14" x14ac:dyDescent="0.3">
      <c r="G24797" s="1"/>
      <c r="N24797" s="1"/>
    </row>
    <row r="24798" spans="7:14" x14ac:dyDescent="0.3">
      <c r="G24798" s="1"/>
      <c r="N24798" s="1"/>
    </row>
    <row r="24799" spans="7:14" x14ac:dyDescent="0.3">
      <c r="G24799" s="1"/>
      <c r="N24799" s="1"/>
    </row>
    <row r="24800" spans="7:14" x14ac:dyDescent="0.3">
      <c r="G24800" s="1"/>
      <c r="N24800" s="1"/>
    </row>
    <row r="24801" spans="7:14" x14ac:dyDescent="0.3">
      <c r="G24801" s="1"/>
      <c r="N24801" s="1"/>
    </row>
    <row r="24802" spans="7:14" x14ac:dyDescent="0.3">
      <c r="G24802" s="1"/>
      <c r="N24802" s="1"/>
    </row>
    <row r="24803" spans="7:14" x14ac:dyDescent="0.3">
      <c r="G24803" s="1"/>
      <c r="N24803" s="1"/>
    </row>
    <row r="24804" spans="7:14" x14ac:dyDescent="0.3">
      <c r="G24804" s="1"/>
      <c r="N24804" s="1"/>
    </row>
    <row r="24805" spans="7:14" x14ac:dyDescent="0.3">
      <c r="G24805" s="1"/>
      <c r="N24805" s="1"/>
    </row>
    <row r="24806" spans="7:14" x14ac:dyDescent="0.3">
      <c r="G24806" s="1"/>
      <c r="N24806" s="1"/>
    </row>
    <row r="24807" spans="7:14" x14ac:dyDescent="0.3">
      <c r="G24807" s="1"/>
      <c r="N24807" s="1"/>
    </row>
    <row r="24808" spans="7:14" x14ac:dyDescent="0.3">
      <c r="G24808" s="1"/>
      <c r="N24808" s="1"/>
    </row>
    <row r="24809" spans="7:14" x14ac:dyDescent="0.3">
      <c r="G24809" s="1"/>
      <c r="N24809" s="1"/>
    </row>
    <row r="24810" spans="7:14" x14ac:dyDescent="0.3">
      <c r="G24810" s="1"/>
      <c r="N24810" s="1"/>
    </row>
    <row r="24811" spans="7:14" x14ac:dyDescent="0.3">
      <c r="G24811" s="1"/>
      <c r="N24811" s="1"/>
    </row>
    <row r="24812" spans="7:14" x14ac:dyDescent="0.3">
      <c r="G24812" s="1"/>
      <c r="N24812" s="1"/>
    </row>
    <row r="24813" spans="7:14" x14ac:dyDescent="0.3">
      <c r="G24813" s="1"/>
      <c r="N24813" s="1"/>
    </row>
    <row r="24814" spans="7:14" x14ac:dyDescent="0.3">
      <c r="G24814" s="1"/>
      <c r="N24814" s="1"/>
    </row>
    <row r="24815" spans="7:14" x14ac:dyDescent="0.3">
      <c r="G24815" s="1"/>
      <c r="N24815" s="1"/>
    </row>
    <row r="24816" spans="7:14" x14ac:dyDescent="0.3">
      <c r="G24816" s="1"/>
      <c r="N24816" s="1"/>
    </row>
    <row r="24817" spans="7:14" x14ac:dyDescent="0.3">
      <c r="G24817" s="1"/>
      <c r="N24817" s="1"/>
    </row>
    <row r="24818" spans="7:14" x14ac:dyDescent="0.3">
      <c r="G24818" s="1"/>
      <c r="N24818" s="1"/>
    </row>
    <row r="24819" spans="7:14" x14ac:dyDescent="0.3">
      <c r="G24819" s="1"/>
      <c r="N24819" s="1"/>
    </row>
    <row r="24820" spans="7:14" x14ac:dyDescent="0.3">
      <c r="G24820" s="1"/>
      <c r="N24820" s="1"/>
    </row>
    <row r="24821" spans="7:14" x14ac:dyDescent="0.3">
      <c r="G24821" s="1"/>
      <c r="N24821" s="1"/>
    </row>
    <row r="24822" spans="7:14" x14ac:dyDescent="0.3">
      <c r="G24822" s="1"/>
      <c r="N24822" s="1"/>
    </row>
    <row r="24823" spans="7:14" x14ac:dyDescent="0.3">
      <c r="G24823" s="1"/>
      <c r="N24823" s="1"/>
    </row>
    <row r="24824" spans="7:14" x14ac:dyDescent="0.3">
      <c r="G24824" s="1"/>
      <c r="N24824" s="1"/>
    </row>
    <row r="24825" spans="7:14" x14ac:dyDescent="0.3">
      <c r="G24825" s="1"/>
      <c r="N24825" s="1"/>
    </row>
    <row r="24826" spans="7:14" x14ac:dyDescent="0.3">
      <c r="G24826" s="1"/>
      <c r="N24826" s="1"/>
    </row>
    <row r="24827" spans="7:14" x14ac:dyDescent="0.3">
      <c r="G24827" s="1"/>
      <c r="N24827" s="1"/>
    </row>
    <row r="24828" spans="7:14" x14ac:dyDescent="0.3">
      <c r="G24828" s="1"/>
      <c r="N24828" s="1"/>
    </row>
    <row r="24829" spans="7:14" x14ac:dyDescent="0.3">
      <c r="G24829" s="1"/>
      <c r="N24829" s="1"/>
    </row>
    <row r="24830" spans="7:14" x14ac:dyDescent="0.3">
      <c r="G24830" s="1"/>
      <c r="N24830" s="1"/>
    </row>
    <row r="24831" spans="7:14" x14ac:dyDescent="0.3">
      <c r="G24831" s="1"/>
      <c r="N24831" s="1"/>
    </row>
    <row r="24832" spans="7:14" x14ac:dyDescent="0.3">
      <c r="G24832" s="1"/>
      <c r="N24832" s="1"/>
    </row>
    <row r="24833" spans="7:14" x14ac:dyDescent="0.3">
      <c r="G24833" s="1"/>
      <c r="N24833" s="1"/>
    </row>
    <row r="24834" spans="7:14" x14ac:dyDescent="0.3">
      <c r="G24834" s="1"/>
      <c r="N24834" s="1"/>
    </row>
    <row r="24835" spans="7:14" x14ac:dyDescent="0.3">
      <c r="G24835" s="1"/>
      <c r="N24835" s="1"/>
    </row>
    <row r="24836" spans="7:14" x14ac:dyDescent="0.3">
      <c r="G24836" s="1"/>
      <c r="N24836" s="1"/>
    </row>
    <row r="24837" spans="7:14" x14ac:dyDescent="0.3">
      <c r="G24837" s="1"/>
      <c r="N24837" s="1"/>
    </row>
    <row r="24838" spans="7:14" x14ac:dyDescent="0.3">
      <c r="G24838" s="1"/>
      <c r="N24838" s="1"/>
    </row>
    <row r="24839" spans="7:14" x14ac:dyDescent="0.3">
      <c r="G24839" s="1"/>
      <c r="N24839" s="1"/>
    </row>
    <row r="24840" spans="7:14" x14ac:dyDescent="0.3">
      <c r="G24840" s="1"/>
      <c r="N24840" s="1"/>
    </row>
    <row r="24841" spans="7:14" x14ac:dyDescent="0.3">
      <c r="G24841" s="1"/>
      <c r="N24841" s="1"/>
    </row>
    <row r="24842" spans="7:14" x14ac:dyDescent="0.3">
      <c r="G24842" s="1"/>
      <c r="N24842" s="1"/>
    </row>
    <row r="24843" spans="7:14" x14ac:dyDescent="0.3">
      <c r="G24843" s="1"/>
      <c r="N24843" s="1"/>
    </row>
    <row r="24844" spans="7:14" x14ac:dyDescent="0.3">
      <c r="G24844" s="1"/>
      <c r="N24844" s="1"/>
    </row>
    <row r="24845" spans="7:14" x14ac:dyDescent="0.3">
      <c r="G24845" s="1"/>
      <c r="N24845" s="1"/>
    </row>
    <row r="24846" spans="7:14" x14ac:dyDescent="0.3">
      <c r="G24846" s="1"/>
      <c r="N24846" s="1"/>
    </row>
    <row r="24847" spans="7:14" x14ac:dyDescent="0.3">
      <c r="G24847" s="1"/>
      <c r="N24847" s="1"/>
    </row>
    <row r="24848" spans="7:14" x14ac:dyDescent="0.3">
      <c r="G24848" s="1"/>
      <c r="N24848" s="1"/>
    </row>
    <row r="24849" spans="7:14" x14ac:dyDescent="0.3">
      <c r="G24849" s="1"/>
      <c r="N24849" s="1"/>
    </row>
    <row r="24850" spans="7:14" x14ac:dyDescent="0.3">
      <c r="G24850" s="1"/>
      <c r="N24850" s="1"/>
    </row>
    <row r="24851" spans="7:14" x14ac:dyDescent="0.3">
      <c r="G24851" s="1"/>
      <c r="N24851" s="1"/>
    </row>
    <row r="24852" spans="7:14" x14ac:dyDescent="0.3">
      <c r="G24852" s="1"/>
      <c r="N24852" s="1"/>
    </row>
    <row r="24853" spans="7:14" x14ac:dyDescent="0.3">
      <c r="G24853" s="1"/>
      <c r="N24853" s="1"/>
    </row>
    <row r="24854" spans="7:14" x14ac:dyDescent="0.3">
      <c r="G24854" s="1"/>
      <c r="N24854" s="1"/>
    </row>
    <row r="24855" spans="7:14" x14ac:dyDescent="0.3">
      <c r="G24855" s="1"/>
      <c r="N24855" s="1"/>
    </row>
    <row r="24856" spans="7:14" x14ac:dyDescent="0.3">
      <c r="G24856" s="1"/>
      <c r="N24856" s="1"/>
    </row>
    <row r="24857" spans="7:14" x14ac:dyDescent="0.3">
      <c r="G24857" s="1"/>
      <c r="N24857" s="1"/>
    </row>
    <row r="24858" spans="7:14" x14ac:dyDescent="0.3">
      <c r="G24858" s="1"/>
      <c r="N24858" s="1"/>
    </row>
    <row r="24859" spans="7:14" x14ac:dyDescent="0.3">
      <c r="G24859" s="1"/>
      <c r="N24859" s="1"/>
    </row>
    <row r="24860" spans="7:14" x14ac:dyDescent="0.3">
      <c r="G24860" s="1"/>
      <c r="N24860" s="1"/>
    </row>
    <row r="24861" spans="7:14" x14ac:dyDescent="0.3">
      <c r="G24861" s="1"/>
      <c r="N24861" s="1"/>
    </row>
    <row r="24862" spans="7:14" x14ac:dyDescent="0.3">
      <c r="G24862" s="1"/>
      <c r="N24862" s="1"/>
    </row>
    <row r="24863" spans="7:14" x14ac:dyDescent="0.3">
      <c r="G24863" s="1"/>
      <c r="N24863" s="1"/>
    </row>
    <row r="24864" spans="7:14" x14ac:dyDescent="0.3">
      <c r="G24864" s="1"/>
      <c r="N24864" s="1"/>
    </row>
    <row r="24865" spans="7:14" x14ac:dyDescent="0.3">
      <c r="G24865" s="1"/>
      <c r="N24865" s="1"/>
    </row>
    <row r="24866" spans="7:14" x14ac:dyDescent="0.3">
      <c r="G24866" s="1"/>
      <c r="N24866" s="1"/>
    </row>
    <row r="24867" spans="7:14" x14ac:dyDescent="0.3">
      <c r="G24867" s="1"/>
      <c r="N24867" s="1"/>
    </row>
    <row r="24868" spans="7:14" x14ac:dyDescent="0.3">
      <c r="G24868" s="1"/>
      <c r="N24868" s="1"/>
    </row>
    <row r="24869" spans="7:14" x14ac:dyDescent="0.3">
      <c r="G24869" s="1"/>
      <c r="N24869" s="1"/>
    </row>
    <row r="24870" spans="7:14" x14ac:dyDescent="0.3">
      <c r="G24870" s="1"/>
      <c r="N24870" s="1"/>
    </row>
    <row r="24871" spans="7:14" x14ac:dyDescent="0.3">
      <c r="G24871" s="1"/>
      <c r="N24871" s="1"/>
    </row>
    <row r="24872" spans="7:14" x14ac:dyDescent="0.3">
      <c r="G24872" s="1"/>
      <c r="N24872" s="1"/>
    </row>
    <row r="24873" spans="7:14" x14ac:dyDescent="0.3">
      <c r="G24873" s="1"/>
      <c r="N24873" s="1"/>
    </row>
    <row r="24874" spans="7:14" x14ac:dyDescent="0.3">
      <c r="G24874" s="1"/>
      <c r="N24874" s="1"/>
    </row>
    <row r="24875" spans="7:14" x14ac:dyDescent="0.3">
      <c r="G24875" s="1"/>
      <c r="N24875" s="1"/>
    </row>
    <row r="24876" spans="7:14" x14ac:dyDescent="0.3">
      <c r="G24876" s="1"/>
      <c r="N24876" s="1"/>
    </row>
    <row r="24877" spans="7:14" x14ac:dyDescent="0.3">
      <c r="G24877" s="1"/>
      <c r="N24877" s="1"/>
    </row>
    <row r="24878" spans="7:14" x14ac:dyDescent="0.3">
      <c r="G24878" s="1"/>
      <c r="N24878" s="1"/>
    </row>
    <row r="24879" spans="7:14" x14ac:dyDescent="0.3">
      <c r="G24879" s="1"/>
      <c r="N24879" s="1"/>
    </row>
    <row r="24880" spans="7:14" x14ac:dyDescent="0.3">
      <c r="G24880" s="1"/>
      <c r="N24880" s="1"/>
    </row>
    <row r="24881" spans="7:14" x14ac:dyDescent="0.3">
      <c r="G24881" s="1"/>
      <c r="N24881" s="1"/>
    </row>
    <row r="24882" spans="7:14" x14ac:dyDescent="0.3">
      <c r="G24882" s="1"/>
      <c r="N24882" s="1"/>
    </row>
    <row r="24883" spans="7:14" x14ac:dyDescent="0.3">
      <c r="G24883" s="1"/>
      <c r="N24883" s="1"/>
    </row>
    <row r="24884" spans="7:14" x14ac:dyDescent="0.3">
      <c r="G24884" s="1"/>
      <c r="N24884" s="1"/>
    </row>
    <row r="24885" spans="7:14" x14ac:dyDescent="0.3">
      <c r="G24885" s="1"/>
      <c r="N24885" s="1"/>
    </row>
    <row r="24886" spans="7:14" x14ac:dyDescent="0.3">
      <c r="G24886" s="1"/>
      <c r="N24886" s="1"/>
    </row>
    <row r="24887" spans="7:14" x14ac:dyDescent="0.3">
      <c r="G24887" s="1"/>
      <c r="N24887" s="1"/>
    </row>
    <row r="24888" spans="7:14" x14ac:dyDescent="0.3">
      <c r="G24888" s="1"/>
      <c r="N24888" s="1"/>
    </row>
    <row r="24889" spans="7:14" x14ac:dyDescent="0.3">
      <c r="G24889" s="1"/>
      <c r="N24889" s="1"/>
    </row>
    <row r="24890" spans="7:14" x14ac:dyDescent="0.3">
      <c r="G24890" s="1"/>
      <c r="N24890" s="1"/>
    </row>
    <row r="24891" spans="7:14" x14ac:dyDescent="0.3">
      <c r="G24891" s="1"/>
      <c r="N24891" s="1"/>
    </row>
    <row r="24892" spans="7:14" x14ac:dyDescent="0.3">
      <c r="G24892" s="1"/>
      <c r="N24892" s="1"/>
    </row>
    <row r="24893" spans="7:14" x14ac:dyDescent="0.3">
      <c r="G24893" s="1"/>
      <c r="N24893" s="1"/>
    </row>
    <row r="24894" spans="7:14" x14ac:dyDescent="0.3">
      <c r="G24894" s="1"/>
      <c r="N24894" s="1"/>
    </row>
    <row r="24895" spans="7:14" x14ac:dyDescent="0.3">
      <c r="G24895" s="1"/>
      <c r="N24895" s="1"/>
    </row>
    <row r="24896" spans="7:14" x14ac:dyDescent="0.3">
      <c r="G24896" s="1"/>
      <c r="N24896" s="1"/>
    </row>
    <row r="24897" spans="7:14" x14ac:dyDescent="0.3">
      <c r="G24897" s="1"/>
      <c r="N24897" s="1"/>
    </row>
    <row r="24898" spans="7:14" x14ac:dyDescent="0.3">
      <c r="G24898" s="1"/>
      <c r="N24898" s="1"/>
    </row>
    <row r="24899" spans="7:14" x14ac:dyDescent="0.3">
      <c r="G24899" s="1"/>
      <c r="N24899" s="1"/>
    </row>
    <row r="24900" spans="7:14" x14ac:dyDescent="0.3">
      <c r="G24900" s="1"/>
      <c r="N24900" s="1"/>
    </row>
    <row r="24901" spans="7:14" x14ac:dyDescent="0.3">
      <c r="G24901" s="1"/>
      <c r="N24901" s="1"/>
    </row>
    <row r="24902" spans="7:14" x14ac:dyDescent="0.3">
      <c r="G24902" s="1"/>
      <c r="N24902" s="1"/>
    </row>
    <row r="24903" spans="7:14" x14ac:dyDescent="0.3">
      <c r="G24903" s="1"/>
      <c r="N24903" s="1"/>
    </row>
    <row r="24904" spans="7:14" x14ac:dyDescent="0.3">
      <c r="G24904" s="1"/>
      <c r="N24904" s="1"/>
    </row>
    <row r="24905" spans="7:14" x14ac:dyDescent="0.3">
      <c r="G24905" s="1"/>
      <c r="N24905" s="1"/>
    </row>
    <row r="24906" spans="7:14" x14ac:dyDescent="0.3">
      <c r="G24906" s="1"/>
      <c r="N24906" s="1"/>
    </row>
    <row r="24907" spans="7:14" x14ac:dyDescent="0.3">
      <c r="G24907" s="1"/>
      <c r="N24907" s="1"/>
    </row>
    <row r="24908" spans="7:14" x14ac:dyDescent="0.3">
      <c r="G24908" s="1"/>
      <c r="N24908" s="1"/>
    </row>
    <row r="24909" spans="7:14" x14ac:dyDescent="0.3">
      <c r="G24909" s="1"/>
      <c r="N24909" s="1"/>
    </row>
    <row r="24910" spans="7:14" x14ac:dyDescent="0.3">
      <c r="G24910" s="1"/>
      <c r="N24910" s="1"/>
    </row>
    <row r="24911" spans="7:14" x14ac:dyDescent="0.3">
      <c r="G24911" s="1"/>
      <c r="N24911" s="1"/>
    </row>
    <row r="24912" spans="7:14" x14ac:dyDescent="0.3">
      <c r="G24912" s="1"/>
      <c r="N24912" s="1"/>
    </row>
    <row r="24913" spans="7:14" x14ac:dyDescent="0.3">
      <c r="G24913" s="1"/>
      <c r="N24913" s="1"/>
    </row>
    <row r="24914" spans="7:14" x14ac:dyDescent="0.3">
      <c r="G24914" s="1"/>
      <c r="N24914" s="1"/>
    </row>
    <row r="24915" spans="7:14" x14ac:dyDescent="0.3">
      <c r="G24915" s="1"/>
      <c r="N24915" s="1"/>
    </row>
    <row r="24916" spans="7:14" x14ac:dyDescent="0.3">
      <c r="G24916" s="1"/>
      <c r="N24916" s="1"/>
    </row>
    <row r="24917" spans="7:14" x14ac:dyDescent="0.3">
      <c r="G24917" s="1"/>
      <c r="N24917" s="1"/>
    </row>
    <row r="24918" spans="7:14" x14ac:dyDescent="0.3">
      <c r="G24918" s="1"/>
      <c r="N24918" s="1"/>
    </row>
    <row r="24919" spans="7:14" x14ac:dyDescent="0.3">
      <c r="G24919" s="1"/>
      <c r="N24919" s="1"/>
    </row>
    <row r="24920" spans="7:14" x14ac:dyDescent="0.3">
      <c r="G24920" s="1"/>
      <c r="N24920" s="1"/>
    </row>
    <row r="24921" spans="7:14" x14ac:dyDescent="0.3">
      <c r="G24921" s="1"/>
      <c r="N24921" s="1"/>
    </row>
    <row r="24922" spans="7:14" x14ac:dyDescent="0.3">
      <c r="G24922" s="1"/>
      <c r="N24922" s="1"/>
    </row>
    <row r="24923" spans="7:14" x14ac:dyDescent="0.3">
      <c r="G24923" s="1"/>
      <c r="N24923" s="1"/>
    </row>
    <row r="24924" spans="7:14" x14ac:dyDescent="0.3">
      <c r="G24924" s="1"/>
      <c r="N24924" s="1"/>
    </row>
    <row r="24925" spans="7:14" x14ac:dyDescent="0.3">
      <c r="G24925" s="1"/>
      <c r="N24925" s="1"/>
    </row>
    <row r="24926" spans="7:14" x14ac:dyDescent="0.3">
      <c r="G24926" s="1"/>
      <c r="N24926" s="1"/>
    </row>
    <row r="24927" spans="7:14" x14ac:dyDescent="0.3">
      <c r="G24927" s="1"/>
      <c r="N24927" s="1"/>
    </row>
    <row r="24928" spans="7:14" x14ac:dyDescent="0.3">
      <c r="G24928" s="1"/>
      <c r="N24928" s="1"/>
    </row>
    <row r="24929" spans="7:14" x14ac:dyDescent="0.3">
      <c r="G24929" s="1"/>
      <c r="N24929" s="1"/>
    </row>
    <row r="24930" spans="7:14" x14ac:dyDescent="0.3">
      <c r="G24930" s="1"/>
      <c r="N24930" s="1"/>
    </row>
    <row r="24931" spans="7:14" x14ac:dyDescent="0.3">
      <c r="G24931" s="1"/>
      <c r="N24931" s="1"/>
    </row>
    <row r="24932" spans="7:14" x14ac:dyDescent="0.3">
      <c r="G24932" s="1"/>
      <c r="N24932" s="1"/>
    </row>
    <row r="24933" spans="7:14" x14ac:dyDescent="0.3">
      <c r="G24933" s="1"/>
      <c r="N24933" s="1"/>
    </row>
    <row r="24934" spans="7:14" x14ac:dyDescent="0.3">
      <c r="G24934" s="1"/>
      <c r="N24934" s="1"/>
    </row>
    <row r="24935" spans="7:14" x14ac:dyDescent="0.3">
      <c r="G24935" s="1"/>
      <c r="N24935" s="1"/>
    </row>
    <row r="24936" spans="7:14" x14ac:dyDescent="0.3">
      <c r="G24936" s="1"/>
      <c r="N24936" s="1"/>
    </row>
    <row r="24937" spans="7:14" x14ac:dyDescent="0.3">
      <c r="G24937" s="1"/>
      <c r="N24937" s="1"/>
    </row>
    <row r="24938" spans="7:14" x14ac:dyDescent="0.3">
      <c r="G24938" s="1"/>
      <c r="N24938" s="1"/>
    </row>
    <row r="24939" spans="7:14" x14ac:dyDescent="0.3">
      <c r="G24939" s="1"/>
      <c r="N24939" s="1"/>
    </row>
    <row r="24940" spans="7:14" x14ac:dyDescent="0.3">
      <c r="G24940" s="1"/>
      <c r="N24940" s="1"/>
    </row>
    <row r="24941" spans="7:14" x14ac:dyDescent="0.3">
      <c r="G24941" s="1"/>
      <c r="N24941" s="1"/>
    </row>
    <row r="24942" spans="7:14" x14ac:dyDescent="0.3">
      <c r="G24942" s="1"/>
      <c r="N24942" s="1"/>
    </row>
    <row r="24943" spans="7:14" x14ac:dyDescent="0.3">
      <c r="G24943" s="1"/>
      <c r="N24943" s="1"/>
    </row>
    <row r="24944" spans="7:14" x14ac:dyDescent="0.3">
      <c r="G24944" s="1"/>
      <c r="N24944" s="1"/>
    </row>
    <row r="24945" spans="7:14" x14ac:dyDescent="0.3">
      <c r="G24945" s="1"/>
      <c r="N24945" s="1"/>
    </row>
    <row r="24946" spans="7:14" x14ac:dyDescent="0.3">
      <c r="G24946" s="1"/>
      <c r="N24946" s="1"/>
    </row>
    <row r="24947" spans="7:14" x14ac:dyDescent="0.3">
      <c r="G24947" s="1"/>
      <c r="N24947" s="1"/>
    </row>
    <row r="24948" spans="7:14" x14ac:dyDescent="0.3">
      <c r="G24948" s="1"/>
      <c r="N24948" s="1"/>
    </row>
    <row r="24949" spans="7:14" x14ac:dyDescent="0.3">
      <c r="G24949" s="1"/>
      <c r="N24949" s="1"/>
    </row>
    <row r="24950" spans="7:14" x14ac:dyDescent="0.3">
      <c r="G24950" s="1"/>
      <c r="N24950" s="1"/>
    </row>
    <row r="24951" spans="7:14" x14ac:dyDescent="0.3">
      <c r="G24951" s="1"/>
      <c r="N24951" s="1"/>
    </row>
    <row r="24952" spans="7:14" x14ac:dyDescent="0.3">
      <c r="G24952" s="1"/>
      <c r="N24952" s="1"/>
    </row>
    <row r="24953" spans="7:14" x14ac:dyDescent="0.3">
      <c r="G24953" s="1"/>
      <c r="N24953" s="1"/>
    </row>
    <row r="24954" spans="7:14" x14ac:dyDescent="0.3">
      <c r="G24954" s="1"/>
      <c r="N24954" s="1"/>
    </row>
    <row r="24955" spans="7:14" x14ac:dyDescent="0.3">
      <c r="G24955" s="1"/>
      <c r="N24955" s="1"/>
    </row>
    <row r="24956" spans="7:14" x14ac:dyDescent="0.3">
      <c r="G24956" s="1"/>
      <c r="N24956" s="1"/>
    </row>
    <row r="24957" spans="7:14" x14ac:dyDescent="0.3">
      <c r="G24957" s="1"/>
      <c r="N24957" s="1"/>
    </row>
    <row r="24958" spans="7:14" x14ac:dyDescent="0.3">
      <c r="G24958" s="1"/>
      <c r="N24958" s="1"/>
    </row>
    <row r="24959" spans="7:14" x14ac:dyDescent="0.3">
      <c r="G24959" s="1"/>
      <c r="N24959" s="1"/>
    </row>
    <row r="24960" spans="7:14" x14ac:dyDescent="0.3">
      <c r="G24960" s="1"/>
      <c r="N24960" s="1"/>
    </row>
    <row r="24961" spans="7:14" x14ac:dyDescent="0.3">
      <c r="G24961" s="1"/>
      <c r="N24961" s="1"/>
    </row>
    <row r="24962" spans="7:14" x14ac:dyDescent="0.3">
      <c r="G24962" s="1"/>
      <c r="N24962" s="1"/>
    </row>
    <row r="24963" spans="7:14" x14ac:dyDescent="0.3">
      <c r="G24963" s="1"/>
      <c r="N24963" s="1"/>
    </row>
    <row r="24964" spans="7:14" x14ac:dyDescent="0.3">
      <c r="G24964" s="1"/>
      <c r="N24964" s="1"/>
    </row>
    <row r="24965" spans="7:14" x14ac:dyDescent="0.3">
      <c r="G24965" s="1"/>
      <c r="N24965" s="1"/>
    </row>
    <row r="24966" spans="7:14" x14ac:dyDescent="0.3">
      <c r="G24966" s="1"/>
      <c r="N24966" s="1"/>
    </row>
    <row r="24967" spans="7:14" x14ac:dyDescent="0.3">
      <c r="G24967" s="1"/>
      <c r="N24967" s="1"/>
    </row>
    <row r="24968" spans="7:14" x14ac:dyDescent="0.3">
      <c r="G24968" s="1"/>
      <c r="N24968" s="1"/>
    </row>
    <row r="24969" spans="7:14" x14ac:dyDescent="0.3">
      <c r="G24969" s="1"/>
      <c r="N24969" s="1"/>
    </row>
    <row r="24970" spans="7:14" x14ac:dyDescent="0.3">
      <c r="G24970" s="1"/>
      <c r="N24970" s="1"/>
    </row>
    <row r="24971" spans="7:14" x14ac:dyDescent="0.3">
      <c r="G24971" s="1"/>
      <c r="N24971" s="1"/>
    </row>
    <row r="24972" spans="7:14" x14ac:dyDescent="0.3">
      <c r="G24972" s="1"/>
      <c r="N24972" s="1"/>
    </row>
    <row r="24973" spans="7:14" x14ac:dyDescent="0.3">
      <c r="G24973" s="1"/>
      <c r="N24973" s="1"/>
    </row>
    <row r="24974" spans="7:14" x14ac:dyDescent="0.3">
      <c r="G24974" s="1"/>
      <c r="N24974" s="1"/>
    </row>
    <row r="24975" spans="7:14" x14ac:dyDescent="0.3">
      <c r="G24975" s="1"/>
      <c r="N24975" s="1"/>
    </row>
    <row r="24976" spans="7:14" x14ac:dyDescent="0.3">
      <c r="G24976" s="1"/>
      <c r="N24976" s="1"/>
    </row>
    <row r="24977" spans="7:14" x14ac:dyDescent="0.3">
      <c r="G24977" s="1"/>
      <c r="N24977" s="1"/>
    </row>
    <row r="24978" spans="7:14" x14ac:dyDescent="0.3">
      <c r="G24978" s="1"/>
      <c r="N24978" s="1"/>
    </row>
    <row r="24979" spans="7:14" x14ac:dyDescent="0.3">
      <c r="G24979" s="1"/>
      <c r="N24979" s="1"/>
    </row>
    <row r="24980" spans="7:14" x14ac:dyDescent="0.3">
      <c r="G24980" s="1"/>
      <c r="N24980" s="1"/>
    </row>
    <row r="24981" spans="7:14" x14ac:dyDescent="0.3">
      <c r="G24981" s="1"/>
      <c r="N24981" s="1"/>
    </row>
    <row r="24982" spans="7:14" x14ac:dyDescent="0.3">
      <c r="G24982" s="1"/>
      <c r="N24982" s="1"/>
    </row>
    <row r="24983" spans="7:14" x14ac:dyDescent="0.3">
      <c r="G24983" s="1"/>
      <c r="N24983" s="1"/>
    </row>
    <row r="24984" spans="7:14" x14ac:dyDescent="0.3">
      <c r="G24984" s="1"/>
      <c r="N24984" s="1"/>
    </row>
    <row r="24985" spans="7:14" x14ac:dyDescent="0.3">
      <c r="G24985" s="1"/>
      <c r="N24985" s="1"/>
    </row>
    <row r="24986" spans="7:14" x14ac:dyDescent="0.3">
      <c r="G24986" s="1"/>
      <c r="N24986" s="1"/>
    </row>
    <row r="24987" spans="7:14" x14ac:dyDescent="0.3">
      <c r="G24987" s="1"/>
      <c r="N24987" s="1"/>
    </row>
    <row r="24988" spans="7:14" x14ac:dyDescent="0.3">
      <c r="G24988" s="1"/>
      <c r="N24988" s="1"/>
    </row>
    <row r="24989" spans="7:14" x14ac:dyDescent="0.3">
      <c r="G24989" s="1"/>
      <c r="N24989" s="1"/>
    </row>
    <row r="24990" spans="7:14" x14ac:dyDescent="0.3">
      <c r="G24990" s="1"/>
      <c r="N24990" s="1"/>
    </row>
    <row r="24991" spans="7:14" x14ac:dyDescent="0.3">
      <c r="G24991" s="1"/>
      <c r="N24991" s="1"/>
    </row>
    <row r="24992" spans="7:14" x14ac:dyDescent="0.3">
      <c r="G24992" s="1"/>
      <c r="N24992" s="1"/>
    </row>
    <row r="24993" spans="7:14" x14ac:dyDescent="0.3">
      <c r="G24993" s="1"/>
      <c r="N24993" s="1"/>
    </row>
    <row r="24994" spans="7:14" x14ac:dyDescent="0.3">
      <c r="G24994" s="1"/>
      <c r="N24994" s="1"/>
    </row>
    <row r="24995" spans="7:14" x14ac:dyDescent="0.3">
      <c r="G24995" s="1"/>
      <c r="N24995" s="1"/>
    </row>
    <row r="24996" spans="7:14" x14ac:dyDescent="0.3">
      <c r="G24996" s="1"/>
      <c r="N24996" s="1"/>
    </row>
    <row r="24997" spans="7:14" x14ac:dyDescent="0.3">
      <c r="G24997" s="1"/>
      <c r="N24997" s="1"/>
    </row>
    <row r="24998" spans="7:14" x14ac:dyDescent="0.3">
      <c r="G24998" s="1"/>
      <c r="N24998" s="1"/>
    </row>
    <row r="24999" spans="7:14" x14ac:dyDescent="0.3">
      <c r="G24999" s="1"/>
      <c r="N24999" s="1"/>
    </row>
    <row r="25000" spans="7:14" x14ac:dyDescent="0.3">
      <c r="G25000" s="1"/>
      <c r="N25000" s="1"/>
    </row>
    <row r="25001" spans="7:14" x14ac:dyDescent="0.3">
      <c r="G25001" s="1"/>
      <c r="N25001" s="1"/>
    </row>
    <row r="25002" spans="7:14" x14ac:dyDescent="0.3">
      <c r="G25002" s="1"/>
      <c r="N25002" s="1"/>
    </row>
    <row r="25003" spans="7:14" x14ac:dyDescent="0.3">
      <c r="G25003" s="1"/>
      <c r="N25003" s="1"/>
    </row>
    <row r="25004" spans="7:14" x14ac:dyDescent="0.3">
      <c r="G25004" s="1"/>
      <c r="N25004" s="1"/>
    </row>
    <row r="25005" spans="7:14" x14ac:dyDescent="0.3">
      <c r="G25005" s="1"/>
      <c r="N25005" s="1"/>
    </row>
    <row r="25006" spans="7:14" x14ac:dyDescent="0.3">
      <c r="G25006" s="1"/>
      <c r="N25006" s="1"/>
    </row>
    <row r="25007" spans="7:14" x14ac:dyDescent="0.3">
      <c r="G25007" s="1"/>
      <c r="N25007" s="1"/>
    </row>
    <row r="25008" spans="7:14" x14ac:dyDescent="0.3">
      <c r="G25008" s="1"/>
      <c r="N25008" s="1"/>
    </row>
    <row r="25009" spans="7:14" x14ac:dyDescent="0.3">
      <c r="G25009" s="1"/>
      <c r="N25009" s="1"/>
    </row>
    <row r="25010" spans="7:14" x14ac:dyDescent="0.3">
      <c r="G25010" s="1"/>
      <c r="N25010" s="1"/>
    </row>
    <row r="25011" spans="7:14" x14ac:dyDescent="0.3">
      <c r="G25011" s="1"/>
      <c r="N25011" s="1"/>
    </row>
    <row r="25012" spans="7:14" x14ac:dyDescent="0.3">
      <c r="G25012" s="1"/>
      <c r="N25012" s="1"/>
    </row>
    <row r="25013" spans="7:14" x14ac:dyDescent="0.3">
      <c r="G25013" s="1"/>
      <c r="N25013" s="1"/>
    </row>
    <row r="25014" spans="7:14" x14ac:dyDescent="0.3">
      <c r="G25014" s="1"/>
      <c r="N25014" s="1"/>
    </row>
    <row r="25015" spans="7:14" x14ac:dyDescent="0.3">
      <c r="G25015" s="1"/>
      <c r="N25015" s="1"/>
    </row>
    <row r="25016" spans="7:14" x14ac:dyDescent="0.3">
      <c r="G25016" s="1"/>
      <c r="N25016" s="1"/>
    </row>
    <row r="25017" spans="7:14" x14ac:dyDescent="0.3">
      <c r="G25017" s="1"/>
      <c r="N25017" s="1"/>
    </row>
    <row r="25018" spans="7:14" x14ac:dyDescent="0.3">
      <c r="G25018" s="1"/>
      <c r="N25018" s="1"/>
    </row>
    <row r="25019" spans="7:14" x14ac:dyDescent="0.3">
      <c r="G25019" s="1"/>
      <c r="N25019" s="1"/>
    </row>
    <row r="25020" spans="7:14" x14ac:dyDescent="0.3">
      <c r="G25020" s="1"/>
      <c r="N25020" s="1"/>
    </row>
    <row r="25021" spans="7:14" x14ac:dyDescent="0.3">
      <c r="G25021" s="1"/>
      <c r="N25021" s="1"/>
    </row>
    <row r="25022" spans="7:14" x14ac:dyDescent="0.3">
      <c r="G25022" s="1"/>
      <c r="N25022" s="1"/>
    </row>
    <row r="25023" spans="7:14" x14ac:dyDescent="0.3">
      <c r="G25023" s="1"/>
      <c r="N25023" s="1"/>
    </row>
    <row r="25024" spans="7:14" x14ac:dyDescent="0.3">
      <c r="G25024" s="1"/>
      <c r="N25024" s="1"/>
    </row>
    <row r="25025" spans="7:14" x14ac:dyDescent="0.3">
      <c r="G25025" s="1"/>
      <c r="N25025" s="1"/>
    </row>
    <row r="25026" spans="7:14" x14ac:dyDescent="0.3">
      <c r="G25026" s="1"/>
      <c r="N25026" s="1"/>
    </row>
    <row r="25027" spans="7:14" x14ac:dyDescent="0.3">
      <c r="G25027" s="1"/>
      <c r="N25027" s="1"/>
    </row>
    <row r="25028" spans="7:14" x14ac:dyDescent="0.3">
      <c r="G25028" s="1"/>
      <c r="N25028" s="1"/>
    </row>
    <row r="25029" spans="7:14" x14ac:dyDescent="0.3">
      <c r="G25029" s="1"/>
      <c r="N25029" s="1"/>
    </row>
    <row r="25030" spans="7:14" x14ac:dyDescent="0.3">
      <c r="G25030" s="1"/>
      <c r="N25030" s="1"/>
    </row>
    <row r="25031" spans="7:14" x14ac:dyDescent="0.3">
      <c r="G25031" s="1"/>
      <c r="N25031" s="1"/>
    </row>
    <row r="25032" spans="7:14" x14ac:dyDescent="0.3">
      <c r="G25032" s="1"/>
      <c r="N25032" s="1"/>
    </row>
    <row r="25033" spans="7:14" x14ac:dyDescent="0.3">
      <c r="G25033" s="1"/>
      <c r="N25033" s="1"/>
    </row>
    <row r="25034" spans="7:14" x14ac:dyDescent="0.3">
      <c r="G25034" s="1"/>
      <c r="N25034" s="1"/>
    </row>
    <row r="25035" spans="7:14" x14ac:dyDescent="0.3">
      <c r="G25035" s="1"/>
      <c r="N25035" s="1"/>
    </row>
    <row r="25036" spans="7:14" x14ac:dyDescent="0.3">
      <c r="G25036" s="1"/>
      <c r="N25036" s="1"/>
    </row>
    <row r="25037" spans="7:14" x14ac:dyDescent="0.3">
      <c r="G25037" s="1"/>
      <c r="N25037" s="1"/>
    </row>
    <row r="25038" spans="7:14" x14ac:dyDescent="0.3">
      <c r="G25038" s="1"/>
      <c r="N25038" s="1"/>
    </row>
    <row r="25039" spans="7:14" x14ac:dyDescent="0.3">
      <c r="G25039" s="1"/>
      <c r="N25039" s="1"/>
    </row>
    <row r="25040" spans="7:14" x14ac:dyDescent="0.3">
      <c r="G25040" s="1"/>
      <c r="N25040" s="1"/>
    </row>
    <row r="25041" spans="7:14" x14ac:dyDescent="0.3">
      <c r="G25041" s="1"/>
      <c r="N25041" s="1"/>
    </row>
    <row r="25042" spans="7:14" x14ac:dyDescent="0.3">
      <c r="G25042" s="1"/>
      <c r="N25042" s="1"/>
    </row>
    <row r="25043" spans="7:14" x14ac:dyDescent="0.3">
      <c r="G25043" s="1"/>
      <c r="N25043" s="1"/>
    </row>
    <row r="25044" spans="7:14" x14ac:dyDescent="0.3">
      <c r="G25044" s="1"/>
      <c r="N25044" s="1"/>
    </row>
    <row r="25045" spans="7:14" x14ac:dyDescent="0.3">
      <c r="G25045" s="1"/>
      <c r="N25045" s="1"/>
    </row>
    <row r="25046" spans="7:14" x14ac:dyDescent="0.3">
      <c r="G25046" s="1"/>
      <c r="N25046" s="1"/>
    </row>
    <row r="25047" spans="7:14" x14ac:dyDescent="0.3">
      <c r="G25047" s="1"/>
      <c r="N25047" s="1"/>
    </row>
    <row r="25048" spans="7:14" x14ac:dyDescent="0.3">
      <c r="G25048" s="1"/>
      <c r="N25048" s="1"/>
    </row>
    <row r="25049" spans="7:14" x14ac:dyDescent="0.3">
      <c r="G25049" s="1"/>
      <c r="N25049" s="1"/>
    </row>
    <row r="25050" spans="7:14" x14ac:dyDescent="0.3">
      <c r="G25050" s="1"/>
      <c r="N25050" s="1"/>
    </row>
    <row r="25051" spans="7:14" x14ac:dyDescent="0.3">
      <c r="G25051" s="1"/>
      <c r="N25051" s="1"/>
    </row>
    <row r="25052" spans="7:14" x14ac:dyDescent="0.3">
      <c r="G25052" s="1"/>
      <c r="N25052" s="1"/>
    </row>
    <row r="25053" spans="7:14" x14ac:dyDescent="0.3">
      <c r="G25053" s="1"/>
      <c r="N25053" s="1"/>
    </row>
    <row r="25054" spans="7:14" x14ac:dyDescent="0.3">
      <c r="G25054" s="1"/>
      <c r="N25054" s="1"/>
    </row>
    <row r="25055" spans="7:14" x14ac:dyDescent="0.3">
      <c r="G25055" s="1"/>
      <c r="N25055" s="1"/>
    </row>
    <row r="25056" spans="7:14" x14ac:dyDescent="0.3">
      <c r="G25056" s="1"/>
      <c r="N25056" s="1"/>
    </row>
    <row r="25057" spans="7:14" x14ac:dyDescent="0.3">
      <c r="G25057" s="1"/>
      <c r="N25057" s="1"/>
    </row>
    <row r="25058" spans="7:14" x14ac:dyDescent="0.3">
      <c r="G25058" s="1"/>
      <c r="N25058" s="1"/>
    </row>
    <row r="25059" spans="7:14" x14ac:dyDescent="0.3">
      <c r="G25059" s="1"/>
      <c r="N25059" s="1"/>
    </row>
    <row r="25060" spans="7:14" x14ac:dyDescent="0.3">
      <c r="G25060" s="1"/>
      <c r="N25060" s="1"/>
    </row>
    <row r="25061" spans="7:14" x14ac:dyDescent="0.3">
      <c r="G25061" s="1"/>
      <c r="N25061" s="1"/>
    </row>
    <row r="25062" spans="7:14" x14ac:dyDescent="0.3">
      <c r="G25062" s="1"/>
      <c r="N25062" s="1"/>
    </row>
    <row r="25063" spans="7:14" x14ac:dyDescent="0.3">
      <c r="G25063" s="1"/>
      <c r="N25063" s="1"/>
    </row>
    <row r="25064" spans="7:14" x14ac:dyDescent="0.3">
      <c r="G25064" s="1"/>
      <c r="N25064" s="1"/>
    </row>
    <row r="25065" spans="7:14" x14ac:dyDescent="0.3">
      <c r="G25065" s="1"/>
      <c r="N25065" s="1"/>
    </row>
    <row r="25066" spans="7:14" x14ac:dyDescent="0.3">
      <c r="G25066" s="1"/>
      <c r="N25066" s="1"/>
    </row>
    <row r="25067" spans="7:14" x14ac:dyDescent="0.3">
      <c r="G25067" s="1"/>
      <c r="N25067" s="1"/>
    </row>
    <row r="25068" spans="7:14" x14ac:dyDescent="0.3">
      <c r="G25068" s="1"/>
      <c r="N25068" s="1"/>
    </row>
    <row r="25069" spans="7:14" x14ac:dyDescent="0.3">
      <c r="G25069" s="1"/>
      <c r="N25069" s="1"/>
    </row>
    <row r="25070" spans="7:14" x14ac:dyDescent="0.3">
      <c r="G25070" s="1"/>
      <c r="N25070" s="1"/>
    </row>
    <row r="25071" spans="7:14" x14ac:dyDescent="0.3">
      <c r="G25071" s="1"/>
      <c r="N25071" s="1"/>
    </row>
    <row r="25072" spans="7:14" x14ac:dyDescent="0.3">
      <c r="G25072" s="1"/>
      <c r="N25072" s="1"/>
    </row>
    <row r="25073" spans="7:14" x14ac:dyDescent="0.3">
      <c r="G25073" s="1"/>
      <c r="N25073" s="1"/>
    </row>
    <row r="25074" spans="7:14" x14ac:dyDescent="0.3">
      <c r="G25074" s="1"/>
      <c r="N25074" s="1"/>
    </row>
    <row r="25075" spans="7:14" x14ac:dyDescent="0.3">
      <c r="G25075" s="1"/>
      <c r="N25075" s="1"/>
    </row>
    <row r="25076" spans="7:14" x14ac:dyDescent="0.3">
      <c r="G25076" s="1"/>
      <c r="N25076" s="1"/>
    </row>
    <row r="25077" spans="7:14" x14ac:dyDescent="0.3">
      <c r="G25077" s="1"/>
      <c r="N25077" s="1"/>
    </row>
    <row r="25078" spans="7:14" x14ac:dyDescent="0.3">
      <c r="G25078" s="1"/>
      <c r="N25078" s="1"/>
    </row>
    <row r="25079" spans="7:14" x14ac:dyDescent="0.3">
      <c r="G25079" s="1"/>
      <c r="N25079" s="1"/>
    </row>
    <row r="25080" spans="7:14" x14ac:dyDescent="0.3">
      <c r="G25080" s="1"/>
      <c r="N25080" s="1"/>
    </row>
    <row r="25081" spans="7:14" x14ac:dyDescent="0.3">
      <c r="G25081" s="1"/>
      <c r="N25081" s="1"/>
    </row>
    <row r="25082" spans="7:14" x14ac:dyDescent="0.3">
      <c r="G25082" s="1"/>
      <c r="N25082" s="1"/>
    </row>
    <row r="25083" spans="7:14" x14ac:dyDescent="0.3">
      <c r="G25083" s="1"/>
      <c r="N25083" s="1"/>
    </row>
    <row r="25084" spans="7:14" x14ac:dyDescent="0.3">
      <c r="G25084" s="1"/>
      <c r="N25084" s="1"/>
    </row>
    <row r="25085" spans="7:14" x14ac:dyDescent="0.3">
      <c r="G25085" s="1"/>
      <c r="N25085" s="1"/>
    </row>
    <row r="25086" spans="7:14" x14ac:dyDescent="0.3">
      <c r="G25086" s="1"/>
      <c r="N25086" s="1"/>
    </row>
    <row r="25087" spans="7:14" x14ac:dyDescent="0.3">
      <c r="G25087" s="1"/>
      <c r="N25087" s="1"/>
    </row>
    <row r="25088" spans="7:14" x14ac:dyDescent="0.3">
      <c r="G25088" s="1"/>
      <c r="N25088" s="1"/>
    </row>
    <row r="25089" spans="7:14" x14ac:dyDescent="0.3">
      <c r="G25089" s="1"/>
      <c r="N25089" s="1"/>
    </row>
    <row r="25090" spans="7:14" x14ac:dyDescent="0.3">
      <c r="G25090" s="1"/>
      <c r="N25090" s="1"/>
    </row>
    <row r="25091" spans="7:14" x14ac:dyDescent="0.3">
      <c r="G25091" s="1"/>
      <c r="N25091" s="1"/>
    </row>
    <row r="25092" spans="7:14" x14ac:dyDescent="0.3">
      <c r="G25092" s="1"/>
      <c r="N25092" s="1"/>
    </row>
    <row r="25093" spans="7:14" x14ac:dyDescent="0.3">
      <c r="G25093" s="1"/>
      <c r="N25093" s="1"/>
    </row>
    <row r="25094" spans="7:14" x14ac:dyDescent="0.3">
      <c r="G25094" s="1"/>
      <c r="N25094" s="1"/>
    </row>
    <row r="25095" spans="7:14" x14ac:dyDescent="0.3">
      <c r="G25095" s="1"/>
      <c r="N25095" s="1"/>
    </row>
    <row r="25096" spans="7:14" x14ac:dyDescent="0.3">
      <c r="G25096" s="1"/>
      <c r="N25096" s="1"/>
    </row>
    <row r="25097" spans="7:14" x14ac:dyDescent="0.3">
      <c r="G25097" s="1"/>
      <c r="N25097" s="1"/>
    </row>
    <row r="25098" spans="7:14" x14ac:dyDescent="0.3">
      <c r="G25098" s="1"/>
      <c r="N25098" s="1"/>
    </row>
    <row r="25099" spans="7:14" x14ac:dyDescent="0.3">
      <c r="G25099" s="1"/>
      <c r="N25099" s="1"/>
    </row>
    <row r="25100" spans="7:14" x14ac:dyDescent="0.3">
      <c r="G25100" s="1"/>
      <c r="N25100" s="1"/>
    </row>
    <row r="25101" spans="7:14" x14ac:dyDescent="0.3">
      <c r="G25101" s="1"/>
      <c r="N25101" s="1"/>
    </row>
    <row r="25102" spans="7:14" x14ac:dyDescent="0.3">
      <c r="G25102" s="1"/>
      <c r="N25102" s="1"/>
    </row>
    <row r="25103" spans="7:14" x14ac:dyDescent="0.3">
      <c r="G25103" s="1"/>
      <c r="N25103" s="1"/>
    </row>
    <row r="25104" spans="7:14" x14ac:dyDescent="0.3">
      <c r="G25104" s="1"/>
      <c r="N25104" s="1"/>
    </row>
    <row r="25105" spans="7:14" x14ac:dyDescent="0.3">
      <c r="G25105" s="1"/>
      <c r="N25105" s="1"/>
    </row>
    <row r="25106" spans="7:14" x14ac:dyDescent="0.3">
      <c r="G25106" s="1"/>
      <c r="N25106" s="1"/>
    </row>
    <row r="25107" spans="7:14" x14ac:dyDescent="0.3">
      <c r="G25107" s="1"/>
      <c r="N25107" s="1"/>
    </row>
    <row r="25108" spans="7:14" x14ac:dyDescent="0.3">
      <c r="G25108" s="1"/>
      <c r="N25108" s="1"/>
    </row>
    <row r="25109" spans="7:14" x14ac:dyDescent="0.3">
      <c r="G25109" s="1"/>
      <c r="N25109" s="1"/>
    </row>
    <row r="25110" spans="7:14" x14ac:dyDescent="0.3">
      <c r="G25110" s="1"/>
      <c r="N25110" s="1"/>
    </row>
    <row r="25111" spans="7:14" x14ac:dyDescent="0.3">
      <c r="G25111" s="1"/>
      <c r="N25111" s="1"/>
    </row>
    <row r="25112" spans="7:14" x14ac:dyDescent="0.3">
      <c r="G25112" s="1"/>
      <c r="N25112" s="1"/>
    </row>
    <row r="25113" spans="7:14" x14ac:dyDescent="0.3">
      <c r="G25113" s="1"/>
      <c r="N25113" s="1"/>
    </row>
    <row r="25114" spans="7:14" x14ac:dyDescent="0.3">
      <c r="G25114" s="1"/>
      <c r="N25114" s="1"/>
    </row>
    <row r="25115" spans="7:14" x14ac:dyDescent="0.3">
      <c r="G25115" s="1"/>
      <c r="N25115" s="1"/>
    </row>
    <row r="25116" spans="7:14" x14ac:dyDescent="0.3">
      <c r="G25116" s="1"/>
      <c r="N25116" s="1"/>
    </row>
    <row r="25117" spans="7:14" x14ac:dyDescent="0.3">
      <c r="G25117" s="1"/>
      <c r="N25117" s="1"/>
    </row>
    <row r="25118" spans="7:14" x14ac:dyDescent="0.3">
      <c r="G25118" s="1"/>
      <c r="N25118" s="1"/>
    </row>
    <row r="25119" spans="7:14" x14ac:dyDescent="0.3">
      <c r="G25119" s="1"/>
      <c r="N25119" s="1"/>
    </row>
    <row r="25120" spans="7:14" x14ac:dyDescent="0.3">
      <c r="G25120" s="1"/>
      <c r="N25120" s="1"/>
    </row>
    <row r="25121" spans="7:14" x14ac:dyDescent="0.3">
      <c r="G25121" s="1"/>
      <c r="N25121" s="1"/>
    </row>
    <row r="25122" spans="7:14" x14ac:dyDescent="0.3">
      <c r="G25122" s="1"/>
      <c r="N25122" s="1"/>
    </row>
    <row r="25123" spans="7:14" x14ac:dyDescent="0.3">
      <c r="G25123" s="1"/>
      <c r="N25123" s="1"/>
    </row>
    <row r="25124" spans="7:14" x14ac:dyDescent="0.3">
      <c r="G25124" s="1"/>
      <c r="N25124" s="1"/>
    </row>
    <row r="25125" spans="7:14" x14ac:dyDescent="0.3">
      <c r="G25125" s="1"/>
      <c r="N25125" s="1"/>
    </row>
    <row r="25126" spans="7:14" x14ac:dyDescent="0.3">
      <c r="G25126" s="1"/>
      <c r="N25126" s="1"/>
    </row>
    <row r="25127" spans="7:14" x14ac:dyDescent="0.3">
      <c r="G25127" s="1"/>
      <c r="N25127" s="1"/>
    </row>
    <row r="25128" spans="7:14" x14ac:dyDescent="0.3">
      <c r="G25128" s="1"/>
      <c r="N25128" s="1"/>
    </row>
    <row r="25129" spans="7:14" x14ac:dyDescent="0.3">
      <c r="G25129" s="1"/>
      <c r="N25129" s="1"/>
    </row>
    <row r="25130" spans="7:14" x14ac:dyDescent="0.3">
      <c r="G25130" s="1"/>
      <c r="N25130" s="1"/>
    </row>
    <row r="25131" spans="7:14" x14ac:dyDescent="0.3">
      <c r="G25131" s="1"/>
      <c r="N25131" s="1"/>
    </row>
    <row r="25132" spans="7:14" x14ac:dyDescent="0.3">
      <c r="G25132" s="1"/>
      <c r="N25132" s="1"/>
    </row>
    <row r="25133" spans="7:14" x14ac:dyDescent="0.3">
      <c r="G25133" s="1"/>
      <c r="N25133" s="1"/>
    </row>
    <row r="25134" spans="7:14" x14ac:dyDescent="0.3">
      <c r="G25134" s="1"/>
      <c r="N25134" s="1"/>
    </row>
    <row r="25135" spans="7:14" x14ac:dyDescent="0.3">
      <c r="G25135" s="1"/>
      <c r="N25135" s="1"/>
    </row>
    <row r="25136" spans="7:14" x14ac:dyDescent="0.3">
      <c r="G25136" s="1"/>
      <c r="N25136" s="1"/>
    </row>
    <row r="25137" spans="7:14" x14ac:dyDescent="0.3">
      <c r="G25137" s="1"/>
      <c r="N25137" s="1"/>
    </row>
    <row r="25138" spans="7:14" x14ac:dyDescent="0.3">
      <c r="G25138" s="1"/>
      <c r="N25138" s="1"/>
    </row>
    <row r="25139" spans="7:14" x14ac:dyDescent="0.3">
      <c r="G25139" s="1"/>
      <c r="N25139" s="1"/>
    </row>
    <row r="25140" spans="7:14" x14ac:dyDescent="0.3">
      <c r="G25140" s="1"/>
      <c r="N25140" s="1"/>
    </row>
    <row r="25141" spans="7:14" x14ac:dyDescent="0.3">
      <c r="G25141" s="1"/>
      <c r="N25141" s="1"/>
    </row>
    <row r="25142" spans="7:14" x14ac:dyDescent="0.3">
      <c r="G25142" s="1"/>
      <c r="N25142" s="1"/>
    </row>
    <row r="25143" spans="7:14" x14ac:dyDescent="0.3">
      <c r="G25143" s="1"/>
      <c r="N25143" s="1"/>
    </row>
    <row r="25144" spans="7:14" x14ac:dyDescent="0.3">
      <c r="G25144" s="1"/>
      <c r="N25144" s="1"/>
    </row>
    <row r="25145" spans="7:14" x14ac:dyDescent="0.3">
      <c r="G25145" s="1"/>
      <c r="N25145" s="1"/>
    </row>
    <row r="25146" spans="7:14" x14ac:dyDescent="0.3">
      <c r="G25146" s="1"/>
      <c r="N25146" s="1"/>
    </row>
    <row r="25147" spans="7:14" x14ac:dyDescent="0.3">
      <c r="G25147" s="1"/>
      <c r="N25147" s="1"/>
    </row>
    <row r="25148" spans="7:14" x14ac:dyDescent="0.3">
      <c r="G25148" s="1"/>
      <c r="N25148" s="1"/>
    </row>
    <row r="25149" spans="7:14" x14ac:dyDescent="0.3">
      <c r="G25149" s="1"/>
      <c r="N25149" s="1"/>
    </row>
    <row r="25150" spans="7:14" x14ac:dyDescent="0.3">
      <c r="G25150" s="1"/>
      <c r="N25150" s="1"/>
    </row>
    <row r="25151" spans="7:14" x14ac:dyDescent="0.3">
      <c r="G25151" s="1"/>
      <c r="N25151" s="1"/>
    </row>
    <row r="25152" spans="7:14" x14ac:dyDescent="0.3">
      <c r="G25152" s="1"/>
      <c r="N25152" s="1"/>
    </row>
    <row r="25153" spans="7:14" x14ac:dyDescent="0.3">
      <c r="G25153" s="1"/>
      <c r="N25153" s="1"/>
    </row>
    <row r="25154" spans="7:14" x14ac:dyDescent="0.3">
      <c r="G25154" s="1"/>
      <c r="N25154" s="1"/>
    </row>
    <row r="25155" spans="7:14" x14ac:dyDescent="0.3">
      <c r="G25155" s="1"/>
      <c r="N25155" s="1"/>
    </row>
    <row r="25156" spans="7:14" x14ac:dyDescent="0.3">
      <c r="G25156" s="1"/>
      <c r="N25156" s="1"/>
    </row>
    <row r="25157" spans="7:14" x14ac:dyDescent="0.3">
      <c r="G25157" s="1"/>
      <c r="N25157" s="1"/>
    </row>
    <row r="25158" spans="7:14" x14ac:dyDescent="0.3">
      <c r="G25158" s="1"/>
      <c r="N25158" s="1"/>
    </row>
    <row r="25159" spans="7:14" x14ac:dyDescent="0.3">
      <c r="G25159" s="1"/>
      <c r="N25159" s="1"/>
    </row>
    <row r="25160" spans="7:14" x14ac:dyDescent="0.3">
      <c r="G25160" s="1"/>
      <c r="N25160" s="1"/>
    </row>
    <row r="25161" spans="7:14" x14ac:dyDescent="0.3">
      <c r="G25161" s="1"/>
      <c r="N25161" s="1"/>
    </row>
    <row r="25162" spans="7:14" x14ac:dyDescent="0.3">
      <c r="G25162" s="1"/>
      <c r="N25162" s="1"/>
    </row>
    <row r="25163" spans="7:14" x14ac:dyDescent="0.3">
      <c r="G25163" s="1"/>
      <c r="N25163" s="1"/>
    </row>
    <row r="25164" spans="7:14" x14ac:dyDescent="0.3">
      <c r="G25164" s="1"/>
      <c r="N25164" s="1"/>
    </row>
    <row r="25165" spans="7:14" x14ac:dyDescent="0.3">
      <c r="G25165" s="1"/>
      <c r="N25165" s="1"/>
    </row>
    <row r="25166" spans="7:14" x14ac:dyDescent="0.3">
      <c r="G25166" s="1"/>
      <c r="N25166" s="1"/>
    </row>
    <row r="25167" spans="7:14" x14ac:dyDescent="0.3">
      <c r="G25167" s="1"/>
      <c r="N25167" s="1"/>
    </row>
    <row r="25168" spans="7:14" x14ac:dyDescent="0.3">
      <c r="G25168" s="1"/>
      <c r="N25168" s="1"/>
    </row>
    <row r="25169" spans="7:14" x14ac:dyDescent="0.3">
      <c r="G25169" s="1"/>
      <c r="N25169" s="1"/>
    </row>
    <row r="25170" spans="7:14" x14ac:dyDescent="0.3">
      <c r="G25170" s="1"/>
      <c r="N25170" s="1"/>
    </row>
    <row r="25171" spans="7:14" x14ac:dyDescent="0.3">
      <c r="G25171" s="1"/>
      <c r="N25171" s="1"/>
    </row>
    <row r="25172" spans="7:14" x14ac:dyDescent="0.3">
      <c r="G25172" s="1"/>
      <c r="N25172" s="1"/>
    </row>
    <row r="25173" spans="7:14" x14ac:dyDescent="0.3">
      <c r="G25173" s="1"/>
      <c r="N25173" s="1"/>
    </row>
    <row r="25174" spans="7:14" x14ac:dyDescent="0.3">
      <c r="G25174" s="1"/>
      <c r="N25174" s="1"/>
    </row>
    <row r="25175" spans="7:14" x14ac:dyDescent="0.3">
      <c r="G25175" s="1"/>
      <c r="N25175" s="1"/>
    </row>
    <row r="25176" spans="7:14" x14ac:dyDescent="0.3">
      <c r="G25176" s="1"/>
      <c r="N25176" s="1"/>
    </row>
    <row r="25177" spans="7:14" x14ac:dyDescent="0.3">
      <c r="G25177" s="1"/>
      <c r="N25177" s="1"/>
    </row>
    <row r="25178" spans="7:14" x14ac:dyDescent="0.3">
      <c r="G25178" s="1"/>
      <c r="N25178" s="1"/>
    </row>
    <row r="25179" spans="7:14" x14ac:dyDescent="0.3">
      <c r="G25179" s="1"/>
      <c r="N25179" s="1"/>
    </row>
    <row r="25180" spans="7:14" x14ac:dyDescent="0.3">
      <c r="G25180" s="1"/>
      <c r="N25180" s="1"/>
    </row>
    <row r="25181" spans="7:14" x14ac:dyDescent="0.3">
      <c r="G25181" s="1"/>
      <c r="N25181" s="1"/>
    </row>
    <row r="25182" spans="7:14" x14ac:dyDescent="0.3">
      <c r="G25182" s="1"/>
      <c r="N25182" s="1"/>
    </row>
    <row r="25183" spans="7:14" x14ac:dyDescent="0.3">
      <c r="G25183" s="1"/>
      <c r="N25183" s="1"/>
    </row>
    <row r="25184" spans="7:14" x14ac:dyDescent="0.3">
      <c r="G25184" s="1"/>
      <c r="N25184" s="1"/>
    </row>
    <row r="25185" spans="7:14" x14ac:dyDescent="0.3">
      <c r="G25185" s="1"/>
      <c r="N25185" s="1"/>
    </row>
    <row r="25186" spans="7:14" x14ac:dyDescent="0.3">
      <c r="G25186" s="1"/>
      <c r="N25186" s="1"/>
    </row>
    <row r="25187" spans="7:14" x14ac:dyDescent="0.3">
      <c r="G25187" s="1"/>
      <c r="N25187" s="1"/>
    </row>
    <row r="25188" spans="7:14" x14ac:dyDescent="0.3">
      <c r="G25188" s="1"/>
      <c r="N25188" s="1"/>
    </row>
    <row r="25189" spans="7:14" x14ac:dyDescent="0.3">
      <c r="G25189" s="1"/>
      <c r="N25189" s="1"/>
    </row>
    <row r="25190" spans="7:14" x14ac:dyDescent="0.3">
      <c r="G25190" s="1"/>
      <c r="N25190" s="1"/>
    </row>
    <row r="25191" spans="7:14" x14ac:dyDescent="0.3">
      <c r="G25191" s="1"/>
      <c r="N25191" s="1"/>
    </row>
    <row r="25192" spans="7:14" x14ac:dyDescent="0.3">
      <c r="G25192" s="1"/>
      <c r="N25192" s="1"/>
    </row>
    <row r="25193" spans="7:14" x14ac:dyDescent="0.3">
      <c r="G25193" s="1"/>
      <c r="N25193" s="1"/>
    </row>
    <row r="25194" spans="7:14" x14ac:dyDescent="0.3">
      <c r="G25194" s="1"/>
      <c r="N25194" s="1"/>
    </row>
    <row r="25195" spans="7:14" x14ac:dyDescent="0.3">
      <c r="G25195" s="1"/>
      <c r="N25195" s="1"/>
    </row>
    <row r="25196" spans="7:14" x14ac:dyDescent="0.3">
      <c r="G25196" s="1"/>
      <c r="N25196" s="1"/>
    </row>
    <row r="25197" spans="7:14" x14ac:dyDescent="0.3">
      <c r="G25197" s="1"/>
      <c r="N25197" s="1"/>
    </row>
    <row r="25198" spans="7:14" x14ac:dyDescent="0.3">
      <c r="G25198" s="1"/>
      <c r="N25198" s="1"/>
    </row>
    <row r="25199" spans="7:14" x14ac:dyDescent="0.3">
      <c r="G25199" s="1"/>
      <c r="N25199" s="1"/>
    </row>
    <row r="25200" spans="7:14" x14ac:dyDescent="0.3">
      <c r="G25200" s="1"/>
      <c r="N25200" s="1"/>
    </row>
    <row r="25201" spans="7:14" x14ac:dyDescent="0.3">
      <c r="G25201" s="1"/>
      <c r="N25201" s="1"/>
    </row>
    <row r="25202" spans="7:14" x14ac:dyDescent="0.3">
      <c r="G25202" s="1"/>
      <c r="N25202" s="1"/>
    </row>
    <row r="25203" spans="7:14" x14ac:dyDescent="0.3">
      <c r="G25203" s="1"/>
      <c r="N25203" s="1"/>
    </row>
    <row r="25204" spans="7:14" x14ac:dyDescent="0.3">
      <c r="G25204" s="1"/>
      <c r="N25204" s="1"/>
    </row>
    <row r="25205" spans="7:14" x14ac:dyDescent="0.3">
      <c r="G25205" s="1"/>
      <c r="N25205" s="1"/>
    </row>
    <row r="25206" spans="7:14" x14ac:dyDescent="0.3">
      <c r="G25206" s="1"/>
      <c r="N25206" s="1"/>
    </row>
    <row r="25207" spans="7:14" x14ac:dyDescent="0.3">
      <c r="G25207" s="1"/>
      <c r="N25207" s="1"/>
    </row>
    <row r="25208" spans="7:14" x14ac:dyDescent="0.3">
      <c r="G25208" s="1"/>
      <c r="N25208" s="1"/>
    </row>
    <row r="25209" spans="7:14" x14ac:dyDescent="0.3">
      <c r="G25209" s="1"/>
      <c r="N25209" s="1"/>
    </row>
    <row r="25210" spans="7:14" x14ac:dyDescent="0.3">
      <c r="G25210" s="1"/>
      <c r="N25210" s="1"/>
    </row>
    <row r="25211" spans="7:14" x14ac:dyDescent="0.3">
      <c r="G25211" s="1"/>
      <c r="N25211" s="1"/>
    </row>
    <row r="25212" spans="7:14" x14ac:dyDescent="0.3">
      <c r="G25212" s="1"/>
      <c r="N25212" s="1"/>
    </row>
    <row r="25213" spans="7:14" x14ac:dyDescent="0.3">
      <c r="G25213" s="1"/>
      <c r="N25213" s="1"/>
    </row>
    <row r="25214" spans="7:14" x14ac:dyDescent="0.3">
      <c r="G25214" s="1"/>
      <c r="N25214" s="1"/>
    </row>
    <row r="25215" spans="7:14" x14ac:dyDescent="0.3">
      <c r="G25215" s="1"/>
      <c r="N25215" s="1"/>
    </row>
    <row r="25216" spans="7:14" x14ac:dyDescent="0.3">
      <c r="G25216" s="1"/>
      <c r="N25216" s="1"/>
    </row>
    <row r="25217" spans="7:14" x14ac:dyDescent="0.3">
      <c r="G25217" s="1"/>
      <c r="N25217" s="1"/>
    </row>
    <row r="25218" spans="7:14" x14ac:dyDescent="0.3">
      <c r="G25218" s="1"/>
      <c r="N25218" s="1"/>
    </row>
    <row r="25219" spans="7:14" x14ac:dyDescent="0.3">
      <c r="G25219" s="1"/>
      <c r="N25219" s="1"/>
    </row>
    <row r="25220" spans="7:14" x14ac:dyDescent="0.3">
      <c r="G25220" s="1"/>
      <c r="N25220" s="1"/>
    </row>
    <row r="25221" spans="7:14" x14ac:dyDescent="0.3">
      <c r="G25221" s="1"/>
      <c r="N25221" s="1"/>
    </row>
    <row r="25222" spans="7:14" x14ac:dyDescent="0.3">
      <c r="G25222" s="1"/>
      <c r="N25222" s="1"/>
    </row>
    <row r="25223" spans="7:14" x14ac:dyDescent="0.3">
      <c r="G25223" s="1"/>
      <c r="N25223" s="1"/>
    </row>
    <row r="25224" spans="7:14" x14ac:dyDescent="0.3">
      <c r="G25224" s="1"/>
      <c r="N25224" s="1"/>
    </row>
    <row r="25225" spans="7:14" x14ac:dyDescent="0.3">
      <c r="G25225" s="1"/>
      <c r="N25225" s="1"/>
    </row>
    <row r="25226" spans="7:14" x14ac:dyDescent="0.3">
      <c r="G25226" s="1"/>
      <c r="N25226" s="1"/>
    </row>
    <row r="25227" spans="7:14" x14ac:dyDescent="0.3">
      <c r="G25227" s="1"/>
      <c r="N25227" s="1"/>
    </row>
    <row r="25228" spans="7:14" x14ac:dyDescent="0.3">
      <c r="G25228" s="1"/>
      <c r="N25228" s="1"/>
    </row>
    <row r="25229" spans="7:14" x14ac:dyDescent="0.3">
      <c r="G25229" s="1"/>
      <c r="N25229" s="1"/>
    </row>
    <row r="25230" spans="7:14" x14ac:dyDescent="0.3">
      <c r="G25230" s="1"/>
      <c r="N25230" s="1"/>
    </row>
    <row r="25231" spans="7:14" x14ac:dyDescent="0.3">
      <c r="G25231" s="1"/>
      <c r="N25231" s="1"/>
    </row>
    <row r="25232" spans="7:14" x14ac:dyDescent="0.3">
      <c r="G25232" s="1"/>
      <c r="N25232" s="1"/>
    </row>
    <row r="25233" spans="7:14" x14ac:dyDescent="0.3">
      <c r="G25233" s="1"/>
      <c r="N25233" s="1"/>
    </row>
    <row r="25234" spans="7:14" x14ac:dyDescent="0.3">
      <c r="G25234" s="1"/>
      <c r="N25234" s="1"/>
    </row>
    <row r="25235" spans="7:14" x14ac:dyDescent="0.3">
      <c r="G25235" s="1"/>
      <c r="N25235" s="1"/>
    </row>
    <row r="25236" spans="7:14" x14ac:dyDescent="0.3">
      <c r="G25236" s="1"/>
      <c r="N25236" s="1"/>
    </row>
    <row r="25237" spans="7:14" x14ac:dyDescent="0.3">
      <c r="G25237" s="1"/>
      <c r="N25237" s="1"/>
    </row>
    <row r="25238" spans="7:14" x14ac:dyDescent="0.3">
      <c r="G25238" s="1"/>
      <c r="N25238" s="1"/>
    </row>
    <row r="25239" spans="7:14" x14ac:dyDescent="0.3">
      <c r="G25239" s="1"/>
      <c r="N25239" s="1"/>
    </row>
    <row r="25240" spans="7:14" x14ac:dyDescent="0.3">
      <c r="G25240" s="1"/>
      <c r="N25240" s="1"/>
    </row>
    <row r="25241" spans="7:14" x14ac:dyDescent="0.3">
      <c r="G25241" s="1"/>
      <c r="N25241" s="1"/>
    </row>
    <row r="25242" spans="7:14" x14ac:dyDescent="0.3">
      <c r="G25242" s="1"/>
      <c r="N25242" s="1"/>
    </row>
    <row r="25243" spans="7:14" x14ac:dyDescent="0.3">
      <c r="G25243" s="1"/>
      <c r="N25243" s="1"/>
    </row>
    <row r="25244" spans="7:14" x14ac:dyDescent="0.3">
      <c r="G25244" s="1"/>
      <c r="N25244" s="1"/>
    </row>
    <row r="25245" spans="7:14" x14ac:dyDescent="0.3">
      <c r="G25245" s="1"/>
      <c r="N25245" s="1"/>
    </row>
    <row r="25246" spans="7:14" x14ac:dyDescent="0.3">
      <c r="G25246" s="1"/>
      <c r="N25246" s="1"/>
    </row>
    <row r="25247" spans="7:14" x14ac:dyDescent="0.3">
      <c r="G25247" s="1"/>
      <c r="N25247" s="1"/>
    </row>
    <row r="25248" spans="7:14" x14ac:dyDescent="0.3">
      <c r="G25248" s="1"/>
      <c r="N25248" s="1"/>
    </row>
    <row r="25249" spans="7:14" x14ac:dyDescent="0.3">
      <c r="G25249" s="1"/>
      <c r="N25249" s="1"/>
    </row>
    <row r="25250" spans="7:14" x14ac:dyDescent="0.3">
      <c r="G25250" s="1"/>
      <c r="N25250" s="1"/>
    </row>
    <row r="25251" spans="7:14" x14ac:dyDescent="0.3">
      <c r="G25251" s="1"/>
      <c r="N25251" s="1"/>
    </row>
    <row r="25252" spans="7:14" x14ac:dyDescent="0.3">
      <c r="G25252" s="1"/>
      <c r="N25252" s="1"/>
    </row>
    <row r="25253" spans="7:14" x14ac:dyDescent="0.3">
      <c r="G25253" s="1"/>
      <c r="N25253" s="1"/>
    </row>
    <row r="25254" spans="7:14" x14ac:dyDescent="0.3">
      <c r="G25254" s="1"/>
      <c r="N25254" s="1"/>
    </row>
    <row r="25255" spans="7:14" x14ac:dyDescent="0.3">
      <c r="G25255" s="1"/>
      <c r="N25255" s="1"/>
    </row>
    <row r="25256" spans="7:14" x14ac:dyDescent="0.3">
      <c r="G25256" s="1"/>
      <c r="N25256" s="1"/>
    </row>
    <row r="25257" spans="7:14" x14ac:dyDescent="0.3">
      <c r="G25257" s="1"/>
      <c r="N25257" s="1"/>
    </row>
    <row r="25258" spans="7:14" x14ac:dyDescent="0.3">
      <c r="G25258" s="1"/>
      <c r="N25258" s="1"/>
    </row>
    <row r="25259" spans="7:14" x14ac:dyDescent="0.3">
      <c r="G25259" s="1"/>
      <c r="N25259" s="1"/>
    </row>
    <row r="25260" spans="7:14" x14ac:dyDescent="0.3">
      <c r="G25260" s="1"/>
      <c r="N25260" s="1"/>
    </row>
    <row r="25261" spans="7:14" x14ac:dyDescent="0.3">
      <c r="G25261" s="1"/>
      <c r="N25261" s="1"/>
    </row>
    <row r="25262" spans="7:14" x14ac:dyDescent="0.3">
      <c r="G25262" s="1"/>
      <c r="N25262" s="1"/>
    </row>
    <row r="25263" spans="7:14" x14ac:dyDescent="0.3">
      <c r="G25263" s="1"/>
      <c r="N25263" s="1"/>
    </row>
    <row r="25264" spans="7:14" x14ac:dyDescent="0.3">
      <c r="G25264" s="1"/>
      <c r="N25264" s="1"/>
    </row>
    <row r="25265" spans="7:14" x14ac:dyDescent="0.3">
      <c r="G25265" s="1"/>
      <c r="N25265" s="1"/>
    </row>
    <row r="25266" spans="7:14" x14ac:dyDescent="0.3">
      <c r="G25266" s="1"/>
      <c r="N25266" s="1"/>
    </row>
    <row r="25267" spans="7:14" x14ac:dyDescent="0.3">
      <c r="G25267" s="1"/>
      <c r="N25267" s="1"/>
    </row>
    <row r="25268" spans="7:14" x14ac:dyDescent="0.3">
      <c r="G25268" s="1"/>
      <c r="N25268" s="1"/>
    </row>
    <row r="25269" spans="7:14" x14ac:dyDescent="0.3">
      <c r="G25269" s="1"/>
      <c r="N25269" s="1"/>
    </row>
    <row r="25270" spans="7:14" x14ac:dyDescent="0.3">
      <c r="G25270" s="1"/>
      <c r="N25270" s="1"/>
    </row>
    <row r="25271" spans="7:14" x14ac:dyDescent="0.3">
      <c r="G25271" s="1"/>
      <c r="N25271" s="1"/>
    </row>
    <row r="25272" spans="7:14" x14ac:dyDescent="0.3">
      <c r="G25272" s="1"/>
      <c r="N25272" s="1"/>
    </row>
    <row r="25273" spans="7:14" x14ac:dyDescent="0.3">
      <c r="G25273" s="1"/>
      <c r="N25273" s="1"/>
    </row>
    <row r="25274" spans="7:14" x14ac:dyDescent="0.3">
      <c r="G25274" s="1"/>
      <c r="N25274" s="1"/>
    </row>
    <row r="25275" spans="7:14" x14ac:dyDescent="0.3">
      <c r="G25275" s="1"/>
      <c r="N25275" s="1"/>
    </row>
    <row r="25276" spans="7:14" x14ac:dyDescent="0.3">
      <c r="G25276" s="1"/>
      <c r="N25276" s="1"/>
    </row>
    <row r="25277" spans="7:14" x14ac:dyDescent="0.3">
      <c r="G25277" s="1"/>
      <c r="N25277" s="1"/>
    </row>
    <row r="25278" spans="7:14" x14ac:dyDescent="0.3">
      <c r="G25278" s="1"/>
      <c r="N25278" s="1"/>
    </row>
    <row r="25279" spans="7:14" x14ac:dyDescent="0.3">
      <c r="G25279" s="1"/>
      <c r="N25279" s="1"/>
    </row>
    <row r="25280" spans="7:14" x14ac:dyDescent="0.3">
      <c r="G25280" s="1"/>
      <c r="N25280" s="1"/>
    </row>
    <row r="25281" spans="7:14" x14ac:dyDescent="0.3">
      <c r="G25281" s="1"/>
      <c r="N25281" s="1"/>
    </row>
    <row r="25282" spans="7:14" x14ac:dyDescent="0.3">
      <c r="G25282" s="1"/>
      <c r="N25282" s="1"/>
    </row>
    <row r="25283" spans="7:14" x14ac:dyDescent="0.3">
      <c r="G25283" s="1"/>
      <c r="N25283" s="1"/>
    </row>
    <row r="25284" spans="7:14" x14ac:dyDescent="0.3">
      <c r="G25284" s="1"/>
      <c r="N25284" s="1"/>
    </row>
    <row r="25285" spans="7:14" x14ac:dyDescent="0.3">
      <c r="G25285" s="1"/>
      <c r="N25285" s="1"/>
    </row>
    <row r="25286" spans="7:14" x14ac:dyDescent="0.3">
      <c r="G25286" s="1"/>
      <c r="N25286" s="1"/>
    </row>
    <row r="25287" spans="7:14" x14ac:dyDescent="0.3">
      <c r="G25287" s="1"/>
      <c r="N25287" s="1"/>
    </row>
    <row r="25288" spans="7:14" x14ac:dyDescent="0.3">
      <c r="G25288" s="1"/>
      <c r="N25288" s="1"/>
    </row>
    <row r="25289" spans="7:14" x14ac:dyDescent="0.3">
      <c r="G25289" s="1"/>
      <c r="N25289" s="1"/>
    </row>
    <row r="25290" spans="7:14" x14ac:dyDescent="0.3">
      <c r="G25290" s="1"/>
      <c r="N25290" s="1"/>
    </row>
    <row r="25291" spans="7:14" x14ac:dyDescent="0.3">
      <c r="G25291" s="1"/>
      <c r="N25291" s="1"/>
    </row>
    <row r="25292" spans="7:14" x14ac:dyDescent="0.3">
      <c r="G25292" s="1"/>
      <c r="N25292" s="1"/>
    </row>
    <row r="25293" spans="7:14" x14ac:dyDescent="0.3">
      <c r="G25293" s="1"/>
      <c r="N25293" s="1"/>
    </row>
    <row r="25294" spans="7:14" x14ac:dyDescent="0.3">
      <c r="G25294" s="1"/>
      <c r="N25294" s="1"/>
    </row>
    <row r="25295" spans="7:14" x14ac:dyDescent="0.3">
      <c r="G25295" s="1"/>
      <c r="N25295" s="1"/>
    </row>
    <row r="25296" spans="7:14" x14ac:dyDescent="0.3">
      <c r="G25296" s="1"/>
      <c r="N25296" s="1"/>
    </row>
    <row r="25297" spans="7:14" x14ac:dyDescent="0.3">
      <c r="G25297" s="1"/>
      <c r="N25297" s="1"/>
    </row>
    <row r="25298" spans="7:14" x14ac:dyDescent="0.3">
      <c r="G25298" s="1"/>
      <c r="N25298" s="1"/>
    </row>
    <row r="25299" spans="7:14" x14ac:dyDescent="0.3">
      <c r="G25299" s="1"/>
      <c r="N25299" s="1"/>
    </row>
    <row r="25300" spans="7:14" x14ac:dyDescent="0.3">
      <c r="G25300" s="1"/>
      <c r="N25300" s="1"/>
    </row>
    <row r="25301" spans="7:14" x14ac:dyDescent="0.3">
      <c r="G25301" s="1"/>
      <c r="N25301" s="1"/>
    </row>
    <row r="25302" spans="7:14" x14ac:dyDescent="0.3">
      <c r="G25302" s="1"/>
      <c r="N25302" s="1"/>
    </row>
    <row r="25303" spans="7:14" x14ac:dyDescent="0.3">
      <c r="G25303" s="1"/>
      <c r="N25303" s="1"/>
    </row>
    <row r="25304" spans="7:14" x14ac:dyDescent="0.3">
      <c r="G25304" s="1"/>
      <c r="N25304" s="1"/>
    </row>
    <row r="25305" spans="7:14" x14ac:dyDescent="0.3">
      <c r="G25305" s="1"/>
      <c r="N25305" s="1"/>
    </row>
    <row r="25306" spans="7:14" x14ac:dyDescent="0.3">
      <c r="G25306" s="1"/>
      <c r="N25306" s="1"/>
    </row>
    <row r="25307" spans="7:14" x14ac:dyDescent="0.3">
      <c r="G25307" s="1"/>
      <c r="N25307" s="1"/>
    </row>
    <row r="25308" spans="7:14" x14ac:dyDescent="0.3">
      <c r="G25308" s="1"/>
      <c r="N25308" s="1"/>
    </row>
    <row r="25309" spans="7:14" x14ac:dyDescent="0.3">
      <c r="G25309" s="1"/>
      <c r="N25309" s="1"/>
    </row>
    <row r="25310" spans="7:14" x14ac:dyDescent="0.3">
      <c r="G25310" s="1"/>
      <c r="N25310" s="1"/>
    </row>
    <row r="25311" spans="7:14" x14ac:dyDescent="0.3">
      <c r="G25311" s="1"/>
      <c r="N25311" s="1"/>
    </row>
    <row r="25312" spans="7:14" x14ac:dyDescent="0.3">
      <c r="G25312" s="1"/>
      <c r="N25312" s="1"/>
    </row>
    <row r="25313" spans="7:14" x14ac:dyDescent="0.3">
      <c r="G25313" s="1"/>
      <c r="N25313" s="1"/>
    </row>
    <row r="25314" spans="7:14" x14ac:dyDescent="0.3">
      <c r="G25314" s="1"/>
      <c r="N25314" s="1"/>
    </row>
    <row r="25315" spans="7:14" x14ac:dyDescent="0.3">
      <c r="G25315" s="1"/>
      <c r="N25315" s="1"/>
    </row>
    <row r="25316" spans="7:14" x14ac:dyDescent="0.3">
      <c r="G25316" s="1"/>
      <c r="N25316" s="1"/>
    </row>
    <row r="25317" spans="7:14" x14ac:dyDescent="0.3">
      <c r="G25317" s="1"/>
      <c r="N25317" s="1"/>
    </row>
    <row r="25318" spans="7:14" x14ac:dyDescent="0.3">
      <c r="G25318" s="1"/>
      <c r="N25318" s="1"/>
    </row>
    <row r="25319" spans="7:14" x14ac:dyDescent="0.3">
      <c r="G25319" s="1"/>
      <c r="N25319" s="1"/>
    </row>
    <row r="25320" spans="7:14" x14ac:dyDescent="0.3">
      <c r="G25320" s="1"/>
      <c r="N25320" s="1"/>
    </row>
    <row r="25321" spans="7:14" x14ac:dyDescent="0.3">
      <c r="G25321" s="1"/>
      <c r="N25321" s="1"/>
    </row>
    <row r="25322" spans="7:14" x14ac:dyDescent="0.3">
      <c r="G25322" s="1"/>
      <c r="N25322" s="1"/>
    </row>
    <row r="25323" spans="7:14" x14ac:dyDescent="0.3">
      <c r="G25323" s="1"/>
      <c r="N25323" s="1"/>
    </row>
    <row r="25324" spans="7:14" x14ac:dyDescent="0.3">
      <c r="G25324" s="1"/>
      <c r="N25324" s="1"/>
    </row>
    <row r="25325" spans="7:14" x14ac:dyDescent="0.3">
      <c r="G25325" s="1"/>
      <c r="N25325" s="1"/>
    </row>
    <row r="25326" spans="7:14" x14ac:dyDescent="0.3">
      <c r="G25326" s="1"/>
      <c r="N25326" s="1"/>
    </row>
    <row r="25327" spans="7:14" x14ac:dyDescent="0.3">
      <c r="G25327" s="1"/>
      <c r="N25327" s="1"/>
    </row>
    <row r="25328" spans="7:14" x14ac:dyDescent="0.3">
      <c r="G25328" s="1"/>
      <c r="N25328" s="1"/>
    </row>
    <row r="25329" spans="7:14" x14ac:dyDescent="0.3">
      <c r="G25329" s="1"/>
      <c r="N25329" s="1"/>
    </row>
    <row r="25330" spans="7:14" x14ac:dyDescent="0.3">
      <c r="G25330" s="1"/>
      <c r="N25330" s="1"/>
    </row>
    <row r="25331" spans="7:14" x14ac:dyDescent="0.3">
      <c r="G25331" s="1"/>
      <c r="N25331" s="1"/>
    </row>
    <row r="25332" spans="7:14" x14ac:dyDescent="0.3">
      <c r="G25332" s="1"/>
      <c r="N25332" s="1"/>
    </row>
    <row r="25333" spans="7:14" x14ac:dyDescent="0.3">
      <c r="G25333" s="1"/>
      <c r="N25333" s="1"/>
    </row>
    <row r="25334" spans="7:14" x14ac:dyDescent="0.3">
      <c r="G25334" s="1"/>
      <c r="N25334" s="1"/>
    </row>
    <row r="25335" spans="7:14" x14ac:dyDescent="0.3">
      <c r="G25335" s="1"/>
      <c r="N25335" s="1"/>
    </row>
    <row r="25336" spans="7:14" x14ac:dyDescent="0.3">
      <c r="G25336" s="1"/>
      <c r="N25336" s="1"/>
    </row>
    <row r="25337" spans="7:14" x14ac:dyDescent="0.3">
      <c r="G25337" s="1"/>
      <c r="N25337" s="1"/>
    </row>
    <row r="25338" spans="7:14" x14ac:dyDescent="0.3">
      <c r="G25338" s="1"/>
      <c r="N25338" s="1"/>
    </row>
    <row r="25339" spans="7:14" x14ac:dyDescent="0.3">
      <c r="G25339" s="1"/>
      <c r="N25339" s="1"/>
    </row>
    <row r="25340" spans="7:14" x14ac:dyDescent="0.3">
      <c r="G25340" s="1"/>
      <c r="N25340" s="1"/>
    </row>
    <row r="25341" spans="7:14" x14ac:dyDescent="0.3">
      <c r="G25341" s="1"/>
      <c r="N25341" s="1"/>
    </row>
    <row r="25342" spans="7:14" x14ac:dyDescent="0.3">
      <c r="G25342" s="1"/>
      <c r="N25342" s="1"/>
    </row>
    <row r="25343" spans="7:14" x14ac:dyDescent="0.3">
      <c r="G25343" s="1"/>
      <c r="N25343" s="1"/>
    </row>
    <row r="25344" spans="7:14" x14ac:dyDescent="0.3">
      <c r="G25344" s="1"/>
      <c r="N25344" s="1"/>
    </row>
    <row r="25345" spans="7:14" x14ac:dyDescent="0.3">
      <c r="G25345" s="1"/>
      <c r="N25345" s="1"/>
    </row>
    <row r="25346" spans="7:14" x14ac:dyDescent="0.3">
      <c r="G25346" s="1"/>
      <c r="N25346" s="1"/>
    </row>
    <row r="25347" spans="7:14" x14ac:dyDescent="0.3">
      <c r="G25347" s="1"/>
      <c r="N25347" s="1"/>
    </row>
    <row r="25348" spans="7:14" x14ac:dyDescent="0.3">
      <c r="G25348" s="1"/>
      <c r="N25348" s="1"/>
    </row>
    <row r="25349" spans="7:14" x14ac:dyDescent="0.3">
      <c r="G25349" s="1"/>
      <c r="N25349" s="1"/>
    </row>
    <row r="25350" spans="7:14" x14ac:dyDescent="0.3">
      <c r="G25350" s="1"/>
      <c r="N25350" s="1"/>
    </row>
    <row r="25351" spans="7:14" x14ac:dyDescent="0.3">
      <c r="G25351" s="1"/>
      <c r="N25351" s="1"/>
    </row>
    <row r="25352" spans="7:14" x14ac:dyDescent="0.3">
      <c r="G25352" s="1"/>
      <c r="N25352" s="1"/>
    </row>
    <row r="25353" spans="7:14" x14ac:dyDescent="0.3">
      <c r="G25353" s="1"/>
      <c r="N25353" s="1"/>
    </row>
    <row r="25354" spans="7:14" x14ac:dyDescent="0.3">
      <c r="G25354" s="1"/>
      <c r="N25354" s="1"/>
    </row>
    <row r="25355" spans="7:14" x14ac:dyDescent="0.3">
      <c r="G25355" s="1"/>
      <c r="N25355" s="1"/>
    </row>
    <row r="25356" spans="7:14" x14ac:dyDescent="0.3">
      <c r="G25356" s="1"/>
      <c r="N25356" s="1"/>
    </row>
    <row r="25357" spans="7:14" x14ac:dyDescent="0.3">
      <c r="G25357" s="1"/>
      <c r="N25357" s="1"/>
    </row>
    <row r="25358" spans="7:14" x14ac:dyDescent="0.3">
      <c r="G25358" s="1"/>
      <c r="N25358" s="1"/>
    </row>
    <row r="25359" spans="7:14" x14ac:dyDescent="0.3">
      <c r="G25359" s="1"/>
      <c r="N25359" s="1"/>
    </row>
    <row r="25360" spans="7:14" x14ac:dyDescent="0.3">
      <c r="G25360" s="1"/>
      <c r="N25360" s="1"/>
    </row>
    <row r="25361" spans="7:14" x14ac:dyDescent="0.3">
      <c r="G25361" s="1"/>
      <c r="N25361" s="1"/>
    </row>
    <row r="25362" spans="7:14" x14ac:dyDescent="0.3">
      <c r="G25362" s="1"/>
      <c r="N25362" s="1"/>
    </row>
    <row r="25363" spans="7:14" x14ac:dyDescent="0.3">
      <c r="G25363" s="1"/>
      <c r="N25363" s="1"/>
    </row>
    <row r="25364" spans="7:14" x14ac:dyDescent="0.3">
      <c r="G25364" s="1"/>
      <c r="N25364" s="1"/>
    </row>
    <row r="25365" spans="7:14" x14ac:dyDescent="0.3">
      <c r="G25365" s="1"/>
      <c r="N25365" s="1"/>
    </row>
    <row r="25366" spans="7:14" x14ac:dyDescent="0.3">
      <c r="G25366" s="1"/>
      <c r="N25366" s="1"/>
    </row>
    <row r="25367" spans="7:14" x14ac:dyDescent="0.3">
      <c r="G25367" s="1"/>
      <c r="N25367" s="1"/>
    </row>
    <row r="25368" spans="7:14" x14ac:dyDescent="0.3">
      <c r="G25368" s="1"/>
      <c r="N25368" s="1"/>
    </row>
    <row r="25369" spans="7:14" x14ac:dyDescent="0.3">
      <c r="G25369" s="1"/>
      <c r="N25369" s="1"/>
    </row>
    <row r="25370" spans="7:14" x14ac:dyDescent="0.3">
      <c r="G25370" s="1"/>
      <c r="N25370" s="1"/>
    </row>
    <row r="25371" spans="7:14" x14ac:dyDescent="0.3">
      <c r="G25371" s="1"/>
      <c r="N25371" s="1"/>
    </row>
    <row r="25372" spans="7:14" x14ac:dyDescent="0.3">
      <c r="G25372" s="1"/>
      <c r="N25372" s="1"/>
    </row>
    <row r="25373" spans="7:14" x14ac:dyDescent="0.3">
      <c r="G25373" s="1"/>
      <c r="N25373" s="1"/>
    </row>
    <row r="25374" spans="7:14" x14ac:dyDescent="0.3">
      <c r="G25374" s="1"/>
      <c r="N25374" s="1"/>
    </row>
    <row r="25375" spans="7:14" x14ac:dyDescent="0.3">
      <c r="G25375" s="1"/>
      <c r="N25375" s="1"/>
    </row>
    <row r="25376" spans="7:14" x14ac:dyDescent="0.3">
      <c r="G25376" s="1"/>
      <c r="N25376" s="1"/>
    </row>
    <row r="25377" spans="7:14" x14ac:dyDescent="0.3">
      <c r="G25377" s="1"/>
      <c r="N25377" s="1"/>
    </row>
    <row r="25378" spans="7:14" x14ac:dyDescent="0.3">
      <c r="G25378" s="1"/>
      <c r="N25378" s="1"/>
    </row>
    <row r="25379" spans="7:14" x14ac:dyDescent="0.3">
      <c r="G25379" s="1"/>
      <c r="N25379" s="1"/>
    </row>
    <row r="25380" spans="7:14" x14ac:dyDescent="0.3">
      <c r="G25380" s="1"/>
      <c r="N25380" s="1"/>
    </row>
    <row r="25381" spans="7:14" x14ac:dyDescent="0.3">
      <c r="G25381" s="1"/>
      <c r="N25381" s="1"/>
    </row>
    <row r="25382" spans="7:14" x14ac:dyDescent="0.3">
      <c r="G25382" s="1"/>
      <c r="N25382" s="1"/>
    </row>
    <row r="25383" spans="7:14" x14ac:dyDescent="0.3">
      <c r="G25383" s="1"/>
      <c r="N25383" s="1"/>
    </row>
    <row r="25384" spans="7:14" x14ac:dyDescent="0.3">
      <c r="G25384" s="1"/>
      <c r="N25384" s="1"/>
    </row>
    <row r="25385" spans="7:14" x14ac:dyDescent="0.3">
      <c r="G25385" s="1"/>
      <c r="N25385" s="1"/>
    </row>
    <row r="25386" spans="7:14" x14ac:dyDescent="0.3">
      <c r="G25386" s="1"/>
      <c r="N25386" s="1"/>
    </row>
    <row r="25387" spans="7:14" x14ac:dyDescent="0.3">
      <c r="G25387" s="1"/>
      <c r="N25387" s="1"/>
    </row>
    <row r="25388" spans="7:14" x14ac:dyDescent="0.3">
      <c r="G25388" s="1"/>
      <c r="N25388" s="1"/>
    </row>
    <row r="25389" spans="7:14" x14ac:dyDescent="0.3">
      <c r="G25389" s="1"/>
      <c r="N25389" s="1"/>
    </row>
    <row r="25390" spans="7:14" x14ac:dyDescent="0.3">
      <c r="G25390" s="1"/>
      <c r="N25390" s="1"/>
    </row>
    <row r="25391" spans="7:14" x14ac:dyDescent="0.3">
      <c r="G25391" s="1"/>
      <c r="N25391" s="1"/>
    </row>
    <row r="25392" spans="7:14" x14ac:dyDescent="0.3">
      <c r="G25392" s="1"/>
      <c r="N25392" s="1"/>
    </row>
    <row r="25393" spans="7:14" x14ac:dyDescent="0.3">
      <c r="G25393" s="1"/>
      <c r="N25393" s="1"/>
    </row>
    <row r="25394" spans="7:14" x14ac:dyDescent="0.3">
      <c r="G25394" s="1"/>
      <c r="N25394" s="1"/>
    </row>
    <row r="25395" spans="7:14" x14ac:dyDescent="0.3">
      <c r="G25395" s="1"/>
      <c r="N25395" s="1"/>
    </row>
    <row r="25396" spans="7:14" x14ac:dyDescent="0.3">
      <c r="G25396" s="1"/>
      <c r="N25396" s="1"/>
    </row>
    <row r="25397" spans="7:14" x14ac:dyDescent="0.3">
      <c r="G25397" s="1"/>
      <c r="N25397" s="1"/>
    </row>
    <row r="25398" spans="7:14" x14ac:dyDescent="0.3">
      <c r="G25398" s="1"/>
      <c r="N25398" s="1"/>
    </row>
    <row r="25399" spans="7:14" x14ac:dyDescent="0.3">
      <c r="G25399" s="1"/>
      <c r="N25399" s="1"/>
    </row>
    <row r="25400" spans="7:14" x14ac:dyDescent="0.3">
      <c r="G25400" s="1"/>
      <c r="N25400" s="1"/>
    </row>
    <row r="25401" spans="7:14" x14ac:dyDescent="0.3">
      <c r="G25401" s="1"/>
      <c r="N25401" s="1"/>
    </row>
    <row r="25402" spans="7:14" x14ac:dyDescent="0.3">
      <c r="G25402" s="1"/>
      <c r="N25402" s="1"/>
    </row>
    <row r="25403" spans="7:14" x14ac:dyDescent="0.3">
      <c r="G25403" s="1"/>
      <c r="N25403" s="1"/>
    </row>
    <row r="25404" spans="7:14" x14ac:dyDescent="0.3">
      <c r="G25404" s="1"/>
      <c r="N25404" s="1"/>
    </row>
    <row r="25405" spans="7:14" x14ac:dyDescent="0.3">
      <c r="G25405" s="1"/>
      <c r="N25405" s="1"/>
    </row>
    <row r="25406" spans="7:14" x14ac:dyDescent="0.3">
      <c r="G25406" s="1"/>
      <c r="N25406" s="1"/>
    </row>
    <row r="25407" spans="7:14" x14ac:dyDescent="0.3">
      <c r="G25407" s="1"/>
      <c r="N25407" s="1"/>
    </row>
    <row r="25408" spans="7:14" x14ac:dyDescent="0.3">
      <c r="G25408" s="1"/>
      <c r="N25408" s="1"/>
    </row>
    <row r="25409" spans="7:14" x14ac:dyDescent="0.3">
      <c r="G25409" s="1"/>
      <c r="N25409" s="1"/>
    </row>
    <row r="25410" spans="7:14" x14ac:dyDescent="0.3">
      <c r="G25410" s="1"/>
      <c r="N25410" s="1"/>
    </row>
    <row r="25411" spans="7:14" x14ac:dyDescent="0.3">
      <c r="G25411" s="1"/>
      <c r="N25411" s="1"/>
    </row>
    <row r="25412" spans="7:14" x14ac:dyDescent="0.3">
      <c r="G25412" s="1"/>
      <c r="N25412" s="1"/>
    </row>
    <row r="25413" spans="7:14" x14ac:dyDescent="0.3">
      <c r="G25413" s="1"/>
      <c r="N25413" s="1"/>
    </row>
    <row r="25414" spans="7:14" x14ac:dyDescent="0.3">
      <c r="G25414" s="1"/>
      <c r="N25414" s="1"/>
    </row>
    <row r="25415" spans="7:14" x14ac:dyDescent="0.3">
      <c r="G25415" s="1"/>
      <c r="N25415" s="1"/>
    </row>
    <row r="25416" spans="7:14" x14ac:dyDescent="0.3">
      <c r="G25416" s="1"/>
      <c r="N25416" s="1"/>
    </row>
    <row r="25417" spans="7:14" x14ac:dyDescent="0.3">
      <c r="G25417" s="1"/>
      <c r="N25417" s="1"/>
    </row>
    <row r="25418" spans="7:14" x14ac:dyDescent="0.3">
      <c r="G25418" s="1"/>
      <c r="N25418" s="1"/>
    </row>
    <row r="25419" spans="7:14" x14ac:dyDescent="0.3">
      <c r="G25419" s="1"/>
      <c r="N25419" s="1"/>
    </row>
    <row r="25420" spans="7:14" x14ac:dyDescent="0.3">
      <c r="G25420" s="1"/>
      <c r="N25420" s="1"/>
    </row>
    <row r="25421" spans="7:14" x14ac:dyDescent="0.3">
      <c r="G25421" s="1"/>
      <c r="N25421" s="1"/>
    </row>
    <row r="25422" spans="7:14" x14ac:dyDescent="0.3">
      <c r="G25422" s="1"/>
      <c r="N25422" s="1"/>
    </row>
    <row r="25423" spans="7:14" x14ac:dyDescent="0.3">
      <c r="G25423" s="1"/>
      <c r="N25423" s="1"/>
    </row>
    <row r="25424" spans="7:14" x14ac:dyDescent="0.3">
      <c r="G25424" s="1"/>
      <c r="N25424" s="1"/>
    </row>
    <row r="25425" spans="7:14" x14ac:dyDescent="0.3">
      <c r="G25425" s="1"/>
      <c r="N25425" s="1"/>
    </row>
    <row r="25426" spans="7:14" x14ac:dyDescent="0.3">
      <c r="G25426" s="1"/>
      <c r="N25426" s="1"/>
    </row>
    <row r="25427" spans="7:14" x14ac:dyDescent="0.3">
      <c r="G25427" s="1"/>
      <c r="N25427" s="1"/>
    </row>
    <row r="25428" spans="7:14" x14ac:dyDescent="0.3">
      <c r="G25428" s="1"/>
      <c r="N25428" s="1"/>
    </row>
    <row r="25429" spans="7:14" x14ac:dyDescent="0.3">
      <c r="G25429" s="1"/>
      <c r="N25429" s="1"/>
    </row>
    <row r="25430" spans="7:14" x14ac:dyDescent="0.3">
      <c r="G25430" s="1"/>
      <c r="N25430" s="1"/>
    </row>
    <row r="25431" spans="7:14" x14ac:dyDescent="0.3">
      <c r="G25431" s="1"/>
      <c r="N25431" s="1"/>
    </row>
    <row r="25432" spans="7:14" x14ac:dyDescent="0.3">
      <c r="G25432" s="1"/>
      <c r="N25432" s="1"/>
    </row>
    <row r="25433" spans="7:14" x14ac:dyDescent="0.3">
      <c r="G25433" s="1"/>
      <c r="N25433" s="1"/>
    </row>
    <row r="25434" spans="7:14" x14ac:dyDescent="0.3">
      <c r="G25434" s="1"/>
      <c r="N25434" s="1"/>
    </row>
    <row r="25435" spans="7:14" x14ac:dyDescent="0.3">
      <c r="G25435" s="1"/>
      <c r="N25435" s="1"/>
    </row>
    <row r="25436" spans="7:14" x14ac:dyDescent="0.3">
      <c r="G25436" s="1"/>
      <c r="N25436" s="1"/>
    </row>
    <row r="25437" spans="7:14" x14ac:dyDescent="0.3">
      <c r="G25437" s="1"/>
      <c r="N25437" s="1"/>
    </row>
    <row r="25438" spans="7:14" x14ac:dyDescent="0.3">
      <c r="G25438" s="1"/>
      <c r="N25438" s="1"/>
    </row>
    <row r="25439" spans="7:14" x14ac:dyDescent="0.3">
      <c r="G25439" s="1"/>
      <c r="N25439" s="1"/>
    </row>
    <row r="25440" spans="7:14" x14ac:dyDescent="0.3">
      <c r="G25440" s="1"/>
      <c r="N25440" s="1"/>
    </row>
    <row r="25441" spans="7:14" x14ac:dyDescent="0.3">
      <c r="G25441" s="1"/>
      <c r="N25441" s="1"/>
    </row>
    <row r="25442" spans="7:14" x14ac:dyDescent="0.3">
      <c r="G25442" s="1"/>
      <c r="N25442" s="1"/>
    </row>
    <row r="25443" spans="7:14" x14ac:dyDescent="0.3">
      <c r="G25443" s="1"/>
      <c r="N25443" s="1"/>
    </row>
    <row r="25444" spans="7:14" x14ac:dyDescent="0.3">
      <c r="G25444" s="1"/>
      <c r="N25444" s="1"/>
    </row>
    <row r="25445" spans="7:14" x14ac:dyDescent="0.3">
      <c r="G25445" s="1"/>
      <c r="N25445" s="1"/>
    </row>
    <row r="25446" spans="7:14" x14ac:dyDescent="0.3">
      <c r="G25446" s="1"/>
      <c r="N25446" s="1"/>
    </row>
    <row r="25447" spans="7:14" x14ac:dyDescent="0.3">
      <c r="G25447" s="1"/>
      <c r="N25447" s="1"/>
    </row>
    <row r="25448" spans="7:14" x14ac:dyDescent="0.3">
      <c r="G25448" s="1"/>
      <c r="N25448" s="1"/>
    </row>
    <row r="25449" spans="7:14" x14ac:dyDescent="0.3">
      <c r="G25449" s="1"/>
      <c r="N25449" s="1"/>
    </row>
    <row r="25450" spans="7:14" x14ac:dyDescent="0.3">
      <c r="G25450" s="1"/>
      <c r="N25450" s="1"/>
    </row>
    <row r="25451" spans="7:14" x14ac:dyDescent="0.3">
      <c r="G25451" s="1"/>
      <c r="N25451" s="1"/>
    </row>
    <row r="25452" spans="7:14" x14ac:dyDescent="0.3">
      <c r="G25452" s="1"/>
      <c r="N25452" s="1"/>
    </row>
    <row r="25453" spans="7:14" x14ac:dyDescent="0.3">
      <c r="G25453" s="1"/>
      <c r="N25453" s="1"/>
    </row>
    <row r="25454" spans="7:14" x14ac:dyDescent="0.3">
      <c r="G25454" s="1"/>
      <c r="N25454" s="1"/>
    </row>
    <row r="25455" spans="7:14" x14ac:dyDescent="0.3">
      <c r="G25455" s="1"/>
      <c r="N25455" s="1"/>
    </row>
    <row r="25456" spans="7:14" x14ac:dyDescent="0.3">
      <c r="G25456" s="1"/>
      <c r="N25456" s="1"/>
    </row>
    <row r="25457" spans="7:14" x14ac:dyDescent="0.3">
      <c r="G25457" s="1"/>
      <c r="N25457" s="1"/>
    </row>
    <row r="25458" spans="7:14" x14ac:dyDescent="0.3">
      <c r="G25458" s="1"/>
      <c r="N25458" s="1"/>
    </row>
    <row r="25459" spans="7:14" x14ac:dyDescent="0.3">
      <c r="G25459" s="1"/>
      <c r="N25459" s="1"/>
    </row>
    <row r="25460" spans="7:14" x14ac:dyDescent="0.3">
      <c r="G25460" s="1"/>
      <c r="N25460" s="1"/>
    </row>
    <row r="25461" spans="7:14" x14ac:dyDescent="0.3">
      <c r="G25461" s="1"/>
      <c r="N25461" s="1"/>
    </row>
    <row r="25462" spans="7:14" x14ac:dyDescent="0.3">
      <c r="G25462" s="1"/>
      <c r="N25462" s="1"/>
    </row>
    <row r="25463" spans="7:14" x14ac:dyDescent="0.3">
      <c r="G25463" s="1"/>
      <c r="N25463" s="1"/>
    </row>
    <row r="25464" spans="7:14" x14ac:dyDescent="0.3">
      <c r="G25464" s="1"/>
      <c r="N25464" s="1"/>
    </row>
    <row r="25465" spans="7:14" x14ac:dyDescent="0.3">
      <c r="G25465" s="1"/>
      <c r="N25465" s="1"/>
    </row>
    <row r="25466" spans="7:14" x14ac:dyDescent="0.3">
      <c r="G25466" s="1"/>
      <c r="N25466" s="1"/>
    </row>
    <row r="25467" spans="7:14" x14ac:dyDescent="0.3">
      <c r="G25467" s="1"/>
      <c r="N25467" s="1"/>
    </row>
    <row r="25468" spans="7:14" x14ac:dyDescent="0.3">
      <c r="G25468" s="1"/>
      <c r="N25468" s="1"/>
    </row>
    <row r="25469" spans="7:14" x14ac:dyDescent="0.3">
      <c r="G25469" s="1"/>
      <c r="N25469" s="1"/>
    </row>
    <row r="25470" spans="7:14" x14ac:dyDescent="0.3">
      <c r="G25470" s="1"/>
      <c r="N25470" s="1"/>
    </row>
    <row r="25471" spans="7:14" x14ac:dyDescent="0.3">
      <c r="G25471" s="1"/>
      <c r="N25471" s="1"/>
    </row>
    <row r="25472" spans="7:14" x14ac:dyDescent="0.3">
      <c r="G25472" s="1"/>
      <c r="N25472" s="1"/>
    </row>
    <row r="25473" spans="7:14" x14ac:dyDescent="0.3">
      <c r="G25473" s="1"/>
      <c r="N25473" s="1"/>
    </row>
    <row r="25474" spans="7:14" x14ac:dyDescent="0.3">
      <c r="G25474" s="1"/>
      <c r="N25474" s="1"/>
    </row>
    <row r="25475" spans="7:14" x14ac:dyDescent="0.3">
      <c r="G25475" s="1"/>
      <c r="N25475" s="1"/>
    </row>
    <row r="25476" spans="7:14" x14ac:dyDescent="0.3">
      <c r="G25476" s="1"/>
      <c r="N25476" s="1"/>
    </row>
    <row r="25477" spans="7:14" x14ac:dyDescent="0.3">
      <c r="G25477" s="1"/>
      <c r="N25477" s="1"/>
    </row>
    <row r="25478" spans="7:14" x14ac:dyDescent="0.3">
      <c r="G25478" s="1"/>
      <c r="N25478" s="1"/>
    </row>
    <row r="25479" spans="7:14" x14ac:dyDescent="0.3">
      <c r="G25479" s="1"/>
      <c r="N25479" s="1"/>
    </row>
    <row r="25480" spans="7:14" x14ac:dyDescent="0.3">
      <c r="G25480" s="1"/>
      <c r="N25480" s="1"/>
    </row>
    <row r="25481" spans="7:14" x14ac:dyDescent="0.3">
      <c r="G25481" s="1"/>
      <c r="N25481" s="1"/>
    </row>
    <row r="25482" spans="7:14" x14ac:dyDescent="0.3">
      <c r="G25482" s="1"/>
      <c r="N25482" s="1"/>
    </row>
    <row r="25483" spans="7:14" x14ac:dyDescent="0.3">
      <c r="G25483" s="1"/>
      <c r="N25483" s="1"/>
    </row>
    <row r="25484" spans="7:14" x14ac:dyDescent="0.3">
      <c r="G25484" s="1"/>
      <c r="N25484" s="1"/>
    </row>
    <row r="25485" spans="7:14" x14ac:dyDescent="0.3">
      <c r="G25485" s="1"/>
      <c r="N25485" s="1"/>
    </row>
    <row r="25486" spans="7:14" x14ac:dyDescent="0.3">
      <c r="G25486" s="1"/>
      <c r="N25486" s="1"/>
    </row>
    <row r="25487" spans="7:14" x14ac:dyDescent="0.3">
      <c r="G25487" s="1"/>
      <c r="N25487" s="1"/>
    </row>
    <row r="25488" spans="7:14" x14ac:dyDescent="0.3">
      <c r="G25488" s="1"/>
      <c r="N25488" s="1"/>
    </row>
    <row r="25489" spans="7:14" x14ac:dyDescent="0.3">
      <c r="G25489" s="1"/>
      <c r="N25489" s="1"/>
    </row>
    <row r="25490" spans="7:14" x14ac:dyDescent="0.3">
      <c r="G25490" s="1"/>
      <c r="N25490" s="1"/>
    </row>
    <row r="25491" spans="7:14" x14ac:dyDescent="0.3">
      <c r="G25491" s="1"/>
      <c r="N25491" s="1"/>
    </row>
    <row r="25492" spans="7:14" x14ac:dyDescent="0.3">
      <c r="G25492" s="1"/>
      <c r="N25492" s="1"/>
    </row>
    <row r="25493" spans="7:14" x14ac:dyDescent="0.3">
      <c r="G25493" s="1"/>
      <c r="N25493" s="1"/>
    </row>
    <row r="25494" spans="7:14" x14ac:dyDescent="0.3">
      <c r="G25494" s="1"/>
      <c r="N25494" s="1"/>
    </row>
    <row r="25495" spans="7:14" x14ac:dyDescent="0.3">
      <c r="G25495" s="1"/>
      <c r="N25495" s="1"/>
    </row>
    <row r="25496" spans="7:14" x14ac:dyDescent="0.3">
      <c r="G25496" s="1"/>
      <c r="N25496" s="1"/>
    </row>
    <row r="25497" spans="7:14" x14ac:dyDescent="0.3">
      <c r="G25497" s="1"/>
      <c r="N25497" s="1"/>
    </row>
    <row r="25498" spans="7:14" x14ac:dyDescent="0.3">
      <c r="G25498" s="1"/>
      <c r="N25498" s="1"/>
    </row>
    <row r="25499" spans="7:14" x14ac:dyDescent="0.3">
      <c r="G25499" s="1"/>
      <c r="N25499" s="1"/>
    </row>
    <row r="25500" spans="7:14" x14ac:dyDescent="0.3">
      <c r="G25500" s="1"/>
      <c r="N25500" s="1"/>
    </row>
    <row r="25501" spans="7:14" x14ac:dyDescent="0.3">
      <c r="G25501" s="1"/>
      <c r="N25501" s="1"/>
    </row>
    <row r="25502" spans="7:14" x14ac:dyDescent="0.3">
      <c r="G25502" s="1"/>
      <c r="N25502" s="1"/>
    </row>
    <row r="25503" spans="7:14" x14ac:dyDescent="0.3">
      <c r="G25503" s="1"/>
      <c r="N25503" s="1"/>
    </row>
    <row r="25504" spans="7:14" x14ac:dyDescent="0.3">
      <c r="G25504" s="1"/>
      <c r="N25504" s="1"/>
    </row>
    <row r="25505" spans="7:14" x14ac:dyDescent="0.3">
      <c r="G25505" s="1"/>
      <c r="N25505" s="1"/>
    </row>
    <row r="25506" spans="7:14" x14ac:dyDescent="0.3">
      <c r="G25506" s="1"/>
      <c r="N25506" s="1"/>
    </row>
    <row r="25507" spans="7:14" x14ac:dyDescent="0.3">
      <c r="G25507" s="1"/>
      <c r="N25507" s="1"/>
    </row>
    <row r="25508" spans="7:14" x14ac:dyDescent="0.3">
      <c r="G25508" s="1"/>
      <c r="N25508" s="1"/>
    </row>
    <row r="25509" spans="7:14" x14ac:dyDescent="0.3">
      <c r="G25509" s="1"/>
      <c r="N25509" s="1"/>
    </row>
    <row r="25510" spans="7:14" x14ac:dyDescent="0.3">
      <c r="G25510" s="1"/>
      <c r="N25510" s="1"/>
    </row>
    <row r="25511" spans="7:14" x14ac:dyDescent="0.3">
      <c r="G25511" s="1"/>
      <c r="N25511" s="1"/>
    </row>
    <row r="25512" spans="7:14" x14ac:dyDescent="0.3">
      <c r="G25512" s="1"/>
      <c r="N25512" s="1"/>
    </row>
    <row r="25513" spans="7:14" x14ac:dyDescent="0.3">
      <c r="G25513" s="1"/>
      <c r="N25513" s="1"/>
    </row>
    <row r="25514" spans="7:14" x14ac:dyDescent="0.3">
      <c r="G25514" s="1"/>
      <c r="N25514" s="1"/>
    </row>
    <row r="25515" spans="7:14" x14ac:dyDescent="0.3">
      <c r="G25515" s="1"/>
      <c r="N25515" s="1"/>
    </row>
    <row r="25516" spans="7:14" x14ac:dyDescent="0.3">
      <c r="G25516" s="1"/>
      <c r="N25516" s="1"/>
    </row>
    <row r="25517" spans="7:14" x14ac:dyDescent="0.3">
      <c r="G25517" s="1"/>
      <c r="N25517" s="1"/>
    </row>
    <row r="25518" spans="7:14" x14ac:dyDescent="0.3">
      <c r="G25518" s="1"/>
      <c r="N25518" s="1"/>
    </row>
    <row r="25519" spans="7:14" x14ac:dyDescent="0.3">
      <c r="G25519" s="1"/>
      <c r="N25519" s="1"/>
    </row>
    <row r="25520" spans="7:14" x14ac:dyDescent="0.3">
      <c r="G25520" s="1"/>
      <c r="N25520" s="1"/>
    </row>
    <row r="25521" spans="7:14" x14ac:dyDescent="0.3">
      <c r="G25521" s="1"/>
      <c r="N25521" s="1"/>
    </row>
    <row r="25522" spans="7:14" x14ac:dyDescent="0.3">
      <c r="G25522" s="1"/>
      <c r="N25522" s="1"/>
    </row>
    <row r="25523" spans="7:14" x14ac:dyDescent="0.3">
      <c r="G25523" s="1"/>
      <c r="N25523" s="1"/>
    </row>
    <row r="25524" spans="7:14" x14ac:dyDescent="0.3">
      <c r="G25524" s="1"/>
      <c r="N25524" s="1"/>
    </row>
    <row r="25525" spans="7:14" x14ac:dyDescent="0.3">
      <c r="G25525" s="1"/>
      <c r="N25525" s="1"/>
    </row>
    <row r="25526" spans="7:14" x14ac:dyDescent="0.3">
      <c r="G25526" s="1"/>
      <c r="N25526" s="1"/>
    </row>
    <row r="25527" spans="7:14" x14ac:dyDescent="0.3">
      <c r="G25527" s="1"/>
      <c r="N25527" s="1"/>
    </row>
    <row r="25528" spans="7:14" x14ac:dyDescent="0.3">
      <c r="G25528" s="1"/>
      <c r="N25528" s="1"/>
    </row>
    <row r="25529" spans="7:14" x14ac:dyDescent="0.3">
      <c r="G25529" s="1"/>
      <c r="N25529" s="1"/>
    </row>
    <row r="25530" spans="7:14" x14ac:dyDescent="0.3">
      <c r="G25530" s="1"/>
      <c r="N25530" s="1"/>
    </row>
    <row r="25531" spans="7:14" x14ac:dyDescent="0.3">
      <c r="G25531" s="1"/>
      <c r="N25531" s="1"/>
    </row>
    <row r="25532" spans="7:14" x14ac:dyDescent="0.3">
      <c r="G25532" s="1"/>
      <c r="N25532" s="1"/>
    </row>
    <row r="25533" spans="7:14" x14ac:dyDescent="0.3">
      <c r="G25533" s="1"/>
      <c r="N25533" s="1"/>
    </row>
    <row r="25534" spans="7:14" x14ac:dyDescent="0.3">
      <c r="G25534" s="1"/>
      <c r="N25534" s="1"/>
    </row>
    <row r="25535" spans="7:14" x14ac:dyDescent="0.3">
      <c r="G25535" s="1"/>
      <c r="N25535" s="1"/>
    </row>
    <row r="25536" spans="7:14" x14ac:dyDescent="0.3">
      <c r="G25536" s="1"/>
      <c r="N25536" s="1"/>
    </row>
    <row r="25537" spans="7:14" x14ac:dyDescent="0.3">
      <c r="G25537" s="1"/>
      <c r="N25537" s="1"/>
    </row>
    <row r="25538" spans="7:14" x14ac:dyDescent="0.3">
      <c r="G25538" s="1"/>
      <c r="N25538" s="1"/>
    </row>
    <row r="25539" spans="7:14" x14ac:dyDescent="0.3">
      <c r="G25539" s="1"/>
      <c r="N25539" s="1"/>
    </row>
    <row r="25540" spans="7:14" x14ac:dyDescent="0.3">
      <c r="G25540" s="1"/>
      <c r="N25540" s="1"/>
    </row>
    <row r="25541" spans="7:14" x14ac:dyDescent="0.3">
      <c r="G25541" s="1"/>
      <c r="N25541" s="1"/>
    </row>
    <row r="25542" spans="7:14" x14ac:dyDescent="0.3">
      <c r="G25542" s="1"/>
      <c r="N25542" s="1"/>
    </row>
    <row r="25543" spans="7:14" x14ac:dyDescent="0.3">
      <c r="G25543" s="1"/>
      <c r="N25543" s="1"/>
    </row>
    <row r="25544" spans="7:14" x14ac:dyDescent="0.3">
      <c r="G25544" s="1"/>
      <c r="N25544" s="1"/>
    </row>
    <row r="25545" spans="7:14" x14ac:dyDescent="0.3">
      <c r="G25545" s="1"/>
      <c r="N25545" s="1"/>
    </row>
    <row r="25546" spans="7:14" x14ac:dyDescent="0.3">
      <c r="G25546" s="1"/>
      <c r="N25546" s="1"/>
    </row>
    <row r="25547" spans="7:14" x14ac:dyDescent="0.3">
      <c r="G25547" s="1"/>
      <c r="N25547" s="1"/>
    </row>
    <row r="25548" spans="7:14" x14ac:dyDescent="0.3">
      <c r="G25548" s="1"/>
      <c r="N25548" s="1"/>
    </row>
    <row r="25549" spans="7:14" x14ac:dyDescent="0.3">
      <c r="G25549" s="1"/>
      <c r="N25549" s="1"/>
    </row>
    <row r="25550" spans="7:14" x14ac:dyDescent="0.3">
      <c r="G25550" s="1"/>
      <c r="N25550" s="1"/>
    </row>
    <row r="25551" spans="7:14" x14ac:dyDescent="0.3">
      <c r="G25551" s="1"/>
      <c r="N25551" s="1"/>
    </row>
    <row r="25552" spans="7:14" x14ac:dyDescent="0.3">
      <c r="G25552" s="1"/>
      <c r="N25552" s="1"/>
    </row>
    <row r="25553" spans="7:14" x14ac:dyDescent="0.3">
      <c r="G25553" s="1"/>
      <c r="N25553" s="1"/>
    </row>
    <row r="25554" spans="7:14" x14ac:dyDescent="0.3">
      <c r="G25554" s="1"/>
      <c r="N25554" s="1"/>
    </row>
    <row r="25555" spans="7:14" x14ac:dyDescent="0.3">
      <c r="G25555" s="1"/>
      <c r="N25555" s="1"/>
    </row>
    <row r="25556" spans="7:14" x14ac:dyDescent="0.3">
      <c r="G25556" s="1"/>
      <c r="N25556" s="1"/>
    </row>
    <row r="25557" spans="7:14" x14ac:dyDescent="0.3">
      <c r="G25557" s="1"/>
      <c r="N25557" s="1"/>
    </row>
    <row r="25558" spans="7:14" x14ac:dyDescent="0.3">
      <c r="G25558" s="1"/>
      <c r="N25558" s="1"/>
    </row>
    <row r="25559" spans="7:14" x14ac:dyDescent="0.3">
      <c r="G25559" s="1"/>
      <c r="N25559" s="1"/>
    </row>
    <row r="25560" spans="7:14" x14ac:dyDescent="0.3">
      <c r="G25560" s="1"/>
      <c r="N25560" s="1"/>
    </row>
    <row r="25561" spans="7:14" x14ac:dyDescent="0.3">
      <c r="G25561" s="1"/>
      <c r="N25561" s="1"/>
    </row>
    <row r="25562" spans="7:14" x14ac:dyDescent="0.3">
      <c r="G25562" s="1"/>
      <c r="N25562" s="1"/>
    </row>
    <row r="25563" spans="7:14" x14ac:dyDescent="0.3">
      <c r="G25563" s="1"/>
      <c r="N25563" s="1"/>
    </row>
    <row r="25564" spans="7:14" x14ac:dyDescent="0.3">
      <c r="G25564" s="1"/>
      <c r="N25564" s="1"/>
    </row>
    <row r="25565" spans="7:14" x14ac:dyDescent="0.3">
      <c r="G25565" s="1"/>
      <c r="N25565" s="1"/>
    </row>
    <row r="25566" spans="7:14" x14ac:dyDescent="0.3">
      <c r="G25566" s="1"/>
      <c r="N25566" s="1"/>
    </row>
    <row r="25567" spans="7:14" x14ac:dyDescent="0.3">
      <c r="G25567" s="1"/>
      <c r="N25567" s="1"/>
    </row>
    <row r="25568" spans="7:14" x14ac:dyDescent="0.3">
      <c r="G25568" s="1"/>
      <c r="N25568" s="1"/>
    </row>
    <row r="25569" spans="7:14" x14ac:dyDescent="0.3">
      <c r="G25569" s="1"/>
      <c r="N25569" s="1"/>
    </row>
    <row r="25570" spans="7:14" x14ac:dyDescent="0.3">
      <c r="G25570" s="1"/>
      <c r="N25570" s="1"/>
    </row>
    <row r="25571" spans="7:14" x14ac:dyDescent="0.3">
      <c r="G25571" s="1"/>
      <c r="N25571" s="1"/>
    </row>
    <row r="25572" spans="7:14" x14ac:dyDescent="0.3">
      <c r="G25572" s="1"/>
      <c r="N25572" s="1"/>
    </row>
    <row r="25573" spans="7:14" x14ac:dyDescent="0.3">
      <c r="G25573" s="1"/>
      <c r="N25573" s="1"/>
    </row>
    <row r="25574" spans="7:14" x14ac:dyDescent="0.3">
      <c r="G25574" s="1"/>
      <c r="N25574" s="1"/>
    </row>
    <row r="25575" spans="7:14" x14ac:dyDescent="0.3">
      <c r="G25575" s="1"/>
      <c r="N25575" s="1"/>
    </row>
    <row r="25576" spans="7:14" x14ac:dyDescent="0.3">
      <c r="G25576" s="1"/>
      <c r="N25576" s="1"/>
    </row>
    <row r="25577" spans="7:14" x14ac:dyDescent="0.3">
      <c r="G25577" s="1"/>
      <c r="N25577" s="1"/>
    </row>
    <row r="25578" spans="7:14" x14ac:dyDescent="0.3">
      <c r="G25578" s="1"/>
      <c r="N25578" s="1"/>
    </row>
    <row r="25579" spans="7:14" x14ac:dyDescent="0.3">
      <c r="G25579" s="1"/>
      <c r="N25579" s="1"/>
    </row>
    <row r="25580" spans="7:14" x14ac:dyDescent="0.3">
      <c r="G25580" s="1"/>
      <c r="N25580" s="1"/>
    </row>
    <row r="25581" spans="7:14" x14ac:dyDescent="0.3">
      <c r="G25581" s="1"/>
      <c r="N25581" s="1"/>
    </row>
    <row r="25582" spans="7:14" x14ac:dyDescent="0.3">
      <c r="G25582" s="1"/>
      <c r="N25582" s="1"/>
    </row>
    <row r="25583" spans="7:14" x14ac:dyDescent="0.3">
      <c r="G25583" s="1"/>
      <c r="N25583" s="1"/>
    </row>
    <row r="25584" spans="7:14" x14ac:dyDescent="0.3">
      <c r="G25584" s="1"/>
      <c r="N25584" s="1"/>
    </row>
    <row r="25585" spans="7:14" x14ac:dyDescent="0.3">
      <c r="G25585" s="1"/>
      <c r="N25585" s="1"/>
    </row>
    <row r="25586" spans="7:14" x14ac:dyDescent="0.3">
      <c r="G25586" s="1"/>
      <c r="N25586" s="1"/>
    </row>
    <row r="25587" spans="7:14" x14ac:dyDescent="0.3">
      <c r="G25587" s="1"/>
      <c r="N25587" s="1"/>
    </row>
    <row r="25588" spans="7:14" x14ac:dyDescent="0.3">
      <c r="G25588" s="1"/>
      <c r="N25588" s="1"/>
    </row>
    <row r="25589" spans="7:14" x14ac:dyDescent="0.3">
      <c r="G25589" s="1"/>
      <c r="N25589" s="1"/>
    </row>
    <row r="25590" spans="7:14" x14ac:dyDescent="0.3">
      <c r="G25590" s="1"/>
      <c r="N25590" s="1"/>
    </row>
    <row r="25591" spans="7:14" x14ac:dyDescent="0.3">
      <c r="G25591" s="1"/>
      <c r="N25591" s="1"/>
    </row>
    <row r="25592" spans="7:14" x14ac:dyDescent="0.3">
      <c r="G25592" s="1"/>
      <c r="N25592" s="1"/>
    </row>
    <row r="25593" spans="7:14" x14ac:dyDescent="0.3">
      <c r="G25593" s="1"/>
      <c r="N25593" s="1"/>
    </row>
    <row r="25594" spans="7:14" x14ac:dyDescent="0.3">
      <c r="G25594" s="1"/>
      <c r="N25594" s="1"/>
    </row>
    <row r="25595" spans="7:14" x14ac:dyDescent="0.3">
      <c r="G25595" s="1"/>
      <c r="N25595" s="1"/>
    </row>
    <row r="25596" spans="7:14" x14ac:dyDescent="0.3">
      <c r="G25596" s="1"/>
      <c r="N25596" s="1"/>
    </row>
    <row r="25597" spans="7:14" x14ac:dyDescent="0.3">
      <c r="G25597" s="1"/>
      <c r="N25597" s="1"/>
    </row>
    <row r="25598" spans="7:14" x14ac:dyDescent="0.3">
      <c r="G25598" s="1"/>
      <c r="N25598" s="1"/>
    </row>
    <row r="25599" spans="7:14" x14ac:dyDescent="0.3">
      <c r="G25599" s="1"/>
      <c r="N25599" s="1"/>
    </row>
    <row r="25600" spans="7:14" x14ac:dyDescent="0.3">
      <c r="G25600" s="1"/>
      <c r="N25600" s="1"/>
    </row>
    <row r="25601" spans="7:14" x14ac:dyDescent="0.3">
      <c r="G25601" s="1"/>
      <c r="N25601" s="1"/>
    </row>
    <row r="25602" spans="7:14" x14ac:dyDescent="0.3">
      <c r="G25602" s="1"/>
      <c r="N25602" s="1"/>
    </row>
    <row r="25603" spans="7:14" x14ac:dyDescent="0.3">
      <c r="G25603" s="1"/>
      <c r="N25603" s="1"/>
    </row>
    <row r="25604" spans="7:14" x14ac:dyDescent="0.3">
      <c r="G25604" s="1"/>
      <c r="N25604" s="1"/>
    </row>
    <row r="25605" spans="7:14" x14ac:dyDescent="0.3">
      <c r="G25605" s="1"/>
      <c r="N25605" s="1"/>
    </row>
    <row r="25606" spans="7:14" x14ac:dyDescent="0.3">
      <c r="G25606" s="1"/>
      <c r="N25606" s="1"/>
    </row>
    <row r="25607" spans="7:14" x14ac:dyDescent="0.3">
      <c r="G25607" s="1"/>
      <c r="N25607" s="1"/>
    </row>
    <row r="25608" spans="7:14" x14ac:dyDescent="0.3">
      <c r="G25608" s="1"/>
      <c r="N25608" s="1"/>
    </row>
    <row r="25609" spans="7:14" x14ac:dyDescent="0.3">
      <c r="G25609" s="1"/>
      <c r="N25609" s="1"/>
    </row>
    <row r="25610" spans="7:14" x14ac:dyDescent="0.3">
      <c r="G25610" s="1"/>
      <c r="N25610" s="1"/>
    </row>
    <row r="25611" spans="7:14" x14ac:dyDescent="0.3">
      <c r="G25611" s="1"/>
      <c r="N25611" s="1"/>
    </row>
    <row r="25612" spans="7:14" x14ac:dyDescent="0.3">
      <c r="G25612" s="1"/>
      <c r="N25612" s="1"/>
    </row>
    <row r="25613" spans="7:14" x14ac:dyDescent="0.3">
      <c r="G25613" s="1"/>
      <c r="N25613" s="1"/>
    </row>
    <row r="25614" spans="7:14" x14ac:dyDescent="0.3">
      <c r="G25614" s="1"/>
      <c r="N25614" s="1"/>
    </row>
    <row r="25615" spans="7:14" x14ac:dyDescent="0.3">
      <c r="G25615" s="1"/>
      <c r="N25615" s="1"/>
    </row>
    <row r="25616" spans="7:14" x14ac:dyDescent="0.3">
      <c r="G25616" s="1"/>
      <c r="N25616" s="1"/>
    </row>
    <row r="25617" spans="7:14" x14ac:dyDescent="0.3">
      <c r="G25617" s="1"/>
      <c r="N25617" s="1"/>
    </row>
    <row r="25618" spans="7:14" x14ac:dyDescent="0.3">
      <c r="G25618" s="1"/>
      <c r="N25618" s="1"/>
    </row>
    <row r="25619" spans="7:14" x14ac:dyDescent="0.3">
      <c r="G25619" s="1"/>
      <c r="N25619" s="1"/>
    </row>
    <row r="25620" spans="7:14" x14ac:dyDescent="0.3">
      <c r="G25620" s="1"/>
      <c r="N25620" s="1"/>
    </row>
    <row r="25621" spans="7:14" x14ac:dyDescent="0.3">
      <c r="G25621" s="1"/>
      <c r="N25621" s="1"/>
    </row>
    <row r="25622" spans="7:14" x14ac:dyDescent="0.3">
      <c r="G25622" s="1"/>
      <c r="N25622" s="1"/>
    </row>
    <row r="25623" spans="7:14" x14ac:dyDescent="0.3">
      <c r="G25623" s="1"/>
      <c r="N25623" s="1"/>
    </row>
    <row r="25624" spans="7:14" x14ac:dyDescent="0.3">
      <c r="G25624" s="1"/>
      <c r="N25624" s="1"/>
    </row>
    <row r="25625" spans="7:14" x14ac:dyDescent="0.3">
      <c r="G25625" s="1"/>
      <c r="N25625" s="1"/>
    </row>
    <row r="25626" spans="7:14" x14ac:dyDescent="0.3">
      <c r="G25626" s="1"/>
      <c r="N25626" s="1"/>
    </row>
    <row r="25627" spans="7:14" x14ac:dyDescent="0.3">
      <c r="G25627" s="1"/>
      <c r="N25627" s="1"/>
    </row>
    <row r="25628" spans="7:14" x14ac:dyDescent="0.3">
      <c r="G25628" s="1"/>
      <c r="N25628" s="1"/>
    </row>
    <row r="25629" spans="7:14" x14ac:dyDescent="0.3">
      <c r="G25629" s="1"/>
      <c r="N25629" s="1"/>
    </row>
    <row r="25630" spans="7:14" x14ac:dyDescent="0.3">
      <c r="G25630" s="1"/>
      <c r="N25630" s="1"/>
    </row>
    <row r="25631" spans="7:14" x14ac:dyDescent="0.3">
      <c r="G25631" s="1"/>
      <c r="N25631" s="1"/>
    </row>
    <row r="25632" spans="7:14" x14ac:dyDescent="0.3">
      <c r="G25632" s="1"/>
      <c r="N25632" s="1"/>
    </row>
    <row r="25633" spans="7:14" x14ac:dyDescent="0.3">
      <c r="G25633" s="1"/>
      <c r="N25633" s="1"/>
    </row>
    <row r="25634" spans="7:14" x14ac:dyDescent="0.3">
      <c r="G25634" s="1"/>
      <c r="N25634" s="1"/>
    </row>
    <row r="25635" spans="7:14" x14ac:dyDescent="0.3">
      <c r="G25635" s="1"/>
      <c r="N25635" s="1"/>
    </row>
    <row r="25636" spans="7:14" x14ac:dyDescent="0.3">
      <c r="G25636" s="1"/>
      <c r="N25636" s="1"/>
    </row>
    <row r="25637" spans="7:14" x14ac:dyDescent="0.3">
      <c r="G25637" s="1"/>
      <c r="N25637" s="1"/>
    </row>
    <row r="25638" spans="7:14" x14ac:dyDescent="0.3">
      <c r="G25638" s="1"/>
      <c r="N25638" s="1"/>
    </row>
    <row r="25639" spans="7:14" x14ac:dyDescent="0.3">
      <c r="G25639" s="1"/>
      <c r="N25639" s="1"/>
    </row>
    <row r="25640" spans="7:14" x14ac:dyDescent="0.3">
      <c r="G25640" s="1"/>
      <c r="N25640" s="1"/>
    </row>
    <row r="25641" spans="7:14" x14ac:dyDescent="0.3">
      <c r="G25641" s="1"/>
      <c r="N25641" s="1"/>
    </row>
    <row r="25642" spans="7:14" x14ac:dyDescent="0.3">
      <c r="G25642" s="1"/>
      <c r="N25642" s="1"/>
    </row>
    <row r="25643" spans="7:14" x14ac:dyDescent="0.3">
      <c r="G25643" s="1"/>
      <c r="N25643" s="1"/>
    </row>
    <row r="25644" spans="7:14" x14ac:dyDescent="0.3">
      <c r="G25644" s="1"/>
      <c r="N25644" s="1"/>
    </row>
    <row r="25645" spans="7:14" x14ac:dyDescent="0.3">
      <c r="G25645" s="1"/>
      <c r="N25645" s="1"/>
    </row>
    <row r="25646" spans="7:14" x14ac:dyDescent="0.3">
      <c r="G25646" s="1"/>
      <c r="N25646" s="1"/>
    </row>
    <row r="25647" spans="7:14" x14ac:dyDescent="0.3">
      <c r="G25647" s="1"/>
      <c r="N25647" s="1"/>
    </row>
    <row r="25648" spans="7:14" x14ac:dyDescent="0.3">
      <c r="G25648" s="1"/>
      <c r="N25648" s="1"/>
    </row>
    <row r="25649" spans="7:14" x14ac:dyDescent="0.3">
      <c r="G25649" s="1"/>
      <c r="N25649" s="1"/>
    </row>
    <row r="25650" spans="7:14" x14ac:dyDescent="0.3">
      <c r="G25650" s="1"/>
      <c r="N25650" s="1"/>
    </row>
    <row r="25651" spans="7:14" x14ac:dyDescent="0.3">
      <c r="G25651" s="1"/>
      <c r="N25651" s="1"/>
    </row>
    <row r="25652" spans="7:14" x14ac:dyDescent="0.3">
      <c r="G25652" s="1"/>
      <c r="N25652" s="1"/>
    </row>
    <row r="25653" spans="7:14" x14ac:dyDescent="0.3">
      <c r="G25653" s="1"/>
      <c r="N25653" s="1"/>
    </row>
    <row r="25654" spans="7:14" x14ac:dyDescent="0.3">
      <c r="G25654" s="1"/>
      <c r="N25654" s="1"/>
    </row>
    <row r="25655" spans="7:14" x14ac:dyDescent="0.3">
      <c r="G25655" s="1"/>
      <c r="N25655" s="1"/>
    </row>
    <row r="25656" spans="7:14" x14ac:dyDescent="0.3">
      <c r="G25656" s="1"/>
      <c r="N25656" s="1"/>
    </row>
    <row r="25657" spans="7:14" x14ac:dyDescent="0.3">
      <c r="G25657" s="1"/>
      <c r="N25657" s="1"/>
    </row>
    <row r="25658" spans="7:14" x14ac:dyDescent="0.3">
      <c r="G25658" s="1"/>
      <c r="N25658" s="1"/>
    </row>
    <row r="25659" spans="7:14" x14ac:dyDescent="0.3">
      <c r="G25659" s="1"/>
      <c r="N25659" s="1"/>
    </row>
    <row r="25660" spans="7:14" x14ac:dyDescent="0.3">
      <c r="G25660" s="1"/>
      <c r="N25660" s="1"/>
    </row>
    <row r="25661" spans="7:14" x14ac:dyDescent="0.3">
      <c r="G25661" s="1"/>
      <c r="N25661" s="1"/>
    </row>
    <row r="25662" spans="7:14" x14ac:dyDescent="0.3">
      <c r="G25662" s="1"/>
      <c r="N25662" s="1"/>
    </row>
    <row r="25663" spans="7:14" x14ac:dyDescent="0.3">
      <c r="G25663" s="1"/>
      <c r="N25663" s="1"/>
    </row>
    <row r="25664" spans="7:14" x14ac:dyDescent="0.3">
      <c r="G25664" s="1"/>
      <c r="N25664" s="1"/>
    </row>
    <row r="25665" spans="7:14" x14ac:dyDescent="0.3">
      <c r="G25665" s="1"/>
      <c r="N25665" s="1"/>
    </row>
    <row r="25666" spans="7:14" x14ac:dyDescent="0.3">
      <c r="G25666" s="1"/>
      <c r="N25666" s="1"/>
    </row>
    <row r="25667" spans="7:14" x14ac:dyDescent="0.3">
      <c r="G25667" s="1"/>
      <c r="N25667" s="1"/>
    </row>
    <row r="25668" spans="7:14" x14ac:dyDescent="0.3">
      <c r="G25668" s="1"/>
      <c r="N25668" s="1"/>
    </row>
    <row r="25669" spans="7:14" x14ac:dyDescent="0.3">
      <c r="G25669" s="1"/>
      <c r="N25669" s="1"/>
    </row>
    <row r="25670" spans="7:14" x14ac:dyDescent="0.3">
      <c r="G25670" s="1"/>
      <c r="N25670" s="1"/>
    </row>
    <row r="25671" spans="7:14" x14ac:dyDescent="0.3">
      <c r="G25671" s="1"/>
      <c r="N25671" s="1"/>
    </row>
    <row r="25672" spans="7:14" x14ac:dyDescent="0.3">
      <c r="G25672" s="1"/>
      <c r="N25672" s="1"/>
    </row>
    <row r="25673" spans="7:14" x14ac:dyDescent="0.3">
      <c r="G25673" s="1"/>
      <c r="N25673" s="1"/>
    </row>
    <row r="25674" spans="7:14" x14ac:dyDescent="0.3">
      <c r="G25674" s="1"/>
      <c r="N25674" s="1"/>
    </row>
    <row r="25675" spans="7:14" x14ac:dyDescent="0.3">
      <c r="G25675" s="1"/>
      <c r="N25675" s="1"/>
    </row>
    <row r="25676" spans="7:14" x14ac:dyDescent="0.3">
      <c r="G25676" s="1"/>
      <c r="N25676" s="1"/>
    </row>
    <row r="25677" spans="7:14" x14ac:dyDescent="0.3">
      <c r="G25677" s="1"/>
      <c r="N25677" s="1"/>
    </row>
    <row r="25678" spans="7:14" x14ac:dyDescent="0.3">
      <c r="G25678" s="1"/>
      <c r="N25678" s="1"/>
    </row>
    <row r="25679" spans="7:14" x14ac:dyDescent="0.3">
      <c r="G25679" s="1"/>
      <c r="N25679" s="1"/>
    </row>
    <row r="25680" spans="7:14" x14ac:dyDescent="0.3">
      <c r="G25680" s="1"/>
      <c r="N25680" s="1"/>
    </row>
    <row r="25681" spans="7:14" x14ac:dyDescent="0.3">
      <c r="G25681" s="1"/>
      <c r="N25681" s="1"/>
    </row>
    <row r="25682" spans="7:14" x14ac:dyDescent="0.3">
      <c r="G25682" s="1"/>
      <c r="N25682" s="1"/>
    </row>
    <row r="25683" spans="7:14" x14ac:dyDescent="0.3">
      <c r="G25683" s="1"/>
      <c r="N25683" s="1"/>
    </row>
    <row r="25684" spans="7:14" x14ac:dyDescent="0.3">
      <c r="G25684" s="1"/>
      <c r="N25684" s="1"/>
    </row>
    <row r="25685" spans="7:14" x14ac:dyDescent="0.3">
      <c r="G25685" s="1"/>
      <c r="N25685" s="1"/>
    </row>
    <row r="25686" spans="7:14" x14ac:dyDescent="0.3">
      <c r="G25686" s="1"/>
      <c r="N25686" s="1"/>
    </row>
    <row r="25687" spans="7:14" x14ac:dyDescent="0.3">
      <c r="G25687" s="1"/>
      <c r="N25687" s="1"/>
    </row>
    <row r="25688" spans="7:14" x14ac:dyDescent="0.3">
      <c r="G25688" s="1"/>
      <c r="N25688" s="1"/>
    </row>
    <row r="25689" spans="7:14" x14ac:dyDescent="0.3">
      <c r="G25689" s="1"/>
      <c r="N25689" s="1"/>
    </row>
    <row r="25690" spans="7:14" x14ac:dyDescent="0.3">
      <c r="G25690" s="1"/>
      <c r="N25690" s="1"/>
    </row>
    <row r="25691" spans="7:14" x14ac:dyDescent="0.3">
      <c r="G25691" s="1"/>
      <c r="N25691" s="1"/>
    </row>
    <row r="25692" spans="7:14" x14ac:dyDescent="0.3">
      <c r="G25692" s="1"/>
      <c r="N25692" s="1"/>
    </row>
    <row r="25693" spans="7:14" x14ac:dyDescent="0.3">
      <c r="G25693" s="1"/>
      <c r="N25693" s="1"/>
    </row>
    <row r="25694" spans="7:14" x14ac:dyDescent="0.3">
      <c r="G25694" s="1"/>
      <c r="N25694" s="1"/>
    </row>
    <row r="25695" spans="7:14" x14ac:dyDescent="0.3">
      <c r="G25695" s="1"/>
      <c r="N25695" s="1"/>
    </row>
    <row r="25696" spans="7:14" x14ac:dyDescent="0.3">
      <c r="G25696" s="1"/>
      <c r="N25696" s="1"/>
    </row>
    <row r="25697" spans="7:14" x14ac:dyDescent="0.3">
      <c r="G25697" s="1"/>
      <c r="N25697" s="1"/>
    </row>
    <row r="25698" spans="7:14" x14ac:dyDescent="0.3">
      <c r="G25698" s="1"/>
      <c r="N25698" s="1"/>
    </row>
    <row r="25699" spans="7:14" x14ac:dyDescent="0.3">
      <c r="G25699" s="1"/>
      <c r="N25699" s="1"/>
    </row>
    <row r="25700" spans="7:14" x14ac:dyDescent="0.3">
      <c r="G25700" s="1"/>
      <c r="N25700" s="1"/>
    </row>
    <row r="25701" spans="7:14" x14ac:dyDescent="0.3">
      <c r="G25701" s="1"/>
      <c r="N25701" s="1"/>
    </row>
    <row r="25702" spans="7:14" x14ac:dyDescent="0.3">
      <c r="G25702" s="1"/>
      <c r="N25702" s="1"/>
    </row>
    <row r="25703" spans="7:14" x14ac:dyDescent="0.3">
      <c r="G25703" s="1"/>
      <c r="N25703" s="1"/>
    </row>
    <row r="25704" spans="7:14" x14ac:dyDescent="0.3">
      <c r="G25704" s="1"/>
      <c r="N25704" s="1"/>
    </row>
    <row r="25705" spans="7:14" x14ac:dyDescent="0.3">
      <c r="G25705" s="1"/>
      <c r="N25705" s="1"/>
    </row>
    <row r="25706" spans="7:14" x14ac:dyDescent="0.3">
      <c r="G25706" s="1"/>
      <c r="N25706" s="1"/>
    </row>
    <row r="25707" spans="7:14" x14ac:dyDescent="0.3">
      <c r="G25707" s="1"/>
      <c r="N25707" s="1"/>
    </row>
    <row r="25708" spans="7:14" x14ac:dyDescent="0.3">
      <c r="G25708" s="1"/>
      <c r="N25708" s="1"/>
    </row>
    <row r="25709" spans="7:14" x14ac:dyDescent="0.3">
      <c r="G25709" s="1"/>
      <c r="N25709" s="1"/>
    </row>
    <row r="25710" spans="7:14" x14ac:dyDescent="0.3">
      <c r="G25710" s="1"/>
      <c r="N25710" s="1"/>
    </row>
    <row r="25711" spans="7:14" x14ac:dyDescent="0.3">
      <c r="G25711" s="1"/>
      <c r="N25711" s="1"/>
    </row>
    <row r="25712" spans="7:14" x14ac:dyDescent="0.3">
      <c r="G25712" s="1"/>
      <c r="N25712" s="1"/>
    </row>
    <row r="25713" spans="7:14" x14ac:dyDescent="0.3">
      <c r="G25713" s="1"/>
      <c r="N25713" s="1"/>
    </row>
    <row r="25714" spans="7:14" x14ac:dyDescent="0.3">
      <c r="G25714" s="1"/>
      <c r="N25714" s="1"/>
    </row>
    <row r="25715" spans="7:14" x14ac:dyDescent="0.3">
      <c r="G25715" s="1"/>
      <c r="N25715" s="1"/>
    </row>
    <row r="25716" spans="7:14" x14ac:dyDescent="0.3">
      <c r="G25716" s="1"/>
      <c r="N25716" s="1"/>
    </row>
    <row r="25717" spans="7:14" x14ac:dyDescent="0.3">
      <c r="G25717" s="1"/>
      <c r="N25717" s="1"/>
    </row>
    <row r="25718" spans="7:14" x14ac:dyDescent="0.3">
      <c r="G25718" s="1"/>
      <c r="N25718" s="1"/>
    </row>
    <row r="25719" spans="7:14" x14ac:dyDescent="0.3">
      <c r="G25719" s="1"/>
      <c r="N25719" s="1"/>
    </row>
    <row r="25720" spans="7:14" x14ac:dyDescent="0.3">
      <c r="G25720" s="1"/>
      <c r="N25720" s="1"/>
    </row>
    <row r="25721" spans="7:14" x14ac:dyDescent="0.3">
      <c r="G25721" s="1"/>
      <c r="N25721" s="1"/>
    </row>
    <row r="25722" spans="7:14" x14ac:dyDescent="0.3">
      <c r="G25722" s="1"/>
      <c r="N25722" s="1"/>
    </row>
    <row r="25723" spans="7:14" x14ac:dyDescent="0.3">
      <c r="G25723" s="1"/>
      <c r="N25723" s="1"/>
    </row>
    <row r="25724" spans="7:14" x14ac:dyDescent="0.3">
      <c r="G25724" s="1"/>
      <c r="N25724" s="1"/>
    </row>
    <row r="25725" spans="7:14" x14ac:dyDescent="0.3">
      <c r="G25725" s="1"/>
      <c r="N25725" s="1"/>
    </row>
    <row r="25726" spans="7:14" x14ac:dyDescent="0.3">
      <c r="G25726" s="1"/>
      <c r="N25726" s="1"/>
    </row>
    <row r="25727" spans="7:14" x14ac:dyDescent="0.3">
      <c r="G25727" s="1"/>
      <c r="N25727" s="1"/>
    </row>
    <row r="25728" spans="7:14" x14ac:dyDescent="0.3">
      <c r="G25728" s="1"/>
      <c r="N25728" s="1"/>
    </row>
    <row r="25729" spans="7:14" x14ac:dyDescent="0.3">
      <c r="G25729" s="1"/>
      <c r="N25729" s="1"/>
    </row>
    <row r="25730" spans="7:14" x14ac:dyDescent="0.3">
      <c r="G25730" s="1"/>
      <c r="N25730" s="1"/>
    </row>
    <row r="25731" spans="7:14" x14ac:dyDescent="0.3">
      <c r="G25731" s="1"/>
      <c r="N25731" s="1"/>
    </row>
    <row r="25732" spans="7:14" x14ac:dyDescent="0.3">
      <c r="G25732" s="1"/>
      <c r="N25732" s="1"/>
    </row>
    <row r="25733" spans="7:14" x14ac:dyDescent="0.3">
      <c r="G25733" s="1"/>
      <c r="N25733" s="1"/>
    </row>
    <row r="25734" spans="7:14" x14ac:dyDescent="0.3">
      <c r="G25734" s="1"/>
      <c r="N25734" s="1"/>
    </row>
    <row r="25735" spans="7:14" x14ac:dyDescent="0.3">
      <c r="G25735" s="1"/>
      <c r="N25735" s="1"/>
    </row>
    <row r="25736" spans="7:14" x14ac:dyDescent="0.3">
      <c r="G25736" s="1"/>
      <c r="N25736" s="1"/>
    </row>
    <row r="25737" spans="7:14" x14ac:dyDescent="0.3">
      <c r="G25737" s="1"/>
      <c r="N25737" s="1"/>
    </row>
    <row r="25738" spans="7:14" x14ac:dyDescent="0.3">
      <c r="G25738" s="1"/>
      <c r="N25738" s="1"/>
    </row>
    <row r="25739" spans="7:14" x14ac:dyDescent="0.3">
      <c r="G25739" s="1"/>
      <c r="N25739" s="1"/>
    </row>
    <row r="25740" spans="7:14" x14ac:dyDescent="0.3">
      <c r="G25740" s="1"/>
      <c r="N25740" s="1"/>
    </row>
    <row r="25741" spans="7:14" x14ac:dyDescent="0.3">
      <c r="G25741" s="1"/>
      <c r="N25741" s="1"/>
    </row>
    <row r="25742" spans="7:14" x14ac:dyDescent="0.3">
      <c r="G25742" s="1"/>
      <c r="N25742" s="1"/>
    </row>
    <row r="25743" spans="7:14" x14ac:dyDescent="0.3">
      <c r="G25743" s="1"/>
      <c r="N25743" s="1"/>
    </row>
    <row r="25744" spans="7:14" x14ac:dyDescent="0.3">
      <c r="G25744" s="1"/>
      <c r="N25744" s="1"/>
    </row>
    <row r="25745" spans="7:14" x14ac:dyDescent="0.3">
      <c r="G25745" s="1"/>
      <c r="N25745" s="1"/>
    </row>
    <row r="25746" spans="7:14" x14ac:dyDescent="0.3">
      <c r="G25746" s="1"/>
      <c r="N25746" s="1"/>
    </row>
    <row r="25747" spans="7:14" x14ac:dyDescent="0.3">
      <c r="G25747" s="1"/>
      <c r="N25747" s="1"/>
    </row>
    <row r="25748" spans="7:14" x14ac:dyDescent="0.3">
      <c r="G25748" s="1"/>
      <c r="N25748" s="1"/>
    </row>
    <row r="25749" spans="7:14" x14ac:dyDescent="0.3">
      <c r="G25749" s="1"/>
      <c r="N25749" s="1"/>
    </row>
    <row r="25750" spans="7:14" x14ac:dyDescent="0.3">
      <c r="G25750" s="1"/>
      <c r="N25750" s="1"/>
    </row>
    <row r="25751" spans="7:14" x14ac:dyDescent="0.3">
      <c r="G25751" s="1"/>
      <c r="N25751" s="1"/>
    </row>
    <row r="25752" spans="7:14" x14ac:dyDescent="0.3">
      <c r="G25752" s="1"/>
      <c r="N25752" s="1"/>
    </row>
    <row r="25753" spans="7:14" x14ac:dyDescent="0.3">
      <c r="G25753" s="1"/>
      <c r="N25753" s="1"/>
    </row>
    <row r="25754" spans="7:14" x14ac:dyDescent="0.3">
      <c r="G25754" s="1"/>
      <c r="N25754" s="1"/>
    </row>
    <row r="25755" spans="7:14" x14ac:dyDescent="0.3">
      <c r="G25755" s="1"/>
      <c r="N25755" s="1"/>
    </row>
    <row r="25756" spans="7:14" x14ac:dyDescent="0.3">
      <c r="G25756" s="1"/>
      <c r="N25756" s="1"/>
    </row>
    <row r="25757" spans="7:14" x14ac:dyDescent="0.3">
      <c r="G25757" s="1"/>
      <c r="N25757" s="1"/>
    </row>
    <row r="25758" spans="7:14" x14ac:dyDescent="0.3">
      <c r="G25758" s="1"/>
      <c r="N25758" s="1"/>
    </row>
    <row r="25759" spans="7:14" x14ac:dyDescent="0.3">
      <c r="G25759" s="1"/>
      <c r="N25759" s="1"/>
    </row>
    <row r="25760" spans="7:14" x14ac:dyDescent="0.3">
      <c r="G25760" s="1"/>
      <c r="N25760" s="1"/>
    </row>
    <row r="25761" spans="7:14" x14ac:dyDescent="0.3">
      <c r="G25761" s="1"/>
      <c r="N25761" s="1"/>
    </row>
    <row r="25762" spans="7:14" x14ac:dyDescent="0.3">
      <c r="G25762" s="1"/>
      <c r="N25762" s="1"/>
    </row>
    <row r="25763" spans="7:14" x14ac:dyDescent="0.3">
      <c r="G25763" s="1"/>
      <c r="N25763" s="1"/>
    </row>
    <row r="25764" spans="7:14" x14ac:dyDescent="0.3">
      <c r="G25764" s="1"/>
      <c r="N25764" s="1"/>
    </row>
    <row r="25765" spans="7:14" x14ac:dyDescent="0.3">
      <c r="G25765" s="1"/>
      <c r="N25765" s="1"/>
    </row>
    <row r="25766" spans="7:14" x14ac:dyDescent="0.3">
      <c r="G25766" s="1"/>
      <c r="N25766" s="1"/>
    </row>
    <row r="25767" spans="7:14" x14ac:dyDescent="0.3">
      <c r="G25767" s="1"/>
      <c r="N25767" s="1"/>
    </row>
    <row r="25768" spans="7:14" x14ac:dyDescent="0.3">
      <c r="G25768" s="1"/>
      <c r="N25768" s="1"/>
    </row>
    <row r="25769" spans="7:14" x14ac:dyDescent="0.3">
      <c r="G25769" s="1"/>
      <c r="N25769" s="1"/>
    </row>
    <row r="25770" spans="7:14" x14ac:dyDescent="0.3">
      <c r="G25770" s="1"/>
      <c r="N25770" s="1"/>
    </row>
    <row r="25771" spans="7:14" x14ac:dyDescent="0.3">
      <c r="G25771" s="1"/>
      <c r="N25771" s="1"/>
    </row>
    <row r="25772" spans="7:14" x14ac:dyDescent="0.3">
      <c r="G25772" s="1"/>
      <c r="N25772" s="1"/>
    </row>
    <row r="25773" spans="7:14" x14ac:dyDescent="0.3">
      <c r="G25773" s="1"/>
      <c r="N25773" s="1"/>
    </row>
    <row r="25774" spans="7:14" x14ac:dyDescent="0.3">
      <c r="G25774" s="1"/>
      <c r="N25774" s="1"/>
    </row>
    <row r="25775" spans="7:14" x14ac:dyDescent="0.3">
      <c r="G25775" s="1"/>
      <c r="N25775" s="1"/>
    </row>
    <row r="25776" spans="7:14" x14ac:dyDescent="0.3">
      <c r="G25776" s="1"/>
      <c r="N25776" s="1"/>
    </row>
    <row r="25777" spans="7:14" x14ac:dyDescent="0.3">
      <c r="G25777" s="1"/>
      <c r="N25777" s="1"/>
    </row>
    <row r="25778" spans="7:14" x14ac:dyDescent="0.3">
      <c r="G25778" s="1"/>
      <c r="N25778" s="1"/>
    </row>
    <row r="25779" spans="7:14" x14ac:dyDescent="0.3">
      <c r="G25779" s="1"/>
      <c r="N25779" s="1"/>
    </row>
    <row r="25780" spans="7:14" x14ac:dyDescent="0.3">
      <c r="G25780" s="1"/>
      <c r="N25780" s="1"/>
    </row>
    <row r="25781" spans="7:14" x14ac:dyDescent="0.3">
      <c r="G25781" s="1"/>
      <c r="N25781" s="1"/>
    </row>
    <row r="25782" spans="7:14" x14ac:dyDescent="0.3">
      <c r="G25782" s="1"/>
      <c r="N25782" s="1"/>
    </row>
    <row r="25783" spans="7:14" x14ac:dyDescent="0.3">
      <c r="G25783" s="1"/>
      <c r="N25783" s="1"/>
    </row>
    <row r="25784" spans="7:14" x14ac:dyDescent="0.3">
      <c r="G25784" s="1"/>
      <c r="N25784" s="1"/>
    </row>
    <row r="25785" spans="7:14" x14ac:dyDescent="0.3">
      <c r="G25785" s="1"/>
      <c r="N25785" s="1"/>
    </row>
    <row r="25786" spans="7:14" x14ac:dyDescent="0.3">
      <c r="G25786" s="1"/>
      <c r="N25786" s="1"/>
    </row>
    <row r="25787" spans="7:14" x14ac:dyDescent="0.3">
      <c r="G25787" s="1"/>
      <c r="N25787" s="1"/>
    </row>
    <row r="25788" spans="7:14" x14ac:dyDescent="0.3">
      <c r="G25788" s="1"/>
      <c r="N25788" s="1"/>
    </row>
    <row r="25789" spans="7:14" x14ac:dyDescent="0.3">
      <c r="G25789" s="1"/>
      <c r="N25789" s="1"/>
    </row>
    <row r="25790" spans="7:14" x14ac:dyDescent="0.3">
      <c r="G25790" s="1"/>
      <c r="N25790" s="1"/>
    </row>
    <row r="25791" spans="7:14" x14ac:dyDescent="0.3">
      <c r="G25791" s="1"/>
      <c r="N25791" s="1"/>
    </row>
    <row r="25792" spans="7:14" x14ac:dyDescent="0.3">
      <c r="G25792" s="1"/>
      <c r="N25792" s="1"/>
    </row>
    <row r="25793" spans="7:14" x14ac:dyDescent="0.3">
      <c r="G25793" s="1"/>
      <c r="N25793" s="1"/>
    </row>
    <row r="25794" spans="7:14" x14ac:dyDescent="0.3">
      <c r="G25794" s="1"/>
      <c r="N25794" s="1"/>
    </row>
    <row r="25795" spans="7:14" x14ac:dyDescent="0.3">
      <c r="G25795" s="1"/>
      <c r="N25795" s="1"/>
    </row>
    <row r="25796" spans="7:14" x14ac:dyDescent="0.3">
      <c r="G25796" s="1"/>
      <c r="N25796" s="1"/>
    </row>
    <row r="25797" spans="7:14" x14ac:dyDescent="0.3">
      <c r="G25797" s="1"/>
      <c r="N25797" s="1"/>
    </row>
    <row r="25798" spans="7:14" x14ac:dyDescent="0.3">
      <c r="G25798" s="1"/>
      <c r="N25798" s="1"/>
    </row>
    <row r="25799" spans="7:14" x14ac:dyDescent="0.3">
      <c r="G25799" s="1"/>
      <c r="N25799" s="1"/>
    </row>
    <row r="25800" spans="7:14" x14ac:dyDescent="0.3">
      <c r="G25800" s="1"/>
      <c r="N25800" s="1"/>
    </row>
    <row r="25801" spans="7:14" x14ac:dyDescent="0.3">
      <c r="G25801" s="1"/>
      <c r="N25801" s="1"/>
    </row>
    <row r="25802" spans="7:14" x14ac:dyDescent="0.3">
      <c r="G25802" s="1"/>
      <c r="N25802" s="1"/>
    </row>
    <row r="25803" spans="7:14" x14ac:dyDescent="0.3">
      <c r="G25803" s="1"/>
      <c r="N25803" s="1"/>
    </row>
    <row r="25804" spans="7:14" x14ac:dyDescent="0.3">
      <c r="G25804" s="1"/>
      <c r="N25804" s="1"/>
    </row>
    <row r="25805" spans="7:14" x14ac:dyDescent="0.3">
      <c r="G25805" s="1"/>
      <c r="N25805" s="1"/>
    </row>
    <row r="25806" spans="7:14" x14ac:dyDescent="0.3">
      <c r="G25806" s="1"/>
      <c r="N25806" s="1"/>
    </row>
    <row r="25807" spans="7:14" x14ac:dyDescent="0.3">
      <c r="G25807" s="1"/>
      <c r="N25807" s="1"/>
    </row>
    <row r="25808" spans="7:14" x14ac:dyDescent="0.3">
      <c r="G25808" s="1"/>
      <c r="N25808" s="1"/>
    </row>
    <row r="25809" spans="7:14" x14ac:dyDescent="0.3">
      <c r="G25809" s="1"/>
      <c r="N25809" s="1"/>
    </row>
    <row r="25810" spans="7:14" x14ac:dyDescent="0.3">
      <c r="G25810" s="1"/>
      <c r="N25810" s="1"/>
    </row>
    <row r="25811" spans="7:14" x14ac:dyDescent="0.3">
      <c r="G25811" s="1"/>
      <c r="N25811" s="1"/>
    </row>
    <row r="25812" spans="7:14" x14ac:dyDescent="0.3">
      <c r="G25812" s="1"/>
      <c r="N25812" s="1"/>
    </row>
    <row r="25813" spans="7:14" x14ac:dyDescent="0.3">
      <c r="G25813" s="1"/>
      <c r="N25813" s="1"/>
    </row>
    <row r="25814" spans="7:14" x14ac:dyDescent="0.3">
      <c r="G25814" s="1"/>
      <c r="N25814" s="1"/>
    </row>
    <row r="25815" spans="7:14" x14ac:dyDescent="0.3">
      <c r="G25815" s="1"/>
      <c r="N25815" s="1"/>
    </row>
    <row r="25816" spans="7:14" x14ac:dyDescent="0.3">
      <c r="G25816" s="1"/>
      <c r="N25816" s="1"/>
    </row>
    <row r="25817" spans="7:14" x14ac:dyDescent="0.3">
      <c r="G25817" s="1"/>
      <c r="N25817" s="1"/>
    </row>
    <row r="25818" spans="7:14" x14ac:dyDescent="0.3">
      <c r="G25818" s="1"/>
      <c r="N25818" s="1"/>
    </row>
    <row r="25819" spans="7:14" x14ac:dyDescent="0.3">
      <c r="G25819" s="1"/>
      <c r="N25819" s="1"/>
    </row>
    <row r="25820" spans="7:14" x14ac:dyDescent="0.3">
      <c r="G25820" s="1"/>
      <c r="N25820" s="1"/>
    </row>
    <row r="25821" spans="7:14" x14ac:dyDescent="0.3">
      <c r="G25821" s="1"/>
      <c r="N25821" s="1"/>
    </row>
    <row r="25822" spans="7:14" x14ac:dyDescent="0.3">
      <c r="G25822" s="1"/>
      <c r="N25822" s="1"/>
    </row>
    <row r="25823" spans="7:14" x14ac:dyDescent="0.3">
      <c r="G25823" s="1"/>
      <c r="N25823" s="1"/>
    </row>
    <row r="25824" spans="7:14" x14ac:dyDescent="0.3">
      <c r="G25824" s="1"/>
      <c r="N25824" s="1"/>
    </row>
    <row r="25825" spans="7:14" x14ac:dyDescent="0.3">
      <c r="G25825" s="1"/>
      <c r="N25825" s="1"/>
    </row>
    <row r="25826" spans="7:14" x14ac:dyDescent="0.3">
      <c r="G25826" s="1"/>
      <c r="N25826" s="1"/>
    </row>
    <row r="25827" spans="7:14" x14ac:dyDescent="0.3">
      <c r="G25827" s="1"/>
      <c r="N25827" s="1"/>
    </row>
    <row r="25828" spans="7:14" x14ac:dyDescent="0.3">
      <c r="G25828" s="1"/>
      <c r="N25828" s="1"/>
    </row>
    <row r="25829" spans="7:14" x14ac:dyDescent="0.3">
      <c r="G25829" s="1"/>
      <c r="N25829" s="1"/>
    </row>
    <row r="25830" spans="7:14" x14ac:dyDescent="0.3">
      <c r="G25830" s="1"/>
      <c r="N25830" s="1"/>
    </row>
    <row r="25831" spans="7:14" x14ac:dyDescent="0.3">
      <c r="G25831" s="1"/>
      <c r="N25831" s="1"/>
    </row>
    <row r="25832" spans="7:14" x14ac:dyDescent="0.3">
      <c r="G25832" s="1"/>
      <c r="N25832" s="1"/>
    </row>
    <row r="25833" spans="7:14" x14ac:dyDescent="0.3">
      <c r="G25833" s="1"/>
      <c r="N25833" s="1"/>
    </row>
    <row r="25834" spans="7:14" x14ac:dyDescent="0.3">
      <c r="G25834" s="1"/>
      <c r="N25834" s="1"/>
    </row>
    <row r="25835" spans="7:14" x14ac:dyDescent="0.3">
      <c r="G25835" s="1"/>
      <c r="N25835" s="1"/>
    </row>
    <row r="25836" spans="7:14" x14ac:dyDescent="0.3">
      <c r="G25836" s="1"/>
      <c r="N25836" s="1"/>
    </row>
    <row r="25837" spans="7:14" x14ac:dyDescent="0.3">
      <c r="G25837" s="1"/>
      <c r="N25837" s="1"/>
    </row>
    <row r="25838" spans="7:14" x14ac:dyDescent="0.3">
      <c r="G25838" s="1"/>
      <c r="N25838" s="1"/>
    </row>
    <row r="25839" spans="7:14" x14ac:dyDescent="0.3">
      <c r="G25839" s="1"/>
      <c r="N25839" s="1"/>
    </row>
    <row r="25840" spans="7:14" x14ac:dyDescent="0.3">
      <c r="G25840" s="1"/>
      <c r="N25840" s="1"/>
    </row>
    <row r="25841" spans="7:14" x14ac:dyDescent="0.3">
      <c r="G25841" s="1"/>
      <c r="N25841" s="1"/>
    </row>
    <row r="25842" spans="7:14" x14ac:dyDescent="0.3">
      <c r="G25842" s="1"/>
      <c r="N25842" s="1"/>
    </row>
    <row r="25843" spans="7:14" x14ac:dyDescent="0.3">
      <c r="G25843" s="1"/>
      <c r="N25843" s="1"/>
    </row>
    <row r="25844" spans="7:14" x14ac:dyDescent="0.3">
      <c r="G25844" s="1"/>
      <c r="N25844" s="1"/>
    </row>
    <row r="25845" spans="7:14" x14ac:dyDescent="0.3">
      <c r="G25845" s="1"/>
      <c r="N25845" s="1"/>
    </row>
    <row r="25846" spans="7:14" x14ac:dyDescent="0.3">
      <c r="G25846" s="1"/>
      <c r="N25846" s="1"/>
    </row>
    <row r="25847" spans="7:14" x14ac:dyDescent="0.3">
      <c r="G25847" s="1"/>
      <c r="N25847" s="1"/>
    </row>
    <row r="25848" spans="7:14" x14ac:dyDescent="0.3">
      <c r="G25848" s="1"/>
      <c r="N25848" s="1"/>
    </row>
    <row r="25849" spans="7:14" x14ac:dyDescent="0.3">
      <c r="G25849" s="1"/>
      <c r="N25849" s="1"/>
    </row>
    <row r="25850" spans="7:14" x14ac:dyDescent="0.3">
      <c r="G25850" s="1"/>
      <c r="N25850" s="1"/>
    </row>
    <row r="25851" spans="7:14" x14ac:dyDescent="0.3">
      <c r="G25851" s="1"/>
      <c r="N25851" s="1"/>
    </row>
    <row r="25852" spans="7:14" x14ac:dyDescent="0.3">
      <c r="G25852" s="1"/>
      <c r="N25852" s="1"/>
    </row>
    <row r="25853" spans="7:14" x14ac:dyDescent="0.3">
      <c r="G25853" s="1"/>
      <c r="N25853" s="1"/>
    </row>
    <row r="25854" spans="7:14" x14ac:dyDescent="0.3">
      <c r="G25854" s="1"/>
      <c r="N25854" s="1"/>
    </row>
    <row r="25855" spans="7:14" x14ac:dyDescent="0.3">
      <c r="G25855" s="1"/>
      <c r="N25855" s="1"/>
    </row>
    <row r="25856" spans="7:14" x14ac:dyDescent="0.3">
      <c r="G25856" s="1"/>
      <c r="N25856" s="1"/>
    </row>
    <row r="25857" spans="7:14" x14ac:dyDescent="0.3">
      <c r="G25857" s="1"/>
      <c r="N25857" s="1"/>
    </row>
    <row r="25858" spans="7:14" x14ac:dyDescent="0.3">
      <c r="G25858" s="1"/>
      <c r="N25858" s="1"/>
    </row>
    <row r="25859" spans="7:14" x14ac:dyDescent="0.3">
      <c r="G25859" s="1"/>
      <c r="N25859" s="1"/>
    </row>
    <row r="25860" spans="7:14" x14ac:dyDescent="0.3">
      <c r="G25860" s="1"/>
      <c r="N25860" s="1"/>
    </row>
    <row r="25861" spans="7:14" x14ac:dyDescent="0.3">
      <c r="G25861" s="1"/>
      <c r="N25861" s="1"/>
    </row>
    <row r="25862" spans="7:14" x14ac:dyDescent="0.3">
      <c r="G25862" s="1"/>
      <c r="N25862" s="1"/>
    </row>
    <row r="25863" spans="7:14" x14ac:dyDescent="0.3">
      <c r="G25863" s="1"/>
      <c r="N25863" s="1"/>
    </row>
    <row r="25864" spans="7:14" x14ac:dyDescent="0.3">
      <c r="G25864" s="1"/>
      <c r="N25864" s="1"/>
    </row>
    <row r="25865" spans="7:14" x14ac:dyDescent="0.3">
      <c r="G25865" s="1"/>
      <c r="N25865" s="1"/>
    </row>
    <row r="25866" spans="7:14" x14ac:dyDescent="0.3">
      <c r="G25866" s="1"/>
      <c r="N25866" s="1"/>
    </row>
    <row r="25867" spans="7:14" x14ac:dyDescent="0.3">
      <c r="G25867" s="1"/>
      <c r="N25867" s="1"/>
    </row>
    <row r="25868" spans="7:14" x14ac:dyDescent="0.3">
      <c r="G25868" s="1"/>
      <c r="N25868" s="1"/>
    </row>
    <row r="25869" spans="7:14" x14ac:dyDescent="0.3">
      <c r="G25869" s="1"/>
      <c r="N25869" s="1"/>
    </row>
    <row r="25870" spans="7:14" x14ac:dyDescent="0.3">
      <c r="G25870" s="1"/>
      <c r="N25870" s="1"/>
    </row>
    <row r="25871" spans="7:14" x14ac:dyDescent="0.3">
      <c r="G25871" s="1"/>
      <c r="N25871" s="1"/>
    </row>
    <row r="25872" spans="7:14" x14ac:dyDescent="0.3">
      <c r="G25872" s="1"/>
      <c r="N25872" s="1"/>
    </row>
    <row r="25873" spans="7:14" x14ac:dyDescent="0.3">
      <c r="G25873" s="1"/>
      <c r="N25873" s="1"/>
    </row>
    <row r="25874" spans="7:14" x14ac:dyDescent="0.3">
      <c r="G25874" s="1"/>
      <c r="N25874" s="1"/>
    </row>
    <row r="25875" spans="7:14" x14ac:dyDescent="0.3">
      <c r="G25875" s="1"/>
      <c r="N25875" s="1"/>
    </row>
    <row r="25876" spans="7:14" x14ac:dyDescent="0.3">
      <c r="G25876" s="1"/>
      <c r="N25876" s="1"/>
    </row>
    <row r="25877" spans="7:14" x14ac:dyDescent="0.3">
      <c r="G25877" s="1"/>
      <c r="N25877" s="1"/>
    </row>
    <row r="25878" spans="7:14" x14ac:dyDescent="0.3">
      <c r="G25878" s="1"/>
      <c r="N25878" s="1"/>
    </row>
    <row r="25879" spans="7:14" x14ac:dyDescent="0.3">
      <c r="G25879" s="1"/>
      <c r="N25879" s="1"/>
    </row>
    <row r="25880" spans="7:14" x14ac:dyDescent="0.3">
      <c r="G25880" s="1"/>
      <c r="N25880" s="1"/>
    </row>
    <row r="25881" spans="7:14" x14ac:dyDescent="0.3">
      <c r="G25881" s="1"/>
      <c r="N25881" s="1"/>
    </row>
    <row r="25882" spans="7:14" x14ac:dyDescent="0.3">
      <c r="G25882" s="1"/>
      <c r="N25882" s="1"/>
    </row>
    <row r="25883" spans="7:14" x14ac:dyDescent="0.3">
      <c r="G25883" s="1"/>
      <c r="N25883" s="1"/>
    </row>
    <row r="25884" spans="7:14" x14ac:dyDescent="0.3">
      <c r="G25884" s="1"/>
      <c r="N25884" s="1"/>
    </row>
    <row r="25885" spans="7:14" x14ac:dyDescent="0.3">
      <c r="G25885" s="1"/>
      <c r="N25885" s="1"/>
    </row>
    <row r="25886" spans="7:14" x14ac:dyDescent="0.3">
      <c r="G25886" s="1"/>
      <c r="N25886" s="1"/>
    </row>
    <row r="25887" spans="7:14" x14ac:dyDescent="0.3">
      <c r="G25887" s="1"/>
      <c r="N25887" s="1"/>
    </row>
    <row r="25888" spans="7:14" x14ac:dyDescent="0.3">
      <c r="G25888" s="1"/>
      <c r="N25888" s="1"/>
    </row>
    <row r="25889" spans="7:14" x14ac:dyDescent="0.3">
      <c r="G25889" s="1"/>
      <c r="N25889" s="1"/>
    </row>
    <row r="25890" spans="7:14" x14ac:dyDescent="0.3">
      <c r="G25890" s="1"/>
      <c r="N25890" s="1"/>
    </row>
    <row r="25891" spans="7:14" x14ac:dyDescent="0.3">
      <c r="G25891" s="1"/>
      <c r="N25891" s="1"/>
    </row>
    <row r="25892" spans="7:14" x14ac:dyDescent="0.3">
      <c r="G25892" s="1"/>
      <c r="N25892" s="1"/>
    </row>
    <row r="25893" spans="7:14" x14ac:dyDescent="0.3">
      <c r="G25893" s="1"/>
      <c r="N25893" s="1"/>
    </row>
    <row r="25894" spans="7:14" x14ac:dyDescent="0.3">
      <c r="G25894" s="1"/>
      <c r="N25894" s="1"/>
    </row>
    <row r="25895" spans="7:14" x14ac:dyDescent="0.3">
      <c r="G25895" s="1"/>
      <c r="N25895" s="1"/>
    </row>
    <row r="25896" spans="7:14" x14ac:dyDescent="0.3">
      <c r="G25896" s="1"/>
      <c r="N25896" s="1"/>
    </row>
    <row r="25897" spans="7:14" x14ac:dyDescent="0.3">
      <c r="G25897" s="1"/>
      <c r="N25897" s="1"/>
    </row>
    <row r="25898" spans="7:14" x14ac:dyDescent="0.3">
      <c r="G25898" s="1"/>
      <c r="N25898" s="1"/>
    </row>
    <row r="25899" spans="7:14" x14ac:dyDescent="0.3">
      <c r="G25899" s="1"/>
      <c r="N25899" s="1"/>
    </row>
    <row r="25900" spans="7:14" x14ac:dyDescent="0.3">
      <c r="G25900" s="1"/>
      <c r="N25900" s="1"/>
    </row>
    <row r="25901" spans="7:14" x14ac:dyDescent="0.3">
      <c r="G25901" s="1"/>
      <c r="N25901" s="1"/>
    </row>
    <row r="25902" spans="7:14" x14ac:dyDescent="0.3">
      <c r="G25902" s="1"/>
      <c r="N25902" s="1"/>
    </row>
    <row r="25903" spans="7:14" x14ac:dyDescent="0.3">
      <c r="G25903" s="1"/>
      <c r="N25903" s="1"/>
    </row>
    <row r="25904" spans="7:14" x14ac:dyDescent="0.3">
      <c r="G25904" s="1"/>
      <c r="N25904" s="1"/>
    </row>
    <row r="25905" spans="7:14" x14ac:dyDescent="0.3">
      <c r="G25905" s="1"/>
      <c r="N25905" s="1"/>
    </row>
    <row r="25906" spans="7:14" x14ac:dyDescent="0.3">
      <c r="G25906" s="1"/>
      <c r="N25906" s="1"/>
    </row>
    <row r="25907" spans="7:14" x14ac:dyDescent="0.3">
      <c r="G25907" s="1"/>
      <c r="N25907" s="1"/>
    </row>
    <row r="25908" spans="7:14" x14ac:dyDescent="0.3">
      <c r="G25908" s="1"/>
      <c r="N25908" s="1"/>
    </row>
    <row r="25909" spans="7:14" x14ac:dyDescent="0.3">
      <c r="G25909" s="1"/>
      <c r="N25909" s="1"/>
    </row>
    <row r="25910" spans="7:14" x14ac:dyDescent="0.3">
      <c r="G25910" s="1"/>
      <c r="N25910" s="1"/>
    </row>
    <row r="25911" spans="7:14" x14ac:dyDescent="0.3">
      <c r="G25911" s="1"/>
      <c r="N25911" s="1"/>
    </row>
    <row r="25912" spans="7:14" x14ac:dyDescent="0.3">
      <c r="G25912" s="1"/>
      <c r="N25912" s="1"/>
    </row>
    <row r="25913" spans="7:14" x14ac:dyDescent="0.3">
      <c r="G25913" s="1"/>
      <c r="N25913" s="1"/>
    </row>
    <row r="25914" spans="7:14" x14ac:dyDescent="0.3">
      <c r="G25914" s="1"/>
      <c r="N25914" s="1"/>
    </row>
    <row r="25915" spans="7:14" x14ac:dyDescent="0.3">
      <c r="G25915" s="1"/>
      <c r="N25915" s="1"/>
    </row>
    <row r="25916" spans="7:14" x14ac:dyDescent="0.3">
      <c r="G25916" s="1"/>
      <c r="N25916" s="1"/>
    </row>
    <row r="25917" spans="7:14" x14ac:dyDescent="0.3">
      <c r="G25917" s="1"/>
      <c r="N25917" s="1"/>
    </row>
    <row r="25918" spans="7:14" x14ac:dyDescent="0.3">
      <c r="G25918" s="1"/>
      <c r="N25918" s="1"/>
    </row>
    <row r="25919" spans="7:14" x14ac:dyDescent="0.3">
      <c r="G25919" s="1"/>
      <c r="N25919" s="1"/>
    </row>
    <row r="25920" spans="7:14" x14ac:dyDescent="0.3">
      <c r="G25920" s="1"/>
      <c r="N25920" s="1"/>
    </row>
    <row r="25921" spans="7:14" x14ac:dyDescent="0.3">
      <c r="G25921" s="1"/>
      <c r="N25921" s="1"/>
    </row>
    <row r="25922" spans="7:14" x14ac:dyDescent="0.3">
      <c r="G25922" s="1"/>
      <c r="N25922" s="1"/>
    </row>
    <row r="25923" spans="7:14" x14ac:dyDescent="0.3">
      <c r="G25923" s="1"/>
      <c r="N25923" s="1"/>
    </row>
    <row r="25924" spans="7:14" x14ac:dyDescent="0.3">
      <c r="G25924" s="1"/>
      <c r="N25924" s="1"/>
    </row>
    <row r="25925" spans="7:14" x14ac:dyDescent="0.3">
      <c r="G25925" s="1"/>
      <c r="N25925" s="1"/>
    </row>
    <row r="25926" spans="7:14" x14ac:dyDescent="0.3">
      <c r="G25926" s="1"/>
      <c r="N25926" s="1"/>
    </row>
    <row r="25927" spans="7:14" x14ac:dyDescent="0.3">
      <c r="G25927" s="1"/>
      <c r="N25927" s="1"/>
    </row>
    <row r="25928" spans="7:14" x14ac:dyDescent="0.3">
      <c r="G25928" s="1"/>
      <c r="N25928" s="1"/>
    </row>
    <row r="25929" spans="7:14" x14ac:dyDescent="0.3">
      <c r="G25929" s="1"/>
      <c r="N25929" s="1"/>
    </row>
    <row r="25930" spans="7:14" x14ac:dyDescent="0.3">
      <c r="G25930" s="1"/>
      <c r="N25930" s="1"/>
    </row>
    <row r="25931" spans="7:14" x14ac:dyDescent="0.3">
      <c r="G25931" s="1"/>
      <c r="N25931" s="1"/>
    </row>
    <row r="25932" spans="7:14" x14ac:dyDescent="0.3">
      <c r="G25932" s="1"/>
      <c r="N25932" s="1"/>
    </row>
    <row r="25933" spans="7:14" x14ac:dyDescent="0.3">
      <c r="G25933" s="1"/>
      <c r="N25933" s="1"/>
    </row>
    <row r="25934" spans="7:14" x14ac:dyDescent="0.3">
      <c r="G25934" s="1"/>
      <c r="N25934" s="1"/>
    </row>
    <row r="25935" spans="7:14" x14ac:dyDescent="0.3">
      <c r="G25935" s="1"/>
      <c r="N25935" s="1"/>
    </row>
    <row r="25936" spans="7:14" x14ac:dyDescent="0.3">
      <c r="G25936" s="1"/>
      <c r="N25936" s="1"/>
    </row>
    <row r="25937" spans="7:14" x14ac:dyDescent="0.3">
      <c r="G25937" s="1"/>
      <c r="N25937" s="1"/>
    </row>
    <row r="25938" spans="7:14" x14ac:dyDescent="0.3">
      <c r="G25938" s="1"/>
      <c r="N25938" s="1"/>
    </row>
    <row r="25939" spans="7:14" x14ac:dyDescent="0.3">
      <c r="G25939" s="1"/>
      <c r="N25939" s="1"/>
    </row>
    <row r="25940" spans="7:14" x14ac:dyDescent="0.3">
      <c r="G25940" s="1"/>
      <c r="N25940" s="1"/>
    </row>
    <row r="25941" spans="7:14" x14ac:dyDescent="0.3">
      <c r="G25941" s="1"/>
      <c r="N25941" s="1"/>
    </row>
    <row r="25942" spans="7:14" x14ac:dyDescent="0.3">
      <c r="G25942" s="1"/>
      <c r="N25942" s="1"/>
    </row>
    <row r="25943" spans="7:14" x14ac:dyDescent="0.3">
      <c r="G25943" s="1"/>
      <c r="N25943" s="1"/>
    </row>
    <row r="25944" spans="7:14" x14ac:dyDescent="0.3">
      <c r="G25944" s="1"/>
      <c r="N25944" s="1"/>
    </row>
    <row r="25945" spans="7:14" x14ac:dyDescent="0.3">
      <c r="G25945" s="1"/>
      <c r="N25945" s="1"/>
    </row>
    <row r="25946" spans="7:14" x14ac:dyDescent="0.3">
      <c r="G25946" s="1"/>
      <c r="N25946" s="1"/>
    </row>
    <row r="25947" spans="7:14" x14ac:dyDescent="0.3">
      <c r="G25947" s="1"/>
      <c r="N25947" s="1"/>
    </row>
    <row r="25948" spans="7:14" x14ac:dyDescent="0.3">
      <c r="G25948" s="1"/>
      <c r="N25948" s="1"/>
    </row>
    <row r="25949" spans="7:14" x14ac:dyDescent="0.3">
      <c r="G25949" s="1"/>
      <c r="N25949" s="1"/>
    </row>
    <row r="25950" spans="7:14" x14ac:dyDescent="0.3">
      <c r="G25950" s="1"/>
      <c r="N25950" s="1"/>
    </row>
    <row r="25951" spans="7:14" x14ac:dyDescent="0.3">
      <c r="G25951" s="1"/>
      <c r="N25951" s="1"/>
    </row>
    <row r="25952" spans="7:14" x14ac:dyDescent="0.3">
      <c r="G25952" s="1"/>
      <c r="N25952" s="1"/>
    </row>
    <row r="25953" spans="7:14" x14ac:dyDescent="0.3">
      <c r="G25953" s="1"/>
      <c r="N25953" s="1"/>
    </row>
    <row r="25954" spans="7:14" x14ac:dyDescent="0.3">
      <c r="G25954" s="1"/>
      <c r="N25954" s="1"/>
    </row>
    <row r="25955" spans="7:14" x14ac:dyDescent="0.3">
      <c r="G25955" s="1"/>
      <c r="N25955" s="1"/>
    </row>
    <row r="25956" spans="7:14" x14ac:dyDescent="0.3">
      <c r="G25956" s="1"/>
      <c r="N25956" s="1"/>
    </row>
    <row r="25957" spans="7:14" x14ac:dyDescent="0.3">
      <c r="G25957" s="1"/>
      <c r="N25957" s="1"/>
    </row>
    <row r="25958" spans="7:14" x14ac:dyDescent="0.3">
      <c r="G25958" s="1"/>
      <c r="N25958" s="1"/>
    </row>
    <row r="25959" spans="7:14" x14ac:dyDescent="0.3">
      <c r="G25959" s="1"/>
      <c r="N25959" s="1"/>
    </row>
    <row r="25960" spans="7:14" x14ac:dyDescent="0.3">
      <c r="G25960" s="1"/>
      <c r="N25960" s="1"/>
    </row>
    <row r="25961" spans="7:14" x14ac:dyDescent="0.3">
      <c r="G25961" s="1"/>
      <c r="N25961" s="1"/>
    </row>
    <row r="25962" spans="7:14" x14ac:dyDescent="0.3">
      <c r="G25962" s="1"/>
      <c r="N25962" s="1"/>
    </row>
    <row r="25963" spans="7:14" x14ac:dyDescent="0.3">
      <c r="G25963" s="1"/>
      <c r="N25963" s="1"/>
    </row>
    <row r="25964" spans="7:14" x14ac:dyDescent="0.3">
      <c r="G25964" s="1"/>
      <c r="N25964" s="1"/>
    </row>
    <row r="25965" spans="7:14" x14ac:dyDescent="0.3">
      <c r="G25965" s="1"/>
      <c r="N25965" s="1"/>
    </row>
    <row r="25966" spans="7:14" x14ac:dyDescent="0.3">
      <c r="G25966" s="1"/>
      <c r="N25966" s="1"/>
    </row>
    <row r="25967" spans="7:14" x14ac:dyDescent="0.3">
      <c r="G25967" s="1"/>
      <c r="N25967" s="1"/>
    </row>
    <row r="25968" spans="7:14" x14ac:dyDescent="0.3">
      <c r="G25968" s="1"/>
      <c r="N25968" s="1"/>
    </row>
    <row r="25969" spans="7:14" x14ac:dyDescent="0.3">
      <c r="G25969" s="1"/>
      <c r="N25969" s="1"/>
    </row>
    <row r="25970" spans="7:14" x14ac:dyDescent="0.3">
      <c r="G25970" s="1"/>
      <c r="N25970" s="1"/>
    </row>
    <row r="25971" spans="7:14" x14ac:dyDescent="0.3">
      <c r="G25971" s="1"/>
      <c r="N25971" s="1"/>
    </row>
    <row r="25972" spans="7:14" x14ac:dyDescent="0.3">
      <c r="G25972" s="1"/>
      <c r="N25972" s="1"/>
    </row>
    <row r="25973" spans="7:14" x14ac:dyDescent="0.3">
      <c r="G25973" s="1"/>
      <c r="N25973" s="1"/>
    </row>
    <row r="25974" spans="7:14" x14ac:dyDescent="0.3">
      <c r="G25974" s="1"/>
      <c r="N25974" s="1"/>
    </row>
    <row r="25975" spans="7:14" x14ac:dyDescent="0.3">
      <c r="G25975" s="1"/>
      <c r="N25975" s="1"/>
    </row>
    <row r="25976" spans="7:14" x14ac:dyDescent="0.3">
      <c r="G25976" s="1"/>
      <c r="N25976" s="1"/>
    </row>
    <row r="25977" spans="7:14" x14ac:dyDescent="0.3">
      <c r="G25977" s="1"/>
      <c r="N25977" s="1"/>
    </row>
    <row r="25978" spans="7:14" x14ac:dyDescent="0.3">
      <c r="G25978" s="1"/>
      <c r="N25978" s="1"/>
    </row>
    <row r="25979" spans="7:14" x14ac:dyDescent="0.3">
      <c r="G25979" s="1"/>
      <c r="N25979" s="1"/>
    </row>
    <row r="25980" spans="7:14" x14ac:dyDescent="0.3">
      <c r="G25980" s="1"/>
      <c r="N25980" s="1"/>
    </row>
    <row r="25981" spans="7:14" x14ac:dyDescent="0.3">
      <c r="G25981" s="1"/>
      <c r="N25981" s="1"/>
    </row>
    <row r="25982" spans="7:14" x14ac:dyDescent="0.3">
      <c r="G25982" s="1"/>
      <c r="N25982" s="1"/>
    </row>
    <row r="25983" spans="7:14" x14ac:dyDescent="0.3">
      <c r="G25983" s="1"/>
      <c r="N25983" s="1"/>
    </row>
    <row r="25984" spans="7:14" x14ac:dyDescent="0.3">
      <c r="G25984" s="1"/>
      <c r="N25984" s="1"/>
    </row>
    <row r="25985" spans="7:14" x14ac:dyDescent="0.3">
      <c r="G25985" s="1"/>
      <c r="N25985" s="1"/>
    </row>
    <row r="25986" spans="7:14" x14ac:dyDescent="0.3">
      <c r="G25986" s="1"/>
      <c r="N25986" s="1"/>
    </row>
    <row r="25987" spans="7:14" x14ac:dyDescent="0.3">
      <c r="G25987" s="1"/>
      <c r="N25987" s="1"/>
    </row>
    <row r="25988" spans="7:14" x14ac:dyDescent="0.3">
      <c r="G25988" s="1"/>
      <c r="N25988" s="1"/>
    </row>
    <row r="25989" spans="7:14" x14ac:dyDescent="0.3">
      <c r="G25989" s="1"/>
      <c r="N25989" s="1"/>
    </row>
    <row r="25990" spans="7:14" x14ac:dyDescent="0.3">
      <c r="G25990" s="1"/>
      <c r="N25990" s="1"/>
    </row>
    <row r="25991" spans="7:14" x14ac:dyDescent="0.3">
      <c r="G25991" s="1"/>
      <c r="N25991" s="1"/>
    </row>
    <row r="25992" spans="7:14" x14ac:dyDescent="0.3">
      <c r="G25992" s="1"/>
      <c r="N25992" s="1"/>
    </row>
    <row r="25993" spans="7:14" x14ac:dyDescent="0.3">
      <c r="G25993" s="1"/>
      <c r="N25993" s="1"/>
    </row>
    <row r="25994" spans="7:14" x14ac:dyDescent="0.3">
      <c r="G25994" s="1"/>
      <c r="N25994" s="1"/>
    </row>
    <row r="25995" spans="7:14" x14ac:dyDescent="0.3">
      <c r="G25995" s="1"/>
      <c r="N25995" s="1"/>
    </row>
    <row r="25996" spans="7:14" x14ac:dyDescent="0.3">
      <c r="G25996" s="1"/>
      <c r="N25996" s="1"/>
    </row>
    <row r="25997" spans="7:14" x14ac:dyDescent="0.3">
      <c r="G25997" s="1"/>
      <c r="N25997" s="1"/>
    </row>
    <row r="25998" spans="7:14" x14ac:dyDescent="0.3">
      <c r="G25998" s="1"/>
      <c r="N25998" s="1"/>
    </row>
    <row r="25999" spans="7:14" x14ac:dyDescent="0.3">
      <c r="G25999" s="1"/>
      <c r="N25999" s="1"/>
    </row>
    <row r="26000" spans="7:14" x14ac:dyDescent="0.3">
      <c r="G26000" s="1"/>
      <c r="N26000" s="1"/>
    </row>
    <row r="26001" spans="7:14" x14ac:dyDescent="0.3">
      <c r="G26001" s="1"/>
      <c r="N26001" s="1"/>
    </row>
    <row r="26002" spans="7:14" x14ac:dyDescent="0.3">
      <c r="G26002" s="1"/>
      <c r="N26002" s="1"/>
    </row>
    <row r="26003" spans="7:14" x14ac:dyDescent="0.3">
      <c r="G26003" s="1"/>
      <c r="N26003" s="1"/>
    </row>
    <row r="26004" spans="7:14" x14ac:dyDescent="0.3">
      <c r="G26004" s="1"/>
      <c r="N26004" s="1"/>
    </row>
    <row r="26005" spans="7:14" x14ac:dyDescent="0.3">
      <c r="G26005" s="1"/>
      <c r="N26005" s="1"/>
    </row>
    <row r="26006" spans="7:14" x14ac:dyDescent="0.3">
      <c r="G26006" s="1"/>
      <c r="N26006" s="1"/>
    </row>
    <row r="26007" spans="7:14" x14ac:dyDescent="0.3">
      <c r="G26007" s="1"/>
      <c r="N26007" s="1"/>
    </row>
    <row r="26008" spans="7:14" x14ac:dyDescent="0.3">
      <c r="G26008" s="1"/>
      <c r="N26008" s="1"/>
    </row>
    <row r="26009" spans="7:14" x14ac:dyDescent="0.3">
      <c r="G26009" s="1"/>
      <c r="N26009" s="1"/>
    </row>
    <row r="26010" spans="7:14" x14ac:dyDescent="0.3">
      <c r="G26010" s="1"/>
      <c r="N26010" s="1"/>
    </row>
    <row r="26011" spans="7:14" x14ac:dyDescent="0.3">
      <c r="G26011" s="1"/>
      <c r="N26011" s="1"/>
    </row>
    <row r="26012" spans="7:14" x14ac:dyDescent="0.3">
      <c r="G26012" s="1"/>
      <c r="N26012" s="1"/>
    </row>
    <row r="26013" spans="7:14" x14ac:dyDescent="0.3">
      <c r="G26013" s="1"/>
      <c r="N26013" s="1"/>
    </row>
    <row r="26014" spans="7:14" x14ac:dyDescent="0.3">
      <c r="G26014" s="1"/>
      <c r="N26014" s="1"/>
    </row>
    <row r="26015" spans="7:14" x14ac:dyDescent="0.3">
      <c r="G26015" s="1"/>
      <c r="N26015" s="1"/>
    </row>
    <row r="26016" spans="7:14" x14ac:dyDescent="0.3">
      <c r="G26016" s="1"/>
      <c r="N26016" s="1"/>
    </row>
    <row r="26017" spans="7:14" x14ac:dyDescent="0.3">
      <c r="G26017" s="1"/>
      <c r="N26017" s="1"/>
    </row>
    <row r="26018" spans="7:14" x14ac:dyDescent="0.3">
      <c r="G26018" s="1"/>
      <c r="N26018" s="1"/>
    </row>
    <row r="26019" spans="7:14" x14ac:dyDescent="0.3">
      <c r="G26019" s="1"/>
      <c r="N26019" s="1"/>
    </row>
    <row r="26020" spans="7:14" x14ac:dyDescent="0.3">
      <c r="G26020" s="1"/>
      <c r="N26020" s="1"/>
    </row>
    <row r="26021" spans="7:14" x14ac:dyDescent="0.3">
      <c r="G26021" s="1"/>
      <c r="N26021" s="1"/>
    </row>
    <row r="26022" spans="7:14" x14ac:dyDescent="0.3">
      <c r="G26022" s="1"/>
      <c r="N26022" s="1"/>
    </row>
    <row r="26023" spans="7:14" x14ac:dyDescent="0.3">
      <c r="G26023" s="1"/>
      <c r="N26023" s="1"/>
    </row>
    <row r="26024" spans="7:14" x14ac:dyDescent="0.3">
      <c r="G26024" s="1"/>
      <c r="N26024" s="1"/>
    </row>
    <row r="26025" spans="7:14" x14ac:dyDescent="0.3">
      <c r="G26025" s="1"/>
      <c r="N26025" s="1"/>
    </row>
    <row r="26026" spans="7:14" x14ac:dyDescent="0.3">
      <c r="G26026" s="1"/>
      <c r="N26026" s="1"/>
    </row>
    <row r="26027" spans="7:14" x14ac:dyDescent="0.3">
      <c r="G26027" s="1"/>
      <c r="N26027" s="1"/>
    </row>
    <row r="26028" spans="7:14" x14ac:dyDescent="0.3">
      <c r="G26028" s="1"/>
      <c r="N26028" s="1"/>
    </row>
    <row r="26029" spans="7:14" x14ac:dyDescent="0.3">
      <c r="G26029" s="1"/>
      <c r="N26029" s="1"/>
    </row>
    <row r="26030" spans="7:14" x14ac:dyDescent="0.3">
      <c r="G26030" s="1"/>
      <c r="N26030" s="1"/>
    </row>
    <row r="26031" spans="7:14" x14ac:dyDescent="0.3">
      <c r="G26031" s="1"/>
      <c r="N26031" s="1"/>
    </row>
    <row r="26032" spans="7:14" x14ac:dyDescent="0.3">
      <c r="G26032" s="1"/>
      <c r="N26032" s="1"/>
    </row>
    <row r="26033" spans="7:14" x14ac:dyDescent="0.3">
      <c r="G26033" s="1"/>
      <c r="N26033" s="1"/>
    </row>
    <row r="26034" spans="7:14" x14ac:dyDescent="0.3">
      <c r="G26034" s="1"/>
      <c r="N26034" s="1"/>
    </row>
    <row r="26035" spans="7:14" x14ac:dyDescent="0.3">
      <c r="G26035" s="1"/>
      <c r="N26035" s="1"/>
    </row>
    <row r="26036" spans="7:14" x14ac:dyDescent="0.3">
      <c r="G26036" s="1"/>
      <c r="N26036" s="1"/>
    </row>
    <row r="26037" spans="7:14" x14ac:dyDescent="0.3">
      <c r="G26037" s="1"/>
      <c r="N26037" s="1"/>
    </row>
    <row r="26038" spans="7:14" x14ac:dyDescent="0.3">
      <c r="G26038" s="1"/>
      <c r="N26038" s="1"/>
    </row>
    <row r="26039" spans="7:14" x14ac:dyDescent="0.3">
      <c r="G26039" s="1"/>
      <c r="N26039" s="1"/>
    </row>
    <row r="26040" spans="7:14" x14ac:dyDescent="0.3">
      <c r="G26040" s="1"/>
      <c r="N26040" s="1"/>
    </row>
    <row r="26041" spans="7:14" x14ac:dyDescent="0.3">
      <c r="G26041" s="1"/>
      <c r="N26041" s="1"/>
    </row>
    <row r="26042" spans="7:14" x14ac:dyDescent="0.3">
      <c r="G26042" s="1"/>
      <c r="N26042" s="1"/>
    </row>
    <row r="26043" spans="7:14" x14ac:dyDescent="0.3">
      <c r="G26043" s="1"/>
      <c r="N26043" s="1"/>
    </row>
    <row r="26044" spans="7:14" x14ac:dyDescent="0.3">
      <c r="G26044" s="1"/>
      <c r="N26044" s="1"/>
    </row>
    <row r="26045" spans="7:14" x14ac:dyDescent="0.3">
      <c r="G26045" s="1"/>
      <c r="N26045" s="1"/>
    </row>
    <row r="26046" spans="7:14" x14ac:dyDescent="0.3">
      <c r="G26046" s="1"/>
      <c r="N26046" s="1"/>
    </row>
    <row r="26047" spans="7:14" x14ac:dyDescent="0.3">
      <c r="G26047" s="1"/>
      <c r="N26047" s="1"/>
    </row>
    <row r="26048" spans="7:14" x14ac:dyDescent="0.3">
      <c r="G26048" s="1"/>
      <c r="N26048" s="1"/>
    </row>
    <row r="26049" spans="7:14" x14ac:dyDescent="0.3">
      <c r="G26049" s="1"/>
      <c r="N26049" s="1"/>
    </row>
    <row r="26050" spans="7:14" x14ac:dyDescent="0.3">
      <c r="G26050" s="1"/>
      <c r="N26050" s="1"/>
    </row>
    <row r="26051" spans="7:14" x14ac:dyDescent="0.3">
      <c r="G26051" s="1"/>
      <c r="N26051" s="1"/>
    </row>
    <row r="26052" spans="7:14" x14ac:dyDescent="0.3">
      <c r="G26052" s="1"/>
      <c r="N26052" s="1"/>
    </row>
    <row r="26053" spans="7:14" x14ac:dyDescent="0.3">
      <c r="G26053" s="1"/>
      <c r="N26053" s="1"/>
    </row>
    <row r="26054" spans="7:14" x14ac:dyDescent="0.3">
      <c r="G26054" s="1"/>
      <c r="N26054" s="1"/>
    </row>
    <row r="26055" spans="7:14" x14ac:dyDescent="0.3">
      <c r="G26055" s="1"/>
      <c r="N26055" s="1"/>
    </row>
    <row r="26056" spans="7:14" x14ac:dyDescent="0.3">
      <c r="G26056" s="1"/>
      <c r="N26056" s="1"/>
    </row>
    <row r="26057" spans="7:14" x14ac:dyDescent="0.3">
      <c r="G26057" s="1"/>
      <c r="N26057" s="1"/>
    </row>
    <row r="26058" spans="7:14" x14ac:dyDescent="0.3">
      <c r="G26058" s="1"/>
      <c r="N26058" s="1"/>
    </row>
    <row r="26059" spans="7:14" x14ac:dyDescent="0.3">
      <c r="G26059" s="1"/>
      <c r="N26059" s="1"/>
    </row>
    <row r="26060" spans="7:14" x14ac:dyDescent="0.3">
      <c r="G26060" s="1"/>
      <c r="N26060" s="1"/>
    </row>
    <row r="26061" spans="7:14" x14ac:dyDescent="0.3">
      <c r="G26061" s="1"/>
      <c r="N26061" s="1"/>
    </row>
    <row r="26062" spans="7:14" x14ac:dyDescent="0.3">
      <c r="G26062" s="1"/>
      <c r="N26062" s="1"/>
    </row>
    <row r="26063" spans="7:14" x14ac:dyDescent="0.3">
      <c r="G26063" s="1"/>
      <c r="N26063" s="1"/>
    </row>
    <row r="26064" spans="7:14" x14ac:dyDescent="0.3">
      <c r="G26064" s="1"/>
      <c r="N26064" s="1"/>
    </row>
    <row r="26065" spans="7:14" x14ac:dyDescent="0.3">
      <c r="G26065" s="1"/>
      <c r="N26065" s="1"/>
    </row>
    <row r="26066" spans="7:14" x14ac:dyDescent="0.3">
      <c r="G26066" s="1"/>
      <c r="N26066" s="1"/>
    </row>
    <row r="26067" spans="7:14" x14ac:dyDescent="0.3">
      <c r="G26067" s="1"/>
      <c r="N26067" s="1"/>
    </row>
    <row r="26068" spans="7:14" x14ac:dyDescent="0.3">
      <c r="G26068" s="1"/>
      <c r="N26068" s="1"/>
    </row>
    <row r="26069" spans="7:14" x14ac:dyDescent="0.3">
      <c r="G26069" s="1"/>
      <c r="N26069" s="1"/>
    </row>
    <row r="26070" spans="7:14" x14ac:dyDescent="0.3">
      <c r="G26070" s="1"/>
      <c r="N26070" s="1"/>
    </row>
    <row r="26071" spans="7:14" x14ac:dyDescent="0.3">
      <c r="G26071" s="1"/>
      <c r="N26071" s="1"/>
    </row>
    <row r="26072" spans="7:14" x14ac:dyDescent="0.3">
      <c r="G26072" s="1"/>
      <c r="N26072" s="1"/>
    </row>
    <row r="26073" spans="7:14" x14ac:dyDescent="0.3">
      <c r="G26073" s="1"/>
      <c r="N26073" s="1"/>
    </row>
    <row r="26074" spans="7:14" x14ac:dyDescent="0.3">
      <c r="G26074" s="1"/>
      <c r="N26074" s="1"/>
    </row>
    <row r="26075" spans="7:14" x14ac:dyDescent="0.3">
      <c r="G26075" s="1"/>
      <c r="N26075" s="1"/>
    </row>
    <row r="26076" spans="7:14" x14ac:dyDescent="0.3">
      <c r="G26076" s="1"/>
      <c r="N26076" s="1"/>
    </row>
    <row r="26077" spans="7:14" x14ac:dyDescent="0.3">
      <c r="G26077" s="1"/>
      <c r="N26077" s="1"/>
    </row>
    <row r="26078" spans="7:14" x14ac:dyDescent="0.3">
      <c r="G26078" s="1"/>
      <c r="N26078" s="1"/>
    </row>
    <row r="26079" spans="7:14" x14ac:dyDescent="0.3">
      <c r="G26079" s="1"/>
      <c r="N26079" s="1"/>
    </row>
    <row r="26080" spans="7:14" x14ac:dyDescent="0.3">
      <c r="G26080" s="1"/>
      <c r="N26080" s="1"/>
    </row>
    <row r="26081" spans="7:14" x14ac:dyDescent="0.3">
      <c r="G26081" s="1"/>
      <c r="N26081" s="1"/>
    </row>
    <row r="26082" spans="7:14" x14ac:dyDescent="0.3">
      <c r="G26082" s="1"/>
      <c r="N26082" s="1"/>
    </row>
    <row r="26083" spans="7:14" x14ac:dyDescent="0.3">
      <c r="G26083" s="1"/>
      <c r="N26083" s="1"/>
    </row>
    <row r="26084" spans="7:14" x14ac:dyDescent="0.3">
      <c r="G26084" s="1"/>
      <c r="N26084" s="1"/>
    </row>
    <row r="26085" spans="7:14" x14ac:dyDescent="0.3">
      <c r="G26085" s="1"/>
      <c r="N26085" s="1"/>
    </row>
    <row r="26086" spans="7:14" x14ac:dyDescent="0.3">
      <c r="G26086" s="1"/>
      <c r="N26086" s="1"/>
    </row>
    <row r="26087" spans="7:14" x14ac:dyDescent="0.3">
      <c r="G26087" s="1"/>
      <c r="N26087" s="1"/>
    </row>
    <row r="26088" spans="7:14" x14ac:dyDescent="0.3">
      <c r="G26088" s="1"/>
      <c r="N26088" s="1"/>
    </row>
    <row r="26089" spans="7:14" x14ac:dyDescent="0.3">
      <c r="G26089" s="1"/>
      <c r="N26089" s="1"/>
    </row>
    <row r="26090" spans="7:14" x14ac:dyDescent="0.3">
      <c r="G26090" s="1"/>
      <c r="N26090" s="1"/>
    </row>
    <row r="26091" spans="7:14" x14ac:dyDescent="0.3">
      <c r="G26091" s="1"/>
      <c r="N26091" s="1"/>
    </row>
    <row r="26092" spans="7:14" x14ac:dyDescent="0.3">
      <c r="G26092" s="1"/>
      <c r="N26092" s="1"/>
    </row>
    <row r="26093" spans="7:14" x14ac:dyDescent="0.3">
      <c r="G26093" s="1"/>
      <c r="N26093" s="1"/>
    </row>
    <row r="26094" spans="7:14" x14ac:dyDescent="0.3">
      <c r="G26094" s="1"/>
      <c r="N26094" s="1"/>
    </row>
    <row r="26095" spans="7:14" x14ac:dyDescent="0.3">
      <c r="G26095" s="1"/>
      <c r="N26095" s="1"/>
    </row>
    <row r="26096" spans="7:14" x14ac:dyDescent="0.3">
      <c r="G26096" s="1"/>
      <c r="N26096" s="1"/>
    </row>
    <row r="26097" spans="7:14" x14ac:dyDescent="0.3">
      <c r="G26097" s="1"/>
      <c r="N26097" s="1"/>
    </row>
    <row r="26098" spans="7:14" x14ac:dyDescent="0.3">
      <c r="G26098" s="1"/>
      <c r="N26098" s="1"/>
    </row>
    <row r="26099" spans="7:14" x14ac:dyDescent="0.3">
      <c r="G26099" s="1"/>
      <c r="N26099" s="1"/>
    </row>
    <row r="26100" spans="7:14" x14ac:dyDescent="0.3">
      <c r="G26100" s="1"/>
      <c r="N26100" s="1"/>
    </row>
    <row r="26101" spans="7:14" x14ac:dyDescent="0.3">
      <c r="G26101" s="1"/>
      <c r="N26101" s="1"/>
    </row>
    <row r="26102" spans="7:14" x14ac:dyDescent="0.3">
      <c r="G26102" s="1"/>
      <c r="N26102" s="1"/>
    </row>
    <row r="26103" spans="7:14" x14ac:dyDescent="0.3">
      <c r="G26103" s="1"/>
      <c r="N26103" s="1"/>
    </row>
    <row r="26104" spans="7:14" x14ac:dyDescent="0.3">
      <c r="G26104" s="1"/>
      <c r="N26104" s="1"/>
    </row>
    <row r="26105" spans="7:14" x14ac:dyDescent="0.3">
      <c r="G26105" s="1"/>
      <c r="N26105" s="1"/>
    </row>
    <row r="26106" spans="7:14" x14ac:dyDescent="0.3">
      <c r="G26106" s="1"/>
      <c r="N26106" s="1"/>
    </row>
    <row r="26107" spans="7:14" x14ac:dyDescent="0.3">
      <c r="G26107" s="1"/>
      <c r="N26107" s="1"/>
    </row>
    <row r="26108" spans="7:14" x14ac:dyDescent="0.3">
      <c r="G26108" s="1"/>
      <c r="N26108" s="1"/>
    </row>
    <row r="26109" spans="7:14" x14ac:dyDescent="0.3">
      <c r="G26109" s="1"/>
      <c r="N26109" s="1"/>
    </row>
    <row r="26110" spans="7:14" x14ac:dyDescent="0.3">
      <c r="G26110" s="1"/>
      <c r="N26110" s="1"/>
    </row>
    <row r="26111" spans="7:14" x14ac:dyDescent="0.3">
      <c r="G26111" s="1"/>
      <c r="N26111" s="1"/>
    </row>
    <row r="26112" spans="7:14" x14ac:dyDescent="0.3">
      <c r="G26112" s="1"/>
      <c r="N26112" s="1"/>
    </row>
    <row r="26113" spans="7:14" x14ac:dyDescent="0.3">
      <c r="G26113" s="1"/>
      <c r="N26113" s="1"/>
    </row>
    <row r="26114" spans="7:14" x14ac:dyDescent="0.3">
      <c r="G26114" s="1"/>
      <c r="N26114" s="1"/>
    </row>
    <row r="26115" spans="7:14" x14ac:dyDescent="0.3">
      <c r="G26115" s="1"/>
      <c r="N26115" s="1"/>
    </row>
    <row r="26116" spans="7:14" x14ac:dyDescent="0.3">
      <c r="G26116" s="1"/>
      <c r="N26116" s="1"/>
    </row>
    <row r="26117" spans="7:14" x14ac:dyDescent="0.3">
      <c r="G26117" s="1"/>
      <c r="N26117" s="1"/>
    </row>
    <row r="26118" spans="7:14" x14ac:dyDescent="0.3">
      <c r="G26118" s="1"/>
      <c r="N26118" s="1"/>
    </row>
    <row r="26119" spans="7:14" x14ac:dyDescent="0.3">
      <c r="G26119" s="1"/>
      <c r="N26119" s="1"/>
    </row>
    <row r="26120" spans="7:14" x14ac:dyDescent="0.3">
      <c r="G26120" s="1"/>
      <c r="N26120" s="1"/>
    </row>
    <row r="26121" spans="7:14" x14ac:dyDescent="0.3">
      <c r="G26121" s="1"/>
      <c r="N26121" s="1"/>
    </row>
    <row r="26122" spans="7:14" x14ac:dyDescent="0.3">
      <c r="G26122" s="1"/>
      <c r="N26122" s="1"/>
    </row>
    <row r="26123" spans="7:14" x14ac:dyDescent="0.3">
      <c r="G26123" s="1"/>
      <c r="N26123" s="1"/>
    </row>
    <row r="26124" spans="7:14" x14ac:dyDescent="0.3">
      <c r="G26124" s="1"/>
      <c r="N26124" s="1"/>
    </row>
    <row r="26125" spans="7:14" x14ac:dyDescent="0.3">
      <c r="G26125" s="1"/>
      <c r="N26125" s="1"/>
    </row>
    <row r="26126" spans="7:14" x14ac:dyDescent="0.3">
      <c r="G26126" s="1"/>
      <c r="N26126" s="1"/>
    </row>
    <row r="26127" spans="7:14" x14ac:dyDescent="0.3">
      <c r="G26127" s="1"/>
      <c r="N26127" s="1"/>
    </row>
    <row r="26128" spans="7:14" x14ac:dyDescent="0.3">
      <c r="G26128" s="1"/>
      <c r="N26128" s="1"/>
    </row>
    <row r="26129" spans="7:14" x14ac:dyDescent="0.3">
      <c r="G26129" s="1"/>
      <c r="N26129" s="1"/>
    </row>
    <row r="26130" spans="7:14" x14ac:dyDescent="0.3">
      <c r="G26130" s="1"/>
      <c r="N26130" s="1"/>
    </row>
    <row r="26131" spans="7:14" x14ac:dyDescent="0.3">
      <c r="G26131" s="1"/>
      <c r="N26131" s="1"/>
    </row>
    <row r="26132" spans="7:14" x14ac:dyDescent="0.3">
      <c r="G26132" s="1"/>
      <c r="N26132" s="1"/>
    </row>
    <row r="26133" spans="7:14" x14ac:dyDescent="0.3">
      <c r="G26133" s="1"/>
      <c r="N26133" s="1"/>
    </row>
    <row r="26134" spans="7:14" x14ac:dyDescent="0.3">
      <c r="G26134" s="1"/>
      <c r="N26134" s="1"/>
    </row>
    <row r="26135" spans="7:14" x14ac:dyDescent="0.3">
      <c r="G26135" s="1"/>
      <c r="N26135" s="1"/>
    </row>
    <row r="26136" spans="7:14" x14ac:dyDescent="0.3">
      <c r="G26136" s="1"/>
      <c r="N26136" s="1"/>
    </row>
    <row r="26137" spans="7:14" x14ac:dyDescent="0.3">
      <c r="G26137" s="1"/>
      <c r="N26137" s="1"/>
    </row>
    <row r="26138" spans="7:14" x14ac:dyDescent="0.3">
      <c r="G26138" s="1"/>
      <c r="N26138" s="1"/>
    </row>
    <row r="26139" spans="7:14" x14ac:dyDescent="0.3">
      <c r="G26139" s="1"/>
      <c r="N26139" s="1"/>
    </row>
    <row r="26140" spans="7:14" x14ac:dyDescent="0.3">
      <c r="G26140" s="1"/>
      <c r="N26140" s="1"/>
    </row>
    <row r="26141" spans="7:14" x14ac:dyDescent="0.3">
      <c r="G26141" s="1"/>
      <c r="N26141" s="1"/>
    </row>
    <row r="26142" spans="7:14" x14ac:dyDescent="0.3">
      <c r="G26142" s="1"/>
      <c r="N26142" s="1"/>
    </row>
    <row r="26143" spans="7:14" x14ac:dyDescent="0.3">
      <c r="G26143" s="1"/>
      <c r="N26143" s="1"/>
    </row>
    <row r="26144" spans="7:14" x14ac:dyDescent="0.3">
      <c r="G26144" s="1"/>
      <c r="N26144" s="1"/>
    </row>
    <row r="26145" spans="7:14" x14ac:dyDescent="0.3">
      <c r="G26145" s="1"/>
      <c r="N26145" s="1"/>
    </row>
    <row r="26146" spans="7:14" x14ac:dyDescent="0.3">
      <c r="G26146" s="1"/>
      <c r="N26146" s="1"/>
    </row>
    <row r="26147" spans="7:14" x14ac:dyDescent="0.3">
      <c r="G26147" s="1"/>
      <c r="N26147" s="1"/>
    </row>
    <row r="26148" spans="7:14" x14ac:dyDescent="0.3">
      <c r="G26148" s="1"/>
      <c r="N26148" s="1"/>
    </row>
    <row r="26149" spans="7:14" x14ac:dyDescent="0.3">
      <c r="G26149" s="1"/>
      <c r="N26149" s="1"/>
    </row>
    <row r="26150" spans="7:14" x14ac:dyDescent="0.3">
      <c r="G26150" s="1"/>
      <c r="N26150" s="1"/>
    </row>
    <row r="26151" spans="7:14" x14ac:dyDescent="0.3">
      <c r="G26151" s="1"/>
      <c r="N26151" s="1"/>
    </row>
    <row r="26152" spans="7:14" x14ac:dyDescent="0.3">
      <c r="G26152" s="1"/>
      <c r="N26152" s="1"/>
    </row>
    <row r="26153" spans="7:14" x14ac:dyDescent="0.3">
      <c r="G26153" s="1"/>
      <c r="N26153" s="1"/>
    </row>
    <row r="26154" spans="7:14" x14ac:dyDescent="0.3">
      <c r="G26154" s="1"/>
      <c r="N26154" s="1"/>
    </row>
    <row r="26155" spans="7:14" x14ac:dyDescent="0.3">
      <c r="G26155" s="1"/>
      <c r="N26155" s="1"/>
    </row>
    <row r="26156" spans="7:14" x14ac:dyDescent="0.3">
      <c r="G26156" s="1"/>
      <c r="N26156" s="1"/>
    </row>
    <row r="26157" spans="7:14" x14ac:dyDescent="0.3">
      <c r="G26157" s="1"/>
      <c r="N26157" s="1"/>
    </row>
    <row r="26158" spans="7:14" x14ac:dyDescent="0.3">
      <c r="G26158" s="1"/>
      <c r="N26158" s="1"/>
    </row>
    <row r="26159" spans="7:14" x14ac:dyDescent="0.3">
      <c r="G26159" s="1"/>
      <c r="N26159" s="1"/>
    </row>
    <row r="26160" spans="7:14" x14ac:dyDescent="0.3">
      <c r="G26160" s="1"/>
      <c r="N26160" s="1"/>
    </row>
    <row r="26161" spans="7:14" x14ac:dyDescent="0.3">
      <c r="G26161" s="1"/>
      <c r="N26161" s="1"/>
    </row>
    <row r="26162" spans="7:14" x14ac:dyDescent="0.3">
      <c r="G26162" s="1"/>
      <c r="N26162" s="1"/>
    </row>
    <row r="26163" spans="7:14" x14ac:dyDescent="0.3">
      <c r="G26163" s="1"/>
      <c r="N26163" s="1"/>
    </row>
    <row r="26164" spans="7:14" x14ac:dyDescent="0.3">
      <c r="G26164" s="1"/>
      <c r="N26164" s="1"/>
    </row>
    <row r="26165" spans="7:14" x14ac:dyDescent="0.3">
      <c r="G26165" s="1"/>
      <c r="N26165" s="1"/>
    </row>
    <row r="26166" spans="7:14" x14ac:dyDescent="0.3">
      <c r="G26166" s="1"/>
      <c r="N26166" s="1"/>
    </row>
    <row r="26167" spans="7:14" x14ac:dyDescent="0.3">
      <c r="G26167" s="1"/>
      <c r="N26167" s="1"/>
    </row>
    <row r="26168" spans="7:14" x14ac:dyDescent="0.3">
      <c r="G26168" s="1"/>
      <c r="N26168" s="1"/>
    </row>
    <row r="26169" spans="7:14" x14ac:dyDescent="0.3">
      <c r="G26169" s="1"/>
      <c r="N26169" s="1"/>
    </row>
    <row r="26170" spans="7:14" x14ac:dyDescent="0.3">
      <c r="G26170" s="1"/>
      <c r="N26170" s="1"/>
    </row>
    <row r="26171" spans="7:14" x14ac:dyDescent="0.3">
      <c r="G26171" s="1"/>
      <c r="N26171" s="1"/>
    </row>
    <row r="26172" spans="7:14" x14ac:dyDescent="0.3">
      <c r="G26172" s="1"/>
      <c r="N26172" s="1"/>
    </row>
    <row r="26173" spans="7:14" x14ac:dyDescent="0.3">
      <c r="G26173" s="1"/>
      <c r="N26173" s="1"/>
    </row>
    <row r="26174" spans="7:14" x14ac:dyDescent="0.3">
      <c r="G26174" s="1"/>
      <c r="N26174" s="1"/>
    </row>
    <row r="26175" spans="7:14" x14ac:dyDescent="0.3">
      <c r="G26175" s="1"/>
      <c r="N26175" s="1"/>
    </row>
    <row r="26176" spans="7:14" x14ac:dyDescent="0.3">
      <c r="G26176" s="1"/>
      <c r="N26176" s="1"/>
    </row>
    <row r="26177" spans="7:14" x14ac:dyDescent="0.3">
      <c r="G26177" s="1"/>
      <c r="N26177" s="1"/>
    </row>
    <row r="26178" spans="7:14" x14ac:dyDescent="0.3">
      <c r="G26178" s="1"/>
      <c r="N26178" s="1"/>
    </row>
    <row r="26179" spans="7:14" x14ac:dyDescent="0.3">
      <c r="G26179" s="1"/>
      <c r="N26179" s="1"/>
    </row>
    <row r="26180" spans="7:14" x14ac:dyDescent="0.3">
      <c r="G26180" s="1"/>
      <c r="N26180" s="1"/>
    </row>
    <row r="26181" spans="7:14" x14ac:dyDescent="0.3">
      <c r="G26181" s="1"/>
      <c r="N26181" s="1"/>
    </row>
    <row r="26182" spans="7:14" x14ac:dyDescent="0.3">
      <c r="G26182" s="1"/>
      <c r="N26182" s="1"/>
    </row>
    <row r="26183" spans="7:14" x14ac:dyDescent="0.3">
      <c r="G26183" s="1"/>
      <c r="N26183" s="1"/>
    </row>
    <row r="26184" spans="7:14" x14ac:dyDescent="0.3">
      <c r="G26184" s="1"/>
      <c r="N26184" s="1"/>
    </row>
    <row r="26185" spans="7:14" x14ac:dyDescent="0.3">
      <c r="G26185" s="1"/>
      <c r="N26185" s="1"/>
    </row>
    <row r="26186" spans="7:14" x14ac:dyDescent="0.3">
      <c r="G26186" s="1"/>
      <c r="N26186" s="1"/>
    </row>
    <row r="26187" spans="7:14" x14ac:dyDescent="0.3">
      <c r="G26187" s="1"/>
      <c r="N26187" s="1"/>
    </row>
    <row r="26188" spans="7:14" x14ac:dyDescent="0.3">
      <c r="G26188" s="1"/>
      <c r="N26188" s="1"/>
    </row>
    <row r="26189" spans="7:14" x14ac:dyDescent="0.3">
      <c r="G26189" s="1"/>
      <c r="N26189" s="1"/>
    </row>
    <row r="26190" spans="7:14" x14ac:dyDescent="0.3">
      <c r="G26190" s="1"/>
      <c r="N26190" s="1"/>
    </row>
    <row r="26191" spans="7:14" x14ac:dyDescent="0.3">
      <c r="G26191" s="1"/>
      <c r="N26191" s="1"/>
    </row>
    <row r="26192" spans="7:14" x14ac:dyDescent="0.3">
      <c r="G26192" s="1"/>
      <c r="N26192" s="1"/>
    </row>
    <row r="26193" spans="7:14" x14ac:dyDescent="0.3">
      <c r="G26193" s="1"/>
      <c r="N26193" s="1"/>
    </row>
    <row r="26194" spans="7:14" x14ac:dyDescent="0.3">
      <c r="G26194" s="1"/>
      <c r="N26194" s="1"/>
    </row>
    <row r="26195" spans="7:14" x14ac:dyDescent="0.3">
      <c r="G26195" s="1"/>
      <c r="N26195" s="1"/>
    </row>
    <row r="26196" spans="7:14" x14ac:dyDescent="0.3">
      <c r="G26196" s="1"/>
      <c r="N26196" s="1"/>
    </row>
    <row r="26197" spans="7:14" x14ac:dyDescent="0.3">
      <c r="G26197" s="1"/>
      <c r="N26197" s="1"/>
    </row>
    <row r="26198" spans="7:14" x14ac:dyDescent="0.3">
      <c r="G26198" s="1"/>
      <c r="N26198" s="1"/>
    </row>
    <row r="26199" spans="7:14" x14ac:dyDescent="0.3">
      <c r="G26199" s="1"/>
      <c r="N26199" s="1"/>
    </row>
    <row r="26200" spans="7:14" x14ac:dyDescent="0.3">
      <c r="G26200" s="1"/>
      <c r="N26200" s="1"/>
    </row>
    <row r="26201" spans="7:14" x14ac:dyDescent="0.3">
      <c r="G26201" s="1"/>
      <c r="N26201" s="1"/>
    </row>
    <row r="26202" spans="7:14" x14ac:dyDescent="0.3">
      <c r="G26202" s="1"/>
      <c r="N26202" s="1"/>
    </row>
    <row r="26203" spans="7:14" x14ac:dyDescent="0.3">
      <c r="G26203" s="1"/>
      <c r="N26203" s="1"/>
    </row>
    <row r="26204" spans="7:14" x14ac:dyDescent="0.3">
      <c r="G26204" s="1"/>
      <c r="N26204" s="1"/>
    </row>
    <row r="26205" spans="7:14" x14ac:dyDescent="0.3">
      <c r="G26205" s="1"/>
      <c r="N26205" s="1"/>
    </row>
    <row r="26206" spans="7:14" x14ac:dyDescent="0.3">
      <c r="G26206" s="1"/>
      <c r="N26206" s="1"/>
    </row>
    <row r="26207" spans="7:14" x14ac:dyDescent="0.3">
      <c r="G26207" s="1"/>
      <c r="N26207" s="1"/>
    </row>
    <row r="26208" spans="7:14" x14ac:dyDescent="0.3">
      <c r="G26208" s="1"/>
      <c r="N26208" s="1"/>
    </row>
    <row r="26209" spans="7:14" x14ac:dyDescent="0.3">
      <c r="G26209" s="1"/>
      <c r="N26209" s="1"/>
    </row>
    <row r="26210" spans="7:14" x14ac:dyDescent="0.3">
      <c r="G26210" s="1"/>
      <c r="N26210" s="1"/>
    </row>
    <row r="26211" spans="7:14" x14ac:dyDescent="0.3">
      <c r="G26211" s="1"/>
      <c r="N26211" s="1"/>
    </row>
    <row r="26212" spans="7:14" x14ac:dyDescent="0.3">
      <c r="G26212" s="1"/>
      <c r="N26212" s="1"/>
    </row>
    <row r="26213" spans="7:14" x14ac:dyDescent="0.3">
      <c r="G26213" s="1"/>
      <c r="N26213" s="1"/>
    </row>
    <row r="26214" spans="7:14" x14ac:dyDescent="0.3">
      <c r="G26214" s="1"/>
      <c r="N26214" s="1"/>
    </row>
    <row r="26215" spans="7:14" x14ac:dyDescent="0.3">
      <c r="G26215" s="1"/>
      <c r="N26215" s="1"/>
    </row>
    <row r="26216" spans="7:14" x14ac:dyDescent="0.3">
      <c r="G26216" s="1"/>
      <c r="N26216" s="1"/>
    </row>
    <row r="26217" spans="7:14" x14ac:dyDescent="0.3">
      <c r="G26217" s="1"/>
      <c r="N26217" s="1"/>
    </row>
    <row r="26218" spans="7:14" x14ac:dyDescent="0.3">
      <c r="G26218" s="1"/>
      <c r="N26218" s="1"/>
    </row>
    <row r="26219" spans="7:14" x14ac:dyDescent="0.3">
      <c r="G26219" s="1"/>
      <c r="N26219" s="1"/>
    </row>
    <row r="26220" spans="7:14" x14ac:dyDescent="0.3">
      <c r="G26220" s="1"/>
      <c r="N26220" s="1"/>
    </row>
    <row r="26221" spans="7:14" x14ac:dyDescent="0.3">
      <c r="G26221" s="1"/>
      <c r="N26221" s="1"/>
    </row>
    <row r="26222" spans="7:14" x14ac:dyDescent="0.3">
      <c r="G26222" s="1"/>
      <c r="N26222" s="1"/>
    </row>
    <row r="26223" spans="7:14" x14ac:dyDescent="0.3">
      <c r="G26223" s="1"/>
      <c r="N26223" s="1"/>
    </row>
    <row r="26224" spans="7:14" x14ac:dyDescent="0.3">
      <c r="G26224" s="1"/>
      <c r="N26224" s="1"/>
    </row>
    <row r="26225" spans="7:14" x14ac:dyDescent="0.3">
      <c r="G26225" s="1"/>
      <c r="N26225" s="1"/>
    </row>
    <row r="26226" spans="7:14" x14ac:dyDescent="0.3">
      <c r="G26226" s="1"/>
      <c r="N26226" s="1"/>
    </row>
    <row r="26227" spans="7:14" x14ac:dyDescent="0.3">
      <c r="G26227" s="1"/>
      <c r="N26227" s="1"/>
    </row>
    <row r="26228" spans="7:14" x14ac:dyDescent="0.3">
      <c r="G26228" s="1"/>
      <c r="N26228" s="1"/>
    </row>
    <row r="26229" spans="7:14" x14ac:dyDescent="0.3">
      <c r="G26229" s="1"/>
      <c r="N26229" s="1"/>
    </row>
    <row r="26230" spans="7:14" x14ac:dyDescent="0.3">
      <c r="G26230" s="1"/>
      <c r="N26230" s="1"/>
    </row>
    <row r="26231" spans="7:14" x14ac:dyDescent="0.3">
      <c r="G26231" s="1"/>
      <c r="N26231" s="1"/>
    </row>
    <row r="26232" spans="7:14" x14ac:dyDescent="0.3">
      <c r="G26232" s="1"/>
      <c r="N26232" s="1"/>
    </row>
    <row r="26233" spans="7:14" x14ac:dyDescent="0.3">
      <c r="G26233" s="1"/>
      <c r="N26233" s="1"/>
    </row>
    <row r="26234" spans="7:14" x14ac:dyDescent="0.3">
      <c r="G26234" s="1"/>
      <c r="N26234" s="1"/>
    </row>
    <row r="26235" spans="7:14" x14ac:dyDescent="0.3">
      <c r="G26235" s="1"/>
      <c r="N26235" s="1"/>
    </row>
    <row r="26236" spans="7:14" x14ac:dyDescent="0.3">
      <c r="G26236" s="1"/>
      <c r="N26236" s="1"/>
    </row>
    <row r="26237" spans="7:14" x14ac:dyDescent="0.3">
      <c r="G26237" s="1"/>
      <c r="N26237" s="1"/>
    </row>
    <row r="26238" spans="7:14" x14ac:dyDescent="0.3">
      <c r="G26238" s="1"/>
      <c r="N26238" s="1"/>
    </row>
    <row r="26239" spans="7:14" x14ac:dyDescent="0.3">
      <c r="G26239" s="1"/>
      <c r="N26239" s="1"/>
    </row>
    <row r="26240" spans="7:14" x14ac:dyDescent="0.3">
      <c r="G26240" s="1"/>
      <c r="N26240" s="1"/>
    </row>
    <row r="26241" spans="7:14" x14ac:dyDescent="0.3">
      <c r="G26241" s="1"/>
      <c r="N26241" s="1"/>
    </row>
    <row r="26242" spans="7:14" x14ac:dyDescent="0.3">
      <c r="G26242" s="1"/>
      <c r="N26242" s="1"/>
    </row>
    <row r="26243" spans="7:14" x14ac:dyDescent="0.3">
      <c r="G26243" s="1"/>
      <c r="N26243" s="1"/>
    </row>
    <row r="26244" spans="7:14" x14ac:dyDescent="0.3">
      <c r="G26244" s="1"/>
      <c r="N26244" s="1"/>
    </row>
    <row r="26245" spans="7:14" x14ac:dyDescent="0.3">
      <c r="G26245" s="1"/>
      <c r="N26245" s="1"/>
    </row>
    <row r="26246" spans="7:14" x14ac:dyDescent="0.3">
      <c r="G26246" s="1"/>
      <c r="N26246" s="1"/>
    </row>
    <row r="26247" spans="7:14" x14ac:dyDescent="0.3">
      <c r="G26247" s="1"/>
      <c r="N26247" s="1"/>
    </row>
    <row r="26248" spans="7:14" x14ac:dyDescent="0.3">
      <c r="G26248" s="1"/>
      <c r="N26248" s="1"/>
    </row>
    <row r="26249" spans="7:14" x14ac:dyDescent="0.3">
      <c r="G26249" s="1"/>
      <c r="N26249" s="1"/>
    </row>
    <row r="26250" spans="7:14" x14ac:dyDescent="0.3">
      <c r="G26250" s="1"/>
      <c r="N26250" s="1"/>
    </row>
    <row r="26251" spans="7:14" x14ac:dyDescent="0.3">
      <c r="G26251" s="1"/>
      <c r="N26251" s="1"/>
    </row>
    <row r="26252" spans="7:14" x14ac:dyDescent="0.3">
      <c r="G26252" s="1"/>
      <c r="N26252" s="1"/>
    </row>
    <row r="26253" spans="7:14" x14ac:dyDescent="0.3">
      <c r="G26253" s="1"/>
      <c r="N26253" s="1"/>
    </row>
    <row r="26254" spans="7:14" x14ac:dyDescent="0.3">
      <c r="G26254" s="1"/>
      <c r="N26254" s="1"/>
    </row>
    <row r="26255" spans="7:14" x14ac:dyDescent="0.3">
      <c r="G26255" s="1"/>
      <c r="N26255" s="1"/>
    </row>
    <row r="26256" spans="7:14" x14ac:dyDescent="0.3">
      <c r="G26256" s="1"/>
      <c r="N26256" s="1"/>
    </row>
    <row r="26257" spans="7:14" x14ac:dyDescent="0.3">
      <c r="G26257" s="1"/>
      <c r="N26257" s="1"/>
    </row>
    <row r="26258" spans="7:14" x14ac:dyDescent="0.3">
      <c r="G26258" s="1"/>
      <c r="N26258" s="1"/>
    </row>
    <row r="26259" spans="7:14" x14ac:dyDescent="0.3">
      <c r="G26259" s="1"/>
      <c r="N26259" s="1"/>
    </row>
    <row r="26260" spans="7:14" x14ac:dyDescent="0.3">
      <c r="G26260" s="1"/>
      <c r="N26260" s="1"/>
    </row>
    <row r="26261" spans="7:14" x14ac:dyDescent="0.3">
      <c r="G26261" s="1"/>
      <c r="N26261" s="1"/>
    </row>
    <row r="26262" spans="7:14" x14ac:dyDescent="0.3">
      <c r="G26262" s="1"/>
      <c r="N26262" s="1"/>
    </row>
    <row r="26263" spans="7:14" x14ac:dyDescent="0.3">
      <c r="G26263" s="1"/>
      <c r="N26263" s="1"/>
    </row>
    <row r="26264" spans="7:14" x14ac:dyDescent="0.3">
      <c r="G26264" s="1"/>
      <c r="N26264" s="1"/>
    </row>
    <row r="26265" spans="7:14" x14ac:dyDescent="0.3">
      <c r="G26265" s="1"/>
      <c r="N26265" s="1"/>
    </row>
    <row r="26266" spans="7:14" x14ac:dyDescent="0.3">
      <c r="G26266" s="1"/>
      <c r="N26266" s="1"/>
    </row>
    <row r="26267" spans="7:14" x14ac:dyDescent="0.3">
      <c r="G26267" s="1"/>
      <c r="N26267" s="1"/>
    </row>
    <row r="26268" spans="7:14" x14ac:dyDescent="0.3">
      <c r="G26268" s="1"/>
      <c r="N26268" s="1"/>
    </row>
    <row r="26269" spans="7:14" x14ac:dyDescent="0.3">
      <c r="G26269" s="1"/>
      <c r="N26269" s="1"/>
    </row>
    <row r="26270" spans="7:14" x14ac:dyDescent="0.3">
      <c r="G26270" s="1"/>
      <c r="N26270" s="1"/>
    </row>
    <row r="26271" spans="7:14" x14ac:dyDescent="0.3">
      <c r="G26271" s="1"/>
      <c r="N26271" s="1"/>
    </row>
    <row r="26272" spans="7:14" x14ac:dyDescent="0.3">
      <c r="G26272" s="1"/>
      <c r="N26272" s="1"/>
    </row>
    <row r="26273" spans="7:14" x14ac:dyDescent="0.3">
      <c r="G26273" s="1"/>
      <c r="N26273" s="1"/>
    </row>
    <row r="26274" spans="7:14" x14ac:dyDescent="0.3">
      <c r="G26274" s="1"/>
      <c r="N26274" s="1"/>
    </row>
    <row r="26275" spans="7:14" x14ac:dyDescent="0.3">
      <c r="G26275" s="1"/>
      <c r="N26275" s="1"/>
    </row>
    <row r="26276" spans="7:14" x14ac:dyDescent="0.3">
      <c r="G26276" s="1"/>
      <c r="N26276" s="1"/>
    </row>
    <row r="26277" spans="7:14" x14ac:dyDescent="0.3">
      <c r="G26277" s="1"/>
      <c r="N26277" s="1"/>
    </row>
    <row r="26278" spans="7:14" x14ac:dyDescent="0.3">
      <c r="G26278" s="1"/>
      <c r="N26278" s="1"/>
    </row>
    <row r="26279" spans="7:14" x14ac:dyDescent="0.3">
      <c r="G26279" s="1"/>
      <c r="N26279" s="1"/>
    </row>
    <row r="26280" spans="7:14" x14ac:dyDescent="0.3">
      <c r="G26280" s="1"/>
      <c r="N26280" s="1"/>
    </row>
    <row r="26281" spans="7:14" x14ac:dyDescent="0.3">
      <c r="G26281" s="1"/>
      <c r="N26281" s="1"/>
    </row>
    <row r="26282" spans="7:14" x14ac:dyDescent="0.3">
      <c r="G26282" s="1"/>
      <c r="N26282" s="1"/>
    </row>
    <row r="26283" spans="7:14" x14ac:dyDescent="0.3">
      <c r="G26283" s="1"/>
      <c r="N26283" s="1"/>
    </row>
    <row r="26284" spans="7:14" x14ac:dyDescent="0.3">
      <c r="G26284" s="1"/>
      <c r="N26284" s="1"/>
    </row>
    <row r="26285" spans="7:14" x14ac:dyDescent="0.3">
      <c r="G26285" s="1"/>
      <c r="N26285" s="1"/>
    </row>
    <row r="26286" spans="7:14" x14ac:dyDescent="0.3">
      <c r="G26286" s="1"/>
      <c r="N26286" s="1"/>
    </row>
    <row r="26287" spans="7:14" x14ac:dyDescent="0.3">
      <c r="G26287" s="1"/>
      <c r="N26287" s="1"/>
    </row>
    <row r="26288" spans="7:14" x14ac:dyDescent="0.3">
      <c r="G26288" s="1"/>
      <c r="N26288" s="1"/>
    </row>
    <row r="26289" spans="7:14" x14ac:dyDescent="0.3">
      <c r="G26289" s="1"/>
      <c r="N26289" s="1"/>
    </row>
    <row r="26290" spans="7:14" x14ac:dyDescent="0.3">
      <c r="G26290" s="1"/>
      <c r="N26290" s="1"/>
    </row>
    <row r="26291" spans="7:14" x14ac:dyDescent="0.3">
      <c r="G26291" s="1"/>
      <c r="N26291" s="1"/>
    </row>
    <row r="26292" spans="7:14" x14ac:dyDescent="0.3">
      <c r="G26292" s="1"/>
      <c r="N26292" s="1"/>
    </row>
    <row r="26293" spans="7:14" x14ac:dyDescent="0.3">
      <c r="G26293" s="1"/>
      <c r="N26293" s="1"/>
    </row>
    <row r="26294" spans="7:14" x14ac:dyDescent="0.3">
      <c r="G26294" s="1"/>
      <c r="N26294" s="1"/>
    </row>
    <row r="26295" spans="7:14" x14ac:dyDescent="0.3">
      <c r="G26295" s="1"/>
      <c r="N26295" s="1"/>
    </row>
    <row r="26296" spans="7:14" x14ac:dyDescent="0.3">
      <c r="G26296" s="1"/>
      <c r="N26296" s="1"/>
    </row>
    <row r="26297" spans="7:14" x14ac:dyDescent="0.3">
      <c r="G26297" s="1"/>
      <c r="N26297" s="1"/>
    </row>
    <row r="26298" spans="7:14" x14ac:dyDescent="0.3">
      <c r="G26298" s="1"/>
      <c r="N26298" s="1"/>
    </row>
    <row r="26299" spans="7:14" x14ac:dyDescent="0.3">
      <c r="G26299" s="1"/>
      <c r="N26299" s="1"/>
    </row>
    <row r="26300" spans="7:14" x14ac:dyDescent="0.3">
      <c r="G26300" s="1"/>
      <c r="N26300" s="1"/>
    </row>
    <row r="26301" spans="7:14" x14ac:dyDescent="0.3">
      <c r="G26301" s="1"/>
      <c r="N26301" s="1"/>
    </row>
    <row r="26302" spans="7:14" x14ac:dyDescent="0.3">
      <c r="G26302" s="1"/>
      <c r="N26302" s="1"/>
    </row>
    <row r="26303" spans="7:14" x14ac:dyDescent="0.3">
      <c r="G26303" s="1"/>
      <c r="N26303" s="1"/>
    </row>
    <row r="26304" spans="7:14" x14ac:dyDescent="0.3">
      <c r="G26304" s="1"/>
      <c r="N26304" s="1"/>
    </row>
    <row r="26305" spans="7:14" x14ac:dyDescent="0.3">
      <c r="G26305" s="1"/>
      <c r="N26305" s="1"/>
    </row>
    <row r="26306" spans="7:14" x14ac:dyDescent="0.3">
      <c r="G26306" s="1"/>
      <c r="N26306" s="1"/>
    </row>
    <row r="26307" spans="7:14" x14ac:dyDescent="0.3">
      <c r="G26307" s="1"/>
      <c r="N26307" s="1"/>
    </row>
    <row r="26308" spans="7:14" x14ac:dyDescent="0.3">
      <c r="G26308" s="1"/>
      <c r="N26308" s="1"/>
    </row>
    <row r="26309" spans="7:14" x14ac:dyDescent="0.3">
      <c r="G26309" s="1"/>
      <c r="N26309" s="1"/>
    </row>
    <row r="26310" spans="7:14" x14ac:dyDescent="0.3">
      <c r="G26310" s="1"/>
      <c r="N26310" s="1"/>
    </row>
    <row r="26311" spans="7:14" x14ac:dyDescent="0.3">
      <c r="G26311" s="1"/>
      <c r="N26311" s="1"/>
    </row>
    <row r="26312" spans="7:14" x14ac:dyDescent="0.3">
      <c r="G26312" s="1"/>
      <c r="N26312" s="1"/>
    </row>
    <row r="26313" spans="7:14" x14ac:dyDescent="0.3">
      <c r="G26313" s="1"/>
      <c r="N26313" s="1"/>
    </row>
    <row r="26314" spans="7:14" x14ac:dyDescent="0.3">
      <c r="G26314" s="1"/>
      <c r="N26314" s="1"/>
    </row>
    <row r="26315" spans="7:14" x14ac:dyDescent="0.3">
      <c r="G26315" s="1"/>
      <c r="N26315" s="1"/>
    </row>
    <row r="26316" spans="7:14" x14ac:dyDescent="0.3">
      <c r="G26316" s="1"/>
      <c r="N26316" s="1"/>
    </row>
    <row r="26317" spans="7:14" x14ac:dyDescent="0.3">
      <c r="G26317" s="1"/>
      <c r="N26317" s="1"/>
    </row>
    <row r="26318" spans="7:14" x14ac:dyDescent="0.3">
      <c r="G26318" s="1"/>
      <c r="N26318" s="1"/>
    </row>
    <row r="26319" spans="7:14" x14ac:dyDescent="0.3">
      <c r="G26319" s="1"/>
      <c r="N26319" s="1"/>
    </row>
    <row r="26320" spans="7:14" x14ac:dyDescent="0.3">
      <c r="G26320" s="1"/>
      <c r="N26320" s="1"/>
    </row>
    <row r="26321" spans="7:14" x14ac:dyDescent="0.3">
      <c r="G26321" s="1"/>
      <c r="N26321" s="1"/>
    </row>
    <row r="26322" spans="7:14" x14ac:dyDescent="0.3">
      <c r="G26322" s="1"/>
      <c r="N26322" s="1"/>
    </row>
    <row r="26323" spans="7:14" x14ac:dyDescent="0.3">
      <c r="G26323" s="1"/>
      <c r="N26323" s="1"/>
    </row>
    <row r="26324" spans="7:14" x14ac:dyDescent="0.3">
      <c r="G26324" s="1"/>
      <c r="N26324" s="1"/>
    </row>
    <row r="26325" spans="7:14" x14ac:dyDescent="0.3">
      <c r="G26325" s="1"/>
      <c r="N26325" s="1"/>
    </row>
    <row r="26326" spans="7:14" x14ac:dyDescent="0.3">
      <c r="G26326" s="1"/>
      <c r="N26326" s="1"/>
    </row>
    <row r="26327" spans="7:14" x14ac:dyDescent="0.3">
      <c r="G26327" s="1"/>
      <c r="N26327" s="1"/>
    </row>
    <row r="26328" spans="7:14" x14ac:dyDescent="0.3">
      <c r="G26328" s="1"/>
      <c r="N26328" s="1"/>
    </row>
    <row r="26329" spans="7:14" x14ac:dyDescent="0.3">
      <c r="G26329" s="1"/>
      <c r="N26329" s="1"/>
    </row>
    <row r="26330" spans="7:14" x14ac:dyDescent="0.3">
      <c r="G26330" s="1"/>
      <c r="N26330" s="1"/>
    </row>
    <row r="26331" spans="7:14" x14ac:dyDescent="0.3">
      <c r="G26331" s="1"/>
      <c r="N26331" s="1"/>
    </row>
    <row r="26332" spans="7:14" x14ac:dyDescent="0.3">
      <c r="G26332" s="1"/>
      <c r="N26332" s="1"/>
    </row>
    <row r="26333" spans="7:14" x14ac:dyDescent="0.3">
      <c r="G26333" s="1"/>
      <c r="N26333" s="1"/>
    </row>
    <row r="26334" spans="7:14" x14ac:dyDescent="0.3">
      <c r="G26334" s="1"/>
      <c r="N26334" s="1"/>
    </row>
    <row r="26335" spans="7:14" x14ac:dyDescent="0.3">
      <c r="G26335" s="1"/>
      <c r="N26335" s="1"/>
    </row>
    <row r="26336" spans="7:14" x14ac:dyDescent="0.3">
      <c r="G26336" s="1"/>
      <c r="N26336" s="1"/>
    </row>
    <row r="26337" spans="7:14" x14ac:dyDescent="0.3">
      <c r="G26337" s="1"/>
      <c r="N26337" s="1"/>
    </row>
    <row r="26338" spans="7:14" x14ac:dyDescent="0.3">
      <c r="G26338" s="1"/>
      <c r="N26338" s="1"/>
    </row>
    <row r="26339" spans="7:14" x14ac:dyDescent="0.3">
      <c r="G26339" s="1"/>
      <c r="N26339" s="1"/>
    </row>
    <row r="26340" spans="7:14" x14ac:dyDescent="0.3">
      <c r="G26340" s="1"/>
      <c r="N26340" s="1"/>
    </row>
    <row r="26341" spans="7:14" x14ac:dyDescent="0.3">
      <c r="G26341" s="1"/>
      <c r="N26341" s="1"/>
    </row>
    <row r="26342" spans="7:14" x14ac:dyDescent="0.3">
      <c r="G26342" s="1"/>
      <c r="N26342" s="1"/>
    </row>
    <row r="26343" spans="7:14" x14ac:dyDescent="0.3">
      <c r="G26343" s="1"/>
      <c r="N26343" s="1"/>
    </row>
    <row r="26344" spans="7:14" x14ac:dyDescent="0.3">
      <c r="G26344" s="1"/>
      <c r="N26344" s="1"/>
    </row>
    <row r="26345" spans="7:14" x14ac:dyDescent="0.3">
      <c r="G26345" s="1"/>
      <c r="N26345" s="1"/>
    </row>
    <row r="26346" spans="7:14" x14ac:dyDescent="0.3">
      <c r="G26346" s="1"/>
      <c r="N26346" s="1"/>
    </row>
    <row r="26347" spans="7:14" x14ac:dyDescent="0.3">
      <c r="G26347" s="1"/>
      <c r="N26347" s="1"/>
    </row>
    <row r="26348" spans="7:14" x14ac:dyDescent="0.3">
      <c r="G26348" s="1"/>
      <c r="N26348" s="1"/>
    </row>
    <row r="26349" spans="7:14" x14ac:dyDescent="0.3">
      <c r="G26349" s="1"/>
      <c r="N26349" s="1"/>
    </row>
    <row r="26350" spans="7:14" x14ac:dyDescent="0.3">
      <c r="G26350" s="1"/>
      <c r="N26350" s="1"/>
    </row>
    <row r="26351" spans="7:14" x14ac:dyDescent="0.3">
      <c r="G26351" s="1"/>
      <c r="N26351" s="1"/>
    </row>
    <row r="26352" spans="7:14" x14ac:dyDescent="0.3">
      <c r="G26352" s="1"/>
      <c r="N26352" s="1"/>
    </row>
    <row r="26353" spans="7:14" x14ac:dyDescent="0.3">
      <c r="G26353" s="1"/>
      <c r="N26353" s="1"/>
    </row>
    <row r="26354" spans="7:14" x14ac:dyDescent="0.3">
      <c r="G26354" s="1"/>
      <c r="N26354" s="1"/>
    </row>
    <row r="26355" spans="7:14" x14ac:dyDescent="0.3">
      <c r="G26355" s="1"/>
      <c r="N26355" s="1"/>
    </row>
    <row r="26356" spans="7:14" x14ac:dyDescent="0.3">
      <c r="G26356" s="1"/>
      <c r="N26356" s="1"/>
    </row>
    <row r="26357" spans="7:14" x14ac:dyDescent="0.3">
      <c r="G26357" s="1"/>
      <c r="N26357" s="1"/>
    </row>
    <row r="26358" spans="7:14" x14ac:dyDescent="0.3">
      <c r="G26358" s="1"/>
      <c r="N26358" s="1"/>
    </row>
    <row r="26359" spans="7:14" x14ac:dyDescent="0.3">
      <c r="G26359" s="1"/>
      <c r="N26359" s="1"/>
    </row>
    <row r="26360" spans="7:14" x14ac:dyDescent="0.3">
      <c r="G26360" s="1"/>
      <c r="N26360" s="1"/>
    </row>
    <row r="26361" spans="7:14" x14ac:dyDescent="0.3">
      <c r="G26361" s="1"/>
      <c r="N26361" s="1"/>
    </row>
    <row r="26362" spans="7:14" x14ac:dyDescent="0.3">
      <c r="G26362" s="1"/>
      <c r="N26362" s="1"/>
    </row>
    <row r="26363" spans="7:14" x14ac:dyDescent="0.3">
      <c r="G26363" s="1"/>
      <c r="N26363" s="1"/>
    </row>
    <row r="26364" spans="7:14" x14ac:dyDescent="0.3">
      <c r="G26364" s="1"/>
      <c r="N26364" s="1"/>
    </row>
    <row r="26365" spans="7:14" x14ac:dyDescent="0.3">
      <c r="G26365" s="1"/>
      <c r="N26365" s="1"/>
    </row>
    <row r="26366" spans="7:14" x14ac:dyDescent="0.3">
      <c r="G26366" s="1"/>
      <c r="N26366" s="1"/>
    </row>
    <row r="26367" spans="7:14" x14ac:dyDescent="0.3">
      <c r="G26367" s="1"/>
      <c r="N26367" s="1"/>
    </row>
    <row r="26368" spans="7:14" x14ac:dyDescent="0.3">
      <c r="G26368" s="1"/>
      <c r="N26368" s="1"/>
    </row>
    <row r="26369" spans="7:14" x14ac:dyDescent="0.3">
      <c r="G26369" s="1"/>
      <c r="N26369" s="1"/>
    </row>
    <row r="26370" spans="7:14" x14ac:dyDescent="0.3">
      <c r="G26370" s="1"/>
      <c r="N26370" s="1"/>
    </row>
    <row r="26371" spans="7:14" x14ac:dyDescent="0.3">
      <c r="G26371" s="1"/>
      <c r="N26371" s="1"/>
    </row>
    <row r="26372" spans="7:14" x14ac:dyDescent="0.3">
      <c r="G26372" s="1"/>
      <c r="N26372" s="1"/>
    </row>
    <row r="26373" spans="7:14" x14ac:dyDescent="0.3">
      <c r="G26373" s="1"/>
      <c r="N26373" s="1"/>
    </row>
    <row r="26374" spans="7:14" x14ac:dyDescent="0.3">
      <c r="G26374" s="1"/>
      <c r="N26374" s="1"/>
    </row>
    <row r="26375" spans="7:14" x14ac:dyDescent="0.3">
      <c r="G26375" s="1"/>
      <c r="N26375" s="1"/>
    </row>
    <row r="26376" spans="7:14" x14ac:dyDescent="0.3">
      <c r="G26376" s="1"/>
      <c r="N26376" s="1"/>
    </row>
    <row r="26377" spans="7:14" x14ac:dyDescent="0.3">
      <c r="G26377" s="1"/>
      <c r="N26377" s="1"/>
    </row>
    <row r="26378" spans="7:14" x14ac:dyDescent="0.3">
      <c r="G26378" s="1"/>
      <c r="N26378" s="1"/>
    </row>
    <row r="26379" spans="7:14" x14ac:dyDescent="0.3">
      <c r="G26379" s="1"/>
      <c r="N26379" s="1"/>
    </row>
    <row r="26380" spans="7:14" x14ac:dyDescent="0.3">
      <c r="G26380" s="1"/>
      <c r="N26380" s="1"/>
    </row>
    <row r="26381" spans="7:14" x14ac:dyDescent="0.3">
      <c r="G26381" s="1"/>
      <c r="N26381" s="1"/>
    </row>
    <row r="26382" spans="7:14" x14ac:dyDescent="0.3">
      <c r="G26382" s="1"/>
      <c r="N26382" s="1"/>
    </row>
    <row r="26383" spans="7:14" x14ac:dyDescent="0.3">
      <c r="G26383" s="1"/>
      <c r="N26383" s="1"/>
    </row>
    <row r="26384" spans="7:14" x14ac:dyDescent="0.3">
      <c r="G26384" s="1"/>
      <c r="N26384" s="1"/>
    </row>
    <row r="26385" spans="7:14" x14ac:dyDescent="0.3">
      <c r="G26385" s="1"/>
      <c r="N26385" s="1"/>
    </row>
    <row r="26386" spans="7:14" x14ac:dyDescent="0.3">
      <c r="G26386" s="1"/>
      <c r="N26386" s="1"/>
    </row>
    <row r="26387" spans="7:14" x14ac:dyDescent="0.3">
      <c r="G26387" s="1"/>
      <c r="N26387" s="1"/>
    </row>
    <row r="26388" spans="7:14" x14ac:dyDescent="0.3">
      <c r="G26388" s="1"/>
      <c r="N26388" s="1"/>
    </row>
    <row r="26389" spans="7:14" x14ac:dyDescent="0.3">
      <c r="G26389" s="1"/>
      <c r="N26389" s="1"/>
    </row>
    <row r="26390" spans="7:14" x14ac:dyDescent="0.3">
      <c r="G26390" s="1"/>
      <c r="N26390" s="1"/>
    </row>
    <row r="26391" spans="7:14" x14ac:dyDescent="0.3">
      <c r="G26391" s="1"/>
      <c r="N26391" s="1"/>
    </row>
    <row r="26392" spans="7:14" x14ac:dyDescent="0.3">
      <c r="G26392" s="1"/>
      <c r="N26392" s="1"/>
    </row>
    <row r="26393" spans="7:14" x14ac:dyDescent="0.3">
      <c r="G26393" s="1"/>
      <c r="N26393" s="1"/>
    </row>
    <row r="26394" spans="7:14" x14ac:dyDescent="0.3">
      <c r="G26394" s="1"/>
      <c r="N26394" s="1"/>
    </row>
    <row r="26395" spans="7:14" x14ac:dyDescent="0.3">
      <c r="G26395" s="1"/>
      <c r="N26395" s="1"/>
    </row>
    <row r="26396" spans="7:14" x14ac:dyDescent="0.3">
      <c r="G26396" s="1"/>
      <c r="N26396" s="1"/>
    </row>
    <row r="26397" spans="7:14" x14ac:dyDescent="0.3">
      <c r="G26397" s="1"/>
      <c r="N26397" s="1"/>
    </row>
    <row r="26398" spans="7:14" x14ac:dyDescent="0.3">
      <c r="G26398" s="1"/>
      <c r="N26398" s="1"/>
    </row>
    <row r="26399" spans="7:14" x14ac:dyDescent="0.3">
      <c r="G26399" s="1"/>
      <c r="N26399" s="1"/>
    </row>
    <row r="26400" spans="7:14" x14ac:dyDescent="0.3">
      <c r="G26400" s="1"/>
      <c r="N26400" s="1"/>
    </row>
    <row r="26401" spans="7:14" x14ac:dyDescent="0.3">
      <c r="G26401" s="1"/>
      <c r="N26401" s="1"/>
    </row>
    <row r="26402" spans="7:14" x14ac:dyDescent="0.3">
      <c r="G26402" s="1"/>
      <c r="N26402" s="1"/>
    </row>
    <row r="26403" spans="7:14" x14ac:dyDescent="0.3">
      <c r="G26403" s="1"/>
      <c r="N26403" s="1"/>
    </row>
    <row r="26404" spans="7:14" x14ac:dyDescent="0.3">
      <c r="G26404" s="1"/>
      <c r="N26404" s="1"/>
    </row>
    <row r="26405" spans="7:14" x14ac:dyDescent="0.3">
      <c r="G26405" s="1"/>
      <c r="N26405" s="1"/>
    </row>
    <row r="26406" spans="7:14" x14ac:dyDescent="0.3">
      <c r="G26406" s="1"/>
      <c r="N26406" s="1"/>
    </row>
    <row r="26407" spans="7:14" x14ac:dyDescent="0.3">
      <c r="G26407" s="1"/>
      <c r="N26407" s="1"/>
    </row>
    <row r="26408" spans="7:14" x14ac:dyDescent="0.3">
      <c r="G26408" s="1"/>
      <c r="N26408" s="1"/>
    </row>
    <row r="26409" spans="7:14" x14ac:dyDescent="0.3">
      <c r="G26409" s="1"/>
      <c r="N26409" s="1"/>
    </row>
    <row r="26410" spans="7:14" x14ac:dyDescent="0.3">
      <c r="G26410" s="1"/>
      <c r="N26410" s="1"/>
    </row>
    <row r="26411" spans="7:14" x14ac:dyDescent="0.3">
      <c r="G26411" s="1"/>
      <c r="N26411" s="1"/>
    </row>
    <row r="26412" spans="7:14" x14ac:dyDescent="0.3">
      <c r="G26412" s="1"/>
      <c r="N26412" s="1"/>
    </row>
    <row r="26413" spans="7:14" x14ac:dyDescent="0.3">
      <c r="G26413" s="1"/>
      <c r="N26413" s="1"/>
    </row>
    <row r="26414" spans="7:14" x14ac:dyDescent="0.3">
      <c r="G26414" s="1"/>
      <c r="N26414" s="1"/>
    </row>
    <row r="26415" spans="7:14" x14ac:dyDescent="0.3">
      <c r="G26415" s="1"/>
      <c r="N26415" s="1"/>
    </row>
    <row r="26416" spans="7:14" x14ac:dyDescent="0.3">
      <c r="G26416" s="1"/>
      <c r="N26416" s="1"/>
    </row>
    <row r="26417" spans="7:14" x14ac:dyDescent="0.3">
      <c r="G26417" s="1"/>
      <c r="N26417" s="1"/>
    </row>
    <row r="26418" spans="7:14" x14ac:dyDescent="0.3">
      <c r="G26418" s="1"/>
      <c r="N26418" s="1"/>
    </row>
    <row r="26419" spans="7:14" x14ac:dyDescent="0.3">
      <c r="G26419" s="1"/>
      <c r="N26419" s="1"/>
    </row>
    <row r="26420" spans="7:14" x14ac:dyDescent="0.3">
      <c r="G26420" s="1"/>
      <c r="N26420" s="1"/>
    </row>
    <row r="26421" spans="7:14" x14ac:dyDescent="0.3">
      <c r="G26421" s="1"/>
      <c r="N26421" s="1"/>
    </row>
    <row r="26422" spans="7:14" x14ac:dyDescent="0.3">
      <c r="G26422" s="1"/>
      <c r="N26422" s="1"/>
    </row>
    <row r="26423" spans="7:14" x14ac:dyDescent="0.3">
      <c r="G26423" s="1"/>
      <c r="N26423" s="1"/>
    </row>
    <row r="26424" spans="7:14" x14ac:dyDescent="0.3">
      <c r="G26424" s="1"/>
      <c r="N26424" s="1"/>
    </row>
    <row r="26425" spans="7:14" x14ac:dyDescent="0.3">
      <c r="G26425" s="1"/>
      <c r="N26425" s="1"/>
    </row>
    <row r="26426" spans="7:14" x14ac:dyDescent="0.3">
      <c r="G26426" s="1"/>
      <c r="N26426" s="1"/>
    </row>
    <row r="26427" spans="7:14" x14ac:dyDescent="0.3">
      <c r="G26427" s="1"/>
      <c r="N26427" s="1"/>
    </row>
    <row r="26428" spans="7:14" x14ac:dyDescent="0.3">
      <c r="G26428" s="1"/>
      <c r="N26428" s="1"/>
    </row>
    <row r="26429" spans="7:14" x14ac:dyDescent="0.3">
      <c r="G26429" s="1"/>
      <c r="N26429" s="1"/>
    </row>
    <row r="26430" spans="7:14" x14ac:dyDescent="0.3">
      <c r="G26430" s="1"/>
      <c r="N26430" s="1"/>
    </row>
    <row r="26431" spans="7:14" x14ac:dyDescent="0.3">
      <c r="G26431" s="1"/>
      <c r="N26431" s="1"/>
    </row>
    <row r="26432" spans="7:14" x14ac:dyDescent="0.3">
      <c r="G26432" s="1"/>
      <c r="N26432" s="1"/>
    </row>
    <row r="26433" spans="7:14" x14ac:dyDescent="0.3">
      <c r="G26433" s="1"/>
      <c r="N26433" s="1"/>
    </row>
    <row r="26434" spans="7:14" x14ac:dyDescent="0.3">
      <c r="G26434" s="1"/>
      <c r="N26434" s="1"/>
    </row>
    <row r="26435" spans="7:14" x14ac:dyDescent="0.3">
      <c r="G26435" s="1"/>
      <c r="N26435" s="1"/>
    </row>
    <row r="26436" spans="7:14" x14ac:dyDescent="0.3">
      <c r="G26436" s="1"/>
      <c r="N26436" s="1"/>
    </row>
    <row r="26437" spans="7:14" x14ac:dyDescent="0.3">
      <c r="G26437" s="1"/>
      <c r="N26437" s="1"/>
    </row>
    <row r="26438" spans="7:14" x14ac:dyDescent="0.3">
      <c r="G26438" s="1"/>
      <c r="N26438" s="1"/>
    </row>
    <row r="26439" spans="7:14" x14ac:dyDescent="0.3">
      <c r="G26439" s="1"/>
      <c r="N26439" s="1"/>
    </row>
    <row r="26440" spans="7:14" x14ac:dyDescent="0.3">
      <c r="G26440" s="1"/>
      <c r="N26440" s="1"/>
    </row>
    <row r="26441" spans="7:14" x14ac:dyDescent="0.3">
      <c r="G26441" s="1"/>
      <c r="N26441" s="1"/>
    </row>
    <row r="26442" spans="7:14" x14ac:dyDescent="0.3">
      <c r="G26442" s="1"/>
      <c r="N26442" s="1"/>
    </row>
    <row r="26443" spans="7:14" x14ac:dyDescent="0.3">
      <c r="G26443" s="1"/>
      <c r="N26443" s="1"/>
    </row>
    <row r="26444" spans="7:14" x14ac:dyDescent="0.3">
      <c r="G26444" s="1"/>
      <c r="N26444" s="1"/>
    </row>
    <row r="26445" spans="7:14" x14ac:dyDescent="0.3">
      <c r="G26445" s="1"/>
      <c r="N26445" s="1"/>
    </row>
    <row r="26446" spans="7:14" x14ac:dyDescent="0.3">
      <c r="G26446" s="1"/>
      <c r="N26446" s="1"/>
    </row>
    <row r="26447" spans="7:14" x14ac:dyDescent="0.3">
      <c r="G26447" s="1"/>
      <c r="N26447" s="1"/>
    </row>
    <row r="26448" spans="7:14" x14ac:dyDescent="0.3">
      <c r="G26448" s="1"/>
      <c r="N26448" s="1"/>
    </row>
    <row r="26449" spans="7:14" x14ac:dyDescent="0.3">
      <c r="G26449" s="1"/>
      <c r="N26449" s="1"/>
    </row>
    <row r="26450" spans="7:14" x14ac:dyDescent="0.3">
      <c r="G26450" s="1"/>
      <c r="N26450" s="1"/>
    </row>
    <row r="26451" spans="7:14" x14ac:dyDescent="0.3">
      <c r="G26451" s="1"/>
      <c r="N26451" s="1"/>
    </row>
    <row r="26452" spans="7:14" x14ac:dyDescent="0.3">
      <c r="G26452" s="1"/>
      <c r="N26452" s="1"/>
    </row>
    <row r="26453" spans="7:14" x14ac:dyDescent="0.3">
      <c r="G26453" s="1"/>
      <c r="N26453" s="1"/>
    </row>
    <row r="26454" spans="7:14" x14ac:dyDescent="0.3">
      <c r="G26454" s="1"/>
      <c r="N26454" s="1"/>
    </row>
    <row r="26455" spans="7:14" x14ac:dyDescent="0.3">
      <c r="G26455" s="1"/>
      <c r="N26455" s="1"/>
    </row>
    <row r="26456" spans="7:14" x14ac:dyDescent="0.3">
      <c r="G26456" s="1"/>
      <c r="N26456" s="1"/>
    </row>
    <row r="26457" spans="7:14" x14ac:dyDescent="0.3">
      <c r="G26457" s="1"/>
      <c r="N26457" s="1"/>
    </row>
    <row r="26458" spans="7:14" x14ac:dyDescent="0.3">
      <c r="G26458" s="1"/>
      <c r="N26458" s="1"/>
    </row>
    <row r="26459" spans="7:14" x14ac:dyDescent="0.3">
      <c r="G26459" s="1"/>
      <c r="N26459" s="1"/>
    </row>
    <row r="26460" spans="7:14" x14ac:dyDescent="0.3">
      <c r="G26460" s="1"/>
      <c r="N26460" s="1"/>
    </row>
    <row r="26461" spans="7:14" x14ac:dyDescent="0.3">
      <c r="G26461" s="1"/>
      <c r="N26461" s="1"/>
    </row>
    <row r="26462" spans="7:14" x14ac:dyDescent="0.3">
      <c r="G26462" s="1"/>
      <c r="N26462" s="1"/>
    </row>
    <row r="26463" spans="7:14" x14ac:dyDescent="0.3">
      <c r="G26463" s="1"/>
      <c r="N26463" s="1"/>
    </row>
    <row r="26464" spans="7:14" x14ac:dyDescent="0.3">
      <c r="G26464" s="1"/>
      <c r="N26464" s="1"/>
    </row>
    <row r="26465" spans="7:14" x14ac:dyDescent="0.3">
      <c r="G26465" s="1"/>
      <c r="N26465" s="1"/>
    </row>
    <row r="26466" spans="7:14" x14ac:dyDescent="0.3">
      <c r="G26466" s="1"/>
      <c r="N26466" s="1"/>
    </row>
    <row r="26467" spans="7:14" x14ac:dyDescent="0.3">
      <c r="G26467" s="1"/>
      <c r="N26467" s="1"/>
    </row>
    <row r="26468" spans="7:14" x14ac:dyDescent="0.3">
      <c r="G26468" s="1"/>
      <c r="N26468" s="1"/>
    </row>
    <row r="26469" spans="7:14" x14ac:dyDescent="0.3">
      <c r="G26469" s="1"/>
      <c r="N26469" s="1"/>
    </row>
    <row r="26470" spans="7:14" x14ac:dyDescent="0.3">
      <c r="G26470" s="1"/>
      <c r="N26470" s="1"/>
    </row>
    <row r="26471" spans="7:14" x14ac:dyDescent="0.3">
      <c r="G26471" s="1"/>
      <c r="N26471" s="1"/>
    </row>
    <row r="26472" spans="7:14" x14ac:dyDescent="0.3">
      <c r="G26472" s="1"/>
      <c r="N26472" s="1"/>
    </row>
    <row r="26473" spans="7:14" x14ac:dyDescent="0.3">
      <c r="G26473" s="1"/>
      <c r="N26473" s="1"/>
    </row>
    <row r="26474" spans="7:14" x14ac:dyDescent="0.3">
      <c r="G26474" s="1"/>
      <c r="N26474" s="1"/>
    </row>
    <row r="26475" spans="7:14" x14ac:dyDescent="0.3">
      <c r="G26475" s="1"/>
      <c r="N26475" s="1"/>
    </row>
    <row r="26476" spans="7:14" x14ac:dyDescent="0.3">
      <c r="G26476" s="1"/>
      <c r="N26476" s="1"/>
    </row>
    <row r="26477" spans="7:14" x14ac:dyDescent="0.3">
      <c r="G26477" s="1"/>
      <c r="N26477" s="1"/>
    </row>
    <row r="26478" spans="7:14" x14ac:dyDescent="0.3">
      <c r="G26478" s="1"/>
      <c r="N26478" s="1"/>
    </row>
    <row r="26479" spans="7:14" x14ac:dyDescent="0.3">
      <c r="G26479" s="1"/>
      <c r="N26479" s="1"/>
    </row>
    <row r="26480" spans="7:14" x14ac:dyDescent="0.3">
      <c r="G26480" s="1"/>
      <c r="N26480" s="1"/>
    </row>
    <row r="26481" spans="7:14" x14ac:dyDescent="0.3">
      <c r="G26481" s="1"/>
      <c r="N26481" s="1"/>
    </row>
    <row r="26482" spans="7:14" x14ac:dyDescent="0.3">
      <c r="G26482" s="1"/>
      <c r="N26482" s="1"/>
    </row>
    <row r="26483" spans="7:14" x14ac:dyDescent="0.3">
      <c r="G26483" s="1"/>
      <c r="N26483" s="1"/>
    </row>
    <row r="26484" spans="7:14" x14ac:dyDescent="0.3">
      <c r="G26484" s="1"/>
      <c r="N26484" s="1"/>
    </row>
    <row r="26485" spans="7:14" x14ac:dyDescent="0.3">
      <c r="G26485" s="1"/>
      <c r="N26485" s="1"/>
    </row>
    <row r="26486" spans="7:14" x14ac:dyDescent="0.3">
      <c r="G26486" s="1"/>
      <c r="N26486" s="1"/>
    </row>
    <row r="26487" spans="7:14" x14ac:dyDescent="0.3">
      <c r="G26487" s="1"/>
      <c r="N26487" s="1"/>
    </row>
    <row r="26488" spans="7:14" x14ac:dyDescent="0.3">
      <c r="G26488" s="1"/>
      <c r="N26488" s="1"/>
    </row>
    <row r="26489" spans="7:14" x14ac:dyDescent="0.3">
      <c r="G26489" s="1"/>
      <c r="N26489" s="1"/>
    </row>
    <row r="26490" spans="7:14" x14ac:dyDescent="0.3">
      <c r="G26490" s="1"/>
      <c r="N26490" s="1"/>
    </row>
    <row r="26491" spans="7:14" x14ac:dyDescent="0.3">
      <c r="G26491" s="1"/>
      <c r="N26491" s="1"/>
    </row>
    <row r="26492" spans="7:14" x14ac:dyDescent="0.3">
      <c r="G26492" s="1"/>
      <c r="N26492" s="1"/>
    </row>
    <row r="26493" spans="7:14" x14ac:dyDescent="0.3">
      <c r="G26493" s="1"/>
      <c r="N26493" s="1"/>
    </row>
    <row r="26494" spans="7:14" x14ac:dyDescent="0.3">
      <c r="G26494" s="1"/>
      <c r="N26494" s="1"/>
    </row>
    <row r="26495" spans="7:14" x14ac:dyDescent="0.3">
      <c r="G26495" s="1"/>
      <c r="N26495" s="1"/>
    </row>
    <row r="26496" spans="7:14" x14ac:dyDescent="0.3">
      <c r="G26496" s="1"/>
      <c r="N26496" s="1"/>
    </row>
    <row r="26497" spans="7:14" x14ac:dyDescent="0.3">
      <c r="G26497" s="1"/>
      <c r="N26497" s="1"/>
    </row>
    <row r="26498" spans="7:14" x14ac:dyDescent="0.3">
      <c r="G26498" s="1"/>
      <c r="N26498" s="1"/>
    </row>
    <row r="26499" spans="7:14" x14ac:dyDescent="0.3">
      <c r="G26499" s="1"/>
      <c r="N26499" s="1"/>
    </row>
    <row r="26500" spans="7:14" x14ac:dyDescent="0.3">
      <c r="G26500" s="1"/>
      <c r="N26500" s="1"/>
    </row>
    <row r="26501" spans="7:14" x14ac:dyDescent="0.3">
      <c r="G26501" s="1"/>
      <c r="N26501" s="1"/>
    </row>
    <row r="26502" spans="7:14" x14ac:dyDescent="0.3">
      <c r="G26502" s="1"/>
      <c r="N26502" s="1"/>
    </row>
    <row r="26503" spans="7:14" x14ac:dyDescent="0.3">
      <c r="G26503" s="1"/>
      <c r="N26503" s="1"/>
    </row>
    <row r="26504" spans="7:14" x14ac:dyDescent="0.3">
      <c r="G26504" s="1"/>
      <c r="N26504" s="1"/>
    </row>
    <row r="26505" spans="7:14" x14ac:dyDescent="0.3">
      <c r="G26505" s="1"/>
      <c r="N26505" s="1"/>
    </row>
    <row r="26506" spans="7:14" x14ac:dyDescent="0.3">
      <c r="G26506" s="1"/>
      <c r="N26506" s="1"/>
    </row>
    <row r="26507" spans="7:14" x14ac:dyDescent="0.3">
      <c r="G26507" s="1"/>
      <c r="N26507" s="1"/>
    </row>
    <row r="26508" spans="7:14" x14ac:dyDescent="0.3">
      <c r="G26508" s="1"/>
      <c r="N26508" s="1"/>
    </row>
    <row r="26509" spans="7:14" x14ac:dyDescent="0.3">
      <c r="G26509" s="1"/>
      <c r="N26509" s="1"/>
    </row>
    <row r="26510" spans="7:14" x14ac:dyDescent="0.3">
      <c r="G26510" s="1"/>
      <c r="N26510" s="1"/>
    </row>
    <row r="26511" spans="7:14" x14ac:dyDescent="0.3">
      <c r="G26511" s="1"/>
      <c r="N26511" s="1"/>
    </row>
    <row r="26512" spans="7:14" x14ac:dyDescent="0.3">
      <c r="G26512" s="1"/>
      <c r="N26512" s="1"/>
    </row>
    <row r="26513" spans="7:14" x14ac:dyDescent="0.3">
      <c r="G26513" s="1"/>
      <c r="N26513" s="1"/>
    </row>
    <row r="26514" spans="7:14" x14ac:dyDescent="0.3">
      <c r="G26514" s="1"/>
      <c r="N26514" s="1"/>
    </row>
    <row r="26515" spans="7:14" x14ac:dyDescent="0.3">
      <c r="G26515" s="1"/>
      <c r="N26515" s="1"/>
    </row>
    <row r="26516" spans="7:14" x14ac:dyDescent="0.3">
      <c r="G26516" s="1"/>
      <c r="N26516" s="1"/>
    </row>
    <row r="26517" spans="7:14" x14ac:dyDescent="0.3">
      <c r="G26517" s="1"/>
      <c r="N26517" s="1"/>
    </row>
    <row r="26518" spans="7:14" x14ac:dyDescent="0.3">
      <c r="G26518" s="1"/>
      <c r="N26518" s="1"/>
    </row>
    <row r="26519" spans="7:14" x14ac:dyDescent="0.3">
      <c r="G26519" s="1"/>
      <c r="N26519" s="1"/>
    </row>
    <row r="26520" spans="7:14" x14ac:dyDescent="0.3">
      <c r="G26520" s="1"/>
      <c r="N26520" s="1"/>
    </row>
    <row r="26521" spans="7:14" x14ac:dyDescent="0.3">
      <c r="G26521" s="1"/>
      <c r="N26521" s="1"/>
    </row>
    <row r="26522" spans="7:14" x14ac:dyDescent="0.3">
      <c r="G26522" s="1"/>
      <c r="N26522" s="1"/>
    </row>
    <row r="26523" spans="7:14" x14ac:dyDescent="0.3">
      <c r="G26523" s="1"/>
      <c r="N26523" s="1"/>
    </row>
    <row r="26524" spans="7:14" x14ac:dyDescent="0.3">
      <c r="G26524" s="1"/>
      <c r="N26524" s="1"/>
    </row>
    <row r="26525" spans="7:14" x14ac:dyDescent="0.3">
      <c r="G26525" s="1"/>
      <c r="N26525" s="1"/>
    </row>
    <row r="26526" spans="7:14" x14ac:dyDescent="0.3">
      <c r="G26526" s="1"/>
      <c r="N26526" s="1"/>
    </row>
    <row r="26527" spans="7:14" x14ac:dyDescent="0.3">
      <c r="G26527" s="1"/>
      <c r="N26527" s="1"/>
    </row>
    <row r="26528" spans="7:14" x14ac:dyDescent="0.3">
      <c r="G26528" s="1"/>
      <c r="N26528" s="1"/>
    </row>
    <row r="26529" spans="7:14" x14ac:dyDescent="0.3">
      <c r="G26529" s="1"/>
      <c r="N26529" s="1"/>
    </row>
    <row r="26530" spans="7:14" x14ac:dyDescent="0.3">
      <c r="G26530" s="1"/>
      <c r="N26530" s="1"/>
    </row>
    <row r="26531" spans="7:14" x14ac:dyDescent="0.3">
      <c r="G26531" s="1"/>
      <c r="N26531" s="1"/>
    </row>
    <row r="26532" spans="7:14" x14ac:dyDescent="0.3">
      <c r="G26532" s="1"/>
      <c r="N26532" s="1"/>
    </row>
    <row r="26533" spans="7:14" x14ac:dyDescent="0.3">
      <c r="G26533" s="1"/>
      <c r="N26533" s="1"/>
    </row>
    <row r="26534" spans="7:14" x14ac:dyDescent="0.3">
      <c r="G26534" s="1"/>
      <c r="N26534" s="1"/>
    </row>
    <row r="26535" spans="7:14" x14ac:dyDescent="0.3">
      <c r="G26535" s="1"/>
      <c r="N26535" s="1"/>
    </row>
    <row r="26536" spans="7:14" x14ac:dyDescent="0.3">
      <c r="G26536" s="1"/>
      <c r="N26536" s="1"/>
    </row>
    <row r="26537" spans="7:14" x14ac:dyDescent="0.3">
      <c r="G26537" s="1"/>
      <c r="N26537" s="1"/>
    </row>
    <row r="26538" spans="7:14" x14ac:dyDescent="0.3">
      <c r="G26538" s="1"/>
      <c r="N26538" s="1"/>
    </row>
    <row r="26539" spans="7:14" x14ac:dyDescent="0.3">
      <c r="G26539" s="1"/>
      <c r="N26539" s="1"/>
    </row>
    <row r="26540" spans="7:14" x14ac:dyDescent="0.3">
      <c r="G26540" s="1"/>
      <c r="N26540" s="1"/>
    </row>
    <row r="26541" spans="7:14" x14ac:dyDescent="0.3">
      <c r="G26541" s="1"/>
      <c r="N26541" s="1"/>
    </row>
    <row r="26542" spans="7:14" x14ac:dyDescent="0.3">
      <c r="G26542" s="1"/>
      <c r="N26542" s="1"/>
    </row>
    <row r="26543" spans="7:14" x14ac:dyDescent="0.3">
      <c r="G26543" s="1"/>
      <c r="N26543" s="1"/>
    </row>
    <row r="26544" spans="7:14" x14ac:dyDescent="0.3">
      <c r="G26544" s="1"/>
      <c r="N26544" s="1"/>
    </row>
    <row r="26545" spans="7:14" x14ac:dyDescent="0.3">
      <c r="G26545" s="1"/>
      <c r="N26545" s="1"/>
    </row>
    <row r="26546" spans="7:14" x14ac:dyDescent="0.3">
      <c r="G26546" s="1"/>
      <c r="N26546" s="1"/>
    </row>
    <row r="26547" spans="7:14" x14ac:dyDescent="0.3">
      <c r="G26547" s="1"/>
      <c r="N26547" s="1"/>
    </row>
    <row r="26548" spans="7:14" x14ac:dyDescent="0.3">
      <c r="G26548" s="1"/>
      <c r="N26548" s="1"/>
    </row>
    <row r="26549" spans="7:14" x14ac:dyDescent="0.3">
      <c r="G26549" s="1"/>
      <c r="N26549" s="1"/>
    </row>
    <row r="26550" spans="7:14" x14ac:dyDescent="0.3">
      <c r="G26550" s="1"/>
      <c r="N26550" s="1"/>
    </row>
    <row r="26551" spans="7:14" x14ac:dyDescent="0.3">
      <c r="G26551" s="1"/>
      <c r="N26551" s="1"/>
    </row>
    <row r="26552" spans="7:14" x14ac:dyDescent="0.3">
      <c r="G26552" s="1"/>
      <c r="N26552" s="1"/>
    </row>
    <row r="26553" spans="7:14" x14ac:dyDescent="0.3">
      <c r="G26553" s="1"/>
      <c r="N26553" s="1"/>
    </row>
    <row r="26554" spans="7:14" x14ac:dyDescent="0.3">
      <c r="G26554" s="1"/>
      <c r="N26554" s="1"/>
    </row>
    <row r="26555" spans="7:14" x14ac:dyDescent="0.3">
      <c r="G26555" s="1"/>
      <c r="N26555" s="1"/>
    </row>
    <row r="26556" spans="7:14" x14ac:dyDescent="0.3">
      <c r="G26556" s="1"/>
      <c r="N26556" s="1"/>
    </row>
    <row r="26557" spans="7:14" x14ac:dyDescent="0.3">
      <c r="G26557" s="1"/>
      <c r="N26557" s="1"/>
    </row>
    <row r="26558" spans="7:14" x14ac:dyDescent="0.3">
      <c r="G26558" s="1"/>
      <c r="N26558" s="1"/>
    </row>
    <row r="26559" spans="7:14" x14ac:dyDescent="0.3">
      <c r="G26559" s="1"/>
      <c r="N26559" s="1"/>
    </row>
    <row r="26560" spans="7:14" x14ac:dyDescent="0.3">
      <c r="G26560" s="1"/>
      <c r="N26560" s="1"/>
    </row>
    <row r="26561" spans="7:14" x14ac:dyDescent="0.3">
      <c r="G26561" s="1"/>
      <c r="N26561" s="1"/>
    </row>
    <row r="26562" spans="7:14" x14ac:dyDescent="0.3">
      <c r="G26562" s="1"/>
      <c r="N26562" s="1"/>
    </row>
    <row r="26563" spans="7:14" x14ac:dyDescent="0.3">
      <c r="G26563" s="1"/>
      <c r="N26563" s="1"/>
    </row>
    <row r="26564" spans="7:14" x14ac:dyDescent="0.3">
      <c r="G26564" s="1"/>
      <c r="N26564" s="1"/>
    </row>
    <row r="26565" spans="7:14" x14ac:dyDescent="0.3">
      <c r="G26565" s="1"/>
      <c r="N26565" s="1"/>
    </row>
    <row r="26566" spans="7:14" x14ac:dyDescent="0.3">
      <c r="G26566" s="1"/>
      <c r="N26566" s="1"/>
    </row>
    <row r="26567" spans="7:14" x14ac:dyDescent="0.3">
      <c r="G26567" s="1"/>
      <c r="N26567" s="1"/>
    </row>
    <row r="26568" spans="7:14" x14ac:dyDescent="0.3">
      <c r="G26568" s="1"/>
      <c r="N26568" s="1"/>
    </row>
    <row r="26569" spans="7:14" x14ac:dyDescent="0.3">
      <c r="G26569" s="1"/>
      <c r="N26569" s="1"/>
    </row>
    <row r="26570" spans="7:14" x14ac:dyDescent="0.3">
      <c r="G26570" s="1"/>
      <c r="N26570" s="1"/>
    </row>
    <row r="26571" spans="7:14" x14ac:dyDescent="0.3">
      <c r="G26571" s="1"/>
      <c r="N26571" s="1"/>
    </row>
    <row r="26572" spans="7:14" x14ac:dyDescent="0.3">
      <c r="G26572" s="1"/>
      <c r="N26572" s="1"/>
    </row>
    <row r="26573" spans="7:14" x14ac:dyDescent="0.3">
      <c r="G26573" s="1"/>
      <c r="N26573" s="1"/>
    </row>
    <row r="26574" spans="7:14" x14ac:dyDescent="0.3">
      <c r="G26574" s="1"/>
      <c r="N26574" s="1"/>
    </row>
    <row r="26575" spans="7:14" x14ac:dyDescent="0.3">
      <c r="G26575" s="1"/>
      <c r="N26575" s="1"/>
    </row>
    <row r="26576" spans="7:14" x14ac:dyDescent="0.3">
      <c r="G26576" s="1"/>
      <c r="N26576" s="1"/>
    </row>
    <row r="26577" spans="7:14" x14ac:dyDescent="0.3">
      <c r="G26577" s="1"/>
      <c r="N26577" s="1"/>
    </row>
    <row r="26578" spans="7:14" x14ac:dyDescent="0.3">
      <c r="G26578" s="1"/>
      <c r="N26578" s="1"/>
    </row>
    <row r="26579" spans="7:14" x14ac:dyDescent="0.3">
      <c r="G26579" s="1"/>
      <c r="N26579" s="1"/>
    </row>
    <row r="26580" spans="7:14" x14ac:dyDescent="0.3">
      <c r="G26580" s="1"/>
      <c r="N26580" s="1"/>
    </row>
    <row r="26581" spans="7:14" x14ac:dyDescent="0.3">
      <c r="G26581" s="1"/>
      <c r="N26581" s="1"/>
    </row>
    <row r="26582" spans="7:14" x14ac:dyDescent="0.3">
      <c r="G26582" s="1"/>
      <c r="N26582" s="1"/>
    </row>
    <row r="26583" spans="7:14" x14ac:dyDescent="0.3">
      <c r="G26583" s="1"/>
      <c r="N26583" s="1"/>
    </row>
    <row r="26584" spans="7:14" x14ac:dyDescent="0.3">
      <c r="G26584" s="1"/>
      <c r="N26584" s="1"/>
    </row>
    <row r="26585" spans="7:14" x14ac:dyDescent="0.3">
      <c r="G26585" s="1"/>
      <c r="N26585" s="1"/>
    </row>
    <row r="26586" spans="7:14" x14ac:dyDescent="0.3">
      <c r="G26586" s="1"/>
      <c r="N26586" s="1"/>
    </row>
    <row r="26587" spans="7:14" x14ac:dyDescent="0.3">
      <c r="G26587" s="1"/>
      <c r="N26587" s="1"/>
    </row>
    <row r="26588" spans="7:14" x14ac:dyDescent="0.3">
      <c r="G26588" s="1"/>
      <c r="N26588" s="1"/>
    </row>
    <row r="26589" spans="7:14" x14ac:dyDescent="0.3">
      <c r="G26589" s="1"/>
      <c r="N26589" s="1"/>
    </row>
    <row r="26590" spans="7:14" x14ac:dyDescent="0.3">
      <c r="G26590" s="1"/>
      <c r="N26590" s="1"/>
    </row>
    <row r="26591" spans="7:14" x14ac:dyDescent="0.3">
      <c r="G26591" s="1"/>
      <c r="N26591" s="1"/>
    </row>
    <row r="26592" spans="7:14" x14ac:dyDescent="0.3">
      <c r="G26592" s="1"/>
      <c r="N26592" s="1"/>
    </row>
    <row r="26593" spans="7:14" x14ac:dyDescent="0.3">
      <c r="G26593" s="1"/>
      <c r="N26593" s="1"/>
    </row>
    <row r="26594" spans="7:14" x14ac:dyDescent="0.3">
      <c r="G26594" s="1"/>
      <c r="N26594" s="1"/>
    </row>
    <row r="26595" spans="7:14" x14ac:dyDescent="0.3">
      <c r="G26595" s="1"/>
      <c r="N26595" s="1"/>
    </row>
    <row r="26596" spans="7:14" x14ac:dyDescent="0.3">
      <c r="G26596" s="1"/>
      <c r="N26596" s="1"/>
    </row>
    <row r="26597" spans="7:14" x14ac:dyDescent="0.3">
      <c r="G26597" s="1"/>
      <c r="N26597" s="1"/>
    </row>
    <row r="26598" spans="7:14" x14ac:dyDescent="0.3">
      <c r="G26598" s="1"/>
      <c r="N26598" s="1"/>
    </row>
    <row r="26599" spans="7:14" x14ac:dyDescent="0.3">
      <c r="G26599" s="1"/>
      <c r="N26599" s="1"/>
    </row>
    <row r="26600" spans="7:14" x14ac:dyDescent="0.3">
      <c r="G26600" s="1"/>
      <c r="N26600" s="1"/>
    </row>
    <row r="26601" spans="7:14" x14ac:dyDescent="0.3">
      <c r="G26601" s="1"/>
      <c r="N26601" s="1"/>
    </row>
    <row r="26602" spans="7:14" x14ac:dyDescent="0.3">
      <c r="G26602" s="1"/>
      <c r="N26602" s="1"/>
    </row>
    <row r="26603" spans="7:14" x14ac:dyDescent="0.3">
      <c r="G26603" s="1"/>
      <c r="N26603" s="1"/>
    </row>
    <row r="26604" spans="7:14" x14ac:dyDescent="0.3">
      <c r="G26604" s="1"/>
      <c r="N26604" s="1"/>
    </row>
    <row r="26605" spans="7:14" x14ac:dyDescent="0.3">
      <c r="G26605" s="1"/>
      <c r="N26605" s="1"/>
    </row>
    <row r="26606" spans="7:14" x14ac:dyDescent="0.3">
      <c r="G26606" s="1"/>
      <c r="N26606" s="1"/>
    </row>
    <row r="26607" spans="7:14" x14ac:dyDescent="0.3">
      <c r="G26607" s="1"/>
      <c r="N26607" s="1"/>
    </row>
    <row r="26608" spans="7:14" x14ac:dyDescent="0.3">
      <c r="G26608" s="1"/>
      <c r="N26608" s="1"/>
    </row>
    <row r="26609" spans="7:14" x14ac:dyDescent="0.3">
      <c r="G26609" s="1"/>
      <c r="N26609" s="1"/>
    </row>
    <row r="26610" spans="7:14" x14ac:dyDescent="0.3">
      <c r="G26610" s="1"/>
      <c r="N26610" s="1"/>
    </row>
    <row r="26611" spans="7:14" x14ac:dyDescent="0.3">
      <c r="G26611" s="1"/>
      <c r="N26611" s="1"/>
    </row>
    <row r="26612" spans="7:14" x14ac:dyDescent="0.3">
      <c r="G26612" s="1"/>
      <c r="N26612" s="1"/>
    </row>
    <row r="26613" spans="7:14" x14ac:dyDescent="0.3">
      <c r="G26613" s="1"/>
      <c r="N26613" s="1"/>
    </row>
    <row r="26614" spans="7:14" x14ac:dyDescent="0.3">
      <c r="G26614" s="1"/>
      <c r="N26614" s="1"/>
    </row>
    <row r="26615" spans="7:14" x14ac:dyDescent="0.3">
      <c r="G26615" s="1"/>
      <c r="N26615" s="1"/>
    </row>
    <row r="26616" spans="7:14" x14ac:dyDescent="0.3">
      <c r="G26616" s="1"/>
      <c r="N26616" s="1"/>
    </row>
    <row r="26617" spans="7:14" x14ac:dyDescent="0.3">
      <c r="G26617" s="1"/>
      <c r="N26617" s="1"/>
    </row>
    <row r="26618" spans="7:14" x14ac:dyDescent="0.3">
      <c r="G26618" s="1"/>
      <c r="N26618" s="1"/>
    </row>
    <row r="26619" spans="7:14" x14ac:dyDescent="0.3">
      <c r="G26619" s="1"/>
      <c r="N26619" s="1"/>
    </row>
    <row r="26620" spans="7:14" x14ac:dyDescent="0.3">
      <c r="G26620" s="1"/>
      <c r="N26620" s="1"/>
    </row>
    <row r="26621" spans="7:14" x14ac:dyDescent="0.3">
      <c r="G26621" s="1"/>
      <c r="N26621" s="1"/>
    </row>
    <row r="26622" spans="7:14" x14ac:dyDescent="0.3">
      <c r="G26622" s="1"/>
      <c r="N26622" s="1"/>
    </row>
    <row r="26623" spans="7:14" x14ac:dyDescent="0.3">
      <c r="G26623" s="1"/>
      <c r="N26623" s="1"/>
    </row>
    <row r="26624" spans="7:14" x14ac:dyDescent="0.3">
      <c r="G26624" s="1"/>
      <c r="N26624" s="1"/>
    </row>
    <row r="26625" spans="7:14" x14ac:dyDescent="0.3">
      <c r="G26625" s="1"/>
      <c r="N26625" s="1"/>
    </row>
    <row r="26626" spans="7:14" x14ac:dyDescent="0.3">
      <c r="G26626" s="1"/>
      <c r="N26626" s="1"/>
    </row>
    <row r="26627" spans="7:14" x14ac:dyDescent="0.3">
      <c r="G26627" s="1"/>
      <c r="N26627" s="1"/>
    </row>
    <row r="26628" spans="7:14" x14ac:dyDescent="0.3">
      <c r="G26628" s="1"/>
      <c r="N26628" s="1"/>
    </row>
    <row r="26629" spans="7:14" x14ac:dyDescent="0.3">
      <c r="G26629" s="1"/>
      <c r="N26629" s="1"/>
    </row>
    <row r="26630" spans="7:14" x14ac:dyDescent="0.3">
      <c r="G26630" s="1"/>
      <c r="N26630" s="1"/>
    </row>
    <row r="26631" spans="7:14" x14ac:dyDescent="0.3">
      <c r="G26631" s="1"/>
      <c r="N26631" s="1"/>
    </row>
    <row r="26632" spans="7:14" x14ac:dyDescent="0.3">
      <c r="G26632" s="1"/>
      <c r="N26632" s="1"/>
    </row>
    <row r="26633" spans="7:14" x14ac:dyDescent="0.3">
      <c r="G26633" s="1"/>
      <c r="N26633" s="1"/>
    </row>
    <row r="26634" spans="7:14" x14ac:dyDescent="0.3">
      <c r="G26634" s="1"/>
      <c r="N26634" s="1"/>
    </row>
    <row r="26635" spans="7:14" x14ac:dyDescent="0.3">
      <c r="G26635" s="1"/>
      <c r="N26635" s="1"/>
    </row>
    <row r="26636" spans="7:14" x14ac:dyDescent="0.3">
      <c r="G26636" s="1"/>
      <c r="N26636" s="1"/>
    </row>
    <row r="26637" spans="7:14" x14ac:dyDescent="0.3">
      <c r="G26637" s="1"/>
      <c r="N26637" s="1"/>
    </row>
    <row r="26638" spans="7:14" x14ac:dyDescent="0.3">
      <c r="G26638" s="1"/>
      <c r="N26638" s="1"/>
    </row>
    <row r="26639" spans="7:14" x14ac:dyDescent="0.3">
      <c r="G26639" s="1"/>
      <c r="N26639" s="1"/>
    </row>
    <row r="26640" spans="7:14" x14ac:dyDescent="0.3">
      <c r="G26640" s="1"/>
      <c r="N26640" s="1"/>
    </row>
    <row r="26641" spans="7:14" x14ac:dyDescent="0.3">
      <c r="G26641" s="1"/>
      <c r="N26641" s="1"/>
    </row>
    <row r="26642" spans="7:14" x14ac:dyDescent="0.3">
      <c r="G26642" s="1"/>
      <c r="N26642" s="1"/>
    </row>
    <row r="26643" spans="7:14" x14ac:dyDescent="0.3">
      <c r="G26643" s="1"/>
      <c r="N26643" s="1"/>
    </row>
    <row r="26644" spans="7:14" x14ac:dyDescent="0.3">
      <c r="G26644" s="1"/>
      <c r="N26644" s="1"/>
    </row>
    <row r="26645" spans="7:14" x14ac:dyDescent="0.3">
      <c r="G26645" s="1"/>
      <c r="N26645" s="1"/>
    </row>
    <row r="26646" spans="7:14" x14ac:dyDescent="0.3">
      <c r="G26646" s="1"/>
      <c r="N26646" s="1"/>
    </row>
    <row r="26647" spans="7:14" x14ac:dyDescent="0.3">
      <c r="G26647" s="1"/>
      <c r="N26647" s="1"/>
    </row>
    <row r="26648" spans="7:14" x14ac:dyDescent="0.3">
      <c r="G26648" s="1"/>
      <c r="N26648" s="1"/>
    </row>
    <row r="26649" spans="7:14" x14ac:dyDescent="0.3">
      <c r="G26649" s="1"/>
      <c r="N26649" s="1"/>
    </row>
    <row r="26650" spans="7:14" x14ac:dyDescent="0.3">
      <c r="G26650" s="1"/>
      <c r="N26650" s="1"/>
    </row>
    <row r="26651" spans="7:14" x14ac:dyDescent="0.3">
      <c r="G26651" s="1"/>
      <c r="N26651" s="1"/>
    </row>
    <row r="26652" spans="7:14" x14ac:dyDescent="0.3">
      <c r="G26652" s="1"/>
      <c r="N26652" s="1"/>
    </row>
    <row r="26653" spans="7:14" x14ac:dyDescent="0.3">
      <c r="G26653" s="1"/>
      <c r="N26653" s="1"/>
    </row>
    <row r="26654" spans="7:14" x14ac:dyDescent="0.3">
      <c r="G26654" s="1"/>
      <c r="N26654" s="1"/>
    </row>
    <row r="26655" spans="7:14" x14ac:dyDescent="0.3">
      <c r="G26655" s="1"/>
      <c r="N26655" s="1"/>
    </row>
    <row r="26656" spans="7:14" x14ac:dyDescent="0.3">
      <c r="G26656" s="1"/>
      <c r="N26656" s="1"/>
    </row>
    <row r="26657" spans="7:14" x14ac:dyDescent="0.3">
      <c r="G26657" s="1"/>
      <c r="N26657" s="1"/>
    </row>
    <row r="26658" spans="7:14" x14ac:dyDescent="0.3">
      <c r="G26658" s="1"/>
      <c r="N26658" s="1"/>
    </row>
    <row r="26659" spans="7:14" x14ac:dyDescent="0.3">
      <c r="G26659" s="1"/>
      <c r="N26659" s="1"/>
    </row>
    <row r="26660" spans="7:14" x14ac:dyDescent="0.3">
      <c r="G26660" s="1"/>
      <c r="N26660" s="1"/>
    </row>
    <row r="26661" spans="7:14" x14ac:dyDescent="0.3">
      <c r="G26661" s="1"/>
      <c r="N26661" s="1"/>
    </row>
    <row r="26662" spans="7:14" x14ac:dyDescent="0.3">
      <c r="G26662" s="1"/>
      <c r="N26662" s="1"/>
    </row>
    <row r="26663" spans="7:14" x14ac:dyDescent="0.3">
      <c r="G26663" s="1"/>
      <c r="N26663" s="1"/>
    </row>
    <row r="26664" spans="7:14" x14ac:dyDescent="0.3">
      <c r="G26664" s="1"/>
      <c r="N26664" s="1"/>
    </row>
    <row r="26665" spans="7:14" x14ac:dyDescent="0.3">
      <c r="G26665" s="1"/>
      <c r="N26665" s="1"/>
    </row>
    <row r="26666" spans="7:14" x14ac:dyDescent="0.3">
      <c r="G26666" s="1"/>
      <c r="N26666" s="1"/>
    </row>
    <row r="26667" spans="7:14" x14ac:dyDescent="0.3">
      <c r="G26667" s="1"/>
      <c r="N26667" s="1"/>
    </row>
    <row r="26668" spans="7:14" x14ac:dyDescent="0.3">
      <c r="G26668" s="1"/>
      <c r="N26668" s="1"/>
    </row>
    <row r="26669" spans="7:14" x14ac:dyDescent="0.3">
      <c r="G26669" s="1"/>
      <c r="N26669" s="1"/>
    </row>
    <row r="26670" spans="7:14" x14ac:dyDescent="0.3">
      <c r="G26670" s="1"/>
      <c r="N26670" s="1"/>
    </row>
    <row r="26671" spans="7:14" x14ac:dyDescent="0.3">
      <c r="G26671" s="1"/>
      <c r="N26671" s="1"/>
    </row>
    <row r="26672" spans="7:14" x14ac:dyDescent="0.3">
      <c r="G26672" s="1"/>
      <c r="N26672" s="1"/>
    </row>
    <row r="26673" spans="7:14" x14ac:dyDescent="0.3">
      <c r="G26673" s="1"/>
      <c r="N26673" s="1"/>
    </row>
    <row r="26674" spans="7:14" x14ac:dyDescent="0.3">
      <c r="G26674" s="1"/>
      <c r="N26674" s="1"/>
    </row>
    <row r="26675" spans="7:14" x14ac:dyDescent="0.3">
      <c r="G26675" s="1"/>
      <c r="N26675" s="1"/>
    </row>
    <row r="26676" spans="7:14" x14ac:dyDescent="0.3">
      <c r="G26676" s="1"/>
      <c r="N26676" s="1"/>
    </row>
    <row r="26677" spans="7:14" x14ac:dyDescent="0.3">
      <c r="G26677" s="1"/>
      <c r="N26677" s="1"/>
    </row>
    <row r="26678" spans="7:14" x14ac:dyDescent="0.3">
      <c r="G26678" s="1"/>
      <c r="N26678" s="1"/>
    </row>
    <row r="26679" spans="7:14" x14ac:dyDescent="0.3">
      <c r="G26679" s="1"/>
      <c r="N26679" s="1"/>
    </row>
    <row r="26680" spans="7:14" x14ac:dyDescent="0.3">
      <c r="G26680" s="1"/>
      <c r="N26680" s="1"/>
    </row>
    <row r="26681" spans="7:14" x14ac:dyDescent="0.3">
      <c r="G26681" s="1"/>
      <c r="N26681" s="1"/>
    </row>
    <row r="26682" spans="7:14" x14ac:dyDescent="0.3">
      <c r="G26682" s="1"/>
      <c r="N26682" s="1"/>
    </row>
    <row r="26683" spans="7:14" x14ac:dyDescent="0.3">
      <c r="G26683" s="1"/>
      <c r="N26683" s="1"/>
    </row>
    <row r="26684" spans="7:14" x14ac:dyDescent="0.3">
      <c r="G26684" s="1"/>
      <c r="N26684" s="1"/>
    </row>
    <row r="26685" spans="7:14" x14ac:dyDescent="0.3">
      <c r="G26685" s="1"/>
      <c r="N26685" s="1"/>
    </row>
    <row r="26686" spans="7:14" x14ac:dyDescent="0.3">
      <c r="G26686" s="1"/>
      <c r="N26686" s="1"/>
    </row>
    <row r="26687" spans="7:14" x14ac:dyDescent="0.3">
      <c r="G26687" s="1"/>
      <c r="N26687" s="1"/>
    </row>
    <row r="26688" spans="7:14" x14ac:dyDescent="0.3">
      <c r="G26688" s="1"/>
      <c r="N26688" s="1"/>
    </row>
    <row r="26689" spans="7:14" x14ac:dyDescent="0.3">
      <c r="G26689" s="1"/>
      <c r="N26689" s="1"/>
    </row>
    <row r="26690" spans="7:14" x14ac:dyDescent="0.3">
      <c r="G26690" s="1"/>
      <c r="N26690" s="1"/>
    </row>
    <row r="26691" spans="7:14" x14ac:dyDescent="0.3">
      <c r="G26691" s="1"/>
      <c r="N26691" s="1"/>
    </row>
    <row r="26692" spans="7:14" x14ac:dyDescent="0.3">
      <c r="G26692" s="1"/>
      <c r="N26692" s="1"/>
    </row>
    <row r="26693" spans="7:14" x14ac:dyDescent="0.3">
      <c r="G26693" s="1"/>
      <c r="N26693" s="1"/>
    </row>
    <row r="26694" spans="7:14" x14ac:dyDescent="0.3">
      <c r="G26694" s="1"/>
      <c r="N26694" s="1"/>
    </row>
    <row r="26695" spans="7:14" x14ac:dyDescent="0.3">
      <c r="G26695" s="1"/>
      <c r="N26695" s="1"/>
    </row>
    <row r="26696" spans="7:14" x14ac:dyDescent="0.3">
      <c r="G26696" s="1"/>
      <c r="N26696" s="1"/>
    </row>
    <row r="26697" spans="7:14" x14ac:dyDescent="0.3">
      <c r="G26697" s="1"/>
      <c r="N26697" s="1"/>
    </row>
    <row r="26698" spans="7:14" x14ac:dyDescent="0.3">
      <c r="G26698" s="1"/>
      <c r="N26698" s="1"/>
    </row>
    <row r="26699" spans="7:14" x14ac:dyDescent="0.3">
      <c r="G26699" s="1"/>
      <c r="N26699" s="1"/>
    </row>
    <row r="26700" spans="7:14" x14ac:dyDescent="0.3">
      <c r="G26700" s="1"/>
      <c r="N26700" s="1"/>
    </row>
    <row r="26701" spans="7:14" x14ac:dyDescent="0.3">
      <c r="G26701" s="1"/>
      <c r="N26701" s="1"/>
    </row>
    <row r="26702" spans="7:14" x14ac:dyDescent="0.3">
      <c r="G26702" s="1"/>
      <c r="N26702" s="1"/>
    </row>
    <row r="26703" spans="7:14" x14ac:dyDescent="0.3">
      <c r="G26703" s="1"/>
      <c r="N26703" s="1"/>
    </row>
    <row r="26704" spans="7:14" x14ac:dyDescent="0.3">
      <c r="G26704" s="1"/>
      <c r="N26704" s="1"/>
    </row>
    <row r="26705" spans="7:14" x14ac:dyDescent="0.3">
      <c r="G26705" s="1"/>
      <c r="N26705" s="1"/>
    </row>
    <row r="26706" spans="7:14" x14ac:dyDescent="0.3">
      <c r="G26706" s="1"/>
      <c r="N26706" s="1"/>
    </row>
    <row r="26707" spans="7:14" x14ac:dyDescent="0.3">
      <c r="G26707" s="1"/>
      <c r="N26707" s="1"/>
    </row>
    <row r="26708" spans="7:14" x14ac:dyDescent="0.3">
      <c r="G26708" s="1"/>
      <c r="N26708" s="1"/>
    </row>
    <row r="26709" spans="7:14" x14ac:dyDescent="0.3">
      <c r="G26709" s="1"/>
      <c r="N26709" s="1"/>
    </row>
    <row r="26710" spans="7:14" x14ac:dyDescent="0.3">
      <c r="G26710" s="1"/>
      <c r="N26710" s="1"/>
    </row>
    <row r="26711" spans="7:14" x14ac:dyDescent="0.3">
      <c r="G26711" s="1"/>
      <c r="N26711" s="1"/>
    </row>
    <row r="26712" spans="7:14" x14ac:dyDescent="0.3">
      <c r="G26712" s="1"/>
      <c r="N26712" s="1"/>
    </row>
    <row r="26713" spans="7:14" x14ac:dyDescent="0.3">
      <c r="G26713" s="1"/>
      <c r="N26713" s="1"/>
    </row>
    <row r="26714" spans="7:14" x14ac:dyDescent="0.3">
      <c r="G26714" s="1"/>
      <c r="N26714" s="1"/>
    </row>
    <row r="26715" spans="7:14" x14ac:dyDescent="0.3">
      <c r="G26715" s="1"/>
      <c r="N26715" s="1"/>
    </row>
    <row r="26716" spans="7:14" x14ac:dyDescent="0.3">
      <c r="G26716" s="1"/>
      <c r="N26716" s="1"/>
    </row>
    <row r="26717" spans="7:14" x14ac:dyDescent="0.3">
      <c r="G26717" s="1"/>
      <c r="N26717" s="1"/>
    </row>
    <row r="26718" spans="7:14" x14ac:dyDescent="0.3">
      <c r="G26718" s="1"/>
      <c r="N26718" s="1"/>
    </row>
    <row r="26719" spans="7:14" x14ac:dyDescent="0.3">
      <c r="G26719" s="1"/>
      <c r="N26719" s="1"/>
    </row>
    <row r="26720" spans="7:14" x14ac:dyDescent="0.3">
      <c r="G26720" s="1"/>
      <c r="N26720" s="1"/>
    </row>
    <row r="26721" spans="7:14" x14ac:dyDescent="0.3">
      <c r="G26721" s="1"/>
      <c r="N26721" s="1"/>
    </row>
    <row r="26722" spans="7:14" x14ac:dyDescent="0.3">
      <c r="G26722" s="1"/>
      <c r="N26722" s="1"/>
    </row>
    <row r="26723" spans="7:14" x14ac:dyDescent="0.3">
      <c r="G26723" s="1"/>
      <c r="N26723" s="1"/>
    </row>
    <row r="26724" spans="7:14" x14ac:dyDescent="0.3">
      <c r="G26724" s="1"/>
      <c r="N26724" s="1"/>
    </row>
    <row r="26725" spans="7:14" x14ac:dyDescent="0.3">
      <c r="G26725" s="1"/>
      <c r="N26725" s="1"/>
    </row>
    <row r="26726" spans="7:14" x14ac:dyDescent="0.3">
      <c r="G26726" s="1"/>
      <c r="N26726" s="1"/>
    </row>
    <row r="26727" spans="7:14" x14ac:dyDescent="0.3">
      <c r="G26727" s="1"/>
      <c r="N26727" s="1"/>
    </row>
    <row r="26728" spans="7:14" x14ac:dyDescent="0.3">
      <c r="G26728" s="1"/>
      <c r="N26728" s="1"/>
    </row>
    <row r="26729" spans="7:14" x14ac:dyDescent="0.3">
      <c r="G26729" s="1"/>
      <c r="N26729" s="1"/>
    </row>
    <row r="26730" spans="7:14" x14ac:dyDescent="0.3">
      <c r="G26730" s="1"/>
      <c r="N26730" s="1"/>
    </row>
    <row r="26731" spans="7:14" x14ac:dyDescent="0.3">
      <c r="G26731" s="1"/>
      <c r="N26731" s="1"/>
    </row>
    <row r="26732" spans="7:14" x14ac:dyDescent="0.3">
      <c r="G26732" s="1"/>
      <c r="N26732" s="1"/>
    </row>
    <row r="26733" spans="7:14" x14ac:dyDescent="0.3">
      <c r="G26733" s="1"/>
      <c r="N26733" s="1"/>
    </row>
    <row r="26734" spans="7:14" x14ac:dyDescent="0.3">
      <c r="G26734" s="1"/>
      <c r="N26734" s="1"/>
    </row>
    <row r="26735" spans="7:14" x14ac:dyDescent="0.3">
      <c r="G26735" s="1"/>
      <c r="N26735" s="1"/>
    </row>
    <row r="26736" spans="7:14" x14ac:dyDescent="0.3">
      <c r="G26736" s="1"/>
      <c r="N26736" s="1"/>
    </row>
    <row r="26737" spans="7:14" x14ac:dyDescent="0.3">
      <c r="G26737" s="1"/>
      <c r="N26737" s="1"/>
    </row>
    <row r="26738" spans="7:14" x14ac:dyDescent="0.3">
      <c r="G26738" s="1"/>
      <c r="N26738" s="1"/>
    </row>
    <row r="26739" spans="7:14" x14ac:dyDescent="0.3">
      <c r="G26739" s="1"/>
      <c r="N26739" s="1"/>
    </row>
    <row r="26740" spans="7:14" x14ac:dyDescent="0.3">
      <c r="G26740" s="1"/>
      <c r="N26740" s="1"/>
    </row>
    <row r="26741" spans="7:14" x14ac:dyDescent="0.3">
      <c r="G26741" s="1"/>
      <c r="N26741" s="1"/>
    </row>
    <row r="26742" spans="7:14" x14ac:dyDescent="0.3">
      <c r="G26742" s="1"/>
      <c r="N26742" s="1"/>
    </row>
    <row r="26743" spans="7:14" x14ac:dyDescent="0.3">
      <c r="G26743" s="1"/>
      <c r="N26743" s="1"/>
    </row>
    <row r="26744" spans="7:14" x14ac:dyDescent="0.3">
      <c r="G26744" s="1"/>
      <c r="N26744" s="1"/>
    </row>
    <row r="26745" spans="7:14" x14ac:dyDescent="0.3">
      <c r="G26745" s="1"/>
      <c r="N26745" s="1"/>
    </row>
    <row r="26746" spans="7:14" x14ac:dyDescent="0.3">
      <c r="G26746" s="1"/>
      <c r="N26746" s="1"/>
    </row>
    <row r="26747" spans="7:14" x14ac:dyDescent="0.3">
      <c r="G26747" s="1"/>
      <c r="N26747" s="1"/>
    </row>
    <row r="26748" spans="7:14" x14ac:dyDescent="0.3">
      <c r="G26748" s="1"/>
      <c r="N26748" s="1"/>
    </row>
    <row r="26749" spans="7:14" x14ac:dyDescent="0.3">
      <c r="G26749" s="1"/>
      <c r="N26749" s="1"/>
    </row>
    <row r="26750" spans="7:14" x14ac:dyDescent="0.3">
      <c r="G26750" s="1"/>
      <c r="N26750" s="1"/>
    </row>
    <row r="26751" spans="7:14" x14ac:dyDescent="0.3">
      <c r="G26751" s="1"/>
      <c r="N26751" s="1"/>
    </row>
    <row r="26752" spans="7:14" x14ac:dyDescent="0.3">
      <c r="G26752" s="1"/>
      <c r="N26752" s="1"/>
    </row>
    <row r="26753" spans="7:14" x14ac:dyDescent="0.3">
      <c r="G26753" s="1"/>
      <c r="N26753" s="1"/>
    </row>
    <row r="26754" spans="7:14" x14ac:dyDescent="0.3">
      <c r="G26754" s="1"/>
      <c r="N26754" s="1"/>
    </row>
    <row r="26755" spans="7:14" x14ac:dyDescent="0.3">
      <c r="G26755" s="1"/>
      <c r="N26755" s="1"/>
    </row>
    <row r="26756" spans="7:14" x14ac:dyDescent="0.3">
      <c r="G26756" s="1"/>
      <c r="N26756" s="1"/>
    </row>
    <row r="26757" spans="7:14" x14ac:dyDescent="0.3">
      <c r="G26757" s="1"/>
      <c r="N26757" s="1"/>
    </row>
    <row r="26758" spans="7:14" x14ac:dyDescent="0.3">
      <c r="G26758" s="1"/>
      <c r="N26758" s="1"/>
    </row>
    <row r="26759" spans="7:14" x14ac:dyDescent="0.3">
      <c r="G26759" s="1"/>
      <c r="N26759" s="1"/>
    </row>
    <row r="26760" spans="7:14" x14ac:dyDescent="0.3">
      <c r="G26760" s="1"/>
      <c r="N26760" s="1"/>
    </row>
    <row r="26761" spans="7:14" x14ac:dyDescent="0.3">
      <c r="G26761" s="1"/>
      <c r="N26761" s="1"/>
    </row>
    <row r="26762" spans="7:14" x14ac:dyDescent="0.3">
      <c r="G26762" s="1"/>
      <c r="N26762" s="1"/>
    </row>
    <row r="26763" spans="7:14" x14ac:dyDescent="0.3">
      <c r="G26763" s="1"/>
      <c r="N26763" s="1"/>
    </row>
    <row r="26764" spans="7:14" x14ac:dyDescent="0.3">
      <c r="G26764" s="1"/>
      <c r="N26764" s="1"/>
    </row>
    <row r="26765" spans="7:14" x14ac:dyDescent="0.3">
      <c r="G26765" s="1"/>
      <c r="N26765" s="1"/>
    </row>
    <row r="26766" spans="7:14" x14ac:dyDescent="0.3">
      <c r="G26766" s="1"/>
      <c r="N26766" s="1"/>
    </row>
    <row r="26767" spans="7:14" x14ac:dyDescent="0.3">
      <c r="G26767" s="1"/>
      <c r="N26767" s="1"/>
    </row>
    <row r="26768" spans="7:14" x14ac:dyDescent="0.3">
      <c r="G26768" s="1"/>
      <c r="N26768" s="1"/>
    </row>
    <row r="26769" spans="7:14" x14ac:dyDescent="0.3">
      <c r="G26769" s="1"/>
      <c r="N26769" s="1"/>
    </row>
    <row r="26770" spans="7:14" x14ac:dyDescent="0.3">
      <c r="G26770" s="1"/>
      <c r="N26770" s="1"/>
    </row>
    <row r="26771" spans="7:14" x14ac:dyDescent="0.3">
      <c r="G26771" s="1"/>
      <c r="N26771" s="1"/>
    </row>
    <row r="26772" spans="7:14" x14ac:dyDescent="0.3">
      <c r="G26772" s="1"/>
      <c r="N26772" s="1"/>
    </row>
    <row r="26773" spans="7:14" x14ac:dyDescent="0.3">
      <c r="G26773" s="1"/>
      <c r="N26773" s="1"/>
    </row>
    <row r="26774" spans="7:14" x14ac:dyDescent="0.3">
      <c r="G26774" s="1"/>
      <c r="N26774" s="1"/>
    </row>
    <row r="26775" spans="7:14" x14ac:dyDescent="0.3">
      <c r="G26775" s="1"/>
      <c r="N26775" s="1"/>
    </row>
    <row r="26776" spans="7:14" x14ac:dyDescent="0.3">
      <c r="G26776" s="1"/>
      <c r="N26776" s="1"/>
    </row>
    <row r="26777" spans="7:14" x14ac:dyDescent="0.3">
      <c r="G26777" s="1"/>
      <c r="N26777" s="1"/>
    </row>
    <row r="26778" spans="7:14" x14ac:dyDescent="0.3">
      <c r="G26778" s="1"/>
      <c r="N26778" s="1"/>
    </row>
    <row r="26779" spans="7:14" x14ac:dyDescent="0.3">
      <c r="G26779" s="1"/>
      <c r="N26779" s="1"/>
    </row>
    <row r="26780" spans="7:14" x14ac:dyDescent="0.3">
      <c r="G26780" s="1"/>
      <c r="N26780" s="1"/>
    </row>
    <row r="26781" spans="7:14" x14ac:dyDescent="0.3">
      <c r="G26781" s="1"/>
      <c r="N26781" s="1"/>
    </row>
    <row r="26782" spans="7:14" x14ac:dyDescent="0.3">
      <c r="G26782" s="1"/>
      <c r="N26782" s="1"/>
    </row>
    <row r="26783" spans="7:14" x14ac:dyDescent="0.3">
      <c r="G26783" s="1"/>
      <c r="N26783" s="1"/>
    </row>
    <row r="26784" spans="7:14" x14ac:dyDescent="0.3">
      <c r="G26784" s="1"/>
      <c r="N26784" s="1"/>
    </row>
    <row r="26785" spans="7:14" x14ac:dyDescent="0.3">
      <c r="G26785" s="1"/>
      <c r="N26785" s="1"/>
    </row>
    <row r="26786" spans="7:14" x14ac:dyDescent="0.3">
      <c r="G26786" s="1"/>
      <c r="N26786" s="1"/>
    </row>
    <row r="26787" spans="7:14" x14ac:dyDescent="0.3">
      <c r="G26787" s="1"/>
      <c r="N26787" s="1"/>
    </row>
    <row r="26788" spans="7:14" x14ac:dyDescent="0.3">
      <c r="G26788" s="1"/>
      <c r="N26788" s="1"/>
    </row>
    <row r="26789" spans="7:14" x14ac:dyDescent="0.3">
      <c r="G26789" s="1"/>
      <c r="N26789" s="1"/>
    </row>
    <row r="26790" spans="7:14" x14ac:dyDescent="0.3">
      <c r="G26790" s="1"/>
      <c r="N26790" s="1"/>
    </row>
    <row r="26791" spans="7:14" x14ac:dyDescent="0.3">
      <c r="G26791" s="1"/>
      <c r="N26791" s="1"/>
    </row>
    <row r="26792" spans="7:14" x14ac:dyDescent="0.3">
      <c r="G26792" s="1"/>
      <c r="N26792" s="1"/>
    </row>
    <row r="26793" spans="7:14" x14ac:dyDescent="0.3">
      <c r="G26793" s="1"/>
      <c r="N26793" s="1"/>
    </row>
    <row r="26794" spans="7:14" x14ac:dyDescent="0.3">
      <c r="G26794" s="1"/>
      <c r="N26794" s="1"/>
    </row>
    <row r="26795" spans="7:14" x14ac:dyDescent="0.3">
      <c r="G26795" s="1"/>
      <c r="N26795" s="1"/>
    </row>
    <row r="26796" spans="7:14" x14ac:dyDescent="0.3">
      <c r="G26796" s="1"/>
      <c r="N26796" s="1"/>
    </row>
    <row r="26797" spans="7:14" x14ac:dyDescent="0.3">
      <c r="G26797" s="1"/>
      <c r="N26797" s="1"/>
    </row>
    <row r="26798" spans="7:14" x14ac:dyDescent="0.3">
      <c r="G26798" s="1"/>
      <c r="N26798" s="1"/>
    </row>
    <row r="26799" spans="7:14" x14ac:dyDescent="0.3">
      <c r="G26799" s="1"/>
      <c r="N26799" s="1"/>
    </row>
    <row r="26800" spans="7:14" x14ac:dyDescent="0.3">
      <c r="G26800" s="1"/>
      <c r="N26800" s="1"/>
    </row>
    <row r="26801" spans="7:14" x14ac:dyDescent="0.3">
      <c r="G26801" s="1"/>
      <c r="N26801" s="1"/>
    </row>
    <row r="26802" spans="7:14" x14ac:dyDescent="0.3">
      <c r="G26802" s="1"/>
      <c r="N26802" s="1"/>
    </row>
    <row r="26803" spans="7:14" x14ac:dyDescent="0.3">
      <c r="G26803" s="1"/>
      <c r="N26803" s="1"/>
    </row>
    <row r="26804" spans="7:14" x14ac:dyDescent="0.3">
      <c r="G26804" s="1"/>
      <c r="N26804" s="1"/>
    </row>
    <row r="26805" spans="7:14" x14ac:dyDescent="0.3">
      <c r="G26805" s="1"/>
      <c r="N26805" s="1"/>
    </row>
    <row r="26806" spans="7:14" x14ac:dyDescent="0.3">
      <c r="G26806" s="1"/>
      <c r="N26806" s="1"/>
    </row>
    <row r="26807" spans="7:14" x14ac:dyDescent="0.3">
      <c r="G26807" s="1"/>
      <c r="N26807" s="1"/>
    </row>
    <row r="26808" spans="7:14" x14ac:dyDescent="0.3">
      <c r="G26808" s="1"/>
      <c r="N26808" s="1"/>
    </row>
    <row r="26809" spans="7:14" x14ac:dyDescent="0.3">
      <c r="G26809" s="1"/>
      <c r="N26809" s="1"/>
    </row>
    <row r="26810" spans="7:14" x14ac:dyDescent="0.3">
      <c r="G26810" s="1"/>
      <c r="N26810" s="1"/>
    </row>
    <row r="26811" spans="7:14" x14ac:dyDescent="0.3">
      <c r="G26811" s="1"/>
      <c r="N26811" s="1"/>
    </row>
    <row r="26812" spans="7:14" x14ac:dyDescent="0.3">
      <c r="G26812" s="1"/>
      <c r="N26812" s="1"/>
    </row>
    <row r="26813" spans="7:14" x14ac:dyDescent="0.3">
      <c r="G26813" s="1"/>
      <c r="N26813" s="1"/>
    </row>
    <row r="26814" spans="7:14" x14ac:dyDescent="0.3">
      <c r="G26814" s="1"/>
      <c r="N26814" s="1"/>
    </row>
    <row r="26815" spans="7:14" x14ac:dyDescent="0.3">
      <c r="G26815" s="1"/>
      <c r="N26815" s="1"/>
    </row>
    <row r="26816" spans="7:14" x14ac:dyDescent="0.3">
      <c r="G26816" s="1"/>
      <c r="N26816" s="1"/>
    </row>
    <row r="26817" spans="7:14" x14ac:dyDescent="0.3">
      <c r="G26817" s="1"/>
      <c r="N26817" s="1"/>
    </row>
    <row r="26818" spans="7:14" x14ac:dyDescent="0.3">
      <c r="G26818" s="1"/>
      <c r="N26818" s="1"/>
    </row>
    <row r="26819" spans="7:14" x14ac:dyDescent="0.3">
      <c r="G26819" s="1"/>
      <c r="N26819" s="1"/>
    </row>
    <row r="26820" spans="7:14" x14ac:dyDescent="0.3">
      <c r="G26820" s="1"/>
      <c r="N26820" s="1"/>
    </row>
    <row r="26821" spans="7:14" x14ac:dyDescent="0.3">
      <c r="G26821" s="1"/>
      <c r="N26821" s="1"/>
    </row>
    <row r="26822" spans="7:14" x14ac:dyDescent="0.3">
      <c r="G26822" s="1"/>
      <c r="N26822" s="1"/>
    </row>
    <row r="26823" spans="7:14" x14ac:dyDescent="0.3">
      <c r="G26823" s="1"/>
      <c r="N26823" s="1"/>
    </row>
    <row r="26824" spans="7:14" x14ac:dyDescent="0.3">
      <c r="G26824" s="1"/>
      <c r="N26824" s="1"/>
    </row>
    <row r="26825" spans="7:14" x14ac:dyDescent="0.3">
      <c r="G26825" s="1"/>
      <c r="N26825" s="1"/>
    </row>
    <row r="26826" spans="7:14" x14ac:dyDescent="0.3">
      <c r="G26826" s="1"/>
      <c r="N26826" s="1"/>
    </row>
    <row r="26827" spans="7:14" x14ac:dyDescent="0.3">
      <c r="G26827" s="1"/>
      <c r="N26827" s="1"/>
    </row>
    <row r="26828" spans="7:14" x14ac:dyDescent="0.3">
      <c r="G26828" s="1"/>
      <c r="N26828" s="1"/>
    </row>
    <row r="26829" spans="7:14" x14ac:dyDescent="0.3">
      <c r="G26829" s="1"/>
      <c r="N26829" s="1"/>
    </row>
    <row r="26830" spans="7:14" x14ac:dyDescent="0.3">
      <c r="G26830" s="1"/>
      <c r="N26830" s="1"/>
    </row>
    <row r="26831" spans="7:14" x14ac:dyDescent="0.3">
      <c r="G26831" s="1"/>
      <c r="N26831" s="1"/>
    </row>
    <row r="26832" spans="7:14" x14ac:dyDescent="0.3">
      <c r="G26832" s="1"/>
      <c r="N26832" s="1"/>
    </row>
    <row r="26833" spans="7:14" x14ac:dyDescent="0.3">
      <c r="G26833" s="1"/>
      <c r="N26833" s="1"/>
    </row>
    <row r="26834" spans="7:14" x14ac:dyDescent="0.3">
      <c r="G26834" s="1"/>
      <c r="N26834" s="1"/>
    </row>
    <row r="26835" spans="7:14" x14ac:dyDescent="0.3">
      <c r="G26835" s="1"/>
      <c r="N26835" s="1"/>
    </row>
    <row r="26836" spans="7:14" x14ac:dyDescent="0.3">
      <c r="G26836" s="1"/>
      <c r="N26836" s="1"/>
    </row>
    <row r="26837" spans="7:14" x14ac:dyDescent="0.3">
      <c r="G26837" s="1"/>
      <c r="N26837" s="1"/>
    </row>
    <row r="26838" spans="7:14" x14ac:dyDescent="0.3">
      <c r="G26838" s="1"/>
      <c r="N26838" s="1"/>
    </row>
    <row r="26839" spans="7:14" x14ac:dyDescent="0.3">
      <c r="G26839" s="1"/>
      <c r="N26839" s="1"/>
    </row>
    <row r="26840" spans="7:14" x14ac:dyDescent="0.3">
      <c r="G26840" s="1"/>
      <c r="N26840" s="1"/>
    </row>
    <row r="26841" spans="7:14" x14ac:dyDescent="0.3">
      <c r="G26841" s="1"/>
      <c r="N26841" s="1"/>
    </row>
    <row r="26842" spans="7:14" x14ac:dyDescent="0.3">
      <c r="G26842" s="1"/>
      <c r="N26842" s="1"/>
    </row>
    <row r="26843" spans="7:14" x14ac:dyDescent="0.3">
      <c r="G26843" s="1"/>
      <c r="N26843" s="1"/>
    </row>
    <row r="26844" spans="7:14" x14ac:dyDescent="0.3">
      <c r="G26844" s="1"/>
      <c r="N26844" s="1"/>
    </row>
    <row r="26845" spans="7:14" x14ac:dyDescent="0.3">
      <c r="G26845" s="1"/>
      <c r="N26845" s="1"/>
    </row>
    <row r="26846" spans="7:14" x14ac:dyDescent="0.3">
      <c r="G26846" s="1"/>
      <c r="N26846" s="1"/>
    </row>
    <row r="26847" spans="7:14" x14ac:dyDescent="0.3">
      <c r="G26847" s="1"/>
      <c r="N26847" s="1"/>
    </row>
    <row r="26848" spans="7:14" x14ac:dyDescent="0.3">
      <c r="G26848" s="1"/>
      <c r="N26848" s="1"/>
    </row>
    <row r="26849" spans="7:14" x14ac:dyDescent="0.3">
      <c r="G26849" s="1"/>
      <c r="N26849" s="1"/>
    </row>
    <row r="26850" spans="7:14" x14ac:dyDescent="0.3">
      <c r="G26850" s="1"/>
      <c r="N26850" s="1"/>
    </row>
    <row r="26851" spans="7:14" x14ac:dyDescent="0.3">
      <c r="G26851" s="1"/>
      <c r="N26851" s="1"/>
    </row>
    <row r="26852" spans="7:14" x14ac:dyDescent="0.3">
      <c r="G26852" s="1"/>
      <c r="N26852" s="1"/>
    </row>
    <row r="26853" spans="7:14" x14ac:dyDescent="0.3">
      <c r="G26853" s="1"/>
      <c r="N26853" s="1"/>
    </row>
    <row r="26854" spans="7:14" x14ac:dyDescent="0.3">
      <c r="G26854" s="1"/>
      <c r="N26854" s="1"/>
    </row>
    <row r="26855" spans="7:14" x14ac:dyDescent="0.3">
      <c r="G26855" s="1"/>
      <c r="N26855" s="1"/>
    </row>
    <row r="26856" spans="7:14" x14ac:dyDescent="0.3">
      <c r="G26856" s="1"/>
      <c r="N26856" s="1"/>
    </row>
    <row r="26857" spans="7:14" x14ac:dyDescent="0.3">
      <c r="G26857" s="1"/>
      <c r="N26857" s="1"/>
    </row>
    <row r="26858" spans="7:14" x14ac:dyDescent="0.3">
      <c r="G26858" s="1"/>
      <c r="N26858" s="1"/>
    </row>
    <row r="26859" spans="7:14" x14ac:dyDescent="0.3">
      <c r="G26859" s="1"/>
      <c r="N26859" s="1"/>
    </row>
    <row r="26860" spans="7:14" x14ac:dyDescent="0.3">
      <c r="G26860" s="1"/>
      <c r="N26860" s="1"/>
    </row>
    <row r="26861" spans="7:14" x14ac:dyDescent="0.3">
      <c r="G26861" s="1"/>
      <c r="N26861" s="1"/>
    </row>
    <row r="26862" spans="7:14" x14ac:dyDescent="0.3">
      <c r="G26862" s="1"/>
      <c r="N26862" s="1"/>
    </row>
    <row r="26863" spans="7:14" x14ac:dyDescent="0.3">
      <c r="G26863" s="1"/>
      <c r="N26863" s="1"/>
    </row>
    <row r="26864" spans="7:14" x14ac:dyDescent="0.3">
      <c r="G26864" s="1"/>
      <c r="N26864" s="1"/>
    </row>
    <row r="26865" spans="7:14" x14ac:dyDescent="0.3">
      <c r="G26865" s="1"/>
      <c r="N26865" s="1"/>
    </row>
    <row r="26866" spans="7:14" x14ac:dyDescent="0.3">
      <c r="G26866" s="1"/>
      <c r="N26866" s="1"/>
    </row>
    <row r="26867" spans="7:14" x14ac:dyDescent="0.3">
      <c r="G26867" s="1"/>
      <c r="N26867" s="1"/>
    </row>
    <row r="26868" spans="7:14" x14ac:dyDescent="0.3">
      <c r="G26868" s="1"/>
      <c r="N26868" s="1"/>
    </row>
    <row r="26869" spans="7:14" x14ac:dyDescent="0.3">
      <c r="G26869" s="1"/>
      <c r="N26869" s="1"/>
    </row>
    <row r="26870" spans="7:14" x14ac:dyDescent="0.3">
      <c r="G26870" s="1"/>
      <c r="N26870" s="1"/>
    </row>
    <row r="26871" spans="7:14" x14ac:dyDescent="0.3">
      <c r="G26871" s="1"/>
      <c r="N26871" s="1"/>
    </row>
    <row r="26872" spans="7:14" x14ac:dyDescent="0.3">
      <c r="G26872" s="1"/>
      <c r="N26872" s="1"/>
    </row>
    <row r="26873" spans="7:14" x14ac:dyDescent="0.3">
      <c r="G26873" s="1"/>
      <c r="N26873" s="1"/>
    </row>
    <row r="26874" spans="7:14" x14ac:dyDescent="0.3">
      <c r="G26874" s="1"/>
      <c r="N26874" s="1"/>
    </row>
    <row r="26875" spans="7:14" x14ac:dyDescent="0.3">
      <c r="G26875" s="1"/>
      <c r="N26875" s="1"/>
    </row>
    <row r="26876" spans="7:14" x14ac:dyDescent="0.3">
      <c r="G26876" s="1"/>
      <c r="N26876" s="1"/>
    </row>
    <row r="26877" spans="7:14" x14ac:dyDescent="0.3">
      <c r="G26877" s="1"/>
      <c r="N26877" s="1"/>
    </row>
    <row r="26878" spans="7:14" x14ac:dyDescent="0.3">
      <c r="G26878" s="1"/>
      <c r="N26878" s="1"/>
    </row>
    <row r="26879" spans="7:14" x14ac:dyDescent="0.3">
      <c r="G26879" s="1"/>
      <c r="N26879" s="1"/>
    </row>
    <row r="26880" spans="7:14" x14ac:dyDescent="0.3">
      <c r="G26880" s="1"/>
      <c r="N26880" s="1"/>
    </row>
    <row r="26881" spans="7:14" x14ac:dyDescent="0.3">
      <c r="G26881" s="1"/>
      <c r="N26881" s="1"/>
    </row>
    <row r="26882" spans="7:14" x14ac:dyDescent="0.3">
      <c r="G26882" s="1"/>
      <c r="N26882" s="1"/>
    </row>
    <row r="26883" spans="7:14" x14ac:dyDescent="0.3">
      <c r="G26883" s="1"/>
      <c r="N26883" s="1"/>
    </row>
    <row r="26884" spans="7:14" x14ac:dyDescent="0.3">
      <c r="G26884" s="1"/>
      <c r="N26884" s="1"/>
    </row>
    <row r="26885" spans="7:14" x14ac:dyDescent="0.3">
      <c r="G26885" s="1"/>
      <c r="N26885" s="1"/>
    </row>
    <row r="26886" spans="7:14" x14ac:dyDescent="0.3">
      <c r="G26886" s="1"/>
      <c r="N26886" s="1"/>
    </row>
    <row r="26887" spans="7:14" x14ac:dyDescent="0.3">
      <c r="G26887" s="1"/>
      <c r="N26887" s="1"/>
    </row>
    <row r="26888" spans="7:14" x14ac:dyDescent="0.3">
      <c r="G26888" s="1"/>
      <c r="N26888" s="1"/>
    </row>
    <row r="26889" spans="7:14" x14ac:dyDescent="0.3">
      <c r="G26889" s="1"/>
      <c r="N26889" s="1"/>
    </row>
    <row r="26890" spans="7:14" x14ac:dyDescent="0.3">
      <c r="G26890" s="1"/>
      <c r="N26890" s="1"/>
    </row>
    <row r="26891" spans="7:14" x14ac:dyDescent="0.3">
      <c r="G26891" s="1"/>
      <c r="N26891" s="1"/>
    </row>
    <row r="26892" spans="7:14" x14ac:dyDescent="0.3">
      <c r="G26892" s="1"/>
      <c r="N26892" s="1"/>
    </row>
    <row r="26893" spans="7:14" x14ac:dyDescent="0.3">
      <c r="G26893" s="1"/>
      <c r="N26893" s="1"/>
    </row>
    <row r="26894" spans="7:14" x14ac:dyDescent="0.3">
      <c r="G26894" s="1"/>
      <c r="N26894" s="1"/>
    </row>
    <row r="26895" spans="7:14" x14ac:dyDescent="0.3">
      <c r="G26895" s="1"/>
      <c r="N26895" s="1"/>
    </row>
    <row r="26896" spans="7:14" x14ac:dyDescent="0.3">
      <c r="G26896" s="1"/>
      <c r="N26896" s="1"/>
    </row>
    <row r="26897" spans="7:14" x14ac:dyDescent="0.3">
      <c r="G26897" s="1"/>
      <c r="N26897" s="1"/>
    </row>
    <row r="26898" spans="7:14" x14ac:dyDescent="0.3">
      <c r="G26898" s="1"/>
      <c r="N26898" s="1"/>
    </row>
    <row r="26899" spans="7:14" x14ac:dyDescent="0.3">
      <c r="G26899" s="1"/>
      <c r="N26899" s="1"/>
    </row>
    <row r="26900" spans="7:14" x14ac:dyDescent="0.3">
      <c r="G26900" s="1"/>
      <c r="N26900" s="1"/>
    </row>
    <row r="26901" spans="7:14" x14ac:dyDescent="0.3">
      <c r="G26901" s="1"/>
      <c r="N26901" s="1"/>
    </row>
    <row r="26902" spans="7:14" x14ac:dyDescent="0.3">
      <c r="G26902" s="1"/>
      <c r="N26902" s="1"/>
    </row>
    <row r="26903" spans="7:14" x14ac:dyDescent="0.3">
      <c r="G26903" s="1"/>
      <c r="N26903" s="1"/>
    </row>
    <row r="26904" spans="7:14" x14ac:dyDescent="0.3">
      <c r="G26904" s="1"/>
      <c r="N26904" s="1"/>
    </row>
    <row r="26905" spans="7:14" x14ac:dyDescent="0.3">
      <c r="G26905" s="1"/>
      <c r="N26905" s="1"/>
    </row>
    <row r="26906" spans="7:14" x14ac:dyDescent="0.3">
      <c r="G26906" s="1"/>
      <c r="N26906" s="1"/>
    </row>
    <row r="26907" spans="7:14" x14ac:dyDescent="0.3">
      <c r="G26907" s="1"/>
      <c r="N26907" s="1"/>
    </row>
    <row r="26908" spans="7:14" x14ac:dyDescent="0.3">
      <c r="G26908" s="1"/>
      <c r="N26908" s="1"/>
    </row>
    <row r="26909" spans="7:14" x14ac:dyDescent="0.3">
      <c r="G26909" s="1"/>
      <c r="N26909" s="1"/>
    </row>
    <row r="26910" spans="7:14" x14ac:dyDescent="0.3">
      <c r="G26910" s="1"/>
      <c r="N26910" s="1"/>
    </row>
    <row r="26911" spans="7:14" x14ac:dyDescent="0.3">
      <c r="G26911" s="1"/>
      <c r="N26911" s="1"/>
    </row>
    <row r="26912" spans="7:14" x14ac:dyDescent="0.3">
      <c r="G26912" s="1"/>
      <c r="N26912" s="1"/>
    </row>
    <row r="26913" spans="7:14" x14ac:dyDescent="0.3">
      <c r="G26913" s="1"/>
      <c r="N26913" s="1"/>
    </row>
    <row r="26914" spans="7:14" x14ac:dyDescent="0.3">
      <c r="G26914" s="1"/>
      <c r="N26914" s="1"/>
    </row>
    <row r="26915" spans="7:14" x14ac:dyDescent="0.3">
      <c r="G26915" s="1"/>
      <c r="N26915" s="1"/>
    </row>
    <row r="26916" spans="7:14" x14ac:dyDescent="0.3">
      <c r="G26916" s="1"/>
      <c r="N26916" s="1"/>
    </row>
    <row r="26917" spans="7:14" x14ac:dyDescent="0.3">
      <c r="G26917" s="1"/>
      <c r="N26917" s="1"/>
    </row>
    <row r="26918" spans="7:14" x14ac:dyDescent="0.3">
      <c r="G26918" s="1"/>
      <c r="N26918" s="1"/>
    </row>
    <row r="26919" spans="7:14" x14ac:dyDescent="0.3">
      <c r="G26919" s="1"/>
      <c r="N26919" s="1"/>
    </row>
    <row r="26920" spans="7:14" x14ac:dyDescent="0.3">
      <c r="G26920" s="1"/>
      <c r="N26920" s="1"/>
    </row>
    <row r="26921" spans="7:14" x14ac:dyDescent="0.3">
      <c r="G26921" s="1"/>
      <c r="N26921" s="1"/>
    </row>
    <row r="26922" spans="7:14" x14ac:dyDescent="0.3">
      <c r="G26922" s="1"/>
      <c r="N26922" s="1"/>
    </row>
    <row r="26923" spans="7:14" x14ac:dyDescent="0.3">
      <c r="G26923" s="1"/>
      <c r="N26923" s="1"/>
    </row>
    <row r="26924" spans="7:14" x14ac:dyDescent="0.3">
      <c r="G26924" s="1"/>
      <c r="N26924" s="1"/>
    </row>
    <row r="26925" spans="7:14" x14ac:dyDescent="0.3">
      <c r="G26925" s="1"/>
      <c r="N26925" s="1"/>
    </row>
    <row r="26926" spans="7:14" x14ac:dyDescent="0.3">
      <c r="G26926" s="1"/>
      <c r="N26926" s="1"/>
    </row>
    <row r="26927" spans="7:14" x14ac:dyDescent="0.3">
      <c r="G26927" s="1"/>
      <c r="N26927" s="1"/>
    </row>
    <row r="26928" spans="7:14" x14ac:dyDescent="0.3">
      <c r="G26928" s="1"/>
      <c r="N26928" s="1"/>
    </row>
    <row r="26929" spans="7:14" x14ac:dyDescent="0.3">
      <c r="G26929" s="1"/>
      <c r="N26929" s="1"/>
    </row>
    <row r="26930" spans="7:14" x14ac:dyDescent="0.3">
      <c r="G26930" s="1"/>
      <c r="N26930" s="1"/>
    </row>
    <row r="26931" spans="7:14" x14ac:dyDescent="0.3">
      <c r="G26931" s="1"/>
      <c r="N26931" s="1"/>
    </row>
    <row r="26932" spans="7:14" x14ac:dyDescent="0.3">
      <c r="G26932" s="1"/>
      <c r="N26932" s="1"/>
    </row>
    <row r="26933" spans="7:14" x14ac:dyDescent="0.3">
      <c r="G26933" s="1"/>
      <c r="N26933" s="1"/>
    </row>
    <row r="26934" spans="7:14" x14ac:dyDescent="0.3">
      <c r="G26934" s="1"/>
      <c r="N26934" s="1"/>
    </row>
    <row r="26935" spans="7:14" x14ac:dyDescent="0.3">
      <c r="G26935" s="1"/>
      <c r="N26935" s="1"/>
    </row>
    <row r="26936" spans="7:14" x14ac:dyDescent="0.3">
      <c r="G26936" s="1"/>
      <c r="N26936" s="1"/>
    </row>
    <row r="26937" spans="7:14" x14ac:dyDescent="0.3">
      <c r="G26937" s="1"/>
      <c r="N26937" s="1"/>
    </row>
    <row r="26938" spans="7:14" x14ac:dyDescent="0.3">
      <c r="G26938" s="1"/>
      <c r="N26938" s="1"/>
    </row>
    <row r="26939" spans="7:14" x14ac:dyDescent="0.3">
      <c r="G26939" s="1"/>
      <c r="N26939" s="1"/>
    </row>
    <row r="26940" spans="7:14" x14ac:dyDescent="0.3">
      <c r="G26940" s="1"/>
      <c r="N26940" s="1"/>
    </row>
    <row r="26941" spans="7:14" x14ac:dyDescent="0.3">
      <c r="G26941" s="1"/>
      <c r="N26941" s="1"/>
    </row>
    <row r="26942" spans="7:14" x14ac:dyDescent="0.3">
      <c r="G26942" s="1"/>
      <c r="N26942" s="1"/>
    </row>
    <row r="26943" spans="7:14" x14ac:dyDescent="0.3">
      <c r="G26943" s="1"/>
      <c r="N26943" s="1"/>
    </row>
    <row r="26944" spans="7:14" x14ac:dyDescent="0.3">
      <c r="G26944" s="1"/>
      <c r="N26944" s="1"/>
    </row>
    <row r="26945" spans="7:14" x14ac:dyDescent="0.3">
      <c r="G26945" s="1"/>
      <c r="N26945" s="1"/>
    </row>
    <row r="26946" spans="7:14" x14ac:dyDescent="0.3">
      <c r="G26946" s="1"/>
      <c r="N26946" s="1"/>
    </row>
    <row r="26947" spans="7:14" x14ac:dyDescent="0.3">
      <c r="G26947" s="1"/>
      <c r="N26947" s="1"/>
    </row>
    <row r="26948" spans="7:14" x14ac:dyDescent="0.3">
      <c r="G26948" s="1"/>
      <c r="N26948" s="1"/>
    </row>
    <row r="26949" spans="7:14" x14ac:dyDescent="0.3">
      <c r="G26949" s="1"/>
      <c r="N26949" s="1"/>
    </row>
    <row r="26950" spans="7:14" x14ac:dyDescent="0.3">
      <c r="G26950" s="1"/>
      <c r="N26950" s="1"/>
    </row>
    <row r="26951" spans="7:14" x14ac:dyDescent="0.3">
      <c r="G26951" s="1"/>
      <c r="N26951" s="1"/>
    </row>
    <row r="26952" spans="7:14" x14ac:dyDescent="0.3">
      <c r="G26952" s="1"/>
      <c r="N26952" s="1"/>
    </row>
    <row r="26953" spans="7:14" x14ac:dyDescent="0.3">
      <c r="G26953" s="1"/>
      <c r="N26953" s="1"/>
    </row>
    <row r="26954" spans="7:14" x14ac:dyDescent="0.3">
      <c r="G26954" s="1"/>
      <c r="N26954" s="1"/>
    </row>
    <row r="26955" spans="7:14" x14ac:dyDescent="0.3">
      <c r="G26955" s="1"/>
      <c r="N26955" s="1"/>
    </row>
    <row r="26956" spans="7:14" x14ac:dyDescent="0.3">
      <c r="G26956" s="1"/>
      <c r="N26956" s="1"/>
    </row>
    <row r="26957" spans="7:14" x14ac:dyDescent="0.3">
      <c r="G26957" s="1"/>
      <c r="N26957" s="1"/>
    </row>
    <row r="26958" spans="7:14" x14ac:dyDescent="0.3">
      <c r="G26958" s="1"/>
      <c r="N26958" s="1"/>
    </row>
    <row r="26959" spans="7:14" x14ac:dyDescent="0.3">
      <c r="G26959" s="1"/>
      <c r="N26959" s="1"/>
    </row>
    <row r="26960" spans="7:14" x14ac:dyDescent="0.3">
      <c r="G26960" s="1"/>
      <c r="N26960" s="1"/>
    </row>
    <row r="26961" spans="7:14" x14ac:dyDescent="0.3">
      <c r="G26961" s="1"/>
      <c r="N26961" s="1"/>
    </row>
    <row r="26962" spans="7:14" x14ac:dyDescent="0.3">
      <c r="G26962" s="1"/>
      <c r="N26962" s="1"/>
    </row>
    <row r="26963" spans="7:14" x14ac:dyDescent="0.3">
      <c r="G26963" s="1"/>
      <c r="N26963" s="1"/>
    </row>
    <row r="26964" spans="7:14" x14ac:dyDescent="0.3">
      <c r="G26964" s="1"/>
      <c r="N26964" s="1"/>
    </row>
    <row r="26965" spans="7:14" x14ac:dyDescent="0.3">
      <c r="G26965" s="1"/>
      <c r="N26965" s="1"/>
    </row>
    <row r="26966" spans="7:14" x14ac:dyDescent="0.3">
      <c r="G26966" s="1"/>
      <c r="N26966" s="1"/>
    </row>
    <row r="26967" spans="7:14" x14ac:dyDescent="0.3">
      <c r="G26967" s="1"/>
      <c r="N26967" s="1"/>
    </row>
    <row r="26968" spans="7:14" x14ac:dyDescent="0.3">
      <c r="G26968" s="1"/>
      <c r="N26968" s="1"/>
    </row>
    <row r="26969" spans="7:14" x14ac:dyDescent="0.3">
      <c r="G26969" s="1"/>
      <c r="N26969" s="1"/>
    </row>
    <row r="26970" spans="7:14" x14ac:dyDescent="0.3">
      <c r="G26970" s="1"/>
      <c r="N26970" s="1"/>
    </row>
    <row r="26971" spans="7:14" x14ac:dyDescent="0.3">
      <c r="G26971" s="1"/>
      <c r="N26971" s="1"/>
    </row>
    <row r="26972" spans="7:14" x14ac:dyDescent="0.3">
      <c r="G26972" s="1"/>
      <c r="N26972" s="1"/>
    </row>
    <row r="26973" spans="7:14" x14ac:dyDescent="0.3">
      <c r="G26973" s="1"/>
      <c r="N26973" s="1"/>
    </row>
    <row r="26974" spans="7:14" x14ac:dyDescent="0.3">
      <c r="G26974" s="1"/>
      <c r="N26974" s="1"/>
    </row>
    <row r="26975" spans="7:14" x14ac:dyDescent="0.3">
      <c r="G26975" s="1"/>
      <c r="N26975" s="1"/>
    </row>
    <row r="26976" spans="7:14" x14ac:dyDescent="0.3">
      <c r="G26976" s="1"/>
      <c r="N26976" s="1"/>
    </row>
    <row r="26977" spans="7:14" x14ac:dyDescent="0.3">
      <c r="G26977" s="1"/>
      <c r="N26977" s="1"/>
    </row>
    <row r="26978" spans="7:14" x14ac:dyDescent="0.3">
      <c r="G26978" s="1"/>
      <c r="N26978" s="1"/>
    </row>
    <row r="26979" spans="7:14" x14ac:dyDescent="0.3">
      <c r="G26979" s="1"/>
      <c r="N26979" s="1"/>
    </row>
    <row r="26980" spans="7:14" x14ac:dyDescent="0.3">
      <c r="G26980" s="1"/>
      <c r="N26980" s="1"/>
    </row>
    <row r="26981" spans="7:14" x14ac:dyDescent="0.3">
      <c r="G26981" s="1"/>
      <c r="N26981" s="1"/>
    </row>
    <row r="26982" spans="7:14" x14ac:dyDescent="0.3">
      <c r="G26982" s="1"/>
      <c r="N26982" s="1"/>
    </row>
    <row r="26983" spans="7:14" x14ac:dyDescent="0.3">
      <c r="G26983" s="1"/>
      <c r="N26983" s="1"/>
    </row>
    <row r="26984" spans="7:14" x14ac:dyDescent="0.3">
      <c r="G26984" s="1"/>
      <c r="N26984" s="1"/>
    </row>
    <row r="26985" spans="7:14" x14ac:dyDescent="0.3">
      <c r="G26985" s="1"/>
      <c r="N26985" s="1"/>
    </row>
    <row r="26986" spans="7:14" x14ac:dyDescent="0.3">
      <c r="G26986" s="1"/>
      <c r="N26986" s="1"/>
    </row>
    <row r="26987" spans="7:14" x14ac:dyDescent="0.3">
      <c r="G26987" s="1"/>
      <c r="N26987" s="1"/>
    </row>
    <row r="26988" spans="7:14" x14ac:dyDescent="0.3">
      <c r="G26988" s="1"/>
      <c r="N26988" s="1"/>
    </row>
    <row r="26989" spans="7:14" x14ac:dyDescent="0.3">
      <c r="G26989" s="1"/>
      <c r="N26989" s="1"/>
    </row>
    <row r="26990" spans="7:14" x14ac:dyDescent="0.3">
      <c r="G26990" s="1"/>
      <c r="N26990" s="1"/>
    </row>
    <row r="26991" spans="7:14" x14ac:dyDescent="0.3">
      <c r="G26991" s="1"/>
      <c r="N26991" s="1"/>
    </row>
    <row r="26992" spans="7:14" x14ac:dyDescent="0.3">
      <c r="G26992" s="1"/>
      <c r="N26992" s="1"/>
    </row>
    <row r="26993" spans="7:14" x14ac:dyDescent="0.3">
      <c r="G26993" s="1"/>
      <c r="N26993" s="1"/>
    </row>
    <row r="26994" spans="7:14" x14ac:dyDescent="0.3">
      <c r="G26994" s="1"/>
      <c r="N26994" s="1"/>
    </row>
    <row r="26995" spans="7:14" x14ac:dyDescent="0.3">
      <c r="G26995" s="1"/>
      <c r="N26995" s="1"/>
    </row>
    <row r="26996" spans="7:14" x14ac:dyDescent="0.3">
      <c r="G26996" s="1"/>
      <c r="N26996" s="1"/>
    </row>
    <row r="26997" spans="7:14" x14ac:dyDescent="0.3">
      <c r="G26997" s="1"/>
      <c r="N26997" s="1"/>
    </row>
    <row r="26998" spans="7:14" x14ac:dyDescent="0.3">
      <c r="G26998" s="1"/>
      <c r="N26998" s="1"/>
    </row>
    <row r="26999" spans="7:14" x14ac:dyDescent="0.3">
      <c r="G26999" s="1"/>
      <c r="N26999" s="1"/>
    </row>
    <row r="27000" spans="7:14" x14ac:dyDescent="0.3">
      <c r="G27000" s="1"/>
      <c r="N27000" s="1"/>
    </row>
    <row r="27001" spans="7:14" x14ac:dyDescent="0.3">
      <c r="G27001" s="1"/>
      <c r="N27001" s="1"/>
    </row>
    <row r="27002" spans="7:14" x14ac:dyDescent="0.3">
      <c r="G27002" s="1"/>
      <c r="N27002" s="1"/>
    </row>
    <row r="27003" spans="7:14" x14ac:dyDescent="0.3">
      <c r="G27003" s="1"/>
      <c r="N27003" s="1"/>
    </row>
    <row r="27004" spans="7:14" x14ac:dyDescent="0.3">
      <c r="G27004" s="1"/>
      <c r="N27004" s="1"/>
    </row>
    <row r="27005" spans="7:14" x14ac:dyDescent="0.3">
      <c r="G27005" s="1"/>
      <c r="N27005" s="1"/>
    </row>
    <row r="27006" spans="7:14" x14ac:dyDescent="0.3">
      <c r="G27006" s="1"/>
      <c r="N27006" s="1"/>
    </row>
    <row r="27007" spans="7:14" x14ac:dyDescent="0.3">
      <c r="G27007" s="1"/>
      <c r="N27007" s="1"/>
    </row>
    <row r="27008" spans="7:14" x14ac:dyDescent="0.3">
      <c r="G27008" s="1"/>
      <c r="N27008" s="1"/>
    </row>
    <row r="27009" spans="7:14" x14ac:dyDescent="0.3">
      <c r="G27009" s="1"/>
      <c r="N27009" s="1"/>
    </row>
    <row r="27010" spans="7:14" x14ac:dyDescent="0.3">
      <c r="G27010" s="1"/>
      <c r="N27010" s="1"/>
    </row>
    <row r="27011" spans="7:14" x14ac:dyDescent="0.3">
      <c r="G27011" s="1"/>
      <c r="N27011" s="1"/>
    </row>
    <row r="27012" spans="7:14" x14ac:dyDescent="0.3">
      <c r="G27012" s="1"/>
      <c r="N27012" s="1"/>
    </row>
    <row r="27013" spans="7:14" x14ac:dyDescent="0.3">
      <c r="G27013" s="1"/>
      <c r="N27013" s="1"/>
    </row>
    <row r="27014" spans="7:14" x14ac:dyDescent="0.3">
      <c r="G27014" s="1"/>
      <c r="N27014" s="1"/>
    </row>
    <row r="27015" spans="7:14" x14ac:dyDescent="0.3">
      <c r="G27015" s="1"/>
      <c r="N27015" s="1"/>
    </row>
    <row r="27016" spans="7:14" x14ac:dyDescent="0.3">
      <c r="G27016" s="1"/>
      <c r="N27016" s="1"/>
    </row>
    <row r="27017" spans="7:14" x14ac:dyDescent="0.3">
      <c r="G27017" s="1"/>
      <c r="N27017" s="1"/>
    </row>
    <row r="27018" spans="7:14" x14ac:dyDescent="0.3">
      <c r="G27018" s="1"/>
      <c r="N27018" s="1"/>
    </row>
    <row r="27019" spans="7:14" x14ac:dyDescent="0.3">
      <c r="G27019" s="1"/>
      <c r="N27019" s="1"/>
    </row>
    <row r="27020" spans="7:14" x14ac:dyDescent="0.3">
      <c r="G27020" s="1"/>
      <c r="N27020" s="1"/>
    </row>
    <row r="27021" spans="7:14" x14ac:dyDescent="0.3">
      <c r="G27021" s="1"/>
      <c r="N27021" s="1"/>
    </row>
    <row r="27022" spans="7:14" x14ac:dyDescent="0.3">
      <c r="G27022" s="1"/>
      <c r="N27022" s="1"/>
    </row>
    <row r="27023" spans="7:14" x14ac:dyDescent="0.3">
      <c r="G27023" s="1"/>
      <c r="N27023" s="1"/>
    </row>
    <row r="27024" spans="7:14" x14ac:dyDescent="0.3">
      <c r="G27024" s="1"/>
      <c r="N27024" s="1"/>
    </row>
    <row r="27025" spans="7:14" x14ac:dyDescent="0.3">
      <c r="G27025" s="1"/>
      <c r="N27025" s="1"/>
    </row>
    <row r="27026" spans="7:14" x14ac:dyDescent="0.3">
      <c r="G27026" s="1"/>
      <c r="N27026" s="1"/>
    </row>
    <row r="27027" spans="7:14" x14ac:dyDescent="0.3">
      <c r="G27027" s="1"/>
      <c r="N27027" s="1"/>
    </row>
    <row r="27028" spans="7:14" x14ac:dyDescent="0.3">
      <c r="G27028" s="1"/>
      <c r="N27028" s="1"/>
    </row>
    <row r="27029" spans="7:14" x14ac:dyDescent="0.3">
      <c r="G27029" s="1"/>
      <c r="N27029" s="1"/>
    </row>
    <row r="27030" spans="7:14" x14ac:dyDescent="0.3">
      <c r="G27030" s="1"/>
      <c r="N27030" s="1"/>
    </row>
    <row r="27031" spans="7:14" x14ac:dyDescent="0.3">
      <c r="G27031" s="1"/>
      <c r="N27031" s="1"/>
    </row>
    <row r="27032" spans="7:14" x14ac:dyDescent="0.3">
      <c r="G27032" s="1"/>
      <c r="N27032" s="1"/>
    </row>
    <row r="27033" spans="7:14" x14ac:dyDescent="0.3">
      <c r="G27033" s="1"/>
      <c r="N27033" s="1"/>
    </row>
    <row r="27034" spans="7:14" x14ac:dyDescent="0.3">
      <c r="G27034" s="1"/>
      <c r="N27034" s="1"/>
    </row>
    <row r="27035" spans="7:14" x14ac:dyDescent="0.3">
      <c r="G27035" s="1"/>
      <c r="N27035" s="1"/>
    </row>
    <row r="27036" spans="7:14" x14ac:dyDescent="0.3">
      <c r="G27036" s="1"/>
      <c r="N27036" s="1"/>
    </row>
    <row r="27037" spans="7:14" x14ac:dyDescent="0.3">
      <c r="G27037" s="1"/>
      <c r="N27037" s="1"/>
    </row>
    <row r="27038" spans="7:14" x14ac:dyDescent="0.3">
      <c r="G27038" s="1"/>
      <c r="N27038" s="1"/>
    </row>
    <row r="27039" spans="7:14" x14ac:dyDescent="0.3">
      <c r="G27039" s="1"/>
      <c r="N27039" s="1"/>
    </row>
    <row r="27040" spans="7:14" x14ac:dyDescent="0.3">
      <c r="G27040" s="1"/>
      <c r="N27040" s="1"/>
    </row>
    <row r="27041" spans="7:14" x14ac:dyDescent="0.3">
      <c r="G27041" s="1"/>
      <c r="N27041" s="1"/>
    </row>
    <row r="27042" spans="7:14" x14ac:dyDescent="0.3">
      <c r="G27042" s="1"/>
      <c r="N27042" s="1"/>
    </row>
    <row r="27043" spans="7:14" x14ac:dyDescent="0.3">
      <c r="G27043" s="1"/>
      <c r="N27043" s="1"/>
    </row>
    <row r="27044" spans="7:14" x14ac:dyDescent="0.3">
      <c r="G27044" s="1"/>
      <c r="N27044" s="1"/>
    </row>
    <row r="27045" spans="7:14" x14ac:dyDescent="0.3">
      <c r="G27045" s="1"/>
      <c r="N27045" s="1"/>
    </row>
    <row r="27046" spans="7:14" x14ac:dyDescent="0.3">
      <c r="G27046" s="1"/>
      <c r="N27046" s="1"/>
    </row>
    <row r="27047" spans="7:14" x14ac:dyDescent="0.3">
      <c r="G27047" s="1"/>
      <c r="N27047" s="1"/>
    </row>
    <row r="27048" spans="7:14" x14ac:dyDescent="0.3">
      <c r="G27048" s="1"/>
      <c r="N27048" s="1"/>
    </row>
    <row r="27049" spans="7:14" x14ac:dyDescent="0.3">
      <c r="G27049" s="1"/>
      <c r="N27049" s="1"/>
    </row>
    <row r="27050" spans="7:14" x14ac:dyDescent="0.3">
      <c r="G27050" s="1"/>
      <c r="N27050" s="1"/>
    </row>
    <row r="27051" spans="7:14" x14ac:dyDescent="0.3">
      <c r="G27051" s="1"/>
      <c r="N27051" s="1"/>
    </row>
    <row r="27052" spans="7:14" x14ac:dyDescent="0.3">
      <c r="G27052" s="1"/>
      <c r="N27052" s="1"/>
    </row>
    <row r="27053" spans="7:14" x14ac:dyDescent="0.3">
      <c r="G27053" s="1"/>
      <c r="N27053" s="1"/>
    </row>
    <row r="27054" spans="7:14" x14ac:dyDescent="0.3">
      <c r="G27054" s="1"/>
      <c r="N27054" s="1"/>
    </row>
    <row r="27055" spans="7:14" x14ac:dyDescent="0.3">
      <c r="G27055" s="1"/>
      <c r="N27055" s="1"/>
    </row>
    <row r="27056" spans="7:14" x14ac:dyDescent="0.3">
      <c r="G27056" s="1"/>
      <c r="N27056" s="1"/>
    </row>
    <row r="27057" spans="7:14" x14ac:dyDescent="0.3">
      <c r="G27057" s="1"/>
      <c r="N27057" s="1"/>
    </row>
    <row r="27058" spans="7:14" x14ac:dyDescent="0.3">
      <c r="G27058" s="1"/>
      <c r="N27058" s="1"/>
    </row>
    <row r="27059" spans="7:14" x14ac:dyDescent="0.3">
      <c r="G27059" s="1"/>
      <c r="N27059" s="1"/>
    </row>
    <row r="27060" spans="7:14" x14ac:dyDescent="0.3">
      <c r="G27060" s="1"/>
      <c r="N27060" s="1"/>
    </row>
    <row r="27061" spans="7:14" x14ac:dyDescent="0.3">
      <c r="G27061" s="1"/>
      <c r="N27061" s="1"/>
    </row>
    <row r="27062" spans="7:14" x14ac:dyDescent="0.3">
      <c r="G27062" s="1"/>
      <c r="N27062" s="1"/>
    </row>
    <row r="27063" spans="7:14" x14ac:dyDescent="0.3">
      <c r="G27063" s="1"/>
      <c r="N27063" s="1"/>
    </row>
    <row r="27064" spans="7:14" x14ac:dyDescent="0.3">
      <c r="G27064" s="1"/>
      <c r="N27064" s="1"/>
    </row>
    <row r="27065" spans="7:14" x14ac:dyDescent="0.3">
      <c r="G27065" s="1"/>
      <c r="N27065" s="1"/>
    </row>
    <row r="27066" spans="7:14" x14ac:dyDescent="0.3">
      <c r="G27066" s="1"/>
      <c r="N27066" s="1"/>
    </row>
    <row r="27067" spans="7:14" x14ac:dyDescent="0.3">
      <c r="G27067" s="1"/>
      <c r="N27067" s="1"/>
    </row>
    <row r="27068" spans="7:14" x14ac:dyDescent="0.3">
      <c r="G27068" s="1"/>
      <c r="N27068" s="1"/>
    </row>
    <row r="27069" spans="7:14" x14ac:dyDescent="0.3">
      <c r="G27069" s="1"/>
      <c r="N27069" s="1"/>
    </row>
    <row r="27070" spans="7:14" x14ac:dyDescent="0.3">
      <c r="G27070" s="1"/>
      <c r="N27070" s="1"/>
    </row>
    <row r="27071" spans="7:14" x14ac:dyDescent="0.3">
      <c r="G27071" s="1"/>
      <c r="N27071" s="1"/>
    </row>
    <row r="27072" spans="7:14" x14ac:dyDescent="0.3">
      <c r="G27072" s="1"/>
      <c r="N27072" s="1"/>
    </row>
    <row r="27073" spans="7:14" x14ac:dyDescent="0.3">
      <c r="G27073" s="1"/>
      <c r="N27073" s="1"/>
    </row>
    <row r="27074" spans="7:14" x14ac:dyDescent="0.3">
      <c r="G27074" s="1"/>
      <c r="N27074" s="1"/>
    </row>
    <row r="27075" spans="7:14" x14ac:dyDescent="0.3">
      <c r="G27075" s="1"/>
      <c r="N27075" s="1"/>
    </row>
    <row r="27076" spans="7:14" x14ac:dyDescent="0.3">
      <c r="G27076" s="1"/>
      <c r="N27076" s="1"/>
    </row>
    <row r="27077" spans="7:14" x14ac:dyDescent="0.3">
      <c r="G27077" s="1"/>
      <c r="N27077" s="1"/>
    </row>
    <row r="27078" spans="7:14" x14ac:dyDescent="0.3">
      <c r="G27078" s="1"/>
      <c r="N27078" s="1"/>
    </row>
    <row r="27079" spans="7:14" x14ac:dyDescent="0.3">
      <c r="G27079" s="1"/>
      <c r="N27079" s="1"/>
    </row>
    <row r="27080" spans="7:14" x14ac:dyDescent="0.3">
      <c r="G27080" s="1"/>
      <c r="N27080" s="1"/>
    </row>
    <row r="27081" spans="7:14" x14ac:dyDescent="0.3">
      <c r="G27081" s="1"/>
      <c r="N27081" s="1"/>
    </row>
    <row r="27082" spans="7:14" x14ac:dyDescent="0.3">
      <c r="G27082" s="1"/>
      <c r="N27082" s="1"/>
    </row>
    <row r="27083" spans="7:14" x14ac:dyDescent="0.3">
      <c r="G27083" s="1"/>
      <c r="N27083" s="1"/>
    </row>
    <row r="27084" spans="7:14" x14ac:dyDescent="0.3">
      <c r="G27084" s="1"/>
      <c r="N27084" s="1"/>
    </row>
    <row r="27085" spans="7:14" x14ac:dyDescent="0.3">
      <c r="G27085" s="1"/>
      <c r="N27085" s="1"/>
    </row>
    <row r="27086" spans="7:14" x14ac:dyDescent="0.3">
      <c r="G27086" s="1"/>
      <c r="N27086" s="1"/>
    </row>
    <row r="27087" spans="7:14" x14ac:dyDescent="0.3">
      <c r="G27087" s="1"/>
      <c r="N27087" s="1"/>
    </row>
    <row r="27088" spans="7:14" x14ac:dyDescent="0.3">
      <c r="G27088" s="1"/>
      <c r="N27088" s="1"/>
    </row>
    <row r="27089" spans="7:14" x14ac:dyDescent="0.3">
      <c r="G27089" s="1"/>
      <c r="N27089" s="1"/>
    </row>
    <row r="27090" spans="7:14" x14ac:dyDescent="0.3">
      <c r="G27090" s="1"/>
      <c r="N27090" s="1"/>
    </row>
    <row r="27091" spans="7:14" x14ac:dyDescent="0.3">
      <c r="G27091" s="1"/>
      <c r="N27091" s="1"/>
    </row>
    <row r="27092" spans="7:14" x14ac:dyDescent="0.3">
      <c r="G27092" s="1"/>
      <c r="N27092" s="1"/>
    </row>
    <row r="27093" spans="7:14" x14ac:dyDescent="0.3">
      <c r="G27093" s="1"/>
      <c r="N27093" s="1"/>
    </row>
    <row r="27094" spans="7:14" x14ac:dyDescent="0.3">
      <c r="G27094" s="1"/>
      <c r="N27094" s="1"/>
    </row>
    <row r="27095" spans="7:14" x14ac:dyDescent="0.3">
      <c r="G27095" s="1"/>
      <c r="N27095" s="1"/>
    </row>
    <row r="27096" spans="7:14" x14ac:dyDescent="0.3">
      <c r="G27096" s="1"/>
      <c r="N27096" s="1"/>
    </row>
    <row r="27097" spans="7:14" x14ac:dyDescent="0.3">
      <c r="G27097" s="1"/>
      <c r="N27097" s="1"/>
    </row>
    <row r="27098" spans="7:14" x14ac:dyDescent="0.3">
      <c r="G27098" s="1"/>
      <c r="N27098" s="1"/>
    </row>
    <row r="27099" spans="7:14" x14ac:dyDescent="0.3">
      <c r="G27099" s="1"/>
      <c r="N27099" s="1"/>
    </row>
    <row r="27100" spans="7:14" x14ac:dyDescent="0.3">
      <c r="G27100" s="1"/>
      <c r="N27100" s="1"/>
    </row>
    <row r="27101" spans="7:14" x14ac:dyDescent="0.3">
      <c r="G27101" s="1"/>
      <c r="N27101" s="1"/>
    </row>
    <row r="27102" spans="7:14" x14ac:dyDescent="0.3">
      <c r="G27102" s="1"/>
      <c r="N27102" s="1"/>
    </row>
    <row r="27103" spans="7:14" x14ac:dyDescent="0.3">
      <c r="G27103" s="1"/>
      <c r="N27103" s="1"/>
    </row>
    <row r="27104" spans="7:14" x14ac:dyDescent="0.3">
      <c r="G27104" s="1"/>
      <c r="N27104" s="1"/>
    </row>
    <row r="27105" spans="7:14" x14ac:dyDescent="0.3">
      <c r="G27105" s="1"/>
      <c r="N27105" s="1"/>
    </row>
    <row r="27106" spans="7:14" x14ac:dyDescent="0.3">
      <c r="G27106" s="1"/>
      <c r="N27106" s="1"/>
    </row>
    <row r="27107" spans="7:14" x14ac:dyDescent="0.3">
      <c r="G27107" s="1"/>
      <c r="N27107" s="1"/>
    </row>
    <row r="27108" spans="7:14" x14ac:dyDescent="0.3">
      <c r="G27108" s="1"/>
      <c r="N27108" s="1"/>
    </row>
    <row r="27109" spans="7:14" x14ac:dyDescent="0.3">
      <c r="G27109" s="1"/>
      <c r="N27109" s="1"/>
    </row>
    <row r="27110" spans="7:14" x14ac:dyDescent="0.3">
      <c r="G27110" s="1"/>
      <c r="N27110" s="1"/>
    </row>
    <row r="27111" spans="7:14" x14ac:dyDescent="0.3">
      <c r="G27111" s="1"/>
      <c r="N27111" s="1"/>
    </row>
    <row r="27112" spans="7:14" x14ac:dyDescent="0.3">
      <c r="G27112" s="1"/>
      <c r="N27112" s="1"/>
    </row>
    <row r="27113" spans="7:14" x14ac:dyDescent="0.3">
      <c r="G27113" s="1"/>
      <c r="N27113" s="1"/>
    </row>
    <row r="27114" spans="7:14" x14ac:dyDescent="0.3">
      <c r="G27114" s="1"/>
      <c r="N27114" s="1"/>
    </row>
    <row r="27115" spans="7:14" x14ac:dyDescent="0.3">
      <c r="G27115" s="1"/>
      <c r="N27115" s="1"/>
    </row>
    <row r="27116" spans="7:14" x14ac:dyDescent="0.3">
      <c r="G27116" s="1"/>
      <c r="N27116" s="1"/>
    </row>
    <row r="27117" spans="7:14" x14ac:dyDescent="0.3">
      <c r="G27117" s="1"/>
      <c r="N27117" s="1"/>
    </row>
    <row r="27118" spans="7:14" x14ac:dyDescent="0.3">
      <c r="G27118" s="1"/>
      <c r="N27118" s="1"/>
    </row>
    <row r="27119" spans="7:14" x14ac:dyDescent="0.3">
      <c r="G27119" s="1"/>
      <c r="N27119" s="1"/>
    </row>
    <row r="27120" spans="7:14" x14ac:dyDescent="0.3">
      <c r="G27120" s="1"/>
      <c r="N27120" s="1"/>
    </row>
    <row r="27121" spans="7:14" x14ac:dyDescent="0.3">
      <c r="G27121" s="1"/>
      <c r="N27121" s="1"/>
    </row>
    <row r="27122" spans="7:14" x14ac:dyDescent="0.3">
      <c r="G27122" s="1"/>
      <c r="N27122" s="1"/>
    </row>
    <row r="27123" spans="7:14" x14ac:dyDescent="0.3">
      <c r="G27123" s="1"/>
      <c r="N27123" s="1"/>
    </row>
    <row r="27124" spans="7:14" x14ac:dyDescent="0.3">
      <c r="G27124" s="1"/>
      <c r="N27124" s="1"/>
    </row>
    <row r="27125" spans="7:14" x14ac:dyDescent="0.3">
      <c r="G27125" s="1"/>
      <c r="N27125" s="1"/>
    </row>
    <row r="27126" spans="7:14" x14ac:dyDescent="0.3">
      <c r="G27126" s="1"/>
      <c r="N27126" s="1"/>
    </row>
    <row r="27127" spans="7:14" x14ac:dyDescent="0.3">
      <c r="G27127" s="1"/>
      <c r="N27127" s="1"/>
    </row>
    <row r="27128" spans="7:14" x14ac:dyDescent="0.3">
      <c r="G27128" s="1"/>
      <c r="N27128" s="1"/>
    </row>
    <row r="27129" spans="7:14" x14ac:dyDescent="0.3">
      <c r="G27129" s="1"/>
      <c r="N27129" s="1"/>
    </row>
    <row r="27130" spans="7:14" x14ac:dyDescent="0.3">
      <c r="G27130" s="1"/>
      <c r="N27130" s="1"/>
    </row>
    <row r="27131" spans="7:14" x14ac:dyDescent="0.3">
      <c r="G27131" s="1"/>
      <c r="N27131" s="1"/>
    </row>
    <row r="27132" spans="7:14" x14ac:dyDescent="0.3">
      <c r="G27132" s="1"/>
      <c r="N27132" s="1"/>
    </row>
    <row r="27133" spans="7:14" x14ac:dyDescent="0.3">
      <c r="G27133" s="1"/>
      <c r="N27133" s="1"/>
    </row>
    <row r="27134" spans="7:14" x14ac:dyDescent="0.3">
      <c r="G27134" s="1"/>
      <c r="N27134" s="1"/>
    </row>
    <row r="27135" spans="7:14" x14ac:dyDescent="0.3">
      <c r="G27135" s="1"/>
      <c r="N27135" s="1"/>
    </row>
    <row r="27136" spans="7:14" x14ac:dyDescent="0.3">
      <c r="G27136" s="1"/>
      <c r="N27136" s="1"/>
    </row>
    <row r="27137" spans="7:14" x14ac:dyDescent="0.3">
      <c r="G27137" s="1"/>
      <c r="N27137" s="1"/>
    </row>
    <row r="27138" spans="7:14" x14ac:dyDescent="0.3">
      <c r="G27138" s="1"/>
      <c r="N27138" s="1"/>
    </row>
    <row r="27139" spans="7:14" x14ac:dyDescent="0.3">
      <c r="G27139" s="1"/>
      <c r="N27139" s="1"/>
    </row>
    <row r="27140" spans="7:14" x14ac:dyDescent="0.3">
      <c r="G27140" s="1"/>
      <c r="N27140" s="1"/>
    </row>
    <row r="27141" spans="7:14" x14ac:dyDescent="0.3">
      <c r="G27141" s="1"/>
      <c r="N27141" s="1"/>
    </row>
    <row r="27142" spans="7:14" x14ac:dyDescent="0.3">
      <c r="G27142" s="1"/>
      <c r="N27142" s="1"/>
    </row>
    <row r="27143" spans="7:14" x14ac:dyDescent="0.3">
      <c r="G27143" s="1"/>
      <c r="N27143" s="1"/>
    </row>
    <row r="27144" spans="7:14" x14ac:dyDescent="0.3">
      <c r="G27144" s="1"/>
      <c r="N27144" s="1"/>
    </row>
    <row r="27145" spans="7:14" x14ac:dyDescent="0.3">
      <c r="G27145" s="1"/>
      <c r="N27145" s="1"/>
    </row>
    <row r="27146" spans="7:14" x14ac:dyDescent="0.3">
      <c r="G27146" s="1"/>
      <c r="N27146" s="1"/>
    </row>
    <row r="27147" spans="7:14" x14ac:dyDescent="0.3">
      <c r="G27147" s="1"/>
      <c r="N27147" s="1"/>
    </row>
    <row r="27148" spans="7:14" x14ac:dyDescent="0.3">
      <c r="G27148" s="1"/>
      <c r="N27148" s="1"/>
    </row>
    <row r="27149" spans="7:14" x14ac:dyDescent="0.3">
      <c r="G27149" s="1"/>
      <c r="N27149" s="1"/>
    </row>
    <row r="27150" spans="7:14" x14ac:dyDescent="0.3">
      <c r="G27150" s="1"/>
      <c r="N27150" s="1"/>
    </row>
    <row r="27151" spans="7:14" x14ac:dyDescent="0.3">
      <c r="G27151" s="1"/>
      <c r="N27151" s="1"/>
    </row>
    <row r="27152" spans="7:14" x14ac:dyDescent="0.3">
      <c r="G27152" s="1"/>
      <c r="N27152" s="1"/>
    </row>
    <row r="27153" spans="7:14" x14ac:dyDescent="0.3">
      <c r="G27153" s="1"/>
      <c r="N27153" s="1"/>
    </row>
    <row r="27154" spans="7:14" x14ac:dyDescent="0.3">
      <c r="G27154" s="1"/>
      <c r="N27154" s="1"/>
    </row>
    <row r="27155" spans="7:14" x14ac:dyDescent="0.3">
      <c r="G27155" s="1"/>
      <c r="N27155" s="1"/>
    </row>
    <row r="27156" spans="7:14" x14ac:dyDescent="0.3">
      <c r="G27156" s="1"/>
      <c r="N27156" s="1"/>
    </row>
    <row r="27157" spans="7:14" x14ac:dyDescent="0.3">
      <c r="G27157" s="1"/>
      <c r="N27157" s="1"/>
    </row>
    <row r="27158" spans="7:14" x14ac:dyDescent="0.3">
      <c r="G27158" s="1"/>
      <c r="N27158" s="1"/>
    </row>
    <row r="27159" spans="7:14" x14ac:dyDescent="0.3">
      <c r="G27159" s="1"/>
      <c r="N27159" s="1"/>
    </row>
    <row r="27160" spans="7:14" x14ac:dyDescent="0.3">
      <c r="G27160" s="1"/>
      <c r="N27160" s="1"/>
    </row>
    <row r="27161" spans="7:14" x14ac:dyDescent="0.3">
      <c r="G27161" s="1"/>
      <c r="N27161" s="1"/>
    </row>
    <row r="27162" spans="7:14" x14ac:dyDescent="0.3">
      <c r="G27162" s="1"/>
      <c r="N27162" s="1"/>
    </row>
    <row r="27163" spans="7:14" x14ac:dyDescent="0.3">
      <c r="G27163" s="1"/>
      <c r="N27163" s="1"/>
    </row>
    <row r="27164" spans="7:14" x14ac:dyDescent="0.3">
      <c r="G27164" s="1"/>
      <c r="N27164" s="1"/>
    </row>
    <row r="27165" spans="7:14" x14ac:dyDescent="0.3">
      <c r="G27165" s="1"/>
      <c r="N27165" s="1"/>
    </row>
    <row r="27166" spans="7:14" x14ac:dyDescent="0.3">
      <c r="G27166" s="1"/>
      <c r="N27166" s="1"/>
    </row>
    <row r="27167" spans="7:14" x14ac:dyDescent="0.3">
      <c r="G27167" s="1"/>
      <c r="N27167" s="1"/>
    </row>
    <row r="27168" spans="7:14" x14ac:dyDescent="0.3">
      <c r="G27168" s="1"/>
      <c r="N27168" s="1"/>
    </row>
    <row r="27169" spans="7:14" x14ac:dyDescent="0.3">
      <c r="G27169" s="1"/>
      <c r="N27169" s="1"/>
    </row>
    <row r="27170" spans="7:14" x14ac:dyDescent="0.3">
      <c r="G27170" s="1"/>
      <c r="N27170" s="1"/>
    </row>
    <row r="27171" spans="7:14" x14ac:dyDescent="0.3">
      <c r="G27171" s="1"/>
      <c r="N27171" s="1"/>
    </row>
    <row r="27172" spans="7:14" x14ac:dyDescent="0.3">
      <c r="G27172" s="1"/>
      <c r="N27172" s="1"/>
    </row>
    <row r="27173" spans="7:14" x14ac:dyDescent="0.3">
      <c r="G27173" s="1"/>
      <c r="N27173" s="1"/>
    </row>
    <row r="27174" spans="7:14" x14ac:dyDescent="0.3">
      <c r="G27174" s="1"/>
      <c r="N27174" s="1"/>
    </row>
    <row r="27175" spans="7:14" x14ac:dyDescent="0.3">
      <c r="G27175" s="1"/>
      <c r="N27175" s="1"/>
    </row>
    <row r="27176" spans="7:14" x14ac:dyDescent="0.3">
      <c r="G27176" s="1"/>
      <c r="N27176" s="1"/>
    </row>
    <row r="27177" spans="7:14" x14ac:dyDescent="0.3">
      <c r="G27177" s="1"/>
      <c r="N27177" s="1"/>
    </row>
    <row r="27178" spans="7:14" x14ac:dyDescent="0.3">
      <c r="G27178" s="1"/>
      <c r="N27178" s="1"/>
    </row>
    <row r="27179" spans="7:14" x14ac:dyDescent="0.3">
      <c r="G27179" s="1"/>
      <c r="N27179" s="1"/>
    </row>
    <row r="27180" spans="7:14" x14ac:dyDescent="0.3">
      <c r="G27180" s="1"/>
      <c r="N27180" s="1"/>
    </row>
    <row r="27181" spans="7:14" x14ac:dyDescent="0.3">
      <c r="G27181" s="1"/>
      <c r="N27181" s="1"/>
    </row>
    <row r="27182" spans="7:14" x14ac:dyDescent="0.3">
      <c r="G27182" s="1"/>
      <c r="N27182" s="1"/>
    </row>
    <row r="27183" spans="7:14" x14ac:dyDescent="0.3">
      <c r="G27183" s="1"/>
      <c r="N27183" s="1"/>
    </row>
    <row r="27184" spans="7:14" x14ac:dyDescent="0.3">
      <c r="G27184" s="1"/>
      <c r="N27184" s="1"/>
    </row>
    <row r="27185" spans="7:14" x14ac:dyDescent="0.3">
      <c r="G27185" s="1"/>
      <c r="N27185" s="1"/>
    </row>
    <row r="27186" spans="7:14" x14ac:dyDescent="0.3">
      <c r="G27186" s="1"/>
      <c r="N27186" s="1"/>
    </row>
    <row r="27187" spans="7:14" x14ac:dyDescent="0.3">
      <c r="G27187" s="1"/>
      <c r="N27187" s="1"/>
    </row>
    <row r="27188" spans="7:14" x14ac:dyDescent="0.3">
      <c r="G27188" s="1"/>
      <c r="N27188" s="1"/>
    </row>
    <row r="27189" spans="7:14" x14ac:dyDescent="0.3">
      <c r="G27189" s="1"/>
      <c r="N27189" s="1"/>
    </row>
    <row r="27190" spans="7:14" x14ac:dyDescent="0.3">
      <c r="G27190" s="1"/>
      <c r="N27190" s="1"/>
    </row>
    <row r="27191" spans="7:14" x14ac:dyDescent="0.3">
      <c r="G27191" s="1"/>
      <c r="N27191" s="1"/>
    </row>
    <row r="27192" spans="7:14" x14ac:dyDescent="0.3">
      <c r="G27192" s="1"/>
      <c r="N27192" s="1"/>
    </row>
    <row r="27193" spans="7:14" x14ac:dyDescent="0.3">
      <c r="G27193" s="1"/>
      <c r="N27193" s="1"/>
    </row>
    <row r="27194" spans="7:14" x14ac:dyDescent="0.3">
      <c r="G27194" s="1"/>
      <c r="N27194" s="1"/>
    </row>
    <row r="27195" spans="7:14" x14ac:dyDescent="0.3">
      <c r="G27195" s="1"/>
      <c r="N27195" s="1"/>
    </row>
    <row r="27196" spans="7:14" x14ac:dyDescent="0.3">
      <c r="G27196" s="1"/>
      <c r="N27196" s="1"/>
    </row>
    <row r="27197" spans="7:14" x14ac:dyDescent="0.3">
      <c r="G27197" s="1"/>
      <c r="N27197" s="1"/>
    </row>
    <row r="27198" spans="7:14" x14ac:dyDescent="0.3">
      <c r="G27198" s="1"/>
      <c r="N27198" s="1"/>
    </row>
    <row r="27199" spans="7:14" x14ac:dyDescent="0.3">
      <c r="G27199" s="1"/>
      <c r="N27199" s="1"/>
    </row>
    <row r="27200" spans="7:14" x14ac:dyDescent="0.3">
      <c r="G27200" s="1"/>
      <c r="N27200" s="1"/>
    </row>
    <row r="27201" spans="7:14" x14ac:dyDescent="0.3">
      <c r="G27201" s="1"/>
      <c r="N27201" s="1"/>
    </row>
    <row r="27202" spans="7:14" x14ac:dyDescent="0.3">
      <c r="G27202" s="1"/>
      <c r="N27202" s="1"/>
    </row>
    <row r="27203" spans="7:14" x14ac:dyDescent="0.3">
      <c r="G27203" s="1"/>
      <c r="N27203" s="1"/>
    </row>
    <row r="27204" spans="7:14" x14ac:dyDescent="0.3">
      <c r="G27204" s="1"/>
      <c r="N27204" s="1"/>
    </row>
    <row r="27205" spans="7:14" x14ac:dyDescent="0.3">
      <c r="G27205" s="1"/>
      <c r="N27205" s="1"/>
    </row>
    <row r="27206" spans="7:14" x14ac:dyDescent="0.3">
      <c r="G27206" s="1"/>
      <c r="N27206" s="1"/>
    </row>
    <row r="27207" spans="7:14" x14ac:dyDescent="0.3">
      <c r="G27207" s="1"/>
      <c r="N27207" s="1"/>
    </row>
    <row r="27208" spans="7:14" x14ac:dyDescent="0.3">
      <c r="G27208" s="1"/>
      <c r="N27208" s="1"/>
    </row>
    <row r="27209" spans="7:14" x14ac:dyDescent="0.3">
      <c r="G27209" s="1"/>
      <c r="N27209" s="1"/>
    </row>
    <row r="27210" spans="7:14" x14ac:dyDescent="0.3">
      <c r="G27210" s="1"/>
      <c r="N27210" s="1"/>
    </row>
    <row r="27211" spans="7:14" x14ac:dyDescent="0.3">
      <c r="G27211" s="1"/>
      <c r="N27211" s="1"/>
    </row>
    <row r="27212" spans="7:14" x14ac:dyDescent="0.3">
      <c r="G27212" s="1"/>
      <c r="N27212" s="1"/>
    </row>
    <row r="27213" spans="7:14" x14ac:dyDescent="0.3">
      <c r="G27213" s="1"/>
      <c r="N27213" s="1"/>
    </row>
    <row r="27214" spans="7:14" x14ac:dyDescent="0.3">
      <c r="G27214" s="1"/>
      <c r="N27214" s="1"/>
    </row>
    <row r="27215" spans="7:14" x14ac:dyDescent="0.3">
      <c r="G27215" s="1"/>
      <c r="N27215" s="1"/>
    </row>
    <row r="27216" spans="7:14" x14ac:dyDescent="0.3">
      <c r="G27216" s="1"/>
      <c r="N27216" s="1"/>
    </row>
    <row r="27217" spans="7:14" x14ac:dyDescent="0.3">
      <c r="G27217" s="1"/>
      <c r="N27217" s="1"/>
    </row>
    <row r="27218" spans="7:14" x14ac:dyDescent="0.3">
      <c r="G27218" s="1"/>
      <c r="N27218" s="1"/>
    </row>
    <row r="27219" spans="7:14" x14ac:dyDescent="0.3">
      <c r="G27219" s="1"/>
      <c r="N27219" s="1"/>
    </row>
    <row r="27220" spans="7:14" x14ac:dyDescent="0.3">
      <c r="G27220" s="1"/>
      <c r="N27220" s="1"/>
    </row>
    <row r="27221" spans="7:14" x14ac:dyDescent="0.3">
      <c r="G27221" s="1"/>
      <c r="N27221" s="1"/>
    </row>
    <row r="27222" spans="7:14" x14ac:dyDescent="0.3">
      <c r="G27222" s="1"/>
      <c r="N27222" s="1"/>
    </row>
    <row r="27223" spans="7:14" x14ac:dyDescent="0.3">
      <c r="G27223" s="1"/>
      <c r="N27223" s="1"/>
    </row>
    <row r="27224" spans="7:14" x14ac:dyDescent="0.3">
      <c r="G27224" s="1"/>
      <c r="N27224" s="1"/>
    </row>
    <row r="27225" spans="7:14" x14ac:dyDescent="0.3">
      <c r="G27225" s="1"/>
      <c r="N27225" s="1"/>
    </row>
    <row r="27226" spans="7:14" x14ac:dyDescent="0.3">
      <c r="G27226" s="1"/>
      <c r="N27226" s="1"/>
    </row>
    <row r="27227" spans="7:14" x14ac:dyDescent="0.3">
      <c r="G27227" s="1"/>
      <c r="N27227" s="1"/>
    </row>
    <row r="27228" spans="7:14" x14ac:dyDescent="0.3">
      <c r="G27228" s="1"/>
      <c r="N27228" s="1"/>
    </row>
    <row r="27229" spans="7:14" x14ac:dyDescent="0.3">
      <c r="G27229" s="1"/>
      <c r="N27229" s="1"/>
    </row>
    <row r="27230" spans="7:14" x14ac:dyDescent="0.3">
      <c r="G27230" s="1"/>
      <c r="N27230" s="1"/>
    </row>
    <row r="27231" spans="7:14" x14ac:dyDescent="0.3">
      <c r="G27231" s="1"/>
      <c r="N27231" s="1"/>
    </row>
    <row r="27232" spans="7:14" x14ac:dyDescent="0.3">
      <c r="G27232" s="1"/>
      <c r="N27232" s="1"/>
    </row>
    <row r="27233" spans="7:14" x14ac:dyDescent="0.3">
      <c r="G27233" s="1"/>
      <c r="N27233" s="1"/>
    </row>
    <row r="27234" spans="7:14" x14ac:dyDescent="0.3">
      <c r="G27234" s="1"/>
      <c r="N27234" s="1"/>
    </row>
    <row r="27235" spans="7:14" x14ac:dyDescent="0.3">
      <c r="G27235" s="1"/>
      <c r="N27235" s="1"/>
    </row>
    <row r="27236" spans="7:14" x14ac:dyDescent="0.3">
      <c r="G27236" s="1"/>
      <c r="N27236" s="1"/>
    </row>
    <row r="27237" spans="7:14" x14ac:dyDescent="0.3">
      <c r="G27237" s="1"/>
      <c r="N27237" s="1"/>
    </row>
    <row r="27238" spans="7:14" x14ac:dyDescent="0.3">
      <c r="G27238" s="1"/>
      <c r="N27238" s="1"/>
    </row>
    <row r="27239" spans="7:14" x14ac:dyDescent="0.3">
      <c r="G27239" s="1"/>
      <c r="N27239" s="1"/>
    </row>
    <row r="27240" spans="7:14" x14ac:dyDescent="0.3">
      <c r="G27240" s="1"/>
      <c r="N27240" s="1"/>
    </row>
    <row r="27241" spans="7:14" x14ac:dyDescent="0.3">
      <c r="G27241" s="1"/>
      <c r="N27241" s="1"/>
    </row>
    <row r="27242" spans="7:14" x14ac:dyDescent="0.3">
      <c r="G27242" s="1"/>
      <c r="N27242" s="1"/>
    </row>
    <row r="27243" spans="7:14" x14ac:dyDescent="0.3">
      <c r="G27243" s="1"/>
      <c r="N27243" s="1"/>
    </row>
    <row r="27244" spans="7:14" x14ac:dyDescent="0.3">
      <c r="G27244" s="1"/>
      <c r="N27244" s="1"/>
    </row>
    <row r="27245" spans="7:14" x14ac:dyDescent="0.3">
      <c r="G27245" s="1"/>
      <c r="N27245" s="1"/>
    </row>
    <row r="27246" spans="7:14" x14ac:dyDescent="0.3">
      <c r="G27246" s="1"/>
      <c r="N27246" s="1"/>
    </row>
    <row r="27247" spans="7:14" x14ac:dyDescent="0.3">
      <c r="G27247" s="1"/>
      <c r="N27247" s="1"/>
    </row>
    <row r="27248" spans="7:14" x14ac:dyDescent="0.3">
      <c r="G27248" s="1"/>
      <c r="N27248" s="1"/>
    </row>
    <row r="27249" spans="7:14" x14ac:dyDescent="0.3">
      <c r="G27249" s="1"/>
      <c r="N27249" s="1"/>
    </row>
    <row r="27250" spans="7:14" x14ac:dyDescent="0.3">
      <c r="G27250" s="1"/>
      <c r="N27250" s="1"/>
    </row>
    <row r="27251" spans="7:14" x14ac:dyDescent="0.3">
      <c r="G27251" s="1"/>
      <c r="N27251" s="1"/>
    </row>
    <row r="27252" spans="7:14" x14ac:dyDescent="0.3">
      <c r="G27252" s="1"/>
      <c r="N27252" s="1"/>
    </row>
    <row r="27253" spans="7:14" x14ac:dyDescent="0.3">
      <c r="G27253" s="1"/>
      <c r="N27253" s="1"/>
    </row>
    <row r="27254" spans="7:14" x14ac:dyDescent="0.3">
      <c r="G27254" s="1"/>
      <c r="N27254" s="1"/>
    </row>
    <row r="27255" spans="7:14" x14ac:dyDescent="0.3">
      <c r="G27255" s="1"/>
      <c r="N27255" s="1"/>
    </row>
    <row r="27256" spans="7:14" x14ac:dyDescent="0.3">
      <c r="G27256" s="1"/>
      <c r="N27256" s="1"/>
    </row>
    <row r="27257" spans="7:14" x14ac:dyDescent="0.3">
      <c r="G27257" s="1"/>
      <c r="N27257" s="1"/>
    </row>
    <row r="27258" spans="7:14" x14ac:dyDescent="0.3">
      <c r="G27258" s="1"/>
      <c r="N27258" s="1"/>
    </row>
    <row r="27259" spans="7:14" x14ac:dyDescent="0.3">
      <c r="G27259" s="1"/>
      <c r="N27259" s="1"/>
    </row>
    <row r="27260" spans="7:14" x14ac:dyDescent="0.3">
      <c r="G27260" s="1"/>
      <c r="N27260" s="1"/>
    </row>
    <row r="27261" spans="7:14" x14ac:dyDescent="0.3">
      <c r="G27261" s="1"/>
      <c r="N27261" s="1"/>
    </row>
    <row r="27262" spans="7:14" x14ac:dyDescent="0.3">
      <c r="G27262" s="1"/>
      <c r="N27262" s="1"/>
    </row>
    <row r="27263" spans="7:14" x14ac:dyDescent="0.3">
      <c r="G27263" s="1"/>
      <c r="N27263" s="1"/>
    </row>
    <row r="27264" spans="7:14" x14ac:dyDescent="0.3">
      <c r="G27264" s="1"/>
      <c r="N27264" s="1"/>
    </row>
    <row r="27265" spans="7:14" x14ac:dyDescent="0.3">
      <c r="G27265" s="1"/>
      <c r="N27265" s="1"/>
    </row>
    <row r="27266" spans="7:14" x14ac:dyDescent="0.3">
      <c r="G27266" s="1"/>
      <c r="N27266" s="1"/>
    </row>
    <row r="27267" spans="7:14" x14ac:dyDescent="0.3">
      <c r="G27267" s="1"/>
      <c r="N27267" s="1"/>
    </row>
    <row r="27268" spans="7:14" x14ac:dyDescent="0.3">
      <c r="G27268" s="1"/>
      <c r="N27268" s="1"/>
    </row>
    <row r="27269" spans="7:14" x14ac:dyDescent="0.3">
      <c r="G27269" s="1"/>
      <c r="N27269" s="1"/>
    </row>
    <row r="27270" spans="7:14" x14ac:dyDescent="0.3">
      <c r="G27270" s="1"/>
      <c r="N27270" s="1"/>
    </row>
    <row r="27271" spans="7:14" x14ac:dyDescent="0.3">
      <c r="G27271" s="1"/>
      <c r="N27271" s="1"/>
    </row>
    <row r="27272" spans="7:14" x14ac:dyDescent="0.3">
      <c r="G27272" s="1"/>
      <c r="N27272" s="1"/>
    </row>
    <row r="27273" spans="7:14" x14ac:dyDescent="0.3">
      <c r="G27273" s="1"/>
      <c r="N27273" s="1"/>
    </row>
    <row r="27274" spans="7:14" x14ac:dyDescent="0.3">
      <c r="G27274" s="1"/>
      <c r="N27274" s="1"/>
    </row>
    <row r="27275" spans="7:14" x14ac:dyDescent="0.3">
      <c r="G27275" s="1"/>
      <c r="N27275" s="1"/>
    </row>
    <row r="27276" spans="7:14" x14ac:dyDescent="0.3">
      <c r="G27276" s="1"/>
      <c r="N27276" s="1"/>
    </row>
    <row r="27277" spans="7:14" x14ac:dyDescent="0.3">
      <c r="G27277" s="1"/>
      <c r="N27277" s="1"/>
    </row>
    <row r="27278" spans="7:14" x14ac:dyDescent="0.3">
      <c r="G27278" s="1"/>
      <c r="N27278" s="1"/>
    </row>
    <row r="27279" spans="7:14" x14ac:dyDescent="0.3">
      <c r="G27279" s="1"/>
      <c r="N27279" s="1"/>
    </row>
    <row r="27280" spans="7:14" x14ac:dyDescent="0.3">
      <c r="G27280" s="1"/>
      <c r="N27280" s="1"/>
    </row>
    <row r="27281" spans="7:14" x14ac:dyDescent="0.3">
      <c r="G27281" s="1"/>
      <c r="N27281" s="1"/>
    </row>
    <row r="27282" spans="7:14" x14ac:dyDescent="0.3">
      <c r="G27282" s="1"/>
      <c r="N27282" s="1"/>
    </row>
    <row r="27283" spans="7:14" x14ac:dyDescent="0.3">
      <c r="G27283" s="1"/>
      <c r="N27283" s="1"/>
    </row>
    <row r="27284" spans="7:14" x14ac:dyDescent="0.3">
      <c r="G27284" s="1"/>
      <c r="N27284" s="1"/>
    </row>
    <row r="27285" spans="7:14" x14ac:dyDescent="0.3">
      <c r="G27285" s="1"/>
      <c r="N27285" s="1"/>
    </row>
    <row r="27286" spans="7:14" x14ac:dyDescent="0.3">
      <c r="G27286" s="1"/>
      <c r="N27286" s="1"/>
    </row>
    <row r="27287" spans="7:14" x14ac:dyDescent="0.3">
      <c r="G27287" s="1"/>
      <c r="N27287" s="1"/>
    </row>
    <row r="27288" spans="7:14" x14ac:dyDescent="0.3">
      <c r="G27288" s="1"/>
      <c r="N27288" s="1"/>
    </row>
    <row r="27289" spans="7:14" x14ac:dyDescent="0.3">
      <c r="G27289" s="1"/>
      <c r="N27289" s="1"/>
    </row>
    <row r="27290" spans="7:14" x14ac:dyDescent="0.3">
      <c r="G27290" s="1"/>
      <c r="N27290" s="1"/>
    </row>
    <row r="27291" spans="7:14" x14ac:dyDescent="0.3">
      <c r="G27291" s="1"/>
      <c r="N27291" s="1"/>
    </row>
    <row r="27292" spans="7:14" x14ac:dyDescent="0.3">
      <c r="G27292" s="1"/>
      <c r="N27292" s="1"/>
    </row>
    <row r="27293" spans="7:14" x14ac:dyDescent="0.3">
      <c r="G27293" s="1"/>
      <c r="N27293" s="1"/>
    </row>
    <row r="27294" spans="7:14" x14ac:dyDescent="0.3">
      <c r="G27294" s="1"/>
      <c r="N27294" s="1"/>
    </row>
    <row r="27295" spans="7:14" x14ac:dyDescent="0.3">
      <c r="G27295" s="1"/>
      <c r="N27295" s="1"/>
    </row>
    <row r="27296" spans="7:14" x14ac:dyDescent="0.3">
      <c r="G27296" s="1"/>
      <c r="N27296" s="1"/>
    </row>
    <row r="27297" spans="7:14" x14ac:dyDescent="0.3">
      <c r="G27297" s="1"/>
      <c r="N27297" s="1"/>
    </row>
    <row r="27298" spans="7:14" x14ac:dyDescent="0.3">
      <c r="G27298" s="1"/>
      <c r="N27298" s="1"/>
    </row>
    <row r="27299" spans="7:14" x14ac:dyDescent="0.3">
      <c r="G27299" s="1"/>
      <c r="N27299" s="1"/>
    </row>
    <row r="27300" spans="7:14" x14ac:dyDescent="0.3">
      <c r="G27300" s="1"/>
      <c r="N27300" s="1"/>
    </row>
    <row r="27301" spans="7:14" x14ac:dyDescent="0.3">
      <c r="G27301" s="1"/>
      <c r="N27301" s="1"/>
    </row>
    <row r="27302" spans="7:14" x14ac:dyDescent="0.3">
      <c r="G27302" s="1"/>
      <c r="N27302" s="1"/>
    </row>
    <row r="27303" spans="7:14" x14ac:dyDescent="0.3">
      <c r="G27303" s="1"/>
      <c r="N27303" s="1"/>
    </row>
    <row r="27304" spans="7:14" x14ac:dyDescent="0.3">
      <c r="G27304" s="1"/>
      <c r="N27304" s="1"/>
    </row>
    <row r="27305" spans="7:14" x14ac:dyDescent="0.3">
      <c r="G27305" s="1"/>
      <c r="N27305" s="1"/>
    </row>
    <row r="27306" spans="7:14" x14ac:dyDescent="0.3">
      <c r="G27306" s="1"/>
      <c r="N27306" s="1"/>
    </row>
    <row r="27307" spans="7:14" x14ac:dyDescent="0.3">
      <c r="G27307" s="1"/>
      <c r="N27307" s="1"/>
    </row>
    <row r="27308" spans="7:14" x14ac:dyDescent="0.3">
      <c r="G27308" s="1"/>
      <c r="N27308" s="1"/>
    </row>
    <row r="27309" spans="7:14" x14ac:dyDescent="0.3">
      <c r="G27309" s="1"/>
      <c r="N27309" s="1"/>
    </row>
    <row r="27310" spans="7:14" x14ac:dyDescent="0.3">
      <c r="G27310" s="1"/>
      <c r="N27310" s="1"/>
    </row>
    <row r="27311" spans="7:14" x14ac:dyDescent="0.3">
      <c r="G27311" s="1"/>
      <c r="N27311" s="1"/>
    </row>
    <row r="27312" spans="7:14" x14ac:dyDescent="0.3">
      <c r="G27312" s="1"/>
      <c r="N27312" s="1"/>
    </row>
    <row r="27313" spans="7:14" x14ac:dyDescent="0.3">
      <c r="G27313" s="1"/>
      <c r="N27313" s="1"/>
    </row>
    <row r="27314" spans="7:14" x14ac:dyDescent="0.3">
      <c r="G27314" s="1"/>
      <c r="N27314" s="1"/>
    </row>
    <row r="27315" spans="7:14" x14ac:dyDescent="0.3">
      <c r="G27315" s="1"/>
      <c r="N27315" s="1"/>
    </row>
    <row r="27316" spans="7:14" x14ac:dyDescent="0.3">
      <c r="G27316" s="1"/>
      <c r="N27316" s="1"/>
    </row>
    <row r="27317" spans="7:14" x14ac:dyDescent="0.3">
      <c r="G27317" s="1"/>
      <c r="N27317" s="1"/>
    </row>
    <row r="27318" spans="7:14" x14ac:dyDescent="0.3">
      <c r="G27318" s="1"/>
      <c r="N27318" s="1"/>
    </row>
    <row r="27319" spans="7:14" x14ac:dyDescent="0.3">
      <c r="G27319" s="1"/>
      <c r="N27319" s="1"/>
    </row>
    <row r="27320" spans="7:14" x14ac:dyDescent="0.3">
      <c r="G27320" s="1"/>
      <c r="N27320" s="1"/>
    </row>
    <row r="27321" spans="7:14" x14ac:dyDescent="0.3">
      <c r="G27321" s="1"/>
      <c r="N27321" s="1"/>
    </row>
    <row r="27322" spans="7:14" x14ac:dyDescent="0.3">
      <c r="G27322" s="1"/>
      <c r="N27322" s="1"/>
    </row>
    <row r="27323" spans="7:14" x14ac:dyDescent="0.3">
      <c r="G27323" s="1"/>
      <c r="N27323" s="1"/>
    </row>
    <row r="27324" spans="7:14" x14ac:dyDescent="0.3">
      <c r="G27324" s="1"/>
      <c r="N27324" s="1"/>
    </row>
    <row r="27325" spans="7:14" x14ac:dyDescent="0.3">
      <c r="G27325" s="1"/>
      <c r="N27325" s="1"/>
    </row>
    <row r="27326" spans="7:14" x14ac:dyDescent="0.3">
      <c r="G27326" s="1"/>
      <c r="N27326" s="1"/>
    </row>
    <row r="27327" spans="7:14" x14ac:dyDescent="0.3">
      <c r="G27327" s="1"/>
      <c r="N27327" s="1"/>
    </row>
    <row r="27328" spans="7:14" x14ac:dyDescent="0.3">
      <c r="G27328" s="1"/>
      <c r="N27328" s="1"/>
    </row>
    <row r="27329" spans="7:14" x14ac:dyDescent="0.3">
      <c r="G27329" s="1"/>
      <c r="N27329" s="1"/>
    </row>
    <row r="27330" spans="7:14" x14ac:dyDescent="0.3">
      <c r="G27330" s="1"/>
      <c r="N27330" s="1"/>
    </row>
    <row r="27331" spans="7:14" x14ac:dyDescent="0.3">
      <c r="G27331" s="1"/>
      <c r="N27331" s="1"/>
    </row>
    <row r="27332" spans="7:14" x14ac:dyDescent="0.3">
      <c r="G27332" s="1"/>
      <c r="N27332" s="1"/>
    </row>
    <row r="27333" spans="7:14" x14ac:dyDescent="0.3">
      <c r="G27333" s="1"/>
      <c r="N27333" s="1"/>
    </row>
    <row r="27334" spans="7:14" x14ac:dyDescent="0.3">
      <c r="G27334" s="1"/>
      <c r="N27334" s="1"/>
    </row>
    <row r="27335" spans="7:14" x14ac:dyDescent="0.3">
      <c r="G27335" s="1"/>
      <c r="N27335" s="1"/>
    </row>
    <row r="27336" spans="7:14" x14ac:dyDescent="0.3">
      <c r="G27336" s="1"/>
      <c r="N27336" s="1"/>
    </row>
    <row r="27337" spans="7:14" x14ac:dyDescent="0.3">
      <c r="G27337" s="1"/>
      <c r="N27337" s="1"/>
    </row>
    <row r="27338" spans="7:14" x14ac:dyDescent="0.3">
      <c r="G27338" s="1"/>
      <c r="N27338" s="1"/>
    </row>
    <row r="27339" spans="7:14" x14ac:dyDescent="0.3">
      <c r="G27339" s="1"/>
      <c r="N27339" s="1"/>
    </row>
    <row r="27340" spans="7:14" x14ac:dyDescent="0.3">
      <c r="G27340" s="1"/>
      <c r="N27340" s="1"/>
    </row>
    <row r="27341" spans="7:14" x14ac:dyDescent="0.3">
      <c r="G27341" s="1"/>
      <c r="N27341" s="1"/>
    </row>
    <row r="27342" spans="7:14" x14ac:dyDescent="0.3">
      <c r="G27342" s="1"/>
      <c r="N27342" s="1"/>
    </row>
    <row r="27343" spans="7:14" x14ac:dyDescent="0.3">
      <c r="G27343" s="1"/>
      <c r="N27343" s="1"/>
    </row>
    <row r="27344" spans="7:14" x14ac:dyDescent="0.3">
      <c r="G27344" s="1"/>
      <c r="N27344" s="1"/>
    </row>
    <row r="27345" spans="7:14" x14ac:dyDescent="0.3">
      <c r="G27345" s="1"/>
      <c r="N27345" s="1"/>
    </row>
    <row r="27346" spans="7:14" x14ac:dyDescent="0.3">
      <c r="G27346" s="1"/>
      <c r="N27346" s="1"/>
    </row>
    <row r="27347" spans="7:14" x14ac:dyDescent="0.3">
      <c r="G27347" s="1"/>
      <c r="N27347" s="1"/>
    </row>
    <row r="27348" spans="7:14" x14ac:dyDescent="0.3">
      <c r="G27348" s="1"/>
      <c r="N27348" s="1"/>
    </row>
    <row r="27349" spans="7:14" x14ac:dyDescent="0.3">
      <c r="G27349" s="1"/>
      <c r="N27349" s="1"/>
    </row>
    <row r="27350" spans="7:14" x14ac:dyDescent="0.3">
      <c r="G27350" s="1"/>
      <c r="N27350" s="1"/>
    </row>
    <row r="27351" spans="7:14" x14ac:dyDescent="0.3">
      <c r="G27351" s="1"/>
      <c r="N27351" s="1"/>
    </row>
    <row r="27352" spans="7:14" x14ac:dyDescent="0.3">
      <c r="G27352" s="1"/>
      <c r="N27352" s="1"/>
    </row>
    <row r="27353" spans="7:14" x14ac:dyDescent="0.3">
      <c r="G27353" s="1"/>
      <c r="N27353" s="1"/>
    </row>
    <row r="27354" spans="7:14" x14ac:dyDescent="0.3">
      <c r="G27354" s="1"/>
      <c r="N27354" s="1"/>
    </row>
    <row r="27355" spans="7:14" x14ac:dyDescent="0.3">
      <c r="G27355" s="1"/>
      <c r="N27355" s="1"/>
    </row>
    <row r="27356" spans="7:14" x14ac:dyDescent="0.3">
      <c r="G27356" s="1"/>
      <c r="N27356" s="1"/>
    </row>
    <row r="27357" spans="7:14" x14ac:dyDescent="0.3">
      <c r="G27357" s="1"/>
      <c r="N27357" s="1"/>
    </row>
    <row r="27358" spans="7:14" x14ac:dyDescent="0.3">
      <c r="G27358" s="1"/>
      <c r="N27358" s="1"/>
    </row>
    <row r="27359" spans="7:14" x14ac:dyDescent="0.3">
      <c r="G27359" s="1"/>
      <c r="N27359" s="1"/>
    </row>
    <row r="27360" spans="7:14" x14ac:dyDescent="0.3">
      <c r="G27360" s="1"/>
      <c r="N27360" s="1"/>
    </row>
    <row r="27361" spans="7:14" x14ac:dyDescent="0.3">
      <c r="G27361" s="1"/>
      <c r="N27361" s="1"/>
    </row>
    <row r="27362" spans="7:14" x14ac:dyDescent="0.3">
      <c r="G27362" s="1"/>
      <c r="N27362" s="1"/>
    </row>
    <row r="27363" spans="7:14" x14ac:dyDescent="0.3">
      <c r="G27363" s="1"/>
      <c r="N27363" s="1"/>
    </row>
    <row r="27364" spans="7:14" x14ac:dyDescent="0.3">
      <c r="G27364" s="1"/>
      <c r="N27364" s="1"/>
    </row>
    <row r="27365" spans="7:14" x14ac:dyDescent="0.3">
      <c r="G27365" s="1"/>
      <c r="N27365" s="1"/>
    </row>
    <row r="27366" spans="7:14" x14ac:dyDescent="0.3">
      <c r="G27366" s="1"/>
      <c r="N27366" s="1"/>
    </row>
    <row r="27367" spans="7:14" x14ac:dyDescent="0.3">
      <c r="G27367" s="1"/>
      <c r="N27367" s="1"/>
    </row>
    <row r="27368" spans="7:14" x14ac:dyDescent="0.3">
      <c r="G27368" s="1"/>
      <c r="N27368" s="1"/>
    </row>
    <row r="27369" spans="7:14" x14ac:dyDescent="0.3">
      <c r="G27369" s="1"/>
      <c r="N27369" s="1"/>
    </row>
    <row r="27370" spans="7:14" x14ac:dyDescent="0.3">
      <c r="G27370" s="1"/>
      <c r="N27370" s="1"/>
    </row>
    <row r="27371" spans="7:14" x14ac:dyDescent="0.3">
      <c r="G27371" s="1"/>
      <c r="N27371" s="1"/>
    </row>
    <row r="27372" spans="7:14" x14ac:dyDescent="0.3">
      <c r="G27372" s="1"/>
      <c r="N27372" s="1"/>
    </row>
    <row r="27373" spans="7:14" x14ac:dyDescent="0.3">
      <c r="G27373" s="1"/>
      <c r="N27373" s="1"/>
    </row>
    <row r="27374" spans="7:14" x14ac:dyDescent="0.3">
      <c r="G27374" s="1"/>
      <c r="N27374" s="1"/>
    </row>
    <row r="27375" spans="7:14" x14ac:dyDescent="0.3">
      <c r="G27375" s="1"/>
      <c r="N27375" s="1"/>
    </row>
    <row r="27376" spans="7:14" x14ac:dyDescent="0.3">
      <c r="G27376" s="1"/>
      <c r="N27376" s="1"/>
    </row>
    <row r="27377" spans="7:14" x14ac:dyDescent="0.3">
      <c r="G27377" s="1"/>
      <c r="N27377" s="1"/>
    </row>
    <row r="27378" spans="7:14" x14ac:dyDescent="0.3">
      <c r="G27378" s="1"/>
      <c r="N27378" s="1"/>
    </row>
    <row r="27379" spans="7:14" x14ac:dyDescent="0.3">
      <c r="G27379" s="1"/>
      <c r="N27379" s="1"/>
    </row>
    <row r="27380" spans="7:14" x14ac:dyDescent="0.3">
      <c r="G27380" s="1"/>
      <c r="N27380" s="1"/>
    </row>
    <row r="27381" spans="7:14" x14ac:dyDescent="0.3">
      <c r="G27381" s="1"/>
      <c r="N27381" s="1"/>
    </row>
    <row r="27382" spans="7:14" x14ac:dyDescent="0.3">
      <c r="G27382" s="1"/>
      <c r="N27382" s="1"/>
    </row>
    <row r="27383" spans="7:14" x14ac:dyDescent="0.3">
      <c r="G27383" s="1"/>
      <c r="N27383" s="1"/>
    </row>
    <row r="27384" spans="7:14" x14ac:dyDescent="0.3">
      <c r="G27384" s="1"/>
      <c r="N27384" s="1"/>
    </row>
    <row r="27385" spans="7:14" x14ac:dyDescent="0.3">
      <c r="G27385" s="1"/>
      <c r="N27385" s="1"/>
    </row>
    <row r="27386" spans="7:14" x14ac:dyDescent="0.3">
      <c r="G27386" s="1"/>
      <c r="N27386" s="1"/>
    </row>
    <row r="27387" spans="7:14" x14ac:dyDescent="0.3">
      <c r="G27387" s="1"/>
      <c r="N27387" s="1"/>
    </row>
    <row r="27388" spans="7:14" x14ac:dyDescent="0.3">
      <c r="G27388" s="1"/>
      <c r="N27388" s="1"/>
    </row>
    <row r="27389" spans="7:14" x14ac:dyDescent="0.3">
      <c r="G27389" s="1"/>
      <c r="N27389" s="1"/>
    </row>
    <row r="27390" spans="7:14" x14ac:dyDescent="0.3">
      <c r="G27390" s="1"/>
      <c r="N27390" s="1"/>
    </row>
    <row r="27391" spans="7:14" x14ac:dyDescent="0.3">
      <c r="G27391" s="1"/>
      <c r="N27391" s="1"/>
    </row>
    <row r="27392" spans="7:14" x14ac:dyDescent="0.3">
      <c r="G27392" s="1"/>
      <c r="N27392" s="1"/>
    </row>
    <row r="27393" spans="7:14" x14ac:dyDescent="0.3">
      <c r="G27393" s="1"/>
      <c r="N27393" s="1"/>
    </row>
    <row r="27394" spans="7:14" x14ac:dyDescent="0.3">
      <c r="G27394" s="1"/>
      <c r="N27394" s="1"/>
    </row>
    <row r="27395" spans="7:14" x14ac:dyDescent="0.3">
      <c r="G27395" s="1"/>
      <c r="N27395" s="1"/>
    </row>
    <row r="27396" spans="7:14" x14ac:dyDescent="0.3">
      <c r="G27396" s="1"/>
      <c r="N27396" s="1"/>
    </row>
    <row r="27397" spans="7:14" x14ac:dyDescent="0.3">
      <c r="G27397" s="1"/>
      <c r="N27397" s="1"/>
    </row>
    <row r="27398" spans="7:14" x14ac:dyDescent="0.3">
      <c r="G27398" s="1"/>
      <c r="N27398" s="1"/>
    </row>
    <row r="27399" spans="7:14" x14ac:dyDescent="0.3">
      <c r="G27399" s="1"/>
      <c r="N27399" s="1"/>
    </row>
    <row r="27400" spans="7:14" x14ac:dyDescent="0.3">
      <c r="G27400" s="1"/>
      <c r="N27400" s="1"/>
    </row>
    <row r="27401" spans="7:14" x14ac:dyDescent="0.3">
      <c r="G27401" s="1"/>
      <c r="N27401" s="1"/>
    </row>
    <row r="27402" spans="7:14" x14ac:dyDescent="0.3">
      <c r="G27402" s="1"/>
      <c r="N27402" s="1"/>
    </row>
    <row r="27403" spans="7:14" x14ac:dyDescent="0.3">
      <c r="G27403" s="1"/>
      <c r="N27403" s="1"/>
    </row>
    <row r="27404" spans="7:14" x14ac:dyDescent="0.3">
      <c r="G27404" s="1"/>
      <c r="N27404" s="1"/>
    </row>
    <row r="27405" spans="7:14" x14ac:dyDescent="0.3">
      <c r="G27405" s="1"/>
      <c r="N27405" s="1"/>
    </row>
    <row r="27406" spans="7:14" x14ac:dyDescent="0.3">
      <c r="G27406" s="1"/>
      <c r="N27406" s="1"/>
    </row>
    <row r="27407" spans="7:14" x14ac:dyDescent="0.3">
      <c r="G27407" s="1"/>
      <c r="N27407" s="1"/>
    </row>
    <row r="27408" spans="7:14" x14ac:dyDescent="0.3">
      <c r="G27408" s="1"/>
      <c r="N27408" s="1"/>
    </row>
    <row r="27409" spans="7:14" x14ac:dyDescent="0.3">
      <c r="G27409" s="1"/>
      <c r="N27409" s="1"/>
    </row>
    <row r="27410" spans="7:14" x14ac:dyDescent="0.3">
      <c r="G27410" s="1"/>
      <c r="N27410" s="1"/>
    </row>
    <row r="27411" spans="7:14" x14ac:dyDescent="0.3">
      <c r="G27411" s="1"/>
      <c r="N27411" s="1"/>
    </row>
    <row r="27412" spans="7:14" x14ac:dyDescent="0.3">
      <c r="G27412" s="1"/>
      <c r="N27412" s="1"/>
    </row>
    <row r="27413" spans="7:14" x14ac:dyDescent="0.3">
      <c r="G27413" s="1"/>
      <c r="N27413" s="1"/>
    </row>
    <row r="27414" spans="7:14" x14ac:dyDescent="0.3">
      <c r="G27414" s="1"/>
      <c r="N27414" s="1"/>
    </row>
    <row r="27415" spans="7:14" x14ac:dyDescent="0.3">
      <c r="G27415" s="1"/>
      <c r="N27415" s="1"/>
    </row>
    <row r="27416" spans="7:14" x14ac:dyDescent="0.3">
      <c r="G27416" s="1"/>
      <c r="N27416" s="1"/>
    </row>
    <row r="27417" spans="7:14" x14ac:dyDescent="0.3">
      <c r="G27417" s="1"/>
      <c r="N27417" s="1"/>
    </row>
    <row r="27418" spans="7:14" x14ac:dyDescent="0.3">
      <c r="G27418" s="1"/>
      <c r="N27418" s="1"/>
    </row>
    <row r="27419" spans="7:14" x14ac:dyDescent="0.3">
      <c r="G27419" s="1"/>
      <c r="N27419" s="1"/>
    </row>
    <row r="27420" spans="7:14" x14ac:dyDescent="0.3">
      <c r="G27420" s="1"/>
      <c r="N27420" s="1"/>
    </row>
    <row r="27421" spans="7:14" x14ac:dyDescent="0.3">
      <c r="G27421" s="1"/>
      <c r="N27421" s="1"/>
    </row>
    <row r="27422" spans="7:14" x14ac:dyDescent="0.3">
      <c r="G27422" s="1"/>
      <c r="N27422" s="1"/>
    </row>
    <row r="27423" spans="7:14" x14ac:dyDescent="0.3">
      <c r="G27423" s="1"/>
      <c r="N27423" s="1"/>
    </row>
    <row r="27424" spans="7:14" x14ac:dyDescent="0.3">
      <c r="G27424" s="1"/>
      <c r="N27424" s="1"/>
    </row>
    <row r="27425" spans="7:14" x14ac:dyDescent="0.3">
      <c r="G27425" s="1"/>
      <c r="N27425" s="1"/>
    </row>
    <row r="27426" spans="7:14" x14ac:dyDescent="0.3">
      <c r="G27426" s="1"/>
      <c r="N27426" s="1"/>
    </row>
    <row r="27427" spans="7:14" x14ac:dyDescent="0.3">
      <c r="G27427" s="1"/>
      <c r="N27427" s="1"/>
    </row>
    <row r="27428" spans="7:14" x14ac:dyDescent="0.3">
      <c r="G27428" s="1"/>
      <c r="N27428" s="1"/>
    </row>
    <row r="27429" spans="7:14" x14ac:dyDescent="0.3">
      <c r="G27429" s="1"/>
      <c r="N27429" s="1"/>
    </row>
    <row r="27430" spans="7:14" x14ac:dyDescent="0.3">
      <c r="G27430" s="1"/>
      <c r="N27430" s="1"/>
    </row>
    <row r="27431" spans="7:14" x14ac:dyDescent="0.3">
      <c r="G27431" s="1"/>
      <c r="N27431" s="1"/>
    </row>
    <row r="27432" spans="7:14" x14ac:dyDescent="0.3">
      <c r="G27432" s="1"/>
      <c r="N27432" s="1"/>
    </row>
    <row r="27433" spans="7:14" x14ac:dyDescent="0.3">
      <c r="G27433" s="1"/>
      <c r="N27433" s="1"/>
    </row>
    <row r="27434" spans="7:14" x14ac:dyDescent="0.3">
      <c r="G27434" s="1"/>
      <c r="N27434" s="1"/>
    </row>
    <row r="27435" spans="7:14" x14ac:dyDescent="0.3">
      <c r="G27435" s="1"/>
      <c r="N27435" s="1"/>
    </row>
    <row r="27436" spans="7:14" x14ac:dyDescent="0.3">
      <c r="G27436" s="1"/>
      <c r="N27436" s="1"/>
    </row>
    <row r="27437" spans="7:14" x14ac:dyDescent="0.3">
      <c r="G27437" s="1"/>
      <c r="N27437" s="1"/>
    </row>
    <row r="27438" spans="7:14" x14ac:dyDescent="0.3">
      <c r="G27438" s="1"/>
      <c r="N27438" s="1"/>
    </row>
    <row r="27439" spans="7:14" x14ac:dyDescent="0.3">
      <c r="G27439" s="1"/>
      <c r="N27439" s="1"/>
    </row>
    <row r="27440" spans="7:14" x14ac:dyDescent="0.3">
      <c r="G27440" s="1"/>
      <c r="N27440" s="1"/>
    </row>
    <row r="27441" spans="7:14" x14ac:dyDescent="0.3">
      <c r="G27441" s="1"/>
      <c r="N27441" s="1"/>
    </row>
    <row r="27442" spans="7:14" x14ac:dyDescent="0.3">
      <c r="G27442" s="1"/>
      <c r="N27442" s="1"/>
    </row>
    <row r="27443" spans="7:14" x14ac:dyDescent="0.3">
      <c r="G27443" s="1"/>
      <c r="N27443" s="1"/>
    </row>
    <row r="27444" spans="7:14" x14ac:dyDescent="0.3">
      <c r="G27444" s="1"/>
      <c r="N27444" s="1"/>
    </row>
    <row r="27445" spans="7:14" x14ac:dyDescent="0.3">
      <c r="G27445" s="1"/>
      <c r="N27445" s="1"/>
    </row>
    <row r="27446" spans="7:14" x14ac:dyDescent="0.3">
      <c r="G27446" s="1"/>
      <c r="N27446" s="1"/>
    </row>
    <row r="27447" spans="7:14" x14ac:dyDescent="0.3">
      <c r="G27447" s="1"/>
      <c r="N27447" s="1"/>
    </row>
    <row r="27448" spans="7:14" x14ac:dyDescent="0.3">
      <c r="G27448" s="1"/>
      <c r="N27448" s="1"/>
    </row>
    <row r="27449" spans="7:14" x14ac:dyDescent="0.3">
      <c r="G27449" s="1"/>
      <c r="N27449" s="1"/>
    </row>
    <row r="27450" spans="7:14" x14ac:dyDescent="0.3">
      <c r="G27450" s="1"/>
      <c r="N27450" s="1"/>
    </row>
    <row r="27451" spans="7:14" x14ac:dyDescent="0.3">
      <c r="G27451" s="1"/>
      <c r="N27451" s="1"/>
    </row>
    <row r="27452" spans="7:14" x14ac:dyDescent="0.3">
      <c r="G27452" s="1"/>
      <c r="N27452" s="1"/>
    </row>
    <row r="27453" spans="7:14" x14ac:dyDescent="0.3">
      <c r="G27453" s="1"/>
      <c r="N27453" s="1"/>
    </row>
    <row r="27454" spans="7:14" x14ac:dyDescent="0.3">
      <c r="G27454" s="1"/>
      <c r="N27454" s="1"/>
    </row>
    <row r="27455" spans="7:14" x14ac:dyDescent="0.3">
      <c r="G27455" s="1"/>
      <c r="N27455" s="1"/>
    </row>
    <row r="27456" spans="7:14" x14ac:dyDescent="0.3">
      <c r="G27456" s="1"/>
      <c r="N27456" s="1"/>
    </row>
    <row r="27457" spans="7:14" x14ac:dyDescent="0.3">
      <c r="G27457" s="1"/>
      <c r="N27457" s="1"/>
    </row>
    <row r="27458" spans="7:14" x14ac:dyDescent="0.3">
      <c r="G27458" s="1"/>
      <c r="N27458" s="1"/>
    </row>
    <row r="27459" spans="7:14" x14ac:dyDescent="0.3">
      <c r="G27459" s="1"/>
      <c r="N27459" s="1"/>
    </row>
    <row r="27460" spans="7:14" x14ac:dyDescent="0.3">
      <c r="G27460" s="1"/>
      <c r="N27460" s="1"/>
    </row>
    <row r="27461" spans="7:14" x14ac:dyDescent="0.3">
      <c r="G27461" s="1"/>
      <c r="N27461" s="1"/>
    </row>
    <row r="27462" spans="7:14" x14ac:dyDescent="0.3">
      <c r="G27462" s="1"/>
      <c r="N27462" s="1"/>
    </row>
    <row r="27463" spans="7:14" x14ac:dyDescent="0.3">
      <c r="G27463" s="1"/>
      <c r="N27463" s="1"/>
    </row>
    <row r="27464" spans="7:14" x14ac:dyDescent="0.3">
      <c r="G27464" s="1"/>
      <c r="N27464" s="1"/>
    </row>
    <row r="27465" spans="7:14" x14ac:dyDescent="0.3">
      <c r="G27465" s="1"/>
      <c r="N27465" s="1"/>
    </row>
    <row r="27466" spans="7:14" x14ac:dyDescent="0.3">
      <c r="G27466" s="1"/>
      <c r="N27466" s="1"/>
    </row>
    <row r="27467" spans="7:14" x14ac:dyDescent="0.3">
      <c r="G27467" s="1"/>
      <c r="N27467" s="1"/>
    </row>
    <row r="27468" spans="7:14" x14ac:dyDescent="0.3">
      <c r="G27468" s="1"/>
      <c r="N27468" s="1"/>
    </row>
    <row r="27469" spans="7:14" x14ac:dyDescent="0.3">
      <c r="G27469" s="1"/>
      <c r="N27469" s="1"/>
    </row>
    <row r="27470" spans="7:14" x14ac:dyDescent="0.3">
      <c r="G27470" s="1"/>
      <c r="N27470" s="1"/>
    </row>
    <row r="27471" spans="7:14" x14ac:dyDescent="0.3">
      <c r="G27471" s="1"/>
      <c r="N27471" s="1"/>
    </row>
    <row r="27472" spans="7:14" x14ac:dyDescent="0.3">
      <c r="G27472" s="1"/>
      <c r="N27472" s="1"/>
    </row>
    <row r="27473" spans="7:14" x14ac:dyDescent="0.3">
      <c r="G27473" s="1"/>
      <c r="N27473" s="1"/>
    </row>
    <row r="27474" spans="7:14" x14ac:dyDescent="0.3">
      <c r="G27474" s="1"/>
      <c r="N27474" s="1"/>
    </row>
    <row r="27475" spans="7:14" x14ac:dyDescent="0.3">
      <c r="G27475" s="1"/>
      <c r="N27475" s="1"/>
    </row>
    <row r="27476" spans="7:14" x14ac:dyDescent="0.3">
      <c r="G27476" s="1"/>
      <c r="N27476" s="1"/>
    </row>
    <row r="27477" spans="7:14" x14ac:dyDescent="0.3">
      <c r="G27477" s="1"/>
      <c r="N27477" s="1"/>
    </row>
    <row r="27478" spans="7:14" x14ac:dyDescent="0.3">
      <c r="G27478" s="1"/>
      <c r="N27478" s="1"/>
    </row>
    <row r="27479" spans="7:14" x14ac:dyDescent="0.3">
      <c r="G27479" s="1"/>
      <c r="N27479" s="1"/>
    </row>
    <row r="27480" spans="7:14" x14ac:dyDescent="0.3">
      <c r="G27480" s="1"/>
      <c r="N27480" s="1"/>
    </row>
    <row r="27481" spans="7:14" x14ac:dyDescent="0.3">
      <c r="G27481" s="1"/>
      <c r="N27481" s="1"/>
    </row>
    <row r="27482" spans="7:14" x14ac:dyDescent="0.3">
      <c r="G27482" s="1"/>
      <c r="N27482" s="1"/>
    </row>
    <row r="27483" spans="7:14" x14ac:dyDescent="0.3">
      <c r="G27483" s="1"/>
      <c r="N27483" s="1"/>
    </row>
    <row r="27484" spans="7:14" x14ac:dyDescent="0.3">
      <c r="G27484" s="1"/>
      <c r="N27484" s="1"/>
    </row>
    <row r="27485" spans="7:14" x14ac:dyDescent="0.3">
      <c r="G27485" s="1"/>
      <c r="N27485" s="1"/>
    </row>
    <row r="27486" spans="7:14" x14ac:dyDescent="0.3">
      <c r="G27486" s="1"/>
      <c r="N27486" s="1"/>
    </row>
    <row r="27487" spans="7:14" x14ac:dyDescent="0.3">
      <c r="G27487" s="1"/>
      <c r="N27487" s="1"/>
    </row>
    <row r="27488" spans="7:14" x14ac:dyDescent="0.3">
      <c r="G27488" s="1"/>
      <c r="N27488" s="1"/>
    </row>
    <row r="27489" spans="7:14" x14ac:dyDescent="0.3">
      <c r="G27489" s="1"/>
      <c r="N27489" s="1"/>
    </row>
    <row r="27490" spans="7:14" x14ac:dyDescent="0.3">
      <c r="G27490" s="1"/>
      <c r="N27490" s="1"/>
    </row>
    <row r="27491" spans="7:14" x14ac:dyDescent="0.3">
      <c r="G27491" s="1"/>
      <c r="N27491" s="1"/>
    </row>
    <row r="27492" spans="7:14" x14ac:dyDescent="0.3">
      <c r="G27492" s="1"/>
      <c r="N27492" s="1"/>
    </row>
    <row r="27493" spans="7:14" x14ac:dyDescent="0.3">
      <c r="G27493" s="1"/>
      <c r="N27493" s="1"/>
    </row>
    <row r="27494" spans="7:14" x14ac:dyDescent="0.3">
      <c r="G27494" s="1"/>
      <c r="N27494" s="1"/>
    </row>
    <row r="27495" spans="7:14" x14ac:dyDescent="0.3">
      <c r="G27495" s="1"/>
      <c r="N27495" s="1"/>
    </row>
    <row r="27496" spans="7:14" x14ac:dyDescent="0.3">
      <c r="G27496" s="1"/>
      <c r="N27496" s="1"/>
    </row>
    <row r="27497" spans="7:14" x14ac:dyDescent="0.3">
      <c r="G27497" s="1"/>
      <c r="N27497" s="1"/>
    </row>
    <row r="27498" spans="7:14" x14ac:dyDescent="0.3">
      <c r="G27498" s="1"/>
      <c r="N27498" s="1"/>
    </row>
    <row r="27499" spans="7:14" x14ac:dyDescent="0.3">
      <c r="G27499" s="1"/>
      <c r="N27499" s="1"/>
    </row>
    <row r="27500" spans="7:14" x14ac:dyDescent="0.3">
      <c r="G27500" s="1"/>
      <c r="N27500" s="1"/>
    </row>
    <row r="27501" spans="7:14" x14ac:dyDescent="0.3">
      <c r="G27501" s="1"/>
      <c r="N27501" s="1"/>
    </row>
    <row r="27502" spans="7:14" x14ac:dyDescent="0.3">
      <c r="G27502" s="1"/>
      <c r="N27502" s="1"/>
    </row>
    <row r="27503" spans="7:14" x14ac:dyDescent="0.3">
      <c r="G27503" s="1"/>
      <c r="N27503" s="1"/>
    </row>
    <row r="27504" spans="7:14" x14ac:dyDescent="0.3">
      <c r="G27504" s="1"/>
      <c r="N27504" s="1"/>
    </row>
    <row r="27505" spans="7:14" x14ac:dyDescent="0.3">
      <c r="G27505" s="1"/>
      <c r="N27505" s="1"/>
    </row>
    <row r="27506" spans="7:14" x14ac:dyDescent="0.3">
      <c r="G27506" s="1"/>
      <c r="N27506" s="1"/>
    </row>
    <row r="27507" spans="7:14" x14ac:dyDescent="0.3">
      <c r="G27507" s="1"/>
      <c r="N27507" s="1"/>
    </row>
    <row r="27508" spans="7:14" x14ac:dyDescent="0.3">
      <c r="G27508" s="1"/>
      <c r="N27508" s="1"/>
    </row>
    <row r="27509" spans="7:14" x14ac:dyDescent="0.3">
      <c r="G27509" s="1"/>
      <c r="N27509" s="1"/>
    </row>
    <row r="27510" spans="7:14" x14ac:dyDescent="0.3">
      <c r="G27510" s="1"/>
      <c r="N27510" s="1"/>
    </row>
    <row r="27511" spans="7:14" x14ac:dyDescent="0.3">
      <c r="G27511" s="1"/>
      <c r="N27511" s="1"/>
    </row>
    <row r="27512" spans="7:14" x14ac:dyDescent="0.3">
      <c r="G27512" s="1"/>
      <c r="N27512" s="1"/>
    </row>
    <row r="27513" spans="7:14" x14ac:dyDescent="0.3">
      <c r="G27513" s="1"/>
      <c r="N27513" s="1"/>
    </row>
    <row r="27514" spans="7:14" x14ac:dyDescent="0.3">
      <c r="G27514" s="1"/>
      <c r="N27514" s="1"/>
    </row>
    <row r="27515" spans="7:14" x14ac:dyDescent="0.3">
      <c r="G27515" s="1"/>
      <c r="N27515" s="1"/>
    </row>
    <row r="27516" spans="7:14" x14ac:dyDescent="0.3">
      <c r="G27516" s="1"/>
      <c r="N27516" s="1"/>
    </row>
    <row r="27517" spans="7:14" x14ac:dyDescent="0.3">
      <c r="G27517" s="1"/>
      <c r="N27517" s="1"/>
    </row>
    <row r="27518" spans="7:14" x14ac:dyDescent="0.3">
      <c r="G27518" s="1"/>
      <c r="N27518" s="1"/>
    </row>
    <row r="27519" spans="7:14" x14ac:dyDescent="0.3">
      <c r="G27519" s="1"/>
      <c r="N27519" s="1"/>
    </row>
    <row r="27520" spans="7:14" x14ac:dyDescent="0.3">
      <c r="G27520" s="1"/>
      <c r="N27520" s="1"/>
    </row>
    <row r="27521" spans="7:14" x14ac:dyDescent="0.3">
      <c r="G27521" s="1"/>
      <c r="N27521" s="1"/>
    </row>
    <row r="27522" spans="7:14" x14ac:dyDescent="0.3">
      <c r="G27522" s="1"/>
      <c r="N27522" s="1"/>
    </row>
    <row r="27523" spans="7:14" x14ac:dyDescent="0.3">
      <c r="G27523" s="1"/>
      <c r="N27523" s="1"/>
    </row>
    <row r="27524" spans="7:14" x14ac:dyDescent="0.3">
      <c r="G27524" s="1"/>
      <c r="N27524" s="1"/>
    </row>
    <row r="27525" spans="7:14" x14ac:dyDescent="0.3">
      <c r="G27525" s="1"/>
      <c r="N27525" s="1"/>
    </row>
    <row r="27526" spans="7:14" x14ac:dyDescent="0.3">
      <c r="G27526" s="1"/>
      <c r="N27526" s="1"/>
    </row>
    <row r="27527" spans="7:14" x14ac:dyDescent="0.3">
      <c r="G27527" s="1"/>
      <c r="N27527" s="1"/>
    </row>
    <row r="27528" spans="7:14" x14ac:dyDescent="0.3">
      <c r="G27528" s="1"/>
      <c r="N27528" s="1"/>
    </row>
    <row r="27529" spans="7:14" x14ac:dyDescent="0.3">
      <c r="G27529" s="1"/>
      <c r="N27529" s="1"/>
    </row>
    <row r="27530" spans="7:14" x14ac:dyDescent="0.3">
      <c r="G27530" s="1"/>
      <c r="N27530" s="1"/>
    </row>
    <row r="27531" spans="7:14" x14ac:dyDescent="0.3">
      <c r="G27531" s="1"/>
      <c r="N27531" s="1"/>
    </row>
    <row r="27532" spans="7:14" x14ac:dyDescent="0.3">
      <c r="G27532" s="1"/>
      <c r="N27532" s="1"/>
    </row>
    <row r="27533" spans="7:14" x14ac:dyDescent="0.3">
      <c r="G27533" s="1"/>
      <c r="N27533" s="1"/>
    </row>
    <row r="27534" spans="7:14" x14ac:dyDescent="0.3">
      <c r="G27534" s="1"/>
      <c r="N27534" s="1"/>
    </row>
    <row r="27535" spans="7:14" x14ac:dyDescent="0.3">
      <c r="G27535" s="1"/>
      <c r="N27535" s="1"/>
    </row>
    <row r="27536" spans="7:14" x14ac:dyDescent="0.3">
      <c r="G27536" s="1"/>
      <c r="N27536" s="1"/>
    </row>
    <row r="27537" spans="7:14" x14ac:dyDescent="0.3">
      <c r="G27537" s="1"/>
      <c r="N27537" s="1"/>
    </row>
    <row r="27538" spans="7:14" x14ac:dyDescent="0.3">
      <c r="G27538" s="1"/>
      <c r="N27538" s="1"/>
    </row>
    <row r="27539" spans="7:14" x14ac:dyDescent="0.3">
      <c r="G27539" s="1"/>
      <c r="N27539" s="1"/>
    </row>
    <row r="27540" spans="7:14" x14ac:dyDescent="0.3">
      <c r="G27540" s="1"/>
      <c r="N27540" s="1"/>
    </row>
    <row r="27541" spans="7:14" x14ac:dyDescent="0.3">
      <c r="G27541" s="1"/>
      <c r="N27541" s="1"/>
    </row>
    <row r="27542" spans="7:14" x14ac:dyDescent="0.3">
      <c r="G27542" s="1"/>
      <c r="N27542" s="1"/>
    </row>
    <row r="27543" spans="7:14" x14ac:dyDescent="0.3">
      <c r="G27543" s="1"/>
      <c r="N27543" s="1"/>
    </row>
    <row r="27544" spans="7:14" x14ac:dyDescent="0.3">
      <c r="G27544" s="1"/>
      <c r="N27544" s="1"/>
    </row>
    <row r="27545" spans="7:14" x14ac:dyDescent="0.3">
      <c r="G27545" s="1"/>
      <c r="N27545" s="1"/>
    </row>
    <row r="27546" spans="7:14" x14ac:dyDescent="0.3">
      <c r="G27546" s="1"/>
      <c r="N27546" s="1"/>
    </row>
    <row r="27547" spans="7:14" x14ac:dyDescent="0.3">
      <c r="G27547" s="1"/>
      <c r="N27547" s="1"/>
    </row>
    <row r="27548" spans="7:14" x14ac:dyDescent="0.3">
      <c r="G27548" s="1"/>
      <c r="N27548" s="1"/>
    </row>
    <row r="27549" spans="7:14" x14ac:dyDescent="0.3">
      <c r="G27549" s="1"/>
      <c r="N27549" s="1"/>
    </row>
    <row r="27550" spans="7:14" x14ac:dyDescent="0.3">
      <c r="G27550" s="1"/>
      <c r="N27550" s="1"/>
    </row>
    <row r="27551" spans="7:14" x14ac:dyDescent="0.3">
      <c r="G27551" s="1"/>
      <c r="N27551" s="1"/>
    </row>
    <row r="27552" spans="7:14" x14ac:dyDescent="0.3">
      <c r="G27552" s="1"/>
      <c r="N27552" s="1"/>
    </row>
    <row r="27553" spans="7:14" x14ac:dyDescent="0.3">
      <c r="G27553" s="1"/>
      <c r="N27553" s="1"/>
    </row>
    <row r="27554" spans="7:14" x14ac:dyDescent="0.3">
      <c r="G27554" s="1"/>
      <c r="N27554" s="1"/>
    </row>
    <row r="27555" spans="7:14" x14ac:dyDescent="0.3">
      <c r="G27555" s="1"/>
      <c r="N27555" s="1"/>
    </row>
    <row r="27556" spans="7:14" x14ac:dyDescent="0.3">
      <c r="G27556" s="1"/>
      <c r="N27556" s="1"/>
    </row>
    <row r="27557" spans="7:14" x14ac:dyDescent="0.3">
      <c r="G27557" s="1"/>
      <c r="N27557" s="1"/>
    </row>
    <row r="27558" spans="7:14" x14ac:dyDescent="0.3">
      <c r="G27558" s="1"/>
      <c r="N27558" s="1"/>
    </row>
    <row r="27559" spans="7:14" x14ac:dyDescent="0.3">
      <c r="G27559" s="1"/>
      <c r="N27559" s="1"/>
    </row>
    <row r="27560" spans="7:14" x14ac:dyDescent="0.3">
      <c r="G27560" s="1"/>
      <c r="N27560" s="1"/>
    </row>
    <row r="27561" spans="7:14" x14ac:dyDescent="0.3">
      <c r="G27561" s="1"/>
      <c r="N27561" s="1"/>
    </row>
    <row r="27562" spans="7:14" x14ac:dyDescent="0.3">
      <c r="G27562" s="1"/>
      <c r="N27562" s="1"/>
    </row>
    <row r="27563" spans="7:14" x14ac:dyDescent="0.3">
      <c r="G27563" s="1"/>
      <c r="N27563" s="1"/>
    </row>
    <row r="27564" spans="7:14" x14ac:dyDescent="0.3">
      <c r="G27564" s="1"/>
      <c r="N27564" s="1"/>
    </row>
    <row r="27565" spans="7:14" x14ac:dyDescent="0.3">
      <c r="G27565" s="1"/>
      <c r="N27565" s="1"/>
    </row>
    <row r="27566" spans="7:14" x14ac:dyDescent="0.3">
      <c r="G27566" s="1"/>
      <c r="N27566" s="1"/>
    </row>
    <row r="27567" spans="7:14" x14ac:dyDescent="0.3">
      <c r="G27567" s="1"/>
      <c r="N27567" s="1"/>
    </row>
    <row r="27568" spans="7:14" x14ac:dyDescent="0.3">
      <c r="G27568" s="1"/>
      <c r="N27568" s="1"/>
    </row>
    <row r="27569" spans="7:14" x14ac:dyDescent="0.3">
      <c r="G27569" s="1"/>
      <c r="N27569" s="1"/>
    </row>
    <row r="27570" spans="7:14" x14ac:dyDescent="0.3">
      <c r="G27570" s="1"/>
      <c r="N27570" s="1"/>
    </row>
    <row r="27571" spans="7:14" x14ac:dyDescent="0.3">
      <c r="G27571" s="1"/>
      <c r="N27571" s="1"/>
    </row>
    <row r="27572" spans="7:14" x14ac:dyDescent="0.3">
      <c r="G27572" s="1"/>
      <c r="N27572" s="1"/>
    </row>
    <row r="27573" spans="7:14" x14ac:dyDescent="0.3">
      <c r="G27573" s="1"/>
      <c r="N27573" s="1"/>
    </row>
    <row r="27574" spans="7:14" x14ac:dyDescent="0.3">
      <c r="G27574" s="1"/>
      <c r="N27574" s="1"/>
    </row>
    <row r="27575" spans="7:14" x14ac:dyDescent="0.3">
      <c r="G27575" s="1"/>
      <c r="N27575" s="1"/>
    </row>
    <row r="27576" spans="7:14" x14ac:dyDescent="0.3">
      <c r="G27576" s="1"/>
      <c r="N27576" s="1"/>
    </row>
    <row r="27577" spans="7:14" x14ac:dyDescent="0.3">
      <c r="G27577" s="1"/>
      <c r="N27577" s="1"/>
    </row>
    <row r="27578" spans="7:14" x14ac:dyDescent="0.3">
      <c r="G27578" s="1"/>
      <c r="N27578" s="1"/>
    </row>
    <row r="27579" spans="7:14" x14ac:dyDescent="0.3">
      <c r="G27579" s="1"/>
      <c r="N27579" s="1"/>
    </row>
    <row r="27580" spans="7:14" x14ac:dyDescent="0.3">
      <c r="G27580" s="1"/>
      <c r="N27580" s="1"/>
    </row>
    <row r="27581" spans="7:14" x14ac:dyDescent="0.3">
      <c r="G27581" s="1"/>
      <c r="N27581" s="1"/>
    </row>
    <row r="27582" spans="7:14" x14ac:dyDescent="0.3">
      <c r="G27582" s="1"/>
      <c r="N27582" s="1"/>
    </row>
    <row r="27583" spans="7:14" x14ac:dyDescent="0.3">
      <c r="G27583" s="1"/>
      <c r="N27583" s="1"/>
    </row>
    <row r="27584" spans="7:14" x14ac:dyDescent="0.3">
      <c r="G27584" s="1"/>
      <c r="N27584" s="1"/>
    </row>
    <row r="27585" spans="7:14" x14ac:dyDescent="0.3">
      <c r="G27585" s="1"/>
      <c r="N27585" s="1"/>
    </row>
    <row r="27586" spans="7:14" x14ac:dyDescent="0.3">
      <c r="G27586" s="1"/>
      <c r="N27586" s="1"/>
    </row>
    <row r="27587" spans="7:14" x14ac:dyDescent="0.3">
      <c r="G27587" s="1"/>
      <c r="N27587" s="1"/>
    </row>
    <row r="27588" spans="7:14" x14ac:dyDescent="0.3">
      <c r="G27588" s="1"/>
      <c r="N27588" s="1"/>
    </row>
    <row r="27589" spans="7:14" x14ac:dyDescent="0.3">
      <c r="G27589" s="1"/>
      <c r="N27589" s="1"/>
    </row>
    <row r="27590" spans="7:14" x14ac:dyDescent="0.3">
      <c r="G27590" s="1"/>
      <c r="N27590" s="1"/>
    </row>
    <row r="27591" spans="7:14" x14ac:dyDescent="0.3">
      <c r="G27591" s="1"/>
      <c r="N27591" s="1"/>
    </row>
    <row r="27592" spans="7:14" x14ac:dyDescent="0.3">
      <c r="G27592" s="1"/>
      <c r="N27592" s="1"/>
    </row>
    <row r="27593" spans="7:14" x14ac:dyDescent="0.3">
      <c r="G27593" s="1"/>
      <c r="N27593" s="1"/>
    </row>
    <row r="27594" spans="7:14" x14ac:dyDescent="0.3">
      <c r="G27594" s="1"/>
      <c r="N27594" s="1"/>
    </row>
    <row r="27595" spans="7:14" x14ac:dyDescent="0.3">
      <c r="G27595" s="1"/>
      <c r="N27595" s="1"/>
    </row>
    <row r="27596" spans="7:14" x14ac:dyDescent="0.3">
      <c r="G27596" s="1"/>
      <c r="N27596" s="1"/>
    </row>
    <row r="27597" spans="7:14" x14ac:dyDescent="0.3">
      <c r="G27597" s="1"/>
      <c r="N27597" s="1"/>
    </row>
    <row r="27598" spans="7:14" x14ac:dyDescent="0.3">
      <c r="G27598" s="1"/>
      <c r="N27598" s="1"/>
    </row>
    <row r="27599" spans="7:14" x14ac:dyDescent="0.3">
      <c r="G27599" s="1"/>
      <c r="N27599" s="1"/>
    </row>
    <row r="27600" spans="7:14" x14ac:dyDescent="0.3">
      <c r="G27600" s="1"/>
      <c r="N27600" s="1"/>
    </row>
    <row r="27601" spans="7:14" x14ac:dyDescent="0.3">
      <c r="G27601" s="1"/>
      <c r="N27601" s="1"/>
    </row>
    <row r="27602" spans="7:14" x14ac:dyDescent="0.3">
      <c r="G27602" s="1"/>
      <c r="N27602" s="1"/>
    </row>
    <row r="27603" spans="7:14" x14ac:dyDescent="0.3">
      <c r="G27603" s="1"/>
      <c r="N27603" s="1"/>
    </row>
    <row r="27604" spans="7:14" x14ac:dyDescent="0.3">
      <c r="G27604" s="1"/>
      <c r="N27604" s="1"/>
    </row>
    <row r="27605" spans="7:14" x14ac:dyDescent="0.3">
      <c r="G27605" s="1"/>
      <c r="N27605" s="1"/>
    </row>
    <row r="27606" spans="7:14" x14ac:dyDescent="0.3">
      <c r="G27606" s="1"/>
      <c r="N27606" s="1"/>
    </row>
    <row r="27607" spans="7:14" x14ac:dyDescent="0.3">
      <c r="G27607" s="1"/>
      <c r="N27607" s="1"/>
    </row>
    <row r="27608" spans="7:14" x14ac:dyDescent="0.3">
      <c r="G27608" s="1"/>
      <c r="N27608" s="1"/>
    </row>
    <row r="27609" spans="7:14" x14ac:dyDescent="0.3">
      <c r="G27609" s="1"/>
      <c r="N27609" s="1"/>
    </row>
    <row r="27610" spans="7:14" x14ac:dyDescent="0.3">
      <c r="G27610" s="1"/>
      <c r="N27610" s="1"/>
    </row>
    <row r="27611" spans="7:14" x14ac:dyDescent="0.3">
      <c r="G27611" s="1"/>
      <c r="N27611" s="1"/>
    </row>
    <row r="27612" spans="7:14" x14ac:dyDescent="0.3">
      <c r="G27612" s="1"/>
      <c r="N27612" s="1"/>
    </row>
    <row r="27613" spans="7:14" x14ac:dyDescent="0.3">
      <c r="G27613" s="1"/>
      <c r="N27613" s="1"/>
    </row>
    <row r="27614" spans="7:14" x14ac:dyDescent="0.3">
      <c r="G27614" s="1"/>
      <c r="N27614" s="1"/>
    </row>
    <row r="27615" spans="7:14" x14ac:dyDescent="0.3">
      <c r="G27615" s="1"/>
      <c r="N27615" s="1"/>
    </row>
    <row r="27616" spans="7:14" x14ac:dyDescent="0.3">
      <c r="G27616" s="1"/>
      <c r="N27616" s="1"/>
    </row>
    <row r="27617" spans="7:14" x14ac:dyDescent="0.3">
      <c r="G27617" s="1"/>
      <c r="N27617" s="1"/>
    </row>
    <row r="27618" spans="7:14" x14ac:dyDescent="0.3">
      <c r="G27618" s="1"/>
      <c r="N27618" s="1"/>
    </row>
    <row r="27619" spans="7:14" x14ac:dyDescent="0.3">
      <c r="G27619" s="1"/>
      <c r="N27619" s="1"/>
    </row>
    <row r="27620" spans="7:14" x14ac:dyDescent="0.3">
      <c r="G27620" s="1"/>
      <c r="N27620" s="1"/>
    </row>
    <row r="27621" spans="7:14" x14ac:dyDescent="0.3">
      <c r="G27621" s="1"/>
      <c r="N27621" s="1"/>
    </row>
    <row r="27622" spans="7:14" x14ac:dyDescent="0.3">
      <c r="G27622" s="1"/>
      <c r="N27622" s="1"/>
    </row>
    <row r="27623" spans="7:14" x14ac:dyDescent="0.3">
      <c r="G27623" s="1"/>
      <c r="N27623" s="1"/>
    </row>
    <row r="27624" spans="7:14" x14ac:dyDescent="0.3">
      <c r="G27624" s="1"/>
      <c r="N27624" s="1"/>
    </row>
    <row r="27625" spans="7:14" x14ac:dyDescent="0.3">
      <c r="G27625" s="1"/>
      <c r="N27625" s="1"/>
    </row>
    <row r="27626" spans="7:14" x14ac:dyDescent="0.3">
      <c r="G27626" s="1"/>
      <c r="N27626" s="1"/>
    </row>
    <row r="27627" spans="7:14" x14ac:dyDescent="0.3">
      <c r="G27627" s="1"/>
      <c r="N27627" s="1"/>
    </row>
    <row r="27628" spans="7:14" x14ac:dyDescent="0.3">
      <c r="G27628" s="1"/>
      <c r="N27628" s="1"/>
    </row>
    <row r="27629" spans="7:14" x14ac:dyDescent="0.3">
      <c r="G27629" s="1"/>
      <c r="N27629" s="1"/>
    </row>
    <row r="27630" spans="7:14" x14ac:dyDescent="0.3">
      <c r="G27630" s="1"/>
      <c r="N27630" s="1"/>
    </row>
    <row r="27631" spans="7:14" x14ac:dyDescent="0.3">
      <c r="G27631" s="1"/>
      <c r="N27631" s="1"/>
    </row>
    <row r="27632" spans="7:14" x14ac:dyDescent="0.3">
      <c r="G27632" s="1"/>
      <c r="N27632" s="1"/>
    </row>
    <row r="27633" spans="7:14" x14ac:dyDescent="0.3">
      <c r="G27633" s="1"/>
      <c r="N27633" s="1"/>
    </row>
    <row r="27634" spans="7:14" x14ac:dyDescent="0.3">
      <c r="G27634" s="1"/>
      <c r="N27634" s="1"/>
    </row>
    <row r="27635" spans="7:14" x14ac:dyDescent="0.3">
      <c r="G27635" s="1"/>
      <c r="N27635" s="1"/>
    </row>
    <row r="27636" spans="7:14" x14ac:dyDescent="0.3">
      <c r="G27636" s="1"/>
      <c r="N27636" s="1"/>
    </row>
    <row r="27637" spans="7:14" x14ac:dyDescent="0.3">
      <c r="G27637" s="1"/>
      <c r="N27637" s="1"/>
    </row>
    <row r="27638" spans="7:14" x14ac:dyDescent="0.3">
      <c r="G27638" s="1"/>
      <c r="N27638" s="1"/>
    </row>
    <row r="27639" spans="7:14" x14ac:dyDescent="0.3">
      <c r="G27639" s="1"/>
      <c r="N27639" s="1"/>
    </row>
    <row r="27640" spans="7:14" x14ac:dyDescent="0.3">
      <c r="G27640" s="1"/>
      <c r="N27640" s="1"/>
    </row>
    <row r="27641" spans="7:14" x14ac:dyDescent="0.3">
      <c r="G27641" s="1"/>
      <c r="N27641" s="1"/>
    </row>
    <row r="27642" spans="7:14" x14ac:dyDescent="0.3">
      <c r="G27642" s="1"/>
      <c r="N27642" s="1"/>
    </row>
    <row r="27643" spans="7:14" x14ac:dyDescent="0.3">
      <c r="G27643" s="1"/>
      <c r="N27643" s="1"/>
    </row>
    <row r="27644" spans="7:14" x14ac:dyDescent="0.3">
      <c r="G27644" s="1"/>
      <c r="N27644" s="1"/>
    </row>
    <row r="27645" spans="7:14" x14ac:dyDescent="0.3">
      <c r="G27645" s="1"/>
      <c r="N27645" s="1"/>
    </row>
    <row r="27646" spans="7:14" x14ac:dyDescent="0.3">
      <c r="G27646" s="1"/>
      <c r="N27646" s="1"/>
    </row>
    <row r="27647" spans="7:14" x14ac:dyDescent="0.3">
      <c r="G27647" s="1"/>
      <c r="N27647" s="1"/>
    </row>
    <row r="27648" spans="7:14" x14ac:dyDescent="0.3">
      <c r="G27648" s="1"/>
      <c r="N27648" s="1"/>
    </row>
    <row r="27649" spans="7:14" x14ac:dyDescent="0.3">
      <c r="G27649" s="1"/>
      <c r="N27649" s="1"/>
    </row>
    <row r="27650" spans="7:14" x14ac:dyDescent="0.3">
      <c r="G27650" s="1"/>
      <c r="N27650" s="1"/>
    </row>
    <row r="27651" spans="7:14" x14ac:dyDescent="0.3">
      <c r="G27651" s="1"/>
      <c r="N27651" s="1"/>
    </row>
    <row r="27652" spans="7:14" x14ac:dyDescent="0.3">
      <c r="G27652" s="1"/>
      <c r="N27652" s="1"/>
    </row>
    <row r="27653" spans="7:14" x14ac:dyDescent="0.3">
      <c r="G27653" s="1"/>
      <c r="N27653" s="1"/>
    </row>
    <row r="27654" spans="7:14" x14ac:dyDescent="0.3">
      <c r="G27654" s="1"/>
      <c r="N27654" s="1"/>
    </row>
    <row r="27655" spans="7:14" x14ac:dyDescent="0.3">
      <c r="G27655" s="1"/>
      <c r="N27655" s="1"/>
    </row>
    <row r="27656" spans="7:14" x14ac:dyDescent="0.3">
      <c r="G27656" s="1"/>
      <c r="N27656" s="1"/>
    </row>
    <row r="27657" spans="7:14" x14ac:dyDescent="0.3">
      <c r="G27657" s="1"/>
      <c r="N27657" s="1"/>
    </row>
    <row r="27658" spans="7:14" x14ac:dyDescent="0.3">
      <c r="G27658" s="1"/>
      <c r="N27658" s="1"/>
    </row>
    <row r="27659" spans="7:14" x14ac:dyDescent="0.3">
      <c r="G27659" s="1"/>
      <c r="N27659" s="1"/>
    </row>
    <row r="27660" spans="7:14" x14ac:dyDescent="0.3">
      <c r="G27660" s="1"/>
      <c r="N27660" s="1"/>
    </row>
    <row r="27661" spans="7:14" x14ac:dyDescent="0.3">
      <c r="G27661" s="1"/>
      <c r="N27661" s="1"/>
    </row>
    <row r="27662" spans="7:14" x14ac:dyDescent="0.3">
      <c r="G27662" s="1"/>
      <c r="N27662" s="1"/>
    </row>
    <row r="27663" spans="7:14" x14ac:dyDescent="0.3">
      <c r="G27663" s="1"/>
      <c r="N27663" s="1"/>
    </row>
    <row r="27664" spans="7:14" x14ac:dyDescent="0.3">
      <c r="G27664" s="1"/>
      <c r="N27664" s="1"/>
    </row>
    <row r="27665" spans="7:14" x14ac:dyDescent="0.3">
      <c r="G27665" s="1"/>
      <c r="N27665" s="1"/>
    </row>
    <row r="27666" spans="7:14" x14ac:dyDescent="0.3">
      <c r="G27666" s="1"/>
      <c r="N27666" s="1"/>
    </row>
    <row r="27667" spans="7:14" x14ac:dyDescent="0.3">
      <c r="G27667" s="1"/>
      <c r="N27667" s="1"/>
    </row>
    <row r="27668" spans="7:14" x14ac:dyDescent="0.3">
      <c r="G27668" s="1"/>
      <c r="N27668" s="1"/>
    </row>
    <row r="27669" spans="7:14" x14ac:dyDescent="0.3">
      <c r="G27669" s="1"/>
      <c r="N27669" s="1"/>
    </row>
    <row r="27670" spans="7:14" x14ac:dyDescent="0.3">
      <c r="G27670" s="1"/>
      <c r="N27670" s="1"/>
    </row>
    <row r="27671" spans="7:14" x14ac:dyDescent="0.3">
      <c r="G27671" s="1"/>
      <c r="N27671" s="1"/>
    </row>
    <row r="27672" spans="7:14" x14ac:dyDescent="0.3">
      <c r="G27672" s="1"/>
      <c r="N27672" s="1"/>
    </row>
    <row r="27673" spans="7:14" x14ac:dyDescent="0.3">
      <c r="G27673" s="1"/>
      <c r="N27673" s="1"/>
    </row>
    <row r="27674" spans="7:14" x14ac:dyDescent="0.3">
      <c r="G27674" s="1"/>
      <c r="N27674" s="1"/>
    </row>
    <row r="27675" spans="7:14" x14ac:dyDescent="0.3">
      <c r="G27675" s="1"/>
      <c r="N27675" s="1"/>
    </row>
    <row r="27676" spans="7:14" x14ac:dyDescent="0.3">
      <c r="G27676" s="1"/>
      <c r="N27676" s="1"/>
    </row>
    <row r="27677" spans="7:14" x14ac:dyDescent="0.3">
      <c r="G27677" s="1"/>
      <c r="N27677" s="1"/>
    </row>
    <row r="27678" spans="7:14" x14ac:dyDescent="0.3">
      <c r="G27678" s="1"/>
      <c r="N27678" s="1"/>
    </row>
    <row r="27679" spans="7:14" x14ac:dyDescent="0.3">
      <c r="G27679" s="1"/>
      <c r="N27679" s="1"/>
    </row>
    <row r="27680" spans="7:14" x14ac:dyDescent="0.3">
      <c r="G27680" s="1"/>
      <c r="N27680" s="1"/>
    </row>
    <row r="27681" spans="7:14" x14ac:dyDescent="0.3">
      <c r="G27681" s="1"/>
      <c r="N27681" s="1"/>
    </row>
    <row r="27682" spans="7:14" x14ac:dyDescent="0.3">
      <c r="G27682" s="1"/>
      <c r="N27682" s="1"/>
    </row>
    <row r="27683" spans="7:14" x14ac:dyDescent="0.3">
      <c r="G27683" s="1"/>
      <c r="N27683" s="1"/>
    </row>
    <row r="27684" spans="7:14" x14ac:dyDescent="0.3">
      <c r="G27684" s="1"/>
      <c r="N27684" s="1"/>
    </row>
    <row r="27685" spans="7:14" x14ac:dyDescent="0.3">
      <c r="G27685" s="1"/>
      <c r="N27685" s="1"/>
    </row>
    <row r="27686" spans="7:14" x14ac:dyDescent="0.3">
      <c r="G27686" s="1"/>
      <c r="N27686" s="1"/>
    </row>
    <row r="27687" spans="7:14" x14ac:dyDescent="0.3">
      <c r="G27687" s="1"/>
      <c r="N27687" s="1"/>
    </row>
    <row r="27688" spans="7:14" x14ac:dyDescent="0.3">
      <c r="G27688" s="1"/>
      <c r="N27688" s="1"/>
    </row>
    <row r="27689" spans="7:14" x14ac:dyDescent="0.3">
      <c r="G27689" s="1"/>
      <c r="N27689" s="1"/>
    </row>
    <row r="27690" spans="7:14" x14ac:dyDescent="0.3">
      <c r="G27690" s="1"/>
      <c r="N27690" s="1"/>
    </row>
    <row r="27691" spans="7:14" x14ac:dyDescent="0.3">
      <c r="G27691" s="1"/>
      <c r="N27691" s="1"/>
    </row>
    <row r="27692" spans="7:14" x14ac:dyDescent="0.3">
      <c r="G27692" s="1"/>
      <c r="N27692" s="1"/>
    </row>
    <row r="27693" spans="7:14" x14ac:dyDescent="0.3">
      <c r="G27693" s="1"/>
      <c r="N27693" s="1"/>
    </row>
    <row r="27694" spans="7:14" x14ac:dyDescent="0.3">
      <c r="G27694" s="1"/>
      <c r="N27694" s="1"/>
    </row>
    <row r="27695" spans="7:14" x14ac:dyDescent="0.3">
      <c r="G27695" s="1"/>
      <c r="N27695" s="1"/>
    </row>
    <row r="27696" spans="7:14" x14ac:dyDescent="0.3">
      <c r="G27696" s="1"/>
      <c r="N27696" s="1"/>
    </row>
    <row r="27697" spans="7:14" x14ac:dyDescent="0.3">
      <c r="G27697" s="1"/>
      <c r="N27697" s="1"/>
    </row>
    <row r="27698" spans="7:14" x14ac:dyDescent="0.3">
      <c r="G27698" s="1"/>
      <c r="N27698" s="1"/>
    </row>
    <row r="27699" spans="7:14" x14ac:dyDescent="0.3">
      <c r="G27699" s="1"/>
      <c r="N27699" s="1"/>
    </row>
    <row r="27700" spans="7:14" x14ac:dyDescent="0.3">
      <c r="G27700" s="1"/>
      <c r="N27700" s="1"/>
    </row>
    <row r="27701" spans="7:14" x14ac:dyDescent="0.3">
      <c r="G27701" s="1"/>
      <c r="N27701" s="1"/>
    </row>
    <row r="27702" spans="7:14" x14ac:dyDescent="0.3">
      <c r="G27702" s="1"/>
      <c r="N27702" s="1"/>
    </row>
    <row r="27703" spans="7:14" x14ac:dyDescent="0.3">
      <c r="G27703" s="1"/>
      <c r="N27703" s="1"/>
    </row>
    <row r="27704" spans="7:14" x14ac:dyDescent="0.3">
      <c r="G27704" s="1"/>
      <c r="N27704" s="1"/>
    </row>
    <row r="27705" spans="7:14" x14ac:dyDescent="0.3">
      <c r="G27705" s="1"/>
      <c r="N27705" s="1"/>
    </row>
    <row r="27706" spans="7:14" x14ac:dyDescent="0.3">
      <c r="G27706" s="1"/>
      <c r="N27706" s="1"/>
    </row>
    <row r="27707" spans="7:14" x14ac:dyDescent="0.3">
      <c r="G27707" s="1"/>
      <c r="N27707" s="1"/>
    </row>
    <row r="27708" spans="7:14" x14ac:dyDescent="0.3">
      <c r="G27708" s="1"/>
      <c r="N27708" s="1"/>
    </row>
    <row r="27709" spans="7:14" x14ac:dyDescent="0.3">
      <c r="G27709" s="1"/>
      <c r="N27709" s="1"/>
    </row>
    <row r="27710" spans="7:14" x14ac:dyDescent="0.3">
      <c r="G27710" s="1"/>
      <c r="N27710" s="1"/>
    </row>
    <row r="27711" spans="7:14" x14ac:dyDescent="0.3">
      <c r="G27711" s="1"/>
      <c r="N27711" s="1"/>
    </row>
    <row r="27712" spans="7:14" x14ac:dyDescent="0.3">
      <c r="G27712" s="1"/>
      <c r="N27712" s="1"/>
    </row>
    <row r="27713" spans="7:14" x14ac:dyDescent="0.3">
      <c r="G27713" s="1"/>
      <c r="N27713" s="1"/>
    </row>
    <row r="27714" spans="7:14" x14ac:dyDescent="0.3">
      <c r="G27714" s="1"/>
      <c r="N27714" s="1"/>
    </row>
    <row r="27715" spans="7:14" x14ac:dyDescent="0.3">
      <c r="G27715" s="1"/>
      <c r="N27715" s="1"/>
    </row>
    <row r="27716" spans="7:14" x14ac:dyDescent="0.3">
      <c r="G27716" s="1"/>
      <c r="N27716" s="1"/>
    </row>
    <row r="27717" spans="7:14" x14ac:dyDescent="0.3">
      <c r="G27717" s="1"/>
      <c r="N27717" s="1"/>
    </row>
    <row r="27718" spans="7:14" x14ac:dyDescent="0.3">
      <c r="G27718" s="1"/>
      <c r="N27718" s="1"/>
    </row>
    <row r="27719" spans="7:14" x14ac:dyDescent="0.3">
      <c r="G27719" s="1"/>
      <c r="N27719" s="1"/>
    </row>
    <row r="27720" spans="7:14" x14ac:dyDescent="0.3">
      <c r="G27720" s="1"/>
      <c r="N27720" s="1"/>
    </row>
    <row r="27721" spans="7:14" x14ac:dyDescent="0.3">
      <c r="G27721" s="1"/>
      <c r="N27721" s="1"/>
    </row>
    <row r="27722" spans="7:14" x14ac:dyDescent="0.3">
      <c r="G27722" s="1"/>
      <c r="N27722" s="1"/>
    </row>
    <row r="27723" spans="7:14" x14ac:dyDescent="0.3">
      <c r="G27723" s="1"/>
      <c r="N27723" s="1"/>
    </row>
    <row r="27724" spans="7:14" x14ac:dyDescent="0.3">
      <c r="G27724" s="1"/>
      <c r="N27724" s="1"/>
    </row>
    <row r="27725" spans="7:14" x14ac:dyDescent="0.3">
      <c r="G27725" s="1"/>
      <c r="N27725" s="1"/>
    </row>
    <row r="27726" spans="7:14" x14ac:dyDescent="0.3">
      <c r="G27726" s="1"/>
      <c r="N27726" s="1"/>
    </row>
    <row r="27727" spans="7:14" x14ac:dyDescent="0.3">
      <c r="G27727" s="1"/>
      <c r="N27727" s="1"/>
    </row>
    <row r="27728" spans="7:14" x14ac:dyDescent="0.3">
      <c r="G27728" s="1"/>
      <c r="N27728" s="1"/>
    </row>
    <row r="27729" spans="7:14" x14ac:dyDescent="0.3">
      <c r="G27729" s="1"/>
      <c r="N27729" s="1"/>
    </row>
    <row r="27730" spans="7:14" x14ac:dyDescent="0.3">
      <c r="G27730" s="1"/>
      <c r="N27730" s="1"/>
    </row>
    <row r="27731" spans="7:14" x14ac:dyDescent="0.3">
      <c r="G27731" s="1"/>
      <c r="N27731" s="1"/>
    </row>
    <row r="27732" spans="7:14" x14ac:dyDescent="0.3">
      <c r="G27732" s="1"/>
      <c r="N27732" s="1"/>
    </row>
    <row r="27733" spans="7:14" x14ac:dyDescent="0.3">
      <c r="G27733" s="1"/>
      <c r="N27733" s="1"/>
    </row>
    <row r="27734" spans="7:14" x14ac:dyDescent="0.3">
      <c r="G27734" s="1"/>
      <c r="N27734" s="1"/>
    </row>
    <row r="27735" spans="7:14" x14ac:dyDescent="0.3">
      <c r="G27735" s="1"/>
      <c r="N27735" s="1"/>
    </row>
    <row r="27736" spans="7:14" x14ac:dyDescent="0.3">
      <c r="G27736" s="1"/>
      <c r="N27736" s="1"/>
    </row>
    <row r="27737" spans="7:14" x14ac:dyDescent="0.3">
      <c r="G27737" s="1"/>
      <c r="N27737" s="1"/>
    </row>
    <row r="27738" spans="7:14" x14ac:dyDescent="0.3">
      <c r="G27738" s="1"/>
      <c r="N27738" s="1"/>
    </row>
    <row r="27739" spans="7:14" x14ac:dyDescent="0.3">
      <c r="G27739" s="1"/>
      <c r="N27739" s="1"/>
    </row>
    <row r="27740" spans="7:14" x14ac:dyDescent="0.3">
      <c r="G27740" s="1"/>
      <c r="N27740" s="1"/>
    </row>
    <row r="27741" spans="7:14" x14ac:dyDescent="0.3">
      <c r="G27741" s="1"/>
      <c r="N27741" s="1"/>
    </row>
    <row r="27742" spans="7:14" x14ac:dyDescent="0.3">
      <c r="G27742" s="1"/>
      <c r="N27742" s="1"/>
    </row>
    <row r="27743" spans="7:14" x14ac:dyDescent="0.3">
      <c r="G27743" s="1"/>
      <c r="N27743" s="1"/>
    </row>
    <row r="27744" spans="7:14" x14ac:dyDescent="0.3">
      <c r="G27744" s="1"/>
      <c r="N27744" s="1"/>
    </row>
    <row r="27745" spans="7:14" x14ac:dyDescent="0.3">
      <c r="G27745" s="1"/>
      <c r="N27745" s="1"/>
    </row>
    <row r="27746" spans="7:14" x14ac:dyDescent="0.3">
      <c r="G27746" s="1"/>
      <c r="N27746" s="1"/>
    </row>
    <row r="27747" spans="7:14" x14ac:dyDescent="0.3">
      <c r="G27747" s="1"/>
      <c r="N27747" s="1"/>
    </row>
    <row r="27748" spans="7:14" x14ac:dyDescent="0.3">
      <c r="G27748" s="1"/>
      <c r="N27748" s="1"/>
    </row>
    <row r="27749" spans="7:14" x14ac:dyDescent="0.3">
      <c r="G27749" s="1"/>
      <c r="N27749" s="1"/>
    </row>
    <row r="27750" spans="7:14" x14ac:dyDescent="0.3">
      <c r="G27750" s="1"/>
      <c r="N27750" s="1"/>
    </row>
    <row r="27751" spans="7:14" x14ac:dyDescent="0.3">
      <c r="G27751" s="1"/>
      <c r="N27751" s="1"/>
    </row>
    <row r="27752" spans="7:14" x14ac:dyDescent="0.3">
      <c r="G27752" s="1"/>
      <c r="N27752" s="1"/>
    </row>
    <row r="27753" spans="7:14" x14ac:dyDescent="0.3">
      <c r="G27753" s="1"/>
      <c r="N27753" s="1"/>
    </row>
    <row r="27754" spans="7:14" x14ac:dyDescent="0.3">
      <c r="G27754" s="1"/>
      <c r="N27754" s="1"/>
    </row>
    <row r="27755" spans="7:14" x14ac:dyDescent="0.3">
      <c r="G27755" s="1"/>
      <c r="N27755" s="1"/>
    </row>
    <row r="27756" spans="7:14" x14ac:dyDescent="0.3">
      <c r="G27756" s="1"/>
      <c r="N27756" s="1"/>
    </row>
    <row r="27757" spans="7:14" x14ac:dyDescent="0.3">
      <c r="G27757" s="1"/>
      <c r="N27757" s="1"/>
    </row>
    <row r="27758" spans="7:14" x14ac:dyDescent="0.3">
      <c r="G27758" s="1"/>
      <c r="N27758" s="1"/>
    </row>
    <row r="27759" spans="7:14" x14ac:dyDescent="0.3">
      <c r="G27759" s="1"/>
      <c r="N27759" s="1"/>
    </row>
    <row r="27760" spans="7:14" x14ac:dyDescent="0.3">
      <c r="G27760" s="1"/>
      <c r="N27760" s="1"/>
    </row>
    <row r="27761" spans="7:14" x14ac:dyDescent="0.3">
      <c r="G27761" s="1"/>
      <c r="N27761" s="1"/>
    </row>
    <row r="27762" spans="7:14" x14ac:dyDescent="0.3">
      <c r="G27762" s="1"/>
      <c r="N27762" s="1"/>
    </row>
    <row r="27763" spans="7:14" x14ac:dyDescent="0.3">
      <c r="G27763" s="1"/>
      <c r="N27763" s="1"/>
    </row>
    <row r="27764" spans="7:14" x14ac:dyDescent="0.3">
      <c r="G27764" s="1"/>
      <c r="N27764" s="1"/>
    </row>
    <row r="27765" spans="7:14" x14ac:dyDescent="0.3">
      <c r="G27765" s="1"/>
      <c r="N27765" s="1"/>
    </row>
    <row r="27766" spans="7:14" x14ac:dyDescent="0.3">
      <c r="G27766" s="1"/>
      <c r="N27766" s="1"/>
    </row>
    <row r="27767" spans="7:14" x14ac:dyDescent="0.3">
      <c r="G27767" s="1"/>
      <c r="N27767" s="1"/>
    </row>
    <row r="27768" spans="7:14" x14ac:dyDescent="0.3">
      <c r="G27768" s="1"/>
      <c r="N27768" s="1"/>
    </row>
    <row r="27769" spans="7:14" x14ac:dyDescent="0.3">
      <c r="G27769" s="1"/>
      <c r="N27769" s="1"/>
    </row>
    <row r="27770" spans="7:14" x14ac:dyDescent="0.3">
      <c r="G27770" s="1"/>
      <c r="N27770" s="1"/>
    </row>
    <row r="27771" spans="7:14" x14ac:dyDescent="0.3">
      <c r="G27771" s="1"/>
      <c r="N27771" s="1"/>
    </row>
    <row r="27772" spans="7:14" x14ac:dyDescent="0.3">
      <c r="G27772" s="1"/>
      <c r="N27772" s="1"/>
    </row>
    <row r="27773" spans="7:14" x14ac:dyDescent="0.3">
      <c r="G27773" s="1"/>
      <c r="N27773" s="1"/>
    </row>
    <row r="27774" spans="7:14" x14ac:dyDescent="0.3">
      <c r="G27774" s="1"/>
      <c r="N27774" s="1"/>
    </row>
    <row r="27775" spans="7:14" x14ac:dyDescent="0.3">
      <c r="G27775" s="1"/>
      <c r="N27775" s="1"/>
    </row>
    <row r="27776" spans="7:14" x14ac:dyDescent="0.3">
      <c r="G27776" s="1"/>
      <c r="N27776" s="1"/>
    </row>
    <row r="27777" spans="7:14" x14ac:dyDescent="0.3">
      <c r="G27777" s="1"/>
      <c r="N27777" s="1"/>
    </row>
    <row r="27778" spans="7:14" x14ac:dyDescent="0.3">
      <c r="G27778" s="1"/>
      <c r="N27778" s="1"/>
    </row>
    <row r="27779" spans="7:14" x14ac:dyDescent="0.3">
      <c r="G27779" s="1"/>
      <c r="N27779" s="1"/>
    </row>
    <row r="27780" spans="7:14" x14ac:dyDescent="0.3">
      <c r="G27780" s="1"/>
      <c r="N27780" s="1"/>
    </row>
    <row r="27781" spans="7:14" x14ac:dyDescent="0.3">
      <c r="G27781" s="1"/>
      <c r="N27781" s="1"/>
    </row>
    <row r="27782" spans="7:14" x14ac:dyDescent="0.3">
      <c r="G27782" s="1"/>
      <c r="N27782" s="1"/>
    </row>
    <row r="27783" spans="7:14" x14ac:dyDescent="0.3">
      <c r="G27783" s="1"/>
      <c r="N27783" s="1"/>
    </row>
    <row r="27784" spans="7:14" x14ac:dyDescent="0.3">
      <c r="G27784" s="1"/>
      <c r="N27784" s="1"/>
    </row>
    <row r="27785" spans="7:14" x14ac:dyDescent="0.3">
      <c r="G27785" s="1"/>
      <c r="N27785" s="1"/>
    </row>
    <row r="27786" spans="7:14" x14ac:dyDescent="0.3">
      <c r="G27786" s="1"/>
      <c r="N27786" s="1"/>
    </row>
    <row r="27787" spans="7:14" x14ac:dyDescent="0.3">
      <c r="G27787" s="1"/>
      <c r="N27787" s="1"/>
    </row>
    <row r="27788" spans="7:14" x14ac:dyDescent="0.3">
      <c r="G27788" s="1"/>
      <c r="N27788" s="1"/>
    </row>
    <row r="27789" spans="7:14" x14ac:dyDescent="0.3">
      <c r="G27789" s="1"/>
      <c r="N27789" s="1"/>
    </row>
    <row r="27790" spans="7:14" x14ac:dyDescent="0.3">
      <c r="G27790" s="1"/>
      <c r="N27790" s="1"/>
    </row>
    <row r="27791" spans="7:14" x14ac:dyDescent="0.3">
      <c r="G27791" s="1"/>
      <c r="N27791" s="1"/>
    </row>
    <row r="27792" spans="7:14" x14ac:dyDescent="0.3">
      <c r="G27792" s="1"/>
      <c r="N27792" s="1"/>
    </row>
    <row r="27793" spans="7:14" x14ac:dyDescent="0.3">
      <c r="G27793" s="1"/>
      <c r="N27793" s="1"/>
    </row>
    <row r="27794" spans="7:14" x14ac:dyDescent="0.3">
      <c r="G27794" s="1"/>
      <c r="N27794" s="1"/>
    </row>
    <row r="27795" spans="7:14" x14ac:dyDescent="0.3">
      <c r="G27795" s="1"/>
      <c r="N27795" s="1"/>
    </row>
    <row r="27796" spans="7:14" x14ac:dyDescent="0.3">
      <c r="G27796" s="1"/>
      <c r="N27796" s="1"/>
    </row>
    <row r="27797" spans="7:14" x14ac:dyDescent="0.3">
      <c r="G27797" s="1"/>
      <c r="N27797" s="1"/>
    </row>
    <row r="27798" spans="7:14" x14ac:dyDescent="0.3">
      <c r="G27798" s="1"/>
      <c r="N27798" s="1"/>
    </row>
    <row r="27799" spans="7:14" x14ac:dyDescent="0.3">
      <c r="G27799" s="1"/>
      <c r="N27799" s="1"/>
    </row>
    <row r="27800" spans="7:14" x14ac:dyDescent="0.3">
      <c r="G27800" s="1"/>
      <c r="N27800" s="1"/>
    </row>
    <row r="27801" spans="7:14" x14ac:dyDescent="0.3">
      <c r="G27801" s="1"/>
      <c r="N27801" s="1"/>
    </row>
    <row r="27802" spans="7:14" x14ac:dyDescent="0.3">
      <c r="G27802" s="1"/>
      <c r="N27802" s="1"/>
    </row>
    <row r="27803" spans="7:14" x14ac:dyDescent="0.3">
      <c r="G27803" s="1"/>
      <c r="N27803" s="1"/>
    </row>
    <row r="27804" spans="7:14" x14ac:dyDescent="0.3">
      <c r="G27804" s="1"/>
      <c r="N27804" s="1"/>
    </row>
    <row r="27805" spans="7:14" x14ac:dyDescent="0.3">
      <c r="G27805" s="1"/>
      <c r="N27805" s="1"/>
    </row>
    <row r="27806" spans="7:14" x14ac:dyDescent="0.3">
      <c r="G27806" s="1"/>
      <c r="N27806" s="1"/>
    </row>
    <row r="27807" spans="7:14" x14ac:dyDescent="0.3">
      <c r="G27807" s="1"/>
      <c r="N27807" s="1"/>
    </row>
    <row r="27808" spans="7:14" x14ac:dyDescent="0.3">
      <c r="G27808" s="1"/>
      <c r="N27808" s="1"/>
    </row>
    <row r="27809" spans="7:14" x14ac:dyDescent="0.3">
      <c r="G27809" s="1"/>
      <c r="N27809" s="1"/>
    </row>
    <row r="27810" spans="7:14" x14ac:dyDescent="0.3">
      <c r="G27810" s="1"/>
      <c r="N27810" s="1"/>
    </row>
    <row r="27811" spans="7:14" x14ac:dyDescent="0.3">
      <c r="G27811" s="1"/>
      <c r="N27811" s="1"/>
    </row>
    <row r="27812" spans="7:14" x14ac:dyDescent="0.3">
      <c r="G27812" s="1"/>
      <c r="N27812" s="1"/>
    </row>
    <row r="27813" spans="7:14" x14ac:dyDescent="0.3">
      <c r="G27813" s="1"/>
      <c r="N27813" s="1"/>
    </row>
    <row r="27814" spans="7:14" x14ac:dyDescent="0.3">
      <c r="G27814" s="1"/>
      <c r="N27814" s="1"/>
    </row>
    <row r="27815" spans="7:14" x14ac:dyDescent="0.3">
      <c r="G27815" s="1"/>
      <c r="N27815" s="1"/>
    </row>
    <row r="27816" spans="7:14" x14ac:dyDescent="0.3">
      <c r="G27816" s="1"/>
      <c r="N27816" s="1"/>
    </row>
    <row r="27817" spans="7:14" x14ac:dyDescent="0.3">
      <c r="G27817" s="1"/>
      <c r="N27817" s="1"/>
    </row>
    <row r="27818" spans="7:14" x14ac:dyDescent="0.3">
      <c r="G27818" s="1"/>
      <c r="N27818" s="1"/>
    </row>
    <row r="27819" spans="7:14" x14ac:dyDescent="0.3">
      <c r="G27819" s="1"/>
      <c r="N27819" s="1"/>
    </row>
    <row r="27820" spans="7:14" x14ac:dyDescent="0.3">
      <c r="G27820" s="1"/>
      <c r="N27820" s="1"/>
    </row>
    <row r="27821" spans="7:14" x14ac:dyDescent="0.3">
      <c r="G27821" s="1"/>
      <c r="N27821" s="1"/>
    </row>
    <row r="27822" spans="7:14" x14ac:dyDescent="0.3">
      <c r="G27822" s="1"/>
      <c r="N27822" s="1"/>
    </row>
    <row r="27823" spans="7:14" x14ac:dyDescent="0.3">
      <c r="G27823" s="1"/>
      <c r="N27823" s="1"/>
    </row>
    <row r="27824" spans="7:14" x14ac:dyDescent="0.3">
      <c r="G27824" s="1"/>
      <c r="N27824" s="1"/>
    </row>
    <row r="27825" spans="7:14" x14ac:dyDescent="0.3">
      <c r="G27825" s="1"/>
      <c r="N27825" s="1"/>
    </row>
    <row r="27826" spans="7:14" x14ac:dyDescent="0.3">
      <c r="G27826" s="1"/>
      <c r="N27826" s="1"/>
    </row>
    <row r="27827" spans="7:14" x14ac:dyDescent="0.3">
      <c r="G27827" s="1"/>
      <c r="N27827" s="1"/>
    </row>
    <row r="27828" spans="7:14" x14ac:dyDescent="0.3">
      <c r="G27828" s="1"/>
      <c r="N27828" s="1"/>
    </row>
    <row r="27829" spans="7:14" x14ac:dyDescent="0.3">
      <c r="G27829" s="1"/>
      <c r="N27829" s="1"/>
    </row>
    <row r="27830" spans="7:14" x14ac:dyDescent="0.3">
      <c r="G27830" s="1"/>
      <c r="N27830" s="1"/>
    </row>
    <row r="27831" spans="7:14" x14ac:dyDescent="0.3">
      <c r="G27831" s="1"/>
      <c r="N27831" s="1"/>
    </row>
    <row r="27832" spans="7:14" x14ac:dyDescent="0.3">
      <c r="G27832" s="1"/>
      <c r="N27832" s="1"/>
    </row>
    <row r="27833" spans="7:14" x14ac:dyDescent="0.3">
      <c r="G27833" s="1"/>
      <c r="N27833" s="1"/>
    </row>
    <row r="27834" spans="7:14" x14ac:dyDescent="0.3">
      <c r="G27834" s="1"/>
      <c r="N27834" s="1"/>
    </row>
    <row r="27835" spans="7:14" x14ac:dyDescent="0.3">
      <c r="G27835" s="1"/>
      <c r="N27835" s="1"/>
    </row>
    <row r="27836" spans="7:14" x14ac:dyDescent="0.3">
      <c r="G27836" s="1"/>
      <c r="N27836" s="1"/>
    </row>
    <row r="27837" spans="7:14" x14ac:dyDescent="0.3">
      <c r="G27837" s="1"/>
      <c r="N27837" s="1"/>
    </row>
    <row r="27838" spans="7:14" x14ac:dyDescent="0.3">
      <c r="G27838" s="1"/>
      <c r="N27838" s="1"/>
    </row>
    <row r="27839" spans="7:14" x14ac:dyDescent="0.3">
      <c r="G27839" s="1"/>
      <c r="N27839" s="1"/>
    </row>
    <row r="27840" spans="7:14" x14ac:dyDescent="0.3">
      <c r="G27840" s="1"/>
      <c r="N27840" s="1"/>
    </row>
    <row r="27841" spans="7:14" x14ac:dyDescent="0.3">
      <c r="G27841" s="1"/>
      <c r="N27841" s="1"/>
    </row>
    <row r="27842" spans="7:14" x14ac:dyDescent="0.3">
      <c r="G27842" s="1"/>
      <c r="N27842" s="1"/>
    </row>
    <row r="27843" spans="7:14" x14ac:dyDescent="0.3">
      <c r="G27843" s="1"/>
      <c r="N27843" s="1"/>
    </row>
    <row r="27844" spans="7:14" x14ac:dyDescent="0.3">
      <c r="G27844" s="1"/>
      <c r="N27844" s="1"/>
    </row>
    <row r="27845" spans="7:14" x14ac:dyDescent="0.3">
      <c r="G27845" s="1"/>
      <c r="N27845" s="1"/>
    </row>
    <row r="27846" spans="7:14" x14ac:dyDescent="0.3">
      <c r="G27846" s="1"/>
      <c r="N27846" s="1"/>
    </row>
    <row r="27847" spans="7:14" x14ac:dyDescent="0.3">
      <c r="G27847" s="1"/>
      <c r="N27847" s="1"/>
    </row>
    <row r="27848" spans="7:14" x14ac:dyDescent="0.3">
      <c r="G27848" s="1"/>
      <c r="N27848" s="1"/>
    </row>
    <row r="27849" spans="7:14" x14ac:dyDescent="0.3">
      <c r="G27849" s="1"/>
      <c r="N27849" s="1"/>
    </row>
    <row r="27850" spans="7:14" x14ac:dyDescent="0.3">
      <c r="G27850" s="1"/>
      <c r="N27850" s="1"/>
    </row>
    <row r="27851" spans="7:14" x14ac:dyDescent="0.3">
      <c r="G27851" s="1"/>
      <c r="N27851" s="1"/>
    </row>
    <row r="27852" spans="7:14" x14ac:dyDescent="0.3">
      <c r="G27852" s="1"/>
      <c r="N27852" s="1"/>
    </row>
    <row r="27853" spans="7:14" x14ac:dyDescent="0.3">
      <c r="G27853" s="1"/>
      <c r="N27853" s="1"/>
    </row>
    <row r="27854" spans="7:14" x14ac:dyDescent="0.3">
      <c r="G27854" s="1"/>
      <c r="N27854" s="1"/>
    </row>
    <row r="27855" spans="7:14" x14ac:dyDescent="0.3">
      <c r="G27855" s="1"/>
      <c r="N27855" s="1"/>
    </row>
    <row r="27856" spans="7:14" x14ac:dyDescent="0.3">
      <c r="G27856" s="1"/>
      <c r="N27856" s="1"/>
    </row>
    <row r="27857" spans="7:14" x14ac:dyDescent="0.3">
      <c r="G27857" s="1"/>
      <c r="N27857" s="1"/>
    </row>
    <row r="27858" spans="7:14" x14ac:dyDescent="0.3">
      <c r="G27858" s="1"/>
      <c r="N27858" s="1"/>
    </row>
    <row r="27859" spans="7:14" x14ac:dyDescent="0.3">
      <c r="G27859" s="1"/>
      <c r="N27859" s="1"/>
    </row>
    <row r="27860" spans="7:14" x14ac:dyDescent="0.3">
      <c r="G27860" s="1"/>
      <c r="N27860" s="1"/>
    </row>
    <row r="27861" spans="7:14" x14ac:dyDescent="0.3">
      <c r="G27861" s="1"/>
      <c r="N27861" s="1"/>
    </row>
    <row r="27862" spans="7:14" x14ac:dyDescent="0.3">
      <c r="G27862" s="1"/>
      <c r="N27862" s="1"/>
    </row>
    <row r="27863" spans="7:14" x14ac:dyDescent="0.3">
      <c r="G27863" s="1"/>
      <c r="N27863" s="1"/>
    </row>
    <row r="27864" spans="7:14" x14ac:dyDescent="0.3">
      <c r="G27864" s="1"/>
      <c r="N27864" s="1"/>
    </row>
    <row r="27865" spans="7:14" x14ac:dyDescent="0.3">
      <c r="G27865" s="1"/>
      <c r="N27865" s="1"/>
    </row>
    <row r="27866" spans="7:14" x14ac:dyDescent="0.3">
      <c r="G27866" s="1"/>
      <c r="N27866" s="1"/>
    </row>
    <row r="27867" spans="7:14" x14ac:dyDescent="0.3">
      <c r="G27867" s="1"/>
      <c r="N27867" s="1"/>
    </row>
    <row r="27868" spans="7:14" x14ac:dyDescent="0.3">
      <c r="G27868" s="1"/>
      <c r="N27868" s="1"/>
    </row>
    <row r="27869" spans="7:14" x14ac:dyDescent="0.3">
      <c r="G27869" s="1"/>
      <c r="N27869" s="1"/>
    </row>
    <row r="27870" spans="7:14" x14ac:dyDescent="0.3">
      <c r="G27870" s="1"/>
      <c r="N27870" s="1"/>
    </row>
    <row r="27871" spans="7:14" x14ac:dyDescent="0.3">
      <c r="G27871" s="1"/>
      <c r="N27871" s="1"/>
    </row>
    <row r="27872" spans="7:14" x14ac:dyDescent="0.3">
      <c r="G27872" s="1"/>
      <c r="N27872" s="1"/>
    </row>
    <row r="27873" spans="7:14" x14ac:dyDescent="0.3">
      <c r="G27873" s="1"/>
      <c r="N27873" s="1"/>
    </row>
    <row r="27874" spans="7:14" x14ac:dyDescent="0.3">
      <c r="G27874" s="1"/>
      <c r="N27874" s="1"/>
    </row>
    <row r="27875" spans="7:14" x14ac:dyDescent="0.3">
      <c r="G27875" s="1"/>
      <c r="N27875" s="1"/>
    </row>
    <row r="27876" spans="7:14" x14ac:dyDescent="0.3">
      <c r="G27876" s="1"/>
      <c r="N27876" s="1"/>
    </row>
    <row r="27877" spans="7:14" x14ac:dyDescent="0.3">
      <c r="G27877" s="1"/>
      <c r="N27877" s="1"/>
    </row>
    <row r="27878" spans="7:14" x14ac:dyDescent="0.3">
      <c r="G27878" s="1"/>
      <c r="N27878" s="1"/>
    </row>
    <row r="27879" spans="7:14" x14ac:dyDescent="0.3">
      <c r="G27879" s="1"/>
      <c r="N27879" s="1"/>
    </row>
    <row r="27880" spans="7:14" x14ac:dyDescent="0.3">
      <c r="G27880" s="1"/>
      <c r="N27880" s="1"/>
    </row>
    <row r="27881" spans="7:14" x14ac:dyDescent="0.3">
      <c r="G27881" s="1"/>
      <c r="N27881" s="1"/>
    </row>
    <row r="27882" spans="7:14" x14ac:dyDescent="0.3">
      <c r="G27882" s="1"/>
      <c r="N27882" s="1"/>
    </row>
    <row r="27883" spans="7:14" x14ac:dyDescent="0.3">
      <c r="G27883" s="1"/>
      <c r="N27883" s="1"/>
    </row>
    <row r="27884" spans="7:14" x14ac:dyDescent="0.3">
      <c r="G27884" s="1"/>
      <c r="N27884" s="1"/>
    </row>
    <row r="27885" spans="7:14" x14ac:dyDescent="0.3">
      <c r="G27885" s="1"/>
      <c r="N27885" s="1"/>
    </row>
    <row r="27886" spans="7:14" x14ac:dyDescent="0.3">
      <c r="G27886" s="1"/>
      <c r="N27886" s="1"/>
    </row>
    <row r="27887" spans="7:14" x14ac:dyDescent="0.3">
      <c r="G27887" s="1"/>
      <c r="N27887" s="1"/>
    </row>
    <row r="27888" spans="7:14" x14ac:dyDescent="0.3">
      <c r="G27888" s="1"/>
      <c r="N27888" s="1"/>
    </row>
    <row r="27889" spans="7:14" x14ac:dyDescent="0.3">
      <c r="G27889" s="1"/>
      <c r="N27889" s="1"/>
    </row>
    <row r="27890" spans="7:14" x14ac:dyDescent="0.3">
      <c r="G27890" s="1"/>
      <c r="N27890" s="1"/>
    </row>
    <row r="27891" spans="7:14" x14ac:dyDescent="0.3">
      <c r="G27891" s="1"/>
      <c r="N27891" s="1"/>
    </row>
    <row r="27892" spans="7:14" x14ac:dyDescent="0.3">
      <c r="G27892" s="1"/>
      <c r="N27892" s="1"/>
    </row>
    <row r="27893" spans="7:14" x14ac:dyDescent="0.3">
      <c r="G27893" s="1"/>
      <c r="N27893" s="1"/>
    </row>
    <row r="27894" spans="7:14" x14ac:dyDescent="0.3">
      <c r="G27894" s="1"/>
      <c r="N27894" s="1"/>
    </row>
    <row r="27895" spans="7:14" x14ac:dyDescent="0.3">
      <c r="G27895" s="1"/>
      <c r="N27895" s="1"/>
    </row>
    <row r="27896" spans="7:14" x14ac:dyDescent="0.3">
      <c r="G27896" s="1"/>
      <c r="N27896" s="1"/>
    </row>
    <row r="27897" spans="7:14" x14ac:dyDescent="0.3">
      <c r="G27897" s="1"/>
      <c r="N27897" s="1"/>
    </row>
    <row r="27898" spans="7:14" x14ac:dyDescent="0.3">
      <c r="G27898" s="1"/>
      <c r="N27898" s="1"/>
    </row>
    <row r="27899" spans="7:14" x14ac:dyDescent="0.3">
      <c r="G27899" s="1"/>
      <c r="N27899" s="1"/>
    </row>
    <row r="27900" spans="7:14" x14ac:dyDescent="0.3">
      <c r="G27900" s="1"/>
      <c r="N27900" s="1"/>
    </row>
    <row r="27901" spans="7:14" x14ac:dyDescent="0.3">
      <c r="G27901" s="1"/>
      <c r="N27901" s="1"/>
    </row>
    <row r="27902" spans="7:14" x14ac:dyDescent="0.3">
      <c r="G27902" s="1"/>
      <c r="N27902" s="1"/>
    </row>
    <row r="27903" spans="7:14" x14ac:dyDescent="0.3">
      <c r="G27903" s="1"/>
      <c r="N27903" s="1"/>
    </row>
    <row r="27904" spans="7:14" x14ac:dyDescent="0.3">
      <c r="G27904" s="1"/>
      <c r="N27904" s="1"/>
    </row>
    <row r="27905" spans="7:14" x14ac:dyDescent="0.3">
      <c r="G27905" s="1"/>
      <c r="N27905" s="1"/>
    </row>
    <row r="27906" spans="7:14" x14ac:dyDescent="0.3">
      <c r="G27906" s="1"/>
      <c r="N27906" s="1"/>
    </row>
    <row r="27907" spans="7:14" x14ac:dyDescent="0.3">
      <c r="G27907" s="1"/>
      <c r="N27907" s="1"/>
    </row>
    <row r="27908" spans="7:14" x14ac:dyDescent="0.3">
      <c r="G27908" s="1"/>
      <c r="N27908" s="1"/>
    </row>
    <row r="27909" spans="7:14" x14ac:dyDescent="0.3">
      <c r="G27909" s="1"/>
      <c r="N27909" s="1"/>
    </row>
    <row r="27910" spans="7:14" x14ac:dyDescent="0.3">
      <c r="G27910" s="1"/>
      <c r="N27910" s="1"/>
    </row>
    <row r="27911" spans="7:14" x14ac:dyDescent="0.3">
      <c r="G27911" s="1"/>
      <c r="N27911" s="1"/>
    </row>
    <row r="27912" spans="7:14" x14ac:dyDescent="0.3">
      <c r="G27912" s="1"/>
      <c r="N27912" s="1"/>
    </row>
    <row r="27913" spans="7:14" x14ac:dyDescent="0.3">
      <c r="G27913" s="1"/>
      <c r="N27913" s="1"/>
    </row>
    <row r="27914" spans="7:14" x14ac:dyDescent="0.3">
      <c r="G27914" s="1"/>
      <c r="N27914" s="1"/>
    </row>
    <row r="27915" spans="7:14" x14ac:dyDescent="0.3">
      <c r="G27915" s="1"/>
      <c r="N27915" s="1"/>
    </row>
    <row r="27916" spans="7:14" x14ac:dyDescent="0.3">
      <c r="G27916" s="1"/>
      <c r="N27916" s="1"/>
    </row>
    <row r="27917" spans="7:14" x14ac:dyDescent="0.3">
      <c r="G27917" s="1"/>
      <c r="N27917" s="1"/>
    </row>
    <row r="27918" spans="7:14" x14ac:dyDescent="0.3">
      <c r="G27918" s="1"/>
      <c r="N27918" s="1"/>
    </row>
    <row r="27919" spans="7:14" x14ac:dyDescent="0.3">
      <c r="G27919" s="1"/>
      <c r="N27919" s="1"/>
    </row>
    <row r="27920" spans="7:14" x14ac:dyDescent="0.3">
      <c r="G27920" s="1"/>
      <c r="N27920" s="1"/>
    </row>
    <row r="27921" spans="7:14" x14ac:dyDescent="0.3">
      <c r="G27921" s="1"/>
      <c r="N27921" s="1"/>
    </row>
    <row r="27922" spans="7:14" x14ac:dyDescent="0.3">
      <c r="G27922" s="1"/>
      <c r="N27922" s="1"/>
    </row>
    <row r="27923" spans="7:14" x14ac:dyDescent="0.3">
      <c r="G27923" s="1"/>
      <c r="N27923" s="1"/>
    </row>
    <row r="27924" spans="7:14" x14ac:dyDescent="0.3">
      <c r="G27924" s="1"/>
      <c r="N27924" s="1"/>
    </row>
    <row r="27925" spans="7:14" x14ac:dyDescent="0.3">
      <c r="G27925" s="1"/>
      <c r="N27925" s="1"/>
    </row>
    <row r="27926" spans="7:14" x14ac:dyDescent="0.3">
      <c r="G27926" s="1"/>
      <c r="N27926" s="1"/>
    </row>
    <row r="27927" spans="7:14" x14ac:dyDescent="0.3">
      <c r="G27927" s="1"/>
      <c r="N27927" s="1"/>
    </row>
    <row r="27928" spans="7:14" x14ac:dyDescent="0.3">
      <c r="G27928" s="1"/>
      <c r="N27928" s="1"/>
    </row>
    <row r="27929" spans="7:14" x14ac:dyDescent="0.3">
      <c r="G27929" s="1"/>
      <c r="N27929" s="1"/>
    </row>
    <row r="27930" spans="7:14" x14ac:dyDescent="0.3">
      <c r="G27930" s="1"/>
      <c r="N27930" s="1"/>
    </row>
    <row r="27931" spans="7:14" x14ac:dyDescent="0.3">
      <c r="G27931" s="1"/>
      <c r="N27931" s="1"/>
    </row>
    <row r="27932" spans="7:14" x14ac:dyDescent="0.3">
      <c r="G27932" s="1"/>
      <c r="N27932" s="1"/>
    </row>
    <row r="27933" spans="7:14" x14ac:dyDescent="0.3">
      <c r="G27933" s="1"/>
      <c r="N27933" s="1"/>
    </row>
    <row r="27934" spans="7:14" x14ac:dyDescent="0.3">
      <c r="G27934" s="1"/>
      <c r="N27934" s="1"/>
    </row>
    <row r="27935" spans="7:14" x14ac:dyDescent="0.3">
      <c r="G27935" s="1"/>
      <c r="N27935" s="1"/>
    </row>
    <row r="27936" spans="7:14" x14ac:dyDescent="0.3">
      <c r="G27936" s="1"/>
      <c r="N27936" s="1"/>
    </row>
    <row r="27937" spans="7:14" x14ac:dyDescent="0.3">
      <c r="G27937" s="1"/>
      <c r="N27937" s="1"/>
    </row>
    <row r="27938" spans="7:14" x14ac:dyDescent="0.3">
      <c r="G27938" s="1"/>
      <c r="N27938" s="1"/>
    </row>
    <row r="27939" spans="7:14" x14ac:dyDescent="0.3">
      <c r="G27939" s="1"/>
      <c r="N27939" s="1"/>
    </row>
    <row r="27940" spans="7:14" x14ac:dyDescent="0.3">
      <c r="G27940" s="1"/>
      <c r="N27940" s="1"/>
    </row>
    <row r="27941" spans="7:14" x14ac:dyDescent="0.3">
      <c r="G27941" s="1"/>
      <c r="N27941" s="1"/>
    </row>
    <row r="27942" spans="7:14" x14ac:dyDescent="0.3">
      <c r="G27942" s="1"/>
      <c r="N27942" s="1"/>
    </row>
    <row r="27943" spans="7:14" x14ac:dyDescent="0.3">
      <c r="G27943" s="1"/>
      <c r="N27943" s="1"/>
    </row>
    <row r="27944" spans="7:14" x14ac:dyDescent="0.3">
      <c r="G27944" s="1"/>
      <c r="N27944" s="1"/>
    </row>
    <row r="27945" spans="7:14" x14ac:dyDescent="0.3">
      <c r="G27945" s="1"/>
      <c r="N27945" s="1"/>
    </row>
    <row r="27946" spans="7:14" x14ac:dyDescent="0.3">
      <c r="G27946" s="1"/>
      <c r="N27946" s="1"/>
    </row>
    <row r="27947" spans="7:14" x14ac:dyDescent="0.3">
      <c r="G27947" s="1"/>
      <c r="N27947" s="1"/>
    </row>
    <row r="27948" spans="7:14" x14ac:dyDescent="0.3">
      <c r="G27948" s="1"/>
      <c r="N27948" s="1"/>
    </row>
    <row r="27949" spans="7:14" x14ac:dyDescent="0.3">
      <c r="G27949" s="1"/>
      <c r="N27949" s="1"/>
    </row>
    <row r="27950" spans="7:14" x14ac:dyDescent="0.3">
      <c r="G27950" s="1"/>
      <c r="N27950" s="1"/>
    </row>
    <row r="27951" spans="7:14" x14ac:dyDescent="0.3">
      <c r="G27951" s="1"/>
      <c r="N27951" s="1"/>
    </row>
    <row r="27952" spans="7:14" x14ac:dyDescent="0.3">
      <c r="G27952" s="1"/>
      <c r="N27952" s="1"/>
    </row>
    <row r="27953" spans="7:14" x14ac:dyDescent="0.3">
      <c r="G27953" s="1"/>
      <c r="N27953" s="1"/>
    </row>
    <row r="27954" spans="7:14" x14ac:dyDescent="0.3">
      <c r="G27954" s="1"/>
      <c r="N27954" s="1"/>
    </row>
    <row r="27955" spans="7:14" x14ac:dyDescent="0.3">
      <c r="G27955" s="1"/>
      <c r="N27955" s="1"/>
    </row>
    <row r="27956" spans="7:14" x14ac:dyDescent="0.3">
      <c r="G27956" s="1"/>
      <c r="N27956" s="1"/>
    </row>
    <row r="27957" spans="7:14" x14ac:dyDescent="0.3">
      <c r="G27957" s="1"/>
      <c r="N27957" s="1"/>
    </row>
    <row r="27958" spans="7:14" x14ac:dyDescent="0.3">
      <c r="G27958" s="1"/>
      <c r="N27958" s="1"/>
    </row>
    <row r="27959" spans="7:14" x14ac:dyDescent="0.3">
      <c r="G27959" s="1"/>
      <c r="N27959" s="1"/>
    </row>
    <row r="27960" spans="7:14" x14ac:dyDescent="0.3">
      <c r="G27960" s="1"/>
      <c r="N27960" s="1"/>
    </row>
    <row r="27961" spans="7:14" x14ac:dyDescent="0.3">
      <c r="G27961" s="1"/>
      <c r="N27961" s="1"/>
    </row>
    <row r="27962" spans="7:14" x14ac:dyDescent="0.3">
      <c r="G27962" s="1"/>
      <c r="N27962" s="1"/>
    </row>
    <row r="27963" spans="7:14" x14ac:dyDescent="0.3">
      <c r="G27963" s="1"/>
      <c r="N27963" s="1"/>
    </row>
    <row r="27964" spans="7:14" x14ac:dyDescent="0.3">
      <c r="G27964" s="1"/>
      <c r="N27964" s="1"/>
    </row>
    <row r="27965" spans="7:14" x14ac:dyDescent="0.3">
      <c r="G27965" s="1"/>
      <c r="N27965" s="1"/>
    </row>
    <row r="27966" spans="7:14" x14ac:dyDescent="0.3">
      <c r="G27966" s="1"/>
      <c r="N27966" s="1"/>
    </row>
    <row r="27967" spans="7:14" x14ac:dyDescent="0.3">
      <c r="G27967" s="1"/>
      <c r="N27967" s="1"/>
    </row>
    <row r="27968" spans="7:14" x14ac:dyDescent="0.3">
      <c r="G27968" s="1"/>
      <c r="N27968" s="1"/>
    </row>
    <row r="27969" spans="7:14" x14ac:dyDescent="0.3">
      <c r="G27969" s="1"/>
      <c r="N27969" s="1"/>
    </row>
    <row r="27970" spans="7:14" x14ac:dyDescent="0.3">
      <c r="G27970" s="1"/>
      <c r="N27970" s="1"/>
    </row>
    <row r="27971" spans="7:14" x14ac:dyDescent="0.3">
      <c r="G27971" s="1"/>
      <c r="N27971" s="1"/>
    </row>
    <row r="27972" spans="7:14" x14ac:dyDescent="0.3">
      <c r="G27972" s="1"/>
      <c r="N27972" s="1"/>
    </row>
    <row r="27973" spans="7:14" x14ac:dyDescent="0.3">
      <c r="G27973" s="1"/>
      <c r="N27973" s="1"/>
    </row>
    <row r="27974" spans="7:14" x14ac:dyDescent="0.3">
      <c r="G27974" s="1"/>
      <c r="N27974" s="1"/>
    </row>
    <row r="27975" spans="7:14" x14ac:dyDescent="0.3">
      <c r="G27975" s="1"/>
      <c r="N27975" s="1"/>
    </row>
    <row r="27976" spans="7:14" x14ac:dyDescent="0.3">
      <c r="G27976" s="1"/>
      <c r="N27976" s="1"/>
    </row>
    <row r="27977" spans="7:14" x14ac:dyDescent="0.3">
      <c r="G27977" s="1"/>
      <c r="N27977" s="1"/>
    </row>
    <row r="27978" spans="7:14" x14ac:dyDescent="0.3">
      <c r="G27978" s="1"/>
      <c r="N27978" s="1"/>
    </row>
    <row r="27979" spans="7:14" x14ac:dyDescent="0.3">
      <c r="G27979" s="1"/>
      <c r="N27979" s="1"/>
    </row>
    <row r="27980" spans="7:14" x14ac:dyDescent="0.3">
      <c r="G27980" s="1"/>
      <c r="N27980" s="1"/>
    </row>
    <row r="27981" spans="7:14" x14ac:dyDescent="0.3">
      <c r="G27981" s="1"/>
      <c r="N27981" s="1"/>
    </row>
    <row r="27982" spans="7:14" x14ac:dyDescent="0.3">
      <c r="G27982" s="1"/>
      <c r="N27982" s="1"/>
    </row>
    <row r="27983" spans="7:14" x14ac:dyDescent="0.3">
      <c r="G27983" s="1"/>
      <c r="N27983" s="1"/>
    </row>
    <row r="27984" spans="7:14" x14ac:dyDescent="0.3">
      <c r="G27984" s="1"/>
      <c r="N27984" s="1"/>
    </row>
    <row r="27985" spans="7:14" x14ac:dyDescent="0.3">
      <c r="G27985" s="1"/>
      <c r="N27985" s="1"/>
    </row>
    <row r="27986" spans="7:14" x14ac:dyDescent="0.3">
      <c r="G27986" s="1"/>
      <c r="N27986" s="1"/>
    </row>
    <row r="27987" spans="7:14" x14ac:dyDescent="0.3">
      <c r="G27987" s="1"/>
      <c r="N27987" s="1"/>
    </row>
    <row r="27988" spans="7:14" x14ac:dyDescent="0.3">
      <c r="G27988" s="1"/>
      <c r="N27988" s="1"/>
    </row>
    <row r="27989" spans="7:14" x14ac:dyDescent="0.3">
      <c r="G27989" s="1"/>
      <c r="N27989" s="1"/>
    </row>
    <row r="27990" spans="7:14" x14ac:dyDescent="0.3">
      <c r="G27990" s="1"/>
      <c r="N27990" s="1"/>
    </row>
    <row r="27991" spans="7:14" x14ac:dyDescent="0.3">
      <c r="G27991" s="1"/>
      <c r="N27991" s="1"/>
    </row>
    <row r="27992" spans="7:14" x14ac:dyDescent="0.3">
      <c r="G27992" s="1"/>
      <c r="N27992" s="1"/>
    </row>
    <row r="27993" spans="7:14" x14ac:dyDescent="0.3">
      <c r="G27993" s="1"/>
      <c r="N27993" s="1"/>
    </row>
    <row r="27994" spans="7:14" x14ac:dyDescent="0.3">
      <c r="G27994" s="1"/>
      <c r="N27994" s="1"/>
    </row>
    <row r="27995" spans="7:14" x14ac:dyDescent="0.3">
      <c r="G27995" s="1"/>
      <c r="N27995" s="1"/>
    </row>
    <row r="27996" spans="7:14" x14ac:dyDescent="0.3">
      <c r="G27996" s="1"/>
      <c r="N27996" s="1"/>
    </row>
    <row r="27997" spans="7:14" x14ac:dyDescent="0.3">
      <c r="G27997" s="1"/>
      <c r="N27997" s="1"/>
    </row>
    <row r="27998" spans="7:14" x14ac:dyDescent="0.3">
      <c r="G27998" s="1"/>
      <c r="N27998" s="1"/>
    </row>
    <row r="27999" spans="7:14" x14ac:dyDescent="0.3">
      <c r="G27999" s="1"/>
      <c r="N27999" s="1"/>
    </row>
    <row r="28000" spans="7:14" x14ac:dyDescent="0.3">
      <c r="G28000" s="1"/>
      <c r="N28000" s="1"/>
    </row>
    <row r="28001" spans="7:14" x14ac:dyDescent="0.3">
      <c r="G28001" s="1"/>
      <c r="N28001" s="1"/>
    </row>
    <row r="28002" spans="7:14" x14ac:dyDescent="0.3">
      <c r="G28002" s="1"/>
      <c r="N28002" s="1"/>
    </row>
    <row r="28003" spans="7:14" x14ac:dyDescent="0.3">
      <c r="G28003" s="1"/>
      <c r="N28003" s="1"/>
    </row>
    <row r="28004" spans="7:14" x14ac:dyDescent="0.3">
      <c r="G28004" s="1"/>
      <c r="N28004" s="1"/>
    </row>
    <row r="28005" spans="7:14" x14ac:dyDescent="0.3">
      <c r="G28005" s="1"/>
      <c r="N28005" s="1"/>
    </row>
    <row r="28006" spans="7:14" x14ac:dyDescent="0.3">
      <c r="G28006" s="1"/>
      <c r="N28006" s="1"/>
    </row>
    <row r="28007" spans="7:14" x14ac:dyDescent="0.3">
      <c r="G28007" s="1"/>
      <c r="N28007" s="1"/>
    </row>
    <row r="28008" spans="7:14" x14ac:dyDescent="0.3">
      <c r="G28008" s="1"/>
      <c r="N28008" s="1"/>
    </row>
    <row r="28009" spans="7:14" x14ac:dyDescent="0.3">
      <c r="G28009" s="1"/>
      <c r="N28009" s="1"/>
    </row>
    <row r="28010" spans="7:14" x14ac:dyDescent="0.3">
      <c r="G28010" s="1"/>
      <c r="N28010" s="1"/>
    </row>
    <row r="28011" spans="7:14" x14ac:dyDescent="0.3">
      <c r="G28011" s="1"/>
      <c r="N28011" s="1"/>
    </row>
    <row r="28012" spans="7:14" x14ac:dyDescent="0.3">
      <c r="G28012" s="1"/>
      <c r="N28012" s="1"/>
    </row>
    <row r="28013" spans="7:14" x14ac:dyDescent="0.3">
      <c r="G28013" s="1"/>
      <c r="N28013" s="1"/>
    </row>
    <row r="28014" spans="7:14" x14ac:dyDescent="0.3">
      <c r="G28014" s="1"/>
      <c r="N28014" s="1"/>
    </row>
    <row r="28015" spans="7:14" x14ac:dyDescent="0.3">
      <c r="G28015" s="1"/>
      <c r="N28015" s="1"/>
    </row>
    <row r="28016" spans="7:14" x14ac:dyDescent="0.3">
      <c r="G28016" s="1"/>
      <c r="N28016" s="1"/>
    </row>
    <row r="28017" spans="7:14" x14ac:dyDescent="0.3">
      <c r="G28017" s="1"/>
      <c r="N28017" s="1"/>
    </row>
    <row r="28018" spans="7:14" x14ac:dyDescent="0.3">
      <c r="G28018" s="1"/>
      <c r="N28018" s="1"/>
    </row>
    <row r="28019" spans="7:14" x14ac:dyDescent="0.3">
      <c r="G28019" s="1"/>
      <c r="N28019" s="1"/>
    </row>
    <row r="28020" spans="7:14" x14ac:dyDescent="0.3">
      <c r="G28020" s="1"/>
      <c r="N28020" s="1"/>
    </row>
    <row r="28021" spans="7:14" x14ac:dyDescent="0.3">
      <c r="G28021" s="1"/>
      <c r="N28021" s="1"/>
    </row>
    <row r="28022" spans="7:14" x14ac:dyDescent="0.3">
      <c r="G28022" s="1"/>
      <c r="N28022" s="1"/>
    </row>
    <row r="28023" spans="7:14" x14ac:dyDescent="0.3">
      <c r="G28023" s="1"/>
      <c r="N28023" s="1"/>
    </row>
    <row r="28024" spans="7:14" x14ac:dyDescent="0.3">
      <c r="G28024" s="1"/>
      <c r="N28024" s="1"/>
    </row>
    <row r="28025" spans="7:14" x14ac:dyDescent="0.3">
      <c r="G28025" s="1"/>
      <c r="N28025" s="1"/>
    </row>
    <row r="28026" spans="7:14" x14ac:dyDescent="0.3">
      <c r="G28026" s="1"/>
      <c r="N28026" s="1"/>
    </row>
    <row r="28027" spans="7:14" x14ac:dyDescent="0.3">
      <c r="G28027" s="1"/>
      <c r="N28027" s="1"/>
    </row>
    <row r="28028" spans="7:14" x14ac:dyDescent="0.3">
      <c r="G28028" s="1"/>
      <c r="N28028" s="1"/>
    </row>
    <row r="28029" spans="7:14" x14ac:dyDescent="0.3">
      <c r="G28029" s="1"/>
      <c r="N28029" s="1"/>
    </row>
    <row r="28030" spans="7:14" x14ac:dyDescent="0.3">
      <c r="G28030" s="1"/>
      <c r="N28030" s="1"/>
    </row>
    <row r="28031" spans="7:14" x14ac:dyDescent="0.3">
      <c r="G28031" s="1"/>
      <c r="N28031" s="1"/>
    </row>
    <row r="28032" spans="7:14" x14ac:dyDescent="0.3">
      <c r="G28032" s="1"/>
      <c r="N28032" s="1"/>
    </row>
    <row r="28033" spans="7:14" x14ac:dyDescent="0.3">
      <c r="G28033" s="1"/>
      <c r="N28033" s="1"/>
    </row>
    <row r="28034" spans="7:14" x14ac:dyDescent="0.3">
      <c r="G28034" s="1"/>
      <c r="N28034" s="1"/>
    </row>
    <row r="28035" spans="7:14" x14ac:dyDescent="0.3">
      <c r="G28035" s="1"/>
      <c r="N28035" s="1"/>
    </row>
    <row r="28036" spans="7:14" x14ac:dyDescent="0.3">
      <c r="G28036" s="1"/>
      <c r="N28036" s="1"/>
    </row>
    <row r="28037" spans="7:14" x14ac:dyDescent="0.3">
      <c r="G28037" s="1"/>
      <c r="N28037" s="1"/>
    </row>
    <row r="28038" spans="7:14" x14ac:dyDescent="0.3">
      <c r="G28038" s="1"/>
      <c r="N28038" s="1"/>
    </row>
    <row r="28039" spans="7:14" x14ac:dyDescent="0.3">
      <c r="G28039" s="1"/>
      <c r="N28039" s="1"/>
    </row>
    <row r="28040" spans="7:14" x14ac:dyDescent="0.3">
      <c r="G28040" s="1"/>
      <c r="N28040" s="1"/>
    </row>
    <row r="28041" spans="7:14" x14ac:dyDescent="0.3">
      <c r="G28041" s="1"/>
      <c r="N28041" s="1"/>
    </row>
    <row r="28042" spans="7:14" x14ac:dyDescent="0.3">
      <c r="G28042" s="1"/>
      <c r="N28042" s="1"/>
    </row>
    <row r="28043" spans="7:14" x14ac:dyDescent="0.3">
      <c r="G28043" s="1"/>
      <c r="N28043" s="1"/>
    </row>
    <row r="28044" spans="7:14" x14ac:dyDescent="0.3">
      <c r="G28044" s="1"/>
      <c r="N28044" s="1"/>
    </row>
    <row r="28045" spans="7:14" x14ac:dyDescent="0.3">
      <c r="G28045" s="1"/>
      <c r="N28045" s="1"/>
    </row>
    <row r="28046" spans="7:14" x14ac:dyDescent="0.3">
      <c r="G28046" s="1"/>
      <c r="N28046" s="1"/>
    </row>
    <row r="28047" spans="7:14" x14ac:dyDescent="0.3">
      <c r="G28047" s="1"/>
      <c r="N28047" s="1"/>
    </row>
    <row r="28048" spans="7:14" x14ac:dyDescent="0.3">
      <c r="G28048" s="1"/>
      <c r="N28048" s="1"/>
    </row>
    <row r="28049" spans="7:14" x14ac:dyDescent="0.3">
      <c r="G28049" s="1"/>
      <c r="N28049" s="1"/>
    </row>
    <row r="28050" spans="7:14" x14ac:dyDescent="0.3">
      <c r="G28050" s="1"/>
      <c r="N28050" s="1"/>
    </row>
    <row r="28051" spans="7:14" x14ac:dyDescent="0.3">
      <c r="G28051" s="1"/>
      <c r="N28051" s="1"/>
    </row>
    <row r="28052" spans="7:14" x14ac:dyDescent="0.3">
      <c r="G28052" s="1"/>
      <c r="N28052" s="1"/>
    </row>
    <row r="28053" spans="7:14" x14ac:dyDescent="0.3">
      <c r="G28053" s="1"/>
      <c r="N28053" s="1"/>
    </row>
    <row r="28054" spans="7:14" x14ac:dyDescent="0.3">
      <c r="G28054" s="1"/>
      <c r="N28054" s="1"/>
    </row>
    <row r="28055" spans="7:14" x14ac:dyDescent="0.3">
      <c r="G28055" s="1"/>
      <c r="N28055" s="1"/>
    </row>
    <row r="28056" spans="7:14" x14ac:dyDescent="0.3">
      <c r="G28056" s="1"/>
      <c r="N28056" s="1"/>
    </row>
    <row r="28057" spans="7:14" x14ac:dyDescent="0.3">
      <c r="G28057" s="1"/>
      <c r="N28057" s="1"/>
    </row>
    <row r="28058" spans="7:14" x14ac:dyDescent="0.3">
      <c r="G28058" s="1"/>
      <c r="N28058" s="1"/>
    </row>
    <row r="28059" spans="7:14" x14ac:dyDescent="0.3">
      <c r="G28059" s="1"/>
      <c r="N28059" s="1"/>
    </row>
    <row r="28060" spans="7:14" x14ac:dyDescent="0.3">
      <c r="G28060" s="1"/>
      <c r="N28060" s="1"/>
    </row>
    <row r="28061" spans="7:14" x14ac:dyDescent="0.3">
      <c r="G28061" s="1"/>
      <c r="N28061" s="1"/>
    </row>
    <row r="28062" spans="7:14" x14ac:dyDescent="0.3">
      <c r="G28062" s="1"/>
      <c r="N28062" s="1"/>
    </row>
    <row r="28063" spans="7:14" x14ac:dyDescent="0.3">
      <c r="G28063" s="1"/>
      <c r="N28063" s="1"/>
    </row>
    <row r="28064" spans="7:14" x14ac:dyDescent="0.3">
      <c r="G28064" s="1"/>
      <c r="N28064" s="1"/>
    </row>
    <row r="28065" spans="7:14" x14ac:dyDescent="0.3">
      <c r="G28065" s="1"/>
      <c r="N28065" s="1"/>
    </row>
    <row r="28066" spans="7:14" x14ac:dyDescent="0.3">
      <c r="G28066" s="1"/>
      <c r="N28066" s="1"/>
    </row>
    <row r="28067" spans="7:14" x14ac:dyDescent="0.3">
      <c r="G28067" s="1"/>
      <c r="N28067" s="1"/>
    </row>
    <row r="28068" spans="7:14" x14ac:dyDescent="0.3">
      <c r="G28068" s="1"/>
      <c r="N28068" s="1"/>
    </row>
    <row r="28069" spans="7:14" x14ac:dyDescent="0.3">
      <c r="G28069" s="1"/>
      <c r="N28069" s="1"/>
    </row>
    <row r="28070" spans="7:14" x14ac:dyDescent="0.3">
      <c r="G28070" s="1"/>
      <c r="N28070" s="1"/>
    </row>
    <row r="28071" spans="7:14" x14ac:dyDescent="0.3">
      <c r="G28071" s="1"/>
      <c r="N28071" s="1"/>
    </row>
    <row r="28072" spans="7:14" x14ac:dyDescent="0.3">
      <c r="G28072" s="1"/>
      <c r="N28072" s="1"/>
    </row>
    <row r="28073" spans="7:14" x14ac:dyDescent="0.3">
      <c r="G28073" s="1"/>
      <c r="N28073" s="1"/>
    </row>
    <row r="28074" spans="7:14" x14ac:dyDescent="0.3">
      <c r="G28074" s="1"/>
      <c r="N28074" s="1"/>
    </row>
    <row r="28075" spans="7:14" x14ac:dyDescent="0.3">
      <c r="G28075" s="1"/>
      <c r="N28075" s="1"/>
    </row>
    <row r="28076" spans="7:14" x14ac:dyDescent="0.3">
      <c r="G28076" s="1"/>
      <c r="N28076" s="1"/>
    </row>
    <row r="28077" spans="7:14" x14ac:dyDescent="0.3">
      <c r="G28077" s="1"/>
      <c r="N28077" s="1"/>
    </row>
    <row r="28078" spans="7:14" x14ac:dyDescent="0.3">
      <c r="G28078" s="1"/>
      <c r="N28078" s="1"/>
    </row>
    <row r="28079" spans="7:14" x14ac:dyDescent="0.3">
      <c r="G28079" s="1"/>
      <c r="N28079" s="1"/>
    </row>
    <row r="28080" spans="7:14" x14ac:dyDescent="0.3">
      <c r="G28080" s="1"/>
      <c r="N28080" s="1"/>
    </row>
    <row r="28081" spans="7:14" x14ac:dyDescent="0.3">
      <c r="G28081" s="1"/>
      <c r="N28081" s="1"/>
    </row>
    <row r="28082" spans="7:14" x14ac:dyDescent="0.3">
      <c r="G28082" s="1"/>
      <c r="N28082" s="1"/>
    </row>
    <row r="28083" spans="7:14" x14ac:dyDescent="0.3">
      <c r="G28083" s="1"/>
      <c r="N28083" s="1"/>
    </row>
    <row r="28084" spans="7:14" x14ac:dyDescent="0.3">
      <c r="G28084" s="1"/>
      <c r="N28084" s="1"/>
    </row>
    <row r="28085" spans="7:14" x14ac:dyDescent="0.3">
      <c r="G28085" s="1"/>
      <c r="N28085" s="1"/>
    </row>
    <row r="28086" spans="7:14" x14ac:dyDescent="0.3">
      <c r="G28086" s="1"/>
      <c r="N28086" s="1"/>
    </row>
    <row r="28087" spans="7:14" x14ac:dyDescent="0.3">
      <c r="G28087" s="1"/>
      <c r="N28087" s="1"/>
    </row>
    <row r="28088" spans="7:14" x14ac:dyDescent="0.3">
      <c r="G28088" s="1"/>
      <c r="N28088" s="1"/>
    </row>
    <row r="28089" spans="7:14" x14ac:dyDescent="0.3">
      <c r="G28089" s="1"/>
      <c r="N28089" s="1"/>
    </row>
    <row r="28090" spans="7:14" x14ac:dyDescent="0.3">
      <c r="G28090" s="1"/>
      <c r="N28090" s="1"/>
    </row>
    <row r="28091" spans="7:14" x14ac:dyDescent="0.3">
      <c r="G28091" s="1"/>
      <c r="N28091" s="1"/>
    </row>
    <row r="28092" spans="7:14" x14ac:dyDescent="0.3">
      <c r="G28092" s="1"/>
      <c r="N28092" s="1"/>
    </row>
    <row r="28093" spans="7:14" x14ac:dyDescent="0.3">
      <c r="G28093" s="1"/>
      <c r="N28093" s="1"/>
    </row>
    <row r="28094" spans="7:14" x14ac:dyDescent="0.3">
      <c r="G28094" s="1"/>
      <c r="N28094" s="1"/>
    </row>
    <row r="28095" spans="7:14" x14ac:dyDescent="0.3">
      <c r="G28095" s="1"/>
      <c r="N28095" s="1"/>
    </row>
    <row r="28096" spans="7:14" x14ac:dyDescent="0.3">
      <c r="G28096" s="1"/>
      <c r="N28096" s="1"/>
    </row>
    <row r="28097" spans="7:14" x14ac:dyDescent="0.3">
      <c r="G28097" s="1"/>
      <c r="N28097" s="1"/>
    </row>
    <row r="28098" spans="7:14" x14ac:dyDescent="0.3">
      <c r="G28098" s="1"/>
      <c r="N28098" s="1"/>
    </row>
    <row r="28099" spans="7:14" x14ac:dyDescent="0.3">
      <c r="G28099" s="1"/>
      <c r="N28099" s="1"/>
    </row>
    <row r="28100" spans="7:14" x14ac:dyDescent="0.3">
      <c r="G28100" s="1"/>
      <c r="N28100" s="1"/>
    </row>
    <row r="28101" spans="7:14" x14ac:dyDescent="0.3">
      <c r="G28101" s="1"/>
      <c r="N28101" s="1"/>
    </row>
    <row r="28102" spans="7:14" x14ac:dyDescent="0.3">
      <c r="G28102" s="1"/>
      <c r="N28102" s="1"/>
    </row>
    <row r="28103" spans="7:14" x14ac:dyDescent="0.3">
      <c r="G28103" s="1"/>
      <c r="N28103" s="1"/>
    </row>
    <row r="28104" spans="7:14" x14ac:dyDescent="0.3">
      <c r="G28104" s="1"/>
      <c r="N28104" s="1"/>
    </row>
    <row r="28105" spans="7:14" x14ac:dyDescent="0.3">
      <c r="G28105" s="1"/>
      <c r="N28105" s="1"/>
    </row>
    <row r="28106" spans="7:14" x14ac:dyDescent="0.3">
      <c r="G28106" s="1"/>
      <c r="N28106" s="1"/>
    </row>
    <row r="28107" spans="7:14" x14ac:dyDescent="0.3">
      <c r="G28107" s="1"/>
      <c r="N28107" s="1"/>
    </row>
    <row r="28108" spans="7:14" x14ac:dyDescent="0.3">
      <c r="G28108" s="1"/>
      <c r="N28108" s="1"/>
    </row>
    <row r="28109" spans="7:14" x14ac:dyDescent="0.3">
      <c r="G28109" s="1"/>
      <c r="N28109" s="1"/>
    </row>
    <row r="28110" spans="7:14" x14ac:dyDescent="0.3">
      <c r="G28110" s="1"/>
      <c r="N28110" s="1"/>
    </row>
    <row r="28111" spans="7:14" x14ac:dyDescent="0.3">
      <c r="G28111" s="1"/>
      <c r="N28111" s="1"/>
    </row>
    <row r="28112" spans="7:14" x14ac:dyDescent="0.3">
      <c r="G28112" s="1"/>
      <c r="N28112" s="1"/>
    </row>
    <row r="28113" spans="7:14" x14ac:dyDescent="0.3">
      <c r="G28113" s="1"/>
      <c r="N28113" s="1"/>
    </row>
    <row r="28114" spans="7:14" x14ac:dyDescent="0.3">
      <c r="G28114" s="1"/>
      <c r="N28114" s="1"/>
    </row>
    <row r="28115" spans="7:14" x14ac:dyDescent="0.3">
      <c r="G28115" s="1"/>
      <c r="N28115" s="1"/>
    </row>
    <row r="28116" spans="7:14" x14ac:dyDescent="0.3">
      <c r="G28116" s="1"/>
      <c r="N28116" s="1"/>
    </row>
    <row r="28117" spans="7:14" x14ac:dyDescent="0.3">
      <c r="G28117" s="1"/>
      <c r="N28117" s="1"/>
    </row>
    <row r="28118" spans="7:14" x14ac:dyDescent="0.3">
      <c r="G28118" s="1"/>
      <c r="N28118" s="1"/>
    </row>
    <row r="28119" spans="7:14" x14ac:dyDescent="0.3">
      <c r="G28119" s="1"/>
      <c r="N28119" s="1"/>
    </row>
    <row r="28120" spans="7:14" x14ac:dyDescent="0.3">
      <c r="G28120" s="1"/>
      <c r="N28120" s="1"/>
    </row>
    <row r="28121" spans="7:14" x14ac:dyDescent="0.3">
      <c r="G28121" s="1"/>
      <c r="N28121" s="1"/>
    </row>
    <row r="28122" spans="7:14" x14ac:dyDescent="0.3">
      <c r="G28122" s="1"/>
      <c r="N28122" s="1"/>
    </row>
    <row r="28123" spans="7:14" x14ac:dyDescent="0.3">
      <c r="G28123" s="1"/>
      <c r="N28123" s="1"/>
    </row>
    <row r="28124" spans="7:14" x14ac:dyDescent="0.3">
      <c r="G28124" s="1"/>
      <c r="N28124" s="1"/>
    </row>
    <row r="28125" spans="7:14" x14ac:dyDescent="0.3">
      <c r="G28125" s="1"/>
      <c r="N28125" s="1"/>
    </row>
    <row r="28126" spans="7:14" x14ac:dyDescent="0.3">
      <c r="G28126" s="1"/>
      <c r="N28126" s="1"/>
    </row>
    <row r="28127" spans="7:14" x14ac:dyDescent="0.3">
      <c r="G28127" s="1"/>
      <c r="N28127" s="1"/>
    </row>
    <row r="28128" spans="7:14" x14ac:dyDescent="0.3">
      <c r="G28128" s="1"/>
      <c r="N28128" s="1"/>
    </row>
    <row r="28129" spans="7:14" x14ac:dyDescent="0.3">
      <c r="G28129" s="1"/>
      <c r="N28129" s="1"/>
    </row>
    <row r="28130" spans="7:14" x14ac:dyDescent="0.3">
      <c r="G28130" s="1"/>
      <c r="N28130" s="1"/>
    </row>
    <row r="28131" spans="7:14" x14ac:dyDescent="0.3">
      <c r="G28131" s="1"/>
      <c r="N28131" s="1"/>
    </row>
    <row r="28132" spans="7:14" x14ac:dyDescent="0.3">
      <c r="G28132" s="1"/>
      <c r="N28132" s="1"/>
    </row>
    <row r="28133" spans="7:14" x14ac:dyDescent="0.3">
      <c r="G28133" s="1"/>
      <c r="N28133" s="1"/>
    </row>
    <row r="28134" spans="7:14" x14ac:dyDescent="0.3">
      <c r="G28134" s="1"/>
      <c r="N28134" s="1"/>
    </row>
    <row r="28135" spans="7:14" x14ac:dyDescent="0.3">
      <c r="G28135" s="1"/>
      <c r="N28135" s="1"/>
    </row>
    <row r="28136" spans="7:14" x14ac:dyDescent="0.3">
      <c r="G28136" s="1"/>
      <c r="N28136" s="1"/>
    </row>
    <row r="28137" spans="7:14" x14ac:dyDescent="0.3">
      <c r="G28137" s="1"/>
      <c r="N28137" s="1"/>
    </row>
    <row r="28138" spans="7:14" x14ac:dyDescent="0.3">
      <c r="G28138" s="1"/>
      <c r="N28138" s="1"/>
    </row>
    <row r="28139" spans="7:14" x14ac:dyDescent="0.3">
      <c r="G28139" s="1"/>
      <c r="N28139" s="1"/>
    </row>
    <row r="28140" spans="7:14" x14ac:dyDescent="0.3">
      <c r="G28140" s="1"/>
      <c r="N28140" s="1"/>
    </row>
    <row r="28141" spans="7:14" x14ac:dyDescent="0.3">
      <c r="G28141" s="1"/>
      <c r="N28141" s="1"/>
    </row>
    <row r="28142" spans="7:14" x14ac:dyDescent="0.3">
      <c r="G28142" s="1"/>
      <c r="N28142" s="1"/>
    </row>
    <row r="28143" spans="7:14" x14ac:dyDescent="0.3">
      <c r="G28143" s="1"/>
      <c r="N28143" s="1"/>
    </row>
    <row r="28144" spans="7:14" x14ac:dyDescent="0.3">
      <c r="G28144" s="1"/>
      <c r="N28144" s="1"/>
    </row>
    <row r="28145" spans="7:14" x14ac:dyDescent="0.3">
      <c r="G28145" s="1"/>
      <c r="N28145" s="1"/>
    </row>
    <row r="28146" spans="7:14" x14ac:dyDescent="0.3">
      <c r="G28146" s="1"/>
      <c r="N28146" s="1"/>
    </row>
    <row r="28147" spans="7:14" x14ac:dyDescent="0.3">
      <c r="G28147" s="1"/>
      <c r="N28147" s="1"/>
    </row>
    <row r="28148" spans="7:14" x14ac:dyDescent="0.3">
      <c r="G28148" s="1"/>
      <c r="N28148" s="1"/>
    </row>
    <row r="28149" spans="7:14" x14ac:dyDescent="0.3">
      <c r="G28149" s="1"/>
      <c r="N28149" s="1"/>
    </row>
    <row r="28150" spans="7:14" x14ac:dyDescent="0.3">
      <c r="G28150" s="1"/>
      <c r="N28150" s="1"/>
    </row>
    <row r="28151" spans="7:14" x14ac:dyDescent="0.3">
      <c r="G28151" s="1"/>
      <c r="N28151" s="1"/>
    </row>
    <row r="28152" spans="7:14" x14ac:dyDescent="0.3">
      <c r="G28152" s="1"/>
      <c r="N28152" s="1"/>
    </row>
    <row r="28153" spans="7:14" x14ac:dyDescent="0.3">
      <c r="G28153" s="1"/>
      <c r="N28153" s="1"/>
    </row>
    <row r="28154" spans="7:14" x14ac:dyDescent="0.3">
      <c r="G28154" s="1"/>
      <c r="N28154" s="1"/>
    </row>
    <row r="28155" spans="7:14" x14ac:dyDescent="0.3">
      <c r="G28155" s="1"/>
      <c r="N28155" s="1"/>
    </row>
    <row r="28156" spans="7:14" x14ac:dyDescent="0.3">
      <c r="G28156" s="1"/>
      <c r="N28156" s="1"/>
    </row>
    <row r="28157" spans="7:14" x14ac:dyDescent="0.3">
      <c r="G28157" s="1"/>
      <c r="N28157" s="1"/>
    </row>
    <row r="28158" spans="7:14" x14ac:dyDescent="0.3">
      <c r="G28158" s="1"/>
      <c r="N28158" s="1"/>
    </row>
    <row r="28159" spans="7:14" x14ac:dyDescent="0.3">
      <c r="G28159" s="1"/>
      <c r="N28159" s="1"/>
    </row>
    <row r="28160" spans="7:14" x14ac:dyDescent="0.3">
      <c r="G28160" s="1"/>
      <c r="N28160" s="1"/>
    </row>
    <row r="28161" spans="7:14" x14ac:dyDescent="0.3">
      <c r="G28161" s="1"/>
      <c r="N28161" s="1"/>
    </row>
    <row r="28162" spans="7:14" x14ac:dyDescent="0.3">
      <c r="G28162" s="1"/>
      <c r="N28162" s="1"/>
    </row>
    <row r="28163" spans="7:14" x14ac:dyDescent="0.3">
      <c r="G28163" s="1"/>
      <c r="N28163" s="1"/>
    </row>
    <row r="28164" spans="7:14" x14ac:dyDescent="0.3">
      <c r="G28164" s="1"/>
      <c r="N28164" s="1"/>
    </row>
    <row r="28165" spans="7:14" x14ac:dyDescent="0.3">
      <c r="G28165" s="1"/>
      <c r="N28165" s="1"/>
    </row>
    <row r="28166" spans="7:14" x14ac:dyDescent="0.3">
      <c r="G28166" s="1"/>
      <c r="N28166" s="1"/>
    </row>
    <row r="28167" spans="7:14" x14ac:dyDescent="0.3">
      <c r="G28167" s="1"/>
      <c r="N28167" s="1"/>
    </row>
    <row r="28168" spans="7:14" x14ac:dyDescent="0.3">
      <c r="G28168" s="1"/>
      <c r="N28168" s="1"/>
    </row>
    <row r="28169" spans="7:14" x14ac:dyDescent="0.3">
      <c r="G28169" s="1"/>
      <c r="N28169" s="1"/>
    </row>
    <row r="28170" spans="7:14" x14ac:dyDescent="0.3">
      <c r="G28170" s="1"/>
      <c r="N28170" s="1"/>
    </row>
    <row r="28171" spans="7:14" x14ac:dyDescent="0.3">
      <c r="G28171" s="1"/>
      <c r="N28171" s="1"/>
    </row>
    <row r="28172" spans="7:14" x14ac:dyDescent="0.3">
      <c r="G28172" s="1"/>
      <c r="N28172" s="1"/>
    </row>
    <row r="28173" spans="7:14" x14ac:dyDescent="0.3">
      <c r="G28173" s="1"/>
      <c r="N28173" s="1"/>
    </row>
    <row r="28174" spans="7:14" x14ac:dyDescent="0.3">
      <c r="G28174" s="1"/>
      <c r="N28174" s="1"/>
    </row>
    <row r="28175" spans="7:14" x14ac:dyDescent="0.3">
      <c r="G28175" s="1"/>
      <c r="N28175" s="1"/>
    </row>
    <row r="28176" spans="7:14" x14ac:dyDescent="0.3">
      <c r="G28176" s="1"/>
      <c r="N28176" s="1"/>
    </row>
    <row r="28177" spans="7:14" x14ac:dyDescent="0.3">
      <c r="G28177" s="1"/>
      <c r="N28177" s="1"/>
    </row>
    <row r="28178" spans="7:14" x14ac:dyDescent="0.3">
      <c r="G28178" s="1"/>
      <c r="N28178" s="1"/>
    </row>
    <row r="28179" spans="7:14" x14ac:dyDescent="0.3">
      <c r="G28179" s="1"/>
      <c r="N28179" s="1"/>
    </row>
    <row r="28180" spans="7:14" x14ac:dyDescent="0.3">
      <c r="G28180" s="1"/>
      <c r="N28180" s="1"/>
    </row>
    <row r="28181" spans="7:14" x14ac:dyDescent="0.3">
      <c r="G28181" s="1"/>
      <c r="N28181" s="1"/>
    </row>
    <row r="28182" spans="7:14" x14ac:dyDescent="0.3">
      <c r="G28182" s="1"/>
      <c r="N28182" s="1"/>
    </row>
    <row r="28183" spans="7:14" x14ac:dyDescent="0.3">
      <c r="G28183" s="1"/>
      <c r="N28183" s="1"/>
    </row>
    <row r="28184" spans="7:14" x14ac:dyDescent="0.3">
      <c r="G28184" s="1"/>
      <c r="N28184" s="1"/>
    </row>
    <row r="28185" spans="7:14" x14ac:dyDescent="0.3">
      <c r="G28185" s="1"/>
      <c r="N28185" s="1"/>
    </row>
    <row r="28186" spans="7:14" x14ac:dyDescent="0.3">
      <c r="G28186" s="1"/>
      <c r="N28186" s="1"/>
    </row>
    <row r="28187" spans="7:14" x14ac:dyDescent="0.3">
      <c r="G28187" s="1"/>
      <c r="N28187" s="1"/>
    </row>
    <row r="28188" spans="7:14" x14ac:dyDescent="0.3">
      <c r="G28188" s="1"/>
      <c r="N28188" s="1"/>
    </row>
    <row r="28189" spans="7:14" x14ac:dyDescent="0.3">
      <c r="G28189" s="1"/>
      <c r="N28189" s="1"/>
    </row>
    <row r="28190" spans="7:14" x14ac:dyDescent="0.3">
      <c r="G28190" s="1"/>
      <c r="N28190" s="1"/>
    </row>
    <row r="28191" spans="7:14" x14ac:dyDescent="0.3">
      <c r="G28191" s="1"/>
      <c r="N28191" s="1"/>
    </row>
    <row r="28192" spans="7:14" x14ac:dyDescent="0.3">
      <c r="G28192" s="1"/>
      <c r="N28192" s="1"/>
    </row>
    <row r="28193" spans="7:14" x14ac:dyDescent="0.3">
      <c r="G28193" s="1"/>
      <c r="N28193" s="1"/>
    </row>
    <row r="28194" spans="7:14" x14ac:dyDescent="0.3">
      <c r="G28194" s="1"/>
      <c r="N28194" s="1"/>
    </row>
    <row r="28195" spans="7:14" x14ac:dyDescent="0.3">
      <c r="G28195" s="1"/>
      <c r="N28195" s="1"/>
    </row>
    <row r="28196" spans="7:14" x14ac:dyDescent="0.3">
      <c r="G28196" s="1"/>
      <c r="N28196" s="1"/>
    </row>
    <row r="28197" spans="7:14" x14ac:dyDescent="0.3">
      <c r="G28197" s="1"/>
      <c r="N28197" s="1"/>
    </row>
    <row r="28198" spans="7:14" x14ac:dyDescent="0.3">
      <c r="G28198" s="1"/>
      <c r="N28198" s="1"/>
    </row>
    <row r="28199" spans="7:14" x14ac:dyDescent="0.3">
      <c r="G28199" s="1"/>
      <c r="N28199" s="1"/>
    </row>
    <row r="28200" spans="7:14" x14ac:dyDescent="0.3">
      <c r="G28200" s="1"/>
      <c r="N28200" s="1"/>
    </row>
    <row r="28201" spans="7:14" x14ac:dyDescent="0.3">
      <c r="G28201" s="1"/>
      <c r="N28201" s="1"/>
    </row>
    <row r="28202" spans="7:14" x14ac:dyDescent="0.3">
      <c r="G28202" s="1"/>
      <c r="N28202" s="1"/>
    </row>
    <row r="28203" spans="7:14" x14ac:dyDescent="0.3">
      <c r="G28203" s="1"/>
      <c r="N28203" s="1"/>
    </row>
    <row r="28204" spans="7:14" x14ac:dyDescent="0.3">
      <c r="G28204" s="1"/>
      <c r="N28204" s="1"/>
    </row>
    <row r="28205" spans="7:14" x14ac:dyDescent="0.3">
      <c r="G28205" s="1"/>
      <c r="N28205" s="1"/>
    </row>
    <row r="28206" spans="7:14" x14ac:dyDescent="0.3">
      <c r="G28206" s="1"/>
      <c r="N28206" s="1"/>
    </row>
    <row r="28207" spans="7:14" x14ac:dyDescent="0.3">
      <c r="G28207" s="1"/>
      <c r="N28207" s="1"/>
    </row>
    <row r="28208" spans="7:14" x14ac:dyDescent="0.3">
      <c r="G28208" s="1"/>
      <c r="N28208" s="1"/>
    </row>
    <row r="28209" spans="7:14" x14ac:dyDescent="0.3">
      <c r="G28209" s="1"/>
      <c r="N28209" s="1"/>
    </row>
    <row r="28210" spans="7:14" x14ac:dyDescent="0.3">
      <c r="G28210" s="1"/>
      <c r="N28210" s="1"/>
    </row>
    <row r="28211" spans="7:14" x14ac:dyDescent="0.3">
      <c r="G28211" s="1"/>
      <c r="N28211" s="1"/>
    </row>
    <row r="28212" spans="7:14" x14ac:dyDescent="0.3">
      <c r="G28212" s="1"/>
      <c r="N28212" s="1"/>
    </row>
    <row r="28213" spans="7:14" x14ac:dyDescent="0.3">
      <c r="G28213" s="1"/>
      <c r="N28213" s="1"/>
    </row>
    <row r="28214" spans="7:14" x14ac:dyDescent="0.3">
      <c r="G28214" s="1"/>
      <c r="N28214" s="1"/>
    </row>
    <row r="28215" spans="7:14" x14ac:dyDescent="0.3">
      <c r="G28215" s="1"/>
      <c r="N28215" s="1"/>
    </row>
    <row r="28216" spans="7:14" x14ac:dyDescent="0.3">
      <c r="G28216" s="1"/>
      <c r="N28216" s="1"/>
    </row>
    <row r="28217" spans="7:14" x14ac:dyDescent="0.3">
      <c r="G28217" s="1"/>
      <c r="N28217" s="1"/>
    </row>
    <row r="28218" spans="7:14" x14ac:dyDescent="0.3">
      <c r="G28218" s="1"/>
      <c r="N28218" s="1"/>
    </row>
    <row r="28219" spans="7:14" x14ac:dyDescent="0.3">
      <c r="G28219" s="1"/>
      <c r="N28219" s="1"/>
    </row>
    <row r="28220" spans="7:14" x14ac:dyDescent="0.3">
      <c r="G28220" s="1"/>
      <c r="N28220" s="1"/>
    </row>
    <row r="28221" spans="7:14" x14ac:dyDescent="0.3">
      <c r="G28221" s="1"/>
      <c r="N28221" s="1"/>
    </row>
    <row r="28222" spans="7:14" x14ac:dyDescent="0.3">
      <c r="G28222" s="1"/>
      <c r="N28222" s="1"/>
    </row>
    <row r="28223" spans="7:14" x14ac:dyDescent="0.3">
      <c r="G28223" s="1"/>
      <c r="N28223" s="1"/>
    </row>
    <row r="28224" spans="7:14" x14ac:dyDescent="0.3">
      <c r="G28224" s="1"/>
      <c r="N28224" s="1"/>
    </row>
    <row r="28225" spans="7:14" x14ac:dyDescent="0.3">
      <c r="G28225" s="1"/>
      <c r="N28225" s="1"/>
    </row>
    <row r="28226" spans="7:14" x14ac:dyDescent="0.3">
      <c r="G28226" s="1"/>
      <c r="N28226" s="1"/>
    </row>
    <row r="28227" spans="7:14" x14ac:dyDescent="0.3">
      <c r="G28227" s="1"/>
      <c r="N28227" s="1"/>
    </row>
    <row r="28228" spans="7:14" x14ac:dyDescent="0.3">
      <c r="G28228" s="1"/>
      <c r="N28228" s="1"/>
    </row>
    <row r="28229" spans="7:14" x14ac:dyDescent="0.3">
      <c r="G28229" s="1"/>
      <c r="N28229" s="1"/>
    </row>
    <row r="28230" spans="7:14" x14ac:dyDescent="0.3">
      <c r="G28230" s="1"/>
      <c r="N28230" s="1"/>
    </row>
    <row r="28231" spans="7:14" x14ac:dyDescent="0.3">
      <c r="G28231" s="1"/>
      <c r="N28231" s="1"/>
    </row>
    <row r="28232" spans="7:14" x14ac:dyDescent="0.3">
      <c r="G28232" s="1"/>
      <c r="N28232" s="1"/>
    </row>
    <row r="28233" spans="7:14" x14ac:dyDescent="0.3">
      <c r="G28233" s="1"/>
      <c r="N28233" s="1"/>
    </row>
    <row r="28234" spans="7:14" x14ac:dyDescent="0.3">
      <c r="G28234" s="1"/>
      <c r="N28234" s="1"/>
    </row>
    <row r="28235" spans="7:14" x14ac:dyDescent="0.3">
      <c r="G28235" s="1"/>
      <c r="N28235" s="1"/>
    </row>
    <row r="28236" spans="7:14" x14ac:dyDescent="0.3">
      <c r="G28236" s="1"/>
      <c r="N28236" s="1"/>
    </row>
    <row r="28237" spans="7:14" x14ac:dyDescent="0.3">
      <c r="G28237" s="1"/>
      <c r="N28237" s="1"/>
    </row>
    <row r="28238" spans="7:14" x14ac:dyDescent="0.3">
      <c r="G28238" s="1"/>
      <c r="N28238" s="1"/>
    </row>
    <row r="28239" spans="7:14" x14ac:dyDescent="0.3">
      <c r="G28239" s="1"/>
      <c r="N28239" s="1"/>
    </row>
    <row r="28240" spans="7:14" x14ac:dyDescent="0.3">
      <c r="G28240" s="1"/>
      <c r="N28240" s="1"/>
    </row>
    <row r="28241" spans="7:14" x14ac:dyDescent="0.3">
      <c r="G28241" s="1"/>
      <c r="N28241" s="1"/>
    </row>
    <row r="28242" spans="7:14" x14ac:dyDescent="0.3">
      <c r="G28242" s="1"/>
      <c r="N28242" s="1"/>
    </row>
    <row r="28243" spans="7:14" x14ac:dyDescent="0.3">
      <c r="G28243" s="1"/>
      <c r="N28243" s="1"/>
    </row>
    <row r="28244" spans="7:14" x14ac:dyDescent="0.3">
      <c r="G28244" s="1"/>
      <c r="N28244" s="1"/>
    </row>
    <row r="28245" spans="7:14" x14ac:dyDescent="0.3">
      <c r="G28245" s="1"/>
      <c r="N28245" s="1"/>
    </row>
    <row r="28246" spans="7:14" x14ac:dyDescent="0.3">
      <c r="G28246" s="1"/>
      <c r="N28246" s="1"/>
    </row>
    <row r="28247" spans="7:14" x14ac:dyDescent="0.3">
      <c r="G28247" s="1"/>
      <c r="N28247" s="1"/>
    </row>
    <row r="28248" spans="7:14" x14ac:dyDescent="0.3">
      <c r="G28248" s="1"/>
      <c r="N28248" s="1"/>
    </row>
    <row r="28249" spans="7:14" x14ac:dyDescent="0.3">
      <c r="G28249" s="1"/>
      <c r="N28249" s="1"/>
    </row>
    <row r="28250" spans="7:14" x14ac:dyDescent="0.3">
      <c r="G28250" s="1"/>
      <c r="N28250" s="1"/>
    </row>
    <row r="28251" spans="7:14" x14ac:dyDescent="0.3">
      <c r="G28251" s="1"/>
      <c r="N28251" s="1"/>
    </row>
    <row r="28252" spans="7:14" x14ac:dyDescent="0.3">
      <c r="G28252" s="1"/>
      <c r="N28252" s="1"/>
    </row>
    <row r="28253" spans="7:14" x14ac:dyDescent="0.3">
      <c r="G28253" s="1"/>
      <c r="N28253" s="1"/>
    </row>
    <row r="28254" spans="7:14" x14ac:dyDescent="0.3">
      <c r="G28254" s="1"/>
      <c r="N28254" s="1"/>
    </row>
    <row r="28255" spans="7:14" x14ac:dyDescent="0.3">
      <c r="G28255" s="1"/>
      <c r="N28255" s="1"/>
    </row>
    <row r="28256" spans="7:14" x14ac:dyDescent="0.3">
      <c r="G28256" s="1"/>
      <c r="N28256" s="1"/>
    </row>
    <row r="28257" spans="7:14" x14ac:dyDescent="0.3">
      <c r="G28257" s="1"/>
      <c r="N28257" s="1"/>
    </row>
    <row r="28258" spans="7:14" x14ac:dyDescent="0.3">
      <c r="G28258" s="1"/>
      <c r="N28258" s="1"/>
    </row>
    <row r="28259" spans="7:14" x14ac:dyDescent="0.3">
      <c r="G28259" s="1"/>
      <c r="N28259" s="1"/>
    </row>
    <row r="28260" spans="7:14" x14ac:dyDescent="0.3">
      <c r="G28260" s="1"/>
      <c r="N28260" s="1"/>
    </row>
    <row r="28261" spans="7:14" x14ac:dyDescent="0.3">
      <c r="G28261" s="1"/>
      <c r="N28261" s="1"/>
    </row>
    <row r="28262" spans="7:14" x14ac:dyDescent="0.3">
      <c r="G28262" s="1"/>
      <c r="N28262" s="1"/>
    </row>
    <row r="28263" spans="7:14" x14ac:dyDescent="0.3">
      <c r="G28263" s="1"/>
      <c r="N28263" s="1"/>
    </row>
    <row r="28264" spans="7:14" x14ac:dyDescent="0.3">
      <c r="G28264" s="1"/>
      <c r="N28264" s="1"/>
    </row>
    <row r="28265" spans="7:14" x14ac:dyDescent="0.3">
      <c r="G28265" s="1"/>
      <c r="N28265" s="1"/>
    </row>
    <row r="28266" spans="7:14" x14ac:dyDescent="0.3">
      <c r="G28266" s="1"/>
      <c r="N28266" s="1"/>
    </row>
    <row r="28267" spans="7:14" x14ac:dyDescent="0.3">
      <c r="G28267" s="1"/>
      <c r="N28267" s="1"/>
    </row>
    <row r="28268" spans="7:14" x14ac:dyDescent="0.3">
      <c r="G28268" s="1"/>
      <c r="N28268" s="1"/>
    </row>
    <row r="28269" spans="7:14" x14ac:dyDescent="0.3">
      <c r="G28269" s="1"/>
      <c r="N28269" s="1"/>
    </row>
    <row r="28270" spans="7:14" x14ac:dyDescent="0.3">
      <c r="G28270" s="1"/>
      <c r="N28270" s="1"/>
    </row>
    <row r="28271" spans="7:14" x14ac:dyDescent="0.3">
      <c r="G28271" s="1"/>
      <c r="N28271" s="1"/>
    </row>
    <row r="28272" spans="7:14" x14ac:dyDescent="0.3">
      <c r="G28272" s="1"/>
      <c r="N28272" s="1"/>
    </row>
    <row r="28273" spans="7:14" x14ac:dyDescent="0.3">
      <c r="G28273" s="1"/>
      <c r="N28273" s="1"/>
    </row>
    <row r="28274" spans="7:14" x14ac:dyDescent="0.3">
      <c r="G28274" s="1"/>
      <c r="N28274" s="1"/>
    </row>
    <row r="28275" spans="7:14" x14ac:dyDescent="0.3">
      <c r="G28275" s="1"/>
      <c r="N28275" s="1"/>
    </row>
    <row r="28276" spans="7:14" x14ac:dyDescent="0.3">
      <c r="G28276" s="1"/>
      <c r="N28276" s="1"/>
    </row>
    <row r="28277" spans="7:14" x14ac:dyDescent="0.3">
      <c r="G28277" s="1"/>
      <c r="N28277" s="1"/>
    </row>
    <row r="28278" spans="7:14" x14ac:dyDescent="0.3">
      <c r="G28278" s="1"/>
      <c r="N28278" s="1"/>
    </row>
    <row r="28279" spans="7:14" x14ac:dyDescent="0.3">
      <c r="G28279" s="1"/>
      <c r="N28279" s="1"/>
    </row>
    <row r="28280" spans="7:14" x14ac:dyDescent="0.3">
      <c r="G28280" s="1"/>
      <c r="N28280" s="1"/>
    </row>
    <row r="28281" spans="7:14" x14ac:dyDescent="0.3">
      <c r="G28281" s="1"/>
      <c r="N28281" s="1"/>
    </row>
    <row r="28282" spans="7:14" x14ac:dyDescent="0.3">
      <c r="G28282" s="1"/>
      <c r="N28282" s="1"/>
    </row>
    <row r="28283" spans="7:14" x14ac:dyDescent="0.3">
      <c r="G28283" s="1"/>
      <c r="N28283" s="1"/>
    </row>
    <row r="28284" spans="7:14" x14ac:dyDescent="0.3">
      <c r="G28284" s="1"/>
      <c r="N28284" s="1"/>
    </row>
    <row r="28285" spans="7:14" x14ac:dyDescent="0.3">
      <c r="G28285" s="1"/>
      <c r="N28285" s="1"/>
    </row>
    <row r="28286" spans="7:14" x14ac:dyDescent="0.3">
      <c r="G28286" s="1"/>
      <c r="N28286" s="1"/>
    </row>
    <row r="28287" spans="7:14" x14ac:dyDescent="0.3">
      <c r="G28287" s="1"/>
      <c r="N28287" s="1"/>
    </row>
    <row r="28288" spans="7:14" x14ac:dyDescent="0.3">
      <c r="G28288" s="1"/>
      <c r="N28288" s="1"/>
    </row>
    <row r="28289" spans="7:14" x14ac:dyDescent="0.3">
      <c r="G28289" s="1"/>
      <c r="N28289" s="1"/>
    </row>
    <row r="28290" spans="7:14" x14ac:dyDescent="0.3">
      <c r="G28290" s="1"/>
      <c r="N28290" s="1"/>
    </row>
    <row r="28291" spans="7:14" x14ac:dyDescent="0.3">
      <c r="G28291" s="1"/>
      <c r="N28291" s="1"/>
    </row>
    <row r="28292" spans="7:14" x14ac:dyDescent="0.3">
      <c r="G28292" s="1"/>
      <c r="N28292" s="1"/>
    </row>
    <row r="28293" spans="7:14" x14ac:dyDescent="0.3">
      <c r="G28293" s="1"/>
      <c r="N28293" s="1"/>
    </row>
    <row r="28294" spans="7:14" x14ac:dyDescent="0.3">
      <c r="G28294" s="1"/>
      <c r="N28294" s="1"/>
    </row>
    <row r="28295" spans="7:14" x14ac:dyDescent="0.3">
      <c r="G28295" s="1"/>
      <c r="N28295" s="1"/>
    </row>
    <row r="28296" spans="7:14" x14ac:dyDescent="0.3">
      <c r="G28296" s="1"/>
      <c r="N28296" s="1"/>
    </row>
    <row r="28297" spans="7:14" x14ac:dyDescent="0.3">
      <c r="G28297" s="1"/>
      <c r="N28297" s="1"/>
    </row>
    <row r="28298" spans="7:14" x14ac:dyDescent="0.3">
      <c r="G28298" s="1"/>
      <c r="N28298" s="1"/>
    </row>
    <row r="28299" spans="7:14" x14ac:dyDescent="0.3">
      <c r="G28299" s="1"/>
      <c r="N28299" s="1"/>
    </row>
    <row r="28300" spans="7:14" x14ac:dyDescent="0.3">
      <c r="G28300" s="1"/>
      <c r="N28300" s="1"/>
    </row>
    <row r="28301" spans="7:14" x14ac:dyDescent="0.3">
      <c r="G28301" s="1"/>
      <c r="N28301" s="1"/>
    </row>
    <row r="28302" spans="7:14" x14ac:dyDescent="0.3">
      <c r="G28302" s="1"/>
      <c r="N28302" s="1"/>
    </row>
    <row r="28303" spans="7:14" x14ac:dyDescent="0.3">
      <c r="G28303" s="1"/>
      <c r="N28303" s="1"/>
    </row>
    <row r="28304" spans="7:14" x14ac:dyDescent="0.3">
      <c r="G28304" s="1"/>
      <c r="N28304" s="1"/>
    </row>
    <row r="28305" spans="7:14" x14ac:dyDescent="0.3">
      <c r="G28305" s="1"/>
      <c r="N28305" s="1"/>
    </row>
    <row r="28306" spans="7:14" x14ac:dyDescent="0.3">
      <c r="G28306" s="1"/>
      <c r="N28306" s="1"/>
    </row>
    <row r="28307" spans="7:14" x14ac:dyDescent="0.3">
      <c r="G28307" s="1"/>
      <c r="N28307" s="1"/>
    </row>
    <row r="28308" spans="7:14" x14ac:dyDescent="0.3">
      <c r="G28308" s="1"/>
      <c r="N28308" s="1"/>
    </row>
    <row r="28309" spans="7:14" x14ac:dyDescent="0.3">
      <c r="G28309" s="1"/>
      <c r="N28309" s="1"/>
    </row>
    <row r="28310" spans="7:14" x14ac:dyDescent="0.3">
      <c r="G28310" s="1"/>
      <c r="N28310" s="1"/>
    </row>
    <row r="28311" spans="7:14" x14ac:dyDescent="0.3">
      <c r="G28311" s="1"/>
      <c r="N28311" s="1"/>
    </row>
    <row r="28312" spans="7:14" x14ac:dyDescent="0.3">
      <c r="G28312" s="1"/>
      <c r="N28312" s="1"/>
    </row>
    <row r="28313" spans="7:14" x14ac:dyDescent="0.3">
      <c r="G28313" s="1"/>
      <c r="N28313" s="1"/>
    </row>
    <row r="28314" spans="7:14" x14ac:dyDescent="0.3">
      <c r="G28314" s="1"/>
      <c r="N28314" s="1"/>
    </row>
    <row r="28315" spans="7:14" x14ac:dyDescent="0.3">
      <c r="G28315" s="1"/>
      <c r="N28315" s="1"/>
    </row>
    <row r="28316" spans="7:14" x14ac:dyDescent="0.3">
      <c r="G28316" s="1"/>
      <c r="N28316" s="1"/>
    </row>
    <row r="28317" spans="7:14" x14ac:dyDescent="0.3">
      <c r="G28317" s="1"/>
      <c r="N28317" s="1"/>
    </row>
    <row r="28318" spans="7:14" x14ac:dyDescent="0.3">
      <c r="G28318" s="1"/>
      <c r="N28318" s="1"/>
    </row>
    <row r="28319" spans="7:14" x14ac:dyDescent="0.3">
      <c r="G28319" s="1"/>
      <c r="N28319" s="1"/>
    </row>
    <row r="28320" spans="7:14" x14ac:dyDescent="0.3">
      <c r="G28320" s="1"/>
      <c r="N28320" s="1"/>
    </row>
    <row r="28321" spans="7:14" x14ac:dyDescent="0.3">
      <c r="G28321" s="1"/>
      <c r="N28321" s="1"/>
    </row>
    <row r="28322" spans="7:14" x14ac:dyDescent="0.3">
      <c r="G28322" s="1"/>
      <c r="N28322" s="1"/>
    </row>
    <row r="28323" spans="7:14" x14ac:dyDescent="0.3">
      <c r="G28323" s="1"/>
      <c r="N28323" s="1"/>
    </row>
    <row r="28324" spans="7:14" x14ac:dyDescent="0.3">
      <c r="G28324" s="1"/>
      <c r="N28324" s="1"/>
    </row>
    <row r="28325" spans="7:14" x14ac:dyDescent="0.3">
      <c r="G28325" s="1"/>
      <c r="N28325" s="1"/>
    </row>
    <row r="28326" spans="7:14" x14ac:dyDescent="0.3">
      <c r="G28326" s="1"/>
      <c r="N28326" s="1"/>
    </row>
    <row r="28327" spans="7:14" x14ac:dyDescent="0.3">
      <c r="G28327" s="1"/>
      <c r="N28327" s="1"/>
    </row>
    <row r="28328" spans="7:14" x14ac:dyDescent="0.3">
      <c r="G28328" s="1"/>
      <c r="N28328" s="1"/>
    </row>
    <row r="28329" spans="7:14" x14ac:dyDescent="0.3">
      <c r="G28329" s="1"/>
      <c r="N28329" s="1"/>
    </row>
    <row r="28330" spans="7:14" x14ac:dyDescent="0.3">
      <c r="G28330" s="1"/>
      <c r="N28330" s="1"/>
    </row>
    <row r="28331" spans="7:14" x14ac:dyDescent="0.3">
      <c r="G28331" s="1"/>
      <c r="N28331" s="1"/>
    </row>
    <row r="28332" spans="7:14" x14ac:dyDescent="0.3">
      <c r="G28332" s="1"/>
      <c r="N28332" s="1"/>
    </row>
    <row r="28333" spans="7:14" x14ac:dyDescent="0.3">
      <c r="G28333" s="1"/>
      <c r="N28333" s="1"/>
    </row>
    <row r="28334" spans="7:14" x14ac:dyDescent="0.3">
      <c r="G28334" s="1"/>
      <c r="N28334" s="1"/>
    </row>
    <row r="28335" spans="7:14" x14ac:dyDescent="0.3">
      <c r="G28335" s="1"/>
      <c r="N28335" s="1"/>
    </row>
    <row r="28336" spans="7:14" x14ac:dyDescent="0.3">
      <c r="G28336" s="1"/>
      <c r="N28336" s="1"/>
    </row>
    <row r="28337" spans="7:14" x14ac:dyDescent="0.3">
      <c r="G28337" s="1"/>
      <c r="N28337" s="1"/>
    </row>
    <row r="28338" spans="7:14" x14ac:dyDescent="0.3">
      <c r="G28338" s="1"/>
      <c r="N28338" s="1"/>
    </row>
    <row r="28339" spans="7:14" x14ac:dyDescent="0.3">
      <c r="G28339" s="1"/>
      <c r="N28339" s="1"/>
    </row>
    <row r="28340" spans="7:14" x14ac:dyDescent="0.3">
      <c r="G28340" s="1"/>
      <c r="N28340" s="1"/>
    </row>
    <row r="28341" spans="7:14" x14ac:dyDescent="0.3">
      <c r="G28341" s="1"/>
      <c r="N28341" s="1"/>
    </row>
    <row r="28342" spans="7:14" x14ac:dyDescent="0.3">
      <c r="G28342" s="1"/>
      <c r="N28342" s="1"/>
    </row>
    <row r="28343" spans="7:14" x14ac:dyDescent="0.3">
      <c r="G28343" s="1"/>
      <c r="N28343" s="1"/>
    </row>
    <row r="28344" spans="7:14" x14ac:dyDescent="0.3">
      <c r="G28344" s="1"/>
      <c r="N28344" s="1"/>
    </row>
    <row r="28345" spans="7:14" x14ac:dyDescent="0.3">
      <c r="G28345" s="1"/>
      <c r="N28345" s="1"/>
    </row>
    <row r="28346" spans="7:14" x14ac:dyDescent="0.3">
      <c r="G28346" s="1"/>
      <c r="N28346" s="1"/>
    </row>
    <row r="28347" spans="7:14" x14ac:dyDescent="0.3">
      <c r="G28347" s="1"/>
      <c r="N28347" s="1"/>
    </row>
    <row r="28348" spans="7:14" x14ac:dyDescent="0.3">
      <c r="G28348" s="1"/>
      <c r="N28348" s="1"/>
    </row>
    <row r="28349" spans="7:14" x14ac:dyDescent="0.3">
      <c r="G28349" s="1"/>
      <c r="N28349" s="1"/>
    </row>
    <row r="28350" spans="7:14" x14ac:dyDescent="0.3">
      <c r="G28350" s="1"/>
      <c r="N28350" s="1"/>
    </row>
    <row r="28351" spans="7:14" x14ac:dyDescent="0.3">
      <c r="G28351" s="1"/>
      <c r="N28351" s="1"/>
    </row>
    <row r="28352" spans="7:14" x14ac:dyDescent="0.3">
      <c r="G28352" s="1"/>
      <c r="N28352" s="1"/>
    </row>
    <row r="28353" spans="7:14" x14ac:dyDescent="0.3">
      <c r="G28353" s="1"/>
      <c r="N28353" s="1"/>
    </row>
    <row r="28354" spans="7:14" x14ac:dyDescent="0.3">
      <c r="G28354" s="1"/>
      <c r="N28354" s="1"/>
    </row>
    <row r="28355" spans="7:14" x14ac:dyDescent="0.3">
      <c r="G28355" s="1"/>
      <c r="N28355" s="1"/>
    </row>
    <row r="28356" spans="7:14" x14ac:dyDescent="0.3">
      <c r="G28356" s="1"/>
      <c r="N28356" s="1"/>
    </row>
    <row r="28357" spans="7:14" x14ac:dyDescent="0.3">
      <c r="G28357" s="1"/>
      <c r="N28357" s="1"/>
    </row>
    <row r="28358" spans="7:14" x14ac:dyDescent="0.3">
      <c r="G28358" s="1"/>
      <c r="N28358" s="1"/>
    </row>
    <row r="28359" spans="7:14" x14ac:dyDescent="0.3">
      <c r="G28359" s="1"/>
      <c r="N28359" s="1"/>
    </row>
    <row r="28360" spans="7:14" x14ac:dyDescent="0.3">
      <c r="G28360" s="1"/>
      <c r="N28360" s="1"/>
    </row>
    <row r="28361" spans="7:14" x14ac:dyDescent="0.3">
      <c r="G28361" s="1"/>
      <c r="N28361" s="1"/>
    </row>
    <row r="28362" spans="7:14" x14ac:dyDescent="0.3">
      <c r="G28362" s="1"/>
      <c r="N28362" s="1"/>
    </row>
    <row r="28363" spans="7:14" x14ac:dyDescent="0.3">
      <c r="G28363" s="1"/>
      <c r="N28363" s="1"/>
    </row>
    <row r="28364" spans="7:14" x14ac:dyDescent="0.3">
      <c r="G28364" s="1"/>
      <c r="N28364" s="1"/>
    </row>
    <row r="28365" spans="7:14" x14ac:dyDescent="0.3">
      <c r="G28365" s="1"/>
      <c r="N28365" s="1"/>
    </row>
    <row r="28366" spans="7:14" x14ac:dyDescent="0.3">
      <c r="G28366" s="1"/>
      <c r="N28366" s="1"/>
    </row>
    <row r="28367" spans="7:14" x14ac:dyDescent="0.3">
      <c r="G28367" s="1"/>
      <c r="N28367" s="1"/>
    </row>
    <row r="28368" spans="7:14" x14ac:dyDescent="0.3">
      <c r="G28368" s="1"/>
      <c r="N28368" s="1"/>
    </row>
    <row r="28369" spans="7:14" x14ac:dyDescent="0.3">
      <c r="G28369" s="1"/>
      <c r="N28369" s="1"/>
    </row>
    <row r="28370" spans="7:14" x14ac:dyDescent="0.3">
      <c r="G28370" s="1"/>
      <c r="N28370" s="1"/>
    </row>
    <row r="28371" spans="7:14" x14ac:dyDescent="0.3">
      <c r="G28371" s="1"/>
      <c r="N28371" s="1"/>
    </row>
    <row r="28372" spans="7:14" x14ac:dyDescent="0.3">
      <c r="G28372" s="1"/>
      <c r="N28372" s="1"/>
    </row>
    <row r="28373" spans="7:14" x14ac:dyDescent="0.3">
      <c r="G28373" s="1"/>
      <c r="N28373" s="1"/>
    </row>
    <row r="28374" spans="7:14" x14ac:dyDescent="0.3">
      <c r="G28374" s="1"/>
      <c r="N28374" s="1"/>
    </row>
    <row r="28375" spans="7:14" x14ac:dyDescent="0.3">
      <c r="G28375" s="1"/>
      <c r="N28375" s="1"/>
    </row>
    <row r="28376" spans="7:14" x14ac:dyDescent="0.3">
      <c r="G28376" s="1"/>
      <c r="N28376" s="1"/>
    </row>
    <row r="28377" spans="7:14" x14ac:dyDescent="0.3">
      <c r="G28377" s="1"/>
      <c r="N28377" s="1"/>
    </row>
    <row r="28378" spans="7:14" x14ac:dyDescent="0.3">
      <c r="G28378" s="1"/>
      <c r="N28378" s="1"/>
    </row>
    <row r="28379" spans="7:14" x14ac:dyDescent="0.3">
      <c r="G28379" s="1"/>
      <c r="N28379" s="1"/>
    </row>
    <row r="28380" spans="7:14" x14ac:dyDescent="0.3">
      <c r="G28380" s="1"/>
      <c r="N28380" s="1"/>
    </row>
    <row r="28381" spans="7:14" x14ac:dyDescent="0.3">
      <c r="G28381" s="1"/>
      <c r="N28381" s="1"/>
    </row>
    <row r="28382" spans="7:14" x14ac:dyDescent="0.3">
      <c r="G28382" s="1"/>
      <c r="N28382" s="1"/>
    </row>
    <row r="28383" spans="7:14" x14ac:dyDescent="0.3">
      <c r="G28383" s="1"/>
      <c r="N28383" s="1"/>
    </row>
    <row r="28384" spans="7:14" x14ac:dyDescent="0.3">
      <c r="G28384" s="1"/>
      <c r="N28384" s="1"/>
    </row>
    <row r="28385" spans="7:14" x14ac:dyDescent="0.3">
      <c r="G28385" s="1"/>
      <c r="N28385" s="1"/>
    </row>
    <row r="28386" spans="7:14" x14ac:dyDescent="0.3">
      <c r="G28386" s="1"/>
      <c r="N28386" s="1"/>
    </row>
    <row r="28387" spans="7:14" x14ac:dyDescent="0.3">
      <c r="G28387" s="1"/>
      <c r="N28387" s="1"/>
    </row>
    <row r="28388" spans="7:14" x14ac:dyDescent="0.3">
      <c r="G28388" s="1"/>
      <c r="N28388" s="1"/>
    </row>
    <row r="28389" spans="7:14" x14ac:dyDescent="0.3">
      <c r="G28389" s="1"/>
      <c r="N28389" s="1"/>
    </row>
    <row r="28390" spans="7:14" x14ac:dyDescent="0.3">
      <c r="G28390" s="1"/>
      <c r="N28390" s="1"/>
    </row>
    <row r="28391" spans="7:14" x14ac:dyDescent="0.3">
      <c r="G28391" s="1"/>
      <c r="N28391" s="1"/>
    </row>
    <row r="28392" spans="7:14" x14ac:dyDescent="0.3">
      <c r="G28392" s="1"/>
      <c r="N28392" s="1"/>
    </row>
    <row r="28393" spans="7:14" x14ac:dyDescent="0.3">
      <c r="G28393" s="1"/>
      <c r="N28393" s="1"/>
    </row>
    <row r="28394" spans="7:14" x14ac:dyDescent="0.3">
      <c r="G28394" s="1"/>
      <c r="N28394" s="1"/>
    </row>
    <row r="28395" spans="7:14" x14ac:dyDescent="0.3">
      <c r="G28395" s="1"/>
      <c r="N28395" s="1"/>
    </row>
    <row r="28396" spans="7:14" x14ac:dyDescent="0.3">
      <c r="G28396" s="1"/>
      <c r="N28396" s="1"/>
    </row>
    <row r="28397" spans="7:14" x14ac:dyDescent="0.3">
      <c r="G28397" s="1"/>
      <c r="N28397" s="1"/>
    </row>
    <row r="28398" spans="7:14" x14ac:dyDescent="0.3">
      <c r="G28398" s="1"/>
      <c r="N28398" s="1"/>
    </row>
    <row r="28399" spans="7:14" x14ac:dyDescent="0.3">
      <c r="G28399" s="1"/>
      <c r="N28399" s="1"/>
    </row>
    <row r="28400" spans="7:14" x14ac:dyDescent="0.3">
      <c r="G28400" s="1"/>
      <c r="N28400" s="1"/>
    </row>
    <row r="28401" spans="7:14" x14ac:dyDescent="0.3">
      <c r="G28401" s="1"/>
      <c r="N28401" s="1"/>
    </row>
    <row r="28402" spans="7:14" x14ac:dyDescent="0.3">
      <c r="G28402" s="1"/>
      <c r="N28402" s="1"/>
    </row>
    <row r="28403" spans="7:14" x14ac:dyDescent="0.3">
      <c r="G28403" s="1"/>
      <c r="N28403" s="1"/>
    </row>
    <row r="28404" spans="7:14" x14ac:dyDescent="0.3">
      <c r="G28404" s="1"/>
      <c r="N28404" s="1"/>
    </row>
    <row r="28405" spans="7:14" x14ac:dyDescent="0.3">
      <c r="G28405" s="1"/>
      <c r="N28405" s="1"/>
    </row>
    <row r="28406" spans="7:14" x14ac:dyDescent="0.3">
      <c r="G28406" s="1"/>
      <c r="N28406" s="1"/>
    </row>
    <row r="28407" spans="7:14" x14ac:dyDescent="0.3">
      <c r="G28407" s="1"/>
      <c r="N28407" s="1"/>
    </row>
    <row r="28408" spans="7:14" x14ac:dyDescent="0.3">
      <c r="G28408" s="1"/>
      <c r="N28408" s="1"/>
    </row>
    <row r="28409" spans="7:14" x14ac:dyDescent="0.3">
      <c r="G28409" s="1"/>
      <c r="N28409" s="1"/>
    </row>
    <row r="28410" spans="7:14" x14ac:dyDescent="0.3">
      <c r="G28410" s="1"/>
      <c r="N28410" s="1"/>
    </row>
    <row r="28411" spans="7:14" x14ac:dyDescent="0.3">
      <c r="G28411" s="1"/>
      <c r="N28411" s="1"/>
    </row>
    <row r="28412" spans="7:14" x14ac:dyDescent="0.3">
      <c r="G28412" s="1"/>
      <c r="N28412" s="1"/>
    </row>
    <row r="28413" spans="7:14" x14ac:dyDescent="0.3">
      <c r="G28413" s="1"/>
      <c r="N28413" s="1"/>
    </row>
    <row r="28414" spans="7:14" x14ac:dyDescent="0.3">
      <c r="G28414" s="1"/>
      <c r="N28414" s="1"/>
    </row>
    <row r="28415" spans="7:14" x14ac:dyDescent="0.3">
      <c r="G28415" s="1"/>
      <c r="N28415" s="1"/>
    </row>
    <row r="28416" spans="7:14" x14ac:dyDescent="0.3">
      <c r="G28416" s="1"/>
      <c r="N28416" s="1"/>
    </row>
    <row r="28417" spans="7:14" x14ac:dyDescent="0.3">
      <c r="G28417" s="1"/>
      <c r="N28417" s="1"/>
    </row>
    <row r="28418" spans="7:14" x14ac:dyDescent="0.3">
      <c r="G28418" s="1"/>
      <c r="N28418" s="1"/>
    </row>
    <row r="28419" spans="7:14" x14ac:dyDescent="0.3">
      <c r="G28419" s="1"/>
      <c r="N28419" s="1"/>
    </row>
    <row r="28420" spans="7:14" x14ac:dyDescent="0.3">
      <c r="G28420" s="1"/>
      <c r="N28420" s="1"/>
    </row>
    <row r="28421" spans="7:14" x14ac:dyDescent="0.3">
      <c r="G28421" s="1"/>
      <c r="N28421" s="1"/>
    </row>
    <row r="28422" spans="7:14" x14ac:dyDescent="0.3">
      <c r="G28422" s="1"/>
      <c r="N28422" s="1"/>
    </row>
    <row r="28423" spans="7:14" x14ac:dyDescent="0.3">
      <c r="G28423" s="1"/>
      <c r="N28423" s="1"/>
    </row>
    <row r="28424" spans="7:14" x14ac:dyDescent="0.3">
      <c r="G28424" s="1"/>
      <c r="N28424" s="1"/>
    </row>
    <row r="28425" spans="7:14" x14ac:dyDescent="0.3">
      <c r="G28425" s="1"/>
      <c r="N28425" s="1"/>
    </row>
    <row r="28426" spans="7:14" x14ac:dyDescent="0.3">
      <c r="G28426" s="1"/>
      <c r="N28426" s="1"/>
    </row>
    <row r="28427" spans="7:14" x14ac:dyDescent="0.3">
      <c r="G28427" s="1"/>
      <c r="N28427" s="1"/>
    </row>
    <row r="28428" spans="7:14" x14ac:dyDescent="0.3">
      <c r="G28428" s="1"/>
      <c r="N28428" s="1"/>
    </row>
    <row r="28429" spans="7:14" x14ac:dyDescent="0.3">
      <c r="G28429" s="1"/>
      <c r="N28429" s="1"/>
    </row>
    <row r="28430" spans="7:14" x14ac:dyDescent="0.3">
      <c r="G28430" s="1"/>
      <c r="N28430" s="1"/>
    </row>
    <row r="28431" spans="7:14" x14ac:dyDescent="0.3">
      <c r="G28431" s="1"/>
      <c r="N28431" s="1"/>
    </row>
    <row r="28432" spans="7:14" x14ac:dyDescent="0.3">
      <c r="G28432" s="1"/>
      <c r="N28432" s="1"/>
    </row>
    <row r="28433" spans="7:14" x14ac:dyDescent="0.3">
      <c r="G28433" s="1"/>
      <c r="N28433" s="1"/>
    </row>
    <row r="28434" spans="7:14" x14ac:dyDescent="0.3">
      <c r="G28434" s="1"/>
      <c r="N28434" s="1"/>
    </row>
    <row r="28435" spans="7:14" x14ac:dyDescent="0.3">
      <c r="G28435" s="1"/>
      <c r="N28435" s="1"/>
    </row>
    <row r="28436" spans="7:14" x14ac:dyDescent="0.3">
      <c r="G28436" s="1"/>
      <c r="N28436" s="1"/>
    </row>
    <row r="28437" spans="7:14" x14ac:dyDescent="0.3">
      <c r="G28437" s="1"/>
      <c r="N28437" s="1"/>
    </row>
    <row r="28438" spans="7:14" x14ac:dyDescent="0.3">
      <c r="G28438" s="1"/>
      <c r="N28438" s="1"/>
    </row>
    <row r="28439" spans="7:14" x14ac:dyDescent="0.3">
      <c r="G28439" s="1"/>
      <c r="N28439" s="1"/>
    </row>
    <row r="28440" spans="7:14" x14ac:dyDescent="0.3">
      <c r="G28440" s="1"/>
      <c r="N28440" s="1"/>
    </row>
    <row r="28441" spans="7:14" x14ac:dyDescent="0.3">
      <c r="G28441" s="1"/>
      <c r="N28441" s="1"/>
    </row>
    <row r="28442" spans="7:14" x14ac:dyDescent="0.3">
      <c r="G28442" s="1"/>
      <c r="N28442" s="1"/>
    </row>
    <row r="28443" spans="7:14" x14ac:dyDescent="0.3">
      <c r="G28443" s="1"/>
      <c r="N28443" s="1"/>
    </row>
    <row r="28444" spans="7:14" x14ac:dyDescent="0.3">
      <c r="G28444" s="1"/>
      <c r="N28444" s="1"/>
    </row>
    <row r="28445" spans="7:14" x14ac:dyDescent="0.3">
      <c r="G28445" s="1"/>
      <c r="N28445" s="1"/>
    </row>
    <row r="28446" spans="7:14" x14ac:dyDescent="0.3">
      <c r="G28446" s="1"/>
      <c r="N28446" s="1"/>
    </row>
    <row r="28447" spans="7:14" x14ac:dyDescent="0.3">
      <c r="G28447" s="1"/>
      <c r="N28447" s="1"/>
    </row>
    <row r="28448" spans="7:14" x14ac:dyDescent="0.3">
      <c r="G28448" s="1"/>
      <c r="N28448" s="1"/>
    </row>
    <row r="28449" spans="7:14" x14ac:dyDescent="0.3">
      <c r="G28449" s="1"/>
      <c r="N28449" s="1"/>
    </row>
    <row r="28450" spans="7:14" x14ac:dyDescent="0.3">
      <c r="G28450" s="1"/>
      <c r="N28450" s="1"/>
    </row>
    <row r="28451" spans="7:14" x14ac:dyDescent="0.3">
      <c r="G28451" s="1"/>
      <c r="N28451" s="1"/>
    </row>
    <row r="28452" spans="7:14" x14ac:dyDescent="0.3">
      <c r="G28452" s="1"/>
      <c r="N28452" s="1"/>
    </row>
    <row r="28453" spans="7:14" x14ac:dyDescent="0.3">
      <c r="G28453" s="1"/>
      <c r="N28453" s="1"/>
    </row>
    <row r="28454" spans="7:14" x14ac:dyDescent="0.3">
      <c r="G28454" s="1"/>
      <c r="N28454" s="1"/>
    </row>
    <row r="28455" spans="7:14" x14ac:dyDescent="0.3">
      <c r="G28455" s="1"/>
      <c r="N28455" s="1"/>
    </row>
    <row r="28456" spans="7:14" x14ac:dyDescent="0.3">
      <c r="G28456" s="1"/>
      <c r="N28456" s="1"/>
    </row>
    <row r="28457" spans="7:14" x14ac:dyDescent="0.3">
      <c r="G28457" s="1"/>
      <c r="N28457" s="1"/>
    </row>
    <row r="28458" spans="7:14" x14ac:dyDescent="0.3">
      <c r="G28458" s="1"/>
      <c r="N28458" s="1"/>
    </row>
    <row r="28459" spans="7:14" x14ac:dyDescent="0.3">
      <c r="G28459" s="1"/>
      <c r="N28459" s="1"/>
    </row>
    <row r="28460" spans="7:14" x14ac:dyDescent="0.3">
      <c r="G28460" s="1"/>
      <c r="N28460" s="1"/>
    </row>
    <row r="28461" spans="7:14" x14ac:dyDescent="0.3">
      <c r="G28461" s="1"/>
      <c r="N28461" s="1"/>
    </row>
    <row r="28462" spans="7:14" x14ac:dyDescent="0.3">
      <c r="G28462" s="1"/>
      <c r="N28462" s="1"/>
    </row>
    <row r="28463" spans="7:14" x14ac:dyDescent="0.3">
      <c r="G28463" s="1"/>
      <c r="N28463" s="1"/>
    </row>
    <row r="28464" spans="7:14" x14ac:dyDescent="0.3">
      <c r="G28464" s="1"/>
      <c r="N28464" s="1"/>
    </row>
    <row r="28465" spans="7:14" x14ac:dyDescent="0.3">
      <c r="G28465" s="1"/>
      <c r="N28465" s="1"/>
    </row>
    <row r="28466" spans="7:14" x14ac:dyDescent="0.3">
      <c r="G28466" s="1"/>
      <c r="N28466" s="1"/>
    </row>
    <row r="28467" spans="7:14" x14ac:dyDescent="0.3">
      <c r="G28467" s="1"/>
      <c r="N28467" s="1"/>
    </row>
    <row r="28468" spans="7:14" x14ac:dyDescent="0.3">
      <c r="G28468" s="1"/>
      <c r="N28468" s="1"/>
    </row>
    <row r="28469" spans="7:14" x14ac:dyDescent="0.3">
      <c r="G28469" s="1"/>
      <c r="N28469" s="1"/>
    </row>
    <row r="28470" spans="7:14" x14ac:dyDescent="0.3">
      <c r="G28470" s="1"/>
      <c r="N28470" s="1"/>
    </row>
    <row r="28471" spans="7:14" x14ac:dyDescent="0.3">
      <c r="G28471" s="1"/>
      <c r="N28471" s="1"/>
    </row>
    <row r="28472" spans="7:14" x14ac:dyDescent="0.3">
      <c r="G28472" s="1"/>
      <c r="N28472" s="1"/>
    </row>
    <row r="28473" spans="7:14" x14ac:dyDescent="0.3">
      <c r="G28473" s="1"/>
      <c r="N28473" s="1"/>
    </row>
    <row r="28474" spans="7:14" x14ac:dyDescent="0.3">
      <c r="G28474" s="1"/>
      <c r="N28474" s="1"/>
    </row>
    <row r="28475" spans="7:14" x14ac:dyDescent="0.3">
      <c r="G28475" s="1"/>
      <c r="N28475" s="1"/>
    </row>
    <row r="28476" spans="7:14" x14ac:dyDescent="0.3">
      <c r="G28476" s="1"/>
      <c r="N28476" s="1"/>
    </row>
    <row r="28477" spans="7:14" x14ac:dyDescent="0.3">
      <c r="G28477" s="1"/>
      <c r="N28477" s="1"/>
    </row>
    <row r="28478" spans="7:14" x14ac:dyDescent="0.3">
      <c r="G28478" s="1"/>
      <c r="N28478" s="1"/>
    </row>
    <row r="28479" spans="7:14" x14ac:dyDescent="0.3">
      <c r="G28479" s="1"/>
      <c r="N28479" s="1"/>
    </row>
    <row r="28480" spans="7:14" x14ac:dyDescent="0.3">
      <c r="G28480" s="1"/>
      <c r="N28480" s="1"/>
    </row>
    <row r="28481" spans="7:14" x14ac:dyDescent="0.3">
      <c r="G28481" s="1"/>
      <c r="N28481" s="1"/>
    </row>
    <row r="28482" spans="7:14" x14ac:dyDescent="0.3">
      <c r="G28482" s="1"/>
      <c r="N28482" s="1"/>
    </row>
    <row r="28483" spans="7:14" x14ac:dyDescent="0.3">
      <c r="G28483" s="1"/>
      <c r="N28483" s="1"/>
    </row>
    <row r="28484" spans="7:14" x14ac:dyDescent="0.3">
      <c r="G28484" s="1"/>
      <c r="N28484" s="1"/>
    </row>
    <row r="28485" spans="7:14" x14ac:dyDescent="0.3">
      <c r="G28485" s="1"/>
      <c r="N28485" s="1"/>
    </row>
    <row r="28486" spans="7:14" x14ac:dyDescent="0.3">
      <c r="G28486" s="1"/>
      <c r="N28486" s="1"/>
    </row>
    <row r="28487" spans="7:14" x14ac:dyDescent="0.3">
      <c r="G28487" s="1"/>
      <c r="N28487" s="1"/>
    </row>
    <row r="28488" spans="7:14" x14ac:dyDescent="0.3">
      <c r="G28488" s="1"/>
      <c r="N28488" s="1"/>
    </row>
    <row r="28489" spans="7:14" x14ac:dyDescent="0.3">
      <c r="G28489" s="1"/>
      <c r="N28489" s="1"/>
    </row>
    <row r="28490" spans="7:14" x14ac:dyDescent="0.3">
      <c r="G28490" s="1"/>
      <c r="N28490" s="1"/>
    </row>
    <row r="28491" spans="7:14" x14ac:dyDescent="0.3">
      <c r="G28491" s="1"/>
      <c r="N28491" s="1"/>
    </row>
    <row r="28492" spans="7:14" x14ac:dyDescent="0.3">
      <c r="G28492" s="1"/>
      <c r="N28492" s="1"/>
    </row>
    <row r="28493" spans="7:14" x14ac:dyDescent="0.3">
      <c r="G28493" s="1"/>
      <c r="N28493" s="1"/>
    </row>
    <row r="28494" spans="7:14" x14ac:dyDescent="0.3">
      <c r="G28494" s="1"/>
      <c r="N28494" s="1"/>
    </row>
    <row r="28495" spans="7:14" x14ac:dyDescent="0.3">
      <c r="G28495" s="1"/>
      <c r="N28495" s="1"/>
    </row>
    <row r="28496" spans="7:14" x14ac:dyDescent="0.3">
      <c r="G28496" s="1"/>
      <c r="N28496" s="1"/>
    </row>
    <row r="28497" spans="7:14" x14ac:dyDescent="0.3">
      <c r="G28497" s="1"/>
      <c r="N28497" s="1"/>
    </row>
    <row r="28498" spans="7:14" x14ac:dyDescent="0.3">
      <c r="G28498" s="1"/>
      <c r="N28498" s="1"/>
    </row>
    <row r="28499" spans="7:14" x14ac:dyDescent="0.3">
      <c r="G28499" s="1"/>
      <c r="N28499" s="1"/>
    </row>
    <row r="28500" spans="7:14" x14ac:dyDescent="0.3">
      <c r="G28500" s="1"/>
      <c r="N28500" s="1"/>
    </row>
    <row r="28501" spans="7:14" x14ac:dyDescent="0.3">
      <c r="G28501" s="1"/>
      <c r="N28501" s="1"/>
    </row>
    <row r="28502" spans="7:14" x14ac:dyDescent="0.3">
      <c r="G28502" s="1"/>
      <c r="N28502" s="1"/>
    </row>
    <row r="28503" spans="7:14" x14ac:dyDescent="0.3">
      <c r="G28503" s="1"/>
      <c r="N28503" s="1"/>
    </row>
    <row r="28504" spans="7:14" x14ac:dyDescent="0.3">
      <c r="G28504" s="1"/>
      <c r="N28504" s="1"/>
    </row>
    <row r="28505" spans="7:14" x14ac:dyDescent="0.3">
      <c r="G28505" s="1"/>
      <c r="N28505" s="1"/>
    </row>
    <row r="28506" spans="7:14" x14ac:dyDescent="0.3">
      <c r="G28506" s="1"/>
      <c r="N28506" s="1"/>
    </row>
    <row r="28507" spans="7:14" x14ac:dyDescent="0.3">
      <c r="G28507" s="1"/>
      <c r="N28507" s="1"/>
    </row>
    <row r="28508" spans="7:14" x14ac:dyDescent="0.3">
      <c r="G28508" s="1"/>
      <c r="N28508" s="1"/>
    </row>
    <row r="28509" spans="7:14" x14ac:dyDescent="0.3">
      <c r="G28509" s="1"/>
      <c r="N28509" s="1"/>
    </row>
    <row r="28510" spans="7:14" x14ac:dyDescent="0.3">
      <c r="G28510" s="1"/>
      <c r="N28510" s="1"/>
    </row>
    <row r="28511" spans="7:14" x14ac:dyDescent="0.3">
      <c r="G28511" s="1"/>
      <c r="N28511" s="1"/>
    </row>
    <row r="28512" spans="7:14" x14ac:dyDescent="0.3">
      <c r="G28512" s="1"/>
      <c r="N28512" s="1"/>
    </row>
    <row r="28513" spans="7:14" x14ac:dyDescent="0.3">
      <c r="G28513" s="1"/>
      <c r="N28513" s="1"/>
    </row>
    <row r="28514" spans="7:14" x14ac:dyDescent="0.3">
      <c r="G28514" s="1"/>
      <c r="N28514" s="1"/>
    </row>
    <row r="28515" spans="7:14" x14ac:dyDescent="0.3">
      <c r="G28515" s="1"/>
      <c r="N28515" s="1"/>
    </row>
    <row r="28516" spans="7:14" x14ac:dyDescent="0.3">
      <c r="G28516" s="1"/>
      <c r="N28516" s="1"/>
    </row>
    <row r="28517" spans="7:14" x14ac:dyDescent="0.3">
      <c r="G28517" s="1"/>
      <c r="N28517" s="1"/>
    </row>
    <row r="28518" spans="7:14" x14ac:dyDescent="0.3">
      <c r="G28518" s="1"/>
      <c r="N28518" s="1"/>
    </row>
    <row r="28519" spans="7:14" x14ac:dyDescent="0.3">
      <c r="G28519" s="1"/>
      <c r="N28519" s="1"/>
    </row>
    <row r="28520" spans="7:14" x14ac:dyDescent="0.3">
      <c r="G28520" s="1"/>
      <c r="N28520" s="1"/>
    </row>
    <row r="28521" spans="7:14" x14ac:dyDescent="0.3">
      <c r="G28521" s="1"/>
      <c r="N28521" s="1"/>
    </row>
    <row r="28522" spans="7:14" x14ac:dyDescent="0.3">
      <c r="G28522" s="1"/>
      <c r="N28522" s="1"/>
    </row>
    <row r="28523" spans="7:14" x14ac:dyDescent="0.3">
      <c r="G28523" s="1"/>
      <c r="N28523" s="1"/>
    </row>
    <row r="28524" spans="7:14" x14ac:dyDescent="0.3">
      <c r="G28524" s="1"/>
      <c r="N28524" s="1"/>
    </row>
    <row r="28525" spans="7:14" x14ac:dyDescent="0.3">
      <c r="G28525" s="1"/>
      <c r="N28525" s="1"/>
    </row>
    <row r="28526" spans="7:14" x14ac:dyDescent="0.3">
      <c r="G28526" s="1"/>
      <c r="N28526" s="1"/>
    </row>
    <row r="28527" spans="7:14" x14ac:dyDescent="0.3">
      <c r="G28527" s="1"/>
      <c r="N28527" s="1"/>
    </row>
    <row r="28528" spans="7:14" x14ac:dyDescent="0.3">
      <c r="G28528" s="1"/>
      <c r="N28528" s="1"/>
    </row>
    <row r="28529" spans="7:14" x14ac:dyDescent="0.3">
      <c r="G28529" s="1"/>
      <c r="N28529" s="1"/>
    </row>
    <row r="28530" spans="7:14" x14ac:dyDescent="0.3">
      <c r="G28530" s="1"/>
      <c r="N28530" s="1"/>
    </row>
    <row r="28531" spans="7:14" x14ac:dyDescent="0.3">
      <c r="G28531" s="1"/>
      <c r="N28531" s="1"/>
    </row>
    <row r="28532" spans="7:14" x14ac:dyDescent="0.3">
      <c r="G28532" s="1"/>
      <c r="N28532" s="1"/>
    </row>
    <row r="28533" spans="7:14" x14ac:dyDescent="0.3">
      <c r="G28533" s="1"/>
      <c r="N28533" s="1"/>
    </row>
    <row r="28534" spans="7:14" x14ac:dyDescent="0.3">
      <c r="G28534" s="1"/>
      <c r="N28534" s="1"/>
    </row>
    <row r="28535" spans="7:14" x14ac:dyDescent="0.3">
      <c r="G28535" s="1"/>
      <c r="N28535" s="1"/>
    </row>
    <row r="28536" spans="7:14" x14ac:dyDescent="0.3">
      <c r="G28536" s="1"/>
      <c r="N28536" s="1"/>
    </row>
    <row r="28537" spans="7:14" x14ac:dyDescent="0.3">
      <c r="G28537" s="1"/>
      <c r="N28537" s="1"/>
    </row>
    <row r="28538" spans="7:14" x14ac:dyDescent="0.3">
      <c r="G28538" s="1"/>
      <c r="N28538" s="1"/>
    </row>
    <row r="28539" spans="7:14" x14ac:dyDescent="0.3">
      <c r="G28539" s="1"/>
      <c r="N28539" s="1"/>
    </row>
    <row r="28540" spans="7:14" x14ac:dyDescent="0.3">
      <c r="G28540" s="1"/>
      <c r="N28540" s="1"/>
    </row>
    <row r="28541" spans="7:14" x14ac:dyDescent="0.3">
      <c r="G28541" s="1"/>
      <c r="N28541" s="1"/>
    </row>
    <row r="28542" spans="7:14" x14ac:dyDescent="0.3">
      <c r="G28542" s="1"/>
      <c r="N28542" s="1"/>
    </row>
    <row r="28543" spans="7:14" x14ac:dyDescent="0.3">
      <c r="G28543" s="1"/>
      <c r="N28543" s="1"/>
    </row>
    <row r="28544" spans="7:14" x14ac:dyDescent="0.3">
      <c r="G28544" s="1"/>
      <c r="N28544" s="1"/>
    </row>
    <row r="28545" spans="7:14" x14ac:dyDescent="0.3">
      <c r="G28545" s="1"/>
      <c r="N28545" s="1"/>
    </row>
    <row r="28546" spans="7:14" x14ac:dyDescent="0.3">
      <c r="G28546" s="1"/>
      <c r="N28546" s="1"/>
    </row>
    <row r="28547" spans="7:14" x14ac:dyDescent="0.3">
      <c r="G28547" s="1"/>
      <c r="N28547" s="1"/>
    </row>
    <row r="28548" spans="7:14" x14ac:dyDescent="0.3">
      <c r="G28548" s="1"/>
      <c r="N28548" s="1"/>
    </row>
    <row r="28549" spans="7:14" x14ac:dyDescent="0.3">
      <c r="G28549" s="1"/>
      <c r="N28549" s="1"/>
    </row>
    <row r="28550" spans="7:14" x14ac:dyDescent="0.3">
      <c r="G28550" s="1"/>
      <c r="N28550" s="1"/>
    </row>
    <row r="28551" spans="7:14" x14ac:dyDescent="0.3">
      <c r="G28551" s="1"/>
      <c r="N28551" s="1"/>
    </row>
    <row r="28552" spans="7:14" x14ac:dyDescent="0.3">
      <c r="G28552" s="1"/>
      <c r="N28552" s="1"/>
    </row>
    <row r="28553" spans="7:14" x14ac:dyDescent="0.3">
      <c r="G28553" s="1"/>
      <c r="N28553" s="1"/>
    </row>
    <row r="28554" spans="7:14" x14ac:dyDescent="0.3">
      <c r="G28554" s="1"/>
      <c r="N28554" s="1"/>
    </row>
    <row r="28555" spans="7:14" x14ac:dyDescent="0.3">
      <c r="G28555" s="1"/>
      <c r="N28555" s="1"/>
    </row>
    <row r="28556" spans="7:14" x14ac:dyDescent="0.3">
      <c r="G28556" s="1"/>
      <c r="N28556" s="1"/>
    </row>
    <row r="28557" spans="7:14" x14ac:dyDescent="0.3">
      <c r="G28557" s="1"/>
      <c r="N28557" s="1"/>
    </row>
    <row r="28558" spans="7:14" x14ac:dyDescent="0.3">
      <c r="G28558" s="1"/>
      <c r="N28558" s="1"/>
    </row>
    <row r="28559" spans="7:14" x14ac:dyDescent="0.3">
      <c r="G28559" s="1"/>
      <c r="N28559" s="1"/>
    </row>
    <row r="28560" spans="7:14" x14ac:dyDescent="0.3">
      <c r="G28560" s="1"/>
      <c r="N28560" s="1"/>
    </row>
    <row r="28561" spans="7:14" x14ac:dyDescent="0.3">
      <c r="G28561" s="1"/>
      <c r="N28561" s="1"/>
    </row>
    <row r="28562" spans="7:14" x14ac:dyDescent="0.3">
      <c r="G28562" s="1"/>
      <c r="N28562" s="1"/>
    </row>
    <row r="28563" spans="7:14" x14ac:dyDescent="0.3">
      <c r="G28563" s="1"/>
      <c r="N28563" s="1"/>
    </row>
    <row r="28564" spans="7:14" x14ac:dyDescent="0.3">
      <c r="G28564" s="1"/>
      <c r="N28564" s="1"/>
    </row>
    <row r="28565" spans="7:14" x14ac:dyDescent="0.3">
      <c r="G28565" s="1"/>
      <c r="N28565" s="1"/>
    </row>
    <row r="28566" spans="7:14" x14ac:dyDescent="0.3">
      <c r="G28566" s="1"/>
      <c r="N28566" s="1"/>
    </row>
    <row r="28567" spans="7:14" x14ac:dyDescent="0.3">
      <c r="G28567" s="1"/>
      <c r="N28567" s="1"/>
    </row>
    <row r="28568" spans="7:14" x14ac:dyDescent="0.3">
      <c r="G28568" s="1"/>
      <c r="N28568" s="1"/>
    </row>
    <row r="28569" spans="7:14" x14ac:dyDescent="0.3">
      <c r="G28569" s="1"/>
      <c r="N28569" s="1"/>
    </row>
    <row r="28570" spans="7:14" x14ac:dyDescent="0.3">
      <c r="G28570" s="1"/>
      <c r="N28570" s="1"/>
    </row>
    <row r="28571" spans="7:14" x14ac:dyDescent="0.3">
      <c r="G28571" s="1"/>
      <c r="N28571" s="1"/>
    </row>
    <row r="28572" spans="7:14" x14ac:dyDescent="0.3">
      <c r="G28572" s="1"/>
      <c r="N28572" s="1"/>
    </row>
    <row r="28573" spans="7:14" x14ac:dyDescent="0.3">
      <c r="G28573" s="1"/>
      <c r="N28573" s="1"/>
    </row>
    <row r="28574" spans="7:14" x14ac:dyDescent="0.3">
      <c r="G28574" s="1"/>
      <c r="N28574" s="1"/>
    </row>
    <row r="28575" spans="7:14" x14ac:dyDescent="0.3">
      <c r="G28575" s="1"/>
      <c r="N28575" s="1"/>
    </row>
    <row r="28576" spans="7:14" x14ac:dyDescent="0.3">
      <c r="G28576" s="1"/>
      <c r="N28576" s="1"/>
    </row>
    <row r="28577" spans="7:14" x14ac:dyDescent="0.3">
      <c r="G28577" s="1"/>
      <c r="N28577" s="1"/>
    </row>
    <row r="28578" spans="7:14" x14ac:dyDescent="0.3">
      <c r="G28578" s="1"/>
      <c r="N28578" s="1"/>
    </row>
    <row r="28579" spans="7:14" x14ac:dyDescent="0.3">
      <c r="G28579" s="1"/>
      <c r="N28579" s="1"/>
    </row>
    <row r="28580" spans="7:14" x14ac:dyDescent="0.3">
      <c r="G28580" s="1"/>
      <c r="N28580" s="1"/>
    </row>
    <row r="28581" spans="7:14" x14ac:dyDescent="0.3">
      <c r="G28581" s="1"/>
      <c r="N28581" s="1"/>
    </row>
    <row r="28582" spans="7:14" x14ac:dyDescent="0.3">
      <c r="G28582" s="1"/>
      <c r="N28582" s="1"/>
    </row>
    <row r="28583" spans="7:14" x14ac:dyDescent="0.3">
      <c r="G28583" s="1"/>
      <c r="N28583" s="1"/>
    </row>
    <row r="28584" spans="7:14" x14ac:dyDescent="0.3">
      <c r="G28584" s="1"/>
      <c r="N28584" s="1"/>
    </row>
    <row r="28585" spans="7:14" x14ac:dyDescent="0.3">
      <c r="G28585" s="1"/>
      <c r="N28585" s="1"/>
    </row>
    <row r="28586" spans="7:14" x14ac:dyDescent="0.3">
      <c r="G28586" s="1"/>
      <c r="N28586" s="1"/>
    </row>
    <row r="28587" spans="7:14" x14ac:dyDescent="0.3">
      <c r="G28587" s="1"/>
      <c r="N28587" s="1"/>
    </row>
    <row r="28588" spans="7:14" x14ac:dyDescent="0.3">
      <c r="G28588" s="1"/>
      <c r="N28588" s="1"/>
    </row>
    <row r="28589" spans="7:14" x14ac:dyDescent="0.3">
      <c r="G28589" s="1"/>
      <c r="N28589" s="1"/>
    </row>
    <row r="28590" spans="7:14" x14ac:dyDescent="0.3">
      <c r="G28590" s="1"/>
      <c r="N28590" s="1"/>
    </row>
    <row r="28591" spans="7:14" x14ac:dyDescent="0.3">
      <c r="G28591" s="1"/>
      <c r="N28591" s="1"/>
    </row>
    <row r="28592" spans="7:14" x14ac:dyDescent="0.3">
      <c r="G28592" s="1"/>
      <c r="N28592" s="1"/>
    </row>
    <row r="28593" spans="7:14" x14ac:dyDescent="0.3">
      <c r="G28593" s="1"/>
      <c r="N28593" s="1"/>
    </row>
    <row r="28594" spans="7:14" x14ac:dyDescent="0.3">
      <c r="G28594" s="1"/>
      <c r="N28594" s="1"/>
    </row>
    <row r="28595" spans="7:14" x14ac:dyDescent="0.3">
      <c r="G28595" s="1"/>
      <c r="N28595" s="1"/>
    </row>
    <row r="28596" spans="7:14" x14ac:dyDescent="0.3">
      <c r="G28596" s="1"/>
      <c r="N28596" s="1"/>
    </row>
    <row r="28597" spans="7:14" x14ac:dyDescent="0.3">
      <c r="G28597" s="1"/>
      <c r="N28597" s="1"/>
    </row>
    <row r="28598" spans="7:14" x14ac:dyDescent="0.3">
      <c r="G28598" s="1"/>
      <c r="N28598" s="1"/>
    </row>
    <row r="28599" spans="7:14" x14ac:dyDescent="0.3">
      <c r="G28599" s="1"/>
      <c r="N28599" s="1"/>
    </row>
    <row r="28600" spans="7:14" x14ac:dyDescent="0.3">
      <c r="G28600" s="1"/>
      <c r="N28600" s="1"/>
    </row>
    <row r="28601" spans="7:14" x14ac:dyDescent="0.3">
      <c r="G28601" s="1"/>
      <c r="N28601" s="1"/>
    </row>
    <row r="28602" spans="7:14" x14ac:dyDescent="0.3">
      <c r="G28602" s="1"/>
      <c r="N28602" s="1"/>
    </row>
    <row r="28603" spans="7:14" x14ac:dyDescent="0.3">
      <c r="G28603" s="1"/>
      <c r="N28603" s="1"/>
    </row>
    <row r="28604" spans="7:14" x14ac:dyDescent="0.3">
      <c r="G28604" s="1"/>
      <c r="N28604" s="1"/>
    </row>
    <row r="28605" spans="7:14" x14ac:dyDescent="0.3">
      <c r="G28605" s="1"/>
      <c r="N28605" s="1"/>
    </row>
    <row r="28606" spans="7:14" x14ac:dyDescent="0.3">
      <c r="G28606" s="1"/>
      <c r="N28606" s="1"/>
    </row>
    <row r="28607" spans="7:14" x14ac:dyDescent="0.3">
      <c r="G28607" s="1"/>
      <c r="N28607" s="1"/>
    </row>
    <row r="28608" spans="7:14" x14ac:dyDescent="0.3">
      <c r="G28608" s="1"/>
      <c r="N28608" s="1"/>
    </row>
    <row r="28609" spans="7:14" x14ac:dyDescent="0.3">
      <c r="G28609" s="1"/>
      <c r="N28609" s="1"/>
    </row>
    <row r="28610" spans="7:14" x14ac:dyDescent="0.3">
      <c r="G28610" s="1"/>
      <c r="N28610" s="1"/>
    </row>
    <row r="28611" spans="7:14" x14ac:dyDescent="0.3">
      <c r="G28611" s="1"/>
      <c r="N28611" s="1"/>
    </row>
    <row r="28612" spans="7:14" x14ac:dyDescent="0.3">
      <c r="G28612" s="1"/>
      <c r="N28612" s="1"/>
    </row>
    <row r="28613" spans="7:14" x14ac:dyDescent="0.3">
      <c r="G28613" s="1"/>
      <c r="N28613" s="1"/>
    </row>
    <row r="28614" spans="7:14" x14ac:dyDescent="0.3">
      <c r="G28614" s="1"/>
      <c r="N28614" s="1"/>
    </row>
    <row r="28615" spans="7:14" x14ac:dyDescent="0.3">
      <c r="G28615" s="1"/>
      <c r="N28615" s="1"/>
    </row>
    <row r="28616" spans="7:14" x14ac:dyDescent="0.3">
      <c r="G28616" s="1"/>
      <c r="N28616" s="1"/>
    </row>
    <row r="28617" spans="7:14" x14ac:dyDescent="0.3">
      <c r="G28617" s="1"/>
      <c r="N28617" s="1"/>
    </row>
    <row r="28618" spans="7:14" x14ac:dyDescent="0.3">
      <c r="G28618" s="1"/>
      <c r="N28618" s="1"/>
    </row>
    <row r="28619" spans="7:14" x14ac:dyDescent="0.3">
      <c r="G28619" s="1"/>
      <c r="N28619" s="1"/>
    </row>
    <row r="28620" spans="7:14" x14ac:dyDescent="0.3">
      <c r="G28620" s="1"/>
      <c r="N28620" s="1"/>
    </row>
    <row r="28621" spans="7:14" x14ac:dyDescent="0.3">
      <c r="G28621" s="1"/>
      <c r="N28621" s="1"/>
    </row>
    <row r="28622" spans="7:14" x14ac:dyDescent="0.3">
      <c r="G28622" s="1"/>
      <c r="N28622" s="1"/>
    </row>
    <row r="28623" spans="7:14" x14ac:dyDescent="0.3">
      <c r="G28623" s="1"/>
      <c r="N28623" s="1"/>
    </row>
    <row r="28624" spans="7:14" x14ac:dyDescent="0.3">
      <c r="G28624" s="1"/>
      <c r="N28624" s="1"/>
    </row>
    <row r="28625" spans="7:14" x14ac:dyDescent="0.3">
      <c r="G28625" s="1"/>
      <c r="N28625" s="1"/>
    </row>
    <row r="28626" spans="7:14" x14ac:dyDescent="0.3">
      <c r="G28626" s="1"/>
      <c r="N28626" s="1"/>
    </row>
    <row r="28627" spans="7:14" x14ac:dyDescent="0.3">
      <c r="G28627" s="1"/>
      <c r="N28627" s="1"/>
    </row>
    <row r="28628" spans="7:14" x14ac:dyDescent="0.3">
      <c r="G28628" s="1"/>
      <c r="N28628" s="1"/>
    </row>
    <row r="28629" spans="7:14" x14ac:dyDescent="0.3">
      <c r="G28629" s="1"/>
      <c r="N28629" s="1"/>
    </row>
    <row r="28630" spans="7:14" x14ac:dyDescent="0.3">
      <c r="G28630" s="1"/>
      <c r="N28630" s="1"/>
    </row>
    <row r="28631" spans="7:14" x14ac:dyDescent="0.3">
      <c r="G28631" s="1"/>
      <c r="N28631" s="1"/>
    </row>
    <row r="28632" spans="7:14" x14ac:dyDescent="0.3">
      <c r="G28632" s="1"/>
      <c r="N28632" s="1"/>
    </row>
    <row r="28633" spans="7:14" x14ac:dyDescent="0.3">
      <c r="G28633" s="1"/>
      <c r="N28633" s="1"/>
    </row>
    <row r="28634" spans="7:14" x14ac:dyDescent="0.3">
      <c r="G28634" s="1"/>
      <c r="N28634" s="1"/>
    </row>
    <row r="28635" spans="7:14" x14ac:dyDescent="0.3">
      <c r="G28635" s="1"/>
      <c r="N28635" s="1"/>
    </row>
    <row r="28636" spans="7:14" x14ac:dyDescent="0.3">
      <c r="G28636" s="1"/>
      <c r="N28636" s="1"/>
    </row>
    <row r="28637" spans="7:14" x14ac:dyDescent="0.3">
      <c r="G28637" s="1"/>
      <c r="N28637" s="1"/>
    </row>
    <row r="28638" spans="7:14" x14ac:dyDescent="0.3">
      <c r="G28638" s="1"/>
      <c r="N28638" s="1"/>
    </row>
    <row r="28639" spans="7:14" x14ac:dyDescent="0.3">
      <c r="G28639" s="1"/>
      <c r="N28639" s="1"/>
    </row>
    <row r="28640" spans="7:14" x14ac:dyDescent="0.3">
      <c r="G28640" s="1"/>
      <c r="N28640" s="1"/>
    </row>
    <row r="28641" spans="7:14" x14ac:dyDescent="0.3">
      <c r="G28641" s="1"/>
      <c r="N28641" s="1"/>
    </row>
    <row r="28642" spans="7:14" x14ac:dyDescent="0.3">
      <c r="G28642" s="1"/>
      <c r="N28642" s="1"/>
    </row>
    <row r="28643" spans="7:14" x14ac:dyDescent="0.3">
      <c r="G28643" s="1"/>
      <c r="N28643" s="1"/>
    </row>
    <row r="28644" spans="7:14" x14ac:dyDescent="0.3">
      <c r="G28644" s="1"/>
      <c r="N28644" s="1"/>
    </row>
    <row r="28645" spans="7:14" x14ac:dyDescent="0.3">
      <c r="G28645" s="1"/>
      <c r="N28645" s="1"/>
    </row>
    <row r="28646" spans="7:14" x14ac:dyDescent="0.3">
      <c r="G28646" s="1"/>
      <c r="N28646" s="1"/>
    </row>
    <row r="28647" spans="7:14" x14ac:dyDescent="0.3">
      <c r="G28647" s="1"/>
      <c r="N28647" s="1"/>
    </row>
    <row r="28648" spans="7:14" x14ac:dyDescent="0.3">
      <c r="G28648" s="1"/>
      <c r="N28648" s="1"/>
    </row>
    <row r="28649" spans="7:14" x14ac:dyDescent="0.3">
      <c r="G28649" s="1"/>
      <c r="N28649" s="1"/>
    </row>
    <row r="28650" spans="7:14" x14ac:dyDescent="0.3">
      <c r="G28650" s="1"/>
      <c r="N28650" s="1"/>
    </row>
    <row r="28651" spans="7:14" x14ac:dyDescent="0.3">
      <c r="G28651" s="1"/>
      <c r="N28651" s="1"/>
    </row>
    <row r="28652" spans="7:14" x14ac:dyDescent="0.3">
      <c r="G28652" s="1"/>
      <c r="N28652" s="1"/>
    </row>
    <row r="28653" spans="7:14" x14ac:dyDescent="0.3">
      <c r="G28653" s="1"/>
      <c r="N28653" s="1"/>
    </row>
    <row r="28654" spans="7:14" x14ac:dyDescent="0.3">
      <c r="G28654" s="1"/>
      <c r="N28654" s="1"/>
    </row>
    <row r="28655" spans="7:14" x14ac:dyDescent="0.3">
      <c r="G28655" s="1"/>
      <c r="N28655" s="1"/>
    </row>
    <row r="28656" spans="7:14" x14ac:dyDescent="0.3">
      <c r="G28656" s="1"/>
      <c r="N28656" s="1"/>
    </row>
    <row r="28657" spans="7:14" x14ac:dyDescent="0.3">
      <c r="G28657" s="1"/>
      <c r="N28657" s="1"/>
    </row>
    <row r="28658" spans="7:14" x14ac:dyDescent="0.3">
      <c r="G28658" s="1"/>
      <c r="N28658" s="1"/>
    </row>
    <row r="28659" spans="7:14" x14ac:dyDescent="0.3">
      <c r="G28659" s="1"/>
      <c r="N28659" s="1"/>
    </row>
    <row r="28660" spans="7:14" x14ac:dyDescent="0.3">
      <c r="G28660" s="1"/>
      <c r="N28660" s="1"/>
    </row>
    <row r="28661" spans="7:14" x14ac:dyDescent="0.3">
      <c r="G28661" s="1"/>
      <c r="N28661" s="1"/>
    </row>
    <row r="28662" spans="7:14" x14ac:dyDescent="0.3">
      <c r="G28662" s="1"/>
      <c r="N28662" s="1"/>
    </row>
    <row r="28663" spans="7:14" x14ac:dyDescent="0.3">
      <c r="G28663" s="1"/>
      <c r="N28663" s="1"/>
    </row>
    <row r="28664" spans="7:14" x14ac:dyDescent="0.3">
      <c r="G28664" s="1"/>
      <c r="N28664" s="1"/>
    </row>
    <row r="28665" spans="7:14" x14ac:dyDescent="0.3">
      <c r="G28665" s="1"/>
      <c r="N28665" s="1"/>
    </row>
    <row r="28666" spans="7:14" x14ac:dyDescent="0.3">
      <c r="G28666" s="1"/>
      <c r="N28666" s="1"/>
    </row>
    <row r="28667" spans="7:14" x14ac:dyDescent="0.3">
      <c r="G28667" s="1"/>
      <c r="N28667" s="1"/>
    </row>
    <row r="28668" spans="7:14" x14ac:dyDescent="0.3">
      <c r="G28668" s="1"/>
      <c r="N28668" s="1"/>
    </row>
    <row r="28669" spans="7:14" x14ac:dyDescent="0.3">
      <c r="G28669" s="1"/>
      <c r="N28669" s="1"/>
    </row>
    <row r="28670" spans="7:14" x14ac:dyDescent="0.3">
      <c r="G28670" s="1"/>
      <c r="N28670" s="1"/>
    </row>
    <row r="28671" spans="7:14" x14ac:dyDescent="0.3">
      <c r="G28671" s="1"/>
      <c r="N28671" s="1"/>
    </row>
    <row r="28672" spans="7:14" x14ac:dyDescent="0.3">
      <c r="G28672" s="1"/>
      <c r="N28672" s="1"/>
    </row>
    <row r="28673" spans="7:14" x14ac:dyDescent="0.3">
      <c r="G28673" s="1"/>
      <c r="N28673" s="1"/>
    </row>
    <row r="28674" spans="7:14" x14ac:dyDescent="0.3">
      <c r="G28674" s="1"/>
      <c r="N28674" s="1"/>
    </row>
    <row r="28675" spans="7:14" x14ac:dyDescent="0.3">
      <c r="G28675" s="1"/>
      <c r="N28675" s="1"/>
    </row>
    <row r="28676" spans="7:14" x14ac:dyDescent="0.3">
      <c r="G28676" s="1"/>
      <c r="N28676" s="1"/>
    </row>
    <row r="28677" spans="7:14" x14ac:dyDescent="0.3">
      <c r="G28677" s="1"/>
      <c r="N28677" s="1"/>
    </row>
    <row r="28678" spans="7:14" x14ac:dyDescent="0.3">
      <c r="G28678" s="1"/>
      <c r="N28678" s="1"/>
    </row>
    <row r="28679" spans="7:14" x14ac:dyDescent="0.3">
      <c r="G28679" s="1"/>
      <c r="N28679" s="1"/>
    </row>
    <row r="28680" spans="7:14" x14ac:dyDescent="0.3">
      <c r="G28680" s="1"/>
      <c r="N28680" s="1"/>
    </row>
    <row r="28681" spans="7:14" x14ac:dyDescent="0.3">
      <c r="G28681" s="1"/>
      <c r="N28681" s="1"/>
    </row>
    <row r="28682" spans="7:14" x14ac:dyDescent="0.3">
      <c r="G28682" s="1"/>
      <c r="N28682" s="1"/>
    </row>
    <row r="28683" spans="7:14" x14ac:dyDescent="0.3">
      <c r="G28683" s="1"/>
      <c r="N28683" s="1"/>
    </row>
    <row r="28684" spans="7:14" x14ac:dyDescent="0.3">
      <c r="G28684" s="1"/>
      <c r="N28684" s="1"/>
    </row>
    <row r="28685" spans="7:14" x14ac:dyDescent="0.3">
      <c r="G28685" s="1"/>
      <c r="N28685" s="1"/>
    </row>
    <row r="28686" spans="7:14" x14ac:dyDescent="0.3">
      <c r="G28686" s="1"/>
      <c r="N28686" s="1"/>
    </row>
    <row r="28687" spans="7:14" x14ac:dyDescent="0.3">
      <c r="G28687" s="1"/>
      <c r="N28687" s="1"/>
    </row>
    <row r="28688" spans="7:14" x14ac:dyDescent="0.3">
      <c r="G28688" s="1"/>
      <c r="N28688" s="1"/>
    </row>
    <row r="28689" spans="7:14" x14ac:dyDescent="0.3">
      <c r="G28689" s="1"/>
      <c r="N28689" s="1"/>
    </row>
    <row r="28690" spans="7:14" x14ac:dyDescent="0.3">
      <c r="G28690" s="1"/>
      <c r="N28690" s="1"/>
    </row>
    <row r="28691" spans="7:14" x14ac:dyDescent="0.3">
      <c r="G28691" s="1"/>
      <c r="N28691" s="1"/>
    </row>
    <row r="28692" spans="7:14" x14ac:dyDescent="0.3">
      <c r="G28692" s="1"/>
      <c r="N28692" s="1"/>
    </row>
    <row r="28693" spans="7:14" x14ac:dyDescent="0.3">
      <c r="G28693" s="1"/>
      <c r="N28693" s="1"/>
    </row>
    <row r="28694" spans="7:14" x14ac:dyDescent="0.3">
      <c r="G28694" s="1"/>
      <c r="N28694" s="1"/>
    </row>
    <row r="28695" spans="7:14" x14ac:dyDescent="0.3">
      <c r="G28695" s="1"/>
      <c r="N28695" s="1"/>
    </row>
    <row r="28696" spans="7:14" x14ac:dyDescent="0.3">
      <c r="G28696" s="1"/>
      <c r="N28696" s="1"/>
    </row>
    <row r="28697" spans="7:14" x14ac:dyDescent="0.3">
      <c r="G28697" s="1"/>
      <c r="N28697" s="1"/>
    </row>
    <row r="28698" spans="7:14" x14ac:dyDescent="0.3">
      <c r="G28698" s="1"/>
      <c r="N28698" s="1"/>
    </row>
    <row r="28699" spans="7:14" x14ac:dyDescent="0.3">
      <c r="G28699" s="1"/>
      <c r="N28699" s="1"/>
    </row>
    <row r="28700" spans="7:14" x14ac:dyDescent="0.3">
      <c r="G28700" s="1"/>
      <c r="N28700" s="1"/>
    </row>
    <row r="28701" spans="7:14" x14ac:dyDescent="0.3">
      <c r="G28701" s="1"/>
      <c r="N28701" s="1"/>
    </row>
    <row r="28702" spans="7:14" x14ac:dyDescent="0.3">
      <c r="G28702" s="1"/>
      <c r="N28702" s="1"/>
    </row>
    <row r="28703" spans="7:14" x14ac:dyDescent="0.3">
      <c r="G28703" s="1"/>
      <c r="N28703" s="1"/>
    </row>
    <row r="28704" spans="7:14" x14ac:dyDescent="0.3">
      <c r="G28704" s="1"/>
      <c r="N28704" s="1"/>
    </row>
    <row r="28705" spans="7:14" x14ac:dyDescent="0.3">
      <c r="G28705" s="1"/>
      <c r="N28705" s="1"/>
    </row>
    <row r="28706" spans="7:14" x14ac:dyDescent="0.3">
      <c r="G28706" s="1"/>
      <c r="N28706" s="1"/>
    </row>
    <row r="28707" spans="7:14" x14ac:dyDescent="0.3">
      <c r="G28707" s="1"/>
      <c r="N28707" s="1"/>
    </row>
    <row r="28708" spans="7:14" x14ac:dyDescent="0.3">
      <c r="G28708" s="1"/>
      <c r="N28708" s="1"/>
    </row>
    <row r="28709" spans="7:14" x14ac:dyDescent="0.3">
      <c r="G28709" s="1"/>
      <c r="N28709" s="1"/>
    </row>
    <row r="28710" spans="7:14" x14ac:dyDescent="0.3">
      <c r="G28710" s="1"/>
      <c r="N28710" s="1"/>
    </row>
    <row r="28711" spans="7:14" x14ac:dyDescent="0.3">
      <c r="G28711" s="1"/>
      <c r="N28711" s="1"/>
    </row>
    <row r="28712" spans="7:14" x14ac:dyDescent="0.3">
      <c r="G28712" s="1"/>
      <c r="N28712" s="1"/>
    </row>
    <row r="28713" spans="7:14" x14ac:dyDescent="0.3">
      <c r="G28713" s="1"/>
      <c r="N28713" s="1"/>
    </row>
    <row r="28714" spans="7:14" x14ac:dyDescent="0.3">
      <c r="G28714" s="1"/>
      <c r="N28714" s="1"/>
    </row>
    <row r="28715" spans="7:14" x14ac:dyDescent="0.3">
      <c r="G28715" s="1"/>
      <c r="N28715" s="1"/>
    </row>
    <row r="28716" spans="7:14" x14ac:dyDescent="0.3">
      <c r="G28716" s="1"/>
      <c r="N28716" s="1"/>
    </row>
    <row r="28717" spans="7:14" x14ac:dyDescent="0.3">
      <c r="G28717" s="1"/>
      <c r="N28717" s="1"/>
    </row>
    <row r="28718" spans="7:14" x14ac:dyDescent="0.3">
      <c r="G28718" s="1"/>
      <c r="N28718" s="1"/>
    </row>
    <row r="28719" spans="7:14" x14ac:dyDescent="0.3">
      <c r="G28719" s="1"/>
      <c r="N28719" s="1"/>
    </row>
    <row r="28720" spans="7:14" x14ac:dyDescent="0.3">
      <c r="G28720" s="1"/>
      <c r="N28720" s="1"/>
    </row>
    <row r="28721" spans="7:14" x14ac:dyDescent="0.3">
      <c r="G28721" s="1"/>
      <c r="N28721" s="1"/>
    </row>
    <row r="28722" spans="7:14" x14ac:dyDescent="0.3">
      <c r="G28722" s="1"/>
      <c r="N28722" s="1"/>
    </row>
    <row r="28723" spans="7:14" x14ac:dyDescent="0.3">
      <c r="G28723" s="1"/>
      <c r="N28723" s="1"/>
    </row>
    <row r="28724" spans="7:14" x14ac:dyDescent="0.3">
      <c r="G28724" s="1"/>
      <c r="N28724" s="1"/>
    </row>
    <row r="28725" spans="7:14" x14ac:dyDescent="0.3">
      <c r="G28725" s="1"/>
      <c r="N28725" s="1"/>
    </row>
    <row r="28726" spans="7:14" x14ac:dyDescent="0.3">
      <c r="G28726" s="1"/>
      <c r="N28726" s="1"/>
    </row>
    <row r="28727" spans="7:14" x14ac:dyDescent="0.3">
      <c r="G28727" s="1"/>
      <c r="N28727" s="1"/>
    </row>
    <row r="28728" spans="7:14" x14ac:dyDescent="0.3">
      <c r="G28728" s="1"/>
      <c r="N28728" s="1"/>
    </row>
    <row r="28729" spans="7:14" x14ac:dyDescent="0.3">
      <c r="G28729" s="1"/>
      <c r="N28729" s="1"/>
    </row>
    <row r="28730" spans="7:14" x14ac:dyDescent="0.3">
      <c r="G28730" s="1"/>
      <c r="N28730" s="1"/>
    </row>
    <row r="28731" spans="7:14" x14ac:dyDescent="0.3">
      <c r="G28731" s="1"/>
      <c r="N28731" s="1"/>
    </row>
    <row r="28732" spans="7:14" x14ac:dyDescent="0.3">
      <c r="G28732" s="1"/>
      <c r="N28732" s="1"/>
    </row>
    <row r="28733" spans="7:14" x14ac:dyDescent="0.3">
      <c r="G28733" s="1"/>
      <c r="N28733" s="1"/>
    </row>
    <row r="28734" spans="7:14" x14ac:dyDescent="0.3">
      <c r="G28734" s="1"/>
      <c r="N28734" s="1"/>
    </row>
    <row r="28735" spans="7:14" x14ac:dyDescent="0.3">
      <c r="G28735" s="1"/>
      <c r="N28735" s="1"/>
    </row>
    <row r="28736" spans="7:14" x14ac:dyDescent="0.3">
      <c r="G28736" s="1"/>
      <c r="N28736" s="1"/>
    </row>
    <row r="28737" spans="7:14" x14ac:dyDescent="0.3">
      <c r="G28737" s="1"/>
      <c r="N28737" s="1"/>
    </row>
    <row r="28738" spans="7:14" x14ac:dyDescent="0.3">
      <c r="G28738" s="1"/>
      <c r="N28738" s="1"/>
    </row>
    <row r="28739" spans="7:14" x14ac:dyDescent="0.3">
      <c r="G28739" s="1"/>
      <c r="N28739" s="1"/>
    </row>
    <row r="28740" spans="7:14" x14ac:dyDescent="0.3">
      <c r="G28740" s="1"/>
      <c r="N28740" s="1"/>
    </row>
    <row r="28741" spans="7:14" x14ac:dyDescent="0.3">
      <c r="G28741" s="1"/>
      <c r="N28741" s="1"/>
    </row>
    <row r="28742" spans="7:14" x14ac:dyDescent="0.3">
      <c r="G28742" s="1"/>
      <c r="N28742" s="1"/>
    </row>
    <row r="28743" spans="7:14" x14ac:dyDescent="0.3">
      <c r="G28743" s="1"/>
      <c r="N28743" s="1"/>
    </row>
    <row r="28744" spans="7:14" x14ac:dyDescent="0.3">
      <c r="G28744" s="1"/>
      <c r="N28744" s="1"/>
    </row>
    <row r="28745" spans="7:14" x14ac:dyDescent="0.3">
      <c r="G28745" s="1"/>
      <c r="N28745" s="1"/>
    </row>
    <row r="28746" spans="7:14" x14ac:dyDescent="0.3">
      <c r="G28746" s="1"/>
      <c r="N28746" s="1"/>
    </row>
    <row r="28747" spans="7:14" x14ac:dyDescent="0.3">
      <c r="G28747" s="1"/>
      <c r="N28747" s="1"/>
    </row>
    <row r="28748" spans="7:14" x14ac:dyDescent="0.3">
      <c r="G28748" s="1"/>
      <c r="N28748" s="1"/>
    </row>
    <row r="28749" spans="7:14" x14ac:dyDescent="0.3">
      <c r="G28749" s="1"/>
      <c r="N28749" s="1"/>
    </row>
    <row r="28750" spans="7:14" x14ac:dyDescent="0.3">
      <c r="G28750" s="1"/>
      <c r="N28750" s="1"/>
    </row>
    <row r="28751" spans="7:14" x14ac:dyDescent="0.3">
      <c r="G28751" s="1"/>
      <c r="N28751" s="1"/>
    </row>
    <row r="28752" spans="7:14" x14ac:dyDescent="0.3">
      <c r="G28752" s="1"/>
      <c r="N28752" s="1"/>
    </row>
    <row r="28753" spans="7:14" x14ac:dyDescent="0.3">
      <c r="G28753" s="1"/>
      <c r="N28753" s="1"/>
    </row>
    <row r="28754" spans="7:14" x14ac:dyDescent="0.3">
      <c r="G28754" s="1"/>
      <c r="N28754" s="1"/>
    </row>
    <row r="28755" spans="7:14" x14ac:dyDescent="0.3">
      <c r="G28755" s="1"/>
      <c r="N28755" s="1"/>
    </row>
    <row r="28756" spans="7:14" x14ac:dyDescent="0.3">
      <c r="G28756" s="1"/>
      <c r="N28756" s="1"/>
    </row>
    <row r="28757" spans="7:14" x14ac:dyDescent="0.3">
      <c r="G28757" s="1"/>
      <c r="N28757" s="1"/>
    </row>
    <row r="28758" spans="7:14" x14ac:dyDescent="0.3">
      <c r="G28758" s="1"/>
      <c r="N28758" s="1"/>
    </row>
    <row r="28759" spans="7:14" x14ac:dyDescent="0.3">
      <c r="G28759" s="1"/>
      <c r="N28759" s="1"/>
    </row>
    <row r="28760" spans="7:14" x14ac:dyDescent="0.3">
      <c r="G28760" s="1"/>
      <c r="N28760" s="1"/>
    </row>
    <row r="28761" spans="7:14" x14ac:dyDescent="0.3">
      <c r="G28761" s="1"/>
      <c r="N28761" s="1"/>
    </row>
    <row r="28762" spans="7:14" x14ac:dyDescent="0.3">
      <c r="G28762" s="1"/>
      <c r="N28762" s="1"/>
    </row>
    <row r="28763" spans="7:14" x14ac:dyDescent="0.3">
      <c r="G28763" s="1"/>
      <c r="N28763" s="1"/>
    </row>
    <row r="28764" spans="7:14" x14ac:dyDescent="0.3">
      <c r="G28764" s="1"/>
      <c r="N28764" s="1"/>
    </row>
    <row r="28765" spans="7:14" x14ac:dyDescent="0.3">
      <c r="G28765" s="1"/>
      <c r="N28765" s="1"/>
    </row>
    <row r="28766" spans="7:14" x14ac:dyDescent="0.3">
      <c r="G28766" s="1"/>
      <c r="N28766" s="1"/>
    </row>
    <row r="28767" spans="7:14" x14ac:dyDescent="0.3">
      <c r="G28767" s="1"/>
      <c r="N28767" s="1"/>
    </row>
    <row r="28768" spans="7:14" x14ac:dyDescent="0.3">
      <c r="G28768" s="1"/>
      <c r="N28768" s="1"/>
    </row>
    <row r="28769" spans="7:14" x14ac:dyDescent="0.3">
      <c r="G28769" s="1"/>
      <c r="N28769" s="1"/>
    </row>
    <row r="28770" spans="7:14" x14ac:dyDescent="0.3">
      <c r="G28770" s="1"/>
      <c r="N28770" s="1"/>
    </row>
    <row r="28771" spans="7:14" x14ac:dyDescent="0.3">
      <c r="G28771" s="1"/>
      <c r="N28771" s="1"/>
    </row>
    <row r="28772" spans="7:14" x14ac:dyDescent="0.3">
      <c r="G28772" s="1"/>
      <c r="N28772" s="1"/>
    </row>
    <row r="28773" spans="7:14" x14ac:dyDescent="0.3">
      <c r="G28773" s="1"/>
      <c r="N28773" s="1"/>
    </row>
    <row r="28774" spans="7:14" x14ac:dyDescent="0.3">
      <c r="G28774" s="1"/>
      <c r="N28774" s="1"/>
    </row>
    <row r="28775" spans="7:14" x14ac:dyDescent="0.3">
      <c r="G28775" s="1"/>
      <c r="N28775" s="1"/>
    </row>
    <row r="28776" spans="7:14" x14ac:dyDescent="0.3">
      <c r="G28776" s="1"/>
      <c r="N28776" s="1"/>
    </row>
    <row r="28777" spans="7:14" x14ac:dyDescent="0.3">
      <c r="G28777" s="1"/>
      <c r="N28777" s="1"/>
    </row>
    <row r="28778" spans="7:14" x14ac:dyDescent="0.3">
      <c r="G28778" s="1"/>
      <c r="N28778" s="1"/>
    </row>
    <row r="28779" spans="7:14" x14ac:dyDescent="0.3">
      <c r="G28779" s="1"/>
      <c r="N28779" s="1"/>
    </row>
    <row r="28780" spans="7:14" x14ac:dyDescent="0.3">
      <c r="G28780" s="1"/>
      <c r="N28780" s="1"/>
    </row>
    <row r="28781" spans="7:14" x14ac:dyDescent="0.3">
      <c r="G28781" s="1"/>
      <c r="N28781" s="1"/>
    </row>
    <row r="28782" spans="7:14" x14ac:dyDescent="0.3">
      <c r="G28782" s="1"/>
      <c r="N28782" s="1"/>
    </row>
    <row r="28783" spans="7:14" x14ac:dyDescent="0.3">
      <c r="G28783" s="1"/>
      <c r="N28783" s="1"/>
    </row>
    <row r="28784" spans="7:14" x14ac:dyDescent="0.3">
      <c r="G28784" s="1"/>
      <c r="N28784" s="1"/>
    </row>
    <row r="28785" spans="7:14" x14ac:dyDescent="0.3">
      <c r="G28785" s="1"/>
      <c r="N28785" s="1"/>
    </row>
    <row r="28786" spans="7:14" x14ac:dyDescent="0.3">
      <c r="G28786" s="1"/>
      <c r="N28786" s="1"/>
    </row>
    <row r="28787" spans="7:14" x14ac:dyDescent="0.3">
      <c r="G28787" s="1"/>
      <c r="N28787" s="1"/>
    </row>
    <row r="28788" spans="7:14" x14ac:dyDescent="0.3">
      <c r="G28788" s="1"/>
      <c r="N28788" s="1"/>
    </row>
    <row r="28789" spans="7:14" x14ac:dyDescent="0.3">
      <c r="G28789" s="1"/>
      <c r="N28789" s="1"/>
    </row>
    <row r="28790" spans="7:14" x14ac:dyDescent="0.3">
      <c r="G28790" s="1"/>
      <c r="N28790" s="1"/>
    </row>
    <row r="28791" spans="7:14" x14ac:dyDescent="0.3">
      <c r="G28791" s="1"/>
      <c r="N28791" s="1"/>
    </row>
    <row r="28792" spans="7:14" x14ac:dyDescent="0.3">
      <c r="G28792" s="1"/>
      <c r="N28792" s="1"/>
    </row>
    <row r="28793" spans="7:14" x14ac:dyDescent="0.3">
      <c r="G28793" s="1"/>
      <c r="N28793" s="1"/>
    </row>
    <row r="28794" spans="7:14" x14ac:dyDescent="0.3">
      <c r="G28794" s="1"/>
      <c r="N28794" s="1"/>
    </row>
    <row r="28795" spans="7:14" x14ac:dyDescent="0.3">
      <c r="G28795" s="1"/>
      <c r="N28795" s="1"/>
    </row>
    <row r="28796" spans="7:14" x14ac:dyDescent="0.3">
      <c r="G28796" s="1"/>
      <c r="N28796" s="1"/>
    </row>
    <row r="28797" spans="7:14" x14ac:dyDescent="0.3">
      <c r="G28797" s="1"/>
      <c r="N28797" s="1"/>
    </row>
    <row r="28798" spans="7:14" x14ac:dyDescent="0.3">
      <c r="G28798" s="1"/>
      <c r="N28798" s="1"/>
    </row>
    <row r="28799" spans="7:14" x14ac:dyDescent="0.3">
      <c r="G28799" s="1"/>
      <c r="N28799" s="1"/>
    </row>
    <row r="28800" spans="7:14" x14ac:dyDescent="0.3">
      <c r="G28800" s="1"/>
      <c r="N28800" s="1"/>
    </row>
    <row r="28801" spans="7:14" x14ac:dyDescent="0.3">
      <c r="G28801" s="1"/>
      <c r="N28801" s="1"/>
    </row>
    <row r="28802" spans="7:14" x14ac:dyDescent="0.3">
      <c r="G28802" s="1"/>
      <c r="N28802" s="1"/>
    </row>
    <row r="28803" spans="7:14" x14ac:dyDescent="0.3">
      <c r="G28803" s="1"/>
      <c r="N28803" s="1"/>
    </row>
    <row r="28804" spans="7:14" x14ac:dyDescent="0.3">
      <c r="G28804" s="1"/>
      <c r="N28804" s="1"/>
    </row>
    <row r="28805" spans="7:14" x14ac:dyDescent="0.3">
      <c r="G28805" s="1"/>
      <c r="N28805" s="1"/>
    </row>
    <row r="28806" spans="7:14" x14ac:dyDescent="0.3">
      <c r="G28806" s="1"/>
      <c r="N28806" s="1"/>
    </row>
    <row r="28807" spans="7:14" x14ac:dyDescent="0.3">
      <c r="G28807" s="1"/>
      <c r="N28807" s="1"/>
    </row>
    <row r="28808" spans="7:14" x14ac:dyDescent="0.3">
      <c r="G28808" s="1"/>
      <c r="N28808" s="1"/>
    </row>
    <row r="28809" spans="7:14" x14ac:dyDescent="0.3">
      <c r="G28809" s="1"/>
      <c r="N28809" s="1"/>
    </row>
    <row r="28810" spans="7:14" x14ac:dyDescent="0.3">
      <c r="G28810" s="1"/>
      <c r="N28810" s="1"/>
    </row>
    <row r="28811" spans="7:14" x14ac:dyDescent="0.3">
      <c r="G28811" s="1"/>
      <c r="N28811" s="1"/>
    </row>
    <row r="28812" spans="7:14" x14ac:dyDescent="0.3">
      <c r="G28812" s="1"/>
      <c r="N28812" s="1"/>
    </row>
    <row r="28813" spans="7:14" x14ac:dyDescent="0.3">
      <c r="G28813" s="1"/>
      <c r="N28813" s="1"/>
    </row>
    <row r="28814" spans="7:14" x14ac:dyDescent="0.3">
      <c r="G28814" s="1"/>
      <c r="N28814" s="1"/>
    </row>
    <row r="28815" spans="7:14" x14ac:dyDescent="0.3">
      <c r="G28815" s="1"/>
      <c r="N28815" s="1"/>
    </row>
    <row r="28816" spans="7:14" x14ac:dyDescent="0.3">
      <c r="G28816" s="1"/>
      <c r="N28816" s="1"/>
    </row>
    <row r="28817" spans="7:14" x14ac:dyDescent="0.3">
      <c r="G28817" s="1"/>
      <c r="N28817" s="1"/>
    </row>
    <row r="28818" spans="7:14" x14ac:dyDescent="0.3">
      <c r="G28818" s="1"/>
      <c r="N28818" s="1"/>
    </row>
    <row r="28819" spans="7:14" x14ac:dyDescent="0.3">
      <c r="G28819" s="1"/>
      <c r="N28819" s="1"/>
    </row>
    <row r="28820" spans="7:14" x14ac:dyDescent="0.3">
      <c r="G28820" s="1"/>
      <c r="N28820" s="1"/>
    </row>
    <row r="28821" spans="7:14" x14ac:dyDescent="0.3">
      <c r="G28821" s="1"/>
      <c r="N28821" s="1"/>
    </row>
    <row r="28822" spans="7:14" x14ac:dyDescent="0.3">
      <c r="G28822" s="1"/>
      <c r="N28822" s="1"/>
    </row>
    <row r="28823" spans="7:14" x14ac:dyDescent="0.3">
      <c r="G28823" s="1"/>
      <c r="N28823" s="1"/>
    </row>
    <row r="28824" spans="7:14" x14ac:dyDescent="0.3">
      <c r="G28824" s="1"/>
      <c r="N28824" s="1"/>
    </row>
    <row r="28825" spans="7:14" x14ac:dyDescent="0.3">
      <c r="G28825" s="1"/>
      <c r="N28825" s="1"/>
    </row>
    <row r="28826" spans="7:14" x14ac:dyDescent="0.3">
      <c r="G28826" s="1"/>
      <c r="N28826" s="1"/>
    </row>
    <row r="28827" spans="7:14" x14ac:dyDescent="0.3">
      <c r="G28827" s="1"/>
      <c r="N28827" s="1"/>
    </row>
    <row r="28828" spans="7:14" x14ac:dyDescent="0.3">
      <c r="G28828" s="1"/>
      <c r="N28828" s="1"/>
    </row>
    <row r="28829" spans="7:14" x14ac:dyDescent="0.3">
      <c r="G28829" s="1"/>
      <c r="N28829" s="1"/>
    </row>
    <row r="28830" spans="7:14" x14ac:dyDescent="0.3">
      <c r="G28830" s="1"/>
      <c r="N28830" s="1"/>
    </row>
    <row r="28831" spans="7:14" x14ac:dyDescent="0.3">
      <c r="G28831" s="1"/>
      <c r="N28831" s="1"/>
    </row>
    <row r="28832" spans="7:14" x14ac:dyDescent="0.3">
      <c r="G28832" s="1"/>
      <c r="N28832" s="1"/>
    </row>
    <row r="28833" spans="7:14" x14ac:dyDescent="0.3">
      <c r="G28833" s="1"/>
      <c r="N28833" s="1"/>
    </row>
    <row r="28834" spans="7:14" x14ac:dyDescent="0.3">
      <c r="G28834" s="1"/>
      <c r="N28834" s="1"/>
    </row>
    <row r="28835" spans="7:14" x14ac:dyDescent="0.3">
      <c r="G28835" s="1"/>
      <c r="N28835" s="1"/>
    </row>
    <row r="28836" spans="7:14" x14ac:dyDescent="0.3">
      <c r="G28836" s="1"/>
      <c r="N28836" s="1"/>
    </row>
    <row r="28837" spans="7:14" x14ac:dyDescent="0.3">
      <c r="G28837" s="1"/>
      <c r="N28837" s="1"/>
    </row>
    <row r="28838" spans="7:14" x14ac:dyDescent="0.3">
      <c r="G28838" s="1"/>
      <c r="N28838" s="1"/>
    </row>
    <row r="28839" spans="7:14" x14ac:dyDescent="0.3">
      <c r="G28839" s="1"/>
      <c r="N28839" s="1"/>
    </row>
    <row r="28840" spans="7:14" x14ac:dyDescent="0.3">
      <c r="G28840" s="1"/>
      <c r="N28840" s="1"/>
    </row>
    <row r="28841" spans="7:14" x14ac:dyDescent="0.3">
      <c r="G28841" s="1"/>
      <c r="N28841" s="1"/>
    </row>
    <row r="28842" spans="7:14" x14ac:dyDescent="0.3">
      <c r="G28842" s="1"/>
      <c r="N28842" s="1"/>
    </row>
    <row r="28843" spans="7:14" x14ac:dyDescent="0.3">
      <c r="G28843" s="1"/>
      <c r="N28843" s="1"/>
    </row>
    <row r="28844" spans="7:14" x14ac:dyDescent="0.3">
      <c r="G28844" s="1"/>
      <c r="N28844" s="1"/>
    </row>
    <row r="28845" spans="7:14" x14ac:dyDescent="0.3">
      <c r="G28845" s="1"/>
      <c r="N28845" s="1"/>
    </row>
    <row r="28846" spans="7:14" x14ac:dyDescent="0.3">
      <c r="G28846" s="1"/>
      <c r="N28846" s="1"/>
    </row>
    <row r="28847" spans="7:14" x14ac:dyDescent="0.3">
      <c r="G28847" s="1"/>
      <c r="N28847" s="1"/>
    </row>
    <row r="28848" spans="7:14" x14ac:dyDescent="0.3">
      <c r="G28848" s="1"/>
      <c r="N28848" s="1"/>
    </row>
    <row r="28849" spans="7:14" x14ac:dyDescent="0.3">
      <c r="G28849" s="1"/>
      <c r="N28849" s="1"/>
    </row>
    <row r="28850" spans="7:14" x14ac:dyDescent="0.3">
      <c r="G28850" s="1"/>
      <c r="N28850" s="1"/>
    </row>
    <row r="28851" spans="7:14" x14ac:dyDescent="0.3">
      <c r="G28851" s="1"/>
      <c r="N28851" s="1"/>
    </row>
    <row r="28852" spans="7:14" x14ac:dyDescent="0.3">
      <c r="G28852" s="1"/>
      <c r="N28852" s="1"/>
    </row>
    <row r="28853" spans="7:14" x14ac:dyDescent="0.3">
      <c r="G28853" s="1"/>
      <c r="N28853" s="1"/>
    </row>
    <row r="28854" spans="7:14" x14ac:dyDescent="0.3">
      <c r="G28854" s="1"/>
      <c r="N28854" s="1"/>
    </row>
    <row r="28855" spans="7:14" x14ac:dyDescent="0.3">
      <c r="G28855" s="1"/>
      <c r="N28855" s="1"/>
    </row>
    <row r="28856" spans="7:14" x14ac:dyDescent="0.3">
      <c r="G28856" s="1"/>
      <c r="N28856" s="1"/>
    </row>
    <row r="28857" spans="7:14" x14ac:dyDescent="0.3">
      <c r="G28857" s="1"/>
      <c r="N28857" s="1"/>
    </row>
    <row r="28858" spans="7:14" x14ac:dyDescent="0.3">
      <c r="G28858" s="1"/>
      <c r="N28858" s="1"/>
    </row>
    <row r="28859" spans="7:14" x14ac:dyDescent="0.3">
      <c r="G28859" s="1"/>
      <c r="N28859" s="1"/>
    </row>
    <row r="28860" spans="7:14" x14ac:dyDescent="0.3">
      <c r="G28860" s="1"/>
      <c r="N28860" s="1"/>
    </row>
    <row r="28861" spans="7:14" x14ac:dyDescent="0.3">
      <c r="G28861" s="1"/>
      <c r="N28861" s="1"/>
    </row>
    <row r="28862" spans="7:14" x14ac:dyDescent="0.3">
      <c r="G28862" s="1"/>
      <c r="N28862" s="1"/>
    </row>
    <row r="28863" spans="7:14" x14ac:dyDescent="0.3">
      <c r="G28863" s="1"/>
      <c r="N28863" s="1"/>
    </row>
    <row r="28864" spans="7:14" x14ac:dyDescent="0.3">
      <c r="G28864" s="1"/>
      <c r="N28864" s="1"/>
    </row>
    <row r="28865" spans="7:14" x14ac:dyDescent="0.3">
      <c r="G28865" s="1"/>
      <c r="N28865" s="1"/>
    </row>
    <row r="28866" spans="7:14" x14ac:dyDescent="0.3">
      <c r="G28866" s="1"/>
      <c r="N28866" s="1"/>
    </row>
    <row r="28867" spans="7:14" x14ac:dyDescent="0.3">
      <c r="G28867" s="1"/>
      <c r="N28867" s="1"/>
    </row>
    <row r="28868" spans="7:14" x14ac:dyDescent="0.3">
      <c r="G28868" s="1"/>
      <c r="N28868" s="1"/>
    </row>
    <row r="28869" spans="7:14" x14ac:dyDescent="0.3">
      <c r="G28869" s="1"/>
      <c r="N28869" s="1"/>
    </row>
    <row r="28870" spans="7:14" x14ac:dyDescent="0.3">
      <c r="G28870" s="1"/>
      <c r="N28870" s="1"/>
    </row>
    <row r="28871" spans="7:14" x14ac:dyDescent="0.3">
      <c r="G28871" s="1"/>
      <c r="N28871" s="1"/>
    </row>
    <row r="28872" spans="7:14" x14ac:dyDescent="0.3">
      <c r="G28872" s="1"/>
      <c r="N28872" s="1"/>
    </row>
    <row r="28873" spans="7:14" x14ac:dyDescent="0.3">
      <c r="G28873" s="1"/>
      <c r="N28873" s="1"/>
    </row>
    <row r="28874" spans="7:14" x14ac:dyDescent="0.3">
      <c r="G28874" s="1"/>
      <c r="N28874" s="1"/>
    </row>
    <row r="28875" spans="7:14" x14ac:dyDescent="0.3">
      <c r="G28875" s="1"/>
      <c r="N28875" s="1"/>
    </row>
    <row r="28876" spans="7:14" x14ac:dyDescent="0.3">
      <c r="G28876" s="1"/>
      <c r="N28876" s="1"/>
    </row>
    <row r="28877" spans="7:14" x14ac:dyDescent="0.3">
      <c r="G28877" s="1"/>
      <c r="N28877" s="1"/>
    </row>
    <row r="28878" spans="7:14" x14ac:dyDescent="0.3">
      <c r="G28878" s="1"/>
      <c r="N28878" s="1"/>
    </row>
    <row r="28879" spans="7:14" x14ac:dyDescent="0.3">
      <c r="G28879" s="1"/>
      <c r="N28879" s="1"/>
    </row>
    <row r="28880" spans="7:14" x14ac:dyDescent="0.3">
      <c r="G28880" s="1"/>
      <c r="N28880" s="1"/>
    </row>
    <row r="28881" spans="7:14" x14ac:dyDescent="0.3">
      <c r="G28881" s="1"/>
      <c r="N28881" s="1"/>
    </row>
    <row r="28882" spans="7:14" x14ac:dyDescent="0.3">
      <c r="G28882" s="1"/>
      <c r="N28882" s="1"/>
    </row>
    <row r="28883" spans="7:14" x14ac:dyDescent="0.3">
      <c r="G28883" s="1"/>
      <c r="N28883" s="1"/>
    </row>
    <row r="28884" spans="7:14" x14ac:dyDescent="0.3">
      <c r="G28884" s="1"/>
      <c r="N28884" s="1"/>
    </row>
    <row r="28885" spans="7:14" x14ac:dyDescent="0.3">
      <c r="G28885" s="1"/>
      <c r="N28885" s="1"/>
    </row>
    <row r="28886" spans="7:14" x14ac:dyDescent="0.3">
      <c r="G28886" s="1"/>
      <c r="N28886" s="1"/>
    </row>
    <row r="28887" spans="7:14" x14ac:dyDescent="0.3">
      <c r="G28887" s="1"/>
      <c r="N28887" s="1"/>
    </row>
    <row r="28888" spans="7:14" x14ac:dyDescent="0.3">
      <c r="G28888" s="1"/>
      <c r="N28888" s="1"/>
    </row>
    <row r="28889" spans="7:14" x14ac:dyDescent="0.3">
      <c r="G28889" s="1"/>
      <c r="N28889" s="1"/>
    </row>
    <row r="28890" spans="7:14" x14ac:dyDescent="0.3">
      <c r="G28890" s="1"/>
      <c r="N28890" s="1"/>
    </row>
    <row r="28891" spans="7:14" x14ac:dyDescent="0.3">
      <c r="G28891" s="1"/>
      <c r="N28891" s="1"/>
    </row>
    <row r="28892" spans="7:14" x14ac:dyDescent="0.3">
      <c r="G28892" s="1"/>
      <c r="N28892" s="1"/>
    </row>
    <row r="28893" spans="7:14" x14ac:dyDescent="0.3">
      <c r="G28893" s="1"/>
      <c r="N28893" s="1"/>
    </row>
    <row r="28894" spans="7:14" x14ac:dyDescent="0.3">
      <c r="G28894" s="1"/>
      <c r="N28894" s="1"/>
    </row>
    <row r="28895" spans="7:14" x14ac:dyDescent="0.3">
      <c r="G28895" s="1"/>
      <c r="N28895" s="1"/>
    </row>
    <row r="28896" spans="7:14" x14ac:dyDescent="0.3">
      <c r="G28896" s="1"/>
      <c r="N28896" s="1"/>
    </row>
    <row r="28897" spans="7:14" x14ac:dyDescent="0.3">
      <c r="G28897" s="1"/>
      <c r="N28897" s="1"/>
    </row>
    <row r="28898" spans="7:14" x14ac:dyDescent="0.3">
      <c r="G28898" s="1"/>
      <c r="N28898" s="1"/>
    </row>
    <row r="28899" spans="7:14" x14ac:dyDescent="0.3">
      <c r="G28899" s="1"/>
      <c r="N28899" s="1"/>
    </row>
    <row r="28900" spans="7:14" x14ac:dyDescent="0.3">
      <c r="G28900" s="1"/>
      <c r="N28900" s="1"/>
    </row>
    <row r="28901" spans="7:14" x14ac:dyDescent="0.3">
      <c r="G28901" s="1"/>
      <c r="N28901" s="1"/>
    </row>
    <row r="28902" spans="7:14" x14ac:dyDescent="0.3">
      <c r="G28902" s="1"/>
      <c r="N28902" s="1"/>
    </row>
    <row r="28903" spans="7:14" x14ac:dyDescent="0.3">
      <c r="G28903" s="1"/>
      <c r="N28903" s="1"/>
    </row>
    <row r="28904" spans="7:14" x14ac:dyDescent="0.3">
      <c r="G28904" s="1"/>
      <c r="N28904" s="1"/>
    </row>
    <row r="28905" spans="7:14" x14ac:dyDescent="0.3">
      <c r="G28905" s="1"/>
      <c r="N28905" s="1"/>
    </row>
    <row r="28906" spans="7:14" x14ac:dyDescent="0.3">
      <c r="G28906" s="1"/>
      <c r="N28906" s="1"/>
    </row>
    <row r="28907" spans="7:14" x14ac:dyDescent="0.3">
      <c r="G28907" s="1"/>
      <c r="N28907" s="1"/>
    </row>
    <row r="28908" spans="7:14" x14ac:dyDescent="0.3">
      <c r="G28908" s="1"/>
      <c r="N28908" s="1"/>
    </row>
    <row r="28909" spans="7:14" x14ac:dyDescent="0.3">
      <c r="G28909" s="1"/>
      <c r="N28909" s="1"/>
    </row>
    <row r="28910" spans="7:14" x14ac:dyDescent="0.3">
      <c r="G28910" s="1"/>
      <c r="N28910" s="1"/>
    </row>
    <row r="28911" spans="7:14" x14ac:dyDescent="0.3">
      <c r="G28911" s="1"/>
      <c r="N28911" s="1"/>
    </row>
    <row r="28912" spans="7:14" x14ac:dyDescent="0.3">
      <c r="G28912" s="1"/>
      <c r="N28912" s="1"/>
    </row>
    <row r="28913" spans="7:14" x14ac:dyDescent="0.3">
      <c r="G28913" s="1"/>
      <c r="N28913" s="1"/>
    </row>
    <row r="28914" spans="7:14" x14ac:dyDescent="0.3">
      <c r="G28914" s="1"/>
      <c r="N28914" s="1"/>
    </row>
    <row r="28915" spans="7:14" x14ac:dyDescent="0.3">
      <c r="G28915" s="1"/>
      <c r="N28915" s="1"/>
    </row>
    <row r="28916" spans="7:14" x14ac:dyDescent="0.3">
      <c r="G28916" s="1"/>
      <c r="N28916" s="1"/>
    </row>
    <row r="28917" spans="7:14" x14ac:dyDescent="0.3">
      <c r="G28917" s="1"/>
      <c r="N28917" s="1"/>
    </row>
    <row r="28918" spans="7:14" x14ac:dyDescent="0.3">
      <c r="G28918" s="1"/>
      <c r="N28918" s="1"/>
    </row>
    <row r="28919" spans="7:14" x14ac:dyDescent="0.3">
      <c r="G28919" s="1"/>
      <c r="N28919" s="1"/>
    </row>
    <row r="28920" spans="7:14" x14ac:dyDescent="0.3">
      <c r="G28920" s="1"/>
      <c r="N28920" s="1"/>
    </row>
    <row r="28921" spans="7:14" x14ac:dyDescent="0.3">
      <c r="G28921" s="1"/>
      <c r="N28921" s="1"/>
    </row>
    <row r="28922" spans="7:14" x14ac:dyDescent="0.3">
      <c r="G28922" s="1"/>
      <c r="N28922" s="1"/>
    </row>
    <row r="28923" spans="7:14" x14ac:dyDescent="0.3">
      <c r="G28923" s="1"/>
      <c r="N28923" s="1"/>
    </row>
    <row r="28924" spans="7:14" x14ac:dyDescent="0.3">
      <c r="G28924" s="1"/>
      <c r="N28924" s="1"/>
    </row>
    <row r="28925" spans="7:14" x14ac:dyDescent="0.3">
      <c r="G28925" s="1"/>
      <c r="N28925" s="1"/>
    </row>
    <row r="28926" spans="7:14" x14ac:dyDescent="0.3">
      <c r="G28926" s="1"/>
      <c r="N28926" s="1"/>
    </row>
    <row r="28927" spans="7:14" x14ac:dyDescent="0.3">
      <c r="G28927" s="1"/>
      <c r="N28927" s="1"/>
    </row>
    <row r="28928" spans="7:14" x14ac:dyDescent="0.3">
      <c r="G28928" s="1"/>
      <c r="N28928" s="1"/>
    </row>
    <row r="28929" spans="7:14" x14ac:dyDescent="0.3">
      <c r="G28929" s="1"/>
      <c r="N28929" s="1"/>
    </row>
    <row r="28930" spans="7:14" x14ac:dyDescent="0.3">
      <c r="G28930" s="1"/>
      <c r="N28930" s="1"/>
    </row>
    <row r="28931" spans="7:14" x14ac:dyDescent="0.3">
      <c r="G28931" s="1"/>
      <c r="N28931" s="1"/>
    </row>
    <row r="28932" spans="7:14" x14ac:dyDescent="0.3">
      <c r="G28932" s="1"/>
      <c r="N28932" s="1"/>
    </row>
    <row r="28933" spans="7:14" x14ac:dyDescent="0.3">
      <c r="G28933" s="1"/>
      <c r="N28933" s="1"/>
    </row>
    <row r="28934" spans="7:14" x14ac:dyDescent="0.3">
      <c r="G28934" s="1"/>
      <c r="N28934" s="1"/>
    </row>
    <row r="28935" spans="7:14" x14ac:dyDescent="0.3">
      <c r="G28935" s="1"/>
      <c r="N28935" s="1"/>
    </row>
    <row r="28936" spans="7:14" x14ac:dyDescent="0.3">
      <c r="G28936" s="1"/>
      <c r="N28936" s="1"/>
    </row>
    <row r="28937" spans="7:14" x14ac:dyDescent="0.3">
      <c r="G28937" s="1"/>
      <c r="N28937" s="1"/>
    </row>
    <row r="28938" spans="7:14" x14ac:dyDescent="0.3">
      <c r="G28938" s="1"/>
      <c r="N28938" s="1"/>
    </row>
    <row r="28939" spans="7:14" x14ac:dyDescent="0.3">
      <c r="G28939" s="1"/>
      <c r="N28939" s="1"/>
    </row>
    <row r="28940" spans="7:14" x14ac:dyDescent="0.3">
      <c r="G28940" s="1"/>
      <c r="N28940" s="1"/>
    </row>
    <row r="28941" spans="7:14" x14ac:dyDescent="0.3">
      <c r="G28941" s="1"/>
      <c r="N28941" s="1"/>
    </row>
    <row r="28942" spans="7:14" x14ac:dyDescent="0.3">
      <c r="G28942" s="1"/>
      <c r="N28942" s="1"/>
    </row>
    <row r="28943" spans="7:14" x14ac:dyDescent="0.3">
      <c r="G28943" s="1"/>
      <c r="N28943" s="1"/>
    </row>
    <row r="28944" spans="7:14" x14ac:dyDescent="0.3">
      <c r="G28944" s="1"/>
      <c r="N28944" s="1"/>
    </row>
    <row r="28945" spans="7:14" x14ac:dyDescent="0.3">
      <c r="G28945" s="1"/>
      <c r="N28945" s="1"/>
    </row>
    <row r="28946" spans="7:14" x14ac:dyDescent="0.3">
      <c r="G28946" s="1"/>
      <c r="N28946" s="1"/>
    </row>
    <row r="28947" spans="7:14" x14ac:dyDescent="0.3">
      <c r="G28947" s="1"/>
      <c r="N28947" s="1"/>
    </row>
    <row r="28948" spans="7:14" x14ac:dyDescent="0.3">
      <c r="G28948" s="1"/>
      <c r="N28948" s="1"/>
    </row>
    <row r="28949" spans="7:14" x14ac:dyDescent="0.3">
      <c r="G28949" s="1"/>
      <c r="N28949" s="1"/>
    </row>
    <row r="28950" spans="7:14" x14ac:dyDescent="0.3">
      <c r="G28950" s="1"/>
      <c r="N28950" s="1"/>
    </row>
    <row r="28951" spans="7:14" x14ac:dyDescent="0.3">
      <c r="G28951" s="1"/>
      <c r="N28951" s="1"/>
    </row>
    <row r="28952" spans="7:14" x14ac:dyDescent="0.3">
      <c r="G28952" s="1"/>
      <c r="N28952" s="1"/>
    </row>
    <row r="28953" spans="7:14" x14ac:dyDescent="0.3">
      <c r="G28953" s="1"/>
      <c r="N28953" s="1"/>
    </row>
    <row r="28954" spans="7:14" x14ac:dyDescent="0.3">
      <c r="G28954" s="1"/>
      <c r="N28954" s="1"/>
    </row>
    <row r="28955" spans="7:14" x14ac:dyDescent="0.3">
      <c r="G28955" s="1"/>
      <c r="N28955" s="1"/>
    </row>
    <row r="28956" spans="7:14" x14ac:dyDescent="0.3">
      <c r="G28956" s="1"/>
      <c r="N28956" s="1"/>
    </row>
    <row r="28957" spans="7:14" x14ac:dyDescent="0.3">
      <c r="G28957" s="1"/>
      <c r="N28957" s="1"/>
    </row>
    <row r="28958" spans="7:14" x14ac:dyDescent="0.3">
      <c r="G28958" s="1"/>
      <c r="N28958" s="1"/>
    </row>
    <row r="28959" spans="7:14" x14ac:dyDescent="0.3">
      <c r="G28959" s="1"/>
      <c r="N28959" s="1"/>
    </row>
    <row r="28960" spans="7:14" x14ac:dyDescent="0.3">
      <c r="G28960" s="1"/>
      <c r="N28960" s="1"/>
    </row>
    <row r="28961" spans="7:14" x14ac:dyDescent="0.3">
      <c r="G28961" s="1"/>
      <c r="N28961" s="1"/>
    </row>
    <row r="28962" spans="7:14" x14ac:dyDescent="0.3">
      <c r="G28962" s="1"/>
      <c r="N28962" s="1"/>
    </row>
    <row r="28963" spans="7:14" x14ac:dyDescent="0.3">
      <c r="G28963" s="1"/>
      <c r="N28963" s="1"/>
    </row>
    <row r="28964" spans="7:14" x14ac:dyDescent="0.3">
      <c r="G28964" s="1"/>
      <c r="N28964" s="1"/>
    </row>
    <row r="28965" spans="7:14" x14ac:dyDescent="0.3">
      <c r="G28965" s="1"/>
      <c r="N28965" s="1"/>
    </row>
    <row r="28966" spans="7:14" x14ac:dyDescent="0.3">
      <c r="G28966" s="1"/>
      <c r="N28966" s="1"/>
    </row>
    <row r="28967" spans="7:14" x14ac:dyDescent="0.3">
      <c r="G28967" s="1"/>
      <c r="N28967" s="1"/>
    </row>
    <row r="28968" spans="7:14" x14ac:dyDescent="0.3">
      <c r="G28968" s="1"/>
      <c r="N28968" s="1"/>
    </row>
    <row r="28969" spans="7:14" x14ac:dyDescent="0.3">
      <c r="G28969" s="1"/>
      <c r="N28969" s="1"/>
    </row>
    <row r="28970" spans="7:14" x14ac:dyDescent="0.3">
      <c r="G28970" s="1"/>
      <c r="N28970" s="1"/>
    </row>
    <row r="28971" spans="7:14" x14ac:dyDescent="0.3">
      <c r="G28971" s="1"/>
      <c r="N28971" s="1"/>
    </row>
    <row r="28972" spans="7:14" x14ac:dyDescent="0.3">
      <c r="G28972" s="1"/>
      <c r="N28972" s="1"/>
    </row>
    <row r="28973" spans="7:14" x14ac:dyDescent="0.3">
      <c r="G28973" s="1"/>
      <c r="N28973" s="1"/>
    </row>
    <row r="28974" spans="7:14" x14ac:dyDescent="0.3">
      <c r="G28974" s="1"/>
      <c r="N28974" s="1"/>
    </row>
    <row r="28975" spans="7:14" x14ac:dyDescent="0.3">
      <c r="G28975" s="1"/>
      <c r="N28975" s="1"/>
    </row>
    <row r="28976" spans="7:14" x14ac:dyDescent="0.3">
      <c r="G28976" s="1"/>
      <c r="N28976" s="1"/>
    </row>
    <row r="28977" spans="7:14" x14ac:dyDescent="0.3">
      <c r="G28977" s="1"/>
      <c r="N28977" s="1"/>
    </row>
    <row r="28978" spans="7:14" x14ac:dyDescent="0.3">
      <c r="G28978" s="1"/>
      <c r="N28978" s="1"/>
    </row>
    <row r="28979" spans="7:14" x14ac:dyDescent="0.3">
      <c r="G28979" s="1"/>
      <c r="N28979" s="1"/>
    </row>
    <row r="28980" spans="7:14" x14ac:dyDescent="0.3">
      <c r="G28980" s="1"/>
      <c r="N28980" s="1"/>
    </row>
    <row r="28981" spans="7:14" x14ac:dyDescent="0.3">
      <c r="G28981" s="1"/>
      <c r="N28981" s="1"/>
    </row>
    <row r="28982" spans="7:14" x14ac:dyDescent="0.3">
      <c r="G28982" s="1"/>
      <c r="N28982" s="1"/>
    </row>
    <row r="28983" spans="7:14" x14ac:dyDescent="0.3">
      <c r="G28983" s="1"/>
      <c r="N28983" s="1"/>
    </row>
    <row r="28984" spans="7:14" x14ac:dyDescent="0.3">
      <c r="G28984" s="1"/>
      <c r="N28984" s="1"/>
    </row>
    <row r="28985" spans="7:14" x14ac:dyDescent="0.3">
      <c r="G28985" s="1"/>
      <c r="N28985" s="1"/>
    </row>
    <row r="28986" spans="7:14" x14ac:dyDescent="0.3">
      <c r="G28986" s="1"/>
      <c r="N28986" s="1"/>
    </row>
    <row r="28987" spans="7:14" x14ac:dyDescent="0.3">
      <c r="G28987" s="1"/>
      <c r="N28987" s="1"/>
    </row>
    <row r="28988" spans="7:14" x14ac:dyDescent="0.3">
      <c r="G28988" s="1"/>
      <c r="N28988" s="1"/>
    </row>
    <row r="28989" spans="7:14" x14ac:dyDescent="0.3">
      <c r="G28989" s="1"/>
      <c r="N28989" s="1"/>
    </row>
    <row r="28990" spans="7:14" x14ac:dyDescent="0.3">
      <c r="G28990" s="1"/>
      <c r="N28990" s="1"/>
    </row>
    <row r="28991" spans="7:14" x14ac:dyDescent="0.3">
      <c r="G28991" s="1"/>
      <c r="N28991" s="1"/>
    </row>
    <row r="28992" spans="7:14" x14ac:dyDescent="0.3">
      <c r="G28992" s="1"/>
      <c r="N28992" s="1"/>
    </row>
    <row r="28993" spans="7:14" x14ac:dyDescent="0.3">
      <c r="G28993" s="1"/>
      <c r="N28993" s="1"/>
    </row>
    <row r="28994" spans="7:14" x14ac:dyDescent="0.3">
      <c r="G28994" s="1"/>
      <c r="N28994" s="1"/>
    </row>
    <row r="28995" spans="7:14" x14ac:dyDescent="0.3">
      <c r="G28995" s="1"/>
      <c r="N28995" s="1"/>
    </row>
    <row r="28996" spans="7:14" x14ac:dyDescent="0.3">
      <c r="G28996" s="1"/>
      <c r="N28996" s="1"/>
    </row>
    <row r="28997" spans="7:14" x14ac:dyDescent="0.3">
      <c r="G28997" s="1"/>
      <c r="N28997" s="1"/>
    </row>
    <row r="28998" spans="7:14" x14ac:dyDescent="0.3">
      <c r="G28998" s="1"/>
      <c r="N28998" s="1"/>
    </row>
    <row r="28999" spans="7:14" x14ac:dyDescent="0.3">
      <c r="G28999" s="1"/>
      <c r="N28999" s="1"/>
    </row>
    <row r="29000" spans="7:14" x14ac:dyDescent="0.3">
      <c r="G29000" s="1"/>
      <c r="N29000" s="1"/>
    </row>
    <row r="29001" spans="7:14" x14ac:dyDescent="0.3">
      <c r="G29001" s="1"/>
      <c r="N29001" s="1"/>
    </row>
    <row r="29002" spans="7:14" x14ac:dyDescent="0.3">
      <c r="G29002" s="1"/>
      <c r="N29002" s="1"/>
    </row>
    <row r="29003" spans="7:14" x14ac:dyDescent="0.3">
      <c r="G29003" s="1"/>
      <c r="N29003" s="1"/>
    </row>
    <row r="29004" spans="7:14" x14ac:dyDescent="0.3">
      <c r="G29004" s="1"/>
      <c r="N29004" s="1"/>
    </row>
    <row r="29005" spans="7:14" x14ac:dyDescent="0.3">
      <c r="G29005" s="1"/>
      <c r="N29005" s="1"/>
    </row>
    <row r="29006" spans="7:14" x14ac:dyDescent="0.3">
      <c r="G29006" s="1"/>
      <c r="N29006" s="1"/>
    </row>
    <row r="29007" spans="7:14" x14ac:dyDescent="0.3">
      <c r="G29007" s="1"/>
      <c r="N29007" s="1"/>
    </row>
    <row r="29008" spans="7:14" x14ac:dyDescent="0.3">
      <c r="G29008" s="1"/>
      <c r="N29008" s="1"/>
    </row>
    <row r="29009" spans="7:14" x14ac:dyDescent="0.3">
      <c r="G29009" s="1"/>
      <c r="N29009" s="1"/>
    </row>
    <row r="29010" spans="7:14" x14ac:dyDescent="0.3">
      <c r="G29010" s="1"/>
      <c r="N29010" s="1"/>
    </row>
    <row r="29011" spans="7:14" x14ac:dyDescent="0.3">
      <c r="G29011" s="1"/>
      <c r="N29011" s="1"/>
    </row>
    <row r="29012" spans="7:14" x14ac:dyDescent="0.3">
      <c r="G29012" s="1"/>
      <c r="N29012" s="1"/>
    </row>
    <row r="29013" spans="7:14" x14ac:dyDescent="0.3">
      <c r="G29013" s="1"/>
      <c r="N29013" s="1"/>
    </row>
    <row r="29014" spans="7:14" x14ac:dyDescent="0.3">
      <c r="G29014" s="1"/>
      <c r="N29014" s="1"/>
    </row>
    <row r="29015" spans="7:14" x14ac:dyDescent="0.3">
      <c r="G29015" s="1"/>
      <c r="N29015" s="1"/>
    </row>
    <row r="29016" spans="7:14" x14ac:dyDescent="0.3">
      <c r="G29016" s="1"/>
      <c r="N29016" s="1"/>
    </row>
    <row r="29017" spans="7:14" x14ac:dyDescent="0.3">
      <c r="G29017" s="1"/>
      <c r="N29017" s="1"/>
    </row>
    <row r="29018" spans="7:14" x14ac:dyDescent="0.3">
      <c r="G29018" s="1"/>
      <c r="N29018" s="1"/>
    </row>
    <row r="29019" spans="7:14" x14ac:dyDescent="0.3">
      <c r="G29019" s="1"/>
      <c r="N29019" s="1"/>
    </row>
    <row r="29020" spans="7:14" x14ac:dyDescent="0.3">
      <c r="G29020" s="1"/>
      <c r="N29020" s="1"/>
    </row>
    <row r="29021" spans="7:14" x14ac:dyDescent="0.3">
      <c r="G29021" s="1"/>
      <c r="N29021" s="1"/>
    </row>
    <row r="29022" spans="7:14" x14ac:dyDescent="0.3">
      <c r="G29022" s="1"/>
      <c r="N29022" s="1"/>
    </row>
    <row r="29023" spans="7:14" x14ac:dyDescent="0.3">
      <c r="G29023" s="1"/>
      <c r="N29023" s="1"/>
    </row>
    <row r="29024" spans="7:14" x14ac:dyDescent="0.3">
      <c r="G29024" s="1"/>
      <c r="N29024" s="1"/>
    </row>
    <row r="29025" spans="7:14" x14ac:dyDescent="0.3">
      <c r="G29025" s="1"/>
      <c r="N29025" s="1"/>
    </row>
    <row r="29026" spans="7:14" x14ac:dyDescent="0.3">
      <c r="G29026" s="1"/>
      <c r="N29026" s="1"/>
    </row>
    <row r="29027" spans="7:14" x14ac:dyDescent="0.3">
      <c r="G29027" s="1"/>
      <c r="N29027" s="1"/>
    </row>
    <row r="29028" spans="7:14" x14ac:dyDescent="0.3">
      <c r="G29028" s="1"/>
      <c r="N29028" s="1"/>
    </row>
    <row r="29029" spans="7:14" x14ac:dyDescent="0.3">
      <c r="G29029" s="1"/>
      <c r="N29029" s="1"/>
    </row>
    <row r="29030" spans="7:14" x14ac:dyDescent="0.3">
      <c r="G29030" s="1"/>
      <c r="N29030" s="1"/>
    </row>
    <row r="29031" spans="7:14" x14ac:dyDescent="0.3">
      <c r="G29031" s="1"/>
      <c r="N29031" s="1"/>
    </row>
    <row r="29032" spans="7:14" x14ac:dyDescent="0.3">
      <c r="G29032" s="1"/>
      <c r="N29032" s="1"/>
    </row>
    <row r="29033" spans="7:14" x14ac:dyDescent="0.3">
      <c r="G29033" s="1"/>
      <c r="N29033" s="1"/>
    </row>
    <row r="29034" spans="7:14" x14ac:dyDescent="0.3">
      <c r="G29034" s="1"/>
      <c r="N29034" s="1"/>
    </row>
    <row r="29035" spans="7:14" x14ac:dyDescent="0.3">
      <c r="G29035" s="1"/>
      <c r="N29035" s="1"/>
    </row>
    <row r="29036" spans="7:14" x14ac:dyDescent="0.3">
      <c r="G29036" s="1"/>
      <c r="N29036" s="1"/>
    </row>
    <row r="29037" spans="7:14" x14ac:dyDescent="0.3">
      <c r="G29037" s="1"/>
      <c r="N29037" s="1"/>
    </row>
    <row r="29038" spans="7:14" x14ac:dyDescent="0.3">
      <c r="G29038" s="1"/>
      <c r="N29038" s="1"/>
    </row>
    <row r="29039" spans="7:14" x14ac:dyDescent="0.3">
      <c r="G29039" s="1"/>
      <c r="N29039" s="1"/>
    </row>
    <row r="29040" spans="7:14" x14ac:dyDescent="0.3">
      <c r="G29040" s="1"/>
      <c r="N29040" s="1"/>
    </row>
    <row r="29041" spans="7:14" x14ac:dyDescent="0.3">
      <c r="G29041" s="1"/>
      <c r="N29041" s="1"/>
    </row>
    <row r="29042" spans="7:14" x14ac:dyDescent="0.3">
      <c r="G29042" s="1"/>
      <c r="N29042" s="1"/>
    </row>
    <row r="29043" spans="7:14" x14ac:dyDescent="0.3">
      <c r="G29043" s="1"/>
      <c r="N29043" s="1"/>
    </row>
    <row r="29044" spans="7:14" x14ac:dyDescent="0.3">
      <c r="G29044" s="1"/>
      <c r="N29044" s="1"/>
    </row>
    <row r="29045" spans="7:14" x14ac:dyDescent="0.3">
      <c r="G29045" s="1"/>
      <c r="N29045" s="1"/>
    </row>
    <row r="29046" spans="7:14" x14ac:dyDescent="0.3">
      <c r="G29046" s="1"/>
      <c r="N29046" s="1"/>
    </row>
    <row r="29047" spans="7:14" x14ac:dyDescent="0.3">
      <c r="G29047" s="1"/>
      <c r="N29047" s="1"/>
    </row>
    <row r="29048" spans="7:14" x14ac:dyDescent="0.3">
      <c r="G29048" s="1"/>
      <c r="N29048" s="1"/>
    </row>
    <row r="29049" spans="7:14" x14ac:dyDescent="0.3">
      <c r="G29049" s="1"/>
      <c r="N29049" s="1"/>
    </row>
    <row r="29050" spans="7:14" x14ac:dyDescent="0.3">
      <c r="G29050" s="1"/>
      <c r="N29050" s="1"/>
    </row>
    <row r="29051" spans="7:14" x14ac:dyDescent="0.3">
      <c r="G29051" s="1"/>
      <c r="N29051" s="1"/>
    </row>
    <row r="29052" spans="7:14" x14ac:dyDescent="0.3">
      <c r="G29052" s="1"/>
      <c r="N29052" s="1"/>
    </row>
    <row r="29053" spans="7:14" x14ac:dyDescent="0.3">
      <c r="G29053" s="1"/>
      <c r="N29053" s="1"/>
    </row>
    <row r="29054" spans="7:14" x14ac:dyDescent="0.3">
      <c r="G29054" s="1"/>
      <c r="N29054" s="1"/>
    </row>
    <row r="29055" spans="7:14" x14ac:dyDescent="0.3">
      <c r="G29055" s="1"/>
      <c r="N29055" s="1"/>
    </row>
    <row r="29056" spans="7:14" x14ac:dyDescent="0.3">
      <c r="G29056" s="1"/>
      <c r="N29056" s="1"/>
    </row>
    <row r="29057" spans="7:14" x14ac:dyDescent="0.3">
      <c r="G29057" s="1"/>
      <c r="N29057" s="1"/>
    </row>
    <row r="29058" spans="7:14" x14ac:dyDescent="0.3">
      <c r="G29058" s="1"/>
      <c r="N29058" s="1"/>
    </row>
    <row r="29059" spans="7:14" x14ac:dyDescent="0.3">
      <c r="G29059" s="1"/>
      <c r="N29059" s="1"/>
    </row>
    <row r="29060" spans="7:14" x14ac:dyDescent="0.3">
      <c r="G29060" s="1"/>
      <c r="N29060" s="1"/>
    </row>
    <row r="29061" spans="7:14" x14ac:dyDescent="0.3">
      <c r="G29061" s="1"/>
      <c r="N29061" s="1"/>
    </row>
    <row r="29062" spans="7:14" x14ac:dyDescent="0.3">
      <c r="G29062" s="1"/>
      <c r="N29062" s="1"/>
    </row>
    <row r="29063" spans="7:14" x14ac:dyDescent="0.3">
      <c r="G29063" s="1"/>
      <c r="N29063" s="1"/>
    </row>
    <row r="29064" spans="7:14" x14ac:dyDescent="0.3">
      <c r="G29064" s="1"/>
      <c r="N29064" s="1"/>
    </row>
    <row r="29065" spans="7:14" x14ac:dyDescent="0.3">
      <c r="G29065" s="1"/>
      <c r="N29065" s="1"/>
    </row>
    <row r="29066" spans="7:14" x14ac:dyDescent="0.3">
      <c r="G29066" s="1"/>
      <c r="N29066" s="1"/>
    </row>
    <row r="29067" spans="7:14" x14ac:dyDescent="0.3">
      <c r="G29067" s="1"/>
      <c r="N29067" s="1"/>
    </row>
    <row r="29068" spans="7:14" x14ac:dyDescent="0.3">
      <c r="G29068" s="1"/>
      <c r="N29068" s="1"/>
    </row>
    <row r="29069" spans="7:14" x14ac:dyDescent="0.3">
      <c r="G29069" s="1"/>
      <c r="N29069" s="1"/>
    </row>
    <row r="29070" spans="7:14" x14ac:dyDescent="0.3">
      <c r="G29070" s="1"/>
      <c r="N29070" s="1"/>
    </row>
    <row r="29071" spans="7:14" x14ac:dyDescent="0.3">
      <c r="G29071" s="1"/>
      <c r="N29071" s="1"/>
    </row>
    <row r="29072" spans="7:14" x14ac:dyDescent="0.3">
      <c r="G29072" s="1"/>
      <c r="N29072" s="1"/>
    </row>
    <row r="29073" spans="7:14" x14ac:dyDescent="0.3">
      <c r="G29073" s="1"/>
      <c r="N29073" s="1"/>
    </row>
    <row r="29074" spans="7:14" x14ac:dyDescent="0.3">
      <c r="G29074" s="1"/>
      <c r="N29074" s="1"/>
    </row>
    <row r="29075" spans="7:14" x14ac:dyDescent="0.3">
      <c r="G29075" s="1"/>
      <c r="N29075" s="1"/>
    </row>
    <row r="29076" spans="7:14" x14ac:dyDescent="0.3">
      <c r="G29076" s="1"/>
      <c r="N29076" s="1"/>
    </row>
    <row r="29077" spans="7:14" x14ac:dyDescent="0.3">
      <c r="G29077" s="1"/>
      <c r="N29077" s="1"/>
    </row>
    <row r="29078" spans="7:14" x14ac:dyDescent="0.3">
      <c r="G29078" s="1"/>
      <c r="N29078" s="1"/>
    </row>
    <row r="29079" spans="7:14" x14ac:dyDescent="0.3">
      <c r="G29079" s="1"/>
      <c r="N29079" s="1"/>
    </row>
    <row r="29080" spans="7:14" x14ac:dyDescent="0.3">
      <c r="G29080" s="1"/>
      <c r="N29080" s="1"/>
    </row>
    <row r="29081" spans="7:14" x14ac:dyDescent="0.3">
      <c r="G29081" s="1"/>
      <c r="N29081" s="1"/>
    </row>
    <row r="29082" spans="7:14" x14ac:dyDescent="0.3">
      <c r="G29082" s="1"/>
      <c r="N29082" s="1"/>
    </row>
    <row r="29083" spans="7:14" x14ac:dyDescent="0.3">
      <c r="G29083" s="1"/>
      <c r="N29083" s="1"/>
    </row>
    <row r="29084" spans="7:14" x14ac:dyDescent="0.3">
      <c r="G29084" s="1"/>
      <c r="N29084" s="1"/>
    </row>
    <row r="29085" spans="7:14" x14ac:dyDescent="0.3">
      <c r="G29085" s="1"/>
      <c r="N29085" s="1"/>
    </row>
    <row r="29086" spans="7:14" x14ac:dyDescent="0.3">
      <c r="G29086" s="1"/>
      <c r="N29086" s="1"/>
    </row>
    <row r="29087" spans="7:14" x14ac:dyDescent="0.3">
      <c r="G29087" s="1"/>
      <c r="N29087" s="1"/>
    </row>
    <row r="29088" spans="7:14" x14ac:dyDescent="0.3">
      <c r="G29088" s="1"/>
      <c r="N29088" s="1"/>
    </row>
    <row r="29089" spans="7:14" x14ac:dyDescent="0.3">
      <c r="G29089" s="1"/>
      <c r="N29089" s="1"/>
    </row>
    <row r="29090" spans="7:14" x14ac:dyDescent="0.3">
      <c r="G29090" s="1"/>
      <c r="N29090" s="1"/>
    </row>
    <row r="29091" spans="7:14" x14ac:dyDescent="0.3">
      <c r="G29091" s="1"/>
      <c r="N29091" s="1"/>
    </row>
    <row r="29092" spans="7:14" x14ac:dyDescent="0.3">
      <c r="G29092" s="1"/>
      <c r="N29092" s="1"/>
    </row>
    <row r="29093" spans="7:14" x14ac:dyDescent="0.3">
      <c r="G29093" s="1"/>
      <c r="N29093" s="1"/>
    </row>
    <row r="29094" spans="7:14" x14ac:dyDescent="0.3">
      <c r="G29094" s="1"/>
      <c r="N29094" s="1"/>
    </row>
    <row r="29095" spans="7:14" x14ac:dyDescent="0.3">
      <c r="G29095" s="1"/>
      <c r="N29095" s="1"/>
    </row>
    <row r="29096" spans="7:14" x14ac:dyDescent="0.3">
      <c r="G29096" s="1"/>
      <c r="N29096" s="1"/>
    </row>
    <row r="29097" spans="7:14" x14ac:dyDescent="0.3">
      <c r="G29097" s="1"/>
      <c r="N29097" s="1"/>
    </row>
    <row r="29098" spans="7:14" x14ac:dyDescent="0.3">
      <c r="G29098" s="1"/>
      <c r="N29098" s="1"/>
    </row>
    <row r="29099" spans="7:14" x14ac:dyDescent="0.3">
      <c r="G29099" s="1"/>
      <c r="N29099" s="1"/>
    </row>
    <row r="29100" spans="7:14" x14ac:dyDescent="0.3">
      <c r="G29100" s="1"/>
      <c r="N29100" s="1"/>
    </row>
    <row r="29101" spans="7:14" x14ac:dyDescent="0.3">
      <c r="G29101" s="1"/>
      <c r="N29101" s="1"/>
    </row>
    <row r="29102" spans="7:14" x14ac:dyDescent="0.3">
      <c r="G29102" s="1"/>
      <c r="N29102" s="1"/>
    </row>
    <row r="29103" spans="7:14" x14ac:dyDescent="0.3">
      <c r="G29103" s="1"/>
      <c r="N29103" s="1"/>
    </row>
    <row r="29104" spans="7:14" x14ac:dyDescent="0.3">
      <c r="G29104" s="1"/>
      <c r="N29104" s="1"/>
    </row>
    <row r="29105" spans="7:14" x14ac:dyDescent="0.3">
      <c r="G29105" s="1"/>
      <c r="N29105" s="1"/>
    </row>
    <row r="29106" spans="7:14" x14ac:dyDescent="0.3">
      <c r="G29106" s="1"/>
      <c r="N29106" s="1"/>
    </row>
    <row r="29107" spans="7:14" x14ac:dyDescent="0.3">
      <c r="G29107" s="1"/>
      <c r="N29107" s="1"/>
    </row>
    <row r="29108" spans="7:14" x14ac:dyDescent="0.3">
      <c r="G29108" s="1"/>
      <c r="N29108" s="1"/>
    </row>
    <row r="29109" spans="7:14" x14ac:dyDescent="0.3">
      <c r="G29109" s="1"/>
      <c r="N29109" s="1"/>
    </row>
    <row r="29110" spans="7:14" x14ac:dyDescent="0.3">
      <c r="G29110" s="1"/>
      <c r="N29110" s="1"/>
    </row>
    <row r="29111" spans="7:14" x14ac:dyDescent="0.3">
      <c r="G29111" s="1"/>
      <c r="N29111" s="1"/>
    </row>
    <row r="29112" spans="7:14" x14ac:dyDescent="0.3">
      <c r="G29112" s="1"/>
      <c r="N29112" s="1"/>
    </row>
    <row r="29113" spans="7:14" x14ac:dyDescent="0.3">
      <c r="G29113" s="1"/>
      <c r="N29113" s="1"/>
    </row>
    <row r="29114" spans="7:14" x14ac:dyDescent="0.3">
      <c r="G29114" s="1"/>
      <c r="N29114" s="1"/>
    </row>
    <row r="29115" spans="7:14" x14ac:dyDescent="0.3">
      <c r="G29115" s="1"/>
      <c r="N29115" s="1"/>
    </row>
    <row r="29116" spans="7:14" x14ac:dyDescent="0.3">
      <c r="G29116" s="1"/>
      <c r="N29116" s="1"/>
    </row>
    <row r="29117" spans="7:14" x14ac:dyDescent="0.3">
      <c r="G29117" s="1"/>
      <c r="N29117" s="1"/>
    </row>
    <row r="29118" spans="7:14" x14ac:dyDescent="0.3">
      <c r="G29118" s="1"/>
      <c r="N29118" s="1"/>
    </row>
    <row r="29119" spans="7:14" x14ac:dyDescent="0.3">
      <c r="G29119" s="1"/>
      <c r="N29119" s="1"/>
    </row>
    <row r="29120" spans="7:14" x14ac:dyDescent="0.3">
      <c r="G29120" s="1"/>
      <c r="N29120" s="1"/>
    </row>
    <row r="29121" spans="7:14" x14ac:dyDescent="0.3">
      <c r="G29121" s="1"/>
      <c r="N29121" s="1"/>
    </row>
    <row r="29122" spans="7:14" x14ac:dyDescent="0.3">
      <c r="G29122" s="1"/>
      <c r="N29122" s="1"/>
    </row>
    <row r="29123" spans="7:14" x14ac:dyDescent="0.3">
      <c r="G29123" s="1"/>
      <c r="N29123" s="1"/>
    </row>
    <row r="29124" spans="7:14" x14ac:dyDescent="0.3">
      <c r="G29124" s="1"/>
      <c r="N29124" s="1"/>
    </row>
    <row r="29125" spans="7:14" x14ac:dyDescent="0.3">
      <c r="G29125" s="1"/>
      <c r="N29125" s="1"/>
    </row>
    <row r="29126" spans="7:14" x14ac:dyDescent="0.3">
      <c r="G29126" s="1"/>
      <c r="N29126" s="1"/>
    </row>
    <row r="29127" spans="7:14" x14ac:dyDescent="0.3">
      <c r="G29127" s="1"/>
      <c r="N29127" s="1"/>
    </row>
    <row r="29128" spans="7:14" x14ac:dyDescent="0.3">
      <c r="G29128" s="1"/>
      <c r="N29128" s="1"/>
    </row>
    <row r="29129" spans="7:14" x14ac:dyDescent="0.3">
      <c r="G29129" s="1"/>
      <c r="N29129" s="1"/>
    </row>
    <row r="29130" spans="7:14" x14ac:dyDescent="0.3">
      <c r="G29130" s="1"/>
      <c r="N29130" s="1"/>
    </row>
    <row r="29131" spans="7:14" x14ac:dyDescent="0.3">
      <c r="G29131" s="1"/>
      <c r="N29131" s="1"/>
    </row>
    <row r="29132" spans="7:14" x14ac:dyDescent="0.3">
      <c r="G29132" s="1"/>
      <c r="N29132" s="1"/>
    </row>
    <row r="29133" spans="7:14" x14ac:dyDescent="0.3">
      <c r="G29133" s="1"/>
      <c r="N29133" s="1"/>
    </row>
    <row r="29134" spans="7:14" x14ac:dyDescent="0.3">
      <c r="G29134" s="1"/>
      <c r="N29134" s="1"/>
    </row>
    <row r="29135" spans="7:14" x14ac:dyDescent="0.3">
      <c r="G29135" s="1"/>
      <c r="N29135" s="1"/>
    </row>
    <row r="29136" spans="7:14" x14ac:dyDescent="0.3">
      <c r="G29136" s="1"/>
      <c r="N29136" s="1"/>
    </row>
    <row r="29137" spans="7:14" x14ac:dyDescent="0.3">
      <c r="G29137" s="1"/>
      <c r="N29137" s="1"/>
    </row>
    <row r="29138" spans="7:14" x14ac:dyDescent="0.3">
      <c r="G29138" s="1"/>
      <c r="N29138" s="1"/>
    </row>
    <row r="29139" spans="7:14" x14ac:dyDescent="0.3">
      <c r="G29139" s="1"/>
      <c r="N29139" s="1"/>
    </row>
    <row r="29140" spans="7:14" x14ac:dyDescent="0.3">
      <c r="G29140" s="1"/>
      <c r="N29140" s="1"/>
    </row>
    <row r="29141" spans="7:14" x14ac:dyDescent="0.3">
      <c r="G29141" s="1"/>
      <c r="N29141" s="1"/>
    </row>
    <row r="29142" spans="7:14" x14ac:dyDescent="0.3">
      <c r="G29142" s="1"/>
      <c r="N29142" s="1"/>
    </row>
    <row r="29143" spans="7:14" x14ac:dyDescent="0.3">
      <c r="G29143" s="1"/>
      <c r="N29143" s="1"/>
    </row>
    <row r="29144" spans="7:14" x14ac:dyDescent="0.3">
      <c r="G29144" s="1"/>
      <c r="N29144" s="1"/>
    </row>
    <row r="29145" spans="7:14" x14ac:dyDescent="0.3">
      <c r="G29145" s="1"/>
      <c r="N29145" s="1"/>
    </row>
    <row r="29146" spans="7:14" x14ac:dyDescent="0.3">
      <c r="G29146" s="1"/>
      <c r="N29146" s="1"/>
    </row>
    <row r="29147" spans="7:14" x14ac:dyDescent="0.3">
      <c r="G29147" s="1"/>
      <c r="N29147" s="1"/>
    </row>
    <row r="29148" spans="7:14" x14ac:dyDescent="0.3">
      <c r="G29148" s="1"/>
      <c r="N29148" s="1"/>
    </row>
    <row r="29149" spans="7:14" x14ac:dyDescent="0.3">
      <c r="G29149" s="1"/>
      <c r="N29149" s="1"/>
    </row>
    <row r="29150" spans="7:14" x14ac:dyDescent="0.3">
      <c r="G29150" s="1"/>
      <c r="N29150" s="1"/>
    </row>
    <row r="29151" spans="7:14" x14ac:dyDescent="0.3">
      <c r="G29151" s="1"/>
      <c r="N29151" s="1"/>
    </row>
    <row r="29152" spans="7:14" x14ac:dyDescent="0.3">
      <c r="G29152" s="1"/>
      <c r="N29152" s="1"/>
    </row>
    <row r="29153" spans="7:14" x14ac:dyDescent="0.3">
      <c r="G29153" s="1"/>
      <c r="N29153" s="1"/>
    </row>
    <row r="29154" spans="7:14" x14ac:dyDescent="0.3">
      <c r="G29154" s="1"/>
      <c r="N29154" s="1"/>
    </row>
    <row r="29155" spans="7:14" x14ac:dyDescent="0.3">
      <c r="G29155" s="1"/>
      <c r="N29155" s="1"/>
    </row>
    <row r="29156" spans="7:14" x14ac:dyDescent="0.3">
      <c r="G29156" s="1"/>
      <c r="N29156" s="1"/>
    </row>
    <row r="29157" spans="7:14" x14ac:dyDescent="0.3">
      <c r="G29157" s="1"/>
      <c r="N29157" s="1"/>
    </row>
    <row r="29158" spans="7:14" x14ac:dyDescent="0.3">
      <c r="G29158" s="1"/>
      <c r="N29158" s="1"/>
    </row>
    <row r="29159" spans="7:14" x14ac:dyDescent="0.3">
      <c r="G29159" s="1"/>
      <c r="N29159" s="1"/>
    </row>
    <row r="29160" spans="7:14" x14ac:dyDescent="0.3">
      <c r="G29160" s="1"/>
      <c r="N29160" s="1"/>
    </row>
    <row r="29161" spans="7:14" x14ac:dyDescent="0.3">
      <c r="G29161" s="1"/>
      <c r="N29161" s="1"/>
    </row>
    <row r="29162" spans="7:14" x14ac:dyDescent="0.3">
      <c r="G29162" s="1"/>
      <c r="N29162" s="1"/>
    </row>
    <row r="29163" spans="7:14" x14ac:dyDescent="0.3">
      <c r="G29163" s="1"/>
      <c r="N29163" s="1"/>
    </row>
    <row r="29164" spans="7:14" x14ac:dyDescent="0.3">
      <c r="G29164" s="1"/>
      <c r="N29164" s="1"/>
    </row>
    <row r="29165" spans="7:14" x14ac:dyDescent="0.3">
      <c r="G29165" s="1"/>
      <c r="N29165" s="1"/>
    </row>
    <row r="29166" spans="7:14" x14ac:dyDescent="0.3">
      <c r="G29166" s="1"/>
      <c r="N29166" s="1"/>
    </row>
    <row r="29167" spans="7:14" x14ac:dyDescent="0.3">
      <c r="G29167" s="1"/>
      <c r="N29167" s="1"/>
    </row>
    <row r="29168" spans="7:14" x14ac:dyDescent="0.3">
      <c r="G29168" s="1"/>
      <c r="N29168" s="1"/>
    </row>
    <row r="29169" spans="7:14" x14ac:dyDescent="0.3">
      <c r="G29169" s="1"/>
      <c r="N29169" s="1"/>
    </row>
    <row r="29170" spans="7:14" x14ac:dyDescent="0.3">
      <c r="G29170" s="1"/>
      <c r="N29170" s="1"/>
    </row>
    <row r="29171" spans="7:14" x14ac:dyDescent="0.3">
      <c r="G29171" s="1"/>
      <c r="N29171" s="1"/>
    </row>
    <row r="29172" spans="7:14" x14ac:dyDescent="0.3">
      <c r="G29172" s="1"/>
      <c r="N29172" s="1"/>
    </row>
    <row r="29173" spans="7:14" x14ac:dyDescent="0.3">
      <c r="G29173" s="1"/>
      <c r="N29173" s="1"/>
    </row>
    <row r="29174" spans="7:14" x14ac:dyDescent="0.3">
      <c r="G29174" s="1"/>
      <c r="N29174" s="1"/>
    </row>
    <row r="29175" spans="7:14" x14ac:dyDescent="0.3">
      <c r="G29175" s="1"/>
      <c r="N29175" s="1"/>
    </row>
    <row r="29176" spans="7:14" x14ac:dyDescent="0.3">
      <c r="G29176" s="1"/>
      <c r="N29176" s="1"/>
    </row>
    <row r="29177" spans="7:14" x14ac:dyDescent="0.3">
      <c r="G29177" s="1"/>
      <c r="N29177" s="1"/>
    </row>
    <row r="29178" spans="7:14" x14ac:dyDescent="0.3">
      <c r="G29178" s="1"/>
      <c r="N29178" s="1"/>
    </row>
    <row r="29179" spans="7:14" x14ac:dyDescent="0.3">
      <c r="G29179" s="1"/>
      <c r="N29179" s="1"/>
    </row>
    <row r="29180" spans="7:14" x14ac:dyDescent="0.3">
      <c r="G29180" s="1"/>
      <c r="N29180" s="1"/>
    </row>
    <row r="29181" spans="7:14" x14ac:dyDescent="0.3">
      <c r="G29181" s="1"/>
      <c r="N29181" s="1"/>
    </row>
    <row r="29182" spans="7:14" x14ac:dyDescent="0.3">
      <c r="G29182" s="1"/>
      <c r="N29182" s="1"/>
    </row>
    <row r="29183" spans="7:14" x14ac:dyDescent="0.3">
      <c r="G29183" s="1"/>
      <c r="N29183" s="1"/>
    </row>
    <row r="29184" spans="7:14" x14ac:dyDescent="0.3">
      <c r="G29184" s="1"/>
      <c r="N29184" s="1"/>
    </row>
    <row r="29185" spans="7:14" x14ac:dyDescent="0.3">
      <c r="G29185" s="1"/>
      <c r="N29185" s="1"/>
    </row>
    <row r="29186" spans="7:14" x14ac:dyDescent="0.3">
      <c r="G29186" s="1"/>
      <c r="N29186" s="1"/>
    </row>
    <row r="29187" spans="7:14" x14ac:dyDescent="0.3">
      <c r="G29187" s="1"/>
      <c r="N29187" s="1"/>
    </row>
    <row r="29188" spans="7:14" x14ac:dyDescent="0.3">
      <c r="G29188" s="1"/>
      <c r="N29188" s="1"/>
    </row>
    <row r="29189" spans="7:14" x14ac:dyDescent="0.3">
      <c r="G29189" s="1"/>
      <c r="N29189" s="1"/>
    </row>
    <row r="29190" spans="7:14" x14ac:dyDescent="0.3">
      <c r="G29190" s="1"/>
      <c r="N29190" s="1"/>
    </row>
    <row r="29191" spans="7:14" x14ac:dyDescent="0.3">
      <c r="G29191" s="1"/>
      <c r="N29191" s="1"/>
    </row>
    <row r="29192" spans="7:14" x14ac:dyDescent="0.3">
      <c r="G29192" s="1"/>
      <c r="N29192" s="1"/>
    </row>
    <row r="29193" spans="7:14" x14ac:dyDescent="0.3">
      <c r="G29193" s="1"/>
      <c r="N29193" s="1"/>
    </row>
    <row r="29194" spans="7:14" x14ac:dyDescent="0.3">
      <c r="G29194" s="1"/>
      <c r="N29194" s="1"/>
    </row>
    <row r="29195" spans="7:14" x14ac:dyDescent="0.3">
      <c r="G29195" s="1"/>
      <c r="N29195" s="1"/>
    </row>
    <row r="29196" spans="7:14" x14ac:dyDescent="0.3">
      <c r="G29196" s="1"/>
      <c r="N29196" s="1"/>
    </row>
    <row r="29197" spans="7:14" x14ac:dyDescent="0.3">
      <c r="G29197" s="1"/>
      <c r="N29197" s="1"/>
    </row>
    <row r="29198" spans="7:14" x14ac:dyDescent="0.3">
      <c r="G29198" s="1"/>
      <c r="N29198" s="1"/>
    </row>
    <row r="29199" spans="7:14" x14ac:dyDescent="0.3">
      <c r="G29199" s="1"/>
      <c r="N29199" s="1"/>
    </row>
    <row r="29200" spans="7:14" x14ac:dyDescent="0.3">
      <c r="G29200" s="1"/>
      <c r="N29200" s="1"/>
    </row>
    <row r="29201" spans="7:14" x14ac:dyDescent="0.3">
      <c r="G29201" s="1"/>
      <c r="N29201" s="1"/>
    </row>
    <row r="29202" spans="7:14" x14ac:dyDescent="0.3">
      <c r="G29202" s="1"/>
      <c r="N29202" s="1"/>
    </row>
    <row r="29203" spans="7:14" x14ac:dyDescent="0.3">
      <c r="G29203" s="1"/>
      <c r="N29203" s="1"/>
    </row>
    <row r="29204" spans="7:14" x14ac:dyDescent="0.3">
      <c r="G29204" s="1"/>
      <c r="N29204" s="1"/>
    </row>
    <row r="29205" spans="7:14" x14ac:dyDescent="0.3">
      <c r="G29205" s="1"/>
      <c r="N29205" s="1"/>
    </row>
    <row r="29206" spans="7:14" x14ac:dyDescent="0.3">
      <c r="G29206" s="1"/>
      <c r="N29206" s="1"/>
    </row>
    <row r="29207" spans="7:14" x14ac:dyDescent="0.3">
      <c r="G29207" s="1"/>
      <c r="N29207" s="1"/>
    </row>
    <row r="29208" spans="7:14" x14ac:dyDescent="0.3">
      <c r="G29208" s="1"/>
      <c r="N29208" s="1"/>
    </row>
    <row r="29209" spans="7:14" x14ac:dyDescent="0.3">
      <c r="G29209" s="1"/>
      <c r="N29209" s="1"/>
    </row>
    <row r="29210" spans="7:14" x14ac:dyDescent="0.3">
      <c r="G29210" s="1"/>
      <c r="N29210" s="1"/>
    </row>
    <row r="29211" spans="7:14" x14ac:dyDescent="0.3">
      <c r="G29211" s="1"/>
      <c r="N29211" s="1"/>
    </row>
    <row r="29212" spans="7:14" x14ac:dyDescent="0.3">
      <c r="G29212" s="1"/>
      <c r="N29212" s="1"/>
    </row>
    <row r="29213" spans="7:14" x14ac:dyDescent="0.3">
      <c r="G29213" s="1"/>
      <c r="N29213" s="1"/>
    </row>
    <row r="29214" spans="7:14" x14ac:dyDescent="0.3">
      <c r="G29214" s="1"/>
      <c r="N29214" s="1"/>
    </row>
    <row r="29215" spans="7:14" x14ac:dyDescent="0.3">
      <c r="G29215" s="1"/>
      <c r="N29215" s="1"/>
    </row>
    <row r="29216" spans="7:14" x14ac:dyDescent="0.3">
      <c r="G29216" s="1"/>
      <c r="N29216" s="1"/>
    </row>
    <row r="29217" spans="7:14" x14ac:dyDescent="0.3">
      <c r="G29217" s="1"/>
      <c r="N29217" s="1"/>
    </row>
    <row r="29218" spans="7:14" x14ac:dyDescent="0.3">
      <c r="G29218" s="1"/>
      <c r="N29218" s="1"/>
    </row>
    <row r="29219" spans="7:14" x14ac:dyDescent="0.3">
      <c r="G29219" s="1"/>
      <c r="N29219" s="1"/>
    </row>
    <row r="29220" spans="7:14" x14ac:dyDescent="0.3">
      <c r="G29220" s="1"/>
      <c r="N29220" s="1"/>
    </row>
    <row r="29221" spans="7:14" x14ac:dyDescent="0.3">
      <c r="G29221" s="1"/>
      <c r="N29221" s="1"/>
    </row>
    <row r="29222" spans="7:14" x14ac:dyDescent="0.3">
      <c r="G29222" s="1"/>
      <c r="N29222" s="1"/>
    </row>
    <row r="29223" spans="7:14" x14ac:dyDescent="0.3">
      <c r="G29223" s="1"/>
      <c r="N29223" s="1"/>
    </row>
    <row r="29224" spans="7:14" x14ac:dyDescent="0.3">
      <c r="G29224" s="1"/>
      <c r="N29224" s="1"/>
    </row>
    <row r="29225" spans="7:14" x14ac:dyDescent="0.3">
      <c r="G29225" s="1"/>
      <c r="N29225" s="1"/>
    </row>
    <row r="29226" spans="7:14" x14ac:dyDescent="0.3">
      <c r="G29226" s="1"/>
      <c r="N29226" s="1"/>
    </row>
    <row r="29227" spans="7:14" x14ac:dyDescent="0.3">
      <c r="G29227" s="1"/>
      <c r="N29227" s="1"/>
    </row>
    <row r="29228" spans="7:14" x14ac:dyDescent="0.3">
      <c r="G29228" s="1"/>
      <c r="N29228" s="1"/>
    </row>
    <row r="29229" spans="7:14" x14ac:dyDescent="0.3">
      <c r="G29229" s="1"/>
      <c r="N29229" s="1"/>
    </row>
    <row r="29230" spans="7:14" x14ac:dyDescent="0.3">
      <c r="G29230" s="1"/>
      <c r="N29230" s="1"/>
    </row>
    <row r="29231" spans="7:14" x14ac:dyDescent="0.3">
      <c r="G29231" s="1"/>
      <c r="N29231" s="1"/>
    </row>
    <row r="29232" spans="7:14" x14ac:dyDescent="0.3">
      <c r="G29232" s="1"/>
      <c r="N29232" s="1"/>
    </row>
    <row r="29233" spans="7:14" x14ac:dyDescent="0.3">
      <c r="G29233" s="1"/>
      <c r="N29233" s="1"/>
    </row>
    <row r="29234" spans="7:14" x14ac:dyDescent="0.3">
      <c r="G29234" s="1"/>
      <c r="N29234" s="1"/>
    </row>
    <row r="29235" spans="7:14" x14ac:dyDescent="0.3">
      <c r="G29235" s="1"/>
      <c r="N29235" s="1"/>
    </row>
    <row r="29236" spans="7:14" x14ac:dyDescent="0.3">
      <c r="G29236" s="1"/>
      <c r="N29236" s="1"/>
    </row>
    <row r="29237" spans="7:14" x14ac:dyDescent="0.3">
      <c r="G29237" s="1"/>
      <c r="N29237" s="1"/>
    </row>
    <row r="29238" spans="7:14" x14ac:dyDescent="0.3">
      <c r="G29238" s="1"/>
      <c r="N29238" s="1"/>
    </row>
    <row r="29239" spans="7:14" x14ac:dyDescent="0.3">
      <c r="G29239" s="1"/>
      <c r="N29239" s="1"/>
    </row>
    <row r="29240" spans="7:14" x14ac:dyDescent="0.3">
      <c r="G29240" s="1"/>
      <c r="N29240" s="1"/>
    </row>
    <row r="29241" spans="7:14" x14ac:dyDescent="0.3">
      <c r="G29241" s="1"/>
      <c r="N29241" s="1"/>
    </row>
    <row r="29242" spans="7:14" x14ac:dyDescent="0.3">
      <c r="G29242" s="1"/>
      <c r="N29242" s="1"/>
    </row>
    <row r="29243" spans="7:14" x14ac:dyDescent="0.3">
      <c r="G29243" s="1"/>
      <c r="N29243" s="1"/>
    </row>
    <row r="29244" spans="7:14" x14ac:dyDescent="0.3">
      <c r="G29244" s="1"/>
      <c r="N29244" s="1"/>
    </row>
    <row r="29245" spans="7:14" x14ac:dyDescent="0.3">
      <c r="G29245" s="1"/>
      <c r="N29245" s="1"/>
    </row>
    <row r="29246" spans="7:14" x14ac:dyDescent="0.3">
      <c r="G29246" s="1"/>
      <c r="N29246" s="1"/>
    </row>
    <row r="29247" spans="7:14" x14ac:dyDescent="0.3">
      <c r="G29247" s="1"/>
      <c r="N29247" s="1"/>
    </row>
    <row r="29248" spans="7:14" x14ac:dyDescent="0.3">
      <c r="G29248" s="1"/>
      <c r="N29248" s="1"/>
    </row>
    <row r="29249" spans="7:14" x14ac:dyDescent="0.3">
      <c r="G29249" s="1"/>
      <c r="N29249" s="1"/>
    </row>
    <row r="29250" spans="7:14" x14ac:dyDescent="0.3">
      <c r="G29250" s="1"/>
      <c r="N29250" s="1"/>
    </row>
    <row r="29251" spans="7:14" x14ac:dyDescent="0.3">
      <c r="G29251" s="1"/>
      <c r="N29251" s="1"/>
    </row>
    <row r="29252" spans="7:14" x14ac:dyDescent="0.3">
      <c r="G29252" s="1"/>
      <c r="N29252" s="1"/>
    </row>
    <row r="29253" spans="7:14" x14ac:dyDescent="0.3">
      <c r="G29253" s="1"/>
      <c r="N29253" s="1"/>
    </row>
    <row r="29254" spans="7:14" x14ac:dyDescent="0.3">
      <c r="G29254" s="1"/>
      <c r="N29254" s="1"/>
    </row>
    <row r="29255" spans="7:14" x14ac:dyDescent="0.3">
      <c r="G29255" s="1"/>
      <c r="N29255" s="1"/>
    </row>
    <row r="29256" spans="7:14" x14ac:dyDescent="0.3">
      <c r="G29256" s="1"/>
      <c r="N29256" s="1"/>
    </row>
    <row r="29257" spans="7:14" x14ac:dyDescent="0.3">
      <c r="G29257" s="1"/>
      <c r="N29257" s="1"/>
    </row>
    <row r="29258" spans="7:14" x14ac:dyDescent="0.3">
      <c r="G29258" s="1"/>
      <c r="N29258" s="1"/>
    </row>
    <row r="29259" spans="7:14" x14ac:dyDescent="0.3">
      <c r="G29259" s="1"/>
      <c r="N29259" s="1"/>
    </row>
    <row r="29260" spans="7:14" x14ac:dyDescent="0.3">
      <c r="G29260" s="1"/>
      <c r="N29260" s="1"/>
    </row>
    <row r="29261" spans="7:14" x14ac:dyDescent="0.3">
      <c r="G29261" s="1"/>
      <c r="N29261" s="1"/>
    </row>
    <row r="29262" spans="7:14" x14ac:dyDescent="0.3">
      <c r="G29262" s="1"/>
      <c r="N29262" s="1"/>
    </row>
    <row r="29263" spans="7:14" x14ac:dyDescent="0.3">
      <c r="G29263" s="1"/>
      <c r="N29263" s="1"/>
    </row>
    <row r="29264" spans="7:14" x14ac:dyDescent="0.3">
      <c r="G29264" s="1"/>
      <c r="N29264" s="1"/>
    </row>
    <row r="29265" spans="7:14" x14ac:dyDescent="0.3">
      <c r="G29265" s="1"/>
      <c r="N29265" s="1"/>
    </row>
    <row r="29266" spans="7:14" x14ac:dyDescent="0.3">
      <c r="G29266" s="1"/>
      <c r="N29266" s="1"/>
    </row>
    <row r="29267" spans="7:14" x14ac:dyDescent="0.3">
      <c r="G29267" s="1"/>
      <c r="N29267" s="1"/>
    </row>
    <row r="29268" spans="7:14" x14ac:dyDescent="0.3">
      <c r="G29268" s="1"/>
      <c r="N29268" s="1"/>
    </row>
    <row r="29269" spans="7:14" x14ac:dyDescent="0.3">
      <c r="G29269" s="1"/>
      <c r="N29269" s="1"/>
    </row>
    <row r="29270" spans="7:14" x14ac:dyDescent="0.3">
      <c r="G29270" s="1"/>
      <c r="N29270" s="1"/>
    </row>
    <row r="29271" spans="7:14" x14ac:dyDescent="0.3">
      <c r="G29271" s="1"/>
      <c r="N29271" s="1"/>
    </row>
    <row r="29272" spans="7:14" x14ac:dyDescent="0.3">
      <c r="G29272" s="1"/>
      <c r="N29272" s="1"/>
    </row>
    <row r="29273" spans="7:14" x14ac:dyDescent="0.3">
      <c r="G29273" s="1"/>
      <c r="N29273" s="1"/>
    </row>
    <row r="29274" spans="7:14" x14ac:dyDescent="0.3">
      <c r="G29274" s="1"/>
      <c r="N29274" s="1"/>
    </row>
    <row r="29275" spans="7:14" x14ac:dyDescent="0.3">
      <c r="G29275" s="1"/>
      <c r="N29275" s="1"/>
    </row>
    <row r="29276" spans="7:14" x14ac:dyDescent="0.3">
      <c r="G29276" s="1"/>
      <c r="N29276" s="1"/>
    </row>
    <row r="29277" spans="7:14" x14ac:dyDescent="0.3">
      <c r="G29277" s="1"/>
      <c r="N29277" s="1"/>
    </row>
    <row r="29278" spans="7:14" x14ac:dyDescent="0.3">
      <c r="G29278" s="1"/>
      <c r="N29278" s="1"/>
    </row>
    <row r="29279" spans="7:14" x14ac:dyDescent="0.3">
      <c r="G29279" s="1"/>
      <c r="N29279" s="1"/>
    </row>
    <row r="29280" spans="7:14" x14ac:dyDescent="0.3">
      <c r="G29280" s="1"/>
      <c r="N29280" s="1"/>
    </row>
    <row r="29281" spans="7:14" x14ac:dyDescent="0.3">
      <c r="G29281" s="1"/>
      <c r="N29281" s="1"/>
    </row>
    <row r="29282" spans="7:14" x14ac:dyDescent="0.3">
      <c r="G29282" s="1"/>
      <c r="N29282" s="1"/>
    </row>
    <row r="29283" spans="7:14" x14ac:dyDescent="0.3">
      <c r="G29283" s="1"/>
      <c r="N29283" s="1"/>
    </row>
    <row r="29284" spans="7:14" x14ac:dyDescent="0.3">
      <c r="G29284" s="1"/>
      <c r="N29284" s="1"/>
    </row>
    <row r="29285" spans="7:14" x14ac:dyDescent="0.3">
      <c r="G29285" s="1"/>
      <c r="N29285" s="1"/>
    </row>
    <row r="29286" spans="7:14" x14ac:dyDescent="0.3">
      <c r="G29286" s="1"/>
      <c r="N29286" s="1"/>
    </row>
    <row r="29287" spans="7:14" x14ac:dyDescent="0.3">
      <c r="G29287" s="1"/>
      <c r="N29287" s="1"/>
    </row>
    <row r="29288" spans="7:14" x14ac:dyDescent="0.3">
      <c r="G29288" s="1"/>
      <c r="N29288" s="1"/>
    </row>
    <row r="29289" spans="7:14" x14ac:dyDescent="0.3">
      <c r="G29289" s="1"/>
      <c r="N29289" s="1"/>
    </row>
    <row r="29290" spans="7:14" x14ac:dyDescent="0.3">
      <c r="G29290" s="1"/>
      <c r="N29290" s="1"/>
    </row>
    <row r="29291" spans="7:14" x14ac:dyDescent="0.3">
      <c r="G29291" s="1"/>
      <c r="N29291" s="1"/>
    </row>
    <row r="29292" spans="7:14" x14ac:dyDescent="0.3">
      <c r="G29292" s="1"/>
      <c r="N29292" s="1"/>
    </row>
    <row r="29293" spans="7:14" x14ac:dyDescent="0.3">
      <c r="G29293" s="1"/>
      <c r="N29293" s="1"/>
    </row>
    <row r="29294" spans="7:14" x14ac:dyDescent="0.3">
      <c r="G29294" s="1"/>
      <c r="N29294" s="1"/>
    </row>
    <row r="29295" spans="7:14" x14ac:dyDescent="0.3">
      <c r="G29295" s="1"/>
      <c r="N29295" s="1"/>
    </row>
    <row r="29296" spans="7:14" x14ac:dyDescent="0.3">
      <c r="G29296" s="1"/>
      <c r="N29296" s="1"/>
    </row>
    <row r="29297" spans="7:14" x14ac:dyDescent="0.3">
      <c r="G29297" s="1"/>
      <c r="N29297" s="1"/>
    </row>
    <row r="29298" spans="7:14" x14ac:dyDescent="0.3">
      <c r="G29298" s="1"/>
      <c r="N29298" s="1"/>
    </row>
    <row r="29299" spans="7:14" x14ac:dyDescent="0.3">
      <c r="G29299" s="1"/>
      <c r="N29299" s="1"/>
    </row>
    <row r="29300" spans="7:14" x14ac:dyDescent="0.3">
      <c r="G29300" s="1"/>
      <c r="N29300" s="1"/>
    </row>
    <row r="29301" spans="7:14" x14ac:dyDescent="0.3">
      <c r="G29301" s="1"/>
      <c r="N29301" s="1"/>
    </row>
    <row r="29302" spans="7:14" x14ac:dyDescent="0.3">
      <c r="G29302" s="1"/>
      <c r="N29302" s="1"/>
    </row>
    <row r="29303" spans="7:14" x14ac:dyDescent="0.3">
      <c r="G29303" s="1"/>
      <c r="N29303" s="1"/>
    </row>
    <row r="29304" spans="7:14" x14ac:dyDescent="0.3">
      <c r="G29304" s="1"/>
      <c r="N29304" s="1"/>
    </row>
    <row r="29305" spans="7:14" x14ac:dyDescent="0.3">
      <c r="G29305" s="1"/>
      <c r="N29305" s="1"/>
    </row>
    <row r="29306" spans="7:14" x14ac:dyDescent="0.3">
      <c r="G29306" s="1"/>
      <c r="N29306" s="1"/>
    </row>
    <row r="29307" spans="7:14" x14ac:dyDescent="0.3">
      <c r="G29307" s="1"/>
      <c r="N29307" s="1"/>
    </row>
    <row r="29308" spans="7:14" x14ac:dyDescent="0.3">
      <c r="G29308" s="1"/>
      <c r="N29308" s="1"/>
    </row>
    <row r="29309" spans="7:14" x14ac:dyDescent="0.3">
      <c r="G29309" s="1"/>
      <c r="N29309" s="1"/>
    </row>
    <row r="29310" spans="7:14" x14ac:dyDescent="0.3">
      <c r="G29310" s="1"/>
      <c r="N29310" s="1"/>
    </row>
    <row r="29311" spans="7:14" x14ac:dyDescent="0.3">
      <c r="G29311" s="1"/>
      <c r="N29311" s="1"/>
    </row>
    <row r="29312" spans="7:14" x14ac:dyDescent="0.3">
      <c r="G29312" s="1"/>
      <c r="N29312" s="1"/>
    </row>
    <row r="29313" spans="7:14" x14ac:dyDescent="0.3">
      <c r="G29313" s="1"/>
      <c r="N29313" s="1"/>
    </row>
    <row r="29314" spans="7:14" x14ac:dyDescent="0.3">
      <c r="G29314" s="1"/>
      <c r="N29314" s="1"/>
    </row>
    <row r="29315" spans="7:14" x14ac:dyDescent="0.3">
      <c r="G29315" s="1"/>
      <c r="N29315" s="1"/>
    </row>
    <row r="29316" spans="7:14" x14ac:dyDescent="0.3">
      <c r="G29316" s="1"/>
      <c r="N29316" s="1"/>
    </row>
    <row r="29317" spans="7:14" x14ac:dyDescent="0.3">
      <c r="G29317" s="1"/>
      <c r="N29317" s="1"/>
    </row>
    <row r="29318" spans="7:14" x14ac:dyDescent="0.3">
      <c r="G29318" s="1"/>
      <c r="N29318" s="1"/>
    </row>
    <row r="29319" spans="7:14" x14ac:dyDescent="0.3">
      <c r="G29319" s="1"/>
      <c r="N29319" s="1"/>
    </row>
    <row r="29320" spans="7:14" x14ac:dyDescent="0.3">
      <c r="G29320" s="1"/>
      <c r="N29320" s="1"/>
    </row>
    <row r="29321" spans="7:14" x14ac:dyDescent="0.3">
      <c r="G29321" s="1"/>
      <c r="N29321" s="1"/>
    </row>
    <row r="29322" spans="7:14" x14ac:dyDescent="0.3">
      <c r="G29322" s="1"/>
      <c r="N29322" s="1"/>
    </row>
    <row r="29323" spans="7:14" x14ac:dyDescent="0.3">
      <c r="G29323" s="1"/>
      <c r="N29323" s="1"/>
    </row>
    <row r="29324" spans="7:14" x14ac:dyDescent="0.3">
      <c r="G29324" s="1"/>
      <c r="N29324" s="1"/>
    </row>
    <row r="29325" spans="7:14" x14ac:dyDescent="0.3">
      <c r="G29325" s="1"/>
      <c r="N29325" s="1"/>
    </row>
    <row r="29326" spans="7:14" x14ac:dyDescent="0.3">
      <c r="G29326" s="1"/>
      <c r="N29326" s="1"/>
    </row>
    <row r="29327" spans="7:14" x14ac:dyDescent="0.3">
      <c r="G29327" s="1"/>
      <c r="N29327" s="1"/>
    </row>
    <row r="29328" spans="7:14" x14ac:dyDescent="0.3">
      <c r="G29328" s="1"/>
      <c r="N29328" s="1"/>
    </row>
    <row r="29329" spans="7:14" x14ac:dyDescent="0.3">
      <c r="G29329" s="1"/>
      <c r="N29329" s="1"/>
    </row>
    <row r="29330" spans="7:14" x14ac:dyDescent="0.3">
      <c r="G29330" s="1"/>
      <c r="N29330" s="1"/>
    </row>
    <row r="29331" spans="7:14" x14ac:dyDescent="0.3">
      <c r="G29331" s="1"/>
      <c r="N29331" s="1"/>
    </row>
    <row r="29332" spans="7:14" x14ac:dyDescent="0.3">
      <c r="G29332" s="1"/>
      <c r="N29332" s="1"/>
    </row>
    <row r="29333" spans="7:14" x14ac:dyDescent="0.3">
      <c r="G29333" s="1"/>
      <c r="N29333" s="1"/>
    </row>
    <row r="29334" spans="7:14" x14ac:dyDescent="0.3">
      <c r="G29334" s="1"/>
      <c r="N29334" s="1"/>
    </row>
    <row r="29335" spans="7:14" x14ac:dyDescent="0.3">
      <c r="G29335" s="1"/>
      <c r="N29335" s="1"/>
    </row>
    <row r="29336" spans="7:14" x14ac:dyDescent="0.3">
      <c r="G29336" s="1"/>
      <c r="N29336" s="1"/>
    </row>
    <row r="29337" spans="7:14" x14ac:dyDescent="0.3">
      <c r="G29337" s="1"/>
      <c r="N29337" s="1"/>
    </row>
    <row r="29338" spans="7:14" x14ac:dyDescent="0.3">
      <c r="G29338" s="1"/>
      <c r="N29338" s="1"/>
    </row>
    <row r="29339" spans="7:14" x14ac:dyDescent="0.3">
      <c r="G29339" s="1"/>
      <c r="N29339" s="1"/>
    </row>
    <row r="29340" spans="7:14" x14ac:dyDescent="0.3">
      <c r="G29340" s="1"/>
      <c r="N29340" s="1"/>
    </row>
    <row r="29341" spans="7:14" x14ac:dyDescent="0.3">
      <c r="G29341" s="1"/>
      <c r="N29341" s="1"/>
    </row>
    <row r="29342" spans="7:14" x14ac:dyDescent="0.3">
      <c r="G29342" s="1"/>
      <c r="N29342" s="1"/>
    </row>
    <row r="29343" spans="7:14" x14ac:dyDescent="0.3">
      <c r="G29343" s="1"/>
      <c r="N29343" s="1"/>
    </row>
    <row r="29344" spans="7:14" x14ac:dyDescent="0.3">
      <c r="G29344" s="1"/>
      <c r="N29344" s="1"/>
    </row>
    <row r="29345" spans="7:14" x14ac:dyDescent="0.3">
      <c r="G29345" s="1"/>
      <c r="N29345" s="1"/>
    </row>
    <row r="29346" spans="7:14" x14ac:dyDescent="0.3">
      <c r="G29346" s="1"/>
      <c r="N29346" s="1"/>
    </row>
    <row r="29347" spans="7:14" x14ac:dyDescent="0.3">
      <c r="G29347" s="1"/>
      <c r="N29347" s="1"/>
    </row>
    <row r="29348" spans="7:14" x14ac:dyDescent="0.3">
      <c r="G29348" s="1"/>
      <c r="N29348" s="1"/>
    </row>
    <row r="29349" spans="7:14" x14ac:dyDescent="0.3">
      <c r="G29349" s="1"/>
      <c r="N29349" s="1"/>
    </row>
    <row r="29350" spans="7:14" x14ac:dyDescent="0.3">
      <c r="G29350" s="1"/>
      <c r="N29350" s="1"/>
    </row>
    <row r="29351" spans="7:14" x14ac:dyDescent="0.3">
      <c r="G29351" s="1"/>
      <c r="N29351" s="1"/>
    </row>
    <row r="29352" spans="7:14" x14ac:dyDescent="0.3">
      <c r="G29352" s="1"/>
      <c r="N29352" s="1"/>
    </row>
    <row r="29353" spans="7:14" x14ac:dyDescent="0.3">
      <c r="G29353" s="1"/>
      <c r="N29353" s="1"/>
    </row>
    <row r="29354" spans="7:14" x14ac:dyDescent="0.3">
      <c r="G29354" s="1"/>
      <c r="N29354" s="1"/>
    </row>
    <row r="29355" spans="7:14" x14ac:dyDescent="0.3">
      <c r="G29355" s="1"/>
      <c r="N29355" s="1"/>
    </row>
    <row r="29356" spans="7:14" x14ac:dyDescent="0.3">
      <c r="G29356" s="1"/>
      <c r="N29356" s="1"/>
    </row>
    <row r="29357" spans="7:14" x14ac:dyDescent="0.3">
      <c r="G29357" s="1"/>
      <c r="N29357" s="1"/>
    </row>
    <row r="29358" spans="7:14" x14ac:dyDescent="0.3">
      <c r="G29358" s="1"/>
      <c r="N29358" s="1"/>
    </row>
    <row r="29359" spans="7:14" x14ac:dyDescent="0.3">
      <c r="G29359" s="1"/>
      <c r="N29359" s="1"/>
    </row>
    <row r="29360" spans="7:14" x14ac:dyDescent="0.3">
      <c r="G29360" s="1"/>
      <c r="N29360" s="1"/>
    </row>
    <row r="29361" spans="7:14" x14ac:dyDescent="0.3">
      <c r="G29361" s="1"/>
      <c r="N29361" s="1"/>
    </row>
    <row r="29362" spans="7:14" x14ac:dyDescent="0.3">
      <c r="G29362" s="1"/>
      <c r="N29362" s="1"/>
    </row>
    <row r="29363" spans="7:14" x14ac:dyDescent="0.3">
      <c r="G29363" s="1"/>
      <c r="N29363" s="1"/>
    </row>
    <row r="29364" spans="7:14" x14ac:dyDescent="0.3">
      <c r="G29364" s="1"/>
      <c r="N29364" s="1"/>
    </row>
    <row r="29365" spans="7:14" x14ac:dyDescent="0.3">
      <c r="G29365" s="1"/>
      <c r="N29365" s="1"/>
    </row>
    <row r="29366" spans="7:14" x14ac:dyDescent="0.3">
      <c r="G29366" s="1"/>
      <c r="N29366" s="1"/>
    </row>
    <row r="29367" spans="7:14" x14ac:dyDescent="0.3">
      <c r="G29367" s="1"/>
      <c r="N29367" s="1"/>
    </row>
    <row r="29368" spans="7:14" x14ac:dyDescent="0.3">
      <c r="G29368" s="1"/>
      <c r="N29368" s="1"/>
    </row>
    <row r="29369" spans="7:14" x14ac:dyDescent="0.3">
      <c r="G29369" s="1"/>
      <c r="N29369" s="1"/>
    </row>
    <row r="29370" spans="7:14" x14ac:dyDescent="0.3">
      <c r="G29370" s="1"/>
      <c r="N29370" s="1"/>
    </row>
    <row r="29371" spans="7:14" x14ac:dyDescent="0.3">
      <c r="G29371" s="1"/>
      <c r="N29371" s="1"/>
    </row>
    <row r="29372" spans="7:14" x14ac:dyDescent="0.3">
      <c r="G29372" s="1"/>
      <c r="N29372" s="1"/>
    </row>
    <row r="29373" spans="7:14" x14ac:dyDescent="0.3">
      <c r="G29373" s="1"/>
      <c r="N29373" s="1"/>
    </row>
    <row r="29374" spans="7:14" x14ac:dyDescent="0.3">
      <c r="G29374" s="1"/>
      <c r="N29374" s="1"/>
    </row>
    <row r="29375" spans="7:14" x14ac:dyDescent="0.3">
      <c r="G29375" s="1"/>
      <c r="N29375" s="1"/>
    </row>
    <row r="29376" spans="7:14" x14ac:dyDescent="0.3">
      <c r="G29376" s="1"/>
      <c r="N29376" s="1"/>
    </row>
    <row r="29377" spans="7:14" x14ac:dyDescent="0.3">
      <c r="G29377" s="1"/>
      <c r="N29377" s="1"/>
    </row>
    <row r="29378" spans="7:14" x14ac:dyDescent="0.3">
      <c r="G29378" s="1"/>
      <c r="N29378" s="1"/>
    </row>
    <row r="29379" spans="7:14" x14ac:dyDescent="0.3">
      <c r="G29379" s="1"/>
      <c r="N29379" s="1"/>
    </row>
    <row r="29380" spans="7:14" x14ac:dyDescent="0.3">
      <c r="G29380" s="1"/>
      <c r="N29380" s="1"/>
    </row>
    <row r="29381" spans="7:14" x14ac:dyDescent="0.3">
      <c r="G29381" s="1"/>
      <c r="N29381" s="1"/>
    </row>
    <row r="29382" spans="7:14" x14ac:dyDescent="0.3">
      <c r="G29382" s="1"/>
      <c r="N29382" s="1"/>
    </row>
    <row r="29383" spans="7:14" x14ac:dyDescent="0.3">
      <c r="G29383" s="1"/>
      <c r="N29383" s="1"/>
    </row>
    <row r="29384" spans="7:14" x14ac:dyDescent="0.3">
      <c r="G29384" s="1"/>
      <c r="N29384" s="1"/>
    </row>
    <row r="29385" spans="7:14" x14ac:dyDescent="0.3">
      <c r="G29385" s="1"/>
      <c r="N29385" s="1"/>
    </row>
    <row r="29386" spans="7:14" x14ac:dyDescent="0.3">
      <c r="G29386" s="1"/>
      <c r="N29386" s="1"/>
    </row>
    <row r="29387" spans="7:14" x14ac:dyDescent="0.3">
      <c r="G29387" s="1"/>
      <c r="N29387" s="1"/>
    </row>
    <row r="29388" spans="7:14" x14ac:dyDescent="0.3">
      <c r="G29388" s="1"/>
      <c r="N29388" s="1"/>
    </row>
    <row r="29389" spans="7:14" x14ac:dyDescent="0.3">
      <c r="G29389" s="1"/>
      <c r="N29389" s="1"/>
    </row>
    <row r="29390" spans="7:14" x14ac:dyDescent="0.3">
      <c r="G29390" s="1"/>
      <c r="N29390" s="1"/>
    </row>
    <row r="29391" spans="7:14" x14ac:dyDescent="0.3">
      <c r="G29391" s="1"/>
      <c r="N29391" s="1"/>
    </row>
    <row r="29392" spans="7:14" x14ac:dyDescent="0.3">
      <c r="G29392" s="1"/>
      <c r="N29392" s="1"/>
    </row>
    <row r="29393" spans="7:14" x14ac:dyDescent="0.3">
      <c r="G29393" s="1"/>
      <c r="N29393" s="1"/>
    </row>
    <row r="29394" spans="7:14" x14ac:dyDescent="0.3">
      <c r="G29394" s="1"/>
      <c r="N29394" s="1"/>
    </row>
    <row r="29395" spans="7:14" x14ac:dyDescent="0.3">
      <c r="G29395" s="1"/>
      <c r="N29395" s="1"/>
    </row>
    <row r="29396" spans="7:14" x14ac:dyDescent="0.3">
      <c r="G29396" s="1"/>
      <c r="N29396" s="1"/>
    </row>
    <row r="29397" spans="7:14" x14ac:dyDescent="0.3">
      <c r="G29397" s="1"/>
      <c r="N29397" s="1"/>
    </row>
    <row r="29398" spans="7:14" x14ac:dyDescent="0.3">
      <c r="G29398" s="1"/>
      <c r="N29398" s="1"/>
    </row>
    <row r="29399" spans="7:14" x14ac:dyDescent="0.3">
      <c r="G29399" s="1"/>
      <c r="N29399" s="1"/>
    </row>
    <row r="29400" spans="7:14" x14ac:dyDescent="0.3">
      <c r="G29400" s="1"/>
      <c r="N29400" s="1"/>
    </row>
    <row r="29401" spans="7:14" x14ac:dyDescent="0.3">
      <c r="G29401" s="1"/>
      <c r="N29401" s="1"/>
    </row>
    <row r="29402" spans="7:14" x14ac:dyDescent="0.3">
      <c r="G29402" s="1"/>
      <c r="N29402" s="1"/>
    </row>
    <row r="29403" spans="7:14" x14ac:dyDescent="0.3">
      <c r="G29403" s="1"/>
      <c r="N29403" s="1"/>
    </row>
    <row r="29404" spans="7:14" x14ac:dyDescent="0.3">
      <c r="G29404" s="1"/>
      <c r="N29404" s="1"/>
    </row>
    <row r="29405" spans="7:14" x14ac:dyDescent="0.3">
      <c r="G29405" s="1"/>
      <c r="N29405" s="1"/>
    </row>
    <row r="29406" spans="7:14" x14ac:dyDescent="0.3">
      <c r="G29406" s="1"/>
      <c r="N29406" s="1"/>
    </row>
    <row r="29407" spans="7:14" x14ac:dyDescent="0.3">
      <c r="G29407" s="1"/>
      <c r="N29407" s="1"/>
    </row>
    <row r="29408" spans="7:14" x14ac:dyDescent="0.3">
      <c r="G29408" s="1"/>
      <c r="N29408" s="1"/>
    </row>
    <row r="29409" spans="7:14" x14ac:dyDescent="0.3">
      <c r="G29409" s="1"/>
      <c r="N29409" s="1"/>
    </row>
    <row r="29410" spans="7:14" x14ac:dyDescent="0.3">
      <c r="G29410" s="1"/>
      <c r="N29410" s="1"/>
    </row>
    <row r="29411" spans="7:14" x14ac:dyDescent="0.3">
      <c r="G29411" s="1"/>
      <c r="N29411" s="1"/>
    </row>
    <row r="29412" spans="7:14" x14ac:dyDescent="0.3">
      <c r="G29412" s="1"/>
      <c r="N29412" s="1"/>
    </row>
    <row r="29413" spans="7:14" x14ac:dyDescent="0.3">
      <c r="G29413" s="1"/>
      <c r="N29413" s="1"/>
    </row>
    <row r="29414" spans="7:14" x14ac:dyDescent="0.3">
      <c r="G29414" s="1"/>
      <c r="N29414" s="1"/>
    </row>
    <row r="29415" spans="7:14" x14ac:dyDescent="0.3">
      <c r="G29415" s="1"/>
      <c r="N29415" s="1"/>
    </row>
    <row r="29416" spans="7:14" x14ac:dyDescent="0.3">
      <c r="G29416" s="1"/>
      <c r="N29416" s="1"/>
    </row>
    <row r="29417" spans="7:14" x14ac:dyDescent="0.3">
      <c r="G29417" s="1"/>
      <c r="N29417" s="1"/>
    </row>
    <row r="29418" spans="7:14" x14ac:dyDescent="0.3">
      <c r="G29418" s="1"/>
      <c r="N29418" s="1"/>
    </row>
    <row r="29419" spans="7:14" x14ac:dyDescent="0.3">
      <c r="G29419" s="1"/>
      <c r="N29419" s="1"/>
    </row>
    <row r="29420" spans="7:14" x14ac:dyDescent="0.3">
      <c r="G29420" s="1"/>
      <c r="N29420" s="1"/>
    </row>
    <row r="29421" spans="7:14" x14ac:dyDescent="0.3">
      <c r="G29421" s="1"/>
      <c r="N29421" s="1"/>
    </row>
    <row r="29422" spans="7:14" x14ac:dyDescent="0.3">
      <c r="G29422" s="1"/>
      <c r="N29422" s="1"/>
    </row>
    <row r="29423" spans="7:14" x14ac:dyDescent="0.3">
      <c r="G29423" s="1"/>
      <c r="N29423" s="1"/>
    </row>
    <row r="29424" spans="7:14" x14ac:dyDescent="0.3">
      <c r="G29424" s="1"/>
      <c r="N29424" s="1"/>
    </row>
    <row r="29425" spans="7:14" x14ac:dyDescent="0.3">
      <c r="G29425" s="1"/>
      <c r="N29425" s="1"/>
    </row>
    <row r="29426" spans="7:14" x14ac:dyDescent="0.3">
      <c r="G29426" s="1"/>
      <c r="N29426" s="1"/>
    </row>
    <row r="29427" spans="7:14" x14ac:dyDescent="0.3">
      <c r="G29427" s="1"/>
      <c r="N29427" s="1"/>
    </row>
    <row r="29428" spans="7:14" x14ac:dyDescent="0.3">
      <c r="G29428" s="1"/>
      <c r="N29428" s="1"/>
    </row>
    <row r="29429" spans="7:14" x14ac:dyDescent="0.3">
      <c r="G29429" s="1"/>
      <c r="N29429" s="1"/>
    </row>
    <row r="29430" spans="7:14" x14ac:dyDescent="0.3">
      <c r="G29430" s="1"/>
      <c r="N29430" s="1"/>
    </row>
    <row r="29431" spans="7:14" x14ac:dyDescent="0.3">
      <c r="G29431" s="1"/>
      <c r="N29431" s="1"/>
    </row>
    <row r="29432" spans="7:14" x14ac:dyDescent="0.3">
      <c r="G29432" s="1"/>
      <c r="N29432" s="1"/>
    </row>
    <row r="29433" spans="7:14" x14ac:dyDescent="0.3">
      <c r="G29433" s="1"/>
      <c r="N29433" s="1"/>
    </row>
    <row r="29434" spans="7:14" x14ac:dyDescent="0.3">
      <c r="G29434" s="1"/>
      <c r="N29434" s="1"/>
    </row>
    <row r="29435" spans="7:14" x14ac:dyDescent="0.3">
      <c r="G29435" s="1"/>
      <c r="N29435" s="1"/>
    </row>
    <row r="29436" spans="7:14" x14ac:dyDescent="0.3">
      <c r="G29436" s="1"/>
      <c r="N29436" s="1"/>
    </row>
    <row r="29437" spans="7:14" x14ac:dyDescent="0.3">
      <c r="G29437" s="1"/>
      <c r="N29437" s="1"/>
    </row>
    <row r="29438" spans="7:14" x14ac:dyDescent="0.3">
      <c r="G29438" s="1"/>
      <c r="N29438" s="1"/>
    </row>
    <row r="29439" spans="7:14" x14ac:dyDescent="0.3">
      <c r="G29439" s="1"/>
      <c r="N29439" s="1"/>
    </row>
    <row r="29440" spans="7:14" x14ac:dyDescent="0.3">
      <c r="G29440" s="1"/>
      <c r="N29440" s="1"/>
    </row>
    <row r="29441" spans="7:14" x14ac:dyDescent="0.3">
      <c r="G29441" s="1"/>
      <c r="N29441" s="1"/>
    </row>
    <row r="29442" spans="7:14" x14ac:dyDescent="0.3">
      <c r="G29442" s="1"/>
      <c r="N29442" s="1"/>
    </row>
    <row r="29443" spans="7:14" x14ac:dyDescent="0.3">
      <c r="G29443" s="1"/>
      <c r="N29443" s="1"/>
    </row>
    <row r="29444" spans="7:14" x14ac:dyDescent="0.3">
      <c r="G29444" s="1"/>
      <c r="N29444" s="1"/>
    </row>
    <row r="29445" spans="7:14" x14ac:dyDescent="0.3">
      <c r="G29445" s="1"/>
      <c r="N29445" s="1"/>
    </row>
    <row r="29446" spans="7:14" x14ac:dyDescent="0.3">
      <c r="G29446" s="1"/>
      <c r="N29446" s="1"/>
    </row>
    <row r="29447" spans="7:14" x14ac:dyDescent="0.3">
      <c r="G29447" s="1"/>
      <c r="N29447" s="1"/>
    </row>
    <row r="29448" spans="7:14" x14ac:dyDescent="0.3">
      <c r="G29448" s="1"/>
      <c r="N29448" s="1"/>
    </row>
    <row r="29449" spans="7:14" x14ac:dyDescent="0.3">
      <c r="G29449" s="1"/>
      <c r="N29449" s="1"/>
    </row>
    <row r="29450" spans="7:14" x14ac:dyDescent="0.3">
      <c r="G29450" s="1"/>
      <c r="N29450" s="1"/>
    </row>
    <row r="29451" spans="7:14" x14ac:dyDescent="0.3">
      <c r="G29451" s="1"/>
      <c r="N29451" s="1"/>
    </row>
    <row r="29452" spans="7:14" x14ac:dyDescent="0.3">
      <c r="G29452" s="1"/>
      <c r="N29452" s="1"/>
    </row>
    <row r="29453" spans="7:14" x14ac:dyDescent="0.3">
      <c r="G29453" s="1"/>
      <c r="N29453" s="1"/>
    </row>
    <row r="29454" spans="7:14" x14ac:dyDescent="0.3">
      <c r="G29454" s="1"/>
      <c r="N29454" s="1"/>
    </row>
    <row r="29455" spans="7:14" x14ac:dyDescent="0.3">
      <c r="G29455" s="1"/>
      <c r="N29455" s="1"/>
    </row>
    <row r="29456" spans="7:14" x14ac:dyDescent="0.3">
      <c r="G29456" s="1"/>
      <c r="N29456" s="1"/>
    </row>
    <row r="29457" spans="7:14" x14ac:dyDescent="0.3">
      <c r="G29457" s="1"/>
      <c r="N29457" s="1"/>
    </row>
    <row r="29458" spans="7:14" x14ac:dyDescent="0.3">
      <c r="G29458" s="1"/>
      <c r="N29458" s="1"/>
    </row>
    <row r="29459" spans="7:14" x14ac:dyDescent="0.3">
      <c r="G29459" s="1"/>
      <c r="N29459" s="1"/>
    </row>
    <row r="29460" spans="7:14" x14ac:dyDescent="0.3">
      <c r="G29460" s="1"/>
      <c r="N29460" s="1"/>
    </row>
    <row r="29461" spans="7:14" x14ac:dyDescent="0.3">
      <c r="G29461" s="1"/>
      <c r="N29461" s="1"/>
    </row>
    <row r="29462" spans="7:14" x14ac:dyDescent="0.3">
      <c r="G29462" s="1"/>
      <c r="N29462" s="1"/>
    </row>
    <row r="29463" spans="7:14" x14ac:dyDescent="0.3">
      <c r="G29463" s="1"/>
      <c r="N29463" s="1"/>
    </row>
    <row r="29464" spans="7:14" x14ac:dyDescent="0.3">
      <c r="G29464" s="1"/>
      <c r="N29464" s="1"/>
    </row>
    <row r="29465" spans="7:14" x14ac:dyDescent="0.3">
      <c r="G29465" s="1"/>
      <c r="N29465" s="1"/>
    </row>
    <row r="29466" spans="7:14" x14ac:dyDescent="0.3">
      <c r="G29466" s="1"/>
      <c r="N29466" s="1"/>
    </row>
    <row r="29467" spans="7:14" x14ac:dyDescent="0.3">
      <c r="G29467" s="1"/>
      <c r="N29467" s="1"/>
    </row>
    <row r="29468" spans="7:14" x14ac:dyDescent="0.3">
      <c r="G29468" s="1"/>
      <c r="N29468" s="1"/>
    </row>
    <row r="29469" spans="7:14" x14ac:dyDescent="0.3">
      <c r="G29469" s="1"/>
      <c r="N29469" s="1"/>
    </row>
    <row r="29470" spans="7:14" x14ac:dyDescent="0.3">
      <c r="G29470" s="1"/>
      <c r="N29470" s="1"/>
    </row>
    <row r="29471" spans="7:14" x14ac:dyDescent="0.3">
      <c r="G29471" s="1"/>
      <c r="N29471" s="1"/>
    </row>
    <row r="29472" spans="7:14" x14ac:dyDescent="0.3">
      <c r="G29472" s="1"/>
      <c r="N29472" s="1"/>
    </row>
    <row r="29473" spans="7:14" x14ac:dyDescent="0.3">
      <c r="G29473" s="1"/>
      <c r="N29473" s="1"/>
    </row>
    <row r="29474" spans="7:14" x14ac:dyDescent="0.3">
      <c r="G29474" s="1"/>
      <c r="N29474" s="1"/>
    </row>
    <row r="29475" spans="7:14" x14ac:dyDescent="0.3">
      <c r="G29475" s="1"/>
      <c r="N29475" s="1"/>
    </row>
    <row r="29476" spans="7:14" x14ac:dyDescent="0.3">
      <c r="G29476" s="1"/>
      <c r="N29476" s="1"/>
    </row>
    <row r="29477" spans="7:14" x14ac:dyDescent="0.3">
      <c r="G29477" s="1"/>
      <c r="N29477" s="1"/>
    </row>
    <row r="29478" spans="7:14" x14ac:dyDescent="0.3">
      <c r="G29478" s="1"/>
      <c r="N29478" s="1"/>
    </row>
    <row r="29479" spans="7:14" x14ac:dyDescent="0.3">
      <c r="G29479" s="1"/>
      <c r="N29479" s="1"/>
    </row>
    <row r="29480" spans="7:14" x14ac:dyDescent="0.3">
      <c r="G29480" s="1"/>
      <c r="N29480" s="1"/>
    </row>
    <row r="29481" spans="7:14" x14ac:dyDescent="0.3">
      <c r="G29481" s="1"/>
      <c r="N29481" s="1"/>
    </row>
    <row r="29482" spans="7:14" x14ac:dyDescent="0.3">
      <c r="G29482" s="1"/>
      <c r="N29482" s="1"/>
    </row>
    <row r="29483" spans="7:14" x14ac:dyDescent="0.3">
      <c r="G29483" s="1"/>
      <c r="N29483" s="1"/>
    </row>
    <row r="29484" spans="7:14" x14ac:dyDescent="0.3">
      <c r="G29484" s="1"/>
      <c r="N29484" s="1"/>
    </row>
    <row r="29485" spans="7:14" x14ac:dyDescent="0.3">
      <c r="G29485" s="1"/>
      <c r="N29485" s="1"/>
    </row>
    <row r="29486" spans="7:14" x14ac:dyDescent="0.3">
      <c r="G29486" s="1"/>
      <c r="N29486" s="1"/>
    </row>
    <row r="29487" spans="7:14" x14ac:dyDescent="0.3">
      <c r="G29487" s="1"/>
      <c r="N29487" s="1"/>
    </row>
    <row r="29488" spans="7:14" x14ac:dyDescent="0.3">
      <c r="G29488" s="1"/>
      <c r="N29488" s="1"/>
    </row>
    <row r="29489" spans="7:14" x14ac:dyDescent="0.3">
      <c r="G29489" s="1"/>
      <c r="N29489" s="1"/>
    </row>
    <row r="29490" spans="7:14" x14ac:dyDescent="0.3">
      <c r="G29490" s="1"/>
      <c r="N29490" s="1"/>
    </row>
    <row r="29491" spans="7:14" x14ac:dyDescent="0.3">
      <c r="G29491" s="1"/>
      <c r="N29491" s="1"/>
    </row>
    <row r="29492" spans="7:14" x14ac:dyDescent="0.3">
      <c r="G29492" s="1"/>
      <c r="N29492" s="1"/>
    </row>
    <row r="29493" spans="7:14" x14ac:dyDescent="0.3">
      <c r="G29493" s="1"/>
      <c r="N29493" s="1"/>
    </row>
    <row r="29494" spans="7:14" x14ac:dyDescent="0.3">
      <c r="G29494" s="1"/>
      <c r="N29494" s="1"/>
    </row>
    <row r="29495" spans="7:14" x14ac:dyDescent="0.3">
      <c r="G29495" s="1"/>
      <c r="N29495" s="1"/>
    </row>
    <row r="29496" spans="7:14" x14ac:dyDescent="0.3">
      <c r="G29496" s="1"/>
      <c r="N29496" s="1"/>
    </row>
    <row r="29497" spans="7:14" x14ac:dyDescent="0.3">
      <c r="G29497" s="1"/>
      <c r="N29497" s="1"/>
    </row>
    <row r="29498" spans="7:14" x14ac:dyDescent="0.3">
      <c r="G29498" s="1"/>
      <c r="N29498" s="1"/>
    </row>
    <row r="29499" spans="7:14" x14ac:dyDescent="0.3">
      <c r="G29499" s="1"/>
      <c r="N29499" s="1"/>
    </row>
    <row r="29500" spans="7:14" x14ac:dyDescent="0.3">
      <c r="G29500" s="1"/>
      <c r="N29500" s="1"/>
    </row>
    <row r="29501" spans="7:14" x14ac:dyDescent="0.3">
      <c r="G29501" s="1"/>
      <c r="N29501" s="1"/>
    </row>
    <row r="29502" spans="7:14" x14ac:dyDescent="0.3">
      <c r="G29502" s="1"/>
      <c r="N29502" s="1"/>
    </row>
    <row r="29503" spans="7:14" x14ac:dyDescent="0.3">
      <c r="G29503" s="1"/>
      <c r="N29503" s="1"/>
    </row>
    <row r="29504" spans="7:14" x14ac:dyDescent="0.3">
      <c r="G29504" s="1"/>
      <c r="N29504" s="1"/>
    </row>
    <row r="29505" spans="7:14" x14ac:dyDescent="0.3">
      <c r="G29505" s="1"/>
      <c r="N29505" s="1"/>
    </row>
    <row r="29506" spans="7:14" x14ac:dyDescent="0.3">
      <c r="G29506" s="1"/>
      <c r="N29506" s="1"/>
    </row>
    <row r="29507" spans="7:14" x14ac:dyDescent="0.3">
      <c r="G29507" s="1"/>
      <c r="N29507" s="1"/>
    </row>
    <row r="29508" spans="7:14" x14ac:dyDescent="0.3">
      <c r="G29508" s="1"/>
      <c r="N29508" s="1"/>
    </row>
    <row r="29509" spans="7:14" x14ac:dyDescent="0.3">
      <c r="G29509" s="1"/>
      <c r="N29509" s="1"/>
    </row>
    <row r="29510" spans="7:14" x14ac:dyDescent="0.3">
      <c r="G29510" s="1"/>
      <c r="N29510" s="1"/>
    </row>
    <row r="29511" spans="7:14" x14ac:dyDescent="0.3">
      <c r="G29511" s="1"/>
      <c r="N29511" s="1"/>
    </row>
    <row r="29512" spans="7:14" x14ac:dyDescent="0.3">
      <c r="G29512" s="1"/>
      <c r="N29512" s="1"/>
    </row>
    <row r="29513" spans="7:14" x14ac:dyDescent="0.3">
      <c r="G29513" s="1"/>
      <c r="N29513" s="1"/>
    </row>
    <row r="29514" spans="7:14" x14ac:dyDescent="0.3">
      <c r="G29514" s="1"/>
      <c r="N29514" s="1"/>
    </row>
    <row r="29515" spans="7:14" x14ac:dyDescent="0.3">
      <c r="G29515" s="1"/>
      <c r="N29515" s="1"/>
    </row>
    <row r="29516" spans="7:14" x14ac:dyDescent="0.3">
      <c r="G29516" s="1"/>
      <c r="N29516" s="1"/>
    </row>
    <row r="29517" spans="7:14" x14ac:dyDescent="0.3">
      <c r="G29517" s="1"/>
      <c r="N29517" s="1"/>
    </row>
    <row r="29518" spans="7:14" x14ac:dyDescent="0.3">
      <c r="G29518" s="1"/>
      <c r="N29518" s="1"/>
    </row>
    <row r="29519" spans="7:14" x14ac:dyDescent="0.3">
      <c r="G29519" s="1"/>
      <c r="N29519" s="1"/>
    </row>
    <row r="29520" spans="7:14" x14ac:dyDescent="0.3">
      <c r="G29520" s="1"/>
      <c r="N29520" s="1"/>
    </row>
    <row r="29521" spans="7:14" x14ac:dyDescent="0.3">
      <c r="G29521" s="1"/>
      <c r="N29521" s="1"/>
    </row>
    <row r="29522" spans="7:14" x14ac:dyDescent="0.3">
      <c r="G29522" s="1"/>
      <c r="N29522" s="1"/>
    </row>
    <row r="29523" spans="7:14" x14ac:dyDescent="0.3">
      <c r="G29523" s="1"/>
      <c r="N29523" s="1"/>
    </row>
    <row r="29524" spans="7:14" x14ac:dyDescent="0.3">
      <c r="G29524" s="1"/>
      <c r="N29524" s="1"/>
    </row>
    <row r="29525" spans="7:14" x14ac:dyDescent="0.3">
      <c r="G29525" s="1"/>
      <c r="N29525" s="1"/>
    </row>
    <row r="29526" spans="7:14" x14ac:dyDescent="0.3">
      <c r="G29526" s="1"/>
      <c r="N29526" s="1"/>
    </row>
    <row r="29527" spans="7:14" x14ac:dyDescent="0.3">
      <c r="G29527" s="1"/>
      <c r="N29527" s="1"/>
    </row>
    <row r="29528" spans="7:14" x14ac:dyDescent="0.3">
      <c r="G29528" s="1"/>
      <c r="N29528" s="1"/>
    </row>
    <row r="29529" spans="7:14" x14ac:dyDescent="0.3">
      <c r="G29529" s="1"/>
      <c r="N29529" s="1"/>
    </row>
    <row r="29530" spans="7:14" x14ac:dyDescent="0.3">
      <c r="G29530" s="1"/>
      <c r="N29530" s="1"/>
    </row>
    <row r="29531" spans="7:14" x14ac:dyDescent="0.3">
      <c r="G29531" s="1"/>
      <c r="N29531" s="1"/>
    </row>
    <row r="29532" spans="7:14" x14ac:dyDescent="0.3">
      <c r="G29532" s="1"/>
      <c r="N29532" s="1"/>
    </row>
    <row r="29533" spans="7:14" x14ac:dyDescent="0.3">
      <c r="G29533" s="1"/>
      <c r="N29533" s="1"/>
    </row>
    <row r="29534" spans="7:14" x14ac:dyDescent="0.3">
      <c r="G29534" s="1"/>
      <c r="N29534" s="1"/>
    </row>
    <row r="29535" spans="7:14" x14ac:dyDescent="0.3">
      <c r="G29535" s="1"/>
      <c r="N29535" s="1"/>
    </row>
    <row r="29536" spans="7:14" x14ac:dyDescent="0.3">
      <c r="G29536" s="1"/>
      <c r="N29536" s="1"/>
    </row>
    <row r="29537" spans="7:14" x14ac:dyDescent="0.3">
      <c r="G29537" s="1"/>
      <c r="N29537" s="1"/>
    </row>
    <row r="29538" spans="7:14" x14ac:dyDescent="0.3">
      <c r="G29538" s="1"/>
      <c r="N29538" s="1"/>
    </row>
    <row r="29539" spans="7:14" x14ac:dyDescent="0.3">
      <c r="G29539" s="1"/>
      <c r="N29539" s="1"/>
    </row>
    <row r="29540" spans="7:14" x14ac:dyDescent="0.3">
      <c r="G29540" s="1"/>
      <c r="N29540" s="1"/>
    </row>
    <row r="29541" spans="7:14" x14ac:dyDescent="0.3">
      <c r="G29541" s="1"/>
      <c r="N29541" s="1"/>
    </row>
    <row r="29542" spans="7:14" x14ac:dyDescent="0.3">
      <c r="G29542" s="1"/>
      <c r="N29542" s="1"/>
    </row>
    <row r="29543" spans="7:14" x14ac:dyDescent="0.3">
      <c r="G29543" s="1"/>
      <c r="N29543" s="1"/>
    </row>
    <row r="29544" spans="7:14" x14ac:dyDescent="0.3">
      <c r="G29544" s="1"/>
      <c r="N29544" s="1"/>
    </row>
    <row r="29545" spans="7:14" x14ac:dyDescent="0.3">
      <c r="G29545" s="1"/>
      <c r="N29545" s="1"/>
    </row>
    <row r="29546" spans="7:14" x14ac:dyDescent="0.3">
      <c r="G29546" s="1"/>
      <c r="N29546" s="1"/>
    </row>
    <row r="29547" spans="7:14" x14ac:dyDescent="0.3">
      <c r="G29547" s="1"/>
      <c r="N29547" s="1"/>
    </row>
    <row r="29548" spans="7:14" x14ac:dyDescent="0.3">
      <c r="G29548" s="1"/>
      <c r="N29548" s="1"/>
    </row>
    <row r="29549" spans="7:14" x14ac:dyDescent="0.3">
      <c r="G29549" s="1"/>
      <c r="N29549" s="1"/>
    </row>
    <row r="29550" spans="7:14" x14ac:dyDescent="0.3">
      <c r="G29550" s="1"/>
      <c r="N29550" s="1"/>
    </row>
    <row r="29551" spans="7:14" x14ac:dyDescent="0.3">
      <c r="G29551" s="1"/>
      <c r="N29551" s="1"/>
    </row>
    <row r="29552" spans="7:14" x14ac:dyDescent="0.3">
      <c r="G29552" s="1"/>
      <c r="N29552" s="1"/>
    </row>
    <row r="29553" spans="7:14" x14ac:dyDescent="0.3">
      <c r="G29553" s="1"/>
      <c r="N29553" s="1"/>
    </row>
    <row r="29554" spans="7:14" x14ac:dyDescent="0.3">
      <c r="G29554" s="1"/>
      <c r="N29554" s="1"/>
    </row>
    <row r="29555" spans="7:14" x14ac:dyDescent="0.3">
      <c r="G29555" s="1"/>
      <c r="N29555" s="1"/>
    </row>
    <row r="29556" spans="7:14" x14ac:dyDescent="0.3">
      <c r="G29556" s="1"/>
      <c r="N29556" s="1"/>
    </row>
    <row r="29557" spans="7:14" x14ac:dyDescent="0.3">
      <c r="G29557" s="1"/>
      <c r="N29557" s="1"/>
    </row>
    <row r="29558" spans="7:14" x14ac:dyDescent="0.3">
      <c r="G29558" s="1"/>
      <c r="N29558" s="1"/>
    </row>
    <row r="29559" spans="7:14" x14ac:dyDescent="0.3">
      <c r="G29559" s="1"/>
      <c r="N29559" s="1"/>
    </row>
    <row r="29560" spans="7:14" x14ac:dyDescent="0.3">
      <c r="G29560" s="1"/>
      <c r="N29560" s="1"/>
    </row>
    <row r="29561" spans="7:14" x14ac:dyDescent="0.3">
      <c r="G29561" s="1"/>
      <c r="N29561" s="1"/>
    </row>
    <row r="29562" spans="7:14" x14ac:dyDescent="0.3">
      <c r="G29562" s="1"/>
      <c r="N29562" s="1"/>
    </row>
    <row r="29563" spans="7:14" x14ac:dyDescent="0.3">
      <c r="G29563" s="1"/>
      <c r="N29563" s="1"/>
    </row>
    <row r="29564" spans="7:14" x14ac:dyDescent="0.3">
      <c r="G29564" s="1"/>
      <c r="N29564" s="1"/>
    </row>
    <row r="29565" spans="7:14" x14ac:dyDescent="0.3">
      <c r="G29565" s="1"/>
      <c r="N29565" s="1"/>
    </row>
    <row r="29566" spans="7:14" x14ac:dyDescent="0.3">
      <c r="G29566" s="1"/>
      <c r="N29566" s="1"/>
    </row>
    <row r="29567" spans="7:14" x14ac:dyDescent="0.3">
      <c r="G29567" s="1"/>
      <c r="N29567" s="1"/>
    </row>
    <row r="29568" spans="7:14" x14ac:dyDescent="0.3">
      <c r="G29568" s="1"/>
      <c r="N29568" s="1"/>
    </row>
    <row r="29569" spans="7:14" x14ac:dyDescent="0.3">
      <c r="G29569" s="1"/>
      <c r="N29569" s="1"/>
    </row>
    <row r="29570" spans="7:14" x14ac:dyDescent="0.3">
      <c r="G29570" s="1"/>
      <c r="N29570" s="1"/>
    </row>
    <row r="29571" spans="7:14" x14ac:dyDescent="0.3">
      <c r="G29571" s="1"/>
      <c r="N29571" s="1"/>
    </row>
    <row r="29572" spans="7:14" x14ac:dyDescent="0.3">
      <c r="G29572" s="1"/>
      <c r="N29572" s="1"/>
    </row>
    <row r="29573" spans="7:14" x14ac:dyDescent="0.3">
      <c r="G29573" s="1"/>
      <c r="N29573" s="1"/>
    </row>
    <row r="29574" spans="7:14" x14ac:dyDescent="0.3">
      <c r="G29574" s="1"/>
      <c r="N29574" s="1"/>
    </row>
    <row r="29575" spans="7:14" x14ac:dyDescent="0.3">
      <c r="G29575" s="1"/>
      <c r="N29575" s="1"/>
    </row>
    <row r="29576" spans="7:14" x14ac:dyDescent="0.3">
      <c r="G29576" s="1"/>
      <c r="N29576" s="1"/>
    </row>
    <row r="29577" spans="7:14" x14ac:dyDescent="0.3">
      <c r="G29577" s="1"/>
      <c r="N29577" s="1"/>
    </row>
    <row r="29578" spans="7:14" x14ac:dyDescent="0.3">
      <c r="G29578" s="1"/>
      <c r="N29578" s="1"/>
    </row>
    <row r="29579" spans="7:14" x14ac:dyDescent="0.3">
      <c r="G29579" s="1"/>
      <c r="N29579" s="1"/>
    </row>
    <row r="29580" spans="7:14" x14ac:dyDescent="0.3">
      <c r="G29580" s="1"/>
      <c r="N29580" s="1"/>
    </row>
    <row r="29581" spans="7:14" x14ac:dyDescent="0.3">
      <c r="G29581" s="1"/>
      <c r="N29581" s="1"/>
    </row>
    <row r="29582" spans="7:14" x14ac:dyDescent="0.3">
      <c r="G29582" s="1"/>
      <c r="N29582" s="1"/>
    </row>
    <row r="29583" spans="7:14" x14ac:dyDescent="0.3">
      <c r="G29583" s="1"/>
      <c r="N29583" s="1"/>
    </row>
    <row r="29584" spans="7:14" x14ac:dyDescent="0.3">
      <c r="G29584" s="1"/>
      <c r="N29584" s="1"/>
    </row>
    <row r="29585" spans="7:14" x14ac:dyDescent="0.3">
      <c r="G29585" s="1"/>
      <c r="N29585" s="1"/>
    </row>
    <row r="29586" spans="7:14" x14ac:dyDescent="0.3">
      <c r="G29586" s="1"/>
      <c r="N29586" s="1"/>
    </row>
    <row r="29587" spans="7:14" x14ac:dyDescent="0.3">
      <c r="G29587" s="1"/>
      <c r="N29587" s="1"/>
    </row>
    <row r="29588" spans="7:14" x14ac:dyDescent="0.3">
      <c r="G29588" s="1"/>
      <c r="N29588" s="1"/>
    </row>
    <row r="29589" spans="7:14" x14ac:dyDescent="0.3">
      <c r="G29589" s="1"/>
      <c r="N29589" s="1"/>
    </row>
    <row r="29590" spans="7:14" x14ac:dyDescent="0.3">
      <c r="G29590" s="1"/>
      <c r="N29590" s="1"/>
    </row>
    <row r="29591" spans="7:14" x14ac:dyDescent="0.3">
      <c r="G29591" s="1"/>
      <c r="N29591" s="1"/>
    </row>
    <row r="29592" spans="7:14" x14ac:dyDescent="0.3">
      <c r="G29592" s="1"/>
      <c r="N29592" s="1"/>
    </row>
    <row r="29593" spans="7:14" x14ac:dyDescent="0.3">
      <c r="G29593" s="1"/>
      <c r="N29593" s="1"/>
    </row>
    <row r="29594" spans="7:14" x14ac:dyDescent="0.3">
      <c r="G29594" s="1"/>
      <c r="N29594" s="1"/>
    </row>
    <row r="29595" spans="7:14" x14ac:dyDescent="0.3">
      <c r="G29595" s="1"/>
      <c r="N29595" s="1"/>
    </row>
    <row r="29596" spans="7:14" x14ac:dyDescent="0.3">
      <c r="G29596" s="1"/>
      <c r="N29596" s="1"/>
    </row>
    <row r="29597" spans="7:14" x14ac:dyDescent="0.3">
      <c r="G29597" s="1"/>
      <c r="N29597" s="1"/>
    </row>
    <row r="29598" spans="7:14" x14ac:dyDescent="0.3">
      <c r="G29598" s="1"/>
      <c r="N29598" s="1"/>
    </row>
    <row r="29599" spans="7:14" x14ac:dyDescent="0.3">
      <c r="G29599" s="1"/>
      <c r="N29599" s="1"/>
    </row>
    <row r="29600" spans="7:14" x14ac:dyDescent="0.3">
      <c r="G29600" s="1"/>
      <c r="N29600" s="1"/>
    </row>
    <row r="29601" spans="7:14" x14ac:dyDescent="0.3">
      <c r="G29601" s="1"/>
      <c r="N29601" s="1"/>
    </row>
    <row r="29602" spans="7:14" x14ac:dyDescent="0.3">
      <c r="G29602" s="1"/>
      <c r="N29602" s="1"/>
    </row>
    <row r="29603" spans="7:14" x14ac:dyDescent="0.3">
      <c r="G29603" s="1"/>
      <c r="N29603" s="1"/>
    </row>
    <row r="29604" spans="7:14" x14ac:dyDescent="0.3">
      <c r="G29604" s="1"/>
      <c r="N29604" s="1"/>
    </row>
    <row r="29605" spans="7:14" x14ac:dyDescent="0.3">
      <c r="G29605" s="1"/>
      <c r="N29605" s="1"/>
    </row>
    <row r="29606" spans="7:14" x14ac:dyDescent="0.3">
      <c r="G29606" s="1"/>
      <c r="N29606" s="1"/>
    </row>
    <row r="29607" spans="7:14" x14ac:dyDescent="0.3">
      <c r="G29607" s="1"/>
      <c r="N29607" s="1"/>
    </row>
    <row r="29608" spans="7:14" x14ac:dyDescent="0.3">
      <c r="G29608" s="1"/>
      <c r="N29608" s="1"/>
    </row>
    <row r="29609" spans="7:14" x14ac:dyDescent="0.3">
      <c r="G29609" s="1"/>
      <c r="N29609" s="1"/>
    </row>
    <row r="29610" spans="7:14" x14ac:dyDescent="0.3">
      <c r="G29610" s="1"/>
      <c r="N29610" s="1"/>
    </row>
    <row r="29611" spans="7:14" x14ac:dyDescent="0.3">
      <c r="G29611" s="1"/>
      <c r="N29611" s="1"/>
    </row>
    <row r="29612" spans="7:14" x14ac:dyDescent="0.3">
      <c r="G29612" s="1"/>
      <c r="N29612" s="1"/>
    </row>
    <row r="29613" spans="7:14" x14ac:dyDescent="0.3">
      <c r="G29613" s="1"/>
      <c r="N29613" s="1"/>
    </row>
    <row r="29614" spans="7:14" x14ac:dyDescent="0.3">
      <c r="G29614" s="1"/>
      <c r="N29614" s="1"/>
    </row>
    <row r="29615" spans="7:14" x14ac:dyDescent="0.3">
      <c r="G29615" s="1"/>
      <c r="N29615" s="1"/>
    </row>
    <row r="29616" spans="7:14" x14ac:dyDescent="0.3">
      <c r="G29616" s="1"/>
      <c r="N29616" s="1"/>
    </row>
    <row r="29617" spans="7:14" x14ac:dyDescent="0.3">
      <c r="G29617" s="1"/>
      <c r="N29617" s="1"/>
    </row>
    <row r="29618" spans="7:14" x14ac:dyDescent="0.3">
      <c r="G29618" s="1"/>
      <c r="N29618" s="1"/>
    </row>
    <row r="29619" spans="7:14" x14ac:dyDescent="0.3">
      <c r="G29619" s="1"/>
      <c r="N29619" s="1"/>
    </row>
    <row r="29620" spans="7:14" x14ac:dyDescent="0.3">
      <c r="G29620" s="1"/>
      <c r="N29620" s="1"/>
    </row>
    <row r="29621" spans="7:14" x14ac:dyDescent="0.3">
      <c r="G29621" s="1"/>
      <c r="N29621" s="1"/>
    </row>
    <row r="29622" spans="7:14" x14ac:dyDescent="0.3">
      <c r="G29622" s="1"/>
      <c r="N29622" s="1"/>
    </row>
    <row r="29623" spans="7:14" x14ac:dyDescent="0.3">
      <c r="G29623" s="1"/>
      <c r="N29623" s="1"/>
    </row>
    <row r="29624" spans="7:14" x14ac:dyDescent="0.3">
      <c r="G29624" s="1"/>
      <c r="N29624" s="1"/>
    </row>
    <row r="29625" spans="7:14" x14ac:dyDescent="0.3">
      <c r="G29625" s="1"/>
      <c r="N29625" s="1"/>
    </row>
    <row r="29626" spans="7:14" x14ac:dyDescent="0.3">
      <c r="G29626" s="1"/>
      <c r="N29626" s="1"/>
    </row>
    <row r="29627" spans="7:14" x14ac:dyDescent="0.3">
      <c r="G29627" s="1"/>
      <c r="N29627" s="1"/>
    </row>
    <row r="29628" spans="7:14" x14ac:dyDescent="0.3">
      <c r="G29628" s="1"/>
      <c r="N29628" s="1"/>
    </row>
    <row r="29629" spans="7:14" x14ac:dyDescent="0.3">
      <c r="G29629" s="1"/>
      <c r="N29629" s="1"/>
    </row>
    <row r="29630" spans="7:14" x14ac:dyDescent="0.3">
      <c r="G29630" s="1"/>
      <c r="N29630" s="1"/>
    </row>
    <row r="29631" spans="7:14" x14ac:dyDescent="0.3">
      <c r="G29631" s="1"/>
      <c r="N29631" s="1"/>
    </row>
    <row r="29632" spans="7:14" x14ac:dyDescent="0.3">
      <c r="G29632" s="1"/>
      <c r="N29632" s="1"/>
    </row>
    <row r="29633" spans="7:14" x14ac:dyDescent="0.3">
      <c r="G29633" s="1"/>
      <c r="N29633" s="1"/>
    </row>
    <row r="29634" spans="7:14" x14ac:dyDescent="0.3">
      <c r="G29634" s="1"/>
      <c r="N29634" s="1"/>
    </row>
    <row r="29635" spans="7:14" x14ac:dyDescent="0.3">
      <c r="G29635" s="1"/>
      <c r="N29635" s="1"/>
    </row>
    <row r="29636" spans="7:14" x14ac:dyDescent="0.3">
      <c r="G29636" s="1"/>
      <c r="N29636" s="1"/>
    </row>
    <row r="29637" spans="7:14" x14ac:dyDescent="0.3">
      <c r="G29637" s="1"/>
      <c r="N29637" s="1"/>
    </row>
    <row r="29638" spans="7:14" x14ac:dyDescent="0.3">
      <c r="G29638" s="1"/>
      <c r="N29638" s="1"/>
    </row>
    <row r="29639" spans="7:14" x14ac:dyDescent="0.3">
      <c r="G29639" s="1"/>
      <c r="N29639" s="1"/>
    </row>
    <row r="29640" spans="7:14" x14ac:dyDescent="0.3">
      <c r="G29640" s="1"/>
      <c r="N29640" s="1"/>
    </row>
    <row r="29641" spans="7:14" x14ac:dyDescent="0.3">
      <c r="G29641" s="1"/>
      <c r="N29641" s="1"/>
    </row>
    <row r="29642" spans="7:14" x14ac:dyDescent="0.3">
      <c r="G29642" s="1"/>
      <c r="N29642" s="1"/>
    </row>
    <row r="29643" spans="7:14" x14ac:dyDescent="0.3">
      <c r="G29643" s="1"/>
      <c r="N29643" s="1"/>
    </row>
    <row r="29644" spans="7:14" x14ac:dyDescent="0.3">
      <c r="G29644" s="1"/>
      <c r="N29644" s="1"/>
    </row>
    <row r="29645" spans="7:14" x14ac:dyDescent="0.3">
      <c r="G29645" s="1"/>
      <c r="N29645" s="1"/>
    </row>
    <row r="29646" spans="7:14" x14ac:dyDescent="0.3">
      <c r="G29646" s="1"/>
      <c r="N29646" s="1"/>
    </row>
    <row r="29647" spans="7:14" x14ac:dyDescent="0.3">
      <c r="G29647" s="1"/>
      <c r="N29647" s="1"/>
    </row>
    <row r="29648" spans="7:14" x14ac:dyDescent="0.3">
      <c r="G29648" s="1"/>
      <c r="N29648" s="1"/>
    </row>
    <row r="29649" spans="7:14" x14ac:dyDescent="0.3">
      <c r="G29649" s="1"/>
      <c r="N29649" s="1"/>
    </row>
    <row r="29650" spans="7:14" x14ac:dyDescent="0.3">
      <c r="G29650" s="1"/>
      <c r="N29650" s="1"/>
    </row>
    <row r="29651" spans="7:14" x14ac:dyDescent="0.3">
      <c r="G29651" s="1"/>
      <c r="N29651" s="1"/>
    </row>
    <row r="29652" spans="7:14" x14ac:dyDescent="0.3">
      <c r="G29652" s="1"/>
      <c r="N29652" s="1"/>
    </row>
    <row r="29653" spans="7:14" x14ac:dyDescent="0.3">
      <c r="G29653" s="1"/>
      <c r="N29653" s="1"/>
    </row>
    <row r="29654" spans="7:14" x14ac:dyDescent="0.3">
      <c r="G29654" s="1"/>
      <c r="N29654" s="1"/>
    </row>
    <row r="29655" spans="7:14" x14ac:dyDescent="0.3">
      <c r="G29655" s="1"/>
      <c r="N29655" s="1"/>
    </row>
    <row r="29656" spans="7:14" x14ac:dyDescent="0.3">
      <c r="G29656" s="1"/>
      <c r="N29656" s="1"/>
    </row>
    <row r="29657" spans="7:14" x14ac:dyDescent="0.3">
      <c r="G29657" s="1"/>
      <c r="N29657" s="1"/>
    </row>
    <row r="29658" spans="7:14" x14ac:dyDescent="0.3">
      <c r="G29658" s="1"/>
      <c r="N29658" s="1"/>
    </row>
    <row r="29659" spans="7:14" x14ac:dyDescent="0.3">
      <c r="G29659" s="1"/>
      <c r="N29659" s="1"/>
    </row>
    <row r="29660" spans="7:14" x14ac:dyDescent="0.3">
      <c r="G29660" s="1"/>
      <c r="N29660" s="1"/>
    </row>
    <row r="29661" spans="7:14" x14ac:dyDescent="0.3">
      <c r="G29661" s="1"/>
      <c r="N29661" s="1"/>
    </row>
    <row r="29662" spans="7:14" x14ac:dyDescent="0.3">
      <c r="G29662" s="1"/>
      <c r="N29662" s="1"/>
    </row>
    <row r="29663" spans="7:14" x14ac:dyDescent="0.3">
      <c r="G29663" s="1"/>
      <c r="N29663" s="1"/>
    </row>
    <row r="29664" spans="7:14" x14ac:dyDescent="0.3">
      <c r="G29664" s="1"/>
      <c r="N29664" s="1"/>
    </row>
    <row r="29665" spans="7:14" x14ac:dyDescent="0.3">
      <c r="G29665" s="1"/>
      <c r="N29665" s="1"/>
    </row>
    <row r="29666" spans="7:14" x14ac:dyDescent="0.3">
      <c r="G29666" s="1"/>
      <c r="N29666" s="1"/>
    </row>
    <row r="29667" spans="7:14" x14ac:dyDescent="0.3">
      <c r="G29667" s="1"/>
      <c r="N29667" s="1"/>
    </row>
    <row r="29668" spans="7:14" x14ac:dyDescent="0.3">
      <c r="G29668" s="1"/>
      <c r="N29668" s="1"/>
    </row>
    <row r="29669" spans="7:14" x14ac:dyDescent="0.3">
      <c r="G29669" s="1"/>
      <c r="N29669" s="1"/>
    </row>
    <row r="29670" spans="7:14" x14ac:dyDescent="0.3">
      <c r="G29670" s="1"/>
      <c r="N29670" s="1"/>
    </row>
    <row r="29671" spans="7:14" x14ac:dyDescent="0.3">
      <c r="G29671" s="1"/>
      <c r="N29671" s="1"/>
    </row>
    <row r="29672" spans="7:14" x14ac:dyDescent="0.3">
      <c r="G29672" s="1"/>
      <c r="N29672" s="1"/>
    </row>
    <row r="29673" spans="7:14" x14ac:dyDescent="0.3">
      <c r="G29673" s="1"/>
      <c r="N29673" s="1"/>
    </row>
    <row r="29674" spans="7:14" x14ac:dyDescent="0.3">
      <c r="G29674" s="1"/>
      <c r="N29674" s="1"/>
    </row>
    <row r="29675" spans="7:14" x14ac:dyDescent="0.3">
      <c r="G29675" s="1"/>
      <c r="N29675" s="1"/>
    </row>
    <row r="29676" spans="7:14" x14ac:dyDescent="0.3">
      <c r="G29676" s="1"/>
      <c r="N29676" s="1"/>
    </row>
    <row r="29677" spans="7:14" x14ac:dyDescent="0.3">
      <c r="G29677" s="1"/>
      <c r="N29677" s="1"/>
    </row>
    <row r="29678" spans="7:14" x14ac:dyDescent="0.3">
      <c r="G29678" s="1"/>
      <c r="N29678" s="1"/>
    </row>
    <row r="29679" spans="7:14" x14ac:dyDescent="0.3">
      <c r="G29679" s="1"/>
      <c r="N29679" s="1"/>
    </row>
    <row r="29680" spans="7:14" x14ac:dyDescent="0.3">
      <c r="G29680" s="1"/>
      <c r="N29680" s="1"/>
    </row>
    <row r="29681" spans="7:14" x14ac:dyDescent="0.3">
      <c r="G29681" s="1"/>
      <c r="N29681" s="1"/>
    </row>
    <row r="29682" spans="7:14" x14ac:dyDescent="0.3">
      <c r="G29682" s="1"/>
      <c r="N29682" s="1"/>
    </row>
    <row r="29683" spans="7:14" x14ac:dyDescent="0.3">
      <c r="G29683" s="1"/>
      <c r="N29683" s="1"/>
    </row>
    <row r="29684" spans="7:14" x14ac:dyDescent="0.3">
      <c r="G29684" s="1"/>
      <c r="N29684" s="1"/>
    </row>
    <row r="29685" spans="7:14" x14ac:dyDescent="0.3">
      <c r="G29685" s="1"/>
      <c r="N29685" s="1"/>
    </row>
    <row r="29686" spans="7:14" x14ac:dyDescent="0.3">
      <c r="G29686" s="1"/>
      <c r="N29686" s="1"/>
    </row>
    <row r="29687" spans="7:14" x14ac:dyDescent="0.3">
      <c r="G29687" s="1"/>
      <c r="N29687" s="1"/>
    </row>
    <row r="29688" spans="7:14" x14ac:dyDescent="0.3">
      <c r="G29688" s="1"/>
      <c r="N29688" s="1"/>
    </row>
    <row r="29689" spans="7:14" x14ac:dyDescent="0.3">
      <c r="G29689" s="1"/>
      <c r="N29689" s="1"/>
    </row>
    <row r="29690" spans="7:14" x14ac:dyDescent="0.3">
      <c r="G29690" s="1"/>
      <c r="N29690" s="1"/>
    </row>
    <row r="29691" spans="7:14" x14ac:dyDescent="0.3">
      <c r="G29691" s="1"/>
      <c r="N29691" s="1"/>
    </row>
    <row r="29692" spans="7:14" x14ac:dyDescent="0.3">
      <c r="G29692" s="1"/>
      <c r="N29692" s="1"/>
    </row>
    <row r="29693" spans="7:14" x14ac:dyDescent="0.3">
      <c r="G29693" s="1"/>
      <c r="N29693" s="1"/>
    </row>
    <row r="29694" spans="7:14" x14ac:dyDescent="0.3">
      <c r="G29694" s="1"/>
      <c r="N29694" s="1"/>
    </row>
    <row r="29695" spans="7:14" x14ac:dyDescent="0.3">
      <c r="G29695" s="1"/>
      <c r="N29695" s="1"/>
    </row>
    <row r="29696" spans="7:14" x14ac:dyDescent="0.3">
      <c r="G29696" s="1"/>
      <c r="N29696" s="1"/>
    </row>
    <row r="29697" spans="7:14" x14ac:dyDescent="0.3">
      <c r="G29697" s="1"/>
      <c r="N29697" s="1"/>
    </row>
    <row r="29698" spans="7:14" x14ac:dyDescent="0.3">
      <c r="G29698" s="1"/>
      <c r="N29698" s="1"/>
    </row>
    <row r="29699" spans="7:14" x14ac:dyDescent="0.3">
      <c r="G29699" s="1"/>
      <c r="N29699" s="1"/>
    </row>
    <row r="29700" spans="7:14" x14ac:dyDescent="0.3">
      <c r="G29700" s="1"/>
      <c r="N29700" s="1"/>
    </row>
    <row r="29701" spans="7:14" x14ac:dyDescent="0.3">
      <c r="G29701" s="1"/>
      <c r="N29701" s="1"/>
    </row>
    <row r="29702" spans="7:14" x14ac:dyDescent="0.3">
      <c r="G29702" s="1"/>
      <c r="N29702" s="1"/>
    </row>
    <row r="29703" spans="7:14" x14ac:dyDescent="0.3">
      <c r="G29703" s="1"/>
      <c r="N29703" s="1"/>
    </row>
    <row r="29704" spans="7:14" x14ac:dyDescent="0.3">
      <c r="G29704" s="1"/>
      <c r="N29704" s="1"/>
    </row>
    <row r="29705" spans="7:14" x14ac:dyDescent="0.3">
      <c r="G29705" s="1"/>
      <c r="N29705" s="1"/>
    </row>
    <row r="29706" spans="7:14" x14ac:dyDescent="0.3">
      <c r="G29706" s="1"/>
      <c r="N29706" s="1"/>
    </row>
    <row r="29707" spans="7:14" x14ac:dyDescent="0.3">
      <c r="G29707" s="1"/>
      <c r="N29707" s="1"/>
    </row>
    <row r="29708" spans="7:14" x14ac:dyDescent="0.3">
      <c r="G29708" s="1"/>
      <c r="N29708" s="1"/>
    </row>
    <row r="29709" spans="7:14" x14ac:dyDescent="0.3">
      <c r="G29709" s="1"/>
      <c r="N29709" s="1"/>
    </row>
    <row r="29710" spans="7:14" x14ac:dyDescent="0.3">
      <c r="G29710" s="1"/>
      <c r="N29710" s="1"/>
    </row>
    <row r="29711" spans="7:14" x14ac:dyDescent="0.3">
      <c r="G29711" s="1"/>
      <c r="N29711" s="1"/>
    </row>
    <row r="29712" spans="7:14" x14ac:dyDescent="0.3">
      <c r="G29712" s="1"/>
      <c r="N29712" s="1"/>
    </row>
    <row r="29713" spans="7:14" x14ac:dyDescent="0.3">
      <c r="G29713" s="1"/>
      <c r="N29713" s="1"/>
    </row>
    <row r="29714" spans="7:14" x14ac:dyDescent="0.3">
      <c r="G29714" s="1"/>
      <c r="N29714" s="1"/>
    </row>
    <row r="29715" spans="7:14" x14ac:dyDescent="0.3">
      <c r="G29715" s="1"/>
      <c r="N29715" s="1"/>
    </row>
    <row r="29716" spans="7:14" x14ac:dyDescent="0.3">
      <c r="G29716" s="1"/>
      <c r="N29716" s="1"/>
    </row>
    <row r="29717" spans="7:14" x14ac:dyDescent="0.3">
      <c r="G29717" s="1"/>
      <c r="N29717" s="1"/>
    </row>
    <row r="29718" spans="7:14" x14ac:dyDescent="0.3">
      <c r="G29718" s="1"/>
      <c r="N29718" s="1"/>
    </row>
    <row r="29719" spans="7:14" x14ac:dyDescent="0.3">
      <c r="G29719" s="1"/>
      <c r="N29719" s="1"/>
    </row>
    <row r="29720" spans="7:14" x14ac:dyDescent="0.3">
      <c r="G29720" s="1"/>
      <c r="N29720" s="1"/>
    </row>
    <row r="29721" spans="7:14" x14ac:dyDescent="0.3">
      <c r="G29721" s="1"/>
      <c r="N29721" s="1"/>
    </row>
    <row r="29722" spans="7:14" x14ac:dyDescent="0.3">
      <c r="G29722" s="1"/>
      <c r="N29722" s="1"/>
    </row>
    <row r="29723" spans="7:14" x14ac:dyDescent="0.3">
      <c r="G29723" s="1"/>
      <c r="N29723" s="1"/>
    </row>
    <row r="29724" spans="7:14" x14ac:dyDescent="0.3">
      <c r="G29724" s="1"/>
      <c r="N29724" s="1"/>
    </row>
    <row r="29725" spans="7:14" x14ac:dyDescent="0.3">
      <c r="G29725" s="1"/>
      <c r="N29725" s="1"/>
    </row>
    <row r="29726" spans="7:14" x14ac:dyDescent="0.3">
      <c r="G29726" s="1"/>
      <c r="N29726" s="1"/>
    </row>
    <row r="29727" spans="7:14" x14ac:dyDescent="0.3">
      <c r="G29727" s="1"/>
      <c r="N29727" s="1"/>
    </row>
    <row r="29728" spans="7:14" x14ac:dyDescent="0.3">
      <c r="G29728" s="1"/>
      <c r="N29728" s="1"/>
    </row>
    <row r="29729" spans="7:14" x14ac:dyDescent="0.3">
      <c r="G29729" s="1"/>
      <c r="N29729" s="1"/>
    </row>
    <row r="29730" spans="7:14" x14ac:dyDescent="0.3">
      <c r="G29730" s="1"/>
      <c r="N29730" s="1"/>
    </row>
    <row r="29731" spans="7:14" x14ac:dyDescent="0.3">
      <c r="G29731" s="1"/>
      <c r="N29731" s="1"/>
    </row>
    <row r="29732" spans="7:14" x14ac:dyDescent="0.3">
      <c r="G29732" s="1"/>
      <c r="N29732" s="1"/>
    </row>
    <row r="29733" spans="7:14" x14ac:dyDescent="0.3">
      <c r="G29733" s="1"/>
      <c r="N29733" s="1"/>
    </row>
    <row r="29734" spans="7:14" x14ac:dyDescent="0.3">
      <c r="G29734" s="1"/>
      <c r="N29734" s="1"/>
    </row>
    <row r="29735" spans="7:14" x14ac:dyDescent="0.3">
      <c r="G29735" s="1"/>
      <c r="N29735" s="1"/>
    </row>
    <row r="29736" spans="7:14" x14ac:dyDescent="0.3">
      <c r="G29736" s="1"/>
      <c r="N29736" s="1"/>
    </row>
    <row r="29737" spans="7:14" x14ac:dyDescent="0.3">
      <c r="G29737" s="1"/>
      <c r="N29737" s="1"/>
    </row>
    <row r="29738" spans="7:14" x14ac:dyDescent="0.3">
      <c r="G29738" s="1"/>
      <c r="N29738" s="1"/>
    </row>
    <row r="29739" spans="7:14" x14ac:dyDescent="0.3">
      <c r="G29739" s="1"/>
      <c r="N29739" s="1"/>
    </row>
    <row r="29740" spans="7:14" x14ac:dyDescent="0.3">
      <c r="G29740" s="1"/>
      <c r="N29740" s="1"/>
    </row>
    <row r="29741" spans="7:14" x14ac:dyDescent="0.3">
      <c r="G29741" s="1"/>
      <c r="N29741" s="1"/>
    </row>
    <row r="29742" spans="7:14" x14ac:dyDescent="0.3">
      <c r="G29742" s="1"/>
      <c r="N29742" s="1"/>
    </row>
    <row r="29743" spans="7:14" x14ac:dyDescent="0.3">
      <c r="G29743" s="1"/>
      <c r="N29743" s="1"/>
    </row>
    <row r="29744" spans="7:14" x14ac:dyDescent="0.3">
      <c r="G29744" s="1"/>
      <c r="N29744" s="1"/>
    </row>
    <row r="29745" spans="7:14" x14ac:dyDescent="0.3">
      <c r="G29745" s="1"/>
      <c r="N29745" s="1"/>
    </row>
    <row r="29746" spans="7:14" x14ac:dyDescent="0.3">
      <c r="G29746" s="1"/>
      <c r="N29746" s="1"/>
    </row>
    <row r="29747" spans="7:14" x14ac:dyDescent="0.3">
      <c r="G29747" s="1"/>
      <c r="N29747" s="1"/>
    </row>
    <row r="29748" spans="7:14" x14ac:dyDescent="0.3">
      <c r="G29748" s="1"/>
      <c r="N29748" s="1"/>
    </row>
    <row r="29749" spans="7:14" x14ac:dyDescent="0.3">
      <c r="G29749" s="1"/>
      <c r="N29749" s="1"/>
    </row>
    <row r="29750" spans="7:14" x14ac:dyDescent="0.3">
      <c r="G29750" s="1"/>
      <c r="N29750" s="1"/>
    </row>
    <row r="29751" spans="7:14" x14ac:dyDescent="0.3">
      <c r="G29751" s="1"/>
      <c r="N29751" s="1"/>
    </row>
    <row r="29752" spans="7:14" x14ac:dyDescent="0.3">
      <c r="G29752" s="1"/>
      <c r="N29752" s="1"/>
    </row>
    <row r="29753" spans="7:14" x14ac:dyDescent="0.3">
      <c r="G29753" s="1"/>
      <c r="N29753" s="1"/>
    </row>
    <row r="29754" spans="7:14" x14ac:dyDescent="0.3">
      <c r="G29754" s="1"/>
      <c r="N29754" s="1"/>
    </row>
    <row r="29755" spans="7:14" x14ac:dyDescent="0.3">
      <c r="G29755" s="1"/>
      <c r="N29755" s="1"/>
    </row>
    <row r="29756" spans="7:14" x14ac:dyDescent="0.3">
      <c r="G29756" s="1"/>
      <c r="N29756" s="1"/>
    </row>
    <row r="29757" spans="7:14" x14ac:dyDescent="0.3">
      <c r="G29757" s="1"/>
      <c r="N29757" s="1"/>
    </row>
    <row r="29758" spans="7:14" x14ac:dyDescent="0.3">
      <c r="G29758" s="1"/>
      <c r="N29758" s="1"/>
    </row>
    <row r="29759" spans="7:14" x14ac:dyDescent="0.3">
      <c r="G29759" s="1"/>
      <c r="N29759" s="1"/>
    </row>
    <row r="29760" spans="7:14" x14ac:dyDescent="0.3">
      <c r="G29760" s="1"/>
      <c r="N29760" s="1"/>
    </row>
    <row r="29761" spans="7:14" x14ac:dyDescent="0.3">
      <c r="G29761" s="1"/>
      <c r="N29761" s="1"/>
    </row>
    <row r="29762" spans="7:14" x14ac:dyDescent="0.3">
      <c r="G29762" s="1"/>
      <c r="N29762" s="1"/>
    </row>
    <row r="29763" spans="7:14" x14ac:dyDescent="0.3">
      <c r="G29763" s="1"/>
      <c r="N29763" s="1"/>
    </row>
    <row r="29764" spans="7:14" x14ac:dyDescent="0.3">
      <c r="G29764" s="1"/>
      <c r="N29764" s="1"/>
    </row>
    <row r="29765" spans="7:14" x14ac:dyDescent="0.3">
      <c r="G29765" s="1"/>
      <c r="N29765" s="1"/>
    </row>
    <row r="29766" spans="7:14" x14ac:dyDescent="0.3">
      <c r="G29766" s="1"/>
      <c r="N29766" s="1"/>
    </row>
    <row r="29767" spans="7:14" x14ac:dyDescent="0.3">
      <c r="G29767" s="1"/>
      <c r="N29767" s="1"/>
    </row>
    <row r="29768" spans="7:14" x14ac:dyDescent="0.3">
      <c r="G29768" s="1"/>
      <c r="N29768" s="1"/>
    </row>
    <row r="29769" spans="7:14" x14ac:dyDescent="0.3">
      <c r="G29769" s="1"/>
      <c r="N29769" s="1"/>
    </row>
    <row r="29770" spans="7:14" x14ac:dyDescent="0.3">
      <c r="G29770" s="1"/>
      <c r="N29770" s="1"/>
    </row>
    <row r="29771" spans="7:14" x14ac:dyDescent="0.3">
      <c r="G29771" s="1"/>
      <c r="N29771" s="1"/>
    </row>
    <row r="29772" spans="7:14" x14ac:dyDescent="0.3">
      <c r="G29772" s="1"/>
      <c r="N29772" s="1"/>
    </row>
    <row r="29773" spans="7:14" x14ac:dyDescent="0.3">
      <c r="G29773" s="1"/>
      <c r="N29773" s="1"/>
    </row>
    <row r="29774" spans="7:14" x14ac:dyDescent="0.3">
      <c r="G29774" s="1"/>
      <c r="N29774" s="1"/>
    </row>
    <row r="29775" spans="7:14" x14ac:dyDescent="0.3">
      <c r="G29775" s="1"/>
      <c r="N29775" s="1"/>
    </row>
    <row r="29776" spans="7:14" x14ac:dyDescent="0.3">
      <c r="G29776" s="1"/>
      <c r="N29776" s="1"/>
    </row>
    <row r="29777" spans="7:14" x14ac:dyDescent="0.3">
      <c r="G29777" s="1"/>
      <c r="N29777" s="1"/>
    </row>
    <row r="29778" spans="7:14" x14ac:dyDescent="0.3">
      <c r="G29778" s="1"/>
      <c r="N29778" s="1"/>
    </row>
    <row r="29779" spans="7:14" x14ac:dyDescent="0.3">
      <c r="G29779" s="1"/>
      <c r="N29779" s="1"/>
    </row>
    <row r="29780" spans="7:14" x14ac:dyDescent="0.3">
      <c r="G29780" s="1"/>
      <c r="N29780" s="1"/>
    </row>
    <row r="29781" spans="7:14" x14ac:dyDescent="0.3">
      <c r="G29781" s="1"/>
      <c r="N29781" s="1"/>
    </row>
    <row r="29782" spans="7:14" x14ac:dyDescent="0.3">
      <c r="G29782" s="1"/>
      <c r="N29782" s="1"/>
    </row>
    <row r="29783" spans="7:14" x14ac:dyDescent="0.3">
      <c r="G29783" s="1"/>
      <c r="N29783" s="1"/>
    </row>
    <row r="29784" spans="7:14" x14ac:dyDescent="0.3">
      <c r="G29784" s="1"/>
      <c r="N29784" s="1"/>
    </row>
    <row r="29785" spans="7:14" x14ac:dyDescent="0.3">
      <c r="G29785" s="1"/>
      <c r="N29785" s="1"/>
    </row>
    <row r="29786" spans="7:14" x14ac:dyDescent="0.3">
      <c r="G29786" s="1"/>
      <c r="N29786" s="1"/>
    </row>
    <row r="29787" spans="7:14" x14ac:dyDescent="0.3">
      <c r="G29787" s="1"/>
      <c r="N29787" s="1"/>
    </row>
    <row r="29788" spans="7:14" x14ac:dyDescent="0.3">
      <c r="G29788" s="1"/>
      <c r="N29788" s="1"/>
    </row>
    <row r="29789" spans="7:14" x14ac:dyDescent="0.3">
      <c r="G29789" s="1"/>
      <c r="N29789" s="1"/>
    </row>
    <row r="29790" spans="7:14" x14ac:dyDescent="0.3">
      <c r="G29790" s="1"/>
      <c r="N29790" s="1"/>
    </row>
    <row r="29791" spans="7:14" x14ac:dyDescent="0.3">
      <c r="G29791" s="1"/>
      <c r="N29791" s="1"/>
    </row>
    <row r="29792" spans="7:14" x14ac:dyDescent="0.3">
      <c r="G29792" s="1"/>
      <c r="N29792" s="1"/>
    </row>
    <row r="29793" spans="7:14" x14ac:dyDescent="0.3">
      <c r="G29793" s="1"/>
      <c r="N29793" s="1"/>
    </row>
    <row r="29794" spans="7:14" x14ac:dyDescent="0.3">
      <c r="G29794" s="1"/>
      <c r="N29794" s="1"/>
    </row>
    <row r="29795" spans="7:14" x14ac:dyDescent="0.3">
      <c r="G29795" s="1"/>
      <c r="N29795" s="1"/>
    </row>
    <row r="29796" spans="7:14" x14ac:dyDescent="0.3">
      <c r="G29796" s="1"/>
      <c r="N29796" s="1"/>
    </row>
    <row r="29797" spans="7:14" x14ac:dyDescent="0.3">
      <c r="G29797" s="1"/>
      <c r="N29797" s="1"/>
    </row>
    <row r="29798" spans="7:14" x14ac:dyDescent="0.3">
      <c r="G29798" s="1"/>
      <c r="N29798" s="1"/>
    </row>
    <row r="29799" spans="7:14" x14ac:dyDescent="0.3">
      <c r="G29799" s="1"/>
      <c r="N29799" s="1"/>
    </row>
    <row r="29800" spans="7:14" x14ac:dyDescent="0.3">
      <c r="G29800" s="1"/>
      <c r="N29800" s="1"/>
    </row>
    <row r="29801" spans="7:14" x14ac:dyDescent="0.3">
      <c r="G29801" s="1"/>
      <c r="N29801" s="1"/>
    </row>
    <row r="29802" spans="7:14" x14ac:dyDescent="0.3">
      <c r="G29802" s="1"/>
      <c r="N29802" s="1"/>
    </row>
    <row r="29803" spans="7:14" x14ac:dyDescent="0.3">
      <c r="G29803" s="1"/>
      <c r="N29803" s="1"/>
    </row>
    <row r="29804" spans="7:14" x14ac:dyDescent="0.3">
      <c r="G29804" s="1"/>
      <c r="N29804" s="1"/>
    </row>
    <row r="29805" spans="7:14" x14ac:dyDescent="0.3">
      <c r="G29805" s="1"/>
      <c r="N29805" s="1"/>
    </row>
    <row r="29806" spans="7:14" x14ac:dyDescent="0.3">
      <c r="G29806" s="1"/>
      <c r="N29806" s="1"/>
    </row>
    <row r="29807" spans="7:14" x14ac:dyDescent="0.3">
      <c r="G29807" s="1"/>
      <c r="N29807" s="1"/>
    </row>
    <row r="29808" spans="7:14" x14ac:dyDescent="0.3">
      <c r="G29808" s="1"/>
      <c r="N29808" s="1"/>
    </row>
    <row r="29809" spans="7:14" x14ac:dyDescent="0.3">
      <c r="G29809" s="1"/>
      <c r="N29809" s="1"/>
    </row>
    <row r="29810" spans="7:14" x14ac:dyDescent="0.3">
      <c r="G29810" s="1"/>
      <c r="N29810" s="1"/>
    </row>
    <row r="29811" spans="7:14" x14ac:dyDescent="0.3">
      <c r="G29811" s="1"/>
      <c r="N29811" s="1"/>
    </row>
    <row r="29812" spans="7:14" x14ac:dyDescent="0.3">
      <c r="G29812" s="1"/>
      <c r="N29812" s="1"/>
    </row>
    <row r="29813" spans="7:14" x14ac:dyDescent="0.3">
      <c r="G29813" s="1"/>
      <c r="N29813" s="1"/>
    </row>
    <row r="29814" spans="7:14" x14ac:dyDescent="0.3">
      <c r="G29814" s="1"/>
      <c r="N29814" s="1"/>
    </row>
    <row r="29815" spans="7:14" x14ac:dyDescent="0.3">
      <c r="G29815" s="1"/>
      <c r="N29815" s="1"/>
    </row>
    <row r="29816" spans="7:14" x14ac:dyDescent="0.3">
      <c r="G29816" s="1"/>
      <c r="N29816" s="1"/>
    </row>
    <row r="29817" spans="7:14" x14ac:dyDescent="0.3">
      <c r="G29817" s="1"/>
      <c r="N29817" s="1"/>
    </row>
    <row r="29818" spans="7:14" x14ac:dyDescent="0.3">
      <c r="G29818" s="1"/>
      <c r="N29818" s="1"/>
    </row>
    <row r="29819" spans="7:14" x14ac:dyDescent="0.3">
      <c r="G29819" s="1"/>
      <c r="N29819" s="1"/>
    </row>
    <row r="29820" spans="7:14" x14ac:dyDescent="0.3">
      <c r="G29820" s="1"/>
      <c r="N29820" s="1"/>
    </row>
    <row r="29821" spans="7:14" x14ac:dyDescent="0.3">
      <c r="G29821" s="1"/>
      <c r="N29821" s="1"/>
    </row>
    <row r="29822" spans="7:14" x14ac:dyDescent="0.3">
      <c r="G29822" s="1"/>
      <c r="N29822" s="1"/>
    </row>
    <row r="29823" spans="7:14" x14ac:dyDescent="0.3">
      <c r="G29823" s="1"/>
      <c r="N29823" s="1"/>
    </row>
    <row r="29824" spans="7:14" x14ac:dyDescent="0.3">
      <c r="G29824" s="1"/>
      <c r="N29824" s="1"/>
    </row>
    <row r="29825" spans="7:14" x14ac:dyDescent="0.3">
      <c r="G29825" s="1"/>
      <c r="N29825" s="1"/>
    </row>
    <row r="29826" spans="7:14" x14ac:dyDescent="0.3">
      <c r="G29826" s="1"/>
      <c r="N29826" s="1"/>
    </row>
    <row r="29827" spans="7:14" x14ac:dyDescent="0.3">
      <c r="G29827" s="1"/>
      <c r="N29827" s="1"/>
    </row>
    <row r="29828" spans="7:14" x14ac:dyDescent="0.3">
      <c r="G29828" s="1"/>
      <c r="N29828" s="1"/>
    </row>
    <row r="29829" spans="7:14" x14ac:dyDescent="0.3">
      <c r="G29829" s="1"/>
      <c r="N29829" s="1"/>
    </row>
    <row r="29830" spans="7:14" x14ac:dyDescent="0.3">
      <c r="G29830" s="1"/>
      <c r="N29830" s="1"/>
    </row>
    <row r="29831" spans="7:14" x14ac:dyDescent="0.3">
      <c r="G29831" s="1"/>
      <c r="N29831" s="1"/>
    </row>
    <row r="29832" spans="7:14" x14ac:dyDescent="0.3">
      <c r="G29832" s="1"/>
      <c r="N29832" s="1"/>
    </row>
    <row r="29833" spans="7:14" x14ac:dyDescent="0.3">
      <c r="G29833" s="1"/>
      <c r="N29833" s="1"/>
    </row>
    <row r="29834" spans="7:14" x14ac:dyDescent="0.3">
      <c r="G29834" s="1"/>
      <c r="N29834" s="1"/>
    </row>
    <row r="29835" spans="7:14" x14ac:dyDescent="0.3">
      <c r="G29835" s="1"/>
      <c r="N29835" s="1"/>
    </row>
    <row r="29836" spans="7:14" x14ac:dyDescent="0.3">
      <c r="G29836" s="1"/>
      <c r="N29836" s="1"/>
    </row>
    <row r="29837" spans="7:14" x14ac:dyDescent="0.3">
      <c r="G29837" s="1"/>
      <c r="N29837" s="1"/>
    </row>
    <row r="29838" spans="7:14" x14ac:dyDescent="0.3">
      <c r="G29838" s="1"/>
      <c r="N29838" s="1"/>
    </row>
    <row r="29839" spans="7:14" x14ac:dyDescent="0.3">
      <c r="G29839" s="1"/>
      <c r="N29839" s="1"/>
    </row>
    <row r="29840" spans="7:14" x14ac:dyDescent="0.3">
      <c r="G29840" s="1"/>
      <c r="N29840" s="1"/>
    </row>
    <row r="29841" spans="7:14" x14ac:dyDescent="0.3">
      <c r="G29841" s="1"/>
      <c r="N29841" s="1"/>
    </row>
    <row r="29842" spans="7:14" x14ac:dyDescent="0.3">
      <c r="G29842" s="1"/>
      <c r="N29842" s="1"/>
    </row>
    <row r="29843" spans="7:14" x14ac:dyDescent="0.3">
      <c r="G29843" s="1"/>
      <c r="N29843" s="1"/>
    </row>
    <row r="29844" spans="7:14" x14ac:dyDescent="0.3">
      <c r="G29844" s="1"/>
      <c r="N29844" s="1"/>
    </row>
    <row r="29845" spans="7:14" x14ac:dyDescent="0.3">
      <c r="G29845" s="1"/>
      <c r="N29845" s="1"/>
    </row>
    <row r="29846" spans="7:14" x14ac:dyDescent="0.3">
      <c r="G29846" s="1"/>
      <c r="N29846" s="1"/>
    </row>
    <row r="29847" spans="7:14" x14ac:dyDescent="0.3">
      <c r="G29847" s="1"/>
      <c r="N29847" s="1"/>
    </row>
    <row r="29848" spans="7:14" x14ac:dyDescent="0.3">
      <c r="G29848" s="1"/>
      <c r="N29848" s="1"/>
    </row>
    <row r="29849" spans="7:14" x14ac:dyDescent="0.3">
      <c r="G29849" s="1"/>
      <c r="N29849" s="1"/>
    </row>
    <row r="29850" spans="7:14" x14ac:dyDescent="0.3">
      <c r="G29850" s="1"/>
      <c r="N29850" s="1"/>
    </row>
    <row r="29851" spans="7:14" x14ac:dyDescent="0.3">
      <c r="G29851" s="1"/>
      <c r="N29851" s="1"/>
    </row>
    <row r="29852" spans="7:14" x14ac:dyDescent="0.3">
      <c r="G29852" s="1"/>
      <c r="N29852" s="1"/>
    </row>
    <row r="29853" spans="7:14" x14ac:dyDescent="0.3">
      <c r="G29853" s="1"/>
      <c r="N29853" s="1"/>
    </row>
    <row r="29854" spans="7:14" x14ac:dyDescent="0.3">
      <c r="G29854" s="1"/>
      <c r="N29854" s="1"/>
    </row>
    <row r="29855" spans="7:14" x14ac:dyDescent="0.3">
      <c r="G29855" s="1"/>
      <c r="N29855" s="1"/>
    </row>
    <row r="29856" spans="7:14" x14ac:dyDescent="0.3">
      <c r="G29856" s="1"/>
      <c r="N29856" s="1"/>
    </row>
    <row r="29857" spans="7:14" x14ac:dyDescent="0.3">
      <c r="G29857" s="1"/>
      <c r="N29857" s="1"/>
    </row>
    <row r="29858" spans="7:14" x14ac:dyDescent="0.3">
      <c r="G29858" s="1"/>
      <c r="N29858" s="1"/>
    </row>
    <row r="29859" spans="7:14" x14ac:dyDescent="0.3">
      <c r="G29859" s="1"/>
      <c r="N29859" s="1"/>
    </row>
    <row r="29860" spans="7:14" x14ac:dyDescent="0.3">
      <c r="G29860" s="1"/>
      <c r="N29860" s="1"/>
    </row>
    <row r="29861" spans="7:14" x14ac:dyDescent="0.3">
      <c r="G29861" s="1"/>
      <c r="N29861" s="1"/>
    </row>
    <row r="29862" spans="7:14" x14ac:dyDescent="0.3">
      <c r="G29862" s="1"/>
      <c r="N29862" s="1"/>
    </row>
    <row r="29863" spans="7:14" x14ac:dyDescent="0.3">
      <c r="G29863" s="1"/>
      <c r="N29863" s="1"/>
    </row>
    <row r="29864" spans="7:14" x14ac:dyDescent="0.3">
      <c r="G29864" s="1"/>
      <c r="N29864" s="1"/>
    </row>
    <row r="29865" spans="7:14" x14ac:dyDescent="0.3">
      <c r="G29865" s="1"/>
      <c r="N29865" s="1"/>
    </row>
    <row r="29866" spans="7:14" x14ac:dyDescent="0.3">
      <c r="G29866" s="1"/>
      <c r="N29866" s="1"/>
    </row>
    <row r="29867" spans="7:14" x14ac:dyDescent="0.3">
      <c r="G29867" s="1"/>
      <c r="N29867" s="1"/>
    </row>
    <row r="29868" spans="7:14" x14ac:dyDescent="0.3">
      <c r="G29868" s="1"/>
      <c r="N29868" s="1"/>
    </row>
    <row r="29869" spans="7:14" x14ac:dyDescent="0.3">
      <c r="G29869" s="1"/>
      <c r="N29869" s="1"/>
    </row>
    <row r="29870" spans="7:14" x14ac:dyDescent="0.3">
      <c r="G29870" s="1"/>
      <c r="N29870" s="1"/>
    </row>
    <row r="29871" spans="7:14" x14ac:dyDescent="0.3">
      <c r="G29871" s="1"/>
      <c r="N29871" s="1"/>
    </row>
    <row r="29872" spans="7:14" x14ac:dyDescent="0.3">
      <c r="G29872" s="1"/>
      <c r="N29872" s="1"/>
    </row>
    <row r="29873" spans="7:14" x14ac:dyDescent="0.3">
      <c r="G29873" s="1"/>
      <c r="N29873" s="1"/>
    </row>
    <row r="29874" spans="7:14" x14ac:dyDescent="0.3">
      <c r="G29874" s="1"/>
      <c r="N29874" s="1"/>
    </row>
    <row r="29875" spans="7:14" x14ac:dyDescent="0.3">
      <c r="G29875" s="1"/>
      <c r="N29875" s="1"/>
    </row>
    <row r="29876" spans="7:14" x14ac:dyDescent="0.3">
      <c r="G29876" s="1"/>
      <c r="N29876" s="1"/>
    </row>
    <row r="29877" spans="7:14" x14ac:dyDescent="0.3">
      <c r="G29877" s="1"/>
      <c r="N29877" s="1"/>
    </row>
    <row r="29878" spans="7:14" x14ac:dyDescent="0.3">
      <c r="G29878" s="1"/>
      <c r="N29878" s="1"/>
    </row>
    <row r="29879" spans="7:14" x14ac:dyDescent="0.3">
      <c r="G29879" s="1"/>
      <c r="N29879" s="1"/>
    </row>
    <row r="29880" spans="7:14" x14ac:dyDescent="0.3">
      <c r="G29880" s="1"/>
      <c r="N29880" s="1"/>
    </row>
    <row r="29881" spans="7:14" x14ac:dyDescent="0.3">
      <c r="G29881" s="1"/>
      <c r="N29881" s="1"/>
    </row>
    <row r="29882" spans="7:14" x14ac:dyDescent="0.3">
      <c r="G29882" s="1"/>
      <c r="N29882" s="1"/>
    </row>
    <row r="29883" spans="7:14" x14ac:dyDescent="0.3">
      <c r="G29883" s="1"/>
      <c r="N29883" s="1"/>
    </row>
    <row r="29884" spans="7:14" x14ac:dyDescent="0.3">
      <c r="G29884" s="1"/>
      <c r="N29884" s="1"/>
    </row>
    <row r="29885" spans="7:14" x14ac:dyDescent="0.3">
      <c r="G29885" s="1"/>
      <c r="N29885" s="1"/>
    </row>
    <row r="29886" spans="7:14" x14ac:dyDescent="0.3">
      <c r="G29886" s="1"/>
      <c r="N29886" s="1"/>
    </row>
    <row r="29887" spans="7:14" x14ac:dyDescent="0.3">
      <c r="G29887" s="1"/>
      <c r="N29887" s="1"/>
    </row>
    <row r="29888" spans="7:14" x14ac:dyDescent="0.3">
      <c r="G29888" s="1"/>
      <c r="N29888" s="1"/>
    </row>
    <row r="29889" spans="7:14" x14ac:dyDescent="0.3">
      <c r="G29889" s="1"/>
      <c r="N29889" s="1"/>
    </row>
    <row r="29890" spans="7:14" x14ac:dyDescent="0.3">
      <c r="G29890" s="1"/>
      <c r="N29890" s="1"/>
    </row>
    <row r="29891" spans="7:14" x14ac:dyDescent="0.3">
      <c r="G29891" s="1"/>
      <c r="N29891" s="1"/>
    </row>
    <row r="29892" spans="7:14" x14ac:dyDescent="0.3">
      <c r="G29892" s="1"/>
      <c r="N29892" s="1"/>
    </row>
    <row r="29893" spans="7:14" x14ac:dyDescent="0.3">
      <c r="G29893" s="1"/>
      <c r="N29893" s="1"/>
    </row>
    <row r="29894" spans="7:14" x14ac:dyDescent="0.3">
      <c r="G29894" s="1"/>
      <c r="N29894" s="1"/>
    </row>
    <row r="29895" spans="7:14" x14ac:dyDescent="0.3">
      <c r="G29895" s="1"/>
      <c r="N29895" s="1"/>
    </row>
    <row r="29896" spans="7:14" x14ac:dyDescent="0.3">
      <c r="G29896" s="1"/>
      <c r="N29896" s="1"/>
    </row>
    <row r="29897" spans="7:14" x14ac:dyDescent="0.3">
      <c r="G29897" s="1"/>
      <c r="N29897" s="1"/>
    </row>
    <row r="29898" spans="7:14" x14ac:dyDescent="0.3">
      <c r="G29898" s="1"/>
      <c r="N29898" s="1"/>
    </row>
    <row r="29899" spans="7:14" x14ac:dyDescent="0.3">
      <c r="G29899" s="1"/>
      <c r="N29899" s="1"/>
    </row>
    <row r="29900" spans="7:14" x14ac:dyDescent="0.3">
      <c r="G29900" s="1"/>
      <c r="N29900" s="1"/>
    </row>
    <row r="29901" spans="7:14" x14ac:dyDescent="0.3">
      <c r="G29901" s="1"/>
      <c r="N29901" s="1"/>
    </row>
    <row r="29902" spans="7:14" x14ac:dyDescent="0.3">
      <c r="G29902" s="1"/>
      <c r="N29902" s="1"/>
    </row>
    <row r="29903" spans="7:14" x14ac:dyDescent="0.3">
      <c r="G29903" s="1"/>
      <c r="N29903" s="1"/>
    </row>
    <row r="29904" spans="7:14" x14ac:dyDescent="0.3">
      <c r="G29904" s="1"/>
      <c r="N29904" s="1"/>
    </row>
    <row r="29905" spans="7:14" x14ac:dyDescent="0.3">
      <c r="G29905" s="1"/>
      <c r="N29905" s="1"/>
    </row>
    <row r="29906" spans="7:14" x14ac:dyDescent="0.3">
      <c r="G29906" s="1"/>
      <c r="N29906" s="1"/>
    </row>
    <row r="29907" spans="7:14" x14ac:dyDescent="0.3">
      <c r="G29907" s="1"/>
      <c r="N29907" s="1"/>
    </row>
    <row r="29908" spans="7:14" x14ac:dyDescent="0.3">
      <c r="G29908" s="1"/>
      <c r="N29908" s="1"/>
    </row>
    <row r="29909" spans="7:14" x14ac:dyDescent="0.3">
      <c r="G29909" s="1"/>
      <c r="N29909" s="1"/>
    </row>
    <row r="29910" spans="7:14" x14ac:dyDescent="0.3">
      <c r="G29910" s="1"/>
      <c r="N29910" s="1"/>
    </row>
    <row r="29911" spans="7:14" x14ac:dyDescent="0.3">
      <c r="G29911" s="1"/>
      <c r="N29911" s="1"/>
    </row>
    <row r="29912" spans="7:14" x14ac:dyDescent="0.3">
      <c r="G29912" s="1"/>
      <c r="N29912" s="1"/>
    </row>
    <row r="29913" spans="7:14" x14ac:dyDescent="0.3">
      <c r="G29913" s="1"/>
      <c r="N29913" s="1"/>
    </row>
    <row r="29914" spans="7:14" x14ac:dyDescent="0.3">
      <c r="G29914" s="1"/>
      <c r="N29914" s="1"/>
    </row>
    <row r="29915" spans="7:14" x14ac:dyDescent="0.3">
      <c r="G29915" s="1"/>
      <c r="N29915" s="1"/>
    </row>
    <row r="29916" spans="7:14" x14ac:dyDescent="0.3">
      <c r="G29916" s="1"/>
      <c r="N29916" s="1"/>
    </row>
    <row r="29917" spans="7:14" x14ac:dyDescent="0.3">
      <c r="G29917" s="1"/>
      <c r="N29917" s="1"/>
    </row>
    <row r="29918" spans="7:14" x14ac:dyDescent="0.3">
      <c r="G29918" s="1"/>
      <c r="N29918" s="1"/>
    </row>
    <row r="29919" spans="7:14" x14ac:dyDescent="0.3">
      <c r="G29919" s="1"/>
      <c r="N29919" s="1"/>
    </row>
    <row r="29920" spans="7:14" x14ac:dyDescent="0.3">
      <c r="G29920" s="1"/>
      <c r="N29920" s="1"/>
    </row>
    <row r="29921" spans="7:14" x14ac:dyDescent="0.3">
      <c r="G29921" s="1"/>
      <c r="N29921" s="1"/>
    </row>
    <row r="29922" spans="7:14" x14ac:dyDescent="0.3">
      <c r="G29922" s="1"/>
      <c r="N29922" s="1"/>
    </row>
    <row r="29923" spans="7:14" x14ac:dyDescent="0.3">
      <c r="G29923" s="1"/>
      <c r="N29923" s="1"/>
    </row>
    <row r="29924" spans="7:14" x14ac:dyDescent="0.3">
      <c r="G29924" s="1"/>
      <c r="N29924" s="1"/>
    </row>
    <row r="29925" spans="7:14" x14ac:dyDescent="0.3">
      <c r="G29925" s="1"/>
      <c r="N29925" s="1"/>
    </row>
    <row r="29926" spans="7:14" x14ac:dyDescent="0.3">
      <c r="G29926" s="1"/>
      <c r="N29926" s="1"/>
    </row>
    <row r="29927" spans="7:14" x14ac:dyDescent="0.3">
      <c r="G29927" s="1"/>
      <c r="N29927" s="1"/>
    </row>
    <row r="29928" spans="7:14" x14ac:dyDescent="0.3">
      <c r="G29928" s="1"/>
      <c r="N29928" s="1"/>
    </row>
    <row r="29929" spans="7:14" x14ac:dyDescent="0.3">
      <c r="G29929" s="1"/>
      <c r="N29929" s="1"/>
    </row>
    <row r="29930" spans="7:14" x14ac:dyDescent="0.3">
      <c r="G29930" s="1"/>
      <c r="N29930" s="1"/>
    </row>
    <row r="29931" spans="7:14" x14ac:dyDescent="0.3">
      <c r="G29931" s="1"/>
      <c r="N29931" s="1"/>
    </row>
    <row r="29932" spans="7:14" x14ac:dyDescent="0.3">
      <c r="G29932" s="1"/>
      <c r="N29932" s="1"/>
    </row>
    <row r="29933" spans="7:14" x14ac:dyDescent="0.3">
      <c r="G29933" s="1"/>
      <c r="N29933" s="1"/>
    </row>
    <row r="29934" spans="7:14" x14ac:dyDescent="0.3">
      <c r="G29934" s="1"/>
      <c r="N29934" s="1"/>
    </row>
    <row r="29935" spans="7:14" x14ac:dyDescent="0.3">
      <c r="G29935" s="1"/>
      <c r="N29935" s="1"/>
    </row>
    <row r="29936" spans="7:14" x14ac:dyDescent="0.3">
      <c r="G29936" s="1"/>
      <c r="N29936" s="1"/>
    </row>
    <row r="29937" spans="7:14" x14ac:dyDescent="0.3">
      <c r="G29937" s="1"/>
      <c r="N29937" s="1"/>
    </row>
    <row r="29938" spans="7:14" x14ac:dyDescent="0.3">
      <c r="G29938" s="1"/>
      <c r="N29938" s="1"/>
    </row>
    <row r="29939" spans="7:14" x14ac:dyDescent="0.3">
      <c r="G29939" s="1"/>
      <c r="N29939" s="1"/>
    </row>
    <row r="29940" spans="7:14" x14ac:dyDescent="0.3">
      <c r="G29940" s="1"/>
      <c r="N29940" s="1"/>
    </row>
    <row r="29941" spans="7:14" x14ac:dyDescent="0.3">
      <c r="G29941" s="1"/>
      <c r="N29941" s="1"/>
    </row>
    <row r="29942" spans="7:14" x14ac:dyDescent="0.3">
      <c r="G29942" s="1"/>
      <c r="N29942" s="1"/>
    </row>
    <row r="29943" spans="7:14" x14ac:dyDescent="0.3">
      <c r="G29943" s="1"/>
      <c r="N29943" s="1"/>
    </row>
    <row r="29944" spans="7:14" x14ac:dyDescent="0.3">
      <c r="G29944" s="1"/>
      <c r="N29944" s="1"/>
    </row>
    <row r="29945" spans="7:14" x14ac:dyDescent="0.3">
      <c r="G29945" s="1"/>
      <c r="N29945" s="1"/>
    </row>
    <row r="29946" spans="7:14" x14ac:dyDescent="0.3">
      <c r="G29946" s="1"/>
      <c r="N29946" s="1"/>
    </row>
    <row r="29947" spans="7:14" x14ac:dyDescent="0.3">
      <c r="G29947" s="1"/>
      <c r="N29947" s="1"/>
    </row>
    <row r="29948" spans="7:14" x14ac:dyDescent="0.3">
      <c r="G29948" s="1"/>
      <c r="N29948" s="1"/>
    </row>
    <row r="29949" spans="7:14" x14ac:dyDescent="0.3">
      <c r="G29949" s="1"/>
      <c r="N29949" s="1"/>
    </row>
    <row r="29950" spans="7:14" x14ac:dyDescent="0.3">
      <c r="G29950" s="1"/>
      <c r="N29950" s="1"/>
    </row>
    <row r="29951" spans="7:14" x14ac:dyDescent="0.3">
      <c r="G29951" s="1"/>
      <c r="N29951" s="1"/>
    </row>
    <row r="29952" spans="7:14" x14ac:dyDescent="0.3">
      <c r="G29952" s="1"/>
      <c r="N29952" s="1"/>
    </row>
    <row r="29953" spans="7:14" x14ac:dyDescent="0.3">
      <c r="G29953" s="1"/>
      <c r="N29953" s="1"/>
    </row>
    <row r="29954" spans="7:14" x14ac:dyDescent="0.3">
      <c r="G29954" s="1"/>
      <c r="N29954" s="1"/>
    </row>
    <row r="29955" spans="7:14" x14ac:dyDescent="0.3">
      <c r="G29955" s="1"/>
      <c r="N29955" s="1"/>
    </row>
    <row r="29956" spans="7:14" x14ac:dyDescent="0.3">
      <c r="G29956" s="1"/>
      <c r="N29956" s="1"/>
    </row>
    <row r="29957" spans="7:14" x14ac:dyDescent="0.3">
      <c r="G29957" s="1"/>
      <c r="N29957" s="1"/>
    </row>
    <row r="29958" spans="7:14" x14ac:dyDescent="0.3">
      <c r="G29958" s="1"/>
      <c r="N29958" s="1"/>
    </row>
    <row r="29959" spans="7:14" x14ac:dyDescent="0.3">
      <c r="G29959" s="1"/>
      <c r="N29959" s="1"/>
    </row>
    <row r="29960" spans="7:14" x14ac:dyDescent="0.3">
      <c r="G29960" s="1"/>
      <c r="N29960" s="1"/>
    </row>
    <row r="29961" spans="7:14" x14ac:dyDescent="0.3">
      <c r="G29961" s="1"/>
      <c r="N29961" s="1"/>
    </row>
    <row r="29962" spans="7:14" x14ac:dyDescent="0.3">
      <c r="G29962" s="1"/>
      <c r="N29962" s="1"/>
    </row>
    <row r="29963" spans="7:14" x14ac:dyDescent="0.3">
      <c r="G29963" s="1"/>
      <c r="N29963" s="1"/>
    </row>
    <row r="29964" spans="7:14" x14ac:dyDescent="0.3">
      <c r="G29964" s="1"/>
      <c r="N29964" s="1"/>
    </row>
    <row r="29965" spans="7:14" x14ac:dyDescent="0.3">
      <c r="G29965" s="1"/>
      <c r="N29965" s="1"/>
    </row>
    <row r="29966" spans="7:14" x14ac:dyDescent="0.3">
      <c r="G29966" s="1"/>
      <c r="N29966" s="1"/>
    </row>
    <row r="29967" spans="7:14" x14ac:dyDescent="0.3">
      <c r="G29967" s="1"/>
      <c r="N29967" s="1"/>
    </row>
    <row r="29968" spans="7:14" x14ac:dyDescent="0.3">
      <c r="G29968" s="1"/>
      <c r="N29968" s="1"/>
    </row>
    <row r="29969" spans="7:14" x14ac:dyDescent="0.3">
      <c r="G29969" s="1"/>
      <c r="N29969" s="1"/>
    </row>
    <row r="29970" spans="7:14" x14ac:dyDescent="0.3">
      <c r="G29970" s="1"/>
      <c r="N29970" s="1"/>
    </row>
    <row r="29971" spans="7:14" x14ac:dyDescent="0.3">
      <c r="G29971" s="1"/>
      <c r="N29971" s="1"/>
    </row>
    <row r="29972" spans="7:14" x14ac:dyDescent="0.3">
      <c r="G29972" s="1"/>
      <c r="N29972" s="1"/>
    </row>
    <row r="29973" spans="7:14" x14ac:dyDescent="0.3">
      <c r="G29973" s="1"/>
      <c r="N29973" s="1"/>
    </row>
    <row r="29974" spans="7:14" x14ac:dyDescent="0.3">
      <c r="G29974" s="1"/>
      <c r="N29974" s="1"/>
    </row>
    <row r="29975" spans="7:14" x14ac:dyDescent="0.3">
      <c r="G29975" s="1"/>
      <c r="N29975" s="1"/>
    </row>
    <row r="29976" spans="7:14" x14ac:dyDescent="0.3">
      <c r="G29976" s="1"/>
      <c r="N29976" s="1"/>
    </row>
    <row r="29977" spans="7:14" x14ac:dyDescent="0.3">
      <c r="G29977" s="1"/>
      <c r="N29977" s="1"/>
    </row>
    <row r="29978" spans="7:14" x14ac:dyDescent="0.3">
      <c r="G29978" s="1"/>
      <c r="N29978" s="1"/>
    </row>
    <row r="29979" spans="7:14" x14ac:dyDescent="0.3">
      <c r="G29979" s="1"/>
      <c r="N29979" s="1"/>
    </row>
    <row r="29980" spans="7:14" x14ac:dyDescent="0.3">
      <c r="G29980" s="1"/>
      <c r="N29980" s="1"/>
    </row>
    <row r="29981" spans="7:14" x14ac:dyDescent="0.3">
      <c r="G29981" s="1"/>
      <c r="N29981" s="1"/>
    </row>
    <row r="29982" spans="7:14" x14ac:dyDescent="0.3">
      <c r="G29982" s="1"/>
      <c r="N29982" s="1"/>
    </row>
    <row r="29983" spans="7:14" x14ac:dyDescent="0.3">
      <c r="G29983" s="1"/>
      <c r="N29983" s="1"/>
    </row>
    <row r="29984" spans="7:14" x14ac:dyDescent="0.3">
      <c r="G29984" s="1"/>
      <c r="N29984" s="1"/>
    </row>
    <row r="29985" spans="7:14" x14ac:dyDescent="0.3">
      <c r="G29985" s="1"/>
      <c r="N29985" s="1"/>
    </row>
    <row r="29986" spans="7:14" x14ac:dyDescent="0.3">
      <c r="G29986" s="1"/>
      <c r="N29986" s="1"/>
    </row>
    <row r="29987" spans="7:14" x14ac:dyDescent="0.3">
      <c r="G29987" s="1"/>
      <c r="N29987" s="1"/>
    </row>
    <row r="29988" spans="7:14" x14ac:dyDescent="0.3">
      <c r="G29988" s="1"/>
      <c r="N29988" s="1"/>
    </row>
    <row r="29989" spans="7:14" x14ac:dyDescent="0.3">
      <c r="G29989" s="1"/>
      <c r="N29989" s="1"/>
    </row>
    <row r="29990" spans="7:14" x14ac:dyDescent="0.3">
      <c r="G29990" s="1"/>
      <c r="N29990" s="1"/>
    </row>
    <row r="29991" spans="7:14" x14ac:dyDescent="0.3">
      <c r="G29991" s="1"/>
      <c r="N29991" s="1"/>
    </row>
    <row r="29992" spans="7:14" x14ac:dyDescent="0.3">
      <c r="G29992" s="1"/>
      <c r="N29992" s="1"/>
    </row>
    <row r="29993" spans="7:14" x14ac:dyDescent="0.3">
      <c r="G29993" s="1"/>
      <c r="N29993" s="1"/>
    </row>
    <row r="29994" spans="7:14" x14ac:dyDescent="0.3">
      <c r="G29994" s="1"/>
      <c r="N29994" s="1"/>
    </row>
    <row r="29995" spans="7:14" x14ac:dyDescent="0.3">
      <c r="G29995" s="1"/>
      <c r="N29995" s="1"/>
    </row>
    <row r="29996" spans="7:14" x14ac:dyDescent="0.3">
      <c r="G29996" s="1"/>
      <c r="N29996" s="1"/>
    </row>
    <row r="29997" spans="7:14" x14ac:dyDescent="0.3">
      <c r="G29997" s="1"/>
      <c r="N29997" s="1"/>
    </row>
    <row r="29998" spans="7:14" x14ac:dyDescent="0.3">
      <c r="G29998" s="1"/>
      <c r="N29998" s="1"/>
    </row>
    <row r="29999" spans="7:14" x14ac:dyDescent="0.3">
      <c r="G29999" s="1"/>
      <c r="N29999" s="1"/>
    </row>
    <row r="30000" spans="7:14" x14ac:dyDescent="0.3">
      <c r="G30000" s="1"/>
      <c r="N30000" s="1"/>
    </row>
    <row r="30001" spans="7:14" x14ac:dyDescent="0.3">
      <c r="G30001" s="1"/>
      <c r="N30001" s="1"/>
    </row>
    <row r="30002" spans="7:14" x14ac:dyDescent="0.3">
      <c r="G30002" s="1"/>
      <c r="N30002" s="1"/>
    </row>
    <row r="30003" spans="7:14" x14ac:dyDescent="0.3">
      <c r="G30003" s="1"/>
      <c r="N30003" s="1"/>
    </row>
    <row r="30004" spans="7:14" x14ac:dyDescent="0.3">
      <c r="G30004" s="1"/>
      <c r="N30004" s="1"/>
    </row>
    <row r="30005" spans="7:14" x14ac:dyDescent="0.3">
      <c r="G30005" s="1"/>
      <c r="N30005" s="1"/>
    </row>
    <row r="30006" spans="7:14" x14ac:dyDescent="0.3">
      <c r="G30006" s="1"/>
      <c r="N30006" s="1"/>
    </row>
    <row r="30007" spans="7:14" x14ac:dyDescent="0.3">
      <c r="G30007" s="1"/>
      <c r="N30007" s="1"/>
    </row>
    <row r="30008" spans="7:14" x14ac:dyDescent="0.3">
      <c r="G30008" s="1"/>
      <c r="N30008" s="1"/>
    </row>
    <row r="30009" spans="7:14" x14ac:dyDescent="0.3">
      <c r="G30009" s="1"/>
      <c r="N30009" s="1"/>
    </row>
    <row r="30010" spans="7:14" x14ac:dyDescent="0.3">
      <c r="G30010" s="1"/>
      <c r="N30010" s="1"/>
    </row>
    <row r="30011" spans="7:14" x14ac:dyDescent="0.3">
      <c r="G30011" s="1"/>
      <c r="N30011" s="1"/>
    </row>
    <row r="30012" spans="7:14" x14ac:dyDescent="0.3">
      <c r="G30012" s="1"/>
      <c r="N30012" s="1"/>
    </row>
    <row r="30013" spans="7:14" x14ac:dyDescent="0.3">
      <c r="G30013" s="1"/>
      <c r="N30013" s="1"/>
    </row>
    <row r="30014" spans="7:14" x14ac:dyDescent="0.3">
      <c r="G30014" s="1"/>
      <c r="N30014" s="1"/>
    </row>
    <row r="30015" spans="7:14" x14ac:dyDescent="0.3">
      <c r="G30015" s="1"/>
      <c r="N30015" s="1"/>
    </row>
    <row r="30016" spans="7:14" x14ac:dyDescent="0.3">
      <c r="G30016" s="1"/>
      <c r="N30016" s="1"/>
    </row>
    <row r="30017" spans="7:14" x14ac:dyDescent="0.3">
      <c r="G30017" s="1"/>
      <c r="N30017" s="1"/>
    </row>
    <row r="30018" spans="7:14" x14ac:dyDescent="0.3">
      <c r="G30018" s="1"/>
      <c r="N30018" s="1"/>
    </row>
    <row r="30019" spans="7:14" x14ac:dyDescent="0.3">
      <c r="G30019" s="1"/>
      <c r="N30019" s="1"/>
    </row>
    <row r="30020" spans="7:14" x14ac:dyDescent="0.3">
      <c r="G30020" s="1"/>
      <c r="N30020" s="1"/>
    </row>
    <row r="30021" spans="7:14" x14ac:dyDescent="0.3">
      <c r="G30021" s="1"/>
      <c r="N30021" s="1"/>
    </row>
    <row r="30022" spans="7:14" x14ac:dyDescent="0.3">
      <c r="G30022" s="1"/>
      <c r="N30022" s="1"/>
    </row>
    <row r="30023" spans="7:14" x14ac:dyDescent="0.3">
      <c r="G30023" s="1"/>
      <c r="N30023" s="1"/>
    </row>
    <row r="30024" spans="7:14" x14ac:dyDescent="0.3">
      <c r="G30024" s="1"/>
      <c r="N30024" s="1"/>
    </row>
    <row r="30025" spans="7:14" x14ac:dyDescent="0.3">
      <c r="G30025" s="1"/>
      <c r="N30025" s="1"/>
    </row>
    <row r="30026" spans="7:14" x14ac:dyDescent="0.3">
      <c r="G30026" s="1"/>
      <c r="N30026" s="1"/>
    </row>
    <row r="30027" spans="7:14" x14ac:dyDescent="0.3">
      <c r="G30027" s="1"/>
      <c r="N30027" s="1"/>
    </row>
    <row r="30028" spans="7:14" x14ac:dyDescent="0.3">
      <c r="G30028" s="1"/>
      <c r="N30028" s="1"/>
    </row>
    <row r="30029" spans="7:14" x14ac:dyDescent="0.3">
      <c r="G30029" s="1"/>
      <c r="N30029" s="1"/>
    </row>
    <row r="30030" spans="7:14" x14ac:dyDescent="0.3">
      <c r="G30030" s="1"/>
      <c r="N30030" s="1"/>
    </row>
    <row r="30031" spans="7:14" x14ac:dyDescent="0.3">
      <c r="G30031" s="1"/>
      <c r="N30031" s="1"/>
    </row>
    <row r="30032" spans="7:14" x14ac:dyDescent="0.3">
      <c r="G30032" s="1"/>
      <c r="N30032" s="1"/>
    </row>
    <row r="30033" spans="7:14" x14ac:dyDescent="0.3">
      <c r="G30033" s="1"/>
      <c r="N30033" s="1"/>
    </row>
    <row r="30034" spans="7:14" x14ac:dyDescent="0.3">
      <c r="G30034" s="1"/>
      <c r="N30034" s="1"/>
    </row>
    <row r="30035" spans="7:14" x14ac:dyDescent="0.3">
      <c r="G30035" s="1"/>
      <c r="N30035" s="1"/>
    </row>
    <row r="30036" spans="7:14" x14ac:dyDescent="0.3">
      <c r="G30036" s="1"/>
      <c r="N30036" s="1"/>
    </row>
    <row r="30037" spans="7:14" x14ac:dyDescent="0.3">
      <c r="G30037" s="1"/>
      <c r="N30037" s="1"/>
    </row>
    <row r="30038" spans="7:14" x14ac:dyDescent="0.3">
      <c r="G30038" s="1"/>
      <c r="N30038" s="1"/>
    </row>
    <row r="30039" spans="7:14" x14ac:dyDescent="0.3">
      <c r="G30039" s="1"/>
      <c r="N30039" s="1"/>
    </row>
    <row r="30040" spans="7:14" x14ac:dyDescent="0.3">
      <c r="G30040" s="1"/>
      <c r="N30040" s="1"/>
    </row>
    <row r="30041" spans="7:14" x14ac:dyDescent="0.3">
      <c r="G30041" s="1"/>
      <c r="N30041" s="1"/>
    </row>
    <row r="30042" spans="7:14" x14ac:dyDescent="0.3">
      <c r="G30042" s="1"/>
      <c r="N30042" s="1"/>
    </row>
    <row r="30043" spans="7:14" x14ac:dyDescent="0.3">
      <c r="G30043" s="1"/>
      <c r="N30043" s="1"/>
    </row>
    <row r="30044" spans="7:14" x14ac:dyDescent="0.3">
      <c r="G30044" s="1"/>
      <c r="N30044" s="1"/>
    </row>
    <row r="30045" spans="7:14" x14ac:dyDescent="0.3">
      <c r="G30045" s="1"/>
      <c r="N30045" s="1"/>
    </row>
    <row r="30046" spans="7:14" x14ac:dyDescent="0.3">
      <c r="G30046" s="1"/>
      <c r="N30046" s="1"/>
    </row>
    <row r="30047" spans="7:14" x14ac:dyDescent="0.3">
      <c r="G30047" s="1"/>
      <c r="N30047" s="1"/>
    </row>
    <row r="30048" spans="7:14" x14ac:dyDescent="0.3">
      <c r="G30048" s="1"/>
      <c r="N30048" s="1"/>
    </row>
    <row r="30049" spans="7:14" x14ac:dyDescent="0.3">
      <c r="G30049" s="1"/>
      <c r="N30049" s="1"/>
    </row>
    <row r="30050" spans="7:14" x14ac:dyDescent="0.3">
      <c r="G30050" s="1"/>
      <c r="N30050" s="1"/>
    </row>
    <row r="30051" spans="7:14" x14ac:dyDescent="0.3">
      <c r="G30051" s="1"/>
      <c r="N30051" s="1"/>
    </row>
    <row r="30052" spans="7:14" x14ac:dyDescent="0.3">
      <c r="G30052" s="1"/>
      <c r="N30052" s="1"/>
    </row>
    <row r="30053" spans="7:14" x14ac:dyDescent="0.3">
      <c r="G30053" s="1"/>
      <c r="N30053" s="1"/>
    </row>
    <row r="30054" spans="7:14" x14ac:dyDescent="0.3">
      <c r="G30054" s="1"/>
      <c r="N30054" s="1"/>
    </row>
    <row r="30055" spans="7:14" x14ac:dyDescent="0.3">
      <c r="G30055" s="1"/>
      <c r="N30055" s="1"/>
    </row>
    <row r="30056" spans="7:14" x14ac:dyDescent="0.3">
      <c r="G30056" s="1"/>
      <c r="N30056" s="1"/>
    </row>
    <row r="30057" spans="7:14" x14ac:dyDescent="0.3">
      <c r="G30057" s="1"/>
      <c r="N30057" s="1"/>
    </row>
    <row r="30058" spans="7:14" x14ac:dyDescent="0.3">
      <c r="G30058" s="1"/>
      <c r="N30058" s="1"/>
    </row>
    <row r="30059" spans="7:14" x14ac:dyDescent="0.3">
      <c r="G30059" s="1"/>
      <c r="N30059" s="1"/>
    </row>
    <row r="30060" spans="7:14" x14ac:dyDescent="0.3">
      <c r="G30060" s="1"/>
      <c r="N30060" s="1"/>
    </row>
    <row r="30061" spans="7:14" x14ac:dyDescent="0.3">
      <c r="G30061" s="1"/>
      <c r="N30061" s="1"/>
    </row>
    <row r="30062" spans="7:14" x14ac:dyDescent="0.3">
      <c r="G30062" s="1"/>
      <c r="N30062" s="1"/>
    </row>
    <row r="30063" spans="7:14" x14ac:dyDescent="0.3">
      <c r="G30063" s="1"/>
      <c r="N30063" s="1"/>
    </row>
    <row r="30064" spans="7:14" x14ac:dyDescent="0.3">
      <c r="G30064" s="1"/>
      <c r="N30064" s="1"/>
    </row>
    <row r="30065" spans="7:14" x14ac:dyDescent="0.3">
      <c r="G30065" s="1"/>
      <c r="N30065" s="1"/>
    </row>
    <row r="30066" spans="7:14" x14ac:dyDescent="0.3">
      <c r="G30066" s="1"/>
      <c r="N30066" s="1"/>
    </row>
    <row r="30067" spans="7:14" x14ac:dyDescent="0.3">
      <c r="G30067" s="1"/>
      <c r="N30067" s="1"/>
    </row>
    <row r="30068" spans="7:14" x14ac:dyDescent="0.3">
      <c r="G30068" s="1"/>
      <c r="N30068" s="1"/>
    </row>
    <row r="30069" spans="7:14" x14ac:dyDescent="0.3">
      <c r="G30069" s="1"/>
      <c r="N30069" s="1"/>
    </row>
    <row r="30070" spans="7:14" x14ac:dyDescent="0.3">
      <c r="G30070" s="1"/>
      <c r="N30070" s="1"/>
    </row>
    <row r="30071" spans="7:14" x14ac:dyDescent="0.3">
      <c r="G30071" s="1"/>
      <c r="N30071" s="1"/>
    </row>
    <row r="30072" spans="7:14" x14ac:dyDescent="0.3">
      <c r="G30072" s="1"/>
      <c r="N30072" s="1"/>
    </row>
    <row r="30073" spans="7:14" x14ac:dyDescent="0.3">
      <c r="G30073" s="1"/>
      <c r="N30073" s="1"/>
    </row>
    <row r="30074" spans="7:14" x14ac:dyDescent="0.3">
      <c r="G30074" s="1"/>
      <c r="N30074" s="1"/>
    </row>
    <row r="30075" spans="7:14" x14ac:dyDescent="0.3">
      <c r="G30075" s="1"/>
      <c r="N30075" s="1"/>
    </row>
    <row r="30076" spans="7:14" x14ac:dyDescent="0.3">
      <c r="G30076" s="1"/>
      <c r="N30076" s="1"/>
    </row>
    <row r="30077" spans="7:14" x14ac:dyDescent="0.3">
      <c r="G30077" s="1"/>
      <c r="N30077" s="1"/>
    </row>
    <row r="30078" spans="7:14" x14ac:dyDescent="0.3">
      <c r="G30078" s="1"/>
      <c r="N30078" s="1"/>
    </row>
    <row r="30079" spans="7:14" x14ac:dyDescent="0.3">
      <c r="G30079" s="1"/>
      <c r="N30079" s="1"/>
    </row>
    <row r="30080" spans="7:14" x14ac:dyDescent="0.3">
      <c r="G30080" s="1"/>
      <c r="N30080" s="1"/>
    </row>
    <row r="30081" spans="7:14" x14ac:dyDescent="0.3">
      <c r="G30081" s="1"/>
      <c r="N30081" s="1"/>
    </row>
    <row r="30082" spans="7:14" x14ac:dyDescent="0.3">
      <c r="G30082" s="1"/>
      <c r="N30082" s="1"/>
    </row>
    <row r="30083" spans="7:14" x14ac:dyDescent="0.3">
      <c r="G30083" s="1"/>
      <c r="N30083" s="1"/>
    </row>
    <row r="30084" spans="7:14" x14ac:dyDescent="0.3">
      <c r="G30084" s="1"/>
      <c r="N30084" s="1"/>
    </row>
    <row r="30085" spans="7:14" x14ac:dyDescent="0.3">
      <c r="G30085" s="1"/>
      <c r="N30085" s="1"/>
    </row>
    <row r="30086" spans="7:14" x14ac:dyDescent="0.3">
      <c r="G30086" s="1"/>
      <c r="N30086" s="1"/>
    </row>
    <row r="30087" spans="7:14" x14ac:dyDescent="0.3">
      <c r="G30087" s="1"/>
      <c r="N30087" s="1"/>
    </row>
    <row r="30088" spans="7:14" x14ac:dyDescent="0.3">
      <c r="G30088" s="1"/>
      <c r="N30088" s="1"/>
    </row>
    <row r="30089" spans="7:14" x14ac:dyDescent="0.3">
      <c r="G30089" s="1"/>
      <c r="N30089" s="1"/>
    </row>
    <row r="30090" spans="7:14" x14ac:dyDescent="0.3">
      <c r="G30090" s="1"/>
      <c r="N30090" s="1"/>
    </row>
    <row r="30091" spans="7:14" x14ac:dyDescent="0.3">
      <c r="G30091" s="1"/>
      <c r="N30091" s="1"/>
    </row>
    <row r="30092" spans="7:14" x14ac:dyDescent="0.3">
      <c r="G30092" s="1"/>
      <c r="N30092" s="1"/>
    </row>
    <row r="30093" spans="7:14" x14ac:dyDescent="0.3">
      <c r="G30093" s="1"/>
      <c r="N30093" s="1"/>
    </row>
    <row r="30094" spans="7:14" x14ac:dyDescent="0.3">
      <c r="G30094" s="1"/>
      <c r="N30094" s="1"/>
    </row>
    <row r="30095" spans="7:14" x14ac:dyDescent="0.3">
      <c r="G30095" s="1"/>
      <c r="N30095" s="1"/>
    </row>
    <row r="30096" spans="7:14" x14ac:dyDescent="0.3">
      <c r="G30096" s="1"/>
      <c r="N30096" s="1"/>
    </row>
    <row r="30097" spans="7:14" x14ac:dyDescent="0.3">
      <c r="G30097" s="1"/>
      <c r="N30097" s="1"/>
    </row>
    <row r="30098" spans="7:14" x14ac:dyDescent="0.3">
      <c r="G30098" s="1"/>
      <c r="N30098" s="1"/>
    </row>
    <row r="30099" spans="7:14" x14ac:dyDescent="0.3">
      <c r="G30099" s="1"/>
      <c r="N30099" s="1"/>
    </row>
    <row r="30100" spans="7:14" x14ac:dyDescent="0.3">
      <c r="G30100" s="1"/>
      <c r="N30100" s="1"/>
    </row>
    <row r="30101" spans="7:14" x14ac:dyDescent="0.3">
      <c r="G30101" s="1"/>
      <c r="N30101" s="1"/>
    </row>
    <row r="30102" spans="7:14" x14ac:dyDescent="0.3">
      <c r="G30102" s="1"/>
      <c r="N30102" s="1"/>
    </row>
    <row r="30103" spans="7:14" x14ac:dyDescent="0.3">
      <c r="G30103" s="1"/>
      <c r="N30103" s="1"/>
    </row>
    <row r="30104" spans="7:14" x14ac:dyDescent="0.3">
      <c r="G30104" s="1"/>
      <c r="N30104" s="1"/>
    </row>
    <row r="30105" spans="7:14" x14ac:dyDescent="0.3">
      <c r="G30105" s="1"/>
      <c r="N30105" s="1"/>
    </row>
    <row r="30106" spans="7:14" x14ac:dyDescent="0.3">
      <c r="G30106" s="1"/>
      <c r="N30106" s="1"/>
    </row>
    <row r="30107" spans="7:14" x14ac:dyDescent="0.3">
      <c r="G30107" s="1"/>
      <c r="N30107" s="1"/>
    </row>
    <row r="30108" spans="7:14" x14ac:dyDescent="0.3">
      <c r="G30108" s="1"/>
      <c r="N30108" s="1"/>
    </row>
    <row r="30109" spans="7:14" x14ac:dyDescent="0.3">
      <c r="G30109" s="1"/>
      <c r="N30109" s="1"/>
    </row>
    <row r="30110" spans="7:14" x14ac:dyDescent="0.3">
      <c r="G30110" s="1"/>
      <c r="N30110" s="1"/>
    </row>
    <row r="30111" spans="7:14" x14ac:dyDescent="0.3">
      <c r="G30111" s="1"/>
      <c r="N30111" s="1"/>
    </row>
    <row r="30112" spans="7:14" x14ac:dyDescent="0.3">
      <c r="G30112" s="1"/>
      <c r="N30112" s="1"/>
    </row>
    <row r="30113" spans="7:14" x14ac:dyDescent="0.3">
      <c r="G30113" s="1"/>
      <c r="N30113" s="1"/>
    </row>
    <row r="30114" spans="7:14" x14ac:dyDescent="0.3">
      <c r="G30114" s="1"/>
      <c r="N30114" s="1"/>
    </row>
    <row r="30115" spans="7:14" x14ac:dyDescent="0.3">
      <c r="G30115" s="1"/>
      <c r="N30115" s="1"/>
    </row>
    <row r="30116" spans="7:14" x14ac:dyDescent="0.3">
      <c r="G30116" s="1"/>
      <c r="N30116" s="1"/>
    </row>
    <row r="30117" spans="7:14" x14ac:dyDescent="0.3">
      <c r="G30117" s="1"/>
      <c r="N30117" s="1"/>
    </row>
    <row r="30118" spans="7:14" x14ac:dyDescent="0.3">
      <c r="G30118" s="1"/>
      <c r="N30118" s="1"/>
    </row>
    <row r="30119" spans="7:14" x14ac:dyDescent="0.3">
      <c r="G30119" s="1"/>
      <c r="N30119" s="1"/>
    </row>
    <row r="30120" spans="7:14" x14ac:dyDescent="0.3">
      <c r="G30120" s="1"/>
      <c r="N30120" s="1"/>
    </row>
    <row r="30121" spans="7:14" x14ac:dyDescent="0.3">
      <c r="G30121" s="1"/>
      <c r="N30121" s="1"/>
    </row>
    <row r="30122" spans="7:14" x14ac:dyDescent="0.3">
      <c r="G30122" s="1"/>
      <c r="N30122" s="1"/>
    </row>
    <row r="30123" spans="7:14" x14ac:dyDescent="0.3">
      <c r="G30123" s="1"/>
      <c r="N30123" s="1"/>
    </row>
    <row r="30124" spans="7:14" x14ac:dyDescent="0.3">
      <c r="G30124" s="1"/>
      <c r="N30124" s="1"/>
    </row>
    <row r="30125" spans="7:14" x14ac:dyDescent="0.3">
      <c r="G30125" s="1"/>
      <c r="N30125" s="1"/>
    </row>
    <row r="30126" spans="7:14" x14ac:dyDescent="0.3">
      <c r="G30126" s="1"/>
      <c r="N30126" s="1"/>
    </row>
    <row r="30127" spans="7:14" x14ac:dyDescent="0.3">
      <c r="G30127" s="1"/>
      <c r="N30127" s="1"/>
    </row>
    <row r="30128" spans="7:14" x14ac:dyDescent="0.3">
      <c r="G30128" s="1"/>
      <c r="N30128" s="1"/>
    </row>
    <row r="30129" spans="7:14" x14ac:dyDescent="0.3">
      <c r="G30129" s="1"/>
      <c r="N30129" s="1"/>
    </row>
    <row r="30130" spans="7:14" x14ac:dyDescent="0.3">
      <c r="G30130" s="1"/>
      <c r="N30130" s="1"/>
    </row>
    <row r="30131" spans="7:14" x14ac:dyDescent="0.3">
      <c r="G30131" s="1"/>
      <c r="N30131" s="1"/>
    </row>
    <row r="30132" spans="7:14" x14ac:dyDescent="0.3">
      <c r="G30132" s="1"/>
      <c r="N30132" s="1"/>
    </row>
    <row r="30133" spans="7:14" x14ac:dyDescent="0.3">
      <c r="G30133" s="1"/>
      <c r="N30133" s="1"/>
    </row>
    <row r="30134" spans="7:14" x14ac:dyDescent="0.3">
      <c r="G30134" s="1"/>
      <c r="N30134" s="1"/>
    </row>
    <row r="30135" spans="7:14" x14ac:dyDescent="0.3">
      <c r="G30135" s="1"/>
      <c r="N30135" s="1"/>
    </row>
    <row r="30136" spans="7:14" x14ac:dyDescent="0.3">
      <c r="G30136" s="1"/>
      <c r="N30136" s="1"/>
    </row>
    <row r="30137" spans="7:14" x14ac:dyDescent="0.3">
      <c r="G30137" s="1"/>
      <c r="N30137" s="1"/>
    </row>
    <row r="30138" spans="7:14" x14ac:dyDescent="0.3">
      <c r="G30138" s="1"/>
      <c r="N30138" s="1"/>
    </row>
    <row r="30139" spans="7:14" x14ac:dyDescent="0.3">
      <c r="G30139" s="1"/>
      <c r="N30139" s="1"/>
    </row>
    <row r="30140" spans="7:14" x14ac:dyDescent="0.3">
      <c r="G30140" s="1"/>
      <c r="N30140" s="1"/>
    </row>
    <row r="30141" spans="7:14" x14ac:dyDescent="0.3">
      <c r="G30141" s="1"/>
      <c r="N30141" s="1"/>
    </row>
    <row r="30142" spans="7:14" x14ac:dyDescent="0.3">
      <c r="G30142" s="1"/>
      <c r="N30142" s="1"/>
    </row>
    <row r="30143" spans="7:14" x14ac:dyDescent="0.3">
      <c r="G30143" s="1"/>
      <c r="N30143" s="1"/>
    </row>
    <row r="30144" spans="7:14" x14ac:dyDescent="0.3">
      <c r="G30144" s="1"/>
      <c r="N30144" s="1"/>
    </row>
    <row r="30145" spans="7:14" x14ac:dyDescent="0.3">
      <c r="G30145" s="1"/>
      <c r="N30145" s="1"/>
    </row>
    <row r="30146" spans="7:14" x14ac:dyDescent="0.3">
      <c r="G30146" s="1"/>
      <c r="N30146" s="1"/>
    </row>
    <row r="30147" spans="7:14" x14ac:dyDescent="0.3">
      <c r="G30147" s="1"/>
      <c r="N30147" s="1"/>
    </row>
    <row r="30148" spans="7:14" x14ac:dyDescent="0.3">
      <c r="G30148" s="1"/>
      <c r="N30148" s="1"/>
    </row>
    <row r="30149" spans="7:14" x14ac:dyDescent="0.3">
      <c r="G30149" s="1"/>
      <c r="N30149" s="1"/>
    </row>
    <row r="30150" spans="7:14" x14ac:dyDescent="0.3">
      <c r="G30150" s="1"/>
      <c r="N30150" s="1"/>
    </row>
    <row r="30151" spans="7:14" x14ac:dyDescent="0.3">
      <c r="G30151" s="1"/>
      <c r="N30151" s="1"/>
    </row>
    <row r="30152" spans="7:14" x14ac:dyDescent="0.3">
      <c r="G30152" s="1"/>
      <c r="N30152" s="1"/>
    </row>
    <row r="30153" spans="7:14" x14ac:dyDescent="0.3">
      <c r="G30153" s="1"/>
      <c r="N30153" s="1"/>
    </row>
    <row r="30154" spans="7:14" x14ac:dyDescent="0.3">
      <c r="G30154" s="1"/>
      <c r="N30154" s="1"/>
    </row>
    <row r="30155" spans="7:14" x14ac:dyDescent="0.3">
      <c r="G30155" s="1"/>
      <c r="N30155" s="1"/>
    </row>
    <row r="30156" spans="7:14" x14ac:dyDescent="0.3">
      <c r="G30156" s="1"/>
      <c r="N30156" s="1"/>
    </row>
    <row r="30157" spans="7:14" x14ac:dyDescent="0.3">
      <c r="G30157" s="1"/>
      <c r="N30157" s="1"/>
    </row>
    <row r="30158" spans="7:14" x14ac:dyDescent="0.3">
      <c r="G30158" s="1"/>
      <c r="N30158" s="1"/>
    </row>
    <row r="30159" spans="7:14" x14ac:dyDescent="0.3">
      <c r="G30159" s="1"/>
      <c r="N30159" s="1"/>
    </row>
    <row r="30160" spans="7:14" x14ac:dyDescent="0.3">
      <c r="G30160" s="1"/>
      <c r="N30160" s="1"/>
    </row>
    <row r="30161" spans="7:14" x14ac:dyDescent="0.3">
      <c r="G30161" s="1"/>
      <c r="N30161" s="1"/>
    </row>
    <row r="30162" spans="7:14" x14ac:dyDescent="0.3">
      <c r="G30162" s="1"/>
      <c r="N30162" s="1"/>
    </row>
    <row r="30163" spans="7:14" x14ac:dyDescent="0.3">
      <c r="G30163" s="1"/>
      <c r="N30163" s="1"/>
    </row>
    <row r="30164" spans="7:14" x14ac:dyDescent="0.3">
      <c r="G30164" s="1"/>
      <c r="N30164" s="1"/>
    </row>
    <row r="30165" spans="7:14" x14ac:dyDescent="0.3">
      <c r="G30165" s="1"/>
      <c r="N30165" s="1"/>
    </row>
    <row r="30166" spans="7:14" x14ac:dyDescent="0.3">
      <c r="G30166" s="1"/>
      <c r="N30166" s="1"/>
    </row>
    <row r="30167" spans="7:14" x14ac:dyDescent="0.3">
      <c r="G30167" s="1"/>
      <c r="N30167" s="1"/>
    </row>
    <row r="30168" spans="7:14" x14ac:dyDescent="0.3">
      <c r="G30168" s="1"/>
      <c r="N30168" s="1"/>
    </row>
    <row r="30169" spans="7:14" x14ac:dyDescent="0.3">
      <c r="G30169" s="1"/>
      <c r="N30169" s="1"/>
    </row>
    <row r="30170" spans="7:14" x14ac:dyDescent="0.3">
      <c r="G30170" s="1"/>
      <c r="N30170" s="1"/>
    </row>
    <row r="30171" spans="7:14" x14ac:dyDescent="0.3">
      <c r="G30171" s="1"/>
      <c r="N30171" s="1"/>
    </row>
    <row r="30172" spans="7:14" x14ac:dyDescent="0.3">
      <c r="G30172" s="1"/>
      <c r="N30172" s="1"/>
    </row>
    <row r="30173" spans="7:14" x14ac:dyDescent="0.3">
      <c r="G30173" s="1"/>
      <c r="N30173" s="1"/>
    </row>
    <row r="30174" spans="7:14" x14ac:dyDescent="0.3">
      <c r="G30174" s="1"/>
      <c r="N30174" s="1"/>
    </row>
    <row r="30175" spans="7:14" x14ac:dyDescent="0.3">
      <c r="G30175" s="1"/>
      <c r="N30175" s="1"/>
    </row>
    <row r="30176" spans="7:14" x14ac:dyDescent="0.3">
      <c r="G30176" s="1"/>
      <c r="N30176" s="1"/>
    </row>
    <row r="30177" spans="7:14" x14ac:dyDescent="0.3">
      <c r="G30177" s="1"/>
      <c r="N30177" s="1"/>
    </row>
    <row r="30178" spans="7:14" x14ac:dyDescent="0.3">
      <c r="G30178" s="1"/>
      <c r="N30178" s="1"/>
    </row>
    <row r="30179" spans="7:14" x14ac:dyDescent="0.3">
      <c r="G30179" s="1"/>
      <c r="N30179" s="1"/>
    </row>
    <row r="30180" spans="7:14" x14ac:dyDescent="0.3">
      <c r="G30180" s="1"/>
      <c r="N30180" s="1"/>
    </row>
    <row r="30181" spans="7:14" x14ac:dyDescent="0.3">
      <c r="G30181" s="1"/>
      <c r="N30181" s="1"/>
    </row>
    <row r="30182" spans="7:14" x14ac:dyDescent="0.3">
      <c r="G30182" s="1"/>
      <c r="N30182" s="1"/>
    </row>
    <row r="30183" spans="7:14" x14ac:dyDescent="0.3">
      <c r="G30183" s="1"/>
      <c r="N30183" s="1"/>
    </row>
    <row r="30184" spans="7:14" x14ac:dyDescent="0.3">
      <c r="G30184" s="1"/>
      <c r="N30184" s="1"/>
    </row>
    <row r="30185" spans="7:14" x14ac:dyDescent="0.3">
      <c r="G30185" s="1"/>
      <c r="N30185" s="1"/>
    </row>
    <row r="30186" spans="7:14" x14ac:dyDescent="0.3">
      <c r="G30186" s="1"/>
      <c r="N30186" s="1"/>
    </row>
    <row r="30187" spans="7:14" x14ac:dyDescent="0.3">
      <c r="G30187" s="1"/>
      <c r="N30187" s="1"/>
    </row>
    <row r="30188" spans="7:14" x14ac:dyDescent="0.3">
      <c r="G30188" s="1"/>
      <c r="N30188" s="1"/>
    </row>
    <row r="30189" spans="7:14" x14ac:dyDescent="0.3">
      <c r="G30189" s="1"/>
      <c r="N30189" s="1"/>
    </row>
    <row r="30190" spans="7:14" x14ac:dyDescent="0.3">
      <c r="G30190" s="1"/>
      <c r="N30190" s="1"/>
    </row>
    <row r="30191" spans="7:14" x14ac:dyDescent="0.3">
      <c r="G30191" s="1"/>
      <c r="N30191" s="1"/>
    </row>
    <row r="30192" spans="7:14" x14ac:dyDescent="0.3">
      <c r="G30192" s="1"/>
      <c r="N30192" s="1"/>
    </row>
    <row r="30193" spans="7:14" x14ac:dyDescent="0.3">
      <c r="G30193" s="1"/>
      <c r="N30193" s="1"/>
    </row>
    <row r="30194" spans="7:14" x14ac:dyDescent="0.3">
      <c r="G30194" s="1"/>
      <c r="N30194" s="1"/>
    </row>
    <row r="30195" spans="7:14" x14ac:dyDescent="0.3">
      <c r="G30195" s="1"/>
      <c r="N30195" s="1"/>
    </row>
    <row r="30196" spans="7:14" x14ac:dyDescent="0.3">
      <c r="G30196" s="1"/>
      <c r="N30196" s="1"/>
    </row>
    <row r="30197" spans="7:14" x14ac:dyDescent="0.3">
      <c r="G30197" s="1"/>
      <c r="N30197" s="1"/>
    </row>
    <row r="30198" spans="7:14" x14ac:dyDescent="0.3">
      <c r="G30198" s="1"/>
      <c r="N30198" s="1"/>
    </row>
    <row r="30199" spans="7:14" x14ac:dyDescent="0.3">
      <c r="G30199" s="1"/>
      <c r="N30199" s="1"/>
    </row>
    <row r="30200" spans="7:14" x14ac:dyDescent="0.3">
      <c r="G30200" s="1"/>
      <c r="N30200" s="1"/>
    </row>
    <row r="30201" spans="7:14" x14ac:dyDescent="0.3">
      <c r="G30201" s="1"/>
      <c r="N30201" s="1"/>
    </row>
    <row r="30202" spans="7:14" x14ac:dyDescent="0.3">
      <c r="G30202" s="1"/>
      <c r="N30202" s="1"/>
    </row>
    <row r="30203" spans="7:14" x14ac:dyDescent="0.3">
      <c r="G30203" s="1"/>
      <c r="N30203" s="1"/>
    </row>
    <row r="30204" spans="7:14" x14ac:dyDescent="0.3">
      <c r="G30204" s="1"/>
      <c r="N30204" s="1"/>
    </row>
    <row r="30205" spans="7:14" x14ac:dyDescent="0.3">
      <c r="G30205" s="1"/>
      <c r="N30205" s="1"/>
    </row>
    <row r="30206" spans="7:14" x14ac:dyDescent="0.3">
      <c r="G30206" s="1"/>
      <c r="N30206" s="1"/>
    </row>
    <row r="30207" spans="7:14" x14ac:dyDescent="0.3">
      <c r="G30207" s="1"/>
      <c r="N30207" s="1"/>
    </row>
    <row r="30208" spans="7:14" x14ac:dyDescent="0.3">
      <c r="G30208" s="1"/>
      <c r="N30208" s="1"/>
    </row>
    <row r="30209" spans="7:14" x14ac:dyDescent="0.3">
      <c r="G30209" s="1"/>
      <c r="N30209" s="1"/>
    </row>
    <row r="30210" spans="7:14" x14ac:dyDescent="0.3">
      <c r="G30210" s="1"/>
      <c r="N30210" s="1"/>
    </row>
    <row r="30211" spans="7:14" x14ac:dyDescent="0.3">
      <c r="G30211" s="1"/>
      <c r="N30211" s="1"/>
    </row>
    <row r="30212" spans="7:14" x14ac:dyDescent="0.3">
      <c r="G30212" s="1"/>
      <c r="N30212" s="1"/>
    </row>
    <row r="30213" spans="7:14" x14ac:dyDescent="0.3">
      <c r="G30213" s="1"/>
      <c r="N30213" s="1"/>
    </row>
    <row r="30214" spans="7:14" x14ac:dyDescent="0.3">
      <c r="G30214" s="1"/>
      <c r="N30214" s="1"/>
    </row>
    <row r="30215" spans="7:14" x14ac:dyDescent="0.3">
      <c r="G30215" s="1"/>
      <c r="N30215" s="1"/>
    </row>
    <row r="30216" spans="7:14" x14ac:dyDescent="0.3">
      <c r="G30216" s="1"/>
      <c r="N30216" s="1"/>
    </row>
    <row r="30217" spans="7:14" x14ac:dyDescent="0.3">
      <c r="G30217" s="1"/>
      <c r="N30217" s="1"/>
    </row>
    <row r="30218" spans="7:14" x14ac:dyDescent="0.3">
      <c r="G30218" s="1"/>
      <c r="N30218" s="1"/>
    </row>
    <row r="30219" spans="7:14" x14ac:dyDescent="0.3">
      <c r="G30219" s="1"/>
      <c r="N30219" s="1"/>
    </row>
    <row r="30220" spans="7:14" x14ac:dyDescent="0.3">
      <c r="G30220" s="1"/>
      <c r="N30220" s="1"/>
    </row>
    <row r="30221" spans="7:14" x14ac:dyDescent="0.3">
      <c r="G30221" s="1"/>
      <c r="N30221" s="1"/>
    </row>
    <row r="30222" spans="7:14" x14ac:dyDescent="0.3">
      <c r="G30222" s="1"/>
      <c r="N30222" s="1"/>
    </row>
    <row r="30223" spans="7:14" x14ac:dyDescent="0.3">
      <c r="G30223" s="1"/>
      <c r="N30223" s="1"/>
    </row>
    <row r="30224" spans="7:14" x14ac:dyDescent="0.3">
      <c r="G30224" s="1"/>
      <c r="N30224" s="1"/>
    </row>
    <row r="30225" spans="7:14" x14ac:dyDescent="0.3">
      <c r="G30225" s="1"/>
      <c r="N30225" s="1"/>
    </row>
    <row r="30226" spans="7:14" x14ac:dyDescent="0.3">
      <c r="G30226" s="1"/>
      <c r="N30226" s="1"/>
    </row>
    <row r="30227" spans="7:14" x14ac:dyDescent="0.3">
      <c r="G30227" s="1"/>
      <c r="N30227" s="1"/>
    </row>
    <row r="30228" spans="7:14" x14ac:dyDescent="0.3">
      <c r="G30228" s="1"/>
      <c r="N30228" s="1"/>
    </row>
    <row r="30229" spans="7:14" x14ac:dyDescent="0.3">
      <c r="G30229" s="1"/>
      <c r="N30229" s="1"/>
    </row>
    <row r="30230" spans="7:14" x14ac:dyDescent="0.3">
      <c r="G30230" s="1"/>
      <c r="N30230" s="1"/>
    </row>
    <row r="30231" spans="7:14" x14ac:dyDescent="0.3">
      <c r="G30231" s="1"/>
      <c r="N30231" s="1"/>
    </row>
    <row r="30232" spans="7:14" x14ac:dyDescent="0.3">
      <c r="G30232" s="1"/>
      <c r="N30232" s="1"/>
    </row>
    <row r="30233" spans="7:14" x14ac:dyDescent="0.3">
      <c r="G30233" s="1"/>
      <c r="N30233" s="1"/>
    </row>
    <row r="30234" spans="7:14" x14ac:dyDescent="0.3">
      <c r="G30234" s="1"/>
      <c r="N30234" s="1"/>
    </row>
    <row r="30235" spans="7:14" x14ac:dyDescent="0.3">
      <c r="G30235" s="1"/>
      <c r="N30235" s="1"/>
    </row>
    <row r="30236" spans="7:14" x14ac:dyDescent="0.3">
      <c r="G30236" s="1"/>
      <c r="N30236" s="1"/>
    </row>
    <row r="30237" spans="7:14" x14ac:dyDescent="0.3">
      <c r="G30237" s="1"/>
      <c r="N30237" s="1"/>
    </row>
    <row r="30238" spans="7:14" x14ac:dyDescent="0.3">
      <c r="G30238" s="1"/>
      <c r="N30238" s="1"/>
    </row>
    <row r="30239" spans="7:14" x14ac:dyDescent="0.3">
      <c r="G30239" s="1"/>
      <c r="N30239" s="1"/>
    </row>
    <row r="30240" spans="7:14" x14ac:dyDescent="0.3">
      <c r="G30240" s="1"/>
      <c r="N30240" s="1"/>
    </row>
    <row r="30241" spans="7:14" x14ac:dyDescent="0.3">
      <c r="G30241" s="1"/>
      <c r="N30241" s="1"/>
    </row>
    <row r="30242" spans="7:14" x14ac:dyDescent="0.3">
      <c r="G30242" s="1"/>
      <c r="N30242" s="1"/>
    </row>
    <row r="30243" spans="7:14" x14ac:dyDescent="0.3">
      <c r="G30243" s="1"/>
      <c r="N30243" s="1"/>
    </row>
    <row r="30244" spans="7:14" x14ac:dyDescent="0.3">
      <c r="G30244" s="1"/>
      <c r="N30244" s="1"/>
    </row>
    <row r="30245" spans="7:14" x14ac:dyDescent="0.3">
      <c r="G30245" s="1"/>
      <c r="N30245" s="1"/>
    </row>
    <row r="30246" spans="7:14" x14ac:dyDescent="0.3">
      <c r="G30246" s="1"/>
      <c r="N30246" s="1"/>
    </row>
    <row r="30247" spans="7:14" x14ac:dyDescent="0.3">
      <c r="G30247" s="1"/>
      <c r="N30247" s="1"/>
    </row>
    <row r="30248" spans="7:14" x14ac:dyDescent="0.3">
      <c r="G30248" s="1"/>
      <c r="N30248" s="1"/>
    </row>
    <row r="30249" spans="7:14" x14ac:dyDescent="0.3">
      <c r="G30249" s="1"/>
      <c r="N30249" s="1"/>
    </row>
    <row r="30250" spans="7:14" x14ac:dyDescent="0.3">
      <c r="G30250" s="1"/>
      <c r="N30250" s="1"/>
    </row>
    <row r="30251" spans="7:14" x14ac:dyDescent="0.3">
      <c r="G30251" s="1"/>
      <c r="N30251" s="1"/>
    </row>
    <row r="30252" spans="7:14" x14ac:dyDescent="0.3">
      <c r="G30252" s="1"/>
      <c r="N30252" s="1"/>
    </row>
    <row r="30253" spans="7:14" x14ac:dyDescent="0.3">
      <c r="G30253" s="1"/>
      <c r="N30253" s="1"/>
    </row>
    <row r="30254" spans="7:14" x14ac:dyDescent="0.3">
      <c r="G30254" s="1"/>
      <c r="N30254" s="1"/>
    </row>
    <row r="30255" spans="7:14" x14ac:dyDescent="0.3">
      <c r="G30255" s="1"/>
      <c r="N30255" s="1"/>
    </row>
    <row r="30256" spans="7:14" x14ac:dyDescent="0.3">
      <c r="G30256" s="1"/>
      <c r="N30256" s="1"/>
    </row>
    <row r="30257" spans="7:14" x14ac:dyDescent="0.3">
      <c r="G30257" s="1"/>
      <c r="N30257" s="1"/>
    </row>
    <row r="30258" spans="7:14" x14ac:dyDescent="0.3">
      <c r="G30258" s="1"/>
      <c r="N30258" s="1"/>
    </row>
    <row r="30259" spans="7:14" x14ac:dyDescent="0.3">
      <c r="G30259" s="1"/>
      <c r="N30259" s="1"/>
    </row>
    <row r="30260" spans="7:14" x14ac:dyDescent="0.3">
      <c r="G30260" s="1"/>
      <c r="N30260" s="1"/>
    </row>
    <row r="30261" spans="7:14" x14ac:dyDescent="0.3">
      <c r="G30261" s="1"/>
      <c r="N30261" s="1"/>
    </row>
    <row r="30262" spans="7:14" x14ac:dyDescent="0.3">
      <c r="G30262" s="1"/>
      <c r="N30262" s="1"/>
    </row>
    <row r="30263" spans="7:14" x14ac:dyDescent="0.3">
      <c r="G30263" s="1"/>
      <c r="N30263" s="1"/>
    </row>
    <row r="30264" spans="7:14" x14ac:dyDescent="0.3">
      <c r="G30264" s="1"/>
      <c r="N30264" s="1"/>
    </row>
    <row r="30265" spans="7:14" x14ac:dyDescent="0.3">
      <c r="G30265" s="1"/>
      <c r="N30265" s="1"/>
    </row>
    <row r="30266" spans="7:14" x14ac:dyDescent="0.3">
      <c r="G30266" s="1"/>
      <c r="N30266" s="1"/>
    </row>
    <row r="30267" spans="7:14" x14ac:dyDescent="0.3">
      <c r="G30267" s="1"/>
      <c r="N30267" s="1"/>
    </row>
    <row r="30268" spans="7:14" x14ac:dyDescent="0.3">
      <c r="G30268" s="1"/>
      <c r="N30268" s="1"/>
    </row>
    <row r="30269" spans="7:14" x14ac:dyDescent="0.3">
      <c r="G30269" s="1"/>
      <c r="N30269" s="1"/>
    </row>
    <row r="30270" spans="7:14" x14ac:dyDescent="0.3">
      <c r="G30270" s="1"/>
      <c r="N30270" s="1"/>
    </row>
    <row r="30271" spans="7:14" x14ac:dyDescent="0.3">
      <c r="G30271" s="1"/>
      <c r="N30271" s="1"/>
    </row>
    <row r="30272" spans="7:14" x14ac:dyDescent="0.3">
      <c r="G30272" s="1"/>
      <c r="N30272" s="1"/>
    </row>
    <row r="30273" spans="7:14" x14ac:dyDescent="0.3">
      <c r="G30273" s="1"/>
      <c r="N30273" s="1"/>
    </row>
    <row r="30274" spans="7:14" x14ac:dyDescent="0.3">
      <c r="G30274" s="1"/>
      <c r="N30274" s="1"/>
    </row>
    <row r="30275" spans="7:14" x14ac:dyDescent="0.3">
      <c r="G30275" s="1"/>
      <c r="N30275" s="1"/>
    </row>
    <row r="30276" spans="7:14" x14ac:dyDescent="0.3">
      <c r="G30276" s="1"/>
      <c r="N30276" s="1"/>
    </row>
    <row r="30277" spans="7:14" x14ac:dyDescent="0.3">
      <c r="G30277" s="1"/>
      <c r="N30277" s="1"/>
    </row>
    <row r="30278" spans="7:14" x14ac:dyDescent="0.3">
      <c r="G30278" s="1"/>
      <c r="N30278" s="1"/>
    </row>
    <row r="30279" spans="7:14" x14ac:dyDescent="0.3">
      <c r="G30279" s="1"/>
      <c r="N30279" s="1"/>
    </row>
    <row r="30280" spans="7:14" x14ac:dyDescent="0.3">
      <c r="G30280" s="1"/>
      <c r="N30280" s="1"/>
    </row>
    <row r="30281" spans="7:14" x14ac:dyDescent="0.3">
      <c r="G30281" s="1"/>
      <c r="N30281" s="1"/>
    </row>
    <row r="30282" spans="7:14" x14ac:dyDescent="0.3">
      <c r="G30282" s="1"/>
      <c r="N30282" s="1"/>
    </row>
    <row r="30283" spans="7:14" x14ac:dyDescent="0.3">
      <c r="G30283" s="1"/>
      <c r="N30283" s="1"/>
    </row>
    <row r="30284" spans="7:14" x14ac:dyDescent="0.3">
      <c r="G30284" s="1"/>
      <c r="N30284" s="1"/>
    </row>
    <row r="30285" spans="7:14" x14ac:dyDescent="0.3">
      <c r="G30285" s="1"/>
      <c r="N30285" s="1"/>
    </row>
    <row r="30286" spans="7:14" x14ac:dyDescent="0.3">
      <c r="G30286" s="1"/>
      <c r="N30286" s="1"/>
    </row>
    <row r="30287" spans="7:14" x14ac:dyDescent="0.3">
      <c r="G30287" s="1"/>
      <c r="N30287" s="1"/>
    </row>
    <row r="30288" spans="7:14" x14ac:dyDescent="0.3">
      <c r="G30288" s="1"/>
      <c r="N30288" s="1"/>
    </row>
    <row r="30289" spans="7:14" x14ac:dyDescent="0.3">
      <c r="G30289" s="1"/>
      <c r="N30289" s="1"/>
    </row>
    <row r="30290" spans="7:14" x14ac:dyDescent="0.3">
      <c r="G30290" s="1"/>
      <c r="N30290" s="1"/>
    </row>
    <row r="30291" spans="7:14" x14ac:dyDescent="0.3">
      <c r="G30291" s="1"/>
      <c r="N30291" s="1"/>
    </row>
    <row r="30292" spans="7:14" x14ac:dyDescent="0.3">
      <c r="G30292" s="1"/>
      <c r="N30292" s="1"/>
    </row>
    <row r="30293" spans="7:14" x14ac:dyDescent="0.3">
      <c r="G30293" s="1"/>
      <c r="N30293" s="1"/>
    </row>
    <row r="30294" spans="7:14" x14ac:dyDescent="0.3">
      <c r="G30294" s="1"/>
      <c r="N30294" s="1"/>
    </row>
    <row r="30295" spans="7:14" x14ac:dyDescent="0.3">
      <c r="G30295" s="1"/>
      <c r="N30295" s="1"/>
    </row>
    <row r="30296" spans="7:14" x14ac:dyDescent="0.3">
      <c r="G30296" s="1"/>
      <c r="N30296" s="1"/>
    </row>
    <row r="30297" spans="7:14" x14ac:dyDescent="0.3">
      <c r="G30297" s="1"/>
      <c r="N30297" s="1"/>
    </row>
    <row r="30298" spans="7:14" x14ac:dyDescent="0.3">
      <c r="G30298" s="1"/>
      <c r="N30298" s="1"/>
    </row>
    <row r="30299" spans="7:14" x14ac:dyDescent="0.3">
      <c r="G30299" s="1"/>
      <c r="N30299" s="1"/>
    </row>
    <row r="30300" spans="7:14" x14ac:dyDescent="0.3">
      <c r="G30300" s="1"/>
      <c r="N30300" s="1"/>
    </row>
    <row r="30301" spans="7:14" x14ac:dyDescent="0.3">
      <c r="G30301" s="1"/>
      <c r="N30301" s="1"/>
    </row>
    <row r="30302" spans="7:14" x14ac:dyDescent="0.3">
      <c r="G30302" s="1"/>
      <c r="N30302" s="1"/>
    </row>
    <row r="30303" spans="7:14" x14ac:dyDescent="0.3">
      <c r="G30303" s="1"/>
      <c r="N30303" s="1"/>
    </row>
    <row r="30304" spans="7:14" x14ac:dyDescent="0.3">
      <c r="G30304" s="1"/>
      <c r="N30304" s="1"/>
    </row>
    <row r="30305" spans="7:14" x14ac:dyDescent="0.3">
      <c r="G30305" s="1"/>
      <c r="N30305" s="1"/>
    </row>
    <row r="30306" spans="7:14" x14ac:dyDescent="0.3">
      <c r="G30306" s="1"/>
      <c r="N30306" s="1"/>
    </row>
    <row r="30307" spans="7:14" x14ac:dyDescent="0.3">
      <c r="G30307" s="1"/>
      <c r="N30307" s="1"/>
    </row>
    <row r="30308" spans="7:14" x14ac:dyDescent="0.3">
      <c r="G30308" s="1"/>
      <c r="N30308" s="1"/>
    </row>
    <row r="30309" spans="7:14" x14ac:dyDescent="0.3">
      <c r="G30309" s="1"/>
      <c r="N30309" s="1"/>
    </row>
    <row r="30310" spans="7:14" x14ac:dyDescent="0.3">
      <c r="G30310" s="1"/>
      <c r="N30310" s="1"/>
    </row>
    <row r="30311" spans="7:14" x14ac:dyDescent="0.3">
      <c r="G30311" s="1"/>
      <c r="N30311" s="1"/>
    </row>
    <row r="30312" spans="7:14" x14ac:dyDescent="0.3">
      <c r="G30312" s="1"/>
      <c r="N30312" s="1"/>
    </row>
    <row r="30313" spans="7:14" x14ac:dyDescent="0.3">
      <c r="G30313" s="1"/>
      <c r="N30313" s="1"/>
    </row>
    <row r="30314" spans="7:14" x14ac:dyDescent="0.3">
      <c r="G30314" s="1"/>
      <c r="N30314" s="1"/>
    </row>
    <row r="30315" spans="7:14" x14ac:dyDescent="0.3">
      <c r="G30315" s="1"/>
      <c r="N30315" s="1"/>
    </row>
    <row r="30316" spans="7:14" x14ac:dyDescent="0.3">
      <c r="G30316" s="1"/>
      <c r="N30316" s="1"/>
    </row>
    <row r="30317" spans="7:14" x14ac:dyDescent="0.3">
      <c r="G30317" s="1"/>
      <c r="N30317" s="1"/>
    </row>
    <row r="30318" spans="7:14" x14ac:dyDescent="0.3">
      <c r="G30318" s="1"/>
      <c r="N30318" s="1"/>
    </row>
    <row r="30319" spans="7:14" x14ac:dyDescent="0.3">
      <c r="G30319" s="1"/>
      <c r="N30319" s="1"/>
    </row>
    <row r="30320" spans="7:14" x14ac:dyDescent="0.3">
      <c r="G30320" s="1"/>
      <c r="N30320" s="1"/>
    </row>
    <row r="30321" spans="7:14" x14ac:dyDescent="0.3">
      <c r="G30321" s="1"/>
      <c r="N30321" s="1"/>
    </row>
    <row r="30322" spans="7:14" x14ac:dyDescent="0.3">
      <c r="G30322" s="1"/>
      <c r="N30322" s="1"/>
    </row>
    <row r="30323" spans="7:14" x14ac:dyDescent="0.3">
      <c r="G30323" s="1"/>
      <c r="N30323" s="1"/>
    </row>
    <row r="30324" spans="7:14" x14ac:dyDescent="0.3">
      <c r="G30324" s="1"/>
      <c r="N30324" s="1"/>
    </row>
    <row r="30325" spans="7:14" x14ac:dyDescent="0.3">
      <c r="G30325" s="1"/>
      <c r="N30325" s="1"/>
    </row>
    <row r="30326" spans="7:14" x14ac:dyDescent="0.3">
      <c r="G30326" s="1"/>
      <c r="N30326" s="1"/>
    </row>
    <row r="30327" spans="7:14" x14ac:dyDescent="0.3">
      <c r="G30327" s="1"/>
      <c r="N30327" s="1"/>
    </row>
    <row r="30328" spans="7:14" x14ac:dyDescent="0.3">
      <c r="G30328" s="1"/>
      <c r="N30328" s="1"/>
    </row>
    <row r="30329" spans="7:14" x14ac:dyDescent="0.3">
      <c r="G30329" s="1"/>
      <c r="N30329" s="1"/>
    </row>
    <row r="30330" spans="7:14" x14ac:dyDescent="0.3">
      <c r="G30330" s="1"/>
      <c r="N30330" s="1"/>
    </row>
    <row r="30331" spans="7:14" x14ac:dyDescent="0.3">
      <c r="G30331" s="1"/>
      <c r="N30331" s="1"/>
    </row>
    <row r="30332" spans="7:14" x14ac:dyDescent="0.3">
      <c r="G30332" s="1"/>
      <c r="N30332" s="1"/>
    </row>
    <row r="30333" spans="7:14" x14ac:dyDescent="0.3">
      <c r="G30333" s="1"/>
      <c r="N30333" s="1"/>
    </row>
    <row r="30334" spans="7:14" x14ac:dyDescent="0.3">
      <c r="G30334" s="1"/>
      <c r="N30334" s="1"/>
    </row>
    <row r="30335" spans="7:14" x14ac:dyDescent="0.3">
      <c r="G30335" s="1"/>
      <c r="N30335" s="1"/>
    </row>
    <row r="30336" spans="7:14" x14ac:dyDescent="0.3">
      <c r="G30336" s="1"/>
      <c r="N30336" s="1"/>
    </row>
    <row r="30337" spans="7:14" x14ac:dyDescent="0.3">
      <c r="G30337" s="1"/>
      <c r="N30337" s="1"/>
    </row>
    <row r="30338" spans="7:14" x14ac:dyDescent="0.3">
      <c r="G30338" s="1"/>
      <c r="N30338" s="1"/>
    </row>
    <row r="30339" spans="7:14" x14ac:dyDescent="0.3">
      <c r="G30339" s="1"/>
      <c r="N30339" s="1"/>
    </row>
    <row r="30340" spans="7:14" x14ac:dyDescent="0.3">
      <c r="G30340" s="1"/>
      <c r="N30340" s="1"/>
    </row>
    <row r="30341" spans="7:14" x14ac:dyDescent="0.3">
      <c r="G30341" s="1"/>
      <c r="N30341" s="1"/>
    </row>
    <row r="30342" spans="7:14" x14ac:dyDescent="0.3">
      <c r="G30342" s="1"/>
      <c r="N30342" s="1"/>
    </row>
    <row r="30343" spans="7:14" x14ac:dyDescent="0.3">
      <c r="G30343" s="1"/>
      <c r="N30343" s="1"/>
    </row>
    <row r="30344" spans="7:14" x14ac:dyDescent="0.3">
      <c r="G30344" s="1"/>
      <c r="N30344" s="1"/>
    </row>
    <row r="30345" spans="7:14" x14ac:dyDescent="0.3">
      <c r="G30345" s="1"/>
      <c r="N30345" s="1"/>
    </row>
    <row r="30346" spans="7:14" x14ac:dyDescent="0.3">
      <c r="G30346" s="1"/>
      <c r="N30346" s="1"/>
    </row>
    <row r="30347" spans="7:14" x14ac:dyDescent="0.3">
      <c r="G30347" s="1"/>
      <c r="N30347" s="1"/>
    </row>
    <row r="30348" spans="7:14" x14ac:dyDescent="0.3">
      <c r="G30348" s="1"/>
      <c r="N30348" s="1"/>
    </row>
    <row r="30349" spans="7:14" x14ac:dyDescent="0.3">
      <c r="G30349" s="1"/>
      <c r="N30349" s="1"/>
    </row>
    <row r="30350" spans="7:14" x14ac:dyDescent="0.3">
      <c r="G30350" s="1"/>
      <c r="N30350" s="1"/>
    </row>
    <row r="30351" spans="7:14" x14ac:dyDescent="0.3">
      <c r="G30351" s="1"/>
      <c r="N30351" s="1"/>
    </row>
    <row r="30352" spans="7:14" x14ac:dyDescent="0.3">
      <c r="G30352" s="1"/>
      <c r="N30352" s="1"/>
    </row>
    <row r="30353" spans="7:14" x14ac:dyDescent="0.3">
      <c r="G30353" s="1"/>
      <c r="N30353" s="1"/>
    </row>
    <row r="30354" spans="7:14" x14ac:dyDescent="0.3">
      <c r="G30354" s="1"/>
      <c r="N30354" s="1"/>
    </row>
    <row r="30355" spans="7:14" x14ac:dyDescent="0.3">
      <c r="G30355" s="1"/>
      <c r="N30355" s="1"/>
    </row>
    <row r="30356" spans="7:14" x14ac:dyDescent="0.3">
      <c r="G30356" s="1"/>
      <c r="N30356" s="1"/>
    </row>
    <row r="30357" spans="7:14" x14ac:dyDescent="0.3">
      <c r="G30357" s="1"/>
      <c r="N30357" s="1"/>
    </row>
    <row r="30358" spans="7:14" x14ac:dyDescent="0.3">
      <c r="G30358" s="1"/>
      <c r="N30358" s="1"/>
    </row>
    <row r="30359" spans="7:14" x14ac:dyDescent="0.3">
      <c r="G30359" s="1"/>
      <c r="N30359" s="1"/>
    </row>
    <row r="30360" spans="7:14" x14ac:dyDescent="0.3">
      <c r="G30360" s="1"/>
      <c r="N30360" s="1"/>
    </row>
    <row r="30361" spans="7:14" x14ac:dyDescent="0.3">
      <c r="G30361" s="1"/>
      <c r="N30361" s="1"/>
    </row>
    <row r="30362" spans="7:14" x14ac:dyDescent="0.3">
      <c r="G30362" s="1"/>
      <c r="N30362" s="1"/>
    </row>
    <row r="30363" spans="7:14" x14ac:dyDescent="0.3">
      <c r="G30363" s="1"/>
      <c r="N30363" s="1"/>
    </row>
    <row r="30364" spans="7:14" x14ac:dyDescent="0.3">
      <c r="G30364" s="1"/>
      <c r="N30364" s="1"/>
    </row>
    <row r="30365" spans="7:14" x14ac:dyDescent="0.3">
      <c r="G30365" s="1"/>
      <c r="N30365" s="1"/>
    </row>
    <row r="30366" spans="7:14" x14ac:dyDescent="0.3">
      <c r="G30366" s="1"/>
      <c r="N30366" s="1"/>
    </row>
    <row r="30367" spans="7:14" x14ac:dyDescent="0.3">
      <c r="G30367" s="1"/>
      <c r="N30367" s="1"/>
    </row>
    <row r="30368" spans="7:14" x14ac:dyDescent="0.3">
      <c r="G30368" s="1"/>
      <c r="N30368" s="1"/>
    </row>
    <row r="30369" spans="7:14" x14ac:dyDescent="0.3">
      <c r="G30369" s="1"/>
      <c r="N30369" s="1"/>
    </row>
    <row r="30370" spans="7:14" x14ac:dyDescent="0.3">
      <c r="G30370" s="1"/>
      <c r="N30370" s="1"/>
    </row>
    <row r="30371" spans="7:14" x14ac:dyDescent="0.3">
      <c r="G30371" s="1"/>
      <c r="N30371" s="1"/>
    </row>
    <row r="30372" spans="7:14" x14ac:dyDescent="0.3">
      <c r="G30372" s="1"/>
      <c r="N30372" s="1"/>
    </row>
    <row r="30373" spans="7:14" x14ac:dyDescent="0.3">
      <c r="G30373" s="1"/>
      <c r="N30373" s="1"/>
    </row>
    <row r="30374" spans="7:14" x14ac:dyDescent="0.3">
      <c r="G30374" s="1"/>
      <c r="N30374" s="1"/>
    </row>
    <row r="30375" spans="7:14" x14ac:dyDescent="0.3">
      <c r="G30375" s="1"/>
      <c r="N30375" s="1"/>
    </row>
    <row r="30376" spans="7:14" x14ac:dyDescent="0.3">
      <c r="G30376" s="1"/>
      <c r="N30376" s="1"/>
    </row>
    <row r="30377" spans="7:14" x14ac:dyDescent="0.3">
      <c r="G30377" s="1"/>
      <c r="N30377" s="1"/>
    </row>
    <row r="30378" spans="7:14" x14ac:dyDescent="0.3">
      <c r="G30378" s="1"/>
      <c r="N30378" s="1"/>
    </row>
    <row r="30379" spans="7:14" x14ac:dyDescent="0.3">
      <c r="G30379" s="1"/>
      <c r="N30379" s="1"/>
    </row>
    <row r="30380" spans="7:14" x14ac:dyDescent="0.3">
      <c r="G30380" s="1"/>
      <c r="N30380" s="1"/>
    </row>
    <row r="30381" spans="7:14" x14ac:dyDescent="0.3">
      <c r="G30381" s="1"/>
      <c r="N30381" s="1"/>
    </row>
    <row r="30382" spans="7:14" x14ac:dyDescent="0.3">
      <c r="G30382" s="1"/>
      <c r="N30382" s="1"/>
    </row>
    <row r="30383" spans="7:14" x14ac:dyDescent="0.3">
      <c r="G30383" s="1"/>
      <c r="N30383" s="1"/>
    </row>
    <row r="30384" spans="7:14" x14ac:dyDescent="0.3">
      <c r="G30384" s="1"/>
      <c r="N30384" s="1"/>
    </row>
    <row r="30385" spans="7:14" x14ac:dyDescent="0.3">
      <c r="G30385" s="1"/>
      <c r="N30385" s="1"/>
    </row>
    <row r="30386" spans="7:14" x14ac:dyDescent="0.3">
      <c r="G30386" s="1"/>
      <c r="N30386" s="1"/>
    </row>
    <row r="30387" spans="7:14" x14ac:dyDescent="0.3">
      <c r="G30387" s="1"/>
      <c r="N30387" s="1"/>
    </row>
    <row r="30388" spans="7:14" x14ac:dyDescent="0.3">
      <c r="G30388" s="1"/>
      <c r="N30388" s="1"/>
    </row>
    <row r="30389" spans="7:14" x14ac:dyDescent="0.3">
      <c r="G30389" s="1"/>
      <c r="N30389" s="1"/>
    </row>
    <row r="30390" spans="7:14" x14ac:dyDescent="0.3">
      <c r="G30390" s="1"/>
      <c r="N30390" s="1"/>
    </row>
    <row r="30391" spans="7:14" x14ac:dyDescent="0.3">
      <c r="G30391" s="1"/>
      <c r="N30391" s="1"/>
    </row>
    <row r="30392" spans="7:14" x14ac:dyDescent="0.3">
      <c r="G30392" s="1"/>
      <c r="N30392" s="1"/>
    </row>
    <row r="30393" spans="7:14" x14ac:dyDescent="0.3">
      <c r="G30393" s="1"/>
      <c r="N30393" s="1"/>
    </row>
    <row r="30394" spans="7:14" x14ac:dyDescent="0.3">
      <c r="G30394" s="1"/>
      <c r="N30394" s="1"/>
    </row>
    <row r="30395" spans="7:14" x14ac:dyDescent="0.3">
      <c r="G30395" s="1"/>
      <c r="N30395" s="1"/>
    </row>
    <row r="30396" spans="7:14" x14ac:dyDescent="0.3">
      <c r="G30396" s="1"/>
      <c r="N30396" s="1"/>
    </row>
    <row r="30397" spans="7:14" x14ac:dyDescent="0.3">
      <c r="G30397" s="1"/>
      <c r="N30397" s="1"/>
    </row>
    <row r="30398" spans="7:14" x14ac:dyDescent="0.3">
      <c r="G30398" s="1"/>
      <c r="N30398" s="1"/>
    </row>
    <row r="30399" spans="7:14" x14ac:dyDescent="0.3">
      <c r="G30399" s="1"/>
      <c r="N30399" s="1"/>
    </row>
    <row r="30400" spans="7:14" x14ac:dyDescent="0.3">
      <c r="G30400" s="1"/>
      <c r="N30400" s="1"/>
    </row>
    <row r="30401" spans="7:14" x14ac:dyDescent="0.3">
      <c r="G30401" s="1"/>
      <c r="N30401" s="1"/>
    </row>
    <row r="30402" spans="7:14" x14ac:dyDescent="0.3">
      <c r="G30402" s="1"/>
      <c r="N30402" s="1"/>
    </row>
    <row r="30403" spans="7:14" x14ac:dyDescent="0.3">
      <c r="G30403" s="1"/>
      <c r="N30403" s="1"/>
    </row>
    <row r="30404" spans="7:14" x14ac:dyDescent="0.3">
      <c r="G30404" s="1"/>
      <c r="N30404" s="1"/>
    </row>
    <row r="30405" spans="7:14" x14ac:dyDescent="0.3">
      <c r="G30405" s="1"/>
      <c r="N30405" s="1"/>
    </row>
    <row r="30406" spans="7:14" x14ac:dyDescent="0.3">
      <c r="G30406" s="1"/>
      <c r="N30406" s="1"/>
    </row>
    <row r="30407" spans="7:14" x14ac:dyDescent="0.3">
      <c r="G30407" s="1"/>
      <c r="N30407" s="1"/>
    </row>
    <row r="30408" spans="7:14" x14ac:dyDescent="0.3">
      <c r="G30408" s="1"/>
      <c r="N30408" s="1"/>
    </row>
    <row r="30409" spans="7:14" x14ac:dyDescent="0.3">
      <c r="G30409" s="1"/>
      <c r="N30409" s="1"/>
    </row>
    <row r="30410" spans="7:14" x14ac:dyDescent="0.3">
      <c r="G30410" s="1"/>
      <c r="N30410" s="1"/>
    </row>
    <row r="30411" spans="7:14" x14ac:dyDescent="0.3">
      <c r="G30411" s="1"/>
      <c r="N30411" s="1"/>
    </row>
    <row r="30412" spans="7:14" x14ac:dyDescent="0.3">
      <c r="G30412" s="1"/>
      <c r="N30412" s="1"/>
    </row>
    <row r="30413" spans="7:14" x14ac:dyDescent="0.3">
      <c r="G30413" s="1"/>
      <c r="N30413" s="1"/>
    </row>
    <row r="30414" spans="7:14" x14ac:dyDescent="0.3">
      <c r="G30414" s="1"/>
      <c r="N30414" s="1"/>
    </row>
    <row r="30415" spans="7:14" x14ac:dyDescent="0.3">
      <c r="G30415" s="1"/>
      <c r="N30415" s="1"/>
    </row>
    <row r="30416" spans="7:14" x14ac:dyDescent="0.3">
      <c r="G30416" s="1"/>
      <c r="N30416" s="1"/>
    </row>
    <row r="30417" spans="7:14" x14ac:dyDescent="0.3">
      <c r="G30417" s="1"/>
      <c r="N30417" s="1"/>
    </row>
    <row r="30418" spans="7:14" x14ac:dyDescent="0.3">
      <c r="G30418" s="1"/>
      <c r="N30418" s="1"/>
    </row>
    <row r="30419" spans="7:14" x14ac:dyDescent="0.3">
      <c r="G30419" s="1"/>
      <c r="N30419" s="1"/>
    </row>
    <row r="30420" spans="7:14" x14ac:dyDescent="0.3">
      <c r="G30420" s="1"/>
      <c r="N30420" s="1"/>
    </row>
    <row r="30421" spans="7:14" x14ac:dyDescent="0.3">
      <c r="G30421" s="1"/>
      <c r="N30421" s="1"/>
    </row>
    <row r="30422" spans="7:14" x14ac:dyDescent="0.3">
      <c r="G30422" s="1"/>
      <c r="N30422" s="1"/>
    </row>
    <row r="30423" spans="7:14" x14ac:dyDescent="0.3">
      <c r="G30423" s="1"/>
      <c r="N30423" s="1"/>
    </row>
    <row r="30424" spans="7:14" x14ac:dyDescent="0.3">
      <c r="G30424" s="1"/>
      <c r="N30424" s="1"/>
    </row>
    <row r="30425" spans="7:14" x14ac:dyDescent="0.3">
      <c r="G30425" s="1"/>
      <c r="N30425" s="1"/>
    </row>
    <row r="30426" spans="7:14" x14ac:dyDescent="0.3">
      <c r="G30426" s="1"/>
      <c r="N30426" s="1"/>
    </row>
    <row r="30427" spans="7:14" x14ac:dyDescent="0.3">
      <c r="G30427" s="1"/>
      <c r="N30427" s="1"/>
    </row>
    <row r="30428" spans="7:14" x14ac:dyDescent="0.3">
      <c r="G30428" s="1"/>
      <c r="N30428" s="1"/>
    </row>
    <row r="30429" spans="7:14" x14ac:dyDescent="0.3">
      <c r="G30429" s="1"/>
      <c r="N30429" s="1"/>
    </row>
    <row r="30430" spans="7:14" x14ac:dyDescent="0.3">
      <c r="G30430" s="1"/>
      <c r="N30430" s="1"/>
    </row>
    <row r="30431" spans="7:14" x14ac:dyDescent="0.3">
      <c r="G30431" s="1"/>
      <c r="N30431" s="1"/>
    </row>
    <row r="30432" spans="7:14" x14ac:dyDescent="0.3">
      <c r="G30432" s="1"/>
      <c r="N30432" s="1"/>
    </row>
    <row r="30433" spans="7:14" x14ac:dyDescent="0.3">
      <c r="G30433" s="1"/>
      <c r="N30433" s="1"/>
    </row>
    <row r="30434" spans="7:14" x14ac:dyDescent="0.3">
      <c r="G30434" s="1"/>
      <c r="N30434" s="1"/>
    </row>
    <row r="30435" spans="7:14" x14ac:dyDescent="0.3">
      <c r="G30435" s="1"/>
      <c r="N30435" s="1"/>
    </row>
    <row r="30436" spans="7:14" x14ac:dyDescent="0.3">
      <c r="G30436" s="1"/>
      <c r="N30436" s="1"/>
    </row>
    <row r="30437" spans="7:14" x14ac:dyDescent="0.3">
      <c r="G30437" s="1"/>
      <c r="N30437" s="1"/>
    </row>
    <row r="30438" spans="7:14" x14ac:dyDescent="0.3">
      <c r="G30438" s="1"/>
      <c r="N30438" s="1"/>
    </row>
    <row r="30439" spans="7:14" x14ac:dyDescent="0.3">
      <c r="G30439" s="1"/>
      <c r="N30439" s="1"/>
    </row>
    <row r="30440" spans="7:14" x14ac:dyDescent="0.3">
      <c r="G30440" s="1"/>
      <c r="N30440" s="1"/>
    </row>
    <row r="30441" spans="7:14" x14ac:dyDescent="0.3">
      <c r="G30441" s="1"/>
      <c r="N30441" s="1"/>
    </row>
    <row r="30442" spans="7:14" x14ac:dyDescent="0.3">
      <c r="G30442" s="1"/>
      <c r="N30442" s="1"/>
    </row>
    <row r="30443" spans="7:14" x14ac:dyDescent="0.3">
      <c r="G30443" s="1"/>
      <c r="N30443" s="1"/>
    </row>
    <row r="30444" spans="7:14" x14ac:dyDescent="0.3">
      <c r="G30444" s="1"/>
      <c r="N30444" s="1"/>
    </row>
    <row r="30445" spans="7:14" x14ac:dyDescent="0.3">
      <c r="G30445" s="1"/>
      <c r="N30445" s="1"/>
    </row>
    <row r="30446" spans="7:14" x14ac:dyDescent="0.3">
      <c r="G30446" s="1"/>
      <c r="N30446" s="1"/>
    </row>
    <row r="30447" spans="7:14" x14ac:dyDescent="0.3">
      <c r="G30447" s="1"/>
      <c r="N30447" s="1"/>
    </row>
    <row r="30448" spans="7:14" x14ac:dyDescent="0.3">
      <c r="G30448" s="1"/>
      <c r="N30448" s="1"/>
    </row>
    <row r="30449" spans="7:14" x14ac:dyDescent="0.3">
      <c r="G30449" s="1"/>
      <c r="N30449" s="1"/>
    </row>
    <row r="30450" spans="7:14" x14ac:dyDescent="0.3">
      <c r="G30450" s="1"/>
      <c r="N30450" s="1"/>
    </row>
    <row r="30451" spans="7:14" x14ac:dyDescent="0.3">
      <c r="G30451" s="1"/>
      <c r="N30451" s="1"/>
    </row>
    <row r="30452" spans="7:14" x14ac:dyDescent="0.3">
      <c r="G30452" s="1"/>
      <c r="N30452" s="1"/>
    </row>
    <row r="30453" spans="7:14" x14ac:dyDescent="0.3">
      <c r="G30453" s="1"/>
      <c r="N30453" s="1"/>
    </row>
    <row r="30454" spans="7:14" x14ac:dyDescent="0.3">
      <c r="G30454" s="1"/>
      <c r="N30454" s="1"/>
    </row>
    <row r="30455" spans="7:14" x14ac:dyDescent="0.3">
      <c r="G30455" s="1"/>
      <c r="N30455" s="1"/>
    </row>
    <row r="30456" spans="7:14" x14ac:dyDescent="0.3">
      <c r="G30456" s="1"/>
      <c r="N30456" s="1"/>
    </row>
    <row r="30457" spans="7:14" x14ac:dyDescent="0.3">
      <c r="G30457" s="1"/>
      <c r="N30457" s="1"/>
    </row>
    <row r="30458" spans="7:14" x14ac:dyDescent="0.3">
      <c r="G30458" s="1"/>
      <c r="N30458" s="1"/>
    </row>
    <row r="30459" spans="7:14" x14ac:dyDescent="0.3">
      <c r="G30459" s="1"/>
      <c r="N30459" s="1"/>
    </row>
    <row r="30460" spans="7:14" x14ac:dyDescent="0.3">
      <c r="G30460" s="1"/>
      <c r="N30460" s="1"/>
    </row>
    <row r="30461" spans="7:14" x14ac:dyDescent="0.3">
      <c r="G30461" s="1"/>
      <c r="N30461" s="1"/>
    </row>
    <row r="30462" spans="7:14" x14ac:dyDescent="0.3">
      <c r="G30462" s="1"/>
      <c r="N30462" s="1"/>
    </row>
    <row r="30463" spans="7:14" x14ac:dyDescent="0.3">
      <c r="G30463" s="1"/>
      <c r="N30463" s="1"/>
    </row>
    <row r="30464" spans="7:14" x14ac:dyDescent="0.3">
      <c r="G30464" s="1"/>
      <c r="N30464" s="1"/>
    </row>
    <row r="30465" spans="7:14" x14ac:dyDescent="0.3">
      <c r="G30465" s="1"/>
      <c r="N30465" s="1"/>
    </row>
    <row r="30466" spans="7:14" x14ac:dyDescent="0.3">
      <c r="G30466" s="1"/>
      <c r="N30466" s="1"/>
    </row>
    <row r="30467" spans="7:14" x14ac:dyDescent="0.3">
      <c r="G30467" s="1"/>
      <c r="N30467" s="1"/>
    </row>
    <row r="30468" spans="7:14" x14ac:dyDescent="0.3">
      <c r="G30468" s="1"/>
      <c r="N30468" s="1"/>
    </row>
    <row r="30469" spans="7:14" x14ac:dyDescent="0.3">
      <c r="G30469" s="1"/>
      <c r="N30469" s="1"/>
    </row>
    <row r="30470" spans="7:14" x14ac:dyDescent="0.3">
      <c r="G30470" s="1"/>
      <c r="N30470" s="1"/>
    </row>
    <row r="30471" spans="7:14" x14ac:dyDescent="0.3">
      <c r="G30471" s="1"/>
      <c r="N30471" s="1"/>
    </row>
    <row r="30472" spans="7:14" x14ac:dyDescent="0.3">
      <c r="G30472" s="1"/>
      <c r="N30472" s="1"/>
    </row>
    <row r="30473" spans="7:14" x14ac:dyDescent="0.3">
      <c r="G30473" s="1"/>
      <c r="N30473" s="1"/>
    </row>
    <row r="30474" spans="7:14" x14ac:dyDescent="0.3">
      <c r="G30474" s="1"/>
      <c r="N30474" s="1"/>
    </row>
    <row r="30475" spans="7:14" x14ac:dyDescent="0.3">
      <c r="G30475" s="1"/>
      <c r="N30475" s="1"/>
    </row>
    <row r="30476" spans="7:14" x14ac:dyDescent="0.3">
      <c r="G30476" s="1"/>
      <c r="N30476" s="1"/>
    </row>
    <row r="30477" spans="7:14" x14ac:dyDescent="0.3">
      <c r="G30477" s="1"/>
      <c r="N30477" s="1"/>
    </row>
    <row r="30478" spans="7:14" x14ac:dyDescent="0.3">
      <c r="G30478" s="1"/>
      <c r="N30478" s="1"/>
    </row>
    <row r="30479" spans="7:14" x14ac:dyDescent="0.3">
      <c r="G30479" s="1"/>
      <c r="N30479" s="1"/>
    </row>
    <row r="30480" spans="7:14" x14ac:dyDescent="0.3">
      <c r="G30480" s="1"/>
      <c r="N30480" s="1"/>
    </row>
    <row r="30481" spans="7:14" x14ac:dyDescent="0.3">
      <c r="G30481" s="1"/>
      <c r="N30481" s="1"/>
    </row>
    <row r="30482" spans="7:14" x14ac:dyDescent="0.3">
      <c r="G30482" s="1"/>
      <c r="N30482" s="1"/>
    </row>
    <row r="30483" spans="7:14" x14ac:dyDescent="0.3">
      <c r="G30483" s="1"/>
      <c r="N30483" s="1"/>
    </row>
    <row r="30484" spans="7:14" x14ac:dyDescent="0.3">
      <c r="G30484" s="1"/>
      <c r="N30484" s="1"/>
    </row>
    <row r="30485" spans="7:14" x14ac:dyDescent="0.3">
      <c r="G30485" s="1"/>
      <c r="N30485" s="1"/>
    </row>
    <row r="30486" spans="7:14" x14ac:dyDescent="0.3">
      <c r="G30486" s="1"/>
      <c r="N30486" s="1"/>
    </row>
    <row r="30487" spans="7:14" x14ac:dyDescent="0.3">
      <c r="G30487" s="1"/>
      <c r="N30487" s="1"/>
    </row>
    <row r="30488" spans="7:14" x14ac:dyDescent="0.3">
      <c r="G30488" s="1"/>
      <c r="N30488" s="1"/>
    </row>
    <row r="30489" spans="7:14" x14ac:dyDescent="0.3">
      <c r="G30489" s="1"/>
      <c r="N30489" s="1"/>
    </row>
    <row r="30490" spans="7:14" x14ac:dyDescent="0.3">
      <c r="G30490" s="1"/>
      <c r="N30490" s="1"/>
    </row>
    <row r="30491" spans="7:14" x14ac:dyDescent="0.3">
      <c r="G30491" s="1"/>
      <c r="N30491" s="1"/>
    </row>
    <row r="30492" spans="7:14" x14ac:dyDescent="0.3">
      <c r="G30492" s="1"/>
      <c r="N30492" s="1"/>
    </row>
    <row r="30493" spans="7:14" x14ac:dyDescent="0.3">
      <c r="G30493" s="1"/>
      <c r="N30493" s="1"/>
    </row>
    <row r="30494" spans="7:14" x14ac:dyDescent="0.3">
      <c r="G30494" s="1"/>
      <c r="N30494" s="1"/>
    </row>
    <row r="30495" spans="7:14" x14ac:dyDescent="0.3">
      <c r="G30495" s="1"/>
      <c r="N30495" s="1"/>
    </row>
    <row r="30496" spans="7:14" x14ac:dyDescent="0.3">
      <c r="G30496" s="1"/>
      <c r="N30496" s="1"/>
    </row>
    <row r="30497" spans="7:14" x14ac:dyDescent="0.3">
      <c r="G30497" s="1"/>
      <c r="N30497" s="1"/>
    </row>
    <row r="30498" spans="7:14" x14ac:dyDescent="0.3">
      <c r="G30498" s="1"/>
      <c r="N30498" s="1"/>
    </row>
    <row r="30499" spans="7:14" x14ac:dyDescent="0.3">
      <c r="G30499" s="1"/>
      <c r="N30499" s="1"/>
    </row>
    <row r="30500" spans="7:14" x14ac:dyDescent="0.3">
      <c r="G30500" s="1"/>
      <c r="N30500" s="1"/>
    </row>
    <row r="30501" spans="7:14" x14ac:dyDescent="0.3">
      <c r="G30501" s="1"/>
      <c r="N30501" s="1"/>
    </row>
    <row r="30502" spans="7:14" x14ac:dyDescent="0.3">
      <c r="G30502" s="1"/>
      <c r="N30502" s="1"/>
    </row>
    <row r="30503" spans="7:14" x14ac:dyDescent="0.3">
      <c r="G30503" s="1"/>
      <c r="N30503" s="1"/>
    </row>
    <row r="30504" spans="7:14" x14ac:dyDescent="0.3">
      <c r="G30504" s="1"/>
      <c r="N30504" s="1"/>
    </row>
    <row r="30505" spans="7:14" x14ac:dyDescent="0.3">
      <c r="G30505" s="1"/>
      <c r="N30505" s="1"/>
    </row>
    <row r="30506" spans="7:14" x14ac:dyDescent="0.3">
      <c r="G30506" s="1"/>
      <c r="N30506" s="1"/>
    </row>
    <row r="30507" spans="7:14" x14ac:dyDescent="0.3">
      <c r="G30507" s="1"/>
      <c r="N30507" s="1"/>
    </row>
    <row r="30508" spans="7:14" x14ac:dyDescent="0.3">
      <c r="G30508" s="1"/>
      <c r="N30508" s="1"/>
    </row>
    <row r="30509" spans="7:14" x14ac:dyDescent="0.3">
      <c r="G30509" s="1"/>
      <c r="N30509" s="1"/>
    </row>
    <row r="30510" spans="7:14" x14ac:dyDescent="0.3">
      <c r="G30510" s="1"/>
      <c r="N30510" s="1"/>
    </row>
    <row r="30511" spans="7:14" x14ac:dyDescent="0.3">
      <c r="G30511" s="1"/>
      <c r="N30511" s="1"/>
    </row>
    <row r="30512" spans="7:14" x14ac:dyDescent="0.3">
      <c r="G30512" s="1"/>
      <c r="N30512" s="1"/>
    </row>
    <row r="30513" spans="7:14" x14ac:dyDescent="0.3">
      <c r="G30513" s="1"/>
      <c r="N30513" s="1"/>
    </row>
    <row r="30514" spans="7:14" x14ac:dyDescent="0.3">
      <c r="G30514" s="1"/>
      <c r="N30514" s="1"/>
    </row>
    <row r="30515" spans="7:14" x14ac:dyDescent="0.3">
      <c r="G30515" s="1"/>
      <c r="N30515" s="1"/>
    </row>
    <row r="30516" spans="7:14" x14ac:dyDescent="0.3">
      <c r="G30516" s="1"/>
      <c r="N30516" s="1"/>
    </row>
    <row r="30517" spans="7:14" x14ac:dyDescent="0.3">
      <c r="G30517" s="1"/>
      <c r="N30517" s="1"/>
    </row>
    <row r="30518" spans="7:14" x14ac:dyDescent="0.3">
      <c r="G30518" s="1"/>
      <c r="N30518" s="1"/>
    </row>
    <row r="30519" spans="7:14" x14ac:dyDescent="0.3">
      <c r="G30519" s="1"/>
      <c r="N30519" s="1"/>
    </row>
    <row r="30520" spans="7:14" x14ac:dyDescent="0.3">
      <c r="G30520" s="1"/>
      <c r="N30520" s="1"/>
    </row>
    <row r="30521" spans="7:14" x14ac:dyDescent="0.3">
      <c r="G30521" s="1"/>
      <c r="N30521" s="1"/>
    </row>
    <row r="30522" spans="7:14" x14ac:dyDescent="0.3">
      <c r="G30522" s="1"/>
      <c r="N30522" s="1"/>
    </row>
    <row r="30523" spans="7:14" x14ac:dyDescent="0.3">
      <c r="G30523" s="1"/>
      <c r="N30523" s="1"/>
    </row>
    <row r="30524" spans="7:14" x14ac:dyDescent="0.3">
      <c r="G30524" s="1"/>
      <c r="N30524" s="1"/>
    </row>
    <row r="30525" spans="7:14" x14ac:dyDescent="0.3">
      <c r="G30525" s="1"/>
      <c r="N30525" s="1"/>
    </row>
    <row r="30526" spans="7:14" x14ac:dyDescent="0.3">
      <c r="G30526" s="1"/>
      <c r="N30526" s="1"/>
    </row>
    <row r="30527" spans="7:14" x14ac:dyDescent="0.3">
      <c r="G30527" s="1"/>
      <c r="N30527" s="1"/>
    </row>
    <row r="30528" spans="7:14" x14ac:dyDescent="0.3">
      <c r="G30528" s="1"/>
      <c r="N30528" s="1"/>
    </row>
    <row r="30529" spans="7:14" x14ac:dyDescent="0.3">
      <c r="G30529" s="1"/>
      <c r="N30529" s="1"/>
    </row>
    <row r="30530" spans="7:14" x14ac:dyDescent="0.3">
      <c r="G30530" s="1"/>
      <c r="N30530" s="1"/>
    </row>
    <row r="30531" spans="7:14" x14ac:dyDescent="0.3">
      <c r="G30531" s="1"/>
      <c r="N30531" s="1"/>
    </row>
    <row r="30532" spans="7:14" x14ac:dyDescent="0.3">
      <c r="G30532" s="1"/>
      <c r="N30532" s="1"/>
    </row>
    <row r="30533" spans="7:14" x14ac:dyDescent="0.3">
      <c r="G30533" s="1"/>
      <c r="N30533" s="1"/>
    </row>
    <row r="30534" spans="7:14" x14ac:dyDescent="0.3">
      <c r="G30534" s="1"/>
      <c r="N30534" s="1"/>
    </row>
    <row r="30535" spans="7:14" x14ac:dyDescent="0.3">
      <c r="G30535" s="1"/>
      <c r="N30535" s="1"/>
    </row>
    <row r="30536" spans="7:14" x14ac:dyDescent="0.3">
      <c r="G30536" s="1"/>
      <c r="N30536" s="1"/>
    </row>
    <row r="30537" spans="7:14" x14ac:dyDescent="0.3">
      <c r="G30537" s="1"/>
      <c r="N30537" s="1"/>
    </row>
    <row r="30538" spans="7:14" x14ac:dyDescent="0.3">
      <c r="G30538" s="1"/>
      <c r="N30538" s="1"/>
    </row>
    <row r="30539" spans="7:14" x14ac:dyDescent="0.3">
      <c r="G30539" s="1"/>
      <c r="N30539" s="1"/>
    </row>
    <row r="30540" spans="7:14" x14ac:dyDescent="0.3">
      <c r="G30540" s="1"/>
      <c r="N30540" s="1"/>
    </row>
    <row r="30541" spans="7:14" x14ac:dyDescent="0.3">
      <c r="G30541" s="1"/>
      <c r="N30541" s="1"/>
    </row>
    <row r="30542" spans="7:14" x14ac:dyDescent="0.3">
      <c r="G30542" s="1"/>
      <c r="N30542" s="1"/>
    </row>
    <row r="30543" spans="7:14" x14ac:dyDescent="0.3">
      <c r="G30543" s="1"/>
      <c r="N30543" s="1"/>
    </row>
    <row r="30544" spans="7:14" x14ac:dyDescent="0.3">
      <c r="G30544" s="1"/>
      <c r="N30544" s="1"/>
    </row>
    <row r="30545" spans="7:14" x14ac:dyDescent="0.3">
      <c r="G30545" s="1"/>
      <c r="N30545" s="1"/>
    </row>
    <row r="30546" spans="7:14" x14ac:dyDescent="0.3">
      <c r="G30546" s="1"/>
      <c r="N30546" s="1"/>
    </row>
    <row r="30547" spans="7:14" x14ac:dyDescent="0.3">
      <c r="G30547" s="1"/>
      <c r="N30547" s="1"/>
    </row>
    <row r="30548" spans="7:14" x14ac:dyDescent="0.3">
      <c r="G30548" s="1"/>
      <c r="N30548" s="1"/>
    </row>
    <row r="30549" spans="7:14" x14ac:dyDescent="0.3">
      <c r="G30549" s="1"/>
      <c r="N30549" s="1"/>
    </row>
    <row r="30550" spans="7:14" x14ac:dyDescent="0.3">
      <c r="G30550" s="1"/>
      <c r="N30550" s="1"/>
    </row>
    <row r="30551" spans="7:14" x14ac:dyDescent="0.3">
      <c r="G30551" s="1"/>
      <c r="N30551" s="1"/>
    </row>
    <row r="30552" spans="7:14" x14ac:dyDescent="0.3">
      <c r="G30552" s="1"/>
      <c r="N30552" s="1"/>
    </row>
    <row r="30553" spans="7:14" x14ac:dyDescent="0.3">
      <c r="G30553" s="1"/>
      <c r="N30553" s="1"/>
    </row>
    <row r="30554" spans="7:14" x14ac:dyDescent="0.3">
      <c r="G30554" s="1"/>
      <c r="N30554" s="1"/>
    </row>
    <row r="30555" spans="7:14" x14ac:dyDescent="0.3">
      <c r="G30555" s="1"/>
      <c r="N30555" s="1"/>
    </row>
    <row r="30556" spans="7:14" x14ac:dyDescent="0.3">
      <c r="G30556" s="1"/>
      <c r="N30556" s="1"/>
    </row>
    <row r="30557" spans="7:14" x14ac:dyDescent="0.3">
      <c r="G30557" s="1"/>
      <c r="N30557" s="1"/>
    </row>
    <row r="30558" spans="7:14" x14ac:dyDescent="0.3">
      <c r="G30558" s="1"/>
      <c r="N30558" s="1"/>
    </row>
    <row r="30559" spans="7:14" x14ac:dyDescent="0.3">
      <c r="G30559" s="1"/>
      <c r="N30559" s="1"/>
    </row>
    <row r="30560" spans="7:14" x14ac:dyDescent="0.3">
      <c r="G30560" s="1"/>
      <c r="N30560" s="1"/>
    </row>
    <row r="30561" spans="7:14" x14ac:dyDescent="0.3">
      <c r="G30561" s="1"/>
      <c r="N30561" s="1"/>
    </row>
    <row r="30562" spans="7:14" x14ac:dyDescent="0.3">
      <c r="G30562" s="1"/>
      <c r="N30562" s="1"/>
    </row>
    <row r="30563" spans="7:14" x14ac:dyDescent="0.3">
      <c r="G30563" s="1"/>
      <c r="N30563" s="1"/>
    </row>
    <row r="30564" spans="7:14" x14ac:dyDescent="0.3">
      <c r="G30564" s="1"/>
      <c r="N30564" s="1"/>
    </row>
    <row r="30565" spans="7:14" x14ac:dyDescent="0.3">
      <c r="G30565" s="1"/>
      <c r="N30565" s="1"/>
    </row>
    <row r="30566" spans="7:14" x14ac:dyDescent="0.3">
      <c r="G30566" s="1"/>
      <c r="N30566" s="1"/>
    </row>
    <row r="30567" spans="7:14" x14ac:dyDescent="0.3">
      <c r="G30567" s="1"/>
      <c r="N30567" s="1"/>
    </row>
    <row r="30568" spans="7:14" x14ac:dyDescent="0.3">
      <c r="G30568" s="1"/>
      <c r="N30568" s="1"/>
    </row>
    <row r="30569" spans="7:14" x14ac:dyDescent="0.3">
      <c r="G30569" s="1"/>
      <c r="N30569" s="1"/>
    </row>
    <row r="30570" spans="7:14" x14ac:dyDescent="0.3">
      <c r="G30570" s="1"/>
      <c r="N30570" s="1"/>
    </row>
    <row r="30571" spans="7:14" x14ac:dyDescent="0.3">
      <c r="G30571" s="1"/>
      <c r="N30571" s="1"/>
    </row>
    <row r="30572" spans="7:14" x14ac:dyDescent="0.3">
      <c r="G30572" s="1"/>
      <c r="N30572" s="1"/>
    </row>
    <row r="30573" spans="7:14" x14ac:dyDescent="0.3">
      <c r="G30573" s="1"/>
      <c r="N30573" s="1"/>
    </row>
    <row r="30574" spans="7:14" x14ac:dyDescent="0.3">
      <c r="G30574" s="1"/>
      <c r="N30574" s="1"/>
    </row>
    <row r="30575" spans="7:14" x14ac:dyDescent="0.3">
      <c r="G30575" s="1"/>
      <c r="N30575" s="1"/>
    </row>
    <row r="30576" spans="7:14" x14ac:dyDescent="0.3">
      <c r="G30576" s="1"/>
      <c r="N30576" s="1"/>
    </row>
    <row r="30577" spans="7:14" x14ac:dyDescent="0.3">
      <c r="G30577" s="1"/>
      <c r="N30577" s="1"/>
    </row>
    <row r="30578" spans="7:14" x14ac:dyDescent="0.3">
      <c r="G30578" s="1"/>
      <c r="N30578" s="1"/>
    </row>
    <row r="30579" spans="7:14" x14ac:dyDescent="0.3">
      <c r="G30579" s="1"/>
      <c r="N30579" s="1"/>
    </row>
    <row r="30580" spans="7:14" x14ac:dyDescent="0.3">
      <c r="G30580" s="1"/>
      <c r="N30580" s="1"/>
    </row>
    <row r="30581" spans="7:14" x14ac:dyDescent="0.3">
      <c r="G30581" s="1"/>
      <c r="N30581" s="1"/>
    </row>
    <row r="30582" spans="7:14" x14ac:dyDescent="0.3">
      <c r="G30582" s="1"/>
      <c r="N30582" s="1"/>
    </row>
    <row r="30583" spans="7:14" x14ac:dyDescent="0.3">
      <c r="G30583" s="1"/>
      <c r="N30583" s="1"/>
    </row>
    <row r="30584" spans="7:14" x14ac:dyDescent="0.3">
      <c r="G30584" s="1"/>
      <c r="N30584" s="1"/>
    </row>
    <row r="30585" spans="7:14" x14ac:dyDescent="0.3">
      <c r="G30585" s="1"/>
      <c r="N30585" s="1"/>
    </row>
    <row r="30586" spans="7:14" x14ac:dyDescent="0.3">
      <c r="G30586" s="1"/>
      <c r="N30586" s="1"/>
    </row>
    <row r="30587" spans="7:14" x14ac:dyDescent="0.3">
      <c r="G30587" s="1"/>
      <c r="N30587" s="1"/>
    </row>
    <row r="30588" spans="7:14" x14ac:dyDescent="0.3">
      <c r="G30588" s="1"/>
      <c r="N30588" s="1"/>
    </row>
    <row r="30589" spans="7:14" x14ac:dyDescent="0.3">
      <c r="G30589" s="1"/>
      <c r="N30589" s="1"/>
    </row>
    <row r="30590" spans="7:14" x14ac:dyDescent="0.3">
      <c r="G30590" s="1"/>
      <c r="N30590" s="1"/>
    </row>
    <row r="30591" spans="7:14" x14ac:dyDescent="0.3">
      <c r="G30591" s="1"/>
      <c r="N30591" s="1"/>
    </row>
    <row r="30592" spans="7:14" x14ac:dyDescent="0.3">
      <c r="G30592" s="1"/>
      <c r="N30592" s="1"/>
    </row>
    <row r="30593" spans="7:14" x14ac:dyDescent="0.3">
      <c r="G30593" s="1"/>
      <c r="N30593" s="1"/>
    </row>
    <row r="30594" spans="7:14" x14ac:dyDescent="0.3">
      <c r="G30594" s="1"/>
      <c r="N30594" s="1"/>
    </row>
    <row r="30595" spans="7:14" x14ac:dyDescent="0.3">
      <c r="G30595" s="1"/>
      <c r="N30595" s="1"/>
    </row>
    <row r="30596" spans="7:14" x14ac:dyDescent="0.3">
      <c r="G30596" s="1"/>
      <c r="N30596" s="1"/>
    </row>
    <row r="30597" spans="7:14" x14ac:dyDescent="0.3">
      <c r="G30597" s="1"/>
      <c r="N30597" s="1"/>
    </row>
    <row r="30598" spans="7:14" x14ac:dyDescent="0.3">
      <c r="G30598" s="1"/>
      <c r="N30598" s="1"/>
    </row>
    <row r="30599" spans="7:14" x14ac:dyDescent="0.3">
      <c r="G30599" s="1"/>
      <c r="N30599" s="1"/>
    </row>
    <row r="30600" spans="7:14" x14ac:dyDescent="0.3">
      <c r="G30600" s="1"/>
      <c r="N30600" s="1"/>
    </row>
    <row r="30601" spans="7:14" x14ac:dyDescent="0.3">
      <c r="G30601" s="1"/>
      <c r="N30601" s="1"/>
    </row>
    <row r="30602" spans="7:14" x14ac:dyDescent="0.3">
      <c r="G30602" s="1"/>
      <c r="N30602" s="1"/>
    </row>
    <row r="30603" spans="7:14" x14ac:dyDescent="0.3">
      <c r="G30603" s="1"/>
      <c r="N30603" s="1"/>
    </row>
    <row r="30604" spans="7:14" x14ac:dyDescent="0.3">
      <c r="G30604" s="1"/>
      <c r="N30604" s="1"/>
    </row>
    <row r="30605" spans="7:14" x14ac:dyDescent="0.3">
      <c r="G30605" s="1"/>
      <c r="N30605" s="1"/>
    </row>
    <row r="30606" spans="7:14" x14ac:dyDescent="0.3">
      <c r="G30606" s="1"/>
      <c r="N30606" s="1"/>
    </row>
    <row r="30607" spans="7:14" x14ac:dyDescent="0.3">
      <c r="G30607" s="1"/>
      <c r="N30607" s="1"/>
    </row>
    <row r="30608" spans="7:14" x14ac:dyDescent="0.3">
      <c r="G30608" s="1"/>
      <c r="N30608" s="1"/>
    </row>
    <row r="30609" spans="7:14" x14ac:dyDescent="0.3">
      <c r="G30609" s="1"/>
      <c r="N30609" s="1"/>
    </row>
    <row r="30610" spans="7:14" x14ac:dyDescent="0.3">
      <c r="G30610" s="1"/>
      <c r="N30610" s="1"/>
    </row>
    <row r="30611" spans="7:14" x14ac:dyDescent="0.3">
      <c r="G30611" s="1"/>
      <c r="N30611" s="1"/>
    </row>
    <row r="30612" spans="7:14" x14ac:dyDescent="0.3">
      <c r="G30612" s="1"/>
      <c r="N30612" s="1"/>
    </row>
    <row r="30613" spans="7:14" x14ac:dyDescent="0.3">
      <c r="G30613" s="1"/>
      <c r="N30613" s="1"/>
    </row>
    <row r="30614" spans="7:14" x14ac:dyDescent="0.3">
      <c r="G30614" s="1"/>
      <c r="N30614" s="1"/>
    </row>
    <row r="30615" spans="7:14" x14ac:dyDescent="0.3">
      <c r="G30615" s="1"/>
      <c r="N30615" s="1"/>
    </row>
    <row r="30616" spans="7:14" x14ac:dyDescent="0.3">
      <c r="G30616" s="1"/>
      <c r="N30616" s="1"/>
    </row>
    <row r="30617" spans="7:14" x14ac:dyDescent="0.3">
      <c r="G30617" s="1"/>
      <c r="N30617" s="1"/>
    </row>
    <row r="30618" spans="7:14" x14ac:dyDescent="0.3">
      <c r="G30618" s="1"/>
      <c r="N30618" s="1"/>
    </row>
    <row r="30619" spans="7:14" x14ac:dyDescent="0.3">
      <c r="G30619" s="1"/>
      <c r="N30619" s="1"/>
    </row>
    <row r="30620" spans="7:14" x14ac:dyDescent="0.3">
      <c r="G30620" s="1"/>
      <c r="N30620" s="1"/>
    </row>
    <row r="30621" spans="7:14" x14ac:dyDescent="0.3">
      <c r="G30621" s="1"/>
      <c r="N30621" s="1"/>
    </row>
    <row r="30622" spans="7:14" x14ac:dyDescent="0.3">
      <c r="G30622" s="1"/>
      <c r="N30622" s="1"/>
    </row>
    <row r="30623" spans="7:14" x14ac:dyDescent="0.3">
      <c r="G30623" s="1"/>
      <c r="N30623" s="1"/>
    </row>
    <row r="30624" spans="7:14" x14ac:dyDescent="0.3">
      <c r="G30624" s="1"/>
      <c r="N30624" s="1"/>
    </row>
    <row r="30625" spans="7:14" x14ac:dyDescent="0.3">
      <c r="G30625" s="1"/>
      <c r="N30625" s="1"/>
    </row>
    <row r="30626" spans="7:14" x14ac:dyDescent="0.3">
      <c r="G30626" s="1"/>
      <c r="N30626" s="1"/>
    </row>
    <row r="30627" spans="7:14" x14ac:dyDescent="0.3">
      <c r="G30627" s="1"/>
      <c r="N30627" s="1"/>
    </row>
    <row r="30628" spans="7:14" x14ac:dyDescent="0.3">
      <c r="G30628" s="1"/>
      <c r="N30628" s="1"/>
    </row>
    <row r="30629" spans="7:14" x14ac:dyDescent="0.3">
      <c r="G30629" s="1"/>
      <c r="N30629" s="1"/>
    </row>
    <row r="30630" spans="7:14" x14ac:dyDescent="0.3">
      <c r="G30630" s="1"/>
      <c r="N30630" s="1"/>
    </row>
    <row r="30631" spans="7:14" x14ac:dyDescent="0.3">
      <c r="G30631" s="1"/>
      <c r="N30631" s="1"/>
    </row>
    <row r="30632" spans="7:14" x14ac:dyDescent="0.3">
      <c r="G30632" s="1"/>
      <c r="N30632" s="1"/>
    </row>
    <row r="30633" spans="7:14" x14ac:dyDescent="0.3">
      <c r="G30633" s="1"/>
      <c r="N30633" s="1"/>
    </row>
    <row r="30634" spans="7:14" x14ac:dyDescent="0.3">
      <c r="G30634" s="1"/>
      <c r="N30634" s="1"/>
    </row>
    <row r="30635" spans="7:14" x14ac:dyDescent="0.3">
      <c r="G30635" s="1"/>
      <c r="N30635" s="1"/>
    </row>
    <row r="30636" spans="7:14" x14ac:dyDescent="0.3">
      <c r="G30636" s="1"/>
      <c r="N30636" s="1"/>
    </row>
    <row r="30637" spans="7:14" x14ac:dyDescent="0.3">
      <c r="G30637" s="1"/>
      <c r="N30637" s="1"/>
    </row>
    <row r="30638" spans="7:14" x14ac:dyDescent="0.3">
      <c r="G30638" s="1"/>
      <c r="N30638" s="1"/>
    </row>
    <row r="30639" spans="7:14" x14ac:dyDescent="0.3">
      <c r="G30639" s="1"/>
      <c r="N30639" s="1"/>
    </row>
    <row r="30640" spans="7:14" x14ac:dyDescent="0.3">
      <c r="G30640" s="1"/>
      <c r="N30640" s="1"/>
    </row>
    <row r="30641" spans="7:14" x14ac:dyDescent="0.3">
      <c r="G30641" s="1"/>
      <c r="N30641" s="1"/>
    </row>
    <row r="30642" spans="7:14" x14ac:dyDescent="0.3">
      <c r="G30642" s="1"/>
      <c r="N30642" s="1"/>
    </row>
    <row r="30643" spans="7:14" x14ac:dyDescent="0.3">
      <c r="G30643" s="1"/>
      <c r="N30643" s="1"/>
    </row>
    <row r="30644" spans="7:14" x14ac:dyDescent="0.3">
      <c r="G30644" s="1"/>
      <c r="N30644" s="1"/>
    </row>
    <row r="30645" spans="7:14" x14ac:dyDescent="0.3">
      <c r="G30645" s="1"/>
      <c r="N30645" s="1"/>
    </row>
    <row r="30646" spans="7:14" x14ac:dyDescent="0.3">
      <c r="G30646" s="1"/>
      <c r="N30646" s="1"/>
    </row>
    <row r="30647" spans="7:14" x14ac:dyDescent="0.3">
      <c r="G30647" s="1"/>
      <c r="N30647" s="1"/>
    </row>
    <row r="30648" spans="7:14" x14ac:dyDescent="0.3">
      <c r="G30648" s="1"/>
      <c r="N30648" s="1"/>
    </row>
    <row r="30649" spans="7:14" x14ac:dyDescent="0.3">
      <c r="G30649" s="1"/>
      <c r="N30649" s="1"/>
    </row>
    <row r="30650" spans="7:14" x14ac:dyDescent="0.3">
      <c r="G30650" s="1"/>
      <c r="N30650" s="1"/>
    </row>
    <row r="30651" spans="7:14" x14ac:dyDescent="0.3">
      <c r="G30651" s="1"/>
      <c r="N30651" s="1"/>
    </row>
    <row r="30652" spans="7:14" x14ac:dyDescent="0.3">
      <c r="G30652" s="1"/>
      <c r="N30652" s="1"/>
    </row>
    <row r="30653" spans="7:14" x14ac:dyDescent="0.3">
      <c r="G30653" s="1"/>
      <c r="N30653" s="1"/>
    </row>
    <row r="30654" spans="7:14" x14ac:dyDescent="0.3">
      <c r="G30654" s="1"/>
      <c r="N30654" s="1"/>
    </row>
    <row r="30655" spans="7:14" x14ac:dyDescent="0.3">
      <c r="G30655" s="1"/>
      <c r="N30655" s="1"/>
    </row>
    <row r="30656" spans="7:14" x14ac:dyDescent="0.3">
      <c r="G30656" s="1"/>
      <c r="N30656" s="1"/>
    </row>
    <row r="30657" spans="7:14" x14ac:dyDescent="0.3">
      <c r="G30657" s="1"/>
      <c r="N30657" s="1"/>
    </row>
    <row r="30658" spans="7:14" x14ac:dyDescent="0.3">
      <c r="G30658" s="1"/>
      <c r="N30658" s="1"/>
    </row>
    <row r="30659" spans="7:14" x14ac:dyDescent="0.3">
      <c r="G30659" s="1"/>
      <c r="N30659" s="1"/>
    </row>
    <row r="30660" spans="7:14" x14ac:dyDescent="0.3">
      <c r="G30660" s="1"/>
      <c r="N30660" s="1"/>
    </row>
    <row r="30661" spans="7:14" x14ac:dyDescent="0.3">
      <c r="G30661" s="1"/>
      <c r="N30661" s="1"/>
    </row>
    <row r="30662" spans="7:14" x14ac:dyDescent="0.3">
      <c r="G30662" s="1"/>
      <c r="N30662" s="1"/>
    </row>
    <row r="30663" spans="7:14" x14ac:dyDescent="0.3">
      <c r="G30663" s="1"/>
      <c r="N30663" s="1"/>
    </row>
    <row r="30664" spans="7:14" x14ac:dyDescent="0.3">
      <c r="G30664" s="1"/>
      <c r="N30664" s="1"/>
    </row>
    <row r="30665" spans="7:14" x14ac:dyDescent="0.3">
      <c r="G30665" s="1"/>
      <c r="N30665" s="1"/>
    </row>
    <row r="30666" spans="7:14" x14ac:dyDescent="0.3">
      <c r="G30666" s="1"/>
      <c r="N30666" s="1"/>
    </row>
    <row r="30667" spans="7:14" x14ac:dyDescent="0.3">
      <c r="G30667" s="1"/>
      <c r="N30667" s="1"/>
    </row>
    <row r="30668" spans="7:14" x14ac:dyDescent="0.3">
      <c r="G30668" s="1"/>
      <c r="N30668" s="1"/>
    </row>
    <row r="30669" spans="7:14" x14ac:dyDescent="0.3">
      <c r="G30669" s="1"/>
      <c r="N30669" s="1"/>
    </row>
    <row r="30670" spans="7:14" x14ac:dyDescent="0.3">
      <c r="G30670" s="1"/>
      <c r="N30670" s="1"/>
    </row>
    <row r="30671" spans="7:14" x14ac:dyDescent="0.3">
      <c r="G30671" s="1"/>
      <c r="N30671" s="1"/>
    </row>
    <row r="30672" spans="7:14" x14ac:dyDescent="0.3">
      <c r="G30672" s="1"/>
      <c r="N30672" s="1"/>
    </row>
    <row r="30673" spans="7:14" x14ac:dyDescent="0.3">
      <c r="G30673" s="1"/>
      <c r="N30673" s="1"/>
    </row>
    <row r="30674" spans="7:14" x14ac:dyDescent="0.3">
      <c r="G30674" s="1"/>
      <c r="N30674" s="1"/>
    </row>
    <row r="30675" spans="7:14" x14ac:dyDescent="0.3">
      <c r="G30675" s="1"/>
      <c r="N30675" s="1"/>
    </row>
    <row r="30676" spans="7:14" x14ac:dyDescent="0.3">
      <c r="G30676" s="1"/>
      <c r="N30676" s="1"/>
    </row>
    <row r="30677" spans="7:14" x14ac:dyDescent="0.3">
      <c r="G30677" s="1"/>
      <c r="N30677" s="1"/>
    </row>
    <row r="30678" spans="7:14" x14ac:dyDescent="0.3">
      <c r="G30678" s="1"/>
      <c r="N30678" s="1"/>
    </row>
    <row r="30679" spans="7:14" x14ac:dyDescent="0.3">
      <c r="G30679" s="1"/>
      <c r="N30679" s="1"/>
    </row>
    <row r="30680" spans="7:14" x14ac:dyDescent="0.3">
      <c r="G30680" s="1"/>
      <c r="N30680" s="1"/>
    </row>
    <row r="30681" spans="7:14" x14ac:dyDescent="0.3">
      <c r="G30681" s="1"/>
      <c r="N30681" s="1"/>
    </row>
    <row r="30682" spans="7:14" x14ac:dyDescent="0.3">
      <c r="G30682" s="1"/>
      <c r="N30682" s="1"/>
    </row>
    <row r="30683" spans="7:14" x14ac:dyDescent="0.3">
      <c r="G30683" s="1"/>
      <c r="N30683" s="1"/>
    </row>
    <row r="30684" spans="7:14" x14ac:dyDescent="0.3">
      <c r="G30684" s="1"/>
      <c r="N30684" s="1"/>
    </row>
    <row r="30685" spans="7:14" x14ac:dyDescent="0.3">
      <c r="G30685" s="1"/>
      <c r="N30685" s="1"/>
    </row>
    <row r="30686" spans="7:14" x14ac:dyDescent="0.3">
      <c r="G30686" s="1"/>
      <c r="N30686" s="1"/>
    </row>
    <row r="30687" spans="7:14" x14ac:dyDescent="0.3">
      <c r="G30687" s="1"/>
      <c r="N30687" s="1"/>
    </row>
    <row r="30688" spans="7:14" x14ac:dyDescent="0.3">
      <c r="G30688" s="1"/>
      <c r="N30688" s="1"/>
    </row>
    <row r="30689" spans="7:14" x14ac:dyDescent="0.3">
      <c r="G30689" s="1"/>
      <c r="N30689" s="1"/>
    </row>
    <row r="30690" spans="7:14" x14ac:dyDescent="0.3">
      <c r="G30690" s="1"/>
      <c r="N30690" s="1"/>
    </row>
    <row r="30691" spans="7:14" x14ac:dyDescent="0.3">
      <c r="G30691" s="1"/>
      <c r="N30691" s="1"/>
    </row>
    <row r="30692" spans="7:14" x14ac:dyDescent="0.3">
      <c r="G30692" s="1"/>
      <c r="N30692" s="1"/>
    </row>
    <row r="30693" spans="7:14" x14ac:dyDescent="0.3">
      <c r="G30693" s="1"/>
      <c r="N30693" s="1"/>
    </row>
    <row r="30694" spans="7:14" x14ac:dyDescent="0.3">
      <c r="G30694" s="1"/>
      <c r="N30694" s="1"/>
    </row>
    <row r="30695" spans="7:14" x14ac:dyDescent="0.3">
      <c r="G30695" s="1"/>
      <c r="N30695" s="1"/>
    </row>
    <row r="30696" spans="7:14" x14ac:dyDescent="0.3">
      <c r="G30696" s="1"/>
      <c r="N30696" s="1"/>
    </row>
    <row r="30697" spans="7:14" x14ac:dyDescent="0.3">
      <c r="G30697" s="1"/>
      <c r="N30697" s="1"/>
    </row>
    <row r="30698" spans="7:14" x14ac:dyDescent="0.3">
      <c r="G30698" s="1"/>
      <c r="N30698" s="1"/>
    </row>
    <row r="30699" spans="7:14" x14ac:dyDescent="0.3">
      <c r="G30699" s="1"/>
      <c r="N30699" s="1"/>
    </row>
    <row r="30700" spans="7:14" x14ac:dyDescent="0.3">
      <c r="G30700" s="1"/>
      <c r="N30700" s="1"/>
    </row>
    <row r="30701" spans="7:14" x14ac:dyDescent="0.3">
      <c r="G30701" s="1"/>
      <c r="N30701" s="1"/>
    </row>
    <row r="30702" spans="7:14" x14ac:dyDescent="0.3">
      <c r="G30702" s="1"/>
      <c r="N30702" s="1"/>
    </row>
    <row r="30703" spans="7:14" x14ac:dyDescent="0.3">
      <c r="G30703" s="1"/>
      <c r="N30703" s="1"/>
    </row>
    <row r="30704" spans="7:14" x14ac:dyDescent="0.3">
      <c r="G30704" s="1"/>
      <c r="N30704" s="1"/>
    </row>
    <row r="30705" spans="7:14" x14ac:dyDescent="0.3">
      <c r="G30705" s="1"/>
      <c r="N30705" s="1"/>
    </row>
    <row r="30706" spans="7:14" x14ac:dyDescent="0.3">
      <c r="G30706" s="1"/>
      <c r="N30706" s="1"/>
    </row>
    <row r="30707" spans="7:14" x14ac:dyDescent="0.3">
      <c r="G30707" s="1"/>
      <c r="N30707" s="1"/>
    </row>
    <row r="30708" spans="7:14" x14ac:dyDescent="0.3">
      <c r="G30708" s="1"/>
      <c r="N30708" s="1"/>
    </row>
    <row r="30709" spans="7:14" x14ac:dyDescent="0.3">
      <c r="G30709" s="1"/>
      <c r="N30709" s="1"/>
    </row>
    <row r="30710" spans="7:14" x14ac:dyDescent="0.3">
      <c r="G30710" s="1"/>
      <c r="N30710" s="1"/>
    </row>
    <row r="30711" spans="7:14" x14ac:dyDescent="0.3">
      <c r="G30711" s="1"/>
      <c r="N30711" s="1"/>
    </row>
    <row r="30712" spans="7:14" x14ac:dyDescent="0.3">
      <c r="G30712" s="1"/>
      <c r="N30712" s="1"/>
    </row>
    <row r="30713" spans="7:14" x14ac:dyDescent="0.3">
      <c r="G30713" s="1"/>
      <c r="N30713" s="1"/>
    </row>
    <row r="30714" spans="7:14" x14ac:dyDescent="0.3">
      <c r="G30714" s="1"/>
      <c r="N30714" s="1"/>
    </row>
    <row r="30715" spans="7:14" x14ac:dyDescent="0.3">
      <c r="G30715" s="1"/>
      <c r="N30715" s="1"/>
    </row>
    <row r="30716" spans="7:14" x14ac:dyDescent="0.3">
      <c r="G30716" s="1"/>
      <c r="N30716" s="1"/>
    </row>
    <row r="30717" spans="7:14" x14ac:dyDescent="0.3">
      <c r="G30717" s="1"/>
      <c r="N30717" s="1"/>
    </row>
    <row r="30718" spans="7:14" x14ac:dyDescent="0.3">
      <c r="G30718" s="1"/>
      <c r="N30718" s="1"/>
    </row>
    <row r="30719" spans="7:14" x14ac:dyDescent="0.3">
      <c r="G30719" s="1"/>
      <c r="N30719" s="1"/>
    </row>
    <row r="30720" spans="7:14" x14ac:dyDescent="0.3">
      <c r="G30720" s="1"/>
      <c r="N30720" s="1"/>
    </row>
    <row r="30721" spans="7:14" x14ac:dyDescent="0.3">
      <c r="G30721" s="1"/>
      <c r="N30721" s="1"/>
    </row>
    <row r="30722" spans="7:14" x14ac:dyDescent="0.3">
      <c r="G30722" s="1"/>
      <c r="N30722" s="1"/>
    </row>
    <row r="30723" spans="7:14" x14ac:dyDescent="0.3">
      <c r="G30723" s="1"/>
      <c r="N30723" s="1"/>
    </row>
    <row r="30724" spans="7:14" x14ac:dyDescent="0.3">
      <c r="G30724" s="1"/>
      <c r="N30724" s="1"/>
    </row>
    <row r="30725" spans="7:14" x14ac:dyDescent="0.3">
      <c r="G30725" s="1"/>
      <c r="N30725" s="1"/>
    </row>
    <row r="30726" spans="7:14" x14ac:dyDescent="0.3">
      <c r="G30726" s="1"/>
      <c r="N30726" s="1"/>
    </row>
    <row r="30727" spans="7:14" x14ac:dyDescent="0.3">
      <c r="G30727" s="1"/>
      <c r="N30727" s="1"/>
    </row>
    <row r="30728" spans="7:14" x14ac:dyDescent="0.3">
      <c r="G30728" s="1"/>
      <c r="N30728" s="1"/>
    </row>
    <row r="30729" spans="7:14" x14ac:dyDescent="0.3">
      <c r="G30729" s="1"/>
      <c r="N30729" s="1"/>
    </row>
    <row r="30730" spans="7:14" x14ac:dyDescent="0.3">
      <c r="G30730" s="1"/>
      <c r="N30730" s="1"/>
    </row>
    <row r="30731" spans="7:14" x14ac:dyDescent="0.3">
      <c r="G30731" s="1"/>
      <c r="N30731" s="1"/>
    </row>
    <row r="30732" spans="7:14" x14ac:dyDescent="0.3">
      <c r="G30732" s="1"/>
      <c r="N30732" s="1"/>
    </row>
    <row r="30733" spans="7:14" x14ac:dyDescent="0.3">
      <c r="G30733" s="1"/>
      <c r="N30733" s="1"/>
    </row>
    <row r="30734" spans="7:14" x14ac:dyDescent="0.3">
      <c r="G30734" s="1"/>
      <c r="N30734" s="1"/>
    </row>
    <row r="30735" spans="7:14" x14ac:dyDescent="0.3">
      <c r="G30735" s="1"/>
      <c r="N30735" s="1"/>
    </row>
    <row r="30736" spans="7:14" x14ac:dyDescent="0.3">
      <c r="G30736" s="1"/>
      <c r="N30736" s="1"/>
    </row>
    <row r="30737" spans="7:14" x14ac:dyDescent="0.3">
      <c r="G30737" s="1"/>
      <c r="N30737" s="1"/>
    </row>
    <row r="30738" spans="7:14" x14ac:dyDescent="0.3">
      <c r="G30738" s="1"/>
      <c r="N30738" s="1"/>
    </row>
    <row r="30739" spans="7:14" x14ac:dyDescent="0.3">
      <c r="G30739" s="1"/>
      <c r="N30739" s="1"/>
    </row>
    <row r="30740" spans="7:14" x14ac:dyDescent="0.3">
      <c r="G30740" s="1"/>
      <c r="N30740" s="1"/>
    </row>
    <row r="30741" spans="7:14" x14ac:dyDescent="0.3">
      <c r="G30741" s="1"/>
      <c r="N30741" s="1"/>
    </row>
    <row r="30742" spans="7:14" x14ac:dyDescent="0.3">
      <c r="G30742" s="1"/>
      <c r="N30742" s="1"/>
    </row>
    <row r="30743" spans="7:14" x14ac:dyDescent="0.3">
      <c r="G30743" s="1"/>
      <c r="N30743" s="1"/>
    </row>
    <row r="30744" spans="7:14" x14ac:dyDescent="0.3">
      <c r="G30744" s="1"/>
      <c r="N30744" s="1"/>
    </row>
    <row r="30745" spans="7:14" x14ac:dyDescent="0.3">
      <c r="G30745" s="1"/>
      <c r="N30745" s="1"/>
    </row>
    <row r="30746" spans="7:14" x14ac:dyDescent="0.3">
      <c r="G30746" s="1"/>
      <c r="N30746" s="1"/>
    </row>
    <row r="30747" spans="7:14" x14ac:dyDescent="0.3">
      <c r="G30747" s="1"/>
      <c r="N30747" s="1"/>
    </row>
    <row r="30748" spans="7:14" x14ac:dyDescent="0.3">
      <c r="G30748" s="1"/>
      <c r="N30748" s="1"/>
    </row>
    <row r="30749" spans="7:14" x14ac:dyDescent="0.3">
      <c r="G30749" s="1"/>
      <c r="N30749" s="1"/>
    </row>
    <row r="30750" spans="7:14" x14ac:dyDescent="0.3">
      <c r="G30750" s="1"/>
      <c r="N30750" s="1"/>
    </row>
    <row r="30751" spans="7:14" x14ac:dyDescent="0.3">
      <c r="G30751" s="1"/>
      <c r="N30751" s="1"/>
    </row>
    <row r="30752" spans="7:14" x14ac:dyDescent="0.3">
      <c r="G30752" s="1"/>
      <c r="N30752" s="1"/>
    </row>
    <row r="30753" spans="7:14" x14ac:dyDescent="0.3">
      <c r="G30753" s="1"/>
      <c r="N30753" s="1"/>
    </row>
    <row r="30754" spans="7:14" x14ac:dyDescent="0.3">
      <c r="G30754" s="1"/>
      <c r="N30754" s="1"/>
    </row>
    <row r="30755" spans="7:14" x14ac:dyDescent="0.3">
      <c r="G30755" s="1"/>
      <c r="N30755" s="1"/>
    </row>
    <row r="30756" spans="7:14" x14ac:dyDescent="0.3">
      <c r="G30756" s="1"/>
      <c r="N30756" s="1"/>
    </row>
    <row r="30757" spans="7:14" x14ac:dyDescent="0.3">
      <c r="G30757" s="1"/>
      <c r="N30757" s="1"/>
    </row>
    <row r="30758" spans="7:14" x14ac:dyDescent="0.3">
      <c r="G30758" s="1"/>
      <c r="N30758" s="1"/>
    </row>
    <row r="30759" spans="7:14" x14ac:dyDescent="0.3">
      <c r="G30759" s="1"/>
      <c r="N30759" s="1"/>
    </row>
    <row r="30760" spans="7:14" x14ac:dyDescent="0.3">
      <c r="G30760" s="1"/>
      <c r="N30760" s="1"/>
    </row>
    <row r="30761" spans="7:14" x14ac:dyDescent="0.3">
      <c r="G30761" s="1"/>
      <c r="N30761" s="1"/>
    </row>
    <row r="30762" spans="7:14" x14ac:dyDescent="0.3">
      <c r="G30762" s="1"/>
      <c r="N30762" s="1"/>
    </row>
    <row r="30763" spans="7:14" x14ac:dyDescent="0.3">
      <c r="G30763" s="1"/>
      <c r="N30763" s="1"/>
    </row>
    <row r="30764" spans="7:14" x14ac:dyDescent="0.3">
      <c r="G30764" s="1"/>
      <c r="N30764" s="1"/>
    </row>
    <row r="30765" spans="7:14" x14ac:dyDescent="0.3">
      <c r="G30765" s="1"/>
      <c r="N30765" s="1"/>
    </row>
    <row r="30766" spans="7:14" x14ac:dyDescent="0.3">
      <c r="G30766" s="1"/>
      <c r="N30766" s="1"/>
    </row>
    <row r="30767" spans="7:14" x14ac:dyDescent="0.3">
      <c r="G30767" s="1"/>
      <c r="N30767" s="1"/>
    </row>
    <row r="30768" spans="7:14" x14ac:dyDescent="0.3">
      <c r="G30768" s="1"/>
      <c r="N30768" s="1"/>
    </row>
    <row r="30769" spans="7:14" x14ac:dyDescent="0.3">
      <c r="G30769" s="1"/>
      <c r="N30769" s="1"/>
    </row>
    <row r="30770" spans="7:14" x14ac:dyDescent="0.3">
      <c r="G30770" s="1"/>
      <c r="N30770" s="1"/>
    </row>
    <row r="30771" spans="7:14" x14ac:dyDescent="0.3">
      <c r="G30771" s="1"/>
      <c r="N30771" s="1"/>
    </row>
    <row r="30772" spans="7:14" x14ac:dyDescent="0.3">
      <c r="G30772" s="1"/>
      <c r="N30772" s="1"/>
    </row>
    <row r="30773" spans="7:14" x14ac:dyDescent="0.3">
      <c r="G30773" s="1"/>
      <c r="N30773" s="1"/>
    </row>
    <row r="30774" spans="7:14" x14ac:dyDescent="0.3">
      <c r="G30774" s="1"/>
      <c r="N30774" s="1"/>
    </row>
    <row r="30775" spans="7:14" x14ac:dyDescent="0.3">
      <c r="G30775" s="1"/>
      <c r="N30775" s="1"/>
    </row>
    <row r="30776" spans="7:14" x14ac:dyDescent="0.3">
      <c r="G30776" s="1"/>
      <c r="N30776" s="1"/>
    </row>
    <row r="30777" spans="7:14" x14ac:dyDescent="0.3">
      <c r="G30777" s="1"/>
      <c r="N30777" s="1"/>
    </row>
    <row r="30778" spans="7:14" x14ac:dyDescent="0.3">
      <c r="G30778" s="1"/>
      <c r="N30778" s="1"/>
    </row>
    <row r="30779" spans="7:14" x14ac:dyDescent="0.3">
      <c r="G30779" s="1"/>
      <c r="N30779" s="1"/>
    </row>
    <row r="30780" spans="7:14" x14ac:dyDescent="0.3">
      <c r="G30780" s="1"/>
      <c r="N30780" s="1"/>
    </row>
    <row r="30781" spans="7:14" x14ac:dyDescent="0.3">
      <c r="G30781" s="1"/>
      <c r="N30781" s="1"/>
    </row>
    <row r="30782" spans="7:14" x14ac:dyDescent="0.3">
      <c r="G30782" s="1"/>
      <c r="N30782" s="1"/>
    </row>
    <row r="30783" spans="7:14" x14ac:dyDescent="0.3">
      <c r="G30783" s="1"/>
      <c r="N30783" s="1"/>
    </row>
    <row r="30784" spans="7:14" x14ac:dyDescent="0.3">
      <c r="G30784" s="1"/>
      <c r="N30784" s="1"/>
    </row>
    <row r="30785" spans="7:14" x14ac:dyDescent="0.3">
      <c r="G30785" s="1"/>
      <c r="N30785" s="1"/>
    </row>
    <row r="30786" spans="7:14" x14ac:dyDescent="0.3">
      <c r="G30786" s="1"/>
      <c r="N30786" s="1"/>
    </row>
    <row r="30787" spans="7:14" x14ac:dyDescent="0.3">
      <c r="G30787" s="1"/>
      <c r="N30787" s="1"/>
    </row>
    <row r="30788" spans="7:14" x14ac:dyDescent="0.3">
      <c r="G30788" s="1"/>
      <c r="N30788" s="1"/>
    </row>
    <row r="30789" spans="7:14" x14ac:dyDescent="0.3">
      <c r="G30789" s="1"/>
      <c r="N30789" s="1"/>
    </row>
    <row r="30790" spans="7:14" x14ac:dyDescent="0.3">
      <c r="G30790" s="1"/>
      <c r="N30790" s="1"/>
    </row>
    <row r="30791" spans="7:14" x14ac:dyDescent="0.3">
      <c r="G30791" s="1"/>
      <c r="N30791" s="1"/>
    </row>
    <row r="30792" spans="7:14" x14ac:dyDescent="0.3">
      <c r="G30792" s="1"/>
      <c r="N30792" s="1"/>
    </row>
    <row r="30793" spans="7:14" x14ac:dyDescent="0.3">
      <c r="G30793" s="1"/>
      <c r="N30793" s="1"/>
    </row>
    <row r="30794" spans="7:14" x14ac:dyDescent="0.3">
      <c r="G30794" s="1"/>
      <c r="N30794" s="1"/>
    </row>
    <row r="30795" spans="7:14" x14ac:dyDescent="0.3">
      <c r="G30795" s="1"/>
      <c r="N30795" s="1"/>
    </row>
    <row r="30796" spans="7:14" x14ac:dyDescent="0.3">
      <c r="G30796" s="1"/>
      <c r="N30796" s="1"/>
    </row>
    <row r="30797" spans="7:14" x14ac:dyDescent="0.3">
      <c r="G30797" s="1"/>
      <c r="N30797" s="1"/>
    </row>
    <row r="30798" spans="7:14" x14ac:dyDescent="0.3">
      <c r="G30798" s="1"/>
      <c r="N30798" s="1"/>
    </row>
    <row r="30799" spans="7:14" x14ac:dyDescent="0.3">
      <c r="G30799" s="1"/>
      <c r="N30799" s="1"/>
    </row>
    <row r="30800" spans="7:14" x14ac:dyDescent="0.3">
      <c r="G30800" s="1"/>
      <c r="N30800" s="1"/>
    </row>
    <row r="30801" spans="7:14" x14ac:dyDescent="0.3">
      <c r="G30801" s="1"/>
      <c r="N30801" s="1"/>
    </row>
    <row r="30802" spans="7:14" x14ac:dyDescent="0.3">
      <c r="G30802" s="1"/>
      <c r="N30802" s="1"/>
    </row>
    <row r="30803" spans="7:14" x14ac:dyDescent="0.3">
      <c r="G30803" s="1"/>
      <c r="N30803" s="1"/>
    </row>
    <row r="30804" spans="7:14" x14ac:dyDescent="0.3">
      <c r="G30804" s="1"/>
      <c r="N30804" s="1"/>
    </row>
    <row r="30805" spans="7:14" x14ac:dyDescent="0.3">
      <c r="G30805" s="1"/>
      <c r="N30805" s="1"/>
    </row>
    <row r="30806" spans="7:14" x14ac:dyDescent="0.3">
      <c r="G30806" s="1"/>
      <c r="N30806" s="1"/>
    </row>
    <row r="30807" spans="7:14" x14ac:dyDescent="0.3">
      <c r="G30807" s="1"/>
      <c r="N30807" s="1"/>
    </row>
    <row r="30808" spans="7:14" x14ac:dyDescent="0.3">
      <c r="G30808" s="1"/>
      <c r="N30808" s="1"/>
    </row>
    <row r="30809" spans="7:14" x14ac:dyDescent="0.3">
      <c r="G30809" s="1"/>
      <c r="N30809" s="1"/>
    </row>
    <row r="30810" spans="7:14" x14ac:dyDescent="0.3">
      <c r="G30810" s="1"/>
      <c r="N30810" s="1"/>
    </row>
    <row r="30811" spans="7:14" x14ac:dyDescent="0.3">
      <c r="G30811" s="1"/>
      <c r="N30811" s="1"/>
    </row>
    <row r="30812" spans="7:14" x14ac:dyDescent="0.3">
      <c r="G30812" s="1"/>
      <c r="N30812" s="1"/>
    </row>
    <row r="30813" spans="7:14" x14ac:dyDescent="0.3">
      <c r="G30813" s="1"/>
      <c r="N30813" s="1"/>
    </row>
    <row r="30814" spans="7:14" x14ac:dyDescent="0.3">
      <c r="G30814" s="1"/>
      <c r="N30814" s="1"/>
    </row>
    <row r="30815" spans="7:14" x14ac:dyDescent="0.3">
      <c r="G30815" s="1"/>
      <c r="N30815" s="1"/>
    </row>
    <row r="30816" spans="7:14" x14ac:dyDescent="0.3">
      <c r="G30816" s="1"/>
      <c r="N30816" s="1"/>
    </row>
    <row r="30817" spans="7:14" x14ac:dyDescent="0.3">
      <c r="G30817" s="1"/>
      <c r="N30817" s="1"/>
    </row>
    <row r="30818" spans="7:14" x14ac:dyDescent="0.3">
      <c r="G30818" s="1"/>
      <c r="N30818" s="1"/>
    </row>
    <row r="30819" spans="7:14" x14ac:dyDescent="0.3">
      <c r="G30819" s="1"/>
      <c r="N30819" s="1"/>
    </row>
    <row r="30820" spans="7:14" x14ac:dyDescent="0.3">
      <c r="G30820" s="1"/>
      <c r="N30820" s="1"/>
    </row>
    <row r="30821" spans="7:14" x14ac:dyDescent="0.3">
      <c r="G30821" s="1"/>
      <c r="N30821" s="1"/>
    </row>
    <row r="30822" spans="7:14" x14ac:dyDescent="0.3">
      <c r="G30822" s="1"/>
      <c r="N30822" s="1"/>
    </row>
    <row r="30823" spans="7:14" x14ac:dyDescent="0.3">
      <c r="G30823" s="1"/>
      <c r="N30823" s="1"/>
    </row>
    <row r="30824" spans="7:14" x14ac:dyDescent="0.3">
      <c r="G30824" s="1"/>
      <c r="N30824" s="1"/>
    </row>
    <row r="30825" spans="7:14" x14ac:dyDescent="0.3">
      <c r="G30825" s="1"/>
      <c r="N30825" s="1"/>
    </row>
    <row r="30826" spans="7:14" x14ac:dyDescent="0.3">
      <c r="G30826" s="1"/>
      <c r="N30826" s="1"/>
    </row>
    <row r="30827" spans="7:14" x14ac:dyDescent="0.3">
      <c r="G30827" s="1"/>
      <c r="N30827" s="1"/>
    </row>
    <row r="30828" spans="7:14" x14ac:dyDescent="0.3">
      <c r="G30828" s="1"/>
      <c r="N30828" s="1"/>
    </row>
    <row r="30829" spans="7:14" x14ac:dyDescent="0.3">
      <c r="G30829" s="1"/>
      <c r="N30829" s="1"/>
    </row>
    <row r="30830" spans="7:14" x14ac:dyDescent="0.3">
      <c r="G30830" s="1"/>
      <c r="N30830" s="1"/>
    </row>
    <row r="30831" spans="7:14" x14ac:dyDescent="0.3">
      <c r="G30831" s="1"/>
      <c r="N30831" s="1"/>
    </row>
    <row r="30832" spans="7:14" x14ac:dyDescent="0.3">
      <c r="G30832" s="1"/>
      <c r="N30832" s="1"/>
    </row>
    <row r="30833" spans="7:14" x14ac:dyDescent="0.3">
      <c r="G30833" s="1"/>
      <c r="N30833" s="1"/>
    </row>
    <row r="30834" spans="7:14" x14ac:dyDescent="0.3">
      <c r="G30834" s="1"/>
      <c r="N30834" s="1"/>
    </row>
    <row r="30835" spans="7:14" x14ac:dyDescent="0.3">
      <c r="G30835" s="1"/>
      <c r="N30835" s="1"/>
    </row>
    <row r="30836" spans="7:14" x14ac:dyDescent="0.3">
      <c r="G30836" s="1"/>
      <c r="N30836" s="1"/>
    </row>
    <row r="30837" spans="7:14" x14ac:dyDescent="0.3">
      <c r="G30837" s="1"/>
      <c r="N30837" s="1"/>
    </row>
    <row r="30838" spans="7:14" x14ac:dyDescent="0.3">
      <c r="G30838" s="1"/>
      <c r="N30838" s="1"/>
    </row>
    <row r="30839" spans="7:14" x14ac:dyDescent="0.3">
      <c r="G30839" s="1"/>
      <c r="N30839" s="1"/>
    </row>
    <row r="30840" spans="7:14" x14ac:dyDescent="0.3">
      <c r="G30840" s="1"/>
      <c r="N30840" s="1"/>
    </row>
    <row r="30841" spans="7:14" x14ac:dyDescent="0.3">
      <c r="G30841" s="1"/>
      <c r="N30841" s="1"/>
    </row>
    <row r="30842" spans="7:14" x14ac:dyDescent="0.3">
      <c r="G30842" s="1"/>
      <c r="N30842" s="1"/>
    </row>
    <row r="30843" spans="7:14" x14ac:dyDescent="0.3">
      <c r="G30843" s="1"/>
      <c r="N30843" s="1"/>
    </row>
    <row r="30844" spans="7:14" x14ac:dyDescent="0.3">
      <c r="G30844" s="1"/>
      <c r="N30844" s="1"/>
    </row>
    <row r="30845" spans="7:14" x14ac:dyDescent="0.3">
      <c r="G30845" s="1"/>
      <c r="N30845" s="1"/>
    </row>
    <row r="30846" spans="7:14" x14ac:dyDescent="0.3">
      <c r="G30846" s="1"/>
      <c r="N30846" s="1"/>
    </row>
    <row r="30847" spans="7:14" x14ac:dyDescent="0.3">
      <c r="G30847" s="1"/>
      <c r="N30847" s="1"/>
    </row>
    <row r="30848" spans="7:14" x14ac:dyDescent="0.3">
      <c r="G30848" s="1"/>
      <c r="N30848" s="1"/>
    </row>
    <row r="30849" spans="7:14" x14ac:dyDescent="0.3">
      <c r="G30849" s="1"/>
      <c r="N30849" s="1"/>
    </row>
    <row r="30850" spans="7:14" x14ac:dyDescent="0.3">
      <c r="G30850" s="1"/>
      <c r="N30850" s="1"/>
    </row>
    <row r="30851" spans="7:14" x14ac:dyDescent="0.3">
      <c r="G30851" s="1"/>
      <c r="N30851" s="1"/>
    </row>
    <row r="30852" spans="7:14" x14ac:dyDescent="0.3">
      <c r="G30852" s="1"/>
      <c r="N30852" s="1"/>
    </row>
    <row r="30853" spans="7:14" x14ac:dyDescent="0.3">
      <c r="G30853" s="1"/>
      <c r="N30853" s="1"/>
    </row>
    <row r="30854" spans="7:14" x14ac:dyDescent="0.3">
      <c r="G30854" s="1"/>
      <c r="N30854" s="1"/>
    </row>
    <row r="30855" spans="7:14" x14ac:dyDescent="0.3">
      <c r="G30855" s="1"/>
      <c r="N30855" s="1"/>
    </row>
    <row r="30856" spans="7:14" x14ac:dyDescent="0.3">
      <c r="G30856" s="1"/>
      <c r="N30856" s="1"/>
    </row>
    <row r="30857" spans="7:14" x14ac:dyDescent="0.3">
      <c r="G30857" s="1"/>
      <c r="N30857" s="1"/>
    </row>
    <row r="30858" spans="7:14" x14ac:dyDescent="0.3">
      <c r="G30858" s="1"/>
      <c r="N30858" s="1"/>
    </row>
    <row r="30859" spans="7:14" x14ac:dyDescent="0.3">
      <c r="G30859" s="1"/>
      <c r="N30859" s="1"/>
    </row>
    <row r="30860" spans="7:14" x14ac:dyDescent="0.3">
      <c r="G30860" s="1"/>
      <c r="N30860" s="1"/>
    </row>
    <row r="30861" spans="7:14" x14ac:dyDescent="0.3">
      <c r="G30861" s="1"/>
      <c r="N30861" s="1"/>
    </row>
    <row r="30862" spans="7:14" x14ac:dyDescent="0.3">
      <c r="G30862" s="1"/>
      <c r="N30862" s="1"/>
    </row>
    <row r="30863" spans="7:14" x14ac:dyDescent="0.3">
      <c r="G30863" s="1"/>
      <c r="N30863" s="1"/>
    </row>
    <row r="30864" spans="7:14" x14ac:dyDescent="0.3">
      <c r="G30864" s="1"/>
      <c r="N30864" s="1"/>
    </row>
    <row r="30865" spans="7:14" x14ac:dyDescent="0.3">
      <c r="G30865" s="1"/>
      <c r="N30865" s="1"/>
    </row>
    <row r="30866" spans="7:14" x14ac:dyDescent="0.3">
      <c r="G30866" s="1"/>
      <c r="N30866" s="1"/>
    </row>
    <row r="30867" spans="7:14" x14ac:dyDescent="0.3">
      <c r="G30867" s="1"/>
      <c r="N30867" s="1"/>
    </row>
    <row r="30868" spans="7:14" x14ac:dyDescent="0.3">
      <c r="G30868" s="1"/>
      <c r="N30868" s="1"/>
    </row>
    <row r="30869" spans="7:14" x14ac:dyDescent="0.3">
      <c r="G30869" s="1"/>
      <c r="N30869" s="1"/>
    </row>
    <row r="30870" spans="7:14" x14ac:dyDescent="0.3">
      <c r="G30870" s="1"/>
      <c r="N30870" s="1"/>
    </row>
    <row r="30871" spans="7:14" x14ac:dyDescent="0.3">
      <c r="G30871" s="1"/>
      <c r="N30871" s="1"/>
    </row>
    <row r="30872" spans="7:14" x14ac:dyDescent="0.3">
      <c r="G30872" s="1"/>
      <c r="N30872" s="1"/>
    </row>
    <row r="30873" spans="7:14" x14ac:dyDescent="0.3">
      <c r="G30873" s="1"/>
      <c r="N30873" s="1"/>
    </row>
    <row r="30874" spans="7:14" x14ac:dyDescent="0.3">
      <c r="G30874" s="1"/>
      <c r="N30874" s="1"/>
    </row>
    <row r="30875" spans="7:14" x14ac:dyDescent="0.3">
      <c r="G30875" s="1"/>
      <c r="N30875" s="1"/>
    </row>
    <row r="30876" spans="7:14" x14ac:dyDescent="0.3">
      <c r="G30876" s="1"/>
      <c r="N30876" s="1"/>
    </row>
    <row r="30877" spans="7:14" x14ac:dyDescent="0.3">
      <c r="G30877" s="1"/>
      <c r="N30877" s="1"/>
    </row>
    <row r="30878" spans="7:14" x14ac:dyDescent="0.3">
      <c r="G30878" s="1"/>
      <c r="N30878" s="1"/>
    </row>
    <row r="30879" spans="7:14" x14ac:dyDescent="0.3">
      <c r="G30879" s="1"/>
      <c r="N30879" s="1"/>
    </row>
    <row r="30880" spans="7:14" x14ac:dyDescent="0.3">
      <c r="G30880" s="1"/>
      <c r="N30880" s="1"/>
    </row>
    <row r="30881" spans="7:14" x14ac:dyDescent="0.3">
      <c r="G30881" s="1"/>
      <c r="N30881" s="1"/>
    </row>
    <row r="30882" spans="7:14" x14ac:dyDescent="0.3">
      <c r="G30882" s="1"/>
      <c r="N30882" s="1"/>
    </row>
    <row r="30883" spans="7:14" x14ac:dyDescent="0.3">
      <c r="G30883" s="1"/>
      <c r="N30883" s="1"/>
    </row>
    <row r="30884" spans="7:14" x14ac:dyDescent="0.3">
      <c r="G30884" s="1"/>
      <c r="N30884" s="1"/>
    </row>
    <row r="30885" spans="7:14" x14ac:dyDescent="0.3">
      <c r="G30885" s="1"/>
      <c r="N30885" s="1"/>
    </row>
    <row r="30886" spans="7:14" x14ac:dyDescent="0.3">
      <c r="G30886" s="1"/>
      <c r="N30886" s="1"/>
    </row>
    <row r="30887" spans="7:14" x14ac:dyDescent="0.3">
      <c r="G30887" s="1"/>
      <c r="N30887" s="1"/>
    </row>
    <row r="30888" spans="7:14" x14ac:dyDescent="0.3">
      <c r="G30888" s="1"/>
      <c r="N30888" s="1"/>
    </row>
    <row r="30889" spans="7:14" x14ac:dyDescent="0.3">
      <c r="G30889" s="1"/>
      <c r="N30889" s="1"/>
    </row>
    <row r="30890" spans="7:14" x14ac:dyDescent="0.3">
      <c r="G30890" s="1"/>
      <c r="N30890" s="1"/>
    </row>
    <row r="30891" spans="7:14" x14ac:dyDescent="0.3">
      <c r="G30891" s="1"/>
      <c r="N30891" s="1"/>
    </row>
    <row r="30892" spans="7:14" x14ac:dyDescent="0.3">
      <c r="G30892" s="1"/>
      <c r="N30892" s="1"/>
    </row>
    <row r="30893" spans="7:14" x14ac:dyDescent="0.3">
      <c r="G30893" s="1"/>
      <c r="N30893" s="1"/>
    </row>
    <row r="30894" spans="7:14" x14ac:dyDescent="0.3">
      <c r="G30894" s="1"/>
      <c r="N30894" s="1"/>
    </row>
    <row r="30895" spans="7:14" x14ac:dyDescent="0.3">
      <c r="G30895" s="1"/>
      <c r="N30895" s="1"/>
    </row>
    <row r="30896" spans="7:14" x14ac:dyDescent="0.3">
      <c r="G30896" s="1"/>
      <c r="N30896" s="1"/>
    </row>
    <row r="30897" spans="7:14" x14ac:dyDescent="0.3">
      <c r="G30897" s="1"/>
      <c r="N30897" s="1"/>
    </row>
    <row r="30898" spans="7:14" x14ac:dyDescent="0.3">
      <c r="G30898" s="1"/>
      <c r="N30898" s="1"/>
    </row>
    <row r="30899" spans="7:14" x14ac:dyDescent="0.3">
      <c r="G30899" s="1"/>
      <c r="N30899" s="1"/>
    </row>
    <row r="30900" spans="7:14" x14ac:dyDescent="0.3">
      <c r="G30900" s="1"/>
      <c r="N30900" s="1"/>
    </row>
    <row r="30901" spans="7:14" x14ac:dyDescent="0.3">
      <c r="G30901" s="1"/>
      <c r="N30901" s="1"/>
    </row>
    <row r="30902" spans="7:14" x14ac:dyDescent="0.3">
      <c r="G30902" s="1"/>
      <c r="N30902" s="1"/>
    </row>
    <row r="30903" spans="7:14" x14ac:dyDescent="0.3">
      <c r="G30903" s="1"/>
      <c r="N30903" s="1"/>
    </row>
    <row r="30904" spans="7:14" x14ac:dyDescent="0.3">
      <c r="G30904" s="1"/>
      <c r="N30904" s="1"/>
    </row>
    <row r="30905" spans="7:14" x14ac:dyDescent="0.3">
      <c r="G30905" s="1"/>
      <c r="N30905" s="1"/>
    </row>
    <row r="30906" spans="7:14" x14ac:dyDescent="0.3">
      <c r="G30906" s="1"/>
      <c r="N30906" s="1"/>
    </row>
    <row r="30907" spans="7:14" x14ac:dyDescent="0.3">
      <c r="G30907" s="1"/>
      <c r="N30907" s="1"/>
    </row>
    <row r="30908" spans="7:14" x14ac:dyDescent="0.3">
      <c r="G30908" s="1"/>
      <c r="N30908" s="1"/>
    </row>
    <row r="30909" spans="7:14" x14ac:dyDescent="0.3">
      <c r="G30909" s="1"/>
      <c r="N30909" s="1"/>
    </row>
    <row r="30910" spans="7:14" x14ac:dyDescent="0.3">
      <c r="G30910" s="1"/>
      <c r="N30910" s="1"/>
    </row>
    <row r="30911" spans="7:14" x14ac:dyDescent="0.3">
      <c r="G30911" s="1"/>
      <c r="N30911" s="1"/>
    </row>
    <row r="30912" spans="7:14" x14ac:dyDescent="0.3">
      <c r="G30912" s="1"/>
      <c r="N30912" s="1"/>
    </row>
    <row r="30913" spans="7:14" x14ac:dyDescent="0.3">
      <c r="G30913" s="1"/>
      <c r="N30913" s="1"/>
    </row>
    <row r="30914" spans="7:14" x14ac:dyDescent="0.3">
      <c r="G30914" s="1"/>
      <c r="N30914" s="1"/>
    </row>
    <row r="30915" spans="7:14" x14ac:dyDescent="0.3">
      <c r="G30915" s="1"/>
      <c r="N30915" s="1"/>
    </row>
    <row r="30916" spans="7:14" x14ac:dyDescent="0.3">
      <c r="G30916" s="1"/>
      <c r="N30916" s="1"/>
    </row>
    <row r="30917" spans="7:14" x14ac:dyDescent="0.3">
      <c r="G30917" s="1"/>
      <c r="N30917" s="1"/>
    </row>
    <row r="30918" spans="7:14" x14ac:dyDescent="0.3">
      <c r="G30918" s="1"/>
      <c r="N30918" s="1"/>
    </row>
    <row r="30919" spans="7:14" x14ac:dyDescent="0.3">
      <c r="G30919" s="1"/>
      <c r="N30919" s="1"/>
    </row>
    <row r="30920" spans="7:14" x14ac:dyDescent="0.3">
      <c r="G30920" s="1"/>
      <c r="N30920" s="1"/>
    </row>
    <row r="30921" spans="7:14" x14ac:dyDescent="0.3">
      <c r="G30921" s="1"/>
      <c r="N30921" s="1"/>
    </row>
    <row r="30922" spans="7:14" x14ac:dyDescent="0.3">
      <c r="G30922" s="1"/>
      <c r="N30922" s="1"/>
    </row>
    <row r="30923" spans="7:14" x14ac:dyDescent="0.3">
      <c r="G30923" s="1"/>
      <c r="N30923" s="1"/>
    </row>
    <row r="30924" spans="7:14" x14ac:dyDescent="0.3">
      <c r="G30924" s="1"/>
      <c r="N30924" s="1"/>
    </row>
    <row r="30925" spans="7:14" x14ac:dyDescent="0.3">
      <c r="G30925" s="1"/>
      <c r="N30925" s="1"/>
    </row>
    <row r="30926" spans="7:14" x14ac:dyDescent="0.3">
      <c r="G30926" s="1"/>
      <c r="N30926" s="1"/>
    </row>
    <row r="30927" spans="7:14" x14ac:dyDescent="0.3">
      <c r="G30927" s="1"/>
      <c r="N30927" s="1"/>
    </row>
    <row r="30928" spans="7:14" x14ac:dyDescent="0.3">
      <c r="G30928" s="1"/>
      <c r="N30928" s="1"/>
    </row>
    <row r="30929" spans="7:14" x14ac:dyDescent="0.3">
      <c r="G30929" s="1"/>
      <c r="N30929" s="1"/>
    </row>
    <row r="30930" spans="7:14" x14ac:dyDescent="0.3">
      <c r="G30930" s="1"/>
      <c r="N30930" s="1"/>
    </row>
    <row r="30931" spans="7:14" x14ac:dyDescent="0.3">
      <c r="G30931" s="1"/>
      <c r="N30931" s="1"/>
    </row>
    <row r="30932" spans="7:14" x14ac:dyDescent="0.3">
      <c r="G30932" s="1"/>
      <c r="N30932" s="1"/>
    </row>
    <row r="30933" spans="7:14" x14ac:dyDescent="0.3">
      <c r="G30933" s="1"/>
      <c r="N30933" s="1"/>
    </row>
    <row r="30934" spans="7:14" x14ac:dyDescent="0.3">
      <c r="G30934" s="1"/>
      <c r="N30934" s="1"/>
    </row>
    <row r="30935" spans="7:14" x14ac:dyDescent="0.3">
      <c r="G30935" s="1"/>
      <c r="N30935" s="1"/>
    </row>
    <row r="30936" spans="7:14" x14ac:dyDescent="0.3">
      <c r="G30936" s="1"/>
      <c r="N30936" s="1"/>
    </row>
    <row r="30937" spans="7:14" x14ac:dyDescent="0.3">
      <c r="G30937" s="1"/>
      <c r="N30937" s="1"/>
    </row>
    <row r="30938" spans="7:14" x14ac:dyDescent="0.3">
      <c r="G30938" s="1"/>
      <c r="N30938" s="1"/>
    </row>
    <row r="30939" spans="7:14" x14ac:dyDescent="0.3">
      <c r="G30939" s="1"/>
      <c r="N30939" s="1"/>
    </row>
    <row r="30940" spans="7:14" x14ac:dyDescent="0.3">
      <c r="G30940" s="1"/>
      <c r="N30940" s="1"/>
    </row>
    <row r="30941" spans="7:14" x14ac:dyDescent="0.3">
      <c r="G30941" s="1"/>
      <c r="N30941" s="1"/>
    </row>
    <row r="30942" spans="7:14" x14ac:dyDescent="0.3">
      <c r="G30942" s="1"/>
      <c r="N30942" s="1"/>
    </row>
    <row r="30943" spans="7:14" x14ac:dyDescent="0.3">
      <c r="G30943" s="1"/>
      <c r="N30943" s="1"/>
    </row>
    <row r="30944" spans="7:14" x14ac:dyDescent="0.3">
      <c r="G30944" s="1"/>
      <c r="N30944" s="1"/>
    </row>
    <row r="30945" spans="7:14" x14ac:dyDescent="0.3">
      <c r="G30945" s="1"/>
      <c r="N30945" s="1"/>
    </row>
    <row r="30946" spans="7:14" x14ac:dyDescent="0.3">
      <c r="G30946" s="1"/>
      <c r="N30946" s="1"/>
    </row>
    <row r="30947" spans="7:14" x14ac:dyDescent="0.3">
      <c r="G30947" s="1"/>
      <c r="N30947" s="1"/>
    </row>
    <row r="30948" spans="7:14" x14ac:dyDescent="0.3">
      <c r="G30948" s="1"/>
      <c r="N30948" s="1"/>
    </row>
    <row r="30949" spans="7:14" x14ac:dyDescent="0.3">
      <c r="G30949" s="1"/>
      <c r="N30949" s="1"/>
    </row>
    <row r="30950" spans="7:14" x14ac:dyDescent="0.3">
      <c r="G30950" s="1"/>
      <c r="N30950" s="1"/>
    </row>
    <row r="30951" spans="7:14" x14ac:dyDescent="0.3">
      <c r="G30951" s="1"/>
      <c r="N30951" s="1"/>
    </row>
    <row r="30952" spans="7:14" x14ac:dyDescent="0.3">
      <c r="G30952" s="1"/>
      <c r="N30952" s="1"/>
    </row>
    <row r="30953" spans="7:14" x14ac:dyDescent="0.3">
      <c r="G30953" s="1"/>
      <c r="N30953" s="1"/>
    </row>
    <row r="30954" spans="7:14" x14ac:dyDescent="0.3">
      <c r="G30954" s="1"/>
      <c r="N30954" s="1"/>
    </row>
    <row r="30955" spans="7:14" x14ac:dyDescent="0.3">
      <c r="G30955" s="1"/>
      <c r="N30955" s="1"/>
    </row>
    <row r="30956" spans="7:14" x14ac:dyDescent="0.3">
      <c r="G30956" s="1"/>
      <c r="N30956" s="1"/>
    </row>
    <row r="30957" spans="7:14" x14ac:dyDescent="0.3">
      <c r="G30957" s="1"/>
      <c r="N30957" s="1"/>
    </row>
    <row r="30958" spans="7:14" x14ac:dyDescent="0.3">
      <c r="G30958" s="1"/>
      <c r="N30958" s="1"/>
    </row>
    <row r="30959" spans="7:14" x14ac:dyDescent="0.3">
      <c r="G30959" s="1"/>
      <c r="N30959" s="1"/>
    </row>
    <row r="30960" spans="7:14" x14ac:dyDescent="0.3">
      <c r="G30960" s="1"/>
      <c r="N30960" s="1"/>
    </row>
    <row r="30961" spans="7:14" x14ac:dyDescent="0.3">
      <c r="G30961" s="1"/>
      <c r="N30961" s="1"/>
    </row>
    <row r="30962" spans="7:14" x14ac:dyDescent="0.3">
      <c r="G30962" s="1"/>
      <c r="N30962" s="1"/>
    </row>
    <row r="30963" spans="7:14" x14ac:dyDescent="0.3">
      <c r="G30963" s="1"/>
      <c r="N30963" s="1"/>
    </row>
    <row r="30964" spans="7:14" x14ac:dyDescent="0.3">
      <c r="G30964" s="1"/>
      <c r="N30964" s="1"/>
    </row>
    <row r="30965" spans="7:14" x14ac:dyDescent="0.3">
      <c r="G30965" s="1"/>
      <c r="N30965" s="1"/>
    </row>
    <row r="30966" spans="7:14" x14ac:dyDescent="0.3">
      <c r="G30966" s="1"/>
      <c r="N30966" s="1"/>
    </row>
    <row r="30967" spans="7:14" x14ac:dyDescent="0.3">
      <c r="G30967" s="1"/>
      <c r="N30967" s="1"/>
    </row>
    <row r="30968" spans="7:14" x14ac:dyDescent="0.3">
      <c r="G30968" s="1"/>
      <c r="N30968" s="1"/>
    </row>
    <row r="30969" spans="7:14" x14ac:dyDescent="0.3">
      <c r="G30969" s="1"/>
      <c r="N30969" s="1"/>
    </row>
    <row r="30970" spans="7:14" x14ac:dyDescent="0.3">
      <c r="G30970" s="1"/>
      <c r="N30970" s="1"/>
    </row>
    <row r="30971" spans="7:14" x14ac:dyDescent="0.3">
      <c r="G30971" s="1"/>
      <c r="N30971" s="1"/>
    </row>
    <row r="30972" spans="7:14" x14ac:dyDescent="0.3">
      <c r="G30972" s="1"/>
      <c r="N30972" s="1"/>
    </row>
    <row r="30973" spans="7:14" x14ac:dyDescent="0.3">
      <c r="G30973" s="1"/>
      <c r="N30973" s="1"/>
    </row>
    <row r="30974" spans="7:14" x14ac:dyDescent="0.3">
      <c r="G30974" s="1"/>
      <c r="N30974" s="1"/>
    </row>
    <row r="30975" spans="7:14" x14ac:dyDescent="0.3">
      <c r="G30975" s="1"/>
      <c r="N30975" s="1"/>
    </row>
    <row r="30976" spans="7:14" x14ac:dyDescent="0.3">
      <c r="G30976" s="1"/>
      <c r="N30976" s="1"/>
    </row>
    <row r="30977" spans="7:14" x14ac:dyDescent="0.3">
      <c r="G30977" s="1"/>
      <c r="N30977" s="1"/>
    </row>
    <row r="30978" spans="7:14" x14ac:dyDescent="0.3">
      <c r="G30978" s="1"/>
      <c r="N30978" s="1"/>
    </row>
    <row r="30979" spans="7:14" x14ac:dyDescent="0.3">
      <c r="G30979" s="1"/>
      <c r="N30979" s="1"/>
    </row>
    <row r="30980" spans="7:14" x14ac:dyDescent="0.3">
      <c r="G30980" s="1"/>
      <c r="N30980" s="1"/>
    </row>
    <row r="30981" spans="7:14" x14ac:dyDescent="0.3">
      <c r="G30981" s="1"/>
      <c r="N30981" s="1"/>
    </row>
    <row r="30982" spans="7:14" x14ac:dyDescent="0.3">
      <c r="G30982" s="1"/>
      <c r="N30982" s="1"/>
    </row>
    <row r="30983" spans="7:14" x14ac:dyDescent="0.3">
      <c r="G30983" s="1"/>
      <c r="N30983" s="1"/>
    </row>
    <row r="30984" spans="7:14" x14ac:dyDescent="0.3">
      <c r="G30984" s="1"/>
      <c r="N30984" s="1"/>
    </row>
    <row r="30985" spans="7:14" x14ac:dyDescent="0.3">
      <c r="G30985" s="1"/>
      <c r="N30985" s="1"/>
    </row>
    <row r="30986" spans="7:14" x14ac:dyDescent="0.3">
      <c r="G30986" s="1"/>
      <c r="N30986" s="1"/>
    </row>
    <row r="30987" spans="7:14" x14ac:dyDescent="0.3">
      <c r="G30987" s="1"/>
      <c r="N30987" s="1"/>
    </row>
    <row r="30988" spans="7:14" x14ac:dyDescent="0.3">
      <c r="G30988" s="1"/>
      <c r="N30988" s="1"/>
    </row>
    <row r="30989" spans="7:14" x14ac:dyDescent="0.3">
      <c r="G30989" s="1"/>
      <c r="N30989" s="1"/>
    </row>
    <row r="30990" spans="7:14" x14ac:dyDescent="0.3">
      <c r="G30990" s="1"/>
      <c r="N30990" s="1"/>
    </row>
    <row r="30991" spans="7:14" x14ac:dyDescent="0.3">
      <c r="G30991" s="1"/>
      <c r="N30991" s="1"/>
    </row>
    <row r="30992" spans="7:14" x14ac:dyDescent="0.3">
      <c r="G30992" s="1"/>
      <c r="N30992" s="1"/>
    </row>
    <row r="30993" spans="7:14" x14ac:dyDescent="0.3">
      <c r="G30993" s="1"/>
      <c r="N30993" s="1"/>
    </row>
    <row r="30994" spans="7:14" x14ac:dyDescent="0.3">
      <c r="G30994" s="1"/>
      <c r="N30994" s="1"/>
    </row>
    <row r="30995" spans="7:14" x14ac:dyDescent="0.3">
      <c r="G30995" s="1"/>
      <c r="N30995" s="1"/>
    </row>
    <row r="30996" spans="7:14" x14ac:dyDescent="0.3">
      <c r="G30996" s="1"/>
      <c r="N30996" s="1"/>
    </row>
    <row r="30997" spans="7:14" x14ac:dyDescent="0.3">
      <c r="G30997" s="1"/>
      <c r="N30997" s="1"/>
    </row>
    <row r="30998" spans="7:14" x14ac:dyDescent="0.3">
      <c r="G30998" s="1"/>
      <c r="N30998" s="1"/>
    </row>
    <row r="30999" spans="7:14" x14ac:dyDescent="0.3">
      <c r="G30999" s="1"/>
      <c r="N30999" s="1"/>
    </row>
    <row r="31000" spans="7:14" x14ac:dyDescent="0.3">
      <c r="G31000" s="1"/>
      <c r="N31000" s="1"/>
    </row>
    <row r="31001" spans="7:14" x14ac:dyDescent="0.3">
      <c r="G31001" s="1"/>
      <c r="N31001" s="1"/>
    </row>
    <row r="31002" spans="7:14" x14ac:dyDescent="0.3">
      <c r="G31002" s="1"/>
      <c r="N31002" s="1"/>
    </row>
    <row r="31003" spans="7:14" x14ac:dyDescent="0.3">
      <c r="G31003" s="1"/>
      <c r="N31003" s="1"/>
    </row>
    <row r="31004" spans="7:14" x14ac:dyDescent="0.3">
      <c r="G31004" s="1"/>
      <c r="N31004" s="1"/>
    </row>
    <row r="31005" spans="7:14" x14ac:dyDescent="0.3">
      <c r="G31005" s="1"/>
      <c r="N31005" s="1"/>
    </row>
    <row r="31006" spans="7:14" x14ac:dyDescent="0.3">
      <c r="G31006" s="1"/>
      <c r="N31006" s="1"/>
    </row>
    <row r="31007" spans="7:14" x14ac:dyDescent="0.3">
      <c r="G31007" s="1"/>
      <c r="N31007" s="1"/>
    </row>
    <row r="31008" spans="7:14" x14ac:dyDescent="0.3">
      <c r="G31008" s="1"/>
      <c r="N31008" s="1"/>
    </row>
    <row r="31009" spans="7:14" x14ac:dyDescent="0.3">
      <c r="G31009" s="1"/>
      <c r="N31009" s="1"/>
    </row>
    <row r="31010" spans="7:14" x14ac:dyDescent="0.3">
      <c r="G31010" s="1"/>
      <c r="N31010" s="1"/>
    </row>
    <row r="31011" spans="7:14" x14ac:dyDescent="0.3">
      <c r="G31011" s="1"/>
      <c r="N31011" s="1"/>
    </row>
    <row r="31012" spans="7:14" x14ac:dyDescent="0.3">
      <c r="G31012" s="1"/>
      <c r="N31012" s="1"/>
    </row>
    <row r="31013" spans="7:14" x14ac:dyDescent="0.3">
      <c r="G31013" s="1"/>
      <c r="N31013" s="1"/>
    </row>
    <row r="31014" spans="7:14" x14ac:dyDescent="0.3">
      <c r="G31014" s="1"/>
      <c r="N31014" s="1"/>
    </row>
    <row r="31015" spans="7:14" x14ac:dyDescent="0.3">
      <c r="G31015" s="1"/>
      <c r="N31015" s="1"/>
    </row>
    <row r="31016" spans="7:14" x14ac:dyDescent="0.3">
      <c r="G31016" s="1"/>
      <c r="N31016" s="1"/>
    </row>
    <row r="31017" spans="7:14" x14ac:dyDescent="0.3">
      <c r="G31017" s="1"/>
      <c r="N31017" s="1"/>
    </row>
    <row r="31018" spans="7:14" x14ac:dyDescent="0.3">
      <c r="G31018" s="1"/>
      <c r="N31018" s="1"/>
    </row>
    <row r="31019" spans="7:14" x14ac:dyDescent="0.3">
      <c r="G31019" s="1"/>
      <c r="N31019" s="1"/>
    </row>
    <row r="31020" spans="7:14" x14ac:dyDescent="0.3">
      <c r="G31020" s="1"/>
      <c r="N31020" s="1"/>
    </row>
    <row r="31021" spans="7:14" x14ac:dyDescent="0.3">
      <c r="G31021" s="1"/>
      <c r="N31021" s="1"/>
    </row>
    <row r="31022" spans="7:14" x14ac:dyDescent="0.3">
      <c r="G31022" s="1"/>
      <c r="N31022" s="1"/>
    </row>
    <row r="31023" spans="7:14" x14ac:dyDescent="0.3">
      <c r="G31023" s="1"/>
      <c r="N31023" s="1"/>
    </row>
    <row r="31024" spans="7:14" x14ac:dyDescent="0.3">
      <c r="G31024" s="1"/>
      <c r="N31024" s="1"/>
    </row>
    <row r="31025" spans="7:14" x14ac:dyDescent="0.3">
      <c r="G31025" s="1"/>
      <c r="N31025" s="1"/>
    </row>
    <row r="31026" spans="7:14" x14ac:dyDescent="0.3">
      <c r="G31026" s="1"/>
      <c r="N31026" s="1"/>
    </row>
    <row r="31027" spans="7:14" x14ac:dyDescent="0.3">
      <c r="G31027" s="1"/>
      <c r="N31027" s="1"/>
    </row>
    <row r="31028" spans="7:14" x14ac:dyDescent="0.3">
      <c r="G31028" s="1"/>
      <c r="N31028" s="1"/>
    </row>
    <row r="31029" spans="7:14" x14ac:dyDescent="0.3">
      <c r="G31029" s="1"/>
      <c r="N31029" s="1"/>
    </row>
    <row r="31030" spans="7:14" x14ac:dyDescent="0.3">
      <c r="G31030" s="1"/>
      <c r="N31030" s="1"/>
    </row>
    <row r="31031" spans="7:14" x14ac:dyDescent="0.3">
      <c r="G31031" s="1"/>
      <c r="N31031" s="1"/>
    </row>
    <row r="31032" spans="7:14" x14ac:dyDescent="0.3">
      <c r="G31032" s="1"/>
      <c r="N31032" s="1"/>
    </row>
    <row r="31033" spans="7:14" x14ac:dyDescent="0.3">
      <c r="G31033" s="1"/>
      <c r="N31033" s="1"/>
    </row>
    <row r="31034" spans="7:14" x14ac:dyDescent="0.3">
      <c r="G31034" s="1"/>
      <c r="N31034" s="1"/>
    </row>
    <row r="31035" spans="7:14" x14ac:dyDescent="0.3">
      <c r="G31035" s="1"/>
      <c r="N31035" s="1"/>
    </row>
    <row r="31036" spans="7:14" x14ac:dyDescent="0.3">
      <c r="G31036" s="1"/>
      <c r="N31036" s="1"/>
    </row>
    <row r="31037" spans="7:14" x14ac:dyDescent="0.3">
      <c r="G31037" s="1"/>
      <c r="N31037" s="1"/>
    </row>
    <row r="31038" spans="7:14" x14ac:dyDescent="0.3">
      <c r="G31038" s="1"/>
      <c r="N31038" s="1"/>
    </row>
    <row r="31039" spans="7:14" x14ac:dyDescent="0.3">
      <c r="G31039" s="1"/>
      <c r="N31039" s="1"/>
    </row>
    <row r="31040" spans="7:14" x14ac:dyDescent="0.3">
      <c r="G31040" s="1"/>
      <c r="N31040" s="1"/>
    </row>
    <row r="31041" spans="7:14" x14ac:dyDescent="0.3">
      <c r="G31041" s="1"/>
      <c r="N31041" s="1"/>
    </row>
    <row r="31042" spans="7:14" x14ac:dyDescent="0.3">
      <c r="G31042" s="1"/>
      <c r="N31042" s="1"/>
    </row>
    <row r="31043" spans="7:14" x14ac:dyDescent="0.3">
      <c r="G31043" s="1"/>
      <c r="N31043" s="1"/>
    </row>
    <row r="31044" spans="7:14" x14ac:dyDescent="0.3">
      <c r="G31044" s="1"/>
      <c r="N31044" s="1"/>
    </row>
    <row r="31045" spans="7:14" x14ac:dyDescent="0.3">
      <c r="G31045" s="1"/>
      <c r="N31045" s="1"/>
    </row>
    <row r="31046" spans="7:14" x14ac:dyDescent="0.3">
      <c r="G31046" s="1"/>
      <c r="N31046" s="1"/>
    </row>
    <row r="31047" spans="7:14" x14ac:dyDescent="0.3">
      <c r="G31047" s="1"/>
      <c r="N31047" s="1"/>
    </row>
    <row r="31048" spans="7:14" x14ac:dyDescent="0.3">
      <c r="G31048" s="1"/>
      <c r="N31048" s="1"/>
    </row>
    <row r="31049" spans="7:14" x14ac:dyDescent="0.3">
      <c r="G31049" s="1"/>
      <c r="N31049" s="1"/>
    </row>
    <row r="31050" spans="7:14" x14ac:dyDescent="0.3">
      <c r="G31050" s="1"/>
      <c r="N31050" s="1"/>
    </row>
    <row r="31051" spans="7:14" x14ac:dyDescent="0.3">
      <c r="G31051" s="1"/>
      <c r="N31051" s="1"/>
    </row>
    <row r="31052" spans="7:14" x14ac:dyDescent="0.3">
      <c r="G31052" s="1"/>
      <c r="N31052" s="1"/>
    </row>
    <row r="31053" spans="7:14" x14ac:dyDescent="0.3">
      <c r="G31053" s="1"/>
      <c r="N31053" s="1"/>
    </row>
    <row r="31054" spans="7:14" x14ac:dyDescent="0.3">
      <c r="G31054" s="1"/>
      <c r="N31054" s="1"/>
    </row>
    <row r="31055" spans="7:14" x14ac:dyDescent="0.3">
      <c r="G31055" s="1"/>
      <c r="N31055" s="1"/>
    </row>
    <row r="31056" spans="7:14" x14ac:dyDescent="0.3">
      <c r="G31056" s="1"/>
      <c r="N31056" s="1"/>
    </row>
    <row r="31057" spans="7:14" x14ac:dyDescent="0.3">
      <c r="G31057" s="1"/>
      <c r="N31057" s="1"/>
    </row>
    <row r="31058" spans="7:14" x14ac:dyDescent="0.3">
      <c r="G31058" s="1"/>
      <c r="N31058" s="1"/>
    </row>
    <row r="31059" spans="7:14" x14ac:dyDescent="0.3">
      <c r="G31059" s="1"/>
      <c r="N31059" s="1"/>
    </row>
    <row r="31060" spans="7:14" x14ac:dyDescent="0.3">
      <c r="G31060" s="1"/>
      <c r="N31060" s="1"/>
    </row>
    <row r="31061" spans="7:14" x14ac:dyDescent="0.3">
      <c r="G31061" s="1"/>
      <c r="N31061" s="1"/>
    </row>
    <row r="31062" spans="7:14" x14ac:dyDescent="0.3">
      <c r="G31062" s="1"/>
      <c r="N31062" s="1"/>
    </row>
    <row r="31063" spans="7:14" x14ac:dyDescent="0.3">
      <c r="G31063" s="1"/>
      <c r="N31063" s="1"/>
    </row>
    <row r="31064" spans="7:14" x14ac:dyDescent="0.3">
      <c r="G31064" s="1"/>
      <c r="N31064" s="1"/>
    </row>
    <row r="31065" spans="7:14" x14ac:dyDescent="0.3">
      <c r="G31065" s="1"/>
      <c r="N31065" s="1"/>
    </row>
    <row r="31066" spans="7:14" x14ac:dyDescent="0.3">
      <c r="G31066" s="1"/>
      <c r="N31066" s="1"/>
    </row>
    <row r="31067" spans="7:14" x14ac:dyDescent="0.3">
      <c r="G31067" s="1"/>
      <c r="N31067" s="1"/>
    </row>
    <row r="31068" spans="7:14" x14ac:dyDescent="0.3">
      <c r="G31068" s="1"/>
      <c r="N31068" s="1"/>
    </row>
    <row r="31069" spans="7:14" x14ac:dyDescent="0.3">
      <c r="G31069" s="1"/>
      <c r="N31069" s="1"/>
    </row>
    <row r="31070" spans="7:14" x14ac:dyDescent="0.3">
      <c r="G31070" s="1"/>
      <c r="N31070" s="1"/>
    </row>
    <row r="31071" spans="7:14" x14ac:dyDescent="0.3">
      <c r="G31071" s="1"/>
      <c r="N31071" s="1"/>
    </row>
    <row r="31072" spans="7:14" x14ac:dyDescent="0.3">
      <c r="G31072" s="1"/>
      <c r="N31072" s="1"/>
    </row>
    <row r="31073" spans="7:14" x14ac:dyDescent="0.3">
      <c r="G31073" s="1"/>
      <c r="N31073" s="1"/>
    </row>
    <row r="31074" spans="7:14" x14ac:dyDescent="0.3">
      <c r="G31074" s="1"/>
      <c r="N31074" s="1"/>
    </row>
    <row r="31075" spans="7:14" x14ac:dyDescent="0.3">
      <c r="G31075" s="1"/>
      <c r="N31075" s="1"/>
    </row>
    <row r="31076" spans="7:14" x14ac:dyDescent="0.3">
      <c r="G31076" s="1"/>
      <c r="N31076" s="1"/>
    </row>
    <row r="31077" spans="7:14" x14ac:dyDescent="0.3">
      <c r="G31077" s="1"/>
      <c r="N31077" s="1"/>
    </row>
    <row r="31078" spans="7:14" x14ac:dyDescent="0.3">
      <c r="G31078" s="1"/>
      <c r="N31078" s="1"/>
    </row>
    <row r="31079" spans="7:14" x14ac:dyDescent="0.3">
      <c r="G31079" s="1"/>
      <c r="N31079" s="1"/>
    </row>
    <row r="31080" spans="7:14" x14ac:dyDescent="0.3">
      <c r="G31080" s="1"/>
      <c r="N31080" s="1"/>
    </row>
    <row r="31081" spans="7:14" x14ac:dyDescent="0.3">
      <c r="G31081" s="1"/>
      <c r="N31081" s="1"/>
    </row>
    <row r="31082" spans="7:14" x14ac:dyDescent="0.3">
      <c r="G31082" s="1"/>
      <c r="N31082" s="1"/>
    </row>
    <row r="31083" spans="7:14" x14ac:dyDescent="0.3">
      <c r="G31083" s="1"/>
      <c r="N31083" s="1"/>
    </row>
    <row r="31084" spans="7:14" x14ac:dyDescent="0.3">
      <c r="G31084" s="1"/>
      <c r="N31084" s="1"/>
    </row>
    <row r="31085" spans="7:14" x14ac:dyDescent="0.3">
      <c r="G31085" s="1"/>
      <c r="N31085" s="1"/>
    </row>
    <row r="31086" spans="7:14" x14ac:dyDescent="0.3">
      <c r="G31086" s="1"/>
      <c r="N31086" s="1"/>
    </row>
    <row r="31087" spans="7:14" x14ac:dyDescent="0.3">
      <c r="G31087" s="1"/>
      <c r="N31087" s="1"/>
    </row>
    <row r="31088" spans="7:14" x14ac:dyDescent="0.3">
      <c r="G31088" s="1"/>
      <c r="N31088" s="1"/>
    </row>
    <row r="31089" spans="7:14" x14ac:dyDescent="0.3">
      <c r="G31089" s="1"/>
      <c r="N31089" s="1"/>
    </row>
    <row r="31090" spans="7:14" x14ac:dyDescent="0.3">
      <c r="G31090" s="1"/>
      <c r="N31090" s="1"/>
    </row>
    <row r="31091" spans="7:14" x14ac:dyDescent="0.3">
      <c r="G31091" s="1"/>
      <c r="N31091" s="1"/>
    </row>
    <row r="31092" spans="7:14" x14ac:dyDescent="0.3">
      <c r="G31092" s="1"/>
      <c r="N31092" s="1"/>
    </row>
    <row r="31093" spans="7:14" x14ac:dyDescent="0.3">
      <c r="G31093" s="1"/>
      <c r="N31093" s="1"/>
    </row>
    <row r="31094" spans="7:14" x14ac:dyDescent="0.3">
      <c r="G31094" s="1"/>
      <c r="N31094" s="1"/>
    </row>
    <row r="31095" spans="7:14" x14ac:dyDescent="0.3">
      <c r="G31095" s="1"/>
      <c r="N31095" s="1"/>
    </row>
    <row r="31096" spans="7:14" x14ac:dyDescent="0.3">
      <c r="G31096" s="1"/>
      <c r="N31096" s="1"/>
    </row>
    <row r="31097" spans="7:14" x14ac:dyDescent="0.3">
      <c r="G31097" s="1"/>
      <c r="N31097" s="1"/>
    </row>
    <row r="31098" spans="7:14" x14ac:dyDescent="0.3">
      <c r="G31098" s="1"/>
      <c r="N31098" s="1"/>
    </row>
    <row r="31099" spans="7:14" x14ac:dyDescent="0.3">
      <c r="G31099" s="1"/>
      <c r="N31099" s="1"/>
    </row>
    <row r="31100" spans="7:14" x14ac:dyDescent="0.3">
      <c r="G31100" s="1"/>
      <c r="N31100" s="1"/>
    </row>
    <row r="31101" spans="7:14" x14ac:dyDescent="0.3">
      <c r="G31101" s="1"/>
      <c r="N31101" s="1"/>
    </row>
    <row r="31102" spans="7:14" x14ac:dyDescent="0.3">
      <c r="G31102" s="1"/>
      <c r="N31102" s="1"/>
    </row>
    <row r="31103" spans="7:14" x14ac:dyDescent="0.3">
      <c r="G31103" s="1"/>
      <c r="N31103" s="1"/>
    </row>
    <row r="31104" spans="7:14" x14ac:dyDescent="0.3">
      <c r="G31104" s="1"/>
      <c r="N31104" s="1"/>
    </row>
    <row r="31105" spans="7:14" x14ac:dyDescent="0.3">
      <c r="G31105" s="1"/>
      <c r="N31105" s="1"/>
    </row>
    <row r="31106" spans="7:14" x14ac:dyDescent="0.3">
      <c r="G31106" s="1"/>
      <c r="N31106" s="1"/>
    </row>
    <row r="31107" spans="7:14" x14ac:dyDescent="0.3">
      <c r="G31107" s="1"/>
      <c r="N31107" s="1"/>
    </row>
    <row r="31108" spans="7:14" x14ac:dyDescent="0.3">
      <c r="G31108" s="1"/>
      <c r="N31108" s="1"/>
    </row>
    <row r="31109" spans="7:14" x14ac:dyDescent="0.3">
      <c r="G31109" s="1"/>
      <c r="N31109" s="1"/>
    </row>
    <row r="31110" spans="7:14" x14ac:dyDescent="0.3">
      <c r="G31110" s="1"/>
      <c r="N31110" s="1"/>
    </row>
    <row r="31111" spans="7:14" x14ac:dyDescent="0.3">
      <c r="G31111" s="1"/>
      <c r="N31111" s="1"/>
    </row>
    <row r="31112" spans="7:14" x14ac:dyDescent="0.3">
      <c r="G31112" s="1"/>
      <c r="N31112" s="1"/>
    </row>
    <row r="31113" spans="7:14" x14ac:dyDescent="0.3">
      <c r="G31113" s="1"/>
      <c r="N31113" s="1"/>
    </row>
    <row r="31114" spans="7:14" x14ac:dyDescent="0.3">
      <c r="G31114" s="1"/>
      <c r="N31114" s="1"/>
    </row>
    <row r="31115" spans="7:14" x14ac:dyDescent="0.3">
      <c r="G31115" s="1"/>
      <c r="N31115" s="1"/>
    </row>
    <row r="31116" spans="7:14" x14ac:dyDescent="0.3">
      <c r="G31116" s="1"/>
      <c r="N31116" s="1"/>
    </row>
    <row r="31117" spans="7:14" x14ac:dyDescent="0.3">
      <c r="G31117" s="1"/>
      <c r="N31117" s="1"/>
    </row>
    <row r="31118" spans="7:14" x14ac:dyDescent="0.3">
      <c r="G31118" s="1"/>
      <c r="N31118" s="1"/>
    </row>
    <row r="31119" spans="7:14" x14ac:dyDescent="0.3">
      <c r="G31119" s="1"/>
      <c r="N31119" s="1"/>
    </row>
    <row r="31120" spans="7:14" x14ac:dyDescent="0.3">
      <c r="G31120" s="1"/>
      <c r="N31120" s="1"/>
    </row>
    <row r="31121" spans="7:14" x14ac:dyDescent="0.3">
      <c r="G31121" s="1"/>
      <c r="N31121" s="1"/>
    </row>
    <row r="31122" spans="7:14" x14ac:dyDescent="0.3">
      <c r="G31122" s="1"/>
      <c r="N31122" s="1"/>
    </row>
    <row r="31123" spans="7:14" x14ac:dyDescent="0.3">
      <c r="G31123" s="1"/>
      <c r="N31123" s="1"/>
    </row>
    <row r="31124" spans="7:14" x14ac:dyDescent="0.3">
      <c r="G31124" s="1"/>
      <c r="N31124" s="1"/>
    </row>
    <row r="31125" spans="7:14" x14ac:dyDescent="0.3">
      <c r="G31125" s="1"/>
      <c r="N31125" s="1"/>
    </row>
    <row r="31126" spans="7:14" x14ac:dyDescent="0.3">
      <c r="G31126" s="1"/>
      <c r="N31126" s="1"/>
    </row>
    <row r="31127" spans="7:14" x14ac:dyDescent="0.3">
      <c r="G31127" s="1"/>
      <c r="N31127" s="1"/>
    </row>
    <row r="31128" spans="7:14" x14ac:dyDescent="0.3">
      <c r="G31128" s="1"/>
      <c r="N31128" s="1"/>
    </row>
    <row r="31129" spans="7:14" x14ac:dyDescent="0.3">
      <c r="G31129" s="1"/>
      <c r="N31129" s="1"/>
    </row>
    <row r="31130" spans="7:14" x14ac:dyDescent="0.3">
      <c r="G31130" s="1"/>
      <c r="N31130" s="1"/>
    </row>
    <row r="31131" spans="7:14" x14ac:dyDescent="0.3">
      <c r="G31131" s="1"/>
      <c r="N31131" s="1"/>
    </row>
    <row r="31132" spans="7:14" x14ac:dyDescent="0.3">
      <c r="G31132" s="1"/>
      <c r="N31132" s="1"/>
    </row>
    <row r="31133" spans="7:14" x14ac:dyDescent="0.3">
      <c r="G31133" s="1"/>
      <c r="N31133" s="1"/>
    </row>
    <row r="31134" spans="7:14" x14ac:dyDescent="0.3">
      <c r="G31134" s="1"/>
      <c r="N31134" s="1"/>
    </row>
    <row r="31135" spans="7:14" x14ac:dyDescent="0.3">
      <c r="G31135" s="1"/>
      <c r="N31135" s="1"/>
    </row>
    <row r="31136" spans="7:14" x14ac:dyDescent="0.3">
      <c r="G31136" s="1"/>
      <c r="N31136" s="1"/>
    </row>
    <row r="31137" spans="7:14" x14ac:dyDescent="0.3">
      <c r="G31137" s="1"/>
      <c r="N31137" s="1"/>
    </row>
    <row r="31138" spans="7:14" x14ac:dyDescent="0.3">
      <c r="G31138" s="1"/>
      <c r="N31138" s="1"/>
    </row>
    <row r="31139" spans="7:14" x14ac:dyDescent="0.3">
      <c r="G31139" s="1"/>
      <c r="N31139" s="1"/>
    </row>
    <row r="31140" spans="7:14" x14ac:dyDescent="0.3">
      <c r="G31140" s="1"/>
      <c r="N31140" s="1"/>
    </row>
    <row r="31141" spans="7:14" x14ac:dyDescent="0.3">
      <c r="G31141" s="1"/>
      <c r="N31141" s="1"/>
    </row>
    <row r="31142" spans="7:14" x14ac:dyDescent="0.3">
      <c r="G31142" s="1"/>
      <c r="N31142" s="1"/>
    </row>
    <row r="31143" spans="7:14" x14ac:dyDescent="0.3">
      <c r="G31143" s="1"/>
      <c r="N31143" s="1"/>
    </row>
    <row r="31144" spans="7:14" x14ac:dyDescent="0.3">
      <c r="G31144" s="1"/>
      <c r="N31144" s="1"/>
    </row>
    <row r="31145" spans="7:14" x14ac:dyDescent="0.3">
      <c r="G31145" s="1"/>
      <c r="N31145" s="1"/>
    </row>
    <row r="31146" spans="7:14" x14ac:dyDescent="0.3">
      <c r="G31146" s="1"/>
      <c r="N31146" s="1"/>
    </row>
    <row r="31147" spans="7:14" x14ac:dyDescent="0.3">
      <c r="G31147" s="1"/>
      <c r="N31147" s="1"/>
    </row>
    <row r="31148" spans="7:14" x14ac:dyDescent="0.3">
      <c r="G31148" s="1"/>
      <c r="N31148" s="1"/>
    </row>
    <row r="31149" spans="7:14" x14ac:dyDescent="0.3">
      <c r="G31149" s="1"/>
      <c r="N31149" s="1"/>
    </row>
    <row r="31150" spans="7:14" x14ac:dyDescent="0.3">
      <c r="G31150" s="1"/>
      <c r="N31150" s="1"/>
    </row>
    <row r="31151" spans="7:14" x14ac:dyDescent="0.3">
      <c r="G31151" s="1"/>
      <c r="N31151" s="1"/>
    </row>
    <row r="31152" spans="7:14" x14ac:dyDescent="0.3">
      <c r="G31152" s="1"/>
      <c r="N31152" s="1"/>
    </row>
    <row r="31153" spans="7:14" x14ac:dyDescent="0.3">
      <c r="G31153" s="1"/>
      <c r="N31153" s="1"/>
    </row>
    <row r="31154" spans="7:14" x14ac:dyDescent="0.3">
      <c r="G31154" s="1"/>
      <c r="N31154" s="1"/>
    </row>
    <row r="31155" spans="7:14" x14ac:dyDescent="0.3">
      <c r="G31155" s="1"/>
      <c r="N31155" s="1"/>
    </row>
    <row r="31156" spans="7:14" x14ac:dyDescent="0.3">
      <c r="G31156" s="1"/>
      <c r="N31156" s="1"/>
    </row>
    <row r="31157" spans="7:14" x14ac:dyDescent="0.3">
      <c r="G31157" s="1"/>
      <c r="N31157" s="1"/>
    </row>
    <row r="31158" spans="7:14" x14ac:dyDescent="0.3">
      <c r="G31158" s="1"/>
      <c r="N31158" s="1"/>
    </row>
    <row r="31159" spans="7:14" x14ac:dyDescent="0.3">
      <c r="G31159" s="1"/>
      <c r="N31159" s="1"/>
    </row>
    <row r="31160" spans="7:14" x14ac:dyDescent="0.3">
      <c r="G31160" s="1"/>
      <c r="N31160" s="1"/>
    </row>
    <row r="31161" spans="7:14" x14ac:dyDescent="0.3">
      <c r="G31161" s="1"/>
      <c r="N31161" s="1"/>
    </row>
    <row r="31162" spans="7:14" x14ac:dyDescent="0.3">
      <c r="G31162" s="1"/>
      <c r="N31162" s="1"/>
    </row>
    <row r="31163" spans="7:14" x14ac:dyDescent="0.3">
      <c r="G31163" s="1"/>
      <c r="N31163" s="1"/>
    </row>
    <row r="31164" spans="7:14" x14ac:dyDescent="0.3">
      <c r="G31164" s="1"/>
      <c r="N31164" s="1"/>
    </row>
    <row r="31165" spans="7:14" x14ac:dyDescent="0.3">
      <c r="G31165" s="1"/>
      <c r="N31165" s="1"/>
    </row>
    <row r="31166" spans="7:14" x14ac:dyDescent="0.3">
      <c r="G31166" s="1"/>
      <c r="N31166" s="1"/>
    </row>
    <row r="31167" spans="7:14" x14ac:dyDescent="0.3">
      <c r="G31167" s="1"/>
      <c r="N31167" s="1"/>
    </row>
    <row r="31168" spans="7:14" x14ac:dyDescent="0.3">
      <c r="G31168" s="1"/>
      <c r="N31168" s="1"/>
    </row>
    <row r="31169" spans="7:14" x14ac:dyDescent="0.3">
      <c r="G31169" s="1"/>
      <c r="N31169" s="1"/>
    </row>
    <row r="31170" spans="7:14" x14ac:dyDescent="0.3">
      <c r="G31170" s="1"/>
      <c r="N31170" s="1"/>
    </row>
    <row r="31171" spans="7:14" x14ac:dyDescent="0.3">
      <c r="G31171" s="1"/>
      <c r="N31171" s="1"/>
    </row>
    <row r="31172" spans="7:14" x14ac:dyDescent="0.3">
      <c r="G31172" s="1"/>
      <c r="N31172" s="1"/>
    </row>
    <row r="31173" spans="7:14" x14ac:dyDescent="0.3">
      <c r="G31173" s="1"/>
      <c r="N31173" s="1"/>
    </row>
    <row r="31174" spans="7:14" x14ac:dyDescent="0.3">
      <c r="G31174" s="1"/>
      <c r="N31174" s="1"/>
    </row>
    <row r="31175" spans="7:14" x14ac:dyDescent="0.3">
      <c r="G31175" s="1"/>
      <c r="N31175" s="1"/>
    </row>
    <row r="31176" spans="7:14" x14ac:dyDescent="0.3">
      <c r="G31176" s="1"/>
      <c r="N31176" s="1"/>
    </row>
    <row r="31177" spans="7:14" x14ac:dyDescent="0.3">
      <c r="G31177" s="1"/>
      <c r="N31177" s="1"/>
    </row>
    <row r="31178" spans="7:14" x14ac:dyDescent="0.3">
      <c r="G31178" s="1"/>
      <c r="N31178" s="1"/>
    </row>
    <row r="31179" spans="7:14" x14ac:dyDescent="0.3">
      <c r="G31179" s="1"/>
      <c r="N31179" s="1"/>
    </row>
    <row r="31180" spans="7:14" x14ac:dyDescent="0.3">
      <c r="G31180" s="1"/>
      <c r="N31180" s="1"/>
    </row>
    <row r="31181" spans="7:14" x14ac:dyDescent="0.3">
      <c r="G31181" s="1"/>
      <c r="N31181" s="1"/>
    </row>
    <row r="31182" spans="7:14" x14ac:dyDescent="0.3">
      <c r="G31182" s="1"/>
      <c r="N31182" s="1"/>
    </row>
    <row r="31183" spans="7:14" x14ac:dyDescent="0.3">
      <c r="G31183" s="1"/>
      <c r="N31183" s="1"/>
    </row>
    <row r="31184" spans="7:14" x14ac:dyDescent="0.3">
      <c r="G31184" s="1"/>
      <c r="N31184" s="1"/>
    </row>
    <row r="31185" spans="7:14" x14ac:dyDescent="0.3">
      <c r="G31185" s="1"/>
      <c r="N31185" s="1"/>
    </row>
    <row r="31186" spans="7:14" x14ac:dyDescent="0.3">
      <c r="G31186" s="1"/>
      <c r="N31186" s="1"/>
    </row>
    <row r="31187" spans="7:14" x14ac:dyDescent="0.3">
      <c r="G31187" s="1"/>
      <c r="N31187" s="1"/>
    </row>
    <row r="31188" spans="7:14" x14ac:dyDescent="0.3">
      <c r="G31188" s="1"/>
      <c r="N31188" s="1"/>
    </row>
    <row r="31189" spans="7:14" x14ac:dyDescent="0.3">
      <c r="G31189" s="1"/>
      <c r="N31189" s="1"/>
    </row>
    <row r="31190" spans="7:14" x14ac:dyDescent="0.3">
      <c r="G31190" s="1"/>
      <c r="N31190" s="1"/>
    </row>
    <row r="31191" spans="7:14" x14ac:dyDescent="0.3">
      <c r="G31191" s="1"/>
      <c r="N31191" s="1"/>
    </row>
    <row r="31192" spans="7:14" x14ac:dyDescent="0.3">
      <c r="G31192" s="1"/>
      <c r="N31192" s="1"/>
    </row>
    <row r="31193" spans="7:14" x14ac:dyDescent="0.3">
      <c r="G31193" s="1"/>
      <c r="N31193" s="1"/>
    </row>
    <row r="31194" spans="7:14" x14ac:dyDescent="0.3">
      <c r="G31194" s="1"/>
      <c r="N31194" s="1"/>
    </row>
    <row r="31195" spans="7:14" x14ac:dyDescent="0.3">
      <c r="G31195" s="1"/>
      <c r="N31195" s="1"/>
    </row>
    <row r="31196" spans="7:14" x14ac:dyDescent="0.3">
      <c r="G31196" s="1"/>
      <c r="N31196" s="1"/>
    </row>
    <row r="31197" spans="7:14" x14ac:dyDescent="0.3">
      <c r="G31197" s="1"/>
      <c r="N31197" s="1"/>
    </row>
    <row r="31198" spans="7:14" x14ac:dyDescent="0.3">
      <c r="G31198" s="1"/>
      <c r="N31198" s="1"/>
    </row>
    <row r="31199" spans="7:14" x14ac:dyDescent="0.3">
      <c r="G31199" s="1"/>
      <c r="N31199" s="1"/>
    </row>
    <row r="31200" spans="7:14" x14ac:dyDescent="0.3">
      <c r="G31200" s="1"/>
      <c r="N31200" s="1"/>
    </row>
    <row r="31201" spans="7:14" x14ac:dyDescent="0.3">
      <c r="G31201" s="1"/>
      <c r="N31201" s="1"/>
    </row>
    <row r="31202" spans="7:14" x14ac:dyDescent="0.3">
      <c r="G31202" s="1"/>
      <c r="N31202" s="1"/>
    </row>
    <row r="31203" spans="7:14" x14ac:dyDescent="0.3">
      <c r="G31203" s="1"/>
      <c r="N31203" s="1"/>
    </row>
    <row r="31204" spans="7:14" x14ac:dyDescent="0.3">
      <c r="G31204" s="1"/>
      <c r="N31204" s="1"/>
    </row>
    <row r="31205" spans="7:14" x14ac:dyDescent="0.3">
      <c r="G31205" s="1"/>
      <c r="N31205" s="1"/>
    </row>
    <row r="31206" spans="7:14" x14ac:dyDescent="0.3">
      <c r="G31206" s="1"/>
      <c r="N31206" s="1"/>
    </row>
    <row r="31207" spans="7:14" x14ac:dyDescent="0.3">
      <c r="G31207" s="1"/>
      <c r="N31207" s="1"/>
    </row>
    <row r="31208" spans="7:14" x14ac:dyDescent="0.3">
      <c r="G31208" s="1"/>
      <c r="N31208" s="1"/>
    </row>
    <row r="31209" spans="7:14" x14ac:dyDescent="0.3">
      <c r="G31209" s="1"/>
      <c r="N31209" s="1"/>
    </row>
    <row r="31210" spans="7:14" x14ac:dyDescent="0.3">
      <c r="G31210" s="1"/>
      <c r="N31210" s="1"/>
    </row>
    <row r="31211" spans="7:14" x14ac:dyDescent="0.3">
      <c r="G31211" s="1"/>
      <c r="N31211" s="1"/>
    </row>
    <row r="31212" spans="7:14" x14ac:dyDescent="0.3">
      <c r="G31212" s="1"/>
      <c r="N31212" s="1"/>
    </row>
    <row r="31213" spans="7:14" x14ac:dyDescent="0.3">
      <c r="G31213" s="1"/>
      <c r="N31213" s="1"/>
    </row>
    <row r="31214" spans="7:14" x14ac:dyDescent="0.3">
      <c r="G31214" s="1"/>
      <c r="N31214" s="1"/>
    </row>
    <row r="31215" spans="7:14" x14ac:dyDescent="0.3">
      <c r="G31215" s="1"/>
      <c r="N31215" s="1"/>
    </row>
    <row r="31216" spans="7:14" x14ac:dyDescent="0.3">
      <c r="G31216" s="1"/>
      <c r="N31216" s="1"/>
    </row>
    <row r="31217" spans="7:14" x14ac:dyDescent="0.3">
      <c r="G31217" s="1"/>
      <c r="N31217" s="1"/>
    </row>
    <row r="31218" spans="7:14" x14ac:dyDescent="0.3">
      <c r="G31218" s="1"/>
      <c r="N31218" s="1"/>
    </row>
    <row r="31219" spans="7:14" x14ac:dyDescent="0.3">
      <c r="G31219" s="1"/>
      <c r="N31219" s="1"/>
    </row>
    <row r="31220" spans="7:14" x14ac:dyDescent="0.3">
      <c r="G31220" s="1"/>
      <c r="N31220" s="1"/>
    </row>
    <row r="31221" spans="7:14" x14ac:dyDescent="0.3">
      <c r="G31221" s="1"/>
      <c r="N31221" s="1"/>
    </row>
    <row r="31222" spans="7:14" x14ac:dyDescent="0.3">
      <c r="G31222" s="1"/>
      <c r="N31222" s="1"/>
    </row>
    <row r="31223" spans="7:14" x14ac:dyDescent="0.3">
      <c r="G31223" s="1"/>
      <c r="N31223" s="1"/>
    </row>
    <row r="31224" spans="7:14" x14ac:dyDescent="0.3">
      <c r="G31224" s="1"/>
      <c r="N31224" s="1"/>
    </row>
    <row r="31225" spans="7:14" x14ac:dyDescent="0.3">
      <c r="G31225" s="1"/>
      <c r="N31225" s="1"/>
    </row>
    <row r="31226" spans="7:14" x14ac:dyDescent="0.3">
      <c r="G31226" s="1"/>
      <c r="N31226" s="1"/>
    </row>
    <row r="31227" spans="7:14" x14ac:dyDescent="0.3">
      <c r="G31227" s="1"/>
      <c r="N31227" s="1"/>
    </row>
    <row r="31228" spans="7:14" x14ac:dyDescent="0.3">
      <c r="G31228" s="1"/>
      <c r="N31228" s="1"/>
    </row>
    <row r="31229" spans="7:14" x14ac:dyDescent="0.3">
      <c r="G31229" s="1"/>
      <c r="N31229" s="1"/>
    </row>
    <row r="31230" spans="7:14" x14ac:dyDescent="0.3">
      <c r="G31230" s="1"/>
      <c r="N31230" s="1"/>
    </row>
    <row r="31231" spans="7:14" x14ac:dyDescent="0.3">
      <c r="G31231" s="1"/>
      <c r="N31231" s="1"/>
    </row>
    <row r="31232" spans="7:14" x14ac:dyDescent="0.3">
      <c r="G31232" s="1"/>
      <c r="N31232" s="1"/>
    </row>
    <row r="31233" spans="7:14" x14ac:dyDescent="0.3">
      <c r="G31233" s="1"/>
      <c r="N31233" s="1"/>
    </row>
    <row r="31234" spans="7:14" x14ac:dyDescent="0.3">
      <c r="G31234" s="1"/>
      <c r="N31234" s="1"/>
    </row>
    <row r="31235" spans="7:14" x14ac:dyDescent="0.3">
      <c r="G31235" s="1"/>
      <c r="N31235" s="1"/>
    </row>
    <row r="31236" spans="7:14" x14ac:dyDescent="0.3">
      <c r="G31236" s="1"/>
      <c r="N31236" s="1"/>
    </row>
    <row r="31237" spans="7:14" x14ac:dyDescent="0.3">
      <c r="G31237" s="1"/>
      <c r="N31237" s="1"/>
    </row>
    <row r="31238" spans="7:14" x14ac:dyDescent="0.3">
      <c r="G31238" s="1"/>
      <c r="N31238" s="1"/>
    </row>
    <row r="31239" spans="7:14" x14ac:dyDescent="0.3">
      <c r="G31239" s="1"/>
      <c r="N31239" s="1"/>
    </row>
    <row r="31240" spans="7:14" x14ac:dyDescent="0.3">
      <c r="G31240" s="1"/>
      <c r="N31240" s="1"/>
    </row>
    <row r="31241" spans="7:14" x14ac:dyDescent="0.3">
      <c r="G31241" s="1"/>
      <c r="N31241" s="1"/>
    </row>
    <row r="31242" spans="7:14" x14ac:dyDescent="0.3">
      <c r="G31242" s="1"/>
      <c r="N31242" s="1"/>
    </row>
    <row r="31243" spans="7:14" x14ac:dyDescent="0.3">
      <c r="G31243" s="1"/>
      <c r="N31243" s="1"/>
    </row>
    <row r="31244" spans="7:14" x14ac:dyDescent="0.3">
      <c r="G31244" s="1"/>
      <c r="N31244" s="1"/>
    </row>
    <row r="31245" spans="7:14" x14ac:dyDescent="0.3">
      <c r="G31245" s="1"/>
      <c r="N31245" s="1"/>
    </row>
    <row r="31246" spans="7:14" x14ac:dyDescent="0.3">
      <c r="G31246" s="1"/>
      <c r="N31246" s="1"/>
    </row>
    <row r="31247" spans="7:14" x14ac:dyDescent="0.3">
      <c r="G31247" s="1"/>
      <c r="N31247" s="1"/>
    </row>
    <row r="31248" spans="7:14" x14ac:dyDescent="0.3">
      <c r="G31248" s="1"/>
      <c r="N31248" s="1"/>
    </row>
    <row r="31249" spans="7:14" x14ac:dyDescent="0.3">
      <c r="G31249" s="1"/>
      <c r="N31249" s="1"/>
    </row>
    <row r="31250" spans="7:14" x14ac:dyDescent="0.3">
      <c r="G31250" s="1"/>
      <c r="N31250" s="1"/>
    </row>
    <row r="31251" spans="7:14" x14ac:dyDescent="0.3">
      <c r="G31251" s="1"/>
      <c r="N31251" s="1"/>
    </row>
    <row r="31252" spans="7:14" x14ac:dyDescent="0.3">
      <c r="G31252" s="1"/>
      <c r="N31252" s="1"/>
    </row>
    <row r="31253" spans="7:14" x14ac:dyDescent="0.3">
      <c r="G31253" s="1"/>
      <c r="N31253" s="1"/>
    </row>
    <row r="31254" spans="7:14" x14ac:dyDescent="0.3">
      <c r="G31254" s="1"/>
      <c r="N31254" s="1"/>
    </row>
    <row r="31255" spans="7:14" x14ac:dyDescent="0.3">
      <c r="G31255" s="1"/>
      <c r="N31255" s="1"/>
    </row>
    <row r="31256" spans="7:14" x14ac:dyDescent="0.3">
      <c r="G31256" s="1"/>
      <c r="N31256" s="1"/>
    </row>
    <row r="31257" spans="7:14" x14ac:dyDescent="0.3">
      <c r="G31257" s="1"/>
      <c r="N31257" s="1"/>
    </row>
    <row r="31258" spans="7:14" x14ac:dyDescent="0.3">
      <c r="G31258" s="1"/>
      <c r="N31258" s="1"/>
    </row>
    <row r="31259" spans="7:14" x14ac:dyDescent="0.3">
      <c r="G31259" s="1"/>
      <c r="N31259" s="1"/>
    </row>
    <row r="31260" spans="7:14" x14ac:dyDescent="0.3">
      <c r="G31260" s="1"/>
      <c r="N31260" s="1"/>
    </row>
    <row r="31261" spans="7:14" x14ac:dyDescent="0.3">
      <c r="G31261" s="1"/>
      <c r="N31261" s="1"/>
    </row>
    <row r="31262" spans="7:14" x14ac:dyDescent="0.3">
      <c r="G31262" s="1"/>
      <c r="N31262" s="1"/>
    </row>
    <row r="31263" spans="7:14" x14ac:dyDescent="0.3">
      <c r="G31263" s="1"/>
      <c r="N31263" s="1"/>
    </row>
    <row r="31264" spans="7:14" x14ac:dyDescent="0.3">
      <c r="G31264" s="1"/>
      <c r="N31264" s="1"/>
    </row>
    <row r="31265" spans="7:14" x14ac:dyDescent="0.3">
      <c r="G31265" s="1"/>
      <c r="N31265" s="1"/>
    </row>
    <row r="31266" spans="7:14" x14ac:dyDescent="0.3">
      <c r="G31266" s="1"/>
      <c r="N31266" s="1"/>
    </row>
    <row r="31267" spans="7:14" x14ac:dyDescent="0.3">
      <c r="G31267" s="1"/>
      <c r="N31267" s="1"/>
    </row>
    <row r="31268" spans="7:14" x14ac:dyDescent="0.3">
      <c r="G31268" s="1"/>
      <c r="N31268" s="1"/>
    </row>
    <row r="31269" spans="7:14" x14ac:dyDescent="0.3">
      <c r="G31269" s="1"/>
      <c r="N31269" s="1"/>
    </row>
    <row r="31270" spans="7:14" x14ac:dyDescent="0.3">
      <c r="G31270" s="1"/>
      <c r="N31270" s="1"/>
    </row>
    <row r="31271" spans="7:14" x14ac:dyDescent="0.3">
      <c r="G31271" s="1"/>
      <c r="N31271" s="1"/>
    </row>
    <row r="31272" spans="7:14" x14ac:dyDescent="0.3">
      <c r="G31272" s="1"/>
      <c r="N31272" s="1"/>
    </row>
    <row r="31273" spans="7:14" x14ac:dyDescent="0.3">
      <c r="G31273" s="1"/>
      <c r="N31273" s="1"/>
    </row>
    <row r="31274" spans="7:14" x14ac:dyDescent="0.3">
      <c r="G31274" s="1"/>
      <c r="N31274" s="1"/>
    </row>
    <row r="31275" spans="7:14" x14ac:dyDescent="0.3">
      <c r="G31275" s="1"/>
      <c r="N31275" s="1"/>
    </row>
    <row r="31276" spans="7:14" x14ac:dyDescent="0.3">
      <c r="G31276" s="1"/>
      <c r="N31276" s="1"/>
    </row>
    <row r="31277" spans="7:14" x14ac:dyDescent="0.3">
      <c r="G31277" s="1"/>
      <c r="N31277" s="1"/>
    </row>
    <row r="31278" spans="7:14" x14ac:dyDescent="0.3">
      <c r="G31278" s="1"/>
      <c r="N31278" s="1"/>
    </row>
    <row r="31279" spans="7:14" x14ac:dyDescent="0.3">
      <c r="G31279" s="1"/>
      <c r="N31279" s="1"/>
    </row>
    <row r="31280" spans="7:14" x14ac:dyDescent="0.3">
      <c r="G31280" s="1"/>
      <c r="N31280" s="1"/>
    </row>
    <row r="31281" spans="7:14" x14ac:dyDescent="0.3">
      <c r="G31281" s="1"/>
      <c r="N31281" s="1"/>
    </row>
    <row r="31282" spans="7:14" x14ac:dyDescent="0.3">
      <c r="G31282" s="1"/>
      <c r="N31282" s="1"/>
    </row>
    <row r="31283" spans="7:14" x14ac:dyDescent="0.3">
      <c r="G31283" s="1"/>
      <c r="N31283" s="1"/>
    </row>
    <row r="31284" spans="7:14" x14ac:dyDescent="0.3">
      <c r="G31284" s="1"/>
      <c r="N31284" s="1"/>
    </row>
    <row r="31285" spans="7:14" x14ac:dyDescent="0.3">
      <c r="G31285" s="1"/>
      <c r="N31285" s="1"/>
    </row>
    <row r="31286" spans="7:14" x14ac:dyDescent="0.3">
      <c r="G31286" s="1"/>
      <c r="N31286" s="1"/>
    </row>
    <row r="31287" spans="7:14" x14ac:dyDescent="0.3">
      <c r="G31287" s="1"/>
      <c r="N31287" s="1"/>
    </row>
    <row r="31288" spans="7:14" x14ac:dyDescent="0.3">
      <c r="G31288" s="1"/>
      <c r="N31288" s="1"/>
    </row>
    <row r="31289" spans="7:14" x14ac:dyDescent="0.3">
      <c r="G31289" s="1"/>
      <c r="N31289" s="1"/>
    </row>
    <row r="31290" spans="7:14" x14ac:dyDescent="0.3">
      <c r="G31290" s="1"/>
      <c r="N31290" s="1"/>
    </row>
    <row r="31291" spans="7:14" x14ac:dyDescent="0.3">
      <c r="G31291" s="1"/>
      <c r="N31291" s="1"/>
    </row>
    <row r="31292" spans="7:14" x14ac:dyDescent="0.3">
      <c r="G31292" s="1"/>
      <c r="N31292" s="1"/>
    </row>
    <row r="31293" spans="7:14" x14ac:dyDescent="0.3">
      <c r="G31293" s="1"/>
      <c r="N31293" s="1"/>
    </row>
    <row r="31294" spans="7:14" x14ac:dyDescent="0.3">
      <c r="G31294" s="1"/>
      <c r="N31294" s="1"/>
    </row>
    <row r="31295" spans="7:14" x14ac:dyDescent="0.3">
      <c r="G31295" s="1"/>
      <c r="N31295" s="1"/>
    </row>
    <row r="31296" spans="7:14" x14ac:dyDescent="0.3">
      <c r="G31296" s="1"/>
      <c r="N31296" s="1"/>
    </row>
    <row r="31297" spans="7:14" x14ac:dyDescent="0.3">
      <c r="G31297" s="1"/>
      <c r="N31297" s="1"/>
    </row>
    <row r="31298" spans="7:14" x14ac:dyDescent="0.3">
      <c r="G31298" s="1"/>
      <c r="N31298" s="1"/>
    </row>
    <row r="31299" spans="7:14" x14ac:dyDescent="0.3">
      <c r="G31299" s="1"/>
      <c r="N31299" s="1"/>
    </row>
    <row r="31300" spans="7:14" x14ac:dyDescent="0.3">
      <c r="G31300" s="1"/>
      <c r="N31300" s="1"/>
    </row>
    <row r="31301" spans="7:14" x14ac:dyDescent="0.3">
      <c r="G31301" s="1"/>
      <c r="N31301" s="1"/>
    </row>
    <row r="31302" spans="7:14" x14ac:dyDescent="0.3">
      <c r="G31302" s="1"/>
      <c r="N31302" s="1"/>
    </row>
    <row r="31303" spans="7:14" x14ac:dyDescent="0.3">
      <c r="G31303" s="1"/>
      <c r="N31303" s="1"/>
    </row>
    <row r="31304" spans="7:14" x14ac:dyDescent="0.3">
      <c r="G31304" s="1"/>
      <c r="N31304" s="1"/>
    </row>
    <row r="31305" spans="7:14" x14ac:dyDescent="0.3">
      <c r="G31305" s="1"/>
      <c r="N31305" s="1"/>
    </row>
    <row r="31306" spans="7:14" x14ac:dyDescent="0.3">
      <c r="G31306" s="1"/>
      <c r="N31306" s="1"/>
    </row>
    <row r="31307" spans="7:14" x14ac:dyDescent="0.3">
      <c r="G31307" s="1"/>
      <c r="N31307" s="1"/>
    </row>
    <row r="31308" spans="7:14" x14ac:dyDescent="0.3">
      <c r="G31308" s="1"/>
      <c r="N31308" s="1"/>
    </row>
    <row r="31309" spans="7:14" x14ac:dyDescent="0.3">
      <c r="G31309" s="1"/>
      <c r="N31309" s="1"/>
    </row>
    <row r="31310" spans="7:14" x14ac:dyDescent="0.3">
      <c r="G31310" s="1"/>
      <c r="N31310" s="1"/>
    </row>
    <row r="31311" spans="7:14" x14ac:dyDescent="0.3">
      <c r="G31311" s="1"/>
      <c r="N31311" s="1"/>
    </row>
    <row r="31312" spans="7:14" x14ac:dyDescent="0.3">
      <c r="G31312" s="1"/>
      <c r="N31312" s="1"/>
    </row>
    <row r="31313" spans="7:14" x14ac:dyDescent="0.3">
      <c r="G31313" s="1"/>
      <c r="N31313" s="1"/>
    </row>
    <row r="31314" spans="7:14" x14ac:dyDescent="0.3">
      <c r="G31314" s="1"/>
      <c r="N31314" s="1"/>
    </row>
    <row r="31315" spans="7:14" x14ac:dyDescent="0.3">
      <c r="G31315" s="1"/>
      <c r="N31315" s="1"/>
    </row>
    <row r="31316" spans="7:14" x14ac:dyDescent="0.3">
      <c r="G31316" s="1"/>
      <c r="N31316" s="1"/>
    </row>
    <row r="31317" spans="7:14" x14ac:dyDescent="0.3">
      <c r="G31317" s="1"/>
      <c r="N31317" s="1"/>
    </row>
    <row r="31318" spans="7:14" x14ac:dyDescent="0.3">
      <c r="G31318" s="1"/>
      <c r="N31318" s="1"/>
    </row>
    <row r="31319" spans="7:14" x14ac:dyDescent="0.3">
      <c r="G31319" s="1"/>
      <c r="N31319" s="1"/>
    </row>
    <row r="31320" spans="7:14" x14ac:dyDescent="0.3">
      <c r="G31320" s="1"/>
      <c r="N31320" s="1"/>
    </row>
    <row r="31321" spans="7:14" x14ac:dyDescent="0.3">
      <c r="G31321" s="1"/>
      <c r="N31321" s="1"/>
    </row>
    <row r="31322" spans="7:14" x14ac:dyDescent="0.3">
      <c r="G31322" s="1"/>
      <c r="N31322" s="1"/>
    </row>
    <row r="31323" spans="7:14" x14ac:dyDescent="0.3">
      <c r="G31323" s="1"/>
      <c r="N31323" s="1"/>
    </row>
    <row r="31324" spans="7:14" x14ac:dyDescent="0.3">
      <c r="G31324" s="1"/>
      <c r="N31324" s="1"/>
    </row>
    <row r="31325" spans="7:14" x14ac:dyDescent="0.3">
      <c r="G31325" s="1"/>
      <c r="N31325" s="1"/>
    </row>
    <row r="31326" spans="7:14" x14ac:dyDescent="0.3">
      <c r="G31326" s="1"/>
      <c r="N31326" s="1"/>
    </row>
    <row r="31327" spans="7:14" x14ac:dyDescent="0.3">
      <c r="G31327" s="1"/>
      <c r="N31327" s="1"/>
    </row>
    <row r="31328" spans="7:14" x14ac:dyDescent="0.3">
      <c r="G31328" s="1"/>
      <c r="N31328" s="1"/>
    </row>
    <row r="31329" spans="7:14" x14ac:dyDescent="0.3">
      <c r="G31329" s="1"/>
      <c r="N31329" s="1"/>
    </row>
    <row r="31330" spans="7:14" x14ac:dyDescent="0.3">
      <c r="G31330" s="1"/>
      <c r="N31330" s="1"/>
    </row>
    <row r="31331" spans="7:14" x14ac:dyDescent="0.3">
      <c r="G31331" s="1"/>
      <c r="N31331" s="1"/>
    </row>
    <row r="31332" spans="7:14" x14ac:dyDescent="0.3">
      <c r="G31332" s="1"/>
      <c r="N31332" s="1"/>
    </row>
    <row r="31333" spans="7:14" x14ac:dyDescent="0.3">
      <c r="G31333" s="1"/>
      <c r="N31333" s="1"/>
    </row>
    <row r="31334" spans="7:14" x14ac:dyDescent="0.3">
      <c r="G31334" s="1"/>
      <c r="N31334" s="1"/>
    </row>
    <row r="31335" spans="7:14" x14ac:dyDescent="0.3">
      <c r="G31335" s="1"/>
      <c r="N31335" s="1"/>
    </row>
    <row r="31336" spans="7:14" x14ac:dyDescent="0.3">
      <c r="G31336" s="1"/>
      <c r="N31336" s="1"/>
    </row>
    <row r="31337" spans="7:14" x14ac:dyDescent="0.3">
      <c r="G31337" s="1"/>
      <c r="N31337" s="1"/>
    </row>
    <row r="31338" spans="7:14" x14ac:dyDescent="0.3">
      <c r="G31338" s="1"/>
      <c r="N31338" s="1"/>
    </row>
    <row r="31339" spans="7:14" x14ac:dyDescent="0.3">
      <c r="G31339" s="1"/>
      <c r="N31339" s="1"/>
    </row>
    <row r="31340" spans="7:14" x14ac:dyDescent="0.3">
      <c r="G31340" s="1"/>
      <c r="N31340" s="1"/>
    </row>
    <row r="31341" spans="7:14" x14ac:dyDescent="0.3">
      <c r="G31341" s="1"/>
      <c r="N31341" s="1"/>
    </row>
    <row r="31342" spans="7:14" x14ac:dyDescent="0.3">
      <c r="G31342" s="1"/>
      <c r="N31342" s="1"/>
    </row>
    <row r="31343" spans="7:14" x14ac:dyDescent="0.3">
      <c r="G31343" s="1"/>
      <c r="N31343" s="1"/>
    </row>
    <row r="31344" spans="7:14" x14ac:dyDescent="0.3">
      <c r="G31344" s="1"/>
      <c r="N31344" s="1"/>
    </row>
    <row r="31345" spans="7:14" x14ac:dyDescent="0.3">
      <c r="G31345" s="1"/>
      <c r="N31345" s="1"/>
    </row>
    <row r="31346" spans="7:14" x14ac:dyDescent="0.3">
      <c r="G31346" s="1"/>
      <c r="N31346" s="1"/>
    </row>
    <row r="31347" spans="7:14" x14ac:dyDescent="0.3">
      <c r="G31347" s="1"/>
      <c r="N31347" s="1"/>
    </row>
    <row r="31348" spans="7:14" x14ac:dyDescent="0.3">
      <c r="G31348" s="1"/>
      <c r="N31348" s="1"/>
    </row>
    <row r="31349" spans="7:14" x14ac:dyDescent="0.3">
      <c r="G31349" s="1"/>
      <c r="N31349" s="1"/>
    </row>
    <row r="31350" spans="7:14" x14ac:dyDescent="0.3">
      <c r="G31350" s="1"/>
      <c r="N31350" s="1"/>
    </row>
    <row r="31351" spans="7:14" x14ac:dyDescent="0.3">
      <c r="G31351" s="1"/>
      <c r="N31351" s="1"/>
    </row>
    <row r="31352" spans="7:14" x14ac:dyDescent="0.3">
      <c r="G31352" s="1"/>
      <c r="N31352" s="1"/>
    </row>
    <row r="31353" spans="7:14" x14ac:dyDescent="0.3">
      <c r="G31353" s="1"/>
      <c r="N31353" s="1"/>
    </row>
    <row r="31354" spans="7:14" x14ac:dyDescent="0.3">
      <c r="G31354" s="1"/>
      <c r="N31354" s="1"/>
    </row>
    <row r="31355" spans="7:14" x14ac:dyDescent="0.3">
      <c r="G31355" s="1"/>
      <c r="N31355" s="1"/>
    </row>
    <row r="31356" spans="7:14" x14ac:dyDescent="0.3">
      <c r="G31356" s="1"/>
      <c r="N31356" s="1"/>
    </row>
    <row r="31357" spans="7:14" x14ac:dyDescent="0.3">
      <c r="G31357" s="1"/>
      <c r="N31357" s="1"/>
    </row>
    <row r="31358" spans="7:14" x14ac:dyDescent="0.3">
      <c r="G31358" s="1"/>
      <c r="N31358" s="1"/>
    </row>
    <row r="31359" spans="7:14" x14ac:dyDescent="0.3">
      <c r="G31359" s="1"/>
      <c r="N31359" s="1"/>
    </row>
    <row r="31360" spans="7:14" x14ac:dyDescent="0.3">
      <c r="G31360" s="1"/>
      <c r="N31360" s="1"/>
    </row>
    <row r="31361" spans="7:14" x14ac:dyDescent="0.3">
      <c r="G31361" s="1"/>
      <c r="N31361" s="1"/>
    </row>
    <row r="31362" spans="7:14" x14ac:dyDescent="0.3">
      <c r="G31362" s="1"/>
      <c r="N31362" s="1"/>
    </row>
    <row r="31363" spans="7:14" x14ac:dyDescent="0.3">
      <c r="G31363" s="1"/>
      <c r="N31363" s="1"/>
    </row>
    <row r="31364" spans="7:14" x14ac:dyDescent="0.3">
      <c r="G31364" s="1"/>
      <c r="N31364" s="1"/>
    </row>
    <row r="31365" spans="7:14" x14ac:dyDescent="0.3">
      <c r="G31365" s="1"/>
      <c r="N31365" s="1"/>
    </row>
    <row r="31366" spans="7:14" x14ac:dyDescent="0.3">
      <c r="G31366" s="1"/>
      <c r="N31366" s="1"/>
    </row>
    <row r="31367" spans="7:14" x14ac:dyDescent="0.3">
      <c r="G31367" s="1"/>
      <c r="N31367" s="1"/>
    </row>
    <row r="31368" spans="7:14" x14ac:dyDescent="0.3">
      <c r="G31368" s="1"/>
      <c r="N31368" s="1"/>
    </row>
    <row r="31369" spans="7:14" x14ac:dyDescent="0.3">
      <c r="G31369" s="1"/>
      <c r="N31369" s="1"/>
    </row>
    <row r="31370" spans="7:14" x14ac:dyDescent="0.3">
      <c r="G31370" s="1"/>
      <c r="N31370" s="1"/>
    </row>
    <row r="31371" spans="7:14" x14ac:dyDescent="0.3">
      <c r="G31371" s="1"/>
      <c r="N31371" s="1"/>
    </row>
    <row r="31372" spans="7:14" x14ac:dyDescent="0.3">
      <c r="G31372" s="1"/>
      <c r="N31372" s="1"/>
    </row>
    <row r="31373" spans="7:14" x14ac:dyDescent="0.3">
      <c r="G31373" s="1"/>
      <c r="N31373" s="1"/>
    </row>
    <row r="31374" spans="7:14" x14ac:dyDescent="0.3">
      <c r="G31374" s="1"/>
      <c r="N31374" s="1"/>
    </row>
    <row r="31375" spans="7:14" x14ac:dyDescent="0.3">
      <c r="G31375" s="1"/>
      <c r="N31375" s="1"/>
    </row>
    <row r="31376" spans="7:14" x14ac:dyDescent="0.3">
      <c r="G31376" s="1"/>
      <c r="N31376" s="1"/>
    </row>
    <row r="31377" spans="7:14" x14ac:dyDescent="0.3">
      <c r="G31377" s="1"/>
      <c r="N31377" s="1"/>
    </row>
    <row r="31378" spans="7:14" x14ac:dyDescent="0.3">
      <c r="G31378" s="1"/>
      <c r="N31378" s="1"/>
    </row>
    <row r="31379" spans="7:14" x14ac:dyDescent="0.3">
      <c r="G31379" s="1"/>
      <c r="N31379" s="1"/>
    </row>
    <row r="31380" spans="7:14" x14ac:dyDescent="0.3">
      <c r="G31380" s="1"/>
      <c r="N31380" s="1"/>
    </row>
    <row r="31381" spans="7:14" x14ac:dyDescent="0.3">
      <c r="G31381" s="1"/>
      <c r="N31381" s="1"/>
    </row>
    <row r="31382" spans="7:14" x14ac:dyDescent="0.3">
      <c r="G31382" s="1"/>
      <c r="N31382" s="1"/>
    </row>
    <row r="31383" spans="7:14" x14ac:dyDescent="0.3">
      <c r="G31383" s="1"/>
      <c r="N31383" s="1"/>
    </row>
    <row r="31384" spans="7:14" x14ac:dyDescent="0.3">
      <c r="G31384" s="1"/>
      <c r="N31384" s="1"/>
    </row>
    <row r="31385" spans="7:14" x14ac:dyDescent="0.3">
      <c r="G31385" s="1"/>
      <c r="N31385" s="1"/>
    </row>
    <row r="31386" spans="7:14" x14ac:dyDescent="0.3">
      <c r="G31386" s="1"/>
      <c r="N31386" s="1"/>
    </row>
    <row r="31387" spans="7:14" x14ac:dyDescent="0.3">
      <c r="G31387" s="1"/>
      <c r="N31387" s="1"/>
    </row>
    <row r="31388" spans="7:14" x14ac:dyDescent="0.3">
      <c r="G31388" s="1"/>
      <c r="N31388" s="1"/>
    </row>
    <row r="31389" spans="7:14" x14ac:dyDescent="0.3">
      <c r="G31389" s="1"/>
      <c r="N31389" s="1"/>
    </row>
    <row r="31390" spans="7:14" x14ac:dyDescent="0.3">
      <c r="G31390" s="1"/>
      <c r="N31390" s="1"/>
    </row>
    <row r="31391" spans="7:14" x14ac:dyDescent="0.3">
      <c r="G31391" s="1"/>
      <c r="N31391" s="1"/>
    </row>
    <row r="31392" spans="7:14" x14ac:dyDescent="0.3">
      <c r="G31392" s="1"/>
      <c r="N31392" s="1"/>
    </row>
    <row r="31393" spans="7:14" x14ac:dyDescent="0.3">
      <c r="G31393" s="1"/>
      <c r="N31393" s="1"/>
    </row>
    <row r="31394" spans="7:14" x14ac:dyDescent="0.3">
      <c r="G31394" s="1"/>
      <c r="N31394" s="1"/>
    </row>
    <row r="31395" spans="7:14" x14ac:dyDescent="0.3">
      <c r="G31395" s="1"/>
      <c r="N31395" s="1"/>
    </row>
    <row r="31396" spans="7:14" x14ac:dyDescent="0.3">
      <c r="G31396" s="1"/>
      <c r="N31396" s="1"/>
    </row>
    <row r="31397" spans="7:14" x14ac:dyDescent="0.3">
      <c r="G31397" s="1"/>
      <c r="N31397" s="1"/>
    </row>
    <row r="31398" spans="7:14" x14ac:dyDescent="0.3">
      <c r="G31398" s="1"/>
      <c r="N31398" s="1"/>
    </row>
    <row r="31399" spans="7:14" x14ac:dyDescent="0.3">
      <c r="G31399" s="1"/>
      <c r="N31399" s="1"/>
    </row>
    <row r="31400" spans="7:14" x14ac:dyDescent="0.3">
      <c r="G31400" s="1"/>
      <c r="N31400" s="1"/>
    </row>
    <row r="31401" spans="7:14" x14ac:dyDescent="0.3">
      <c r="G31401" s="1"/>
      <c r="N31401" s="1"/>
    </row>
    <row r="31402" spans="7:14" x14ac:dyDescent="0.3">
      <c r="G31402" s="1"/>
      <c r="N31402" s="1"/>
    </row>
    <row r="31403" spans="7:14" x14ac:dyDescent="0.3">
      <c r="G31403" s="1"/>
      <c r="N31403" s="1"/>
    </row>
    <row r="31404" spans="7:14" x14ac:dyDescent="0.3">
      <c r="G31404" s="1"/>
      <c r="N31404" s="1"/>
    </row>
    <row r="31405" spans="7:14" x14ac:dyDescent="0.3">
      <c r="G31405" s="1"/>
      <c r="N31405" s="1"/>
    </row>
    <row r="31406" spans="7:14" x14ac:dyDescent="0.3">
      <c r="G31406" s="1"/>
      <c r="N31406" s="1"/>
    </row>
    <row r="31407" spans="7:14" x14ac:dyDescent="0.3">
      <c r="G31407" s="1"/>
      <c r="N31407" s="1"/>
    </row>
    <row r="31408" spans="7:14" x14ac:dyDescent="0.3">
      <c r="G31408" s="1"/>
      <c r="N31408" s="1"/>
    </row>
    <row r="31409" spans="7:14" x14ac:dyDescent="0.3">
      <c r="G31409" s="1"/>
      <c r="N31409" s="1"/>
    </row>
    <row r="31410" spans="7:14" x14ac:dyDescent="0.3">
      <c r="G31410" s="1"/>
      <c r="N31410" s="1"/>
    </row>
    <row r="31411" spans="7:14" x14ac:dyDescent="0.3">
      <c r="G31411" s="1"/>
      <c r="N31411" s="1"/>
    </row>
    <row r="31412" spans="7:14" x14ac:dyDescent="0.3">
      <c r="G31412" s="1"/>
      <c r="N31412" s="1"/>
    </row>
    <row r="31413" spans="7:14" x14ac:dyDescent="0.3">
      <c r="G31413" s="1"/>
      <c r="N31413" s="1"/>
    </row>
    <row r="31414" spans="7:14" x14ac:dyDescent="0.3">
      <c r="G31414" s="1"/>
      <c r="N31414" s="1"/>
    </row>
    <row r="31415" spans="7:14" x14ac:dyDescent="0.3">
      <c r="G31415" s="1"/>
      <c r="N31415" s="1"/>
    </row>
    <row r="31416" spans="7:14" x14ac:dyDescent="0.3">
      <c r="G31416" s="1"/>
      <c r="N31416" s="1"/>
    </row>
    <row r="31417" spans="7:14" x14ac:dyDescent="0.3">
      <c r="G31417" s="1"/>
      <c r="N31417" s="1"/>
    </row>
    <row r="31418" spans="7:14" x14ac:dyDescent="0.3">
      <c r="G31418" s="1"/>
      <c r="N31418" s="1"/>
    </row>
    <row r="31419" spans="7:14" x14ac:dyDescent="0.3">
      <c r="G31419" s="1"/>
      <c r="N31419" s="1"/>
    </row>
    <row r="31420" spans="7:14" x14ac:dyDescent="0.3">
      <c r="G31420" s="1"/>
      <c r="N31420" s="1"/>
    </row>
    <row r="31421" spans="7:14" x14ac:dyDescent="0.3">
      <c r="G31421" s="1"/>
      <c r="N31421" s="1"/>
    </row>
    <row r="31422" spans="7:14" x14ac:dyDescent="0.3">
      <c r="G31422" s="1"/>
      <c r="N31422" s="1"/>
    </row>
    <row r="31423" spans="7:14" x14ac:dyDescent="0.3">
      <c r="G31423" s="1"/>
      <c r="N31423" s="1"/>
    </row>
    <row r="31424" spans="7:14" x14ac:dyDescent="0.3">
      <c r="G31424" s="1"/>
      <c r="N31424" s="1"/>
    </row>
    <row r="31425" spans="7:14" x14ac:dyDescent="0.3">
      <c r="G31425" s="1"/>
      <c r="N31425" s="1"/>
    </row>
    <row r="31426" spans="7:14" x14ac:dyDescent="0.3">
      <c r="G31426" s="1"/>
      <c r="N31426" s="1"/>
    </row>
    <row r="31427" spans="7:14" x14ac:dyDescent="0.3">
      <c r="G31427" s="1"/>
      <c r="N31427" s="1"/>
    </row>
    <row r="31428" spans="7:14" x14ac:dyDescent="0.3">
      <c r="G31428" s="1"/>
      <c r="N31428" s="1"/>
    </row>
    <row r="31429" spans="7:14" x14ac:dyDescent="0.3">
      <c r="G31429" s="1"/>
      <c r="N31429" s="1"/>
    </row>
    <row r="31430" spans="7:14" x14ac:dyDescent="0.3">
      <c r="G31430" s="1"/>
      <c r="N31430" s="1"/>
    </row>
    <row r="31431" spans="7:14" x14ac:dyDescent="0.3">
      <c r="G31431" s="1"/>
      <c r="N31431" s="1"/>
    </row>
    <row r="31432" spans="7:14" x14ac:dyDescent="0.3">
      <c r="G31432" s="1"/>
      <c r="N31432" s="1"/>
    </row>
    <row r="31433" spans="7:14" x14ac:dyDescent="0.3">
      <c r="G31433" s="1"/>
      <c r="N31433" s="1"/>
    </row>
    <row r="31434" spans="7:14" x14ac:dyDescent="0.3">
      <c r="G31434" s="1"/>
      <c r="N31434" s="1"/>
    </row>
    <row r="31435" spans="7:14" x14ac:dyDescent="0.3">
      <c r="G31435" s="1"/>
      <c r="N31435" s="1"/>
    </row>
    <row r="31436" spans="7:14" x14ac:dyDescent="0.3">
      <c r="G31436" s="1"/>
      <c r="N31436" s="1"/>
    </row>
    <row r="31437" spans="7:14" x14ac:dyDescent="0.3">
      <c r="G31437" s="1"/>
      <c r="N31437" s="1"/>
    </row>
    <row r="31438" spans="7:14" x14ac:dyDescent="0.3">
      <c r="G31438" s="1"/>
      <c r="N31438" s="1"/>
    </row>
    <row r="31439" spans="7:14" x14ac:dyDescent="0.3">
      <c r="G31439" s="1"/>
      <c r="N31439" s="1"/>
    </row>
    <row r="31440" spans="7:14" x14ac:dyDescent="0.3">
      <c r="G31440" s="1"/>
      <c r="N31440" s="1"/>
    </row>
    <row r="31441" spans="7:14" x14ac:dyDescent="0.3">
      <c r="G31441" s="1"/>
      <c r="N31441" s="1"/>
    </row>
    <row r="31442" spans="7:14" x14ac:dyDescent="0.3">
      <c r="G31442" s="1"/>
      <c r="N31442" s="1"/>
    </row>
    <row r="31443" spans="7:14" x14ac:dyDescent="0.3">
      <c r="G31443" s="1"/>
      <c r="N31443" s="1"/>
    </row>
    <row r="31444" spans="7:14" x14ac:dyDescent="0.3">
      <c r="G31444" s="1"/>
      <c r="N31444" s="1"/>
    </row>
    <row r="31445" spans="7:14" x14ac:dyDescent="0.3">
      <c r="G31445" s="1"/>
      <c r="N31445" s="1"/>
    </row>
    <row r="31446" spans="7:14" x14ac:dyDescent="0.3">
      <c r="G31446" s="1"/>
      <c r="N31446" s="1"/>
    </row>
    <row r="31447" spans="7:14" x14ac:dyDescent="0.3">
      <c r="G31447" s="1"/>
      <c r="N31447" s="1"/>
    </row>
    <row r="31448" spans="7:14" x14ac:dyDescent="0.3">
      <c r="G31448" s="1"/>
      <c r="N31448" s="1"/>
    </row>
    <row r="31449" spans="7:14" x14ac:dyDescent="0.3">
      <c r="G31449" s="1"/>
      <c r="N31449" s="1"/>
    </row>
    <row r="31450" spans="7:14" x14ac:dyDescent="0.3">
      <c r="G31450" s="1"/>
      <c r="N31450" s="1"/>
    </row>
    <row r="31451" spans="7:14" x14ac:dyDescent="0.3">
      <c r="G31451" s="1"/>
      <c r="N31451" s="1"/>
    </row>
    <row r="31452" spans="7:14" x14ac:dyDescent="0.3">
      <c r="G31452" s="1"/>
      <c r="N31452" s="1"/>
    </row>
    <row r="31453" spans="7:14" x14ac:dyDescent="0.3">
      <c r="G31453" s="1"/>
      <c r="N31453" s="1"/>
    </row>
    <row r="31454" spans="7:14" x14ac:dyDescent="0.3">
      <c r="G31454" s="1"/>
      <c r="N31454" s="1"/>
    </row>
    <row r="31455" spans="7:14" x14ac:dyDescent="0.3">
      <c r="G31455" s="1"/>
      <c r="N31455" s="1"/>
    </row>
    <row r="31456" spans="7:14" x14ac:dyDescent="0.3">
      <c r="G31456" s="1"/>
      <c r="N31456" s="1"/>
    </row>
    <row r="31457" spans="7:14" x14ac:dyDescent="0.3">
      <c r="G31457" s="1"/>
      <c r="N31457" s="1"/>
    </row>
    <row r="31458" spans="7:14" x14ac:dyDescent="0.3">
      <c r="G31458" s="1"/>
      <c r="N31458" s="1"/>
    </row>
    <row r="31459" spans="7:14" x14ac:dyDescent="0.3">
      <c r="G31459" s="1"/>
      <c r="N31459" s="1"/>
    </row>
    <row r="31460" spans="7:14" x14ac:dyDescent="0.3">
      <c r="G31460" s="1"/>
      <c r="N31460" s="1"/>
    </row>
    <row r="31461" spans="7:14" x14ac:dyDescent="0.3">
      <c r="G31461" s="1"/>
      <c r="N31461" s="1"/>
    </row>
    <row r="31462" spans="7:14" x14ac:dyDescent="0.3">
      <c r="G31462" s="1"/>
      <c r="N31462" s="1"/>
    </row>
    <row r="31463" spans="7:14" x14ac:dyDescent="0.3">
      <c r="G31463" s="1"/>
      <c r="N31463" s="1"/>
    </row>
    <row r="31464" spans="7:14" x14ac:dyDescent="0.3">
      <c r="G31464" s="1"/>
      <c r="N31464" s="1"/>
    </row>
    <row r="31465" spans="7:14" x14ac:dyDescent="0.3">
      <c r="G31465" s="1"/>
      <c r="N31465" s="1"/>
    </row>
    <row r="31466" spans="7:14" x14ac:dyDescent="0.3">
      <c r="G31466" s="1"/>
      <c r="N31466" s="1"/>
    </row>
    <row r="31467" spans="7:14" x14ac:dyDescent="0.3">
      <c r="G31467" s="1"/>
      <c r="N31467" s="1"/>
    </row>
    <row r="31468" spans="7:14" x14ac:dyDescent="0.3">
      <c r="G31468" s="1"/>
      <c r="N31468" s="1"/>
    </row>
    <row r="31469" spans="7:14" x14ac:dyDescent="0.3">
      <c r="G31469" s="1"/>
      <c r="N31469" s="1"/>
    </row>
    <row r="31470" spans="7:14" x14ac:dyDescent="0.3">
      <c r="G31470" s="1"/>
      <c r="N31470" s="1"/>
    </row>
    <row r="31471" spans="7:14" x14ac:dyDescent="0.3">
      <c r="G31471" s="1"/>
      <c r="N31471" s="1"/>
    </row>
    <row r="31472" spans="7:14" x14ac:dyDescent="0.3">
      <c r="G31472" s="1"/>
      <c r="N31472" s="1"/>
    </row>
    <row r="31473" spans="7:14" x14ac:dyDescent="0.3">
      <c r="G31473" s="1"/>
      <c r="N31473" s="1"/>
    </row>
    <row r="31474" spans="7:14" x14ac:dyDescent="0.3">
      <c r="G31474" s="1"/>
      <c r="N31474" s="1"/>
    </row>
    <row r="31475" spans="7:14" x14ac:dyDescent="0.3">
      <c r="G31475" s="1"/>
      <c r="N31475" s="1"/>
    </row>
    <row r="31476" spans="7:14" x14ac:dyDescent="0.3">
      <c r="G31476" s="1"/>
      <c r="N31476" s="1"/>
    </row>
    <row r="31477" spans="7:14" x14ac:dyDescent="0.3">
      <c r="G31477" s="1"/>
      <c r="N31477" s="1"/>
    </row>
    <row r="31478" spans="7:14" x14ac:dyDescent="0.3">
      <c r="G31478" s="1"/>
      <c r="N31478" s="1"/>
    </row>
    <row r="31479" spans="7:14" x14ac:dyDescent="0.3">
      <c r="G31479" s="1"/>
      <c r="N31479" s="1"/>
    </row>
    <row r="31480" spans="7:14" x14ac:dyDescent="0.3">
      <c r="G31480" s="1"/>
      <c r="N31480" s="1"/>
    </row>
    <row r="31481" spans="7:14" x14ac:dyDescent="0.3">
      <c r="G31481" s="1"/>
      <c r="N31481" s="1"/>
    </row>
    <row r="31482" spans="7:14" x14ac:dyDescent="0.3">
      <c r="G31482" s="1"/>
      <c r="N31482" s="1"/>
    </row>
    <row r="31483" spans="7:14" x14ac:dyDescent="0.3">
      <c r="G31483" s="1"/>
      <c r="N31483" s="1"/>
    </row>
    <row r="31484" spans="7:14" x14ac:dyDescent="0.3">
      <c r="G31484" s="1"/>
      <c r="N31484" s="1"/>
    </row>
    <row r="31485" spans="7:14" x14ac:dyDescent="0.3">
      <c r="G31485" s="1"/>
      <c r="N31485" s="1"/>
    </row>
    <row r="31486" spans="7:14" x14ac:dyDescent="0.3">
      <c r="G31486" s="1"/>
      <c r="N31486" s="1"/>
    </row>
    <row r="31487" spans="7:14" x14ac:dyDescent="0.3">
      <c r="G31487" s="1"/>
      <c r="N31487" s="1"/>
    </row>
    <row r="31488" spans="7:14" x14ac:dyDescent="0.3">
      <c r="G31488" s="1"/>
      <c r="N31488" s="1"/>
    </row>
    <row r="31489" spans="7:14" x14ac:dyDescent="0.3">
      <c r="G31489" s="1"/>
      <c r="N31489" s="1"/>
    </row>
    <row r="31490" spans="7:14" x14ac:dyDescent="0.3">
      <c r="G31490" s="1"/>
      <c r="N31490" s="1"/>
    </row>
    <row r="31491" spans="7:14" x14ac:dyDescent="0.3">
      <c r="G31491" s="1"/>
      <c r="N31491" s="1"/>
    </row>
    <row r="31492" spans="7:14" x14ac:dyDescent="0.3">
      <c r="G31492" s="1"/>
      <c r="N31492" s="1"/>
    </row>
    <row r="31493" spans="7:14" x14ac:dyDescent="0.3">
      <c r="G31493" s="1"/>
      <c r="N31493" s="1"/>
    </row>
    <row r="31494" spans="7:14" x14ac:dyDescent="0.3">
      <c r="G31494" s="1"/>
      <c r="N31494" s="1"/>
    </row>
    <row r="31495" spans="7:14" x14ac:dyDescent="0.3">
      <c r="G31495" s="1"/>
      <c r="N31495" s="1"/>
    </row>
    <row r="31496" spans="7:14" x14ac:dyDescent="0.3">
      <c r="G31496" s="1"/>
      <c r="N31496" s="1"/>
    </row>
    <row r="31497" spans="7:14" x14ac:dyDescent="0.3">
      <c r="G31497" s="1"/>
      <c r="N31497" s="1"/>
    </row>
    <row r="31498" spans="7:14" x14ac:dyDescent="0.3">
      <c r="G31498" s="1"/>
      <c r="N31498" s="1"/>
    </row>
    <row r="31499" spans="7:14" x14ac:dyDescent="0.3">
      <c r="G31499" s="1"/>
      <c r="N31499" s="1"/>
    </row>
    <row r="31500" spans="7:14" x14ac:dyDescent="0.3">
      <c r="G31500" s="1"/>
      <c r="N31500" s="1"/>
    </row>
    <row r="31501" spans="7:14" x14ac:dyDescent="0.3">
      <c r="G31501" s="1"/>
      <c r="N31501" s="1"/>
    </row>
    <row r="31502" spans="7:14" x14ac:dyDescent="0.3">
      <c r="G31502" s="1"/>
      <c r="N31502" s="1"/>
    </row>
    <row r="31503" spans="7:14" x14ac:dyDescent="0.3">
      <c r="G31503" s="1"/>
      <c r="N31503" s="1"/>
    </row>
    <row r="31504" spans="7:14" x14ac:dyDescent="0.3">
      <c r="G31504" s="1"/>
      <c r="N31504" s="1"/>
    </row>
    <row r="31505" spans="7:14" x14ac:dyDescent="0.3">
      <c r="G31505" s="1"/>
      <c r="N31505" s="1"/>
    </row>
    <row r="31506" spans="7:14" x14ac:dyDescent="0.3">
      <c r="G31506" s="1"/>
      <c r="N31506" s="1"/>
    </row>
    <row r="31507" spans="7:14" x14ac:dyDescent="0.3">
      <c r="G31507" s="1"/>
      <c r="N31507" s="1"/>
    </row>
    <row r="31508" spans="7:14" x14ac:dyDescent="0.3">
      <c r="G31508" s="1"/>
      <c r="N31508" s="1"/>
    </row>
    <row r="31509" spans="7:14" x14ac:dyDescent="0.3">
      <c r="G31509" s="1"/>
      <c r="N31509" s="1"/>
    </row>
    <row r="31510" spans="7:14" x14ac:dyDescent="0.3">
      <c r="G31510" s="1"/>
      <c r="N31510" s="1"/>
    </row>
    <row r="31511" spans="7:14" x14ac:dyDescent="0.3">
      <c r="G31511" s="1"/>
      <c r="N31511" s="1"/>
    </row>
    <row r="31512" spans="7:14" x14ac:dyDescent="0.3">
      <c r="G31512" s="1"/>
      <c r="N31512" s="1"/>
    </row>
    <row r="31513" spans="7:14" x14ac:dyDescent="0.3">
      <c r="G31513" s="1"/>
      <c r="N31513" s="1"/>
    </row>
    <row r="31514" spans="7:14" x14ac:dyDescent="0.3">
      <c r="G31514" s="1"/>
      <c r="N31514" s="1"/>
    </row>
    <row r="31515" spans="7:14" x14ac:dyDescent="0.3">
      <c r="G31515" s="1"/>
      <c r="N31515" s="1"/>
    </row>
    <row r="31516" spans="7:14" x14ac:dyDescent="0.3">
      <c r="G31516" s="1"/>
      <c r="N31516" s="1"/>
    </row>
    <row r="31517" spans="7:14" x14ac:dyDescent="0.3">
      <c r="G31517" s="1"/>
      <c r="N31517" s="1"/>
    </row>
    <row r="31518" spans="7:14" x14ac:dyDescent="0.3">
      <c r="G31518" s="1"/>
      <c r="N31518" s="1"/>
    </row>
    <row r="31519" spans="7:14" x14ac:dyDescent="0.3">
      <c r="G31519" s="1"/>
      <c r="N31519" s="1"/>
    </row>
    <row r="31520" spans="7:14" x14ac:dyDescent="0.3">
      <c r="G31520" s="1"/>
      <c r="N31520" s="1"/>
    </row>
    <row r="31521" spans="7:14" x14ac:dyDescent="0.3">
      <c r="G31521" s="1"/>
      <c r="N31521" s="1"/>
    </row>
    <row r="31522" spans="7:14" x14ac:dyDescent="0.3">
      <c r="G31522" s="1"/>
      <c r="N31522" s="1"/>
    </row>
    <row r="31523" spans="7:14" x14ac:dyDescent="0.3">
      <c r="G31523" s="1"/>
      <c r="N31523" s="1"/>
    </row>
    <row r="31524" spans="7:14" x14ac:dyDescent="0.3">
      <c r="G31524" s="1"/>
      <c r="N31524" s="1"/>
    </row>
    <row r="31525" spans="7:14" x14ac:dyDescent="0.3">
      <c r="G31525" s="1"/>
      <c r="N31525" s="1"/>
    </row>
    <row r="31526" spans="7:14" x14ac:dyDescent="0.3">
      <c r="G31526" s="1"/>
      <c r="N31526" s="1"/>
    </row>
    <row r="31527" spans="7:14" x14ac:dyDescent="0.3">
      <c r="G31527" s="1"/>
      <c r="N31527" s="1"/>
    </row>
    <row r="31528" spans="7:14" x14ac:dyDescent="0.3">
      <c r="G31528" s="1"/>
      <c r="N31528" s="1"/>
    </row>
    <row r="31529" spans="7:14" x14ac:dyDescent="0.3">
      <c r="G31529" s="1"/>
      <c r="N31529" s="1"/>
    </row>
    <row r="31530" spans="7:14" x14ac:dyDescent="0.3">
      <c r="G31530" s="1"/>
      <c r="N31530" s="1"/>
    </row>
    <row r="31531" spans="7:14" x14ac:dyDescent="0.3">
      <c r="G31531" s="1"/>
      <c r="N31531" s="1"/>
    </row>
    <row r="31532" spans="7:14" x14ac:dyDescent="0.3">
      <c r="G31532" s="1"/>
      <c r="N31532" s="1"/>
    </row>
    <row r="31533" spans="7:14" x14ac:dyDescent="0.3">
      <c r="G31533" s="1"/>
      <c r="N31533" s="1"/>
    </row>
    <row r="31534" spans="7:14" x14ac:dyDescent="0.3">
      <c r="G31534" s="1"/>
      <c r="N31534" s="1"/>
    </row>
    <row r="31535" spans="7:14" x14ac:dyDescent="0.3">
      <c r="G31535" s="1"/>
      <c r="N31535" s="1"/>
    </row>
    <row r="31536" spans="7:14" x14ac:dyDescent="0.3">
      <c r="G31536" s="1"/>
      <c r="N31536" s="1"/>
    </row>
    <row r="31537" spans="7:14" x14ac:dyDescent="0.3">
      <c r="G31537" s="1"/>
      <c r="N31537" s="1"/>
    </row>
    <row r="31538" spans="7:14" x14ac:dyDescent="0.3">
      <c r="G31538" s="1"/>
      <c r="N31538" s="1"/>
    </row>
    <row r="31539" spans="7:14" x14ac:dyDescent="0.3">
      <c r="G31539" s="1"/>
      <c r="N31539" s="1"/>
    </row>
    <row r="31540" spans="7:14" x14ac:dyDescent="0.3">
      <c r="G31540" s="1"/>
      <c r="N31540" s="1"/>
    </row>
    <row r="31541" spans="7:14" x14ac:dyDescent="0.3">
      <c r="G31541" s="1"/>
      <c r="N31541" s="1"/>
    </row>
    <row r="31542" spans="7:14" x14ac:dyDescent="0.3">
      <c r="G31542" s="1"/>
      <c r="N31542" s="1"/>
    </row>
    <row r="31543" spans="7:14" x14ac:dyDescent="0.3">
      <c r="G31543" s="1"/>
      <c r="N31543" s="1"/>
    </row>
    <row r="31544" spans="7:14" x14ac:dyDescent="0.3">
      <c r="G31544" s="1"/>
      <c r="N31544" s="1"/>
    </row>
    <row r="31545" spans="7:14" x14ac:dyDescent="0.3">
      <c r="G31545" s="1"/>
      <c r="N31545" s="1"/>
    </row>
    <row r="31546" spans="7:14" x14ac:dyDescent="0.3">
      <c r="G31546" s="1"/>
      <c r="N31546" s="1"/>
    </row>
    <row r="31547" spans="7:14" x14ac:dyDescent="0.3">
      <c r="G31547" s="1"/>
      <c r="N31547" s="1"/>
    </row>
    <row r="31548" spans="7:14" x14ac:dyDescent="0.3">
      <c r="G31548" s="1"/>
      <c r="N31548" s="1"/>
    </row>
    <row r="31549" spans="7:14" x14ac:dyDescent="0.3">
      <c r="G31549" s="1"/>
      <c r="N31549" s="1"/>
    </row>
    <row r="31550" spans="7:14" x14ac:dyDescent="0.3">
      <c r="G31550" s="1"/>
      <c r="N31550" s="1"/>
    </row>
    <row r="31551" spans="7:14" x14ac:dyDescent="0.3">
      <c r="G31551" s="1"/>
      <c r="N31551" s="1"/>
    </row>
    <row r="31552" spans="7:14" x14ac:dyDescent="0.3">
      <c r="G31552" s="1"/>
      <c r="N31552" s="1"/>
    </row>
    <row r="31553" spans="7:14" x14ac:dyDescent="0.3">
      <c r="G31553" s="1"/>
      <c r="N31553" s="1"/>
    </row>
    <row r="31554" spans="7:14" x14ac:dyDescent="0.3">
      <c r="G31554" s="1"/>
      <c r="N31554" s="1"/>
    </row>
    <row r="31555" spans="7:14" x14ac:dyDescent="0.3">
      <c r="G31555" s="1"/>
      <c r="N31555" s="1"/>
    </row>
    <row r="31556" spans="7:14" x14ac:dyDescent="0.3">
      <c r="G31556" s="1"/>
      <c r="N31556" s="1"/>
    </row>
    <row r="31557" spans="7:14" x14ac:dyDescent="0.3">
      <c r="G31557" s="1"/>
      <c r="N31557" s="1"/>
    </row>
    <row r="31558" spans="7:14" x14ac:dyDescent="0.3">
      <c r="G31558" s="1"/>
      <c r="N31558" s="1"/>
    </row>
    <row r="31559" spans="7:14" x14ac:dyDescent="0.3">
      <c r="G31559" s="1"/>
      <c r="N31559" s="1"/>
    </row>
    <row r="31560" spans="7:14" x14ac:dyDescent="0.3">
      <c r="G31560" s="1"/>
      <c r="N31560" s="1"/>
    </row>
    <row r="31561" spans="7:14" x14ac:dyDescent="0.3">
      <c r="G31561" s="1"/>
      <c r="N31561" s="1"/>
    </row>
    <row r="31562" spans="7:14" x14ac:dyDescent="0.3">
      <c r="G31562" s="1"/>
      <c r="N31562" s="1"/>
    </row>
    <row r="31563" spans="7:14" x14ac:dyDescent="0.3">
      <c r="G31563" s="1"/>
      <c r="N31563" s="1"/>
    </row>
    <row r="31564" spans="7:14" x14ac:dyDescent="0.3">
      <c r="G31564" s="1"/>
      <c r="N31564" s="1"/>
    </row>
    <row r="31565" spans="7:14" x14ac:dyDescent="0.3">
      <c r="G31565" s="1"/>
      <c r="N31565" s="1"/>
    </row>
    <row r="31566" spans="7:14" x14ac:dyDescent="0.3">
      <c r="G31566" s="1"/>
      <c r="N31566" s="1"/>
    </row>
    <row r="31567" spans="7:14" x14ac:dyDescent="0.3">
      <c r="G31567" s="1"/>
      <c r="N31567" s="1"/>
    </row>
    <row r="31568" spans="7:14" x14ac:dyDescent="0.3">
      <c r="G31568" s="1"/>
      <c r="N31568" s="1"/>
    </row>
    <row r="31569" spans="7:14" x14ac:dyDescent="0.3">
      <c r="G31569" s="1"/>
      <c r="N31569" s="1"/>
    </row>
    <row r="31570" spans="7:14" x14ac:dyDescent="0.3">
      <c r="G31570" s="1"/>
      <c r="N31570" s="1"/>
    </row>
    <row r="31571" spans="7:14" x14ac:dyDescent="0.3">
      <c r="G31571" s="1"/>
      <c r="N31571" s="1"/>
    </row>
    <row r="31572" spans="7:14" x14ac:dyDescent="0.3">
      <c r="G31572" s="1"/>
      <c r="N31572" s="1"/>
    </row>
    <row r="31573" spans="7:14" x14ac:dyDescent="0.3">
      <c r="G31573" s="1"/>
      <c r="N31573" s="1"/>
    </row>
    <row r="31574" spans="7:14" x14ac:dyDescent="0.3">
      <c r="G31574" s="1"/>
      <c r="N31574" s="1"/>
    </row>
    <row r="31575" spans="7:14" x14ac:dyDescent="0.3">
      <c r="G31575" s="1"/>
      <c r="N31575" s="1"/>
    </row>
    <row r="31576" spans="7:14" x14ac:dyDescent="0.3">
      <c r="G31576" s="1"/>
      <c r="N31576" s="1"/>
    </row>
    <row r="31577" spans="7:14" x14ac:dyDescent="0.3">
      <c r="G31577" s="1"/>
      <c r="N31577" s="1"/>
    </row>
    <row r="31578" spans="7:14" x14ac:dyDescent="0.3">
      <c r="G31578" s="1"/>
      <c r="N31578" s="1"/>
    </row>
    <row r="31579" spans="7:14" x14ac:dyDescent="0.3">
      <c r="G31579" s="1"/>
      <c r="N31579" s="1"/>
    </row>
    <row r="31580" spans="7:14" x14ac:dyDescent="0.3">
      <c r="G31580" s="1"/>
      <c r="N31580" s="1"/>
    </row>
    <row r="31581" spans="7:14" x14ac:dyDescent="0.3">
      <c r="G31581" s="1"/>
      <c r="N31581" s="1"/>
    </row>
    <row r="31582" spans="7:14" x14ac:dyDescent="0.3">
      <c r="G31582" s="1"/>
      <c r="N31582" s="1"/>
    </row>
    <row r="31583" spans="7:14" x14ac:dyDescent="0.3">
      <c r="G31583" s="1"/>
      <c r="N31583" s="1"/>
    </row>
    <row r="31584" spans="7:14" x14ac:dyDescent="0.3">
      <c r="G31584" s="1"/>
      <c r="N31584" s="1"/>
    </row>
    <row r="31585" spans="7:14" x14ac:dyDescent="0.3">
      <c r="G31585" s="1"/>
      <c r="N31585" s="1"/>
    </row>
    <row r="31586" spans="7:14" x14ac:dyDescent="0.3">
      <c r="G31586" s="1"/>
      <c r="N31586" s="1"/>
    </row>
    <row r="31587" spans="7:14" x14ac:dyDescent="0.3">
      <c r="G31587" s="1"/>
      <c r="N31587" s="1"/>
    </row>
    <row r="31588" spans="7:14" x14ac:dyDescent="0.3">
      <c r="G31588" s="1"/>
      <c r="N31588" s="1"/>
    </row>
    <row r="31589" spans="7:14" x14ac:dyDescent="0.3">
      <c r="G31589" s="1"/>
      <c r="N31589" s="1"/>
    </row>
    <row r="31590" spans="7:14" x14ac:dyDescent="0.3">
      <c r="G31590" s="1"/>
      <c r="N31590" s="1"/>
    </row>
    <row r="31591" spans="7:14" x14ac:dyDescent="0.3">
      <c r="G31591" s="1"/>
      <c r="N31591" s="1"/>
    </row>
    <row r="31592" spans="7:14" x14ac:dyDescent="0.3">
      <c r="G31592" s="1"/>
      <c r="N31592" s="1"/>
    </row>
    <row r="31593" spans="7:14" x14ac:dyDescent="0.3">
      <c r="G31593" s="1"/>
      <c r="N31593" s="1"/>
    </row>
    <row r="31594" spans="7:14" x14ac:dyDescent="0.3">
      <c r="G31594" s="1"/>
      <c r="N31594" s="1"/>
    </row>
    <row r="31595" spans="7:14" x14ac:dyDescent="0.3">
      <c r="G31595" s="1"/>
      <c r="N31595" s="1"/>
    </row>
    <row r="31596" spans="7:14" x14ac:dyDescent="0.3">
      <c r="G31596" s="1"/>
      <c r="N31596" s="1"/>
    </row>
    <row r="31597" spans="7:14" x14ac:dyDescent="0.3">
      <c r="G31597" s="1"/>
      <c r="N31597" s="1"/>
    </row>
    <row r="31598" spans="7:14" x14ac:dyDescent="0.3">
      <c r="G31598" s="1"/>
      <c r="N31598" s="1"/>
    </row>
    <row r="31599" spans="7:14" x14ac:dyDescent="0.3">
      <c r="G31599" s="1"/>
      <c r="N31599" s="1"/>
    </row>
    <row r="31600" spans="7:14" x14ac:dyDescent="0.3">
      <c r="G31600" s="1"/>
      <c r="N31600" s="1"/>
    </row>
    <row r="31601" spans="7:14" x14ac:dyDescent="0.3">
      <c r="G31601" s="1"/>
      <c r="N31601" s="1"/>
    </row>
    <row r="31602" spans="7:14" x14ac:dyDescent="0.3">
      <c r="G31602" s="1"/>
      <c r="N31602" s="1"/>
    </row>
    <row r="31603" spans="7:14" x14ac:dyDescent="0.3">
      <c r="G31603" s="1"/>
      <c r="N31603" s="1"/>
    </row>
    <row r="31604" spans="7:14" x14ac:dyDescent="0.3">
      <c r="G31604" s="1"/>
      <c r="N31604" s="1"/>
    </row>
    <row r="31605" spans="7:14" x14ac:dyDescent="0.3">
      <c r="G31605" s="1"/>
      <c r="N31605" s="1"/>
    </row>
    <row r="31606" spans="7:14" x14ac:dyDescent="0.3">
      <c r="G31606" s="1"/>
      <c r="N31606" s="1"/>
    </row>
    <row r="31607" spans="7:14" x14ac:dyDescent="0.3">
      <c r="G31607" s="1"/>
      <c r="N31607" s="1"/>
    </row>
    <row r="31608" spans="7:14" x14ac:dyDescent="0.3">
      <c r="G31608" s="1"/>
      <c r="N31608" s="1"/>
    </row>
    <row r="31609" spans="7:14" x14ac:dyDescent="0.3">
      <c r="G31609" s="1"/>
      <c r="N31609" s="1"/>
    </row>
    <row r="31610" spans="7:14" x14ac:dyDescent="0.3">
      <c r="G31610" s="1"/>
      <c r="N31610" s="1"/>
    </row>
    <row r="31611" spans="7:14" x14ac:dyDescent="0.3">
      <c r="G31611" s="1"/>
      <c r="N31611" s="1"/>
    </row>
    <row r="31612" spans="7:14" x14ac:dyDescent="0.3">
      <c r="G31612" s="1"/>
      <c r="N31612" s="1"/>
    </row>
    <row r="31613" spans="7:14" x14ac:dyDescent="0.3">
      <c r="G31613" s="1"/>
      <c r="N31613" s="1"/>
    </row>
    <row r="31614" spans="7:14" x14ac:dyDescent="0.3">
      <c r="G31614" s="1"/>
      <c r="N31614" s="1"/>
    </row>
    <row r="31615" spans="7:14" x14ac:dyDescent="0.3">
      <c r="G31615" s="1"/>
      <c r="N31615" s="1"/>
    </row>
    <row r="31616" spans="7:14" x14ac:dyDescent="0.3">
      <c r="G31616" s="1"/>
      <c r="N31616" s="1"/>
    </row>
    <row r="31617" spans="7:14" x14ac:dyDescent="0.3">
      <c r="G31617" s="1"/>
      <c r="N31617" s="1"/>
    </row>
    <row r="31618" spans="7:14" x14ac:dyDescent="0.3">
      <c r="G31618" s="1"/>
      <c r="N31618" s="1"/>
    </row>
    <row r="31619" spans="7:14" x14ac:dyDescent="0.3">
      <c r="G31619" s="1"/>
      <c r="N31619" s="1"/>
    </row>
    <row r="31620" spans="7:14" x14ac:dyDescent="0.3">
      <c r="G31620" s="1"/>
      <c r="N31620" s="1"/>
    </row>
    <row r="31621" spans="7:14" x14ac:dyDescent="0.3">
      <c r="G31621" s="1"/>
      <c r="N31621" s="1"/>
    </row>
    <row r="31622" spans="7:14" x14ac:dyDescent="0.3">
      <c r="G31622" s="1"/>
      <c r="N31622" s="1"/>
    </row>
    <row r="31623" spans="7:14" x14ac:dyDescent="0.3">
      <c r="G31623" s="1"/>
      <c r="N31623" s="1"/>
    </row>
    <row r="31624" spans="7:14" x14ac:dyDescent="0.3">
      <c r="G31624" s="1"/>
      <c r="N31624" s="1"/>
    </row>
    <row r="31625" spans="7:14" x14ac:dyDescent="0.3">
      <c r="G31625" s="1"/>
      <c r="N31625" s="1"/>
    </row>
    <row r="31626" spans="7:14" x14ac:dyDescent="0.3">
      <c r="G31626" s="1"/>
      <c r="N31626" s="1"/>
    </row>
    <row r="31627" spans="7:14" x14ac:dyDescent="0.3">
      <c r="G31627" s="1"/>
      <c r="N31627" s="1"/>
    </row>
    <row r="31628" spans="7:14" x14ac:dyDescent="0.3">
      <c r="G31628" s="1"/>
      <c r="N31628" s="1"/>
    </row>
    <row r="31629" spans="7:14" x14ac:dyDescent="0.3">
      <c r="G31629" s="1"/>
      <c r="N31629" s="1"/>
    </row>
    <row r="31630" spans="7:14" x14ac:dyDescent="0.3">
      <c r="G31630" s="1"/>
      <c r="N31630" s="1"/>
    </row>
    <row r="31631" spans="7:14" x14ac:dyDescent="0.3">
      <c r="G31631" s="1"/>
      <c r="N31631" s="1"/>
    </row>
    <row r="31632" spans="7:14" x14ac:dyDescent="0.3">
      <c r="G31632" s="1"/>
      <c r="N31632" s="1"/>
    </row>
    <row r="31633" spans="7:14" x14ac:dyDescent="0.3">
      <c r="G31633" s="1"/>
      <c r="N31633" s="1"/>
    </row>
    <row r="31634" spans="7:14" x14ac:dyDescent="0.3">
      <c r="G31634" s="1"/>
      <c r="N31634" s="1"/>
    </row>
    <row r="31635" spans="7:14" x14ac:dyDescent="0.3">
      <c r="G31635" s="1"/>
      <c r="N31635" s="1"/>
    </row>
    <row r="31636" spans="7:14" x14ac:dyDescent="0.3">
      <c r="G31636" s="1"/>
      <c r="N31636" s="1"/>
    </row>
    <row r="31637" spans="7:14" x14ac:dyDescent="0.3">
      <c r="G31637" s="1"/>
      <c r="N31637" s="1"/>
    </row>
    <row r="31638" spans="7:14" x14ac:dyDescent="0.3">
      <c r="G31638" s="1"/>
      <c r="N31638" s="1"/>
    </row>
    <row r="31639" spans="7:14" x14ac:dyDescent="0.3">
      <c r="G31639" s="1"/>
      <c r="N31639" s="1"/>
    </row>
    <row r="31640" spans="7:14" x14ac:dyDescent="0.3">
      <c r="G31640" s="1"/>
      <c r="N31640" s="1"/>
    </row>
    <row r="31641" spans="7:14" x14ac:dyDescent="0.3">
      <c r="G31641" s="1"/>
      <c r="N31641" s="1"/>
    </row>
    <row r="31642" spans="7:14" x14ac:dyDescent="0.3">
      <c r="G31642" s="1"/>
      <c r="N31642" s="1"/>
    </row>
    <row r="31643" spans="7:14" x14ac:dyDescent="0.3">
      <c r="G31643" s="1"/>
      <c r="N31643" s="1"/>
    </row>
    <row r="31644" spans="7:14" x14ac:dyDescent="0.3">
      <c r="G31644" s="1"/>
      <c r="N31644" s="1"/>
    </row>
    <row r="31645" spans="7:14" x14ac:dyDescent="0.3">
      <c r="G31645" s="1"/>
      <c r="N31645" s="1"/>
    </row>
    <row r="31646" spans="7:14" x14ac:dyDescent="0.3">
      <c r="G31646" s="1"/>
      <c r="N31646" s="1"/>
    </row>
    <row r="31647" spans="7:14" x14ac:dyDescent="0.3">
      <c r="G31647" s="1"/>
      <c r="N31647" s="1"/>
    </row>
    <row r="31648" spans="7:14" x14ac:dyDescent="0.3">
      <c r="G31648" s="1"/>
      <c r="N31648" s="1"/>
    </row>
    <row r="31649" spans="7:14" x14ac:dyDescent="0.3">
      <c r="G31649" s="1"/>
      <c r="N31649" s="1"/>
    </row>
    <row r="31650" spans="7:14" x14ac:dyDescent="0.3">
      <c r="G31650" s="1"/>
      <c r="N31650" s="1"/>
    </row>
    <row r="31651" spans="7:14" x14ac:dyDescent="0.3">
      <c r="G31651" s="1"/>
      <c r="N31651" s="1"/>
    </row>
    <row r="31652" spans="7:14" x14ac:dyDescent="0.3">
      <c r="G31652" s="1"/>
      <c r="N31652" s="1"/>
    </row>
    <row r="31653" spans="7:14" x14ac:dyDescent="0.3">
      <c r="G31653" s="1"/>
      <c r="N31653" s="1"/>
    </row>
    <row r="31654" spans="7:14" x14ac:dyDescent="0.3">
      <c r="G31654" s="1"/>
      <c r="N31654" s="1"/>
    </row>
    <row r="31655" spans="7:14" x14ac:dyDescent="0.3">
      <c r="G31655" s="1"/>
      <c r="N31655" s="1"/>
    </row>
    <row r="31656" spans="7:14" x14ac:dyDescent="0.3">
      <c r="G31656" s="1"/>
      <c r="N31656" s="1"/>
    </row>
    <row r="31657" spans="7:14" x14ac:dyDescent="0.3">
      <c r="G31657" s="1"/>
      <c r="N31657" s="1"/>
    </row>
    <row r="31658" spans="7:14" x14ac:dyDescent="0.3">
      <c r="G31658" s="1"/>
      <c r="N31658" s="1"/>
    </row>
    <row r="31659" spans="7:14" x14ac:dyDescent="0.3">
      <c r="G31659" s="1"/>
      <c r="N31659" s="1"/>
    </row>
    <row r="31660" spans="7:14" x14ac:dyDescent="0.3">
      <c r="G31660" s="1"/>
      <c r="N31660" s="1"/>
    </row>
    <row r="31661" spans="7:14" x14ac:dyDescent="0.3">
      <c r="G31661" s="1"/>
      <c r="N31661" s="1"/>
    </row>
    <row r="31662" spans="7:14" x14ac:dyDescent="0.3">
      <c r="G31662" s="1"/>
      <c r="N31662" s="1"/>
    </row>
    <row r="31663" spans="7:14" x14ac:dyDescent="0.3">
      <c r="G31663" s="1"/>
      <c r="N31663" s="1"/>
    </row>
    <row r="31664" spans="7:14" x14ac:dyDescent="0.3">
      <c r="G31664" s="1"/>
      <c r="N31664" s="1"/>
    </row>
    <row r="31665" spans="7:14" x14ac:dyDescent="0.3">
      <c r="G31665" s="1"/>
      <c r="N31665" s="1"/>
    </row>
    <row r="31666" spans="7:14" x14ac:dyDescent="0.3">
      <c r="G31666" s="1"/>
      <c r="N31666" s="1"/>
    </row>
    <row r="31667" spans="7:14" x14ac:dyDescent="0.3">
      <c r="G31667" s="1"/>
      <c r="N31667" s="1"/>
    </row>
    <row r="31668" spans="7:14" x14ac:dyDescent="0.3">
      <c r="G31668" s="1"/>
      <c r="N31668" s="1"/>
    </row>
    <row r="31669" spans="7:14" x14ac:dyDescent="0.3">
      <c r="G31669" s="1"/>
      <c r="N31669" s="1"/>
    </row>
    <row r="31670" spans="7:14" x14ac:dyDescent="0.3">
      <c r="G31670" s="1"/>
      <c r="N31670" s="1"/>
    </row>
    <row r="31671" spans="7:14" x14ac:dyDescent="0.3">
      <c r="G31671" s="1"/>
      <c r="N31671" s="1"/>
    </row>
    <row r="31672" spans="7:14" x14ac:dyDescent="0.3">
      <c r="G31672" s="1"/>
      <c r="N31672" s="1"/>
    </row>
    <row r="31673" spans="7:14" x14ac:dyDescent="0.3">
      <c r="G31673" s="1"/>
      <c r="N31673" s="1"/>
    </row>
    <row r="31674" spans="7:14" x14ac:dyDescent="0.3">
      <c r="G31674" s="1"/>
      <c r="N31674" s="1"/>
    </row>
    <row r="31675" spans="7:14" x14ac:dyDescent="0.3">
      <c r="G31675" s="1"/>
      <c r="N31675" s="1"/>
    </row>
    <row r="31676" spans="7:14" x14ac:dyDescent="0.3">
      <c r="G31676" s="1"/>
      <c r="N31676" s="1"/>
    </row>
    <row r="31677" spans="7:14" x14ac:dyDescent="0.3">
      <c r="G31677" s="1"/>
      <c r="N31677" s="1"/>
    </row>
    <row r="31678" spans="7:14" x14ac:dyDescent="0.3">
      <c r="G31678" s="1"/>
      <c r="N31678" s="1"/>
    </row>
    <row r="31679" spans="7:14" x14ac:dyDescent="0.3">
      <c r="G31679" s="1"/>
      <c r="N31679" s="1"/>
    </row>
    <row r="31680" spans="7:14" x14ac:dyDescent="0.3">
      <c r="G31680" s="1"/>
      <c r="N31680" s="1"/>
    </row>
    <row r="31681" spans="7:14" x14ac:dyDescent="0.3">
      <c r="G31681" s="1"/>
      <c r="N31681" s="1"/>
    </row>
    <row r="31682" spans="7:14" x14ac:dyDescent="0.3">
      <c r="G31682" s="1"/>
      <c r="N31682" s="1"/>
    </row>
    <row r="31683" spans="7:14" x14ac:dyDescent="0.3">
      <c r="G31683" s="1"/>
      <c r="N31683" s="1"/>
    </row>
    <row r="31684" spans="7:14" x14ac:dyDescent="0.3">
      <c r="G31684" s="1"/>
      <c r="N31684" s="1"/>
    </row>
    <row r="31685" spans="7:14" x14ac:dyDescent="0.3">
      <c r="G31685" s="1"/>
      <c r="N31685" s="1"/>
    </row>
    <row r="31686" spans="7:14" x14ac:dyDescent="0.3">
      <c r="G31686" s="1"/>
      <c r="N31686" s="1"/>
    </row>
    <row r="31687" spans="7:14" x14ac:dyDescent="0.3">
      <c r="G31687" s="1"/>
      <c r="N31687" s="1"/>
    </row>
    <row r="31688" spans="7:14" x14ac:dyDescent="0.3">
      <c r="G31688" s="1"/>
      <c r="N31688" s="1"/>
    </row>
    <row r="31689" spans="7:14" x14ac:dyDescent="0.3">
      <c r="G31689" s="1"/>
      <c r="N31689" s="1"/>
    </row>
    <row r="31690" spans="7:14" x14ac:dyDescent="0.3">
      <c r="G31690" s="1"/>
      <c r="N31690" s="1"/>
    </row>
    <row r="31691" spans="7:14" x14ac:dyDescent="0.3">
      <c r="G31691" s="1"/>
      <c r="N31691" s="1"/>
    </row>
    <row r="31692" spans="7:14" x14ac:dyDescent="0.3">
      <c r="G31692" s="1"/>
      <c r="N31692" s="1"/>
    </row>
    <row r="31693" spans="7:14" x14ac:dyDescent="0.3">
      <c r="G31693" s="1"/>
      <c r="N31693" s="1"/>
    </row>
    <row r="31694" spans="7:14" x14ac:dyDescent="0.3">
      <c r="G31694" s="1"/>
      <c r="N31694" s="1"/>
    </row>
    <row r="31695" spans="7:14" x14ac:dyDescent="0.3">
      <c r="G31695" s="1"/>
      <c r="N31695" s="1"/>
    </row>
    <row r="31696" spans="7:14" x14ac:dyDescent="0.3">
      <c r="G31696" s="1"/>
      <c r="N31696" s="1"/>
    </row>
    <row r="31697" spans="7:14" x14ac:dyDescent="0.3">
      <c r="G31697" s="1"/>
      <c r="N31697" s="1"/>
    </row>
    <row r="31698" spans="7:14" x14ac:dyDescent="0.3">
      <c r="G31698" s="1"/>
      <c r="N31698" s="1"/>
    </row>
    <row r="31699" spans="7:14" x14ac:dyDescent="0.3">
      <c r="G31699" s="1"/>
      <c r="N31699" s="1"/>
    </row>
    <row r="31700" spans="7:14" x14ac:dyDescent="0.3">
      <c r="G31700" s="1"/>
      <c r="N31700" s="1"/>
    </row>
    <row r="31701" spans="7:14" x14ac:dyDescent="0.3">
      <c r="G31701" s="1"/>
      <c r="N31701" s="1"/>
    </row>
    <row r="31702" spans="7:14" x14ac:dyDescent="0.3">
      <c r="G31702" s="1"/>
      <c r="N31702" s="1"/>
    </row>
    <row r="31703" spans="7:14" x14ac:dyDescent="0.3">
      <c r="G31703" s="1"/>
      <c r="N31703" s="1"/>
    </row>
    <row r="31704" spans="7:14" x14ac:dyDescent="0.3">
      <c r="G31704" s="1"/>
      <c r="N31704" s="1"/>
    </row>
    <row r="31705" spans="7:14" x14ac:dyDescent="0.3">
      <c r="G31705" s="1"/>
      <c r="N31705" s="1"/>
    </row>
    <row r="31706" spans="7:14" x14ac:dyDescent="0.3">
      <c r="G31706" s="1"/>
      <c r="N31706" s="1"/>
    </row>
    <row r="31707" spans="7:14" x14ac:dyDescent="0.3">
      <c r="G31707" s="1"/>
      <c r="N31707" s="1"/>
    </row>
    <row r="31708" spans="7:14" x14ac:dyDescent="0.3">
      <c r="G31708" s="1"/>
      <c r="N31708" s="1"/>
    </row>
    <row r="31709" spans="7:14" x14ac:dyDescent="0.3">
      <c r="G31709" s="1"/>
      <c r="N31709" s="1"/>
    </row>
    <row r="31710" spans="7:14" x14ac:dyDescent="0.3">
      <c r="G31710" s="1"/>
      <c r="N31710" s="1"/>
    </row>
    <row r="31711" spans="7:14" x14ac:dyDescent="0.3">
      <c r="G31711" s="1"/>
      <c r="N31711" s="1"/>
    </row>
    <row r="31712" spans="7:14" x14ac:dyDescent="0.3">
      <c r="G31712" s="1"/>
      <c r="N31712" s="1"/>
    </row>
    <row r="31713" spans="7:14" x14ac:dyDescent="0.3">
      <c r="G31713" s="1"/>
      <c r="N31713" s="1"/>
    </row>
    <row r="31714" spans="7:14" x14ac:dyDescent="0.3">
      <c r="G31714" s="1"/>
      <c r="N31714" s="1"/>
    </row>
    <row r="31715" spans="7:14" x14ac:dyDescent="0.3">
      <c r="G31715" s="1"/>
      <c r="N31715" s="1"/>
    </row>
    <row r="31716" spans="7:14" x14ac:dyDescent="0.3">
      <c r="G31716" s="1"/>
      <c r="N31716" s="1"/>
    </row>
    <row r="31717" spans="7:14" x14ac:dyDescent="0.3">
      <c r="G31717" s="1"/>
      <c r="N31717" s="1"/>
    </row>
    <row r="31718" spans="7:14" x14ac:dyDescent="0.3">
      <c r="G31718" s="1"/>
      <c r="N31718" s="1"/>
    </row>
    <row r="31719" spans="7:14" x14ac:dyDescent="0.3">
      <c r="G31719" s="1"/>
      <c r="N31719" s="1"/>
    </row>
    <row r="31720" spans="7:14" x14ac:dyDescent="0.3">
      <c r="G31720" s="1"/>
      <c r="N31720" s="1"/>
    </row>
    <row r="31721" spans="7:14" x14ac:dyDescent="0.3">
      <c r="G31721" s="1"/>
      <c r="N31721" s="1"/>
    </row>
    <row r="31722" spans="7:14" x14ac:dyDescent="0.3">
      <c r="G31722" s="1"/>
      <c r="N31722" s="1"/>
    </row>
    <row r="31723" spans="7:14" x14ac:dyDescent="0.3">
      <c r="G31723" s="1"/>
      <c r="N31723" s="1"/>
    </row>
    <row r="31724" spans="7:14" x14ac:dyDescent="0.3">
      <c r="G31724" s="1"/>
      <c r="N31724" s="1"/>
    </row>
    <row r="31725" spans="7:14" x14ac:dyDescent="0.3">
      <c r="G31725" s="1"/>
      <c r="N31725" s="1"/>
    </row>
    <row r="31726" spans="7:14" x14ac:dyDescent="0.3">
      <c r="G31726" s="1"/>
      <c r="N31726" s="1"/>
    </row>
    <row r="31727" spans="7:14" x14ac:dyDescent="0.3">
      <c r="G31727" s="1"/>
      <c r="N31727" s="1"/>
    </row>
    <row r="31728" spans="7:14" x14ac:dyDescent="0.3">
      <c r="G31728" s="1"/>
      <c r="N31728" s="1"/>
    </row>
    <row r="31729" spans="7:14" x14ac:dyDescent="0.3">
      <c r="G31729" s="1"/>
      <c r="N31729" s="1"/>
    </row>
    <row r="31730" spans="7:14" x14ac:dyDescent="0.3">
      <c r="G31730" s="1"/>
      <c r="N31730" s="1"/>
    </row>
    <row r="31731" spans="7:14" x14ac:dyDescent="0.3">
      <c r="G31731" s="1"/>
      <c r="N31731" s="1"/>
    </row>
    <row r="31732" spans="7:14" x14ac:dyDescent="0.3">
      <c r="G31732" s="1"/>
      <c r="N31732" s="1"/>
    </row>
    <row r="31733" spans="7:14" x14ac:dyDescent="0.3">
      <c r="G31733" s="1"/>
      <c r="N31733" s="1"/>
    </row>
    <row r="31734" spans="7:14" x14ac:dyDescent="0.3">
      <c r="G31734" s="1"/>
      <c r="N31734" s="1"/>
    </row>
    <row r="31735" spans="7:14" x14ac:dyDescent="0.3">
      <c r="G31735" s="1"/>
      <c r="N31735" s="1"/>
    </row>
    <row r="31736" spans="7:14" x14ac:dyDescent="0.3">
      <c r="G31736" s="1"/>
      <c r="N31736" s="1"/>
    </row>
    <row r="31737" spans="7:14" x14ac:dyDescent="0.3">
      <c r="G31737" s="1"/>
      <c r="N31737" s="1"/>
    </row>
    <row r="31738" spans="7:14" x14ac:dyDescent="0.3">
      <c r="G31738" s="1"/>
      <c r="N31738" s="1"/>
    </row>
    <row r="31739" spans="7:14" x14ac:dyDescent="0.3">
      <c r="G31739" s="1"/>
      <c r="N31739" s="1"/>
    </row>
    <row r="31740" spans="7:14" x14ac:dyDescent="0.3">
      <c r="G31740" s="1"/>
      <c r="N31740" s="1"/>
    </row>
    <row r="31741" spans="7:14" x14ac:dyDescent="0.3">
      <c r="G31741" s="1"/>
      <c r="N31741" s="1"/>
    </row>
    <row r="31742" spans="7:14" x14ac:dyDescent="0.3">
      <c r="G31742" s="1"/>
      <c r="N31742" s="1"/>
    </row>
    <row r="31743" spans="7:14" x14ac:dyDescent="0.3">
      <c r="G31743" s="1"/>
      <c r="N31743" s="1"/>
    </row>
    <row r="31744" spans="7:14" x14ac:dyDescent="0.3">
      <c r="G31744" s="1"/>
      <c r="N31744" s="1"/>
    </row>
    <row r="31745" spans="7:14" x14ac:dyDescent="0.3">
      <c r="G31745" s="1"/>
      <c r="N31745" s="1"/>
    </row>
    <row r="31746" spans="7:14" x14ac:dyDescent="0.3">
      <c r="G31746" s="1"/>
      <c r="N31746" s="1"/>
    </row>
    <row r="31747" spans="7:14" x14ac:dyDescent="0.3">
      <c r="G31747" s="1"/>
      <c r="N31747" s="1"/>
    </row>
    <row r="31748" spans="7:14" x14ac:dyDescent="0.3">
      <c r="G31748" s="1"/>
      <c r="N31748" s="1"/>
    </row>
    <row r="31749" spans="7:14" x14ac:dyDescent="0.3">
      <c r="G31749" s="1"/>
      <c r="N31749" s="1"/>
    </row>
    <row r="31750" spans="7:14" x14ac:dyDescent="0.3">
      <c r="G31750" s="1"/>
      <c r="N31750" s="1"/>
    </row>
    <row r="31751" spans="7:14" x14ac:dyDescent="0.3">
      <c r="G31751" s="1"/>
      <c r="N31751" s="1"/>
    </row>
    <row r="31752" spans="7:14" x14ac:dyDescent="0.3">
      <c r="G31752" s="1"/>
      <c r="N31752" s="1"/>
    </row>
    <row r="31753" spans="7:14" x14ac:dyDescent="0.3">
      <c r="G31753" s="1"/>
      <c r="N31753" s="1"/>
    </row>
    <row r="31754" spans="7:14" x14ac:dyDescent="0.3">
      <c r="G31754" s="1"/>
      <c r="N31754" s="1"/>
    </row>
    <row r="31755" spans="7:14" x14ac:dyDescent="0.3">
      <c r="G31755" s="1"/>
      <c r="N31755" s="1"/>
    </row>
    <row r="31756" spans="7:14" x14ac:dyDescent="0.3">
      <c r="G31756" s="1"/>
      <c r="N31756" s="1"/>
    </row>
    <row r="31757" spans="7:14" x14ac:dyDescent="0.3">
      <c r="G31757" s="1"/>
      <c r="N31757" s="1"/>
    </row>
    <row r="31758" spans="7:14" x14ac:dyDescent="0.3">
      <c r="G31758" s="1"/>
      <c r="N31758" s="1"/>
    </row>
    <row r="31759" spans="7:14" x14ac:dyDescent="0.3">
      <c r="G31759" s="1"/>
      <c r="N31759" s="1"/>
    </row>
    <row r="31760" spans="7:14" x14ac:dyDescent="0.3">
      <c r="G31760" s="1"/>
      <c r="N31760" s="1"/>
    </row>
    <row r="31761" spans="7:14" x14ac:dyDescent="0.3">
      <c r="G31761" s="1"/>
      <c r="N31761" s="1"/>
    </row>
    <row r="31762" spans="7:14" x14ac:dyDescent="0.3">
      <c r="G31762" s="1"/>
      <c r="N31762" s="1"/>
    </row>
    <row r="31763" spans="7:14" x14ac:dyDescent="0.3">
      <c r="G31763" s="1"/>
      <c r="N31763" s="1"/>
    </row>
    <row r="31764" spans="7:14" x14ac:dyDescent="0.3">
      <c r="G31764" s="1"/>
      <c r="N31764" s="1"/>
    </row>
    <row r="31765" spans="7:14" x14ac:dyDescent="0.3">
      <c r="G31765" s="1"/>
      <c r="N31765" s="1"/>
    </row>
    <row r="31766" spans="7:14" x14ac:dyDescent="0.3">
      <c r="G31766" s="1"/>
      <c r="N31766" s="1"/>
    </row>
    <row r="31767" spans="7:14" x14ac:dyDescent="0.3">
      <c r="G31767" s="1"/>
      <c r="N31767" s="1"/>
    </row>
    <row r="31768" spans="7:14" x14ac:dyDescent="0.3">
      <c r="G31768" s="1"/>
      <c r="N31768" s="1"/>
    </row>
    <row r="31769" spans="7:14" x14ac:dyDescent="0.3">
      <c r="G31769" s="1"/>
      <c r="N31769" s="1"/>
    </row>
    <row r="31770" spans="7:14" x14ac:dyDescent="0.3">
      <c r="G31770" s="1"/>
      <c r="N31770" s="1"/>
    </row>
    <row r="31771" spans="7:14" x14ac:dyDescent="0.3">
      <c r="G31771" s="1"/>
      <c r="N31771" s="1"/>
    </row>
    <row r="31772" spans="7:14" x14ac:dyDescent="0.3">
      <c r="G31772" s="1"/>
      <c r="N31772" s="1"/>
    </row>
    <row r="31773" spans="7:14" x14ac:dyDescent="0.3">
      <c r="G31773" s="1"/>
      <c r="N31773" s="1"/>
    </row>
    <row r="31774" spans="7:14" x14ac:dyDescent="0.3">
      <c r="G31774" s="1"/>
      <c r="N31774" s="1"/>
    </row>
    <row r="31775" spans="7:14" x14ac:dyDescent="0.3">
      <c r="G31775" s="1"/>
      <c r="N31775" s="1"/>
    </row>
    <row r="31776" spans="7:14" x14ac:dyDescent="0.3">
      <c r="G31776" s="1"/>
      <c r="N31776" s="1"/>
    </row>
    <row r="31777" spans="7:14" x14ac:dyDescent="0.3">
      <c r="G31777" s="1"/>
      <c r="N31777" s="1"/>
    </row>
    <row r="31778" spans="7:14" x14ac:dyDescent="0.3">
      <c r="G31778" s="1"/>
      <c r="N31778" s="1"/>
    </row>
    <row r="31779" spans="7:14" x14ac:dyDescent="0.3">
      <c r="G31779" s="1"/>
      <c r="N31779" s="1"/>
    </row>
    <row r="31780" spans="7:14" x14ac:dyDescent="0.3">
      <c r="G31780" s="1"/>
      <c r="N31780" s="1"/>
    </row>
    <row r="31781" spans="7:14" x14ac:dyDescent="0.3">
      <c r="G31781" s="1"/>
      <c r="N31781" s="1"/>
    </row>
    <row r="31782" spans="7:14" x14ac:dyDescent="0.3">
      <c r="G31782" s="1"/>
      <c r="N31782" s="1"/>
    </row>
    <row r="31783" spans="7:14" x14ac:dyDescent="0.3">
      <c r="G31783" s="1"/>
      <c r="N31783" s="1"/>
    </row>
    <row r="31784" spans="7:14" x14ac:dyDescent="0.3">
      <c r="G31784" s="1"/>
      <c r="N31784" s="1"/>
    </row>
    <row r="31785" spans="7:14" x14ac:dyDescent="0.3">
      <c r="G31785" s="1"/>
      <c r="N31785" s="1"/>
    </row>
    <row r="31786" spans="7:14" x14ac:dyDescent="0.3">
      <c r="G31786" s="1"/>
      <c r="N31786" s="1"/>
    </row>
    <row r="31787" spans="7:14" x14ac:dyDescent="0.3">
      <c r="G31787" s="1"/>
      <c r="N31787" s="1"/>
    </row>
    <row r="31788" spans="7:14" x14ac:dyDescent="0.3">
      <c r="G31788" s="1"/>
      <c r="N31788" s="1"/>
    </row>
    <row r="31789" spans="7:14" x14ac:dyDescent="0.3">
      <c r="G31789" s="1"/>
      <c r="N31789" s="1"/>
    </row>
    <row r="31790" spans="7:14" x14ac:dyDescent="0.3">
      <c r="G31790" s="1"/>
      <c r="N31790" s="1"/>
    </row>
    <row r="31791" spans="7:14" x14ac:dyDescent="0.3">
      <c r="G31791" s="1"/>
      <c r="N31791" s="1"/>
    </row>
    <row r="31792" spans="7:14" x14ac:dyDescent="0.3">
      <c r="G31792" s="1"/>
      <c r="N31792" s="1"/>
    </row>
    <row r="31793" spans="7:14" x14ac:dyDescent="0.3">
      <c r="G31793" s="1"/>
      <c r="N31793" s="1"/>
    </row>
    <row r="31794" spans="7:14" x14ac:dyDescent="0.3">
      <c r="G31794" s="1"/>
      <c r="N31794" s="1"/>
    </row>
    <row r="31795" spans="7:14" x14ac:dyDescent="0.3">
      <c r="G31795" s="1"/>
      <c r="N31795" s="1"/>
    </row>
    <row r="31796" spans="7:14" x14ac:dyDescent="0.3">
      <c r="G31796" s="1"/>
      <c r="N31796" s="1"/>
    </row>
    <row r="31797" spans="7:14" x14ac:dyDescent="0.3">
      <c r="G31797" s="1"/>
      <c r="N31797" s="1"/>
    </row>
    <row r="31798" spans="7:14" x14ac:dyDescent="0.3">
      <c r="G31798" s="1"/>
      <c r="N31798" s="1"/>
    </row>
    <row r="31799" spans="7:14" x14ac:dyDescent="0.3">
      <c r="G31799" s="1"/>
      <c r="N31799" s="1"/>
    </row>
    <row r="31800" spans="7:14" x14ac:dyDescent="0.3">
      <c r="G31800" s="1"/>
      <c r="N31800" s="1"/>
    </row>
    <row r="31801" spans="7:14" x14ac:dyDescent="0.3">
      <c r="G31801" s="1"/>
      <c r="N31801" s="1"/>
    </row>
    <row r="31802" spans="7:14" x14ac:dyDescent="0.3">
      <c r="G31802" s="1"/>
      <c r="N31802" s="1"/>
    </row>
    <row r="31803" spans="7:14" x14ac:dyDescent="0.3">
      <c r="G31803" s="1"/>
      <c r="N31803" s="1"/>
    </row>
    <row r="31804" spans="7:14" x14ac:dyDescent="0.3">
      <c r="G31804" s="1"/>
      <c r="N31804" s="1"/>
    </row>
    <row r="31805" spans="7:14" x14ac:dyDescent="0.3">
      <c r="G31805" s="1"/>
      <c r="N31805" s="1"/>
    </row>
    <row r="31806" spans="7:14" x14ac:dyDescent="0.3">
      <c r="G31806" s="1"/>
      <c r="N31806" s="1"/>
    </row>
    <row r="31807" spans="7:14" x14ac:dyDescent="0.3">
      <c r="G31807" s="1"/>
      <c r="N31807" s="1"/>
    </row>
    <row r="31808" spans="7:14" x14ac:dyDescent="0.3">
      <c r="G31808" s="1"/>
      <c r="N31808" s="1"/>
    </row>
    <row r="31809" spans="7:14" x14ac:dyDescent="0.3">
      <c r="G31809" s="1"/>
      <c r="N31809" s="1"/>
    </row>
    <row r="31810" spans="7:14" x14ac:dyDescent="0.3">
      <c r="G31810" s="1"/>
      <c r="N31810" s="1"/>
    </row>
    <row r="31811" spans="7:14" x14ac:dyDescent="0.3">
      <c r="G31811" s="1"/>
      <c r="N31811" s="1"/>
    </row>
    <row r="31812" spans="7:14" x14ac:dyDescent="0.3">
      <c r="G31812" s="1"/>
      <c r="N31812" s="1"/>
    </row>
    <row r="31813" spans="7:14" x14ac:dyDescent="0.3">
      <c r="G31813" s="1"/>
      <c r="N31813" s="1"/>
    </row>
    <row r="31814" spans="7:14" x14ac:dyDescent="0.3">
      <c r="G31814" s="1"/>
      <c r="N31814" s="1"/>
    </row>
    <row r="31815" spans="7:14" x14ac:dyDescent="0.3">
      <c r="G31815" s="1"/>
      <c r="N31815" s="1"/>
    </row>
    <row r="31816" spans="7:14" x14ac:dyDescent="0.3">
      <c r="G31816" s="1"/>
      <c r="N31816" s="1"/>
    </row>
    <row r="31817" spans="7:14" x14ac:dyDescent="0.3">
      <c r="G31817" s="1"/>
      <c r="N31817" s="1"/>
    </row>
    <row r="31818" spans="7:14" x14ac:dyDescent="0.3">
      <c r="G31818" s="1"/>
      <c r="N31818" s="1"/>
    </row>
    <row r="31819" spans="7:14" x14ac:dyDescent="0.3">
      <c r="G31819" s="1"/>
      <c r="N31819" s="1"/>
    </row>
    <row r="31820" spans="7:14" x14ac:dyDescent="0.3">
      <c r="G31820" s="1"/>
      <c r="N31820" s="1"/>
    </row>
    <row r="31821" spans="7:14" x14ac:dyDescent="0.3">
      <c r="G31821" s="1"/>
      <c r="N31821" s="1"/>
    </row>
    <row r="31822" spans="7:14" x14ac:dyDescent="0.3">
      <c r="G31822" s="1"/>
      <c r="N31822" s="1"/>
    </row>
    <row r="31823" spans="7:14" x14ac:dyDescent="0.3">
      <c r="G31823" s="1"/>
      <c r="N31823" s="1"/>
    </row>
    <row r="31824" spans="7:14" x14ac:dyDescent="0.3">
      <c r="G31824" s="1"/>
      <c r="N31824" s="1"/>
    </row>
    <row r="31825" spans="7:14" x14ac:dyDescent="0.3">
      <c r="G31825" s="1"/>
      <c r="N31825" s="1"/>
    </row>
    <row r="31826" spans="7:14" x14ac:dyDescent="0.3">
      <c r="G31826" s="1"/>
      <c r="N31826" s="1"/>
    </row>
    <row r="31827" spans="7:14" x14ac:dyDescent="0.3">
      <c r="G31827" s="1"/>
      <c r="N31827" s="1"/>
    </row>
    <row r="31828" spans="7:14" x14ac:dyDescent="0.3">
      <c r="G31828" s="1"/>
      <c r="N31828" s="1"/>
    </row>
    <row r="31829" spans="7:14" x14ac:dyDescent="0.3">
      <c r="G31829" s="1"/>
      <c r="N31829" s="1"/>
    </row>
    <row r="31830" spans="7:14" x14ac:dyDescent="0.3">
      <c r="G31830" s="1"/>
      <c r="N31830" s="1"/>
    </row>
    <row r="31831" spans="7:14" x14ac:dyDescent="0.3">
      <c r="G31831" s="1"/>
      <c r="N31831" s="1"/>
    </row>
    <row r="31832" spans="7:14" x14ac:dyDescent="0.3">
      <c r="G31832" s="1"/>
      <c r="N31832" s="1"/>
    </row>
    <row r="31833" spans="7:14" x14ac:dyDescent="0.3">
      <c r="G31833" s="1"/>
      <c r="N31833" s="1"/>
    </row>
    <row r="31834" spans="7:14" x14ac:dyDescent="0.3">
      <c r="G31834" s="1"/>
      <c r="N31834" s="1"/>
    </row>
    <row r="31835" spans="7:14" x14ac:dyDescent="0.3">
      <c r="G31835" s="1"/>
      <c r="N31835" s="1"/>
    </row>
    <row r="31836" spans="7:14" x14ac:dyDescent="0.3">
      <c r="G31836" s="1"/>
      <c r="N31836" s="1"/>
    </row>
    <row r="31837" spans="7:14" x14ac:dyDescent="0.3">
      <c r="G31837" s="1"/>
      <c r="N31837" s="1"/>
    </row>
    <row r="31838" spans="7:14" x14ac:dyDescent="0.3">
      <c r="G31838" s="1"/>
      <c r="N31838" s="1"/>
    </row>
    <row r="31839" spans="7:14" x14ac:dyDescent="0.3">
      <c r="G31839" s="1"/>
      <c r="N31839" s="1"/>
    </row>
    <row r="31840" spans="7:14" x14ac:dyDescent="0.3">
      <c r="G31840" s="1"/>
      <c r="N31840" s="1"/>
    </row>
    <row r="31841" spans="7:14" x14ac:dyDescent="0.3">
      <c r="G31841" s="1"/>
      <c r="N31841" s="1"/>
    </row>
    <row r="31842" spans="7:14" x14ac:dyDescent="0.3">
      <c r="G31842" s="1"/>
      <c r="N31842" s="1"/>
    </row>
    <row r="31843" spans="7:14" x14ac:dyDescent="0.3">
      <c r="G31843" s="1"/>
      <c r="N31843" s="1"/>
    </row>
    <row r="31844" spans="7:14" x14ac:dyDescent="0.3">
      <c r="G31844" s="1"/>
      <c r="N31844" s="1"/>
    </row>
    <row r="31845" spans="7:14" x14ac:dyDescent="0.3">
      <c r="G31845" s="1"/>
      <c r="N31845" s="1"/>
    </row>
    <row r="31846" spans="7:14" x14ac:dyDescent="0.3">
      <c r="G31846" s="1"/>
      <c r="N31846" s="1"/>
    </row>
    <row r="31847" spans="7:14" x14ac:dyDescent="0.3">
      <c r="G31847" s="1"/>
      <c r="N31847" s="1"/>
    </row>
    <row r="31848" spans="7:14" x14ac:dyDescent="0.3">
      <c r="G31848" s="1"/>
      <c r="N31848" s="1"/>
    </row>
    <row r="31849" spans="7:14" x14ac:dyDescent="0.3">
      <c r="G31849" s="1"/>
      <c r="N31849" s="1"/>
    </row>
    <row r="31850" spans="7:14" x14ac:dyDescent="0.3">
      <c r="G31850" s="1"/>
      <c r="N31850" s="1"/>
    </row>
    <row r="31851" spans="7:14" x14ac:dyDescent="0.3">
      <c r="G31851" s="1"/>
      <c r="N31851" s="1"/>
    </row>
    <row r="31852" spans="7:14" x14ac:dyDescent="0.3">
      <c r="G31852" s="1"/>
      <c r="N31852" s="1"/>
    </row>
    <row r="31853" spans="7:14" x14ac:dyDescent="0.3">
      <c r="G31853" s="1"/>
      <c r="N31853" s="1"/>
    </row>
    <row r="31854" spans="7:14" x14ac:dyDescent="0.3">
      <c r="G31854" s="1"/>
      <c r="N31854" s="1"/>
    </row>
    <row r="31855" spans="7:14" x14ac:dyDescent="0.3">
      <c r="G31855" s="1"/>
      <c r="N31855" s="1"/>
    </row>
    <row r="31856" spans="7:14" x14ac:dyDescent="0.3">
      <c r="G31856" s="1"/>
      <c r="N31856" s="1"/>
    </row>
    <row r="31857" spans="7:14" x14ac:dyDescent="0.3">
      <c r="G31857" s="1"/>
      <c r="N31857" s="1"/>
    </row>
    <row r="31858" spans="7:14" x14ac:dyDescent="0.3">
      <c r="G31858" s="1"/>
      <c r="N31858" s="1"/>
    </row>
    <row r="31859" spans="7:14" x14ac:dyDescent="0.3">
      <c r="G31859" s="1"/>
      <c r="N31859" s="1"/>
    </row>
    <row r="31860" spans="7:14" x14ac:dyDescent="0.3">
      <c r="G31860" s="1"/>
      <c r="N31860" s="1"/>
    </row>
    <row r="31861" spans="7:14" x14ac:dyDescent="0.3">
      <c r="G31861" s="1"/>
      <c r="N31861" s="1"/>
    </row>
    <row r="31862" spans="7:14" x14ac:dyDescent="0.3">
      <c r="G31862" s="1"/>
      <c r="N31862" s="1"/>
    </row>
    <row r="31863" spans="7:14" x14ac:dyDescent="0.3">
      <c r="G31863" s="1"/>
      <c r="N31863" s="1"/>
    </row>
    <row r="31864" spans="7:14" x14ac:dyDescent="0.3">
      <c r="G31864" s="1"/>
      <c r="N31864" s="1"/>
    </row>
    <row r="31865" spans="7:14" x14ac:dyDescent="0.3">
      <c r="G31865" s="1"/>
      <c r="N31865" s="1"/>
    </row>
    <row r="31866" spans="7:14" x14ac:dyDescent="0.3">
      <c r="G31866" s="1"/>
      <c r="N31866" s="1"/>
    </row>
    <row r="31867" spans="7:14" x14ac:dyDescent="0.3">
      <c r="G31867" s="1"/>
      <c r="N31867" s="1"/>
    </row>
    <row r="31868" spans="7:14" x14ac:dyDescent="0.3">
      <c r="G31868" s="1"/>
      <c r="N31868" s="1"/>
    </row>
    <row r="31869" spans="7:14" x14ac:dyDescent="0.3">
      <c r="G31869" s="1"/>
      <c r="N31869" s="1"/>
    </row>
    <row r="31870" spans="7:14" x14ac:dyDescent="0.3">
      <c r="G31870" s="1"/>
      <c r="N31870" s="1"/>
    </row>
    <row r="31871" spans="7:14" x14ac:dyDescent="0.3">
      <c r="G31871" s="1"/>
      <c r="N31871" s="1"/>
    </row>
    <row r="31872" spans="7:14" x14ac:dyDescent="0.3">
      <c r="G31872" s="1"/>
      <c r="N31872" s="1"/>
    </row>
    <row r="31873" spans="7:14" x14ac:dyDescent="0.3">
      <c r="G31873" s="1"/>
      <c r="N31873" s="1"/>
    </row>
    <row r="31874" spans="7:14" x14ac:dyDescent="0.3">
      <c r="G31874" s="1"/>
      <c r="N31874" s="1"/>
    </row>
    <row r="31875" spans="7:14" x14ac:dyDescent="0.3">
      <c r="G31875" s="1"/>
      <c r="N31875" s="1"/>
    </row>
    <row r="31876" spans="7:14" x14ac:dyDescent="0.3">
      <c r="G31876" s="1"/>
      <c r="N31876" s="1"/>
    </row>
    <row r="31877" spans="7:14" x14ac:dyDescent="0.3">
      <c r="G31877" s="1"/>
      <c r="N31877" s="1"/>
    </row>
    <row r="31878" spans="7:14" x14ac:dyDescent="0.3">
      <c r="G31878" s="1"/>
      <c r="N31878" s="1"/>
    </row>
    <row r="31879" spans="7:14" x14ac:dyDescent="0.3">
      <c r="G31879" s="1"/>
      <c r="N31879" s="1"/>
    </row>
    <row r="31880" spans="7:14" x14ac:dyDescent="0.3">
      <c r="G31880" s="1"/>
      <c r="N31880" s="1"/>
    </row>
    <row r="31881" spans="7:14" x14ac:dyDescent="0.3">
      <c r="G31881" s="1"/>
      <c r="N31881" s="1"/>
    </row>
    <row r="31882" spans="7:14" x14ac:dyDescent="0.3">
      <c r="G31882" s="1"/>
      <c r="N31882" s="1"/>
    </row>
    <row r="31883" spans="7:14" x14ac:dyDescent="0.3">
      <c r="G31883" s="1"/>
      <c r="N31883" s="1"/>
    </row>
    <row r="31884" spans="7:14" x14ac:dyDescent="0.3">
      <c r="G31884" s="1"/>
      <c r="N31884" s="1"/>
    </row>
    <row r="31885" spans="7:14" x14ac:dyDescent="0.3">
      <c r="G31885" s="1"/>
      <c r="N31885" s="1"/>
    </row>
    <row r="31886" spans="7:14" x14ac:dyDescent="0.3">
      <c r="G31886" s="1"/>
      <c r="N31886" s="1"/>
    </row>
    <row r="31887" spans="7:14" x14ac:dyDescent="0.3">
      <c r="G31887" s="1"/>
      <c r="N31887" s="1"/>
    </row>
    <row r="31888" spans="7:14" x14ac:dyDescent="0.3">
      <c r="G31888" s="1"/>
      <c r="N31888" s="1"/>
    </row>
    <row r="31889" spans="7:14" x14ac:dyDescent="0.3">
      <c r="G31889" s="1"/>
      <c r="N31889" s="1"/>
    </row>
    <row r="31890" spans="7:14" x14ac:dyDescent="0.3">
      <c r="G31890" s="1"/>
      <c r="N31890" s="1"/>
    </row>
    <row r="31891" spans="7:14" x14ac:dyDescent="0.3">
      <c r="G31891" s="1"/>
      <c r="N31891" s="1"/>
    </row>
    <row r="31892" spans="7:14" x14ac:dyDescent="0.3">
      <c r="G31892" s="1"/>
      <c r="N31892" s="1"/>
    </row>
    <row r="31893" spans="7:14" x14ac:dyDescent="0.3">
      <c r="G31893" s="1"/>
      <c r="N31893" s="1"/>
    </row>
    <row r="31894" spans="7:14" x14ac:dyDescent="0.3">
      <c r="G31894" s="1"/>
      <c r="N31894" s="1"/>
    </row>
    <row r="31895" spans="7:14" x14ac:dyDescent="0.3">
      <c r="G31895" s="1"/>
      <c r="N31895" s="1"/>
    </row>
    <row r="31896" spans="7:14" x14ac:dyDescent="0.3">
      <c r="G31896" s="1"/>
      <c r="N31896" s="1"/>
    </row>
    <row r="31897" spans="7:14" x14ac:dyDescent="0.3">
      <c r="G31897" s="1"/>
      <c r="N31897" s="1"/>
    </row>
    <row r="31898" spans="7:14" x14ac:dyDescent="0.3">
      <c r="G31898" s="1"/>
      <c r="N31898" s="1"/>
    </row>
    <row r="31899" spans="7:14" x14ac:dyDescent="0.3">
      <c r="G31899" s="1"/>
      <c r="N31899" s="1"/>
    </row>
    <row r="31900" spans="7:14" x14ac:dyDescent="0.3">
      <c r="G31900" s="1"/>
      <c r="N31900" s="1"/>
    </row>
    <row r="31901" spans="7:14" x14ac:dyDescent="0.3">
      <c r="G31901" s="1"/>
      <c r="N31901" s="1"/>
    </row>
    <row r="31902" spans="7:14" x14ac:dyDescent="0.3">
      <c r="G31902" s="1"/>
      <c r="N31902" s="1"/>
    </row>
    <row r="31903" spans="7:14" x14ac:dyDescent="0.3">
      <c r="G31903" s="1"/>
      <c r="N31903" s="1"/>
    </row>
    <row r="31904" spans="7:14" x14ac:dyDescent="0.3">
      <c r="G31904" s="1"/>
      <c r="N31904" s="1"/>
    </row>
    <row r="31905" spans="7:14" x14ac:dyDescent="0.3">
      <c r="G31905" s="1"/>
      <c r="N31905" s="1"/>
    </row>
    <row r="31906" spans="7:14" x14ac:dyDescent="0.3">
      <c r="G31906" s="1"/>
      <c r="N31906" s="1"/>
    </row>
    <row r="31907" spans="7:14" x14ac:dyDescent="0.3">
      <c r="G31907" s="1"/>
      <c r="N31907" s="1"/>
    </row>
    <row r="31908" spans="7:14" x14ac:dyDescent="0.3">
      <c r="G31908" s="1"/>
      <c r="N31908" s="1"/>
    </row>
    <row r="31909" spans="7:14" x14ac:dyDescent="0.3">
      <c r="G31909" s="1"/>
      <c r="N31909" s="1"/>
    </row>
    <row r="31910" spans="7:14" x14ac:dyDescent="0.3">
      <c r="G31910" s="1"/>
      <c r="N31910" s="1"/>
    </row>
    <row r="31911" spans="7:14" x14ac:dyDescent="0.3">
      <c r="G31911" s="1"/>
      <c r="N31911" s="1"/>
    </row>
    <row r="31912" spans="7:14" x14ac:dyDescent="0.3">
      <c r="G31912" s="1"/>
      <c r="N31912" s="1"/>
    </row>
    <row r="31913" spans="7:14" x14ac:dyDescent="0.3">
      <c r="G31913" s="1"/>
      <c r="N31913" s="1"/>
    </row>
    <row r="31914" spans="7:14" x14ac:dyDescent="0.3">
      <c r="G31914" s="1"/>
      <c r="N31914" s="1"/>
    </row>
    <row r="31915" spans="7:14" x14ac:dyDescent="0.3">
      <c r="G31915" s="1"/>
      <c r="N31915" s="1"/>
    </row>
    <row r="31916" spans="7:14" x14ac:dyDescent="0.3">
      <c r="G31916" s="1"/>
      <c r="N31916" s="1"/>
    </row>
    <row r="31917" spans="7:14" x14ac:dyDescent="0.3">
      <c r="G31917" s="1"/>
      <c r="N31917" s="1"/>
    </row>
    <row r="31918" spans="7:14" x14ac:dyDescent="0.3">
      <c r="G31918" s="1"/>
      <c r="N31918" s="1"/>
    </row>
    <row r="31919" spans="7:14" x14ac:dyDescent="0.3">
      <c r="G31919" s="1"/>
      <c r="N31919" s="1"/>
    </row>
    <row r="31920" spans="7:14" x14ac:dyDescent="0.3">
      <c r="G31920" s="1"/>
      <c r="N31920" s="1"/>
    </row>
    <row r="31921" spans="7:14" x14ac:dyDescent="0.3">
      <c r="G31921" s="1"/>
      <c r="N31921" s="1"/>
    </row>
    <row r="31922" spans="7:14" x14ac:dyDescent="0.3">
      <c r="G31922" s="1"/>
      <c r="N31922" s="1"/>
    </row>
    <row r="31923" spans="7:14" x14ac:dyDescent="0.3">
      <c r="G31923" s="1"/>
      <c r="N31923" s="1"/>
    </row>
    <row r="31924" spans="7:14" x14ac:dyDescent="0.3">
      <c r="G31924" s="1"/>
      <c r="N31924" s="1"/>
    </row>
    <row r="31925" spans="7:14" x14ac:dyDescent="0.3">
      <c r="G31925" s="1"/>
      <c r="N31925" s="1"/>
    </row>
    <row r="31926" spans="7:14" x14ac:dyDescent="0.3">
      <c r="G31926" s="1"/>
      <c r="N31926" s="1"/>
    </row>
    <row r="31927" spans="7:14" x14ac:dyDescent="0.3">
      <c r="G31927" s="1"/>
      <c r="N31927" s="1"/>
    </row>
    <row r="31928" spans="7:14" x14ac:dyDescent="0.3">
      <c r="G31928" s="1"/>
      <c r="N31928" s="1"/>
    </row>
    <row r="31929" spans="7:14" x14ac:dyDescent="0.3">
      <c r="G31929" s="1"/>
      <c r="N31929" s="1"/>
    </row>
    <row r="31930" spans="7:14" x14ac:dyDescent="0.3">
      <c r="G31930" s="1"/>
      <c r="N31930" s="1"/>
    </row>
    <row r="31931" spans="7:14" x14ac:dyDescent="0.3">
      <c r="G31931" s="1"/>
      <c r="N31931" s="1"/>
    </row>
    <row r="31932" spans="7:14" x14ac:dyDescent="0.3">
      <c r="G31932" s="1"/>
      <c r="N31932" s="1"/>
    </row>
    <row r="31933" spans="7:14" x14ac:dyDescent="0.3">
      <c r="G31933" s="1"/>
      <c r="N31933" s="1"/>
    </row>
    <row r="31934" spans="7:14" x14ac:dyDescent="0.3">
      <c r="G31934" s="1"/>
      <c r="N31934" s="1"/>
    </row>
    <row r="31935" spans="7:14" x14ac:dyDescent="0.3">
      <c r="G31935" s="1"/>
      <c r="N31935" s="1"/>
    </row>
    <row r="31936" spans="7:14" x14ac:dyDescent="0.3">
      <c r="G31936" s="1"/>
      <c r="N31936" s="1"/>
    </row>
    <row r="31937" spans="7:14" x14ac:dyDescent="0.3">
      <c r="G31937" s="1"/>
      <c r="N31937" s="1"/>
    </row>
    <row r="31938" spans="7:14" x14ac:dyDescent="0.3">
      <c r="G31938" s="1"/>
      <c r="N31938" s="1"/>
    </row>
    <row r="31939" spans="7:14" x14ac:dyDescent="0.3">
      <c r="G31939" s="1"/>
      <c r="N31939" s="1"/>
    </row>
    <row r="31940" spans="7:14" x14ac:dyDescent="0.3">
      <c r="G31940" s="1"/>
      <c r="N31940" s="1"/>
    </row>
    <row r="31941" spans="7:14" x14ac:dyDescent="0.3">
      <c r="G31941" s="1"/>
      <c r="N31941" s="1"/>
    </row>
    <row r="31942" spans="7:14" x14ac:dyDescent="0.3">
      <c r="G31942" s="1"/>
      <c r="N31942" s="1"/>
    </row>
    <row r="31943" spans="7:14" x14ac:dyDescent="0.3">
      <c r="G31943" s="1"/>
      <c r="N31943" s="1"/>
    </row>
    <row r="31944" spans="7:14" x14ac:dyDescent="0.3">
      <c r="G31944" s="1"/>
      <c r="N31944" s="1"/>
    </row>
    <row r="31945" spans="7:14" x14ac:dyDescent="0.3">
      <c r="G31945" s="1"/>
      <c r="N31945" s="1"/>
    </row>
    <row r="31946" spans="7:14" x14ac:dyDescent="0.3">
      <c r="G31946" s="1"/>
      <c r="N31946" s="1"/>
    </row>
    <row r="31947" spans="7:14" x14ac:dyDescent="0.3">
      <c r="G31947" s="1"/>
      <c r="N31947" s="1"/>
    </row>
    <row r="31948" spans="7:14" x14ac:dyDescent="0.3">
      <c r="G31948" s="1"/>
      <c r="N31948" s="1"/>
    </row>
    <row r="31949" spans="7:14" x14ac:dyDescent="0.3">
      <c r="G31949" s="1"/>
      <c r="N31949" s="1"/>
    </row>
    <row r="31950" spans="7:14" x14ac:dyDescent="0.3">
      <c r="G31950" s="1"/>
      <c r="N31950" s="1"/>
    </row>
    <row r="31951" spans="7:14" x14ac:dyDescent="0.3">
      <c r="G31951" s="1"/>
      <c r="N31951" s="1"/>
    </row>
    <row r="31952" spans="7:14" x14ac:dyDescent="0.3">
      <c r="G31952" s="1"/>
      <c r="N31952" s="1"/>
    </row>
    <row r="31953" spans="7:14" x14ac:dyDescent="0.3">
      <c r="G31953" s="1"/>
      <c r="N31953" s="1"/>
    </row>
    <row r="31954" spans="7:14" x14ac:dyDescent="0.3">
      <c r="G31954" s="1"/>
      <c r="N31954" s="1"/>
    </row>
    <row r="31955" spans="7:14" x14ac:dyDescent="0.3">
      <c r="G31955" s="1"/>
      <c r="N31955" s="1"/>
    </row>
    <row r="31956" spans="7:14" x14ac:dyDescent="0.3">
      <c r="G31956" s="1"/>
      <c r="N31956" s="1"/>
    </row>
    <row r="31957" spans="7:14" x14ac:dyDescent="0.3">
      <c r="G31957" s="1"/>
      <c r="N31957" s="1"/>
    </row>
    <row r="31958" spans="7:14" x14ac:dyDescent="0.3">
      <c r="G31958" s="1"/>
      <c r="N31958" s="1"/>
    </row>
    <row r="31959" spans="7:14" x14ac:dyDescent="0.3">
      <c r="G31959" s="1"/>
      <c r="N31959" s="1"/>
    </row>
    <row r="31960" spans="7:14" x14ac:dyDescent="0.3">
      <c r="G31960" s="1"/>
      <c r="N31960" s="1"/>
    </row>
    <row r="31961" spans="7:14" x14ac:dyDescent="0.3">
      <c r="G31961" s="1"/>
      <c r="N31961" s="1"/>
    </row>
    <row r="31962" spans="7:14" x14ac:dyDescent="0.3">
      <c r="G31962" s="1"/>
      <c r="N31962" s="1"/>
    </row>
    <row r="31963" spans="7:14" x14ac:dyDescent="0.3">
      <c r="G31963" s="1"/>
      <c r="N31963" s="1"/>
    </row>
    <row r="31964" spans="7:14" x14ac:dyDescent="0.3">
      <c r="G31964" s="1"/>
      <c r="N31964" s="1"/>
    </row>
    <row r="31965" spans="7:14" x14ac:dyDescent="0.3">
      <c r="G31965" s="1"/>
      <c r="N31965" s="1"/>
    </row>
    <row r="31966" spans="7:14" x14ac:dyDescent="0.3">
      <c r="G31966" s="1"/>
      <c r="N31966" s="1"/>
    </row>
    <row r="31967" spans="7:14" x14ac:dyDescent="0.3">
      <c r="G31967" s="1"/>
      <c r="N31967" s="1"/>
    </row>
    <row r="31968" spans="7:14" x14ac:dyDescent="0.3">
      <c r="G31968" s="1"/>
      <c r="N31968" s="1"/>
    </row>
    <row r="31969" spans="7:14" x14ac:dyDescent="0.3">
      <c r="G31969" s="1"/>
      <c r="N31969" s="1"/>
    </row>
    <row r="31970" spans="7:14" x14ac:dyDescent="0.3">
      <c r="G31970" s="1"/>
      <c r="N31970" s="1"/>
    </row>
    <row r="31971" spans="7:14" x14ac:dyDescent="0.3">
      <c r="G31971" s="1"/>
      <c r="N31971" s="1"/>
    </row>
    <row r="31972" spans="7:14" x14ac:dyDescent="0.3">
      <c r="G31972" s="1"/>
      <c r="N31972" s="1"/>
    </row>
    <row r="31973" spans="7:14" x14ac:dyDescent="0.3">
      <c r="G31973" s="1"/>
      <c r="N31973" s="1"/>
    </row>
    <row r="31974" spans="7:14" x14ac:dyDescent="0.3">
      <c r="G31974" s="1"/>
      <c r="N31974" s="1"/>
    </row>
    <row r="31975" spans="7:14" x14ac:dyDescent="0.3">
      <c r="G31975" s="1"/>
      <c r="N31975" s="1"/>
    </row>
    <row r="31976" spans="7:14" x14ac:dyDescent="0.3">
      <c r="G31976" s="1"/>
      <c r="N31976" s="1"/>
    </row>
    <row r="31977" spans="7:14" x14ac:dyDescent="0.3">
      <c r="G31977" s="1"/>
      <c r="N31977" s="1"/>
    </row>
    <row r="31978" spans="7:14" x14ac:dyDescent="0.3">
      <c r="G31978" s="1"/>
      <c r="N31978" s="1"/>
    </row>
    <row r="31979" spans="7:14" x14ac:dyDescent="0.3">
      <c r="G31979" s="1"/>
      <c r="N31979" s="1"/>
    </row>
    <row r="31980" spans="7:14" x14ac:dyDescent="0.3">
      <c r="G31980" s="1"/>
      <c r="N31980" s="1"/>
    </row>
    <row r="31981" spans="7:14" x14ac:dyDescent="0.3">
      <c r="G31981" s="1"/>
      <c r="N31981" s="1"/>
    </row>
    <row r="31982" spans="7:14" x14ac:dyDescent="0.3">
      <c r="G31982" s="1"/>
      <c r="N31982" s="1"/>
    </row>
    <row r="31983" spans="7:14" x14ac:dyDescent="0.3">
      <c r="G31983" s="1"/>
      <c r="N31983" s="1"/>
    </row>
    <row r="31984" spans="7:14" x14ac:dyDescent="0.3">
      <c r="G31984" s="1"/>
      <c r="N31984" s="1"/>
    </row>
    <row r="31985" spans="7:14" x14ac:dyDescent="0.3">
      <c r="G31985" s="1"/>
      <c r="N31985" s="1"/>
    </row>
    <row r="31986" spans="7:14" x14ac:dyDescent="0.3">
      <c r="G31986" s="1"/>
      <c r="N31986" s="1"/>
    </row>
    <row r="31987" spans="7:14" x14ac:dyDescent="0.3">
      <c r="G31987" s="1"/>
      <c r="N31987" s="1"/>
    </row>
    <row r="31988" spans="7:14" x14ac:dyDescent="0.3">
      <c r="G31988" s="1"/>
      <c r="N31988" s="1"/>
    </row>
    <row r="31989" spans="7:14" x14ac:dyDescent="0.3">
      <c r="G31989" s="1"/>
      <c r="N31989" s="1"/>
    </row>
    <row r="31990" spans="7:14" x14ac:dyDescent="0.3">
      <c r="G31990" s="1"/>
      <c r="N31990" s="1"/>
    </row>
    <row r="31991" spans="7:14" x14ac:dyDescent="0.3">
      <c r="G31991" s="1"/>
      <c r="N31991" s="1"/>
    </row>
    <row r="31992" spans="7:14" x14ac:dyDescent="0.3">
      <c r="G31992" s="1"/>
      <c r="N31992" s="1"/>
    </row>
    <row r="31993" spans="7:14" x14ac:dyDescent="0.3">
      <c r="G31993" s="1"/>
      <c r="N31993" s="1"/>
    </row>
    <row r="31994" spans="7:14" x14ac:dyDescent="0.3">
      <c r="G31994" s="1"/>
      <c r="N31994" s="1"/>
    </row>
    <row r="31995" spans="7:14" x14ac:dyDescent="0.3">
      <c r="G31995" s="1"/>
      <c r="N31995" s="1"/>
    </row>
    <row r="31996" spans="7:14" x14ac:dyDescent="0.3">
      <c r="G31996" s="1"/>
      <c r="N31996" s="1"/>
    </row>
    <row r="31997" spans="7:14" x14ac:dyDescent="0.3">
      <c r="G31997" s="1"/>
      <c r="N31997" s="1"/>
    </row>
    <row r="31998" spans="7:14" x14ac:dyDescent="0.3">
      <c r="G31998" s="1"/>
      <c r="N31998" s="1"/>
    </row>
    <row r="31999" spans="7:14" x14ac:dyDescent="0.3">
      <c r="G31999" s="1"/>
      <c r="N31999" s="1"/>
    </row>
    <row r="32000" spans="7:14" x14ac:dyDescent="0.3">
      <c r="G32000" s="1"/>
      <c r="N32000" s="1"/>
    </row>
    <row r="32001" spans="7:14" x14ac:dyDescent="0.3">
      <c r="G32001" s="1"/>
      <c r="N32001" s="1"/>
    </row>
    <row r="32002" spans="7:14" x14ac:dyDescent="0.3">
      <c r="G32002" s="1"/>
      <c r="N32002" s="1"/>
    </row>
    <row r="32003" spans="7:14" x14ac:dyDescent="0.3">
      <c r="G32003" s="1"/>
      <c r="N32003" s="1"/>
    </row>
    <row r="32004" spans="7:14" x14ac:dyDescent="0.3">
      <c r="G32004" s="1"/>
      <c r="N32004" s="1"/>
    </row>
    <row r="32005" spans="7:14" x14ac:dyDescent="0.3">
      <c r="G32005" s="1"/>
      <c r="N32005" s="1"/>
    </row>
    <row r="32006" spans="7:14" x14ac:dyDescent="0.3">
      <c r="G32006" s="1"/>
      <c r="N32006" s="1"/>
    </row>
    <row r="32007" spans="7:14" x14ac:dyDescent="0.3">
      <c r="G32007" s="1"/>
      <c r="N32007" s="1"/>
    </row>
    <row r="32008" spans="7:14" x14ac:dyDescent="0.3">
      <c r="G32008" s="1"/>
      <c r="N32008" s="1"/>
    </row>
    <row r="32009" spans="7:14" x14ac:dyDescent="0.3">
      <c r="G32009" s="1"/>
      <c r="N32009" s="1"/>
    </row>
    <row r="32010" spans="7:14" x14ac:dyDescent="0.3">
      <c r="G32010" s="1"/>
      <c r="N32010" s="1"/>
    </row>
    <row r="32011" spans="7:14" x14ac:dyDescent="0.3">
      <c r="G32011" s="1"/>
      <c r="N32011" s="1"/>
    </row>
    <row r="32012" spans="7:14" x14ac:dyDescent="0.3">
      <c r="G32012" s="1"/>
      <c r="N32012" s="1"/>
    </row>
    <row r="32013" spans="7:14" x14ac:dyDescent="0.3">
      <c r="G32013" s="1"/>
      <c r="N32013" s="1"/>
    </row>
    <row r="32014" spans="7:14" x14ac:dyDescent="0.3">
      <c r="G32014" s="1"/>
      <c r="N32014" s="1"/>
    </row>
    <row r="32015" spans="7:14" x14ac:dyDescent="0.3">
      <c r="G32015" s="1"/>
      <c r="N32015" s="1"/>
    </row>
    <row r="32016" spans="7:14" x14ac:dyDescent="0.3">
      <c r="G32016" s="1"/>
      <c r="N32016" s="1"/>
    </row>
    <row r="32017" spans="7:14" x14ac:dyDescent="0.3">
      <c r="G32017" s="1"/>
      <c r="N32017" s="1"/>
    </row>
    <row r="32018" spans="7:14" x14ac:dyDescent="0.3">
      <c r="G32018" s="1"/>
      <c r="N32018" s="1"/>
    </row>
    <row r="32019" spans="7:14" x14ac:dyDescent="0.3">
      <c r="G32019" s="1"/>
      <c r="N32019" s="1"/>
    </row>
    <row r="32020" spans="7:14" x14ac:dyDescent="0.3">
      <c r="G32020" s="1"/>
      <c r="N32020" s="1"/>
    </row>
    <row r="32021" spans="7:14" x14ac:dyDescent="0.3">
      <c r="G32021" s="1"/>
      <c r="N32021" s="1"/>
    </row>
    <row r="32022" spans="7:14" x14ac:dyDescent="0.3">
      <c r="G32022" s="1"/>
      <c r="N32022" s="1"/>
    </row>
    <row r="32023" spans="7:14" x14ac:dyDescent="0.3">
      <c r="G32023" s="1"/>
      <c r="N32023" s="1"/>
    </row>
    <row r="32024" spans="7:14" x14ac:dyDescent="0.3">
      <c r="G32024" s="1"/>
      <c r="N32024" s="1"/>
    </row>
    <row r="32025" spans="7:14" x14ac:dyDescent="0.3">
      <c r="G32025" s="1"/>
      <c r="N32025" s="1"/>
    </row>
    <row r="32026" spans="7:14" x14ac:dyDescent="0.3">
      <c r="G32026" s="1"/>
      <c r="N32026" s="1"/>
    </row>
    <row r="32027" spans="7:14" x14ac:dyDescent="0.3">
      <c r="G32027" s="1"/>
      <c r="N32027" s="1"/>
    </row>
    <row r="32028" spans="7:14" x14ac:dyDescent="0.3">
      <c r="G32028" s="1"/>
      <c r="N32028" s="1"/>
    </row>
    <row r="32029" spans="7:14" x14ac:dyDescent="0.3">
      <c r="G32029" s="1"/>
      <c r="N32029" s="1"/>
    </row>
    <row r="32030" spans="7:14" x14ac:dyDescent="0.3">
      <c r="G32030" s="1"/>
      <c r="N32030" s="1"/>
    </row>
    <row r="32031" spans="7:14" x14ac:dyDescent="0.3">
      <c r="G32031" s="1"/>
      <c r="N32031" s="1"/>
    </row>
    <row r="32032" spans="7:14" x14ac:dyDescent="0.3">
      <c r="G32032" s="1"/>
      <c r="N32032" s="1"/>
    </row>
    <row r="32033" spans="7:14" x14ac:dyDescent="0.3">
      <c r="G32033" s="1"/>
      <c r="N32033" s="1"/>
    </row>
    <row r="32034" spans="7:14" x14ac:dyDescent="0.3">
      <c r="G32034" s="1"/>
      <c r="N32034" s="1"/>
    </row>
    <row r="32035" spans="7:14" x14ac:dyDescent="0.3">
      <c r="G32035" s="1"/>
      <c r="N32035" s="1"/>
    </row>
    <row r="32036" spans="7:14" x14ac:dyDescent="0.3">
      <c r="G32036" s="1"/>
      <c r="N32036" s="1"/>
    </row>
    <row r="32037" spans="7:14" x14ac:dyDescent="0.3">
      <c r="G32037" s="1"/>
      <c r="N32037" s="1"/>
    </row>
    <row r="32038" spans="7:14" x14ac:dyDescent="0.3">
      <c r="G32038" s="1"/>
      <c r="N32038" s="1"/>
    </row>
    <row r="32039" spans="7:14" x14ac:dyDescent="0.3">
      <c r="G32039" s="1"/>
      <c r="N32039" s="1"/>
    </row>
    <row r="32040" spans="7:14" x14ac:dyDescent="0.3">
      <c r="G32040" s="1"/>
      <c r="N32040" s="1"/>
    </row>
    <row r="32041" spans="7:14" x14ac:dyDescent="0.3">
      <c r="G32041" s="1"/>
      <c r="N32041" s="1"/>
    </row>
    <row r="32042" spans="7:14" x14ac:dyDescent="0.3">
      <c r="G32042" s="1"/>
      <c r="N32042" s="1"/>
    </row>
    <row r="32043" spans="7:14" x14ac:dyDescent="0.3">
      <c r="G32043" s="1"/>
      <c r="N32043" s="1"/>
    </row>
    <row r="32044" spans="7:14" x14ac:dyDescent="0.3">
      <c r="G32044" s="1"/>
      <c r="N32044" s="1"/>
    </row>
    <row r="32045" spans="7:14" x14ac:dyDescent="0.3">
      <c r="G32045" s="1"/>
      <c r="N32045" s="1"/>
    </row>
    <row r="32046" spans="7:14" x14ac:dyDescent="0.3">
      <c r="G32046" s="1"/>
      <c r="N32046" s="1"/>
    </row>
    <row r="32047" spans="7:14" x14ac:dyDescent="0.3">
      <c r="G32047" s="1"/>
      <c r="N32047" s="1"/>
    </row>
    <row r="32048" spans="7:14" x14ac:dyDescent="0.3">
      <c r="G32048" s="1"/>
      <c r="N32048" s="1"/>
    </row>
    <row r="32049" spans="7:14" x14ac:dyDescent="0.3">
      <c r="G32049" s="1"/>
      <c r="N32049" s="1"/>
    </row>
    <row r="32050" spans="7:14" x14ac:dyDescent="0.3">
      <c r="G32050" s="1"/>
      <c r="N32050" s="1"/>
    </row>
    <row r="32051" spans="7:14" x14ac:dyDescent="0.3">
      <c r="G32051" s="1"/>
      <c r="N32051" s="1"/>
    </row>
    <row r="32052" spans="7:14" x14ac:dyDescent="0.3">
      <c r="G32052" s="1"/>
      <c r="N32052" s="1"/>
    </row>
    <row r="32053" spans="7:14" x14ac:dyDescent="0.3">
      <c r="G32053" s="1"/>
      <c r="N32053" s="1"/>
    </row>
    <row r="32054" spans="7:14" x14ac:dyDescent="0.3">
      <c r="G32054" s="1"/>
      <c r="N32054" s="1"/>
    </row>
    <row r="32055" spans="7:14" x14ac:dyDescent="0.3">
      <c r="G32055" s="1"/>
      <c r="N32055" s="1"/>
    </row>
    <row r="32056" spans="7:14" x14ac:dyDescent="0.3">
      <c r="G32056" s="1"/>
      <c r="N32056" s="1"/>
    </row>
    <row r="32057" spans="7:14" x14ac:dyDescent="0.3">
      <c r="G32057" s="1"/>
      <c r="N32057" s="1"/>
    </row>
    <row r="32058" spans="7:14" x14ac:dyDescent="0.3">
      <c r="G32058" s="1"/>
      <c r="N32058" s="1"/>
    </row>
    <row r="32059" spans="7:14" x14ac:dyDescent="0.3">
      <c r="G32059" s="1"/>
      <c r="N32059" s="1"/>
    </row>
    <row r="32060" spans="7:14" x14ac:dyDescent="0.3">
      <c r="G32060" s="1"/>
      <c r="N32060" s="1"/>
    </row>
    <row r="32061" spans="7:14" x14ac:dyDescent="0.3">
      <c r="G32061" s="1"/>
      <c r="N32061" s="1"/>
    </row>
    <row r="32062" spans="7:14" x14ac:dyDescent="0.3">
      <c r="G32062" s="1"/>
      <c r="N32062" s="1"/>
    </row>
    <row r="32063" spans="7:14" x14ac:dyDescent="0.3">
      <c r="G32063" s="1"/>
      <c r="N32063" s="1"/>
    </row>
    <row r="32064" spans="7:14" x14ac:dyDescent="0.3">
      <c r="G32064" s="1"/>
      <c r="N32064" s="1"/>
    </row>
    <row r="32065" spans="7:14" x14ac:dyDescent="0.3">
      <c r="G32065" s="1"/>
      <c r="N32065" s="1"/>
    </row>
    <row r="32066" spans="7:14" x14ac:dyDescent="0.3">
      <c r="G32066" s="1"/>
      <c r="N32066" s="1"/>
    </row>
    <row r="32067" spans="7:14" x14ac:dyDescent="0.3">
      <c r="G32067" s="1"/>
      <c r="N32067" s="1"/>
    </row>
    <row r="32068" spans="7:14" x14ac:dyDescent="0.3">
      <c r="G32068" s="1"/>
      <c r="N32068" s="1"/>
    </row>
    <row r="32069" spans="7:14" x14ac:dyDescent="0.3">
      <c r="G32069" s="1"/>
      <c r="N32069" s="1"/>
    </row>
    <row r="32070" spans="7:14" x14ac:dyDescent="0.3">
      <c r="G32070" s="1"/>
      <c r="N32070" s="1"/>
    </row>
    <row r="32071" spans="7:14" x14ac:dyDescent="0.3">
      <c r="G32071" s="1"/>
      <c r="N32071" s="1"/>
    </row>
    <row r="32072" spans="7:14" x14ac:dyDescent="0.3">
      <c r="G32072" s="1"/>
      <c r="N32072" s="1"/>
    </row>
    <row r="32073" spans="7:14" x14ac:dyDescent="0.3">
      <c r="G32073" s="1"/>
      <c r="N32073" s="1"/>
    </row>
    <row r="32074" spans="7:14" x14ac:dyDescent="0.3">
      <c r="G32074" s="1"/>
      <c r="N32074" s="1"/>
    </row>
    <row r="32075" spans="7:14" x14ac:dyDescent="0.3">
      <c r="G32075" s="1"/>
      <c r="N32075" s="1"/>
    </row>
    <row r="32076" spans="7:14" x14ac:dyDescent="0.3">
      <c r="G32076" s="1"/>
      <c r="N32076" s="1"/>
    </row>
    <row r="32077" spans="7:14" x14ac:dyDescent="0.3">
      <c r="G32077" s="1"/>
      <c r="N32077" s="1"/>
    </row>
    <row r="32078" spans="7:14" x14ac:dyDescent="0.3">
      <c r="G32078" s="1"/>
      <c r="N32078" s="1"/>
    </row>
    <row r="32079" spans="7:14" x14ac:dyDescent="0.3">
      <c r="G32079" s="1"/>
      <c r="N32079" s="1"/>
    </row>
    <row r="32080" spans="7:14" x14ac:dyDescent="0.3">
      <c r="G32080" s="1"/>
      <c r="N32080" s="1"/>
    </row>
    <row r="32081" spans="7:14" x14ac:dyDescent="0.3">
      <c r="G32081" s="1"/>
      <c r="N32081" s="1"/>
    </row>
    <row r="32082" spans="7:14" x14ac:dyDescent="0.3">
      <c r="G32082" s="1"/>
      <c r="N32082" s="1"/>
    </row>
    <row r="32083" spans="7:14" x14ac:dyDescent="0.3">
      <c r="G32083" s="1"/>
      <c r="N32083" s="1"/>
    </row>
    <row r="32084" spans="7:14" x14ac:dyDescent="0.3">
      <c r="G32084" s="1"/>
      <c r="N32084" s="1"/>
    </row>
    <row r="32085" spans="7:14" x14ac:dyDescent="0.3">
      <c r="G32085" s="1"/>
      <c r="N32085" s="1"/>
    </row>
    <row r="32086" spans="7:14" x14ac:dyDescent="0.3">
      <c r="G32086" s="1"/>
      <c r="N32086" s="1"/>
    </row>
    <row r="32087" spans="7:14" x14ac:dyDescent="0.3">
      <c r="G32087" s="1"/>
      <c r="N32087" s="1"/>
    </row>
    <row r="32088" spans="7:14" x14ac:dyDescent="0.3">
      <c r="G32088" s="1"/>
      <c r="N32088" s="1"/>
    </row>
    <row r="32089" spans="7:14" x14ac:dyDescent="0.3">
      <c r="G32089" s="1"/>
      <c r="N32089" s="1"/>
    </row>
    <row r="32090" spans="7:14" x14ac:dyDescent="0.3">
      <c r="G32090" s="1"/>
      <c r="N32090" s="1"/>
    </row>
    <row r="32091" spans="7:14" x14ac:dyDescent="0.3">
      <c r="G32091" s="1"/>
      <c r="N32091" s="1"/>
    </row>
    <row r="32092" spans="7:14" x14ac:dyDescent="0.3">
      <c r="G32092" s="1"/>
      <c r="N32092" s="1"/>
    </row>
    <row r="32093" spans="7:14" x14ac:dyDescent="0.3">
      <c r="G32093" s="1"/>
      <c r="N32093" s="1"/>
    </row>
    <row r="32094" spans="7:14" x14ac:dyDescent="0.3">
      <c r="G32094" s="1"/>
      <c r="N32094" s="1"/>
    </row>
    <row r="32095" spans="7:14" x14ac:dyDescent="0.3">
      <c r="G32095" s="1"/>
      <c r="N32095" s="1"/>
    </row>
    <row r="32096" spans="7:14" x14ac:dyDescent="0.3">
      <c r="G32096" s="1"/>
      <c r="N32096" s="1"/>
    </row>
    <row r="32097" spans="7:14" x14ac:dyDescent="0.3">
      <c r="G32097" s="1"/>
      <c r="N32097" s="1"/>
    </row>
    <row r="32098" spans="7:14" x14ac:dyDescent="0.3">
      <c r="G32098" s="1"/>
      <c r="N32098" s="1"/>
    </row>
    <row r="32099" spans="7:14" x14ac:dyDescent="0.3">
      <c r="G32099" s="1"/>
      <c r="N32099" s="1"/>
    </row>
    <row r="32100" spans="7:14" x14ac:dyDescent="0.3">
      <c r="G32100" s="1"/>
      <c r="N32100" s="1"/>
    </row>
    <row r="32101" spans="7:14" x14ac:dyDescent="0.3">
      <c r="G32101" s="1"/>
      <c r="N32101" s="1"/>
    </row>
    <row r="32102" spans="7:14" x14ac:dyDescent="0.3">
      <c r="G32102" s="1"/>
      <c r="N32102" s="1"/>
    </row>
    <row r="32103" spans="7:14" x14ac:dyDescent="0.3">
      <c r="G32103" s="1"/>
      <c r="N32103" s="1"/>
    </row>
    <row r="32104" spans="7:14" x14ac:dyDescent="0.3">
      <c r="G32104" s="1"/>
      <c r="N32104" s="1"/>
    </row>
    <row r="32105" spans="7:14" x14ac:dyDescent="0.3">
      <c r="G32105" s="1"/>
      <c r="N32105" s="1"/>
    </row>
    <row r="32106" spans="7:14" x14ac:dyDescent="0.3">
      <c r="G32106" s="1"/>
      <c r="N32106" s="1"/>
    </row>
    <row r="32107" spans="7:14" x14ac:dyDescent="0.3">
      <c r="G32107" s="1"/>
      <c r="N32107" s="1"/>
    </row>
    <row r="32108" spans="7:14" x14ac:dyDescent="0.3">
      <c r="G32108" s="1"/>
      <c r="N32108" s="1"/>
    </row>
    <row r="32109" spans="7:14" x14ac:dyDescent="0.3">
      <c r="G32109" s="1"/>
      <c r="N32109" s="1"/>
    </row>
    <row r="32110" spans="7:14" x14ac:dyDescent="0.3">
      <c r="G32110" s="1"/>
      <c r="N32110" s="1"/>
    </row>
    <row r="32111" spans="7:14" x14ac:dyDescent="0.3">
      <c r="G32111" s="1"/>
      <c r="N32111" s="1"/>
    </row>
    <row r="32112" spans="7:14" x14ac:dyDescent="0.3">
      <c r="G32112" s="1"/>
      <c r="N32112" s="1"/>
    </row>
    <row r="32113" spans="7:14" x14ac:dyDescent="0.3">
      <c r="G32113" s="1"/>
      <c r="N32113" s="1"/>
    </row>
    <row r="32114" spans="7:14" x14ac:dyDescent="0.3">
      <c r="G32114" s="1"/>
      <c r="N32114" s="1"/>
    </row>
    <row r="32115" spans="7:14" x14ac:dyDescent="0.3">
      <c r="G32115" s="1"/>
      <c r="N32115" s="1"/>
    </row>
    <row r="32116" spans="7:14" x14ac:dyDescent="0.3">
      <c r="G32116" s="1"/>
      <c r="N32116" s="1"/>
    </row>
    <row r="32117" spans="7:14" x14ac:dyDescent="0.3">
      <c r="G32117" s="1"/>
      <c r="N32117" s="1"/>
    </row>
    <row r="32118" spans="7:14" x14ac:dyDescent="0.3">
      <c r="G32118" s="1"/>
      <c r="N32118" s="1"/>
    </row>
    <row r="32119" spans="7:14" x14ac:dyDescent="0.3">
      <c r="G32119" s="1"/>
      <c r="N32119" s="1"/>
    </row>
    <row r="32120" spans="7:14" x14ac:dyDescent="0.3">
      <c r="G32120" s="1"/>
      <c r="N32120" s="1"/>
    </row>
    <row r="32121" spans="7:14" x14ac:dyDescent="0.3">
      <c r="G32121" s="1"/>
      <c r="N32121" s="1"/>
    </row>
    <row r="32122" spans="7:14" x14ac:dyDescent="0.3">
      <c r="G32122" s="1"/>
      <c r="N32122" s="1"/>
    </row>
    <row r="32123" spans="7:14" x14ac:dyDescent="0.3">
      <c r="G32123" s="1"/>
      <c r="N32123" s="1"/>
    </row>
    <row r="32124" spans="7:14" x14ac:dyDescent="0.3">
      <c r="G32124" s="1"/>
      <c r="N32124" s="1"/>
    </row>
    <row r="32125" spans="7:14" x14ac:dyDescent="0.3">
      <c r="G32125" s="1"/>
      <c r="N32125" s="1"/>
    </row>
    <row r="32126" spans="7:14" x14ac:dyDescent="0.3">
      <c r="G32126" s="1"/>
      <c r="N32126" s="1"/>
    </row>
    <row r="32127" spans="7:14" x14ac:dyDescent="0.3">
      <c r="G32127" s="1"/>
      <c r="N32127" s="1"/>
    </row>
    <row r="32128" spans="7:14" x14ac:dyDescent="0.3">
      <c r="G32128" s="1"/>
      <c r="N32128" s="1"/>
    </row>
    <row r="32129" spans="7:14" x14ac:dyDescent="0.3">
      <c r="G32129" s="1"/>
      <c r="N32129" s="1"/>
    </row>
    <row r="32130" spans="7:14" x14ac:dyDescent="0.3">
      <c r="G32130" s="1"/>
      <c r="N32130" s="1"/>
    </row>
    <row r="32131" spans="7:14" x14ac:dyDescent="0.3">
      <c r="G32131" s="1"/>
      <c r="N32131" s="1"/>
    </row>
    <row r="32132" spans="7:14" x14ac:dyDescent="0.3">
      <c r="G32132" s="1"/>
      <c r="N32132" s="1"/>
    </row>
    <row r="32133" spans="7:14" x14ac:dyDescent="0.3">
      <c r="G32133" s="1"/>
      <c r="N32133" s="1"/>
    </row>
    <row r="32134" spans="7:14" x14ac:dyDescent="0.3">
      <c r="G32134" s="1"/>
      <c r="N32134" s="1"/>
    </row>
    <row r="32135" spans="7:14" x14ac:dyDescent="0.3">
      <c r="G32135" s="1"/>
      <c r="N32135" s="1"/>
    </row>
    <row r="32136" spans="7:14" x14ac:dyDescent="0.3">
      <c r="G32136" s="1"/>
      <c r="N32136" s="1"/>
    </row>
    <row r="32137" spans="7:14" x14ac:dyDescent="0.3">
      <c r="G32137" s="1"/>
      <c r="N32137" s="1"/>
    </row>
    <row r="32138" spans="7:14" x14ac:dyDescent="0.3">
      <c r="G32138" s="1"/>
      <c r="N32138" s="1"/>
    </row>
    <row r="32139" spans="7:14" x14ac:dyDescent="0.3">
      <c r="G32139" s="1"/>
      <c r="N32139" s="1"/>
    </row>
    <row r="32140" spans="7:14" x14ac:dyDescent="0.3">
      <c r="G32140" s="1"/>
      <c r="N32140" s="1"/>
    </row>
    <row r="32141" spans="7:14" x14ac:dyDescent="0.3">
      <c r="G32141" s="1"/>
      <c r="N32141" s="1"/>
    </row>
    <row r="32142" spans="7:14" x14ac:dyDescent="0.3">
      <c r="G32142" s="1"/>
      <c r="N32142" s="1"/>
    </row>
    <row r="32143" spans="7:14" x14ac:dyDescent="0.3">
      <c r="G32143" s="1"/>
      <c r="N32143" s="1"/>
    </row>
    <row r="32144" spans="7:14" x14ac:dyDescent="0.3">
      <c r="G32144" s="1"/>
      <c r="N32144" s="1"/>
    </row>
    <row r="32145" spans="7:14" x14ac:dyDescent="0.3">
      <c r="G32145" s="1"/>
      <c r="N32145" s="1"/>
    </row>
    <row r="32146" spans="7:14" x14ac:dyDescent="0.3">
      <c r="G32146" s="1"/>
      <c r="N32146" s="1"/>
    </row>
    <row r="32147" spans="7:14" x14ac:dyDescent="0.3">
      <c r="G32147" s="1"/>
      <c r="N32147" s="1"/>
    </row>
    <row r="32148" spans="7:14" x14ac:dyDescent="0.3">
      <c r="G32148" s="1"/>
      <c r="N32148" s="1"/>
    </row>
    <row r="32149" spans="7:14" x14ac:dyDescent="0.3">
      <c r="G32149" s="1"/>
      <c r="N32149" s="1"/>
    </row>
    <row r="32150" spans="7:14" x14ac:dyDescent="0.3">
      <c r="G32150" s="1"/>
      <c r="N32150" s="1"/>
    </row>
    <row r="32151" spans="7:14" x14ac:dyDescent="0.3">
      <c r="G32151" s="1"/>
      <c r="N32151" s="1"/>
    </row>
    <row r="32152" spans="7:14" x14ac:dyDescent="0.3">
      <c r="G32152" s="1"/>
      <c r="N32152" s="1"/>
    </row>
    <row r="32153" spans="7:14" x14ac:dyDescent="0.3">
      <c r="G32153" s="1"/>
      <c r="N32153" s="1"/>
    </row>
    <row r="32154" spans="7:14" x14ac:dyDescent="0.3">
      <c r="G32154" s="1"/>
      <c r="N32154" s="1"/>
    </row>
    <row r="32155" spans="7:14" x14ac:dyDescent="0.3">
      <c r="G32155" s="1"/>
      <c r="N32155" s="1"/>
    </row>
    <row r="32156" spans="7:14" x14ac:dyDescent="0.3">
      <c r="G32156" s="1"/>
      <c r="N32156" s="1"/>
    </row>
    <row r="32157" spans="7:14" x14ac:dyDescent="0.3">
      <c r="G32157" s="1"/>
      <c r="N32157" s="1"/>
    </row>
    <row r="32158" spans="7:14" x14ac:dyDescent="0.3">
      <c r="G32158" s="1"/>
      <c r="N32158" s="1"/>
    </row>
    <row r="32159" spans="7:14" x14ac:dyDescent="0.3">
      <c r="G32159" s="1"/>
      <c r="N32159" s="1"/>
    </row>
    <row r="32160" spans="7:14" x14ac:dyDescent="0.3">
      <c r="G32160" s="1"/>
      <c r="N32160" s="1"/>
    </row>
    <row r="32161" spans="7:14" x14ac:dyDescent="0.3">
      <c r="G32161" s="1"/>
      <c r="N32161" s="1"/>
    </row>
    <row r="32162" spans="7:14" x14ac:dyDescent="0.3">
      <c r="G32162" s="1"/>
      <c r="N32162" s="1"/>
    </row>
    <row r="32163" spans="7:14" x14ac:dyDescent="0.3">
      <c r="G32163" s="1"/>
      <c r="N32163" s="1"/>
    </row>
    <row r="32164" spans="7:14" x14ac:dyDescent="0.3">
      <c r="G32164" s="1"/>
      <c r="N32164" s="1"/>
    </row>
    <row r="32165" spans="7:14" x14ac:dyDescent="0.3">
      <c r="G32165" s="1"/>
      <c r="N32165" s="1"/>
    </row>
    <row r="32166" spans="7:14" x14ac:dyDescent="0.3">
      <c r="G32166" s="1"/>
      <c r="N32166" s="1"/>
    </row>
    <row r="32167" spans="7:14" x14ac:dyDescent="0.3">
      <c r="G32167" s="1"/>
      <c r="N32167" s="1"/>
    </row>
    <row r="32168" spans="7:14" x14ac:dyDescent="0.3">
      <c r="G32168" s="1"/>
      <c r="N32168" s="1"/>
    </row>
    <row r="32169" spans="7:14" x14ac:dyDescent="0.3">
      <c r="G32169" s="1"/>
      <c r="N32169" s="1"/>
    </row>
    <row r="32170" spans="7:14" x14ac:dyDescent="0.3">
      <c r="G32170" s="1"/>
      <c r="N32170" s="1"/>
    </row>
    <row r="32171" spans="7:14" x14ac:dyDescent="0.3">
      <c r="G32171" s="1"/>
      <c r="N32171" s="1"/>
    </row>
    <row r="32172" spans="7:14" x14ac:dyDescent="0.3">
      <c r="G32172" s="1"/>
      <c r="N32172" s="1"/>
    </row>
    <row r="32173" spans="7:14" x14ac:dyDescent="0.3">
      <c r="G32173" s="1"/>
      <c r="N32173" s="1"/>
    </row>
    <row r="32174" spans="7:14" x14ac:dyDescent="0.3">
      <c r="G32174" s="1"/>
      <c r="N32174" s="1"/>
    </row>
    <row r="32175" spans="7:14" x14ac:dyDescent="0.3">
      <c r="G32175" s="1"/>
      <c r="N32175" s="1"/>
    </row>
    <row r="32176" spans="7:14" x14ac:dyDescent="0.3">
      <c r="G32176" s="1"/>
      <c r="N32176" s="1"/>
    </row>
    <row r="32177" spans="7:14" x14ac:dyDescent="0.3">
      <c r="G32177" s="1"/>
      <c r="N32177" s="1"/>
    </row>
    <row r="32178" spans="7:14" x14ac:dyDescent="0.3">
      <c r="G32178" s="1"/>
      <c r="N32178" s="1"/>
    </row>
    <row r="32179" spans="7:14" x14ac:dyDescent="0.3">
      <c r="G32179" s="1"/>
      <c r="N32179" s="1"/>
    </row>
    <row r="32180" spans="7:14" x14ac:dyDescent="0.3">
      <c r="G32180" s="1"/>
      <c r="N32180" s="1"/>
    </row>
    <row r="32181" spans="7:14" x14ac:dyDescent="0.3">
      <c r="G32181" s="1"/>
      <c r="N32181" s="1"/>
    </row>
    <row r="32182" spans="7:14" x14ac:dyDescent="0.3">
      <c r="G32182" s="1"/>
      <c r="N32182" s="1"/>
    </row>
    <row r="32183" spans="7:14" x14ac:dyDescent="0.3">
      <c r="G32183" s="1"/>
      <c r="N32183" s="1"/>
    </row>
    <row r="32184" spans="7:14" x14ac:dyDescent="0.3">
      <c r="G32184" s="1"/>
      <c r="N32184" s="1"/>
    </row>
    <row r="32185" spans="7:14" x14ac:dyDescent="0.3">
      <c r="G32185" s="1"/>
      <c r="N32185" s="1"/>
    </row>
    <row r="32186" spans="7:14" x14ac:dyDescent="0.3">
      <c r="G32186" s="1"/>
      <c r="N32186" s="1"/>
    </row>
    <row r="32187" spans="7:14" x14ac:dyDescent="0.3">
      <c r="G32187" s="1"/>
      <c r="N32187" s="1"/>
    </row>
    <row r="32188" spans="7:14" x14ac:dyDescent="0.3">
      <c r="G32188" s="1"/>
      <c r="N32188" s="1"/>
    </row>
    <row r="32189" spans="7:14" x14ac:dyDescent="0.3">
      <c r="G32189" s="1"/>
      <c r="N32189" s="1"/>
    </row>
    <row r="32190" spans="7:14" x14ac:dyDescent="0.3">
      <c r="G32190" s="1"/>
      <c r="N32190" s="1"/>
    </row>
    <row r="32191" spans="7:14" x14ac:dyDescent="0.3">
      <c r="G32191" s="1"/>
      <c r="N32191" s="1"/>
    </row>
    <row r="32192" spans="7:14" x14ac:dyDescent="0.3">
      <c r="G32192" s="1"/>
      <c r="N32192" s="1"/>
    </row>
    <row r="32193" spans="7:14" x14ac:dyDescent="0.3">
      <c r="G32193" s="1"/>
      <c r="N32193" s="1"/>
    </row>
    <row r="32194" spans="7:14" x14ac:dyDescent="0.3">
      <c r="G32194" s="1"/>
      <c r="N32194" s="1"/>
    </row>
    <row r="32195" spans="7:14" x14ac:dyDescent="0.3">
      <c r="G32195" s="1"/>
      <c r="N32195" s="1"/>
    </row>
    <row r="32196" spans="7:14" x14ac:dyDescent="0.3">
      <c r="G32196" s="1"/>
      <c r="N32196" s="1"/>
    </row>
    <row r="32197" spans="7:14" x14ac:dyDescent="0.3">
      <c r="G32197" s="1"/>
      <c r="N32197" s="1"/>
    </row>
    <row r="32198" spans="7:14" x14ac:dyDescent="0.3">
      <c r="G32198" s="1"/>
      <c r="N32198" s="1"/>
    </row>
    <row r="32199" spans="7:14" x14ac:dyDescent="0.3">
      <c r="G32199" s="1"/>
      <c r="N32199" s="1"/>
    </row>
    <row r="32200" spans="7:14" x14ac:dyDescent="0.3">
      <c r="G32200" s="1"/>
      <c r="N32200" s="1"/>
    </row>
    <row r="32201" spans="7:14" x14ac:dyDescent="0.3">
      <c r="G32201" s="1"/>
      <c r="N32201" s="1"/>
    </row>
    <row r="32202" spans="7:14" x14ac:dyDescent="0.3">
      <c r="G32202" s="1"/>
      <c r="N32202" s="1"/>
    </row>
    <row r="32203" spans="7:14" x14ac:dyDescent="0.3">
      <c r="G32203" s="1"/>
      <c r="N32203" s="1"/>
    </row>
    <row r="32204" spans="7:14" x14ac:dyDescent="0.3">
      <c r="G32204" s="1"/>
      <c r="N32204" s="1"/>
    </row>
    <row r="32205" spans="7:14" x14ac:dyDescent="0.3">
      <c r="G32205" s="1"/>
      <c r="N32205" s="1"/>
    </row>
    <row r="32206" spans="7:14" x14ac:dyDescent="0.3">
      <c r="G32206" s="1"/>
      <c r="N32206" s="1"/>
    </row>
    <row r="32207" spans="7:14" x14ac:dyDescent="0.3">
      <c r="G32207" s="1"/>
      <c r="N32207" s="1"/>
    </row>
    <row r="32208" spans="7:14" x14ac:dyDescent="0.3">
      <c r="G32208" s="1"/>
      <c r="N32208" s="1"/>
    </row>
    <row r="32209" spans="7:14" x14ac:dyDescent="0.3">
      <c r="G32209" s="1"/>
      <c r="N32209" s="1"/>
    </row>
    <row r="32210" spans="7:14" x14ac:dyDescent="0.3">
      <c r="G32210" s="1"/>
      <c r="N32210" s="1"/>
    </row>
    <row r="32211" spans="7:14" x14ac:dyDescent="0.3">
      <c r="G32211" s="1"/>
      <c r="N32211" s="1"/>
    </row>
    <row r="32212" spans="7:14" x14ac:dyDescent="0.3">
      <c r="G32212" s="1"/>
      <c r="N32212" s="1"/>
    </row>
    <row r="32213" spans="7:14" x14ac:dyDescent="0.3">
      <c r="G32213" s="1"/>
      <c r="N32213" s="1"/>
    </row>
    <row r="32214" spans="7:14" x14ac:dyDescent="0.3">
      <c r="G32214" s="1"/>
      <c r="N32214" s="1"/>
    </row>
    <row r="32215" spans="7:14" x14ac:dyDescent="0.3">
      <c r="G32215" s="1"/>
      <c r="N32215" s="1"/>
    </row>
    <row r="32216" spans="7:14" x14ac:dyDescent="0.3">
      <c r="G32216" s="1"/>
      <c r="N32216" s="1"/>
    </row>
    <row r="32217" spans="7:14" x14ac:dyDescent="0.3">
      <c r="G32217" s="1"/>
      <c r="N32217" s="1"/>
    </row>
    <row r="32218" spans="7:14" x14ac:dyDescent="0.3">
      <c r="G32218" s="1"/>
      <c r="N32218" s="1"/>
    </row>
    <row r="32219" spans="7:14" x14ac:dyDescent="0.3">
      <c r="G32219" s="1"/>
      <c r="N32219" s="1"/>
    </row>
    <row r="32220" spans="7:14" x14ac:dyDescent="0.3">
      <c r="G32220" s="1"/>
      <c r="N32220" s="1"/>
    </row>
    <row r="32221" spans="7:14" x14ac:dyDescent="0.3">
      <c r="G32221" s="1"/>
      <c r="N32221" s="1"/>
    </row>
    <row r="32222" spans="7:14" x14ac:dyDescent="0.3">
      <c r="G32222" s="1"/>
      <c r="N32222" s="1"/>
    </row>
    <row r="32223" spans="7:14" x14ac:dyDescent="0.3">
      <c r="G32223" s="1"/>
      <c r="N32223" s="1"/>
    </row>
    <row r="32224" spans="7:14" x14ac:dyDescent="0.3">
      <c r="G32224" s="1"/>
      <c r="N32224" s="1"/>
    </row>
    <row r="32225" spans="7:14" x14ac:dyDescent="0.3">
      <c r="G32225" s="1"/>
      <c r="N32225" s="1"/>
    </row>
    <row r="32226" spans="7:14" x14ac:dyDescent="0.3">
      <c r="G32226" s="1"/>
      <c r="N32226" s="1"/>
    </row>
    <row r="32227" spans="7:14" x14ac:dyDescent="0.3">
      <c r="G32227" s="1"/>
      <c r="N32227" s="1"/>
    </row>
    <row r="32228" spans="7:14" x14ac:dyDescent="0.3">
      <c r="G32228" s="1"/>
      <c r="N32228" s="1"/>
    </row>
    <row r="32229" spans="7:14" x14ac:dyDescent="0.3">
      <c r="G32229" s="1"/>
      <c r="N32229" s="1"/>
    </row>
    <row r="32230" spans="7:14" x14ac:dyDescent="0.3">
      <c r="G32230" s="1"/>
      <c r="N32230" s="1"/>
    </row>
    <row r="32231" spans="7:14" x14ac:dyDescent="0.3">
      <c r="G32231" s="1"/>
      <c r="N32231" s="1"/>
    </row>
    <row r="32232" spans="7:14" x14ac:dyDescent="0.3">
      <c r="G32232" s="1"/>
      <c r="N32232" s="1"/>
    </row>
    <row r="32233" spans="7:14" x14ac:dyDescent="0.3">
      <c r="G32233" s="1"/>
      <c r="N32233" s="1"/>
    </row>
    <row r="32234" spans="7:14" x14ac:dyDescent="0.3">
      <c r="G32234" s="1"/>
      <c r="N32234" s="1"/>
    </row>
    <row r="32235" spans="7:14" x14ac:dyDescent="0.3">
      <c r="G32235" s="1"/>
      <c r="N32235" s="1"/>
    </row>
    <row r="32236" spans="7:14" x14ac:dyDescent="0.3">
      <c r="G32236" s="1"/>
      <c r="N32236" s="1"/>
    </row>
    <row r="32237" spans="7:14" x14ac:dyDescent="0.3">
      <c r="G32237" s="1"/>
      <c r="N32237" s="1"/>
    </row>
    <row r="32238" spans="7:14" x14ac:dyDescent="0.3">
      <c r="G32238" s="1"/>
      <c r="N32238" s="1"/>
    </row>
    <row r="32239" spans="7:14" x14ac:dyDescent="0.3">
      <c r="G32239" s="1"/>
      <c r="N32239" s="1"/>
    </row>
    <row r="32240" spans="7:14" x14ac:dyDescent="0.3">
      <c r="G32240" s="1"/>
      <c r="N32240" s="1"/>
    </row>
    <row r="32241" spans="7:14" x14ac:dyDescent="0.3">
      <c r="G32241" s="1"/>
      <c r="N32241" s="1"/>
    </row>
    <row r="32242" spans="7:14" x14ac:dyDescent="0.3">
      <c r="G32242" s="1"/>
      <c r="N32242" s="1"/>
    </row>
    <row r="32243" spans="7:14" x14ac:dyDescent="0.3">
      <c r="G32243" s="1"/>
      <c r="N32243" s="1"/>
    </row>
    <row r="32244" spans="7:14" x14ac:dyDescent="0.3">
      <c r="G32244" s="1"/>
      <c r="N32244" s="1"/>
    </row>
    <row r="32245" spans="7:14" x14ac:dyDescent="0.3">
      <c r="G32245" s="1"/>
      <c r="N32245" s="1"/>
    </row>
    <row r="32246" spans="7:14" x14ac:dyDescent="0.3">
      <c r="G32246" s="1"/>
      <c r="N32246" s="1"/>
    </row>
    <row r="32247" spans="7:14" x14ac:dyDescent="0.3">
      <c r="G32247" s="1"/>
      <c r="N32247" s="1"/>
    </row>
    <row r="32248" spans="7:14" x14ac:dyDescent="0.3">
      <c r="G32248" s="1"/>
      <c r="N32248" s="1"/>
    </row>
    <row r="32249" spans="7:14" x14ac:dyDescent="0.3">
      <c r="G32249" s="1"/>
      <c r="N32249" s="1"/>
    </row>
    <row r="32250" spans="7:14" x14ac:dyDescent="0.3">
      <c r="G32250" s="1"/>
      <c r="N32250" s="1"/>
    </row>
    <row r="32251" spans="7:14" x14ac:dyDescent="0.3">
      <c r="G32251" s="1"/>
      <c r="N32251" s="1"/>
    </row>
    <row r="32252" spans="7:14" x14ac:dyDescent="0.3">
      <c r="G32252" s="1"/>
      <c r="N32252" s="1"/>
    </row>
    <row r="32253" spans="7:14" x14ac:dyDescent="0.3">
      <c r="G32253" s="1"/>
      <c r="N32253" s="1"/>
    </row>
    <row r="32254" spans="7:14" x14ac:dyDescent="0.3">
      <c r="G32254" s="1"/>
      <c r="N32254" s="1"/>
    </row>
    <row r="32255" spans="7:14" x14ac:dyDescent="0.3">
      <c r="G32255" s="1"/>
      <c r="N32255" s="1"/>
    </row>
    <row r="32256" spans="7:14" x14ac:dyDescent="0.3">
      <c r="G32256" s="1"/>
      <c r="N32256" s="1"/>
    </row>
    <row r="32257" spans="7:14" x14ac:dyDescent="0.3">
      <c r="G32257" s="1"/>
      <c r="N32257" s="1"/>
    </row>
    <row r="32258" spans="7:14" x14ac:dyDescent="0.3">
      <c r="G32258" s="1"/>
      <c r="N32258" s="1"/>
    </row>
    <row r="32259" spans="7:14" x14ac:dyDescent="0.3">
      <c r="G32259" s="1"/>
      <c r="N32259" s="1"/>
    </row>
    <row r="32260" spans="7:14" x14ac:dyDescent="0.3">
      <c r="G32260" s="1"/>
      <c r="N32260" s="1"/>
    </row>
    <row r="32261" spans="7:14" x14ac:dyDescent="0.3">
      <c r="G32261" s="1"/>
      <c r="N32261" s="1"/>
    </row>
    <row r="32262" spans="7:14" x14ac:dyDescent="0.3">
      <c r="G32262" s="1"/>
      <c r="N32262" s="1"/>
    </row>
    <row r="32263" spans="7:14" x14ac:dyDescent="0.3">
      <c r="G32263" s="1"/>
      <c r="N32263" s="1"/>
    </row>
    <row r="32264" spans="7:14" x14ac:dyDescent="0.3">
      <c r="G32264" s="1"/>
      <c r="N32264" s="1"/>
    </row>
    <row r="32265" spans="7:14" x14ac:dyDescent="0.3">
      <c r="G32265" s="1"/>
      <c r="N32265" s="1"/>
    </row>
    <row r="32266" spans="7:14" x14ac:dyDescent="0.3">
      <c r="G32266" s="1"/>
      <c r="N32266" s="1"/>
    </row>
    <row r="32267" spans="7:14" x14ac:dyDescent="0.3">
      <c r="G32267" s="1"/>
      <c r="N32267" s="1"/>
    </row>
    <row r="32268" spans="7:14" x14ac:dyDescent="0.3">
      <c r="G32268" s="1"/>
      <c r="N32268" s="1"/>
    </row>
    <row r="32269" spans="7:14" x14ac:dyDescent="0.3">
      <c r="G32269" s="1"/>
      <c r="N32269" s="1"/>
    </row>
    <row r="32270" spans="7:14" x14ac:dyDescent="0.3">
      <c r="G32270" s="1"/>
      <c r="N32270" s="1"/>
    </row>
    <row r="32271" spans="7:14" x14ac:dyDescent="0.3">
      <c r="G32271" s="1"/>
      <c r="N32271" s="1"/>
    </row>
    <row r="32272" spans="7:14" x14ac:dyDescent="0.3">
      <c r="G32272" s="1"/>
      <c r="N32272" s="1"/>
    </row>
    <row r="32273" spans="7:14" x14ac:dyDescent="0.3">
      <c r="G32273" s="1"/>
      <c r="N32273" s="1"/>
    </row>
    <row r="32274" spans="7:14" x14ac:dyDescent="0.3">
      <c r="G32274" s="1"/>
      <c r="N32274" s="1"/>
    </row>
    <row r="32275" spans="7:14" x14ac:dyDescent="0.3">
      <c r="G32275" s="1"/>
      <c r="N32275" s="1"/>
    </row>
    <row r="32276" spans="7:14" x14ac:dyDescent="0.3">
      <c r="G32276" s="1"/>
      <c r="N32276" s="1"/>
    </row>
    <row r="32277" spans="7:14" x14ac:dyDescent="0.3">
      <c r="G32277" s="1"/>
      <c r="N32277" s="1"/>
    </row>
    <row r="32278" spans="7:14" x14ac:dyDescent="0.3">
      <c r="G32278" s="1"/>
      <c r="N32278" s="1"/>
    </row>
    <row r="32279" spans="7:14" x14ac:dyDescent="0.3">
      <c r="G32279" s="1"/>
      <c r="N32279" s="1"/>
    </row>
    <row r="32280" spans="7:14" x14ac:dyDescent="0.3">
      <c r="G32280" s="1"/>
      <c r="N32280" s="1"/>
    </row>
    <row r="32281" spans="7:14" x14ac:dyDescent="0.3">
      <c r="G32281" s="1"/>
      <c r="N32281" s="1"/>
    </row>
    <row r="32282" spans="7:14" x14ac:dyDescent="0.3">
      <c r="G32282" s="1"/>
      <c r="N32282" s="1"/>
    </row>
    <row r="32283" spans="7:14" x14ac:dyDescent="0.3">
      <c r="G32283" s="1"/>
      <c r="N32283" s="1"/>
    </row>
    <row r="32284" spans="7:14" x14ac:dyDescent="0.3">
      <c r="G32284" s="1"/>
      <c r="N32284" s="1"/>
    </row>
    <row r="32285" spans="7:14" x14ac:dyDescent="0.3">
      <c r="G32285" s="1"/>
      <c r="N32285" s="1"/>
    </row>
    <row r="32286" spans="7:14" x14ac:dyDescent="0.3">
      <c r="G32286" s="1"/>
      <c r="N32286" s="1"/>
    </row>
    <row r="32287" spans="7:14" x14ac:dyDescent="0.3">
      <c r="G32287" s="1"/>
      <c r="N32287" s="1"/>
    </row>
    <row r="32288" spans="7:14" x14ac:dyDescent="0.3">
      <c r="G32288" s="1"/>
      <c r="N32288" s="1"/>
    </row>
    <row r="32289" spans="7:14" x14ac:dyDescent="0.3">
      <c r="G32289" s="1"/>
      <c r="N32289" s="1"/>
    </row>
    <row r="32290" spans="7:14" x14ac:dyDescent="0.3">
      <c r="G32290" s="1"/>
      <c r="N32290" s="1"/>
    </row>
    <row r="32291" spans="7:14" x14ac:dyDescent="0.3">
      <c r="G32291" s="1"/>
      <c r="N32291" s="1"/>
    </row>
    <row r="32292" spans="7:14" x14ac:dyDescent="0.3">
      <c r="G32292" s="1"/>
      <c r="N32292" s="1"/>
    </row>
    <row r="32293" spans="7:14" x14ac:dyDescent="0.3">
      <c r="G32293" s="1"/>
      <c r="N32293" s="1"/>
    </row>
    <row r="32294" spans="7:14" x14ac:dyDescent="0.3">
      <c r="G32294" s="1"/>
      <c r="N32294" s="1"/>
    </row>
    <row r="32295" spans="7:14" x14ac:dyDescent="0.3">
      <c r="G32295" s="1"/>
      <c r="N32295" s="1"/>
    </row>
    <row r="32296" spans="7:14" x14ac:dyDescent="0.3">
      <c r="G32296" s="1"/>
      <c r="N32296" s="1"/>
    </row>
    <row r="32297" spans="7:14" x14ac:dyDescent="0.3">
      <c r="G32297" s="1"/>
      <c r="N32297" s="1"/>
    </row>
    <row r="32298" spans="7:14" x14ac:dyDescent="0.3">
      <c r="G32298" s="1"/>
      <c r="N32298" s="1"/>
    </row>
    <row r="32299" spans="7:14" x14ac:dyDescent="0.3">
      <c r="G32299" s="1"/>
      <c r="N32299" s="1"/>
    </row>
    <row r="32300" spans="7:14" x14ac:dyDescent="0.3">
      <c r="G32300" s="1"/>
      <c r="N32300" s="1"/>
    </row>
    <row r="32301" spans="7:14" x14ac:dyDescent="0.3">
      <c r="G32301" s="1"/>
      <c r="N32301" s="1"/>
    </row>
    <row r="32302" spans="7:14" x14ac:dyDescent="0.3">
      <c r="G32302" s="1"/>
      <c r="N32302" s="1"/>
    </row>
    <row r="32303" spans="7:14" x14ac:dyDescent="0.3">
      <c r="G32303" s="1"/>
      <c r="N32303" s="1"/>
    </row>
    <row r="32304" spans="7:14" x14ac:dyDescent="0.3">
      <c r="G32304" s="1"/>
      <c r="N32304" s="1"/>
    </row>
    <row r="32305" spans="7:14" x14ac:dyDescent="0.3">
      <c r="G32305" s="1"/>
      <c r="N32305" s="1"/>
    </row>
    <row r="32306" spans="7:14" x14ac:dyDescent="0.3">
      <c r="G32306" s="1"/>
      <c r="N32306" s="1"/>
    </row>
    <row r="32307" spans="7:14" x14ac:dyDescent="0.3">
      <c r="G32307" s="1"/>
      <c r="N32307" s="1"/>
    </row>
    <row r="32308" spans="7:14" x14ac:dyDescent="0.3">
      <c r="G32308" s="1"/>
      <c r="N32308" s="1"/>
    </row>
    <row r="32309" spans="7:14" x14ac:dyDescent="0.3">
      <c r="G32309" s="1"/>
      <c r="N32309" s="1"/>
    </row>
    <row r="32310" spans="7:14" x14ac:dyDescent="0.3">
      <c r="G32310" s="1"/>
      <c r="N32310" s="1"/>
    </row>
    <row r="32311" spans="7:14" x14ac:dyDescent="0.3">
      <c r="G32311" s="1"/>
      <c r="N32311" s="1"/>
    </row>
    <row r="32312" spans="7:14" x14ac:dyDescent="0.3">
      <c r="G32312" s="1"/>
      <c r="N32312" s="1"/>
    </row>
    <row r="32313" spans="7:14" x14ac:dyDescent="0.3">
      <c r="G32313" s="1"/>
      <c r="N32313" s="1"/>
    </row>
    <row r="32314" spans="7:14" x14ac:dyDescent="0.3">
      <c r="G32314" s="1"/>
      <c r="N32314" s="1"/>
    </row>
    <row r="32315" spans="7:14" x14ac:dyDescent="0.3">
      <c r="G32315" s="1"/>
      <c r="N32315" s="1"/>
    </row>
    <row r="32316" spans="7:14" x14ac:dyDescent="0.3">
      <c r="G32316" s="1"/>
      <c r="N32316" s="1"/>
    </row>
    <row r="32317" spans="7:14" x14ac:dyDescent="0.3">
      <c r="G32317" s="1"/>
      <c r="N32317" s="1"/>
    </row>
    <row r="32318" spans="7:14" x14ac:dyDescent="0.3">
      <c r="G32318" s="1"/>
      <c r="N32318" s="1"/>
    </row>
    <row r="32319" spans="7:14" x14ac:dyDescent="0.3">
      <c r="G32319" s="1"/>
      <c r="N32319" s="1"/>
    </row>
    <row r="32320" spans="7:14" x14ac:dyDescent="0.3">
      <c r="G32320" s="1"/>
      <c r="N32320" s="1"/>
    </row>
    <row r="32321" spans="7:14" x14ac:dyDescent="0.3">
      <c r="G32321" s="1"/>
      <c r="N32321" s="1"/>
    </row>
    <row r="32322" spans="7:14" x14ac:dyDescent="0.3">
      <c r="G32322" s="1"/>
      <c r="N32322" s="1"/>
    </row>
    <row r="32323" spans="7:14" x14ac:dyDescent="0.3">
      <c r="G32323" s="1"/>
      <c r="N32323" s="1"/>
    </row>
    <row r="32324" spans="7:14" x14ac:dyDescent="0.3">
      <c r="G32324" s="1"/>
      <c r="N32324" s="1"/>
    </row>
    <row r="32325" spans="7:14" x14ac:dyDescent="0.3">
      <c r="G32325" s="1"/>
      <c r="N32325" s="1"/>
    </row>
    <row r="32326" spans="7:14" x14ac:dyDescent="0.3">
      <c r="G32326" s="1"/>
      <c r="N32326" s="1"/>
    </row>
    <row r="32327" spans="7:14" x14ac:dyDescent="0.3">
      <c r="G32327" s="1"/>
      <c r="N32327" s="1"/>
    </row>
    <row r="32328" spans="7:14" x14ac:dyDescent="0.3">
      <c r="G32328" s="1"/>
      <c r="N32328" s="1"/>
    </row>
    <row r="32329" spans="7:14" x14ac:dyDescent="0.3">
      <c r="G32329" s="1"/>
      <c r="N32329" s="1"/>
    </row>
    <row r="32330" spans="7:14" x14ac:dyDescent="0.3">
      <c r="G32330" s="1"/>
      <c r="N32330" s="1"/>
    </row>
    <row r="32331" spans="7:14" x14ac:dyDescent="0.3">
      <c r="G32331" s="1"/>
      <c r="N32331" s="1"/>
    </row>
    <row r="32332" spans="7:14" x14ac:dyDescent="0.3">
      <c r="G32332" s="1"/>
      <c r="N32332" s="1"/>
    </row>
    <row r="32333" spans="7:14" x14ac:dyDescent="0.3">
      <c r="G32333" s="1"/>
      <c r="N32333" s="1"/>
    </row>
    <row r="32334" spans="7:14" x14ac:dyDescent="0.3">
      <c r="G32334" s="1"/>
      <c r="N32334" s="1"/>
    </row>
    <row r="32335" spans="7:14" x14ac:dyDescent="0.3">
      <c r="G32335" s="1"/>
      <c r="N32335" s="1"/>
    </row>
    <row r="32336" spans="7:14" x14ac:dyDescent="0.3">
      <c r="G32336" s="1"/>
      <c r="N32336" s="1"/>
    </row>
    <row r="32337" spans="7:14" x14ac:dyDescent="0.3">
      <c r="G32337" s="1"/>
      <c r="N32337" s="1"/>
    </row>
    <row r="32338" spans="7:14" x14ac:dyDescent="0.3">
      <c r="G32338" s="1"/>
      <c r="N32338" s="1"/>
    </row>
    <row r="32339" spans="7:14" x14ac:dyDescent="0.3">
      <c r="G32339" s="1"/>
      <c r="N32339" s="1"/>
    </row>
    <row r="32340" spans="7:14" x14ac:dyDescent="0.3">
      <c r="G32340" s="1"/>
      <c r="N32340" s="1"/>
    </row>
    <row r="32341" spans="7:14" x14ac:dyDescent="0.3">
      <c r="G32341" s="1"/>
      <c r="N32341" s="1"/>
    </row>
    <row r="32342" spans="7:14" x14ac:dyDescent="0.3">
      <c r="G32342" s="1"/>
      <c r="N32342" s="1"/>
    </row>
    <row r="32343" spans="7:14" x14ac:dyDescent="0.3">
      <c r="G32343" s="1"/>
      <c r="N32343" s="1"/>
    </row>
    <row r="32344" spans="7:14" x14ac:dyDescent="0.3">
      <c r="G32344" s="1"/>
      <c r="N32344" s="1"/>
    </row>
    <row r="32345" spans="7:14" x14ac:dyDescent="0.3">
      <c r="G32345" s="1"/>
      <c r="N32345" s="1"/>
    </row>
    <row r="32346" spans="7:14" x14ac:dyDescent="0.3">
      <c r="G32346" s="1"/>
      <c r="N32346" s="1"/>
    </row>
    <row r="32347" spans="7:14" x14ac:dyDescent="0.3">
      <c r="G32347" s="1"/>
      <c r="N32347" s="1"/>
    </row>
    <row r="32348" spans="7:14" x14ac:dyDescent="0.3">
      <c r="G32348" s="1"/>
      <c r="N32348" s="1"/>
    </row>
    <row r="32349" spans="7:14" x14ac:dyDescent="0.3">
      <c r="G32349" s="1"/>
      <c r="N32349" s="1"/>
    </row>
    <row r="32350" spans="7:14" x14ac:dyDescent="0.3">
      <c r="G32350" s="1"/>
      <c r="N32350" s="1"/>
    </row>
    <row r="32351" spans="7:14" x14ac:dyDescent="0.3">
      <c r="G32351" s="1"/>
      <c r="N32351" s="1"/>
    </row>
    <row r="32352" spans="7:14" x14ac:dyDescent="0.3">
      <c r="G32352" s="1"/>
      <c r="N32352" s="1"/>
    </row>
    <row r="32353" spans="7:14" x14ac:dyDescent="0.3">
      <c r="G32353" s="1"/>
      <c r="N32353" s="1"/>
    </row>
    <row r="32354" spans="7:14" x14ac:dyDescent="0.3">
      <c r="G32354" s="1"/>
      <c r="N32354" s="1"/>
    </row>
    <row r="32355" spans="7:14" x14ac:dyDescent="0.3">
      <c r="G32355" s="1"/>
      <c r="N32355" s="1"/>
    </row>
    <row r="32356" spans="7:14" x14ac:dyDescent="0.3">
      <c r="G32356" s="1"/>
      <c r="N32356" s="1"/>
    </row>
    <row r="32357" spans="7:14" x14ac:dyDescent="0.3">
      <c r="G32357" s="1"/>
      <c r="N32357" s="1"/>
    </row>
    <row r="32358" spans="7:14" x14ac:dyDescent="0.3">
      <c r="G32358" s="1"/>
      <c r="N32358" s="1"/>
    </row>
    <row r="32359" spans="7:14" x14ac:dyDescent="0.3">
      <c r="G32359" s="1"/>
      <c r="N32359" s="1"/>
    </row>
    <row r="32360" spans="7:14" x14ac:dyDescent="0.3">
      <c r="G32360" s="1"/>
      <c r="N32360" s="1"/>
    </row>
    <row r="32361" spans="7:14" x14ac:dyDescent="0.3">
      <c r="G32361" s="1"/>
      <c r="N32361" s="1"/>
    </row>
    <row r="32362" spans="7:14" x14ac:dyDescent="0.3">
      <c r="G32362" s="1"/>
      <c r="N32362" s="1"/>
    </row>
    <row r="32363" spans="7:14" x14ac:dyDescent="0.3">
      <c r="G32363" s="1"/>
      <c r="N32363" s="1"/>
    </row>
    <row r="32364" spans="7:14" x14ac:dyDescent="0.3">
      <c r="G32364" s="1"/>
      <c r="N32364" s="1"/>
    </row>
    <row r="32365" spans="7:14" x14ac:dyDescent="0.3">
      <c r="G32365" s="1"/>
      <c r="N32365" s="1"/>
    </row>
    <row r="32366" spans="7:14" x14ac:dyDescent="0.3">
      <c r="G32366" s="1"/>
      <c r="N32366" s="1"/>
    </row>
    <row r="32367" spans="7:14" x14ac:dyDescent="0.3">
      <c r="G32367" s="1"/>
      <c r="N32367" s="1"/>
    </row>
    <row r="32368" spans="7:14" x14ac:dyDescent="0.3">
      <c r="G32368" s="1"/>
      <c r="N32368" s="1"/>
    </row>
    <row r="32369" spans="7:14" x14ac:dyDescent="0.3">
      <c r="G32369" s="1"/>
      <c r="N32369" s="1"/>
    </row>
    <row r="32370" spans="7:14" x14ac:dyDescent="0.3">
      <c r="G32370" s="1"/>
      <c r="N32370" s="1"/>
    </row>
    <row r="32371" spans="7:14" x14ac:dyDescent="0.3">
      <c r="G32371" s="1"/>
      <c r="N32371" s="1"/>
    </row>
    <row r="32372" spans="7:14" x14ac:dyDescent="0.3">
      <c r="G32372" s="1"/>
      <c r="N32372" s="1"/>
    </row>
    <row r="32373" spans="7:14" x14ac:dyDescent="0.3">
      <c r="G32373" s="1"/>
      <c r="N32373" s="1"/>
    </row>
    <row r="32374" spans="7:14" x14ac:dyDescent="0.3">
      <c r="G32374" s="1"/>
      <c r="N32374" s="1"/>
    </row>
    <row r="32375" spans="7:14" x14ac:dyDescent="0.3">
      <c r="G32375" s="1"/>
      <c r="N32375" s="1"/>
    </row>
    <row r="32376" spans="7:14" x14ac:dyDescent="0.3">
      <c r="G32376" s="1"/>
      <c r="N32376" s="1"/>
    </row>
    <row r="32377" spans="7:14" x14ac:dyDescent="0.3">
      <c r="G32377" s="1"/>
      <c r="N32377" s="1"/>
    </row>
    <row r="32378" spans="7:14" x14ac:dyDescent="0.3">
      <c r="G32378" s="1"/>
      <c r="N32378" s="1"/>
    </row>
    <row r="32379" spans="7:14" x14ac:dyDescent="0.3">
      <c r="G32379" s="1"/>
      <c r="N32379" s="1"/>
    </row>
    <row r="32380" spans="7:14" x14ac:dyDescent="0.3">
      <c r="G32380" s="1"/>
      <c r="N32380" s="1"/>
    </row>
    <row r="32381" spans="7:14" x14ac:dyDescent="0.3">
      <c r="G32381" s="1"/>
      <c r="N32381" s="1"/>
    </row>
    <row r="32382" spans="7:14" x14ac:dyDescent="0.3">
      <c r="G32382" s="1"/>
      <c r="N32382" s="1"/>
    </row>
    <row r="32383" spans="7:14" x14ac:dyDescent="0.3">
      <c r="G32383" s="1"/>
      <c r="N32383" s="1"/>
    </row>
    <row r="32384" spans="7:14" x14ac:dyDescent="0.3">
      <c r="G32384" s="1"/>
      <c r="N32384" s="1"/>
    </row>
    <row r="32385" spans="7:14" x14ac:dyDescent="0.3">
      <c r="G32385" s="1"/>
      <c r="N32385" s="1"/>
    </row>
    <row r="32386" spans="7:14" x14ac:dyDescent="0.3">
      <c r="G32386" s="1"/>
      <c r="N32386" s="1"/>
    </row>
    <row r="32387" spans="7:14" x14ac:dyDescent="0.3">
      <c r="G32387" s="1"/>
      <c r="N32387" s="1"/>
    </row>
    <row r="32388" spans="7:14" x14ac:dyDescent="0.3">
      <c r="G32388" s="1"/>
      <c r="N32388" s="1"/>
    </row>
    <row r="32389" spans="7:14" x14ac:dyDescent="0.3">
      <c r="G32389" s="1"/>
      <c r="N32389" s="1"/>
    </row>
    <row r="32390" spans="7:14" x14ac:dyDescent="0.3">
      <c r="G32390" s="1"/>
      <c r="N32390" s="1"/>
    </row>
    <row r="32391" spans="7:14" x14ac:dyDescent="0.3">
      <c r="G32391" s="1"/>
      <c r="N32391" s="1"/>
    </row>
    <row r="32392" spans="7:14" x14ac:dyDescent="0.3">
      <c r="G32392" s="1"/>
      <c r="N32392" s="1"/>
    </row>
    <row r="32393" spans="7:14" x14ac:dyDescent="0.3">
      <c r="G32393" s="1"/>
      <c r="N32393" s="1"/>
    </row>
    <row r="32394" spans="7:14" x14ac:dyDescent="0.3">
      <c r="G32394" s="1"/>
      <c r="N32394" s="1"/>
    </row>
    <row r="32395" spans="7:14" x14ac:dyDescent="0.3">
      <c r="G32395" s="1"/>
      <c r="N32395" s="1"/>
    </row>
    <row r="32396" spans="7:14" x14ac:dyDescent="0.3">
      <c r="G32396" s="1"/>
      <c r="N32396" s="1"/>
    </row>
    <row r="32397" spans="7:14" x14ac:dyDescent="0.3">
      <c r="G32397" s="1"/>
      <c r="N32397" s="1"/>
    </row>
    <row r="32398" spans="7:14" x14ac:dyDescent="0.3">
      <c r="G32398" s="1"/>
      <c r="N32398" s="1"/>
    </row>
    <row r="32399" spans="7:14" x14ac:dyDescent="0.3">
      <c r="G32399" s="1"/>
      <c r="N32399" s="1"/>
    </row>
    <row r="32400" spans="7:14" x14ac:dyDescent="0.3">
      <c r="G32400" s="1"/>
      <c r="N32400" s="1"/>
    </row>
    <row r="32401" spans="7:14" x14ac:dyDescent="0.3">
      <c r="G32401" s="1"/>
      <c r="N32401" s="1"/>
    </row>
    <row r="32402" spans="7:14" x14ac:dyDescent="0.3">
      <c r="G32402" s="1"/>
      <c r="N32402" s="1"/>
    </row>
    <row r="32403" spans="7:14" x14ac:dyDescent="0.3">
      <c r="G32403" s="1"/>
      <c r="N32403" s="1"/>
    </row>
    <row r="32404" spans="7:14" x14ac:dyDescent="0.3">
      <c r="G32404" s="1"/>
      <c r="N32404" s="1"/>
    </row>
    <row r="32405" spans="7:14" x14ac:dyDescent="0.3">
      <c r="G32405" s="1"/>
      <c r="N32405" s="1"/>
    </row>
    <row r="32406" spans="7:14" x14ac:dyDescent="0.3">
      <c r="G32406" s="1"/>
      <c r="N32406" s="1"/>
    </row>
    <row r="32407" spans="7:14" x14ac:dyDescent="0.3">
      <c r="G32407" s="1"/>
      <c r="N32407" s="1"/>
    </row>
    <row r="32408" spans="7:14" x14ac:dyDescent="0.3">
      <c r="G32408" s="1"/>
      <c r="N32408" s="1"/>
    </row>
    <row r="32409" spans="7:14" x14ac:dyDescent="0.3">
      <c r="G32409" s="1"/>
      <c r="N32409" s="1"/>
    </row>
    <row r="32410" spans="7:14" x14ac:dyDescent="0.3">
      <c r="G32410" s="1"/>
      <c r="N32410" s="1"/>
    </row>
    <row r="32411" spans="7:14" x14ac:dyDescent="0.3">
      <c r="G32411" s="1"/>
      <c r="N32411" s="1"/>
    </row>
    <row r="32412" spans="7:14" x14ac:dyDescent="0.3">
      <c r="G32412" s="1"/>
      <c r="N32412" s="1"/>
    </row>
    <row r="32413" spans="7:14" x14ac:dyDescent="0.3">
      <c r="G32413" s="1"/>
      <c r="N32413" s="1"/>
    </row>
    <row r="32414" spans="7:14" x14ac:dyDescent="0.3">
      <c r="G32414" s="1"/>
      <c r="N32414" s="1"/>
    </row>
    <row r="32415" spans="7:14" x14ac:dyDescent="0.3">
      <c r="G32415" s="1"/>
      <c r="N32415" s="1"/>
    </row>
    <row r="32416" spans="7:14" x14ac:dyDescent="0.3">
      <c r="G32416" s="1"/>
      <c r="N32416" s="1"/>
    </row>
    <row r="32417" spans="7:14" x14ac:dyDescent="0.3">
      <c r="G32417" s="1"/>
      <c r="N32417" s="1"/>
    </row>
    <row r="32418" spans="7:14" x14ac:dyDescent="0.3">
      <c r="G32418" s="1"/>
      <c r="N32418" s="1"/>
    </row>
    <row r="32419" spans="7:14" x14ac:dyDescent="0.3">
      <c r="G32419" s="1"/>
      <c r="N32419" s="1"/>
    </row>
    <row r="32420" spans="7:14" x14ac:dyDescent="0.3">
      <c r="G32420" s="1"/>
      <c r="N32420" s="1"/>
    </row>
    <row r="32421" spans="7:14" x14ac:dyDescent="0.3">
      <c r="G32421" s="1"/>
      <c r="N32421" s="1"/>
    </row>
    <row r="32422" spans="7:14" x14ac:dyDescent="0.3">
      <c r="G32422" s="1"/>
      <c r="N32422" s="1"/>
    </row>
    <row r="32423" spans="7:14" x14ac:dyDescent="0.3">
      <c r="G32423" s="1"/>
      <c r="N32423" s="1"/>
    </row>
    <row r="32424" spans="7:14" x14ac:dyDescent="0.3">
      <c r="G32424" s="1"/>
      <c r="N32424" s="1"/>
    </row>
    <row r="32425" spans="7:14" x14ac:dyDescent="0.3">
      <c r="G32425" s="1"/>
      <c r="N32425" s="1"/>
    </row>
    <row r="32426" spans="7:14" x14ac:dyDescent="0.3">
      <c r="G32426" s="1"/>
      <c r="N32426" s="1"/>
    </row>
    <row r="32427" spans="7:14" x14ac:dyDescent="0.3">
      <c r="G32427" s="1"/>
      <c r="N32427" s="1"/>
    </row>
    <row r="32428" spans="7:14" x14ac:dyDescent="0.3">
      <c r="G32428" s="1"/>
      <c r="N32428" s="1"/>
    </row>
    <row r="32429" spans="7:14" x14ac:dyDescent="0.3">
      <c r="G32429" s="1"/>
      <c r="N32429" s="1"/>
    </row>
    <row r="32430" spans="7:14" x14ac:dyDescent="0.3">
      <c r="G32430" s="1"/>
      <c r="N32430" s="1"/>
    </row>
    <row r="32431" spans="7:14" x14ac:dyDescent="0.3">
      <c r="G32431" s="1"/>
      <c r="N32431" s="1"/>
    </row>
    <row r="32432" spans="7:14" x14ac:dyDescent="0.3">
      <c r="G32432" s="1"/>
      <c r="N32432" s="1"/>
    </row>
    <row r="32433" spans="7:14" x14ac:dyDescent="0.3">
      <c r="G32433" s="1"/>
      <c r="N32433" s="1"/>
    </row>
    <row r="32434" spans="7:14" x14ac:dyDescent="0.3">
      <c r="G32434" s="1"/>
      <c r="N32434" s="1"/>
    </row>
    <row r="32435" spans="7:14" x14ac:dyDescent="0.3">
      <c r="G32435" s="1"/>
      <c r="N32435" s="1"/>
    </row>
    <row r="32436" spans="7:14" x14ac:dyDescent="0.3">
      <c r="G32436" s="1"/>
      <c r="N32436" s="1"/>
    </row>
    <row r="32437" spans="7:14" x14ac:dyDescent="0.3">
      <c r="G32437" s="1"/>
      <c r="N32437" s="1"/>
    </row>
    <row r="32438" spans="7:14" x14ac:dyDescent="0.3">
      <c r="G32438" s="1"/>
      <c r="N32438" s="1"/>
    </row>
    <row r="32439" spans="7:14" x14ac:dyDescent="0.3">
      <c r="G32439" s="1"/>
      <c r="N32439" s="1"/>
    </row>
    <row r="32440" spans="7:14" x14ac:dyDescent="0.3">
      <c r="G32440" s="1"/>
      <c r="N32440" s="1"/>
    </row>
    <row r="32441" spans="7:14" x14ac:dyDescent="0.3">
      <c r="G32441" s="1"/>
      <c r="N32441" s="1"/>
    </row>
    <row r="32442" spans="7:14" x14ac:dyDescent="0.3">
      <c r="G32442" s="1"/>
      <c r="N32442" s="1"/>
    </row>
    <row r="32443" spans="7:14" x14ac:dyDescent="0.3">
      <c r="G32443" s="1"/>
      <c r="N32443" s="1"/>
    </row>
    <row r="32444" spans="7:14" x14ac:dyDescent="0.3">
      <c r="G32444" s="1"/>
      <c r="N32444" s="1"/>
    </row>
    <row r="32445" spans="7:14" x14ac:dyDescent="0.3">
      <c r="G32445" s="1"/>
      <c r="N32445" s="1"/>
    </row>
    <row r="32446" spans="7:14" x14ac:dyDescent="0.3">
      <c r="G32446" s="1"/>
      <c r="N32446" s="1"/>
    </row>
    <row r="32447" spans="7:14" x14ac:dyDescent="0.3">
      <c r="G32447" s="1"/>
      <c r="N32447" s="1"/>
    </row>
    <row r="32448" spans="7:14" x14ac:dyDescent="0.3">
      <c r="G32448" s="1"/>
      <c r="N32448" s="1"/>
    </row>
    <row r="32449" spans="7:14" x14ac:dyDescent="0.3">
      <c r="G32449" s="1"/>
      <c r="N32449" s="1"/>
    </row>
    <row r="32450" spans="7:14" x14ac:dyDescent="0.3">
      <c r="G32450" s="1"/>
      <c r="N32450" s="1"/>
    </row>
    <row r="32451" spans="7:14" x14ac:dyDescent="0.3">
      <c r="G32451" s="1"/>
      <c r="N32451" s="1"/>
    </row>
    <row r="32452" spans="7:14" x14ac:dyDescent="0.3">
      <c r="G32452" s="1"/>
      <c r="N32452" s="1"/>
    </row>
    <row r="32453" spans="7:14" x14ac:dyDescent="0.3">
      <c r="G32453" s="1"/>
      <c r="N32453" s="1"/>
    </row>
    <row r="32454" spans="7:14" x14ac:dyDescent="0.3">
      <c r="G32454" s="1"/>
      <c r="N32454" s="1"/>
    </row>
    <row r="32455" spans="7:14" x14ac:dyDescent="0.3">
      <c r="G32455" s="1"/>
      <c r="N32455" s="1"/>
    </row>
    <row r="32456" spans="7:14" x14ac:dyDescent="0.3">
      <c r="G32456" s="1"/>
      <c r="N32456" s="1"/>
    </row>
    <row r="32457" spans="7:14" x14ac:dyDescent="0.3">
      <c r="G32457" s="1"/>
      <c r="N32457" s="1"/>
    </row>
    <row r="32458" spans="7:14" x14ac:dyDescent="0.3">
      <c r="G32458" s="1"/>
      <c r="N32458" s="1"/>
    </row>
    <row r="32459" spans="7:14" x14ac:dyDescent="0.3">
      <c r="G32459" s="1"/>
      <c r="N32459" s="1"/>
    </row>
    <row r="32460" spans="7:14" x14ac:dyDescent="0.3">
      <c r="G32460" s="1"/>
      <c r="N32460" s="1"/>
    </row>
    <row r="32461" spans="7:14" x14ac:dyDescent="0.3">
      <c r="G32461" s="1"/>
      <c r="N32461" s="1"/>
    </row>
    <row r="32462" spans="7:14" x14ac:dyDescent="0.3">
      <c r="G32462" s="1"/>
      <c r="N32462" s="1"/>
    </row>
    <row r="32463" spans="7:14" x14ac:dyDescent="0.3">
      <c r="G32463" s="1"/>
      <c r="N32463" s="1"/>
    </row>
    <row r="32464" spans="7:14" x14ac:dyDescent="0.3">
      <c r="G32464" s="1"/>
      <c r="N32464" s="1"/>
    </row>
    <row r="32465" spans="7:14" x14ac:dyDescent="0.3">
      <c r="G32465" s="1"/>
      <c r="N32465" s="1"/>
    </row>
    <row r="32466" spans="7:14" x14ac:dyDescent="0.3">
      <c r="G32466" s="1"/>
      <c r="N32466" s="1"/>
    </row>
    <row r="32467" spans="7:14" x14ac:dyDescent="0.3">
      <c r="G32467" s="1"/>
      <c r="N32467" s="1"/>
    </row>
    <row r="32468" spans="7:14" x14ac:dyDescent="0.3">
      <c r="G32468" s="1"/>
      <c r="N32468" s="1"/>
    </row>
    <row r="32469" spans="7:14" x14ac:dyDescent="0.3">
      <c r="G32469" s="1"/>
      <c r="N32469" s="1"/>
    </row>
    <row r="32470" spans="7:14" x14ac:dyDescent="0.3">
      <c r="G32470" s="1"/>
      <c r="N32470" s="1"/>
    </row>
    <row r="32471" spans="7:14" x14ac:dyDescent="0.3">
      <c r="G32471" s="1"/>
      <c r="N32471" s="1"/>
    </row>
    <row r="32472" spans="7:14" x14ac:dyDescent="0.3">
      <c r="G32472" s="1"/>
      <c r="N32472" s="1"/>
    </row>
    <row r="32473" spans="7:14" x14ac:dyDescent="0.3">
      <c r="G32473" s="1"/>
      <c r="N32473" s="1"/>
    </row>
    <row r="32474" spans="7:14" x14ac:dyDescent="0.3">
      <c r="G32474" s="1"/>
      <c r="N32474" s="1"/>
    </row>
    <row r="32475" spans="7:14" x14ac:dyDescent="0.3">
      <c r="G32475" s="1"/>
      <c r="N32475" s="1"/>
    </row>
    <row r="32476" spans="7:14" x14ac:dyDescent="0.3">
      <c r="G32476" s="1"/>
      <c r="N32476" s="1"/>
    </row>
    <row r="32477" spans="7:14" x14ac:dyDescent="0.3">
      <c r="G32477" s="1"/>
      <c r="N32477" s="1"/>
    </row>
    <row r="32478" spans="7:14" x14ac:dyDescent="0.3">
      <c r="G32478" s="1"/>
      <c r="N32478" s="1"/>
    </row>
    <row r="32479" spans="7:14" x14ac:dyDescent="0.3">
      <c r="G32479" s="1"/>
      <c r="N32479" s="1"/>
    </row>
    <row r="32480" spans="7:14" x14ac:dyDescent="0.3">
      <c r="G32480" s="1"/>
      <c r="N32480" s="1"/>
    </row>
    <row r="32481" spans="7:14" x14ac:dyDescent="0.3">
      <c r="G32481" s="1"/>
      <c r="N32481" s="1"/>
    </row>
    <row r="32482" spans="7:14" x14ac:dyDescent="0.3">
      <c r="G32482" s="1"/>
      <c r="N32482" s="1"/>
    </row>
    <row r="32483" spans="7:14" x14ac:dyDescent="0.3">
      <c r="G32483" s="1"/>
      <c r="N32483" s="1"/>
    </row>
    <row r="32484" spans="7:14" x14ac:dyDescent="0.3">
      <c r="G32484" s="1"/>
      <c r="N32484" s="1"/>
    </row>
    <row r="32485" spans="7:14" x14ac:dyDescent="0.3">
      <c r="G32485" s="1"/>
      <c r="N32485" s="1"/>
    </row>
    <row r="32486" spans="7:14" x14ac:dyDescent="0.3">
      <c r="G32486" s="1"/>
      <c r="N32486" s="1"/>
    </row>
    <row r="32487" spans="7:14" x14ac:dyDescent="0.3">
      <c r="G32487" s="1"/>
      <c r="N32487" s="1"/>
    </row>
    <row r="32488" spans="7:14" x14ac:dyDescent="0.3">
      <c r="G32488" s="1"/>
      <c r="N32488" s="1"/>
    </row>
    <row r="32489" spans="7:14" x14ac:dyDescent="0.3">
      <c r="G32489" s="1"/>
      <c r="N32489" s="1"/>
    </row>
    <row r="32490" spans="7:14" x14ac:dyDescent="0.3">
      <c r="G32490" s="1"/>
      <c r="N32490" s="1"/>
    </row>
    <row r="32491" spans="7:14" x14ac:dyDescent="0.3">
      <c r="G32491" s="1"/>
      <c r="N32491" s="1"/>
    </row>
    <row r="32492" spans="7:14" x14ac:dyDescent="0.3">
      <c r="G32492" s="1"/>
      <c r="N32492" s="1"/>
    </row>
    <row r="32493" spans="7:14" x14ac:dyDescent="0.3">
      <c r="G32493" s="1"/>
      <c r="N32493" s="1"/>
    </row>
    <row r="32494" spans="7:14" x14ac:dyDescent="0.3">
      <c r="G32494" s="1"/>
      <c r="N32494" s="1"/>
    </row>
    <row r="32495" spans="7:14" x14ac:dyDescent="0.3">
      <c r="G32495" s="1"/>
      <c r="N32495" s="1"/>
    </row>
    <row r="32496" spans="7:14" x14ac:dyDescent="0.3">
      <c r="G32496" s="1"/>
      <c r="N32496" s="1"/>
    </row>
    <row r="32497" spans="7:14" x14ac:dyDescent="0.3">
      <c r="G32497" s="1"/>
      <c r="N32497" s="1"/>
    </row>
    <row r="32498" spans="7:14" x14ac:dyDescent="0.3">
      <c r="G32498" s="1"/>
      <c r="N32498" s="1"/>
    </row>
    <row r="32499" spans="7:14" x14ac:dyDescent="0.3">
      <c r="G32499" s="1"/>
      <c r="N32499" s="1"/>
    </row>
    <row r="32500" spans="7:14" x14ac:dyDescent="0.3">
      <c r="G32500" s="1"/>
      <c r="N32500" s="1"/>
    </row>
    <row r="32501" spans="7:14" x14ac:dyDescent="0.3">
      <c r="G32501" s="1"/>
      <c r="N32501" s="1"/>
    </row>
    <row r="32502" spans="7:14" x14ac:dyDescent="0.3">
      <c r="G32502" s="1"/>
      <c r="N32502" s="1"/>
    </row>
    <row r="32503" spans="7:14" x14ac:dyDescent="0.3">
      <c r="G32503" s="1"/>
      <c r="N32503" s="1"/>
    </row>
    <row r="32504" spans="7:14" x14ac:dyDescent="0.3">
      <c r="G32504" s="1"/>
      <c r="N32504" s="1"/>
    </row>
    <row r="32505" spans="7:14" x14ac:dyDescent="0.3">
      <c r="G32505" s="1"/>
      <c r="N32505" s="1"/>
    </row>
    <row r="32506" spans="7:14" x14ac:dyDescent="0.3">
      <c r="G32506" s="1"/>
      <c r="N32506" s="1"/>
    </row>
    <row r="32507" spans="7:14" x14ac:dyDescent="0.3">
      <c r="G32507" s="1"/>
      <c r="N32507" s="1"/>
    </row>
    <row r="32508" spans="7:14" x14ac:dyDescent="0.3">
      <c r="G32508" s="1"/>
      <c r="N32508" s="1"/>
    </row>
    <row r="32509" spans="7:14" x14ac:dyDescent="0.3">
      <c r="G32509" s="1"/>
      <c r="N32509" s="1"/>
    </row>
    <row r="32510" spans="7:14" x14ac:dyDescent="0.3">
      <c r="G32510" s="1"/>
      <c r="N32510" s="1"/>
    </row>
    <row r="32511" spans="7:14" x14ac:dyDescent="0.3">
      <c r="G32511" s="1"/>
      <c r="N32511" s="1"/>
    </row>
    <row r="32512" spans="7:14" x14ac:dyDescent="0.3">
      <c r="G32512" s="1"/>
      <c r="N32512" s="1"/>
    </row>
    <row r="32513" spans="7:14" x14ac:dyDescent="0.3">
      <c r="G32513" s="1"/>
      <c r="N32513" s="1"/>
    </row>
    <row r="32514" spans="7:14" x14ac:dyDescent="0.3">
      <c r="G32514" s="1"/>
      <c r="N32514" s="1"/>
    </row>
    <row r="32515" spans="7:14" x14ac:dyDescent="0.3">
      <c r="G32515" s="1"/>
      <c r="N32515" s="1"/>
    </row>
    <row r="32516" spans="7:14" x14ac:dyDescent="0.3">
      <c r="G32516" s="1"/>
      <c r="N32516" s="1"/>
    </row>
    <row r="32517" spans="7:14" x14ac:dyDescent="0.3">
      <c r="G32517" s="1"/>
      <c r="N32517" s="1"/>
    </row>
    <row r="32518" spans="7:14" x14ac:dyDescent="0.3">
      <c r="G32518" s="1"/>
      <c r="N32518" s="1"/>
    </row>
    <row r="32519" spans="7:14" x14ac:dyDescent="0.3">
      <c r="G32519" s="1"/>
      <c r="N32519" s="1"/>
    </row>
    <row r="32520" spans="7:14" x14ac:dyDescent="0.3">
      <c r="G32520" s="1"/>
      <c r="N32520" s="1"/>
    </row>
    <row r="32521" spans="7:14" x14ac:dyDescent="0.3">
      <c r="G32521" s="1"/>
      <c r="N32521" s="1"/>
    </row>
    <row r="32522" spans="7:14" x14ac:dyDescent="0.3">
      <c r="G32522" s="1"/>
      <c r="N32522" s="1"/>
    </row>
    <row r="32523" spans="7:14" x14ac:dyDescent="0.3">
      <c r="G32523" s="1"/>
      <c r="N32523" s="1"/>
    </row>
    <row r="32524" spans="7:14" x14ac:dyDescent="0.3">
      <c r="G32524" s="1"/>
      <c r="N32524" s="1"/>
    </row>
    <row r="32525" spans="7:14" x14ac:dyDescent="0.3">
      <c r="G32525" s="1"/>
      <c r="N32525" s="1"/>
    </row>
    <row r="32526" spans="7:14" x14ac:dyDescent="0.3">
      <c r="G32526" s="1"/>
      <c r="N32526" s="1"/>
    </row>
    <row r="32527" spans="7:14" x14ac:dyDescent="0.3">
      <c r="G32527" s="1"/>
      <c r="N32527" s="1"/>
    </row>
    <row r="32528" spans="7:14" x14ac:dyDescent="0.3">
      <c r="G32528" s="1"/>
      <c r="N32528" s="1"/>
    </row>
    <row r="32529" spans="7:14" x14ac:dyDescent="0.3">
      <c r="G32529" s="1"/>
      <c r="N32529" s="1"/>
    </row>
    <row r="32530" spans="7:14" x14ac:dyDescent="0.3">
      <c r="G32530" s="1"/>
      <c r="N32530" s="1"/>
    </row>
    <row r="32531" spans="7:14" x14ac:dyDescent="0.3">
      <c r="G32531" s="1"/>
      <c r="N32531" s="1"/>
    </row>
    <row r="32532" spans="7:14" x14ac:dyDescent="0.3">
      <c r="G32532" s="1"/>
      <c r="N32532" s="1"/>
    </row>
    <row r="32533" spans="7:14" x14ac:dyDescent="0.3">
      <c r="G32533" s="1"/>
      <c r="N32533" s="1"/>
    </row>
    <row r="32534" spans="7:14" x14ac:dyDescent="0.3">
      <c r="G32534" s="1"/>
      <c r="N32534" s="1"/>
    </row>
    <row r="32535" spans="7:14" x14ac:dyDescent="0.3">
      <c r="G32535" s="1"/>
      <c r="N32535" s="1"/>
    </row>
    <row r="32536" spans="7:14" x14ac:dyDescent="0.3">
      <c r="G32536" s="1"/>
      <c r="N32536" s="1"/>
    </row>
    <row r="32537" spans="7:14" x14ac:dyDescent="0.3">
      <c r="G32537" s="1"/>
      <c r="N32537" s="1"/>
    </row>
    <row r="32538" spans="7:14" x14ac:dyDescent="0.3">
      <c r="G32538" s="1"/>
      <c r="N32538" s="1"/>
    </row>
    <row r="32539" spans="7:14" x14ac:dyDescent="0.3">
      <c r="G32539" s="1"/>
      <c r="N32539" s="1"/>
    </row>
    <row r="32540" spans="7:14" x14ac:dyDescent="0.3">
      <c r="G32540" s="1"/>
      <c r="N32540" s="1"/>
    </row>
    <row r="32541" spans="7:14" x14ac:dyDescent="0.3">
      <c r="G32541" s="1"/>
      <c r="N32541" s="1"/>
    </row>
    <row r="32542" spans="7:14" x14ac:dyDescent="0.3">
      <c r="G32542" s="1"/>
      <c r="N32542" s="1"/>
    </row>
    <row r="32543" spans="7:14" x14ac:dyDescent="0.3">
      <c r="G32543" s="1"/>
      <c r="N32543" s="1"/>
    </row>
    <row r="32544" spans="7:14" x14ac:dyDescent="0.3">
      <c r="G32544" s="1"/>
      <c r="N32544" s="1"/>
    </row>
    <row r="32545" spans="7:14" x14ac:dyDescent="0.3">
      <c r="G32545" s="1"/>
      <c r="N32545" s="1"/>
    </row>
    <row r="32546" spans="7:14" x14ac:dyDescent="0.3">
      <c r="G32546" s="1"/>
      <c r="N32546" s="1"/>
    </row>
    <row r="32547" spans="7:14" x14ac:dyDescent="0.3">
      <c r="G32547" s="1"/>
      <c r="N32547" s="1"/>
    </row>
    <row r="32548" spans="7:14" x14ac:dyDescent="0.3">
      <c r="G32548" s="1"/>
      <c r="N32548" s="1"/>
    </row>
    <row r="32549" spans="7:14" x14ac:dyDescent="0.3">
      <c r="G32549" s="1"/>
      <c r="N32549" s="1"/>
    </row>
    <row r="32550" spans="7:14" x14ac:dyDescent="0.3">
      <c r="G32550" s="1"/>
      <c r="N32550" s="1"/>
    </row>
    <row r="32551" spans="7:14" x14ac:dyDescent="0.3">
      <c r="G32551" s="1"/>
      <c r="N32551" s="1"/>
    </row>
    <row r="32552" spans="7:14" x14ac:dyDescent="0.3">
      <c r="G32552" s="1"/>
      <c r="N32552" s="1"/>
    </row>
    <row r="32553" spans="7:14" x14ac:dyDescent="0.3">
      <c r="G32553" s="1"/>
      <c r="N32553" s="1"/>
    </row>
    <row r="32554" spans="7:14" x14ac:dyDescent="0.3">
      <c r="G32554" s="1"/>
      <c r="N32554" s="1"/>
    </row>
    <row r="32555" spans="7:14" x14ac:dyDescent="0.3">
      <c r="G32555" s="1"/>
      <c r="N32555" s="1"/>
    </row>
    <row r="32556" spans="7:14" x14ac:dyDescent="0.3">
      <c r="G32556" s="1"/>
      <c r="N32556" s="1"/>
    </row>
    <row r="32557" spans="7:14" x14ac:dyDescent="0.3">
      <c r="G32557" s="1"/>
      <c r="N32557" s="1"/>
    </row>
    <row r="32558" spans="7:14" x14ac:dyDescent="0.3">
      <c r="G32558" s="1"/>
      <c r="N32558" s="1"/>
    </row>
    <row r="32559" spans="7:14" x14ac:dyDescent="0.3">
      <c r="G32559" s="1"/>
      <c r="N32559" s="1"/>
    </row>
    <row r="32560" spans="7:14" x14ac:dyDescent="0.3">
      <c r="G32560" s="1"/>
      <c r="N32560" s="1"/>
    </row>
    <row r="32561" spans="7:14" x14ac:dyDescent="0.3">
      <c r="G32561" s="1"/>
      <c r="N32561" s="1"/>
    </row>
    <row r="32562" spans="7:14" x14ac:dyDescent="0.3">
      <c r="G32562" s="1"/>
      <c r="N32562" s="1"/>
    </row>
    <row r="32563" spans="7:14" x14ac:dyDescent="0.3">
      <c r="G32563" s="1"/>
      <c r="N32563" s="1"/>
    </row>
    <row r="32564" spans="7:14" x14ac:dyDescent="0.3">
      <c r="G32564" s="1"/>
      <c r="N32564" s="1"/>
    </row>
    <row r="32565" spans="7:14" x14ac:dyDescent="0.3">
      <c r="G32565" s="1"/>
      <c r="N32565" s="1"/>
    </row>
    <row r="32566" spans="7:14" x14ac:dyDescent="0.3">
      <c r="G32566" s="1"/>
      <c r="N32566" s="1"/>
    </row>
    <row r="32567" spans="7:14" x14ac:dyDescent="0.3">
      <c r="G32567" s="1"/>
      <c r="N32567" s="1"/>
    </row>
    <row r="32568" spans="7:14" x14ac:dyDescent="0.3">
      <c r="G32568" s="1"/>
      <c r="N32568" s="1"/>
    </row>
    <row r="32569" spans="7:14" x14ac:dyDescent="0.3">
      <c r="G32569" s="1"/>
      <c r="N32569" s="1"/>
    </row>
    <row r="32570" spans="7:14" x14ac:dyDescent="0.3">
      <c r="G32570" s="1"/>
      <c r="N32570" s="1"/>
    </row>
    <row r="32571" spans="7:14" x14ac:dyDescent="0.3">
      <c r="G32571" s="1"/>
      <c r="N32571" s="1"/>
    </row>
    <row r="32572" spans="7:14" x14ac:dyDescent="0.3">
      <c r="G32572" s="1"/>
      <c r="N32572" s="1"/>
    </row>
    <row r="32573" spans="7:14" x14ac:dyDescent="0.3">
      <c r="G32573" s="1"/>
      <c r="N32573" s="1"/>
    </row>
    <row r="32574" spans="7:14" x14ac:dyDescent="0.3">
      <c r="G32574" s="1"/>
      <c r="N32574" s="1"/>
    </row>
    <row r="32575" spans="7:14" x14ac:dyDescent="0.3">
      <c r="G32575" s="1"/>
      <c r="N32575" s="1"/>
    </row>
    <row r="32576" spans="7:14" x14ac:dyDescent="0.3">
      <c r="G32576" s="1"/>
      <c r="N32576" s="1"/>
    </row>
    <row r="32577" spans="7:14" x14ac:dyDescent="0.3">
      <c r="G32577" s="1"/>
      <c r="N32577" s="1"/>
    </row>
    <row r="32578" spans="7:14" x14ac:dyDescent="0.3">
      <c r="G32578" s="1"/>
      <c r="N32578" s="1"/>
    </row>
    <row r="32579" spans="7:14" x14ac:dyDescent="0.3">
      <c r="G32579" s="1"/>
      <c r="N32579" s="1"/>
    </row>
    <row r="32580" spans="7:14" x14ac:dyDescent="0.3">
      <c r="G32580" s="1"/>
      <c r="N32580" s="1"/>
    </row>
    <row r="32581" spans="7:14" x14ac:dyDescent="0.3">
      <c r="G32581" s="1"/>
      <c r="N32581" s="1"/>
    </row>
    <row r="32582" spans="7:14" x14ac:dyDescent="0.3">
      <c r="G32582" s="1"/>
      <c r="N32582" s="1"/>
    </row>
    <row r="32583" spans="7:14" x14ac:dyDescent="0.3">
      <c r="G32583" s="1"/>
      <c r="N32583" s="1"/>
    </row>
    <row r="32584" spans="7:14" x14ac:dyDescent="0.3">
      <c r="G32584" s="1"/>
      <c r="N32584" s="1"/>
    </row>
    <row r="32585" spans="7:14" x14ac:dyDescent="0.3">
      <c r="G32585" s="1"/>
      <c r="N32585" s="1"/>
    </row>
    <row r="32586" spans="7:14" x14ac:dyDescent="0.3">
      <c r="G32586" s="1"/>
      <c r="N32586" s="1"/>
    </row>
    <row r="32587" spans="7:14" x14ac:dyDescent="0.3">
      <c r="G32587" s="1"/>
      <c r="N32587" s="1"/>
    </row>
    <row r="32588" spans="7:14" x14ac:dyDescent="0.3">
      <c r="G32588" s="1"/>
      <c r="N32588" s="1"/>
    </row>
    <row r="32589" spans="7:14" x14ac:dyDescent="0.3">
      <c r="G32589" s="1"/>
      <c r="N32589" s="1"/>
    </row>
    <row r="32590" spans="7:14" x14ac:dyDescent="0.3">
      <c r="G32590" s="1"/>
      <c r="N32590" s="1"/>
    </row>
    <row r="32591" spans="7:14" x14ac:dyDescent="0.3">
      <c r="G32591" s="1"/>
      <c r="N32591" s="1"/>
    </row>
    <row r="32592" spans="7:14" x14ac:dyDescent="0.3">
      <c r="G32592" s="1"/>
      <c r="N32592" s="1"/>
    </row>
    <row r="32593" spans="7:14" x14ac:dyDescent="0.3">
      <c r="G32593" s="1"/>
      <c r="N32593" s="1"/>
    </row>
    <row r="32594" spans="7:14" x14ac:dyDescent="0.3">
      <c r="G32594" s="1"/>
      <c r="N32594" s="1"/>
    </row>
    <row r="32595" spans="7:14" x14ac:dyDescent="0.3">
      <c r="G32595" s="1"/>
      <c r="N32595" s="1"/>
    </row>
    <row r="32596" spans="7:14" x14ac:dyDescent="0.3">
      <c r="G32596" s="1"/>
      <c r="N32596" s="1"/>
    </row>
    <row r="32597" spans="7:14" x14ac:dyDescent="0.3">
      <c r="G32597" s="1"/>
      <c r="N32597" s="1"/>
    </row>
    <row r="32598" spans="7:14" x14ac:dyDescent="0.3">
      <c r="G32598" s="1"/>
      <c r="N32598" s="1"/>
    </row>
    <row r="32599" spans="7:14" x14ac:dyDescent="0.3">
      <c r="G32599" s="1"/>
      <c r="N32599" s="1"/>
    </row>
    <row r="32600" spans="7:14" x14ac:dyDescent="0.3">
      <c r="G32600" s="1"/>
      <c r="N32600" s="1"/>
    </row>
    <row r="32601" spans="7:14" x14ac:dyDescent="0.3">
      <c r="G32601" s="1"/>
      <c r="N32601" s="1"/>
    </row>
    <row r="32602" spans="7:14" x14ac:dyDescent="0.3">
      <c r="G32602" s="1"/>
      <c r="N32602" s="1"/>
    </row>
    <row r="32603" spans="7:14" x14ac:dyDescent="0.3">
      <c r="G32603" s="1"/>
      <c r="N32603" s="1"/>
    </row>
    <row r="32604" spans="7:14" x14ac:dyDescent="0.3">
      <c r="G32604" s="1"/>
      <c r="N32604" s="1"/>
    </row>
    <row r="32605" spans="7:14" x14ac:dyDescent="0.3">
      <c r="G32605" s="1"/>
      <c r="N32605" s="1"/>
    </row>
    <row r="32606" spans="7:14" x14ac:dyDescent="0.3">
      <c r="G32606" s="1"/>
      <c r="N32606" s="1"/>
    </row>
    <row r="32607" spans="7:14" x14ac:dyDescent="0.3">
      <c r="G32607" s="1"/>
      <c r="N32607" s="1"/>
    </row>
    <row r="32608" spans="7:14" x14ac:dyDescent="0.3">
      <c r="G32608" s="1"/>
      <c r="N32608" s="1"/>
    </row>
    <row r="32609" spans="7:14" x14ac:dyDescent="0.3">
      <c r="G32609" s="1"/>
      <c r="N32609" s="1"/>
    </row>
    <row r="32610" spans="7:14" x14ac:dyDescent="0.3">
      <c r="G32610" s="1"/>
      <c r="N32610" s="1"/>
    </row>
    <row r="32611" spans="7:14" x14ac:dyDescent="0.3">
      <c r="G32611" s="1"/>
      <c r="N32611" s="1"/>
    </row>
    <row r="32612" spans="7:14" x14ac:dyDescent="0.3">
      <c r="G32612" s="1"/>
      <c r="N32612" s="1"/>
    </row>
    <row r="32613" spans="7:14" x14ac:dyDescent="0.3">
      <c r="G32613" s="1"/>
      <c r="N32613" s="1"/>
    </row>
    <row r="32614" spans="7:14" x14ac:dyDescent="0.3">
      <c r="G32614" s="1"/>
      <c r="N32614" s="1"/>
    </row>
    <row r="32615" spans="7:14" x14ac:dyDescent="0.3">
      <c r="G32615" s="1"/>
      <c r="N32615" s="1"/>
    </row>
    <row r="32616" spans="7:14" x14ac:dyDescent="0.3">
      <c r="G32616" s="1"/>
      <c r="N32616" s="1"/>
    </row>
    <row r="32617" spans="7:14" x14ac:dyDescent="0.3">
      <c r="G32617" s="1"/>
      <c r="N32617" s="1"/>
    </row>
    <row r="32618" spans="7:14" x14ac:dyDescent="0.3">
      <c r="G32618" s="1"/>
      <c r="N32618" s="1"/>
    </row>
    <row r="32619" spans="7:14" x14ac:dyDescent="0.3">
      <c r="G32619" s="1"/>
      <c r="N32619" s="1"/>
    </row>
    <row r="32620" spans="7:14" x14ac:dyDescent="0.3">
      <c r="G32620" s="1"/>
      <c r="N32620" s="1"/>
    </row>
    <row r="32621" spans="7:14" x14ac:dyDescent="0.3">
      <c r="G32621" s="1"/>
      <c r="N32621" s="1"/>
    </row>
    <row r="32622" spans="7:14" x14ac:dyDescent="0.3">
      <c r="G32622" s="1"/>
      <c r="N32622" s="1"/>
    </row>
    <row r="32623" spans="7:14" x14ac:dyDescent="0.3">
      <c r="G32623" s="1"/>
      <c r="N32623" s="1"/>
    </row>
    <row r="32624" spans="7:14" x14ac:dyDescent="0.3">
      <c r="G32624" s="1"/>
      <c r="N32624" s="1"/>
    </row>
    <row r="32625" spans="7:14" x14ac:dyDescent="0.3">
      <c r="G32625" s="1"/>
      <c r="N32625" s="1"/>
    </row>
    <row r="32626" spans="7:14" x14ac:dyDescent="0.3">
      <c r="G32626" s="1"/>
      <c r="N32626" s="1"/>
    </row>
    <row r="32627" spans="7:14" x14ac:dyDescent="0.3">
      <c r="G32627" s="1"/>
      <c r="N32627" s="1"/>
    </row>
    <row r="32628" spans="7:14" x14ac:dyDescent="0.3">
      <c r="G32628" s="1"/>
      <c r="N32628" s="1"/>
    </row>
    <row r="32629" spans="7:14" x14ac:dyDescent="0.3">
      <c r="G32629" s="1"/>
      <c r="N32629" s="1"/>
    </row>
    <row r="32630" spans="7:14" x14ac:dyDescent="0.3">
      <c r="G32630" s="1"/>
      <c r="N32630" s="1"/>
    </row>
    <row r="32631" spans="7:14" x14ac:dyDescent="0.3">
      <c r="G32631" s="1"/>
      <c r="N32631" s="1"/>
    </row>
    <row r="32632" spans="7:14" x14ac:dyDescent="0.3">
      <c r="G32632" s="1"/>
      <c r="N32632" s="1"/>
    </row>
    <row r="32633" spans="7:14" x14ac:dyDescent="0.3">
      <c r="G32633" s="1"/>
      <c r="N32633" s="1"/>
    </row>
    <row r="32634" spans="7:14" x14ac:dyDescent="0.3">
      <c r="G32634" s="1"/>
      <c r="N32634" s="1"/>
    </row>
    <row r="32635" spans="7:14" x14ac:dyDescent="0.3">
      <c r="G32635" s="1"/>
      <c r="N32635" s="1"/>
    </row>
    <row r="32636" spans="7:14" x14ac:dyDescent="0.3">
      <c r="G32636" s="1"/>
      <c r="N32636" s="1"/>
    </row>
    <row r="32637" spans="7:14" x14ac:dyDescent="0.3">
      <c r="G32637" s="1"/>
      <c r="N32637" s="1"/>
    </row>
    <row r="32638" spans="7:14" x14ac:dyDescent="0.3">
      <c r="G32638" s="1"/>
      <c r="N32638" s="1"/>
    </row>
    <row r="32639" spans="7:14" x14ac:dyDescent="0.3">
      <c r="G32639" s="1"/>
      <c r="N32639" s="1"/>
    </row>
    <row r="32640" spans="7:14" x14ac:dyDescent="0.3">
      <c r="G32640" s="1"/>
      <c r="N32640" s="1"/>
    </row>
    <row r="32641" spans="7:14" x14ac:dyDescent="0.3">
      <c r="G32641" s="1"/>
      <c r="N32641" s="1"/>
    </row>
    <row r="32642" spans="7:14" x14ac:dyDescent="0.3">
      <c r="G32642" s="1"/>
      <c r="N32642" s="1"/>
    </row>
    <row r="32643" spans="7:14" x14ac:dyDescent="0.3">
      <c r="G32643" s="1"/>
      <c r="N32643" s="1"/>
    </row>
    <row r="32644" spans="7:14" x14ac:dyDescent="0.3">
      <c r="G32644" s="1"/>
      <c r="N32644" s="1"/>
    </row>
    <row r="32645" spans="7:14" x14ac:dyDescent="0.3">
      <c r="G32645" s="1"/>
      <c r="N32645" s="1"/>
    </row>
    <row r="32646" spans="7:14" x14ac:dyDescent="0.3">
      <c r="G32646" s="1"/>
      <c r="N32646" s="1"/>
    </row>
    <row r="32647" spans="7:14" x14ac:dyDescent="0.3">
      <c r="G32647" s="1"/>
      <c r="N32647" s="1"/>
    </row>
    <row r="32648" spans="7:14" x14ac:dyDescent="0.3">
      <c r="G32648" s="1"/>
      <c r="N32648" s="1"/>
    </row>
    <row r="32649" spans="7:14" x14ac:dyDescent="0.3">
      <c r="G32649" s="1"/>
      <c r="N32649" s="1"/>
    </row>
    <row r="32650" spans="7:14" x14ac:dyDescent="0.3">
      <c r="G32650" s="1"/>
      <c r="N32650" s="1"/>
    </row>
    <row r="32651" spans="7:14" x14ac:dyDescent="0.3">
      <c r="G32651" s="1"/>
      <c r="N32651" s="1"/>
    </row>
    <row r="32652" spans="7:14" x14ac:dyDescent="0.3">
      <c r="G32652" s="1"/>
      <c r="N32652" s="1"/>
    </row>
    <row r="32653" spans="7:14" x14ac:dyDescent="0.3">
      <c r="G32653" s="1"/>
      <c r="N32653" s="1"/>
    </row>
    <row r="32654" spans="7:14" x14ac:dyDescent="0.3">
      <c r="G32654" s="1"/>
      <c r="N32654" s="1"/>
    </row>
    <row r="32655" spans="7:14" x14ac:dyDescent="0.3">
      <c r="G32655" s="1"/>
      <c r="N32655" s="1"/>
    </row>
    <row r="32656" spans="7:14" x14ac:dyDescent="0.3">
      <c r="G32656" s="1"/>
      <c r="N32656" s="1"/>
    </row>
    <row r="32657" spans="7:14" x14ac:dyDescent="0.3">
      <c r="G32657" s="1"/>
      <c r="N32657" s="1"/>
    </row>
    <row r="32658" spans="7:14" x14ac:dyDescent="0.3">
      <c r="G32658" s="1"/>
      <c r="N32658" s="1"/>
    </row>
    <row r="32659" spans="7:14" x14ac:dyDescent="0.3">
      <c r="G32659" s="1"/>
      <c r="N32659" s="1"/>
    </row>
    <row r="32660" spans="7:14" x14ac:dyDescent="0.3">
      <c r="G32660" s="1"/>
      <c r="N32660" s="1"/>
    </row>
    <row r="32661" spans="7:14" x14ac:dyDescent="0.3">
      <c r="G32661" s="1"/>
      <c r="N32661" s="1"/>
    </row>
    <row r="32662" spans="7:14" x14ac:dyDescent="0.3">
      <c r="G32662" s="1"/>
      <c r="N32662" s="1"/>
    </row>
    <row r="32663" spans="7:14" x14ac:dyDescent="0.3">
      <c r="G32663" s="1"/>
      <c r="N32663" s="1"/>
    </row>
    <row r="32664" spans="7:14" x14ac:dyDescent="0.3">
      <c r="G32664" s="1"/>
      <c r="N32664" s="1"/>
    </row>
    <row r="32665" spans="7:14" x14ac:dyDescent="0.3">
      <c r="G32665" s="1"/>
      <c r="N32665" s="1"/>
    </row>
    <row r="32666" spans="7:14" x14ac:dyDescent="0.3">
      <c r="G32666" s="1"/>
      <c r="N32666" s="1"/>
    </row>
    <row r="32667" spans="7:14" x14ac:dyDescent="0.3">
      <c r="G32667" s="1"/>
      <c r="N32667" s="1"/>
    </row>
    <row r="32668" spans="7:14" x14ac:dyDescent="0.3">
      <c r="G32668" s="1"/>
      <c r="N32668" s="1"/>
    </row>
    <row r="32669" spans="7:14" x14ac:dyDescent="0.3">
      <c r="G32669" s="1"/>
      <c r="N32669" s="1"/>
    </row>
    <row r="32670" spans="7:14" x14ac:dyDescent="0.3">
      <c r="G32670" s="1"/>
      <c r="N32670" s="1"/>
    </row>
    <row r="32671" spans="7:14" x14ac:dyDescent="0.3">
      <c r="G32671" s="1"/>
      <c r="N32671" s="1"/>
    </row>
    <row r="32672" spans="7:14" x14ac:dyDescent="0.3">
      <c r="G32672" s="1"/>
      <c r="N32672" s="1"/>
    </row>
    <row r="32673" spans="7:14" x14ac:dyDescent="0.3">
      <c r="G32673" s="1"/>
      <c r="N32673" s="1"/>
    </row>
    <row r="32674" spans="7:14" x14ac:dyDescent="0.3">
      <c r="G32674" s="1"/>
      <c r="N32674" s="1"/>
    </row>
    <row r="32675" spans="7:14" x14ac:dyDescent="0.3">
      <c r="G32675" s="1"/>
      <c r="N32675" s="1"/>
    </row>
    <row r="32676" spans="7:14" x14ac:dyDescent="0.3">
      <c r="G32676" s="1"/>
      <c r="N32676" s="1"/>
    </row>
    <row r="32677" spans="7:14" x14ac:dyDescent="0.3">
      <c r="G32677" s="1"/>
      <c r="N32677" s="1"/>
    </row>
    <row r="32678" spans="7:14" x14ac:dyDescent="0.3">
      <c r="G32678" s="1"/>
      <c r="N32678" s="1"/>
    </row>
    <row r="32679" spans="7:14" x14ac:dyDescent="0.3">
      <c r="G32679" s="1"/>
      <c r="N32679" s="1"/>
    </row>
    <row r="32680" spans="7:14" x14ac:dyDescent="0.3">
      <c r="G32680" s="1"/>
      <c r="N32680" s="1"/>
    </row>
    <row r="32681" spans="7:14" x14ac:dyDescent="0.3">
      <c r="G32681" s="1"/>
      <c r="N32681" s="1"/>
    </row>
    <row r="32682" spans="7:14" x14ac:dyDescent="0.3">
      <c r="G32682" s="1"/>
      <c r="N32682" s="1"/>
    </row>
    <row r="32683" spans="7:14" x14ac:dyDescent="0.3">
      <c r="G32683" s="1"/>
      <c r="N32683" s="1"/>
    </row>
    <row r="32684" spans="7:14" x14ac:dyDescent="0.3">
      <c r="G32684" s="1"/>
      <c r="N32684" s="1"/>
    </row>
    <row r="32685" spans="7:14" x14ac:dyDescent="0.3">
      <c r="G32685" s="1"/>
      <c r="N32685" s="1"/>
    </row>
    <row r="32686" spans="7:14" x14ac:dyDescent="0.3">
      <c r="G32686" s="1"/>
      <c r="N32686" s="1"/>
    </row>
    <row r="32687" spans="7:14" x14ac:dyDescent="0.3">
      <c r="G32687" s="1"/>
      <c r="N32687" s="1"/>
    </row>
    <row r="32688" spans="7:14" x14ac:dyDescent="0.3">
      <c r="G32688" s="1"/>
      <c r="N32688" s="1"/>
    </row>
    <row r="32689" spans="7:14" x14ac:dyDescent="0.3">
      <c r="G32689" s="1"/>
      <c r="N32689" s="1"/>
    </row>
    <row r="32690" spans="7:14" x14ac:dyDescent="0.3">
      <c r="G32690" s="1"/>
      <c r="N32690" s="1"/>
    </row>
    <row r="32691" spans="7:14" x14ac:dyDescent="0.3">
      <c r="G32691" s="1"/>
      <c r="N32691" s="1"/>
    </row>
    <row r="32692" spans="7:14" x14ac:dyDescent="0.3">
      <c r="G32692" s="1"/>
      <c r="N32692" s="1"/>
    </row>
    <row r="32693" spans="7:14" x14ac:dyDescent="0.3">
      <c r="G32693" s="1"/>
      <c r="N32693" s="1"/>
    </row>
    <row r="32694" spans="7:14" x14ac:dyDescent="0.3">
      <c r="G32694" s="1"/>
      <c r="N32694" s="1"/>
    </row>
    <row r="32695" spans="7:14" x14ac:dyDescent="0.3">
      <c r="G32695" s="1"/>
      <c r="N32695" s="1"/>
    </row>
    <row r="32696" spans="7:14" x14ac:dyDescent="0.3">
      <c r="G32696" s="1"/>
      <c r="N32696" s="1"/>
    </row>
    <row r="32697" spans="7:14" x14ac:dyDescent="0.3">
      <c r="G32697" s="1"/>
      <c r="N32697" s="1"/>
    </row>
    <row r="32698" spans="7:14" x14ac:dyDescent="0.3">
      <c r="G32698" s="1"/>
      <c r="N32698" s="1"/>
    </row>
    <row r="32699" spans="7:14" x14ac:dyDescent="0.3">
      <c r="G32699" s="1"/>
      <c r="N32699" s="1"/>
    </row>
    <row r="32700" spans="7:14" x14ac:dyDescent="0.3">
      <c r="G32700" s="1"/>
      <c r="N32700" s="1"/>
    </row>
    <row r="32701" spans="7:14" x14ac:dyDescent="0.3">
      <c r="G32701" s="1"/>
      <c r="N32701" s="1"/>
    </row>
    <row r="32702" spans="7:14" x14ac:dyDescent="0.3">
      <c r="G32702" s="1"/>
      <c r="N32702" s="1"/>
    </row>
    <row r="32703" spans="7:14" x14ac:dyDescent="0.3">
      <c r="G32703" s="1"/>
      <c r="N32703" s="1"/>
    </row>
    <row r="32704" spans="7:14" x14ac:dyDescent="0.3">
      <c r="G32704" s="1"/>
      <c r="N32704" s="1"/>
    </row>
    <row r="32705" spans="7:14" x14ac:dyDescent="0.3">
      <c r="G32705" s="1"/>
      <c r="N32705" s="1"/>
    </row>
    <row r="32706" spans="7:14" x14ac:dyDescent="0.3">
      <c r="G32706" s="1"/>
      <c r="N32706" s="1"/>
    </row>
    <row r="32707" spans="7:14" x14ac:dyDescent="0.3">
      <c r="G32707" s="1"/>
      <c r="N32707" s="1"/>
    </row>
    <row r="32708" spans="7:14" x14ac:dyDescent="0.3">
      <c r="G32708" s="1"/>
      <c r="N32708" s="1"/>
    </row>
    <row r="32709" spans="7:14" x14ac:dyDescent="0.3">
      <c r="G32709" s="1"/>
      <c r="N32709" s="1"/>
    </row>
    <row r="32710" spans="7:14" x14ac:dyDescent="0.3">
      <c r="G32710" s="1"/>
      <c r="N32710" s="1"/>
    </row>
    <row r="32711" spans="7:14" x14ac:dyDescent="0.3">
      <c r="G32711" s="1"/>
      <c r="N32711" s="1"/>
    </row>
    <row r="32712" spans="7:14" x14ac:dyDescent="0.3">
      <c r="G32712" s="1"/>
      <c r="N32712" s="1"/>
    </row>
    <row r="32713" spans="7:14" x14ac:dyDescent="0.3">
      <c r="G32713" s="1"/>
      <c r="N32713" s="1"/>
    </row>
    <row r="32714" spans="7:14" x14ac:dyDescent="0.3">
      <c r="G32714" s="1"/>
      <c r="N32714" s="1"/>
    </row>
    <row r="32715" spans="7:14" x14ac:dyDescent="0.3">
      <c r="G32715" s="1"/>
      <c r="N32715" s="1"/>
    </row>
    <row r="32716" spans="7:14" x14ac:dyDescent="0.3">
      <c r="G32716" s="1"/>
      <c r="N32716" s="1"/>
    </row>
    <row r="32717" spans="7:14" x14ac:dyDescent="0.3">
      <c r="G32717" s="1"/>
      <c r="N32717" s="1"/>
    </row>
    <row r="32718" spans="7:14" x14ac:dyDescent="0.3">
      <c r="G32718" s="1"/>
      <c r="N32718" s="1"/>
    </row>
    <row r="32719" spans="7:14" x14ac:dyDescent="0.3">
      <c r="G32719" s="1"/>
      <c r="N32719" s="1"/>
    </row>
    <row r="32720" spans="7:14" x14ac:dyDescent="0.3">
      <c r="G32720" s="1"/>
      <c r="N32720" s="1"/>
    </row>
    <row r="32721" spans="7:14" x14ac:dyDescent="0.3">
      <c r="G32721" s="1"/>
      <c r="N32721" s="1"/>
    </row>
    <row r="32722" spans="7:14" x14ac:dyDescent="0.3">
      <c r="G32722" s="1"/>
      <c r="N32722" s="1"/>
    </row>
    <row r="32723" spans="7:14" x14ac:dyDescent="0.3">
      <c r="G32723" s="1"/>
      <c r="N32723" s="1"/>
    </row>
    <row r="32724" spans="7:14" x14ac:dyDescent="0.3">
      <c r="G32724" s="1"/>
      <c r="N32724" s="1"/>
    </row>
    <row r="32725" spans="7:14" x14ac:dyDescent="0.3">
      <c r="G32725" s="1"/>
      <c r="N32725" s="1"/>
    </row>
    <row r="32726" spans="7:14" x14ac:dyDescent="0.3">
      <c r="G32726" s="1"/>
      <c r="N32726" s="1"/>
    </row>
    <row r="32727" spans="7:14" x14ac:dyDescent="0.3">
      <c r="G32727" s="1"/>
      <c r="N32727" s="1"/>
    </row>
    <row r="32728" spans="7:14" x14ac:dyDescent="0.3">
      <c r="G32728" s="1"/>
      <c r="N32728" s="1"/>
    </row>
    <row r="32729" spans="7:14" x14ac:dyDescent="0.3">
      <c r="G32729" s="1"/>
      <c r="N32729" s="1"/>
    </row>
    <row r="32730" spans="7:14" x14ac:dyDescent="0.3">
      <c r="G32730" s="1"/>
      <c r="N32730" s="1"/>
    </row>
    <row r="32731" spans="7:14" x14ac:dyDescent="0.3">
      <c r="G32731" s="1"/>
      <c r="N32731" s="1"/>
    </row>
    <row r="32732" spans="7:14" x14ac:dyDescent="0.3">
      <c r="G32732" s="1"/>
      <c r="N32732" s="1"/>
    </row>
    <row r="32733" spans="7:14" x14ac:dyDescent="0.3">
      <c r="G32733" s="1"/>
      <c r="N32733" s="1"/>
    </row>
    <row r="32734" spans="7:14" x14ac:dyDescent="0.3">
      <c r="G32734" s="1"/>
      <c r="N32734" s="1"/>
    </row>
    <row r="32735" spans="7:14" x14ac:dyDescent="0.3">
      <c r="G32735" s="1"/>
      <c r="N32735" s="1"/>
    </row>
    <row r="32736" spans="7:14" x14ac:dyDescent="0.3">
      <c r="G32736" s="1"/>
      <c r="N32736" s="1"/>
    </row>
    <row r="32737" spans="7:14" x14ac:dyDescent="0.3">
      <c r="G32737" s="1"/>
      <c r="N32737" s="1"/>
    </row>
    <row r="32738" spans="7:14" x14ac:dyDescent="0.3">
      <c r="G32738" s="1"/>
      <c r="N32738" s="1"/>
    </row>
    <row r="32739" spans="7:14" x14ac:dyDescent="0.3">
      <c r="G32739" s="1"/>
      <c r="N32739" s="1"/>
    </row>
    <row r="32740" spans="7:14" x14ac:dyDescent="0.3">
      <c r="G32740" s="1"/>
      <c r="N32740" s="1"/>
    </row>
    <row r="32741" spans="7:14" x14ac:dyDescent="0.3">
      <c r="G32741" s="1"/>
      <c r="N32741" s="1"/>
    </row>
    <row r="32742" spans="7:14" x14ac:dyDescent="0.3">
      <c r="G32742" s="1"/>
      <c r="N32742" s="1"/>
    </row>
    <row r="32743" spans="7:14" x14ac:dyDescent="0.3">
      <c r="G32743" s="1"/>
      <c r="N32743" s="1"/>
    </row>
    <row r="32744" spans="7:14" x14ac:dyDescent="0.3">
      <c r="G32744" s="1"/>
      <c r="N32744" s="1"/>
    </row>
    <row r="32745" spans="7:14" x14ac:dyDescent="0.3">
      <c r="G32745" s="1"/>
      <c r="N32745" s="1"/>
    </row>
    <row r="32746" spans="7:14" x14ac:dyDescent="0.3">
      <c r="G32746" s="1"/>
      <c r="N32746" s="1"/>
    </row>
    <row r="32747" spans="7:14" x14ac:dyDescent="0.3">
      <c r="G32747" s="1"/>
      <c r="N32747" s="1"/>
    </row>
    <row r="32748" spans="7:14" x14ac:dyDescent="0.3">
      <c r="G32748" s="1"/>
      <c r="N32748" s="1"/>
    </row>
    <row r="32749" spans="7:14" x14ac:dyDescent="0.3">
      <c r="G32749" s="1"/>
      <c r="N32749" s="1"/>
    </row>
    <row r="32750" spans="7:14" x14ac:dyDescent="0.3">
      <c r="G32750" s="1"/>
      <c r="N32750" s="1"/>
    </row>
    <row r="32751" spans="7:14" x14ac:dyDescent="0.3">
      <c r="G32751" s="1"/>
      <c r="N32751" s="1"/>
    </row>
    <row r="32752" spans="7:14" x14ac:dyDescent="0.3">
      <c r="G32752" s="1"/>
      <c r="N32752" s="1"/>
    </row>
    <row r="32753" spans="7:14" x14ac:dyDescent="0.3">
      <c r="G32753" s="1"/>
      <c r="N32753" s="1"/>
    </row>
    <row r="32754" spans="7:14" x14ac:dyDescent="0.3">
      <c r="G32754" s="1"/>
      <c r="N32754" s="1"/>
    </row>
    <row r="32755" spans="7:14" x14ac:dyDescent="0.3">
      <c r="G32755" s="1"/>
      <c r="N32755" s="1"/>
    </row>
    <row r="32756" spans="7:14" x14ac:dyDescent="0.3">
      <c r="G32756" s="1"/>
      <c r="N32756" s="1"/>
    </row>
    <row r="32757" spans="7:14" x14ac:dyDescent="0.3">
      <c r="G32757" s="1"/>
      <c r="N32757" s="1"/>
    </row>
    <row r="32758" spans="7:14" x14ac:dyDescent="0.3">
      <c r="G32758" s="1"/>
      <c r="N32758" s="1"/>
    </row>
    <row r="32759" spans="7:14" x14ac:dyDescent="0.3">
      <c r="G32759" s="1"/>
      <c r="N32759" s="1"/>
    </row>
    <row r="32760" spans="7:14" x14ac:dyDescent="0.3">
      <c r="G32760" s="1"/>
      <c r="N32760" s="1"/>
    </row>
    <row r="32761" spans="7:14" x14ac:dyDescent="0.3">
      <c r="G32761" s="1"/>
      <c r="N32761" s="1"/>
    </row>
    <row r="32762" spans="7:14" x14ac:dyDescent="0.3">
      <c r="G32762" s="1"/>
      <c r="N32762" s="1"/>
    </row>
    <row r="32763" spans="7:14" x14ac:dyDescent="0.3">
      <c r="G32763" s="1"/>
      <c r="N32763" s="1"/>
    </row>
    <row r="32764" spans="7:14" x14ac:dyDescent="0.3">
      <c r="G32764" s="1"/>
      <c r="N32764" s="1"/>
    </row>
    <row r="32765" spans="7:14" x14ac:dyDescent="0.3">
      <c r="G32765" s="1"/>
      <c r="N32765" s="1"/>
    </row>
    <row r="32766" spans="7:14" x14ac:dyDescent="0.3">
      <c r="G32766" s="1"/>
      <c r="N32766" s="1"/>
    </row>
    <row r="32767" spans="7:14" x14ac:dyDescent="0.3">
      <c r="G32767" s="1"/>
      <c r="N32767" s="1"/>
    </row>
    <row r="32768" spans="7:14" x14ac:dyDescent="0.3">
      <c r="G32768" s="1"/>
      <c r="N32768" s="1"/>
    </row>
    <row r="32769" spans="7:14" x14ac:dyDescent="0.3">
      <c r="G32769" s="1"/>
      <c r="N32769" s="1"/>
    </row>
    <row r="32770" spans="7:14" x14ac:dyDescent="0.3">
      <c r="G32770" s="1"/>
      <c r="N32770" s="1"/>
    </row>
    <row r="32771" spans="7:14" x14ac:dyDescent="0.3">
      <c r="G32771" s="1"/>
      <c r="N32771" s="1"/>
    </row>
    <row r="32772" spans="7:14" x14ac:dyDescent="0.3">
      <c r="G32772" s="1"/>
      <c r="N32772" s="1"/>
    </row>
    <row r="32773" spans="7:14" x14ac:dyDescent="0.3">
      <c r="G32773" s="1"/>
      <c r="N32773" s="1"/>
    </row>
    <row r="32774" spans="7:14" x14ac:dyDescent="0.3">
      <c r="G32774" s="1"/>
      <c r="N32774" s="1"/>
    </row>
    <row r="32775" spans="7:14" x14ac:dyDescent="0.3">
      <c r="G32775" s="1"/>
      <c r="N32775" s="1"/>
    </row>
    <row r="32776" spans="7:14" x14ac:dyDescent="0.3">
      <c r="G32776" s="1"/>
      <c r="N32776" s="1"/>
    </row>
    <row r="32777" spans="7:14" x14ac:dyDescent="0.3">
      <c r="G32777" s="1"/>
      <c r="N32777" s="1"/>
    </row>
    <row r="32778" spans="7:14" x14ac:dyDescent="0.3">
      <c r="G32778" s="1"/>
      <c r="N32778" s="1"/>
    </row>
    <row r="32779" spans="7:14" x14ac:dyDescent="0.3">
      <c r="G32779" s="1"/>
      <c r="N32779" s="1"/>
    </row>
    <row r="32780" spans="7:14" x14ac:dyDescent="0.3">
      <c r="G32780" s="1"/>
      <c r="N32780" s="1"/>
    </row>
    <row r="32781" spans="7:14" x14ac:dyDescent="0.3">
      <c r="G32781" s="1"/>
      <c r="N32781" s="1"/>
    </row>
    <row r="32782" spans="7:14" x14ac:dyDescent="0.3">
      <c r="G32782" s="1"/>
      <c r="N32782" s="1"/>
    </row>
    <row r="32783" spans="7:14" x14ac:dyDescent="0.3">
      <c r="G32783" s="1"/>
      <c r="N32783" s="1"/>
    </row>
    <row r="32784" spans="7:14" x14ac:dyDescent="0.3">
      <c r="G32784" s="1"/>
      <c r="N32784" s="1"/>
    </row>
    <row r="32785" spans="7:14" x14ac:dyDescent="0.3">
      <c r="G32785" s="1"/>
      <c r="N32785" s="1"/>
    </row>
    <row r="32786" spans="7:14" x14ac:dyDescent="0.3">
      <c r="G32786" s="1"/>
      <c r="N32786" s="1"/>
    </row>
    <row r="32787" spans="7:14" x14ac:dyDescent="0.3">
      <c r="G32787" s="1"/>
      <c r="N32787" s="1"/>
    </row>
    <row r="32788" spans="7:14" x14ac:dyDescent="0.3">
      <c r="G32788" s="1"/>
      <c r="N32788" s="1"/>
    </row>
    <row r="32789" spans="7:14" x14ac:dyDescent="0.3">
      <c r="G32789" s="1"/>
      <c r="N32789" s="1"/>
    </row>
    <row r="32790" spans="7:14" x14ac:dyDescent="0.3">
      <c r="G32790" s="1"/>
      <c r="N32790" s="1"/>
    </row>
    <row r="32791" spans="7:14" x14ac:dyDescent="0.3">
      <c r="G32791" s="1"/>
      <c r="N32791" s="1"/>
    </row>
    <row r="32792" spans="7:14" x14ac:dyDescent="0.3">
      <c r="G32792" s="1"/>
      <c r="N32792" s="1"/>
    </row>
    <row r="32793" spans="7:14" x14ac:dyDescent="0.3">
      <c r="G32793" s="1"/>
      <c r="N32793" s="1"/>
    </row>
    <row r="32794" spans="7:14" x14ac:dyDescent="0.3">
      <c r="G32794" s="1"/>
      <c r="N32794" s="1"/>
    </row>
    <row r="32795" spans="7:14" x14ac:dyDescent="0.3">
      <c r="G32795" s="1"/>
      <c r="N32795" s="1"/>
    </row>
    <row r="32796" spans="7:14" x14ac:dyDescent="0.3">
      <c r="G32796" s="1"/>
      <c r="N32796" s="1"/>
    </row>
    <row r="32797" spans="7:14" x14ac:dyDescent="0.3">
      <c r="G32797" s="1"/>
      <c r="N32797" s="1"/>
    </row>
    <row r="32798" spans="7:14" x14ac:dyDescent="0.3">
      <c r="G32798" s="1"/>
      <c r="N32798" s="1"/>
    </row>
    <row r="32799" spans="7:14" x14ac:dyDescent="0.3">
      <c r="G32799" s="1"/>
      <c r="N32799" s="1"/>
    </row>
    <row r="32800" spans="7:14" x14ac:dyDescent="0.3">
      <c r="G32800" s="1"/>
      <c r="N32800" s="1"/>
    </row>
    <row r="32801" spans="7:14" x14ac:dyDescent="0.3">
      <c r="G32801" s="1"/>
      <c r="N32801" s="1"/>
    </row>
    <row r="32802" spans="7:14" x14ac:dyDescent="0.3">
      <c r="G32802" s="1"/>
      <c r="N32802" s="1"/>
    </row>
    <row r="32803" spans="7:14" x14ac:dyDescent="0.3">
      <c r="G32803" s="1"/>
      <c r="N32803" s="1"/>
    </row>
    <row r="32804" spans="7:14" x14ac:dyDescent="0.3">
      <c r="G32804" s="1"/>
      <c r="N32804" s="1"/>
    </row>
    <row r="32805" spans="7:14" x14ac:dyDescent="0.3">
      <c r="G32805" s="1"/>
      <c r="N32805" s="1"/>
    </row>
    <row r="32806" spans="7:14" x14ac:dyDescent="0.3">
      <c r="G32806" s="1"/>
      <c r="N32806" s="1"/>
    </row>
    <row r="32807" spans="7:14" x14ac:dyDescent="0.3">
      <c r="G32807" s="1"/>
      <c r="N32807" s="1"/>
    </row>
    <row r="32808" spans="7:14" x14ac:dyDescent="0.3">
      <c r="G32808" s="1"/>
      <c r="N32808" s="1"/>
    </row>
    <row r="32809" spans="7:14" x14ac:dyDescent="0.3">
      <c r="G32809" s="1"/>
      <c r="N32809" s="1"/>
    </row>
    <row r="32810" spans="7:14" x14ac:dyDescent="0.3">
      <c r="G32810" s="1"/>
      <c r="N32810" s="1"/>
    </row>
    <row r="32811" spans="7:14" x14ac:dyDescent="0.3">
      <c r="G32811" s="1"/>
      <c r="N32811" s="1"/>
    </row>
    <row r="32812" spans="7:14" x14ac:dyDescent="0.3">
      <c r="G32812" s="1"/>
      <c r="N32812" s="1"/>
    </row>
    <row r="32813" spans="7:14" x14ac:dyDescent="0.3">
      <c r="G32813" s="1"/>
      <c r="N32813" s="1"/>
    </row>
    <row r="32814" spans="7:14" x14ac:dyDescent="0.3">
      <c r="G32814" s="1"/>
      <c r="N32814" s="1"/>
    </row>
    <row r="32815" spans="7:14" x14ac:dyDescent="0.3">
      <c r="G32815" s="1"/>
      <c r="N32815" s="1"/>
    </row>
    <row r="32816" spans="7:14" x14ac:dyDescent="0.3">
      <c r="G32816" s="1"/>
      <c r="N32816" s="1"/>
    </row>
    <row r="32817" spans="7:14" x14ac:dyDescent="0.3">
      <c r="G32817" s="1"/>
      <c r="N32817" s="1"/>
    </row>
    <row r="32818" spans="7:14" x14ac:dyDescent="0.3">
      <c r="G32818" s="1"/>
      <c r="N32818" s="1"/>
    </row>
    <row r="32819" spans="7:14" x14ac:dyDescent="0.3">
      <c r="G32819" s="1"/>
      <c r="N32819" s="1"/>
    </row>
    <row r="32820" spans="7:14" x14ac:dyDescent="0.3">
      <c r="G32820" s="1"/>
      <c r="N32820" s="1"/>
    </row>
    <row r="32821" spans="7:14" x14ac:dyDescent="0.3">
      <c r="G32821" s="1"/>
      <c r="N32821" s="1"/>
    </row>
    <row r="32822" spans="7:14" x14ac:dyDescent="0.3">
      <c r="G32822" s="1"/>
      <c r="N32822" s="1"/>
    </row>
    <row r="32823" spans="7:14" x14ac:dyDescent="0.3">
      <c r="G32823" s="1"/>
      <c r="N32823" s="1"/>
    </row>
    <row r="32824" spans="7:14" x14ac:dyDescent="0.3">
      <c r="G32824" s="1"/>
      <c r="N32824" s="1"/>
    </row>
    <row r="32825" spans="7:14" x14ac:dyDescent="0.3">
      <c r="G32825" s="1"/>
      <c r="N32825" s="1"/>
    </row>
    <row r="32826" spans="7:14" x14ac:dyDescent="0.3">
      <c r="G32826" s="1"/>
      <c r="N32826" s="1"/>
    </row>
    <row r="32827" spans="7:14" x14ac:dyDescent="0.3">
      <c r="G32827" s="1"/>
      <c r="N32827" s="1"/>
    </row>
    <row r="32828" spans="7:14" x14ac:dyDescent="0.3">
      <c r="G32828" s="1"/>
      <c r="N32828" s="1"/>
    </row>
    <row r="32829" spans="7:14" x14ac:dyDescent="0.3">
      <c r="G32829" s="1"/>
      <c r="N32829" s="1"/>
    </row>
    <row r="32830" spans="7:14" x14ac:dyDescent="0.3">
      <c r="G32830" s="1"/>
      <c r="N32830" s="1"/>
    </row>
    <row r="32831" spans="7:14" x14ac:dyDescent="0.3">
      <c r="G32831" s="1"/>
      <c r="N32831" s="1"/>
    </row>
    <row r="32832" spans="7:14" x14ac:dyDescent="0.3">
      <c r="G32832" s="1"/>
      <c r="N32832" s="1"/>
    </row>
    <row r="32833" spans="7:14" x14ac:dyDescent="0.3">
      <c r="G32833" s="1"/>
      <c r="N32833" s="1"/>
    </row>
    <row r="32834" spans="7:14" x14ac:dyDescent="0.3">
      <c r="G32834" s="1"/>
      <c r="N32834" s="1"/>
    </row>
    <row r="32835" spans="7:14" x14ac:dyDescent="0.3">
      <c r="G32835" s="1"/>
      <c r="N32835" s="1"/>
    </row>
    <row r="32836" spans="7:14" x14ac:dyDescent="0.3">
      <c r="G32836" s="1"/>
      <c r="N32836" s="1"/>
    </row>
    <row r="32837" spans="7:14" x14ac:dyDescent="0.3">
      <c r="G32837" s="1"/>
      <c r="N32837" s="1"/>
    </row>
    <row r="32838" spans="7:14" x14ac:dyDescent="0.3">
      <c r="G32838" s="1"/>
      <c r="N32838" s="1"/>
    </row>
    <row r="32839" spans="7:14" x14ac:dyDescent="0.3">
      <c r="G32839" s="1"/>
      <c r="N32839" s="1"/>
    </row>
    <row r="32840" spans="7:14" x14ac:dyDescent="0.3">
      <c r="G32840" s="1"/>
      <c r="N32840" s="1"/>
    </row>
    <row r="32841" spans="7:14" x14ac:dyDescent="0.3">
      <c r="G32841" s="1"/>
      <c r="N32841" s="1"/>
    </row>
    <row r="32842" spans="7:14" x14ac:dyDescent="0.3">
      <c r="G32842" s="1"/>
      <c r="N32842" s="1"/>
    </row>
    <row r="32843" spans="7:14" x14ac:dyDescent="0.3">
      <c r="G32843" s="1"/>
      <c r="N32843" s="1"/>
    </row>
    <row r="32844" spans="7:14" x14ac:dyDescent="0.3">
      <c r="G32844" s="1"/>
      <c r="N32844" s="1"/>
    </row>
    <row r="32845" spans="7:14" x14ac:dyDescent="0.3">
      <c r="G32845" s="1"/>
      <c r="N32845" s="1"/>
    </row>
    <row r="32846" spans="7:14" x14ac:dyDescent="0.3">
      <c r="G32846" s="1"/>
      <c r="N32846" s="1"/>
    </row>
    <row r="32847" spans="7:14" x14ac:dyDescent="0.3">
      <c r="G32847" s="1"/>
      <c r="N32847" s="1"/>
    </row>
    <row r="32848" spans="7:14" x14ac:dyDescent="0.3">
      <c r="G32848" s="1"/>
      <c r="N32848" s="1"/>
    </row>
    <row r="32849" spans="7:14" x14ac:dyDescent="0.3">
      <c r="G32849" s="1"/>
      <c r="N32849" s="1"/>
    </row>
    <row r="32850" spans="7:14" x14ac:dyDescent="0.3">
      <c r="G32850" s="1"/>
      <c r="N32850" s="1"/>
    </row>
    <row r="32851" spans="7:14" x14ac:dyDescent="0.3">
      <c r="G32851" s="1"/>
      <c r="N32851" s="1"/>
    </row>
    <row r="32852" spans="7:14" x14ac:dyDescent="0.3">
      <c r="G32852" s="1"/>
      <c r="N32852" s="1"/>
    </row>
    <row r="32853" spans="7:14" x14ac:dyDescent="0.3">
      <c r="G32853" s="1"/>
      <c r="N32853" s="1"/>
    </row>
    <row r="32854" spans="7:14" x14ac:dyDescent="0.3">
      <c r="G32854" s="1"/>
      <c r="N32854" s="1"/>
    </row>
    <row r="32855" spans="7:14" x14ac:dyDescent="0.3">
      <c r="G32855" s="1"/>
      <c r="N32855" s="1"/>
    </row>
    <row r="32856" spans="7:14" x14ac:dyDescent="0.3">
      <c r="G32856" s="1"/>
      <c r="N32856" s="1"/>
    </row>
    <row r="32857" spans="7:14" x14ac:dyDescent="0.3">
      <c r="G32857" s="1"/>
      <c r="N32857" s="1"/>
    </row>
    <row r="32858" spans="7:14" x14ac:dyDescent="0.3">
      <c r="G32858" s="1"/>
      <c r="N32858" s="1"/>
    </row>
    <row r="32859" spans="7:14" x14ac:dyDescent="0.3">
      <c r="G32859" s="1"/>
      <c r="N32859" s="1"/>
    </row>
    <row r="32860" spans="7:14" x14ac:dyDescent="0.3">
      <c r="G32860" s="1"/>
      <c r="N32860" s="1"/>
    </row>
    <row r="32861" spans="7:14" x14ac:dyDescent="0.3">
      <c r="G32861" s="1"/>
      <c r="N32861" s="1"/>
    </row>
    <row r="32862" spans="7:14" x14ac:dyDescent="0.3">
      <c r="G32862" s="1"/>
      <c r="N32862" s="1"/>
    </row>
    <row r="32863" spans="7:14" x14ac:dyDescent="0.3">
      <c r="G32863" s="1"/>
      <c r="N32863" s="1"/>
    </row>
    <row r="32864" spans="7:14" x14ac:dyDescent="0.3">
      <c r="G32864" s="1"/>
      <c r="N32864" s="1"/>
    </row>
    <row r="32865" spans="7:14" x14ac:dyDescent="0.3">
      <c r="G32865" s="1"/>
      <c r="N32865" s="1"/>
    </row>
    <row r="32866" spans="7:14" x14ac:dyDescent="0.3">
      <c r="G32866" s="1"/>
      <c r="N32866" s="1"/>
    </row>
    <row r="32867" spans="7:14" x14ac:dyDescent="0.3">
      <c r="G32867" s="1"/>
      <c r="N32867" s="1"/>
    </row>
    <row r="32868" spans="7:14" x14ac:dyDescent="0.3">
      <c r="G32868" s="1"/>
      <c r="N32868" s="1"/>
    </row>
    <row r="32869" spans="7:14" x14ac:dyDescent="0.3">
      <c r="G32869" s="1"/>
      <c r="N32869" s="1"/>
    </row>
    <row r="32870" spans="7:14" x14ac:dyDescent="0.3">
      <c r="G32870" s="1"/>
      <c r="N32870" s="1"/>
    </row>
    <row r="32871" spans="7:14" x14ac:dyDescent="0.3">
      <c r="G32871" s="1"/>
      <c r="N32871" s="1"/>
    </row>
    <row r="32872" spans="7:14" x14ac:dyDescent="0.3">
      <c r="G32872" s="1"/>
      <c r="N32872" s="1"/>
    </row>
    <row r="32873" spans="7:14" x14ac:dyDescent="0.3">
      <c r="G32873" s="1"/>
      <c r="N32873" s="1"/>
    </row>
    <row r="32874" spans="7:14" x14ac:dyDescent="0.3">
      <c r="G32874" s="1"/>
      <c r="N32874" s="1"/>
    </row>
    <row r="32875" spans="7:14" x14ac:dyDescent="0.3">
      <c r="G32875" s="1"/>
      <c r="N32875" s="1"/>
    </row>
    <row r="32876" spans="7:14" x14ac:dyDescent="0.3">
      <c r="G32876" s="1"/>
      <c r="N32876" s="1"/>
    </row>
    <row r="32877" spans="7:14" x14ac:dyDescent="0.3">
      <c r="G32877" s="1"/>
      <c r="N32877" s="1"/>
    </row>
    <row r="32878" spans="7:14" x14ac:dyDescent="0.3">
      <c r="G32878" s="1"/>
      <c r="N32878" s="1"/>
    </row>
    <row r="32879" spans="7:14" x14ac:dyDescent="0.3">
      <c r="G32879" s="1"/>
      <c r="N32879" s="1"/>
    </row>
    <row r="32880" spans="7:14" x14ac:dyDescent="0.3">
      <c r="G32880" s="1"/>
      <c r="N32880" s="1"/>
    </row>
    <row r="32881" spans="7:14" x14ac:dyDescent="0.3">
      <c r="G32881" s="1"/>
      <c r="N32881" s="1"/>
    </row>
    <row r="32882" spans="7:14" x14ac:dyDescent="0.3">
      <c r="G32882" s="1"/>
      <c r="N32882" s="1"/>
    </row>
    <row r="32883" spans="7:14" x14ac:dyDescent="0.3">
      <c r="G32883" s="1"/>
      <c r="N32883" s="1"/>
    </row>
    <row r="32884" spans="7:14" x14ac:dyDescent="0.3">
      <c r="G32884" s="1"/>
      <c r="N32884" s="1"/>
    </row>
    <row r="32885" spans="7:14" x14ac:dyDescent="0.3">
      <c r="G32885" s="1"/>
      <c r="N32885" s="1"/>
    </row>
    <row r="32886" spans="7:14" x14ac:dyDescent="0.3">
      <c r="G32886" s="1"/>
      <c r="N32886" s="1"/>
    </row>
    <row r="32887" spans="7:14" x14ac:dyDescent="0.3">
      <c r="G32887" s="1"/>
      <c r="N32887" s="1"/>
    </row>
    <row r="32888" spans="7:14" x14ac:dyDescent="0.3">
      <c r="G32888" s="1"/>
      <c r="N32888" s="1"/>
    </row>
    <row r="32889" spans="7:14" x14ac:dyDescent="0.3">
      <c r="G32889" s="1"/>
      <c r="N32889" s="1"/>
    </row>
    <row r="32890" spans="7:14" x14ac:dyDescent="0.3">
      <c r="G32890" s="1"/>
      <c r="N32890" s="1"/>
    </row>
    <row r="32891" spans="7:14" x14ac:dyDescent="0.3">
      <c r="G32891" s="1"/>
      <c r="N32891" s="1"/>
    </row>
    <row r="32892" spans="7:14" x14ac:dyDescent="0.3">
      <c r="G32892" s="1"/>
      <c r="N32892" s="1"/>
    </row>
    <row r="32893" spans="7:14" x14ac:dyDescent="0.3">
      <c r="G32893" s="1"/>
      <c r="N32893" s="1"/>
    </row>
    <row r="32894" spans="7:14" x14ac:dyDescent="0.3">
      <c r="G32894" s="1"/>
      <c r="N32894" s="1"/>
    </row>
    <row r="32895" spans="7:14" x14ac:dyDescent="0.3">
      <c r="G32895" s="1"/>
      <c r="N32895" s="1"/>
    </row>
    <row r="32896" spans="7:14" x14ac:dyDescent="0.3">
      <c r="G32896" s="1"/>
      <c r="N32896" s="1"/>
    </row>
    <row r="32897" spans="7:14" x14ac:dyDescent="0.3">
      <c r="G32897" s="1"/>
      <c r="N32897" s="1"/>
    </row>
    <row r="32898" spans="7:14" x14ac:dyDescent="0.3">
      <c r="G32898" s="1"/>
      <c r="N32898" s="1"/>
    </row>
    <row r="32899" spans="7:14" x14ac:dyDescent="0.3">
      <c r="G32899" s="1"/>
      <c r="N32899" s="1"/>
    </row>
    <row r="32900" spans="7:14" x14ac:dyDescent="0.3">
      <c r="G32900" s="1"/>
      <c r="N32900" s="1"/>
    </row>
    <row r="32901" spans="7:14" x14ac:dyDescent="0.3">
      <c r="G32901" s="1"/>
      <c r="N32901" s="1"/>
    </row>
    <row r="32902" spans="7:14" x14ac:dyDescent="0.3">
      <c r="G32902" s="1"/>
      <c r="N32902" s="1"/>
    </row>
    <row r="32903" spans="7:14" x14ac:dyDescent="0.3">
      <c r="G32903" s="1"/>
      <c r="N32903" s="1"/>
    </row>
    <row r="32904" spans="7:14" x14ac:dyDescent="0.3">
      <c r="G32904" s="1"/>
      <c r="N32904" s="1"/>
    </row>
    <row r="32905" spans="7:14" x14ac:dyDescent="0.3">
      <c r="G32905" s="1"/>
      <c r="N32905" s="1"/>
    </row>
    <row r="32906" spans="7:14" x14ac:dyDescent="0.3">
      <c r="G32906" s="1"/>
      <c r="N32906" s="1"/>
    </row>
    <row r="32907" spans="7:14" x14ac:dyDescent="0.3">
      <c r="G32907" s="1"/>
      <c r="N32907" s="1"/>
    </row>
    <row r="32908" spans="7:14" x14ac:dyDescent="0.3">
      <c r="G32908" s="1"/>
      <c r="N32908" s="1"/>
    </row>
    <row r="32909" spans="7:14" x14ac:dyDescent="0.3">
      <c r="G32909" s="1"/>
      <c r="N32909" s="1"/>
    </row>
    <row r="32910" spans="7:14" x14ac:dyDescent="0.3">
      <c r="G32910" s="1"/>
      <c r="N32910" s="1"/>
    </row>
    <row r="32911" spans="7:14" x14ac:dyDescent="0.3">
      <c r="G32911" s="1"/>
      <c r="N32911" s="1"/>
    </row>
    <row r="32912" spans="7:14" x14ac:dyDescent="0.3">
      <c r="G32912" s="1"/>
      <c r="N32912" s="1"/>
    </row>
    <row r="32913" spans="7:14" x14ac:dyDescent="0.3">
      <c r="G32913" s="1"/>
      <c r="N32913" s="1"/>
    </row>
    <row r="32914" spans="7:14" x14ac:dyDescent="0.3">
      <c r="G32914" s="1"/>
      <c r="N32914" s="1"/>
    </row>
    <row r="32915" spans="7:14" x14ac:dyDescent="0.3">
      <c r="G32915" s="1"/>
      <c r="N32915" s="1"/>
    </row>
    <row r="32916" spans="7:14" x14ac:dyDescent="0.3">
      <c r="G32916" s="1"/>
      <c r="N32916" s="1"/>
    </row>
    <row r="32917" spans="7:14" x14ac:dyDescent="0.3">
      <c r="G32917" s="1"/>
      <c r="N32917" s="1"/>
    </row>
    <row r="32918" spans="7:14" x14ac:dyDescent="0.3">
      <c r="G32918" s="1"/>
      <c r="N32918" s="1"/>
    </row>
    <row r="32919" spans="7:14" x14ac:dyDescent="0.3">
      <c r="G32919" s="1"/>
      <c r="N32919" s="1"/>
    </row>
    <row r="32920" spans="7:14" x14ac:dyDescent="0.3">
      <c r="G32920" s="1"/>
      <c r="N32920" s="1"/>
    </row>
    <row r="32921" spans="7:14" x14ac:dyDescent="0.3">
      <c r="G32921" s="1"/>
      <c r="N32921" s="1"/>
    </row>
    <row r="32922" spans="7:14" x14ac:dyDescent="0.3">
      <c r="G32922" s="1"/>
      <c r="N32922" s="1"/>
    </row>
    <row r="32923" spans="7:14" x14ac:dyDescent="0.3">
      <c r="G32923" s="1"/>
      <c r="N32923" s="1"/>
    </row>
    <row r="32924" spans="7:14" x14ac:dyDescent="0.3">
      <c r="G32924" s="1"/>
      <c r="N32924" s="1"/>
    </row>
    <row r="32925" spans="7:14" x14ac:dyDescent="0.3">
      <c r="G32925" s="1"/>
      <c r="N32925" s="1"/>
    </row>
    <row r="32926" spans="7:14" x14ac:dyDescent="0.3">
      <c r="G32926" s="1"/>
      <c r="N32926" s="1"/>
    </row>
    <row r="32927" spans="7:14" x14ac:dyDescent="0.3">
      <c r="G32927" s="1"/>
      <c r="N32927" s="1"/>
    </row>
    <row r="32928" spans="7:14" x14ac:dyDescent="0.3">
      <c r="G32928" s="1"/>
      <c r="N32928" s="1"/>
    </row>
    <row r="32929" spans="7:14" x14ac:dyDescent="0.3">
      <c r="G32929" s="1"/>
      <c r="N32929" s="1"/>
    </row>
    <row r="32930" spans="7:14" x14ac:dyDescent="0.3">
      <c r="G32930" s="1"/>
      <c r="N32930" s="1"/>
    </row>
    <row r="32931" spans="7:14" x14ac:dyDescent="0.3">
      <c r="G32931" s="1"/>
      <c r="N32931" s="1"/>
    </row>
    <row r="32932" spans="7:14" x14ac:dyDescent="0.3">
      <c r="G32932" s="1"/>
      <c r="N32932" s="1"/>
    </row>
    <row r="32933" spans="7:14" x14ac:dyDescent="0.3">
      <c r="G32933" s="1"/>
      <c r="N32933" s="1"/>
    </row>
    <row r="32934" spans="7:14" x14ac:dyDescent="0.3">
      <c r="G32934" s="1"/>
      <c r="N32934" s="1"/>
    </row>
    <row r="32935" spans="7:14" x14ac:dyDescent="0.3">
      <c r="G32935" s="1"/>
      <c r="N32935" s="1"/>
    </row>
    <row r="32936" spans="7:14" x14ac:dyDescent="0.3">
      <c r="G32936" s="1"/>
      <c r="N32936" s="1"/>
    </row>
    <row r="32937" spans="7:14" x14ac:dyDescent="0.3">
      <c r="G32937" s="1"/>
      <c r="N32937" s="1"/>
    </row>
    <row r="32938" spans="7:14" x14ac:dyDescent="0.3">
      <c r="G32938" s="1"/>
      <c r="N32938" s="1"/>
    </row>
    <row r="32939" spans="7:14" x14ac:dyDescent="0.3">
      <c r="G32939" s="1"/>
      <c r="N32939" s="1"/>
    </row>
    <row r="32940" spans="7:14" x14ac:dyDescent="0.3">
      <c r="G32940" s="1"/>
      <c r="N32940" s="1"/>
    </row>
    <row r="32941" spans="7:14" x14ac:dyDescent="0.3">
      <c r="G32941" s="1"/>
      <c r="N32941" s="1"/>
    </row>
    <row r="32942" spans="7:14" x14ac:dyDescent="0.3">
      <c r="G32942" s="1"/>
      <c r="N32942" s="1"/>
    </row>
    <row r="32943" spans="7:14" x14ac:dyDescent="0.3">
      <c r="G32943" s="1"/>
      <c r="N32943" s="1"/>
    </row>
    <row r="32944" spans="7:14" x14ac:dyDescent="0.3">
      <c r="G32944" s="1"/>
      <c r="N32944" s="1"/>
    </row>
    <row r="32945" spans="7:14" x14ac:dyDescent="0.3">
      <c r="G32945" s="1"/>
      <c r="N32945" s="1"/>
    </row>
    <row r="32946" spans="7:14" x14ac:dyDescent="0.3">
      <c r="G32946" s="1"/>
      <c r="N32946" s="1"/>
    </row>
    <row r="32947" spans="7:14" x14ac:dyDescent="0.3">
      <c r="G32947" s="1"/>
      <c r="N32947" s="1"/>
    </row>
    <row r="32948" spans="7:14" x14ac:dyDescent="0.3">
      <c r="G32948" s="1"/>
      <c r="N32948" s="1"/>
    </row>
    <row r="32949" spans="7:14" x14ac:dyDescent="0.3">
      <c r="G32949" s="1"/>
      <c r="N32949" s="1"/>
    </row>
    <row r="32950" spans="7:14" x14ac:dyDescent="0.3">
      <c r="G32950" s="1"/>
      <c r="N32950" s="1"/>
    </row>
    <row r="32951" spans="7:14" x14ac:dyDescent="0.3">
      <c r="G32951" s="1"/>
      <c r="N32951" s="1"/>
    </row>
    <row r="32952" spans="7:14" x14ac:dyDescent="0.3">
      <c r="G32952" s="1"/>
      <c r="N32952" s="1"/>
    </row>
    <row r="32953" spans="7:14" x14ac:dyDescent="0.3">
      <c r="G32953" s="1"/>
      <c r="N32953" s="1"/>
    </row>
    <row r="32954" spans="7:14" x14ac:dyDescent="0.3">
      <c r="G32954" s="1"/>
      <c r="N32954" s="1"/>
    </row>
    <row r="32955" spans="7:14" x14ac:dyDescent="0.3">
      <c r="G32955" s="1"/>
      <c r="N32955" s="1"/>
    </row>
    <row r="32956" spans="7:14" x14ac:dyDescent="0.3">
      <c r="G32956" s="1"/>
      <c r="N32956" s="1"/>
    </row>
    <row r="32957" spans="7:14" x14ac:dyDescent="0.3">
      <c r="G32957" s="1"/>
      <c r="N32957" s="1"/>
    </row>
    <row r="32958" spans="7:14" x14ac:dyDescent="0.3">
      <c r="G32958" s="1"/>
      <c r="N32958" s="1"/>
    </row>
    <row r="32959" spans="7:14" x14ac:dyDescent="0.3">
      <c r="G32959" s="1"/>
      <c r="N32959" s="1"/>
    </row>
    <row r="32960" spans="7:14" x14ac:dyDescent="0.3">
      <c r="G32960" s="1"/>
      <c r="N32960" s="1"/>
    </row>
    <row r="32961" spans="7:14" x14ac:dyDescent="0.3">
      <c r="G32961" s="1"/>
      <c r="N32961" s="1"/>
    </row>
    <row r="32962" spans="7:14" x14ac:dyDescent="0.3">
      <c r="G32962" s="1"/>
      <c r="N32962" s="1"/>
    </row>
    <row r="32963" spans="7:14" x14ac:dyDescent="0.3">
      <c r="G32963" s="1"/>
      <c r="N32963" s="1"/>
    </row>
    <row r="32964" spans="7:14" x14ac:dyDescent="0.3">
      <c r="G32964" s="1"/>
      <c r="N32964" s="1"/>
    </row>
    <row r="32965" spans="7:14" x14ac:dyDescent="0.3">
      <c r="G32965" s="1"/>
      <c r="N32965" s="1"/>
    </row>
    <row r="32966" spans="7:14" x14ac:dyDescent="0.3">
      <c r="G32966" s="1"/>
      <c r="N32966" s="1"/>
    </row>
    <row r="32967" spans="7:14" x14ac:dyDescent="0.3">
      <c r="G32967" s="1"/>
      <c r="N32967" s="1"/>
    </row>
    <row r="32968" spans="7:14" x14ac:dyDescent="0.3">
      <c r="G32968" s="1"/>
      <c r="N32968" s="1"/>
    </row>
    <row r="32969" spans="7:14" x14ac:dyDescent="0.3">
      <c r="G32969" s="1"/>
      <c r="N32969" s="1"/>
    </row>
    <row r="32970" spans="7:14" x14ac:dyDescent="0.3">
      <c r="G32970" s="1"/>
      <c r="N32970" s="1"/>
    </row>
    <row r="32971" spans="7:14" x14ac:dyDescent="0.3">
      <c r="G32971" s="1"/>
      <c r="N32971" s="1"/>
    </row>
    <row r="32972" spans="7:14" x14ac:dyDescent="0.3">
      <c r="G32972" s="1"/>
      <c r="N32972" s="1"/>
    </row>
    <row r="32973" spans="7:14" x14ac:dyDescent="0.3">
      <c r="G32973" s="1"/>
      <c r="N32973" s="1"/>
    </row>
    <row r="32974" spans="7:14" x14ac:dyDescent="0.3">
      <c r="G32974" s="1"/>
      <c r="N32974" s="1"/>
    </row>
    <row r="32975" spans="7:14" x14ac:dyDescent="0.3">
      <c r="G32975" s="1"/>
      <c r="N32975" s="1"/>
    </row>
    <row r="32976" spans="7:14" x14ac:dyDescent="0.3">
      <c r="G32976" s="1"/>
      <c r="N32976" s="1"/>
    </row>
    <row r="32977" spans="7:14" x14ac:dyDescent="0.3">
      <c r="G32977" s="1"/>
      <c r="N32977" s="1"/>
    </row>
    <row r="32978" spans="7:14" x14ac:dyDescent="0.3">
      <c r="G32978" s="1"/>
      <c r="N32978" s="1"/>
    </row>
    <row r="32979" spans="7:14" x14ac:dyDescent="0.3">
      <c r="G32979" s="1"/>
      <c r="N32979" s="1"/>
    </row>
    <row r="32980" spans="7:14" x14ac:dyDescent="0.3">
      <c r="G32980" s="1"/>
      <c r="N32980" s="1"/>
    </row>
    <row r="32981" spans="7:14" x14ac:dyDescent="0.3">
      <c r="G32981" s="1"/>
      <c r="N32981" s="1"/>
    </row>
    <row r="32982" spans="7:14" x14ac:dyDescent="0.3">
      <c r="G32982" s="1"/>
      <c r="N32982" s="1"/>
    </row>
    <row r="32983" spans="7:14" x14ac:dyDescent="0.3">
      <c r="G32983" s="1"/>
      <c r="N32983" s="1"/>
    </row>
    <row r="32984" spans="7:14" x14ac:dyDescent="0.3">
      <c r="G32984" s="1"/>
      <c r="N32984" s="1"/>
    </row>
    <row r="32985" spans="7:14" x14ac:dyDescent="0.3">
      <c r="G32985" s="1"/>
      <c r="N32985" s="1"/>
    </row>
    <row r="32986" spans="7:14" x14ac:dyDescent="0.3">
      <c r="G32986" s="1"/>
      <c r="N32986" s="1"/>
    </row>
    <row r="32987" spans="7:14" x14ac:dyDescent="0.3">
      <c r="G32987" s="1"/>
      <c r="N32987" s="1"/>
    </row>
    <row r="32988" spans="7:14" x14ac:dyDescent="0.3">
      <c r="G32988" s="1"/>
      <c r="N32988" s="1"/>
    </row>
    <row r="32989" spans="7:14" x14ac:dyDescent="0.3">
      <c r="G32989" s="1"/>
      <c r="N32989" s="1"/>
    </row>
    <row r="32990" spans="7:14" x14ac:dyDescent="0.3">
      <c r="G32990" s="1"/>
      <c r="N32990" s="1"/>
    </row>
    <row r="32991" spans="7:14" x14ac:dyDescent="0.3">
      <c r="G32991" s="1"/>
      <c r="N32991" s="1"/>
    </row>
    <row r="32992" spans="7:14" x14ac:dyDescent="0.3">
      <c r="G32992" s="1"/>
      <c r="N32992" s="1"/>
    </row>
    <row r="32993" spans="7:14" x14ac:dyDescent="0.3">
      <c r="G32993" s="1"/>
      <c r="N32993" s="1"/>
    </row>
    <row r="32994" spans="7:14" x14ac:dyDescent="0.3">
      <c r="G32994" s="1"/>
      <c r="N32994" s="1"/>
    </row>
    <row r="32995" spans="7:14" x14ac:dyDescent="0.3">
      <c r="G32995" s="1"/>
      <c r="N32995" s="1"/>
    </row>
    <row r="32996" spans="7:14" x14ac:dyDescent="0.3">
      <c r="G32996" s="1"/>
      <c r="N32996" s="1"/>
    </row>
    <row r="32997" spans="7:14" x14ac:dyDescent="0.3">
      <c r="G32997" s="1"/>
      <c r="N32997" s="1"/>
    </row>
    <row r="32998" spans="7:14" x14ac:dyDescent="0.3">
      <c r="G32998" s="1"/>
      <c r="N32998" s="1"/>
    </row>
    <row r="32999" spans="7:14" x14ac:dyDescent="0.3">
      <c r="G32999" s="1"/>
      <c r="N32999" s="1"/>
    </row>
    <row r="33000" spans="7:14" x14ac:dyDescent="0.3">
      <c r="G33000" s="1"/>
      <c r="N33000" s="1"/>
    </row>
    <row r="33001" spans="7:14" x14ac:dyDescent="0.3">
      <c r="G33001" s="1"/>
      <c r="N33001" s="1"/>
    </row>
    <row r="33002" spans="7:14" x14ac:dyDescent="0.3">
      <c r="G33002" s="1"/>
      <c r="N33002" s="1"/>
    </row>
    <row r="33003" spans="7:14" x14ac:dyDescent="0.3">
      <c r="G33003" s="1"/>
      <c r="N33003" s="1"/>
    </row>
    <row r="33004" spans="7:14" x14ac:dyDescent="0.3">
      <c r="G33004" s="1"/>
      <c r="N33004" s="1"/>
    </row>
    <row r="33005" spans="7:14" x14ac:dyDescent="0.3">
      <c r="G33005" s="1"/>
      <c r="N33005" s="1"/>
    </row>
    <row r="33006" spans="7:14" x14ac:dyDescent="0.3">
      <c r="G33006" s="1"/>
      <c r="N33006" s="1"/>
    </row>
    <row r="33007" spans="7:14" x14ac:dyDescent="0.3">
      <c r="G33007" s="1"/>
      <c r="N33007" s="1"/>
    </row>
    <row r="33008" spans="7:14" x14ac:dyDescent="0.3">
      <c r="G33008" s="1"/>
      <c r="N33008" s="1"/>
    </row>
    <row r="33009" spans="7:14" x14ac:dyDescent="0.3">
      <c r="G33009" s="1"/>
      <c r="N33009" s="1"/>
    </row>
    <row r="33010" spans="7:14" x14ac:dyDescent="0.3">
      <c r="G33010" s="1"/>
      <c r="N33010" s="1"/>
    </row>
    <row r="33011" spans="7:14" x14ac:dyDescent="0.3">
      <c r="G33011" s="1"/>
      <c r="N33011" s="1"/>
    </row>
    <row r="33012" spans="7:14" x14ac:dyDescent="0.3">
      <c r="G33012" s="1"/>
      <c r="N33012" s="1"/>
    </row>
    <row r="33013" spans="7:14" x14ac:dyDescent="0.3">
      <c r="G33013" s="1"/>
      <c r="N33013" s="1"/>
    </row>
    <row r="33014" spans="7:14" x14ac:dyDescent="0.3">
      <c r="G33014" s="1"/>
      <c r="N33014" s="1"/>
    </row>
    <row r="33015" spans="7:14" x14ac:dyDescent="0.3">
      <c r="G33015" s="1"/>
      <c r="N33015" s="1"/>
    </row>
    <row r="33016" spans="7:14" x14ac:dyDescent="0.3">
      <c r="G33016" s="1"/>
      <c r="N33016" s="1"/>
    </row>
    <row r="33017" spans="7:14" x14ac:dyDescent="0.3">
      <c r="G33017" s="1"/>
      <c r="N33017" s="1"/>
    </row>
    <row r="33018" spans="7:14" x14ac:dyDescent="0.3">
      <c r="G33018" s="1"/>
      <c r="N33018" s="1"/>
    </row>
    <row r="33019" spans="7:14" x14ac:dyDescent="0.3">
      <c r="G33019" s="1"/>
      <c r="N33019" s="1"/>
    </row>
    <row r="33020" spans="7:14" x14ac:dyDescent="0.3">
      <c r="G33020" s="1"/>
      <c r="N33020" s="1"/>
    </row>
    <row r="33021" spans="7:14" x14ac:dyDescent="0.3">
      <c r="G33021" s="1"/>
      <c r="N33021" s="1"/>
    </row>
    <row r="33022" spans="7:14" x14ac:dyDescent="0.3">
      <c r="G33022" s="1"/>
      <c r="N33022" s="1"/>
    </row>
    <row r="33023" spans="7:14" x14ac:dyDescent="0.3">
      <c r="G33023" s="1"/>
      <c r="N33023" s="1"/>
    </row>
    <row r="33024" spans="7:14" x14ac:dyDescent="0.3">
      <c r="G33024" s="1"/>
      <c r="N33024" s="1"/>
    </row>
    <row r="33025" spans="7:14" x14ac:dyDescent="0.3">
      <c r="G33025" s="1"/>
      <c r="N33025" s="1"/>
    </row>
    <row r="33026" spans="7:14" x14ac:dyDescent="0.3">
      <c r="G33026" s="1"/>
      <c r="N33026" s="1"/>
    </row>
    <row r="33027" spans="7:14" x14ac:dyDescent="0.3">
      <c r="G33027" s="1"/>
      <c r="N33027" s="1"/>
    </row>
    <row r="33028" spans="7:14" x14ac:dyDescent="0.3">
      <c r="G33028" s="1"/>
      <c r="N33028" s="1"/>
    </row>
    <row r="33029" spans="7:14" x14ac:dyDescent="0.3">
      <c r="G33029" s="1"/>
      <c r="N33029" s="1"/>
    </row>
    <row r="33030" spans="7:14" x14ac:dyDescent="0.3">
      <c r="G33030" s="1"/>
      <c r="N33030" s="1"/>
    </row>
    <row r="33031" spans="7:14" x14ac:dyDescent="0.3">
      <c r="G33031" s="1"/>
      <c r="N33031" s="1"/>
    </row>
    <row r="33032" spans="7:14" x14ac:dyDescent="0.3">
      <c r="G33032" s="1"/>
      <c r="N33032" s="1"/>
    </row>
    <row r="33033" spans="7:14" x14ac:dyDescent="0.3">
      <c r="G33033" s="1"/>
      <c r="N33033" s="1"/>
    </row>
    <row r="33034" spans="7:14" x14ac:dyDescent="0.3">
      <c r="G33034" s="1"/>
      <c r="N33034" s="1"/>
    </row>
    <row r="33035" spans="7:14" x14ac:dyDescent="0.3">
      <c r="G33035" s="1"/>
      <c r="N33035" s="1"/>
    </row>
    <row r="33036" spans="7:14" x14ac:dyDescent="0.3">
      <c r="G33036" s="1"/>
      <c r="N33036" s="1"/>
    </row>
    <row r="33037" spans="7:14" x14ac:dyDescent="0.3">
      <c r="G33037" s="1"/>
      <c r="N33037" s="1"/>
    </row>
    <row r="33038" spans="7:14" x14ac:dyDescent="0.3">
      <c r="G33038" s="1"/>
      <c r="N33038" s="1"/>
    </row>
    <row r="33039" spans="7:14" x14ac:dyDescent="0.3">
      <c r="G33039" s="1"/>
      <c r="N33039" s="1"/>
    </row>
    <row r="33040" spans="7:14" x14ac:dyDescent="0.3">
      <c r="G33040" s="1"/>
      <c r="N33040" s="1"/>
    </row>
    <row r="33041" spans="7:14" x14ac:dyDescent="0.3">
      <c r="G33041" s="1"/>
      <c r="N33041" s="1"/>
    </row>
    <row r="33042" spans="7:14" x14ac:dyDescent="0.3">
      <c r="G33042" s="1"/>
      <c r="N33042" s="1"/>
    </row>
    <row r="33043" spans="7:14" x14ac:dyDescent="0.3">
      <c r="G33043" s="1"/>
      <c r="N33043" s="1"/>
    </row>
    <row r="33044" spans="7:14" x14ac:dyDescent="0.3">
      <c r="G33044" s="1"/>
      <c r="N33044" s="1"/>
    </row>
    <row r="33045" spans="7:14" x14ac:dyDescent="0.3">
      <c r="G33045" s="1"/>
      <c r="N33045" s="1"/>
    </row>
    <row r="33046" spans="7:14" x14ac:dyDescent="0.3">
      <c r="G33046" s="1"/>
      <c r="N33046" s="1"/>
    </row>
    <row r="33047" spans="7:14" x14ac:dyDescent="0.3">
      <c r="G33047" s="1"/>
      <c r="N33047" s="1"/>
    </row>
    <row r="33048" spans="7:14" x14ac:dyDescent="0.3">
      <c r="G33048" s="1"/>
      <c r="N33048" s="1"/>
    </row>
    <row r="33049" spans="7:14" x14ac:dyDescent="0.3">
      <c r="G33049" s="1"/>
      <c r="N33049" s="1"/>
    </row>
    <row r="33050" spans="7:14" x14ac:dyDescent="0.3">
      <c r="G33050" s="1"/>
      <c r="N33050" s="1"/>
    </row>
    <row r="33051" spans="7:14" x14ac:dyDescent="0.3">
      <c r="G33051" s="1"/>
      <c r="N33051" s="1"/>
    </row>
    <row r="33052" spans="7:14" x14ac:dyDescent="0.3">
      <c r="G33052" s="1"/>
      <c r="N33052" s="1"/>
    </row>
    <row r="33053" spans="7:14" x14ac:dyDescent="0.3">
      <c r="G33053" s="1"/>
      <c r="N33053" s="1"/>
    </row>
    <row r="33054" spans="7:14" x14ac:dyDescent="0.3">
      <c r="G33054" s="1"/>
      <c r="N33054" s="1"/>
    </row>
    <row r="33055" spans="7:14" x14ac:dyDescent="0.3">
      <c r="G33055" s="1"/>
      <c r="N33055" s="1"/>
    </row>
    <row r="33056" spans="7:14" x14ac:dyDescent="0.3">
      <c r="G33056" s="1"/>
      <c r="N33056" s="1"/>
    </row>
    <row r="33057" spans="7:14" x14ac:dyDescent="0.3">
      <c r="G33057" s="1"/>
      <c r="N33057" s="1"/>
    </row>
    <row r="33058" spans="7:14" x14ac:dyDescent="0.3">
      <c r="G33058" s="1"/>
      <c r="N33058" s="1"/>
    </row>
    <row r="33059" spans="7:14" x14ac:dyDescent="0.3">
      <c r="G33059" s="1"/>
      <c r="N33059" s="1"/>
    </row>
    <row r="33060" spans="7:14" x14ac:dyDescent="0.3">
      <c r="G33060" s="1"/>
      <c r="N33060" s="1"/>
    </row>
    <row r="33061" spans="7:14" x14ac:dyDescent="0.3">
      <c r="G33061" s="1"/>
      <c r="N33061" s="1"/>
    </row>
    <row r="33062" spans="7:14" x14ac:dyDescent="0.3">
      <c r="G33062" s="1"/>
      <c r="N33062" s="1"/>
    </row>
    <row r="33063" spans="7:14" x14ac:dyDescent="0.3">
      <c r="G33063" s="1"/>
      <c r="N33063" s="1"/>
    </row>
    <row r="33064" spans="7:14" x14ac:dyDescent="0.3">
      <c r="G33064" s="1"/>
      <c r="N33064" s="1"/>
    </row>
    <row r="33065" spans="7:14" x14ac:dyDescent="0.3">
      <c r="G33065" s="1"/>
      <c r="N33065" s="1"/>
    </row>
    <row r="33066" spans="7:14" x14ac:dyDescent="0.3">
      <c r="G33066" s="1"/>
      <c r="N33066" s="1"/>
    </row>
    <row r="33067" spans="7:14" x14ac:dyDescent="0.3">
      <c r="G33067" s="1"/>
      <c r="N33067" s="1"/>
    </row>
    <row r="33068" spans="7:14" x14ac:dyDescent="0.3">
      <c r="G33068" s="1"/>
      <c r="N33068" s="1"/>
    </row>
    <row r="33069" spans="7:14" x14ac:dyDescent="0.3">
      <c r="G33069" s="1"/>
      <c r="N33069" s="1"/>
    </row>
    <row r="33070" spans="7:14" x14ac:dyDescent="0.3">
      <c r="G33070" s="1"/>
      <c r="N33070" s="1"/>
    </row>
    <row r="33071" spans="7:14" x14ac:dyDescent="0.3">
      <c r="G33071" s="1"/>
      <c r="N33071" s="1"/>
    </row>
    <row r="33072" spans="7:14" x14ac:dyDescent="0.3">
      <c r="G33072" s="1"/>
      <c r="N33072" s="1"/>
    </row>
    <row r="33073" spans="7:14" x14ac:dyDescent="0.3">
      <c r="G33073" s="1"/>
      <c r="N33073" s="1"/>
    </row>
    <row r="33074" spans="7:14" x14ac:dyDescent="0.3">
      <c r="G33074" s="1"/>
      <c r="N33074" s="1"/>
    </row>
    <row r="33075" spans="7:14" x14ac:dyDescent="0.3">
      <c r="G33075" s="1"/>
      <c r="N33075" s="1"/>
    </row>
    <row r="33076" spans="7:14" x14ac:dyDescent="0.3">
      <c r="G33076" s="1"/>
      <c r="N33076" s="1"/>
    </row>
    <row r="33077" spans="7:14" x14ac:dyDescent="0.3">
      <c r="G33077" s="1"/>
      <c r="N33077" s="1"/>
    </row>
    <row r="33078" spans="7:14" x14ac:dyDescent="0.3">
      <c r="G33078" s="1"/>
      <c r="N33078" s="1"/>
    </row>
    <row r="33079" spans="7:14" x14ac:dyDescent="0.3">
      <c r="G33079" s="1"/>
      <c r="N33079" s="1"/>
    </row>
    <row r="33080" spans="7:14" x14ac:dyDescent="0.3">
      <c r="G33080" s="1"/>
      <c r="N33080" s="1"/>
    </row>
    <row r="33081" spans="7:14" x14ac:dyDescent="0.3">
      <c r="G33081" s="1"/>
      <c r="N33081" s="1"/>
    </row>
    <row r="33082" spans="7:14" x14ac:dyDescent="0.3">
      <c r="G33082" s="1"/>
      <c r="N33082" s="1"/>
    </row>
    <row r="33083" spans="7:14" x14ac:dyDescent="0.3">
      <c r="G33083" s="1"/>
      <c r="N33083" s="1"/>
    </row>
    <row r="33084" spans="7:14" x14ac:dyDescent="0.3">
      <c r="G33084" s="1"/>
      <c r="N33084" s="1"/>
    </row>
    <row r="33085" spans="7:14" x14ac:dyDescent="0.3">
      <c r="G33085" s="1"/>
      <c r="N33085" s="1"/>
    </row>
    <row r="33086" spans="7:14" x14ac:dyDescent="0.3">
      <c r="G33086" s="1"/>
      <c r="N33086" s="1"/>
    </row>
    <row r="33087" spans="7:14" x14ac:dyDescent="0.3">
      <c r="G33087" s="1"/>
      <c r="N33087" s="1"/>
    </row>
    <row r="33088" spans="7:14" x14ac:dyDescent="0.3">
      <c r="G33088" s="1"/>
      <c r="N33088" s="1"/>
    </row>
    <row r="33089" spans="7:14" x14ac:dyDescent="0.3">
      <c r="G33089" s="1"/>
      <c r="N33089" s="1"/>
    </row>
    <row r="33090" spans="7:14" x14ac:dyDescent="0.3">
      <c r="G33090" s="1"/>
      <c r="N33090" s="1"/>
    </row>
    <row r="33091" spans="7:14" x14ac:dyDescent="0.3">
      <c r="G33091" s="1"/>
      <c r="N33091" s="1"/>
    </row>
    <row r="33092" spans="7:14" x14ac:dyDescent="0.3">
      <c r="G33092" s="1"/>
      <c r="N33092" s="1"/>
    </row>
    <row r="33093" spans="7:14" x14ac:dyDescent="0.3">
      <c r="G33093" s="1"/>
      <c r="N33093" s="1"/>
    </row>
    <row r="33094" spans="7:14" x14ac:dyDescent="0.3">
      <c r="G33094" s="1"/>
      <c r="N33094" s="1"/>
    </row>
    <row r="33095" spans="7:14" x14ac:dyDescent="0.3">
      <c r="G33095" s="1"/>
      <c r="N33095" s="1"/>
    </row>
    <row r="33096" spans="7:14" x14ac:dyDescent="0.3">
      <c r="G33096" s="1"/>
      <c r="N33096" s="1"/>
    </row>
    <row r="33097" spans="7:14" x14ac:dyDescent="0.3">
      <c r="G33097" s="1"/>
      <c r="N33097" s="1"/>
    </row>
    <row r="33098" spans="7:14" x14ac:dyDescent="0.3">
      <c r="G33098" s="1"/>
      <c r="N33098" s="1"/>
    </row>
    <row r="33099" spans="7:14" x14ac:dyDescent="0.3">
      <c r="G33099" s="1"/>
      <c r="N33099" s="1"/>
    </row>
    <row r="33100" spans="7:14" x14ac:dyDescent="0.3">
      <c r="G33100" s="1"/>
      <c r="N33100" s="1"/>
    </row>
    <row r="33101" spans="7:14" x14ac:dyDescent="0.3">
      <c r="G33101" s="1"/>
      <c r="N33101" s="1"/>
    </row>
    <row r="33102" spans="7:14" x14ac:dyDescent="0.3">
      <c r="G33102" s="1"/>
      <c r="N33102" s="1"/>
    </row>
    <row r="33103" spans="7:14" x14ac:dyDescent="0.3">
      <c r="G33103" s="1"/>
      <c r="N33103" s="1"/>
    </row>
    <row r="33104" spans="7:14" x14ac:dyDescent="0.3">
      <c r="G33104" s="1"/>
      <c r="N33104" s="1"/>
    </row>
    <row r="33105" spans="7:14" x14ac:dyDescent="0.3">
      <c r="G33105" s="1"/>
      <c r="N33105" s="1"/>
    </row>
    <row r="33106" spans="7:14" x14ac:dyDescent="0.3">
      <c r="G33106" s="1"/>
      <c r="N33106" s="1"/>
    </row>
    <row r="33107" spans="7:14" x14ac:dyDescent="0.3">
      <c r="G33107" s="1"/>
      <c r="N33107" s="1"/>
    </row>
    <row r="33108" spans="7:14" x14ac:dyDescent="0.3">
      <c r="G33108" s="1"/>
      <c r="N33108" s="1"/>
    </row>
    <row r="33109" spans="7:14" x14ac:dyDescent="0.3">
      <c r="G33109" s="1"/>
      <c r="N33109" s="1"/>
    </row>
    <row r="33110" spans="7:14" x14ac:dyDescent="0.3">
      <c r="G33110" s="1"/>
      <c r="N33110" s="1"/>
    </row>
    <row r="33111" spans="7:14" x14ac:dyDescent="0.3">
      <c r="G33111" s="1"/>
      <c r="N33111" s="1"/>
    </row>
    <row r="33112" spans="7:14" x14ac:dyDescent="0.3">
      <c r="G33112" s="1"/>
      <c r="N33112" s="1"/>
    </row>
    <row r="33113" spans="7:14" x14ac:dyDescent="0.3">
      <c r="G33113" s="1"/>
      <c r="N33113" s="1"/>
    </row>
    <row r="33114" spans="7:14" x14ac:dyDescent="0.3">
      <c r="G33114" s="1"/>
      <c r="N33114" s="1"/>
    </row>
    <row r="33115" spans="7:14" x14ac:dyDescent="0.3">
      <c r="G33115" s="1"/>
      <c r="N33115" s="1"/>
    </row>
    <row r="33116" spans="7:14" x14ac:dyDescent="0.3">
      <c r="G33116" s="1"/>
      <c r="N33116" s="1"/>
    </row>
    <row r="33117" spans="7:14" x14ac:dyDescent="0.3">
      <c r="G33117" s="1"/>
      <c r="N33117" s="1"/>
    </row>
    <row r="33118" spans="7:14" x14ac:dyDescent="0.3">
      <c r="G33118" s="1"/>
      <c r="N33118" s="1"/>
    </row>
    <row r="33119" spans="7:14" x14ac:dyDescent="0.3">
      <c r="G33119" s="1"/>
      <c r="N33119" s="1"/>
    </row>
    <row r="33120" spans="7:14" x14ac:dyDescent="0.3">
      <c r="G33120" s="1"/>
      <c r="N33120" s="1"/>
    </row>
    <row r="33121" spans="7:14" x14ac:dyDescent="0.3">
      <c r="G33121" s="1"/>
      <c r="N33121" s="1"/>
    </row>
    <row r="33122" spans="7:14" x14ac:dyDescent="0.3">
      <c r="G33122" s="1"/>
      <c r="N33122" s="1"/>
    </row>
    <row r="33123" spans="7:14" x14ac:dyDescent="0.3">
      <c r="G33123" s="1"/>
      <c r="N33123" s="1"/>
    </row>
    <row r="33124" spans="7:14" x14ac:dyDescent="0.3">
      <c r="G33124" s="1"/>
      <c r="N33124" s="1"/>
    </row>
    <row r="33125" spans="7:14" x14ac:dyDescent="0.3">
      <c r="G33125" s="1"/>
      <c r="N33125" s="1"/>
    </row>
    <row r="33126" spans="7:14" x14ac:dyDescent="0.3">
      <c r="G33126" s="1"/>
      <c r="N33126" s="1"/>
    </row>
    <row r="33127" spans="7:14" x14ac:dyDescent="0.3">
      <c r="G33127" s="1"/>
      <c r="N33127" s="1"/>
    </row>
    <row r="33128" spans="7:14" x14ac:dyDescent="0.3">
      <c r="G33128" s="1"/>
      <c r="N33128" s="1"/>
    </row>
    <row r="33129" spans="7:14" x14ac:dyDescent="0.3">
      <c r="G33129" s="1"/>
      <c r="N33129" s="1"/>
    </row>
    <row r="33130" spans="7:14" x14ac:dyDescent="0.3">
      <c r="G33130" s="1"/>
      <c r="N33130" s="1"/>
    </row>
    <row r="33131" spans="7:14" x14ac:dyDescent="0.3">
      <c r="G33131" s="1"/>
      <c r="N33131" s="1"/>
    </row>
    <row r="33132" spans="7:14" x14ac:dyDescent="0.3">
      <c r="G33132" s="1"/>
      <c r="N33132" s="1"/>
    </row>
    <row r="33133" spans="7:14" x14ac:dyDescent="0.3">
      <c r="G33133" s="1"/>
      <c r="N33133" s="1"/>
    </row>
    <row r="33134" spans="7:14" x14ac:dyDescent="0.3">
      <c r="G33134" s="1"/>
      <c r="N33134" s="1"/>
    </row>
    <row r="33135" spans="7:14" x14ac:dyDescent="0.3">
      <c r="G33135" s="1"/>
      <c r="N33135" s="1"/>
    </row>
    <row r="33136" spans="7:14" x14ac:dyDescent="0.3">
      <c r="G33136" s="1"/>
      <c r="N33136" s="1"/>
    </row>
    <row r="33137" spans="7:14" x14ac:dyDescent="0.3">
      <c r="G33137" s="1"/>
      <c r="N33137" s="1"/>
    </row>
    <row r="33138" spans="7:14" x14ac:dyDescent="0.3">
      <c r="G33138" s="1"/>
      <c r="N33138" s="1"/>
    </row>
    <row r="33139" spans="7:14" x14ac:dyDescent="0.3">
      <c r="G33139" s="1"/>
      <c r="N33139" s="1"/>
    </row>
    <row r="33140" spans="7:14" x14ac:dyDescent="0.3">
      <c r="G33140" s="1"/>
      <c r="N33140" s="1"/>
    </row>
    <row r="33141" spans="7:14" x14ac:dyDescent="0.3">
      <c r="G33141" s="1"/>
      <c r="N33141" s="1"/>
    </row>
    <row r="33142" spans="7:14" x14ac:dyDescent="0.3">
      <c r="G33142" s="1"/>
      <c r="N33142" s="1"/>
    </row>
    <row r="33143" spans="7:14" x14ac:dyDescent="0.3">
      <c r="G33143" s="1"/>
      <c r="N33143" s="1"/>
    </row>
    <row r="33144" spans="7:14" x14ac:dyDescent="0.3">
      <c r="G33144" s="1"/>
      <c r="N33144" s="1"/>
    </row>
    <row r="33145" spans="7:14" x14ac:dyDescent="0.3">
      <c r="G33145" s="1"/>
      <c r="N33145" s="1"/>
    </row>
    <row r="33146" spans="7:14" x14ac:dyDescent="0.3">
      <c r="G33146" s="1"/>
      <c r="N33146" s="1"/>
    </row>
    <row r="33147" spans="7:14" x14ac:dyDescent="0.3">
      <c r="G33147" s="1"/>
      <c r="N33147" s="1"/>
    </row>
    <row r="33148" spans="7:14" x14ac:dyDescent="0.3">
      <c r="G33148" s="1"/>
      <c r="N33148" s="1"/>
    </row>
    <row r="33149" spans="7:14" x14ac:dyDescent="0.3">
      <c r="G33149" s="1"/>
      <c r="N33149" s="1"/>
    </row>
    <row r="33150" spans="7:14" x14ac:dyDescent="0.3">
      <c r="G33150" s="1"/>
      <c r="N33150" s="1"/>
    </row>
    <row r="33151" spans="7:14" x14ac:dyDescent="0.3">
      <c r="G33151" s="1"/>
      <c r="N33151" s="1"/>
    </row>
    <row r="33152" spans="7:14" x14ac:dyDescent="0.3">
      <c r="G33152" s="1"/>
      <c r="N33152" s="1"/>
    </row>
    <row r="33153" spans="7:14" x14ac:dyDescent="0.3">
      <c r="G33153" s="1"/>
      <c r="N33153" s="1"/>
    </row>
    <row r="33154" spans="7:14" x14ac:dyDescent="0.3">
      <c r="G33154" s="1"/>
      <c r="N33154" s="1"/>
    </row>
    <row r="33155" spans="7:14" x14ac:dyDescent="0.3">
      <c r="G33155" s="1"/>
      <c r="N33155" s="1"/>
    </row>
    <row r="33156" spans="7:14" x14ac:dyDescent="0.3">
      <c r="G33156" s="1"/>
      <c r="N33156" s="1"/>
    </row>
    <row r="33157" spans="7:14" x14ac:dyDescent="0.3">
      <c r="G33157" s="1"/>
      <c r="N33157" s="1"/>
    </row>
    <row r="33158" spans="7:14" x14ac:dyDescent="0.3">
      <c r="G33158" s="1"/>
      <c r="N33158" s="1"/>
    </row>
    <row r="33159" spans="7:14" x14ac:dyDescent="0.3">
      <c r="G33159" s="1"/>
      <c r="N33159" s="1"/>
    </row>
    <row r="33160" spans="7:14" x14ac:dyDescent="0.3">
      <c r="G33160" s="1"/>
      <c r="N33160" s="1"/>
    </row>
    <row r="33161" spans="7:14" x14ac:dyDescent="0.3">
      <c r="G33161" s="1"/>
      <c r="N33161" s="1"/>
    </row>
    <row r="33162" spans="7:14" x14ac:dyDescent="0.3">
      <c r="G33162" s="1"/>
      <c r="N33162" s="1"/>
    </row>
    <row r="33163" spans="7:14" x14ac:dyDescent="0.3">
      <c r="G33163" s="1"/>
      <c r="N33163" s="1"/>
    </row>
    <row r="33164" spans="7:14" x14ac:dyDescent="0.3">
      <c r="G33164" s="1"/>
      <c r="N33164" s="1"/>
    </row>
    <row r="33165" spans="7:14" x14ac:dyDescent="0.3">
      <c r="G33165" s="1"/>
      <c r="N33165" s="1"/>
    </row>
    <row r="33166" spans="7:14" x14ac:dyDescent="0.3">
      <c r="G33166" s="1"/>
      <c r="N33166" s="1"/>
    </row>
    <row r="33167" spans="7:14" x14ac:dyDescent="0.3">
      <c r="G33167" s="1"/>
      <c r="N33167" s="1"/>
    </row>
    <row r="33168" spans="7:14" x14ac:dyDescent="0.3">
      <c r="G33168" s="1"/>
      <c r="N33168" s="1"/>
    </row>
    <row r="33169" spans="7:14" x14ac:dyDescent="0.3">
      <c r="G33169" s="1"/>
      <c r="N33169" s="1"/>
    </row>
    <row r="33170" spans="7:14" x14ac:dyDescent="0.3">
      <c r="G33170" s="1"/>
      <c r="N33170" s="1"/>
    </row>
    <row r="33171" spans="7:14" x14ac:dyDescent="0.3">
      <c r="G33171" s="1"/>
      <c r="N33171" s="1"/>
    </row>
    <row r="33172" spans="7:14" x14ac:dyDescent="0.3">
      <c r="G33172" s="1"/>
      <c r="N33172" s="1"/>
    </row>
    <row r="33173" spans="7:14" x14ac:dyDescent="0.3">
      <c r="G33173" s="1"/>
      <c r="N33173" s="1"/>
    </row>
    <row r="33174" spans="7:14" x14ac:dyDescent="0.3">
      <c r="G33174" s="1"/>
      <c r="N33174" s="1"/>
    </row>
    <row r="33175" spans="7:14" x14ac:dyDescent="0.3">
      <c r="G33175" s="1"/>
      <c r="N33175" s="1"/>
    </row>
    <row r="33176" spans="7:14" x14ac:dyDescent="0.3">
      <c r="G33176" s="1"/>
      <c r="N33176" s="1"/>
    </row>
    <row r="33177" spans="7:14" x14ac:dyDescent="0.3">
      <c r="G33177" s="1"/>
      <c r="N33177" s="1"/>
    </row>
    <row r="33178" spans="7:14" x14ac:dyDescent="0.3">
      <c r="G33178" s="1"/>
      <c r="N33178" s="1"/>
    </row>
    <row r="33179" spans="7:14" x14ac:dyDescent="0.3">
      <c r="G33179" s="1"/>
      <c r="N33179" s="1"/>
    </row>
    <row r="33180" spans="7:14" x14ac:dyDescent="0.3">
      <c r="G33180" s="1"/>
      <c r="N33180" s="1"/>
    </row>
    <row r="33181" spans="7:14" x14ac:dyDescent="0.3">
      <c r="G33181" s="1"/>
      <c r="N33181" s="1"/>
    </row>
    <row r="33182" spans="7:14" x14ac:dyDescent="0.3">
      <c r="G33182" s="1"/>
      <c r="N33182" s="1"/>
    </row>
    <row r="33183" spans="7:14" x14ac:dyDescent="0.3">
      <c r="G33183" s="1"/>
      <c r="N33183" s="1"/>
    </row>
    <row r="33184" spans="7:14" x14ac:dyDescent="0.3">
      <c r="G33184" s="1"/>
      <c r="N33184" s="1"/>
    </row>
    <row r="33185" spans="7:14" x14ac:dyDescent="0.3">
      <c r="G33185" s="1"/>
      <c r="N33185" s="1"/>
    </row>
    <row r="33186" spans="7:14" x14ac:dyDescent="0.3">
      <c r="G33186" s="1"/>
      <c r="N33186" s="1"/>
    </row>
    <row r="33187" spans="7:14" x14ac:dyDescent="0.3">
      <c r="G33187" s="1"/>
      <c r="N33187" s="1"/>
    </row>
    <row r="33188" spans="7:14" x14ac:dyDescent="0.3">
      <c r="G33188" s="1"/>
      <c r="N33188" s="1"/>
    </row>
    <row r="33189" spans="7:14" x14ac:dyDescent="0.3">
      <c r="G33189" s="1"/>
      <c r="N33189" s="1"/>
    </row>
    <row r="33190" spans="7:14" x14ac:dyDescent="0.3">
      <c r="G33190" s="1"/>
      <c r="N33190" s="1"/>
    </row>
    <row r="33191" spans="7:14" x14ac:dyDescent="0.3">
      <c r="G33191" s="1"/>
      <c r="N33191" s="1"/>
    </row>
    <row r="33192" spans="7:14" x14ac:dyDescent="0.3">
      <c r="G33192" s="1"/>
      <c r="N33192" s="1"/>
    </row>
    <row r="33193" spans="7:14" x14ac:dyDescent="0.3">
      <c r="G33193" s="1"/>
      <c r="N33193" s="1"/>
    </row>
    <row r="33194" spans="7:14" x14ac:dyDescent="0.3">
      <c r="G33194" s="1"/>
      <c r="N33194" s="1"/>
    </row>
    <row r="33195" spans="7:14" x14ac:dyDescent="0.3">
      <c r="G33195" s="1"/>
      <c r="N33195" s="1"/>
    </row>
    <row r="33196" spans="7:14" x14ac:dyDescent="0.3">
      <c r="G33196" s="1"/>
      <c r="N33196" s="1"/>
    </row>
    <row r="33197" spans="7:14" x14ac:dyDescent="0.3">
      <c r="G33197" s="1"/>
      <c r="N33197" s="1"/>
    </row>
    <row r="33198" spans="7:14" x14ac:dyDescent="0.3">
      <c r="G33198" s="1"/>
      <c r="N33198" s="1"/>
    </row>
    <row r="33199" spans="7:14" x14ac:dyDescent="0.3">
      <c r="G33199" s="1"/>
      <c r="N33199" s="1"/>
    </row>
    <row r="33200" spans="7:14" x14ac:dyDescent="0.3">
      <c r="G33200" s="1"/>
      <c r="N33200" s="1"/>
    </row>
    <row r="33201" spans="7:14" x14ac:dyDescent="0.3">
      <c r="G33201" s="1"/>
      <c r="N33201" s="1"/>
    </row>
    <row r="33202" spans="7:14" x14ac:dyDescent="0.3">
      <c r="G33202" s="1"/>
      <c r="N33202" s="1"/>
    </row>
    <row r="33203" spans="7:14" x14ac:dyDescent="0.3">
      <c r="G33203" s="1"/>
      <c r="N33203" s="1"/>
    </row>
    <row r="33204" spans="7:14" x14ac:dyDescent="0.3">
      <c r="G33204" s="1"/>
      <c r="N33204" s="1"/>
    </row>
    <row r="33205" spans="7:14" x14ac:dyDescent="0.3">
      <c r="G33205" s="1"/>
      <c r="N33205" s="1"/>
    </row>
    <row r="33206" spans="7:14" x14ac:dyDescent="0.3">
      <c r="G33206" s="1"/>
      <c r="N33206" s="1"/>
    </row>
    <row r="33207" spans="7:14" x14ac:dyDescent="0.3">
      <c r="G33207" s="1"/>
      <c r="N33207" s="1"/>
    </row>
    <row r="33208" spans="7:14" x14ac:dyDescent="0.3">
      <c r="G33208" s="1"/>
      <c r="N33208" s="1"/>
    </row>
    <row r="33209" spans="7:14" x14ac:dyDescent="0.3">
      <c r="G33209" s="1"/>
      <c r="N33209" s="1"/>
    </row>
    <row r="33210" spans="7:14" x14ac:dyDescent="0.3">
      <c r="G33210" s="1"/>
      <c r="N33210" s="1"/>
    </row>
    <row r="33211" spans="7:14" x14ac:dyDescent="0.3">
      <c r="G33211" s="1"/>
      <c r="N33211" s="1"/>
    </row>
    <row r="33212" spans="7:14" x14ac:dyDescent="0.3">
      <c r="G33212" s="1"/>
      <c r="N33212" s="1"/>
    </row>
    <row r="33213" spans="7:14" x14ac:dyDescent="0.3">
      <c r="G33213" s="1"/>
      <c r="N33213" s="1"/>
    </row>
    <row r="33214" spans="7:14" x14ac:dyDescent="0.3">
      <c r="G33214" s="1"/>
      <c r="N33214" s="1"/>
    </row>
    <row r="33215" spans="7:14" x14ac:dyDescent="0.3">
      <c r="G33215" s="1"/>
      <c r="N33215" s="1"/>
    </row>
    <row r="33216" spans="7:14" x14ac:dyDescent="0.3">
      <c r="G33216" s="1"/>
      <c r="N33216" s="1"/>
    </row>
    <row r="33217" spans="7:14" x14ac:dyDescent="0.3">
      <c r="G33217" s="1"/>
      <c r="N33217" s="1"/>
    </row>
    <row r="33218" spans="7:14" x14ac:dyDescent="0.3">
      <c r="G33218" s="1"/>
      <c r="N33218" s="1"/>
    </row>
    <row r="33219" spans="7:14" x14ac:dyDescent="0.3">
      <c r="G33219" s="1"/>
      <c r="N33219" s="1"/>
    </row>
    <row r="33220" spans="7:14" x14ac:dyDescent="0.3">
      <c r="G33220" s="1"/>
      <c r="N33220" s="1"/>
    </row>
    <row r="33221" spans="7:14" x14ac:dyDescent="0.3">
      <c r="G33221" s="1"/>
      <c r="N33221" s="1"/>
    </row>
    <row r="33222" spans="7:14" x14ac:dyDescent="0.3">
      <c r="G33222" s="1"/>
      <c r="N33222" s="1"/>
    </row>
    <row r="33223" spans="7:14" x14ac:dyDescent="0.3">
      <c r="G33223" s="1"/>
      <c r="N33223" s="1"/>
    </row>
    <row r="33224" spans="7:14" x14ac:dyDescent="0.3">
      <c r="G33224" s="1"/>
      <c r="N33224" s="1"/>
    </row>
    <row r="33225" spans="7:14" x14ac:dyDescent="0.3">
      <c r="G33225" s="1"/>
      <c r="N33225" s="1"/>
    </row>
    <row r="33226" spans="7:14" x14ac:dyDescent="0.3">
      <c r="G33226" s="1"/>
      <c r="N33226" s="1"/>
    </row>
    <row r="33227" spans="7:14" x14ac:dyDescent="0.3">
      <c r="G33227" s="1"/>
      <c r="N33227" s="1"/>
    </row>
    <row r="33228" spans="7:14" x14ac:dyDescent="0.3">
      <c r="G33228" s="1"/>
      <c r="N33228" s="1"/>
    </row>
    <row r="33229" spans="7:14" x14ac:dyDescent="0.3">
      <c r="G33229" s="1"/>
      <c r="N33229" s="1"/>
    </row>
    <row r="33230" spans="7:14" x14ac:dyDescent="0.3">
      <c r="G33230" s="1"/>
      <c r="N33230" s="1"/>
    </row>
    <row r="33231" spans="7:14" x14ac:dyDescent="0.3">
      <c r="G33231" s="1"/>
      <c r="N33231" s="1"/>
    </row>
    <row r="33232" spans="7:14" x14ac:dyDescent="0.3">
      <c r="G33232" s="1"/>
      <c r="N33232" s="1"/>
    </row>
    <row r="33233" spans="7:14" x14ac:dyDescent="0.3">
      <c r="G33233" s="1"/>
      <c r="N33233" s="1"/>
    </row>
    <row r="33234" spans="7:14" x14ac:dyDescent="0.3">
      <c r="G33234" s="1"/>
      <c r="N33234" s="1"/>
    </row>
    <row r="33235" spans="7:14" x14ac:dyDescent="0.3">
      <c r="G33235" s="1"/>
      <c r="N33235" s="1"/>
    </row>
    <row r="33236" spans="7:14" x14ac:dyDescent="0.3">
      <c r="G33236" s="1"/>
      <c r="N33236" s="1"/>
    </row>
    <row r="33237" spans="7:14" x14ac:dyDescent="0.3">
      <c r="G33237" s="1"/>
      <c r="N33237" s="1"/>
    </row>
    <row r="33238" spans="7:14" x14ac:dyDescent="0.3">
      <c r="G33238" s="1"/>
      <c r="N33238" s="1"/>
    </row>
    <row r="33239" spans="7:14" x14ac:dyDescent="0.3">
      <c r="G33239" s="1"/>
      <c r="N33239" s="1"/>
    </row>
    <row r="33240" spans="7:14" x14ac:dyDescent="0.3">
      <c r="G33240" s="1"/>
      <c r="N33240" s="1"/>
    </row>
    <row r="33241" spans="7:14" x14ac:dyDescent="0.3">
      <c r="G33241" s="1"/>
      <c r="N33241" s="1"/>
    </row>
    <row r="33242" spans="7:14" x14ac:dyDescent="0.3">
      <c r="G33242" s="1"/>
      <c r="N33242" s="1"/>
    </row>
    <row r="33243" spans="7:14" x14ac:dyDescent="0.3">
      <c r="G33243" s="1"/>
      <c r="N33243" s="1"/>
    </row>
    <row r="33244" spans="7:14" x14ac:dyDescent="0.3">
      <c r="G33244" s="1"/>
      <c r="N33244" s="1"/>
    </row>
    <row r="33245" spans="7:14" x14ac:dyDescent="0.3">
      <c r="G33245" s="1"/>
      <c r="N33245" s="1"/>
    </row>
    <row r="33246" spans="7:14" x14ac:dyDescent="0.3">
      <c r="G33246" s="1"/>
      <c r="N33246" s="1"/>
    </row>
    <row r="33247" spans="7:14" x14ac:dyDescent="0.3">
      <c r="G33247" s="1"/>
      <c r="N33247" s="1"/>
    </row>
    <row r="33248" spans="7:14" x14ac:dyDescent="0.3">
      <c r="G33248" s="1"/>
      <c r="N33248" s="1"/>
    </row>
    <row r="33249" spans="7:14" x14ac:dyDescent="0.3">
      <c r="G33249" s="1"/>
      <c r="N33249" s="1"/>
    </row>
    <row r="33250" spans="7:14" x14ac:dyDescent="0.3">
      <c r="G33250" s="1"/>
      <c r="N33250" s="1"/>
    </row>
    <row r="33251" spans="7:14" x14ac:dyDescent="0.3">
      <c r="G33251" s="1"/>
      <c r="N33251" s="1"/>
    </row>
    <row r="33252" spans="7:14" x14ac:dyDescent="0.3">
      <c r="G33252" s="1"/>
      <c r="N33252" s="1"/>
    </row>
    <row r="33253" spans="7:14" x14ac:dyDescent="0.3">
      <c r="G33253" s="1"/>
      <c r="N33253" s="1"/>
    </row>
    <row r="33254" spans="7:14" x14ac:dyDescent="0.3">
      <c r="G33254" s="1"/>
      <c r="N33254" s="1"/>
    </row>
    <row r="33255" spans="7:14" x14ac:dyDescent="0.3">
      <c r="G33255" s="1"/>
      <c r="N33255" s="1"/>
    </row>
    <row r="33256" spans="7:14" x14ac:dyDescent="0.3">
      <c r="G33256" s="1"/>
      <c r="N33256" s="1"/>
    </row>
    <row r="33257" spans="7:14" x14ac:dyDescent="0.3">
      <c r="G33257" s="1"/>
      <c r="N33257" s="1"/>
    </row>
    <row r="33258" spans="7:14" x14ac:dyDescent="0.3">
      <c r="G33258" s="1"/>
      <c r="N33258" s="1"/>
    </row>
    <row r="33259" spans="7:14" x14ac:dyDescent="0.3">
      <c r="G33259" s="1"/>
      <c r="N33259" s="1"/>
    </row>
    <row r="33260" spans="7:14" x14ac:dyDescent="0.3">
      <c r="G33260" s="1"/>
      <c r="N33260" s="1"/>
    </row>
    <row r="33261" spans="7:14" x14ac:dyDescent="0.3">
      <c r="G33261" s="1"/>
      <c r="N33261" s="1"/>
    </row>
    <row r="33262" spans="7:14" x14ac:dyDescent="0.3">
      <c r="G33262" s="1"/>
      <c r="N33262" s="1"/>
    </row>
    <row r="33263" spans="7:14" x14ac:dyDescent="0.3">
      <c r="G33263" s="1"/>
      <c r="N33263" s="1"/>
    </row>
    <row r="33264" spans="7:14" x14ac:dyDescent="0.3">
      <c r="G33264" s="1"/>
      <c r="N33264" s="1"/>
    </row>
    <row r="33265" spans="7:14" x14ac:dyDescent="0.3">
      <c r="G33265" s="1"/>
      <c r="N33265" s="1"/>
    </row>
    <row r="33266" spans="7:14" x14ac:dyDescent="0.3">
      <c r="G33266" s="1"/>
      <c r="N33266" s="1"/>
    </row>
    <row r="33267" spans="7:14" x14ac:dyDescent="0.3">
      <c r="G33267" s="1"/>
      <c r="N33267" s="1"/>
    </row>
    <row r="33268" spans="7:14" x14ac:dyDescent="0.3">
      <c r="G33268" s="1"/>
      <c r="N33268" s="1"/>
    </row>
    <row r="33269" spans="7:14" x14ac:dyDescent="0.3">
      <c r="G33269" s="1"/>
      <c r="N33269" s="1"/>
    </row>
    <row r="33270" spans="7:14" x14ac:dyDescent="0.3">
      <c r="G33270" s="1"/>
      <c r="N33270" s="1"/>
    </row>
    <row r="33271" spans="7:14" x14ac:dyDescent="0.3">
      <c r="G33271" s="1"/>
      <c r="N33271" s="1"/>
    </row>
    <row r="33272" spans="7:14" x14ac:dyDescent="0.3">
      <c r="G33272" s="1"/>
      <c r="N33272" s="1"/>
    </row>
    <row r="33273" spans="7:14" x14ac:dyDescent="0.3">
      <c r="G33273" s="1"/>
      <c r="N33273" s="1"/>
    </row>
    <row r="33274" spans="7:14" x14ac:dyDescent="0.3">
      <c r="G33274" s="1"/>
      <c r="N33274" s="1"/>
    </row>
    <row r="33275" spans="7:14" x14ac:dyDescent="0.3">
      <c r="G33275" s="1"/>
      <c r="N33275" s="1"/>
    </row>
    <row r="33276" spans="7:14" x14ac:dyDescent="0.3">
      <c r="G33276" s="1"/>
      <c r="N33276" s="1"/>
    </row>
    <row r="33277" spans="7:14" x14ac:dyDescent="0.3">
      <c r="G33277" s="1"/>
      <c r="N33277" s="1"/>
    </row>
    <row r="33278" spans="7:14" x14ac:dyDescent="0.3">
      <c r="G33278" s="1"/>
      <c r="N33278" s="1"/>
    </row>
    <row r="33279" spans="7:14" x14ac:dyDescent="0.3">
      <c r="G33279" s="1"/>
      <c r="N33279" s="1"/>
    </row>
    <row r="33280" spans="7:14" x14ac:dyDescent="0.3">
      <c r="G33280" s="1"/>
      <c r="N33280" s="1"/>
    </row>
    <row r="33281" spans="7:14" x14ac:dyDescent="0.3">
      <c r="G33281" s="1"/>
      <c r="N33281" s="1"/>
    </row>
    <row r="33282" spans="7:14" x14ac:dyDescent="0.3">
      <c r="G33282" s="1"/>
      <c r="N33282" s="1"/>
    </row>
    <row r="33283" spans="7:14" x14ac:dyDescent="0.3">
      <c r="G33283" s="1"/>
      <c r="N33283" s="1"/>
    </row>
    <row r="33284" spans="7:14" x14ac:dyDescent="0.3">
      <c r="G33284" s="1"/>
      <c r="N33284" s="1"/>
    </row>
    <row r="33285" spans="7:14" x14ac:dyDescent="0.3">
      <c r="G33285" s="1"/>
      <c r="N33285" s="1"/>
    </row>
    <row r="33286" spans="7:14" x14ac:dyDescent="0.3">
      <c r="G33286" s="1"/>
      <c r="N33286" s="1"/>
    </row>
    <row r="33287" spans="7:14" x14ac:dyDescent="0.3">
      <c r="G33287" s="1"/>
      <c r="N33287" s="1"/>
    </row>
    <row r="33288" spans="7:14" x14ac:dyDescent="0.3">
      <c r="G33288" s="1"/>
      <c r="N33288" s="1"/>
    </row>
    <row r="33289" spans="7:14" x14ac:dyDescent="0.3">
      <c r="G33289" s="1"/>
      <c r="N33289" s="1"/>
    </row>
    <row r="33290" spans="7:14" x14ac:dyDescent="0.3">
      <c r="G33290" s="1"/>
      <c r="N33290" s="1"/>
    </row>
    <row r="33291" spans="7:14" x14ac:dyDescent="0.3">
      <c r="G33291" s="1"/>
      <c r="N33291" s="1"/>
    </row>
    <row r="33292" spans="7:14" x14ac:dyDescent="0.3">
      <c r="G33292" s="1"/>
      <c r="N33292" s="1"/>
    </row>
    <row r="33293" spans="7:14" x14ac:dyDescent="0.3">
      <c r="G33293" s="1"/>
      <c r="N33293" s="1"/>
    </row>
    <row r="33294" spans="7:14" x14ac:dyDescent="0.3">
      <c r="G33294" s="1"/>
      <c r="N33294" s="1"/>
    </row>
    <row r="33295" spans="7:14" x14ac:dyDescent="0.3">
      <c r="G33295" s="1"/>
      <c r="N33295" s="1"/>
    </row>
    <row r="33296" spans="7:14" x14ac:dyDescent="0.3">
      <c r="G33296" s="1"/>
      <c r="N33296" s="1"/>
    </row>
    <row r="33297" spans="7:14" x14ac:dyDescent="0.3">
      <c r="G33297" s="1"/>
      <c r="N33297" s="1"/>
    </row>
    <row r="33298" spans="7:14" x14ac:dyDescent="0.3">
      <c r="G33298" s="1"/>
      <c r="N33298" s="1"/>
    </row>
    <row r="33299" spans="7:14" x14ac:dyDescent="0.3">
      <c r="G33299" s="1"/>
      <c r="N33299" s="1"/>
    </row>
    <row r="33300" spans="7:14" x14ac:dyDescent="0.3">
      <c r="G33300" s="1"/>
      <c r="N33300" s="1"/>
    </row>
    <row r="33301" spans="7:14" x14ac:dyDescent="0.3">
      <c r="G33301" s="1"/>
      <c r="N33301" s="1"/>
    </row>
    <row r="33302" spans="7:14" x14ac:dyDescent="0.3">
      <c r="G33302" s="1"/>
      <c r="N33302" s="1"/>
    </row>
    <row r="33303" spans="7:14" x14ac:dyDescent="0.3">
      <c r="G33303" s="1"/>
      <c r="N33303" s="1"/>
    </row>
    <row r="33304" spans="7:14" x14ac:dyDescent="0.3">
      <c r="G33304" s="1"/>
      <c r="N33304" s="1"/>
    </row>
    <row r="33305" spans="7:14" x14ac:dyDescent="0.3">
      <c r="G33305" s="1"/>
      <c r="N33305" s="1"/>
    </row>
    <row r="33306" spans="7:14" x14ac:dyDescent="0.3">
      <c r="G33306" s="1"/>
      <c r="N33306" s="1"/>
    </row>
    <row r="33307" spans="7:14" x14ac:dyDescent="0.3">
      <c r="G33307" s="1"/>
      <c r="N33307" s="1"/>
    </row>
    <row r="33308" spans="7:14" x14ac:dyDescent="0.3">
      <c r="G33308" s="1"/>
      <c r="N33308" s="1"/>
    </row>
    <row r="33309" spans="7:14" x14ac:dyDescent="0.3">
      <c r="G33309" s="1"/>
      <c r="N33309" s="1"/>
    </row>
    <row r="33310" spans="7:14" x14ac:dyDescent="0.3">
      <c r="G33310" s="1"/>
      <c r="N33310" s="1"/>
    </row>
    <row r="33311" spans="7:14" x14ac:dyDescent="0.3">
      <c r="G33311" s="1"/>
      <c r="N33311" s="1"/>
    </row>
    <row r="33312" spans="7:14" x14ac:dyDescent="0.3">
      <c r="G33312" s="1"/>
      <c r="N33312" s="1"/>
    </row>
    <row r="33313" spans="7:14" x14ac:dyDescent="0.3">
      <c r="G33313" s="1"/>
      <c r="N33313" s="1"/>
    </row>
    <row r="33314" spans="7:14" x14ac:dyDescent="0.3">
      <c r="G33314" s="1"/>
      <c r="N33314" s="1"/>
    </row>
    <row r="33315" spans="7:14" x14ac:dyDescent="0.3">
      <c r="G33315" s="1"/>
      <c r="N33315" s="1"/>
    </row>
    <row r="33316" spans="7:14" x14ac:dyDescent="0.3">
      <c r="G33316" s="1"/>
      <c r="N33316" s="1"/>
    </row>
    <row r="33317" spans="7:14" x14ac:dyDescent="0.3">
      <c r="G33317" s="1"/>
      <c r="N33317" s="1"/>
    </row>
    <row r="33318" spans="7:14" x14ac:dyDescent="0.3">
      <c r="G33318" s="1"/>
      <c r="N33318" s="1"/>
    </row>
    <row r="33319" spans="7:14" x14ac:dyDescent="0.3">
      <c r="G33319" s="1"/>
      <c r="N33319" s="1"/>
    </row>
    <row r="33320" spans="7:14" x14ac:dyDescent="0.3">
      <c r="G33320" s="1"/>
      <c r="N33320" s="1"/>
    </row>
    <row r="33321" spans="7:14" x14ac:dyDescent="0.3">
      <c r="G33321" s="1"/>
      <c r="N33321" s="1"/>
    </row>
    <row r="33322" spans="7:14" x14ac:dyDescent="0.3">
      <c r="G33322" s="1"/>
      <c r="N33322" s="1"/>
    </row>
    <row r="33323" spans="7:14" x14ac:dyDescent="0.3">
      <c r="G33323" s="1"/>
      <c r="N33323" s="1"/>
    </row>
    <row r="33324" spans="7:14" x14ac:dyDescent="0.3">
      <c r="G33324" s="1"/>
      <c r="N33324" s="1"/>
    </row>
    <row r="33325" spans="7:14" x14ac:dyDescent="0.3">
      <c r="G33325" s="1"/>
      <c r="N33325" s="1"/>
    </row>
    <row r="33326" spans="7:14" x14ac:dyDescent="0.3">
      <c r="G33326" s="1"/>
      <c r="N33326" s="1"/>
    </row>
    <row r="33327" spans="7:14" x14ac:dyDescent="0.3">
      <c r="G33327" s="1"/>
      <c r="N33327" s="1"/>
    </row>
    <row r="33328" spans="7:14" x14ac:dyDescent="0.3">
      <c r="G33328" s="1"/>
      <c r="N33328" s="1"/>
    </row>
    <row r="33329" spans="7:14" x14ac:dyDescent="0.3">
      <c r="G33329" s="1"/>
      <c r="N33329" s="1"/>
    </row>
    <row r="33330" spans="7:14" x14ac:dyDescent="0.3">
      <c r="G33330" s="1"/>
      <c r="N33330" s="1"/>
    </row>
    <row r="33331" spans="7:14" x14ac:dyDescent="0.3">
      <c r="G33331" s="1"/>
      <c r="N33331" s="1"/>
    </row>
    <row r="33332" spans="7:14" x14ac:dyDescent="0.3">
      <c r="G33332" s="1"/>
      <c r="N33332" s="1"/>
    </row>
    <row r="33333" spans="7:14" x14ac:dyDescent="0.3">
      <c r="G33333" s="1"/>
      <c r="N33333" s="1"/>
    </row>
    <row r="33334" spans="7:14" x14ac:dyDescent="0.3">
      <c r="G33334" s="1"/>
      <c r="N33334" s="1"/>
    </row>
    <row r="33335" spans="7:14" x14ac:dyDescent="0.3">
      <c r="G33335" s="1"/>
      <c r="N33335" s="1"/>
    </row>
    <row r="33336" spans="7:14" x14ac:dyDescent="0.3">
      <c r="G33336" s="1"/>
      <c r="N33336" s="1"/>
    </row>
    <row r="33337" spans="7:14" x14ac:dyDescent="0.3">
      <c r="G33337" s="1"/>
      <c r="N33337" s="1"/>
    </row>
    <row r="33338" spans="7:14" x14ac:dyDescent="0.3">
      <c r="G33338" s="1"/>
      <c r="N33338" s="1"/>
    </row>
    <row r="33339" spans="7:14" x14ac:dyDescent="0.3">
      <c r="G33339" s="1"/>
      <c r="N33339" s="1"/>
    </row>
    <row r="33340" spans="7:14" x14ac:dyDescent="0.3">
      <c r="G33340" s="1"/>
      <c r="N33340" s="1"/>
    </row>
    <row r="33341" spans="7:14" x14ac:dyDescent="0.3">
      <c r="G33341" s="1"/>
      <c r="N33341" s="1"/>
    </row>
    <row r="33342" spans="7:14" x14ac:dyDescent="0.3">
      <c r="G33342" s="1"/>
      <c r="N33342" s="1"/>
    </row>
    <row r="33343" spans="7:14" x14ac:dyDescent="0.3">
      <c r="G33343" s="1"/>
      <c r="N33343" s="1"/>
    </row>
    <row r="33344" spans="7:14" x14ac:dyDescent="0.3">
      <c r="G33344" s="1"/>
      <c r="N33344" s="1"/>
    </row>
    <row r="33345" spans="7:14" x14ac:dyDescent="0.3">
      <c r="G33345" s="1"/>
      <c r="N33345" s="1"/>
    </row>
    <row r="33346" spans="7:14" x14ac:dyDescent="0.3">
      <c r="G33346" s="1"/>
      <c r="N33346" s="1"/>
    </row>
    <row r="33347" spans="7:14" x14ac:dyDescent="0.3">
      <c r="G33347" s="1"/>
      <c r="N33347" s="1"/>
    </row>
    <row r="33348" spans="7:14" x14ac:dyDescent="0.3">
      <c r="G33348" s="1"/>
      <c r="N33348" s="1"/>
    </row>
    <row r="33349" spans="7:14" x14ac:dyDescent="0.3">
      <c r="G33349" s="1"/>
      <c r="N33349" s="1"/>
    </row>
    <row r="33350" spans="7:14" x14ac:dyDescent="0.3">
      <c r="G33350" s="1"/>
      <c r="N33350" s="1"/>
    </row>
    <row r="33351" spans="7:14" x14ac:dyDescent="0.3">
      <c r="G33351" s="1"/>
      <c r="N33351" s="1"/>
    </row>
    <row r="33352" spans="7:14" x14ac:dyDescent="0.3">
      <c r="G33352" s="1"/>
      <c r="N33352" s="1"/>
    </row>
    <row r="33353" spans="7:14" x14ac:dyDescent="0.3">
      <c r="G33353" s="1"/>
      <c r="N33353" s="1"/>
    </row>
    <row r="33354" spans="7:14" x14ac:dyDescent="0.3">
      <c r="G33354" s="1"/>
      <c r="N33354" s="1"/>
    </row>
    <row r="33355" spans="7:14" x14ac:dyDescent="0.3">
      <c r="G33355" s="1"/>
      <c r="N33355" s="1"/>
    </row>
    <row r="33356" spans="7:14" x14ac:dyDescent="0.3">
      <c r="G33356" s="1"/>
      <c r="N33356" s="1"/>
    </row>
    <row r="33357" spans="7:14" x14ac:dyDescent="0.3">
      <c r="G33357" s="1"/>
      <c r="N33357" s="1"/>
    </row>
    <row r="33358" spans="7:14" x14ac:dyDescent="0.3">
      <c r="G33358" s="1"/>
      <c r="N33358" s="1"/>
    </row>
    <row r="33359" spans="7:14" x14ac:dyDescent="0.3">
      <c r="G33359" s="1"/>
      <c r="N33359" s="1"/>
    </row>
    <row r="33360" spans="7:14" x14ac:dyDescent="0.3">
      <c r="G33360" s="1"/>
      <c r="N33360" s="1"/>
    </row>
    <row r="33361" spans="7:14" x14ac:dyDescent="0.3">
      <c r="G33361" s="1"/>
      <c r="N33361" s="1"/>
    </row>
    <row r="33362" spans="7:14" x14ac:dyDescent="0.3">
      <c r="G33362" s="1"/>
      <c r="N33362" s="1"/>
    </row>
    <row r="33363" spans="7:14" x14ac:dyDescent="0.3">
      <c r="G33363" s="1"/>
      <c r="N33363" s="1"/>
    </row>
    <row r="33364" spans="7:14" x14ac:dyDescent="0.3">
      <c r="G33364" s="1"/>
      <c r="N33364" s="1"/>
    </row>
    <row r="33365" spans="7:14" x14ac:dyDescent="0.3">
      <c r="G33365" s="1"/>
      <c r="N33365" s="1"/>
    </row>
    <row r="33366" spans="7:14" x14ac:dyDescent="0.3">
      <c r="G33366" s="1"/>
      <c r="N33366" s="1"/>
    </row>
    <row r="33367" spans="7:14" x14ac:dyDescent="0.3">
      <c r="G33367" s="1"/>
      <c r="N33367" s="1"/>
    </row>
    <row r="33368" spans="7:14" x14ac:dyDescent="0.3">
      <c r="G33368" s="1"/>
      <c r="N33368" s="1"/>
    </row>
    <row r="33369" spans="7:14" x14ac:dyDescent="0.3">
      <c r="G33369" s="1"/>
      <c r="N33369" s="1"/>
    </row>
    <row r="33370" spans="7:14" x14ac:dyDescent="0.3">
      <c r="G33370" s="1"/>
      <c r="N33370" s="1"/>
    </row>
    <row r="33371" spans="7:14" x14ac:dyDescent="0.3">
      <c r="G33371" s="1"/>
      <c r="N33371" s="1"/>
    </row>
    <row r="33372" spans="7:14" x14ac:dyDescent="0.3">
      <c r="G33372" s="1"/>
      <c r="N33372" s="1"/>
    </row>
    <row r="33373" spans="7:14" x14ac:dyDescent="0.3">
      <c r="G33373" s="1"/>
      <c r="N33373" s="1"/>
    </row>
    <row r="33374" spans="7:14" x14ac:dyDescent="0.3">
      <c r="G33374" s="1"/>
      <c r="N33374" s="1"/>
    </row>
    <row r="33375" spans="7:14" x14ac:dyDescent="0.3">
      <c r="G33375" s="1"/>
      <c r="N33375" s="1"/>
    </row>
    <row r="33376" spans="7:14" x14ac:dyDescent="0.3">
      <c r="G33376" s="1"/>
      <c r="N33376" s="1"/>
    </row>
    <row r="33377" spans="7:14" x14ac:dyDescent="0.3">
      <c r="G33377" s="1"/>
      <c r="N33377" s="1"/>
    </row>
    <row r="33378" spans="7:14" x14ac:dyDescent="0.3">
      <c r="G33378" s="1"/>
      <c r="N33378" s="1"/>
    </row>
    <row r="33379" spans="7:14" x14ac:dyDescent="0.3">
      <c r="G33379" s="1"/>
      <c r="N33379" s="1"/>
    </row>
    <row r="33380" spans="7:14" x14ac:dyDescent="0.3">
      <c r="G33380" s="1"/>
      <c r="N33380" s="1"/>
    </row>
    <row r="33381" spans="7:14" x14ac:dyDescent="0.3">
      <c r="G33381" s="1"/>
      <c r="N33381" s="1"/>
    </row>
    <row r="33382" spans="7:14" x14ac:dyDescent="0.3">
      <c r="G33382" s="1"/>
      <c r="N33382" s="1"/>
    </row>
    <row r="33383" spans="7:14" x14ac:dyDescent="0.3">
      <c r="G33383" s="1"/>
      <c r="N33383" s="1"/>
    </row>
    <row r="33384" spans="7:14" x14ac:dyDescent="0.3">
      <c r="G33384" s="1"/>
      <c r="N33384" s="1"/>
    </row>
    <row r="33385" spans="7:14" x14ac:dyDescent="0.3">
      <c r="G33385" s="1"/>
      <c r="N33385" s="1"/>
    </row>
    <row r="33386" spans="7:14" x14ac:dyDescent="0.3">
      <c r="G33386" s="1"/>
      <c r="N33386" s="1"/>
    </row>
    <row r="33387" spans="7:14" x14ac:dyDescent="0.3">
      <c r="G33387" s="1"/>
      <c r="N33387" s="1"/>
    </row>
    <row r="33388" spans="7:14" x14ac:dyDescent="0.3">
      <c r="G33388" s="1"/>
      <c r="N33388" s="1"/>
    </row>
    <row r="33389" spans="7:14" x14ac:dyDescent="0.3">
      <c r="G33389" s="1"/>
      <c r="N33389" s="1"/>
    </row>
    <row r="33390" spans="7:14" x14ac:dyDescent="0.3">
      <c r="G33390" s="1"/>
      <c r="N33390" s="1"/>
    </row>
    <row r="33391" spans="7:14" x14ac:dyDescent="0.3">
      <c r="G33391" s="1"/>
      <c r="N33391" s="1"/>
    </row>
    <row r="33392" spans="7:14" x14ac:dyDescent="0.3">
      <c r="G33392" s="1"/>
      <c r="N33392" s="1"/>
    </row>
    <row r="33393" spans="7:14" x14ac:dyDescent="0.3">
      <c r="G33393" s="1"/>
      <c r="N33393" s="1"/>
    </row>
    <row r="33394" spans="7:14" x14ac:dyDescent="0.3">
      <c r="G33394" s="1"/>
      <c r="N33394" s="1"/>
    </row>
    <row r="33395" spans="7:14" x14ac:dyDescent="0.3">
      <c r="G33395" s="1"/>
      <c r="N33395" s="1"/>
    </row>
    <row r="33396" spans="7:14" x14ac:dyDescent="0.3">
      <c r="G33396" s="1"/>
      <c r="N33396" s="1"/>
    </row>
    <row r="33397" spans="7:14" x14ac:dyDescent="0.3">
      <c r="G33397" s="1"/>
      <c r="N33397" s="1"/>
    </row>
    <row r="33398" spans="7:14" x14ac:dyDescent="0.3">
      <c r="G33398" s="1"/>
      <c r="N33398" s="1"/>
    </row>
    <row r="33399" spans="7:14" x14ac:dyDescent="0.3">
      <c r="G33399" s="1"/>
      <c r="N33399" s="1"/>
    </row>
    <row r="33400" spans="7:14" x14ac:dyDescent="0.3">
      <c r="G33400" s="1"/>
      <c r="N33400" s="1"/>
    </row>
    <row r="33401" spans="7:14" x14ac:dyDescent="0.3">
      <c r="G33401" s="1"/>
      <c r="N33401" s="1"/>
    </row>
    <row r="33402" spans="7:14" x14ac:dyDescent="0.3">
      <c r="G33402" s="1"/>
      <c r="N33402" s="1"/>
    </row>
    <row r="33403" spans="7:14" x14ac:dyDescent="0.3">
      <c r="G33403" s="1"/>
      <c r="N33403" s="1"/>
    </row>
    <row r="33404" spans="7:14" x14ac:dyDescent="0.3">
      <c r="G33404" s="1"/>
      <c r="N33404" s="1"/>
    </row>
    <row r="33405" spans="7:14" x14ac:dyDescent="0.3">
      <c r="G33405" s="1"/>
      <c r="N33405" s="1"/>
    </row>
    <row r="33406" spans="7:14" x14ac:dyDescent="0.3">
      <c r="G33406" s="1"/>
      <c r="N33406" s="1"/>
    </row>
    <row r="33407" spans="7:14" x14ac:dyDescent="0.3">
      <c r="G33407" s="1"/>
      <c r="N33407" s="1"/>
    </row>
    <row r="33408" spans="7:14" x14ac:dyDescent="0.3">
      <c r="G33408" s="1"/>
      <c r="N33408" s="1"/>
    </row>
    <row r="33409" spans="7:14" x14ac:dyDescent="0.3">
      <c r="G33409" s="1"/>
      <c r="N33409" s="1"/>
    </row>
    <row r="33410" spans="7:14" x14ac:dyDescent="0.3">
      <c r="G33410" s="1"/>
      <c r="N33410" s="1"/>
    </row>
    <row r="33411" spans="7:14" x14ac:dyDescent="0.3">
      <c r="G33411" s="1"/>
      <c r="N33411" s="1"/>
    </row>
    <row r="33412" spans="7:14" x14ac:dyDescent="0.3">
      <c r="G33412" s="1"/>
      <c r="N33412" s="1"/>
    </row>
    <row r="33413" spans="7:14" x14ac:dyDescent="0.3">
      <c r="G33413" s="1"/>
      <c r="N33413" s="1"/>
    </row>
    <row r="33414" spans="7:14" x14ac:dyDescent="0.3">
      <c r="G33414" s="1"/>
      <c r="N33414" s="1"/>
    </row>
    <row r="33415" spans="7:14" x14ac:dyDescent="0.3">
      <c r="G33415" s="1"/>
      <c r="N33415" s="1"/>
    </row>
    <row r="33416" spans="7:14" x14ac:dyDescent="0.3">
      <c r="G33416" s="1"/>
      <c r="N33416" s="1"/>
    </row>
    <row r="33417" spans="7:14" x14ac:dyDescent="0.3">
      <c r="G33417" s="1"/>
      <c r="N33417" s="1"/>
    </row>
    <row r="33418" spans="7:14" x14ac:dyDescent="0.3">
      <c r="G33418" s="1"/>
      <c r="N33418" s="1"/>
    </row>
    <row r="33419" spans="7:14" x14ac:dyDescent="0.3">
      <c r="G33419" s="1"/>
      <c r="N33419" s="1"/>
    </row>
    <row r="33420" spans="7:14" x14ac:dyDescent="0.3">
      <c r="G33420" s="1"/>
      <c r="N33420" s="1"/>
    </row>
    <row r="33421" spans="7:14" x14ac:dyDescent="0.3">
      <c r="G33421" s="1"/>
      <c r="N33421" s="1"/>
    </row>
    <row r="33422" spans="7:14" x14ac:dyDescent="0.3">
      <c r="G33422" s="1"/>
      <c r="N33422" s="1"/>
    </row>
    <row r="33423" spans="7:14" x14ac:dyDescent="0.3">
      <c r="G33423" s="1"/>
      <c r="N33423" s="1"/>
    </row>
    <row r="33424" spans="7:14" x14ac:dyDescent="0.3">
      <c r="G33424" s="1"/>
      <c r="N33424" s="1"/>
    </row>
    <row r="33425" spans="7:14" x14ac:dyDescent="0.3">
      <c r="G33425" s="1"/>
      <c r="N33425" s="1"/>
    </row>
    <row r="33426" spans="7:14" x14ac:dyDescent="0.3">
      <c r="G33426" s="1"/>
      <c r="N33426" s="1"/>
    </row>
    <row r="33427" spans="7:14" x14ac:dyDescent="0.3">
      <c r="G33427" s="1"/>
      <c r="N33427" s="1"/>
    </row>
    <row r="33428" spans="7:14" x14ac:dyDescent="0.3">
      <c r="G33428" s="1"/>
      <c r="N33428" s="1"/>
    </row>
    <row r="33429" spans="7:14" x14ac:dyDescent="0.3">
      <c r="G33429" s="1"/>
      <c r="N33429" s="1"/>
    </row>
    <row r="33430" spans="7:14" x14ac:dyDescent="0.3">
      <c r="G33430" s="1"/>
      <c r="N33430" s="1"/>
    </row>
    <row r="33431" spans="7:14" x14ac:dyDescent="0.3">
      <c r="G33431" s="1"/>
      <c r="N33431" s="1"/>
    </row>
    <row r="33432" spans="7:14" x14ac:dyDescent="0.3">
      <c r="G33432" s="1"/>
      <c r="N33432" s="1"/>
    </row>
    <row r="33433" spans="7:14" x14ac:dyDescent="0.3">
      <c r="G33433" s="1"/>
      <c r="N33433" s="1"/>
    </row>
    <row r="33434" spans="7:14" x14ac:dyDescent="0.3">
      <c r="G33434" s="1"/>
      <c r="N33434" s="1"/>
    </row>
    <row r="33435" spans="7:14" x14ac:dyDescent="0.3">
      <c r="G33435" s="1"/>
      <c r="N33435" s="1"/>
    </row>
    <row r="33436" spans="7:14" x14ac:dyDescent="0.3">
      <c r="G33436" s="1"/>
      <c r="N33436" s="1"/>
    </row>
    <row r="33437" spans="7:14" x14ac:dyDescent="0.3">
      <c r="G33437" s="1"/>
      <c r="N33437" s="1"/>
    </row>
    <row r="33438" spans="7:14" x14ac:dyDescent="0.3">
      <c r="G33438" s="1"/>
      <c r="N33438" s="1"/>
    </row>
    <row r="33439" spans="7:14" x14ac:dyDescent="0.3">
      <c r="G33439" s="1"/>
      <c r="N33439" s="1"/>
    </row>
    <row r="33440" spans="7:14" x14ac:dyDescent="0.3">
      <c r="G33440" s="1"/>
      <c r="N33440" s="1"/>
    </row>
    <row r="33441" spans="7:14" x14ac:dyDescent="0.3">
      <c r="G33441" s="1"/>
      <c r="N33441" s="1"/>
    </row>
    <row r="33442" spans="7:14" x14ac:dyDescent="0.3">
      <c r="G33442" s="1"/>
      <c r="N33442" s="1"/>
    </row>
    <row r="33443" spans="7:14" x14ac:dyDescent="0.3">
      <c r="G33443" s="1"/>
      <c r="N33443" s="1"/>
    </row>
    <row r="33444" spans="7:14" x14ac:dyDescent="0.3">
      <c r="G33444" s="1"/>
      <c r="N33444" s="1"/>
    </row>
    <row r="33445" spans="7:14" x14ac:dyDescent="0.3">
      <c r="G33445" s="1"/>
      <c r="N33445" s="1"/>
    </row>
    <row r="33446" spans="7:14" x14ac:dyDescent="0.3">
      <c r="G33446" s="1"/>
      <c r="N33446" s="1"/>
    </row>
    <row r="33447" spans="7:14" x14ac:dyDescent="0.3">
      <c r="G33447" s="1"/>
      <c r="N33447" s="1"/>
    </row>
    <row r="33448" spans="7:14" x14ac:dyDescent="0.3">
      <c r="G33448" s="1"/>
      <c r="N33448" s="1"/>
    </row>
    <row r="33449" spans="7:14" x14ac:dyDescent="0.3">
      <c r="G33449" s="1"/>
      <c r="N33449" s="1"/>
    </row>
    <row r="33450" spans="7:14" x14ac:dyDescent="0.3">
      <c r="G33450" s="1"/>
      <c r="N33450" s="1"/>
    </row>
    <row r="33451" spans="7:14" x14ac:dyDescent="0.3">
      <c r="G33451" s="1"/>
      <c r="N33451" s="1"/>
    </row>
    <row r="33452" spans="7:14" x14ac:dyDescent="0.3">
      <c r="G33452" s="1"/>
      <c r="N33452" s="1"/>
    </row>
    <row r="33453" spans="7:14" x14ac:dyDescent="0.3">
      <c r="G33453" s="1"/>
      <c r="N33453" s="1"/>
    </row>
    <row r="33454" spans="7:14" x14ac:dyDescent="0.3">
      <c r="G33454" s="1"/>
      <c r="N33454" s="1"/>
    </row>
    <row r="33455" spans="7:14" x14ac:dyDescent="0.3">
      <c r="G33455" s="1"/>
      <c r="N33455" s="1"/>
    </row>
    <row r="33456" spans="7:14" x14ac:dyDescent="0.3">
      <c r="G33456" s="1"/>
      <c r="N33456" s="1"/>
    </row>
    <row r="33457" spans="7:14" x14ac:dyDescent="0.3">
      <c r="G33457" s="1"/>
      <c r="N33457" s="1"/>
    </row>
    <row r="33458" spans="7:14" x14ac:dyDescent="0.3">
      <c r="G33458" s="1"/>
      <c r="N33458" s="1"/>
    </row>
    <row r="33459" spans="7:14" x14ac:dyDescent="0.3">
      <c r="G33459" s="1"/>
      <c r="N33459" s="1"/>
    </row>
    <row r="33460" spans="7:14" x14ac:dyDescent="0.3">
      <c r="G33460" s="1"/>
      <c r="N33460" s="1"/>
    </row>
    <row r="33461" spans="7:14" x14ac:dyDescent="0.3">
      <c r="G33461" s="1"/>
      <c r="N33461" s="1"/>
    </row>
    <row r="33462" spans="7:14" x14ac:dyDescent="0.3">
      <c r="G33462" s="1"/>
      <c r="N33462" s="1"/>
    </row>
    <row r="33463" spans="7:14" x14ac:dyDescent="0.3">
      <c r="G33463" s="1"/>
      <c r="N33463" s="1"/>
    </row>
    <row r="33464" spans="7:14" x14ac:dyDescent="0.3">
      <c r="G33464" s="1"/>
      <c r="N33464" s="1"/>
    </row>
    <row r="33465" spans="7:14" x14ac:dyDescent="0.3">
      <c r="G33465" s="1"/>
      <c r="N33465" s="1"/>
    </row>
    <row r="33466" spans="7:14" x14ac:dyDescent="0.3">
      <c r="G33466" s="1"/>
      <c r="N33466" s="1"/>
    </row>
    <row r="33467" spans="7:14" x14ac:dyDescent="0.3">
      <c r="G33467" s="1"/>
      <c r="N33467" s="1"/>
    </row>
    <row r="33468" spans="7:14" x14ac:dyDescent="0.3">
      <c r="G33468" s="1"/>
      <c r="N33468" s="1"/>
    </row>
    <row r="33469" spans="7:14" x14ac:dyDescent="0.3">
      <c r="G33469" s="1"/>
      <c r="N33469" s="1"/>
    </row>
    <row r="33470" spans="7:14" x14ac:dyDescent="0.3">
      <c r="G33470" s="1"/>
      <c r="N33470" s="1"/>
    </row>
    <row r="33471" spans="7:14" x14ac:dyDescent="0.3">
      <c r="G33471" s="1"/>
      <c r="N33471" s="1"/>
    </row>
    <row r="33472" spans="7:14" x14ac:dyDescent="0.3">
      <c r="G33472" s="1"/>
      <c r="N33472" s="1"/>
    </row>
    <row r="33473" spans="7:14" x14ac:dyDescent="0.3">
      <c r="G33473" s="1"/>
      <c r="N33473" s="1"/>
    </row>
    <row r="33474" spans="7:14" x14ac:dyDescent="0.3">
      <c r="G33474" s="1"/>
      <c r="N33474" s="1"/>
    </row>
    <row r="33475" spans="7:14" x14ac:dyDescent="0.3">
      <c r="G33475" s="1"/>
      <c r="N33475" s="1"/>
    </row>
    <row r="33476" spans="7:14" x14ac:dyDescent="0.3">
      <c r="G33476" s="1"/>
      <c r="N33476" s="1"/>
    </row>
    <row r="33477" spans="7:14" x14ac:dyDescent="0.3">
      <c r="G33477" s="1"/>
      <c r="N33477" s="1"/>
    </row>
    <row r="33478" spans="7:14" x14ac:dyDescent="0.3">
      <c r="G33478" s="1"/>
      <c r="N33478" s="1"/>
    </row>
    <row r="33479" spans="7:14" x14ac:dyDescent="0.3">
      <c r="G33479" s="1"/>
      <c r="N33479" s="1"/>
    </row>
    <row r="33480" spans="7:14" x14ac:dyDescent="0.3">
      <c r="G33480" s="1"/>
      <c r="N33480" s="1"/>
    </row>
    <row r="33481" spans="7:14" x14ac:dyDescent="0.3">
      <c r="G33481" s="1"/>
      <c r="N33481" s="1"/>
    </row>
    <row r="33482" spans="7:14" x14ac:dyDescent="0.3">
      <c r="G33482" s="1"/>
      <c r="N33482" s="1"/>
    </row>
    <row r="33483" spans="7:14" x14ac:dyDescent="0.3">
      <c r="G33483" s="1"/>
      <c r="N33483" s="1"/>
    </row>
    <row r="33484" spans="7:14" x14ac:dyDescent="0.3">
      <c r="G33484" s="1"/>
      <c r="N33484" s="1"/>
    </row>
    <row r="33485" spans="7:14" x14ac:dyDescent="0.3">
      <c r="G33485" s="1"/>
      <c r="N33485" s="1"/>
    </row>
    <row r="33486" spans="7:14" x14ac:dyDescent="0.3">
      <c r="G33486" s="1"/>
      <c r="N33486" s="1"/>
    </row>
    <row r="33487" spans="7:14" x14ac:dyDescent="0.3">
      <c r="G33487" s="1"/>
      <c r="N33487" s="1"/>
    </row>
    <row r="33488" spans="7:14" x14ac:dyDescent="0.3">
      <c r="G33488" s="1"/>
      <c r="N33488" s="1"/>
    </row>
    <row r="33489" spans="7:14" x14ac:dyDescent="0.3">
      <c r="G33489" s="1"/>
      <c r="N33489" s="1"/>
    </row>
    <row r="33490" spans="7:14" x14ac:dyDescent="0.3">
      <c r="G33490" s="1"/>
      <c r="N33490" s="1"/>
    </row>
    <row r="33491" spans="7:14" x14ac:dyDescent="0.3">
      <c r="G33491" s="1"/>
      <c r="N33491" s="1"/>
    </row>
    <row r="33492" spans="7:14" x14ac:dyDescent="0.3">
      <c r="G33492" s="1"/>
      <c r="N33492" s="1"/>
    </row>
    <row r="33493" spans="7:14" x14ac:dyDescent="0.3">
      <c r="G33493" s="1"/>
      <c r="N33493" s="1"/>
    </row>
    <row r="33494" spans="7:14" x14ac:dyDescent="0.3">
      <c r="G33494" s="1"/>
      <c r="N33494" s="1"/>
    </row>
    <row r="33495" spans="7:14" x14ac:dyDescent="0.3">
      <c r="G33495" s="1"/>
      <c r="N33495" s="1"/>
    </row>
    <row r="33496" spans="7:14" x14ac:dyDescent="0.3">
      <c r="G33496" s="1"/>
      <c r="N33496" s="1"/>
    </row>
    <row r="33497" spans="7:14" x14ac:dyDescent="0.3">
      <c r="G33497" s="1"/>
      <c r="N33497" s="1"/>
    </row>
    <row r="33498" spans="7:14" x14ac:dyDescent="0.3">
      <c r="G33498" s="1"/>
      <c r="N33498" s="1"/>
    </row>
    <row r="33499" spans="7:14" x14ac:dyDescent="0.3">
      <c r="G33499" s="1"/>
      <c r="N33499" s="1"/>
    </row>
    <row r="33500" spans="7:14" x14ac:dyDescent="0.3">
      <c r="G33500" s="1"/>
      <c r="N33500" s="1"/>
    </row>
    <row r="33501" spans="7:14" x14ac:dyDescent="0.3">
      <c r="G33501" s="1"/>
      <c r="N33501" s="1"/>
    </row>
    <row r="33502" spans="7:14" x14ac:dyDescent="0.3">
      <c r="G33502" s="1"/>
      <c r="N33502" s="1"/>
    </row>
    <row r="33503" spans="7:14" x14ac:dyDescent="0.3">
      <c r="G33503" s="1"/>
      <c r="N33503" s="1"/>
    </row>
    <row r="33504" spans="7:14" x14ac:dyDescent="0.3">
      <c r="G33504" s="1"/>
      <c r="N33504" s="1"/>
    </row>
    <row r="33505" spans="7:14" x14ac:dyDescent="0.3">
      <c r="G33505" s="1"/>
      <c r="N33505" s="1"/>
    </row>
    <row r="33506" spans="7:14" x14ac:dyDescent="0.3">
      <c r="G33506" s="1"/>
      <c r="N33506" s="1"/>
    </row>
    <row r="33507" spans="7:14" x14ac:dyDescent="0.3">
      <c r="G33507" s="1"/>
      <c r="N33507" s="1"/>
    </row>
    <row r="33508" spans="7:14" x14ac:dyDescent="0.3">
      <c r="G33508" s="1"/>
      <c r="N33508" s="1"/>
    </row>
    <row r="33509" spans="7:14" x14ac:dyDescent="0.3">
      <c r="G33509" s="1"/>
      <c r="N33509" s="1"/>
    </row>
    <row r="33510" spans="7:14" x14ac:dyDescent="0.3">
      <c r="G33510" s="1"/>
      <c r="N33510" s="1"/>
    </row>
    <row r="33511" spans="7:14" x14ac:dyDescent="0.3">
      <c r="G33511" s="1"/>
      <c r="N33511" s="1"/>
    </row>
    <row r="33512" spans="7:14" x14ac:dyDescent="0.3">
      <c r="G33512" s="1"/>
      <c r="N33512" s="1"/>
    </row>
    <row r="33513" spans="7:14" x14ac:dyDescent="0.3">
      <c r="G33513" s="1"/>
      <c r="N33513" s="1"/>
    </row>
    <row r="33514" spans="7:14" x14ac:dyDescent="0.3">
      <c r="G33514" s="1"/>
      <c r="N33514" s="1"/>
    </row>
    <row r="33515" spans="7:14" x14ac:dyDescent="0.3">
      <c r="G33515" s="1"/>
      <c r="N33515" s="1"/>
    </row>
    <row r="33516" spans="7:14" x14ac:dyDescent="0.3">
      <c r="G33516" s="1"/>
      <c r="N33516" s="1"/>
    </row>
    <row r="33517" spans="7:14" x14ac:dyDescent="0.3">
      <c r="G33517" s="1"/>
      <c r="N33517" s="1"/>
    </row>
    <row r="33518" spans="7:14" x14ac:dyDescent="0.3">
      <c r="G33518" s="1"/>
      <c r="N33518" s="1"/>
    </row>
    <row r="33519" spans="7:14" x14ac:dyDescent="0.3">
      <c r="G33519" s="1"/>
      <c r="N33519" s="1"/>
    </row>
    <row r="33520" spans="7:14" x14ac:dyDescent="0.3">
      <c r="G33520" s="1"/>
      <c r="N33520" s="1"/>
    </row>
    <row r="33521" spans="7:14" x14ac:dyDescent="0.3">
      <c r="G33521" s="1"/>
      <c r="N33521" s="1"/>
    </row>
    <row r="33522" spans="7:14" x14ac:dyDescent="0.3">
      <c r="G33522" s="1"/>
      <c r="N33522" s="1"/>
    </row>
    <row r="33523" spans="7:14" x14ac:dyDescent="0.3">
      <c r="G33523" s="1"/>
      <c r="N33523" s="1"/>
    </row>
    <row r="33524" spans="7:14" x14ac:dyDescent="0.3">
      <c r="G33524" s="1"/>
      <c r="N33524" s="1"/>
    </row>
    <row r="33525" spans="7:14" x14ac:dyDescent="0.3">
      <c r="G33525" s="1"/>
      <c r="N33525" s="1"/>
    </row>
    <row r="33526" spans="7:14" x14ac:dyDescent="0.3">
      <c r="G33526" s="1"/>
      <c r="N33526" s="1"/>
    </row>
    <row r="33527" spans="7:14" x14ac:dyDescent="0.3">
      <c r="G33527" s="1"/>
      <c r="N33527" s="1"/>
    </row>
    <row r="33528" spans="7:14" x14ac:dyDescent="0.3">
      <c r="G33528" s="1"/>
      <c r="N33528" s="1"/>
    </row>
    <row r="33529" spans="7:14" x14ac:dyDescent="0.3">
      <c r="G33529" s="1"/>
      <c r="N33529" s="1"/>
    </row>
    <row r="33530" spans="7:14" x14ac:dyDescent="0.3">
      <c r="G33530" s="1"/>
      <c r="N33530" s="1"/>
    </row>
    <row r="33531" spans="7:14" x14ac:dyDescent="0.3">
      <c r="G33531" s="1"/>
      <c r="N33531" s="1"/>
    </row>
    <row r="33532" spans="7:14" x14ac:dyDescent="0.3">
      <c r="G33532" s="1"/>
      <c r="N33532" s="1"/>
    </row>
    <row r="33533" spans="7:14" x14ac:dyDescent="0.3">
      <c r="G33533" s="1"/>
      <c r="N33533" s="1"/>
    </row>
    <row r="33534" spans="7:14" x14ac:dyDescent="0.3">
      <c r="G33534" s="1"/>
      <c r="N33534" s="1"/>
    </row>
    <row r="33535" spans="7:14" x14ac:dyDescent="0.3">
      <c r="G33535" s="1"/>
      <c r="N33535" s="1"/>
    </row>
    <row r="33536" spans="7:14" x14ac:dyDescent="0.3">
      <c r="G33536" s="1"/>
      <c r="N33536" s="1"/>
    </row>
    <row r="33537" spans="7:14" x14ac:dyDescent="0.3">
      <c r="G33537" s="1"/>
      <c r="N33537" s="1"/>
    </row>
    <row r="33538" spans="7:14" x14ac:dyDescent="0.3">
      <c r="G33538" s="1"/>
      <c r="N33538" s="1"/>
    </row>
    <row r="33539" spans="7:14" x14ac:dyDescent="0.3">
      <c r="G33539" s="1"/>
      <c r="N33539" s="1"/>
    </row>
    <row r="33540" spans="7:14" x14ac:dyDescent="0.3">
      <c r="G33540" s="1"/>
      <c r="N33540" s="1"/>
    </row>
    <row r="33541" spans="7:14" x14ac:dyDescent="0.3">
      <c r="G33541" s="1"/>
      <c r="N33541" s="1"/>
    </row>
    <row r="33542" spans="7:14" x14ac:dyDescent="0.3">
      <c r="G33542" s="1"/>
      <c r="N33542" s="1"/>
    </row>
    <row r="33543" spans="7:14" x14ac:dyDescent="0.3">
      <c r="G33543" s="1"/>
      <c r="N33543" s="1"/>
    </row>
    <row r="33544" spans="7:14" x14ac:dyDescent="0.3">
      <c r="G33544" s="1"/>
      <c r="N33544" s="1"/>
    </row>
    <row r="33545" spans="7:14" x14ac:dyDescent="0.3">
      <c r="G33545" s="1"/>
      <c r="N33545" s="1"/>
    </row>
    <row r="33546" spans="7:14" x14ac:dyDescent="0.3">
      <c r="G33546" s="1"/>
      <c r="N33546" s="1"/>
    </row>
    <row r="33547" spans="7:14" x14ac:dyDescent="0.3">
      <c r="G33547" s="1"/>
      <c r="N33547" s="1"/>
    </row>
    <row r="33548" spans="7:14" x14ac:dyDescent="0.3">
      <c r="G33548" s="1"/>
      <c r="N33548" s="1"/>
    </row>
    <row r="33549" spans="7:14" x14ac:dyDescent="0.3">
      <c r="G33549" s="1"/>
      <c r="N33549" s="1"/>
    </row>
    <row r="33550" spans="7:14" x14ac:dyDescent="0.3">
      <c r="G33550" s="1"/>
      <c r="N33550" s="1"/>
    </row>
    <row r="33551" spans="7:14" x14ac:dyDescent="0.3">
      <c r="G33551" s="1"/>
      <c r="N33551" s="1"/>
    </row>
    <row r="33552" spans="7:14" x14ac:dyDescent="0.3">
      <c r="G33552" s="1"/>
      <c r="N33552" s="1"/>
    </row>
    <row r="33553" spans="7:14" x14ac:dyDescent="0.3">
      <c r="G33553" s="1"/>
      <c r="N33553" s="1"/>
    </row>
    <row r="33554" spans="7:14" x14ac:dyDescent="0.3">
      <c r="G33554" s="1"/>
      <c r="N33554" s="1"/>
    </row>
    <row r="33555" spans="7:14" x14ac:dyDescent="0.3">
      <c r="G33555" s="1"/>
      <c r="N33555" s="1"/>
    </row>
    <row r="33556" spans="7:14" x14ac:dyDescent="0.3">
      <c r="G33556" s="1"/>
      <c r="N33556" s="1"/>
    </row>
    <row r="33557" spans="7:14" x14ac:dyDescent="0.3">
      <c r="G33557" s="1"/>
      <c r="N33557" s="1"/>
    </row>
    <row r="33558" spans="7:14" x14ac:dyDescent="0.3">
      <c r="G33558" s="1"/>
      <c r="N33558" s="1"/>
    </row>
    <row r="33559" spans="7:14" x14ac:dyDescent="0.3">
      <c r="G33559" s="1"/>
      <c r="N33559" s="1"/>
    </row>
    <row r="33560" spans="7:14" x14ac:dyDescent="0.3">
      <c r="G33560" s="1"/>
      <c r="N33560" s="1"/>
    </row>
    <row r="33561" spans="7:14" x14ac:dyDescent="0.3">
      <c r="G33561" s="1"/>
      <c r="N33561" s="1"/>
    </row>
    <row r="33562" spans="7:14" x14ac:dyDescent="0.3">
      <c r="G33562" s="1"/>
      <c r="N33562" s="1"/>
    </row>
    <row r="33563" spans="7:14" x14ac:dyDescent="0.3">
      <c r="G33563" s="1"/>
      <c r="N33563" s="1"/>
    </row>
    <row r="33564" spans="7:14" x14ac:dyDescent="0.3">
      <c r="G33564" s="1"/>
      <c r="N33564" s="1"/>
    </row>
    <row r="33565" spans="7:14" x14ac:dyDescent="0.3">
      <c r="G33565" s="1"/>
      <c r="N33565" s="1"/>
    </row>
    <row r="33566" spans="7:14" x14ac:dyDescent="0.3">
      <c r="G33566" s="1"/>
      <c r="N33566" s="1"/>
    </row>
    <row r="33567" spans="7:14" x14ac:dyDescent="0.3">
      <c r="G33567" s="1"/>
      <c r="N33567" s="1"/>
    </row>
    <row r="33568" spans="7:14" x14ac:dyDescent="0.3">
      <c r="G33568" s="1"/>
      <c r="N33568" s="1"/>
    </row>
    <row r="33569" spans="7:14" x14ac:dyDescent="0.3">
      <c r="G33569" s="1"/>
      <c r="N33569" s="1"/>
    </row>
    <row r="33570" spans="7:14" x14ac:dyDescent="0.3">
      <c r="G33570" s="1"/>
      <c r="N33570" s="1"/>
    </row>
    <row r="33571" spans="7:14" x14ac:dyDescent="0.3">
      <c r="G33571" s="1"/>
      <c r="N33571" s="1"/>
    </row>
    <row r="33572" spans="7:14" x14ac:dyDescent="0.3">
      <c r="G33572" s="1"/>
      <c r="N33572" s="1"/>
    </row>
    <row r="33573" spans="7:14" x14ac:dyDescent="0.3">
      <c r="G33573" s="1"/>
      <c r="N33573" s="1"/>
    </row>
    <row r="33574" spans="7:14" x14ac:dyDescent="0.3">
      <c r="G33574" s="1"/>
      <c r="N33574" s="1"/>
    </row>
    <row r="33575" spans="7:14" x14ac:dyDescent="0.3">
      <c r="G33575" s="1"/>
      <c r="N33575" s="1"/>
    </row>
    <row r="33576" spans="7:14" x14ac:dyDescent="0.3">
      <c r="G33576" s="1"/>
      <c r="N33576" s="1"/>
    </row>
    <row r="33577" spans="7:14" x14ac:dyDescent="0.3">
      <c r="G33577" s="1"/>
      <c r="N33577" s="1"/>
    </row>
    <row r="33578" spans="7:14" x14ac:dyDescent="0.3">
      <c r="G33578" s="1"/>
      <c r="N33578" s="1"/>
    </row>
    <row r="33579" spans="7:14" x14ac:dyDescent="0.3">
      <c r="G33579" s="1"/>
      <c r="N33579" s="1"/>
    </row>
    <row r="33580" spans="7:14" x14ac:dyDescent="0.3">
      <c r="G33580" s="1"/>
      <c r="N33580" s="1"/>
    </row>
    <row r="33581" spans="7:14" x14ac:dyDescent="0.3">
      <c r="G33581" s="1"/>
      <c r="N33581" s="1"/>
    </row>
    <row r="33582" spans="7:14" x14ac:dyDescent="0.3">
      <c r="G33582" s="1"/>
      <c r="N33582" s="1"/>
    </row>
    <row r="33583" spans="7:14" x14ac:dyDescent="0.3">
      <c r="G33583" s="1"/>
      <c r="N33583" s="1"/>
    </row>
    <row r="33584" spans="7:14" x14ac:dyDescent="0.3">
      <c r="G33584" s="1"/>
      <c r="N33584" s="1"/>
    </row>
    <row r="33585" spans="7:14" x14ac:dyDescent="0.3">
      <c r="G33585" s="1"/>
      <c r="N33585" s="1"/>
    </row>
    <row r="33586" spans="7:14" x14ac:dyDescent="0.3">
      <c r="G33586" s="1"/>
      <c r="N33586" s="1"/>
    </row>
    <row r="33587" spans="7:14" x14ac:dyDescent="0.3">
      <c r="G33587" s="1"/>
      <c r="N33587" s="1"/>
    </row>
    <row r="33588" spans="7:14" x14ac:dyDescent="0.3">
      <c r="G33588" s="1"/>
      <c r="N33588" s="1"/>
    </row>
    <row r="33589" spans="7:14" x14ac:dyDescent="0.3">
      <c r="G33589" s="1"/>
      <c r="N33589" s="1"/>
    </row>
    <row r="33590" spans="7:14" x14ac:dyDescent="0.3">
      <c r="G33590" s="1"/>
      <c r="N33590" s="1"/>
    </row>
    <row r="33591" spans="7:14" x14ac:dyDescent="0.3">
      <c r="G33591" s="1"/>
      <c r="N33591" s="1"/>
    </row>
    <row r="33592" spans="7:14" x14ac:dyDescent="0.3">
      <c r="G33592" s="1"/>
      <c r="N33592" s="1"/>
    </row>
    <row r="33593" spans="7:14" x14ac:dyDescent="0.3">
      <c r="G33593" s="1"/>
      <c r="N33593" s="1"/>
    </row>
    <row r="33594" spans="7:14" x14ac:dyDescent="0.3">
      <c r="G33594" s="1"/>
      <c r="N33594" s="1"/>
    </row>
    <row r="33595" spans="7:14" x14ac:dyDescent="0.3">
      <c r="G33595" s="1"/>
      <c r="N33595" s="1"/>
    </row>
    <row r="33596" spans="7:14" x14ac:dyDescent="0.3">
      <c r="G33596" s="1"/>
      <c r="N33596" s="1"/>
    </row>
    <row r="33597" spans="7:14" x14ac:dyDescent="0.3">
      <c r="G33597" s="1"/>
      <c r="N33597" s="1"/>
    </row>
    <row r="33598" spans="7:14" x14ac:dyDescent="0.3">
      <c r="G33598" s="1"/>
      <c r="N33598" s="1"/>
    </row>
    <row r="33599" spans="7:14" x14ac:dyDescent="0.3">
      <c r="G33599" s="1"/>
      <c r="N33599" s="1"/>
    </row>
    <row r="33600" spans="7:14" x14ac:dyDescent="0.3">
      <c r="G33600" s="1"/>
      <c r="N33600" s="1"/>
    </row>
    <row r="33601" spans="7:14" x14ac:dyDescent="0.3">
      <c r="G33601" s="1"/>
      <c r="N33601" s="1"/>
    </row>
    <row r="33602" spans="7:14" x14ac:dyDescent="0.3">
      <c r="G33602" s="1"/>
      <c r="N33602" s="1"/>
    </row>
    <row r="33603" spans="7:14" x14ac:dyDescent="0.3">
      <c r="G33603" s="1"/>
      <c r="N33603" s="1"/>
    </row>
    <row r="33604" spans="7:14" x14ac:dyDescent="0.3">
      <c r="G33604" s="1"/>
      <c r="N33604" s="1"/>
    </row>
    <row r="33605" spans="7:14" x14ac:dyDescent="0.3">
      <c r="G33605" s="1"/>
      <c r="N33605" s="1"/>
    </row>
    <row r="33606" spans="7:14" x14ac:dyDescent="0.3">
      <c r="G33606" s="1"/>
      <c r="N33606" s="1"/>
    </row>
    <row r="33607" spans="7:14" x14ac:dyDescent="0.3">
      <c r="G33607" s="1"/>
      <c r="N33607" s="1"/>
    </row>
    <row r="33608" spans="7:14" x14ac:dyDescent="0.3">
      <c r="G33608" s="1"/>
      <c r="N33608" s="1"/>
    </row>
    <row r="33609" spans="7:14" x14ac:dyDescent="0.3">
      <c r="G33609" s="1"/>
      <c r="N33609" s="1"/>
    </row>
    <row r="33610" spans="7:14" x14ac:dyDescent="0.3">
      <c r="G33610" s="1"/>
      <c r="N33610" s="1"/>
    </row>
    <row r="33611" spans="7:14" x14ac:dyDescent="0.3">
      <c r="G33611" s="1"/>
      <c r="N33611" s="1"/>
    </row>
    <row r="33612" spans="7:14" x14ac:dyDescent="0.3">
      <c r="G33612" s="1"/>
      <c r="N33612" s="1"/>
    </row>
    <row r="33613" spans="7:14" x14ac:dyDescent="0.3">
      <c r="G33613" s="1"/>
      <c r="N33613" s="1"/>
    </row>
    <row r="33614" spans="7:14" x14ac:dyDescent="0.3">
      <c r="G33614" s="1"/>
      <c r="N33614" s="1"/>
    </row>
    <row r="33615" spans="7:14" x14ac:dyDescent="0.3">
      <c r="G33615" s="1"/>
      <c r="N33615" s="1"/>
    </row>
    <row r="33616" spans="7:14" x14ac:dyDescent="0.3">
      <c r="G33616" s="1"/>
      <c r="N33616" s="1"/>
    </row>
    <row r="33617" spans="7:14" x14ac:dyDescent="0.3">
      <c r="G33617" s="1"/>
      <c r="N33617" s="1"/>
    </row>
    <row r="33618" spans="7:14" x14ac:dyDescent="0.3">
      <c r="G33618" s="1"/>
      <c r="N33618" s="1"/>
    </row>
    <row r="33619" spans="7:14" x14ac:dyDescent="0.3">
      <c r="G33619" s="1"/>
      <c r="N33619" s="1"/>
    </row>
    <row r="33620" spans="7:14" x14ac:dyDescent="0.3">
      <c r="G33620" s="1"/>
      <c r="N33620" s="1"/>
    </row>
    <row r="33621" spans="7:14" x14ac:dyDescent="0.3">
      <c r="G33621" s="1"/>
      <c r="N33621" s="1"/>
    </row>
    <row r="33622" spans="7:14" x14ac:dyDescent="0.3">
      <c r="G33622" s="1"/>
      <c r="N33622" s="1"/>
    </row>
    <row r="33623" spans="7:14" x14ac:dyDescent="0.3">
      <c r="G33623" s="1"/>
      <c r="N33623" s="1"/>
    </row>
    <row r="33624" spans="7:14" x14ac:dyDescent="0.3">
      <c r="G33624" s="1"/>
      <c r="N33624" s="1"/>
    </row>
    <row r="33625" spans="7:14" x14ac:dyDescent="0.3">
      <c r="G33625" s="1"/>
      <c r="N33625" s="1"/>
    </row>
    <row r="33626" spans="7:14" x14ac:dyDescent="0.3">
      <c r="G33626" s="1"/>
      <c r="N33626" s="1"/>
    </row>
    <row r="33627" spans="7:14" x14ac:dyDescent="0.3">
      <c r="G33627" s="1"/>
      <c r="N33627" s="1"/>
    </row>
    <row r="33628" spans="7:14" x14ac:dyDescent="0.3">
      <c r="G33628" s="1"/>
      <c r="N33628" s="1"/>
    </row>
    <row r="33629" spans="7:14" x14ac:dyDescent="0.3">
      <c r="G33629" s="1"/>
      <c r="N33629" s="1"/>
    </row>
    <row r="33630" spans="7:14" x14ac:dyDescent="0.3">
      <c r="G33630" s="1"/>
      <c r="N33630" s="1"/>
    </row>
    <row r="33631" spans="7:14" x14ac:dyDescent="0.3">
      <c r="G33631" s="1"/>
      <c r="N33631" s="1"/>
    </row>
    <row r="33632" spans="7:14" x14ac:dyDescent="0.3">
      <c r="G33632" s="1"/>
      <c r="N33632" s="1"/>
    </row>
    <row r="33633" spans="7:14" x14ac:dyDescent="0.3">
      <c r="G33633" s="1"/>
      <c r="N33633" s="1"/>
    </row>
    <row r="33634" spans="7:14" x14ac:dyDescent="0.3">
      <c r="G33634" s="1"/>
      <c r="N33634" s="1"/>
    </row>
    <row r="33635" spans="7:14" x14ac:dyDescent="0.3">
      <c r="G33635" s="1"/>
      <c r="N33635" s="1"/>
    </row>
    <row r="33636" spans="7:14" x14ac:dyDescent="0.3">
      <c r="G33636" s="1"/>
      <c r="N33636" s="1"/>
    </row>
    <row r="33637" spans="7:14" x14ac:dyDescent="0.3">
      <c r="G33637" s="1"/>
      <c r="N33637" s="1"/>
    </row>
    <row r="33638" spans="7:14" x14ac:dyDescent="0.3">
      <c r="G33638" s="1"/>
      <c r="N33638" s="1"/>
    </row>
    <row r="33639" spans="7:14" x14ac:dyDescent="0.3">
      <c r="G33639" s="1"/>
      <c r="N33639" s="1"/>
    </row>
    <row r="33640" spans="7:14" x14ac:dyDescent="0.3">
      <c r="G33640" s="1"/>
      <c r="N33640" s="1"/>
    </row>
    <row r="33641" spans="7:14" x14ac:dyDescent="0.3">
      <c r="G33641" s="1"/>
      <c r="N33641" s="1"/>
    </row>
    <row r="33642" spans="7:14" x14ac:dyDescent="0.3">
      <c r="G33642" s="1"/>
      <c r="N33642" s="1"/>
    </row>
    <row r="33643" spans="7:14" x14ac:dyDescent="0.3">
      <c r="G33643" s="1"/>
      <c r="N33643" s="1"/>
    </row>
    <row r="33644" spans="7:14" x14ac:dyDescent="0.3">
      <c r="G33644" s="1"/>
      <c r="N33644" s="1"/>
    </row>
    <row r="33645" spans="7:14" x14ac:dyDescent="0.3">
      <c r="G33645" s="1"/>
      <c r="N33645" s="1"/>
    </row>
    <row r="33646" spans="7:14" x14ac:dyDescent="0.3">
      <c r="G33646" s="1"/>
      <c r="N33646" s="1"/>
    </row>
    <row r="33647" spans="7:14" x14ac:dyDescent="0.3">
      <c r="G33647" s="1"/>
      <c r="N33647" s="1"/>
    </row>
    <row r="33648" spans="7:14" x14ac:dyDescent="0.3">
      <c r="G33648" s="1"/>
      <c r="N33648" s="1"/>
    </row>
    <row r="33649" spans="7:14" x14ac:dyDescent="0.3">
      <c r="G33649" s="1"/>
      <c r="N33649" s="1"/>
    </row>
    <row r="33650" spans="7:14" x14ac:dyDescent="0.3">
      <c r="G33650" s="1"/>
      <c r="N33650" s="1"/>
    </row>
    <row r="33651" spans="7:14" x14ac:dyDescent="0.3">
      <c r="G33651" s="1"/>
      <c r="N33651" s="1"/>
    </row>
    <row r="33652" spans="7:14" x14ac:dyDescent="0.3">
      <c r="G33652" s="1"/>
      <c r="N33652" s="1"/>
    </row>
    <row r="33653" spans="7:14" x14ac:dyDescent="0.3">
      <c r="G33653" s="1"/>
      <c r="N33653" s="1"/>
    </row>
    <row r="33654" spans="7:14" x14ac:dyDescent="0.3">
      <c r="G33654" s="1"/>
      <c r="N33654" s="1"/>
    </row>
    <row r="33655" spans="7:14" x14ac:dyDescent="0.3">
      <c r="G33655" s="1"/>
      <c r="N33655" s="1"/>
    </row>
    <row r="33656" spans="7:14" x14ac:dyDescent="0.3">
      <c r="G33656" s="1"/>
      <c r="N33656" s="1"/>
    </row>
    <row r="33657" spans="7:14" x14ac:dyDescent="0.3">
      <c r="G33657" s="1"/>
      <c r="N33657" s="1"/>
    </row>
    <row r="33658" spans="7:14" x14ac:dyDescent="0.3">
      <c r="G33658" s="1"/>
      <c r="N33658" s="1"/>
    </row>
    <row r="33659" spans="7:14" x14ac:dyDescent="0.3">
      <c r="G33659" s="1"/>
      <c r="N33659" s="1"/>
    </row>
    <row r="33660" spans="7:14" x14ac:dyDescent="0.3">
      <c r="G33660" s="1"/>
      <c r="N33660" s="1"/>
    </row>
    <row r="33661" spans="7:14" x14ac:dyDescent="0.3">
      <c r="G33661" s="1"/>
      <c r="N33661" s="1"/>
    </row>
    <row r="33662" spans="7:14" x14ac:dyDescent="0.3">
      <c r="G33662" s="1"/>
      <c r="N33662" s="1"/>
    </row>
    <row r="33663" spans="7:14" x14ac:dyDescent="0.3">
      <c r="G33663" s="1"/>
      <c r="N33663" s="1"/>
    </row>
    <row r="33664" spans="7:14" x14ac:dyDescent="0.3">
      <c r="G33664" s="1"/>
      <c r="N33664" s="1"/>
    </row>
    <row r="33665" spans="7:14" x14ac:dyDescent="0.3">
      <c r="G33665" s="1"/>
      <c r="N33665" s="1"/>
    </row>
    <row r="33666" spans="7:14" x14ac:dyDescent="0.3">
      <c r="G33666" s="1"/>
      <c r="N33666" s="1"/>
    </row>
    <row r="33667" spans="7:14" x14ac:dyDescent="0.3">
      <c r="G33667" s="1"/>
      <c r="N33667" s="1"/>
    </row>
    <row r="33668" spans="7:14" x14ac:dyDescent="0.3">
      <c r="G33668" s="1"/>
      <c r="N33668" s="1"/>
    </row>
    <row r="33669" spans="7:14" x14ac:dyDescent="0.3">
      <c r="G33669" s="1"/>
      <c r="N33669" s="1"/>
    </row>
    <row r="33670" spans="7:14" x14ac:dyDescent="0.3">
      <c r="G33670" s="1"/>
      <c r="N33670" s="1"/>
    </row>
    <row r="33671" spans="7:14" x14ac:dyDescent="0.3">
      <c r="G33671" s="1"/>
      <c r="N33671" s="1"/>
    </row>
    <row r="33672" spans="7:14" x14ac:dyDescent="0.3">
      <c r="G33672" s="1"/>
      <c r="N33672" s="1"/>
    </row>
    <row r="33673" spans="7:14" x14ac:dyDescent="0.3">
      <c r="G33673" s="1"/>
      <c r="N33673" s="1"/>
    </row>
    <row r="33674" spans="7:14" x14ac:dyDescent="0.3">
      <c r="G33674" s="1"/>
      <c r="N33674" s="1"/>
    </row>
    <row r="33675" spans="7:14" x14ac:dyDescent="0.3">
      <c r="G33675" s="1"/>
      <c r="N33675" s="1"/>
    </row>
    <row r="33676" spans="7:14" x14ac:dyDescent="0.3">
      <c r="G33676" s="1"/>
      <c r="N33676" s="1"/>
    </row>
    <row r="33677" spans="7:14" x14ac:dyDescent="0.3">
      <c r="G33677" s="1"/>
      <c r="N33677" s="1"/>
    </row>
    <row r="33678" spans="7:14" x14ac:dyDescent="0.3">
      <c r="G33678" s="1"/>
      <c r="N33678" s="1"/>
    </row>
    <row r="33679" spans="7:14" x14ac:dyDescent="0.3">
      <c r="G33679" s="1"/>
      <c r="N33679" s="1"/>
    </row>
    <row r="33680" spans="7:14" x14ac:dyDescent="0.3">
      <c r="G33680" s="1"/>
      <c r="N33680" s="1"/>
    </row>
    <row r="33681" spans="7:14" x14ac:dyDescent="0.3">
      <c r="G33681" s="1"/>
      <c r="N33681" s="1"/>
    </row>
    <row r="33682" spans="7:14" x14ac:dyDescent="0.3">
      <c r="G33682" s="1"/>
      <c r="N33682" s="1"/>
    </row>
    <row r="33683" spans="7:14" x14ac:dyDescent="0.3">
      <c r="G33683" s="1"/>
      <c r="N33683" s="1"/>
    </row>
    <row r="33684" spans="7:14" x14ac:dyDescent="0.3">
      <c r="G33684" s="1"/>
      <c r="N33684" s="1"/>
    </row>
    <row r="33685" spans="7:14" x14ac:dyDescent="0.3">
      <c r="G33685" s="1"/>
      <c r="N33685" s="1"/>
    </row>
    <row r="33686" spans="7:14" x14ac:dyDescent="0.3">
      <c r="G33686" s="1"/>
      <c r="N33686" s="1"/>
    </row>
    <row r="33687" spans="7:14" x14ac:dyDescent="0.3">
      <c r="G33687" s="1"/>
      <c r="N33687" s="1"/>
    </row>
    <row r="33688" spans="7:14" x14ac:dyDescent="0.3">
      <c r="G33688" s="1"/>
      <c r="N33688" s="1"/>
    </row>
    <row r="33689" spans="7:14" x14ac:dyDescent="0.3">
      <c r="G33689" s="1"/>
      <c r="N33689" s="1"/>
    </row>
    <row r="33690" spans="7:14" x14ac:dyDescent="0.3">
      <c r="G33690" s="1"/>
      <c r="N33690" s="1"/>
    </row>
    <row r="33691" spans="7:14" x14ac:dyDescent="0.3">
      <c r="G33691" s="1"/>
      <c r="N33691" s="1"/>
    </row>
    <row r="33692" spans="7:14" x14ac:dyDescent="0.3">
      <c r="G33692" s="1"/>
      <c r="N33692" s="1"/>
    </row>
    <row r="33693" spans="7:14" x14ac:dyDescent="0.3">
      <c r="G33693" s="1"/>
      <c r="N33693" s="1"/>
    </row>
    <row r="33694" spans="7:14" x14ac:dyDescent="0.3">
      <c r="G33694" s="1"/>
      <c r="N33694" s="1"/>
    </row>
    <row r="33695" spans="7:14" x14ac:dyDescent="0.3">
      <c r="G33695" s="1"/>
      <c r="N33695" s="1"/>
    </row>
    <row r="33696" spans="7:14" x14ac:dyDescent="0.3">
      <c r="G33696" s="1"/>
      <c r="N33696" s="1"/>
    </row>
    <row r="33697" spans="7:14" x14ac:dyDescent="0.3">
      <c r="G33697" s="1"/>
      <c r="N33697" s="1"/>
    </row>
    <row r="33698" spans="7:14" x14ac:dyDescent="0.3">
      <c r="G33698" s="1"/>
      <c r="N33698" s="1"/>
    </row>
    <row r="33699" spans="7:14" x14ac:dyDescent="0.3">
      <c r="G33699" s="1"/>
      <c r="N33699" s="1"/>
    </row>
    <row r="33700" spans="7:14" x14ac:dyDescent="0.3">
      <c r="G33700" s="1"/>
      <c r="N33700" s="1"/>
    </row>
    <row r="33701" spans="7:14" x14ac:dyDescent="0.3">
      <c r="G33701" s="1"/>
      <c r="N33701" s="1"/>
    </row>
    <row r="33702" spans="7:14" x14ac:dyDescent="0.3">
      <c r="G33702" s="1"/>
      <c r="N33702" s="1"/>
    </row>
    <row r="33703" spans="7:14" x14ac:dyDescent="0.3">
      <c r="G33703" s="1"/>
      <c r="N33703" s="1"/>
    </row>
    <row r="33704" spans="7:14" x14ac:dyDescent="0.3">
      <c r="G33704" s="1"/>
      <c r="N33704" s="1"/>
    </row>
    <row r="33705" spans="7:14" x14ac:dyDescent="0.3">
      <c r="G33705" s="1"/>
      <c r="N33705" s="1"/>
    </row>
    <row r="33706" spans="7:14" x14ac:dyDescent="0.3">
      <c r="G33706" s="1"/>
      <c r="N33706" s="1"/>
    </row>
    <row r="33707" spans="7:14" x14ac:dyDescent="0.3">
      <c r="G33707" s="1"/>
      <c r="N33707" s="1"/>
    </row>
    <row r="33708" spans="7:14" x14ac:dyDescent="0.3">
      <c r="G33708" s="1"/>
      <c r="N33708" s="1"/>
    </row>
    <row r="33709" spans="7:14" x14ac:dyDescent="0.3">
      <c r="G33709" s="1"/>
      <c r="N33709" s="1"/>
    </row>
    <row r="33710" spans="7:14" x14ac:dyDescent="0.3">
      <c r="G33710" s="1"/>
      <c r="N33710" s="1"/>
    </row>
    <row r="33711" spans="7:14" x14ac:dyDescent="0.3">
      <c r="G33711" s="1"/>
      <c r="N33711" s="1"/>
    </row>
    <row r="33712" spans="7:14" x14ac:dyDescent="0.3">
      <c r="G33712" s="1"/>
      <c r="N33712" s="1"/>
    </row>
    <row r="33713" spans="7:14" x14ac:dyDescent="0.3">
      <c r="G33713" s="1"/>
      <c r="N33713" s="1"/>
    </row>
    <row r="33714" spans="7:14" x14ac:dyDescent="0.3">
      <c r="G33714" s="1"/>
      <c r="N33714" s="1"/>
    </row>
    <row r="33715" spans="7:14" x14ac:dyDescent="0.3">
      <c r="G33715" s="1"/>
      <c r="N33715" s="1"/>
    </row>
    <row r="33716" spans="7:14" x14ac:dyDescent="0.3">
      <c r="G33716" s="1"/>
      <c r="N33716" s="1"/>
    </row>
    <row r="33717" spans="7:14" x14ac:dyDescent="0.3">
      <c r="G33717" s="1"/>
      <c r="N33717" s="1"/>
    </row>
    <row r="33718" spans="7:14" x14ac:dyDescent="0.3">
      <c r="G33718" s="1"/>
      <c r="N33718" s="1"/>
    </row>
    <row r="33719" spans="7:14" x14ac:dyDescent="0.3">
      <c r="G33719" s="1"/>
      <c r="N33719" s="1"/>
    </row>
    <row r="33720" spans="7:14" x14ac:dyDescent="0.3">
      <c r="G33720" s="1"/>
      <c r="N33720" s="1"/>
    </row>
    <row r="33721" spans="7:14" x14ac:dyDescent="0.3">
      <c r="G33721" s="1"/>
      <c r="N33721" s="1"/>
    </row>
    <row r="33722" spans="7:14" x14ac:dyDescent="0.3">
      <c r="G33722" s="1"/>
      <c r="N33722" s="1"/>
    </row>
    <row r="33723" spans="7:14" x14ac:dyDescent="0.3">
      <c r="G33723" s="1"/>
      <c r="N33723" s="1"/>
    </row>
    <row r="33724" spans="7:14" x14ac:dyDescent="0.3">
      <c r="G33724" s="1"/>
      <c r="N33724" s="1"/>
    </row>
    <row r="33725" spans="7:14" x14ac:dyDescent="0.3">
      <c r="G33725" s="1"/>
      <c r="N33725" s="1"/>
    </row>
    <row r="33726" spans="7:14" x14ac:dyDescent="0.3">
      <c r="G33726" s="1"/>
      <c r="N33726" s="1"/>
    </row>
    <row r="33727" spans="7:14" x14ac:dyDescent="0.3">
      <c r="G33727" s="1"/>
      <c r="N33727" s="1"/>
    </row>
    <row r="33728" spans="7:14" x14ac:dyDescent="0.3">
      <c r="G33728" s="1"/>
      <c r="N33728" s="1"/>
    </row>
    <row r="33729" spans="7:14" x14ac:dyDescent="0.3">
      <c r="G33729" s="1"/>
      <c r="N33729" s="1"/>
    </row>
    <row r="33730" spans="7:14" x14ac:dyDescent="0.3">
      <c r="G33730" s="1"/>
      <c r="N33730" s="1"/>
    </row>
    <row r="33731" spans="7:14" x14ac:dyDescent="0.3">
      <c r="G33731" s="1"/>
      <c r="N33731" s="1"/>
    </row>
    <row r="33732" spans="7:14" x14ac:dyDescent="0.3">
      <c r="G33732" s="1"/>
      <c r="N33732" s="1"/>
    </row>
    <row r="33733" spans="7:14" x14ac:dyDescent="0.3">
      <c r="G33733" s="1"/>
      <c r="N33733" s="1"/>
    </row>
    <row r="33734" spans="7:14" x14ac:dyDescent="0.3">
      <c r="G33734" s="1"/>
      <c r="N33734" s="1"/>
    </row>
    <row r="33735" spans="7:14" x14ac:dyDescent="0.3">
      <c r="G33735" s="1"/>
      <c r="N33735" s="1"/>
    </row>
    <row r="33736" spans="7:14" x14ac:dyDescent="0.3">
      <c r="G33736" s="1"/>
      <c r="N33736" s="1"/>
    </row>
    <row r="33737" spans="7:14" x14ac:dyDescent="0.3">
      <c r="G33737" s="1"/>
      <c r="N33737" s="1"/>
    </row>
    <row r="33738" spans="7:14" x14ac:dyDescent="0.3">
      <c r="G33738" s="1"/>
      <c r="N33738" s="1"/>
    </row>
    <row r="33739" spans="7:14" x14ac:dyDescent="0.3">
      <c r="G33739" s="1"/>
      <c r="N33739" s="1"/>
    </row>
    <row r="33740" spans="7:14" x14ac:dyDescent="0.3">
      <c r="G33740" s="1"/>
      <c r="N33740" s="1"/>
    </row>
    <row r="33741" spans="7:14" x14ac:dyDescent="0.3">
      <c r="G33741" s="1"/>
      <c r="N33741" s="1"/>
    </row>
    <row r="33742" spans="7:14" x14ac:dyDescent="0.3">
      <c r="G33742" s="1"/>
      <c r="N33742" s="1"/>
    </row>
    <row r="33743" spans="7:14" x14ac:dyDescent="0.3">
      <c r="G33743" s="1"/>
      <c r="N33743" s="1"/>
    </row>
    <row r="33744" spans="7:14" x14ac:dyDescent="0.3">
      <c r="G33744" s="1"/>
      <c r="N33744" s="1"/>
    </row>
    <row r="33745" spans="7:14" x14ac:dyDescent="0.3">
      <c r="G33745" s="1"/>
      <c r="N33745" s="1"/>
    </row>
    <row r="33746" spans="7:14" x14ac:dyDescent="0.3">
      <c r="G33746" s="1"/>
      <c r="N33746" s="1"/>
    </row>
    <row r="33747" spans="7:14" x14ac:dyDescent="0.3">
      <c r="G33747" s="1"/>
      <c r="N33747" s="1"/>
    </row>
    <row r="33748" spans="7:14" x14ac:dyDescent="0.3">
      <c r="G33748" s="1"/>
      <c r="N33748" s="1"/>
    </row>
    <row r="33749" spans="7:14" x14ac:dyDescent="0.3">
      <c r="G33749" s="1"/>
      <c r="N33749" s="1"/>
    </row>
    <row r="33750" spans="7:14" x14ac:dyDescent="0.3">
      <c r="G33750" s="1"/>
      <c r="N33750" s="1"/>
    </row>
    <row r="33751" spans="7:14" x14ac:dyDescent="0.3">
      <c r="G33751" s="1"/>
      <c r="N33751" s="1"/>
    </row>
    <row r="33752" spans="7:14" x14ac:dyDescent="0.3">
      <c r="G33752" s="1"/>
      <c r="N33752" s="1"/>
    </row>
    <row r="33753" spans="7:14" x14ac:dyDescent="0.3">
      <c r="G33753" s="1"/>
      <c r="N33753" s="1"/>
    </row>
    <row r="33754" spans="7:14" x14ac:dyDescent="0.3">
      <c r="G33754" s="1"/>
      <c r="N33754" s="1"/>
    </row>
    <row r="33755" spans="7:14" x14ac:dyDescent="0.3">
      <c r="G33755" s="1"/>
      <c r="N33755" s="1"/>
    </row>
    <row r="33756" spans="7:14" x14ac:dyDescent="0.3">
      <c r="G33756" s="1"/>
      <c r="N33756" s="1"/>
    </row>
    <row r="33757" spans="7:14" x14ac:dyDescent="0.3">
      <c r="G33757" s="1"/>
      <c r="N33757" s="1"/>
    </row>
    <row r="33758" spans="7:14" x14ac:dyDescent="0.3">
      <c r="G33758" s="1"/>
      <c r="N33758" s="1"/>
    </row>
    <row r="33759" spans="7:14" x14ac:dyDescent="0.3">
      <c r="G33759" s="1"/>
      <c r="N33759" s="1"/>
    </row>
    <row r="33760" spans="7:14" x14ac:dyDescent="0.3">
      <c r="G33760" s="1"/>
      <c r="N33760" s="1"/>
    </row>
    <row r="33761" spans="7:14" x14ac:dyDescent="0.3">
      <c r="G33761" s="1"/>
      <c r="N33761" s="1"/>
    </row>
    <row r="33762" spans="7:14" x14ac:dyDescent="0.3">
      <c r="G33762" s="1"/>
      <c r="N33762" s="1"/>
    </row>
    <row r="33763" spans="7:14" x14ac:dyDescent="0.3">
      <c r="G33763" s="1"/>
      <c r="N33763" s="1"/>
    </row>
    <row r="33764" spans="7:14" x14ac:dyDescent="0.3">
      <c r="G33764" s="1"/>
      <c r="N33764" s="1"/>
    </row>
    <row r="33765" spans="7:14" x14ac:dyDescent="0.3">
      <c r="G33765" s="1"/>
      <c r="N33765" s="1"/>
    </row>
    <row r="33766" spans="7:14" x14ac:dyDescent="0.3">
      <c r="G33766" s="1"/>
      <c r="N33766" s="1"/>
    </row>
    <row r="33767" spans="7:14" x14ac:dyDescent="0.3">
      <c r="G33767" s="1"/>
      <c r="N33767" s="1"/>
    </row>
    <row r="33768" spans="7:14" x14ac:dyDescent="0.3">
      <c r="G33768" s="1"/>
      <c r="N33768" s="1"/>
    </row>
    <row r="33769" spans="7:14" x14ac:dyDescent="0.3">
      <c r="G33769" s="1"/>
      <c r="N33769" s="1"/>
    </row>
    <row r="33770" spans="7:14" x14ac:dyDescent="0.3">
      <c r="G33770" s="1"/>
      <c r="N33770" s="1"/>
    </row>
    <row r="33771" spans="7:14" x14ac:dyDescent="0.3">
      <c r="G33771" s="1"/>
      <c r="N33771" s="1"/>
    </row>
    <row r="33772" spans="7:14" x14ac:dyDescent="0.3">
      <c r="G33772" s="1"/>
      <c r="N33772" s="1"/>
    </row>
    <row r="33773" spans="7:14" x14ac:dyDescent="0.3">
      <c r="G33773" s="1"/>
      <c r="N33773" s="1"/>
    </row>
    <row r="33774" spans="7:14" x14ac:dyDescent="0.3">
      <c r="G33774" s="1"/>
      <c r="N33774" s="1"/>
    </row>
    <row r="33775" spans="7:14" x14ac:dyDescent="0.3">
      <c r="G33775" s="1"/>
      <c r="N33775" s="1"/>
    </row>
    <row r="33776" spans="7:14" x14ac:dyDescent="0.3">
      <c r="G33776" s="1"/>
      <c r="N33776" s="1"/>
    </row>
    <row r="33777" spans="7:14" x14ac:dyDescent="0.3">
      <c r="G33777" s="1"/>
      <c r="N33777" s="1"/>
    </row>
    <row r="33778" spans="7:14" x14ac:dyDescent="0.3">
      <c r="G33778" s="1"/>
      <c r="N33778" s="1"/>
    </row>
    <row r="33779" spans="7:14" x14ac:dyDescent="0.3">
      <c r="G33779" s="1"/>
      <c r="N33779" s="1"/>
    </row>
    <row r="33780" spans="7:14" x14ac:dyDescent="0.3">
      <c r="G33780" s="1"/>
      <c r="N33780" s="1"/>
    </row>
    <row r="33781" spans="7:14" x14ac:dyDescent="0.3">
      <c r="G33781" s="1"/>
      <c r="N33781" s="1"/>
    </row>
    <row r="33782" spans="7:14" x14ac:dyDescent="0.3">
      <c r="G33782" s="1"/>
      <c r="N33782" s="1"/>
    </row>
    <row r="33783" spans="7:14" x14ac:dyDescent="0.3">
      <c r="G33783" s="1"/>
      <c r="N33783" s="1"/>
    </row>
    <row r="33784" spans="7:14" x14ac:dyDescent="0.3">
      <c r="G33784" s="1"/>
      <c r="N33784" s="1"/>
    </row>
    <row r="33785" spans="7:14" x14ac:dyDescent="0.3">
      <c r="G33785" s="1"/>
      <c r="N33785" s="1"/>
    </row>
    <row r="33786" spans="7:14" x14ac:dyDescent="0.3">
      <c r="G33786" s="1"/>
      <c r="N33786" s="1"/>
    </row>
    <row r="33787" spans="7:14" x14ac:dyDescent="0.3">
      <c r="G33787" s="1"/>
      <c r="N33787" s="1"/>
    </row>
    <row r="33788" spans="7:14" x14ac:dyDescent="0.3">
      <c r="G33788" s="1"/>
      <c r="N33788" s="1"/>
    </row>
    <row r="33789" spans="7:14" x14ac:dyDescent="0.3">
      <c r="G33789" s="1"/>
      <c r="N33789" s="1"/>
    </row>
    <row r="33790" spans="7:14" x14ac:dyDescent="0.3">
      <c r="G33790" s="1"/>
      <c r="N33790" s="1"/>
    </row>
    <row r="33791" spans="7:14" x14ac:dyDescent="0.3">
      <c r="G33791" s="1"/>
      <c r="N33791" s="1"/>
    </row>
    <row r="33792" spans="7:14" x14ac:dyDescent="0.3">
      <c r="G33792" s="1"/>
      <c r="N33792" s="1"/>
    </row>
    <row r="33793" spans="7:14" x14ac:dyDescent="0.3">
      <c r="G33793" s="1"/>
      <c r="N33793" s="1"/>
    </row>
    <row r="33794" spans="7:14" x14ac:dyDescent="0.3">
      <c r="G33794" s="1"/>
      <c r="N33794" s="1"/>
    </row>
    <row r="33795" spans="7:14" x14ac:dyDescent="0.3">
      <c r="G33795" s="1"/>
      <c r="N33795" s="1"/>
    </row>
    <row r="33796" spans="7:14" x14ac:dyDescent="0.3">
      <c r="G33796" s="1"/>
      <c r="N33796" s="1"/>
    </row>
    <row r="33797" spans="7:14" x14ac:dyDescent="0.3">
      <c r="G33797" s="1"/>
      <c r="N33797" s="1"/>
    </row>
    <row r="33798" spans="7:14" x14ac:dyDescent="0.3">
      <c r="G33798" s="1"/>
      <c r="N33798" s="1"/>
    </row>
    <row r="33799" spans="7:14" x14ac:dyDescent="0.3">
      <c r="G33799" s="1"/>
      <c r="N33799" s="1"/>
    </row>
    <row r="33800" spans="7:14" x14ac:dyDescent="0.3">
      <c r="G33800" s="1"/>
      <c r="N33800" s="1"/>
    </row>
    <row r="33801" spans="7:14" x14ac:dyDescent="0.3">
      <c r="G33801" s="1"/>
      <c r="N33801" s="1"/>
    </row>
    <row r="33802" spans="7:14" x14ac:dyDescent="0.3">
      <c r="G33802" s="1"/>
      <c r="N33802" s="1"/>
    </row>
    <row r="33803" spans="7:14" x14ac:dyDescent="0.3">
      <c r="G33803" s="1"/>
      <c r="N33803" s="1"/>
    </row>
    <row r="33804" spans="7:14" x14ac:dyDescent="0.3">
      <c r="G33804" s="1"/>
      <c r="N33804" s="1"/>
    </row>
    <row r="33805" spans="7:14" x14ac:dyDescent="0.3">
      <c r="G33805" s="1"/>
      <c r="N33805" s="1"/>
    </row>
    <row r="33806" spans="7:14" x14ac:dyDescent="0.3">
      <c r="G33806" s="1"/>
      <c r="N33806" s="1"/>
    </row>
    <row r="33807" spans="7:14" x14ac:dyDescent="0.3">
      <c r="G33807" s="1"/>
      <c r="N33807" s="1"/>
    </row>
    <row r="33808" spans="7:14" x14ac:dyDescent="0.3">
      <c r="G33808" s="1"/>
      <c r="N33808" s="1"/>
    </row>
    <row r="33809" spans="7:14" x14ac:dyDescent="0.3">
      <c r="G33809" s="1"/>
      <c r="N33809" s="1"/>
    </row>
    <row r="33810" spans="7:14" x14ac:dyDescent="0.3">
      <c r="G33810" s="1"/>
      <c r="N33810" s="1"/>
    </row>
    <row r="33811" spans="7:14" x14ac:dyDescent="0.3">
      <c r="G33811" s="1"/>
      <c r="N33811" s="1"/>
    </row>
    <row r="33812" spans="7:14" x14ac:dyDescent="0.3">
      <c r="G33812" s="1"/>
      <c r="N33812" s="1"/>
    </row>
    <row r="33813" spans="7:14" x14ac:dyDescent="0.3">
      <c r="G33813" s="1"/>
      <c r="N33813" s="1"/>
    </row>
    <row r="33814" spans="7:14" x14ac:dyDescent="0.3">
      <c r="G33814" s="1"/>
      <c r="N33814" s="1"/>
    </row>
    <row r="33815" spans="7:14" x14ac:dyDescent="0.3">
      <c r="G33815" s="1"/>
      <c r="N33815" s="1"/>
    </row>
    <row r="33816" spans="7:14" x14ac:dyDescent="0.3">
      <c r="G33816" s="1"/>
      <c r="N33816" s="1"/>
    </row>
    <row r="33817" spans="7:14" x14ac:dyDescent="0.3">
      <c r="G33817" s="1"/>
      <c r="N33817" s="1"/>
    </row>
    <row r="33818" spans="7:14" x14ac:dyDescent="0.3">
      <c r="G33818" s="1"/>
      <c r="N33818" s="1"/>
    </row>
    <row r="33819" spans="7:14" x14ac:dyDescent="0.3">
      <c r="G33819" s="1"/>
      <c r="N33819" s="1"/>
    </row>
    <row r="33820" spans="7:14" x14ac:dyDescent="0.3">
      <c r="G33820" s="1"/>
      <c r="N33820" s="1"/>
    </row>
    <row r="33821" spans="7:14" x14ac:dyDescent="0.3">
      <c r="G33821" s="1"/>
      <c r="N33821" s="1"/>
    </row>
    <row r="33822" spans="7:14" x14ac:dyDescent="0.3">
      <c r="G33822" s="1"/>
      <c r="N33822" s="1"/>
    </row>
    <row r="33823" spans="7:14" x14ac:dyDescent="0.3">
      <c r="G33823" s="1"/>
      <c r="N33823" s="1"/>
    </row>
    <row r="33824" spans="7:14" x14ac:dyDescent="0.3">
      <c r="G33824" s="1"/>
      <c r="N33824" s="1"/>
    </row>
    <row r="33825" spans="7:14" x14ac:dyDescent="0.3">
      <c r="G33825" s="1"/>
      <c r="N33825" s="1"/>
    </row>
    <row r="33826" spans="7:14" x14ac:dyDescent="0.3">
      <c r="G33826" s="1"/>
      <c r="N33826" s="1"/>
    </row>
    <row r="33827" spans="7:14" x14ac:dyDescent="0.3">
      <c r="G33827" s="1"/>
      <c r="N33827" s="1"/>
    </row>
    <row r="33828" spans="7:14" x14ac:dyDescent="0.3">
      <c r="G33828" s="1"/>
      <c r="N33828" s="1"/>
    </row>
    <row r="33829" spans="7:14" x14ac:dyDescent="0.3">
      <c r="G33829" s="1"/>
      <c r="N33829" s="1"/>
    </row>
    <row r="33830" spans="7:14" x14ac:dyDescent="0.3">
      <c r="G33830" s="1"/>
      <c r="N33830" s="1"/>
    </row>
    <row r="33831" spans="7:14" x14ac:dyDescent="0.3">
      <c r="G33831" s="1"/>
      <c r="N33831" s="1"/>
    </row>
    <row r="33832" spans="7:14" x14ac:dyDescent="0.3">
      <c r="G33832" s="1"/>
      <c r="N33832" s="1"/>
    </row>
    <row r="33833" spans="7:14" x14ac:dyDescent="0.3">
      <c r="G33833" s="1"/>
      <c r="N33833" s="1"/>
    </row>
    <row r="33834" spans="7:14" x14ac:dyDescent="0.3">
      <c r="G33834" s="1"/>
      <c r="N33834" s="1"/>
    </row>
    <row r="33835" spans="7:14" x14ac:dyDescent="0.3">
      <c r="G33835" s="1"/>
      <c r="N33835" s="1"/>
    </row>
    <row r="33836" spans="7:14" x14ac:dyDescent="0.3">
      <c r="G33836" s="1"/>
      <c r="N33836" s="1"/>
    </row>
    <row r="33837" spans="7:14" x14ac:dyDescent="0.3">
      <c r="G33837" s="1"/>
      <c r="N33837" s="1"/>
    </row>
    <row r="33838" spans="7:14" x14ac:dyDescent="0.3">
      <c r="G33838" s="1"/>
      <c r="N33838" s="1"/>
    </row>
    <row r="33839" spans="7:14" x14ac:dyDescent="0.3">
      <c r="G33839" s="1"/>
      <c r="N33839" s="1"/>
    </row>
    <row r="33840" spans="7:14" x14ac:dyDescent="0.3">
      <c r="G33840" s="1"/>
      <c r="N33840" s="1"/>
    </row>
    <row r="33841" spans="7:14" x14ac:dyDescent="0.3">
      <c r="G33841" s="1"/>
      <c r="N33841" s="1"/>
    </row>
    <row r="33842" spans="7:14" x14ac:dyDescent="0.3">
      <c r="G33842" s="1"/>
      <c r="N33842" s="1"/>
    </row>
    <row r="33843" spans="7:14" x14ac:dyDescent="0.3">
      <c r="G33843" s="1"/>
      <c r="N33843" s="1"/>
    </row>
    <row r="33844" spans="7:14" x14ac:dyDescent="0.3">
      <c r="G33844" s="1"/>
      <c r="N33844" s="1"/>
    </row>
    <row r="33845" spans="7:14" x14ac:dyDescent="0.3">
      <c r="G33845" s="1"/>
      <c r="N33845" s="1"/>
    </row>
    <row r="33846" spans="7:14" x14ac:dyDescent="0.3">
      <c r="G33846" s="1"/>
      <c r="N33846" s="1"/>
    </row>
    <row r="33847" spans="7:14" x14ac:dyDescent="0.3">
      <c r="G33847" s="1"/>
      <c r="N33847" s="1"/>
    </row>
    <row r="33848" spans="7:14" x14ac:dyDescent="0.3">
      <c r="G33848" s="1"/>
      <c r="N33848" s="1"/>
    </row>
    <row r="33849" spans="7:14" x14ac:dyDescent="0.3">
      <c r="G33849" s="1"/>
      <c r="N33849" s="1"/>
    </row>
    <row r="33850" spans="7:14" x14ac:dyDescent="0.3">
      <c r="G33850" s="1"/>
      <c r="N33850" s="1"/>
    </row>
    <row r="33851" spans="7:14" x14ac:dyDescent="0.3">
      <c r="G33851" s="1"/>
      <c r="N33851" s="1"/>
    </row>
    <row r="33852" spans="7:14" x14ac:dyDescent="0.3">
      <c r="G33852" s="1"/>
      <c r="N33852" s="1"/>
    </row>
    <row r="33853" spans="7:14" x14ac:dyDescent="0.3">
      <c r="G33853" s="1"/>
      <c r="N33853" s="1"/>
    </row>
    <row r="33854" spans="7:14" x14ac:dyDescent="0.3">
      <c r="G33854" s="1"/>
      <c r="N33854" s="1"/>
    </row>
    <row r="33855" spans="7:14" x14ac:dyDescent="0.3">
      <c r="G33855" s="1"/>
      <c r="N33855" s="1"/>
    </row>
    <row r="33856" spans="7:14" x14ac:dyDescent="0.3">
      <c r="G33856" s="1"/>
      <c r="N33856" s="1"/>
    </row>
    <row r="33857" spans="7:14" x14ac:dyDescent="0.3">
      <c r="G33857" s="1"/>
      <c r="N33857" s="1"/>
    </row>
    <row r="33858" spans="7:14" x14ac:dyDescent="0.3">
      <c r="G33858" s="1"/>
      <c r="N33858" s="1"/>
    </row>
    <row r="33859" spans="7:14" x14ac:dyDescent="0.3">
      <c r="G33859" s="1"/>
      <c r="N33859" s="1"/>
    </row>
    <row r="33860" spans="7:14" x14ac:dyDescent="0.3">
      <c r="G33860" s="1"/>
      <c r="N33860" s="1"/>
    </row>
    <row r="33861" spans="7:14" x14ac:dyDescent="0.3">
      <c r="G33861" s="1"/>
      <c r="N33861" s="1"/>
    </row>
    <row r="33862" spans="7:14" x14ac:dyDescent="0.3">
      <c r="G33862" s="1"/>
      <c r="N33862" s="1"/>
    </row>
    <row r="33863" spans="7:14" x14ac:dyDescent="0.3">
      <c r="G33863" s="1"/>
      <c r="N33863" s="1"/>
    </row>
    <row r="33864" spans="7:14" x14ac:dyDescent="0.3">
      <c r="G33864" s="1"/>
      <c r="N33864" s="1"/>
    </row>
    <row r="33865" spans="7:14" x14ac:dyDescent="0.3">
      <c r="G33865" s="1"/>
      <c r="N33865" s="1"/>
    </row>
    <row r="33866" spans="7:14" x14ac:dyDescent="0.3">
      <c r="G33866" s="1"/>
      <c r="N33866" s="1"/>
    </row>
    <row r="33867" spans="7:14" x14ac:dyDescent="0.3">
      <c r="G33867" s="1"/>
      <c r="N33867" s="1"/>
    </row>
    <row r="33868" spans="7:14" x14ac:dyDescent="0.3">
      <c r="G33868" s="1"/>
      <c r="N33868" s="1"/>
    </row>
    <row r="33869" spans="7:14" x14ac:dyDescent="0.3">
      <c r="G33869" s="1"/>
      <c r="N33869" s="1"/>
    </row>
    <row r="33870" spans="7:14" x14ac:dyDescent="0.3">
      <c r="G33870" s="1"/>
      <c r="N33870" s="1"/>
    </row>
    <row r="33871" spans="7:14" x14ac:dyDescent="0.3">
      <c r="G33871" s="1"/>
      <c r="N33871" s="1"/>
    </row>
    <row r="33872" spans="7:14" x14ac:dyDescent="0.3">
      <c r="G33872" s="1"/>
      <c r="N33872" s="1"/>
    </row>
    <row r="33873" spans="7:14" x14ac:dyDescent="0.3">
      <c r="G33873" s="1"/>
      <c r="N33873" s="1"/>
    </row>
    <row r="33874" spans="7:14" x14ac:dyDescent="0.3">
      <c r="G33874" s="1"/>
      <c r="N33874" s="1"/>
    </row>
    <row r="33875" spans="7:14" x14ac:dyDescent="0.3">
      <c r="G33875" s="1"/>
      <c r="N33875" s="1"/>
    </row>
    <row r="33876" spans="7:14" x14ac:dyDescent="0.3">
      <c r="G33876" s="1"/>
      <c r="N33876" s="1"/>
    </row>
    <row r="33877" spans="7:14" x14ac:dyDescent="0.3">
      <c r="G33877" s="1"/>
      <c r="N33877" s="1"/>
    </row>
    <row r="33878" spans="7:14" x14ac:dyDescent="0.3">
      <c r="G33878" s="1"/>
      <c r="N33878" s="1"/>
    </row>
    <row r="33879" spans="7:14" x14ac:dyDescent="0.3">
      <c r="G33879" s="1"/>
      <c r="N33879" s="1"/>
    </row>
    <row r="33880" spans="7:14" x14ac:dyDescent="0.3">
      <c r="G33880" s="1"/>
      <c r="N33880" s="1"/>
    </row>
    <row r="33881" spans="7:14" x14ac:dyDescent="0.3">
      <c r="G33881" s="1"/>
      <c r="N33881" s="1"/>
    </row>
    <row r="33882" spans="7:14" x14ac:dyDescent="0.3">
      <c r="G33882" s="1"/>
      <c r="N33882" s="1"/>
    </row>
    <row r="33883" spans="7:14" x14ac:dyDescent="0.3">
      <c r="G33883" s="1"/>
      <c r="N33883" s="1"/>
    </row>
    <row r="33884" spans="7:14" x14ac:dyDescent="0.3">
      <c r="G33884" s="1"/>
      <c r="N33884" s="1"/>
    </row>
    <row r="33885" spans="7:14" x14ac:dyDescent="0.3">
      <c r="G33885" s="1"/>
      <c r="N33885" s="1"/>
    </row>
    <row r="33886" spans="7:14" x14ac:dyDescent="0.3">
      <c r="G33886" s="1"/>
      <c r="N33886" s="1"/>
    </row>
    <row r="33887" spans="7:14" x14ac:dyDescent="0.3">
      <c r="G33887" s="1"/>
      <c r="N33887" s="1"/>
    </row>
    <row r="33888" spans="7:14" x14ac:dyDescent="0.3">
      <c r="G33888" s="1"/>
      <c r="N33888" s="1"/>
    </row>
    <row r="33889" spans="7:14" x14ac:dyDescent="0.3">
      <c r="G33889" s="1"/>
      <c r="N33889" s="1"/>
    </row>
    <row r="33890" spans="7:14" x14ac:dyDescent="0.3">
      <c r="G33890" s="1"/>
      <c r="N33890" s="1"/>
    </row>
    <row r="33891" spans="7:14" x14ac:dyDescent="0.3">
      <c r="G33891" s="1"/>
      <c r="N33891" s="1"/>
    </row>
    <row r="33892" spans="7:14" x14ac:dyDescent="0.3">
      <c r="G33892" s="1"/>
      <c r="N33892" s="1"/>
    </row>
    <row r="33893" spans="7:14" x14ac:dyDescent="0.3">
      <c r="G33893" s="1"/>
      <c r="N33893" s="1"/>
    </row>
    <row r="33894" spans="7:14" x14ac:dyDescent="0.3">
      <c r="G33894" s="1"/>
      <c r="N33894" s="1"/>
    </row>
    <row r="33895" spans="7:14" x14ac:dyDescent="0.3">
      <c r="G33895" s="1"/>
      <c r="N33895" s="1"/>
    </row>
    <row r="33896" spans="7:14" x14ac:dyDescent="0.3">
      <c r="G33896" s="1"/>
      <c r="N33896" s="1"/>
    </row>
    <row r="33897" spans="7:14" x14ac:dyDescent="0.3">
      <c r="G33897" s="1"/>
      <c r="N33897" s="1"/>
    </row>
    <row r="33898" spans="7:14" x14ac:dyDescent="0.3">
      <c r="G33898" s="1"/>
      <c r="N33898" s="1"/>
    </row>
    <row r="33899" spans="7:14" x14ac:dyDescent="0.3">
      <c r="G33899" s="1"/>
      <c r="N33899" s="1"/>
    </row>
    <row r="33900" spans="7:14" x14ac:dyDescent="0.3">
      <c r="G33900" s="1"/>
      <c r="N33900" s="1"/>
    </row>
    <row r="33901" spans="7:14" x14ac:dyDescent="0.3">
      <c r="G33901" s="1"/>
      <c r="N33901" s="1"/>
    </row>
    <row r="33902" spans="7:14" x14ac:dyDescent="0.3">
      <c r="G33902" s="1"/>
      <c r="N33902" s="1"/>
    </row>
    <row r="33903" spans="7:14" x14ac:dyDescent="0.3">
      <c r="G33903" s="1"/>
      <c r="N33903" s="1"/>
    </row>
    <row r="33904" spans="7:14" x14ac:dyDescent="0.3">
      <c r="G33904" s="1"/>
      <c r="N33904" s="1"/>
    </row>
    <row r="33905" spans="7:14" x14ac:dyDescent="0.3">
      <c r="G33905" s="1"/>
      <c r="N33905" s="1"/>
    </row>
    <row r="33906" spans="7:14" x14ac:dyDescent="0.3">
      <c r="G33906" s="1"/>
      <c r="N33906" s="1"/>
    </row>
    <row r="33907" spans="7:14" x14ac:dyDescent="0.3">
      <c r="G33907" s="1"/>
      <c r="N33907" s="1"/>
    </row>
    <row r="33908" spans="7:14" x14ac:dyDescent="0.3">
      <c r="G33908" s="1"/>
      <c r="N33908" s="1"/>
    </row>
    <row r="33909" spans="7:14" x14ac:dyDescent="0.3">
      <c r="G33909" s="1"/>
      <c r="N33909" s="1"/>
    </row>
    <row r="33910" spans="7:14" x14ac:dyDescent="0.3">
      <c r="G33910" s="1"/>
      <c r="N33910" s="1"/>
    </row>
    <row r="33911" spans="7:14" x14ac:dyDescent="0.3">
      <c r="G33911" s="1"/>
      <c r="N33911" s="1"/>
    </row>
    <row r="33912" spans="7:14" x14ac:dyDescent="0.3">
      <c r="G33912" s="1"/>
      <c r="N33912" s="1"/>
    </row>
    <row r="33913" spans="7:14" x14ac:dyDescent="0.3">
      <c r="G33913" s="1"/>
      <c r="N33913" s="1"/>
    </row>
    <row r="33914" spans="7:14" x14ac:dyDescent="0.3">
      <c r="G33914" s="1"/>
      <c r="N33914" s="1"/>
    </row>
    <row r="33915" spans="7:14" x14ac:dyDescent="0.3">
      <c r="G33915" s="1"/>
      <c r="N33915" s="1"/>
    </row>
    <row r="33916" spans="7:14" x14ac:dyDescent="0.3">
      <c r="G33916" s="1"/>
      <c r="N33916" s="1"/>
    </row>
    <row r="33917" spans="7:14" x14ac:dyDescent="0.3">
      <c r="G33917" s="1"/>
      <c r="N33917" s="1"/>
    </row>
    <row r="33918" spans="7:14" x14ac:dyDescent="0.3">
      <c r="G33918" s="1"/>
      <c r="N33918" s="1"/>
    </row>
    <row r="33919" spans="7:14" x14ac:dyDescent="0.3">
      <c r="G33919" s="1"/>
      <c r="N33919" s="1"/>
    </row>
    <row r="33920" spans="7:14" x14ac:dyDescent="0.3">
      <c r="G33920" s="1"/>
      <c r="N33920" s="1"/>
    </row>
    <row r="33921" spans="7:14" x14ac:dyDescent="0.3">
      <c r="G33921" s="1"/>
      <c r="N33921" s="1"/>
    </row>
    <row r="33922" spans="7:14" x14ac:dyDescent="0.3">
      <c r="G33922" s="1"/>
      <c r="N33922" s="1"/>
    </row>
    <row r="33923" spans="7:14" x14ac:dyDescent="0.3">
      <c r="G33923" s="1"/>
      <c r="N33923" s="1"/>
    </row>
    <row r="33924" spans="7:14" x14ac:dyDescent="0.3">
      <c r="G33924" s="1"/>
      <c r="N33924" s="1"/>
    </row>
    <row r="33925" spans="7:14" x14ac:dyDescent="0.3">
      <c r="G33925" s="1"/>
      <c r="N33925" s="1"/>
    </row>
    <row r="33926" spans="7:14" x14ac:dyDescent="0.3">
      <c r="G33926" s="1"/>
      <c r="N33926" s="1"/>
    </row>
    <row r="33927" spans="7:14" x14ac:dyDescent="0.3">
      <c r="G33927" s="1"/>
      <c r="N33927" s="1"/>
    </row>
    <row r="33928" spans="7:14" x14ac:dyDescent="0.3">
      <c r="G33928" s="1"/>
      <c r="N33928" s="1"/>
    </row>
    <row r="33929" spans="7:14" x14ac:dyDescent="0.3">
      <c r="G33929" s="1"/>
      <c r="N33929" s="1"/>
    </row>
    <row r="33930" spans="7:14" x14ac:dyDescent="0.3">
      <c r="G33930" s="1"/>
      <c r="N33930" s="1"/>
    </row>
    <row r="33931" spans="7:14" x14ac:dyDescent="0.3">
      <c r="G33931" s="1"/>
      <c r="N33931" s="1"/>
    </row>
    <row r="33932" spans="7:14" x14ac:dyDescent="0.3">
      <c r="G33932" s="1"/>
      <c r="N33932" s="1"/>
    </row>
    <row r="33933" spans="7:14" x14ac:dyDescent="0.3">
      <c r="G33933" s="1"/>
      <c r="N33933" s="1"/>
    </row>
    <row r="33934" spans="7:14" x14ac:dyDescent="0.3">
      <c r="G33934" s="1"/>
      <c r="N33934" s="1"/>
    </row>
    <row r="33935" spans="7:14" x14ac:dyDescent="0.3">
      <c r="G33935" s="1"/>
      <c r="N33935" s="1"/>
    </row>
    <row r="33936" spans="7:14" x14ac:dyDescent="0.3">
      <c r="G33936" s="1"/>
      <c r="N33936" s="1"/>
    </row>
    <row r="33937" spans="7:14" x14ac:dyDescent="0.3">
      <c r="G33937" s="1"/>
      <c r="N33937" s="1"/>
    </row>
    <row r="33938" spans="7:14" x14ac:dyDescent="0.3">
      <c r="G33938" s="1"/>
      <c r="N33938" s="1"/>
    </row>
    <row r="33939" spans="7:14" x14ac:dyDescent="0.3">
      <c r="G33939" s="1"/>
      <c r="N33939" s="1"/>
    </row>
    <row r="33940" spans="7:14" x14ac:dyDescent="0.3">
      <c r="G33940" s="1"/>
      <c r="N33940" s="1"/>
    </row>
    <row r="33941" spans="7:14" x14ac:dyDescent="0.3">
      <c r="G33941" s="1"/>
      <c r="N33941" s="1"/>
    </row>
    <row r="33942" spans="7:14" x14ac:dyDescent="0.3">
      <c r="G33942" s="1"/>
      <c r="N33942" s="1"/>
    </row>
    <row r="33943" spans="7:14" x14ac:dyDescent="0.3">
      <c r="G33943" s="1"/>
      <c r="N33943" s="1"/>
    </row>
    <row r="33944" spans="7:14" x14ac:dyDescent="0.3">
      <c r="G33944" s="1"/>
      <c r="N33944" s="1"/>
    </row>
    <row r="33945" spans="7:14" x14ac:dyDescent="0.3">
      <c r="G33945" s="1"/>
      <c r="N33945" s="1"/>
    </row>
    <row r="33946" spans="7:14" x14ac:dyDescent="0.3">
      <c r="G33946" s="1"/>
      <c r="N33946" s="1"/>
    </row>
    <row r="33947" spans="7:14" x14ac:dyDescent="0.3">
      <c r="G33947" s="1"/>
      <c r="N33947" s="1"/>
    </row>
    <row r="33948" spans="7:14" x14ac:dyDescent="0.3">
      <c r="G33948" s="1"/>
      <c r="N33948" s="1"/>
    </row>
    <row r="33949" spans="7:14" x14ac:dyDescent="0.3">
      <c r="G33949" s="1"/>
      <c r="N33949" s="1"/>
    </row>
    <row r="33950" spans="7:14" x14ac:dyDescent="0.3">
      <c r="G33950" s="1"/>
      <c r="N33950" s="1"/>
    </row>
    <row r="33951" spans="7:14" x14ac:dyDescent="0.3">
      <c r="G33951" s="1"/>
      <c r="N33951" s="1"/>
    </row>
    <row r="33952" spans="7:14" x14ac:dyDescent="0.3">
      <c r="G33952" s="1"/>
      <c r="N33952" s="1"/>
    </row>
    <row r="33953" spans="7:14" x14ac:dyDescent="0.3">
      <c r="G33953" s="1"/>
      <c r="N33953" s="1"/>
    </row>
    <row r="33954" spans="7:14" x14ac:dyDescent="0.3">
      <c r="G33954" s="1"/>
      <c r="N33954" s="1"/>
    </row>
    <row r="33955" spans="7:14" x14ac:dyDescent="0.3">
      <c r="G33955" s="1"/>
      <c r="N33955" s="1"/>
    </row>
    <row r="33956" spans="7:14" x14ac:dyDescent="0.3">
      <c r="G33956" s="1"/>
      <c r="N33956" s="1"/>
    </row>
    <row r="33957" spans="7:14" x14ac:dyDescent="0.3">
      <c r="G33957" s="1"/>
      <c r="N33957" s="1"/>
    </row>
    <row r="33958" spans="7:14" x14ac:dyDescent="0.3">
      <c r="G33958" s="1"/>
      <c r="N33958" s="1"/>
    </row>
    <row r="33959" spans="7:14" x14ac:dyDescent="0.3">
      <c r="G33959" s="1"/>
      <c r="N33959" s="1"/>
    </row>
    <row r="33960" spans="7:14" x14ac:dyDescent="0.3">
      <c r="G33960" s="1"/>
      <c r="N33960" s="1"/>
    </row>
    <row r="33961" spans="7:14" x14ac:dyDescent="0.3">
      <c r="G33961" s="1"/>
      <c r="N33961" s="1"/>
    </row>
    <row r="33962" spans="7:14" x14ac:dyDescent="0.3">
      <c r="G33962" s="1"/>
      <c r="N33962" s="1"/>
    </row>
    <row r="33963" spans="7:14" x14ac:dyDescent="0.3">
      <c r="G33963" s="1"/>
      <c r="N33963" s="1"/>
    </row>
    <row r="33964" spans="7:14" x14ac:dyDescent="0.3">
      <c r="G33964" s="1"/>
      <c r="N33964" s="1"/>
    </row>
    <row r="33965" spans="7:14" x14ac:dyDescent="0.3">
      <c r="G33965" s="1"/>
      <c r="N33965" s="1"/>
    </row>
    <row r="33966" spans="7:14" x14ac:dyDescent="0.3">
      <c r="G33966" s="1"/>
      <c r="N33966" s="1"/>
    </row>
    <row r="33967" spans="7:14" x14ac:dyDescent="0.3">
      <c r="G33967" s="1"/>
      <c r="N33967" s="1"/>
    </row>
    <row r="33968" spans="7:14" x14ac:dyDescent="0.3">
      <c r="G33968" s="1"/>
      <c r="N33968" s="1"/>
    </row>
    <row r="33969" spans="7:14" x14ac:dyDescent="0.3">
      <c r="G33969" s="1"/>
      <c r="N33969" s="1"/>
    </row>
    <row r="33970" spans="7:14" x14ac:dyDescent="0.3">
      <c r="G33970" s="1"/>
      <c r="N33970" s="1"/>
    </row>
    <row r="33971" spans="7:14" x14ac:dyDescent="0.3">
      <c r="G33971" s="1"/>
      <c r="N33971" s="1"/>
    </row>
    <row r="33972" spans="7:14" x14ac:dyDescent="0.3">
      <c r="G33972" s="1"/>
      <c r="N33972" s="1"/>
    </row>
    <row r="33973" spans="7:14" x14ac:dyDescent="0.3">
      <c r="G33973" s="1"/>
      <c r="N33973" s="1"/>
    </row>
    <row r="33974" spans="7:14" x14ac:dyDescent="0.3">
      <c r="G33974" s="1"/>
      <c r="N33974" s="1"/>
    </row>
    <row r="33975" spans="7:14" x14ac:dyDescent="0.3">
      <c r="G33975" s="1"/>
      <c r="N33975" s="1"/>
    </row>
    <row r="33976" spans="7:14" x14ac:dyDescent="0.3">
      <c r="G33976" s="1"/>
      <c r="N33976" s="1"/>
    </row>
    <row r="33977" spans="7:14" x14ac:dyDescent="0.3">
      <c r="G33977" s="1"/>
      <c r="N33977" s="1"/>
    </row>
    <row r="33978" spans="7:14" x14ac:dyDescent="0.3">
      <c r="G33978" s="1"/>
      <c r="N33978" s="1"/>
    </row>
    <row r="33979" spans="7:14" x14ac:dyDescent="0.3">
      <c r="G33979" s="1"/>
      <c r="N33979" s="1"/>
    </row>
    <row r="33980" spans="7:14" x14ac:dyDescent="0.3">
      <c r="G33980" s="1"/>
      <c r="N33980" s="1"/>
    </row>
    <row r="33981" spans="7:14" x14ac:dyDescent="0.3">
      <c r="G33981" s="1"/>
      <c r="N33981" s="1"/>
    </row>
    <row r="33982" spans="7:14" x14ac:dyDescent="0.3">
      <c r="G33982" s="1"/>
      <c r="N33982" s="1"/>
    </row>
    <row r="33983" spans="7:14" x14ac:dyDescent="0.3">
      <c r="G33983" s="1"/>
      <c r="N33983" s="1"/>
    </row>
    <row r="33984" spans="7:14" x14ac:dyDescent="0.3">
      <c r="G33984" s="1"/>
      <c r="N33984" s="1"/>
    </row>
    <row r="33985" spans="7:14" x14ac:dyDescent="0.3">
      <c r="G33985" s="1"/>
      <c r="N33985" s="1"/>
    </row>
    <row r="33986" spans="7:14" x14ac:dyDescent="0.3">
      <c r="G33986" s="1"/>
      <c r="N33986" s="1"/>
    </row>
    <row r="33987" spans="7:14" x14ac:dyDescent="0.3">
      <c r="G33987" s="1"/>
      <c r="N33987" s="1"/>
    </row>
    <row r="33988" spans="7:14" x14ac:dyDescent="0.3">
      <c r="G33988" s="1"/>
      <c r="N33988" s="1"/>
    </row>
    <row r="33989" spans="7:14" x14ac:dyDescent="0.3">
      <c r="G33989" s="1"/>
      <c r="N33989" s="1"/>
    </row>
    <row r="33990" spans="7:14" x14ac:dyDescent="0.3">
      <c r="G33990" s="1"/>
      <c r="N33990" s="1"/>
    </row>
    <row r="33991" spans="7:14" x14ac:dyDescent="0.3">
      <c r="G33991" s="1"/>
      <c r="N33991" s="1"/>
    </row>
    <row r="33992" spans="7:14" x14ac:dyDescent="0.3">
      <c r="G33992" s="1"/>
      <c r="N33992" s="1"/>
    </row>
    <row r="33993" spans="7:14" x14ac:dyDescent="0.3">
      <c r="G33993" s="1"/>
      <c r="N33993" s="1"/>
    </row>
    <row r="33994" spans="7:14" x14ac:dyDescent="0.3">
      <c r="G33994" s="1"/>
      <c r="N33994" s="1"/>
    </row>
    <row r="33995" spans="7:14" x14ac:dyDescent="0.3">
      <c r="G33995" s="1"/>
      <c r="N33995" s="1"/>
    </row>
    <row r="33996" spans="7:14" x14ac:dyDescent="0.3">
      <c r="G33996" s="1"/>
      <c r="N33996" s="1"/>
    </row>
    <row r="33997" spans="7:14" x14ac:dyDescent="0.3">
      <c r="G33997" s="1"/>
      <c r="N33997" s="1"/>
    </row>
    <row r="33998" spans="7:14" x14ac:dyDescent="0.3">
      <c r="G33998" s="1"/>
      <c r="N33998" s="1"/>
    </row>
    <row r="33999" spans="7:14" x14ac:dyDescent="0.3">
      <c r="G33999" s="1"/>
      <c r="N33999" s="1"/>
    </row>
    <row r="34000" spans="7:14" x14ac:dyDescent="0.3">
      <c r="G34000" s="1"/>
      <c r="N34000" s="1"/>
    </row>
    <row r="34001" spans="7:14" x14ac:dyDescent="0.3">
      <c r="G34001" s="1"/>
      <c r="N34001" s="1"/>
    </row>
    <row r="34002" spans="7:14" x14ac:dyDescent="0.3">
      <c r="G34002" s="1"/>
      <c r="N34002" s="1"/>
    </row>
    <row r="34003" spans="7:14" x14ac:dyDescent="0.3">
      <c r="G34003" s="1"/>
      <c r="N34003" s="1"/>
    </row>
    <row r="34004" spans="7:14" x14ac:dyDescent="0.3">
      <c r="G34004" s="1"/>
      <c r="N34004" s="1"/>
    </row>
    <row r="34005" spans="7:14" x14ac:dyDescent="0.3">
      <c r="G34005" s="1"/>
      <c r="N34005" s="1"/>
    </row>
    <row r="34006" spans="7:14" x14ac:dyDescent="0.3">
      <c r="G34006" s="1"/>
      <c r="N34006" s="1"/>
    </row>
    <row r="34007" spans="7:14" x14ac:dyDescent="0.3">
      <c r="G34007" s="1"/>
      <c r="N34007" s="1"/>
    </row>
    <row r="34008" spans="7:14" x14ac:dyDescent="0.3">
      <c r="G34008" s="1"/>
      <c r="N34008" s="1"/>
    </row>
    <row r="34009" spans="7:14" x14ac:dyDescent="0.3">
      <c r="G34009" s="1"/>
      <c r="N34009" s="1"/>
    </row>
    <row r="34010" spans="7:14" x14ac:dyDescent="0.3">
      <c r="G34010" s="1"/>
      <c r="N34010" s="1"/>
    </row>
    <row r="34011" spans="7:14" x14ac:dyDescent="0.3">
      <c r="G34011" s="1"/>
      <c r="N34011" s="1"/>
    </row>
    <row r="34012" spans="7:14" x14ac:dyDescent="0.3">
      <c r="G34012" s="1"/>
      <c r="N34012" s="1"/>
    </row>
    <row r="34013" spans="7:14" x14ac:dyDescent="0.3">
      <c r="G34013" s="1"/>
      <c r="N34013" s="1"/>
    </row>
    <row r="34014" spans="7:14" x14ac:dyDescent="0.3">
      <c r="G34014" s="1"/>
      <c r="N34014" s="1"/>
    </row>
    <row r="34015" spans="7:14" x14ac:dyDescent="0.3">
      <c r="G34015" s="1"/>
      <c r="N34015" s="1"/>
    </row>
    <row r="34016" spans="7:14" x14ac:dyDescent="0.3">
      <c r="G34016" s="1"/>
      <c r="N34016" s="1"/>
    </row>
    <row r="34017" spans="7:14" x14ac:dyDescent="0.3">
      <c r="G34017" s="1"/>
      <c r="N34017" s="1"/>
    </row>
    <row r="34018" spans="7:14" x14ac:dyDescent="0.3">
      <c r="G34018" s="1"/>
      <c r="N34018" s="1"/>
    </row>
    <row r="34019" spans="7:14" x14ac:dyDescent="0.3">
      <c r="G34019" s="1"/>
      <c r="N34019" s="1"/>
    </row>
    <row r="34020" spans="7:14" x14ac:dyDescent="0.3">
      <c r="G34020" s="1"/>
      <c r="N34020" s="1"/>
    </row>
    <row r="34021" spans="7:14" x14ac:dyDescent="0.3">
      <c r="G34021" s="1"/>
      <c r="N34021" s="1"/>
    </row>
    <row r="34022" spans="7:14" x14ac:dyDescent="0.3">
      <c r="G34022" s="1"/>
      <c r="N34022" s="1"/>
    </row>
    <row r="34023" spans="7:14" x14ac:dyDescent="0.3">
      <c r="G34023" s="1"/>
      <c r="N34023" s="1"/>
    </row>
    <row r="34024" spans="7:14" x14ac:dyDescent="0.3">
      <c r="G34024" s="1"/>
      <c r="N34024" s="1"/>
    </row>
    <row r="34025" spans="7:14" x14ac:dyDescent="0.3">
      <c r="G34025" s="1"/>
      <c r="N34025" s="1"/>
    </row>
    <row r="34026" spans="7:14" x14ac:dyDescent="0.3">
      <c r="G34026" s="1"/>
      <c r="N34026" s="1"/>
    </row>
    <row r="34027" spans="7:14" x14ac:dyDescent="0.3">
      <c r="G34027" s="1"/>
      <c r="N34027" s="1"/>
    </row>
    <row r="34028" spans="7:14" x14ac:dyDescent="0.3">
      <c r="G34028" s="1"/>
      <c r="N34028" s="1"/>
    </row>
    <row r="34029" spans="7:14" x14ac:dyDescent="0.3">
      <c r="G34029" s="1"/>
      <c r="N34029" s="1"/>
    </row>
    <row r="34030" spans="7:14" x14ac:dyDescent="0.3">
      <c r="G34030" s="1"/>
      <c r="N34030" s="1"/>
    </row>
    <row r="34031" spans="7:14" x14ac:dyDescent="0.3">
      <c r="G34031" s="1"/>
      <c r="N34031" s="1"/>
    </row>
    <row r="34032" spans="7:14" x14ac:dyDescent="0.3">
      <c r="G34032" s="1"/>
      <c r="N34032" s="1"/>
    </row>
    <row r="34033" spans="7:14" x14ac:dyDescent="0.3">
      <c r="G34033" s="1"/>
      <c r="N34033" s="1"/>
    </row>
    <row r="34034" spans="7:14" x14ac:dyDescent="0.3">
      <c r="G34034" s="1"/>
      <c r="N34034" s="1"/>
    </row>
    <row r="34035" spans="7:14" x14ac:dyDescent="0.3">
      <c r="G34035" s="1"/>
      <c r="N34035" s="1"/>
    </row>
    <row r="34036" spans="7:14" x14ac:dyDescent="0.3">
      <c r="G34036" s="1"/>
      <c r="N34036" s="1"/>
    </row>
    <row r="34037" spans="7:14" x14ac:dyDescent="0.3">
      <c r="G34037" s="1"/>
      <c r="N34037" s="1"/>
    </row>
    <row r="34038" spans="7:14" x14ac:dyDescent="0.3">
      <c r="G34038" s="1"/>
      <c r="N34038" s="1"/>
    </row>
    <row r="34039" spans="7:14" x14ac:dyDescent="0.3">
      <c r="G34039" s="1"/>
      <c r="N34039" s="1"/>
    </row>
    <row r="34040" spans="7:14" x14ac:dyDescent="0.3">
      <c r="G34040" s="1"/>
      <c r="N34040" s="1"/>
    </row>
    <row r="34041" spans="7:14" x14ac:dyDescent="0.3">
      <c r="G34041" s="1"/>
      <c r="N34041" s="1"/>
    </row>
    <row r="34042" spans="7:14" x14ac:dyDescent="0.3">
      <c r="G34042" s="1"/>
      <c r="N34042" s="1"/>
    </row>
    <row r="34043" spans="7:14" x14ac:dyDescent="0.3">
      <c r="G34043" s="1"/>
      <c r="N34043" s="1"/>
    </row>
    <row r="34044" spans="7:14" x14ac:dyDescent="0.3">
      <c r="G34044" s="1"/>
      <c r="N34044" s="1"/>
    </row>
    <row r="34045" spans="7:14" x14ac:dyDescent="0.3">
      <c r="G34045" s="1"/>
      <c r="N34045" s="1"/>
    </row>
    <row r="34046" spans="7:14" x14ac:dyDescent="0.3">
      <c r="G34046" s="1"/>
      <c r="N34046" s="1"/>
    </row>
    <row r="34047" spans="7:14" x14ac:dyDescent="0.3">
      <c r="G34047" s="1"/>
      <c r="N34047" s="1"/>
    </row>
    <row r="34048" spans="7:14" x14ac:dyDescent="0.3">
      <c r="G34048" s="1"/>
      <c r="N34048" s="1"/>
    </row>
    <row r="34049" spans="7:14" x14ac:dyDescent="0.3">
      <c r="G34049" s="1"/>
      <c r="N34049" s="1"/>
    </row>
    <row r="34050" spans="7:14" x14ac:dyDescent="0.3">
      <c r="G34050" s="1"/>
      <c r="N34050" s="1"/>
    </row>
    <row r="34051" spans="7:14" x14ac:dyDescent="0.3">
      <c r="G34051" s="1"/>
      <c r="N34051" s="1"/>
    </row>
    <row r="34052" spans="7:14" x14ac:dyDescent="0.3">
      <c r="G34052" s="1"/>
      <c r="N34052" s="1"/>
    </row>
    <row r="34053" spans="7:14" x14ac:dyDescent="0.3">
      <c r="G34053" s="1"/>
      <c r="N34053" s="1"/>
    </row>
    <row r="34054" spans="7:14" x14ac:dyDescent="0.3">
      <c r="G34054" s="1"/>
      <c r="N34054" s="1"/>
    </row>
    <row r="34055" spans="7:14" x14ac:dyDescent="0.3">
      <c r="G34055" s="1"/>
      <c r="N34055" s="1"/>
    </row>
    <row r="34056" spans="7:14" x14ac:dyDescent="0.3">
      <c r="G34056" s="1"/>
      <c r="N34056" s="1"/>
    </row>
    <row r="34057" spans="7:14" x14ac:dyDescent="0.3">
      <c r="G34057" s="1"/>
      <c r="N34057" s="1"/>
    </row>
    <row r="34058" spans="7:14" x14ac:dyDescent="0.3">
      <c r="G34058" s="1"/>
      <c r="N34058" s="1"/>
    </row>
    <row r="34059" spans="7:14" x14ac:dyDescent="0.3">
      <c r="G34059" s="1"/>
      <c r="N34059" s="1"/>
    </row>
    <row r="34060" spans="7:14" x14ac:dyDescent="0.3">
      <c r="G34060" s="1"/>
      <c r="N34060" s="1"/>
    </row>
    <row r="34061" spans="7:14" x14ac:dyDescent="0.3">
      <c r="G34061" s="1"/>
      <c r="N34061" s="1"/>
    </row>
    <row r="34062" spans="7:14" x14ac:dyDescent="0.3">
      <c r="G34062" s="1"/>
      <c r="N34062" s="1"/>
    </row>
    <row r="34063" spans="7:14" x14ac:dyDescent="0.3">
      <c r="G34063" s="1"/>
      <c r="N34063" s="1"/>
    </row>
    <row r="34064" spans="7:14" x14ac:dyDescent="0.3">
      <c r="G34064" s="1"/>
      <c r="N34064" s="1"/>
    </row>
    <row r="34065" spans="7:14" x14ac:dyDescent="0.3">
      <c r="G34065" s="1"/>
      <c r="N34065" s="1"/>
    </row>
    <row r="34066" spans="7:14" x14ac:dyDescent="0.3">
      <c r="G34066" s="1"/>
      <c r="N34066" s="1"/>
    </row>
    <row r="34067" spans="7:14" x14ac:dyDescent="0.3">
      <c r="G34067" s="1"/>
      <c r="N34067" s="1"/>
    </row>
    <row r="34068" spans="7:14" x14ac:dyDescent="0.3">
      <c r="G34068" s="1"/>
      <c r="N34068" s="1"/>
    </row>
    <row r="34069" spans="7:14" x14ac:dyDescent="0.3">
      <c r="G34069" s="1"/>
      <c r="N34069" s="1"/>
    </row>
    <row r="34070" spans="7:14" x14ac:dyDescent="0.3">
      <c r="G34070" s="1"/>
      <c r="N34070" s="1"/>
    </row>
    <row r="34071" spans="7:14" x14ac:dyDescent="0.3">
      <c r="G34071" s="1"/>
      <c r="N34071" s="1"/>
    </row>
    <row r="34072" spans="7:14" x14ac:dyDescent="0.3">
      <c r="G34072" s="1"/>
      <c r="N34072" s="1"/>
    </row>
    <row r="34073" spans="7:14" x14ac:dyDescent="0.3">
      <c r="G34073" s="1"/>
      <c r="N34073" s="1"/>
    </row>
    <row r="34074" spans="7:14" x14ac:dyDescent="0.3">
      <c r="G34074" s="1"/>
      <c r="N34074" s="1"/>
    </row>
    <row r="34075" spans="7:14" x14ac:dyDescent="0.3">
      <c r="G34075" s="1"/>
      <c r="N34075" s="1"/>
    </row>
    <row r="34076" spans="7:14" x14ac:dyDescent="0.3">
      <c r="G34076" s="1"/>
      <c r="N34076" s="1"/>
    </row>
    <row r="34077" spans="7:14" x14ac:dyDescent="0.3">
      <c r="G34077" s="1"/>
      <c r="N34077" s="1"/>
    </row>
    <row r="34078" spans="7:14" x14ac:dyDescent="0.3">
      <c r="G34078" s="1"/>
      <c r="N34078" s="1"/>
    </row>
    <row r="34079" spans="7:14" x14ac:dyDescent="0.3">
      <c r="G34079" s="1"/>
      <c r="N34079" s="1"/>
    </row>
    <row r="34080" spans="7:14" x14ac:dyDescent="0.3">
      <c r="G34080" s="1"/>
      <c r="N34080" s="1"/>
    </row>
    <row r="34081" spans="7:14" x14ac:dyDescent="0.3">
      <c r="G34081" s="1"/>
      <c r="N34081" s="1"/>
    </row>
    <row r="34082" spans="7:14" x14ac:dyDescent="0.3">
      <c r="G34082" s="1"/>
      <c r="N34082" s="1"/>
    </row>
    <row r="34083" spans="7:14" x14ac:dyDescent="0.3">
      <c r="G34083" s="1"/>
      <c r="N34083" s="1"/>
    </row>
    <row r="34084" spans="7:14" x14ac:dyDescent="0.3">
      <c r="G34084" s="1"/>
      <c r="N34084" s="1"/>
    </row>
    <row r="34085" spans="7:14" x14ac:dyDescent="0.3">
      <c r="G34085" s="1"/>
      <c r="N34085" s="1"/>
    </row>
    <row r="34086" spans="7:14" x14ac:dyDescent="0.3">
      <c r="G34086" s="1"/>
      <c r="N34086" s="1"/>
    </row>
    <row r="34087" spans="7:14" x14ac:dyDescent="0.3">
      <c r="G34087" s="1"/>
      <c r="N34087" s="1"/>
    </row>
    <row r="34088" spans="7:14" x14ac:dyDescent="0.3">
      <c r="G34088" s="1"/>
      <c r="N34088" s="1"/>
    </row>
    <row r="34089" spans="7:14" x14ac:dyDescent="0.3">
      <c r="G34089" s="1"/>
      <c r="N34089" s="1"/>
    </row>
    <row r="34090" spans="7:14" x14ac:dyDescent="0.3">
      <c r="G34090" s="1"/>
      <c r="N34090" s="1"/>
    </row>
    <row r="34091" spans="7:14" x14ac:dyDescent="0.3">
      <c r="G34091" s="1"/>
      <c r="N34091" s="1"/>
    </row>
    <row r="34092" spans="7:14" x14ac:dyDescent="0.3">
      <c r="G34092" s="1"/>
      <c r="N34092" s="1"/>
    </row>
    <row r="34093" spans="7:14" x14ac:dyDescent="0.3">
      <c r="G34093" s="1"/>
      <c r="N34093" s="1"/>
    </row>
    <row r="34094" spans="7:14" x14ac:dyDescent="0.3">
      <c r="G34094" s="1"/>
      <c r="N34094" s="1"/>
    </row>
    <row r="34095" spans="7:14" x14ac:dyDescent="0.3">
      <c r="G34095" s="1"/>
      <c r="N34095" s="1"/>
    </row>
    <row r="34096" spans="7:14" x14ac:dyDescent="0.3">
      <c r="G34096" s="1"/>
      <c r="N34096" s="1"/>
    </row>
    <row r="34097" spans="7:14" x14ac:dyDescent="0.3">
      <c r="G34097" s="1"/>
      <c r="N34097" s="1"/>
    </row>
    <row r="34098" spans="7:14" x14ac:dyDescent="0.3">
      <c r="G34098" s="1"/>
      <c r="N34098" s="1"/>
    </row>
    <row r="34099" spans="7:14" x14ac:dyDescent="0.3">
      <c r="G34099" s="1"/>
      <c r="N34099" s="1"/>
    </row>
    <row r="34100" spans="7:14" x14ac:dyDescent="0.3">
      <c r="G34100" s="1"/>
      <c r="N34100" s="1"/>
    </row>
    <row r="34101" spans="7:14" x14ac:dyDescent="0.3">
      <c r="G34101" s="1"/>
      <c r="N34101" s="1"/>
    </row>
    <row r="34102" spans="7:14" x14ac:dyDescent="0.3">
      <c r="G34102" s="1"/>
      <c r="N34102" s="1"/>
    </row>
    <row r="34103" spans="7:14" x14ac:dyDescent="0.3">
      <c r="G34103" s="1"/>
      <c r="N34103" s="1"/>
    </row>
    <row r="34104" spans="7:14" x14ac:dyDescent="0.3">
      <c r="G34104" s="1"/>
      <c r="N34104" s="1"/>
    </row>
    <row r="34105" spans="7:14" x14ac:dyDescent="0.3">
      <c r="G34105" s="1"/>
      <c r="N34105" s="1"/>
    </row>
    <row r="34106" spans="7:14" x14ac:dyDescent="0.3">
      <c r="G34106" s="1"/>
      <c r="N34106" s="1"/>
    </row>
    <row r="34107" spans="7:14" x14ac:dyDescent="0.3">
      <c r="G34107" s="1"/>
      <c r="N34107" s="1"/>
    </row>
    <row r="34108" spans="7:14" x14ac:dyDescent="0.3">
      <c r="G34108" s="1"/>
      <c r="N34108" s="1"/>
    </row>
    <row r="34109" spans="7:14" x14ac:dyDescent="0.3">
      <c r="G34109" s="1"/>
      <c r="N34109" s="1"/>
    </row>
    <row r="34110" spans="7:14" x14ac:dyDescent="0.3">
      <c r="G34110" s="1"/>
      <c r="N34110" s="1"/>
    </row>
    <row r="34111" spans="7:14" x14ac:dyDescent="0.3">
      <c r="G34111" s="1"/>
      <c r="N34111" s="1"/>
    </row>
    <row r="34112" spans="7:14" x14ac:dyDescent="0.3">
      <c r="G34112" s="1"/>
      <c r="N34112" s="1"/>
    </row>
    <row r="34113" spans="7:14" x14ac:dyDescent="0.3">
      <c r="G34113" s="1"/>
      <c r="N34113" s="1"/>
    </row>
    <row r="34114" spans="7:14" x14ac:dyDescent="0.3">
      <c r="G34114" s="1"/>
      <c r="N34114" s="1"/>
    </row>
    <row r="34115" spans="7:14" x14ac:dyDescent="0.3">
      <c r="G34115" s="1"/>
      <c r="N34115" s="1"/>
    </row>
    <row r="34116" spans="7:14" x14ac:dyDescent="0.3">
      <c r="G34116" s="1"/>
      <c r="N34116" s="1"/>
    </row>
    <row r="34117" spans="7:14" x14ac:dyDescent="0.3">
      <c r="G34117" s="1"/>
      <c r="N34117" s="1"/>
    </row>
    <row r="34118" spans="7:14" x14ac:dyDescent="0.3">
      <c r="G34118" s="1"/>
      <c r="N34118" s="1"/>
    </row>
    <row r="34119" spans="7:14" x14ac:dyDescent="0.3">
      <c r="G34119" s="1"/>
      <c r="N34119" s="1"/>
    </row>
    <row r="34120" spans="7:14" x14ac:dyDescent="0.3">
      <c r="G34120" s="1"/>
      <c r="N34120" s="1"/>
    </row>
    <row r="34121" spans="7:14" x14ac:dyDescent="0.3">
      <c r="G34121" s="1"/>
      <c r="N34121" s="1"/>
    </row>
    <row r="34122" spans="7:14" x14ac:dyDescent="0.3">
      <c r="G34122" s="1"/>
      <c r="N34122" s="1"/>
    </row>
    <row r="34123" spans="7:14" x14ac:dyDescent="0.3">
      <c r="G34123" s="1"/>
      <c r="N34123" s="1"/>
    </row>
    <row r="34124" spans="7:14" x14ac:dyDescent="0.3">
      <c r="G34124" s="1"/>
      <c r="N34124" s="1"/>
    </row>
    <row r="34125" spans="7:14" x14ac:dyDescent="0.3">
      <c r="G34125" s="1"/>
      <c r="N34125" s="1"/>
    </row>
    <row r="34126" spans="7:14" x14ac:dyDescent="0.3">
      <c r="G34126" s="1"/>
      <c r="N34126" s="1"/>
    </row>
    <row r="34127" spans="7:14" x14ac:dyDescent="0.3">
      <c r="G34127" s="1"/>
      <c r="N34127" s="1"/>
    </row>
    <row r="34128" spans="7:14" x14ac:dyDescent="0.3">
      <c r="G34128" s="1"/>
      <c r="N34128" s="1"/>
    </row>
    <row r="34129" spans="7:14" x14ac:dyDescent="0.3">
      <c r="G34129" s="1"/>
      <c r="N34129" s="1"/>
    </row>
    <row r="34130" spans="7:14" x14ac:dyDescent="0.3">
      <c r="G34130" s="1"/>
      <c r="N34130" s="1"/>
    </row>
    <row r="34131" spans="7:14" x14ac:dyDescent="0.3">
      <c r="G34131" s="1"/>
      <c r="N34131" s="1"/>
    </row>
    <row r="34132" spans="7:14" x14ac:dyDescent="0.3">
      <c r="G34132" s="1"/>
      <c r="N34132" s="1"/>
    </row>
    <row r="34133" spans="7:14" x14ac:dyDescent="0.3">
      <c r="G34133" s="1"/>
      <c r="N34133" s="1"/>
    </row>
    <row r="34134" spans="7:14" x14ac:dyDescent="0.3">
      <c r="G34134" s="1"/>
      <c r="N34134" s="1"/>
    </row>
    <row r="34135" spans="7:14" x14ac:dyDescent="0.3">
      <c r="G34135" s="1"/>
      <c r="N34135" s="1"/>
    </row>
    <row r="34136" spans="7:14" x14ac:dyDescent="0.3">
      <c r="G34136" s="1"/>
      <c r="N34136" s="1"/>
    </row>
    <row r="34137" spans="7:14" x14ac:dyDescent="0.3">
      <c r="G34137" s="1"/>
      <c r="N34137" s="1"/>
    </row>
    <row r="34138" spans="7:14" x14ac:dyDescent="0.3">
      <c r="G34138" s="1"/>
      <c r="N34138" s="1"/>
    </row>
    <row r="34139" spans="7:14" x14ac:dyDescent="0.3">
      <c r="G34139" s="1"/>
      <c r="N34139" s="1"/>
    </row>
    <row r="34140" spans="7:14" x14ac:dyDescent="0.3">
      <c r="G34140" s="1"/>
      <c r="N34140" s="1"/>
    </row>
    <row r="34141" spans="7:14" x14ac:dyDescent="0.3">
      <c r="G34141" s="1"/>
      <c r="N34141" s="1"/>
    </row>
    <row r="34142" spans="7:14" x14ac:dyDescent="0.3">
      <c r="G34142" s="1"/>
      <c r="N34142" s="1"/>
    </row>
    <row r="34143" spans="7:14" x14ac:dyDescent="0.3">
      <c r="G34143" s="1"/>
      <c r="N34143" s="1"/>
    </row>
    <row r="34144" spans="7:14" x14ac:dyDescent="0.3">
      <c r="G34144" s="1"/>
      <c r="N34144" s="1"/>
    </row>
    <row r="34145" spans="7:14" x14ac:dyDescent="0.3">
      <c r="G34145" s="1"/>
      <c r="N34145" s="1"/>
    </row>
    <row r="34146" spans="7:14" x14ac:dyDescent="0.3">
      <c r="G34146" s="1"/>
      <c r="N34146" s="1"/>
    </row>
    <row r="34147" spans="7:14" x14ac:dyDescent="0.3">
      <c r="G34147" s="1"/>
      <c r="N34147" s="1"/>
    </row>
    <row r="34148" spans="7:14" x14ac:dyDescent="0.3">
      <c r="G34148" s="1"/>
      <c r="N34148" s="1"/>
    </row>
    <row r="34149" spans="7:14" x14ac:dyDescent="0.3">
      <c r="G34149" s="1"/>
      <c r="N34149" s="1"/>
    </row>
    <row r="34150" spans="7:14" x14ac:dyDescent="0.3">
      <c r="G34150" s="1"/>
      <c r="N34150" s="1"/>
    </row>
    <row r="34151" spans="7:14" x14ac:dyDescent="0.3">
      <c r="G34151" s="1"/>
      <c r="N34151" s="1"/>
    </row>
    <row r="34152" spans="7:14" x14ac:dyDescent="0.3">
      <c r="G34152" s="1"/>
      <c r="N34152" s="1"/>
    </row>
    <row r="34153" spans="7:14" x14ac:dyDescent="0.3">
      <c r="G34153" s="1"/>
      <c r="N34153" s="1"/>
    </row>
    <row r="34154" spans="7:14" x14ac:dyDescent="0.3">
      <c r="G34154" s="1"/>
      <c r="N34154" s="1"/>
    </row>
    <row r="34155" spans="7:14" x14ac:dyDescent="0.3">
      <c r="G34155" s="1"/>
      <c r="N34155" s="1"/>
    </row>
    <row r="34156" spans="7:14" x14ac:dyDescent="0.3">
      <c r="G34156" s="1"/>
      <c r="N34156" s="1"/>
    </row>
    <row r="34157" spans="7:14" x14ac:dyDescent="0.3">
      <c r="G34157" s="1"/>
      <c r="N34157" s="1"/>
    </row>
    <row r="34158" spans="7:14" x14ac:dyDescent="0.3">
      <c r="G34158" s="1"/>
      <c r="N34158" s="1"/>
    </row>
    <row r="34159" spans="7:14" x14ac:dyDescent="0.3">
      <c r="G34159" s="1"/>
      <c r="N34159" s="1"/>
    </row>
    <row r="34160" spans="7:14" x14ac:dyDescent="0.3">
      <c r="G34160" s="1"/>
      <c r="N34160" s="1"/>
    </row>
    <row r="34161" spans="7:14" x14ac:dyDescent="0.3">
      <c r="G34161" s="1"/>
      <c r="N34161" s="1"/>
    </row>
    <row r="34162" spans="7:14" x14ac:dyDescent="0.3">
      <c r="G34162" s="1"/>
      <c r="N34162" s="1"/>
    </row>
    <row r="34163" spans="7:14" x14ac:dyDescent="0.3">
      <c r="G34163" s="1"/>
      <c r="N34163" s="1"/>
    </row>
    <row r="34164" spans="7:14" x14ac:dyDescent="0.3">
      <c r="G34164" s="1"/>
      <c r="N34164" s="1"/>
    </row>
    <row r="34165" spans="7:14" x14ac:dyDescent="0.3">
      <c r="G34165" s="1"/>
      <c r="N34165" s="1"/>
    </row>
    <row r="34166" spans="7:14" x14ac:dyDescent="0.3">
      <c r="G34166" s="1"/>
      <c r="N34166" s="1"/>
    </row>
    <row r="34167" spans="7:14" x14ac:dyDescent="0.3">
      <c r="G34167" s="1"/>
      <c r="N34167" s="1"/>
    </row>
    <row r="34168" spans="7:14" x14ac:dyDescent="0.3">
      <c r="G34168" s="1"/>
      <c r="N34168" s="1"/>
    </row>
    <row r="34169" spans="7:14" x14ac:dyDescent="0.3">
      <c r="G34169" s="1"/>
      <c r="N34169" s="1"/>
    </row>
    <row r="34170" spans="7:14" x14ac:dyDescent="0.3">
      <c r="G34170" s="1"/>
      <c r="N34170" s="1"/>
    </row>
    <row r="34171" spans="7:14" x14ac:dyDescent="0.3">
      <c r="G34171" s="1"/>
      <c r="N34171" s="1"/>
    </row>
    <row r="34172" spans="7:14" x14ac:dyDescent="0.3">
      <c r="G34172" s="1"/>
      <c r="N34172" s="1"/>
    </row>
    <row r="34173" spans="7:14" x14ac:dyDescent="0.3">
      <c r="G34173" s="1"/>
      <c r="N34173" s="1"/>
    </row>
    <row r="34174" spans="7:14" x14ac:dyDescent="0.3">
      <c r="G34174" s="1"/>
      <c r="N34174" s="1"/>
    </row>
    <row r="34175" spans="7:14" x14ac:dyDescent="0.3">
      <c r="G34175" s="1"/>
      <c r="N34175" s="1"/>
    </row>
    <row r="34176" spans="7:14" x14ac:dyDescent="0.3">
      <c r="G34176" s="1"/>
      <c r="N34176" s="1"/>
    </row>
    <row r="34177" spans="7:14" x14ac:dyDescent="0.3">
      <c r="G34177" s="1"/>
      <c r="N34177" s="1"/>
    </row>
    <row r="34178" spans="7:14" x14ac:dyDescent="0.3">
      <c r="G34178" s="1"/>
      <c r="N34178" s="1"/>
    </row>
    <row r="34179" spans="7:14" x14ac:dyDescent="0.3">
      <c r="G34179" s="1"/>
      <c r="N34179" s="1"/>
    </row>
    <row r="34180" spans="7:14" x14ac:dyDescent="0.3">
      <c r="G34180" s="1"/>
      <c r="N34180" s="1"/>
    </row>
    <row r="34181" spans="7:14" x14ac:dyDescent="0.3">
      <c r="G34181" s="1"/>
      <c r="N34181" s="1"/>
    </row>
    <row r="34182" spans="7:14" x14ac:dyDescent="0.3">
      <c r="G34182" s="1"/>
      <c r="N34182" s="1"/>
    </row>
    <row r="34183" spans="7:14" x14ac:dyDescent="0.3">
      <c r="G34183" s="1"/>
      <c r="N34183" s="1"/>
    </row>
    <row r="34184" spans="7:14" x14ac:dyDescent="0.3">
      <c r="G34184" s="1"/>
      <c r="N34184" s="1"/>
    </row>
    <row r="34185" spans="7:14" x14ac:dyDescent="0.3">
      <c r="G34185" s="1"/>
      <c r="N34185" s="1"/>
    </row>
    <row r="34186" spans="7:14" x14ac:dyDescent="0.3">
      <c r="G34186" s="1"/>
      <c r="N34186" s="1"/>
    </row>
    <row r="34187" spans="7:14" x14ac:dyDescent="0.3">
      <c r="G34187" s="1"/>
      <c r="N34187" s="1"/>
    </row>
    <row r="34188" spans="7:14" x14ac:dyDescent="0.3">
      <c r="G34188" s="1"/>
      <c r="N34188" s="1"/>
    </row>
    <row r="34189" spans="7:14" x14ac:dyDescent="0.3">
      <c r="G34189" s="1"/>
      <c r="N34189" s="1"/>
    </row>
    <row r="34190" spans="7:14" x14ac:dyDescent="0.3">
      <c r="G34190" s="1"/>
      <c r="N34190" s="1"/>
    </row>
    <row r="34191" spans="7:14" x14ac:dyDescent="0.3">
      <c r="G34191" s="1"/>
      <c r="N34191" s="1"/>
    </row>
    <row r="34192" spans="7:14" x14ac:dyDescent="0.3">
      <c r="G34192" s="1"/>
      <c r="N34192" s="1"/>
    </row>
    <row r="34193" spans="7:14" x14ac:dyDescent="0.3">
      <c r="G34193" s="1"/>
      <c r="N34193" s="1"/>
    </row>
    <row r="34194" spans="7:14" x14ac:dyDescent="0.3">
      <c r="G34194" s="1"/>
      <c r="N34194" s="1"/>
    </row>
    <row r="34195" spans="7:14" x14ac:dyDescent="0.3">
      <c r="G34195" s="1"/>
      <c r="N34195" s="1"/>
    </row>
    <row r="34196" spans="7:14" x14ac:dyDescent="0.3">
      <c r="G34196" s="1"/>
      <c r="N34196" s="1"/>
    </row>
    <row r="34197" spans="7:14" x14ac:dyDescent="0.3">
      <c r="G34197" s="1"/>
      <c r="N34197" s="1"/>
    </row>
    <row r="34198" spans="7:14" x14ac:dyDescent="0.3">
      <c r="G34198" s="1"/>
      <c r="N34198" s="1"/>
    </row>
    <row r="34199" spans="7:14" x14ac:dyDescent="0.3">
      <c r="G34199" s="1"/>
      <c r="N34199" s="1"/>
    </row>
    <row r="34200" spans="7:14" x14ac:dyDescent="0.3">
      <c r="G34200" s="1"/>
      <c r="N34200" s="1"/>
    </row>
    <row r="34201" spans="7:14" x14ac:dyDescent="0.3">
      <c r="G34201" s="1"/>
      <c r="N34201" s="1"/>
    </row>
    <row r="34202" spans="7:14" x14ac:dyDescent="0.3">
      <c r="G34202" s="1"/>
      <c r="N34202" s="1"/>
    </row>
    <row r="34203" spans="7:14" x14ac:dyDescent="0.3">
      <c r="G34203" s="1"/>
      <c r="N34203" s="1"/>
    </row>
    <row r="34204" spans="7:14" x14ac:dyDescent="0.3">
      <c r="G34204" s="1"/>
      <c r="N34204" s="1"/>
    </row>
    <row r="34205" spans="7:14" x14ac:dyDescent="0.3">
      <c r="G34205" s="1"/>
      <c r="N34205" s="1"/>
    </row>
    <row r="34206" spans="7:14" x14ac:dyDescent="0.3">
      <c r="G34206" s="1"/>
      <c r="N34206" s="1"/>
    </row>
    <row r="34207" spans="7:14" x14ac:dyDescent="0.3">
      <c r="G34207" s="1"/>
      <c r="N34207" s="1"/>
    </row>
    <row r="34208" spans="7:14" x14ac:dyDescent="0.3">
      <c r="G34208" s="1"/>
      <c r="N34208" s="1"/>
    </row>
    <row r="34209" spans="7:14" x14ac:dyDescent="0.3">
      <c r="G34209" s="1"/>
      <c r="N34209" s="1"/>
    </row>
    <row r="34210" spans="7:14" x14ac:dyDescent="0.3">
      <c r="G34210" s="1"/>
      <c r="N34210" s="1"/>
    </row>
    <row r="34211" spans="7:14" x14ac:dyDescent="0.3">
      <c r="G34211" s="1"/>
      <c r="N34211" s="1"/>
    </row>
    <row r="34212" spans="7:14" x14ac:dyDescent="0.3">
      <c r="G34212" s="1"/>
      <c r="N34212" s="1"/>
    </row>
    <row r="34213" spans="7:14" x14ac:dyDescent="0.3">
      <c r="G34213" s="1"/>
      <c r="N34213" s="1"/>
    </row>
    <row r="34214" spans="7:14" x14ac:dyDescent="0.3">
      <c r="G34214" s="1"/>
      <c r="N34214" s="1"/>
    </row>
    <row r="34215" spans="7:14" x14ac:dyDescent="0.3">
      <c r="G34215" s="1"/>
      <c r="N34215" s="1"/>
    </row>
    <row r="34216" spans="7:14" x14ac:dyDescent="0.3">
      <c r="G34216" s="1"/>
      <c r="N34216" s="1"/>
    </row>
    <row r="34217" spans="7:14" x14ac:dyDescent="0.3">
      <c r="G34217" s="1"/>
      <c r="N34217" s="1"/>
    </row>
    <row r="34218" spans="7:14" x14ac:dyDescent="0.3">
      <c r="G34218" s="1"/>
      <c r="N34218" s="1"/>
    </row>
    <row r="34219" spans="7:14" x14ac:dyDescent="0.3">
      <c r="G34219" s="1"/>
      <c r="N34219" s="1"/>
    </row>
    <row r="34220" spans="7:14" x14ac:dyDescent="0.3">
      <c r="G34220" s="1"/>
      <c r="N34220" s="1"/>
    </row>
    <row r="34221" spans="7:14" x14ac:dyDescent="0.3">
      <c r="G34221" s="1"/>
      <c r="N34221" s="1"/>
    </row>
    <row r="34222" spans="7:14" x14ac:dyDescent="0.3">
      <c r="G34222" s="1"/>
      <c r="N34222" s="1"/>
    </row>
    <row r="34223" spans="7:14" x14ac:dyDescent="0.3">
      <c r="G34223" s="1"/>
      <c r="N34223" s="1"/>
    </row>
    <row r="34224" spans="7:14" x14ac:dyDescent="0.3">
      <c r="G34224" s="1"/>
      <c r="N34224" s="1"/>
    </row>
    <row r="34225" spans="7:14" x14ac:dyDescent="0.3">
      <c r="G34225" s="1"/>
      <c r="N34225" s="1"/>
    </row>
    <row r="34226" spans="7:14" x14ac:dyDescent="0.3">
      <c r="G34226" s="1"/>
      <c r="N34226" s="1"/>
    </row>
    <row r="34227" spans="7:14" x14ac:dyDescent="0.3">
      <c r="G34227" s="1"/>
      <c r="N34227" s="1"/>
    </row>
    <row r="34228" spans="7:14" x14ac:dyDescent="0.3">
      <c r="G34228" s="1"/>
      <c r="N34228" s="1"/>
    </row>
    <row r="34229" spans="7:14" x14ac:dyDescent="0.3">
      <c r="G34229" s="1"/>
      <c r="N34229" s="1"/>
    </row>
    <row r="34230" spans="7:14" x14ac:dyDescent="0.3">
      <c r="G34230" s="1"/>
      <c r="N34230" s="1"/>
    </row>
    <row r="34231" spans="7:14" x14ac:dyDescent="0.3">
      <c r="G34231" s="1"/>
      <c r="N34231" s="1"/>
    </row>
    <row r="34232" spans="7:14" x14ac:dyDescent="0.3">
      <c r="G34232" s="1"/>
      <c r="N34232" s="1"/>
    </row>
    <row r="34233" spans="7:14" x14ac:dyDescent="0.3">
      <c r="G34233" s="1"/>
      <c r="N34233" s="1"/>
    </row>
    <row r="34234" spans="7:14" x14ac:dyDescent="0.3">
      <c r="G34234" s="1"/>
      <c r="N34234" s="1"/>
    </row>
    <row r="34235" spans="7:14" x14ac:dyDescent="0.3">
      <c r="G34235" s="1"/>
      <c r="N34235" s="1"/>
    </row>
    <row r="34236" spans="7:14" x14ac:dyDescent="0.3">
      <c r="G34236" s="1"/>
      <c r="N34236" s="1"/>
    </row>
    <row r="34237" spans="7:14" x14ac:dyDescent="0.3">
      <c r="G34237" s="1"/>
      <c r="N34237" s="1"/>
    </row>
    <row r="34238" spans="7:14" x14ac:dyDescent="0.3">
      <c r="G34238" s="1"/>
      <c r="N34238" s="1"/>
    </row>
    <row r="34239" spans="7:14" x14ac:dyDescent="0.3">
      <c r="G34239" s="1"/>
      <c r="N34239" s="1"/>
    </row>
    <row r="34240" spans="7:14" x14ac:dyDescent="0.3">
      <c r="G34240" s="1"/>
      <c r="N34240" s="1"/>
    </row>
    <row r="34241" spans="7:14" x14ac:dyDescent="0.3">
      <c r="G34241" s="1"/>
      <c r="N34241" s="1"/>
    </row>
    <row r="34242" spans="7:14" x14ac:dyDescent="0.3">
      <c r="G34242" s="1"/>
      <c r="N34242" s="1"/>
    </row>
    <row r="34243" spans="7:14" x14ac:dyDescent="0.3">
      <c r="G34243" s="1"/>
      <c r="N34243" s="1"/>
    </row>
    <row r="34244" spans="7:14" x14ac:dyDescent="0.3">
      <c r="G34244" s="1"/>
      <c r="N34244" s="1"/>
    </row>
    <row r="34245" spans="7:14" x14ac:dyDescent="0.3">
      <c r="G34245" s="1"/>
      <c r="N34245" s="1"/>
    </row>
    <row r="34246" spans="7:14" x14ac:dyDescent="0.3">
      <c r="G34246" s="1"/>
      <c r="N34246" s="1"/>
    </row>
    <row r="34247" spans="7:14" x14ac:dyDescent="0.3">
      <c r="G34247" s="1"/>
      <c r="N34247" s="1"/>
    </row>
    <row r="34248" spans="7:14" x14ac:dyDescent="0.3">
      <c r="G34248" s="1"/>
      <c r="N34248" s="1"/>
    </row>
    <row r="34249" spans="7:14" x14ac:dyDescent="0.3">
      <c r="G34249" s="1"/>
      <c r="N34249" s="1"/>
    </row>
    <row r="34250" spans="7:14" x14ac:dyDescent="0.3">
      <c r="G34250" s="1"/>
      <c r="N34250" s="1"/>
    </row>
    <row r="34251" spans="7:14" x14ac:dyDescent="0.3">
      <c r="G34251" s="1"/>
      <c r="N34251" s="1"/>
    </row>
    <row r="34252" spans="7:14" x14ac:dyDescent="0.3">
      <c r="G34252" s="1"/>
      <c r="N34252" s="1"/>
    </row>
    <row r="34253" spans="7:14" x14ac:dyDescent="0.3">
      <c r="G34253" s="1"/>
      <c r="N34253" s="1"/>
    </row>
    <row r="34254" spans="7:14" x14ac:dyDescent="0.3">
      <c r="G34254" s="1"/>
      <c r="N34254" s="1"/>
    </row>
    <row r="34255" spans="7:14" x14ac:dyDescent="0.3">
      <c r="G34255" s="1"/>
      <c r="N34255" s="1"/>
    </row>
    <row r="34256" spans="7:14" x14ac:dyDescent="0.3">
      <c r="G34256" s="1"/>
      <c r="N34256" s="1"/>
    </row>
    <row r="34257" spans="7:14" x14ac:dyDescent="0.3">
      <c r="G34257" s="1"/>
      <c r="N34257" s="1"/>
    </row>
    <row r="34258" spans="7:14" x14ac:dyDescent="0.3">
      <c r="G34258" s="1"/>
      <c r="N34258" s="1"/>
    </row>
    <row r="34259" spans="7:14" x14ac:dyDescent="0.3">
      <c r="G34259" s="1"/>
      <c r="N34259" s="1"/>
    </row>
    <row r="34260" spans="7:14" x14ac:dyDescent="0.3">
      <c r="G34260" s="1"/>
      <c r="N34260" s="1"/>
    </row>
    <row r="34261" spans="7:14" x14ac:dyDescent="0.3">
      <c r="G34261" s="1"/>
      <c r="N34261" s="1"/>
    </row>
    <row r="34262" spans="7:14" x14ac:dyDescent="0.3">
      <c r="G34262" s="1"/>
      <c r="N34262" s="1"/>
    </row>
    <row r="34263" spans="7:14" x14ac:dyDescent="0.3">
      <c r="G34263" s="1"/>
      <c r="N34263" s="1"/>
    </row>
    <row r="34264" spans="7:14" x14ac:dyDescent="0.3">
      <c r="G34264" s="1"/>
      <c r="N34264" s="1"/>
    </row>
    <row r="34265" spans="7:14" x14ac:dyDescent="0.3">
      <c r="G34265" s="1"/>
      <c r="N34265" s="1"/>
    </row>
    <row r="34266" spans="7:14" x14ac:dyDescent="0.3">
      <c r="G34266" s="1"/>
      <c r="N34266" s="1"/>
    </row>
    <row r="34267" spans="7:14" x14ac:dyDescent="0.3">
      <c r="G34267" s="1"/>
      <c r="N34267" s="1"/>
    </row>
    <row r="34268" spans="7:14" x14ac:dyDescent="0.3">
      <c r="G34268" s="1"/>
      <c r="N34268" s="1"/>
    </row>
    <row r="34269" spans="7:14" x14ac:dyDescent="0.3">
      <c r="G34269" s="1"/>
      <c r="N34269" s="1"/>
    </row>
    <row r="34270" spans="7:14" x14ac:dyDescent="0.3">
      <c r="G34270" s="1"/>
      <c r="N34270" s="1"/>
    </row>
    <row r="34271" spans="7:14" x14ac:dyDescent="0.3">
      <c r="G34271" s="1"/>
      <c r="N34271" s="1"/>
    </row>
    <row r="34272" spans="7:14" x14ac:dyDescent="0.3">
      <c r="G34272" s="1"/>
      <c r="N34272" s="1"/>
    </row>
    <row r="34273" spans="7:14" x14ac:dyDescent="0.3">
      <c r="G34273" s="1"/>
      <c r="N34273" s="1"/>
    </row>
    <row r="34274" spans="7:14" x14ac:dyDescent="0.3">
      <c r="G34274" s="1"/>
      <c r="N34274" s="1"/>
    </row>
    <row r="34275" spans="7:14" x14ac:dyDescent="0.3">
      <c r="G34275" s="1"/>
      <c r="N34275" s="1"/>
    </row>
    <row r="34276" spans="7:14" x14ac:dyDescent="0.3">
      <c r="G34276" s="1"/>
      <c r="N34276" s="1"/>
    </row>
    <row r="34277" spans="7:14" x14ac:dyDescent="0.3">
      <c r="G34277" s="1"/>
      <c r="N34277" s="1"/>
    </row>
    <row r="34278" spans="7:14" x14ac:dyDescent="0.3">
      <c r="G34278" s="1"/>
      <c r="N34278" s="1"/>
    </row>
    <row r="34279" spans="7:14" x14ac:dyDescent="0.3">
      <c r="G34279" s="1"/>
      <c r="N34279" s="1"/>
    </row>
    <row r="34280" spans="7:14" x14ac:dyDescent="0.3">
      <c r="G34280" s="1"/>
      <c r="N34280" s="1"/>
    </row>
    <row r="34281" spans="7:14" x14ac:dyDescent="0.3">
      <c r="G34281" s="1"/>
      <c r="N34281" s="1"/>
    </row>
    <row r="34282" spans="7:14" x14ac:dyDescent="0.3">
      <c r="G34282" s="1"/>
      <c r="N34282" s="1"/>
    </row>
    <row r="34283" spans="7:14" x14ac:dyDescent="0.3">
      <c r="G34283" s="1"/>
      <c r="N34283" s="1"/>
    </row>
    <row r="34284" spans="7:14" x14ac:dyDescent="0.3">
      <c r="G34284" s="1"/>
      <c r="N34284" s="1"/>
    </row>
    <row r="34285" spans="7:14" x14ac:dyDescent="0.3">
      <c r="G34285" s="1"/>
      <c r="N34285" s="1"/>
    </row>
    <row r="34286" spans="7:14" x14ac:dyDescent="0.3">
      <c r="G34286" s="1"/>
      <c r="N34286" s="1"/>
    </row>
    <row r="34287" spans="7:14" x14ac:dyDescent="0.3">
      <c r="G34287" s="1"/>
      <c r="N34287" s="1"/>
    </row>
    <row r="34288" spans="7:14" x14ac:dyDescent="0.3">
      <c r="G34288" s="1"/>
      <c r="N34288" s="1"/>
    </row>
    <row r="34289" spans="7:14" x14ac:dyDescent="0.3">
      <c r="G34289" s="1"/>
      <c r="N34289" s="1"/>
    </row>
    <row r="34290" spans="7:14" x14ac:dyDescent="0.3">
      <c r="G34290" s="1"/>
      <c r="N34290" s="1"/>
    </row>
    <row r="34291" spans="7:14" x14ac:dyDescent="0.3">
      <c r="G34291" s="1"/>
      <c r="N34291" s="1"/>
    </row>
    <row r="34292" spans="7:14" x14ac:dyDescent="0.3">
      <c r="G34292" s="1"/>
      <c r="N34292" s="1"/>
    </row>
    <row r="34293" spans="7:14" x14ac:dyDescent="0.3">
      <c r="G34293" s="1"/>
      <c r="N34293" s="1"/>
    </row>
    <row r="34294" spans="7:14" x14ac:dyDescent="0.3">
      <c r="G34294" s="1"/>
      <c r="N34294" s="1"/>
    </row>
    <row r="34295" spans="7:14" x14ac:dyDescent="0.3">
      <c r="G34295" s="1"/>
      <c r="N34295" s="1"/>
    </row>
    <row r="34296" spans="7:14" x14ac:dyDescent="0.3">
      <c r="G34296" s="1"/>
      <c r="N34296" s="1"/>
    </row>
    <row r="34297" spans="7:14" x14ac:dyDescent="0.3">
      <c r="G34297" s="1"/>
      <c r="N34297" s="1"/>
    </row>
    <row r="34298" spans="7:14" x14ac:dyDescent="0.3">
      <c r="G34298" s="1"/>
      <c r="N34298" s="1"/>
    </row>
    <row r="34299" spans="7:14" x14ac:dyDescent="0.3">
      <c r="G34299" s="1"/>
      <c r="N34299" s="1"/>
    </row>
    <row r="34300" spans="7:14" x14ac:dyDescent="0.3">
      <c r="G34300" s="1"/>
      <c r="N34300" s="1"/>
    </row>
    <row r="34301" spans="7:14" x14ac:dyDescent="0.3">
      <c r="G34301" s="1"/>
      <c r="N34301" s="1"/>
    </row>
    <row r="34302" spans="7:14" x14ac:dyDescent="0.3">
      <c r="G34302" s="1"/>
      <c r="N34302" s="1"/>
    </row>
    <row r="34303" spans="7:14" x14ac:dyDescent="0.3">
      <c r="G34303" s="1"/>
      <c r="N34303" s="1"/>
    </row>
    <row r="34304" spans="7:14" x14ac:dyDescent="0.3">
      <c r="G34304" s="1"/>
      <c r="N34304" s="1"/>
    </row>
    <row r="34305" spans="7:14" x14ac:dyDescent="0.3">
      <c r="G34305" s="1"/>
      <c r="N34305" s="1"/>
    </row>
    <row r="34306" spans="7:14" x14ac:dyDescent="0.3">
      <c r="G34306" s="1"/>
      <c r="N34306" s="1"/>
    </row>
    <row r="34307" spans="7:14" x14ac:dyDescent="0.3">
      <c r="G34307" s="1"/>
      <c r="N34307" s="1"/>
    </row>
    <row r="34308" spans="7:14" x14ac:dyDescent="0.3">
      <c r="G34308" s="1"/>
      <c r="N34308" s="1"/>
    </row>
    <row r="34309" spans="7:14" x14ac:dyDescent="0.3">
      <c r="G34309" s="1"/>
      <c r="N34309" s="1"/>
    </row>
    <row r="34310" spans="7:14" x14ac:dyDescent="0.3">
      <c r="G34310" s="1"/>
      <c r="N34310" s="1"/>
    </row>
    <row r="34311" spans="7:14" x14ac:dyDescent="0.3">
      <c r="G34311" s="1"/>
      <c r="N34311" s="1"/>
    </row>
    <row r="34312" spans="7:14" x14ac:dyDescent="0.3">
      <c r="G34312" s="1"/>
      <c r="N34312" s="1"/>
    </row>
    <row r="34313" spans="7:14" x14ac:dyDescent="0.3">
      <c r="G34313" s="1"/>
      <c r="N34313" s="1"/>
    </row>
    <row r="34314" spans="7:14" x14ac:dyDescent="0.3">
      <c r="G34314" s="1"/>
      <c r="N34314" s="1"/>
    </row>
    <row r="34315" spans="7:14" x14ac:dyDescent="0.3">
      <c r="G34315" s="1"/>
      <c r="N34315" s="1"/>
    </row>
    <row r="34316" spans="7:14" x14ac:dyDescent="0.3">
      <c r="G34316" s="1"/>
      <c r="N34316" s="1"/>
    </row>
    <row r="34317" spans="7:14" x14ac:dyDescent="0.3">
      <c r="G34317" s="1"/>
      <c r="N34317" s="1"/>
    </row>
    <row r="34318" spans="7:14" x14ac:dyDescent="0.3">
      <c r="G34318" s="1"/>
      <c r="N34318" s="1"/>
    </row>
    <row r="34319" spans="7:14" x14ac:dyDescent="0.3">
      <c r="G34319" s="1"/>
      <c r="N34319" s="1"/>
    </row>
    <row r="34320" spans="7:14" x14ac:dyDescent="0.3">
      <c r="G34320" s="1"/>
      <c r="N34320" s="1"/>
    </row>
    <row r="34321" spans="7:14" x14ac:dyDescent="0.3">
      <c r="G34321" s="1"/>
      <c r="N34321" s="1"/>
    </row>
    <row r="34322" spans="7:14" x14ac:dyDescent="0.3">
      <c r="G34322" s="1"/>
      <c r="N34322" s="1"/>
    </row>
    <row r="34323" spans="7:14" x14ac:dyDescent="0.3">
      <c r="G34323" s="1"/>
      <c r="N34323" s="1"/>
    </row>
    <row r="34324" spans="7:14" x14ac:dyDescent="0.3">
      <c r="G34324" s="1"/>
      <c r="N34324" s="1"/>
    </row>
    <row r="34325" spans="7:14" x14ac:dyDescent="0.3">
      <c r="G34325" s="1"/>
      <c r="N34325" s="1"/>
    </row>
    <row r="34326" spans="7:14" x14ac:dyDescent="0.3">
      <c r="G34326" s="1"/>
      <c r="N34326" s="1"/>
    </row>
    <row r="34327" spans="7:14" x14ac:dyDescent="0.3">
      <c r="G34327" s="1"/>
      <c r="N34327" s="1"/>
    </row>
    <row r="34328" spans="7:14" x14ac:dyDescent="0.3">
      <c r="G34328" s="1"/>
      <c r="N34328" s="1"/>
    </row>
    <row r="34329" spans="7:14" x14ac:dyDescent="0.3">
      <c r="G34329" s="1"/>
      <c r="N34329" s="1"/>
    </row>
    <row r="34330" spans="7:14" x14ac:dyDescent="0.3">
      <c r="G34330" s="1"/>
      <c r="N34330" s="1"/>
    </row>
    <row r="34331" spans="7:14" x14ac:dyDescent="0.3">
      <c r="G34331" s="1"/>
      <c r="N34331" s="1"/>
    </row>
    <row r="34332" spans="7:14" x14ac:dyDescent="0.3">
      <c r="G34332" s="1"/>
      <c r="N34332" s="1"/>
    </row>
    <row r="34333" spans="7:14" x14ac:dyDescent="0.3">
      <c r="G34333" s="1"/>
      <c r="N34333" s="1"/>
    </row>
    <row r="34334" spans="7:14" x14ac:dyDescent="0.3">
      <c r="G34334" s="1"/>
      <c r="N34334" s="1"/>
    </row>
    <row r="34335" spans="7:14" x14ac:dyDescent="0.3">
      <c r="G34335" s="1"/>
      <c r="N34335" s="1"/>
    </row>
    <row r="34336" spans="7:14" x14ac:dyDescent="0.3">
      <c r="G34336" s="1"/>
      <c r="N34336" s="1"/>
    </row>
    <row r="34337" spans="7:14" x14ac:dyDescent="0.3">
      <c r="G34337" s="1"/>
      <c r="N34337" s="1"/>
    </row>
    <row r="34338" spans="7:14" x14ac:dyDescent="0.3">
      <c r="G34338" s="1"/>
      <c r="N34338" s="1"/>
    </row>
    <row r="34339" spans="7:14" x14ac:dyDescent="0.3">
      <c r="G34339" s="1"/>
      <c r="N34339" s="1"/>
    </row>
    <row r="34340" spans="7:14" x14ac:dyDescent="0.3">
      <c r="G34340" s="1"/>
      <c r="N34340" s="1"/>
    </row>
    <row r="34341" spans="7:14" x14ac:dyDescent="0.3">
      <c r="G34341" s="1"/>
      <c r="N34341" s="1"/>
    </row>
    <row r="34342" spans="7:14" x14ac:dyDescent="0.3">
      <c r="G34342" s="1"/>
      <c r="N34342" s="1"/>
    </row>
    <row r="34343" spans="7:14" x14ac:dyDescent="0.3">
      <c r="G34343" s="1"/>
      <c r="N34343" s="1"/>
    </row>
    <row r="34344" spans="7:14" x14ac:dyDescent="0.3">
      <c r="G34344" s="1"/>
      <c r="N34344" s="1"/>
    </row>
    <row r="34345" spans="7:14" x14ac:dyDescent="0.3">
      <c r="G34345" s="1"/>
      <c r="N34345" s="1"/>
    </row>
    <row r="34346" spans="7:14" x14ac:dyDescent="0.3">
      <c r="G34346" s="1"/>
      <c r="N34346" s="1"/>
    </row>
    <row r="34347" spans="7:14" x14ac:dyDescent="0.3">
      <c r="G34347" s="1"/>
      <c r="N34347" s="1"/>
    </row>
    <row r="34348" spans="7:14" x14ac:dyDescent="0.3">
      <c r="G34348" s="1"/>
      <c r="N34348" s="1"/>
    </row>
    <row r="34349" spans="7:14" x14ac:dyDescent="0.3">
      <c r="G34349" s="1"/>
      <c r="N34349" s="1"/>
    </row>
    <row r="34350" spans="7:14" x14ac:dyDescent="0.3">
      <c r="G34350" s="1"/>
      <c r="N34350" s="1"/>
    </row>
    <row r="34351" spans="7:14" x14ac:dyDescent="0.3">
      <c r="G34351" s="1"/>
      <c r="N34351" s="1"/>
    </row>
    <row r="34352" spans="7:14" x14ac:dyDescent="0.3">
      <c r="G34352" s="1"/>
      <c r="N34352" s="1"/>
    </row>
    <row r="34353" spans="7:14" x14ac:dyDescent="0.3">
      <c r="G34353" s="1"/>
      <c r="N34353" s="1"/>
    </row>
    <row r="34354" spans="7:14" x14ac:dyDescent="0.3">
      <c r="G34354" s="1"/>
      <c r="N34354" s="1"/>
    </row>
    <row r="34355" spans="7:14" x14ac:dyDescent="0.3">
      <c r="G34355" s="1"/>
      <c r="N34355" s="1"/>
    </row>
    <row r="34356" spans="7:14" x14ac:dyDescent="0.3">
      <c r="G34356" s="1"/>
      <c r="N34356" s="1"/>
    </row>
    <row r="34357" spans="7:14" x14ac:dyDescent="0.3">
      <c r="G34357" s="1"/>
      <c r="N34357" s="1"/>
    </row>
    <row r="34358" spans="7:14" x14ac:dyDescent="0.3">
      <c r="G34358" s="1"/>
      <c r="N34358" s="1"/>
    </row>
    <row r="34359" spans="7:14" x14ac:dyDescent="0.3">
      <c r="G34359" s="1"/>
      <c r="N34359" s="1"/>
    </row>
    <row r="34360" spans="7:14" x14ac:dyDescent="0.3">
      <c r="G34360" s="1"/>
      <c r="N34360" s="1"/>
    </row>
    <row r="34361" spans="7:14" x14ac:dyDescent="0.3">
      <c r="G34361" s="1"/>
      <c r="N34361" s="1"/>
    </row>
    <row r="34362" spans="7:14" x14ac:dyDescent="0.3">
      <c r="G34362" s="1"/>
      <c r="N34362" s="1"/>
    </row>
    <row r="34363" spans="7:14" x14ac:dyDescent="0.3">
      <c r="G34363" s="1"/>
      <c r="N34363" s="1"/>
    </row>
    <row r="34364" spans="7:14" x14ac:dyDescent="0.3">
      <c r="G34364" s="1"/>
      <c r="N34364" s="1"/>
    </row>
    <row r="34365" spans="7:14" x14ac:dyDescent="0.3">
      <c r="G34365" s="1"/>
      <c r="N34365" s="1"/>
    </row>
    <row r="34366" spans="7:14" x14ac:dyDescent="0.3">
      <c r="G34366" s="1"/>
      <c r="N34366" s="1"/>
    </row>
    <row r="34367" spans="7:14" x14ac:dyDescent="0.3">
      <c r="G34367" s="1"/>
      <c r="N34367" s="1"/>
    </row>
    <row r="34368" spans="7:14" x14ac:dyDescent="0.3">
      <c r="G34368" s="1"/>
      <c r="N34368" s="1"/>
    </row>
    <row r="34369" spans="7:14" x14ac:dyDescent="0.3">
      <c r="G34369" s="1"/>
      <c r="N34369" s="1"/>
    </row>
    <row r="34370" spans="7:14" x14ac:dyDescent="0.3">
      <c r="G34370" s="1"/>
      <c r="N34370" s="1"/>
    </row>
    <row r="34371" spans="7:14" x14ac:dyDescent="0.3">
      <c r="G34371" s="1"/>
      <c r="N34371" s="1"/>
    </row>
    <row r="34372" spans="7:14" x14ac:dyDescent="0.3">
      <c r="G34372" s="1"/>
      <c r="N34372" s="1"/>
    </row>
    <row r="34373" spans="7:14" x14ac:dyDescent="0.3">
      <c r="G34373" s="1"/>
      <c r="N34373" s="1"/>
    </row>
    <row r="34374" spans="7:14" x14ac:dyDescent="0.3">
      <c r="G34374" s="1"/>
      <c r="N34374" s="1"/>
    </row>
    <row r="34375" spans="7:14" x14ac:dyDescent="0.3">
      <c r="G34375" s="1"/>
      <c r="N34375" s="1"/>
    </row>
    <row r="34376" spans="7:14" x14ac:dyDescent="0.3">
      <c r="G34376" s="1"/>
      <c r="N34376" s="1"/>
    </row>
    <row r="34377" spans="7:14" x14ac:dyDescent="0.3">
      <c r="G34377" s="1"/>
      <c r="N34377" s="1"/>
    </row>
    <row r="34378" spans="7:14" x14ac:dyDescent="0.3">
      <c r="G34378" s="1"/>
      <c r="N34378" s="1"/>
    </row>
    <row r="34379" spans="7:14" x14ac:dyDescent="0.3">
      <c r="G34379" s="1"/>
      <c r="N34379" s="1"/>
    </row>
    <row r="34380" spans="7:14" x14ac:dyDescent="0.3">
      <c r="G34380" s="1"/>
      <c r="N34380" s="1"/>
    </row>
    <row r="34381" spans="7:14" x14ac:dyDescent="0.3">
      <c r="G34381" s="1"/>
      <c r="N34381" s="1"/>
    </row>
    <row r="34382" spans="7:14" x14ac:dyDescent="0.3">
      <c r="G34382" s="1"/>
      <c r="N34382" s="1"/>
    </row>
    <row r="34383" spans="7:14" x14ac:dyDescent="0.3">
      <c r="G34383" s="1"/>
      <c r="N34383" s="1"/>
    </row>
    <row r="34384" spans="7:14" x14ac:dyDescent="0.3">
      <c r="G34384" s="1"/>
      <c r="N34384" s="1"/>
    </row>
    <row r="34385" spans="7:14" x14ac:dyDescent="0.3">
      <c r="G34385" s="1"/>
      <c r="N34385" s="1"/>
    </row>
    <row r="34386" spans="7:14" x14ac:dyDescent="0.3">
      <c r="G34386" s="1"/>
      <c r="N34386" s="1"/>
    </row>
    <row r="34387" spans="7:14" x14ac:dyDescent="0.3">
      <c r="G34387" s="1"/>
      <c r="N34387" s="1"/>
    </row>
    <row r="34388" spans="7:14" x14ac:dyDescent="0.3">
      <c r="G34388" s="1"/>
      <c r="N34388" s="1"/>
    </row>
    <row r="34389" spans="7:14" x14ac:dyDescent="0.3">
      <c r="G34389" s="1"/>
      <c r="N34389" s="1"/>
    </row>
    <row r="34390" spans="7:14" x14ac:dyDescent="0.3">
      <c r="G34390" s="1"/>
      <c r="N34390" s="1"/>
    </row>
    <row r="34391" spans="7:14" x14ac:dyDescent="0.3">
      <c r="G34391" s="1"/>
      <c r="N34391" s="1"/>
    </row>
    <row r="34392" spans="7:14" x14ac:dyDescent="0.3">
      <c r="G34392" s="1"/>
      <c r="N34392" s="1"/>
    </row>
    <row r="34393" spans="7:14" x14ac:dyDescent="0.3">
      <c r="G34393" s="1"/>
      <c r="N34393" s="1"/>
    </row>
    <row r="34394" spans="7:14" x14ac:dyDescent="0.3">
      <c r="G34394" s="1"/>
      <c r="N34394" s="1"/>
    </row>
    <row r="34395" spans="7:14" x14ac:dyDescent="0.3">
      <c r="G34395" s="1"/>
      <c r="N34395" s="1"/>
    </row>
    <row r="34396" spans="7:14" x14ac:dyDescent="0.3">
      <c r="G34396" s="1"/>
      <c r="N34396" s="1"/>
    </row>
    <row r="34397" spans="7:14" x14ac:dyDescent="0.3">
      <c r="G34397" s="1"/>
      <c r="N34397" s="1"/>
    </row>
    <row r="34398" spans="7:14" x14ac:dyDescent="0.3">
      <c r="G34398" s="1"/>
      <c r="N34398" s="1"/>
    </row>
    <row r="34399" spans="7:14" x14ac:dyDescent="0.3">
      <c r="G34399" s="1"/>
      <c r="N34399" s="1"/>
    </row>
    <row r="34400" spans="7:14" x14ac:dyDescent="0.3">
      <c r="G34400" s="1"/>
      <c r="N34400" s="1"/>
    </row>
    <row r="34401" spans="7:14" x14ac:dyDescent="0.3">
      <c r="G34401" s="1"/>
      <c r="N34401" s="1"/>
    </row>
    <row r="34402" spans="7:14" x14ac:dyDescent="0.3">
      <c r="G34402" s="1"/>
      <c r="N34402" s="1"/>
    </row>
    <row r="34403" spans="7:14" x14ac:dyDescent="0.3">
      <c r="G34403" s="1"/>
      <c r="N34403" s="1"/>
    </row>
    <row r="34404" spans="7:14" x14ac:dyDescent="0.3">
      <c r="G34404" s="1"/>
      <c r="N34404" s="1"/>
    </row>
    <row r="34405" spans="7:14" x14ac:dyDescent="0.3">
      <c r="G34405" s="1"/>
      <c r="N34405" s="1"/>
    </row>
    <row r="34406" spans="7:14" x14ac:dyDescent="0.3">
      <c r="G34406" s="1"/>
      <c r="N34406" s="1"/>
    </row>
    <row r="34407" spans="7:14" x14ac:dyDescent="0.3">
      <c r="G34407" s="1"/>
      <c r="N34407" s="1"/>
    </row>
    <row r="34408" spans="7:14" x14ac:dyDescent="0.3">
      <c r="G34408" s="1"/>
      <c r="N34408" s="1"/>
    </row>
    <row r="34409" spans="7:14" x14ac:dyDescent="0.3">
      <c r="G34409" s="1"/>
      <c r="N34409" s="1"/>
    </row>
    <row r="34410" spans="7:14" x14ac:dyDescent="0.3">
      <c r="G34410" s="1"/>
      <c r="N34410" s="1"/>
    </row>
    <row r="34411" spans="7:14" x14ac:dyDescent="0.3">
      <c r="G34411" s="1"/>
      <c r="N34411" s="1"/>
    </row>
    <row r="34412" spans="7:14" x14ac:dyDescent="0.3">
      <c r="G34412" s="1"/>
      <c r="N34412" s="1"/>
    </row>
    <row r="34413" spans="7:14" x14ac:dyDescent="0.3">
      <c r="G34413" s="1"/>
      <c r="N34413" s="1"/>
    </row>
    <row r="34414" spans="7:14" x14ac:dyDescent="0.3">
      <c r="G34414" s="1"/>
      <c r="N34414" s="1"/>
    </row>
    <row r="34415" spans="7:14" x14ac:dyDescent="0.3">
      <c r="G34415" s="1"/>
      <c r="N34415" s="1"/>
    </row>
    <row r="34416" spans="7:14" x14ac:dyDescent="0.3">
      <c r="G34416" s="1"/>
      <c r="N34416" s="1"/>
    </row>
    <row r="34417" spans="7:14" x14ac:dyDescent="0.3">
      <c r="G34417" s="1"/>
      <c r="N34417" s="1"/>
    </row>
    <row r="34418" spans="7:14" x14ac:dyDescent="0.3">
      <c r="G34418" s="1"/>
      <c r="N34418" s="1"/>
    </row>
    <row r="34419" spans="7:14" x14ac:dyDescent="0.3">
      <c r="G34419" s="1"/>
      <c r="N34419" s="1"/>
    </row>
    <row r="34420" spans="7:14" x14ac:dyDescent="0.3">
      <c r="G34420" s="1"/>
      <c r="N34420" s="1"/>
    </row>
    <row r="34421" spans="7:14" x14ac:dyDescent="0.3">
      <c r="G34421" s="1"/>
      <c r="N34421" s="1"/>
    </row>
    <row r="34422" spans="7:14" x14ac:dyDescent="0.3">
      <c r="G34422" s="1"/>
      <c r="N34422" s="1"/>
    </row>
    <row r="34423" spans="7:14" x14ac:dyDescent="0.3">
      <c r="G34423" s="1"/>
      <c r="N34423" s="1"/>
    </row>
    <row r="34424" spans="7:14" x14ac:dyDescent="0.3">
      <c r="G34424" s="1"/>
      <c r="N34424" s="1"/>
    </row>
    <row r="34425" spans="7:14" x14ac:dyDescent="0.3">
      <c r="G34425" s="1"/>
      <c r="N34425" s="1"/>
    </row>
    <row r="34426" spans="7:14" x14ac:dyDescent="0.3">
      <c r="G34426" s="1"/>
      <c r="N34426" s="1"/>
    </row>
    <row r="34427" spans="7:14" x14ac:dyDescent="0.3">
      <c r="G34427" s="1"/>
      <c r="N34427" s="1"/>
    </row>
    <row r="34428" spans="7:14" x14ac:dyDescent="0.3">
      <c r="G34428" s="1"/>
      <c r="N34428" s="1"/>
    </row>
    <row r="34429" spans="7:14" x14ac:dyDescent="0.3">
      <c r="G34429" s="1"/>
      <c r="N34429" s="1"/>
    </row>
    <row r="34430" spans="7:14" x14ac:dyDescent="0.3">
      <c r="G34430" s="1"/>
      <c r="N34430" s="1"/>
    </row>
    <row r="34431" spans="7:14" x14ac:dyDescent="0.3">
      <c r="G34431" s="1"/>
      <c r="N34431" s="1"/>
    </row>
    <row r="34432" spans="7:14" x14ac:dyDescent="0.3">
      <c r="G34432" s="1"/>
      <c r="N34432" s="1"/>
    </row>
    <row r="34433" spans="7:14" x14ac:dyDescent="0.3">
      <c r="G34433" s="1"/>
      <c r="N34433" s="1"/>
    </row>
    <row r="34434" spans="7:14" x14ac:dyDescent="0.3">
      <c r="G34434" s="1"/>
      <c r="N34434" s="1"/>
    </row>
    <row r="34435" spans="7:14" x14ac:dyDescent="0.3">
      <c r="G34435" s="1"/>
      <c r="N34435" s="1"/>
    </row>
    <row r="34436" spans="7:14" x14ac:dyDescent="0.3">
      <c r="G34436" s="1"/>
      <c r="N34436" s="1"/>
    </row>
    <row r="34437" spans="7:14" x14ac:dyDescent="0.3">
      <c r="G34437" s="1"/>
      <c r="N34437" s="1"/>
    </row>
    <row r="34438" spans="7:14" x14ac:dyDescent="0.3">
      <c r="G34438" s="1"/>
      <c r="N34438" s="1"/>
    </row>
    <row r="34439" spans="7:14" x14ac:dyDescent="0.3">
      <c r="G34439" s="1"/>
      <c r="N34439" s="1"/>
    </row>
    <row r="34440" spans="7:14" x14ac:dyDescent="0.3">
      <c r="G34440" s="1"/>
      <c r="N34440" s="1"/>
    </row>
    <row r="34441" spans="7:14" x14ac:dyDescent="0.3">
      <c r="G34441" s="1"/>
      <c r="N34441" s="1"/>
    </row>
    <row r="34442" spans="7:14" x14ac:dyDescent="0.3">
      <c r="G34442" s="1"/>
      <c r="N34442" s="1"/>
    </row>
    <row r="34443" spans="7:14" x14ac:dyDescent="0.3">
      <c r="G34443" s="1"/>
      <c r="N34443" s="1"/>
    </row>
    <row r="34444" spans="7:14" x14ac:dyDescent="0.3">
      <c r="G34444" s="1"/>
      <c r="N34444" s="1"/>
    </row>
    <row r="34445" spans="7:14" x14ac:dyDescent="0.3">
      <c r="G34445" s="1"/>
      <c r="N34445" s="1"/>
    </row>
    <row r="34446" spans="7:14" x14ac:dyDescent="0.3">
      <c r="G34446" s="1"/>
      <c r="N34446" s="1"/>
    </row>
    <row r="34447" spans="7:14" x14ac:dyDescent="0.3">
      <c r="G34447" s="1"/>
      <c r="N34447" s="1"/>
    </row>
    <row r="34448" spans="7:14" x14ac:dyDescent="0.3">
      <c r="G34448" s="1"/>
      <c r="N34448" s="1"/>
    </row>
    <row r="34449" spans="7:14" x14ac:dyDescent="0.3">
      <c r="G34449" s="1"/>
      <c r="N34449" s="1"/>
    </row>
    <row r="34450" spans="7:14" x14ac:dyDescent="0.3">
      <c r="G34450" s="1"/>
      <c r="N34450" s="1"/>
    </row>
    <row r="34451" spans="7:14" x14ac:dyDescent="0.3">
      <c r="G34451" s="1"/>
      <c r="N34451" s="1"/>
    </row>
    <row r="34452" spans="7:14" x14ac:dyDescent="0.3">
      <c r="G34452" s="1"/>
      <c r="N34452" s="1"/>
    </row>
    <row r="34453" spans="7:14" x14ac:dyDescent="0.3">
      <c r="G34453" s="1"/>
      <c r="N34453" s="1"/>
    </row>
    <row r="34454" spans="7:14" x14ac:dyDescent="0.3">
      <c r="G34454" s="1"/>
      <c r="N34454" s="1"/>
    </row>
    <row r="34455" spans="7:14" x14ac:dyDescent="0.3">
      <c r="G34455" s="1"/>
      <c r="N34455" s="1"/>
    </row>
    <row r="34456" spans="7:14" x14ac:dyDescent="0.3">
      <c r="G34456" s="1"/>
      <c r="N34456" s="1"/>
    </row>
    <row r="34457" spans="7:14" x14ac:dyDescent="0.3">
      <c r="G34457" s="1"/>
      <c r="N34457" s="1"/>
    </row>
    <row r="34458" spans="7:14" x14ac:dyDescent="0.3">
      <c r="G34458" s="1"/>
      <c r="N34458" s="1"/>
    </row>
    <row r="34459" spans="7:14" x14ac:dyDescent="0.3">
      <c r="G34459" s="1"/>
      <c r="N34459" s="1"/>
    </row>
    <row r="34460" spans="7:14" x14ac:dyDescent="0.3">
      <c r="G34460" s="1"/>
      <c r="N34460" s="1"/>
    </row>
    <row r="34461" spans="7:14" x14ac:dyDescent="0.3">
      <c r="G34461" s="1"/>
      <c r="N34461" s="1"/>
    </row>
    <row r="34462" spans="7:14" x14ac:dyDescent="0.3">
      <c r="G34462" s="1"/>
      <c r="N34462" s="1"/>
    </row>
    <row r="34463" spans="7:14" x14ac:dyDescent="0.3">
      <c r="G34463" s="1"/>
      <c r="N34463" s="1"/>
    </row>
    <row r="34464" spans="7:14" x14ac:dyDescent="0.3">
      <c r="G34464" s="1"/>
      <c r="N34464" s="1"/>
    </row>
    <row r="34465" spans="7:14" x14ac:dyDescent="0.3">
      <c r="G34465" s="1"/>
      <c r="N34465" s="1"/>
    </row>
    <row r="34466" spans="7:14" x14ac:dyDescent="0.3">
      <c r="G34466" s="1"/>
      <c r="N34466" s="1"/>
    </row>
    <row r="34467" spans="7:14" x14ac:dyDescent="0.3">
      <c r="G34467" s="1"/>
      <c r="N34467" s="1"/>
    </row>
    <row r="34468" spans="7:14" x14ac:dyDescent="0.3">
      <c r="G34468" s="1"/>
      <c r="N34468" s="1"/>
    </row>
    <row r="34469" spans="7:14" x14ac:dyDescent="0.3">
      <c r="G34469" s="1"/>
      <c r="N34469" s="1"/>
    </row>
    <row r="34470" spans="7:14" x14ac:dyDescent="0.3">
      <c r="G34470" s="1"/>
      <c r="N34470" s="1"/>
    </row>
    <row r="34471" spans="7:14" x14ac:dyDescent="0.3">
      <c r="G34471" s="1"/>
      <c r="N34471" s="1"/>
    </row>
    <row r="34472" spans="7:14" x14ac:dyDescent="0.3">
      <c r="G34472" s="1"/>
      <c r="N34472" s="1"/>
    </row>
    <row r="34473" spans="7:14" x14ac:dyDescent="0.3">
      <c r="G34473" s="1"/>
      <c r="N34473" s="1"/>
    </row>
    <row r="34474" spans="7:14" x14ac:dyDescent="0.3">
      <c r="G34474" s="1"/>
      <c r="N34474" s="1"/>
    </row>
    <row r="34475" spans="7:14" x14ac:dyDescent="0.3">
      <c r="G34475" s="1"/>
      <c r="N34475" s="1"/>
    </row>
    <row r="34476" spans="7:14" x14ac:dyDescent="0.3">
      <c r="G34476" s="1"/>
      <c r="N34476" s="1"/>
    </row>
    <row r="34477" spans="7:14" x14ac:dyDescent="0.3">
      <c r="G34477" s="1"/>
      <c r="N34477" s="1"/>
    </row>
    <row r="34478" spans="7:14" x14ac:dyDescent="0.3">
      <c r="G34478" s="1"/>
      <c r="N34478" s="1"/>
    </row>
    <row r="34479" spans="7:14" x14ac:dyDescent="0.3">
      <c r="G34479" s="1"/>
      <c r="N34479" s="1"/>
    </row>
    <row r="34480" spans="7:14" x14ac:dyDescent="0.3">
      <c r="G34480" s="1"/>
      <c r="N34480" s="1"/>
    </row>
    <row r="34481" spans="7:14" x14ac:dyDescent="0.3">
      <c r="G34481" s="1"/>
      <c r="N34481" s="1"/>
    </row>
    <row r="34482" spans="7:14" x14ac:dyDescent="0.3">
      <c r="G34482" s="1"/>
      <c r="N34482" s="1"/>
    </row>
    <row r="34483" spans="7:14" x14ac:dyDescent="0.3">
      <c r="G34483" s="1"/>
      <c r="N34483" s="1"/>
    </row>
    <row r="34484" spans="7:14" x14ac:dyDescent="0.3">
      <c r="G34484" s="1"/>
      <c r="N34484" s="1"/>
    </row>
    <row r="34485" spans="7:14" x14ac:dyDescent="0.3">
      <c r="G34485" s="1"/>
      <c r="N34485" s="1"/>
    </row>
    <row r="34486" spans="7:14" x14ac:dyDescent="0.3">
      <c r="G34486" s="1"/>
      <c r="N34486" s="1"/>
    </row>
    <row r="34487" spans="7:14" x14ac:dyDescent="0.3">
      <c r="G34487" s="1"/>
      <c r="N34487" s="1"/>
    </row>
    <row r="34488" spans="7:14" x14ac:dyDescent="0.3">
      <c r="G34488" s="1"/>
      <c r="N34488" s="1"/>
    </row>
    <row r="34489" spans="7:14" x14ac:dyDescent="0.3">
      <c r="G34489" s="1"/>
      <c r="N34489" s="1"/>
    </row>
    <row r="34490" spans="7:14" x14ac:dyDescent="0.3">
      <c r="G34490" s="1"/>
      <c r="N34490" s="1"/>
    </row>
    <row r="34491" spans="7:14" x14ac:dyDescent="0.3">
      <c r="G34491" s="1"/>
      <c r="N34491" s="1"/>
    </row>
    <row r="34492" spans="7:14" x14ac:dyDescent="0.3">
      <c r="G34492" s="1"/>
      <c r="N34492" s="1"/>
    </row>
    <row r="34493" spans="7:14" x14ac:dyDescent="0.3">
      <c r="G34493" s="1"/>
      <c r="N34493" s="1"/>
    </row>
    <row r="34494" spans="7:14" x14ac:dyDescent="0.3">
      <c r="G34494" s="1"/>
      <c r="N34494" s="1"/>
    </row>
    <row r="34495" spans="7:14" x14ac:dyDescent="0.3">
      <c r="G34495" s="1"/>
      <c r="N34495" s="1"/>
    </row>
    <row r="34496" spans="7:14" x14ac:dyDescent="0.3">
      <c r="G34496" s="1"/>
      <c r="N34496" s="1"/>
    </row>
    <row r="34497" spans="7:14" x14ac:dyDescent="0.3">
      <c r="G34497" s="1"/>
      <c r="N34497" s="1"/>
    </row>
    <row r="34498" spans="7:14" x14ac:dyDescent="0.3">
      <c r="G34498" s="1"/>
      <c r="N34498" s="1"/>
    </row>
    <row r="34499" spans="7:14" x14ac:dyDescent="0.3">
      <c r="G34499" s="1"/>
      <c r="N34499" s="1"/>
    </row>
    <row r="34500" spans="7:14" x14ac:dyDescent="0.3">
      <c r="G34500" s="1"/>
      <c r="N34500" s="1"/>
    </row>
    <row r="34501" spans="7:14" x14ac:dyDescent="0.3">
      <c r="G34501" s="1"/>
      <c r="N34501" s="1"/>
    </row>
    <row r="34502" spans="7:14" x14ac:dyDescent="0.3">
      <c r="G34502" s="1"/>
      <c r="N34502" s="1"/>
    </row>
    <row r="34503" spans="7:14" x14ac:dyDescent="0.3">
      <c r="G34503" s="1"/>
      <c r="N34503" s="1"/>
    </row>
    <row r="34504" spans="7:14" x14ac:dyDescent="0.3">
      <c r="G34504" s="1"/>
      <c r="N34504" s="1"/>
    </row>
    <row r="34505" spans="7:14" x14ac:dyDescent="0.3">
      <c r="G34505" s="1"/>
      <c r="N34505" s="1"/>
    </row>
    <row r="34506" spans="7:14" x14ac:dyDescent="0.3">
      <c r="G34506" s="1"/>
      <c r="N34506" s="1"/>
    </row>
    <row r="34507" spans="7:14" x14ac:dyDescent="0.3">
      <c r="G34507" s="1"/>
      <c r="N34507" s="1"/>
    </row>
    <row r="34508" spans="7:14" x14ac:dyDescent="0.3">
      <c r="G34508" s="1"/>
      <c r="N34508" s="1"/>
    </row>
    <row r="34509" spans="7:14" x14ac:dyDescent="0.3">
      <c r="G34509" s="1"/>
      <c r="N34509" s="1"/>
    </row>
    <row r="34510" spans="7:14" x14ac:dyDescent="0.3">
      <c r="G34510" s="1"/>
      <c r="N34510" s="1"/>
    </row>
    <row r="34511" spans="7:14" x14ac:dyDescent="0.3">
      <c r="G34511" s="1"/>
      <c r="N34511" s="1"/>
    </row>
    <row r="34512" spans="7:14" x14ac:dyDescent="0.3">
      <c r="G34512" s="1"/>
      <c r="N34512" s="1"/>
    </row>
    <row r="34513" spans="7:14" x14ac:dyDescent="0.3">
      <c r="G34513" s="1"/>
      <c r="N34513" s="1"/>
    </row>
    <row r="34514" spans="7:14" x14ac:dyDescent="0.3">
      <c r="G34514" s="1"/>
      <c r="N34514" s="1"/>
    </row>
    <row r="34515" spans="7:14" x14ac:dyDescent="0.3">
      <c r="G34515" s="1"/>
      <c r="N34515" s="1"/>
    </row>
    <row r="34516" spans="7:14" x14ac:dyDescent="0.3">
      <c r="G34516" s="1"/>
      <c r="N34516" s="1"/>
    </row>
    <row r="34517" spans="7:14" x14ac:dyDescent="0.3">
      <c r="G34517" s="1"/>
      <c r="N34517" s="1"/>
    </row>
    <row r="34518" spans="7:14" x14ac:dyDescent="0.3">
      <c r="G34518" s="1"/>
      <c r="N34518" s="1"/>
    </row>
    <row r="34519" spans="7:14" x14ac:dyDescent="0.3">
      <c r="G34519" s="1"/>
      <c r="N34519" s="1"/>
    </row>
    <row r="34520" spans="7:14" x14ac:dyDescent="0.3">
      <c r="G34520" s="1"/>
      <c r="N34520" s="1"/>
    </row>
    <row r="34521" spans="7:14" x14ac:dyDescent="0.3">
      <c r="G34521" s="1"/>
      <c r="N34521" s="1"/>
    </row>
    <row r="34522" spans="7:14" x14ac:dyDescent="0.3">
      <c r="G34522" s="1"/>
      <c r="N34522" s="1"/>
    </row>
    <row r="34523" spans="7:14" x14ac:dyDescent="0.3">
      <c r="G34523" s="1"/>
      <c r="N34523" s="1"/>
    </row>
    <row r="34524" spans="7:14" x14ac:dyDescent="0.3">
      <c r="G34524" s="1"/>
      <c r="N34524" s="1"/>
    </row>
    <row r="34525" spans="7:14" x14ac:dyDescent="0.3">
      <c r="G34525" s="1"/>
      <c r="N34525" s="1"/>
    </row>
    <row r="34526" spans="7:14" x14ac:dyDescent="0.3">
      <c r="G34526" s="1"/>
      <c r="N34526" s="1"/>
    </row>
    <row r="34527" spans="7:14" x14ac:dyDescent="0.3">
      <c r="G34527" s="1"/>
      <c r="N34527" s="1"/>
    </row>
    <row r="34528" spans="7:14" x14ac:dyDescent="0.3">
      <c r="G34528" s="1"/>
      <c r="N34528" s="1"/>
    </row>
    <row r="34529" spans="7:14" x14ac:dyDescent="0.3">
      <c r="G34529" s="1"/>
      <c r="N34529" s="1"/>
    </row>
    <row r="34530" spans="7:14" x14ac:dyDescent="0.3">
      <c r="G34530" s="1"/>
      <c r="N34530" s="1"/>
    </row>
    <row r="34531" spans="7:14" x14ac:dyDescent="0.3">
      <c r="G34531" s="1"/>
      <c r="N34531" s="1"/>
    </row>
    <row r="34532" spans="7:14" x14ac:dyDescent="0.3">
      <c r="G34532" s="1"/>
      <c r="N34532" s="1"/>
    </row>
    <row r="34533" spans="7:14" x14ac:dyDescent="0.3">
      <c r="G34533" s="1"/>
      <c r="N34533" s="1"/>
    </row>
    <row r="34534" spans="7:14" x14ac:dyDescent="0.3">
      <c r="G34534" s="1"/>
      <c r="N34534" s="1"/>
    </row>
    <row r="34535" spans="7:14" x14ac:dyDescent="0.3">
      <c r="G34535" s="1"/>
      <c r="N34535" s="1"/>
    </row>
    <row r="34536" spans="7:14" x14ac:dyDescent="0.3">
      <c r="G34536" s="1"/>
      <c r="N34536" s="1"/>
    </row>
    <row r="34537" spans="7:14" x14ac:dyDescent="0.3">
      <c r="G34537" s="1"/>
      <c r="N34537" s="1"/>
    </row>
    <row r="34538" spans="7:14" x14ac:dyDescent="0.3">
      <c r="G34538" s="1"/>
      <c r="N34538" s="1"/>
    </row>
    <row r="34539" spans="7:14" x14ac:dyDescent="0.3">
      <c r="G34539" s="1"/>
      <c r="N34539" s="1"/>
    </row>
    <row r="34540" spans="7:14" x14ac:dyDescent="0.3">
      <c r="G34540" s="1"/>
      <c r="N34540" s="1"/>
    </row>
    <row r="34541" spans="7:14" x14ac:dyDescent="0.3">
      <c r="G34541" s="1"/>
      <c r="N34541" s="1"/>
    </row>
    <row r="34542" spans="7:14" x14ac:dyDescent="0.3">
      <c r="G34542" s="1"/>
      <c r="N34542" s="1"/>
    </row>
    <row r="34543" spans="7:14" x14ac:dyDescent="0.3">
      <c r="G34543" s="1"/>
      <c r="N34543" s="1"/>
    </row>
    <row r="34544" spans="7:14" x14ac:dyDescent="0.3">
      <c r="G34544" s="1"/>
      <c r="N34544" s="1"/>
    </row>
    <row r="34545" spans="7:14" x14ac:dyDescent="0.3">
      <c r="G34545" s="1"/>
      <c r="N34545" s="1"/>
    </row>
    <row r="34546" spans="7:14" x14ac:dyDescent="0.3">
      <c r="G34546" s="1"/>
      <c r="N34546" s="1"/>
    </row>
    <row r="34547" spans="7:14" x14ac:dyDescent="0.3">
      <c r="G34547" s="1"/>
      <c r="N34547" s="1"/>
    </row>
    <row r="34548" spans="7:14" x14ac:dyDescent="0.3">
      <c r="G34548" s="1"/>
      <c r="N34548" s="1"/>
    </row>
    <row r="34549" spans="7:14" x14ac:dyDescent="0.3">
      <c r="G34549" s="1"/>
      <c r="N34549" s="1"/>
    </row>
    <row r="34550" spans="7:14" x14ac:dyDescent="0.3">
      <c r="G34550" s="1"/>
      <c r="N34550" s="1"/>
    </row>
    <row r="34551" spans="7:14" x14ac:dyDescent="0.3">
      <c r="G34551" s="1"/>
      <c r="N34551" s="1"/>
    </row>
    <row r="34552" spans="7:14" x14ac:dyDescent="0.3">
      <c r="G34552" s="1"/>
      <c r="N34552" s="1"/>
    </row>
    <row r="34553" spans="7:14" x14ac:dyDescent="0.3">
      <c r="G34553" s="1"/>
      <c r="N34553" s="1"/>
    </row>
    <row r="34554" spans="7:14" x14ac:dyDescent="0.3">
      <c r="G34554" s="1"/>
      <c r="N34554" s="1"/>
    </row>
    <row r="34555" spans="7:14" x14ac:dyDescent="0.3">
      <c r="G34555" s="1"/>
      <c r="N34555" s="1"/>
    </row>
    <row r="34556" spans="7:14" x14ac:dyDescent="0.3">
      <c r="G34556" s="1"/>
      <c r="N34556" s="1"/>
    </row>
    <row r="34557" spans="7:14" x14ac:dyDescent="0.3">
      <c r="G34557" s="1"/>
      <c r="N34557" s="1"/>
    </row>
    <row r="34558" spans="7:14" x14ac:dyDescent="0.3">
      <c r="G34558" s="1"/>
      <c r="N34558" s="1"/>
    </row>
    <row r="34559" spans="7:14" x14ac:dyDescent="0.3">
      <c r="G34559" s="1"/>
      <c r="N34559" s="1"/>
    </row>
    <row r="34560" spans="7:14" x14ac:dyDescent="0.3">
      <c r="G34560" s="1"/>
      <c r="N34560" s="1"/>
    </row>
    <row r="34561" spans="7:14" x14ac:dyDescent="0.3">
      <c r="G34561" s="1"/>
      <c r="N34561" s="1"/>
    </row>
    <row r="34562" spans="7:14" x14ac:dyDescent="0.3">
      <c r="G34562" s="1"/>
      <c r="N34562" s="1"/>
    </row>
    <row r="34563" spans="7:14" x14ac:dyDescent="0.3">
      <c r="G34563" s="1"/>
      <c r="N34563" s="1"/>
    </row>
    <row r="34564" spans="7:14" x14ac:dyDescent="0.3">
      <c r="G34564" s="1"/>
      <c r="N34564" s="1"/>
    </row>
    <row r="34565" spans="7:14" x14ac:dyDescent="0.3">
      <c r="G34565" s="1"/>
      <c r="N34565" s="1"/>
    </row>
    <row r="34566" spans="7:14" x14ac:dyDescent="0.3">
      <c r="G34566" s="1"/>
      <c r="N34566" s="1"/>
    </row>
    <row r="34567" spans="7:14" x14ac:dyDescent="0.3">
      <c r="G34567" s="1"/>
      <c r="N34567" s="1"/>
    </row>
    <row r="34568" spans="7:14" x14ac:dyDescent="0.3">
      <c r="G34568" s="1"/>
      <c r="N34568" s="1"/>
    </row>
    <row r="34569" spans="7:14" x14ac:dyDescent="0.3">
      <c r="G34569" s="1"/>
      <c r="N34569" s="1"/>
    </row>
    <row r="34570" spans="7:14" x14ac:dyDescent="0.3">
      <c r="G34570" s="1"/>
      <c r="N34570" s="1"/>
    </row>
    <row r="34571" spans="7:14" x14ac:dyDescent="0.3">
      <c r="G34571" s="1"/>
      <c r="N34571" s="1"/>
    </row>
    <row r="34572" spans="7:14" x14ac:dyDescent="0.3">
      <c r="G34572" s="1"/>
      <c r="N34572" s="1"/>
    </row>
    <row r="34573" spans="7:14" x14ac:dyDescent="0.3">
      <c r="G34573" s="1"/>
      <c r="N34573" s="1"/>
    </row>
    <row r="34574" spans="7:14" x14ac:dyDescent="0.3">
      <c r="G34574" s="1"/>
      <c r="N34574" s="1"/>
    </row>
    <row r="34575" spans="7:14" x14ac:dyDescent="0.3">
      <c r="G34575" s="1"/>
      <c r="N34575" s="1"/>
    </row>
    <row r="34576" spans="7:14" x14ac:dyDescent="0.3">
      <c r="G34576" s="1"/>
      <c r="N34576" s="1"/>
    </row>
    <row r="34577" spans="7:14" x14ac:dyDescent="0.3">
      <c r="G34577" s="1"/>
      <c r="N34577" s="1"/>
    </row>
    <row r="34578" spans="7:14" x14ac:dyDescent="0.3">
      <c r="G34578" s="1"/>
      <c r="N34578" s="1"/>
    </row>
    <row r="34579" spans="7:14" x14ac:dyDescent="0.3">
      <c r="G34579" s="1"/>
      <c r="N34579" s="1"/>
    </row>
    <row r="34580" spans="7:14" x14ac:dyDescent="0.3">
      <c r="G34580" s="1"/>
      <c r="N34580" s="1"/>
    </row>
    <row r="34581" spans="7:14" x14ac:dyDescent="0.3">
      <c r="G34581" s="1"/>
      <c r="N34581" s="1"/>
    </row>
    <row r="34582" spans="7:14" x14ac:dyDescent="0.3">
      <c r="G34582" s="1"/>
      <c r="N34582" s="1"/>
    </row>
    <row r="34583" spans="7:14" x14ac:dyDescent="0.3">
      <c r="G34583" s="1"/>
      <c r="N34583" s="1"/>
    </row>
    <row r="34584" spans="7:14" x14ac:dyDescent="0.3">
      <c r="G34584" s="1"/>
      <c r="N34584" s="1"/>
    </row>
    <row r="34585" spans="7:14" x14ac:dyDescent="0.3">
      <c r="G34585" s="1"/>
      <c r="N34585" s="1"/>
    </row>
    <row r="34586" spans="7:14" x14ac:dyDescent="0.3">
      <c r="G34586" s="1"/>
      <c r="N34586" s="1"/>
    </row>
    <row r="34587" spans="7:14" x14ac:dyDescent="0.3">
      <c r="G34587" s="1"/>
      <c r="N34587" s="1"/>
    </row>
    <row r="34588" spans="7:14" x14ac:dyDescent="0.3">
      <c r="G34588" s="1"/>
      <c r="N34588" s="1"/>
    </row>
    <row r="34589" spans="7:14" x14ac:dyDescent="0.3">
      <c r="G34589" s="1"/>
      <c r="N34589" s="1"/>
    </row>
    <row r="34590" spans="7:14" x14ac:dyDescent="0.3">
      <c r="G34590" s="1"/>
      <c r="N34590" s="1"/>
    </row>
    <row r="34591" spans="7:14" x14ac:dyDescent="0.3">
      <c r="G34591" s="1"/>
      <c r="N34591" s="1"/>
    </row>
    <row r="34592" spans="7:14" x14ac:dyDescent="0.3">
      <c r="G34592" s="1"/>
      <c r="N34592" s="1"/>
    </row>
    <row r="34593" spans="7:14" x14ac:dyDescent="0.3">
      <c r="G34593" s="1"/>
      <c r="N34593" s="1"/>
    </row>
    <row r="34594" spans="7:14" x14ac:dyDescent="0.3">
      <c r="G34594" s="1"/>
      <c r="N34594" s="1"/>
    </row>
    <row r="34595" spans="7:14" x14ac:dyDescent="0.3">
      <c r="G34595" s="1"/>
      <c r="N34595" s="1"/>
    </row>
    <row r="34596" spans="7:14" x14ac:dyDescent="0.3">
      <c r="G34596" s="1"/>
      <c r="N34596" s="1"/>
    </row>
    <row r="34597" spans="7:14" x14ac:dyDescent="0.3">
      <c r="G34597" s="1"/>
      <c r="N34597" s="1"/>
    </row>
    <row r="34598" spans="7:14" x14ac:dyDescent="0.3">
      <c r="G34598" s="1"/>
      <c r="N34598" s="1"/>
    </row>
    <row r="34599" spans="7:14" x14ac:dyDescent="0.3">
      <c r="G34599" s="1"/>
      <c r="N34599" s="1"/>
    </row>
    <row r="34600" spans="7:14" x14ac:dyDescent="0.3">
      <c r="G34600" s="1"/>
      <c r="N34600" s="1"/>
    </row>
    <row r="34601" spans="7:14" x14ac:dyDescent="0.3">
      <c r="G34601" s="1"/>
      <c r="N34601" s="1"/>
    </row>
    <row r="34602" spans="7:14" x14ac:dyDescent="0.3">
      <c r="G34602" s="1"/>
      <c r="N34602" s="1"/>
    </row>
    <row r="34603" spans="7:14" x14ac:dyDescent="0.3">
      <c r="G34603" s="1"/>
      <c r="N34603" s="1"/>
    </row>
    <row r="34604" spans="7:14" x14ac:dyDescent="0.3">
      <c r="G34604" s="1"/>
      <c r="N34604" s="1"/>
    </row>
    <row r="34605" spans="7:14" x14ac:dyDescent="0.3">
      <c r="G34605" s="1"/>
      <c r="N34605" s="1"/>
    </row>
    <row r="34606" spans="7:14" x14ac:dyDescent="0.3">
      <c r="G34606" s="1"/>
      <c r="N34606" s="1"/>
    </row>
    <row r="34607" spans="7:14" x14ac:dyDescent="0.3">
      <c r="G34607" s="1"/>
      <c r="N34607" s="1"/>
    </row>
    <row r="34608" spans="7:14" x14ac:dyDescent="0.3">
      <c r="G34608" s="1"/>
      <c r="N34608" s="1"/>
    </row>
    <row r="34609" spans="7:14" x14ac:dyDescent="0.3">
      <c r="G34609" s="1"/>
      <c r="N34609" s="1"/>
    </row>
    <row r="34610" spans="7:14" x14ac:dyDescent="0.3">
      <c r="G34610" s="1"/>
      <c r="N34610" s="1"/>
    </row>
    <row r="34611" spans="7:14" x14ac:dyDescent="0.3">
      <c r="G34611" s="1"/>
      <c r="N34611" s="1"/>
    </row>
    <row r="34612" spans="7:14" x14ac:dyDescent="0.3">
      <c r="G34612" s="1"/>
      <c r="N34612" s="1"/>
    </row>
    <row r="34613" spans="7:14" x14ac:dyDescent="0.3">
      <c r="G34613" s="1"/>
      <c r="N34613" s="1"/>
    </row>
    <row r="34614" spans="7:14" x14ac:dyDescent="0.3">
      <c r="G34614" s="1"/>
      <c r="N34614" s="1"/>
    </row>
    <row r="34615" spans="7:14" x14ac:dyDescent="0.3">
      <c r="G34615" s="1"/>
      <c r="N34615" s="1"/>
    </row>
    <row r="34616" spans="7:14" x14ac:dyDescent="0.3">
      <c r="G34616" s="1"/>
      <c r="N34616" s="1"/>
    </row>
    <row r="34617" spans="7:14" x14ac:dyDescent="0.3">
      <c r="G34617" s="1"/>
      <c r="N34617" s="1"/>
    </row>
    <row r="34618" spans="7:14" x14ac:dyDescent="0.3">
      <c r="G34618" s="1"/>
      <c r="N34618" s="1"/>
    </row>
    <row r="34619" spans="7:14" x14ac:dyDescent="0.3">
      <c r="G34619" s="1"/>
      <c r="N34619" s="1"/>
    </row>
    <row r="34620" spans="7:14" x14ac:dyDescent="0.3">
      <c r="G34620" s="1"/>
      <c r="N34620" s="1"/>
    </row>
    <row r="34621" spans="7:14" x14ac:dyDescent="0.3">
      <c r="G34621" s="1"/>
      <c r="N34621" s="1"/>
    </row>
    <row r="34622" spans="7:14" x14ac:dyDescent="0.3">
      <c r="G34622" s="1"/>
      <c r="N34622" s="1"/>
    </row>
    <row r="34623" spans="7:14" x14ac:dyDescent="0.3">
      <c r="G34623" s="1"/>
      <c r="N34623" s="1"/>
    </row>
    <row r="34624" spans="7:14" x14ac:dyDescent="0.3">
      <c r="G34624" s="1"/>
      <c r="N34624" s="1"/>
    </row>
    <row r="34625" spans="7:14" x14ac:dyDescent="0.3">
      <c r="G34625" s="1"/>
      <c r="N34625" s="1"/>
    </row>
    <row r="34626" spans="7:14" x14ac:dyDescent="0.3">
      <c r="G34626" s="1"/>
      <c r="N34626" s="1"/>
    </row>
    <row r="34627" spans="7:14" x14ac:dyDescent="0.3">
      <c r="G34627" s="1"/>
      <c r="N34627" s="1"/>
    </row>
    <row r="34628" spans="7:14" x14ac:dyDescent="0.3">
      <c r="G34628" s="1"/>
      <c r="N34628" s="1"/>
    </row>
    <row r="34629" spans="7:14" x14ac:dyDescent="0.3">
      <c r="G34629" s="1"/>
      <c r="N34629" s="1"/>
    </row>
    <row r="34630" spans="7:14" x14ac:dyDescent="0.3">
      <c r="G34630" s="1"/>
      <c r="N34630" s="1"/>
    </row>
    <row r="34631" spans="7:14" x14ac:dyDescent="0.3">
      <c r="G34631" s="1"/>
      <c r="N34631" s="1"/>
    </row>
    <row r="34632" spans="7:14" x14ac:dyDescent="0.3">
      <c r="G34632" s="1"/>
      <c r="N34632" s="1"/>
    </row>
    <row r="34633" spans="7:14" x14ac:dyDescent="0.3">
      <c r="G34633" s="1"/>
      <c r="N34633" s="1"/>
    </row>
    <row r="34634" spans="7:14" x14ac:dyDescent="0.3">
      <c r="G34634" s="1"/>
      <c r="N34634" s="1"/>
    </row>
    <row r="34635" spans="7:14" x14ac:dyDescent="0.3">
      <c r="G34635" s="1"/>
      <c r="N34635" s="1"/>
    </row>
    <row r="34636" spans="7:14" x14ac:dyDescent="0.3">
      <c r="G34636" s="1"/>
      <c r="N34636" s="1"/>
    </row>
    <row r="34637" spans="7:14" x14ac:dyDescent="0.3">
      <c r="G34637" s="1"/>
      <c r="N34637" s="1"/>
    </row>
    <row r="34638" spans="7:14" x14ac:dyDescent="0.3">
      <c r="G34638" s="1"/>
      <c r="N34638" s="1"/>
    </row>
    <row r="34639" spans="7:14" x14ac:dyDescent="0.3">
      <c r="G34639" s="1"/>
      <c r="N34639" s="1"/>
    </row>
    <row r="34640" spans="7:14" x14ac:dyDescent="0.3">
      <c r="G34640" s="1"/>
      <c r="N34640" s="1"/>
    </row>
    <row r="34641" spans="7:14" x14ac:dyDescent="0.3">
      <c r="G34641" s="1"/>
      <c r="N34641" s="1"/>
    </row>
    <row r="34642" spans="7:14" x14ac:dyDescent="0.3">
      <c r="G34642" s="1"/>
      <c r="N34642" s="1"/>
    </row>
    <row r="34643" spans="7:14" x14ac:dyDescent="0.3">
      <c r="G34643" s="1"/>
      <c r="N34643" s="1"/>
    </row>
    <row r="34644" spans="7:14" x14ac:dyDescent="0.3">
      <c r="G34644" s="1"/>
      <c r="N34644" s="1"/>
    </row>
    <row r="34645" spans="7:14" x14ac:dyDescent="0.3">
      <c r="G34645" s="1"/>
      <c r="N34645" s="1"/>
    </row>
    <row r="34646" spans="7:14" x14ac:dyDescent="0.3">
      <c r="G34646" s="1"/>
      <c r="N34646" s="1"/>
    </row>
    <row r="34647" spans="7:14" x14ac:dyDescent="0.3">
      <c r="G34647" s="1"/>
      <c r="N34647" s="1"/>
    </row>
    <row r="34648" spans="7:14" x14ac:dyDescent="0.3">
      <c r="G34648" s="1"/>
      <c r="N34648" s="1"/>
    </row>
    <row r="34649" spans="7:14" x14ac:dyDescent="0.3">
      <c r="G34649" s="1"/>
      <c r="N34649" s="1"/>
    </row>
    <row r="34650" spans="7:14" x14ac:dyDescent="0.3">
      <c r="G34650" s="1"/>
      <c r="N34650" s="1"/>
    </row>
    <row r="34651" spans="7:14" x14ac:dyDescent="0.3">
      <c r="G34651" s="1"/>
      <c r="N34651" s="1"/>
    </row>
    <row r="34652" spans="7:14" x14ac:dyDescent="0.3">
      <c r="G34652" s="1"/>
      <c r="N34652" s="1"/>
    </row>
    <row r="34653" spans="7:14" x14ac:dyDescent="0.3">
      <c r="G34653" s="1"/>
      <c r="N34653" s="1"/>
    </row>
    <row r="34654" spans="7:14" x14ac:dyDescent="0.3">
      <c r="G34654" s="1"/>
      <c r="N34654" s="1"/>
    </row>
    <row r="34655" spans="7:14" x14ac:dyDescent="0.3">
      <c r="G34655" s="1"/>
      <c r="N34655" s="1"/>
    </row>
    <row r="34656" spans="7:14" x14ac:dyDescent="0.3">
      <c r="G34656" s="1"/>
      <c r="N34656" s="1"/>
    </row>
    <row r="34657" spans="7:14" x14ac:dyDescent="0.3">
      <c r="G34657" s="1"/>
      <c r="N34657" s="1"/>
    </row>
    <row r="34658" spans="7:14" x14ac:dyDescent="0.3">
      <c r="G34658" s="1"/>
      <c r="N34658" s="1"/>
    </row>
    <row r="34659" spans="7:14" x14ac:dyDescent="0.3">
      <c r="G34659" s="1"/>
      <c r="N34659" s="1"/>
    </row>
    <row r="34660" spans="7:14" x14ac:dyDescent="0.3">
      <c r="G34660" s="1"/>
      <c r="N34660" s="1"/>
    </row>
    <row r="34661" spans="7:14" x14ac:dyDescent="0.3">
      <c r="G34661" s="1"/>
      <c r="N34661" s="1"/>
    </row>
    <row r="34662" spans="7:14" x14ac:dyDescent="0.3">
      <c r="G34662" s="1"/>
      <c r="N34662" s="1"/>
    </row>
    <row r="34663" spans="7:14" x14ac:dyDescent="0.3">
      <c r="G34663" s="1"/>
      <c r="N34663" s="1"/>
    </row>
    <row r="34664" spans="7:14" x14ac:dyDescent="0.3">
      <c r="G34664" s="1"/>
      <c r="N34664" s="1"/>
    </row>
    <row r="34665" spans="7:14" x14ac:dyDescent="0.3">
      <c r="G34665" s="1"/>
      <c r="N34665" s="1"/>
    </row>
    <row r="34666" spans="7:14" x14ac:dyDescent="0.3">
      <c r="G34666" s="1"/>
      <c r="N34666" s="1"/>
    </row>
    <row r="34667" spans="7:14" x14ac:dyDescent="0.3">
      <c r="G34667" s="1"/>
      <c r="N34667" s="1"/>
    </row>
    <row r="34668" spans="7:14" x14ac:dyDescent="0.3">
      <c r="G34668" s="1"/>
      <c r="N34668" s="1"/>
    </row>
    <row r="34669" spans="7:14" x14ac:dyDescent="0.3">
      <c r="G34669" s="1"/>
      <c r="N34669" s="1"/>
    </row>
    <row r="34670" spans="7:14" x14ac:dyDescent="0.3">
      <c r="G34670" s="1"/>
      <c r="N34670" s="1"/>
    </row>
    <row r="34671" spans="7:14" x14ac:dyDescent="0.3">
      <c r="G34671" s="1"/>
      <c r="N34671" s="1"/>
    </row>
    <row r="34672" spans="7:14" x14ac:dyDescent="0.3">
      <c r="G34672" s="1"/>
      <c r="N34672" s="1"/>
    </row>
    <row r="34673" spans="7:14" x14ac:dyDescent="0.3">
      <c r="G34673" s="1"/>
      <c r="N34673" s="1"/>
    </row>
    <row r="34674" spans="7:14" x14ac:dyDescent="0.3">
      <c r="G34674" s="1"/>
      <c r="N34674" s="1"/>
    </row>
    <row r="34675" spans="7:14" x14ac:dyDescent="0.3">
      <c r="G34675" s="1"/>
      <c r="N34675" s="1"/>
    </row>
    <row r="34676" spans="7:14" x14ac:dyDescent="0.3">
      <c r="G34676" s="1"/>
      <c r="N34676" s="1"/>
    </row>
    <row r="34677" spans="7:14" x14ac:dyDescent="0.3">
      <c r="G34677" s="1"/>
      <c r="N34677" s="1"/>
    </row>
    <row r="34678" spans="7:14" x14ac:dyDescent="0.3">
      <c r="G34678" s="1"/>
      <c r="N34678" s="1"/>
    </row>
    <row r="34679" spans="7:14" x14ac:dyDescent="0.3">
      <c r="G34679" s="1"/>
      <c r="N34679" s="1"/>
    </row>
    <row r="34680" spans="7:14" x14ac:dyDescent="0.3">
      <c r="G34680" s="1"/>
      <c r="N34680" s="1"/>
    </row>
    <row r="34681" spans="7:14" x14ac:dyDescent="0.3">
      <c r="G34681" s="1"/>
      <c r="N34681" s="1"/>
    </row>
    <row r="34682" spans="7:14" x14ac:dyDescent="0.3">
      <c r="G34682" s="1"/>
      <c r="N34682" s="1"/>
    </row>
    <row r="34683" spans="7:14" x14ac:dyDescent="0.3">
      <c r="G34683" s="1"/>
      <c r="N34683" s="1"/>
    </row>
    <row r="34684" spans="7:14" x14ac:dyDescent="0.3">
      <c r="G34684" s="1"/>
      <c r="N34684" s="1"/>
    </row>
    <row r="34685" spans="7:14" x14ac:dyDescent="0.3">
      <c r="G34685" s="1"/>
      <c r="N34685" s="1"/>
    </row>
    <row r="34686" spans="7:14" x14ac:dyDescent="0.3">
      <c r="G34686" s="1"/>
      <c r="N34686" s="1"/>
    </row>
    <row r="34687" spans="7:14" x14ac:dyDescent="0.3">
      <c r="G34687" s="1"/>
      <c r="N34687" s="1"/>
    </row>
    <row r="34688" spans="7:14" x14ac:dyDescent="0.3">
      <c r="G34688" s="1"/>
      <c r="N34688" s="1"/>
    </row>
    <row r="34689" spans="7:14" x14ac:dyDescent="0.3">
      <c r="G34689" s="1"/>
      <c r="N34689" s="1"/>
    </row>
    <row r="34690" spans="7:14" x14ac:dyDescent="0.3">
      <c r="G34690" s="1"/>
      <c r="N34690" s="1"/>
    </row>
    <row r="34691" spans="7:14" x14ac:dyDescent="0.3">
      <c r="G34691" s="1"/>
      <c r="N34691" s="1"/>
    </row>
    <row r="34692" spans="7:14" x14ac:dyDescent="0.3">
      <c r="G34692" s="1"/>
      <c r="N34692" s="1"/>
    </row>
    <row r="34693" spans="7:14" x14ac:dyDescent="0.3">
      <c r="G34693" s="1"/>
      <c r="N34693" s="1"/>
    </row>
    <row r="34694" spans="7:14" x14ac:dyDescent="0.3">
      <c r="G34694" s="1"/>
      <c r="N34694" s="1"/>
    </row>
    <row r="34695" spans="7:14" x14ac:dyDescent="0.3">
      <c r="G34695" s="1"/>
      <c r="N34695" s="1"/>
    </row>
    <row r="34696" spans="7:14" x14ac:dyDescent="0.3">
      <c r="G34696" s="1"/>
      <c r="N34696" s="1"/>
    </row>
    <row r="34697" spans="7:14" x14ac:dyDescent="0.3">
      <c r="G34697" s="1"/>
      <c r="N34697" s="1"/>
    </row>
    <row r="34698" spans="7:14" x14ac:dyDescent="0.3">
      <c r="G34698" s="1"/>
      <c r="N34698" s="1"/>
    </row>
    <row r="34699" spans="7:14" x14ac:dyDescent="0.3">
      <c r="G34699" s="1"/>
      <c r="N34699" s="1"/>
    </row>
    <row r="34700" spans="7:14" x14ac:dyDescent="0.3">
      <c r="G34700" s="1"/>
      <c r="N34700" s="1"/>
    </row>
    <row r="34701" spans="7:14" x14ac:dyDescent="0.3">
      <c r="G34701" s="1"/>
      <c r="N34701" s="1"/>
    </row>
    <row r="34702" spans="7:14" x14ac:dyDescent="0.3">
      <c r="G34702" s="1"/>
      <c r="N34702" s="1"/>
    </row>
    <row r="34703" spans="7:14" x14ac:dyDescent="0.3">
      <c r="G34703" s="1"/>
      <c r="N34703" s="1"/>
    </row>
    <row r="34704" spans="7:14" x14ac:dyDescent="0.3">
      <c r="G34704" s="1"/>
      <c r="N34704" s="1"/>
    </row>
    <row r="34705" spans="7:14" x14ac:dyDescent="0.3">
      <c r="G34705" s="1"/>
      <c r="N34705" s="1"/>
    </row>
    <row r="34706" spans="7:14" x14ac:dyDescent="0.3">
      <c r="G34706" s="1"/>
      <c r="N34706" s="1"/>
    </row>
    <row r="34707" spans="7:14" x14ac:dyDescent="0.3">
      <c r="G34707" s="1"/>
      <c r="N34707" s="1"/>
    </row>
    <row r="34708" spans="7:14" x14ac:dyDescent="0.3">
      <c r="G34708" s="1"/>
      <c r="N34708" s="1"/>
    </row>
    <row r="34709" spans="7:14" x14ac:dyDescent="0.3">
      <c r="G34709" s="1"/>
      <c r="N34709" s="1"/>
    </row>
    <row r="34710" spans="7:14" x14ac:dyDescent="0.3">
      <c r="G34710" s="1"/>
      <c r="N34710" s="1"/>
    </row>
    <row r="34711" spans="7:14" x14ac:dyDescent="0.3">
      <c r="G34711" s="1"/>
      <c r="N34711" s="1"/>
    </row>
    <row r="34712" spans="7:14" x14ac:dyDescent="0.3">
      <c r="G34712" s="1"/>
      <c r="N34712" s="1"/>
    </row>
    <row r="34713" spans="7:14" x14ac:dyDescent="0.3">
      <c r="G34713" s="1"/>
      <c r="N34713" s="1"/>
    </row>
    <row r="34714" spans="7:14" x14ac:dyDescent="0.3">
      <c r="G34714" s="1"/>
      <c r="N34714" s="1"/>
    </row>
    <row r="34715" spans="7:14" x14ac:dyDescent="0.3">
      <c r="G34715" s="1"/>
      <c r="N34715" s="1"/>
    </row>
    <row r="34716" spans="7:14" x14ac:dyDescent="0.3">
      <c r="G34716" s="1"/>
      <c r="N34716" s="1"/>
    </row>
    <row r="34717" spans="7:14" x14ac:dyDescent="0.3">
      <c r="G34717" s="1"/>
      <c r="N34717" s="1"/>
    </row>
    <row r="34718" spans="7:14" x14ac:dyDescent="0.3">
      <c r="G34718" s="1"/>
      <c r="N34718" s="1"/>
    </row>
    <row r="34719" spans="7:14" x14ac:dyDescent="0.3">
      <c r="G34719" s="1"/>
      <c r="N34719" s="1"/>
    </row>
    <row r="34720" spans="7:14" x14ac:dyDescent="0.3">
      <c r="G34720" s="1"/>
      <c r="N34720" s="1"/>
    </row>
    <row r="34721" spans="7:14" x14ac:dyDescent="0.3">
      <c r="G34721" s="1"/>
      <c r="N34721" s="1"/>
    </row>
    <row r="34722" spans="7:14" x14ac:dyDescent="0.3">
      <c r="G34722" s="1"/>
      <c r="N34722" s="1"/>
    </row>
    <row r="34723" spans="7:14" x14ac:dyDescent="0.3">
      <c r="G34723" s="1"/>
      <c r="N34723" s="1"/>
    </row>
    <row r="34724" spans="7:14" x14ac:dyDescent="0.3">
      <c r="G34724" s="1"/>
      <c r="N34724" s="1"/>
    </row>
    <row r="34725" spans="7:14" x14ac:dyDescent="0.3">
      <c r="G34725" s="1"/>
      <c r="N34725" s="1"/>
    </row>
    <row r="34726" spans="7:14" x14ac:dyDescent="0.3">
      <c r="G34726" s="1"/>
      <c r="N34726" s="1"/>
    </row>
    <row r="34727" spans="7:14" x14ac:dyDescent="0.3">
      <c r="G34727" s="1"/>
      <c r="N34727" s="1"/>
    </row>
    <row r="34728" spans="7:14" x14ac:dyDescent="0.3">
      <c r="G34728" s="1"/>
      <c r="N34728" s="1"/>
    </row>
    <row r="34729" spans="7:14" x14ac:dyDescent="0.3">
      <c r="G34729" s="1"/>
      <c r="N34729" s="1"/>
    </row>
    <row r="34730" spans="7:14" x14ac:dyDescent="0.3">
      <c r="G34730" s="1"/>
      <c r="N34730" s="1"/>
    </row>
    <row r="34731" spans="7:14" x14ac:dyDescent="0.3">
      <c r="G34731" s="1"/>
      <c r="N34731" s="1"/>
    </row>
    <row r="34732" spans="7:14" x14ac:dyDescent="0.3">
      <c r="G34732" s="1"/>
      <c r="N34732" s="1"/>
    </row>
    <row r="34733" spans="7:14" x14ac:dyDescent="0.3">
      <c r="G34733" s="1"/>
      <c r="N34733" s="1"/>
    </row>
    <row r="34734" spans="7:14" x14ac:dyDescent="0.3">
      <c r="G34734" s="1"/>
      <c r="N34734" s="1"/>
    </row>
    <row r="34735" spans="7:14" x14ac:dyDescent="0.3">
      <c r="G34735" s="1"/>
      <c r="N34735" s="1"/>
    </row>
    <row r="34736" spans="7:14" x14ac:dyDescent="0.3">
      <c r="G34736" s="1"/>
      <c r="N34736" s="1"/>
    </row>
    <row r="34737" spans="7:14" x14ac:dyDescent="0.3">
      <c r="G34737" s="1"/>
      <c r="N34737" s="1"/>
    </row>
    <row r="34738" spans="7:14" x14ac:dyDescent="0.3">
      <c r="G34738" s="1"/>
      <c r="N34738" s="1"/>
    </row>
    <row r="34739" spans="7:14" x14ac:dyDescent="0.3">
      <c r="G34739" s="1"/>
      <c r="N34739" s="1"/>
    </row>
    <row r="34740" spans="7:14" x14ac:dyDescent="0.3">
      <c r="G34740" s="1"/>
      <c r="N34740" s="1"/>
    </row>
    <row r="34741" spans="7:14" x14ac:dyDescent="0.3">
      <c r="G34741" s="1"/>
      <c r="N34741" s="1"/>
    </row>
    <row r="34742" spans="7:14" x14ac:dyDescent="0.3">
      <c r="G34742" s="1"/>
      <c r="N34742" s="1"/>
    </row>
    <row r="34743" spans="7:14" x14ac:dyDescent="0.3">
      <c r="G34743" s="1"/>
      <c r="N34743" s="1"/>
    </row>
    <row r="34744" spans="7:14" x14ac:dyDescent="0.3">
      <c r="G34744" s="1"/>
      <c r="N34744" s="1"/>
    </row>
    <row r="34745" spans="7:14" x14ac:dyDescent="0.3">
      <c r="G34745" s="1"/>
      <c r="N34745" s="1"/>
    </row>
    <row r="34746" spans="7:14" x14ac:dyDescent="0.3">
      <c r="G34746" s="1"/>
      <c r="N34746" s="1"/>
    </row>
    <row r="34747" spans="7:14" x14ac:dyDescent="0.3">
      <c r="G34747" s="1"/>
      <c r="N34747" s="1"/>
    </row>
    <row r="34748" spans="7:14" x14ac:dyDescent="0.3">
      <c r="G34748" s="1"/>
      <c r="N34748" s="1"/>
    </row>
    <row r="34749" spans="7:14" x14ac:dyDescent="0.3">
      <c r="G34749" s="1"/>
      <c r="N34749" s="1"/>
    </row>
    <row r="34750" spans="7:14" x14ac:dyDescent="0.3">
      <c r="G34750" s="1"/>
      <c r="N34750" s="1"/>
    </row>
    <row r="34751" spans="7:14" x14ac:dyDescent="0.3">
      <c r="G34751" s="1"/>
      <c r="N34751" s="1"/>
    </row>
    <row r="34752" spans="7:14" x14ac:dyDescent="0.3">
      <c r="G34752" s="1"/>
      <c r="N34752" s="1"/>
    </row>
    <row r="34753" spans="7:14" x14ac:dyDescent="0.3">
      <c r="G34753" s="1"/>
      <c r="N34753" s="1"/>
    </row>
    <row r="34754" spans="7:14" x14ac:dyDescent="0.3">
      <c r="G34754" s="1"/>
      <c r="N34754" s="1"/>
    </row>
    <row r="34755" spans="7:14" x14ac:dyDescent="0.3">
      <c r="G34755" s="1"/>
      <c r="N34755" s="1"/>
    </row>
    <row r="34756" spans="7:14" x14ac:dyDescent="0.3">
      <c r="G34756" s="1"/>
      <c r="N34756" s="1"/>
    </row>
    <row r="34757" spans="7:14" x14ac:dyDescent="0.3">
      <c r="G34757" s="1"/>
      <c r="N34757" s="1"/>
    </row>
    <row r="34758" spans="7:14" x14ac:dyDescent="0.3">
      <c r="G34758" s="1"/>
      <c r="N34758" s="1"/>
    </row>
    <row r="34759" spans="7:14" x14ac:dyDescent="0.3">
      <c r="G34759" s="1"/>
      <c r="N34759" s="1"/>
    </row>
    <row r="34760" spans="7:14" x14ac:dyDescent="0.3">
      <c r="G34760" s="1"/>
      <c r="N34760" s="1"/>
    </row>
    <row r="34761" spans="7:14" x14ac:dyDescent="0.3">
      <c r="G34761" s="1"/>
      <c r="N34761" s="1"/>
    </row>
    <row r="34762" spans="7:14" x14ac:dyDescent="0.3">
      <c r="G34762" s="1"/>
      <c r="N34762" s="1"/>
    </row>
    <row r="34763" spans="7:14" x14ac:dyDescent="0.3">
      <c r="G34763" s="1"/>
      <c r="N34763" s="1"/>
    </row>
    <row r="34764" spans="7:14" x14ac:dyDescent="0.3">
      <c r="G34764" s="1"/>
      <c r="N34764" s="1"/>
    </row>
    <row r="34765" spans="7:14" x14ac:dyDescent="0.3">
      <c r="G34765" s="1"/>
      <c r="N34765" s="1"/>
    </row>
    <row r="34766" spans="7:14" x14ac:dyDescent="0.3">
      <c r="G34766" s="1"/>
      <c r="N34766" s="1"/>
    </row>
    <row r="34767" spans="7:14" x14ac:dyDescent="0.3">
      <c r="G34767" s="1"/>
      <c r="N34767" s="1"/>
    </row>
    <row r="34768" spans="7:14" x14ac:dyDescent="0.3">
      <c r="G34768" s="1"/>
      <c r="N34768" s="1"/>
    </row>
    <row r="34769" spans="7:14" x14ac:dyDescent="0.3">
      <c r="G34769" s="1"/>
      <c r="N34769" s="1"/>
    </row>
    <row r="34770" spans="7:14" x14ac:dyDescent="0.3">
      <c r="G34770" s="1"/>
      <c r="N34770" s="1"/>
    </row>
    <row r="34771" spans="7:14" x14ac:dyDescent="0.3">
      <c r="G34771" s="1"/>
      <c r="N34771" s="1"/>
    </row>
    <row r="34772" spans="7:14" x14ac:dyDescent="0.3">
      <c r="G34772" s="1"/>
      <c r="N34772" s="1"/>
    </row>
    <row r="34773" spans="7:14" x14ac:dyDescent="0.3">
      <c r="G34773" s="1"/>
      <c r="N34773" s="1"/>
    </row>
    <row r="34774" spans="7:14" x14ac:dyDescent="0.3">
      <c r="G34774" s="1"/>
      <c r="N34774" s="1"/>
    </row>
    <row r="34775" spans="7:14" x14ac:dyDescent="0.3">
      <c r="G34775" s="1"/>
      <c r="N34775" s="1"/>
    </row>
    <row r="34776" spans="7:14" x14ac:dyDescent="0.3">
      <c r="G34776" s="1"/>
      <c r="N34776" s="1"/>
    </row>
    <row r="34777" spans="7:14" x14ac:dyDescent="0.3">
      <c r="G34777" s="1"/>
      <c r="N34777" s="1"/>
    </row>
    <row r="34778" spans="7:14" x14ac:dyDescent="0.3">
      <c r="G34778" s="1"/>
      <c r="N34778" s="1"/>
    </row>
    <row r="34779" spans="7:14" x14ac:dyDescent="0.3">
      <c r="G34779" s="1"/>
      <c r="N34779" s="1"/>
    </row>
    <row r="34780" spans="7:14" x14ac:dyDescent="0.3">
      <c r="G34780" s="1"/>
      <c r="N34780" s="1"/>
    </row>
    <row r="34781" spans="7:14" x14ac:dyDescent="0.3">
      <c r="G34781" s="1"/>
      <c r="N34781" s="1"/>
    </row>
    <row r="34782" spans="7:14" x14ac:dyDescent="0.3">
      <c r="G34782" s="1"/>
      <c r="N34782" s="1"/>
    </row>
    <row r="34783" spans="7:14" x14ac:dyDescent="0.3">
      <c r="G34783" s="1"/>
      <c r="N34783" s="1"/>
    </row>
    <row r="34784" spans="7:14" x14ac:dyDescent="0.3">
      <c r="G34784" s="1"/>
      <c r="N34784" s="1"/>
    </row>
    <row r="34785" spans="7:14" x14ac:dyDescent="0.3">
      <c r="G34785" s="1"/>
      <c r="N34785" s="1"/>
    </row>
    <row r="34786" spans="7:14" x14ac:dyDescent="0.3">
      <c r="G34786" s="1"/>
      <c r="N34786" s="1"/>
    </row>
    <row r="34787" spans="7:14" x14ac:dyDescent="0.3">
      <c r="G34787" s="1"/>
      <c r="N34787" s="1"/>
    </row>
    <row r="34788" spans="7:14" x14ac:dyDescent="0.3">
      <c r="G34788" s="1"/>
      <c r="N34788" s="1"/>
    </row>
    <row r="34789" spans="7:14" x14ac:dyDescent="0.3">
      <c r="G34789" s="1"/>
      <c r="N34789" s="1"/>
    </row>
    <row r="34790" spans="7:14" x14ac:dyDescent="0.3">
      <c r="G34790" s="1"/>
      <c r="N34790" s="1"/>
    </row>
    <row r="34791" spans="7:14" x14ac:dyDescent="0.3">
      <c r="G34791" s="1"/>
      <c r="N34791" s="1"/>
    </row>
    <row r="34792" spans="7:14" x14ac:dyDescent="0.3">
      <c r="G34792" s="1"/>
      <c r="N34792" s="1"/>
    </row>
    <row r="34793" spans="7:14" x14ac:dyDescent="0.3">
      <c r="G34793" s="1"/>
      <c r="N34793" s="1"/>
    </row>
    <row r="34794" spans="7:14" x14ac:dyDescent="0.3">
      <c r="G34794" s="1"/>
      <c r="N34794" s="1"/>
    </row>
    <row r="34795" spans="7:14" x14ac:dyDescent="0.3">
      <c r="G34795" s="1"/>
      <c r="N34795" s="1"/>
    </row>
    <row r="34796" spans="7:14" x14ac:dyDescent="0.3">
      <c r="G34796" s="1"/>
      <c r="N34796" s="1"/>
    </row>
    <row r="34797" spans="7:14" x14ac:dyDescent="0.3">
      <c r="G34797" s="1"/>
      <c r="N34797" s="1"/>
    </row>
    <row r="34798" spans="7:14" x14ac:dyDescent="0.3">
      <c r="G34798" s="1"/>
      <c r="N34798" s="1"/>
    </row>
    <row r="34799" spans="7:14" x14ac:dyDescent="0.3">
      <c r="G34799" s="1"/>
      <c r="N34799" s="1"/>
    </row>
    <row r="34800" spans="7:14" x14ac:dyDescent="0.3">
      <c r="G34800" s="1"/>
      <c r="N34800" s="1"/>
    </row>
    <row r="34801" spans="7:14" x14ac:dyDescent="0.3">
      <c r="G34801" s="1"/>
      <c r="N34801" s="1"/>
    </row>
    <row r="34802" spans="7:14" x14ac:dyDescent="0.3">
      <c r="G34802" s="1"/>
      <c r="N34802" s="1"/>
    </row>
    <row r="34803" spans="7:14" x14ac:dyDescent="0.3">
      <c r="G34803" s="1"/>
      <c r="N34803" s="1"/>
    </row>
    <row r="34804" spans="7:14" x14ac:dyDescent="0.3">
      <c r="G34804" s="1"/>
      <c r="N34804" s="1"/>
    </row>
    <row r="34805" spans="7:14" x14ac:dyDescent="0.3">
      <c r="G34805" s="1"/>
      <c r="N34805" s="1"/>
    </row>
    <row r="34806" spans="7:14" x14ac:dyDescent="0.3">
      <c r="G34806" s="1"/>
      <c r="N34806" s="1"/>
    </row>
    <row r="34807" spans="7:14" x14ac:dyDescent="0.3">
      <c r="G34807" s="1"/>
      <c r="N34807" s="1"/>
    </row>
    <row r="34808" spans="7:14" x14ac:dyDescent="0.3">
      <c r="G34808" s="1"/>
      <c r="N34808" s="1"/>
    </row>
    <row r="34809" spans="7:14" x14ac:dyDescent="0.3">
      <c r="G34809" s="1"/>
      <c r="N34809" s="1"/>
    </row>
    <row r="34810" spans="7:14" x14ac:dyDescent="0.3">
      <c r="G34810" s="1"/>
      <c r="N34810" s="1"/>
    </row>
    <row r="34811" spans="7:14" x14ac:dyDescent="0.3">
      <c r="G34811" s="1"/>
      <c r="N34811" s="1"/>
    </row>
    <row r="34812" spans="7:14" x14ac:dyDescent="0.3">
      <c r="G34812" s="1"/>
      <c r="N34812" s="1"/>
    </row>
    <row r="34813" spans="7:14" x14ac:dyDescent="0.3">
      <c r="G34813" s="1"/>
      <c r="N34813" s="1"/>
    </row>
    <row r="34814" spans="7:14" x14ac:dyDescent="0.3">
      <c r="G34814" s="1"/>
      <c r="N34814" s="1"/>
    </row>
    <row r="34815" spans="7:14" x14ac:dyDescent="0.3">
      <c r="G34815" s="1"/>
      <c r="N34815" s="1"/>
    </row>
    <row r="34816" spans="7:14" x14ac:dyDescent="0.3">
      <c r="G34816" s="1"/>
      <c r="N34816" s="1"/>
    </row>
    <row r="34817" spans="7:14" x14ac:dyDescent="0.3">
      <c r="G34817" s="1"/>
      <c r="N34817" s="1"/>
    </row>
    <row r="34818" spans="7:14" x14ac:dyDescent="0.3">
      <c r="G34818" s="1"/>
      <c r="N34818" s="1"/>
    </row>
    <row r="34819" spans="7:14" x14ac:dyDescent="0.3">
      <c r="G34819" s="1"/>
      <c r="N34819" s="1"/>
    </row>
    <row r="34820" spans="7:14" x14ac:dyDescent="0.3">
      <c r="G34820" s="1"/>
      <c r="N34820" s="1"/>
    </row>
    <row r="34821" spans="7:14" x14ac:dyDescent="0.3">
      <c r="G34821" s="1"/>
      <c r="N34821" s="1"/>
    </row>
    <row r="34822" spans="7:14" x14ac:dyDescent="0.3">
      <c r="G34822" s="1"/>
      <c r="N34822" s="1"/>
    </row>
    <row r="34823" spans="7:14" x14ac:dyDescent="0.3">
      <c r="G34823" s="1"/>
      <c r="N34823" s="1"/>
    </row>
    <row r="34824" spans="7:14" x14ac:dyDescent="0.3">
      <c r="G34824" s="1"/>
      <c r="N34824" s="1"/>
    </row>
    <row r="34825" spans="7:14" x14ac:dyDescent="0.3">
      <c r="G34825" s="1"/>
      <c r="N34825" s="1"/>
    </row>
    <row r="34826" spans="7:14" x14ac:dyDescent="0.3">
      <c r="G34826" s="1"/>
      <c r="N34826" s="1"/>
    </row>
    <row r="34827" spans="7:14" x14ac:dyDescent="0.3">
      <c r="G34827" s="1"/>
      <c r="N34827" s="1"/>
    </row>
    <row r="34828" spans="7:14" x14ac:dyDescent="0.3">
      <c r="G34828" s="1"/>
      <c r="N34828" s="1"/>
    </row>
    <row r="34829" spans="7:14" x14ac:dyDescent="0.3">
      <c r="G34829" s="1"/>
      <c r="N34829" s="1"/>
    </row>
    <row r="34830" spans="7:14" x14ac:dyDescent="0.3">
      <c r="G34830" s="1"/>
      <c r="N34830" s="1"/>
    </row>
    <row r="34831" spans="7:14" x14ac:dyDescent="0.3">
      <c r="G34831" s="1"/>
      <c r="N34831" s="1"/>
    </row>
    <row r="34832" spans="7:14" x14ac:dyDescent="0.3">
      <c r="G34832" s="1"/>
      <c r="N34832" s="1"/>
    </row>
    <row r="34833" spans="7:14" x14ac:dyDescent="0.3">
      <c r="G34833" s="1"/>
      <c r="N34833" s="1"/>
    </row>
    <row r="34834" spans="7:14" x14ac:dyDescent="0.3">
      <c r="G34834" s="1"/>
      <c r="N34834" s="1"/>
    </row>
    <row r="34835" spans="7:14" x14ac:dyDescent="0.3">
      <c r="G34835" s="1"/>
      <c r="N34835" s="1"/>
    </row>
    <row r="34836" spans="7:14" x14ac:dyDescent="0.3">
      <c r="G34836" s="1"/>
      <c r="N34836" s="1"/>
    </row>
    <row r="34837" spans="7:14" x14ac:dyDescent="0.3">
      <c r="G34837" s="1"/>
      <c r="N34837" s="1"/>
    </row>
    <row r="34838" spans="7:14" x14ac:dyDescent="0.3">
      <c r="G34838" s="1"/>
      <c r="N34838" s="1"/>
    </row>
    <row r="34839" spans="7:14" x14ac:dyDescent="0.3">
      <c r="G34839" s="1"/>
      <c r="N34839" s="1"/>
    </row>
    <row r="34840" spans="7:14" x14ac:dyDescent="0.3">
      <c r="G34840" s="1"/>
      <c r="N34840" s="1"/>
    </row>
    <row r="34841" spans="7:14" x14ac:dyDescent="0.3">
      <c r="G34841" s="1"/>
      <c r="N34841" s="1"/>
    </row>
    <row r="34842" spans="7:14" x14ac:dyDescent="0.3">
      <c r="G34842" s="1"/>
      <c r="N34842" s="1"/>
    </row>
    <row r="34843" spans="7:14" x14ac:dyDescent="0.3">
      <c r="G34843" s="1"/>
      <c r="N34843" s="1"/>
    </row>
    <row r="34844" spans="7:14" x14ac:dyDescent="0.3">
      <c r="G34844" s="1"/>
      <c r="N34844" s="1"/>
    </row>
    <row r="34845" spans="7:14" x14ac:dyDescent="0.3">
      <c r="G34845" s="1"/>
      <c r="N34845" s="1"/>
    </row>
    <row r="34846" spans="7:14" x14ac:dyDescent="0.3">
      <c r="G34846" s="1"/>
      <c r="N34846" s="1"/>
    </row>
    <row r="34847" spans="7:14" x14ac:dyDescent="0.3">
      <c r="G34847" s="1"/>
      <c r="N34847" s="1"/>
    </row>
    <row r="34848" spans="7:14" x14ac:dyDescent="0.3">
      <c r="G34848" s="1"/>
      <c r="N34848" s="1"/>
    </row>
    <row r="34849" spans="7:14" x14ac:dyDescent="0.3">
      <c r="G34849" s="1"/>
      <c r="N34849" s="1"/>
    </row>
    <row r="34850" spans="7:14" x14ac:dyDescent="0.3">
      <c r="G34850" s="1"/>
      <c r="N34850" s="1"/>
    </row>
    <row r="34851" spans="7:14" x14ac:dyDescent="0.3">
      <c r="G34851" s="1"/>
      <c r="N34851" s="1"/>
    </row>
    <row r="34852" spans="7:14" x14ac:dyDescent="0.3">
      <c r="G34852" s="1"/>
      <c r="N34852" s="1"/>
    </row>
    <row r="34853" spans="7:14" x14ac:dyDescent="0.3">
      <c r="G34853" s="1"/>
      <c r="N34853" s="1"/>
    </row>
    <row r="34854" spans="7:14" x14ac:dyDescent="0.3">
      <c r="G34854" s="1"/>
      <c r="N34854" s="1"/>
    </row>
    <row r="34855" spans="7:14" x14ac:dyDescent="0.3">
      <c r="G34855" s="1"/>
      <c r="N34855" s="1"/>
    </row>
    <row r="34856" spans="7:14" x14ac:dyDescent="0.3">
      <c r="G34856" s="1"/>
      <c r="N34856" s="1"/>
    </row>
    <row r="34857" spans="7:14" x14ac:dyDescent="0.3">
      <c r="G34857" s="1"/>
      <c r="N34857" s="1"/>
    </row>
    <row r="34858" spans="7:14" x14ac:dyDescent="0.3">
      <c r="G34858" s="1"/>
      <c r="N34858" s="1"/>
    </row>
    <row r="34859" spans="7:14" x14ac:dyDescent="0.3">
      <c r="G34859" s="1"/>
      <c r="N34859" s="1"/>
    </row>
    <row r="34860" spans="7:14" x14ac:dyDescent="0.3">
      <c r="G34860" s="1"/>
      <c r="N34860" s="1"/>
    </row>
    <row r="34861" spans="7:14" x14ac:dyDescent="0.3">
      <c r="G34861" s="1"/>
      <c r="N34861" s="1"/>
    </row>
    <row r="34862" spans="7:14" x14ac:dyDescent="0.3">
      <c r="G34862" s="1"/>
      <c r="N34862" s="1"/>
    </row>
    <row r="34863" spans="7:14" x14ac:dyDescent="0.3">
      <c r="G34863" s="1"/>
      <c r="N34863" s="1"/>
    </row>
    <row r="34864" spans="7:14" x14ac:dyDescent="0.3">
      <c r="G34864" s="1"/>
      <c r="N34864" s="1"/>
    </row>
    <row r="34865" spans="7:14" x14ac:dyDescent="0.3">
      <c r="G34865" s="1"/>
      <c r="N34865" s="1"/>
    </row>
    <row r="34866" spans="7:14" x14ac:dyDescent="0.3">
      <c r="G34866" s="1"/>
      <c r="N34866" s="1"/>
    </row>
    <row r="34867" spans="7:14" x14ac:dyDescent="0.3">
      <c r="G34867" s="1"/>
      <c r="N34867" s="1"/>
    </row>
    <row r="34868" spans="7:14" x14ac:dyDescent="0.3">
      <c r="G34868" s="1"/>
      <c r="N34868" s="1"/>
    </row>
    <row r="34869" spans="7:14" x14ac:dyDescent="0.3">
      <c r="G34869" s="1"/>
      <c r="N34869" s="1"/>
    </row>
    <row r="34870" spans="7:14" x14ac:dyDescent="0.3">
      <c r="G34870" s="1"/>
      <c r="N34870" s="1"/>
    </row>
    <row r="34871" spans="7:14" x14ac:dyDescent="0.3">
      <c r="G34871" s="1"/>
      <c r="N34871" s="1"/>
    </row>
    <row r="34872" spans="7:14" x14ac:dyDescent="0.3">
      <c r="G34872" s="1"/>
      <c r="N34872" s="1"/>
    </row>
    <row r="34873" spans="7:14" x14ac:dyDescent="0.3">
      <c r="G34873" s="1"/>
      <c r="N34873" s="1"/>
    </row>
    <row r="34874" spans="7:14" x14ac:dyDescent="0.3">
      <c r="G34874" s="1"/>
      <c r="N34874" s="1"/>
    </row>
    <row r="34875" spans="7:14" x14ac:dyDescent="0.3">
      <c r="G34875" s="1"/>
      <c r="N34875" s="1"/>
    </row>
    <row r="34876" spans="7:14" x14ac:dyDescent="0.3">
      <c r="G34876" s="1"/>
      <c r="N34876" s="1"/>
    </row>
    <row r="34877" spans="7:14" x14ac:dyDescent="0.3">
      <c r="G34877" s="1"/>
      <c r="N34877" s="1"/>
    </row>
    <row r="34878" spans="7:14" x14ac:dyDescent="0.3">
      <c r="G34878" s="1"/>
      <c r="N34878" s="1"/>
    </row>
    <row r="34879" spans="7:14" x14ac:dyDescent="0.3">
      <c r="G34879" s="1"/>
      <c r="N34879" s="1"/>
    </row>
    <row r="34880" spans="7:14" x14ac:dyDescent="0.3">
      <c r="G34880" s="1"/>
      <c r="N34880" s="1"/>
    </row>
    <row r="34881" spans="7:14" x14ac:dyDescent="0.3">
      <c r="G34881" s="1"/>
      <c r="N34881" s="1"/>
    </row>
    <row r="34882" spans="7:14" x14ac:dyDescent="0.3">
      <c r="G34882" s="1"/>
      <c r="N34882" s="1"/>
    </row>
    <row r="34883" spans="7:14" x14ac:dyDescent="0.3">
      <c r="G34883" s="1"/>
      <c r="N34883" s="1"/>
    </row>
    <row r="34884" spans="7:14" x14ac:dyDescent="0.3">
      <c r="G34884" s="1"/>
      <c r="N34884" s="1"/>
    </row>
    <row r="34885" spans="7:14" x14ac:dyDescent="0.3">
      <c r="G34885" s="1"/>
      <c r="N34885" s="1"/>
    </row>
    <row r="34886" spans="7:14" x14ac:dyDescent="0.3">
      <c r="G34886" s="1"/>
      <c r="N34886" s="1"/>
    </row>
    <row r="34887" spans="7:14" x14ac:dyDescent="0.3">
      <c r="G34887" s="1"/>
      <c r="N34887" s="1"/>
    </row>
    <row r="34888" spans="7:14" x14ac:dyDescent="0.3">
      <c r="G34888" s="1"/>
      <c r="N34888" s="1"/>
    </row>
    <row r="34889" spans="7:14" x14ac:dyDescent="0.3">
      <c r="G34889" s="1"/>
      <c r="N34889" s="1"/>
    </row>
    <row r="34890" spans="7:14" x14ac:dyDescent="0.3">
      <c r="G34890" s="1"/>
      <c r="N34890" s="1"/>
    </row>
    <row r="34891" spans="7:14" x14ac:dyDescent="0.3">
      <c r="G34891" s="1"/>
      <c r="N34891" s="1"/>
    </row>
    <row r="34892" spans="7:14" x14ac:dyDescent="0.3">
      <c r="G34892" s="1"/>
      <c r="N34892" s="1"/>
    </row>
    <row r="34893" spans="7:14" x14ac:dyDescent="0.3">
      <c r="G34893" s="1"/>
      <c r="N34893" s="1"/>
    </row>
    <row r="34894" spans="7:14" x14ac:dyDescent="0.3">
      <c r="G34894" s="1"/>
      <c r="N34894" s="1"/>
    </row>
    <row r="34895" spans="7:14" x14ac:dyDescent="0.3">
      <c r="G34895" s="1"/>
      <c r="N34895" s="1"/>
    </row>
    <row r="34896" spans="7:14" x14ac:dyDescent="0.3">
      <c r="G34896" s="1"/>
      <c r="N34896" s="1"/>
    </row>
    <row r="34897" spans="7:14" x14ac:dyDescent="0.3">
      <c r="G34897" s="1"/>
      <c r="N34897" s="1"/>
    </row>
    <row r="34898" spans="7:14" x14ac:dyDescent="0.3">
      <c r="G34898" s="1"/>
      <c r="N34898" s="1"/>
    </row>
    <row r="34899" spans="7:14" x14ac:dyDescent="0.3">
      <c r="G34899" s="1"/>
      <c r="N34899" s="1"/>
    </row>
    <row r="34900" spans="7:14" x14ac:dyDescent="0.3">
      <c r="G34900" s="1"/>
      <c r="N34900" s="1"/>
    </row>
    <row r="34901" spans="7:14" x14ac:dyDescent="0.3">
      <c r="G34901" s="1"/>
      <c r="N34901" s="1"/>
    </row>
    <row r="34902" spans="7:14" x14ac:dyDescent="0.3">
      <c r="G34902" s="1"/>
      <c r="N34902" s="1"/>
    </row>
    <row r="34903" spans="7:14" x14ac:dyDescent="0.3">
      <c r="G34903" s="1"/>
      <c r="N34903" s="1"/>
    </row>
    <row r="34904" spans="7:14" x14ac:dyDescent="0.3">
      <c r="G34904" s="1"/>
      <c r="N34904" s="1"/>
    </row>
    <row r="34905" spans="7:14" x14ac:dyDescent="0.3">
      <c r="G34905" s="1"/>
      <c r="N34905" s="1"/>
    </row>
    <row r="34906" spans="7:14" x14ac:dyDescent="0.3">
      <c r="G34906" s="1"/>
      <c r="N34906" s="1"/>
    </row>
    <row r="34907" spans="7:14" x14ac:dyDescent="0.3">
      <c r="G34907" s="1"/>
      <c r="N34907" s="1"/>
    </row>
    <row r="34908" spans="7:14" x14ac:dyDescent="0.3">
      <c r="G34908" s="1"/>
      <c r="N34908" s="1"/>
    </row>
    <row r="34909" spans="7:14" x14ac:dyDescent="0.3">
      <c r="G34909" s="1"/>
      <c r="N34909" s="1"/>
    </row>
    <row r="34910" spans="7:14" x14ac:dyDescent="0.3">
      <c r="G34910" s="1"/>
      <c r="N34910" s="1"/>
    </row>
    <row r="34911" spans="7:14" x14ac:dyDescent="0.3">
      <c r="G34911" s="1"/>
      <c r="N34911" s="1"/>
    </row>
    <row r="34912" spans="7:14" x14ac:dyDescent="0.3">
      <c r="G34912" s="1"/>
      <c r="N34912" s="1"/>
    </row>
    <row r="34913" spans="7:14" x14ac:dyDescent="0.3">
      <c r="G34913" s="1"/>
      <c r="N34913" s="1"/>
    </row>
    <row r="34914" spans="7:14" x14ac:dyDescent="0.3">
      <c r="G34914" s="1"/>
      <c r="N34914" s="1"/>
    </row>
    <row r="34915" spans="7:14" x14ac:dyDescent="0.3">
      <c r="G34915" s="1"/>
      <c r="N34915" s="1"/>
    </row>
    <row r="34916" spans="7:14" x14ac:dyDescent="0.3">
      <c r="G34916" s="1"/>
      <c r="N34916" s="1"/>
    </row>
    <row r="34917" spans="7:14" x14ac:dyDescent="0.3">
      <c r="G34917" s="1"/>
      <c r="N34917" s="1"/>
    </row>
    <row r="34918" spans="7:14" x14ac:dyDescent="0.3">
      <c r="G34918" s="1"/>
      <c r="N34918" s="1"/>
    </row>
    <row r="34919" spans="7:14" x14ac:dyDescent="0.3">
      <c r="G34919" s="1"/>
      <c r="N34919" s="1"/>
    </row>
    <row r="34920" spans="7:14" x14ac:dyDescent="0.3">
      <c r="G34920" s="1"/>
      <c r="N34920" s="1"/>
    </row>
    <row r="34921" spans="7:14" x14ac:dyDescent="0.3">
      <c r="G34921" s="1"/>
      <c r="N34921" s="1"/>
    </row>
    <row r="34922" spans="7:14" x14ac:dyDescent="0.3">
      <c r="G34922" s="1"/>
      <c r="N34922" s="1"/>
    </row>
    <row r="34923" spans="7:14" x14ac:dyDescent="0.3">
      <c r="G34923" s="1"/>
      <c r="N34923" s="1"/>
    </row>
    <row r="34924" spans="7:14" x14ac:dyDescent="0.3">
      <c r="G34924" s="1"/>
      <c r="N34924" s="1"/>
    </row>
    <row r="34925" spans="7:14" x14ac:dyDescent="0.3">
      <c r="G34925" s="1"/>
      <c r="N34925" s="1"/>
    </row>
    <row r="34926" spans="7:14" x14ac:dyDescent="0.3">
      <c r="G34926" s="1"/>
      <c r="N34926" s="1"/>
    </row>
    <row r="34927" spans="7:14" x14ac:dyDescent="0.3">
      <c r="G34927" s="1"/>
      <c r="N34927" s="1"/>
    </row>
    <row r="34928" spans="7:14" x14ac:dyDescent="0.3">
      <c r="G34928" s="1"/>
      <c r="N34928" s="1"/>
    </row>
    <row r="34929" spans="7:14" x14ac:dyDescent="0.3">
      <c r="G34929" s="1"/>
      <c r="N34929" s="1"/>
    </row>
    <row r="34930" spans="7:14" x14ac:dyDescent="0.3">
      <c r="G34930" s="1"/>
      <c r="N34930" s="1"/>
    </row>
    <row r="34931" spans="7:14" x14ac:dyDescent="0.3">
      <c r="G34931" s="1"/>
      <c r="N34931" s="1"/>
    </row>
    <row r="34932" spans="7:14" x14ac:dyDescent="0.3">
      <c r="G34932" s="1"/>
      <c r="N34932" s="1"/>
    </row>
    <row r="34933" spans="7:14" x14ac:dyDescent="0.3">
      <c r="G34933" s="1"/>
      <c r="N34933" s="1"/>
    </row>
    <row r="34934" spans="7:14" x14ac:dyDescent="0.3">
      <c r="G34934" s="1"/>
      <c r="N34934" s="1"/>
    </row>
    <row r="34935" spans="7:14" x14ac:dyDescent="0.3">
      <c r="G34935" s="1"/>
      <c r="N34935" s="1"/>
    </row>
    <row r="34936" spans="7:14" x14ac:dyDescent="0.3">
      <c r="G34936" s="1"/>
      <c r="N34936" s="1"/>
    </row>
    <row r="34937" spans="7:14" x14ac:dyDescent="0.3">
      <c r="G34937" s="1"/>
      <c r="N34937" s="1"/>
    </row>
    <row r="34938" spans="7:14" x14ac:dyDescent="0.3">
      <c r="G34938" s="1"/>
      <c r="N34938" s="1"/>
    </row>
    <row r="34939" spans="7:14" x14ac:dyDescent="0.3">
      <c r="G34939" s="1"/>
      <c r="N34939" s="1"/>
    </row>
    <row r="34940" spans="7:14" x14ac:dyDescent="0.3">
      <c r="G34940" s="1"/>
      <c r="N34940" s="1"/>
    </row>
    <row r="34941" spans="7:14" x14ac:dyDescent="0.3">
      <c r="G34941" s="1"/>
      <c r="N34941" s="1"/>
    </row>
    <row r="34942" spans="7:14" x14ac:dyDescent="0.3">
      <c r="G34942" s="1"/>
      <c r="N34942" s="1"/>
    </row>
    <row r="34943" spans="7:14" x14ac:dyDescent="0.3">
      <c r="G34943" s="1"/>
      <c r="N34943" s="1"/>
    </row>
    <row r="34944" spans="7:14" x14ac:dyDescent="0.3">
      <c r="G34944" s="1"/>
      <c r="N34944" s="1"/>
    </row>
    <row r="34945" spans="7:14" x14ac:dyDescent="0.3">
      <c r="G34945" s="1"/>
      <c r="N34945" s="1"/>
    </row>
    <row r="34946" spans="7:14" x14ac:dyDescent="0.3">
      <c r="G34946" s="1"/>
      <c r="N34946" s="1"/>
    </row>
    <row r="34947" spans="7:14" x14ac:dyDescent="0.3">
      <c r="G34947" s="1"/>
      <c r="N34947" s="1"/>
    </row>
    <row r="34948" spans="7:14" x14ac:dyDescent="0.3">
      <c r="G34948" s="1"/>
      <c r="N34948" s="1"/>
    </row>
    <row r="34949" spans="7:14" x14ac:dyDescent="0.3">
      <c r="G34949" s="1"/>
      <c r="N34949" s="1"/>
    </row>
    <row r="34950" spans="7:14" x14ac:dyDescent="0.3">
      <c r="G34950" s="1"/>
      <c r="N34950" s="1"/>
    </row>
    <row r="34951" spans="7:14" x14ac:dyDescent="0.3">
      <c r="G34951" s="1"/>
      <c r="N34951" s="1"/>
    </row>
    <row r="34952" spans="7:14" x14ac:dyDescent="0.3">
      <c r="G34952" s="1"/>
      <c r="N34952" s="1"/>
    </row>
    <row r="34953" spans="7:14" x14ac:dyDescent="0.3">
      <c r="G34953" s="1"/>
      <c r="N34953" s="1"/>
    </row>
    <row r="34954" spans="7:14" x14ac:dyDescent="0.3">
      <c r="G34954" s="1"/>
      <c r="N34954" s="1"/>
    </row>
    <row r="34955" spans="7:14" x14ac:dyDescent="0.3">
      <c r="G34955" s="1"/>
      <c r="N34955" s="1"/>
    </row>
    <row r="34956" spans="7:14" x14ac:dyDescent="0.3">
      <c r="G34956" s="1"/>
      <c r="N34956" s="1"/>
    </row>
    <row r="34957" spans="7:14" x14ac:dyDescent="0.3">
      <c r="G34957" s="1"/>
      <c r="N34957" s="1"/>
    </row>
    <row r="34958" spans="7:14" x14ac:dyDescent="0.3">
      <c r="G34958" s="1"/>
      <c r="N34958" s="1"/>
    </row>
    <row r="34959" spans="7:14" x14ac:dyDescent="0.3">
      <c r="G34959" s="1"/>
      <c r="N34959" s="1"/>
    </row>
    <row r="34960" spans="7:14" x14ac:dyDescent="0.3">
      <c r="G34960" s="1"/>
      <c r="N34960" s="1"/>
    </row>
    <row r="34961" spans="7:14" x14ac:dyDescent="0.3">
      <c r="G34961" s="1"/>
      <c r="N34961" s="1"/>
    </row>
    <row r="34962" spans="7:14" x14ac:dyDescent="0.3">
      <c r="G34962" s="1"/>
      <c r="N34962" s="1"/>
    </row>
    <row r="34963" spans="7:14" x14ac:dyDescent="0.3">
      <c r="G34963" s="1"/>
      <c r="N34963" s="1"/>
    </row>
    <row r="34964" spans="7:14" x14ac:dyDescent="0.3">
      <c r="G34964" s="1"/>
      <c r="N34964" s="1"/>
    </row>
    <row r="34965" spans="7:14" x14ac:dyDescent="0.3">
      <c r="G34965" s="1"/>
      <c r="N34965" s="1"/>
    </row>
    <row r="34966" spans="7:14" x14ac:dyDescent="0.3">
      <c r="G34966" s="1"/>
      <c r="N34966" s="1"/>
    </row>
    <row r="34967" spans="7:14" x14ac:dyDescent="0.3">
      <c r="G34967" s="1"/>
      <c r="N34967" s="1"/>
    </row>
    <row r="34968" spans="7:14" x14ac:dyDescent="0.3">
      <c r="G34968" s="1"/>
      <c r="N34968" s="1"/>
    </row>
    <row r="34969" spans="7:14" x14ac:dyDescent="0.3">
      <c r="G34969" s="1"/>
      <c r="N34969" s="1"/>
    </row>
    <row r="34970" spans="7:14" x14ac:dyDescent="0.3">
      <c r="G34970" s="1"/>
      <c r="N34970" s="1"/>
    </row>
    <row r="34971" spans="7:14" x14ac:dyDescent="0.3">
      <c r="G34971" s="1"/>
      <c r="N34971" s="1"/>
    </row>
    <row r="34972" spans="7:14" x14ac:dyDescent="0.3">
      <c r="G34972" s="1"/>
      <c r="N34972" s="1"/>
    </row>
    <row r="34973" spans="7:14" x14ac:dyDescent="0.3">
      <c r="G34973" s="1"/>
      <c r="N34973" s="1"/>
    </row>
    <row r="34974" spans="7:14" x14ac:dyDescent="0.3">
      <c r="G34974" s="1"/>
      <c r="N34974" s="1"/>
    </row>
    <row r="34975" spans="7:14" x14ac:dyDescent="0.3">
      <c r="G34975" s="1"/>
      <c r="N34975" s="1"/>
    </row>
    <row r="34976" spans="7:14" x14ac:dyDescent="0.3">
      <c r="G34976" s="1"/>
      <c r="N34976" s="1"/>
    </row>
    <row r="34977" spans="7:14" x14ac:dyDescent="0.3">
      <c r="G34977" s="1"/>
      <c r="N34977" s="1"/>
    </row>
    <row r="34978" spans="7:14" x14ac:dyDescent="0.3">
      <c r="G34978" s="1"/>
      <c r="N34978" s="1"/>
    </row>
    <row r="34979" spans="7:14" x14ac:dyDescent="0.3">
      <c r="G34979" s="1"/>
      <c r="N34979" s="1"/>
    </row>
    <row r="34980" spans="7:14" x14ac:dyDescent="0.3">
      <c r="G34980" s="1"/>
      <c r="N34980" s="1"/>
    </row>
    <row r="34981" spans="7:14" x14ac:dyDescent="0.3">
      <c r="G34981" s="1"/>
      <c r="N34981" s="1"/>
    </row>
    <row r="34982" spans="7:14" x14ac:dyDescent="0.3">
      <c r="G34982" s="1"/>
      <c r="N34982" s="1"/>
    </row>
    <row r="34983" spans="7:14" x14ac:dyDescent="0.3">
      <c r="G34983" s="1"/>
      <c r="N34983" s="1"/>
    </row>
    <row r="34984" spans="7:14" x14ac:dyDescent="0.3">
      <c r="G34984" s="1"/>
      <c r="N34984" s="1"/>
    </row>
    <row r="34985" spans="7:14" x14ac:dyDescent="0.3">
      <c r="G34985" s="1"/>
      <c r="N34985" s="1"/>
    </row>
    <row r="34986" spans="7:14" x14ac:dyDescent="0.3">
      <c r="G34986" s="1"/>
      <c r="N34986" s="1"/>
    </row>
    <row r="34987" spans="7:14" x14ac:dyDescent="0.3">
      <c r="G34987" s="1"/>
      <c r="N34987" s="1"/>
    </row>
    <row r="34988" spans="7:14" x14ac:dyDescent="0.3">
      <c r="G34988" s="1"/>
      <c r="N34988" s="1"/>
    </row>
    <row r="34989" spans="7:14" x14ac:dyDescent="0.3">
      <c r="G34989" s="1"/>
      <c r="N34989" s="1"/>
    </row>
    <row r="34990" spans="7:14" x14ac:dyDescent="0.3">
      <c r="G34990" s="1"/>
      <c r="N34990" s="1"/>
    </row>
    <row r="34991" spans="7:14" x14ac:dyDescent="0.3">
      <c r="G34991" s="1"/>
      <c r="N34991" s="1"/>
    </row>
    <row r="34992" spans="7:14" x14ac:dyDescent="0.3">
      <c r="G34992" s="1"/>
      <c r="N34992" s="1"/>
    </row>
    <row r="34993" spans="7:14" x14ac:dyDescent="0.3">
      <c r="G34993" s="1"/>
      <c r="N34993" s="1"/>
    </row>
    <row r="34994" spans="7:14" x14ac:dyDescent="0.3">
      <c r="G34994" s="1"/>
      <c r="N34994" s="1"/>
    </row>
    <row r="34995" spans="7:14" x14ac:dyDescent="0.3">
      <c r="G34995" s="1"/>
      <c r="N34995" s="1"/>
    </row>
    <row r="34996" spans="7:14" x14ac:dyDescent="0.3">
      <c r="G34996" s="1"/>
      <c r="N34996" s="1"/>
    </row>
    <row r="34997" spans="7:14" x14ac:dyDescent="0.3">
      <c r="G34997" s="1"/>
      <c r="N34997" s="1"/>
    </row>
    <row r="34998" spans="7:14" x14ac:dyDescent="0.3">
      <c r="G34998" s="1"/>
      <c r="N34998" s="1"/>
    </row>
    <row r="34999" spans="7:14" x14ac:dyDescent="0.3">
      <c r="G34999" s="1"/>
      <c r="N34999" s="1"/>
    </row>
    <row r="35000" spans="7:14" x14ac:dyDescent="0.3">
      <c r="G35000" s="1"/>
      <c r="N35000" s="1"/>
    </row>
    <row r="35001" spans="7:14" x14ac:dyDescent="0.3">
      <c r="G35001" s="1"/>
      <c r="N35001" s="1"/>
    </row>
    <row r="35002" spans="7:14" x14ac:dyDescent="0.3">
      <c r="G35002" s="1"/>
      <c r="N35002" s="1"/>
    </row>
    <row r="35003" spans="7:14" x14ac:dyDescent="0.3">
      <c r="G35003" s="1"/>
      <c r="N35003" s="1"/>
    </row>
    <row r="35004" spans="7:14" x14ac:dyDescent="0.3">
      <c r="G35004" s="1"/>
      <c r="N35004" s="1"/>
    </row>
    <row r="35005" spans="7:14" x14ac:dyDescent="0.3">
      <c r="G35005" s="1"/>
      <c r="N35005" s="1"/>
    </row>
    <row r="35006" spans="7:14" x14ac:dyDescent="0.3">
      <c r="G35006" s="1"/>
      <c r="N35006" s="1"/>
    </row>
    <row r="35007" spans="7:14" x14ac:dyDescent="0.3">
      <c r="G35007" s="1"/>
      <c r="N35007" s="1"/>
    </row>
    <row r="35008" spans="7:14" x14ac:dyDescent="0.3">
      <c r="G35008" s="1"/>
      <c r="N35008" s="1"/>
    </row>
    <row r="35009" spans="7:14" x14ac:dyDescent="0.3">
      <c r="G35009" s="1"/>
      <c r="N35009" s="1"/>
    </row>
    <row r="35010" spans="7:14" x14ac:dyDescent="0.3">
      <c r="G35010" s="1"/>
      <c r="N35010" s="1"/>
    </row>
    <row r="35011" spans="7:14" x14ac:dyDescent="0.3">
      <c r="G35011" s="1"/>
      <c r="N35011" s="1"/>
    </row>
    <row r="35012" spans="7:14" x14ac:dyDescent="0.3">
      <c r="G35012" s="1"/>
      <c r="N35012" s="1"/>
    </row>
    <row r="35013" spans="7:14" x14ac:dyDescent="0.3">
      <c r="G35013" s="1"/>
      <c r="N35013" s="1"/>
    </row>
    <row r="35014" spans="7:14" x14ac:dyDescent="0.3">
      <c r="G35014" s="1"/>
      <c r="N35014" s="1"/>
    </row>
    <row r="35015" spans="7:14" x14ac:dyDescent="0.3">
      <c r="G35015" s="1"/>
      <c r="N35015" s="1"/>
    </row>
    <row r="35016" spans="7:14" x14ac:dyDescent="0.3">
      <c r="G35016" s="1"/>
      <c r="N35016" s="1"/>
    </row>
    <row r="35017" spans="7:14" x14ac:dyDescent="0.3">
      <c r="G35017" s="1"/>
      <c r="N35017" s="1"/>
    </row>
    <row r="35018" spans="7:14" x14ac:dyDescent="0.3">
      <c r="G35018" s="1"/>
      <c r="N35018" s="1"/>
    </row>
    <row r="35019" spans="7:14" x14ac:dyDescent="0.3">
      <c r="G35019" s="1"/>
      <c r="N35019" s="1"/>
    </row>
    <row r="35020" spans="7:14" x14ac:dyDescent="0.3">
      <c r="G35020" s="1"/>
      <c r="N35020" s="1"/>
    </row>
    <row r="35021" spans="7:14" x14ac:dyDescent="0.3">
      <c r="G35021" s="1"/>
      <c r="N35021" s="1"/>
    </row>
    <row r="35022" spans="7:14" x14ac:dyDescent="0.3">
      <c r="G35022" s="1"/>
      <c r="N35022" s="1"/>
    </row>
    <row r="35023" spans="7:14" x14ac:dyDescent="0.3">
      <c r="G35023" s="1"/>
      <c r="N35023" s="1"/>
    </row>
    <row r="35024" spans="7:14" x14ac:dyDescent="0.3">
      <c r="G35024" s="1"/>
      <c r="N35024" s="1"/>
    </row>
    <row r="35025" spans="7:14" x14ac:dyDescent="0.3">
      <c r="G35025" s="1"/>
      <c r="N35025" s="1"/>
    </row>
    <row r="35026" spans="7:14" x14ac:dyDescent="0.3">
      <c r="G35026" s="1"/>
      <c r="N35026" s="1"/>
    </row>
    <row r="35027" spans="7:14" x14ac:dyDescent="0.3">
      <c r="G35027" s="1"/>
      <c r="N35027" s="1"/>
    </row>
    <row r="35028" spans="7:14" x14ac:dyDescent="0.3">
      <c r="G35028" s="1"/>
      <c r="N35028" s="1"/>
    </row>
    <row r="35029" spans="7:14" x14ac:dyDescent="0.3">
      <c r="G35029" s="1"/>
      <c r="N35029" s="1"/>
    </row>
    <row r="35030" spans="7:14" x14ac:dyDescent="0.3">
      <c r="G35030" s="1"/>
      <c r="N35030" s="1"/>
    </row>
    <row r="35031" spans="7:14" x14ac:dyDescent="0.3">
      <c r="G35031" s="1"/>
      <c r="N35031" s="1"/>
    </row>
    <row r="35032" spans="7:14" x14ac:dyDescent="0.3">
      <c r="G35032" s="1"/>
      <c r="N35032" s="1"/>
    </row>
    <row r="35033" spans="7:14" x14ac:dyDescent="0.3">
      <c r="G35033" s="1"/>
      <c r="N35033" s="1"/>
    </row>
    <row r="35034" spans="7:14" x14ac:dyDescent="0.3">
      <c r="G35034" s="1"/>
      <c r="N35034" s="1"/>
    </row>
    <row r="35035" spans="7:14" x14ac:dyDescent="0.3">
      <c r="G35035" s="1"/>
      <c r="N35035" s="1"/>
    </row>
    <row r="35036" spans="7:14" x14ac:dyDescent="0.3">
      <c r="G35036" s="1"/>
      <c r="N35036" s="1"/>
    </row>
    <row r="35037" spans="7:14" x14ac:dyDescent="0.3">
      <c r="G35037" s="1"/>
      <c r="N35037" s="1"/>
    </row>
    <row r="35038" spans="7:14" x14ac:dyDescent="0.3">
      <c r="G35038" s="1"/>
      <c r="N35038" s="1"/>
    </row>
    <row r="35039" spans="7:14" x14ac:dyDescent="0.3">
      <c r="G35039" s="1"/>
      <c r="N35039" s="1"/>
    </row>
    <row r="35040" spans="7:14" x14ac:dyDescent="0.3">
      <c r="G35040" s="1"/>
      <c r="N35040" s="1"/>
    </row>
    <row r="35041" spans="7:14" x14ac:dyDescent="0.3">
      <c r="G35041" s="1"/>
      <c r="N35041" s="1"/>
    </row>
    <row r="35042" spans="7:14" x14ac:dyDescent="0.3">
      <c r="G35042" s="1"/>
      <c r="N35042" s="1"/>
    </row>
    <row r="35043" spans="7:14" x14ac:dyDescent="0.3">
      <c r="G35043" s="1"/>
      <c r="N35043" s="1"/>
    </row>
    <row r="35044" spans="7:14" x14ac:dyDescent="0.3">
      <c r="G35044" s="1"/>
      <c r="N35044" s="1"/>
    </row>
    <row r="35045" spans="7:14" x14ac:dyDescent="0.3">
      <c r="G35045" s="1"/>
      <c r="N35045" s="1"/>
    </row>
    <row r="35046" spans="7:14" x14ac:dyDescent="0.3">
      <c r="G35046" s="1"/>
      <c r="N35046" s="1"/>
    </row>
    <row r="35047" spans="7:14" x14ac:dyDescent="0.3">
      <c r="G35047" s="1"/>
      <c r="N35047" s="1"/>
    </row>
    <row r="35048" spans="7:14" x14ac:dyDescent="0.3">
      <c r="G35048" s="1"/>
      <c r="N35048" s="1"/>
    </row>
    <row r="35049" spans="7:14" x14ac:dyDescent="0.3">
      <c r="G35049" s="1"/>
      <c r="N35049" s="1"/>
    </row>
    <row r="35050" spans="7:14" x14ac:dyDescent="0.3">
      <c r="G35050" s="1"/>
      <c r="N35050" s="1"/>
    </row>
    <row r="35051" spans="7:14" x14ac:dyDescent="0.3">
      <c r="G35051" s="1"/>
      <c r="N35051" s="1"/>
    </row>
    <row r="35052" spans="7:14" x14ac:dyDescent="0.3">
      <c r="G35052" s="1"/>
      <c r="N35052" s="1"/>
    </row>
    <row r="35053" spans="7:14" x14ac:dyDescent="0.3">
      <c r="G35053" s="1"/>
      <c r="N35053" s="1"/>
    </row>
    <row r="35054" spans="7:14" x14ac:dyDescent="0.3">
      <c r="G35054" s="1"/>
      <c r="N35054" s="1"/>
    </row>
    <row r="35055" spans="7:14" x14ac:dyDescent="0.3">
      <c r="G35055" s="1"/>
      <c r="N35055" s="1"/>
    </row>
    <row r="35056" spans="7:14" x14ac:dyDescent="0.3">
      <c r="G35056" s="1"/>
      <c r="N35056" s="1"/>
    </row>
    <row r="35057" spans="7:14" x14ac:dyDescent="0.3">
      <c r="G35057" s="1"/>
      <c r="N35057" s="1"/>
    </row>
    <row r="35058" spans="7:14" x14ac:dyDescent="0.3">
      <c r="G35058" s="1"/>
      <c r="N35058" s="1"/>
    </row>
    <row r="35059" spans="7:14" x14ac:dyDescent="0.3">
      <c r="G35059" s="1"/>
      <c r="N35059" s="1"/>
    </row>
    <row r="35060" spans="7:14" x14ac:dyDescent="0.3">
      <c r="G35060" s="1"/>
      <c r="N35060" s="1"/>
    </row>
    <row r="35061" spans="7:14" x14ac:dyDescent="0.3">
      <c r="G35061" s="1"/>
      <c r="N35061" s="1"/>
    </row>
    <row r="35062" spans="7:14" x14ac:dyDescent="0.3">
      <c r="G35062" s="1"/>
      <c r="N35062" s="1"/>
    </row>
    <row r="35063" spans="7:14" x14ac:dyDescent="0.3">
      <c r="G35063" s="1"/>
      <c r="N35063" s="1"/>
    </row>
    <row r="35064" spans="7:14" x14ac:dyDescent="0.3">
      <c r="G35064" s="1"/>
      <c r="N35064" s="1"/>
    </row>
    <row r="35065" spans="7:14" x14ac:dyDescent="0.3">
      <c r="G35065" s="1"/>
      <c r="N35065" s="1"/>
    </row>
    <row r="35066" spans="7:14" x14ac:dyDescent="0.3">
      <c r="G35066" s="1"/>
      <c r="N35066" s="1"/>
    </row>
    <row r="35067" spans="7:14" x14ac:dyDescent="0.3">
      <c r="G35067" s="1"/>
      <c r="N35067" s="1"/>
    </row>
    <row r="35068" spans="7:14" x14ac:dyDescent="0.3">
      <c r="G35068" s="1"/>
      <c r="N35068" s="1"/>
    </row>
    <row r="35069" spans="7:14" x14ac:dyDescent="0.3">
      <c r="G35069" s="1"/>
      <c r="N35069" s="1"/>
    </row>
    <row r="35070" spans="7:14" x14ac:dyDescent="0.3">
      <c r="G35070" s="1"/>
      <c r="N35070" s="1"/>
    </row>
    <row r="35071" spans="7:14" x14ac:dyDescent="0.3">
      <c r="G35071" s="1"/>
      <c r="N35071" s="1"/>
    </row>
    <row r="35072" spans="7:14" x14ac:dyDescent="0.3">
      <c r="G35072" s="1"/>
      <c r="N35072" s="1"/>
    </row>
    <row r="35073" spans="7:14" x14ac:dyDescent="0.3">
      <c r="G35073" s="1"/>
      <c r="N35073" s="1"/>
    </row>
    <row r="35074" spans="7:14" x14ac:dyDescent="0.3">
      <c r="G35074" s="1"/>
      <c r="N35074" s="1"/>
    </row>
    <row r="35075" spans="7:14" x14ac:dyDescent="0.3">
      <c r="G35075" s="1"/>
      <c r="N35075" s="1"/>
    </row>
    <row r="35076" spans="7:14" x14ac:dyDescent="0.3">
      <c r="G35076" s="1"/>
      <c r="N35076" s="1"/>
    </row>
    <row r="35077" spans="7:14" x14ac:dyDescent="0.3">
      <c r="G35077" s="1"/>
      <c r="N35077" s="1"/>
    </row>
    <row r="35078" spans="7:14" x14ac:dyDescent="0.3">
      <c r="G35078" s="1"/>
      <c r="N35078" s="1"/>
    </row>
    <row r="35079" spans="7:14" x14ac:dyDescent="0.3">
      <c r="G35079" s="1"/>
      <c r="N35079" s="1"/>
    </row>
    <row r="35080" spans="7:14" x14ac:dyDescent="0.3">
      <c r="G35080" s="1"/>
      <c r="N35080" s="1"/>
    </row>
    <row r="35081" spans="7:14" x14ac:dyDescent="0.3">
      <c r="G35081" s="1"/>
      <c r="N35081" s="1"/>
    </row>
    <row r="35082" spans="7:14" x14ac:dyDescent="0.3">
      <c r="G35082" s="1"/>
      <c r="N35082" s="1"/>
    </row>
    <row r="35083" spans="7:14" x14ac:dyDescent="0.3">
      <c r="G35083" s="1"/>
      <c r="N35083" s="1"/>
    </row>
    <row r="35084" spans="7:14" x14ac:dyDescent="0.3">
      <c r="G35084" s="1"/>
      <c r="N35084" s="1"/>
    </row>
    <row r="35085" spans="7:14" x14ac:dyDescent="0.3">
      <c r="G35085" s="1"/>
      <c r="N35085" s="1"/>
    </row>
    <row r="35086" spans="7:14" x14ac:dyDescent="0.3">
      <c r="G35086" s="1"/>
      <c r="N35086" s="1"/>
    </row>
    <row r="35087" spans="7:14" x14ac:dyDescent="0.3">
      <c r="G35087" s="1"/>
      <c r="N35087" s="1"/>
    </row>
    <row r="35088" spans="7:14" x14ac:dyDescent="0.3">
      <c r="G35088" s="1"/>
      <c r="N35088" s="1"/>
    </row>
    <row r="35089" spans="7:14" x14ac:dyDescent="0.3">
      <c r="G35089" s="1"/>
      <c r="N35089" s="1"/>
    </row>
    <row r="35090" spans="7:14" x14ac:dyDescent="0.3">
      <c r="G35090" s="1"/>
      <c r="N35090" s="1"/>
    </row>
    <row r="35091" spans="7:14" x14ac:dyDescent="0.3">
      <c r="G35091" s="1"/>
      <c r="N35091" s="1"/>
    </row>
    <row r="35092" spans="7:14" x14ac:dyDescent="0.3">
      <c r="G35092" s="1"/>
      <c r="N35092" s="1"/>
    </row>
    <row r="35093" spans="7:14" x14ac:dyDescent="0.3">
      <c r="G35093" s="1"/>
      <c r="N35093" s="1"/>
    </row>
    <row r="35094" spans="7:14" x14ac:dyDescent="0.3">
      <c r="G35094" s="1"/>
      <c r="N35094" s="1"/>
    </row>
    <row r="35095" spans="7:14" x14ac:dyDescent="0.3">
      <c r="G35095" s="1"/>
      <c r="N35095" s="1"/>
    </row>
    <row r="35096" spans="7:14" x14ac:dyDescent="0.3">
      <c r="G35096" s="1"/>
      <c r="N35096" s="1"/>
    </row>
    <row r="35097" spans="7:14" x14ac:dyDescent="0.3">
      <c r="G35097" s="1"/>
      <c r="N35097" s="1"/>
    </row>
    <row r="35098" spans="7:14" x14ac:dyDescent="0.3">
      <c r="G35098" s="1"/>
      <c r="N35098" s="1"/>
    </row>
    <row r="35099" spans="7:14" x14ac:dyDescent="0.3">
      <c r="G35099" s="1"/>
      <c r="N35099" s="1"/>
    </row>
    <row r="35100" spans="7:14" x14ac:dyDescent="0.3">
      <c r="G35100" s="1"/>
      <c r="N35100" s="1"/>
    </row>
    <row r="35101" spans="7:14" x14ac:dyDescent="0.3">
      <c r="G35101" s="1"/>
      <c r="N35101" s="1"/>
    </row>
    <row r="35102" spans="7:14" x14ac:dyDescent="0.3">
      <c r="G35102" s="1"/>
      <c r="N35102" s="1"/>
    </row>
    <row r="35103" spans="7:14" x14ac:dyDescent="0.3">
      <c r="G35103" s="1"/>
      <c r="N35103" s="1"/>
    </row>
    <row r="35104" spans="7:14" x14ac:dyDescent="0.3">
      <c r="G35104" s="1"/>
      <c r="N35104" s="1"/>
    </row>
    <row r="35105" spans="7:14" x14ac:dyDescent="0.3">
      <c r="G35105" s="1"/>
      <c r="N35105" s="1"/>
    </row>
    <row r="35106" spans="7:14" x14ac:dyDescent="0.3">
      <c r="G35106" s="1"/>
      <c r="N35106" s="1"/>
    </row>
    <row r="35107" spans="7:14" x14ac:dyDescent="0.3">
      <c r="G35107" s="1"/>
      <c r="N35107" s="1"/>
    </row>
    <row r="35108" spans="7:14" x14ac:dyDescent="0.3">
      <c r="G35108" s="1"/>
      <c r="N35108" s="1"/>
    </row>
    <row r="35109" spans="7:14" x14ac:dyDescent="0.3">
      <c r="G35109" s="1"/>
      <c r="N35109" s="1"/>
    </row>
    <row r="35110" spans="7:14" x14ac:dyDescent="0.3">
      <c r="G35110" s="1"/>
      <c r="N35110" s="1"/>
    </row>
    <row r="35111" spans="7:14" x14ac:dyDescent="0.3">
      <c r="G35111" s="1"/>
      <c r="N35111" s="1"/>
    </row>
    <row r="35112" spans="7:14" x14ac:dyDescent="0.3">
      <c r="G35112" s="1"/>
      <c r="N35112" s="1"/>
    </row>
    <row r="35113" spans="7:14" x14ac:dyDescent="0.3">
      <c r="G35113" s="1"/>
      <c r="N35113" s="1"/>
    </row>
    <row r="35114" spans="7:14" x14ac:dyDescent="0.3">
      <c r="G35114" s="1"/>
      <c r="N35114" s="1"/>
    </row>
    <row r="35115" spans="7:14" x14ac:dyDescent="0.3">
      <c r="G35115" s="1"/>
      <c r="N35115" s="1"/>
    </row>
    <row r="35116" spans="7:14" x14ac:dyDescent="0.3">
      <c r="G35116" s="1"/>
      <c r="N35116" s="1"/>
    </row>
    <row r="35117" spans="7:14" x14ac:dyDescent="0.3">
      <c r="G35117" s="1"/>
      <c r="N35117" s="1"/>
    </row>
    <row r="35118" spans="7:14" x14ac:dyDescent="0.3">
      <c r="G35118" s="1"/>
      <c r="N35118" s="1"/>
    </row>
    <row r="35119" spans="7:14" x14ac:dyDescent="0.3">
      <c r="G35119" s="1"/>
      <c r="N35119" s="1"/>
    </row>
    <row r="35120" spans="7:14" x14ac:dyDescent="0.3">
      <c r="G35120" s="1"/>
      <c r="N35120" s="1"/>
    </row>
    <row r="35121" spans="7:14" x14ac:dyDescent="0.3">
      <c r="G35121" s="1"/>
      <c r="N35121" s="1"/>
    </row>
    <row r="35122" spans="7:14" x14ac:dyDescent="0.3">
      <c r="G35122" s="1"/>
      <c r="N35122" s="1"/>
    </row>
    <row r="35123" spans="7:14" x14ac:dyDescent="0.3">
      <c r="G35123" s="1"/>
      <c r="N35123" s="1"/>
    </row>
    <row r="35124" spans="7:14" x14ac:dyDescent="0.3">
      <c r="G35124" s="1"/>
      <c r="N35124" s="1"/>
    </row>
    <row r="35125" spans="7:14" x14ac:dyDescent="0.3">
      <c r="G35125" s="1"/>
      <c r="N35125" s="1"/>
    </row>
    <row r="35126" spans="7:14" x14ac:dyDescent="0.3">
      <c r="G35126" s="1"/>
      <c r="N35126" s="1"/>
    </row>
    <row r="35127" spans="7:14" x14ac:dyDescent="0.3">
      <c r="G35127" s="1"/>
      <c r="N35127" s="1"/>
    </row>
    <row r="35128" spans="7:14" x14ac:dyDescent="0.3">
      <c r="G35128" s="1"/>
      <c r="N35128" s="1"/>
    </row>
    <row r="35129" spans="7:14" x14ac:dyDescent="0.3">
      <c r="G35129" s="1"/>
      <c r="N35129" s="1"/>
    </row>
    <row r="35130" spans="7:14" x14ac:dyDescent="0.3">
      <c r="G35130" s="1"/>
      <c r="N35130" s="1"/>
    </row>
    <row r="35131" spans="7:14" x14ac:dyDescent="0.3">
      <c r="G35131" s="1"/>
      <c r="N35131" s="1"/>
    </row>
    <row r="35132" spans="7:14" x14ac:dyDescent="0.3">
      <c r="G35132" s="1"/>
      <c r="N35132" s="1"/>
    </row>
    <row r="35133" spans="7:14" x14ac:dyDescent="0.3">
      <c r="G35133" s="1"/>
      <c r="N35133" s="1"/>
    </row>
    <row r="35134" spans="7:14" x14ac:dyDescent="0.3">
      <c r="G35134" s="1"/>
      <c r="N35134" s="1"/>
    </row>
    <row r="35135" spans="7:14" x14ac:dyDescent="0.3">
      <c r="G35135" s="1"/>
      <c r="N35135" s="1"/>
    </row>
    <row r="35136" spans="7:14" x14ac:dyDescent="0.3">
      <c r="G35136" s="1"/>
      <c r="N35136" s="1"/>
    </row>
    <row r="35137" spans="7:14" x14ac:dyDescent="0.3">
      <c r="G35137" s="1"/>
      <c r="N35137" s="1"/>
    </row>
    <row r="35138" spans="7:14" x14ac:dyDescent="0.3">
      <c r="G35138" s="1"/>
      <c r="N35138" s="1"/>
    </row>
    <row r="35139" spans="7:14" x14ac:dyDescent="0.3">
      <c r="G35139" s="1"/>
      <c r="N35139" s="1"/>
    </row>
    <row r="35140" spans="7:14" x14ac:dyDescent="0.3">
      <c r="G35140" s="1"/>
      <c r="N35140" s="1"/>
    </row>
    <row r="35141" spans="7:14" x14ac:dyDescent="0.3">
      <c r="G35141" s="1"/>
      <c r="N35141" s="1"/>
    </row>
    <row r="35142" spans="7:14" x14ac:dyDescent="0.3">
      <c r="G35142" s="1"/>
      <c r="N35142" s="1"/>
    </row>
    <row r="35143" spans="7:14" x14ac:dyDescent="0.3">
      <c r="G35143" s="1"/>
      <c r="N35143" s="1"/>
    </row>
    <row r="35144" spans="7:14" x14ac:dyDescent="0.3">
      <c r="G35144" s="1"/>
      <c r="N35144" s="1"/>
    </row>
    <row r="35145" spans="7:14" x14ac:dyDescent="0.3">
      <c r="G35145" s="1"/>
      <c r="N35145" s="1"/>
    </row>
    <row r="35146" spans="7:14" x14ac:dyDescent="0.3">
      <c r="G35146" s="1"/>
      <c r="N35146" s="1"/>
    </row>
    <row r="35147" spans="7:14" x14ac:dyDescent="0.3">
      <c r="G35147" s="1"/>
      <c r="N35147" s="1"/>
    </row>
    <row r="35148" spans="7:14" x14ac:dyDescent="0.3">
      <c r="G35148" s="1"/>
      <c r="N35148" s="1"/>
    </row>
    <row r="35149" spans="7:14" x14ac:dyDescent="0.3">
      <c r="G35149" s="1"/>
      <c r="N35149" s="1"/>
    </row>
    <row r="35150" spans="7:14" x14ac:dyDescent="0.3">
      <c r="G35150" s="1"/>
      <c r="N35150" s="1"/>
    </row>
    <row r="35151" spans="7:14" x14ac:dyDescent="0.3">
      <c r="G35151" s="1"/>
      <c r="N35151" s="1"/>
    </row>
    <row r="35152" spans="7:14" x14ac:dyDescent="0.3">
      <c r="G35152" s="1"/>
      <c r="N35152" s="1"/>
    </row>
    <row r="35153" spans="7:14" x14ac:dyDescent="0.3">
      <c r="G35153" s="1"/>
      <c r="N35153" s="1"/>
    </row>
    <row r="35154" spans="7:14" x14ac:dyDescent="0.3">
      <c r="G35154" s="1"/>
      <c r="N35154" s="1"/>
    </row>
    <row r="35155" spans="7:14" x14ac:dyDescent="0.3">
      <c r="G35155" s="1"/>
      <c r="N35155" s="1"/>
    </row>
    <row r="35156" spans="7:14" x14ac:dyDescent="0.3">
      <c r="G35156" s="1"/>
      <c r="N35156" s="1"/>
    </row>
    <row r="35157" spans="7:14" x14ac:dyDescent="0.3">
      <c r="G35157" s="1"/>
      <c r="N35157" s="1"/>
    </row>
    <row r="35158" spans="7:14" x14ac:dyDescent="0.3">
      <c r="G35158" s="1"/>
      <c r="N35158" s="1"/>
    </row>
    <row r="35159" spans="7:14" x14ac:dyDescent="0.3">
      <c r="G35159" s="1"/>
      <c r="N35159" s="1"/>
    </row>
    <row r="35160" spans="7:14" x14ac:dyDescent="0.3">
      <c r="G35160" s="1"/>
      <c r="N35160" s="1"/>
    </row>
    <row r="35161" spans="7:14" x14ac:dyDescent="0.3">
      <c r="G35161" s="1"/>
      <c r="N35161" s="1"/>
    </row>
    <row r="35162" spans="7:14" x14ac:dyDescent="0.3">
      <c r="G35162" s="1"/>
      <c r="N35162" s="1"/>
    </row>
    <row r="35163" spans="7:14" x14ac:dyDescent="0.3">
      <c r="G35163" s="1"/>
      <c r="N35163" s="1"/>
    </row>
    <row r="35164" spans="7:14" x14ac:dyDescent="0.3">
      <c r="G35164" s="1"/>
      <c r="N35164" s="1"/>
    </row>
    <row r="35165" spans="7:14" x14ac:dyDescent="0.3">
      <c r="G35165" s="1"/>
      <c r="N35165" s="1"/>
    </row>
    <row r="35166" spans="7:14" x14ac:dyDescent="0.3">
      <c r="G35166" s="1"/>
      <c r="N35166" s="1"/>
    </row>
    <row r="35167" spans="7:14" x14ac:dyDescent="0.3">
      <c r="G35167" s="1"/>
      <c r="N35167" s="1"/>
    </row>
    <row r="35168" spans="7:14" x14ac:dyDescent="0.3">
      <c r="G35168" s="1"/>
      <c r="N35168" s="1"/>
    </row>
    <row r="35169" spans="7:14" x14ac:dyDescent="0.3">
      <c r="G35169" s="1"/>
      <c r="N35169" s="1"/>
    </row>
    <row r="35170" spans="7:14" x14ac:dyDescent="0.3">
      <c r="G35170" s="1"/>
      <c r="N35170" s="1"/>
    </row>
    <row r="35171" spans="7:14" x14ac:dyDescent="0.3">
      <c r="G35171" s="1"/>
      <c r="N35171" s="1"/>
    </row>
    <row r="35172" spans="7:14" x14ac:dyDescent="0.3">
      <c r="G35172" s="1"/>
      <c r="N35172" s="1"/>
    </row>
    <row r="35173" spans="7:14" x14ac:dyDescent="0.3">
      <c r="G35173" s="1"/>
      <c r="N35173" s="1"/>
    </row>
    <row r="35174" spans="7:14" x14ac:dyDescent="0.3">
      <c r="G35174" s="1"/>
      <c r="N35174" s="1"/>
    </row>
    <row r="35175" spans="7:14" x14ac:dyDescent="0.3">
      <c r="G35175" s="1"/>
      <c r="N35175" s="1"/>
    </row>
    <row r="35176" spans="7:14" x14ac:dyDescent="0.3">
      <c r="G35176" s="1"/>
      <c r="N35176" s="1"/>
    </row>
    <row r="35177" spans="7:14" x14ac:dyDescent="0.3">
      <c r="G35177" s="1"/>
      <c r="N35177" s="1"/>
    </row>
    <row r="35178" spans="7:14" x14ac:dyDescent="0.3">
      <c r="G35178" s="1"/>
      <c r="N35178" s="1"/>
    </row>
    <row r="35179" spans="7:14" x14ac:dyDescent="0.3">
      <c r="G35179" s="1"/>
      <c r="N35179" s="1"/>
    </row>
    <row r="35180" spans="7:14" x14ac:dyDescent="0.3">
      <c r="G35180" s="1"/>
      <c r="N35180" s="1"/>
    </row>
    <row r="35181" spans="7:14" x14ac:dyDescent="0.3">
      <c r="G35181" s="1"/>
      <c r="N35181" s="1"/>
    </row>
    <row r="35182" spans="7:14" x14ac:dyDescent="0.3">
      <c r="G35182" s="1"/>
      <c r="N35182" s="1"/>
    </row>
    <row r="35183" spans="7:14" x14ac:dyDescent="0.3">
      <c r="G35183" s="1"/>
      <c r="N35183" s="1"/>
    </row>
    <row r="35184" spans="7:14" x14ac:dyDescent="0.3">
      <c r="G35184" s="1"/>
      <c r="N35184" s="1"/>
    </row>
    <row r="35185" spans="7:14" x14ac:dyDescent="0.3">
      <c r="G35185" s="1"/>
      <c r="N35185" s="1"/>
    </row>
    <row r="35186" spans="7:14" x14ac:dyDescent="0.3">
      <c r="G35186" s="1"/>
      <c r="N35186" s="1"/>
    </row>
    <row r="35187" spans="7:14" x14ac:dyDescent="0.3">
      <c r="G35187" s="1"/>
      <c r="N35187" s="1"/>
    </row>
    <row r="35188" spans="7:14" x14ac:dyDescent="0.3">
      <c r="G35188" s="1"/>
      <c r="N35188" s="1"/>
    </row>
    <row r="35189" spans="7:14" x14ac:dyDescent="0.3">
      <c r="G35189" s="1"/>
      <c r="N35189" s="1"/>
    </row>
    <row r="35190" spans="7:14" x14ac:dyDescent="0.3">
      <c r="G35190" s="1"/>
      <c r="N35190" s="1"/>
    </row>
    <row r="35191" spans="7:14" x14ac:dyDescent="0.3">
      <c r="G35191" s="1"/>
      <c r="N35191" s="1"/>
    </row>
    <row r="35192" spans="7:14" x14ac:dyDescent="0.3">
      <c r="G35192" s="1"/>
      <c r="N35192" s="1"/>
    </row>
    <row r="35193" spans="7:14" x14ac:dyDescent="0.3">
      <c r="G35193" s="1"/>
      <c r="N35193" s="1"/>
    </row>
    <row r="35194" spans="7:14" x14ac:dyDescent="0.3">
      <c r="G35194" s="1"/>
      <c r="N35194" s="1"/>
    </row>
    <row r="35195" spans="7:14" x14ac:dyDescent="0.3">
      <c r="G35195" s="1"/>
      <c r="N35195" s="1"/>
    </row>
    <row r="35196" spans="7:14" x14ac:dyDescent="0.3">
      <c r="G35196" s="1"/>
      <c r="N35196" s="1"/>
    </row>
    <row r="35197" spans="7:14" x14ac:dyDescent="0.3">
      <c r="G35197" s="1"/>
      <c r="N35197" s="1"/>
    </row>
    <row r="35198" spans="7:14" x14ac:dyDescent="0.3">
      <c r="G35198" s="1"/>
      <c r="N35198" s="1"/>
    </row>
    <row r="35199" spans="7:14" x14ac:dyDescent="0.3">
      <c r="G35199" s="1"/>
      <c r="N35199" s="1"/>
    </row>
    <row r="35200" spans="7:14" x14ac:dyDescent="0.3">
      <c r="G35200" s="1"/>
      <c r="N35200" s="1"/>
    </row>
    <row r="35201" spans="7:14" x14ac:dyDescent="0.3">
      <c r="G35201" s="1"/>
      <c r="N35201" s="1"/>
    </row>
    <row r="35202" spans="7:14" x14ac:dyDescent="0.3">
      <c r="G35202" s="1"/>
      <c r="N35202" s="1"/>
    </row>
    <row r="35203" spans="7:14" x14ac:dyDescent="0.3">
      <c r="G35203" s="1"/>
      <c r="N35203" s="1"/>
    </row>
    <row r="35204" spans="7:14" x14ac:dyDescent="0.3">
      <c r="G35204" s="1"/>
      <c r="N35204" s="1"/>
    </row>
    <row r="35205" spans="7:14" x14ac:dyDescent="0.3">
      <c r="G35205" s="1"/>
      <c r="N35205" s="1"/>
    </row>
    <row r="35206" spans="7:14" x14ac:dyDescent="0.3">
      <c r="G35206" s="1"/>
      <c r="N35206" s="1"/>
    </row>
    <row r="35207" spans="7:14" x14ac:dyDescent="0.3">
      <c r="G35207" s="1"/>
      <c r="N35207" s="1"/>
    </row>
    <row r="35208" spans="7:14" x14ac:dyDescent="0.3">
      <c r="G35208" s="1"/>
      <c r="N35208" s="1"/>
    </row>
    <row r="35209" spans="7:14" x14ac:dyDescent="0.3">
      <c r="G35209" s="1"/>
      <c r="N35209" s="1"/>
    </row>
    <row r="35210" spans="7:14" x14ac:dyDescent="0.3">
      <c r="G35210" s="1"/>
      <c r="N35210" s="1"/>
    </row>
    <row r="35211" spans="7:14" x14ac:dyDescent="0.3">
      <c r="G35211" s="1"/>
      <c r="N35211" s="1"/>
    </row>
    <row r="35212" spans="7:14" x14ac:dyDescent="0.3">
      <c r="G35212" s="1"/>
      <c r="N35212" s="1"/>
    </row>
    <row r="35213" spans="7:14" x14ac:dyDescent="0.3">
      <c r="G35213" s="1"/>
      <c r="N35213" s="1"/>
    </row>
    <row r="35214" spans="7:14" x14ac:dyDescent="0.3">
      <c r="G35214" s="1"/>
      <c r="N35214" s="1"/>
    </row>
    <row r="35215" spans="7:14" x14ac:dyDescent="0.3">
      <c r="G35215" s="1"/>
      <c r="N35215" s="1"/>
    </row>
    <row r="35216" spans="7:14" x14ac:dyDescent="0.3">
      <c r="G35216" s="1"/>
      <c r="N35216" s="1"/>
    </row>
    <row r="35217" spans="7:14" x14ac:dyDescent="0.3">
      <c r="G35217" s="1"/>
      <c r="N35217" s="1"/>
    </row>
    <row r="35218" spans="7:14" x14ac:dyDescent="0.3">
      <c r="G35218" s="1"/>
      <c r="N35218" s="1"/>
    </row>
    <row r="35219" spans="7:14" x14ac:dyDescent="0.3">
      <c r="G35219" s="1"/>
      <c r="N35219" s="1"/>
    </row>
    <row r="35220" spans="7:14" x14ac:dyDescent="0.3">
      <c r="G35220" s="1"/>
      <c r="N35220" s="1"/>
    </row>
    <row r="35221" spans="7:14" x14ac:dyDescent="0.3">
      <c r="G35221" s="1"/>
      <c r="N35221" s="1"/>
    </row>
    <row r="35222" spans="7:14" x14ac:dyDescent="0.3">
      <c r="G35222" s="1"/>
      <c r="N35222" s="1"/>
    </row>
    <row r="35223" spans="7:14" x14ac:dyDescent="0.3">
      <c r="G35223" s="1"/>
      <c r="N35223" s="1"/>
    </row>
    <row r="35224" spans="7:14" x14ac:dyDescent="0.3">
      <c r="G35224" s="1"/>
      <c r="N35224" s="1"/>
    </row>
    <row r="35225" spans="7:14" x14ac:dyDescent="0.3">
      <c r="G35225" s="1"/>
      <c r="N35225" s="1"/>
    </row>
    <row r="35226" spans="7:14" x14ac:dyDescent="0.3">
      <c r="G35226" s="1"/>
      <c r="N35226" s="1"/>
    </row>
    <row r="35227" spans="7:14" x14ac:dyDescent="0.3">
      <c r="G35227" s="1"/>
      <c r="N35227" s="1"/>
    </row>
    <row r="35228" spans="7:14" x14ac:dyDescent="0.3">
      <c r="G35228" s="1"/>
      <c r="N35228" s="1"/>
    </row>
    <row r="35229" spans="7:14" x14ac:dyDescent="0.3">
      <c r="G35229" s="1"/>
      <c r="N35229" s="1"/>
    </row>
    <row r="35230" spans="7:14" x14ac:dyDescent="0.3">
      <c r="G35230" s="1"/>
      <c r="N35230" s="1"/>
    </row>
    <row r="35231" spans="7:14" x14ac:dyDescent="0.3">
      <c r="G35231" s="1"/>
      <c r="N35231" s="1"/>
    </row>
    <row r="35232" spans="7:14" x14ac:dyDescent="0.3">
      <c r="G35232" s="1"/>
      <c r="N35232" s="1"/>
    </row>
    <row r="35233" spans="7:14" x14ac:dyDescent="0.3">
      <c r="G35233" s="1"/>
      <c r="N35233" s="1"/>
    </row>
    <row r="35234" spans="7:14" x14ac:dyDescent="0.3">
      <c r="G35234" s="1"/>
      <c r="N35234" s="1"/>
    </row>
    <row r="35235" spans="7:14" x14ac:dyDescent="0.3">
      <c r="G35235" s="1"/>
      <c r="N35235" s="1"/>
    </row>
    <row r="35236" spans="7:14" x14ac:dyDescent="0.3">
      <c r="G35236" s="1"/>
      <c r="N35236" s="1"/>
    </row>
    <row r="35237" spans="7:14" x14ac:dyDescent="0.3">
      <c r="G35237" s="1"/>
      <c r="N35237" s="1"/>
    </row>
    <row r="35238" spans="7:14" x14ac:dyDescent="0.3">
      <c r="G35238" s="1"/>
      <c r="N35238" s="1"/>
    </row>
    <row r="35239" spans="7:14" x14ac:dyDescent="0.3">
      <c r="G35239" s="1"/>
      <c r="N35239" s="1"/>
    </row>
    <row r="35240" spans="7:14" x14ac:dyDescent="0.3">
      <c r="G35240" s="1"/>
      <c r="N35240" s="1"/>
    </row>
    <row r="35241" spans="7:14" x14ac:dyDescent="0.3">
      <c r="G35241" s="1"/>
      <c r="N35241" s="1"/>
    </row>
    <row r="35242" spans="7:14" x14ac:dyDescent="0.3">
      <c r="G35242" s="1"/>
      <c r="N35242" s="1"/>
    </row>
    <row r="35243" spans="7:14" x14ac:dyDescent="0.3">
      <c r="G35243" s="1"/>
      <c r="N35243" s="1"/>
    </row>
    <row r="35244" spans="7:14" x14ac:dyDescent="0.3">
      <c r="G35244" s="1"/>
      <c r="N35244" s="1"/>
    </row>
    <row r="35245" spans="7:14" x14ac:dyDescent="0.3">
      <c r="G35245" s="1"/>
      <c r="N35245" s="1"/>
    </row>
    <row r="35246" spans="7:14" x14ac:dyDescent="0.3">
      <c r="G35246" s="1"/>
      <c r="N35246" s="1"/>
    </row>
    <row r="35247" spans="7:14" x14ac:dyDescent="0.3">
      <c r="G35247" s="1"/>
      <c r="N35247" s="1"/>
    </row>
    <row r="35248" spans="7:14" x14ac:dyDescent="0.3">
      <c r="G35248" s="1"/>
      <c r="N35248" s="1"/>
    </row>
    <row r="35249" spans="7:14" x14ac:dyDescent="0.3">
      <c r="G35249" s="1"/>
      <c r="N35249" s="1"/>
    </row>
    <row r="35250" spans="7:14" x14ac:dyDescent="0.3">
      <c r="G35250" s="1"/>
      <c r="N35250" s="1"/>
    </row>
    <row r="35251" spans="7:14" x14ac:dyDescent="0.3">
      <c r="G35251" s="1"/>
      <c r="N35251" s="1"/>
    </row>
    <row r="35252" spans="7:14" x14ac:dyDescent="0.3">
      <c r="G35252" s="1"/>
      <c r="N35252" s="1"/>
    </row>
    <row r="35253" spans="7:14" x14ac:dyDescent="0.3">
      <c r="G35253" s="1"/>
      <c r="N35253" s="1"/>
    </row>
    <row r="35254" spans="7:14" x14ac:dyDescent="0.3">
      <c r="G35254" s="1"/>
      <c r="N35254" s="1"/>
    </row>
    <row r="35255" spans="7:14" x14ac:dyDescent="0.3">
      <c r="G35255" s="1"/>
      <c r="N35255" s="1"/>
    </row>
    <row r="35256" spans="7:14" x14ac:dyDescent="0.3">
      <c r="G35256" s="1"/>
      <c r="N35256" s="1"/>
    </row>
    <row r="35257" spans="7:14" x14ac:dyDescent="0.3">
      <c r="G35257" s="1"/>
      <c r="N35257" s="1"/>
    </row>
    <row r="35258" spans="7:14" x14ac:dyDescent="0.3">
      <c r="G35258" s="1"/>
      <c r="N35258" s="1"/>
    </row>
    <row r="35259" spans="7:14" x14ac:dyDescent="0.3">
      <c r="G35259" s="1"/>
      <c r="N35259" s="1"/>
    </row>
    <row r="35260" spans="7:14" x14ac:dyDescent="0.3">
      <c r="G35260" s="1"/>
      <c r="N35260" s="1"/>
    </row>
    <row r="35261" spans="7:14" x14ac:dyDescent="0.3">
      <c r="G35261" s="1"/>
      <c r="N35261" s="1"/>
    </row>
    <row r="35262" spans="7:14" x14ac:dyDescent="0.3">
      <c r="G35262" s="1"/>
      <c r="N35262" s="1"/>
    </row>
    <row r="35263" spans="7:14" x14ac:dyDescent="0.3">
      <c r="G35263" s="1"/>
      <c r="N35263" s="1"/>
    </row>
    <row r="35264" spans="7:14" x14ac:dyDescent="0.3">
      <c r="G35264" s="1"/>
      <c r="N35264" s="1"/>
    </row>
    <row r="35265" spans="7:14" x14ac:dyDescent="0.3">
      <c r="G35265" s="1"/>
      <c r="N35265" s="1"/>
    </row>
    <row r="35266" spans="7:14" x14ac:dyDescent="0.3">
      <c r="G35266" s="1"/>
      <c r="N35266" s="1"/>
    </row>
    <row r="35267" spans="7:14" x14ac:dyDescent="0.3">
      <c r="G35267" s="1"/>
      <c r="N35267" s="1"/>
    </row>
    <row r="35268" spans="7:14" x14ac:dyDescent="0.3">
      <c r="G35268" s="1"/>
      <c r="N35268" s="1"/>
    </row>
    <row r="35269" spans="7:14" x14ac:dyDescent="0.3">
      <c r="G35269" s="1"/>
      <c r="N35269" s="1"/>
    </row>
    <row r="35270" spans="7:14" x14ac:dyDescent="0.3">
      <c r="G35270" s="1"/>
      <c r="N35270" s="1"/>
    </row>
    <row r="35271" spans="7:14" x14ac:dyDescent="0.3">
      <c r="G35271" s="1"/>
      <c r="N35271" s="1"/>
    </row>
    <row r="35272" spans="7:14" x14ac:dyDescent="0.3">
      <c r="G35272" s="1"/>
      <c r="N35272" s="1"/>
    </row>
    <row r="35273" spans="7:14" x14ac:dyDescent="0.3">
      <c r="G35273" s="1"/>
      <c r="N35273" s="1"/>
    </row>
    <row r="35274" spans="7:14" x14ac:dyDescent="0.3">
      <c r="G35274" s="1"/>
      <c r="N35274" s="1"/>
    </row>
    <row r="35275" spans="7:14" x14ac:dyDescent="0.3">
      <c r="G35275" s="1"/>
      <c r="N35275" s="1"/>
    </row>
    <row r="35276" spans="7:14" x14ac:dyDescent="0.3">
      <c r="G35276" s="1"/>
      <c r="N35276" s="1"/>
    </row>
    <row r="35277" spans="7:14" x14ac:dyDescent="0.3">
      <c r="G35277" s="1"/>
      <c r="N35277" s="1"/>
    </row>
    <row r="35278" spans="7:14" x14ac:dyDescent="0.3">
      <c r="G35278" s="1"/>
      <c r="N35278" s="1"/>
    </row>
    <row r="35279" spans="7:14" x14ac:dyDescent="0.3">
      <c r="G35279" s="1"/>
      <c r="N35279" s="1"/>
    </row>
    <row r="35280" spans="7:14" x14ac:dyDescent="0.3">
      <c r="G35280" s="1"/>
      <c r="N35280" s="1"/>
    </row>
    <row r="35281" spans="7:14" x14ac:dyDescent="0.3">
      <c r="G35281" s="1"/>
      <c r="N35281" s="1"/>
    </row>
    <row r="35282" spans="7:14" x14ac:dyDescent="0.3">
      <c r="G35282" s="1"/>
      <c r="N35282" s="1"/>
    </row>
    <row r="35283" spans="7:14" x14ac:dyDescent="0.3">
      <c r="G35283" s="1"/>
      <c r="N35283" s="1"/>
    </row>
    <row r="35284" spans="7:14" x14ac:dyDescent="0.3">
      <c r="G35284" s="1"/>
      <c r="N35284" s="1"/>
    </row>
    <row r="35285" spans="7:14" x14ac:dyDescent="0.3">
      <c r="G35285" s="1"/>
      <c r="N35285" s="1"/>
    </row>
    <row r="35286" spans="7:14" x14ac:dyDescent="0.3">
      <c r="G35286" s="1"/>
      <c r="N35286" s="1"/>
    </row>
    <row r="35287" spans="7:14" x14ac:dyDescent="0.3">
      <c r="G35287" s="1"/>
      <c r="N35287" s="1"/>
    </row>
    <row r="35288" spans="7:14" x14ac:dyDescent="0.3">
      <c r="G35288" s="1"/>
      <c r="N35288" s="1"/>
    </row>
    <row r="35289" spans="7:14" x14ac:dyDescent="0.3">
      <c r="G35289" s="1"/>
      <c r="N35289" s="1"/>
    </row>
    <row r="35290" spans="7:14" x14ac:dyDescent="0.3">
      <c r="G35290" s="1"/>
      <c r="N35290" s="1"/>
    </row>
    <row r="35291" spans="7:14" x14ac:dyDescent="0.3">
      <c r="G35291" s="1"/>
      <c r="N35291" s="1"/>
    </row>
    <row r="35292" spans="7:14" x14ac:dyDescent="0.3">
      <c r="G35292" s="1"/>
      <c r="N35292" s="1"/>
    </row>
    <row r="35293" spans="7:14" x14ac:dyDescent="0.3">
      <c r="G35293" s="1"/>
      <c r="N35293" s="1"/>
    </row>
    <row r="35294" spans="7:14" x14ac:dyDescent="0.3">
      <c r="G35294" s="1"/>
      <c r="N35294" s="1"/>
    </row>
    <row r="35295" spans="7:14" x14ac:dyDescent="0.3">
      <c r="G35295" s="1"/>
      <c r="N35295" s="1"/>
    </row>
    <row r="35296" spans="7:14" x14ac:dyDescent="0.3">
      <c r="G35296" s="1"/>
      <c r="N35296" s="1"/>
    </row>
    <row r="35297" spans="7:14" x14ac:dyDescent="0.3">
      <c r="G35297" s="1"/>
      <c r="N35297" s="1"/>
    </row>
    <row r="35298" spans="7:14" x14ac:dyDescent="0.3">
      <c r="G35298" s="1"/>
      <c r="N35298" s="1"/>
    </row>
    <row r="35299" spans="7:14" x14ac:dyDescent="0.3">
      <c r="G35299" s="1"/>
      <c r="N35299" s="1"/>
    </row>
    <row r="35300" spans="7:14" x14ac:dyDescent="0.3">
      <c r="G35300" s="1"/>
      <c r="N35300" s="1"/>
    </row>
    <row r="35301" spans="7:14" x14ac:dyDescent="0.3">
      <c r="G35301" s="1"/>
      <c r="N35301" s="1"/>
    </row>
    <row r="35302" spans="7:14" x14ac:dyDescent="0.3">
      <c r="G35302" s="1"/>
      <c r="N35302" s="1"/>
    </row>
    <row r="35303" spans="7:14" x14ac:dyDescent="0.3">
      <c r="G35303" s="1"/>
      <c r="N35303" s="1"/>
    </row>
    <row r="35304" spans="7:14" x14ac:dyDescent="0.3">
      <c r="G35304" s="1"/>
      <c r="N35304" s="1"/>
    </row>
    <row r="35305" spans="7:14" x14ac:dyDescent="0.3">
      <c r="G35305" s="1"/>
      <c r="N35305" s="1"/>
    </row>
    <row r="35306" spans="7:14" x14ac:dyDescent="0.3">
      <c r="G35306" s="1"/>
      <c r="N35306" s="1"/>
    </row>
    <row r="35307" spans="7:14" x14ac:dyDescent="0.3">
      <c r="G35307" s="1"/>
      <c r="N35307" s="1"/>
    </row>
    <row r="35308" spans="7:14" x14ac:dyDescent="0.3">
      <c r="G35308" s="1"/>
      <c r="N35308" s="1"/>
    </row>
    <row r="35309" spans="7:14" x14ac:dyDescent="0.3">
      <c r="G35309" s="1"/>
      <c r="N35309" s="1"/>
    </row>
    <row r="35310" spans="7:14" x14ac:dyDescent="0.3">
      <c r="G35310" s="1"/>
      <c r="N35310" s="1"/>
    </row>
    <row r="35311" spans="7:14" x14ac:dyDescent="0.3">
      <c r="G35311" s="1"/>
      <c r="N35311" s="1"/>
    </row>
    <row r="35312" spans="7:14" x14ac:dyDescent="0.3">
      <c r="G35312" s="1"/>
      <c r="N35312" s="1"/>
    </row>
    <row r="35313" spans="7:14" x14ac:dyDescent="0.3">
      <c r="G35313" s="1"/>
      <c r="N35313" s="1"/>
    </row>
    <row r="35314" spans="7:14" x14ac:dyDescent="0.3">
      <c r="G35314" s="1"/>
      <c r="N35314" s="1"/>
    </row>
    <row r="35315" spans="7:14" x14ac:dyDescent="0.3">
      <c r="G35315" s="1"/>
      <c r="N35315" s="1"/>
    </row>
    <row r="35316" spans="7:14" x14ac:dyDescent="0.3">
      <c r="G35316" s="1"/>
      <c r="N35316" s="1"/>
    </row>
    <row r="35317" spans="7:14" x14ac:dyDescent="0.3">
      <c r="G35317" s="1"/>
      <c r="N35317" s="1"/>
    </row>
    <row r="35318" spans="7:14" x14ac:dyDescent="0.3">
      <c r="G35318" s="1"/>
      <c r="N35318" s="1"/>
    </row>
    <row r="35319" spans="7:14" x14ac:dyDescent="0.3">
      <c r="G35319" s="1"/>
      <c r="N35319" s="1"/>
    </row>
    <row r="35320" spans="7:14" x14ac:dyDescent="0.3">
      <c r="G35320" s="1"/>
      <c r="N35320" s="1"/>
    </row>
    <row r="35321" spans="7:14" x14ac:dyDescent="0.3">
      <c r="G35321" s="1"/>
      <c r="N35321" s="1"/>
    </row>
    <row r="35322" spans="7:14" x14ac:dyDescent="0.3">
      <c r="G35322" s="1"/>
      <c r="N35322" s="1"/>
    </row>
    <row r="35323" spans="7:14" x14ac:dyDescent="0.3">
      <c r="G35323" s="1"/>
      <c r="N35323" s="1"/>
    </row>
    <row r="35324" spans="7:14" x14ac:dyDescent="0.3">
      <c r="G35324" s="1"/>
      <c r="N35324" s="1"/>
    </row>
    <row r="35325" spans="7:14" x14ac:dyDescent="0.3">
      <c r="G35325" s="1"/>
      <c r="N35325" s="1"/>
    </row>
    <row r="35326" spans="7:14" x14ac:dyDescent="0.3">
      <c r="G35326" s="1"/>
      <c r="N35326" s="1"/>
    </row>
    <row r="35327" spans="7:14" x14ac:dyDescent="0.3">
      <c r="G35327" s="1"/>
      <c r="N35327" s="1"/>
    </row>
    <row r="35328" spans="7:14" x14ac:dyDescent="0.3">
      <c r="G35328" s="1"/>
      <c r="N35328" s="1"/>
    </row>
    <row r="35329" spans="7:14" x14ac:dyDescent="0.3">
      <c r="G35329" s="1"/>
      <c r="N35329" s="1"/>
    </row>
    <row r="35330" spans="7:14" x14ac:dyDescent="0.3">
      <c r="G35330" s="1"/>
      <c r="N35330" s="1"/>
    </row>
    <row r="35331" spans="7:14" x14ac:dyDescent="0.3">
      <c r="G35331" s="1"/>
      <c r="N35331" s="1"/>
    </row>
    <row r="35332" spans="7:14" x14ac:dyDescent="0.3">
      <c r="G35332" s="1"/>
      <c r="N35332" s="1"/>
    </row>
    <row r="35333" spans="7:14" x14ac:dyDescent="0.3">
      <c r="G35333" s="1"/>
      <c r="N35333" s="1"/>
    </row>
    <row r="35334" spans="7:14" x14ac:dyDescent="0.3">
      <c r="G35334" s="1"/>
      <c r="N35334" s="1"/>
    </row>
    <row r="35335" spans="7:14" x14ac:dyDescent="0.3">
      <c r="G35335" s="1"/>
      <c r="N35335" s="1"/>
    </row>
    <row r="35336" spans="7:14" x14ac:dyDescent="0.3">
      <c r="G35336" s="1"/>
      <c r="N35336" s="1"/>
    </row>
    <row r="35337" spans="7:14" x14ac:dyDescent="0.3">
      <c r="G35337" s="1"/>
      <c r="N35337" s="1"/>
    </row>
    <row r="35338" spans="7:14" x14ac:dyDescent="0.3">
      <c r="G35338" s="1"/>
      <c r="N35338" s="1"/>
    </row>
    <row r="35339" spans="7:14" x14ac:dyDescent="0.3">
      <c r="G35339" s="1"/>
      <c r="N35339" s="1"/>
    </row>
    <row r="35340" spans="7:14" x14ac:dyDescent="0.3">
      <c r="G35340" s="1"/>
      <c r="N35340" s="1"/>
    </row>
    <row r="35341" spans="7:14" x14ac:dyDescent="0.3">
      <c r="G35341" s="1"/>
      <c r="N35341" s="1"/>
    </row>
    <row r="35342" spans="7:14" x14ac:dyDescent="0.3">
      <c r="G35342" s="1"/>
      <c r="N35342" s="1"/>
    </row>
    <row r="35343" spans="7:14" x14ac:dyDescent="0.3">
      <c r="G35343" s="1"/>
      <c r="N35343" s="1"/>
    </row>
    <row r="35344" spans="7:14" x14ac:dyDescent="0.3">
      <c r="G35344" s="1"/>
      <c r="N35344" s="1"/>
    </row>
    <row r="35345" spans="7:14" x14ac:dyDescent="0.3">
      <c r="G35345" s="1"/>
      <c r="N35345" s="1"/>
    </row>
    <row r="35346" spans="7:14" x14ac:dyDescent="0.3">
      <c r="G35346" s="1"/>
      <c r="N35346" s="1"/>
    </row>
    <row r="35347" spans="7:14" x14ac:dyDescent="0.3">
      <c r="G35347" s="1"/>
      <c r="N35347" s="1"/>
    </row>
    <row r="35348" spans="7:14" x14ac:dyDescent="0.3">
      <c r="G35348" s="1"/>
      <c r="N35348" s="1"/>
    </row>
    <row r="35349" spans="7:14" x14ac:dyDescent="0.3">
      <c r="G35349" s="1"/>
      <c r="N35349" s="1"/>
    </row>
    <row r="35350" spans="7:14" x14ac:dyDescent="0.3">
      <c r="G35350" s="1"/>
      <c r="N35350" s="1"/>
    </row>
    <row r="35351" spans="7:14" x14ac:dyDescent="0.3">
      <c r="G35351" s="1"/>
      <c r="N35351" s="1"/>
    </row>
    <row r="35352" spans="7:14" x14ac:dyDescent="0.3">
      <c r="G35352" s="1"/>
      <c r="N35352" s="1"/>
    </row>
    <row r="35353" spans="7:14" x14ac:dyDescent="0.3">
      <c r="G35353" s="1"/>
      <c r="N35353" s="1"/>
    </row>
    <row r="35354" spans="7:14" x14ac:dyDescent="0.3">
      <c r="G35354" s="1"/>
      <c r="N35354" s="1"/>
    </row>
    <row r="35355" spans="7:14" x14ac:dyDescent="0.3">
      <c r="G35355" s="1"/>
      <c r="N35355" s="1"/>
    </row>
    <row r="35356" spans="7:14" x14ac:dyDescent="0.3">
      <c r="G35356" s="1"/>
      <c r="N35356" s="1"/>
    </row>
    <row r="35357" spans="7:14" x14ac:dyDescent="0.3">
      <c r="G35357" s="1"/>
      <c r="N35357" s="1"/>
    </row>
    <row r="35358" spans="7:14" x14ac:dyDescent="0.3">
      <c r="G35358" s="1"/>
      <c r="N35358" s="1"/>
    </row>
    <row r="35359" spans="7:14" x14ac:dyDescent="0.3">
      <c r="G35359" s="1"/>
      <c r="N35359" s="1"/>
    </row>
    <row r="35360" spans="7:14" x14ac:dyDescent="0.3">
      <c r="G35360" s="1"/>
      <c r="N35360" s="1"/>
    </row>
    <row r="35361" spans="7:14" x14ac:dyDescent="0.3">
      <c r="G35361" s="1"/>
      <c r="N35361" s="1"/>
    </row>
    <row r="35362" spans="7:14" x14ac:dyDescent="0.3">
      <c r="G35362" s="1"/>
      <c r="N35362" s="1"/>
    </row>
    <row r="35363" spans="7:14" x14ac:dyDescent="0.3">
      <c r="G35363" s="1"/>
      <c r="N35363" s="1"/>
    </row>
    <row r="35364" spans="7:14" x14ac:dyDescent="0.3">
      <c r="G35364" s="1"/>
      <c r="N35364" s="1"/>
    </row>
    <row r="35365" spans="7:14" x14ac:dyDescent="0.3">
      <c r="G35365" s="1"/>
      <c r="N35365" s="1"/>
    </row>
    <row r="35366" spans="7:14" x14ac:dyDescent="0.3">
      <c r="G35366" s="1"/>
      <c r="N35366" s="1"/>
    </row>
    <row r="35367" spans="7:14" x14ac:dyDescent="0.3">
      <c r="G35367" s="1"/>
      <c r="N35367" s="1"/>
    </row>
    <row r="35368" spans="7:14" x14ac:dyDescent="0.3">
      <c r="G35368" s="1"/>
      <c r="N35368" s="1"/>
    </row>
    <row r="35369" spans="7:14" x14ac:dyDescent="0.3">
      <c r="G35369" s="1"/>
      <c r="N35369" s="1"/>
    </row>
    <row r="35370" spans="7:14" x14ac:dyDescent="0.3">
      <c r="G35370" s="1"/>
      <c r="N35370" s="1"/>
    </row>
    <row r="35371" spans="7:14" x14ac:dyDescent="0.3">
      <c r="G35371" s="1"/>
      <c r="N35371" s="1"/>
    </row>
    <row r="35372" spans="7:14" x14ac:dyDescent="0.3">
      <c r="G35372" s="1"/>
      <c r="N35372" s="1"/>
    </row>
    <row r="35373" spans="7:14" x14ac:dyDescent="0.3">
      <c r="G35373" s="1"/>
      <c r="N35373" s="1"/>
    </row>
    <row r="35374" spans="7:14" x14ac:dyDescent="0.3">
      <c r="G35374" s="1"/>
      <c r="N35374" s="1"/>
    </row>
    <row r="35375" spans="7:14" x14ac:dyDescent="0.3">
      <c r="G35375" s="1"/>
      <c r="N35375" s="1"/>
    </row>
    <row r="35376" spans="7:14" x14ac:dyDescent="0.3">
      <c r="G35376" s="1"/>
      <c r="N35376" s="1"/>
    </row>
    <row r="35377" spans="7:14" x14ac:dyDescent="0.3">
      <c r="G35377" s="1"/>
      <c r="N35377" s="1"/>
    </row>
    <row r="35378" spans="7:14" x14ac:dyDescent="0.3">
      <c r="G35378" s="1"/>
      <c r="N35378" s="1"/>
    </row>
    <row r="35379" spans="7:14" x14ac:dyDescent="0.3">
      <c r="G35379" s="1"/>
      <c r="N35379" s="1"/>
    </row>
    <row r="35380" spans="7:14" x14ac:dyDescent="0.3">
      <c r="G35380" s="1"/>
      <c r="N35380" s="1"/>
    </row>
    <row r="35381" spans="7:14" x14ac:dyDescent="0.3">
      <c r="G35381" s="1"/>
      <c r="N35381" s="1"/>
    </row>
    <row r="35382" spans="7:14" x14ac:dyDescent="0.3">
      <c r="G35382" s="1"/>
      <c r="N35382" s="1"/>
    </row>
    <row r="35383" spans="7:14" x14ac:dyDescent="0.3">
      <c r="G35383" s="1"/>
      <c r="N35383" s="1"/>
    </row>
    <row r="35384" spans="7:14" x14ac:dyDescent="0.3">
      <c r="G35384" s="1"/>
      <c r="N35384" s="1"/>
    </row>
    <row r="35385" spans="7:14" x14ac:dyDescent="0.3">
      <c r="G35385" s="1"/>
      <c r="N35385" s="1"/>
    </row>
    <row r="35386" spans="7:14" x14ac:dyDescent="0.3">
      <c r="G35386" s="1"/>
      <c r="N35386" s="1"/>
    </row>
    <row r="35387" spans="7:14" x14ac:dyDescent="0.3">
      <c r="G35387" s="1"/>
      <c r="N35387" s="1"/>
    </row>
    <row r="35388" spans="7:14" x14ac:dyDescent="0.3">
      <c r="G35388" s="1"/>
      <c r="N35388" s="1"/>
    </row>
    <row r="35389" spans="7:14" x14ac:dyDescent="0.3">
      <c r="G35389" s="1"/>
      <c r="N35389" s="1"/>
    </row>
    <row r="35390" spans="7:14" x14ac:dyDescent="0.3">
      <c r="G35390" s="1"/>
      <c r="N35390" s="1"/>
    </row>
    <row r="35391" spans="7:14" x14ac:dyDescent="0.3">
      <c r="G35391" s="1"/>
      <c r="N35391" s="1"/>
    </row>
    <row r="35392" spans="7:14" x14ac:dyDescent="0.3">
      <c r="G35392" s="1"/>
      <c r="N35392" s="1"/>
    </row>
    <row r="35393" spans="7:14" x14ac:dyDescent="0.3">
      <c r="G35393" s="1"/>
      <c r="N35393" s="1"/>
    </row>
    <row r="35394" spans="7:14" x14ac:dyDescent="0.3">
      <c r="G35394" s="1"/>
      <c r="N35394" s="1"/>
    </row>
    <row r="35395" spans="7:14" x14ac:dyDescent="0.3">
      <c r="G35395" s="1"/>
      <c r="N35395" s="1"/>
    </row>
    <row r="35396" spans="7:14" x14ac:dyDescent="0.3">
      <c r="G35396" s="1"/>
      <c r="N35396" s="1"/>
    </row>
    <row r="35397" spans="7:14" x14ac:dyDescent="0.3">
      <c r="G35397" s="1"/>
      <c r="N35397" s="1"/>
    </row>
    <row r="35398" spans="7:14" x14ac:dyDescent="0.3">
      <c r="G35398" s="1"/>
      <c r="N35398" s="1"/>
    </row>
    <row r="35399" spans="7:14" x14ac:dyDescent="0.3">
      <c r="G35399" s="1"/>
      <c r="N35399" s="1"/>
    </row>
    <row r="35400" spans="7:14" x14ac:dyDescent="0.3">
      <c r="G35400" s="1"/>
      <c r="N35400" s="1"/>
    </row>
    <row r="35401" spans="7:14" x14ac:dyDescent="0.3">
      <c r="G35401" s="1"/>
      <c r="N35401" s="1"/>
    </row>
    <row r="35402" spans="7:14" x14ac:dyDescent="0.3">
      <c r="G35402" s="1"/>
      <c r="N35402" s="1"/>
    </row>
    <row r="35403" spans="7:14" x14ac:dyDescent="0.3">
      <c r="G35403" s="1"/>
      <c r="N35403" s="1"/>
    </row>
    <row r="35404" spans="7:14" x14ac:dyDescent="0.3">
      <c r="G35404" s="1"/>
      <c r="N35404" s="1"/>
    </row>
    <row r="35405" spans="7:14" x14ac:dyDescent="0.3">
      <c r="G35405" s="1"/>
      <c r="N35405" s="1"/>
    </row>
    <row r="35406" spans="7:14" x14ac:dyDescent="0.3">
      <c r="G35406" s="1"/>
      <c r="N35406" s="1"/>
    </row>
    <row r="35407" spans="7:14" x14ac:dyDescent="0.3">
      <c r="G35407" s="1"/>
      <c r="N35407" s="1"/>
    </row>
    <row r="35408" spans="7:14" x14ac:dyDescent="0.3">
      <c r="G35408" s="1"/>
      <c r="N35408" s="1"/>
    </row>
    <row r="35409" spans="7:14" x14ac:dyDescent="0.3">
      <c r="G35409" s="1"/>
      <c r="N35409" s="1"/>
    </row>
    <row r="35410" spans="7:14" x14ac:dyDescent="0.3">
      <c r="G35410" s="1"/>
      <c r="N35410" s="1"/>
    </row>
    <row r="35411" spans="7:14" x14ac:dyDescent="0.3">
      <c r="G35411" s="1"/>
      <c r="N35411" s="1"/>
    </row>
    <row r="35412" spans="7:14" x14ac:dyDescent="0.3">
      <c r="G35412" s="1"/>
      <c r="N35412" s="1"/>
    </row>
    <row r="35413" spans="7:14" x14ac:dyDescent="0.3">
      <c r="G35413" s="1"/>
      <c r="N35413" s="1"/>
    </row>
    <row r="35414" spans="7:14" x14ac:dyDescent="0.3">
      <c r="G35414" s="1"/>
      <c r="N35414" s="1"/>
    </row>
    <row r="35415" spans="7:14" x14ac:dyDescent="0.3">
      <c r="G35415" s="1"/>
      <c r="N35415" s="1"/>
    </row>
    <row r="35416" spans="7:14" x14ac:dyDescent="0.3">
      <c r="G35416" s="1"/>
      <c r="N35416" s="1"/>
    </row>
    <row r="35417" spans="7:14" x14ac:dyDescent="0.3">
      <c r="G35417" s="1"/>
      <c r="N35417" s="1"/>
    </row>
    <row r="35418" spans="7:14" x14ac:dyDescent="0.3">
      <c r="G35418" s="1"/>
      <c r="N35418" s="1"/>
    </row>
    <row r="35419" spans="7:14" x14ac:dyDescent="0.3">
      <c r="G35419" s="1"/>
      <c r="N35419" s="1"/>
    </row>
    <row r="35420" spans="7:14" x14ac:dyDescent="0.3">
      <c r="G35420" s="1"/>
      <c r="N35420" s="1"/>
    </row>
    <row r="35421" spans="7:14" x14ac:dyDescent="0.3">
      <c r="G35421" s="1"/>
      <c r="N35421" s="1"/>
    </row>
    <row r="35422" spans="7:14" x14ac:dyDescent="0.3">
      <c r="G35422" s="1"/>
      <c r="N35422" s="1"/>
    </row>
    <row r="35423" spans="7:14" x14ac:dyDescent="0.3">
      <c r="G35423" s="1"/>
      <c r="N35423" s="1"/>
    </row>
    <row r="35424" spans="7:14" x14ac:dyDescent="0.3">
      <c r="G35424" s="1"/>
      <c r="N35424" s="1"/>
    </row>
    <row r="35425" spans="7:14" x14ac:dyDescent="0.3">
      <c r="G35425" s="1"/>
      <c r="N35425" s="1"/>
    </row>
    <row r="35426" spans="7:14" x14ac:dyDescent="0.3">
      <c r="G35426" s="1"/>
      <c r="N35426" s="1"/>
    </row>
    <row r="35427" spans="7:14" x14ac:dyDescent="0.3">
      <c r="G35427" s="1"/>
      <c r="N35427" s="1"/>
    </row>
    <row r="35428" spans="7:14" x14ac:dyDescent="0.3">
      <c r="G35428" s="1"/>
      <c r="N35428" s="1"/>
    </row>
    <row r="35429" spans="7:14" x14ac:dyDescent="0.3">
      <c r="G35429" s="1"/>
      <c r="N35429" s="1"/>
    </row>
    <row r="35430" spans="7:14" x14ac:dyDescent="0.3">
      <c r="G35430" s="1"/>
      <c r="N35430" s="1"/>
    </row>
    <row r="35431" spans="7:14" x14ac:dyDescent="0.3">
      <c r="G35431" s="1"/>
      <c r="N35431" s="1"/>
    </row>
    <row r="35432" spans="7:14" x14ac:dyDescent="0.3">
      <c r="G35432" s="1"/>
      <c r="N35432" s="1"/>
    </row>
    <row r="35433" spans="7:14" x14ac:dyDescent="0.3">
      <c r="G35433" s="1"/>
      <c r="N35433" s="1"/>
    </row>
    <row r="35434" spans="7:14" x14ac:dyDescent="0.3">
      <c r="G35434" s="1"/>
      <c r="N35434" s="1"/>
    </row>
    <row r="35435" spans="7:14" x14ac:dyDescent="0.3">
      <c r="G35435" s="1"/>
      <c r="N35435" s="1"/>
    </row>
    <row r="35436" spans="7:14" x14ac:dyDescent="0.3">
      <c r="G35436" s="1"/>
      <c r="N35436" s="1"/>
    </row>
    <row r="35437" spans="7:14" x14ac:dyDescent="0.3">
      <c r="G35437" s="1"/>
      <c r="N35437" s="1"/>
    </row>
    <row r="35438" spans="7:14" x14ac:dyDescent="0.3">
      <c r="G35438" s="1"/>
      <c r="N35438" s="1"/>
    </row>
    <row r="35439" spans="7:14" x14ac:dyDescent="0.3">
      <c r="G35439" s="1"/>
      <c r="N35439" s="1"/>
    </row>
    <row r="35440" spans="7:14" x14ac:dyDescent="0.3">
      <c r="G35440" s="1"/>
      <c r="N35440" s="1"/>
    </row>
    <row r="35441" spans="7:14" x14ac:dyDescent="0.3">
      <c r="G35441" s="1"/>
      <c r="N35441" s="1"/>
    </row>
    <row r="35442" spans="7:14" x14ac:dyDescent="0.3">
      <c r="G35442" s="1"/>
      <c r="N35442" s="1"/>
    </row>
    <row r="35443" spans="7:14" x14ac:dyDescent="0.3">
      <c r="G35443" s="1"/>
      <c r="N35443" s="1"/>
    </row>
    <row r="35444" spans="7:14" x14ac:dyDescent="0.3">
      <c r="G35444" s="1"/>
      <c r="N35444" s="1"/>
    </row>
    <row r="35445" spans="7:14" x14ac:dyDescent="0.3">
      <c r="G35445" s="1"/>
      <c r="N35445" s="1"/>
    </row>
    <row r="35446" spans="7:14" x14ac:dyDescent="0.3">
      <c r="G35446" s="1"/>
      <c r="N35446" s="1"/>
    </row>
    <row r="35447" spans="7:14" x14ac:dyDescent="0.3">
      <c r="G35447" s="1"/>
      <c r="N35447" s="1"/>
    </row>
    <row r="35448" spans="7:14" x14ac:dyDescent="0.3">
      <c r="G35448" s="1"/>
      <c r="N35448" s="1"/>
    </row>
    <row r="35449" spans="7:14" x14ac:dyDescent="0.3">
      <c r="G35449" s="1"/>
      <c r="N35449" s="1"/>
    </row>
    <row r="35450" spans="7:14" x14ac:dyDescent="0.3">
      <c r="G35450" s="1"/>
      <c r="N35450" s="1"/>
    </row>
    <row r="35451" spans="7:14" x14ac:dyDescent="0.3">
      <c r="G35451" s="1"/>
      <c r="N35451" s="1"/>
    </row>
    <row r="35452" spans="7:14" x14ac:dyDescent="0.3">
      <c r="G35452" s="1"/>
      <c r="N35452" s="1"/>
    </row>
    <row r="35453" spans="7:14" x14ac:dyDescent="0.3">
      <c r="G35453" s="1"/>
      <c r="N35453" s="1"/>
    </row>
    <row r="35454" spans="7:14" x14ac:dyDescent="0.3">
      <c r="G35454" s="1"/>
      <c r="N35454" s="1"/>
    </row>
    <row r="35455" spans="7:14" x14ac:dyDescent="0.3">
      <c r="G35455" s="1"/>
      <c r="N35455" s="1"/>
    </row>
    <row r="35456" spans="7:14" x14ac:dyDescent="0.3">
      <c r="G35456" s="1"/>
      <c r="N35456" s="1"/>
    </row>
    <row r="35457" spans="7:14" x14ac:dyDescent="0.3">
      <c r="G35457" s="1"/>
      <c r="N35457" s="1"/>
    </row>
    <row r="35458" spans="7:14" x14ac:dyDescent="0.3">
      <c r="G35458" s="1"/>
      <c r="N35458" s="1"/>
    </row>
    <row r="35459" spans="7:14" x14ac:dyDescent="0.3">
      <c r="G35459" s="1"/>
      <c r="N35459" s="1"/>
    </row>
    <row r="35460" spans="7:14" x14ac:dyDescent="0.3">
      <c r="G35460" s="1"/>
      <c r="N35460" s="1"/>
    </row>
    <row r="35461" spans="7:14" x14ac:dyDescent="0.3">
      <c r="G35461" s="1"/>
      <c r="N35461" s="1"/>
    </row>
    <row r="35462" spans="7:14" x14ac:dyDescent="0.3">
      <c r="G35462" s="1"/>
      <c r="N35462" s="1"/>
    </row>
    <row r="35463" spans="7:14" x14ac:dyDescent="0.3">
      <c r="G35463" s="1"/>
      <c r="N35463" s="1"/>
    </row>
    <row r="35464" spans="7:14" x14ac:dyDescent="0.3">
      <c r="G35464" s="1"/>
      <c r="N35464" s="1"/>
    </row>
    <row r="35465" spans="7:14" x14ac:dyDescent="0.3">
      <c r="G35465" s="1"/>
      <c r="N35465" s="1"/>
    </row>
    <row r="35466" spans="7:14" x14ac:dyDescent="0.3">
      <c r="G35466" s="1"/>
      <c r="N35466" s="1"/>
    </row>
    <row r="35467" spans="7:14" x14ac:dyDescent="0.3">
      <c r="G35467" s="1"/>
      <c r="N35467" s="1"/>
    </row>
    <row r="35468" spans="7:14" x14ac:dyDescent="0.3">
      <c r="G35468" s="1"/>
      <c r="N35468" s="1"/>
    </row>
    <row r="35469" spans="7:14" x14ac:dyDescent="0.3">
      <c r="G35469" s="1"/>
      <c r="N35469" s="1"/>
    </row>
    <row r="35470" spans="7:14" x14ac:dyDescent="0.3">
      <c r="G35470" s="1"/>
      <c r="N35470" s="1"/>
    </row>
    <row r="35471" spans="7:14" x14ac:dyDescent="0.3">
      <c r="G35471" s="1"/>
      <c r="N35471" s="1"/>
    </row>
    <row r="35472" spans="7:14" x14ac:dyDescent="0.3">
      <c r="G35472" s="1"/>
      <c r="N35472" s="1"/>
    </row>
    <row r="35473" spans="7:14" x14ac:dyDescent="0.3">
      <c r="G35473" s="1"/>
      <c r="N35473" s="1"/>
    </row>
    <row r="35474" spans="7:14" x14ac:dyDescent="0.3">
      <c r="G35474" s="1"/>
      <c r="N35474" s="1"/>
    </row>
    <row r="35475" spans="7:14" x14ac:dyDescent="0.3">
      <c r="G35475" s="1"/>
      <c r="N35475" s="1"/>
    </row>
    <row r="35476" spans="7:14" x14ac:dyDescent="0.3">
      <c r="G35476" s="1"/>
      <c r="N35476" s="1"/>
    </row>
    <row r="35477" spans="7:14" x14ac:dyDescent="0.3">
      <c r="G35477" s="1"/>
      <c r="N35477" s="1"/>
    </row>
    <row r="35478" spans="7:14" x14ac:dyDescent="0.3">
      <c r="G35478" s="1"/>
      <c r="N35478" s="1"/>
    </row>
    <row r="35479" spans="7:14" x14ac:dyDescent="0.3">
      <c r="G35479" s="1"/>
      <c r="N35479" s="1"/>
    </row>
    <row r="35480" spans="7:14" x14ac:dyDescent="0.3">
      <c r="G35480" s="1"/>
      <c r="N35480" s="1"/>
    </row>
    <row r="35481" spans="7:14" x14ac:dyDescent="0.3">
      <c r="G35481" s="1"/>
      <c r="N35481" s="1"/>
    </row>
    <row r="35482" spans="7:14" x14ac:dyDescent="0.3">
      <c r="G35482" s="1"/>
      <c r="N35482" s="1"/>
    </row>
    <row r="35483" spans="7:14" x14ac:dyDescent="0.3">
      <c r="G35483" s="1"/>
      <c r="N35483" s="1"/>
    </row>
    <row r="35484" spans="7:14" x14ac:dyDescent="0.3">
      <c r="G35484" s="1"/>
      <c r="N35484" s="1"/>
    </row>
    <row r="35485" spans="7:14" x14ac:dyDescent="0.3">
      <c r="G35485" s="1"/>
      <c r="N35485" s="1"/>
    </row>
    <row r="35486" spans="7:14" x14ac:dyDescent="0.3">
      <c r="G35486" s="1"/>
      <c r="N35486" s="1"/>
    </row>
    <row r="35487" spans="7:14" x14ac:dyDescent="0.3">
      <c r="G35487" s="1"/>
      <c r="N35487" s="1"/>
    </row>
    <row r="35488" spans="7:14" x14ac:dyDescent="0.3">
      <c r="G35488" s="1"/>
      <c r="N35488" s="1"/>
    </row>
    <row r="35489" spans="7:14" x14ac:dyDescent="0.3">
      <c r="G35489" s="1"/>
      <c r="N35489" s="1"/>
    </row>
    <row r="35490" spans="7:14" x14ac:dyDescent="0.3">
      <c r="G35490" s="1"/>
      <c r="N35490" s="1"/>
    </row>
    <row r="35491" spans="7:14" x14ac:dyDescent="0.3">
      <c r="G35491" s="1"/>
      <c r="N35491" s="1"/>
    </row>
    <row r="35492" spans="7:14" x14ac:dyDescent="0.3">
      <c r="G35492" s="1"/>
      <c r="N35492" s="1"/>
    </row>
    <row r="35493" spans="7:14" x14ac:dyDescent="0.3">
      <c r="G35493" s="1"/>
      <c r="N35493" s="1"/>
    </row>
    <row r="35494" spans="7:14" x14ac:dyDescent="0.3">
      <c r="G35494" s="1"/>
      <c r="N35494" s="1"/>
    </row>
    <row r="35495" spans="7:14" x14ac:dyDescent="0.3">
      <c r="G35495" s="1"/>
      <c r="N35495" s="1"/>
    </row>
    <row r="35496" spans="7:14" x14ac:dyDescent="0.3">
      <c r="G35496" s="1"/>
      <c r="N35496" s="1"/>
    </row>
    <row r="35497" spans="7:14" x14ac:dyDescent="0.3">
      <c r="G35497" s="1"/>
      <c r="N35497" s="1"/>
    </row>
    <row r="35498" spans="7:14" x14ac:dyDescent="0.3">
      <c r="G35498" s="1"/>
      <c r="N35498" s="1"/>
    </row>
    <row r="35499" spans="7:14" x14ac:dyDescent="0.3">
      <c r="G35499" s="1"/>
      <c r="N35499" s="1"/>
    </row>
    <row r="35500" spans="7:14" x14ac:dyDescent="0.3">
      <c r="G35500" s="1"/>
      <c r="N35500" s="1"/>
    </row>
    <row r="35501" spans="7:14" x14ac:dyDescent="0.3">
      <c r="G35501" s="1"/>
      <c r="N35501" s="1"/>
    </row>
    <row r="35502" spans="7:14" x14ac:dyDescent="0.3">
      <c r="G35502" s="1"/>
      <c r="N35502" s="1"/>
    </row>
    <row r="35503" spans="7:14" x14ac:dyDescent="0.3">
      <c r="G35503" s="1"/>
      <c r="N35503" s="1"/>
    </row>
    <row r="35504" spans="7:14" x14ac:dyDescent="0.3">
      <c r="G35504" s="1"/>
      <c r="N35504" s="1"/>
    </row>
    <row r="35505" spans="7:14" x14ac:dyDescent="0.3">
      <c r="G35505" s="1"/>
      <c r="N35505" s="1"/>
    </row>
    <row r="35506" spans="7:14" x14ac:dyDescent="0.3">
      <c r="G35506" s="1"/>
      <c r="N35506" s="1"/>
    </row>
    <row r="35507" spans="7:14" x14ac:dyDescent="0.3">
      <c r="G35507" s="1"/>
      <c r="N35507" s="1"/>
    </row>
    <row r="35508" spans="7:14" x14ac:dyDescent="0.3">
      <c r="G35508" s="1"/>
      <c r="N35508" s="1"/>
    </row>
    <row r="35509" spans="7:14" x14ac:dyDescent="0.3">
      <c r="G35509" s="1"/>
      <c r="N35509" s="1"/>
    </row>
    <row r="35510" spans="7:14" x14ac:dyDescent="0.3">
      <c r="G35510" s="1"/>
      <c r="N35510" s="1"/>
    </row>
    <row r="35511" spans="7:14" x14ac:dyDescent="0.3">
      <c r="G35511" s="1"/>
      <c r="N35511" s="1"/>
    </row>
    <row r="35512" spans="7:14" x14ac:dyDescent="0.3">
      <c r="G35512" s="1"/>
      <c r="N35512" s="1"/>
    </row>
    <row r="35513" spans="7:14" x14ac:dyDescent="0.3">
      <c r="G35513" s="1"/>
      <c r="N35513" s="1"/>
    </row>
    <row r="35514" spans="7:14" x14ac:dyDescent="0.3">
      <c r="G35514" s="1"/>
      <c r="N35514" s="1"/>
    </row>
    <row r="35515" spans="7:14" x14ac:dyDescent="0.3">
      <c r="G35515" s="1"/>
      <c r="N35515" s="1"/>
    </row>
    <row r="35516" spans="7:14" x14ac:dyDescent="0.3">
      <c r="G35516" s="1"/>
      <c r="N35516" s="1"/>
    </row>
    <row r="35517" spans="7:14" x14ac:dyDescent="0.3">
      <c r="G35517" s="1"/>
      <c r="N35517" s="1"/>
    </row>
    <row r="35518" spans="7:14" x14ac:dyDescent="0.3">
      <c r="G35518" s="1"/>
      <c r="N35518" s="1"/>
    </row>
    <row r="35519" spans="7:14" x14ac:dyDescent="0.3">
      <c r="G35519" s="1"/>
      <c r="N35519" s="1"/>
    </row>
    <row r="35520" spans="7:14" x14ac:dyDescent="0.3">
      <c r="G35520" s="1"/>
      <c r="N35520" s="1"/>
    </row>
    <row r="35521" spans="7:14" x14ac:dyDescent="0.3">
      <c r="G35521" s="1"/>
      <c r="N35521" s="1"/>
    </row>
    <row r="35522" spans="7:14" x14ac:dyDescent="0.3">
      <c r="G35522" s="1"/>
      <c r="N35522" s="1"/>
    </row>
    <row r="35523" spans="7:14" x14ac:dyDescent="0.3">
      <c r="G35523" s="1"/>
      <c r="N35523" s="1"/>
    </row>
    <row r="35524" spans="7:14" x14ac:dyDescent="0.3">
      <c r="G35524" s="1"/>
      <c r="N35524" s="1"/>
    </row>
    <row r="35525" spans="7:14" x14ac:dyDescent="0.3">
      <c r="G35525" s="1"/>
      <c r="N35525" s="1"/>
    </row>
    <row r="35526" spans="7:14" x14ac:dyDescent="0.3">
      <c r="G35526" s="1"/>
      <c r="N35526" s="1"/>
    </row>
    <row r="35527" spans="7:14" x14ac:dyDescent="0.3">
      <c r="G35527" s="1"/>
      <c r="N35527" s="1"/>
    </row>
    <row r="35528" spans="7:14" x14ac:dyDescent="0.3">
      <c r="G35528" s="1"/>
      <c r="N35528" s="1"/>
    </row>
    <row r="35529" spans="7:14" x14ac:dyDescent="0.3">
      <c r="G35529" s="1"/>
      <c r="N35529" s="1"/>
    </row>
    <row r="35530" spans="7:14" x14ac:dyDescent="0.3">
      <c r="G35530" s="1"/>
      <c r="N35530" s="1"/>
    </row>
    <row r="35531" spans="7:14" x14ac:dyDescent="0.3">
      <c r="G35531" s="1"/>
      <c r="N35531" s="1"/>
    </row>
    <row r="35532" spans="7:14" x14ac:dyDescent="0.3">
      <c r="G35532" s="1"/>
      <c r="N35532" s="1"/>
    </row>
    <row r="35533" spans="7:14" x14ac:dyDescent="0.3">
      <c r="G35533" s="1"/>
      <c r="N35533" s="1"/>
    </row>
    <row r="35534" spans="7:14" x14ac:dyDescent="0.3">
      <c r="G35534" s="1"/>
      <c r="N35534" s="1"/>
    </row>
    <row r="35535" spans="7:14" x14ac:dyDescent="0.3">
      <c r="G35535" s="1"/>
      <c r="N35535" s="1"/>
    </row>
    <row r="35536" spans="7:14" x14ac:dyDescent="0.3">
      <c r="G35536" s="1"/>
      <c r="N35536" s="1"/>
    </row>
    <row r="35537" spans="7:14" x14ac:dyDescent="0.3">
      <c r="G35537" s="1"/>
      <c r="N35537" s="1"/>
    </row>
    <row r="35538" spans="7:14" x14ac:dyDescent="0.3">
      <c r="G35538" s="1"/>
      <c r="N35538" s="1"/>
    </row>
    <row r="35539" spans="7:14" x14ac:dyDescent="0.3">
      <c r="G35539" s="1"/>
      <c r="N35539" s="1"/>
    </row>
    <row r="35540" spans="7:14" x14ac:dyDescent="0.3">
      <c r="G35540" s="1"/>
      <c r="N35540" s="1"/>
    </row>
    <row r="35541" spans="7:14" x14ac:dyDescent="0.3">
      <c r="G35541" s="1"/>
      <c r="N35541" s="1"/>
    </row>
    <row r="35542" spans="7:14" x14ac:dyDescent="0.3">
      <c r="G35542" s="1"/>
      <c r="N35542" s="1"/>
    </row>
    <row r="35543" spans="7:14" x14ac:dyDescent="0.3">
      <c r="G35543" s="1"/>
      <c r="N35543" s="1"/>
    </row>
    <row r="35544" spans="7:14" x14ac:dyDescent="0.3">
      <c r="G35544" s="1"/>
      <c r="N35544" s="1"/>
    </row>
    <row r="35545" spans="7:14" x14ac:dyDescent="0.3">
      <c r="G35545" s="1"/>
      <c r="N35545" s="1"/>
    </row>
    <row r="35546" spans="7:14" x14ac:dyDescent="0.3">
      <c r="G35546" s="1"/>
      <c r="N35546" s="1"/>
    </row>
    <row r="35547" spans="7:14" x14ac:dyDescent="0.3">
      <c r="G35547" s="1"/>
      <c r="N35547" s="1"/>
    </row>
    <row r="35548" spans="7:14" x14ac:dyDescent="0.3">
      <c r="G35548" s="1"/>
      <c r="N35548" s="1"/>
    </row>
    <row r="35549" spans="7:14" x14ac:dyDescent="0.3">
      <c r="G35549" s="1"/>
      <c r="N35549" s="1"/>
    </row>
    <row r="35550" spans="7:14" x14ac:dyDescent="0.3">
      <c r="G35550" s="1"/>
      <c r="N35550" s="1"/>
    </row>
    <row r="35551" spans="7:14" x14ac:dyDescent="0.3">
      <c r="G35551" s="1"/>
      <c r="N35551" s="1"/>
    </row>
    <row r="35552" spans="7:14" x14ac:dyDescent="0.3">
      <c r="G35552" s="1"/>
      <c r="N35552" s="1"/>
    </row>
    <row r="35553" spans="7:14" x14ac:dyDescent="0.3">
      <c r="G35553" s="1"/>
      <c r="N35553" s="1"/>
    </row>
    <row r="35554" spans="7:14" x14ac:dyDescent="0.3">
      <c r="G35554" s="1"/>
      <c r="N35554" s="1"/>
    </row>
    <row r="35555" spans="7:14" x14ac:dyDescent="0.3">
      <c r="G35555" s="1"/>
      <c r="N35555" s="1"/>
    </row>
    <row r="35556" spans="7:14" x14ac:dyDescent="0.3">
      <c r="G35556" s="1"/>
      <c r="N35556" s="1"/>
    </row>
    <row r="35557" spans="7:14" x14ac:dyDescent="0.3">
      <c r="G35557" s="1"/>
      <c r="N35557" s="1"/>
    </row>
    <row r="35558" spans="7:14" x14ac:dyDescent="0.3">
      <c r="G35558" s="1"/>
      <c r="N35558" s="1"/>
    </row>
    <row r="35559" spans="7:14" x14ac:dyDescent="0.3">
      <c r="G35559" s="1"/>
      <c r="N35559" s="1"/>
    </row>
    <row r="35560" spans="7:14" x14ac:dyDescent="0.3">
      <c r="G35560" s="1"/>
      <c r="N35560" s="1"/>
    </row>
    <row r="35561" spans="7:14" x14ac:dyDescent="0.3">
      <c r="G35561" s="1"/>
      <c r="N35561" s="1"/>
    </row>
    <row r="35562" spans="7:14" x14ac:dyDescent="0.3">
      <c r="G35562" s="1"/>
      <c r="N35562" s="1"/>
    </row>
    <row r="35563" spans="7:14" x14ac:dyDescent="0.3">
      <c r="G35563" s="1"/>
      <c r="N35563" s="1"/>
    </row>
    <row r="35564" spans="7:14" x14ac:dyDescent="0.3">
      <c r="G35564" s="1"/>
      <c r="N35564" s="1"/>
    </row>
    <row r="35565" spans="7:14" x14ac:dyDescent="0.3">
      <c r="G35565" s="1"/>
      <c r="N35565" s="1"/>
    </row>
    <row r="35566" spans="7:14" x14ac:dyDescent="0.3">
      <c r="G35566" s="1"/>
      <c r="N35566" s="1"/>
    </row>
    <row r="35567" spans="7:14" x14ac:dyDescent="0.3">
      <c r="G35567" s="1"/>
      <c r="N35567" s="1"/>
    </row>
    <row r="35568" spans="7:14" x14ac:dyDescent="0.3">
      <c r="G35568" s="1"/>
      <c r="N35568" s="1"/>
    </row>
    <row r="35569" spans="7:14" x14ac:dyDescent="0.3">
      <c r="G35569" s="1"/>
      <c r="N35569" s="1"/>
    </row>
    <row r="35570" spans="7:14" x14ac:dyDescent="0.3">
      <c r="G35570" s="1"/>
      <c r="N35570" s="1"/>
    </row>
    <row r="35571" spans="7:14" x14ac:dyDescent="0.3">
      <c r="G35571" s="1"/>
      <c r="N35571" s="1"/>
    </row>
    <row r="35572" spans="7:14" x14ac:dyDescent="0.3">
      <c r="G35572" s="1"/>
      <c r="N35572" s="1"/>
    </row>
    <row r="35573" spans="7:14" x14ac:dyDescent="0.3">
      <c r="G35573" s="1"/>
      <c r="N35573" s="1"/>
    </row>
    <row r="35574" spans="7:14" x14ac:dyDescent="0.3">
      <c r="G35574" s="1"/>
      <c r="N35574" s="1"/>
    </row>
    <row r="35575" spans="7:14" x14ac:dyDescent="0.3">
      <c r="G35575" s="1"/>
      <c r="N35575" s="1"/>
    </row>
    <row r="35576" spans="7:14" x14ac:dyDescent="0.3">
      <c r="G35576" s="1"/>
      <c r="N35576" s="1"/>
    </row>
    <row r="35577" spans="7:14" x14ac:dyDescent="0.3">
      <c r="G35577" s="1"/>
      <c r="N35577" s="1"/>
    </row>
    <row r="35578" spans="7:14" x14ac:dyDescent="0.3">
      <c r="G35578" s="1"/>
      <c r="N35578" s="1"/>
    </row>
    <row r="35579" spans="7:14" x14ac:dyDescent="0.3">
      <c r="G35579" s="1"/>
      <c r="N35579" s="1"/>
    </row>
    <row r="35580" spans="7:14" x14ac:dyDescent="0.3">
      <c r="G35580" s="1"/>
      <c r="N35580" s="1"/>
    </row>
    <row r="35581" spans="7:14" x14ac:dyDescent="0.3">
      <c r="G35581" s="1"/>
      <c r="N35581" s="1"/>
    </row>
    <row r="35582" spans="7:14" x14ac:dyDescent="0.3">
      <c r="G35582" s="1"/>
      <c r="N35582" s="1"/>
    </row>
    <row r="35583" spans="7:14" x14ac:dyDescent="0.3">
      <c r="G35583" s="1"/>
      <c r="N35583" s="1"/>
    </row>
    <row r="35584" spans="7:14" x14ac:dyDescent="0.3">
      <c r="G35584" s="1"/>
      <c r="N35584" s="1"/>
    </row>
    <row r="35585" spans="7:14" x14ac:dyDescent="0.3">
      <c r="G35585" s="1"/>
      <c r="N35585" s="1"/>
    </row>
    <row r="35586" spans="7:14" x14ac:dyDescent="0.3">
      <c r="G35586" s="1"/>
      <c r="N35586" s="1"/>
    </row>
    <row r="35587" spans="7:14" x14ac:dyDescent="0.3">
      <c r="G35587" s="1"/>
      <c r="N35587" s="1"/>
    </row>
    <row r="35588" spans="7:14" x14ac:dyDescent="0.3">
      <c r="G35588" s="1"/>
      <c r="N35588" s="1"/>
    </row>
    <row r="35589" spans="7:14" x14ac:dyDescent="0.3">
      <c r="G35589" s="1"/>
      <c r="N35589" s="1"/>
    </row>
    <row r="35590" spans="7:14" x14ac:dyDescent="0.3">
      <c r="G35590" s="1"/>
      <c r="N35590" s="1"/>
    </row>
    <row r="35591" spans="7:14" x14ac:dyDescent="0.3">
      <c r="G35591" s="1"/>
      <c r="N35591" s="1"/>
    </row>
    <row r="35592" spans="7:14" x14ac:dyDescent="0.3">
      <c r="G35592" s="1"/>
      <c r="N35592" s="1"/>
    </row>
    <row r="35593" spans="7:14" x14ac:dyDescent="0.3">
      <c r="G35593" s="1"/>
      <c r="N35593" s="1"/>
    </row>
    <row r="35594" spans="7:14" x14ac:dyDescent="0.3">
      <c r="G35594" s="1"/>
      <c r="N35594" s="1"/>
    </row>
    <row r="35595" spans="7:14" x14ac:dyDescent="0.3">
      <c r="G35595" s="1"/>
      <c r="N35595" s="1"/>
    </row>
    <row r="35596" spans="7:14" x14ac:dyDescent="0.3">
      <c r="G35596" s="1"/>
      <c r="N35596" s="1"/>
    </row>
    <row r="35597" spans="7:14" x14ac:dyDescent="0.3">
      <c r="G35597" s="1"/>
      <c r="N35597" s="1"/>
    </row>
    <row r="35598" spans="7:14" x14ac:dyDescent="0.3">
      <c r="G35598" s="1"/>
      <c r="N35598" s="1"/>
    </row>
    <row r="35599" spans="7:14" x14ac:dyDescent="0.3">
      <c r="G35599" s="1"/>
      <c r="N35599" s="1"/>
    </row>
    <row r="35600" spans="7:14" x14ac:dyDescent="0.3">
      <c r="G35600" s="1"/>
      <c r="N35600" s="1"/>
    </row>
    <row r="35601" spans="7:14" x14ac:dyDescent="0.3">
      <c r="G35601" s="1"/>
      <c r="N35601" s="1"/>
    </row>
    <row r="35602" spans="7:14" x14ac:dyDescent="0.3">
      <c r="G35602" s="1"/>
      <c r="N35602" s="1"/>
    </row>
    <row r="35603" spans="7:14" x14ac:dyDescent="0.3">
      <c r="G35603" s="1"/>
      <c r="N35603" s="1"/>
    </row>
    <row r="35604" spans="7:14" x14ac:dyDescent="0.3">
      <c r="G35604" s="1"/>
      <c r="N35604" s="1"/>
    </row>
    <row r="35605" spans="7:14" x14ac:dyDescent="0.3">
      <c r="G35605" s="1"/>
      <c r="N35605" s="1"/>
    </row>
    <row r="35606" spans="7:14" x14ac:dyDescent="0.3">
      <c r="G35606" s="1"/>
      <c r="N35606" s="1"/>
    </row>
    <row r="35607" spans="7:14" x14ac:dyDescent="0.3">
      <c r="G35607" s="1"/>
      <c r="N35607" s="1"/>
    </row>
    <row r="35608" spans="7:14" x14ac:dyDescent="0.3">
      <c r="G35608" s="1"/>
      <c r="N35608" s="1"/>
    </row>
    <row r="35609" spans="7:14" x14ac:dyDescent="0.3">
      <c r="G35609" s="1"/>
      <c r="N35609" s="1"/>
    </row>
    <row r="35610" spans="7:14" x14ac:dyDescent="0.3">
      <c r="G35610" s="1"/>
      <c r="N35610" s="1"/>
    </row>
    <row r="35611" spans="7:14" x14ac:dyDescent="0.3">
      <c r="G35611" s="1"/>
      <c r="N35611" s="1"/>
    </row>
    <row r="35612" spans="7:14" x14ac:dyDescent="0.3">
      <c r="G35612" s="1"/>
      <c r="N35612" s="1"/>
    </row>
    <row r="35613" spans="7:14" x14ac:dyDescent="0.3">
      <c r="G35613" s="1"/>
      <c r="N35613" s="1"/>
    </row>
    <row r="35614" spans="7:14" x14ac:dyDescent="0.3">
      <c r="G35614" s="1"/>
      <c r="N35614" s="1"/>
    </row>
    <row r="35615" spans="7:14" x14ac:dyDescent="0.3">
      <c r="G35615" s="1"/>
      <c r="N35615" s="1"/>
    </row>
    <row r="35616" spans="7:14" x14ac:dyDescent="0.3">
      <c r="G35616" s="1"/>
      <c r="N35616" s="1"/>
    </row>
    <row r="35617" spans="7:14" x14ac:dyDescent="0.3">
      <c r="G35617" s="1"/>
      <c r="N35617" s="1"/>
    </row>
    <row r="35618" spans="7:14" x14ac:dyDescent="0.3">
      <c r="G35618" s="1"/>
      <c r="N35618" s="1"/>
    </row>
    <row r="35619" spans="7:14" x14ac:dyDescent="0.3">
      <c r="G35619" s="1"/>
      <c r="N35619" s="1"/>
    </row>
    <row r="35620" spans="7:14" x14ac:dyDescent="0.3">
      <c r="G35620" s="1"/>
      <c r="N35620" s="1"/>
    </row>
    <row r="35621" spans="7:14" x14ac:dyDescent="0.3">
      <c r="G35621" s="1"/>
      <c r="N35621" s="1"/>
    </row>
    <row r="35622" spans="7:14" x14ac:dyDescent="0.3">
      <c r="G35622" s="1"/>
      <c r="N35622" s="1"/>
    </row>
    <row r="35623" spans="7:14" x14ac:dyDescent="0.3">
      <c r="G35623" s="1"/>
      <c r="N35623" s="1"/>
    </row>
    <row r="35624" spans="7:14" x14ac:dyDescent="0.3">
      <c r="G35624" s="1"/>
      <c r="N35624" s="1"/>
    </row>
    <row r="35625" spans="7:14" x14ac:dyDescent="0.3">
      <c r="G35625" s="1"/>
      <c r="N35625" s="1"/>
    </row>
    <row r="35626" spans="7:14" x14ac:dyDescent="0.3">
      <c r="G35626" s="1"/>
      <c r="N35626" s="1"/>
    </row>
    <row r="35627" spans="7:14" x14ac:dyDescent="0.3">
      <c r="G35627" s="1"/>
      <c r="N35627" s="1"/>
    </row>
    <row r="35628" spans="7:14" x14ac:dyDescent="0.3">
      <c r="G35628" s="1"/>
      <c r="N35628" s="1"/>
    </row>
    <row r="35629" spans="7:14" x14ac:dyDescent="0.3">
      <c r="G35629" s="1"/>
      <c r="N35629" s="1"/>
    </row>
    <row r="35630" spans="7:14" x14ac:dyDescent="0.3">
      <c r="G35630" s="1"/>
      <c r="N35630" s="1"/>
    </row>
    <row r="35631" spans="7:14" x14ac:dyDescent="0.3">
      <c r="G35631" s="1"/>
      <c r="N35631" s="1"/>
    </row>
    <row r="35632" spans="7:14" x14ac:dyDescent="0.3">
      <c r="G35632" s="1"/>
      <c r="N35632" s="1"/>
    </row>
    <row r="35633" spans="7:14" x14ac:dyDescent="0.3">
      <c r="G35633" s="1"/>
      <c r="N35633" s="1"/>
    </row>
    <row r="35634" spans="7:14" x14ac:dyDescent="0.3">
      <c r="G35634" s="1"/>
      <c r="N35634" s="1"/>
    </row>
    <row r="35635" spans="7:14" x14ac:dyDescent="0.3">
      <c r="G35635" s="1"/>
      <c r="N35635" s="1"/>
    </row>
    <row r="35636" spans="7:14" x14ac:dyDescent="0.3">
      <c r="G35636" s="1"/>
      <c r="N35636" s="1"/>
    </row>
    <row r="35637" spans="7:14" x14ac:dyDescent="0.3">
      <c r="G35637" s="1"/>
      <c r="N35637" s="1"/>
    </row>
    <row r="35638" spans="7:14" x14ac:dyDescent="0.3">
      <c r="G35638" s="1"/>
      <c r="N35638" s="1"/>
    </row>
    <row r="35639" spans="7:14" x14ac:dyDescent="0.3">
      <c r="G35639" s="1"/>
      <c r="N35639" s="1"/>
    </row>
    <row r="35640" spans="7:14" x14ac:dyDescent="0.3">
      <c r="G35640" s="1"/>
      <c r="N35640" s="1"/>
    </row>
    <row r="35641" spans="7:14" x14ac:dyDescent="0.3">
      <c r="G35641" s="1"/>
      <c r="N35641" s="1"/>
    </row>
    <row r="35642" spans="7:14" x14ac:dyDescent="0.3">
      <c r="G35642" s="1"/>
      <c r="N35642" s="1"/>
    </row>
    <row r="35643" spans="7:14" x14ac:dyDescent="0.3">
      <c r="G35643" s="1"/>
      <c r="N35643" s="1"/>
    </row>
    <row r="35644" spans="7:14" x14ac:dyDescent="0.3">
      <c r="G35644" s="1"/>
      <c r="N35644" s="1"/>
    </row>
    <row r="35645" spans="7:14" x14ac:dyDescent="0.3">
      <c r="G35645" s="1"/>
      <c r="N35645" s="1"/>
    </row>
    <row r="35646" spans="7:14" x14ac:dyDescent="0.3">
      <c r="G35646" s="1"/>
      <c r="N35646" s="1"/>
    </row>
    <row r="35647" spans="7:14" x14ac:dyDescent="0.3">
      <c r="G35647" s="1"/>
      <c r="N35647" s="1"/>
    </row>
    <row r="35648" spans="7:14" x14ac:dyDescent="0.3">
      <c r="G35648" s="1"/>
      <c r="N35648" s="1"/>
    </row>
    <row r="35649" spans="7:14" x14ac:dyDescent="0.3">
      <c r="G35649" s="1"/>
      <c r="N35649" s="1"/>
    </row>
    <row r="35650" spans="7:14" x14ac:dyDescent="0.3">
      <c r="G35650" s="1"/>
      <c r="N35650" s="1"/>
    </row>
    <row r="35651" spans="7:14" x14ac:dyDescent="0.3">
      <c r="G35651" s="1"/>
      <c r="N35651" s="1"/>
    </row>
    <row r="35652" spans="7:14" x14ac:dyDescent="0.3">
      <c r="G35652" s="1"/>
      <c r="N35652" s="1"/>
    </row>
    <row r="35653" spans="7:14" x14ac:dyDescent="0.3">
      <c r="G35653" s="1"/>
      <c r="N35653" s="1"/>
    </row>
    <row r="35654" spans="7:14" x14ac:dyDescent="0.3">
      <c r="G35654" s="1"/>
      <c r="N35654" s="1"/>
    </row>
    <row r="35655" spans="7:14" x14ac:dyDescent="0.3">
      <c r="G35655" s="1"/>
      <c r="N35655" s="1"/>
    </row>
    <row r="35656" spans="7:14" x14ac:dyDescent="0.3">
      <c r="G35656" s="1"/>
      <c r="N35656" s="1"/>
    </row>
    <row r="35657" spans="7:14" x14ac:dyDescent="0.3">
      <c r="G35657" s="1"/>
      <c r="N35657" s="1"/>
    </row>
    <row r="35658" spans="7:14" x14ac:dyDescent="0.3">
      <c r="G35658" s="1"/>
      <c r="N35658" s="1"/>
    </row>
    <row r="35659" spans="7:14" x14ac:dyDescent="0.3">
      <c r="G35659" s="1"/>
      <c r="N35659" s="1"/>
    </row>
    <row r="35660" spans="7:14" x14ac:dyDescent="0.3">
      <c r="G35660" s="1"/>
      <c r="N35660" s="1"/>
    </row>
    <row r="35661" spans="7:14" x14ac:dyDescent="0.3">
      <c r="G35661" s="1"/>
      <c r="N35661" s="1"/>
    </row>
    <row r="35662" spans="7:14" x14ac:dyDescent="0.3">
      <c r="G35662" s="1"/>
      <c r="N35662" s="1"/>
    </row>
    <row r="35663" spans="7:14" x14ac:dyDescent="0.3">
      <c r="G35663" s="1"/>
      <c r="N35663" s="1"/>
    </row>
    <row r="35664" spans="7:14" x14ac:dyDescent="0.3">
      <c r="G35664" s="1"/>
      <c r="N35664" s="1"/>
    </row>
    <row r="35665" spans="7:14" x14ac:dyDescent="0.3">
      <c r="G35665" s="1"/>
      <c r="N35665" s="1"/>
    </row>
    <row r="35666" spans="7:14" x14ac:dyDescent="0.3">
      <c r="G35666" s="1"/>
      <c r="N35666" s="1"/>
    </row>
    <row r="35667" spans="7:14" x14ac:dyDescent="0.3">
      <c r="G35667" s="1"/>
      <c r="N35667" s="1"/>
    </row>
    <row r="35668" spans="7:14" x14ac:dyDescent="0.3">
      <c r="G35668" s="1"/>
      <c r="N35668" s="1"/>
    </row>
    <row r="35669" spans="7:14" x14ac:dyDescent="0.3">
      <c r="G35669" s="1"/>
      <c r="N35669" s="1"/>
    </row>
    <row r="35670" spans="7:14" x14ac:dyDescent="0.3">
      <c r="G35670" s="1"/>
      <c r="N35670" s="1"/>
    </row>
    <row r="35671" spans="7:14" x14ac:dyDescent="0.3">
      <c r="G35671" s="1"/>
      <c r="N35671" s="1"/>
    </row>
    <row r="35672" spans="7:14" x14ac:dyDescent="0.3">
      <c r="G35672" s="1"/>
      <c r="N35672" s="1"/>
    </row>
    <row r="35673" spans="7:14" x14ac:dyDescent="0.3">
      <c r="G35673" s="1"/>
      <c r="N35673" s="1"/>
    </row>
    <row r="35674" spans="7:14" x14ac:dyDescent="0.3">
      <c r="G35674" s="1"/>
      <c r="N35674" s="1"/>
    </row>
    <row r="35675" spans="7:14" x14ac:dyDescent="0.3">
      <c r="G35675" s="1"/>
      <c r="N35675" s="1"/>
    </row>
    <row r="35676" spans="7:14" x14ac:dyDescent="0.3">
      <c r="G35676" s="1"/>
      <c r="N35676" s="1"/>
    </row>
    <row r="35677" spans="7:14" x14ac:dyDescent="0.3">
      <c r="G35677" s="1"/>
      <c r="N35677" s="1"/>
    </row>
    <row r="35678" spans="7:14" x14ac:dyDescent="0.3">
      <c r="G35678" s="1"/>
      <c r="N35678" s="1"/>
    </row>
    <row r="35679" spans="7:14" x14ac:dyDescent="0.3">
      <c r="G35679" s="1"/>
      <c r="N35679" s="1"/>
    </row>
    <row r="35680" spans="7:14" x14ac:dyDescent="0.3">
      <c r="G35680" s="1"/>
      <c r="N35680" s="1"/>
    </row>
    <row r="35681" spans="7:14" x14ac:dyDescent="0.3">
      <c r="G35681" s="1"/>
      <c r="N35681" s="1"/>
    </row>
    <row r="35682" spans="7:14" x14ac:dyDescent="0.3">
      <c r="G35682" s="1"/>
      <c r="N35682" s="1"/>
    </row>
    <row r="35683" spans="7:14" x14ac:dyDescent="0.3">
      <c r="G35683" s="1"/>
      <c r="N35683" s="1"/>
    </row>
    <row r="35684" spans="7:14" x14ac:dyDescent="0.3">
      <c r="G35684" s="1"/>
      <c r="N35684" s="1"/>
    </row>
    <row r="35685" spans="7:14" x14ac:dyDescent="0.3">
      <c r="G35685" s="1"/>
      <c r="N35685" s="1"/>
    </row>
    <row r="35686" spans="7:14" x14ac:dyDescent="0.3">
      <c r="G35686" s="1"/>
      <c r="N35686" s="1"/>
    </row>
    <row r="35687" spans="7:14" x14ac:dyDescent="0.3">
      <c r="G35687" s="1"/>
      <c r="N35687" s="1"/>
    </row>
    <row r="35688" spans="7:14" x14ac:dyDescent="0.3">
      <c r="G35688" s="1"/>
      <c r="N35688" s="1"/>
    </row>
    <row r="35689" spans="7:14" x14ac:dyDescent="0.3">
      <c r="G35689" s="1"/>
      <c r="N35689" s="1"/>
    </row>
    <row r="35690" spans="7:14" x14ac:dyDescent="0.3">
      <c r="G35690" s="1"/>
      <c r="N35690" s="1"/>
    </row>
    <row r="35691" spans="7:14" x14ac:dyDescent="0.3">
      <c r="G35691" s="1"/>
      <c r="N35691" s="1"/>
    </row>
    <row r="35692" spans="7:14" x14ac:dyDescent="0.3">
      <c r="G35692" s="1"/>
      <c r="N35692" s="1"/>
    </row>
    <row r="35693" spans="7:14" x14ac:dyDescent="0.3">
      <c r="G35693" s="1"/>
      <c r="N35693" s="1"/>
    </row>
    <row r="35694" spans="7:14" x14ac:dyDescent="0.3">
      <c r="G35694" s="1"/>
      <c r="N35694" s="1"/>
    </row>
    <row r="35695" spans="7:14" x14ac:dyDescent="0.3">
      <c r="G35695" s="1"/>
      <c r="N35695" s="1"/>
    </row>
    <row r="35696" spans="7:14" x14ac:dyDescent="0.3">
      <c r="G35696" s="1"/>
      <c r="N35696" s="1"/>
    </row>
    <row r="35697" spans="7:14" x14ac:dyDescent="0.3">
      <c r="G35697" s="1"/>
      <c r="N35697" s="1"/>
    </row>
    <row r="35698" spans="7:14" x14ac:dyDescent="0.3">
      <c r="G35698" s="1"/>
      <c r="N35698" s="1"/>
    </row>
    <row r="35699" spans="7:14" x14ac:dyDescent="0.3">
      <c r="G35699" s="1"/>
      <c r="N35699" s="1"/>
    </row>
    <row r="35700" spans="7:14" x14ac:dyDescent="0.3">
      <c r="G35700" s="1"/>
      <c r="N35700" s="1"/>
    </row>
    <row r="35701" spans="7:14" x14ac:dyDescent="0.3">
      <c r="G35701" s="1"/>
      <c r="N35701" s="1"/>
    </row>
    <row r="35702" spans="7:14" x14ac:dyDescent="0.3">
      <c r="G35702" s="1"/>
      <c r="N35702" s="1"/>
    </row>
    <row r="35703" spans="7:14" x14ac:dyDescent="0.3">
      <c r="G35703" s="1"/>
      <c r="N35703" s="1"/>
    </row>
    <row r="35704" spans="7:14" x14ac:dyDescent="0.3">
      <c r="G35704" s="1"/>
      <c r="N35704" s="1"/>
    </row>
    <row r="35705" spans="7:14" x14ac:dyDescent="0.3">
      <c r="G35705" s="1"/>
      <c r="N35705" s="1"/>
    </row>
    <row r="35706" spans="7:14" x14ac:dyDescent="0.3">
      <c r="G35706" s="1"/>
      <c r="N35706" s="1"/>
    </row>
    <row r="35707" spans="7:14" x14ac:dyDescent="0.3">
      <c r="G35707" s="1"/>
      <c r="N35707" s="1"/>
    </row>
    <row r="35708" spans="7:14" x14ac:dyDescent="0.3">
      <c r="G35708" s="1"/>
      <c r="N35708" s="1"/>
    </row>
    <row r="35709" spans="7:14" x14ac:dyDescent="0.3">
      <c r="G35709" s="1"/>
      <c r="N35709" s="1"/>
    </row>
    <row r="35710" spans="7:14" x14ac:dyDescent="0.3">
      <c r="G35710" s="1"/>
      <c r="N35710" s="1"/>
    </row>
    <row r="35711" spans="7:14" x14ac:dyDescent="0.3">
      <c r="G35711" s="1"/>
      <c r="N35711" s="1"/>
    </row>
    <row r="35712" spans="7:14" x14ac:dyDescent="0.3">
      <c r="G35712" s="1"/>
      <c r="N35712" s="1"/>
    </row>
    <row r="35713" spans="7:14" x14ac:dyDescent="0.3">
      <c r="G35713" s="1"/>
      <c r="N35713" s="1"/>
    </row>
    <row r="35714" spans="7:14" x14ac:dyDescent="0.3">
      <c r="G35714" s="1"/>
      <c r="N35714" s="1"/>
    </row>
    <row r="35715" spans="7:14" x14ac:dyDescent="0.3">
      <c r="G35715" s="1"/>
      <c r="N35715" s="1"/>
    </row>
    <row r="35716" spans="7:14" x14ac:dyDescent="0.3">
      <c r="G35716" s="1"/>
      <c r="N35716" s="1"/>
    </row>
    <row r="35717" spans="7:14" x14ac:dyDescent="0.3">
      <c r="G35717" s="1"/>
      <c r="N35717" s="1"/>
    </row>
    <row r="35718" spans="7:14" x14ac:dyDescent="0.3">
      <c r="G35718" s="1"/>
      <c r="N35718" s="1"/>
    </row>
    <row r="35719" spans="7:14" x14ac:dyDescent="0.3">
      <c r="G35719" s="1"/>
      <c r="N35719" s="1"/>
    </row>
    <row r="35720" spans="7:14" x14ac:dyDescent="0.3">
      <c r="G35720" s="1"/>
      <c r="N35720" s="1"/>
    </row>
    <row r="35721" spans="7:14" x14ac:dyDescent="0.3">
      <c r="G35721" s="1"/>
      <c r="N35721" s="1"/>
    </row>
    <row r="35722" spans="7:14" x14ac:dyDescent="0.3">
      <c r="G35722" s="1"/>
      <c r="N35722" s="1"/>
    </row>
    <row r="35723" spans="7:14" x14ac:dyDescent="0.3">
      <c r="G35723" s="1"/>
      <c r="N35723" s="1"/>
    </row>
    <row r="35724" spans="7:14" x14ac:dyDescent="0.3">
      <c r="G35724" s="1"/>
      <c r="N35724" s="1"/>
    </row>
    <row r="35725" spans="7:14" x14ac:dyDescent="0.3">
      <c r="G35725" s="1"/>
      <c r="N35725" s="1"/>
    </row>
    <row r="35726" spans="7:14" x14ac:dyDescent="0.3">
      <c r="G35726" s="1"/>
      <c r="N35726" s="1"/>
    </row>
    <row r="35727" spans="7:14" x14ac:dyDescent="0.3">
      <c r="G35727" s="1"/>
      <c r="N35727" s="1"/>
    </row>
    <row r="35728" spans="7:14" x14ac:dyDescent="0.3">
      <c r="G35728" s="1"/>
      <c r="N35728" s="1"/>
    </row>
    <row r="35729" spans="7:14" x14ac:dyDescent="0.3">
      <c r="G35729" s="1"/>
      <c r="N35729" s="1"/>
    </row>
    <row r="35730" spans="7:14" x14ac:dyDescent="0.3">
      <c r="G35730" s="1"/>
      <c r="N35730" s="1"/>
    </row>
    <row r="35731" spans="7:14" x14ac:dyDescent="0.3">
      <c r="G35731" s="1"/>
      <c r="N35731" s="1"/>
    </row>
    <row r="35732" spans="7:14" x14ac:dyDescent="0.3">
      <c r="G35732" s="1"/>
      <c r="N35732" s="1"/>
    </row>
    <row r="35733" spans="7:14" x14ac:dyDescent="0.3">
      <c r="G35733" s="1"/>
      <c r="N35733" s="1"/>
    </row>
    <row r="35734" spans="7:14" x14ac:dyDescent="0.3">
      <c r="G35734" s="1"/>
      <c r="N35734" s="1"/>
    </row>
    <row r="35735" spans="7:14" x14ac:dyDescent="0.3">
      <c r="G35735" s="1"/>
      <c r="N35735" s="1"/>
    </row>
    <row r="35736" spans="7:14" x14ac:dyDescent="0.3">
      <c r="G35736" s="1"/>
      <c r="N35736" s="1"/>
    </row>
    <row r="35737" spans="7:14" x14ac:dyDescent="0.3">
      <c r="G35737" s="1"/>
      <c r="N35737" s="1"/>
    </row>
    <row r="35738" spans="7:14" x14ac:dyDescent="0.3">
      <c r="G35738" s="1"/>
      <c r="N35738" s="1"/>
    </row>
    <row r="35739" spans="7:14" x14ac:dyDescent="0.3">
      <c r="G35739" s="1"/>
      <c r="N35739" s="1"/>
    </row>
    <row r="35740" spans="7:14" x14ac:dyDescent="0.3">
      <c r="G35740" s="1"/>
      <c r="N35740" s="1"/>
    </row>
    <row r="35741" spans="7:14" x14ac:dyDescent="0.3">
      <c r="G35741" s="1"/>
      <c r="N35741" s="1"/>
    </row>
    <row r="35742" spans="7:14" x14ac:dyDescent="0.3">
      <c r="G35742" s="1"/>
      <c r="N35742" s="1"/>
    </row>
    <row r="35743" spans="7:14" x14ac:dyDescent="0.3">
      <c r="G35743" s="1"/>
      <c r="N35743" s="1"/>
    </row>
    <row r="35744" spans="7:14" x14ac:dyDescent="0.3">
      <c r="G35744" s="1"/>
      <c r="N35744" s="1"/>
    </row>
    <row r="35745" spans="7:14" x14ac:dyDescent="0.3">
      <c r="G35745" s="1"/>
      <c r="N35745" s="1"/>
    </row>
    <row r="35746" spans="7:14" x14ac:dyDescent="0.3">
      <c r="G35746" s="1"/>
      <c r="N35746" s="1"/>
    </row>
    <row r="35747" spans="7:14" x14ac:dyDescent="0.3">
      <c r="G35747" s="1"/>
      <c r="N35747" s="1"/>
    </row>
    <row r="35748" spans="7:14" x14ac:dyDescent="0.3">
      <c r="G35748" s="1"/>
      <c r="N35748" s="1"/>
    </row>
    <row r="35749" spans="7:14" x14ac:dyDescent="0.3">
      <c r="G35749" s="1"/>
      <c r="N35749" s="1"/>
    </row>
    <row r="35750" spans="7:14" x14ac:dyDescent="0.3">
      <c r="G35750" s="1"/>
      <c r="N35750" s="1"/>
    </row>
    <row r="35751" spans="7:14" x14ac:dyDescent="0.3">
      <c r="G35751" s="1"/>
      <c r="N35751" s="1"/>
    </row>
    <row r="35752" spans="7:14" x14ac:dyDescent="0.3">
      <c r="G35752" s="1"/>
      <c r="N35752" s="1"/>
    </row>
    <row r="35753" spans="7:14" x14ac:dyDescent="0.3">
      <c r="G35753" s="1"/>
      <c r="N35753" s="1"/>
    </row>
    <row r="35754" spans="7:14" x14ac:dyDescent="0.3">
      <c r="G35754" s="1"/>
      <c r="N35754" s="1"/>
    </row>
    <row r="35755" spans="7:14" x14ac:dyDescent="0.3">
      <c r="G35755" s="1"/>
      <c r="N35755" s="1"/>
    </row>
    <row r="35756" spans="7:14" x14ac:dyDescent="0.3">
      <c r="G35756" s="1"/>
      <c r="N35756" s="1"/>
    </row>
    <row r="35757" spans="7:14" x14ac:dyDescent="0.3">
      <c r="G35757" s="1"/>
      <c r="N35757" s="1"/>
    </row>
    <row r="35758" spans="7:14" x14ac:dyDescent="0.3">
      <c r="G35758" s="1"/>
      <c r="N35758" s="1"/>
    </row>
    <row r="35759" spans="7:14" x14ac:dyDescent="0.3">
      <c r="G35759" s="1"/>
      <c r="N35759" s="1"/>
    </row>
    <row r="35760" spans="7:14" x14ac:dyDescent="0.3">
      <c r="G35760" s="1"/>
      <c r="N35760" s="1"/>
    </row>
    <row r="35761" spans="7:14" x14ac:dyDescent="0.3">
      <c r="G35761" s="1"/>
      <c r="N35761" s="1"/>
    </row>
    <row r="35762" spans="7:14" x14ac:dyDescent="0.3">
      <c r="G35762" s="1"/>
      <c r="N35762" s="1"/>
    </row>
    <row r="35763" spans="7:14" x14ac:dyDescent="0.3">
      <c r="G35763" s="1"/>
      <c r="N35763" s="1"/>
    </row>
    <row r="35764" spans="7:14" x14ac:dyDescent="0.3">
      <c r="G35764" s="1"/>
      <c r="N35764" s="1"/>
    </row>
    <row r="35765" spans="7:14" x14ac:dyDescent="0.3">
      <c r="G35765" s="1"/>
      <c r="N35765" s="1"/>
    </row>
    <row r="35766" spans="7:14" x14ac:dyDescent="0.3">
      <c r="G35766" s="1"/>
      <c r="N35766" s="1"/>
    </row>
    <row r="35767" spans="7:14" x14ac:dyDescent="0.3">
      <c r="G35767" s="1"/>
      <c r="N35767" s="1"/>
    </row>
    <row r="35768" spans="7:14" x14ac:dyDescent="0.3">
      <c r="G35768" s="1"/>
      <c r="N35768" s="1"/>
    </row>
    <row r="35769" spans="7:14" x14ac:dyDescent="0.3">
      <c r="G35769" s="1"/>
      <c r="N35769" s="1"/>
    </row>
    <row r="35770" spans="7:14" x14ac:dyDescent="0.3">
      <c r="G35770" s="1"/>
      <c r="N35770" s="1"/>
    </row>
    <row r="35771" spans="7:14" x14ac:dyDescent="0.3">
      <c r="G35771" s="1"/>
      <c r="N35771" s="1"/>
    </row>
    <row r="35772" spans="7:14" x14ac:dyDescent="0.3">
      <c r="G35772" s="1"/>
      <c r="N35772" s="1"/>
    </row>
    <row r="35773" spans="7:14" x14ac:dyDescent="0.3">
      <c r="G35773" s="1"/>
      <c r="N35773" s="1"/>
    </row>
    <row r="35774" spans="7:14" x14ac:dyDescent="0.3">
      <c r="G35774" s="1"/>
      <c r="N35774" s="1"/>
    </row>
    <row r="35775" spans="7:14" x14ac:dyDescent="0.3">
      <c r="G35775" s="1"/>
      <c r="N35775" s="1"/>
    </row>
    <row r="35776" spans="7:14" x14ac:dyDescent="0.3">
      <c r="G35776" s="1"/>
      <c r="N35776" s="1"/>
    </row>
    <row r="35777" spans="7:14" x14ac:dyDescent="0.3">
      <c r="G35777" s="1"/>
      <c r="N35777" s="1"/>
    </row>
    <row r="35778" spans="7:14" x14ac:dyDescent="0.3">
      <c r="G35778" s="1"/>
      <c r="N35778" s="1"/>
    </row>
    <row r="35779" spans="7:14" x14ac:dyDescent="0.3">
      <c r="G35779" s="1"/>
      <c r="N35779" s="1"/>
    </row>
    <row r="35780" spans="7:14" x14ac:dyDescent="0.3">
      <c r="G35780" s="1"/>
      <c r="N35780" s="1"/>
    </row>
    <row r="35781" spans="7:14" x14ac:dyDescent="0.3">
      <c r="G35781" s="1"/>
      <c r="N35781" s="1"/>
    </row>
    <row r="35782" spans="7:14" x14ac:dyDescent="0.3">
      <c r="G35782" s="1"/>
      <c r="N35782" s="1"/>
    </row>
    <row r="35783" spans="7:14" x14ac:dyDescent="0.3">
      <c r="G35783" s="1"/>
      <c r="N35783" s="1"/>
    </row>
    <row r="35784" spans="7:14" x14ac:dyDescent="0.3">
      <c r="G35784" s="1"/>
      <c r="N35784" s="1"/>
    </row>
    <row r="35785" spans="7:14" x14ac:dyDescent="0.3">
      <c r="G35785" s="1"/>
      <c r="N35785" s="1"/>
    </row>
    <row r="35786" spans="7:14" x14ac:dyDescent="0.3">
      <c r="G35786" s="1"/>
      <c r="N35786" s="1"/>
    </row>
    <row r="35787" spans="7:14" x14ac:dyDescent="0.3">
      <c r="G35787" s="1"/>
      <c r="N35787" s="1"/>
    </row>
    <row r="35788" spans="7:14" x14ac:dyDescent="0.3">
      <c r="G35788" s="1"/>
      <c r="N35788" s="1"/>
    </row>
    <row r="35789" spans="7:14" x14ac:dyDescent="0.3">
      <c r="G35789" s="1"/>
      <c r="N35789" s="1"/>
    </row>
    <row r="35790" spans="7:14" x14ac:dyDescent="0.3">
      <c r="G35790" s="1"/>
      <c r="N35790" s="1"/>
    </row>
    <row r="35791" spans="7:14" x14ac:dyDescent="0.3">
      <c r="G35791" s="1"/>
      <c r="N35791" s="1"/>
    </row>
    <row r="35792" spans="7:14" x14ac:dyDescent="0.3">
      <c r="G35792" s="1"/>
      <c r="N35792" s="1"/>
    </row>
    <row r="35793" spans="7:14" x14ac:dyDescent="0.3">
      <c r="G35793" s="1"/>
      <c r="N35793" s="1"/>
    </row>
    <row r="35794" spans="7:14" x14ac:dyDescent="0.3">
      <c r="G35794" s="1"/>
      <c r="N35794" s="1"/>
    </row>
    <row r="35795" spans="7:14" x14ac:dyDescent="0.3">
      <c r="G35795" s="1"/>
      <c r="N35795" s="1"/>
    </row>
    <row r="35796" spans="7:14" x14ac:dyDescent="0.3">
      <c r="G35796" s="1"/>
      <c r="N35796" s="1"/>
    </row>
    <row r="35797" spans="7:14" x14ac:dyDescent="0.3">
      <c r="G35797" s="1"/>
      <c r="N35797" s="1"/>
    </row>
    <row r="35798" spans="7:14" x14ac:dyDescent="0.3">
      <c r="G35798" s="1"/>
      <c r="N35798" s="1"/>
    </row>
    <row r="35799" spans="7:14" x14ac:dyDescent="0.3">
      <c r="G35799" s="1"/>
      <c r="N35799" s="1"/>
    </row>
    <row r="35800" spans="7:14" x14ac:dyDescent="0.3">
      <c r="G35800" s="1"/>
      <c r="N35800" s="1"/>
    </row>
    <row r="35801" spans="7:14" x14ac:dyDescent="0.3">
      <c r="G35801" s="1"/>
      <c r="N35801" s="1"/>
    </row>
    <row r="35802" spans="7:14" x14ac:dyDescent="0.3">
      <c r="G35802" s="1"/>
      <c r="N35802" s="1"/>
    </row>
    <row r="35803" spans="7:14" x14ac:dyDescent="0.3">
      <c r="G35803" s="1"/>
      <c r="N35803" s="1"/>
    </row>
    <row r="35804" spans="7:14" x14ac:dyDescent="0.3">
      <c r="G35804" s="1"/>
      <c r="N35804" s="1"/>
    </row>
    <row r="35805" spans="7:14" x14ac:dyDescent="0.3">
      <c r="G35805" s="1"/>
      <c r="N35805" s="1"/>
    </row>
    <row r="35806" spans="7:14" x14ac:dyDescent="0.3">
      <c r="G35806" s="1"/>
      <c r="N35806" s="1"/>
    </row>
    <row r="35807" spans="7:14" x14ac:dyDescent="0.3">
      <c r="G35807" s="1"/>
      <c r="N35807" s="1"/>
    </row>
    <row r="35808" spans="7:14" x14ac:dyDescent="0.3">
      <c r="G35808" s="1"/>
      <c r="N35808" s="1"/>
    </row>
    <row r="35809" spans="7:14" x14ac:dyDescent="0.3">
      <c r="G35809" s="1"/>
      <c r="N35809" s="1"/>
    </row>
    <row r="35810" spans="7:14" x14ac:dyDescent="0.3">
      <c r="G35810" s="1"/>
      <c r="N35810" s="1"/>
    </row>
    <row r="35811" spans="7:14" x14ac:dyDescent="0.3">
      <c r="G35811" s="1"/>
      <c r="N35811" s="1"/>
    </row>
    <row r="35812" spans="7:14" x14ac:dyDescent="0.3">
      <c r="G35812" s="1"/>
      <c r="N35812" s="1"/>
    </row>
    <row r="35813" spans="7:14" x14ac:dyDescent="0.3">
      <c r="G35813" s="1"/>
      <c r="N35813" s="1"/>
    </row>
    <row r="35814" spans="7:14" x14ac:dyDescent="0.3">
      <c r="G35814" s="1"/>
      <c r="N35814" s="1"/>
    </row>
    <row r="35815" spans="7:14" x14ac:dyDescent="0.3">
      <c r="G35815" s="1"/>
      <c r="N35815" s="1"/>
    </row>
    <row r="35816" spans="7:14" x14ac:dyDescent="0.3">
      <c r="G35816" s="1"/>
      <c r="N35816" s="1"/>
    </row>
    <row r="35817" spans="7:14" x14ac:dyDescent="0.3">
      <c r="G35817" s="1"/>
      <c r="N35817" s="1"/>
    </row>
    <row r="35818" spans="7:14" x14ac:dyDescent="0.3">
      <c r="G35818" s="1"/>
      <c r="N35818" s="1"/>
    </row>
    <row r="35819" spans="7:14" x14ac:dyDescent="0.3">
      <c r="G35819" s="1"/>
      <c r="N35819" s="1"/>
    </row>
    <row r="35820" spans="7:14" x14ac:dyDescent="0.3">
      <c r="G35820" s="1"/>
      <c r="N35820" s="1"/>
    </row>
    <row r="35821" spans="7:14" x14ac:dyDescent="0.3">
      <c r="G35821" s="1"/>
      <c r="N35821" s="1"/>
    </row>
    <row r="35822" spans="7:14" x14ac:dyDescent="0.3">
      <c r="G35822" s="1"/>
      <c r="N35822" s="1"/>
    </row>
    <row r="35823" spans="7:14" x14ac:dyDescent="0.3">
      <c r="G35823" s="1"/>
      <c r="N35823" s="1"/>
    </row>
    <row r="35824" spans="7:14" x14ac:dyDescent="0.3">
      <c r="G35824" s="1"/>
      <c r="N35824" s="1"/>
    </row>
    <row r="35825" spans="7:14" x14ac:dyDescent="0.3">
      <c r="G35825" s="1"/>
      <c r="N35825" s="1"/>
    </row>
    <row r="35826" spans="7:14" x14ac:dyDescent="0.3">
      <c r="G35826" s="1"/>
      <c r="N35826" s="1"/>
    </row>
    <row r="35827" spans="7:14" x14ac:dyDescent="0.3">
      <c r="G35827" s="1"/>
      <c r="N35827" s="1"/>
    </row>
    <row r="35828" spans="7:14" x14ac:dyDescent="0.3">
      <c r="G35828" s="1"/>
      <c r="N35828" s="1"/>
    </row>
    <row r="35829" spans="7:14" x14ac:dyDescent="0.3">
      <c r="G35829" s="1"/>
      <c r="N35829" s="1"/>
    </row>
    <row r="35830" spans="7:14" x14ac:dyDescent="0.3">
      <c r="G35830" s="1"/>
      <c r="N35830" s="1"/>
    </row>
    <row r="35831" spans="7:14" x14ac:dyDescent="0.3">
      <c r="G35831" s="1"/>
      <c r="N35831" s="1"/>
    </row>
    <row r="35832" spans="7:14" x14ac:dyDescent="0.3">
      <c r="G35832" s="1"/>
      <c r="N35832" s="1"/>
    </row>
    <row r="35833" spans="7:14" x14ac:dyDescent="0.3">
      <c r="G35833" s="1"/>
      <c r="N35833" s="1"/>
    </row>
    <row r="35834" spans="7:14" x14ac:dyDescent="0.3">
      <c r="G35834" s="1"/>
      <c r="N35834" s="1"/>
    </row>
    <row r="35835" spans="7:14" x14ac:dyDescent="0.3">
      <c r="G35835" s="1"/>
      <c r="N35835" s="1"/>
    </row>
    <row r="35836" spans="7:14" x14ac:dyDescent="0.3">
      <c r="G35836" s="1"/>
      <c r="N35836" s="1"/>
    </row>
    <row r="35837" spans="7:14" x14ac:dyDescent="0.3">
      <c r="G35837" s="1"/>
      <c r="N35837" s="1"/>
    </row>
    <row r="35838" spans="7:14" x14ac:dyDescent="0.3">
      <c r="G35838" s="1"/>
      <c r="N35838" s="1"/>
    </row>
    <row r="35839" spans="7:14" x14ac:dyDescent="0.3">
      <c r="G35839" s="1"/>
      <c r="N35839" s="1"/>
    </row>
    <row r="35840" spans="7:14" x14ac:dyDescent="0.3">
      <c r="G35840" s="1"/>
      <c r="N35840" s="1"/>
    </row>
    <row r="35841" spans="7:14" x14ac:dyDescent="0.3">
      <c r="G35841" s="1"/>
      <c r="N35841" s="1"/>
    </row>
    <row r="35842" spans="7:14" x14ac:dyDescent="0.3">
      <c r="G35842" s="1"/>
      <c r="N35842" s="1"/>
    </row>
    <row r="35843" spans="7:14" x14ac:dyDescent="0.3">
      <c r="G35843" s="1"/>
      <c r="N35843" s="1"/>
    </row>
    <row r="35844" spans="7:14" x14ac:dyDescent="0.3">
      <c r="G35844" s="1"/>
      <c r="N35844" s="1"/>
    </row>
    <row r="35845" spans="7:14" x14ac:dyDescent="0.3">
      <c r="G35845" s="1"/>
      <c r="N35845" s="1"/>
    </row>
    <row r="35846" spans="7:14" x14ac:dyDescent="0.3">
      <c r="G35846" s="1"/>
      <c r="N35846" s="1"/>
    </row>
    <row r="35847" spans="7:14" x14ac:dyDescent="0.3">
      <c r="G35847" s="1"/>
      <c r="N35847" s="1"/>
    </row>
    <row r="35848" spans="7:14" x14ac:dyDescent="0.3">
      <c r="G35848" s="1"/>
      <c r="N35848" s="1"/>
    </row>
    <row r="35849" spans="7:14" x14ac:dyDescent="0.3">
      <c r="G35849" s="1"/>
      <c r="N35849" s="1"/>
    </row>
    <row r="35850" spans="7:14" x14ac:dyDescent="0.3">
      <c r="G35850" s="1"/>
      <c r="N35850" s="1"/>
    </row>
    <row r="35851" spans="7:14" x14ac:dyDescent="0.3">
      <c r="G35851" s="1"/>
      <c r="N35851" s="1"/>
    </row>
    <row r="35852" spans="7:14" x14ac:dyDescent="0.3">
      <c r="G35852" s="1"/>
      <c r="N35852" s="1"/>
    </row>
    <row r="35853" spans="7:14" x14ac:dyDescent="0.3">
      <c r="G35853" s="1"/>
      <c r="N35853" s="1"/>
    </row>
    <row r="35854" spans="7:14" x14ac:dyDescent="0.3">
      <c r="G35854" s="1"/>
      <c r="N35854" s="1"/>
    </row>
    <row r="35855" spans="7:14" x14ac:dyDescent="0.3">
      <c r="G35855" s="1"/>
      <c r="N35855" s="1"/>
    </row>
    <row r="35856" spans="7:14" x14ac:dyDescent="0.3">
      <c r="G35856" s="1"/>
      <c r="N35856" s="1"/>
    </row>
    <row r="35857" spans="7:14" x14ac:dyDescent="0.3">
      <c r="G35857" s="1"/>
      <c r="N35857" s="1"/>
    </row>
    <row r="35858" spans="7:14" x14ac:dyDescent="0.3">
      <c r="G35858" s="1"/>
      <c r="N35858" s="1"/>
    </row>
    <row r="35859" spans="7:14" x14ac:dyDescent="0.3">
      <c r="G35859" s="1"/>
      <c r="N35859" s="1"/>
    </row>
    <row r="35860" spans="7:14" x14ac:dyDescent="0.3">
      <c r="G35860" s="1"/>
      <c r="N35860" s="1"/>
    </row>
    <row r="35861" spans="7:14" x14ac:dyDescent="0.3">
      <c r="G35861" s="1"/>
      <c r="N35861" s="1"/>
    </row>
    <row r="35862" spans="7:14" x14ac:dyDescent="0.3">
      <c r="G35862" s="1"/>
      <c r="N35862" s="1"/>
    </row>
    <row r="35863" spans="7:14" x14ac:dyDescent="0.3">
      <c r="G35863" s="1"/>
      <c r="N35863" s="1"/>
    </row>
    <row r="35864" spans="7:14" x14ac:dyDescent="0.3">
      <c r="G35864" s="1"/>
      <c r="N35864" s="1"/>
    </row>
    <row r="35865" spans="7:14" x14ac:dyDescent="0.3">
      <c r="G35865" s="1"/>
      <c r="N35865" s="1"/>
    </row>
    <row r="35866" spans="7:14" x14ac:dyDescent="0.3">
      <c r="G35866" s="1"/>
      <c r="N35866" s="1"/>
    </row>
    <row r="35867" spans="7:14" x14ac:dyDescent="0.3">
      <c r="G35867" s="1"/>
      <c r="N35867" s="1"/>
    </row>
    <row r="35868" spans="7:14" x14ac:dyDescent="0.3">
      <c r="G35868" s="1"/>
      <c r="N35868" s="1"/>
    </row>
    <row r="35869" spans="7:14" x14ac:dyDescent="0.3">
      <c r="G35869" s="1"/>
      <c r="N35869" s="1"/>
    </row>
    <row r="35870" spans="7:14" x14ac:dyDescent="0.3">
      <c r="G35870" s="1"/>
      <c r="N35870" s="1"/>
    </row>
    <row r="35871" spans="7:14" x14ac:dyDescent="0.3">
      <c r="G35871" s="1"/>
      <c r="N35871" s="1"/>
    </row>
    <row r="35872" spans="7:14" x14ac:dyDescent="0.3">
      <c r="G35872" s="1"/>
      <c r="N35872" s="1"/>
    </row>
    <row r="35873" spans="7:14" x14ac:dyDescent="0.3">
      <c r="G35873" s="1"/>
      <c r="N35873" s="1"/>
    </row>
    <row r="35874" spans="7:14" x14ac:dyDescent="0.3">
      <c r="G35874" s="1"/>
      <c r="N35874" s="1"/>
    </row>
    <row r="35875" spans="7:14" x14ac:dyDescent="0.3">
      <c r="G35875" s="1"/>
      <c r="N35875" s="1"/>
    </row>
    <row r="35876" spans="7:14" x14ac:dyDescent="0.3">
      <c r="G35876" s="1"/>
      <c r="N35876" s="1"/>
    </row>
    <row r="35877" spans="7:14" x14ac:dyDescent="0.3">
      <c r="G35877" s="1"/>
      <c r="N35877" s="1"/>
    </row>
    <row r="35878" spans="7:14" x14ac:dyDescent="0.3">
      <c r="G35878" s="1"/>
      <c r="N35878" s="1"/>
    </row>
    <row r="35879" spans="7:14" x14ac:dyDescent="0.3">
      <c r="G35879" s="1"/>
      <c r="N35879" s="1"/>
    </row>
    <row r="35880" spans="7:14" x14ac:dyDescent="0.3">
      <c r="G35880" s="1"/>
      <c r="N35880" s="1"/>
    </row>
    <row r="35881" spans="7:14" x14ac:dyDescent="0.3">
      <c r="G35881" s="1"/>
      <c r="N35881" s="1"/>
    </row>
    <row r="35882" spans="7:14" x14ac:dyDescent="0.3">
      <c r="G35882" s="1"/>
      <c r="N35882" s="1"/>
    </row>
    <row r="35883" spans="7:14" x14ac:dyDescent="0.3">
      <c r="G35883" s="1"/>
      <c r="N35883" s="1"/>
    </row>
    <row r="35884" spans="7:14" x14ac:dyDescent="0.3">
      <c r="G35884" s="1"/>
      <c r="N35884" s="1"/>
    </row>
    <row r="35885" spans="7:14" x14ac:dyDescent="0.3">
      <c r="G35885" s="1"/>
      <c r="N35885" s="1"/>
    </row>
    <row r="35886" spans="7:14" x14ac:dyDescent="0.3">
      <c r="G35886" s="1"/>
      <c r="N35886" s="1"/>
    </row>
    <row r="35887" spans="7:14" x14ac:dyDescent="0.3">
      <c r="G35887" s="1"/>
      <c r="N35887" s="1"/>
    </row>
    <row r="35888" spans="7:14" x14ac:dyDescent="0.3">
      <c r="G35888" s="1"/>
      <c r="N35888" s="1"/>
    </row>
    <row r="35889" spans="7:14" x14ac:dyDescent="0.3">
      <c r="G35889" s="1"/>
      <c r="N35889" s="1"/>
    </row>
    <row r="35890" spans="7:14" x14ac:dyDescent="0.3">
      <c r="G35890" s="1"/>
      <c r="N35890" s="1"/>
    </row>
    <row r="35891" spans="7:14" x14ac:dyDescent="0.3">
      <c r="G35891" s="1"/>
      <c r="N35891" s="1"/>
    </row>
    <row r="35892" spans="7:14" x14ac:dyDescent="0.3">
      <c r="G35892" s="1"/>
      <c r="N35892" s="1"/>
    </row>
    <row r="35893" spans="7:14" x14ac:dyDescent="0.3">
      <c r="G35893" s="1"/>
      <c r="N35893" s="1"/>
    </row>
    <row r="35894" spans="7:14" x14ac:dyDescent="0.3">
      <c r="G35894" s="1"/>
      <c r="N35894" s="1"/>
    </row>
    <row r="35895" spans="7:14" x14ac:dyDescent="0.3">
      <c r="G35895" s="1"/>
      <c r="N35895" s="1"/>
    </row>
    <row r="35896" spans="7:14" x14ac:dyDescent="0.3">
      <c r="G35896" s="1"/>
      <c r="N35896" s="1"/>
    </row>
    <row r="35897" spans="7:14" x14ac:dyDescent="0.3">
      <c r="G35897" s="1"/>
      <c r="N35897" s="1"/>
    </row>
    <row r="35898" spans="7:14" x14ac:dyDescent="0.3">
      <c r="G35898" s="1"/>
      <c r="N35898" s="1"/>
    </row>
    <row r="35899" spans="7:14" x14ac:dyDescent="0.3">
      <c r="G35899" s="1"/>
      <c r="N35899" s="1"/>
    </row>
    <row r="35900" spans="7:14" x14ac:dyDescent="0.3">
      <c r="G35900" s="1"/>
      <c r="N35900" s="1"/>
    </row>
    <row r="35901" spans="7:14" x14ac:dyDescent="0.3">
      <c r="G35901" s="1"/>
      <c r="N35901" s="1"/>
    </row>
    <row r="35902" spans="7:14" x14ac:dyDescent="0.3">
      <c r="G35902" s="1"/>
      <c r="N35902" s="1"/>
    </row>
    <row r="35903" spans="7:14" x14ac:dyDescent="0.3">
      <c r="G35903" s="1"/>
      <c r="N35903" s="1"/>
    </row>
    <row r="35904" spans="7:14" x14ac:dyDescent="0.3">
      <c r="G35904" s="1"/>
      <c r="N35904" s="1"/>
    </row>
    <row r="35905" spans="7:14" x14ac:dyDescent="0.3">
      <c r="G35905" s="1"/>
      <c r="N35905" s="1"/>
    </row>
    <row r="35906" spans="7:14" x14ac:dyDescent="0.3">
      <c r="G35906" s="1"/>
      <c r="N35906" s="1"/>
    </row>
    <row r="35907" spans="7:14" x14ac:dyDescent="0.3">
      <c r="G35907" s="1"/>
      <c r="N35907" s="1"/>
    </row>
    <row r="35908" spans="7:14" x14ac:dyDescent="0.3">
      <c r="G35908" s="1"/>
      <c r="N35908" s="1"/>
    </row>
    <row r="35909" spans="7:14" x14ac:dyDescent="0.3">
      <c r="G35909" s="1"/>
      <c r="N35909" s="1"/>
    </row>
    <row r="35910" spans="7:14" x14ac:dyDescent="0.3">
      <c r="G35910" s="1"/>
      <c r="N35910" s="1"/>
    </row>
    <row r="35911" spans="7:14" x14ac:dyDescent="0.3">
      <c r="G35911" s="1"/>
      <c r="N35911" s="1"/>
    </row>
    <row r="35912" spans="7:14" x14ac:dyDescent="0.3">
      <c r="G35912" s="1"/>
      <c r="N35912" s="1"/>
    </row>
    <row r="35913" spans="7:14" x14ac:dyDescent="0.3">
      <c r="G35913" s="1"/>
      <c r="N35913" s="1"/>
    </row>
    <row r="35914" spans="7:14" x14ac:dyDescent="0.3">
      <c r="G35914" s="1"/>
      <c r="N35914" s="1"/>
    </row>
    <row r="35915" spans="7:14" x14ac:dyDescent="0.3">
      <c r="G35915" s="1"/>
      <c r="N35915" s="1"/>
    </row>
    <row r="35916" spans="7:14" x14ac:dyDescent="0.3">
      <c r="G35916" s="1"/>
      <c r="N35916" s="1"/>
    </row>
    <row r="35917" spans="7:14" x14ac:dyDescent="0.3">
      <c r="G35917" s="1"/>
      <c r="N35917" s="1"/>
    </row>
    <row r="35918" spans="7:14" x14ac:dyDescent="0.3">
      <c r="G35918" s="1"/>
      <c r="N35918" s="1"/>
    </row>
    <row r="35919" spans="7:14" x14ac:dyDescent="0.3">
      <c r="G35919" s="1"/>
      <c r="N35919" s="1"/>
    </row>
    <row r="35920" spans="7:14" x14ac:dyDescent="0.3">
      <c r="G35920" s="1"/>
      <c r="N35920" s="1"/>
    </row>
    <row r="35921" spans="7:14" x14ac:dyDescent="0.3">
      <c r="G35921" s="1"/>
      <c r="N35921" s="1"/>
    </row>
    <row r="35922" spans="7:14" x14ac:dyDescent="0.3">
      <c r="G35922" s="1"/>
      <c r="N35922" s="1"/>
    </row>
    <row r="35923" spans="7:14" x14ac:dyDescent="0.3">
      <c r="G35923" s="1"/>
      <c r="N35923" s="1"/>
    </row>
    <row r="35924" spans="7:14" x14ac:dyDescent="0.3">
      <c r="G35924" s="1"/>
      <c r="N35924" s="1"/>
    </row>
    <row r="35925" spans="7:14" x14ac:dyDescent="0.3">
      <c r="G35925" s="1"/>
      <c r="N35925" s="1"/>
    </row>
    <row r="35926" spans="7:14" x14ac:dyDescent="0.3">
      <c r="G35926" s="1"/>
      <c r="N35926" s="1"/>
    </row>
    <row r="35927" spans="7:14" x14ac:dyDescent="0.3">
      <c r="G35927" s="1"/>
      <c r="N35927" s="1"/>
    </row>
    <row r="35928" spans="7:14" x14ac:dyDescent="0.3">
      <c r="G35928" s="1"/>
      <c r="N35928" s="1"/>
    </row>
    <row r="35929" spans="7:14" x14ac:dyDescent="0.3">
      <c r="G35929" s="1"/>
      <c r="N35929" s="1"/>
    </row>
    <row r="35930" spans="7:14" x14ac:dyDescent="0.3">
      <c r="G35930" s="1"/>
      <c r="N35930" s="1"/>
    </row>
    <row r="35931" spans="7:14" x14ac:dyDescent="0.3">
      <c r="G35931" s="1"/>
      <c r="N35931" s="1"/>
    </row>
    <row r="35932" spans="7:14" x14ac:dyDescent="0.3">
      <c r="G35932" s="1"/>
      <c r="N35932" s="1"/>
    </row>
    <row r="35933" spans="7:14" x14ac:dyDescent="0.3">
      <c r="G35933" s="1"/>
      <c r="N35933" s="1"/>
    </row>
    <row r="35934" spans="7:14" x14ac:dyDescent="0.3">
      <c r="G35934" s="1"/>
      <c r="N35934" s="1"/>
    </row>
    <row r="35935" spans="7:14" x14ac:dyDescent="0.3">
      <c r="G35935" s="1"/>
      <c r="N35935" s="1"/>
    </row>
    <row r="35936" spans="7:14" x14ac:dyDescent="0.3">
      <c r="G35936" s="1"/>
      <c r="N35936" s="1"/>
    </row>
    <row r="35937" spans="7:14" x14ac:dyDescent="0.3">
      <c r="G35937" s="1"/>
      <c r="N35937" s="1"/>
    </row>
    <row r="35938" spans="7:14" x14ac:dyDescent="0.3">
      <c r="G35938" s="1"/>
      <c r="N35938" s="1"/>
    </row>
    <row r="35939" spans="7:14" x14ac:dyDescent="0.3">
      <c r="G35939" s="1"/>
      <c r="N35939" s="1"/>
    </row>
    <row r="35940" spans="7:14" x14ac:dyDescent="0.3">
      <c r="G35940" s="1"/>
      <c r="N35940" s="1"/>
    </row>
    <row r="35941" spans="7:14" x14ac:dyDescent="0.3">
      <c r="G35941" s="1"/>
      <c r="N35941" s="1"/>
    </row>
    <row r="35942" spans="7:14" x14ac:dyDescent="0.3">
      <c r="G35942" s="1"/>
      <c r="N35942" s="1"/>
    </row>
    <row r="35943" spans="7:14" x14ac:dyDescent="0.3">
      <c r="G35943" s="1"/>
      <c r="N35943" s="1"/>
    </row>
    <row r="35944" spans="7:14" x14ac:dyDescent="0.3">
      <c r="G35944" s="1"/>
      <c r="N35944" s="1"/>
    </row>
    <row r="35945" spans="7:14" x14ac:dyDescent="0.3">
      <c r="G35945" s="1"/>
      <c r="N35945" s="1"/>
    </row>
    <row r="35946" spans="7:14" x14ac:dyDescent="0.3">
      <c r="G35946" s="1"/>
      <c r="N35946" s="1"/>
    </row>
    <row r="35947" spans="7:14" x14ac:dyDescent="0.3">
      <c r="G35947" s="1"/>
      <c r="N35947" s="1"/>
    </row>
    <row r="35948" spans="7:14" x14ac:dyDescent="0.3">
      <c r="G35948" s="1"/>
      <c r="N35948" s="1"/>
    </row>
    <row r="35949" spans="7:14" x14ac:dyDescent="0.3">
      <c r="G35949" s="1"/>
      <c r="N35949" s="1"/>
    </row>
    <row r="35950" spans="7:14" x14ac:dyDescent="0.3">
      <c r="G35950" s="1"/>
      <c r="N35950" s="1"/>
    </row>
    <row r="35951" spans="7:14" x14ac:dyDescent="0.3">
      <c r="G35951" s="1"/>
      <c r="N35951" s="1"/>
    </row>
    <row r="35952" spans="7:14" x14ac:dyDescent="0.3">
      <c r="G35952" s="1"/>
      <c r="N35952" s="1"/>
    </row>
    <row r="35953" spans="7:14" x14ac:dyDescent="0.3">
      <c r="G35953" s="1"/>
      <c r="N35953" s="1"/>
    </row>
    <row r="35954" spans="7:14" x14ac:dyDescent="0.3">
      <c r="G35954" s="1"/>
      <c r="N35954" s="1"/>
    </row>
    <row r="35955" spans="7:14" x14ac:dyDescent="0.3">
      <c r="G35955" s="1"/>
      <c r="N35955" s="1"/>
    </row>
    <row r="35956" spans="7:14" x14ac:dyDescent="0.3">
      <c r="G35956" s="1"/>
      <c r="N35956" s="1"/>
    </row>
    <row r="35957" spans="7:14" x14ac:dyDescent="0.3">
      <c r="G35957" s="1"/>
      <c r="N35957" s="1"/>
    </row>
    <row r="35958" spans="7:14" x14ac:dyDescent="0.3">
      <c r="G35958" s="1"/>
      <c r="N35958" s="1"/>
    </row>
    <row r="35959" spans="7:14" x14ac:dyDescent="0.3">
      <c r="G35959" s="1"/>
      <c r="N35959" s="1"/>
    </row>
    <row r="35960" spans="7:14" x14ac:dyDescent="0.3">
      <c r="G35960" s="1"/>
      <c r="N35960" s="1"/>
    </row>
    <row r="35961" spans="7:14" x14ac:dyDescent="0.3">
      <c r="G35961" s="1"/>
      <c r="N35961" s="1"/>
    </row>
    <row r="35962" spans="7:14" x14ac:dyDescent="0.3">
      <c r="G35962" s="1"/>
      <c r="N35962" s="1"/>
    </row>
    <row r="35963" spans="7:14" x14ac:dyDescent="0.3">
      <c r="G35963" s="1"/>
      <c r="N35963" s="1"/>
    </row>
    <row r="35964" spans="7:14" x14ac:dyDescent="0.3">
      <c r="G35964" s="1"/>
      <c r="N35964" s="1"/>
    </row>
    <row r="35965" spans="7:14" x14ac:dyDescent="0.3">
      <c r="G35965" s="1"/>
      <c r="N35965" s="1"/>
    </row>
    <row r="35966" spans="7:14" x14ac:dyDescent="0.3">
      <c r="G35966" s="1"/>
      <c r="N35966" s="1"/>
    </row>
    <row r="35967" spans="7:14" x14ac:dyDescent="0.3">
      <c r="G35967" s="1"/>
      <c r="N35967" s="1"/>
    </row>
    <row r="35968" spans="7:14" x14ac:dyDescent="0.3">
      <c r="G35968" s="1"/>
      <c r="N35968" s="1"/>
    </row>
    <row r="35969" spans="7:14" x14ac:dyDescent="0.3">
      <c r="G35969" s="1"/>
      <c r="N35969" s="1"/>
    </row>
    <row r="35970" spans="7:14" x14ac:dyDescent="0.3">
      <c r="G35970" s="1"/>
      <c r="N35970" s="1"/>
    </row>
    <row r="35971" spans="7:14" x14ac:dyDescent="0.3">
      <c r="G35971" s="1"/>
      <c r="N35971" s="1"/>
    </row>
    <row r="35972" spans="7:14" x14ac:dyDescent="0.3">
      <c r="G35972" s="1"/>
      <c r="N35972" s="1"/>
    </row>
    <row r="35973" spans="7:14" x14ac:dyDescent="0.3">
      <c r="G35973" s="1"/>
      <c r="N35973" s="1"/>
    </row>
    <row r="35974" spans="7:14" x14ac:dyDescent="0.3">
      <c r="G35974" s="1"/>
      <c r="N35974" s="1"/>
    </row>
    <row r="35975" spans="7:14" x14ac:dyDescent="0.3">
      <c r="G35975" s="1"/>
      <c r="N35975" s="1"/>
    </row>
    <row r="35976" spans="7:14" x14ac:dyDescent="0.3">
      <c r="G35976" s="1"/>
      <c r="N35976" s="1"/>
    </row>
    <row r="35977" spans="7:14" x14ac:dyDescent="0.3">
      <c r="G35977" s="1"/>
      <c r="N35977" s="1"/>
    </row>
    <row r="35978" spans="7:14" x14ac:dyDescent="0.3">
      <c r="G35978" s="1"/>
      <c r="N35978" s="1"/>
    </row>
    <row r="35979" spans="7:14" x14ac:dyDescent="0.3">
      <c r="G35979" s="1"/>
      <c r="N35979" s="1"/>
    </row>
    <row r="35980" spans="7:14" x14ac:dyDescent="0.3">
      <c r="G35980" s="1"/>
      <c r="N35980" s="1"/>
    </row>
    <row r="35981" spans="7:14" x14ac:dyDescent="0.3">
      <c r="G35981" s="1"/>
      <c r="N35981" s="1"/>
    </row>
    <row r="35982" spans="7:14" x14ac:dyDescent="0.3">
      <c r="G35982" s="1"/>
      <c r="N35982" s="1"/>
    </row>
    <row r="35983" spans="7:14" x14ac:dyDescent="0.3">
      <c r="G35983" s="1"/>
      <c r="N35983" s="1"/>
    </row>
    <row r="35984" spans="7:14" x14ac:dyDescent="0.3">
      <c r="G35984" s="1"/>
      <c r="N35984" s="1"/>
    </row>
    <row r="35985" spans="7:14" x14ac:dyDescent="0.3">
      <c r="G35985" s="1"/>
      <c r="N35985" s="1"/>
    </row>
    <row r="35986" spans="7:14" x14ac:dyDescent="0.3">
      <c r="G35986" s="1"/>
      <c r="N35986" s="1"/>
    </row>
    <row r="35987" spans="7:14" x14ac:dyDescent="0.3">
      <c r="G35987" s="1"/>
      <c r="N35987" s="1"/>
    </row>
    <row r="35988" spans="7:14" x14ac:dyDescent="0.3">
      <c r="G35988" s="1"/>
      <c r="N35988" s="1"/>
    </row>
    <row r="35989" spans="7:14" x14ac:dyDescent="0.3">
      <c r="G35989" s="1"/>
      <c r="N35989" s="1"/>
    </row>
    <row r="35990" spans="7:14" x14ac:dyDescent="0.3">
      <c r="G35990" s="1"/>
      <c r="N35990" s="1"/>
    </row>
    <row r="35991" spans="7:14" x14ac:dyDescent="0.3">
      <c r="G35991" s="1"/>
      <c r="N35991" s="1"/>
    </row>
    <row r="35992" spans="7:14" x14ac:dyDescent="0.3">
      <c r="G35992" s="1"/>
      <c r="N35992" s="1"/>
    </row>
    <row r="35993" spans="7:14" x14ac:dyDescent="0.3">
      <c r="G35993" s="1"/>
      <c r="N35993" s="1"/>
    </row>
    <row r="35994" spans="7:14" x14ac:dyDescent="0.3">
      <c r="G35994" s="1"/>
      <c r="N35994" s="1"/>
    </row>
    <row r="35995" spans="7:14" x14ac:dyDescent="0.3">
      <c r="G35995" s="1"/>
      <c r="N35995" s="1"/>
    </row>
    <row r="35996" spans="7:14" x14ac:dyDescent="0.3">
      <c r="G35996" s="1"/>
      <c r="N35996" s="1"/>
    </row>
    <row r="35997" spans="7:14" x14ac:dyDescent="0.3">
      <c r="G35997" s="1"/>
      <c r="N35997" s="1"/>
    </row>
    <row r="35998" spans="7:14" x14ac:dyDescent="0.3">
      <c r="G35998" s="1"/>
      <c r="N35998" s="1"/>
    </row>
    <row r="35999" spans="7:14" x14ac:dyDescent="0.3">
      <c r="G35999" s="1"/>
      <c r="N35999" s="1"/>
    </row>
    <row r="36000" spans="7:14" x14ac:dyDescent="0.3">
      <c r="G36000" s="1"/>
      <c r="N36000" s="1"/>
    </row>
    <row r="36001" spans="7:14" x14ac:dyDescent="0.3">
      <c r="G36001" s="1"/>
      <c r="N36001" s="1"/>
    </row>
    <row r="36002" spans="7:14" x14ac:dyDescent="0.3">
      <c r="G36002" s="1"/>
      <c r="N36002" s="1"/>
    </row>
    <row r="36003" spans="7:14" x14ac:dyDescent="0.3">
      <c r="G36003" s="1"/>
      <c r="N36003" s="1"/>
    </row>
    <row r="36004" spans="7:14" x14ac:dyDescent="0.3">
      <c r="G36004" s="1"/>
      <c r="N36004" s="1"/>
    </row>
    <row r="36005" spans="7:14" x14ac:dyDescent="0.3">
      <c r="G36005" s="1"/>
      <c r="N36005" s="1"/>
    </row>
    <row r="36006" spans="7:14" x14ac:dyDescent="0.3">
      <c r="G36006" s="1"/>
      <c r="N36006" s="1"/>
    </row>
    <row r="36007" spans="7:14" x14ac:dyDescent="0.3">
      <c r="G36007" s="1"/>
      <c r="N36007" s="1"/>
    </row>
    <row r="36008" spans="7:14" x14ac:dyDescent="0.3">
      <c r="G36008" s="1"/>
      <c r="N36008" s="1"/>
    </row>
    <row r="36009" spans="7:14" x14ac:dyDescent="0.3">
      <c r="G36009" s="1"/>
      <c r="N36009" s="1"/>
    </row>
    <row r="36010" spans="7:14" x14ac:dyDescent="0.3">
      <c r="G36010" s="1"/>
      <c r="N36010" s="1"/>
    </row>
    <row r="36011" spans="7:14" x14ac:dyDescent="0.3">
      <c r="G36011" s="1"/>
      <c r="N36011" s="1"/>
    </row>
    <row r="36012" spans="7:14" x14ac:dyDescent="0.3">
      <c r="G36012" s="1"/>
      <c r="N36012" s="1"/>
    </row>
    <row r="36013" spans="7:14" x14ac:dyDescent="0.3">
      <c r="G36013" s="1"/>
      <c r="N36013" s="1"/>
    </row>
    <row r="36014" spans="7:14" x14ac:dyDescent="0.3">
      <c r="G36014" s="1"/>
      <c r="N36014" s="1"/>
    </row>
    <row r="36015" spans="7:14" x14ac:dyDescent="0.3">
      <c r="G36015" s="1"/>
      <c r="N36015" s="1"/>
    </row>
    <row r="36016" spans="7:14" x14ac:dyDescent="0.3">
      <c r="G36016" s="1"/>
      <c r="N36016" s="1"/>
    </row>
    <row r="36017" spans="7:14" x14ac:dyDescent="0.3">
      <c r="G36017" s="1"/>
      <c r="N36017" s="1"/>
    </row>
    <row r="36018" spans="7:14" x14ac:dyDescent="0.3">
      <c r="G36018" s="1"/>
      <c r="N36018" s="1"/>
    </row>
    <row r="36019" spans="7:14" x14ac:dyDescent="0.3">
      <c r="G36019" s="1"/>
      <c r="N36019" s="1"/>
    </row>
    <row r="36020" spans="7:14" x14ac:dyDescent="0.3">
      <c r="G36020" s="1"/>
      <c r="N36020" s="1"/>
    </row>
    <row r="36021" spans="7:14" x14ac:dyDescent="0.3">
      <c r="G36021" s="1"/>
      <c r="N36021" s="1"/>
    </row>
    <row r="36022" spans="7:14" x14ac:dyDescent="0.3">
      <c r="G36022" s="1"/>
      <c r="N36022" s="1"/>
    </row>
    <row r="36023" spans="7:14" x14ac:dyDescent="0.3">
      <c r="G36023" s="1"/>
      <c r="N36023" s="1"/>
    </row>
    <row r="36024" spans="7:14" x14ac:dyDescent="0.3">
      <c r="G36024" s="1"/>
      <c r="N36024" s="1"/>
    </row>
    <row r="36025" spans="7:14" x14ac:dyDescent="0.3">
      <c r="G36025" s="1"/>
      <c r="N36025" s="1"/>
    </row>
    <row r="36026" spans="7:14" x14ac:dyDescent="0.3">
      <c r="G36026" s="1"/>
      <c r="N36026" s="1"/>
    </row>
    <row r="36027" spans="7:14" x14ac:dyDescent="0.3">
      <c r="G36027" s="1"/>
      <c r="N36027" s="1"/>
    </row>
    <row r="36028" spans="7:14" x14ac:dyDescent="0.3">
      <c r="G36028" s="1"/>
      <c r="N36028" s="1"/>
    </row>
    <row r="36029" spans="7:14" x14ac:dyDescent="0.3">
      <c r="G36029" s="1"/>
      <c r="N36029" s="1"/>
    </row>
    <row r="36030" spans="7:14" x14ac:dyDescent="0.3">
      <c r="G36030" s="1"/>
      <c r="N36030" s="1"/>
    </row>
    <row r="36031" spans="7:14" x14ac:dyDescent="0.3">
      <c r="G36031" s="1"/>
      <c r="N36031" s="1"/>
    </row>
    <row r="36032" spans="7:14" x14ac:dyDescent="0.3">
      <c r="G36032" s="1"/>
      <c r="N36032" s="1"/>
    </row>
    <row r="36033" spans="7:14" x14ac:dyDescent="0.3">
      <c r="G36033" s="1"/>
      <c r="N36033" s="1"/>
    </row>
    <row r="36034" spans="7:14" x14ac:dyDescent="0.3">
      <c r="G36034" s="1"/>
      <c r="N36034" s="1"/>
    </row>
    <row r="36035" spans="7:14" x14ac:dyDescent="0.3">
      <c r="G36035" s="1"/>
      <c r="N36035" s="1"/>
    </row>
    <row r="36036" spans="7:14" x14ac:dyDescent="0.3">
      <c r="G36036" s="1"/>
      <c r="N36036" s="1"/>
    </row>
    <row r="36037" spans="7:14" x14ac:dyDescent="0.3">
      <c r="G36037" s="1"/>
      <c r="N36037" s="1"/>
    </row>
    <row r="36038" spans="7:14" x14ac:dyDescent="0.3">
      <c r="G36038" s="1"/>
      <c r="N36038" s="1"/>
    </row>
    <row r="36039" spans="7:14" x14ac:dyDescent="0.3">
      <c r="G36039" s="1"/>
      <c r="N36039" s="1"/>
    </row>
    <row r="36040" spans="7:14" x14ac:dyDescent="0.3">
      <c r="G36040" s="1"/>
      <c r="N36040" s="1"/>
    </row>
    <row r="36041" spans="7:14" x14ac:dyDescent="0.3">
      <c r="G36041" s="1"/>
      <c r="N36041" s="1"/>
    </row>
    <row r="36042" spans="7:14" x14ac:dyDescent="0.3">
      <c r="G36042" s="1"/>
      <c r="N36042" s="1"/>
    </row>
    <row r="36043" spans="7:14" x14ac:dyDescent="0.3">
      <c r="G36043" s="1"/>
      <c r="N36043" s="1"/>
    </row>
    <row r="36044" spans="7:14" x14ac:dyDescent="0.3">
      <c r="G36044" s="1"/>
      <c r="N36044" s="1"/>
    </row>
    <row r="36045" spans="7:14" x14ac:dyDescent="0.3">
      <c r="G36045" s="1"/>
      <c r="N36045" s="1"/>
    </row>
    <row r="36046" spans="7:14" x14ac:dyDescent="0.3">
      <c r="G36046" s="1"/>
      <c r="N36046" s="1"/>
    </row>
    <row r="36047" spans="7:14" x14ac:dyDescent="0.3">
      <c r="G36047" s="1"/>
      <c r="N36047" s="1"/>
    </row>
    <row r="36048" spans="7:14" x14ac:dyDescent="0.3">
      <c r="G36048" s="1"/>
      <c r="N36048" s="1"/>
    </row>
    <row r="36049" spans="7:14" x14ac:dyDescent="0.3">
      <c r="G36049" s="1"/>
      <c r="N36049" s="1"/>
    </row>
    <row r="36050" spans="7:14" x14ac:dyDescent="0.3">
      <c r="G36050" s="1"/>
      <c r="N36050" s="1"/>
    </row>
    <row r="36051" spans="7:14" x14ac:dyDescent="0.3">
      <c r="G36051" s="1"/>
      <c r="N36051" s="1"/>
    </row>
    <row r="36052" spans="7:14" x14ac:dyDescent="0.3">
      <c r="G36052" s="1"/>
      <c r="N36052" s="1"/>
    </row>
    <row r="36053" spans="7:14" x14ac:dyDescent="0.3">
      <c r="G36053" s="1"/>
      <c r="N36053" s="1"/>
    </row>
    <row r="36054" spans="7:14" x14ac:dyDescent="0.3">
      <c r="G36054" s="1"/>
      <c r="N36054" s="1"/>
    </row>
    <row r="36055" spans="7:14" x14ac:dyDescent="0.3">
      <c r="G36055" s="1"/>
      <c r="N36055" s="1"/>
    </row>
    <row r="36056" spans="7:14" x14ac:dyDescent="0.3">
      <c r="G36056" s="1"/>
      <c r="N36056" s="1"/>
    </row>
    <row r="36057" spans="7:14" x14ac:dyDescent="0.3">
      <c r="G36057" s="1"/>
      <c r="N36057" s="1"/>
    </row>
    <row r="36058" spans="7:14" x14ac:dyDescent="0.3">
      <c r="G36058" s="1"/>
      <c r="N36058" s="1"/>
    </row>
    <row r="36059" spans="7:14" x14ac:dyDescent="0.3">
      <c r="G36059" s="1"/>
      <c r="N36059" s="1"/>
    </row>
    <row r="36060" spans="7:14" x14ac:dyDescent="0.3">
      <c r="G36060" s="1"/>
      <c r="N36060" s="1"/>
    </row>
    <row r="36061" spans="7:14" x14ac:dyDescent="0.3">
      <c r="G36061" s="1"/>
      <c r="N36061" s="1"/>
    </row>
    <row r="36062" spans="7:14" x14ac:dyDescent="0.3">
      <c r="G36062" s="1"/>
      <c r="N36062" s="1"/>
    </row>
    <row r="36063" spans="7:14" x14ac:dyDescent="0.3">
      <c r="G36063" s="1"/>
      <c r="N36063" s="1"/>
    </row>
    <row r="36064" spans="7:14" x14ac:dyDescent="0.3">
      <c r="G36064" s="1"/>
      <c r="N36064" s="1"/>
    </row>
    <row r="36065" spans="7:14" x14ac:dyDescent="0.3">
      <c r="G36065" s="1"/>
      <c r="N36065" s="1"/>
    </row>
    <row r="36066" spans="7:14" x14ac:dyDescent="0.3">
      <c r="G36066" s="1"/>
      <c r="N36066" s="1"/>
    </row>
    <row r="36067" spans="7:14" x14ac:dyDescent="0.3">
      <c r="G36067" s="1"/>
      <c r="N36067" s="1"/>
    </row>
    <row r="36068" spans="7:14" x14ac:dyDescent="0.3">
      <c r="G36068" s="1"/>
      <c r="N36068" s="1"/>
    </row>
    <row r="36069" spans="7:14" x14ac:dyDescent="0.3">
      <c r="G36069" s="1"/>
      <c r="N36069" s="1"/>
    </row>
    <row r="36070" spans="7:14" x14ac:dyDescent="0.3">
      <c r="G36070" s="1"/>
      <c r="N36070" s="1"/>
    </row>
    <row r="36071" spans="7:14" x14ac:dyDescent="0.3">
      <c r="G36071" s="1"/>
      <c r="N36071" s="1"/>
    </row>
    <row r="36072" spans="7:14" x14ac:dyDescent="0.3">
      <c r="G36072" s="1"/>
      <c r="N36072" s="1"/>
    </row>
    <row r="36073" spans="7:14" x14ac:dyDescent="0.3">
      <c r="G36073" s="1"/>
      <c r="N36073" s="1"/>
    </row>
    <row r="36074" spans="7:14" x14ac:dyDescent="0.3">
      <c r="G36074" s="1"/>
      <c r="N36074" s="1"/>
    </row>
    <row r="36075" spans="7:14" x14ac:dyDescent="0.3">
      <c r="G36075" s="1"/>
      <c r="N36075" s="1"/>
    </row>
    <row r="36076" spans="7:14" x14ac:dyDescent="0.3">
      <c r="G36076" s="1"/>
      <c r="N36076" s="1"/>
    </row>
    <row r="36077" spans="7:14" x14ac:dyDescent="0.3">
      <c r="G36077" s="1"/>
      <c r="N36077" s="1"/>
    </row>
    <row r="36078" spans="7:14" x14ac:dyDescent="0.3">
      <c r="G36078" s="1"/>
      <c r="N36078" s="1"/>
    </row>
    <row r="36079" spans="7:14" x14ac:dyDescent="0.3">
      <c r="G36079" s="1"/>
      <c r="N36079" s="1"/>
    </row>
    <row r="36080" spans="7:14" x14ac:dyDescent="0.3">
      <c r="G36080" s="1"/>
      <c r="N36080" s="1"/>
    </row>
    <row r="36081" spans="7:14" x14ac:dyDescent="0.3">
      <c r="G36081" s="1"/>
      <c r="N36081" s="1"/>
    </row>
    <row r="36082" spans="7:14" x14ac:dyDescent="0.3">
      <c r="G36082" s="1"/>
      <c r="N36082" s="1"/>
    </row>
    <row r="36083" spans="7:14" x14ac:dyDescent="0.3">
      <c r="G36083" s="1"/>
      <c r="N36083" s="1"/>
    </row>
    <row r="36084" spans="7:14" x14ac:dyDescent="0.3">
      <c r="G36084" s="1"/>
      <c r="N36084" s="1"/>
    </row>
    <row r="36085" spans="7:14" x14ac:dyDescent="0.3">
      <c r="G36085" s="1"/>
      <c r="N36085" s="1"/>
    </row>
    <row r="36086" spans="7:14" x14ac:dyDescent="0.3">
      <c r="G36086" s="1"/>
      <c r="N36086" s="1"/>
    </row>
    <row r="36087" spans="7:14" x14ac:dyDescent="0.3">
      <c r="G36087" s="1"/>
      <c r="N36087" s="1"/>
    </row>
    <row r="36088" spans="7:14" x14ac:dyDescent="0.3">
      <c r="G36088" s="1"/>
      <c r="N36088" s="1"/>
    </row>
    <row r="36089" spans="7:14" x14ac:dyDescent="0.3">
      <c r="G36089" s="1"/>
      <c r="N36089" s="1"/>
    </row>
    <row r="36090" spans="7:14" x14ac:dyDescent="0.3">
      <c r="G36090" s="1"/>
      <c r="N36090" s="1"/>
    </row>
    <row r="36091" spans="7:14" x14ac:dyDescent="0.3">
      <c r="G36091" s="1"/>
      <c r="N36091" s="1"/>
    </row>
    <row r="36092" spans="7:14" x14ac:dyDescent="0.3">
      <c r="G36092" s="1"/>
      <c r="N36092" s="1"/>
    </row>
    <row r="36093" spans="7:14" x14ac:dyDescent="0.3">
      <c r="G36093" s="1"/>
      <c r="N36093" s="1"/>
    </row>
    <row r="36094" spans="7:14" x14ac:dyDescent="0.3">
      <c r="G36094" s="1"/>
      <c r="N36094" s="1"/>
    </row>
    <row r="36095" spans="7:14" x14ac:dyDescent="0.3">
      <c r="G36095" s="1"/>
      <c r="N36095" s="1"/>
    </row>
    <row r="36096" spans="7:14" x14ac:dyDescent="0.3">
      <c r="G36096" s="1"/>
      <c r="N36096" s="1"/>
    </row>
    <row r="36097" spans="7:14" x14ac:dyDescent="0.3">
      <c r="G36097" s="1"/>
      <c r="N36097" s="1"/>
    </row>
    <row r="36098" spans="7:14" x14ac:dyDescent="0.3">
      <c r="G36098" s="1"/>
      <c r="N36098" s="1"/>
    </row>
    <row r="36099" spans="7:14" x14ac:dyDescent="0.3">
      <c r="G36099" s="1"/>
      <c r="N36099" s="1"/>
    </row>
    <row r="36100" spans="7:14" x14ac:dyDescent="0.3">
      <c r="G36100" s="1"/>
      <c r="N36100" s="1"/>
    </row>
    <row r="36101" spans="7:14" x14ac:dyDescent="0.3">
      <c r="G36101" s="1"/>
      <c r="N36101" s="1"/>
    </row>
    <row r="36102" spans="7:14" x14ac:dyDescent="0.3">
      <c r="G36102" s="1"/>
      <c r="N36102" s="1"/>
    </row>
    <row r="36103" spans="7:14" x14ac:dyDescent="0.3">
      <c r="G36103" s="1"/>
      <c r="N36103" s="1"/>
    </row>
    <row r="36104" spans="7:14" x14ac:dyDescent="0.3">
      <c r="G36104" s="1"/>
      <c r="N36104" s="1"/>
    </row>
    <row r="36105" spans="7:14" x14ac:dyDescent="0.3">
      <c r="G36105" s="1"/>
      <c r="N36105" s="1"/>
    </row>
    <row r="36106" spans="7:14" x14ac:dyDescent="0.3">
      <c r="G36106" s="1"/>
      <c r="N36106" s="1"/>
    </row>
    <row r="36107" spans="7:14" x14ac:dyDescent="0.3">
      <c r="G36107" s="1"/>
      <c r="N36107" s="1"/>
    </row>
    <row r="36108" spans="7:14" x14ac:dyDescent="0.3">
      <c r="G36108" s="1"/>
      <c r="N36108" s="1"/>
    </row>
    <row r="36109" spans="7:14" x14ac:dyDescent="0.3">
      <c r="G36109" s="1"/>
      <c r="N36109" s="1"/>
    </row>
    <row r="36110" spans="7:14" x14ac:dyDescent="0.3">
      <c r="G36110" s="1"/>
      <c r="N36110" s="1"/>
    </row>
    <row r="36111" spans="7:14" x14ac:dyDescent="0.3">
      <c r="G36111" s="1"/>
      <c r="N36111" s="1"/>
    </row>
    <row r="36112" spans="7:14" x14ac:dyDescent="0.3">
      <c r="G36112" s="1"/>
      <c r="N36112" s="1"/>
    </row>
    <row r="36113" spans="7:14" x14ac:dyDescent="0.3">
      <c r="G36113" s="1"/>
      <c r="N36113" s="1"/>
    </row>
    <row r="36114" spans="7:14" x14ac:dyDescent="0.3">
      <c r="G36114" s="1"/>
      <c r="N36114" s="1"/>
    </row>
    <row r="36115" spans="7:14" x14ac:dyDescent="0.3">
      <c r="G36115" s="1"/>
      <c r="N36115" s="1"/>
    </row>
    <row r="36116" spans="7:14" x14ac:dyDescent="0.3">
      <c r="G36116" s="1"/>
      <c r="N36116" s="1"/>
    </row>
    <row r="36117" spans="7:14" x14ac:dyDescent="0.3">
      <c r="G36117" s="1"/>
      <c r="N36117" s="1"/>
    </row>
    <row r="36118" spans="7:14" x14ac:dyDescent="0.3">
      <c r="G36118" s="1"/>
      <c r="N36118" s="1"/>
    </row>
    <row r="36119" spans="7:14" x14ac:dyDescent="0.3">
      <c r="G36119" s="1"/>
      <c r="N36119" s="1"/>
    </row>
    <row r="36120" spans="7:14" x14ac:dyDescent="0.3">
      <c r="G36120" s="1"/>
      <c r="N36120" s="1"/>
    </row>
    <row r="36121" spans="7:14" x14ac:dyDescent="0.3">
      <c r="G36121" s="1"/>
      <c r="N36121" s="1"/>
    </row>
    <row r="36122" spans="7:14" x14ac:dyDescent="0.3">
      <c r="G36122" s="1"/>
      <c r="N36122" s="1"/>
    </row>
    <row r="36123" spans="7:14" x14ac:dyDescent="0.3">
      <c r="G36123" s="1"/>
      <c r="N36123" s="1"/>
    </row>
    <row r="36124" spans="7:14" x14ac:dyDescent="0.3">
      <c r="G36124" s="1"/>
      <c r="N36124" s="1"/>
    </row>
    <row r="36125" spans="7:14" x14ac:dyDescent="0.3">
      <c r="G36125" s="1"/>
      <c r="N36125" s="1"/>
    </row>
    <row r="36126" spans="7:14" x14ac:dyDescent="0.3">
      <c r="G36126" s="1"/>
      <c r="N36126" s="1"/>
    </row>
    <row r="36127" spans="7:14" x14ac:dyDescent="0.3">
      <c r="G36127" s="1"/>
      <c r="N36127" s="1"/>
    </row>
    <row r="36128" spans="7:14" x14ac:dyDescent="0.3">
      <c r="G36128" s="1"/>
      <c r="N36128" s="1"/>
    </row>
    <row r="36129" spans="7:14" x14ac:dyDescent="0.3">
      <c r="G36129" s="1"/>
      <c r="N36129" s="1"/>
    </row>
    <row r="36130" spans="7:14" x14ac:dyDescent="0.3">
      <c r="G36130" s="1"/>
      <c r="N36130" s="1"/>
    </row>
    <row r="36131" spans="7:14" x14ac:dyDescent="0.3">
      <c r="G36131" s="1"/>
      <c r="N36131" s="1"/>
    </row>
    <row r="36132" spans="7:14" x14ac:dyDescent="0.3">
      <c r="G36132" s="1"/>
      <c r="N36132" s="1"/>
    </row>
    <row r="36133" spans="7:14" x14ac:dyDescent="0.3">
      <c r="G36133" s="1"/>
      <c r="N36133" s="1"/>
    </row>
    <row r="36134" spans="7:14" x14ac:dyDescent="0.3">
      <c r="G36134" s="1"/>
      <c r="N36134" s="1"/>
    </row>
    <row r="36135" spans="7:14" x14ac:dyDescent="0.3">
      <c r="G36135" s="1"/>
      <c r="N36135" s="1"/>
    </row>
    <row r="36136" spans="7:14" x14ac:dyDescent="0.3">
      <c r="G36136" s="1"/>
      <c r="N36136" s="1"/>
    </row>
    <row r="36137" spans="7:14" x14ac:dyDescent="0.3">
      <c r="G36137" s="1"/>
      <c r="N36137" s="1"/>
    </row>
    <row r="36138" spans="7:14" x14ac:dyDescent="0.3">
      <c r="G36138" s="1"/>
      <c r="N36138" s="1"/>
    </row>
    <row r="36139" spans="7:14" x14ac:dyDescent="0.3">
      <c r="G36139" s="1"/>
      <c r="N36139" s="1"/>
    </row>
    <row r="36140" spans="7:14" x14ac:dyDescent="0.3">
      <c r="G36140" s="1"/>
      <c r="N36140" s="1"/>
    </row>
    <row r="36141" spans="7:14" x14ac:dyDescent="0.3">
      <c r="G36141" s="1"/>
      <c r="N36141" s="1"/>
    </row>
    <row r="36142" spans="7:14" x14ac:dyDescent="0.3">
      <c r="G36142" s="1"/>
      <c r="N36142" s="1"/>
    </row>
    <row r="36143" spans="7:14" x14ac:dyDescent="0.3">
      <c r="G36143" s="1"/>
      <c r="N36143" s="1"/>
    </row>
    <row r="36144" spans="7:14" x14ac:dyDescent="0.3">
      <c r="G36144" s="1"/>
      <c r="N36144" s="1"/>
    </row>
    <row r="36145" spans="7:14" x14ac:dyDescent="0.3">
      <c r="G36145" s="1"/>
      <c r="N36145" s="1"/>
    </row>
    <row r="36146" spans="7:14" x14ac:dyDescent="0.3">
      <c r="G36146" s="1"/>
      <c r="N36146" s="1"/>
    </row>
    <row r="36147" spans="7:14" x14ac:dyDescent="0.3">
      <c r="G36147" s="1"/>
      <c r="N36147" s="1"/>
    </row>
    <row r="36148" spans="7:14" x14ac:dyDescent="0.3">
      <c r="G36148" s="1"/>
      <c r="N36148" s="1"/>
    </row>
    <row r="36149" spans="7:14" x14ac:dyDescent="0.3">
      <c r="G36149" s="1"/>
      <c r="N36149" s="1"/>
    </row>
    <row r="36150" spans="7:14" x14ac:dyDescent="0.3">
      <c r="G36150" s="1"/>
      <c r="N36150" s="1"/>
    </row>
    <row r="36151" spans="7:14" x14ac:dyDescent="0.3">
      <c r="G36151" s="1"/>
      <c r="N36151" s="1"/>
    </row>
    <row r="36152" spans="7:14" x14ac:dyDescent="0.3">
      <c r="G36152" s="1"/>
      <c r="N36152" s="1"/>
    </row>
    <row r="36153" spans="7:14" x14ac:dyDescent="0.3">
      <c r="G36153" s="1"/>
      <c r="N36153" s="1"/>
    </row>
    <row r="36154" spans="7:14" x14ac:dyDescent="0.3">
      <c r="G36154" s="1"/>
      <c r="N36154" s="1"/>
    </row>
    <row r="36155" spans="7:14" x14ac:dyDescent="0.3">
      <c r="G36155" s="1"/>
      <c r="N36155" s="1"/>
    </row>
    <row r="36156" spans="7:14" x14ac:dyDescent="0.3">
      <c r="G36156" s="1"/>
      <c r="N36156" s="1"/>
    </row>
    <row r="36157" spans="7:14" x14ac:dyDescent="0.3">
      <c r="G36157" s="1"/>
      <c r="N36157" s="1"/>
    </row>
    <row r="36158" spans="7:14" x14ac:dyDescent="0.3">
      <c r="G36158" s="1"/>
      <c r="N36158" s="1"/>
    </row>
    <row r="36159" spans="7:14" x14ac:dyDescent="0.3">
      <c r="G36159" s="1"/>
      <c r="N36159" s="1"/>
    </row>
    <row r="36160" spans="7:14" x14ac:dyDescent="0.3">
      <c r="G36160" s="1"/>
      <c r="N36160" s="1"/>
    </row>
    <row r="36161" spans="7:14" x14ac:dyDescent="0.3">
      <c r="G36161" s="1"/>
      <c r="N36161" s="1"/>
    </row>
    <row r="36162" spans="7:14" x14ac:dyDescent="0.3">
      <c r="G36162" s="1"/>
      <c r="N36162" s="1"/>
    </row>
    <row r="36163" spans="7:14" x14ac:dyDescent="0.3">
      <c r="G36163" s="1"/>
      <c r="N36163" s="1"/>
    </row>
    <row r="36164" spans="7:14" x14ac:dyDescent="0.3">
      <c r="G36164" s="1"/>
      <c r="N36164" s="1"/>
    </row>
    <row r="36165" spans="7:14" x14ac:dyDescent="0.3">
      <c r="G36165" s="1"/>
      <c r="N36165" s="1"/>
    </row>
    <row r="36166" spans="7:14" x14ac:dyDescent="0.3">
      <c r="G36166" s="1"/>
      <c r="N36166" s="1"/>
    </row>
    <row r="36167" spans="7:14" x14ac:dyDescent="0.3">
      <c r="G36167" s="1"/>
      <c r="N36167" s="1"/>
    </row>
    <row r="36168" spans="7:14" x14ac:dyDescent="0.3">
      <c r="G36168" s="1"/>
      <c r="N36168" s="1"/>
    </row>
    <row r="36169" spans="7:14" x14ac:dyDescent="0.3">
      <c r="G36169" s="1"/>
      <c r="N36169" s="1"/>
    </row>
    <row r="36170" spans="7:14" x14ac:dyDescent="0.3">
      <c r="G36170" s="1"/>
      <c r="N36170" s="1"/>
    </row>
    <row r="36171" spans="7:14" x14ac:dyDescent="0.3">
      <c r="G36171" s="1"/>
      <c r="N36171" s="1"/>
    </row>
    <row r="36172" spans="7:14" x14ac:dyDescent="0.3">
      <c r="G36172" s="1"/>
      <c r="N36172" s="1"/>
    </row>
    <row r="36173" spans="7:14" x14ac:dyDescent="0.3">
      <c r="G36173" s="1"/>
      <c r="N36173" s="1"/>
    </row>
    <row r="36174" spans="7:14" x14ac:dyDescent="0.3">
      <c r="G36174" s="1"/>
      <c r="N36174" s="1"/>
    </row>
    <row r="36175" spans="7:14" x14ac:dyDescent="0.3">
      <c r="G36175" s="1"/>
      <c r="N36175" s="1"/>
    </row>
    <row r="36176" spans="7:14" x14ac:dyDescent="0.3">
      <c r="G36176" s="1"/>
      <c r="N36176" s="1"/>
    </row>
    <row r="36177" spans="7:14" x14ac:dyDescent="0.3">
      <c r="G36177" s="1"/>
      <c r="N36177" s="1"/>
    </row>
    <row r="36178" spans="7:14" x14ac:dyDescent="0.3">
      <c r="G36178" s="1"/>
      <c r="N36178" s="1"/>
    </row>
    <row r="36179" spans="7:14" x14ac:dyDescent="0.3">
      <c r="G36179" s="1"/>
      <c r="N36179" s="1"/>
    </row>
    <row r="36180" spans="7:14" x14ac:dyDescent="0.3">
      <c r="G36180" s="1"/>
      <c r="N36180" s="1"/>
    </row>
    <row r="36181" spans="7:14" x14ac:dyDescent="0.3">
      <c r="G36181" s="1"/>
      <c r="N36181" s="1"/>
    </row>
    <row r="36182" spans="7:14" x14ac:dyDescent="0.3">
      <c r="G36182" s="1"/>
      <c r="N36182" s="1"/>
    </row>
    <row r="36183" spans="7:14" x14ac:dyDescent="0.3">
      <c r="G36183" s="1"/>
      <c r="N36183" s="1"/>
    </row>
    <row r="36184" spans="7:14" x14ac:dyDescent="0.3">
      <c r="G36184" s="1"/>
      <c r="N36184" s="1"/>
    </row>
    <row r="36185" spans="7:14" x14ac:dyDescent="0.3">
      <c r="G36185" s="1"/>
      <c r="N36185" s="1"/>
    </row>
    <row r="36186" spans="7:14" x14ac:dyDescent="0.3">
      <c r="G36186" s="1"/>
      <c r="N36186" s="1"/>
    </row>
    <row r="36187" spans="7:14" x14ac:dyDescent="0.3">
      <c r="G36187" s="1"/>
      <c r="N36187" s="1"/>
    </row>
    <row r="36188" spans="7:14" x14ac:dyDescent="0.3">
      <c r="G36188" s="1"/>
      <c r="N36188" s="1"/>
    </row>
    <row r="36189" spans="7:14" x14ac:dyDescent="0.3">
      <c r="G36189" s="1"/>
      <c r="N36189" s="1"/>
    </row>
    <row r="36190" spans="7:14" x14ac:dyDescent="0.3">
      <c r="G36190" s="1"/>
      <c r="N36190" s="1"/>
    </row>
    <row r="36191" spans="7:14" x14ac:dyDescent="0.3">
      <c r="G36191" s="1"/>
      <c r="N36191" s="1"/>
    </row>
    <row r="36192" spans="7:14" x14ac:dyDescent="0.3">
      <c r="G36192" s="1"/>
      <c r="N36192" s="1"/>
    </row>
    <row r="36193" spans="7:14" x14ac:dyDescent="0.3">
      <c r="G36193" s="1"/>
      <c r="N36193" s="1"/>
    </row>
    <row r="36194" spans="7:14" x14ac:dyDescent="0.3">
      <c r="G36194" s="1"/>
      <c r="N36194" s="1"/>
    </row>
    <row r="36195" spans="7:14" x14ac:dyDescent="0.3">
      <c r="G36195" s="1"/>
      <c r="N36195" s="1"/>
    </row>
    <row r="36196" spans="7:14" x14ac:dyDescent="0.3">
      <c r="G36196" s="1"/>
      <c r="N36196" s="1"/>
    </row>
    <row r="36197" spans="7:14" x14ac:dyDescent="0.3">
      <c r="G36197" s="1"/>
      <c r="N36197" s="1"/>
    </row>
    <row r="36198" spans="7:14" x14ac:dyDescent="0.3">
      <c r="G36198" s="1"/>
      <c r="N36198" s="1"/>
    </row>
    <row r="36199" spans="7:14" x14ac:dyDescent="0.3">
      <c r="G36199" s="1"/>
      <c r="N36199" s="1"/>
    </row>
    <row r="36200" spans="7:14" x14ac:dyDescent="0.3">
      <c r="G36200" s="1"/>
      <c r="N36200" s="1"/>
    </row>
    <row r="36201" spans="7:14" x14ac:dyDescent="0.3">
      <c r="G36201" s="1"/>
      <c r="N36201" s="1"/>
    </row>
    <row r="36202" spans="7:14" x14ac:dyDescent="0.3">
      <c r="G36202" s="1"/>
      <c r="N36202" s="1"/>
    </row>
    <row r="36203" spans="7:14" x14ac:dyDescent="0.3">
      <c r="G36203" s="1"/>
      <c r="N36203" s="1"/>
    </row>
    <row r="36204" spans="7:14" x14ac:dyDescent="0.3">
      <c r="G36204" s="1"/>
      <c r="N36204" s="1"/>
    </row>
    <row r="36205" spans="7:14" x14ac:dyDescent="0.3">
      <c r="G36205" s="1"/>
      <c r="N36205" s="1"/>
    </row>
    <row r="36206" spans="7:14" x14ac:dyDescent="0.3">
      <c r="G36206" s="1"/>
      <c r="N36206" s="1"/>
    </row>
    <row r="36207" spans="7:14" x14ac:dyDescent="0.3">
      <c r="G36207" s="1"/>
      <c r="N36207" s="1"/>
    </row>
    <row r="36208" spans="7:14" x14ac:dyDescent="0.3">
      <c r="G36208" s="1"/>
      <c r="N36208" s="1"/>
    </row>
    <row r="36209" spans="7:14" x14ac:dyDescent="0.3">
      <c r="G36209" s="1"/>
      <c r="N36209" s="1"/>
    </row>
    <row r="36210" spans="7:14" x14ac:dyDescent="0.3">
      <c r="G36210" s="1"/>
      <c r="N36210" s="1"/>
    </row>
    <row r="36211" spans="7:14" x14ac:dyDescent="0.3">
      <c r="G36211" s="1"/>
      <c r="N36211" s="1"/>
    </row>
    <row r="36212" spans="7:14" x14ac:dyDescent="0.3">
      <c r="G36212" s="1"/>
      <c r="N36212" s="1"/>
    </row>
    <row r="36213" spans="7:14" x14ac:dyDescent="0.3">
      <c r="G36213" s="1"/>
      <c r="N36213" s="1"/>
    </row>
    <row r="36214" spans="7:14" x14ac:dyDescent="0.3">
      <c r="G36214" s="1"/>
      <c r="N36214" s="1"/>
    </row>
    <row r="36215" spans="7:14" x14ac:dyDescent="0.3">
      <c r="G36215" s="1"/>
      <c r="N36215" s="1"/>
    </row>
    <row r="36216" spans="7:14" x14ac:dyDescent="0.3">
      <c r="G36216" s="1"/>
      <c r="N36216" s="1"/>
    </row>
    <row r="36217" spans="7:14" x14ac:dyDescent="0.3">
      <c r="G36217" s="1"/>
      <c r="N36217" s="1"/>
    </row>
    <row r="36218" spans="7:14" x14ac:dyDescent="0.3">
      <c r="G36218" s="1"/>
      <c r="N36218" s="1"/>
    </row>
    <row r="36219" spans="7:14" x14ac:dyDescent="0.3">
      <c r="G36219" s="1"/>
      <c r="N36219" s="1"/>
    </row>
    <row r="36220" spans="7:14" x14ac:dyDescent="0.3">
      <c r="G36220" s="1"/>
      <c r="N36220" s="1"/>
    </row>
    <row r="36221" spans="7:14" x14ac:dyDescent="0.3">
      <c r="G36221" s="1"/>
      <c r="N36221" s="1"/>
    </row>
    <row r="36222" spans="7:14" x14ac:dyDescent="0.3">
      <c r="G36222" s="1"/>
      <c r="N36222" s="1"/>
    </row>
    <row r="36223" spans="7:14" x14ac:dyDescent="0.3">
      <c r="G36223" s="1"/>
      <c r="N36223" s="1"/>
    </row>
    <row r="36224" spans="7:14" x14ac:dyDescent="0.3">
      <c r="G36224" s="1"/>
      <c r="N36224" s="1"/>
    </row>
    <row r="36225" spans="7:14" x14ac:dyDescent="0.3">
      <c r="G36225" s="1"/>
      <c r="N36225" s="1"/>
    </row>
    <row r="36226" spans="7:14" x14ac:dyDescent="0.3">
      <c r="G36226" s="1"/>
      <c r="N36226" s="1"/>
    </row>
    <row r="36227" spans="7:14" x14ac:dyDescent="0.3">
      <c r="G36227" s="1"/>
      <c r="N36227" s="1"/>
    </row>
    <row r="36228" spans="7:14" x14ac:dyDescent="0.3">
      <c r="G36228" s="1"/>
      <c r="N36228" s="1"/>
    </row>
    <row r="36229" spans="7:14" x14ac:dyDescent="0.3">
      <c r="G36229" s="1"/>
      <c r="N36229" s="1"/>
    </row>
    <row r="36230" spans="7:14" x14ac:dyDescent="0.3">
      <c r="G36230" s="1"/>
      <c r="N36230" s="1"/>
    </row>
    <row r="36231" spans="7:14" x14ac:dyDescent="0.3">
      <c r="G36231" s="1"/>
      <c r="N36231" s="1"/>
    </row>
    <row r="36232" spans="7:14" x14ac:dyDescent="0.3">
      <c r="G36232" s="1"/>
      <c r="N36232" s="1"/>
    </row>
    <row r="36233" spans="7:14" x14ac:dyDescent="0.3">
      <c r="G36233" s="1"/>
      <c r="N36233" s="1"/>
    </row>
    <row r="36234" spans="7:14" x14ac:dyDescent="0.3">
      <c r="G36234" s="1"/>
      <c r="N36234" s="1"/>
    </row>
    <row r="36235" spans="7:14" x14ac:dyDescent="0.3">
      <c r="G36235" s="1"/>
      <c r="N36235" s="1"/>
    </row>
    <row r="36236" spans="7:14" x14ac:dyDescent="0.3">
      <c r="G36236" s="1"/>
      <c r="N36236" s="1"/>
    </row>
    <row r="36237" spans="7:14" x14ac:dyDescent="0.3">
      <c r="G36237" s="1"/>
      <c r="N36237" s="1"/>
    </row>
    <row r="36238" spans="7:14" x14ac:dyDescent="0.3">
      <c r="G36238" s="1"/>
      <c r="N36238" s="1"/>
    </row>
    <row r="36239" spans="7:14" x14ac:dyDescent="0.3">
      <c r="G36239" s="1"/>
      <c r="N36239" s="1"/>
    </row>
    <row r="36240" spans="7:14" x14ac:dyDescent="0.3">
      <c r="G36240" s="1"/>
      <c r="N36240" s="1"/>
    </row>
    <row r="36241" spans="7:14" x14ac:dyDescent="0.3">
      <c r="G36241" s="1"/>
      <c r="N36241" s="1"/>
    </row>
    <row r="36242" spans="7:14" x14ac:dyDescent="0.3">
      <c r="G36242" s="1"/>
      <c r="N36242" s="1"/>
    </row>
    <row r="36243" spans="7:14" x14ac:dyDescent="0.3">
      <c r="G36243" s="1"/>
      <c r="N36243" s="1"/>
    </row>
    <row r="36244" spans="7:14" x14ac:dyDescent="0.3">
      <c r="G36244" s="1"/>
      <c r="N36244" s="1"/>
    </row>
    <row r="36245" spans="7:14" x14ac:dyDescent="0.3">
      <c r="G36245" s="1"/>
      <c r="N36245" s="1"/>
    </row>
    <row r="36246" spans="7:14" x14ac:dyDescent="0.3">
      <c r="G36246" s="1"/>
      <c r="N36246" s="1"/>
    </row>
    <row r="36247" spans="7:14" x14ac:dyDescent="0.3">
      <c r="G36247" s="1"/>
      <c r="N36247" s="1"/>
    </row>
    <row r="36248" spans="7:14" x14ac:dyDescent="0.3">
      <c r="G36248" s="1"/>
      <c r="N36248" s="1"/>
    </row>
    <row r="36249" spans="7:14" x14ac:dyDescent="0.3">
      <c r="G36249" s="1"/>
      <c r="N36249" s="1"/>
    </row>
    <row r="36250" spans="7:14" x14ac:dyDescent="0.3">
      <c r="G36250" s="1"/>
      <c r="N36250" s="1"/>
    </row>
    <row r="36251" spans="7:14" x14ac:dyDescent="0.3">
      <c r="G36251" s="1"/>
      <c r="N36251" s="1"/>
    </row>
    <row r="36252" spans="7:14" x14ac:dyDescent="0.3">
      <c r="G36252" s="1"/>
      <c r="N36252" s="1"/>
    </row>
    <row r="36253" spans="7:14" x14ac:dyDescent="0.3">
      <c r="G36253" s="1"/>
      <c r="N36253" s="1"/>
    </row>
    <row r="36254" spans="7:14" x14ac:dyDescent="0.3">
      <c r="G36254" s="1"/>
      <c r="N36254" s="1"/>
    </row>
    <row r="36255" spans="7:14" x14ac:dyDescent="0.3">
      <c r="G36255" s="1"/>
      <c r="N36255" s="1"/>
    </row>
    <row r="36256" spans="7:14" x14ac:dyDescent="0.3">
      <c r="G36256" s="1"/>
      <c r="N36256" s="1"/>
    </row>
    <row r="36257" spans="7:14" x14ac:dyDescent="0.3">
      <c r="G36257" s="1"/>
      <c r="N36257" s="1"/>
    </row>
    <row r="36258" spans="7:14" x14ac:dyDescent="0.3">
      <c r="G36258" s="1"/>
      <c r="N36258" s="1"/>
    </row>
    <row r="36259" spans="7:14" x14ac:dyDescent="0.3">
      <c r="G36259" s="1"/>
      <c r="N36259" s="1"/>
    </row>
    <row r="36260" spans="7:14" x14ac:dyDescent="0.3">
      <c r="G36260" s="1"/>
      <c r="N36260" s="1"/>
    </row>
    <row r="36261" spans="7:14" x14ac:dyDescent="0.3">
      <c r="G36261" s="1"/>
      <c r="N36261" s="1"/>
    </row>
    <row r="36262" spans="7:14" x14ac:dyDescent="0.3">
      <c r="G36262" s="1"/>
      <c r="N36262" s="1"/>
    </row>
    <row r="36263" spans="7:14" x14ac:dyDescent="0.3">
      <c r="G36263" s="1"/>
      <c r="N36263" s="1"/>
    </row>
    <row r="36264" spans="7:14" x14ac:dyDescent="0.3">
      <c r="G36264" s="1"/>
      <c r="N36264" s="1"/>
    </row>
    <row r="36265" spans="7:14" x14ac:dyDescent="0.3">
      <c r="G36265" s="1"/>
      <c r="N36265" s="1"/>
    </row>
    <row r="36266" spans="7:14" x14ac:dyDescent="0.3">
      <c r="G36266" s="1"/>
      <c r="N36266" s="1"/>
    </row>
    <row r="36267" spans="7:14" x14ac:dyDescent="0.3">
      <c r="G36267" s="1"/>
      <c r="N36267" s="1"/>
    </row>
    <row r="36268" spans="7:14" x14ac:dyDescent="0.3">
      <c r="G36268" s="1"/>
      <c r="N36268" s="1"/>
    </row>
    <row r="36269" spans="7:14" x14ac:dyDescent="0.3">
      <c r="G36269" s="1"/>
      <c r="N36269" s="1"/>
    </row>
    <row r="36270" spans="7:14" x14ac:dyDescent="0.3">
      <c r="G36270" s="1"/>
      <c r="N36270" s="1"/>
    </row>
    <row r="36271" spans="7:14" x14ac:dyDescent="0.3">
      <c r="G36271" s="1"/>
      <c r="N36271" s="1"/>
    </row>
    <row r="36272" spans="7:14" x14ac:dyDescent="0.3">
      <c r="G36272" s="1"/>
      <c r="N36272" s="1"/>
    </row>
    <row r="36273" spans="7:14" x14ac:dyDescent="0.3">
      <c r="G36273" s="1"/>
      <c r="N36273" s="1"/>
    </row>
    <row r="36274" spans="7:14" x14ac:dyDescent="0.3">
      <c r="G36274" s="1"/>
      <c r="N36274" s="1"/>
    </row>
    <row r="36275" spans="7:14" x14ac:dyDescent="0.3">
      <c r="G36275" s="1"/>
      <c r="N36275" s="1"/>
    </row>
    <row r="36276" spans="7:14" x14ac:dyDescent="0.3">
      <c r="G36276" s="1"/>
      <c r="N36276" s="1"/>
    </row>
    <row r="36277" spans="7:14" x14ac:dyDescent="0.3">
      <c r="G36277" s="1"/>
      <c r="N36277" s="1"/>
    </row>
    <row r="36278" spans="7:14" x14ac:dyDescent="0.3">
      <c r="G36278" s="1"/>
      <c r="N36278" s="1"/>
    </row>
    <row r="36279" spans="7:14" x14ac:dyDescent="0.3">
      <c r="G36279" s="1"/>
      <c r="N36279" s="1"/>
    </row>
    <row r="36280" spans="7:14" x14ac:dyDescent="0.3">
      <c r="G36280" s="1"/>
      <c r="N36280" s="1"/>
    </row>
    <row r="36281" spans="7:14" x14ac:dyDescent="0.3">
      <c r="G36281" s="1"/>
      <c r="N36281" s="1"/>
    </row>
    <row r="36282" spans="7:14" x14ac:dyDescent="0.3">
      <c r="G36282" s="1"/>
      <c r="N36282" s="1"/>
    </row>
    <row r="36283" spans="7:14" x14ac:dyDescent="0.3">
      <c r="G36283" s="1"/>
      <c r="N36283" s="1"/>
    </row>
    <row r="36284" spans="7:14" x14ac:dyDescent="0.3">
      <c r="G36284" s="1"/>
      <c r="N36284" s="1"/>
    </row>
    <row r="36285" spans="7:14" x14ac:dyDescent="0.3">
      <c r="G36285" s="1"/>
      <c r="N36285" s="1"/>
    </row>
    <row r="36286" spans="7:14" x14ac:dyDescent="0.3">
      <c r="G36286" s="1"/>
      <c r="N36286" s="1"/>
    </row>
    <row r="36287" spans="7:14" x14ac:dyDescent="0.3">
      <c r="G36287" s="1"/>
      <c r="N36287" s="1"/>
    </row>
    <row r="36288" spans="7:14" x14ac:dyDescent="0.3">
      <c r="G36288" s="1"/>
      <c r="N36288" s="1"/>
    </row>
    <row r="36289" spans="7:14" x14ac:dyDescent="0.3">
      <c r="G36289" s="1"/>
      <c r="N36289" s="1"/>
    </row>
    <row r="36290" spans="7:14" x14ac:dyDescent="0.3">
      <c r="G36290" s="1"/>
      <c r="N36290" s="1"/>
    </row>
    <row r="36291" spans="7:14" x14ac:dyDescent="0.3">
      <c r="G36291" s="1"/>
      <c r="N36291" s="1"/>
    </row>
    <row r="36292" spans="7:14" x14ac:dyDescent="0.3">
      <c r="G36292" s="1"/>
      <c r="N36292" s="1"/>
    </row>
    <row r="36293" spans="7:14" x14ac:dyDescent="0.3">
      <c r="G36293" s="1"/>
      <c r="N36293" s="1"/>
    </row>
    <row r="36294" spans="7:14" x14ac:dyDescent="0.3">
      <c r="G36294" s="1"/>
      <c r="N36294" s="1"/>
    </row>
    <row r="36295" spans="7:14" x14ac:dyDescent="0.3">
      <c r="G36295" s="1"/>
      <c r="N36295" s="1"/>
    </row>
    <row r="36296" spans="7:14" x14ac:dyDescent="0.3">
      <c r="G36296" s="1"/>
      <c r="N36296" s="1"/>
    </row>
    <row r="36297" spans="7:14" x14ac:dyDescent="0.3">
      <c r="G36297" s="1"/>
      <c r="N36297" s="1"/>
    </row>
    <row r="36298" spans="7:14" x14ac:dyDescent="0.3">
      <c r="G36298" s="1"/>
      <c r="N36298" s="1"/>
    </row>
    <row r="36299" spans="7:14" x14ac:dyDescent="0.3">
      <c r="G36299" s="1"/>
      <c r="N36299" s="1"/>
    </row>
    <row r="36300" spans="7:14" x14ac:dyDescent="0.3">
      <c r="G36300" s="1"/>
      <c r="N36300" s="1"/>
    </row>
    <row r="36301" spans="7:14" x14ac:dyDescent="0.3">
      <c r="G36301" s="1"/>
      <c r="N36301" s="1"/>
    </row>
    <row r="36302" spans="7:14" x14ac:dyDescent="0.3">
      <c r="G36302" s="1"/>
      <c r="N36302" s="1"/>
    </row>
    <row r="36303" spans="7:14" x14ac:dyDescent="0.3">
      <c r="G36303" s="1"/>
      <c r="N36303" s="1"/>
    </row>
    <row r="36304" spans="7:14" x14ac:dyDescent="0.3">
      <c r="G36304" s="1"/>
      <c r="N36304" s="1"/>
    </row>
    <row r="36305" spans="7:14" x14ac:dyDescent="0.3">
      <c r="G36305" s="1"/>
      <c r="N36305" s="1"/>
    </row>
    <row r="36306" spans="7:14" x14ac:dyDescent="0.3">
      <c r="G36306" s="1"/>
      <c r="N36306" s="1"/>
    </row>
    <row r="36307" spans="7:14" x14ac:dyDescent="0.3">
      <c r="G36307" s="1"/>
      <c r="N36307" s="1"/>
    </row>
    <row r="36308" spans="7:14" x14ac:dyDescent="0.3">
      <c r="G36308" s="1"/>
      <c r="N36308" s="1"/>
    </row>
    <row r="36309" spans="7:14" x14ac:dyDescent="0.3">
      <c r="G36309" s="1"/>
      <c r="N36309" s="1"/>
    </row>
    <row r="36310" spans="7:14" x14ac:dyDescent="0.3">
      <c r="G36310" s="1"/>
      <c r="N36310" s="1"/>
    </row>
    <row r="36311" spans="7:14" x14ac:dyDescent="0.3">
      <c r="G36311" s="1"/>
      <c r="N36311" s="1"/>
    </row>
    <row r="36312" spans="7:14" x14ac:dyDescent="0.3">
      <c r="G36312" s="1"/>
      <c r="N36312" s="1"/>
    </row>
    <row r="36313" spans="7:14" x14ac:dyDescent="0.3">
      <c r="G36313" s="1"/>
      <c r="N36313" s="1"/>
    </row>
    <row r="36314" spans="7:14" x14ac:dyDescent="0.3">
      <c r="G36314" s="1"/>
      <c r="N36314" s="1"/>
    </row>
    <row r="36315" spans="7:14" x14ac:dyDescent="0.3">
      <c r="G36315" s="1"/>
      <c r="N36315" s="1"/>
    </row>
    <row r="36316" spans="7:14" x14ac:dyDescent="0.3">
      <c r="G36316" s="1"/>
      <c r="N36316" s="1"/>
    </row>
    <row r="36317" spans="7:14" x14ac:dyDescent="0.3">
      <c r="G36317" s="1"/>
      <c r="N36317" s="1"/>
    </row>
    <row r="36318" spans="7:14" x14ac:dyDescent="0.3">
      <c r="G36318" s="1"/>
      <c r="N36318" s="1"/>
    </row>
    <row r="36319" spans="7:14" x14ac:dyDescent="0.3">
      <c r="G36319" s="1"/>
      <c r="N36319" s="1"/>
    </row>
    <row r="36320" spans="7:14" x14ac:dyDescent="0.3">
      <c r="G36320" s="1"/>
      <c r="N36320" s="1"/>
    </row>
    <row r="36321" spans="7:14" x14ac:dyDescent="0.3">
      <c r="G36321" s="1"/>
      <c r="N36321" s="1"/>
    </row>
    <row r="36322" spans="7:14" x14ac:dyDescent="0.3">
      <c r="G36322" s="1"/>
      <c r="N36322" s="1"/>
    </row>
    <row r="36323" spans="7:14" x14ac:dyDescent="0.3">
      <c r="G36323" s="1"/>
      <c r="N36323" s="1"/>
    </row>
    <row r="36324" spans="7:14" x14ac:dyDescent="0.3">
      <c r="G36324" s="1"/>
      <c r="N36324" s="1"/>
    </row>
    <row r="36325" spans="7:14" x14ac:dyDescent="0.3">
      <c r="G36325" s="1"/>
      <c r="N36325" s="1"/>
    </row>
    <row r="36326" spans="7:14" x14ac:dyDescent="0.3">
      <c r="G36326" s="1"/>
      <c r="N36326" s="1"/>
    </row>
    <row r="36327" spans="7:14" x14ac:dyDescent="0.3">
      <c r="G36327" s="1"/>
      <c r="N36327" s="1"/>
    </row>
    <row r="36328" spans="7:14" x14ac:dyDescent="0.3">
      <c r="G36328" s="1"/>
      <c r="N36328" s="1"/>
    </row>
    <row r="36329" spans="7:14" x14ac:dyDescent="0.3">
      <c r="G36329" s="1"/>
      <c r="N36329" s="1"/>
    </row>
    <row r="36330" spans="7:14" x14ac:dyDescent="0.3">
      <c r="G36330" s="1"/>
      <c r="N36330" s="1"/>
    </row>
    <row r="36331" spans="7:14" x14ac:dyDescent="0.3">
      <c r="G36331" s="1"/>
      <c r="N36331" s="1"/>
    </row>
    <row r="36332" spans="7:14" x14ac:dyDescent="0.3">
      <c r="G36332" s="1"/>
      <c r="N36332" s="1"/>
    </row>
    <row r="36333" spans="7:14" x14ac:dyDescent="0.3">
      <c r="G36333" s="1"/>
      <c r="N36333" s="1"/>
    </row>
    <row r="36334" spans="7:14" x14ac:dyDescent="0.3">
      <c r="G36334" s="1"/>
      <c r="N36334" s="1"/>
    </row>
    <row r="36335" spans="7:14" x14ac:dyDescent="0.3">
      <c r="G36335" s="1"/>
      <c r="N36335" s="1"/>
    </row>
    <row r="36336" spans="7:14" x14ac:dyDescent="0.3">
      <c r="G36336" s="1"/>
      <c r="N36336" s="1"/>
    </row>
    <row r="36337" spans="7:14" x14ac:dyDescent="0.3">
      <c r="G36337" s="1"/>
      <c r="N36337" s="1"/>
    </row>
    <row r="36338" spans="7:14" x14ac:dyDescent="0.3">
      <c r="G36338" s="1"/>
      <c r="N36338" s="1"/>
    </row>
    <row r="36339" spans="7:14" x14ac:dyDescent="0.3">
      <c r="G36339" s="1"/>
      <c r="N36339" s="1"/>
    </row>
    <row r="36340" spans="7:14" x14ac:dyDescent="0.3">
      <c r="G36340" s="1"/>
      <c r="N36340" s="1"/>
    </row>
    <row r="36341" spans="7:14" x14ac:dyDescent="0.3">
      <c r="G36341" s="1"/>
      <c r="N36341" s="1"/>
    </row>
    <row r="36342" spans="7:14" x14ac:dyDescent="0.3">
      <c r="G36342" s="1"/>
      <c r="N36342" s="1"/>
    </row>
    <row r="36343" spans="7:14" x14ac:dyDescent="0.3">
      <c r="G36343" s="1"/>
      <c r="N36343" s="1"/>
    </row>
    <row r="36344" spans="7:14" x14ac:dyDescent="0.3">
      <c r="G36344" s="1"/>
      <c r="N36344" s="1"/>
    </row>
    <row r="36345" spans="7:14" x14ac:dyDescent="0.3">
      <c r="G36345" s="1"/>
      <c r="N36345" s="1"/>
    </row>
    <row r="36346" spans="7:14" x14ac:dyDescent="0.3">
      <c r="G36346" s="1"/>
      <c r="N36346" s="1"/>
    </row>
    <row r="36347" spans="7:14" x14ac:dyDescent="0.3">
      <c r="G36347" s="1"/>
      <c r="N36347" s="1"/>
    </row>
    <row r="36348" spans="7:14" x14ac:dyDescent="0.3">
      <c r="G36348" s="1"/>
      <c r="N36348" s="1"/>
    </row>
    <row r="36349" spans="7:14" x14ac:dyDescent="0.3">
      <c r="G36349" s="1"/>
      <c r="N36349" s="1"/>
    </row>
    <row r="36350" spans="7:14" x14ac:dyDescent="0.3">
      <c r="G36350" s="1"/>
      <c r="N36350" s="1"/>
    </row>
    <row r="36351" spans="7:14" x14ac:dyDescent="0.3">
      <c r="G36351" s="1"/>
      <c r="N36351" s="1"/>
    </row>
    <row r="36352" spans="7:14" x14ac:dyDescent="0.3">
      <c r="G36352" s="1"/>
      <c r="N36352" s="1"/>
    </row>
    <row r="36353" spans="7:14" x14ac:dyDescent="0.3">
      <c r="G36353" s="1"/>
      <c r="N36353" s="1"/>
    </row>
    <row r="36354" spans="7:14" x14ac:dyDescent="0.3">
      <c r="G36354" s="1"/>
      <c r="N36354" s="1"/>
    </row>
    <row r="36355" spans="7:14" x14ac:dyDescent="0.3">
      <c r="G36355" s="1"/>
      <c r="N36355" s="1"/>
    </row>
    <row r="36356" spans="7:14" x14ac:dyDescent="0.3">
      <c r="G36356" s="1"/>
      <c r="N36356" s="1"/>
    </row>
    <row r="36357" spans="7:14" x14ac:dyDescent="0.3">
      <c r="G36357" s="1"/>
      <c r="N36357" s="1"/>
    </row>
    <row r="36358" spans="7:14" x14ac:dyDescent="0.3">
      <c r="G36358" s="1"/>
      <c r="N36358" s="1"/>
    </row>
    <row r="36359" spans="7:14" x14ac:dyDescent="0.3">
      <c r="G36359" s="1"/>
      <c r="N36359" s="1"/>
    </row>
    <row r="36360" spans="7:14" x14ac:dyDescent="0.3">
      <c r="G36360" s="1"/>
      <c r="N36360" s="1"/>
    </row>
    <row r="36361" spans="7:14" x14ac:dyDescent="0.3">
      <c r="G36361" s="1"/>
      <c r="N36361" s="1"/>
    </row>
    <row r="36362" spans="7:14" x14ac:dyDescent="0.3">
      <c r="G36362" s="1"/>
      <c r="N36362" s="1"/>
    </row>
    <row r="36363" spans="7:14" x14ac:dyDescent="0.3">
      <c r="G36363" s="1"/>
      <c r="N36363" s="1"/>
    </row>
    <row r="36364" spans="7:14" x14ac:dyDescent="0.3">
      <c r="G36364" s="1"/>
      <c r="N36364" s="1"/>
    </row>
    <row r="36365" spans="7:14" x14ac:dyDescent="0.3">
      <c r="G36365" s="1"/>
      <c r="N36365" s="1"/>
    </row>
    <row r="36366" spans="7:14" x14ac:dyDescent="0.3">
      <c r="G36366" s="1"/>
      <c r="N36366" s="1"/>
    </row>
    <row r="36367" spans="7:14" x14ac:dyDescent="0.3">
      <c r="G36367" s="1"/>
      <c r="N36367" s="1"/>
    </row>
    <row r="36368" spans="7:14" x14ac:dyDescent="0.3">
      <c r="G36368" s="1"/>
      <c r="N36368" s="1"/>
    </row>
    <row r="36369" spans="7:14" x14ac:dyDescent="0.3">
      <c r="G36369" s="1"/>
      <c r="N36369" s="1"/>
    </row>
    <row r="36370" spans="7:14" x14ac:dyDescent="0.3">
      <c r="G36370" s="1"/>
      <c r="N36370" s="1"/>
    </row>
    <row r="36371" spans="7:14" x14ac:dyDescent="0.3">
      <c r="G36371" s="1"/>
      <c r="N36371" s="1"/>
    </row>
    <row r="36372" spans="7:14" x14ac:dyDescent="0.3">
      <c r="G36372" s="1"/>
      <c r="N36372" s="1"/>
    </row>
    <row r="36373" spans="7:14" x14ac:dyDescent="0.3">
      <c r="G36373" s="1"/>
      <c r="N36373" s="1"/>
    </row>
    <row r="36374" spans="7:14" x14ac:dyDescent="0.3">
      <c r="G36374" s="1"/>
      <c r="N36374" s="1"/>
    </row>
    <row r="36375" spans="7:14" x14ac:dyDescent="0.3">
      <c r="G36375" s="1"/>
      <c r="N36375" s="1"/>
    </row>
    <row r="36376" spans="7:14" x14ac:dyDescent="0.3">
      <c r="G36376" s="1"/>
      <c r="N36376" s="1"/>
    </row>
    <row r="36377" spans="7:14" x14ac:dyDescent="0.3">
      <c r="G36377" s="1"/>
      <c r="N36377" s="1"/>
    </row>
    <row r="36378" spans="7:14" x14ac:dyDescent="0.3">
      <c r="G36378" s="1"/>
      <c r="N36378" s="1"/>
    </row>
    <row r="36379" spans="7:14" x14ac:dyDescent="0.3">
      <c r="G36379" s="1"/>
      <c r="N36379" s="1"/>
    </row>
    <row r="36380" spans="7:14" x14ac:dyDescent="0.3">
      <c r="G36380" s="1"/>
      <c r="N36380" s="1"/>
    </row>
    <row r="36381" spans="7:14" x14ac:dyDescent="0.3">
      <c r="G36381" s="1"/>
      <c r="N36381" s="1"/>
    </row>
    <row r="36382" spans="7:14" x14ac:dyDescent="0.3">
      <c r="G36382" s="1"/>
      <c r="N36382" s="1"/>
    </row>
    <row r="36383" spans="7:14" x14ac:dyDescent="0.3">
      <c r="G36383" s="1"/>
      <c r="N36383" s="1"/>
    </row>
    <row r="36384" spans="7:14" x14ac:dyDescent="0.3">
      <c r="G36384" s="1"/>
      <c r="N36384" s="1"/>
    </row>
    <row r="36385" spans="7:14" x14ac:dyDescent="0.3">
      <c r="G36385" s="1"/>
      <c r="N36385" s="1"/>
    </row>
    <row r="36386" spans="7:14" x14ac:dyDescent="0.3">
      <c r="G36386" s="1"/>
      <c r="N36386" s="1"/>
    </row>
    <row r="36387" spans="7:14" x14ac:dyDescent="0.3">
      <c r="G36387" s="1"/>
      <c r="N36387" s="1"/>
    </row>
    <row r="36388" spans="7:14" x14ac:dyDescent="0.3">
      <c r="G36388" s="1"/>
      <c r="N36388" s="1"/>
    </row>
    <row r="36389" spans="7:14" x14ac:dyDescent="0.3">
      <c r="G36389" s="1"/>
      <c r="N36389" s="1"/>
    </row>
    <row r="36390" spans="7:14" x14ac:dyDescent="0.3">
      <c r="G36390" s="1"/>
      <c r="N36390" s="1"/>
    </row>
    <row r="36391" spans="7:14" x14ac:dyDescent="0.3">
      <c r="G36391" s="1"/>
      <c r="N36391" s="1"/>
    </row>
    <row r="36392" spans="7:14" x14ac:dyDescent="0.3">
      <c r="G36392" s="1"/>
      <c r="N36392" s="1"/>
    </row>
    <row r="36393" spans="7:14" x14ac:dyDescent="0.3">
      <c r="G36393" s="1"/>
      <c r="N36393" s="1"/>
    </row>
    <row r="36394" spans="7:14" x14ac:dyDescent="0.3">
      <c r="G36394" s="1"/>
      <c r="N36394" s="1"/>
    </row>
    <row r="36395" spans="7:14" x14ac:dyDescent="0.3">
      <c r="G36395" s="1"/>
      <c r="N36395" s="1"/>
    </row>
    <row r="36396" spans="7:14" x14ac:dyDescent="0.3">
      <c r="G36396" s="1"/>
      <c r="N36396" s="1"/>
    </row>
    <row r="36397" spans="7:14" x14ac:dyDescent="0.3">
      <c r="G36397" s="1"/>
      <c r="N36397" s="1"/>
    </row>
    <row r="36398" spans="7:14" x14ac:dyDescent="0.3">
      <c r="G36398" s="1"/>
      <c r="N36398" s="1"/>
    </row>
    <row r="36399" spans="7:14" x14ac:dyDescent="0.3">
      <c r="G36399" s="1"/>
      <c r="N36399" s="1"/>
    </row>
    <row r="36400" spans="7:14" x14ac:dyDescent="0.3">
      <c r="G36400" s="1"/>
      <c r="N36400" s="1"/>
    </row>
    <row r="36401" spans="7:14" x14ac:dyDescent="0.3">
      <c r="G36401" s="1"/>
      <c r="N36401" s="1"/>
    </row>
    <row r="36402" spans="7:14" x14ac:dyDescent="0.3">
      <c r="G36402" s="1"/>
      <c r="N36402" s="1"/>
    </row>
    <row r="36403" spans="7:14" x14ac:dyDescent="0.3">
      <c r="G36403" s="1"/>
      <c r="N36403" s="1"/>
    </row>
    <row r="36404" spans="7:14" x14ac:dyDescent="0.3">
      <c r="G36404" s="1"/>
      <c r="N36404" s="1"/>
    </row>
    <row r="36405" spans="7:14" x14ac:dyDescent="0.3">
      <c r="G36405" s="1"/>
      <c r="N36405" s="1"/>
    </row>
    <row r="36406" spans="7:14" x14ac:dyDescent="0.3">
      <c r="G36406" s="1"/>
      <c r="N36406" s="1"/>
    </row>
    <row r="36407" spans="7:14" x14ac:dyDescent="0.3">
      <c r="G36407" s="1"/>
      <c r="N36407" s="1"/>
    </row>
    <row r="36408" spans="7:14" x14ac:dyDescent="0.3">
      <c r="G36408" s="1"/>
      <c r="N36408" s="1"/>
    </row>
    <row r="36409" spans="7:14" x14ac:dyDescent="0.3">
      <c r="G36409" s="1"/>
      <c r="N36409" s="1"/>
    </row>
    <row r="36410" spans="7:14" x14ac:dyDescent="0.3">
      <c r="G36410" s="1"/>
      <c r="N36410" s="1"/>
    </row>
    <row r="36411" spans="7:14" x14ac:dyDescent="0.3">
      <c r="G36411" s="1"/>
      <c r="N36411" s="1"/>
    </row>
    <row r="36412" spans="7:14" x14ac:dyDescent="0.3">
      <c r="G36412" s="1"/>
      <c r="N36412" s="1"/>
    </row>
    <row r="36413" spans="7:14" x14ac:dyDescent="0.3">
      <c r="G36413" s="1"/>
      <c r="N36413" s="1"/>
    </row>
    <row r="36414" spans="7:14" x14ac:dyDescent="0.3">
      <c r="G36414" s="1"/>
      <c r="N36414" s="1"/>
    </row>
    <row r="36415" spans="7:14" x14ac:dyDescent="0.3">
      <c r="G36415" s="1"/>
      <c r="N36415" s="1"/>
    </row>
    <row r="36416" spans="7:14" x14ac:dyDescent="0.3">
      <c r="G36416" s="1"/>
      <c r="N36416" s="1"/>
    </row>
    <row r="36417" spans="7:14" x14ac:dyDescent="0.3">
      <c r="G36417" s="1"/>
      <c r="N36417" s="1"/>
    </row>
    <row r="36418" spans="7:14" x14ac:dyDescent="0.3">
      <c r="G36418" s="1"/>
      <c r="N36418" s="1"/>
    </row>
    <row r="36419" spans="7:14" x14ac:dyDescent="0.3">
      <c r="G36419" s="1"/>
      <c r="N36419" s="1"/>
    </row>
    <row r="36420" spans="7:14" x14ac:dyDescent="0.3">
      <c r="G36420" s="1"/>
      <c r="N36420" s="1"/>
    </row>
    <row r="36421" spans="7:14" x14ac:dyDescent="0.3">
      <c r="G36421" s="1"/>
      <c r="N36421" s="1"/>
    </row>
    <row r="36422" spans="7:14" x14ac:dyDescent="0.3">
      <c r="G36422" s="1"/>
      <c r="N36422" s="1"/>
    </row>
    <row r="36423" spans="7:14" x14ac:dyDescent="0.3">
      <c r="G36423" s="1"/>
      <c r="N36423" s="1"/>
    </row>
    <row r="36424" spans="7:14" x14ac:dyDescent="0.3">
      <c r="G36424" s="1"/>
      <c r="N36424" s="1"/>
    </row>
    <row r="36425" spans="7:14" x14ac:dyDescent="0.3">
      <c r="G36425" s="1"/>
      <c r="N36425" s="1"/>
    </row>
    <row r="36426" spans="7:14" x14ac:dyDescent="0.3">
      <c r="G36426" s="1"/>
      <c r="N36426" s="1"/>
    </row>
    <row r="36427" spans="7:14" x14ac:dyDescent="0.3">
      <c r="G36427" s="1"/>
      <c r="N36427" s="1"/>
    </row>
    <row r="36428" spans="7:14" x14ac:dyDescent="0.3">
      <c r="G36428" s="1"/>
      <c r="N36428" s="1"/>
    </row>
    <row r="36429" spans="7:14" x14ac:dyDescent="0.3">
      <c r="G36429" s="1"/>
      <c r="N36429" s="1"/>
    </row>
    <row r="36430" spans="7:14" x14ac:dyDescent="0.3">
      <c r="G36430" s="1"/>
      <c r="N36430" s="1"/>
    </row>
    <row r="36431" spans="7:14" x14ac:dyDescent="0.3">
      <c r="G36431" s="1"/>
      <c r="N36431" s="1"/>
    </row>
    <row r="36432" spans="7:14" x14ac:dyDescent="0.3">
      <c r="G36432" s="1"/>
      <c r="N36432" s="1"/>
    </row>
    <row r="36433" spans="7:14" x14ac:dyDescent="0.3">
      <c r="G36433" s="1"/>
      <c r="N36433" s="1"/>
    </row>
    <row r="36434" spans="7:14" x14ac:dyDescent="0.3">
      <c r="G36434" s="1"/>
      <c r="N36434" s="1"/>
    </row>
    <row r="36435" spans="7:14" x14ac:dyDescent="0.3">
      <c r="G36435" s="1"/>
      <c r="N36435" s="1"/>
    </row>
    <row r="36436" spans="7:14" x14ac:dyDescent="0.3">
      <c r="G36436" s="1"/>
      <c r="N36436" s="1"/>
    </row>
    <row r="36437" spans="7:14" x14ac:dyDescent="0.3">
      <c r="G36437" s="1"/>
      <c r="N36437" s="1"/>
    </row>
    <row r="36438" spans="7:14" x14ac:dyDescent="0.3">
      <c r="G36438" s="1"/>
      <c r="N36438" s="1"/>
    </row>
    <row r="36439" spans="7:14" x14ac:dyDescent="0.3">
      <c r="G36439" s="1"/>
      <c r="N36439" s="1"/>
    </row>
    <row r="36440" spans="7:14" x14ac:dyDescent="0.3">
      <c r="G36440" s="1"/>
      <c r="N36440" s="1"/>
    </row>
    <row r="36441" spans="7:14" x14ac:dyDescent="0.3">
      <c r="G36441" s="1"/>
      <c r="N36441" s="1"/>
    </row>
    <row r="36442" spans="7:14" x14ac:dyDescent="0.3">
      <c r="G36442" s="1"/>
      <c r="N36442" s="1"/>
    </row>
    <row r="36443" spans="7:14" x14ac:dyDescent="0.3">
      <c r="G36443" s="1"/>
      <c r="N36443" s="1"/>
    </row>
    <row r="36444" spans="7:14" x14ac:dyDescent="0.3">
      <c r="G36444" s="1"/>
      <c r="N36444" s="1"/>
    </row>
    <row r="36445" spans="7:14" x14ac:dyDescent="0.3">
      <c r="G36445" s="1"/>
      <c r="N36445" s="1"/>
    </row>
    <row r="36446" spans="7:14" x14ac:dyDescent="0.3">
      <c r="G36446" s="1"/>
      <c r="N36446" s="1"/>
    </row>
    <row r="36447" spans="7:14" x14ac:dyDescent="0.3">
      <c r="G36447" s="1"/>
      <c r="N36447" s="1"/>
    </row>
    <row r="36448" spans="7:14" x14ac:dyDescent="0.3">
      <c r="G36448" s="1"/>
      <c r="N36448" s="1"/>
    </row>
    <row r="36449" spans="7:14" x14ac:dyDescent="0.3">
      <c r="G36449" s="1"/>
      <c r="N36449" s="1"/>
    </row>
    <row r="36450" spans="7:14" x14ac:dyDescent="0.3">
      <c r="G36450" s="1"/>
      <c r="N36450" s="1"/>
    </row>
    <row r="36451" spans="7:14" x14ac:dyDescent="0.3">
      <c r="G36451" s="1"/>
      <c r="N36451" s="1"/>
    </row>
    <row r="36452" spans="7:14" x14ac:dyDescent="0.3">
      <c r="G36452" s="1"/>
      <c r="N36452" s="1"/>
    </row>
    <row r="36453" spans="7:14" x14ac:dyDescent="0.3">
      <c r="G36453" s="1"/>
      <c r="N36453" s="1"/>
    </row>
    <row r="36454" spans="7:14" x14ac:dyDescent="0.3">
      <c r="G36454" s="1"/>
      <c r="N36454" s="1"/>
    </row>
    <row r="36455" spans="7:14" x14ac:dyDescent="0.3">
      <c r="G36455" s="1"/>
      <c r="N36455" s="1"/>
    </row>
    <row r="36456" spans="7:14" x14ac:dyDescent="0.3">
      <c r="G36456" s="1"/>
      <c r="N36456" s="1"/>
    </row>
    <row r="36457" spans="7:14" x14ac:dyDescent="0.3">
      <c r="G36457" s="1"/>
      <c r="N36457" s="1"/>
    </row>
    <row r="36458" spans="7:14" x14ac:dyDescent="0.3">
      <c r="G36458" s="1"/>
      <c r="N36458" s="1"/>
    </row>
    <row r="36459" spans="7:14" x14ac:dyDescent="0.3">
      <c r="G36459" s="1"/>
      <c r="N36459" s="1"/>
    </row>
    <row r="36460" spans="7:14" x14ac:dyDescent="0.3">
      <c r="G36460" s="1"/>
      <c r="N36460" s="1"/>
    </row>
    <row r="36461" spans="7:14" x14ac:dyDescent="0.3">
      <c r="G36461" s="1"/>
      <c r="N36461" s="1"/>
    </row>
    <row r="36462" spans="7:14" x14ac:dyDescent="0.3">
      <c r="G36462" s="1"/>
      <c r="N36462" s="1"/>
    </row>
    <row r="36463" spans="7:14" x14ac:dyDescent="0.3">
      <c r="G36463" s="1"/>
      <c r="N36463" s="1"/>
    </row>
    <row r="36464" spans="7:14" x14ac:dyDescent="0.3">
      <c r="G36464" s="1"/>
      <c r="N36464" s="1"/>
    </row>
    <row r="36465" spans="7:14" x14ac:dyDescent="0.3">
      <c r="G36465" s="1"/>
      <c r="N36465" s="1"/>
    </row>
    <row r="36466" spans="7:14" x14ac:dyDescent="0.3">
      <c r="G36466" s="1"/>
      <c r="N36466" s="1"/>
    </row>
    <row r="36467" spans="7:14" x14ac:dyDescent="0.3">
      <c r="G36467" s="1"/>
      <c r="N36467" s="1"/>
    </row>
    <row r="36468" spans="7:14" x14ac:dyDescent="0.3">
      <c r="G36468" s="1"/>
      <c r="N36468" s="1"/>
    </row>
    <row r="36469" spans="7:14" x14ac:dyDescent="0.3">
      <c r="G36469" s="1"/>
      <c r="N36469" s="1"/>
    </row>
    <row r="36470" spans="7:14" x14ac:dyDescent="0.3">
      <c r="G36470" s="1"/>
      <c r="N36470" s="1"/>
    </row>
    <row r="36471" spans="7:14" x14ac:dyDescent="0.3">
      <c r="G36471" s="1"/>
      <c r="N36471" s="1"/>
    </row>
    <row r="36472" spans="7:14" x14ac:dyDescent="0.3">
      <c r="G36472" s="1"/>
      <c r="N36472" s="1"/>
    </row>
    <row r="36473" spans="7:14" x14ac:dyDescent="0.3">
      <c r="G36473" s="1"/>
      <c r="N36473" s="1"/>
    </row>
    <row r="36474" spans="7:14" x14ac:dyDescent="0.3">
      <c r="G36474" s="1"/>
      <c r="N36474" s="1"/>
    </row>
    <row r="36475" spans="7:14" x14ac:dyDescent="0.3">
      <c r="G36475" s="1"/>
      <c r="N36475" s="1"/>
    </row>
    <row r="36476" spans="7:14" x14ac:dyDescent="0.3">
      <c r="G36476" s="1"/>
      <c r="N36476" s="1"/>
    </row>
    <row r="36477" spans="7:14" x14ac:dyDescent="0.3">
      <c r="G36477" s="1"/>
      <c r="N36477" s="1"/>
    </row>
    <row r="36478" spans="7:14" x14ac:dyDescent="0.3">
      <c r="G36478" s="1"/>
      <c r="N36478" s="1"/>
    </row>
    <row r="36479" spans="7:14" x14ac:dyDescent="0.3">
      <c r="G36479" s="1"/>
      <c r="N36479" s="1"/>
    </row>
    <row r="36480" spans="7:14" x14ac:dyDescent="0.3">
      <c r="G36480" s="1"/>
      <c r="N36480" s="1"/>
    </row>
    <row r="36481" spans="7:14" x14ac:dyDescent="0.3">
      <c r="G36481" s="1"/>
      <c r="N36481" s="1"/>
    </row>
    <row r="36482" spans="7:14" x14ac:dyDescent="0.3">
      <c r="G36482" s="1"/>
      <c r="N36482" s="1"/>
    </row>
    <row r="36483" spans="7:14" x14ac:dyDescent="0.3">
      <c r="G36483" s="1"/>
      <c r="N36483" s="1"/>
    </row>
    <row r="36484" spans="7:14" x14ac:dyDescent="0.3">
      <c r="G36484" s="1"/>
      <c r="N36484" s="1"/>
    </row>
    <row r="36485" spans="7:14" x14ac:dyDescent="0.3">
      <c r="G36485" s="1"/>
      <c r="N36485" s="1"/>
    </row>
    <row r="36486" spans="7:14" x14ac:dyDescent="0.3">
      <c r="G36486" s="1"/>
      <c r="N36486" s="1"/>
    </row>
    <row r="36487" spans="7:14" x14ac:dyDescent="0.3">
      <c r="G36487" s="1"/>
      <c r="N36487" s="1"/>
    </row>
    <row r="36488" spans="7:14" x14ac:dyDescent="0.3">
      <c r="G36488" s="1"/>
      <c r="N36488" s="1"/>
    </row>
    <row r="36489" spans="7:14" x14ac:dyDescent="0.3">
      <c r="G36489" s="1"/>
      <c r="N36489" s="1"/>
    </row>
    <row r="36490" spans="7:14" x14ac:dyDescent="0.3">
      <c r="G36490" s="1"/>
      <c r="N36490" s="1"/>
    </row>
    <row r="36491" spans="7:14" x14ac:dyDescent="0.3">
      <c r="G36491" s="1"/>
      <c r="N36491" s="1"/>
    </row>
    <row r="36492" spans="7:14" x14ac:dyDescent="0.3">
      <c r="G36492" s="1"/>
      <c r="N36492" s="1"/>
    </row>
    <row r="36493" spans="7:14" x14ac:dyDescent="0.3">
      <c r="G36493" s="1"/>
      <c r="N36493" s="1"/>
    </row>
    <row r="36494" spans="7:14" x14ac:dyDescent="0.3">
      <c r="G36494" s="1"/>
      <c r="N36494" s="1"/>
    </row>
    <row r="36495" spans="7:14" x14ac:dyDescent="0.3">
      <c r="G36495" s="1"/>
      <c r="N36495" s="1"/>
    </row>
    <row r="36496" spans="7:14" x14ac:dyDescent="0.3">
      <c r="G36496" s="1"/>
      <c r="N36496" s="1"/>
    </row>
    <row r="36497" spans="7:14" x14ac:dyDescent="0.3">
      <c r="G36497" s="1"/>
      <c r="N36497" s="1"/>
    </row>
    <row r="36498" spans="7:14" x14ac:dyDescent="0.3">
      <c r="G36498" s="1"/>
      <c r="N36498" s="1"/>
    </row>
    <row r="36499" spans="7:14" x14ac:dyDescent="0.3">
      <c r="G36499" s="1"/>
      <c r="N36499" s="1"/>
    </row>
    <row r="36500" spans="7:14" x14ac:dyDescent="0.3">
      <c r="G36500" s="1"/>
      <c r="N36500" s="1"/>
    </row>
    <row r="36501" spans="7:14" x14ac:dyDescent="0.3">
      <c r="G36501" s="1"/>
      <c r="N36501" s="1"/>
    </row>
    <row r="36502" spans="7:14" x14ac:dyDescent="0.3">
      <c r="G36502" s="1"/>
      <c r="N36502" s="1"/>
    </row>
    <row r="36503" spans="7:14" x14ac:dyDescent="0.3">
      <c r="G36503" s="1"/>
      <c r="N36503" s="1"/>
    </row>
    <row r="36504" spans="7:14" x14ac:dyDescent="0.3">
      <c r="G36504" s="1"/>
      <c r="N36504" s="1"/>
    </row>
    <row r="36505" spans="7:14" x14ac:dyDescent="0.3">
      <c r="G36505" s="1"/>
      <c r="N36505" s="1"/>
    </row>
    <row r="36506" spans="7:14" x14ac:dyDescent="0.3">
      <c r="G36506" s="1"/>
      <c r="N36506" s="1"/>
    </row>
    <row r="36507" spans="7:14" x14ac:dyDescent="0.3">
      <c r="G36507" s="1"/>
      <c r="N36507" s="1"/>
    </row>
    <row r="36508" spans="7:14" x14ac:dyDescent="0.3">
      <c r="G36508" s="1"/>
      <c r="N36508" s="1"/>
    </row>
    <row r="36509" spans="7:14" x14ac:dyDescent="0.3">
      <c r="G36509" s="1"/>
      <c r="N36509" s="1"/>
    </row>
    <row r="36510" spans="7:14" x14ac:dyDescent="0.3">
      <c r="G36510" s="1"/>
      <c r="N36510" s="1"/>
    </row>
    <row r="36511" spans="7:14" x14ac:dyDescent="0.3">
      <c r="G36511" s="1"/>
      <c r="N36511" s="1"/>
    </row>
    <row r="36512" spans="7:14" x14ac:dyDescent="0.3">
      <c r="G36512" s="1"/>
      <c r="N36512" s="1"/>
    </row>
    <row r="36513" spans="7:14" x14ac:dyDescent="0.3">
      <c r="G36513" s="1"/>
      <c r="N36513" s="1"/>
    </row>
    <row r="36514" spans="7:14" x14ac:dyDescent="0.3">
      <c r="G36514" s="1"/>
      <c r="N36514" s="1"/>
    </row>
    <row r="36515" spans="7:14" x14ac:dyDescent="0.3">
      <c r="G36515" s="1"/>
      <c r="N36515" s="1"/>
    </row>
    <row r="36516" spans="7:14" x14ac:dyDescent="0.3">
      <c r="G36516" s="1"/>
      <c r="N36516" s="1"/>
    </row>
    <row r="36517" spans="7:14" x14ac:dyDescent="0.3">
      <c r="G36517" s="1"/>
      <c r="N36517" s="1"/>
    </row>
    <row r="36518" spans="7:14" x14ac:dyDescent="0.3">
      <c r="G36518" s="1"/>
      <c r="N36518" s="1"/>
    </row>
    <row r="36519" spans="7:14" x14ac:dyDescent="0.3">
      <c r="G36519" s="1"/>
      <c r="N36519" s="1"/>
    </row>
    <row r="36520" spans="7:14" x14ac:dyDescent="0.3">
      <c r="G36520" s="1"/>
      <c r="N36520" s="1"/>
    </row>
    <row r="36521" spans="7:14" x14ac:dyDescent="0.3">
      <c r="G36521" s="1"/>
      <c r="N36521" s="1"/>
    </row>
    <row r="36522" spans="7:14" x14ac:dyDescent="0.3">
      <c r="G36522" s="1"/>
      <c r="N36522" s="1"/>
    </row>
    <row r="36523" spans="7:14" x14ac:dyDescent="0.3">
      <c r="G36523" s="1"/>
      <c r="N36523" s="1"/>
    </row>
    <row r="36524" spans="7:14" x14ac:dyDescent="0.3">
      <c r="G36524" s="1"/>
      <c r="N36524" s="1"/>
    </row>
    <row r="36525" spans="7:14" x14ac:dyDescent="0.3">
      <c r="G36525" s="1"/>
      <c r="N36525" s="1"/>
    </row>
    <row r="36526" spans="7:14" x14ac:dyDescent="0.3">
      <c r="G36526" s="1"/>
      <c r="N36526" s="1"/>
    </row>
    <row r="36527" spans="7:14" x14ac:dyDescent="0.3">
      <c r="G36527" s="1"/>
      <c r="N36527" s="1"/>
    </row>
    <row r="36528" spans="7:14" x14ac:dyDescent="0.3">
      <c r="G36528" s="1"/>
      <c r="N36528" s="1"/>
    </row>
    <row r="36529" spans="7:14" x14ac:dyDescent="0.3">
      <c r="G36529" s="1"/>
      <c r="N36529" s="1"/>
    </row>
    <row r="36530" spans="7:14" x14ac:dyDescent="0.3">
      <c r="G36530" s="1"/>
      <c r="N36530" s="1"/>
    </row>
    <row r="36531" spans="7:14" x14ac:dyDescent="0.3">
      <c r="G36531" s="1"/>
      <c r="N36531" s="1"/>
    </row>
    <row r="36532" spans="7:14" x14ac:dyDescent="0.3">
      <c r="G36532" s="1"/>
      <c r="N36532" s="1"/>
    </row>
    <row r="36533" spans="7:14" x14ac:dyDescent="0.3">
      <c r="G36533" s="1"/>
      <c r="N36533" s="1"/>
    </row>
    <row r="36534" spans="7:14" x14ac:dyDescent="0.3">
      <c r="G36534" s="1"/>
      <c r="N36534" s="1"/>
    </row>
    <row r="36535" spans="7:14" x14ac:dyDescent="0.3">
      <c r="G36535" s="1"/>
      <c r="N36535" s="1"/>
    </row>
    <row r="36536" spans="7:14" x14ac:dyDescent="0.3">
      <c r="G36536" s="1"/>
      <c r="N36536" s="1"/>
    </row>
    <row r="36537" spans="7:14" x14ac:dyDescent="0.3">
      <c r="G36537" s="1"/>
      <c r="N36537" s="1"/>
    </row>
    <row r="36538" spans="7:14" x14ac:dyDescent="0.3">
      <c r="G36538" s="1"/>
      <c r="N36538" s="1"/>
    </row>
    <row r="36539" spans="7:14" x14ac:dyDescent="0.3">
      <c r="G36539" s="1"/>
      <c r="N36539" s="1"/>
    </row>
    <row r="36540" spans="7:14" x14ac:dyDescent="0.3">
      <c r="G36540" s="1"/>
      <c r="N36540" s="1"/>
    </row>
    <row r="36541" spans="7:14" x14ac:dyDescent="0.3">
      <c r="G36541" s="1"/>
      <c r="N36541" s="1"/>
    </row>
    <row r="36542" spans="7:14" x14ac:dyDescent="0.3">
      <c r="G36542" s="1"/>
      <c r="N36542" s="1"/>
    </row>
    <row r="36543" spans="7:14" x14ac:dyDescent="0.3">
      <c r="G36543" s="1"/>
      <c r="N36543" s="1"/>
    </row>
    <row r="36544" spans="7:14" x14ac:dyDescent="0.3">
      <c r="G36544" s="1"/>
      <c r="N36544" s="1"/>
    </row>
    <row r="36545" spans="7:14" x14ac:dyDescent="0.3">
      <c r="G36545" s="1"/>
      <c r="N36545" s="1"/>
    </row>
    <row r="36546" spans="7:14" x14ac:dyDescent="0.3">
      <c r="G36546" s="1"/>
      <c r="N36546" s="1"/>
    </row>
    <row r="36547" spans="7:14" x14ac:dyDescent="0.3">
      <c r="G36547" s="1"/>
      <c r="N36547" s="1"/>
    </row>
    <row r="36548" spans="7:14" x14ac:dyDescent="0.3">
      <c r="G36548" s="1"/>
      <c r="N36548" s="1"/>
    </row>
    <row r="36549" spans="7:14" x14ac:dyDescent="0.3">
      <c r="G36549" s="1"/>
      <c r="N36549" s="1"/>
    </row>
    <row r="36550" spans="7:14" x14ac:dyDescent="0.3">
      <c r="G36550" s="1"/>
      <c r="N36550" s="1"/>
    </row>
    <row r="36551" spans="7:14" x14ac:dyDescent="0.3">
      <c r="G36551" s="1"/>
      <c r="N36551" s="1"/>
    </row>
    <row r="36552" spans="7:14" x14ac:dyDescent="0.3">
      <c r="G36552" s="1"/>
      <c r="N36552" s="1"/>
    </row>
    <row r="36553" spans="7:14" x14ac:dyDescent="0.3">
      <c r="G36553" s="1"/>
      <c r="N36553" s="1"/>
    </row>
    <row r="36554" spans="7:14" x14ac:dyDescent="0.3">
      <c r="G36554" s="1"/>
      <c r="N36554" s="1"/>
    </row>
    <row r="36555" spans="7:14" x14ac:dyDescent="0.3">
      <c r="G36555" s="1"/>
      <c r="N36555" s="1"/>
    </row>
    <row r="36556" spans="7:14" x14ac:dyDescent="0.3">
      <c r="G36556" s="1"/>
      <c r="N36556" s="1"/>
    </row>
    <row r="36557" spans="7:14" x14ac:dyDescent="0.3">
      <c r="G36557" s="1"/>
      <c r="N36557" s="1"/>
    </row>
    <row r="36558" spans="7:14" x14ac:dyDescent="0.3">
      <c r="G36558" s="1"/>
      <c r="N36558" s="1"/>
    </row>
    <row r="36559" spans="7:14" x14ac:dyDescent="0.3">
      <c r="G36559" s="1"/>
      <c r="N36559" s="1"/>
    </row>
    <row r="36560" spans="7:14" x14ac:dyDescent="0.3">
      <c r="G36560" s="1"/>
      <c r="N36560" s="1"/>
    </row>
    <row r="36561" spans="7:14" x14ac:dyDescent="0.3">
      <c r="G36561" s="1"/>
      <c r="N36561" s="1"/>
    </row>
    <row r="36562" spans="7:14" x14ac:dyDescent="0.3">
      <c r="G36562" s="1"/>
      <c r="N36562" s="1"/>
    </row>
    <row r="36563" spans="7:14" x14ac:dyDescent="0.3">
      <c r="G36563" s="1"/>
      <c r="N36563" s="1"/>
    </row>
    <row r="36564" spans="7:14" x14ac:dyDescent="0.3">
      <c r="G36564" s="1"/>
      <c r="N36564" s="1"/>
    </row>
    <row r="36565" spans="7:14" x14ac:dyDescent="0.3">
      <c r="G36565" s="1"/>
      <c r="N36565" s="1"/>
    </row>
    <row r="36566" spans="7:14" x14ac:dyDescent="0.3">
      <c r="G36566" s="1"/>
      <c r="N36566" s="1"/>
    </row>
    <row r="36567" spans="7:14" x14ac:dyDescent="0.3">
      <c r="G36567" s="1"/>
      <c r="N36567" s="1"/>
    </row>
    <row r="36568" spans="7:14" x14ac:dyDescent="0.3">
      <c r="G36568" s="1"/>
      <c r="N36568" s="1"/>
    </row>
    <row r="36569" spans="7:14" x14ac:dyDescent="0.3">
      <c r="G36569" s="1"/>
      <c r="N36569" s="1"/>
    </row>
    <row r="36570" spans="7:14" x14ac:dyDescent="0.3">
      <c r="G36570" s="1"/>
      <c r="N36570" s="1"/>
    </row>
    <row r="36571" spans="7:14" x14ac:dyDescent="0.3">
      <c r="G36571" s="1"/>
      <c r="N36571" s="1"/>
    </row>
    <row r="36572" spans="7:14" x14ac:dyDescent="0.3">
      <c r="G36572" s="1"/>
      <c r="N36572" s="1"/>
    </row>
    <row r="36573" spans="7:14" x14ac:dyDescent="0.3">
      <c r="G36573" s="1"/>
      <c r="N36573" s="1"/>
    </row>
    <row r="36574" spans="7:14" x14ac:dyDescent="0.3">
      <c r="G36574" s="1"/>
      <c r="N36574" s="1"/>
    </row>
    <row r="36575" spans="7:14" x14ac:dyDescent="0.3">
      <c r="G36575" s="1"/>
      <c r="N36575" s="1"/>
    </row>
    <row r="36576" spans="7:14" x14ac:dyDescent="0.3">
      <c r="G36576" s="1"/>
      <c r="N36576" s="1"/>
    </row>
    <row r="36577" spans="7:14" x14ac:dyDescent="0.3">
      <c r="G36577" s="1"/>
      <c r="N36577" s="1"/>
    </row>
    <row r="36578" spans="7:14" x14ac:dyDescent="0.3">
      <c r="G36578" s="1"/>
      <c r="N36578" s="1"/>
    </row>
    <row r="36579" spans="7:14" x14ac:dyDescent="0.3">
      <c r="G36579" s="1"/>
      <c r="N36579" s="1"/>
    </row>
    <row r="36580" spans="7:14" x14ac:dyDescent="0.3">
      <c r="G36580" s="1"/>
      <c r="N36580" s="1"/>
    </row>
    <row r="36581" spans="7:14" x14ac:dyDescent="0.3">
      <c r="G36581" s="1"/>
      <c r="N36581" s="1"/>
    </row>
    <row r="36582" spans="7:14" x14ac:dyDescent="0.3">
      <c r="G36582" s="1"/>
      <c r="N36582" s="1"/>
    </row>
    <row r="36583" spans="7:14" x14ac:dyDescent="0.3">
      <c r="G36583" s="1"/>
      <c r="N36583" s="1"/>
    </row>
    <row r="36584" spans="7:14" x14ac:dyDescent="0.3">
      <c r="G36584" s="1"/>
      <c r="N36584" s="1"/>
    </row>
    <row r="36585" spans="7:14" x14ac:dyDescent="0.3">
      <c r="G36585" s="1"/>
      <c r="N36585" s="1"/>
    </row>
    <row r="36586" spans="7:14" x14ac:dyDescent="0.3">
      <c r="G36586" s="1"/>
      <c r="N36586" s="1"/>
    </row>
    <row r="36587" spans="7:14" x14ac:dyDescent="0.3">
      <c r="G36587" s="1"/>
      <c r="N36587" s="1"/>
    </row>
    <row r="36588" spans="7:14" x14ac:dyDescent="0.3">
      <c r="G36588" s="1"/>
      <c r="N36588" s="1"/>
    </row>
    <row r="36589" spans="7:14" x14ac:dyDescent="0.3">
      <c r="G36589" s="1"/>
      <c r="N36589" s="1"/>
    </row>
    <row r="36590" spans="7:14" x14ac:dyDescent="0.3">
      <c r="G36590" s="1"/>
      <c r="N36590" s="1"/>
    </row>
    <row r="36591" spans="7:14" x14ac:dyDescent="0.3">
      <c r="G36591" s="1"/>
      <c r="N36591" s="1"/>
    </row>
    <row r="36592" spans="7:14" x14ac:dyDescent="0.3">
      <c r="G36592" s="1"/>
      <c r="N36592" s="1"/>
    </row>
    <row r="36593" spans="7:14" x14ac:dyDescent="0.3">
      <c r="G36593" s="1"/>
      <c r="N36593" s="1"/>
    </row>
    <row r="36594" spans="7:14" x14ac:dyDescent="0.3">
      <c r="G36594" s="1"/>
      <c r="N36594" s="1"/>
    </row>
    <row r="36595" spans="7:14" x14ac:dyDescent="0.3">
      <c r="G36595" s="1"/>
      <c r="N36595" s="1"/>
    </row>
    <row r="36596" spans="7:14" x14ac:dyDescent="0.3">
      <c r="G36596" s="1"/>
      <c r="N36596" s="1"/>
    </row>
    <row r="36597" spans="7:14" x14ac:dyDescent="0.3">
      <c r="G36597" s="1"/>
      <c r="N36597" s="1"/>
    </row>
    <row r="36598" spans="7:14" x14ac:dyDescent="0.3">
      <c r="G36598" s="1"/>
      <c r="N36598" s="1"/>
    </row>
    <row r="36599" spans="7:14" x14ac:dyDescent="0.3">
      <c r="G36599" s="1"/>
      <c r="N36599" s="1"/>
    </row>
    <row r="36600" spans="7:14" x14ac:dyDescent="0.3">
      <c r="G36600" s="1"/>
      <c r="N36600" s="1"/>
    </row>
    <row r="36601" spans="7:14" x14ac:dyDescent="0.3">
      <c r="G36601" s="1"/>
      <c r="N36601" s="1"/>
    </row>
    <row r="36602" spans="7:14" x14ac:dyDescent="0.3">
      <c r="G36602" s="1"/>
      <c r="N36602" s="1"/>
    </row>
    <row r="36603" spans="7:14" x14ac:dyDescent="0.3">
      <c r="G36603" s="1"/>
      <c r="N36603" s="1"/>
    </row>
    <row r="36604" spans="7:14" x14ac:dyDescent="0.3">
      <c r="G36604" s="1"/>
      <c r="N36604" s="1"/>
    </row>
    <row r="36605" spans="7:14" x14ac:dyDescent="0.3">
      <c r="G36605" s="1"/>
      <c r="N36605" s="1"/>
    </row>
    <row r="36606" spans="7:14" x14ac:dyDescent="0.3">
      <c r="G36606" s="1"/>
      <c r="N36606" s="1"/>
    </row>
    <row r="36607" spans="7:14" x14ac:dyDescent="0.3">
      <c r="G36607" s="1"/>
      <c r="N36607" s="1"/>
    </row>
    <row r="36608" spans="7:14" x14ac:dyDescent="0.3">
      <c r="G36608" s="1"/>
      <c r="N36608" s="1"/>
    </row>
    <row r="36609" spans="7:14" x14ac:dyDescent="0.3">
      <c r="G36609" s="1"/>
      <c r="N36609" s="1"/>
    </row>
    <row r="36610" spans="7:14" x14ac:dyDescent="0.3">
      <c r="G36610" s="1"/>
      <c r="N36610" s="1"/>
    </row>
    <row r="36611" spans="7:14" x14ac:dyDescent="0.3">
      <c r="G36611" s="1"/>
      <c r="N36611" s="1"/>
    </row>
    <row r="36612" spans="7:14" x14ac:dyDescent="0.3">
      <c r="G36612" s="1"/>
      <c r="N36612" s="1"/>
    </row>
    <row r="36613" spans="7:14" x14ac:dyDescent="0.3">
      <c r="G36613" s="1"/>
      <c r="N36613" s="1"/>
    </row>
    <row r="36614" spans="7:14" x14ac:dyDescent="0.3">
      <c r="G36614" s="1"/>
      <c r="N36614" s="1"/>
    </row>
    <row r="36615" spans="7:14" x14ac:dyDescent="0.3">
      <c r="G36615" s="1"/>
      <c r="N36615" s="1"/>
    </row>
    <row r="36616" spans="7:14" x14ac:dyDescent="0.3">
      <c r="G36616" s="1"/>
      <c r="N36616" s="1"/>
    </row>
    <row r="36617" spans="7:14" x14ac:dyDescent="0.3">
      <c r="G36617" s="1"/>
      <c r="N36617" s="1"/>
    </row>
    <row r="36618" spans="7:14" x14ac:dyDescent="0.3">
      <c r="G36618" s="1"/>
      <c r="N36618" s="1"/>
    </row>
    <row r="36619" spans="7:14" x14ac:dyDescent="0.3">
      <c r="G36619" s="1"/>
      <c r="N36619" s="1"/>
    </row>
    <row r="36620" spans="7:14" x14ac:dyDescent="0.3">
      <c r="G36620" s="1"/>
      <c r="N36620" s="1"/>
    </row>
    <row r="36621" spans="7:14" x14ac:dyDescent="0.3">
      <c r="G36621" s="1"/>
      <c r="N36621" s="1"/>
    </row>
    <row r="36622" spans="7:14" x14ac:dyDescent="0.3">
      <c r="G36622" s="1"/>
      <c r="N36622" s="1"/>
    </row>
    <row r="36623" spans="7:14" x14ac:dyDescent="0.3">
      <c r="G36623" s="1"/>
      <c r="N36623" s="1"/>
    </row>
    <row r="36624" spans="7:14" x14ac:dyDescent="0.3">
      <c r="G36624" s="1"/>
      <c r="N36624" s="1"/>
    </row>
    <row r="36625" spans="7:14" x14ac:dyDescent="0.3">
      <c r="G36625" s="1"/>
      <c r="N36625" s="1"/>
    </row>
    <row r="36626" spans="7:14" x14ac:dyDescent="0.3">
      <c r="G36626" s="1"/>
      <c r="N36626" s="1"/>
    </row>
    <row r="36627" spans="7:14" x14ac:dyDescent="0.3">
      <c r="G36627" s="1"/>
      <c r="N36627" s="1"/>
    </row>
    <row r="36628" spans="7:14" x14ac:dyDescent="0.3">
      <c r="G36628" s="1"/>
      <c r="N36628" s="1"/>
    </row>
    <row r="36629" spans="7:14" x14ac:dyDescent="0.3">
      <c r="G36629" s="1"/>
      <c r="N36629" s="1"/>
    </row>
    <row r="36630" spans="7:14" x14ac:dyDescent="0.3">
      <c r="G36630" s="1"/>
      <c r="N36630" s="1"/>
    </row>
    <row r="36631" spans="7:14" x14ac:dyDescent="0.3">
      <c r="G36631" s="1"/>
      <c r="N36631" s="1"/>
    </row>
    <row r="36632" spans="7:14" x14ac:dyDescent="0.3">
      <c r="G36632" s="1"/>
      <c r="N36632" s="1"/>
    </row>
    <row r="36633" spans="7:14" x14ac:dyDescent="0.3">
      <c r="G36633" s="1"/>
      <c r="N36633" s="1"/>
    </row>
    <row r="36634" spans="7:14" x14ac:dyDescent="0.3">
      <c r="G36634" s="1"/>
      <c r="N36634" s="1"/>
    </row>
    <row r="36635" spans="7:14" x14ac:dyDescent="0.3">
      <c r="G36635" s="1"/>
      <c r="N36635" s="1"/>
    </row>
    <row r="36636" spans="7:14" x14ac:dyDescent="0.3">
      <c r="G36636" s="1"/>
      <c r="N36636" s="1"/>
    </row>
    <row r="36637" spans="7:14" x14ac:dyDescent="0.3">
      <c r="G36637" s="1"/>
      <c r="N36637" s="1"/>
    </row>
    <row r="36638" spans="7:14" x14ac:dyDescent="0.3">
      <c r="G36638" s="1"/>
      <c r="N36638" s="1"/>
    </row>
    <row r="36639" spans="7:14" x14ac:dyDescent="0.3">
      <c r="G36639" s="1"/>
      <c r="N36639" s="1"/>
    </row>
    <row r="36640" spans="7:14" x14ac:dyDescent="0.3">
      <c r="G36640" s="1"/>
      <c r="N36640" s="1"/>
    </row>
    <row r="36641" spans="7:14" x14ac:dyDescent="0.3">
      <c r="G36641" s="1"/>
      <c r="N36641" s="1"/>
    </row>
    <row r="36642" spans="7:14" x14ac:dyDescent="0.3">
      <c r="G36642" s="1"/>
      <c r="N36642" s="1"/>
    </row>
    <row r="36643" spans="7:14" x14ac:dyDescent="0.3">
      <c r="G36643" s="1"/>
      <c r="N36643" s="1"/>
    </row>
    <row r="36644" spans="7:14" x14ac:dyDescent="0.3">
      <c r="G36644" s="1"/>
      <c r="N36644" s="1"/>
    </row>
    <row r="36645" spans="7:14" x14ac:dyDescent="0.3">
      <c r="G36645" s="1"/>
      <c r="N36645" s="1"/>
    </row>
    <row r="36646" spans="7:14" x14ac:dyDescent="0.3">
      <c r="G36646" s="1"/>
      <c r="N36646" s="1"/>
    </row>
    <row r="36647" spans="7:14" x14ac:dyDescent="0.3">
      <c r="G36647" s="1"/>
      <c r="N36647" s="1"/>
    </row>
    <row r="36648" spans="7:14" x14ac:dyDescent="0.3">
      <c r="G36648" s="1"/>
      <c r="N36648" s="1"/>
    </row>
    <row r="36649" spans="7:14" x14ac:dyDescent="0.3">
      <c r="G36649" s="1"/>
      <c r="N36649" s="1"/>
    </row>
    <row r="36650" spans="7:14" x14ac:dyDescent="0.3">
      <c r="G36650" s="1"/>
      <c r="N36650" s="1"/>
    </row>
    <row r="36651" spans="7:14" x14ac:dyDescent="0.3">
      <c r="G36651" s="1"/>
      <c r="N36651" s="1"/>
    </row>
    <row r="36652" spans="7:14" x14ac:dyDescent="0.3">
      <c r="G36652" s="1"/>
      <c r="N36652" s="1"/>
    </row>
    <row r="36653" spans="7:14" x14ac:dyDescent="0.3">
      <c r="G36653" s="1"/>
      <c r="N36653" s="1"/>
    </row>
    <row r="36654" spans="7:14" x14ac:dyDescent="0.3">
      <c r="G36654" s="1"/>
      <c r="N36654" s="1"/>
    </row>
    <row r="36655" spans="7:14" x14ac:dyDescent="0.3">
      <c r="G36655" s="1"/>
      <c r="N36655" s="1"/>
    </row>
    <row r="36656" spans="7:14" x14ac:dyDescent="0.3">
      <c r="G36656" s="1"/>
      <c r="N36656" s="1"/>
    </row>
    <row r="36657" spans="7:14" x14ac:dyDescent="0.3">
      <c r="G36657" s="1"/>
      <c r="N36657" s="1"/>
    </row>
    <row r="36658" spans="7:14" x14ac:dyDescent="0.3">
      <c r="G36658" s="1"/>
      <c r="N36658" s="1"/>
    </row>
    <row r="36659" spans="7:14" x14ac:dyDescent="0.3">
      <c r="G36659" s="1"/>
      <c r="N36659" s="1"/>
    </row>
    <row r="36660" spans="7:14" x14ac:dyDescent="0.3">
      <c r="G36660" s="1"/>
      <c r="N36660" s="1"/>
    </row>
    <row r="36661" spans="7:14" x14ac:dyDescent="0.3">
      <c r="G36661" s="1"/>
      <c r="N36661" s="1"/>
    </row>
    <row r="36662" spans="7:14" x14ac:dyDescent="0.3">
      <c r="G36662" s="1"/>
      <c r="N36662" s="1"/>
    </row>
    <row r="36663" spans="7:14" x14ac:dyDescent="0.3">
      <c r="G36663" s="1"/>
      <c r="N36663" s="1"/>
    </row>
    <row r="36664" spans="7:14" x14ac:dyDescent="0.3">
      <c r="G36664" s="1"/>
      <c r="N36664" s="1"/>
    </row>
    <row r="36665" spans="7:14" x14ac:dyDescent="0.3">
      <c r="G36665" s="1"/>
      <c r="N36665" s="1"/>
    </row>
    <row r="36666" spans="7:14" x14ac:dyDescent="0.3">
      <c r="G36666" s="1"/>
      <c r="N36666" s="1"/>
    </row>
    <row r="36667" spans="7:14" x14ac:dyDescent="0.3">
      <c r="G36667" s="1"/>
      <c r="N36667" s="1"/>
    </row>
    <row r="36668" spans="7:14" x14ac:dyDescent="0.3">
      <c r="G36668" s="1"/>
      <c r="N36668" s="1"/>
    </row>
    <row r="36669" spans="7:14" x14ac:dyDescent="0.3">
      <c r="G36669" s="1"/>
      <c r="N36669" s="1"/>
    </row>
    <row r="36670" spans="7:14" x14ac:dyDescent="0.3">
      <c r="G36670" s="1"/>
      <c r="N36670" s="1"/>
    </row>
    <row r="36671" spans="7:14" x14ac:dyDescent="0.3">
      <c r="G36671" s="1"/>
      <c r="N36671" s="1"/>
    </row>
    <row r="36672" spans="7:14" x14ac:dyDescent="0.3">
      <c r="G36672" s="1"/>
      <c r="N36672" s="1"/>
    </row>
    <row r="36673" spans="7:14" x14ac:dyDescent="0.3">
      <c r="G36673" s="1"/>
      <c r="N36673" s="1"/>
    </row>
    <row r="36674" spans="7:14" x14ac:dyDescent="0.3">
      <c r="G36674" s="1"/>
      <c r="N36674" s="1"/>
    </row>
    <row r="36675" spans="7:14" x14ac:dyDescent="0.3">
      <c r="G36675" s="1"/>
      <c r="N36675" s="1"/>
    </row>
    <row r="36676" spans="7:14" x14ac:dyDescent="0.3">
      <c r="G36676" s="1"/>
      <c r="N36676" s="1"/>
    </row>
    <row r="36677" spans="7:14" x14ac:dyDescent="0.3">
      <c r="G36677" s="1"/>
      <c r="N36677" s="1"/>
    </row>
    <row r="36678" spans="7:14" x14ac:dyDescent="0.3">
      <c r="G36678" s="1"/>
      <c r="N36678" s="1"/>
    </row>
    <row r="36679" spans="7:14" x14ac:dyDescent="0.3">
      <c r="G36679" s="1"/>
      <c r="N36679" s="1"/>
    </row>
    <row r="36680" spans="7:14" x14ac:dyDescent="0.3">
      <c r="G36680" s="1"/>
      <c r="N36680" s="1"/>
    </row>
    <row r="36681" spans="7:14" x14ac:dyDescent="0.3">
      <c r="G36681" s="1"/>
      <c r="N36681" s="1"/>
    </row>
    <row r="36682" spans="7:14" x14ac:dyDescent="0.3">
      <c r="G36682" s="1"/>
      <c r="N36682" s="1"/>
    </row>
    <row r="36683" spans="7:14" x14ac:dyDescent="0.3">
      <c r="G36683" s="1"/>
      <c r="N36683" s="1"/>
    </row>
    <row r="36684" spans="7:14" x14ac:dyDescent="0.3">
      <c r="G36684" s="1"/>
      <c r="N36684" s="1"/>
    </row>
    <row r="36685" spans="7:14" x14ac:dyDescent="0.3">
      <c r="G36685" s="1"/>
      <c r="N36685" s="1"/>
    </row>
    <row r="36686" spans="7:14" x14ac:dyDescent="0.3">
      <c r="G36686" s="1"/>
      <c r="N36686" s="1"/>
    </row>
    <row r="36687" spans="7:14" x14ac:dyDescent="0.3">
      <c r="G36687" s="1"/>
      <c r="N36687" s="1"/>
    </row>
    <row r="36688" spans="7:14" x14ac:dyDescent="0.3">
      <c r="G36688" s="1"/>
      <c r="N36688" s="1"/>
    </row>
    <row r="36689" spans="7:14" x14ac:dyDescent="0.3">
      <c r="G36689" s="1"/>
      <c r="N36689" s="1"/>
    </row>
    <row r="36690" spans="7:14" x14ac:dyDescent="0.3">
      <c r="G36690" s="1"/>
      <c r="N36690" s="1"/>
    </row>
    <row r="36691" spans="7:14" x14ac:dyDescent="0.3">
      <c r="G36691" s="1"/>
      <c r="N36691" s="1"/>
    </row>
    <row r="36692" spans="7:14" x14ac:dyDescent="0.3">
      <c r="G36692" s="1"/>
      <c r="N36692" s="1"/>
    </row>
    <row r="36693" spans="7:14" x14ac:dyDescent="0.3">
      <c r="G36693" s="1"/>
      <c r="N36693" s="1"/>
    </row>
    <row r="36694" spans="7:14" x14ac:dyDescent="0.3">
      <c r="G36694" s="1"/>
      <c r="N36694" s="1"/>
    </row>
    <row r="36695" spans="7:14" x14ac:dyDescent="0.3">
      <c r="G36695" s="1"/>
      <c r="N36695" s="1"/>
    </row>
    <row r="36696" spans="7:14" x14ac:dyDescent="0.3">
      <c r="G36696" s="1"/>
      <c r="N36696" s="1"/>
    </row>
    <row r="36697" spans="7:14" x14ac:dyDescent="0.3">
      <c r="G36697" s="1"/>
      <c r="N36697" s="1"/>
    </row>
    <row r="36698" spans="7:14" x14ac:dyDescent="0.3">
      <c r="G36698" s="1"/>
      <c r="N36698" s="1"/>
    </row>
    <row r="36699" spans="7:14" x14ac:dyDescent="0.3">
      <c r="G36699" s="1"/>
      <c r="N36699" s="1"/>
    </row>
    <row r="36700" spans="7:14" x14ac:dyDescent="0.3">
      <c r="G36700" s="1"/>
      <c r="N36700" s="1"/>
    </row>
    <row r="36701" spans="7:14" x14ac:dyDescent="0.3">
      <c r="G36701" s="1"/>
      <c r="N36701" s="1"/>
    </row>
    <row r="36702" spans="7:14" x14ac:dyDescent="0.3">
      <c r="G36702" s="1"/>
      <c r="N36702" s="1"/>
    </row>
    <row r="36703" spans="7:14" x14ac:dyDescent="0.3">
      <c r="G36703" s="1"/>
      <c r="N36703" s="1"/>
    </row>
    <row r="36704" spans="7:14" x14ac:dyDescent="0.3">
      <c r="G36704" s="1"/>
      <c r="N36704" s="1"/>
    </row>
    <row r="36705" spans="7:14" x14ac:dyDescent="0.3">
      <c r="G36705" s="1"/>
      <c r="N36705" s="1"/>
    </row>
    <row r="36706" spans="7:14" x14ac:dyDescent="0.3">
      <c r="G36706" s="1"/>
      <c r="N36706" s="1"/>
    </row>
    <row r="36707" spans="7:14" x14ac:dyDescent="0.3">
      <c r="G36707" s="1"/>
      <c r="N36707" s="1"/>
    </row>
    <row r="36708" spans="7:14" x14ac:dyDescent="0.3">
      <c r="G36708" s="1"/>
      <c r="N36708" s="1"/>
    </row>
    <row r="36709" spans="7:14" x14ac:dyDescent="0.3">
      <c r="G36709" s="1"/>
      <c r="N36709" s="1"/>
    </row>
    <row r="36710" spans="7:14" x14ac:dyDescent="0.3">
      <c r="G36710" s="1"/>
      <c r="N36710" s="1"/>
    </row>
    <row r="36711" spans="7:14" x14ac:dyDescent="0.3">
      <c r="G36711" s="1"/>
      <c r="N36711" s="1"/>
    </row>
    <row r="36712" spans="7:14" x14ac:dyDescent="0.3">
      <c r="G36712" s="1"/>
      <c r="N36712" s="1"/>
    </row>
    <row r="36713" spans="7:14" x14ac:dyDescent="0.3">
      <c r="G36713" s="1"/>
      <c r="N36713" s="1"/>
    </row>
    <row r="36714" spans="7:14" x14ac:dyDescent="0.3">
      <c r="G36714" s="1"/>
      <c r="N36714" s="1"/>
    </row>
    <row r="36715" spans="7:14" x14ac:dyDescent="0.3">
      <c r="G36715" s="1"/>
      <c r="N36715" s="1"/>
    </row>
    <row r="36716" spans="7:14" x14ac:dyDescent="0.3">
      <c r="G36716" s="1"/>
      <c r="N36716" s="1"/>
    </row>
    <row r="36717" spans="7:14" x14ac:dyDescent="0.3">
      <c r="G36717" s="1"/>
      <c r="N36717" s="1"/>
    </row>
    <row r="36718" spans="7:14" x14ac:dyDescent="0.3">
      <c r="G36718" s="1"/>
      <c r="N36718" s="1"/>
    </row>
    <row r="36719" spans="7:14" x14ac:dyDescent="0.3">
      <c r="G36719" s="1"/>
      <c r="N36719" s="1"/>
    </row>
    <row r="36720" spans="7:14" x14ac:dyDescent="0.3">
      <c r="G36720" s="1"/>
      <c r="N36720" s="1"/>
    </row>
    <row r="36721" spans="7:14" x14ac:dyDescent="0.3">
      <c r="G36721" s="1"/>
      <c r="N36721" s="1"/>
    </row>
    <row r="36722" spans="7:14" x14ac:dyDescent="0.3">
      <c r="G36722" s="1"/>
      <c r="N36722" s="1"/>
    </row>
    <row r="36723" spans="7:14" x14ac:dyDescent="0.3">
      <c r="G36723" s="1"/>
      <c r="N36723" s="1"/>
    </row>
    <row r="36724" spans="7:14" x14ac:dyDescent="0.3">
      <c r="G36724" s="1"/>
      <c r="N36724" s="1"/>
    </row>
    <row r="36725" spans="7:14" x14ac:dyDescent="0.3">
      <c r="G36725" s="1"/>
      <c r="N36725" s="1"/>
    </row>
    <row r="36726" spans="7:14" x14ac:dyDescent="0.3">
      <c r="G36726" s="1"/>
      <c r="N36726" s="1"/>
    </row>
    <row r="36727" spans="7:14" x14ac:dyDescent="0.3">
      <c r="G36727" s="1"/>
      <c r="N36727" s="1"/>
    </row>
    <row r="36728" spans="7:14" x14ac:dyDescent="0.3">
      <c r="G36728" s="1"/>
      <c r="N36728" s="1"/>
    </row>
    <row r="36729" spans="7:14" x14ac:dyDescent="0.3">
      <c r="G36729" s="1"/>
      <c r="N36729" s="1"/>
    </row>
    <row r="36730" spans="7:14" x14ac:dyDescent="0.3">
      <c r="G36730" s="1"/>
      <c r="N36730" s="1"/>
    </row>
    <row r="36731" spans="7:14" x14ac:dyDescent="0.3">
      <c r="G36731" s="1"/>
      <c r="N36731" s="1"/>
    </row>
    <row r="36732" spans="7:14" x14ac:dyDescent="0.3">
      <c r="G36732" s="1"/>
      <c r="N36732" s="1"/>
    </row>
    <row r="36733" spans="7:14" x14ac:dyDescent="0.3">
      <c r="G36733" s="1"/>
      <c r="N36733" s="1"/>
    </row>
    <row r="36734" spans="7:14" x14ac:dyDescent="0.3">
      <c r="G36734" s="1"/>
      <c r="N36734" s="1"/>
    </row>
    <row r="36735" spans="7:14" x14ac:dyDescent="0.3">
      <c r="G36735" s="1"/>
      <c r="N36735" s="1"/>
    </row>
    <row r="36736" spans="7:14" x14ac:dyDescent="0.3">
      <c r="G36736" s="1"/>
      <c r="N36736" s="1"/>
    </row>
    <row r="36737" spans="7:14" x14ac:dyDescent="0.3">
      <c r="G36737" s="1"/>
      <c r="N36737" s="1"/>
    </row>
    <row r="36738" spans="7:14" x14ac:dyDescent="0.3">
      <c r="G36738" s="1"/>
      <c r="N36738" s="1"/>
    </row>
    <row r="36739" spans="7:14" x14ac:dyDescent="0.3">
      <c r="G36739" s="1"/>
      <c r="N36739" s="1"/>
    </row>
    <row r="36740" spans="7:14" x14ac:dyDescent="0.3">
      <c r="G36740" s="1"/>
      <c r="N36740" s="1"/>
    </row>
    <row r="36741" spans="7:14" x14ac:dyDescent="0.3">
      <c r="G36741" s="1"/>
      <c r="N36741" s="1"/>
    </row>
    <row r="36742" spans="7:14" x14ac:dyDescent="0.3">
      <c r="G36742" s="1"/>
      <c r="N36742" s="1"/>
    </row>
    <row r="36743" spans="7:14" x14ac:dyDescent="0.3">
      <c r="G36743" s="1"/>
      <c r="N36743" s="1"/>
    </row>
    <row r="36744" spans="7:14" x14ac:dyDescent="0.3">
      <c r="G36744" s="1"/>
      <c r="N36744" s="1"/>
    </row>
    <row r="36745" spans="7:14" x14ac:dyDescent="0.3">
      <c r="G36745" s="1"/>
      <c r="N36745" s="1"/>
    </row>
    <row r="36746" spans="7:14" x14ac:dyDescent="0.3">
      <c r="G36746" s="1"/>
      <c r="N36746" s="1"/>
    </row>
    <row r="36747" spans="7:14" x14ac:dyDescent="0.3">
      <c r="G36747" s="1"/>
      <c r="N36747" s="1"/>
    </row>
    <row r="36748" spans="7:14" x14ac:dyDescent="0.3">
      <c r="G36748" s="1"/>
      <c r="N36748" s="1"/>
    </row>
    <row r="36749" spans="7:14" x14ac:dyDescent="0.3">
      <c r="G36749" s="1"/>
      <c r="N36749" s="1"/>
    </row>
    <row r="36750" spans="7:14" x14ac:dyDescent="0.3">
      <c r="G36750" s="1"/>
      <c r="N36750" s="1"/>
    </row>
    <row r="36751" spans="7:14" x14ac:dyDescent="0.3">
      <c r="G36751" s="1"/>
      <c r="N36751" s="1"/>
    </row>
    <row r="36752" spans="7:14" x14ac:dyDescent="0.3">
      <c r="G36752" s="1"/>
      <c r="N36752" s="1"/>
    </row>
    <row r="36753" spans="7:14" x14ac:dyDescent="0.3">
      <c r="G36753" s="1"/>
      <c r="N36753" s="1"/>
    </row>
    <row r="36754" spans="7:14" x14ac:dyDescent="0.3">
      <c r="G36754" s="1"/>
      <c r="N36754" s="1"/>
    </row>
    <row r="36755" spans="7:14" x14ac:dyDescent="0.3">
      <c r="G36755" s="1"/>
      <c r="N36755" s="1"/>
    </row>
    <row r="36756" spans="7:14" x14ac:dyDescent="0.3">
      <c r="G36756" s="1"/>
      <c r="N36756" s="1"/>
    </row>
    <row r="36757" spans="7:14" x14ac:dyDescent="0.3">
      <c r="G36757" s="1"/>
      <c r="N36757" s="1"/>
    </row>
    <row r="36758" spans="7:14" x14ac:dyDescent="0.3">
      <c r="G36758" s="1"/>
      <c r="N36758" s="1"/>
    </row>
    <row r="36759" spans="7:14" x14ac:dyDescent="0.3">
      <c r="G36759" s="1"/>
      <c r="N36759" s="1"/>
    </row>
    <row r="36760" spans="7:14" x14ac:dyDescent="0.3">
      <c r="G36760" s="1"/>
      <c r="N36760" s="1"/>
    </row>
    <row r="36761" spans="7:14" x14ac:dyDescent="0.3">
      <c r="G36761" s="1"/>
      <c r="N36761" s="1"/>
    </row>
    <row r="36762" spans="7:14" x14ac:dyDescent="0.3">
      <c r="G36762" s="1"/>
      <c r="N36762" s="1"/>
    </row>
    <row r="36763" spans="7:14" x14ac:dyDescent="0.3">
      <c r="G36763" s="1"/>
      <c r="N36763" s="1"/>
    </row>
    <row r="36764" spans="7:14" x14ac:dyDescent="0.3">
      <c r="G36764" s="1"/>
      <c r="N36764" s="1"/>
    </row>
    <row r="36765" spans="7:14" x14ac:dyDescent="0.3">
      <c r="G36765" s="1"/>
      <c r="N36765" s="1"/>
    </row>
    <row r="36766" spans="7:14" x14ac:dyDescent="0.3">
      <c r="G36766" s="1"/>
      <c r="N36766" s="1"/>
    </row>
    <row r="36767" spans="7:14" x14ac:dyDescent="0.3">
      <c r="G36767" s="1"/>
      <c r="N36767" s="1"/>
    </row>
    <row r="36768" spans="7:14" x14ac:dyDescent="0.3">
      <c r="G36768" s="1"/>
      <c r="N36768" s="1"/>
    </row>
    <row r="36769" spans="7:14" x14ac:dyDescent="0.3">
      <c r="G36769" s="1"/>
      <c r="N36769" s="1"/>
    </row>
    <row r="36770" spans="7:14" x14ac:dyDescent="0.3">
      <c r="G36770" s="1"/>
      <c r="N36770" s="1"/>
    </row>
    <row r="36771" spans="7:14" x14ac:dyDescent="0.3">
      <c r="G36771" s="1"/>
      <c r="N36771" s="1"/>
    </row>
    <row r="36772" spans="7:14" x14ac:dyDescent="0.3">
      <c r="G36772" s="1"/>
      <c r="N36772" s="1"/>
    </row>
    <row r="36773" spans="7:14" x14ac:dyDescent="0.3">
      <c r="G36773" s="1"/>
      <c r="N36773" s="1"/>
    </row>
    <row r="36774" spans="7:14" x14ac:dyDescent="0.3">
      <c r="G36774" s="1"/>
      <c r="N36774" s="1"/>
    </row>
    <row r="36775" spans="7:14" x14ac:dyDescent="0.3">
      <c r="G36775" s="1"/>
      <c r="N36775" s="1"/>
    </row>
    <row r="36776" spans="7:14" x14ac:dyDescent="0.3">
      <c r="G36776" s="1"/>
      <c r="N36776" s="1"/>
    </row>
    <row r="36777" spans="7:14" x14ac:dyDescent="0.3">
      <c r="G36777" s="1"/>
      <c r="N36777" s="1"/>
    </row>
    <row r="36778" spans="7:14" x14ac:dyDescent="0.3">
      <c r="G36778" s="1"/>
      <c r="N36778" s="1"/>
    </row>
    <row r="36779" spans="7:14" x14ac:dyDescent="0.3">
      <c r="G36779" s="1"/>
      <c r="N36779" s="1"/>
    </row>
    <row r="36780" spans="7:14" x14ac:dyDescent="0.3">
      <c r="G36780" s="1"/>
      <c r="N36780" s="1"/>
    </row>
    <row r="36781" spans="7:14" x14ac:dyDescent="0.3">
      <c r="G36781" s="1"/>
      <c r="N36781" s="1"/>
    </row>
    <row r="36782" spans="7:14" x14ac:dyDescent="0.3">
      <c r="G36782" s="1"/>
      <c r="N36782" s="1"/>
    </row>
    <row r="36783" spans="7:14" x14ac:dyDescent="0.3">
      <c r="G36783" s="1"/>
      <c r="N36783" s="1"/>
    </row>
    <row r="36784" spans="7:14" x14ac:dyDescent="0.3">
      <c r="G36784" s="1"/>
      <c r="N36784" s="1"/>
    </row>
    <row r="36785" spans="7:14" x14ac:dyDescent="0.3">
      <c r="G36785" s="1"/>
      <c r="N36785" s="1"/>
    </row>
    <row r="36786" spans="7:14" x14ac:dyDescent="0.3">
      <c r="G36786" s="1"/>
      <c r="N36786" s="1"/>
    </row>
    <row r="36787" spans="7:14" x14ac:dyDescent="0.3">
      <c r="G36787" s="1"/>
      <c r="N36787" s="1"/>
    </row>
    <row r="36788" spans="7:14" x14ac:dyDescent="0.3">
      <c r="G36788" s="1"/>
      <c r="N36788" s="1"/>
    </row>
    <row r="36789" spans="7:14" x14ac:dyDescent="0.3">
      <c r="G36789" s="1"/>
      <c r="N36789" s="1"/>
    </row>
    <row r="36790" spans="7:14" x14ac:dyDescent="0.3">
      <c r="G36790" s="1"/>
      <c r="N36790" s="1"/>
    </row>
    <row r="36791" spans="7:14" x14ac:dyDescent="0.3">
      <c r="G36791" s="1"/>
      <c r="N36791" s="1"/>
    </row>
    <row r="36792" spans="7:14" x14ac:dyDescent="0.3">
      <c r="G36792" s="1"/>
      <c r="N36792" s="1"/>
    </row>
    <row r="36793" spans="7:14" x14ac:dyDescent="0.3">
      <c r="G36793" s="1"/>
      <c r="N36793" s="1"/>
    </row>
    <row r="36794" spans="7:14" x14ac:dyDescent="0.3">
      <c r="G36794" s="1"/>
      <c r="N36794" s="1"/>
    </row>
    <row r="36795" spans="7:14" x14ac:dyDescent="0.3">
      <c r="G36795" s="1"/>
      <c r="N36795" s="1"/>
    </row>
    <row r="36796" spans="7:14" x14ac:dyDescent="0.3">
      <c r="G36796" s="1"/>
      <c r="N36796" s="1"/>
    </row>
    <row r="36797" spans="7:14" x14ac:dyDescent="0.3">
      <c r="G36797" s="1"/>
      <c r="N36797" s="1"/>
    </row>
    <row r="36798" spans="7:14" x14ac:dyDescent="0.3">
      <c r="G36798" s="1"/>
      <c r="N36798" s="1"/>
    </row>
    <row r="36799" spans="7:14" x14ac:dyDescent="0.3">
      <c r="G36799" s="1"/>
      <c r="N36799" s="1"/>
    </row>
    <row r="36800" spans="7:14" x14ac:dyDescent="0.3">
      <c r="G36800" s="1"/>
      <c r="N36800" s="1"/>
    </row>
    <row r="36801" spans="7:14" x14ac:dyDescent="0.3">
      <c r="G36801" s="1"/>
      <c r="N36801" s="1"/>
    </row>
    <row r="36802" spans="7:14" x14ac:dyDescent="0.3">
      <c r="G36802" s="1"/>
      <c r="N36802" s="1"/>
    </row>
    <row r="36803" spans="7:14" x14ac:dyDescent="0.3">
      <c r="G36803" s="1"/>
      <c r="N36803" s="1"/>
    </row>
    <row r="36804" spans="7:14" x14ac:dyDescent="0.3">
      <c r="G36804" s="1"/>
      <c r="N36804" s="1"/>
    </row>
    <row r="36805" spans="7:14" x14ac:dyDescent="0.3">
      <c r="G36805" s="1"/>
      <c r="N36805" s="1"/>
    </row>
    <row r="36806" spans="7:14" x14ac:dyDescent="0.3">
      <c r="G36806" s="1"/>
      <c r="N36806" s="1"/>
    </row>
    <row r="36807" spans="7:14" x14ac:dyDescent="0.3">
      <c r="G36807" s="1"/>
      <c r="N36807" s="1"/>
    </row>
    <row r="36808" spans="7:14" x14ac:dyDescent="0.3">
      <c r="G36808" s="1"/>
      <c r="N36808" s="1"/>
    </row>
    <row r="36809" spans="7:14" x14ac:dyDescent="0.3">
      <c r="G36809" s="1"/>
      <c r="N36809" s="1"/>
    </row>
    <row r="36810" spans="7:14" x14ac:dyDescent="0.3">
      <c r="G36810" s="1"/>
      <c r="N36810" s="1"/>
    </row>
    <row r="36811" spans="7:14" x14ac:dyDescent="0.3">
      <c r="G36811" s="1"/>
      <c r="N36811" s="1"/>
    </row>
    <row r="36812" spans="7:14" x14ac:dyDescent="0.3">
      <c r="G36812" s="1"/>
      <c r="N36812" s="1"/>
    </row>
    <row r="36813" spans="7:14" x14ac:dyDescent="0.3">
      <c r="G36813" s="1"/>
      <c r="N36813" s="1"/>
    </row>
    <row r="36814" spans="7:14" x14ac:dyDescent="0.3">
      <c r="G36814" s="1"/>
      <c r="N36814" s="1"/>
    </row>
    <row r="36815" spans="7:14" x14ac:dyDescent="0.3">
      <c r="G36815" s="1"/>
      <c r="N36815" s="1"/>
    </row>
    <row r="36816" spans="7:14" x14ac:dyDescent="0.3">
      <c r="G36816" s="1"/>
      <c r="N36816" s="1"/>
    </row>
    <row r="36817" spans="7:14" x14ac:dyDescent="0.3">
      <c r="G36817" s="1"/>
      <c r="N36817" s="1"/>
    </row>
    <row r="36818" spans="7:14" x14ac:dyDescent="0.3">
      <c r="G36818" s="1"/>
      <c r="N36818" s="1"/>
    </row>
    <row r="36819" spans="7:14" x14ac:dyDescent="0.3">
      <c r="G36819" s="1"/>
      <c r="N36819" s="1"/>
    </row>
    <row r="36820" spans="7:14" x14ac:dyDescent="0.3">
      <c r="G36820" s="1"/>
      <c r="N36820" s="1"/>
    </row>
    <row r="36821" spans="7:14" x14ac:dyDescent="0.3">
      <c r="G36821" s="1"/>
      <c r="N36821" s="1"/>
    </row>
    <row r="36822" spans="7:14" x14ac:dyDescent="0.3">
      <c r="G36822" s="1"/>
      <c r="N36822" s="1"/>
    </row>
    <row r="36823" spans="7:14" x14ac:dyDescent="0.3">
      <c r="G36823" s="1"/>
      <c r="N36823" s="1"/>
    </row>
    <row r="36824" spans="7:14" x14ac:dyDescent="0.3">
      <c r="G36824" s="1"/>
      <c r="N36824" s="1"/>
    </row>
    <row r="36825" spans="7:14" x14ac:dyDescent="0.3">
      <c r="G36825" s="1"/>
      <c r="N36825" s="1"/>
    </row>
    <row r="36826" spans="7:14" x14ac:dyDescent="0.3">
      <c r="G36826" s="1"/>
      <c r="N36826" s="1"/>
    </row>
    <row r="36827" spans="7:14" x14ac:dyDescent="0.3">
      <c r="G36827" s="1"/>
      <c r="N36827" s="1"/>
    </row>
    <row r="36828" spans="7:14" x14ac:dyDescent="0.3">
      <c r="G36828" s="1"/>
      <c r="N36828" s="1"/>
    </row>
    <row r="36829" spans="7:14" x14ac:dyDescent="0.3">
      <c r="G36829" s="1"/>
      <c r="N36829" s="1"/>
    </row>
    <row r="36830" spans="7:14" x14ac:dyDescent="0.3">
      <c r="G36830" s="1"/>
      <c r="N36830" s="1"/>
    </row>
    <row r="36831" spans="7:14" x14ac:dyDescent="0.3">
      <c r="G36831" s="1"/>
      <c r="N36831" s="1"/>
    </row>
    <row r="36832" spans="7:14" x14ac:dyDescent="0.3">
      <c r="G36832" s="1"/>
      <c r="N36832" s="1"/>
    </row>
    <row r="36833" spans="7:14" x14ac:dyDescent="0.3">
      <c r="G36833" s="1"/>
      <c r="N36833" s="1"/>
    </row>
    <row r="36834" spans="7:14" x14ac:dyDescent="0.3">
      <c r="G36834" s="1"/>
      <c r="N36834" s="1"/>
    </row>
    <row r="36835" spans="7:14" x14ac:dyDescent="0.3">
      <c r="G36835" s="1"/>
      <c r="N36835" s="1"/>
    </row>
    <row r="36836" spans="7:14" x14ac:dyDescent="0.3">
      <c r="G36836" s="1"/>
      <c r="N36836" s="1"/>
    </row>
    <row r="36837" spans="7:14" x14ac:dyDescent="0.3">
      <c r="G36837" s="1"/>
      <c r="N36837" s="1"/>
    </row>
    <row r="36838" spans="7:14" x14ac:dyDescent="0.3">
      <c r="G36838" s="1"/>
      <c r="N36838" s="1"/>
    </row>
    <row r="36839" spans="7:14" x14ac:dyDescent="0.3">
      <c r="G36839" s="1"/>
      <c r="N36839" s="1"/>
    </row>
    <row r="36840" spans="7:14" x14ac:dyDescent="0.3">
      <c r="G36840" s="1"/>
      <c r="N36840" s="1"/>
    </row>
    <row r="36841" spans="7:14" x14ac:dyDescent="0.3">
      <c r="G36841" s="1"/>
      <c r="N36841" s="1"/>
    </row>
    <row r="36842" spans="7:14" x14ac:dyDescent="0.3">
      <c r="G36842" s="1"/>
      <c r="N36842" s="1"/>
    </row>
    <row r="36843" spans="7:14" x14ac:dyDescent="0.3">
      <c r="G36843" s="1"/>
      <c r="N36843" s="1"/>
    </row>
    <row r="36844" spans="7:14" x14ac:dyDescent="0.3">
      <c r="G36844" s="1"/>
      <c r="N36844" s="1"/>
    </row>
    <row r="36845" spans="7:14" x14ac:dyDescent="0.3">
      <c r="G36845" s="1"/>
      <c r="N36845" s="1"/>
    </row>
    <row r="36846" spans="7:14" x14ac:dyDescent="0.3">
      <c r="G36846" s="1"/>
      <c r="N36846" s="1"/>
    </row>
    <row r="36847" spans="7:14" x14ac:dyDescent="0.3">
      <c r="G36847" s="1"/>
      <c r="N36847" s="1"/>
    </row>
    <row r="36848" spans="7:14" x14ac:dyDescent="0.3">
      <c r="G36848" s="1"/>
      <c r="N36848" s="1"/>
    </row>
    <row r="36849" spans="7:14" x14ac:dyDescent="0.3">
      <c r="G36849" s="1"/>
      <c r="N36849" s="1"/>
    </row>
    <row r="36850" spans="7:14" x14ac:dyDescent="0.3">
      <c r="G36850" s="1"/>
      <c r="N36850" s="1"/>
    </row>
    <row r="36851" spans="7:14" x14ac:dyDescent="0.3">
      <c r="G36851" s="1"/>
      <c r="N36851" s="1"/>
    </row>
    <row r="36852" spans="7:14" x14ac:dyDescent="0.3">
      <c r="G36852" s="1"/>
      <c r="N36852" s="1"/>
    </row>
    <row r="36853" spans="7:14" x14ac:dyDescent="0.3">
      <c r="G36853" s="1"/>
      <c r="N36853" s="1"/>
    </row>
    <row r="36854" spans="7:14" x14ac:dyDescent="0.3">
      <c r="G36854" s="1"/>
      <c r="N36854" s="1"/>
    </row>
    <row r="36855" spans="7:14" x14ac:dyDescent="0.3">
      <c r="G36855" s="1"/>
      <c r="N36855" s="1"/>
    </row>
    <row r="36856" spans="7:14" x14ac:dyDescent="0.3">
      <c r="G36856" s="1"/>
      <c r="N36856" s="1"/>
    </row>
    <row r="36857" spans="7:14" x14ac:dyDescent="0.3">
      <c r="G36857" s="1"/>
      <c r="N36857" s="1"/>
    </row>
    <row r="36858" spans="7:14" x14ac:dyDescent="0.3">
      <c r="G36858" s="1"/>
      <c r="N36858" s="1"/>
    </row>
    <row r="36859" spans="7:14" x14ac:dyDescent="0.3">
      <c r="G36859" s="1"/>
      <c r="N36859" s="1"/>
    </row>
    <row r="36860" spans="7:14" x14ac:dyDescent="0.3">
      <c r="G36860" s="1"/>
      <c r="N36860" s="1"/>
    </row>
    <row r="36861" spans="7:14" x14ac:dyDescent="0.3">
      <c r="G36861" s="1"/>
      <c r="N36861" s="1"/>
    </row>
    <row r="36862" spans="7:14" x14ac:dyDescent="0.3">
      <c r="G36862" s="1"/>
      <c r="N36862" s="1"/>
    </row>
    <row r="36863" spans="7:14" x14ac:dyDescent="0.3">
      <c r="G36863" s="1"/>
      <c r="N36863" s="1"/>
    </row>
    <row r="36864" spans="7:14" x14ac:dyDescent="0.3">
      <c r="G36864" s="1"/>
      <c r="N36864" s="1"/>
    </row>
    <row r="36865" spans="7:14" x14ac:dyDescent="0.3">
      <c r="G36865" s="1"/>
      <c r="N36865" s="1"/>
    </row>
    <row r="36866" spans="7:14" x14ac:dyDescent="0.3">
      <c r="G36866" s="1"/>
      <c r="N36866" s="1"/>
    </row>
    <row r="36867" spans="7:14" x14ac:dyDescent="0.3">
      <c r="G36867" s="1"/>
      <c r="N36867" s="1"/>
    </row>
    <row r="36868" spans="7:14" x14ac:dyDescent="0.3">
      <c r="G36868" s="1"/>
      <c r="N36868" s="1"/>
    </row>
    <row r="36869" spans="7:14" x14ac:dyDescent="0.3">
      <c r="G36869" s="1"/>
      <c r="N36869" s="1"/>
    </row>
    <row r="36870" spans="7:14" x14ac:dyDescent="0.3">
      <c r="G36870" s="1"/>
      <c r="N36870" s="1"/>
    </row>
    <row r="36871" spans="7:14" x14ac:dyDescent="0.3">
      <c r="G36871" s="1"/>
      <c r="N36871" s="1"/>
    </row>
    <row r="36872" spans="7:14" x14ac:dyDescent="0.3">
      <c r="G36872" s="1"/>
      <c r="N36872" s="1"/>
    </row>
    <row r="36873" spans="7:14" x14ac:dyDescent="0.3">
      <c r="G36873" s="1"/>
      <c r="N36873" s="1"/>
    </row>
    <row r="36874" spans="7:14" x14ac:dyDescent="0.3">
      <c r="G36874" s="1"/>
      <c r="N36874" s="1"/>
    </row>
    <row r="36875" spans="7:14" x14ac:dyDescent="0.3">
      <c r="G36875" s="1"/>
      <c r="N36875" s="1"/>
    </row>
    <row r="36876" spans="7:14" x14ac:dyDescent="0.3">
      <c r="G36876" s="1"/>
      <c r="N36876" s="1"/>
    </row>
    <row r="36877" spans="7:14" x14ac:dyDescent="0.3">
      <c r="G36877" s="1"/>
      <c r="N36877" s="1"/>
    </row>
    <row r="36878" spans="7:14" x14ac:dyDescent="0.3">
      <c r="G36878" s="1"/>
      <c r="N36878" s="1"/>
    </row>
    <row r="36879" spans="7:14" x14ac:dyDescent="0.3">
      <c r="G36879" s="1"/>
      <c r="N36879" s="1"/>
    </row>
    <row r="36880" spans="7:14" x14ac:dyDescent="0.3">
      <c r="G36880" s="1"/>
      <c r="N36880" s="1"/>
    </row>
    <row r="36881" spans="7:14" x14ac:dyDescent="0.3">
      <c r="G36881" s="1"/>
      <c r="N36881" s="1"/>
    </row>
    <row r="36882" spans="7:14" x14ac:dyDescent="0.3">
      <c r="G36882" s="1"/>
      <c r="N36882" s="1"/>
    </row>
    <row r="36883" spans="7:14" x14ac:dyDescent="0.3">
      <c r="G36883" s="1"/>
      <c r="N36883" s="1"/>
    </row>
    <row r="36884" spans="7:14" x14ac:dyDescent="0.3">
      <c r="G36884" s="1"/>
      <c r="N36884" s="1"/>
    </row>
    <row r="36885" spans="7:14" x14ac:dyDescent="0.3">
      <c r="G36885" s="1"/>
      <c r="N36885" s="1"/>
    </row>
    <row r="36886" spans="7:14" x14ac:dyDescent="0.3">
      <c r="G36886" s="1"/>
      <c r="N36886" s="1"/>
    </row>
    <row r="36887" spans="7:14" x14ac:dyDescent="0.3">
      <c r="G36887" s="1"/>
      <c r="N36887" s="1"/>
    </row>
    <row r="36888" spans="7:14" x14ac:dyDescent="0.3">
      <c r="G36888" s="1"/>
      <c r="N36888" s="1"/>
    </row>
    <row r="36889" spans="7:14" x14ac:dyDescent="0.3">
      <c r="G36889" s="1"/>
      <c r="N36889" s="1"/>
    </row>
    <row r="36890" spans="7:14" x14ac:dyDescent="0.3">
      <c r="G36890" s="1"/>
      <c r="N36890" s="1"/>
    </row>
    <row r="36891" spans="7:14" x14ac:dyDescent="0.3">
      <c r="G36891" s="1"/>
      <c r="N36891" s="1"/>
    </row>
    <row r="36892" spans="7:14" x14ac:dyDescent="0.3">
      <c r="G36892" s="1"/>
      <c r="N36892" s="1"/>
    </row>
    <row r="36893" spans="7:14" x14ac:dyDescent="0.3">
      <c r="G36893" s="1"/>
      <c r="N36893" s="1"/>
    </row>
    <row r="36894" spans="7:14" x14ac:dyDescent="0.3">
      <c r="G36894" s="1"/>
      <c r="N36894" s="1"/>
    </row>
    <row r="36895" spans="7:14" x14ac:dyDescent="0.3">
      <c r="G36895" s="1"/>
      <c r="N36895" s="1"/>
    </row>
    <row r="36896" spans="7:14" x14ac:dyDescent="0.3">
      <c r="G36896" s="1"/>
      <c r="N36896" s="1"/>
    </row>
    <row r="36897" spans="7:14" x14ac:dyDescent="0.3">
      <c r="G36897" s="1"/>
      <c r="N36897" s="1"/>
    </row>
    <row r="36898" spans="7:14" x14ac:dyDescent="0.3">
      <c r="G36898" s="1"/>
      <c r="N36898" s="1"/>
    </row>
    <row r="36899" spans="7:14" x14ac:dyDescent="0.3">
      <c r="G36899" s="1"/>
      <c r="N36899" s="1"/>
    </row>
    <row r="36900" spans="7:14" x14ac:dyDescent="0.3">
      <c r="G36900" s="1"/>
      <c r="N36900" s="1"/>
    </row>
    <row r="36901" spans="7:14" x14ac:dyDescent="0.3">
      <c r="G36901" s="1"/>
      <c r="N36901" s="1"/>
    </row>
    <row r="36902" spans="7:14" x14ac:dyDescent="0.3">
      <c r="G36902" s="1"/>
      <c r="N36902" s="1"/>
    </row>
    <row r="36903" spans="7:14" x14ac:dyDescent="0.3">
      <c r="G36903" s="1"/>
      <c r="N36903" s="1"/>
    </row>
    <row r="36904" spans="7:14" x14ac:dyDescent="0.3">
      <c r="G36904" s="1"/>
      <c r="N36904" s="1"/>
    </row>
    <row r="36905" spans="7:14" x14ac:dyDescent="0.3">
      <c r="G36905" s="1"/>
      <c r="N36905" s="1"/>
    </row>
    <row r="36906" spans="7:14" x14ac:dyDescent="0.3">
      <c r="G36906" s="1"/>
      <c r="N36906" s="1"/>
    </row>
    <row r="36907" spans="7:14" x14ac:dyDescent="0.3">
      <c r="G36907" s="1"/>
      <c r="N36907" s="1"/>
    </row>
    <row r="36908" spans="7:14" x14ac:dyDescent="0.3">
      <c r="G36908" s="1"/>
      <c r="N36908" s="1"/>
    </row>
    <row r="36909" spans="7:14" x14ac:dyDescent="0.3">
      <c r="G36909" s="1"/>
      <c r="N36909" s="1"/>
    </row>
    <row r="36910" spans="7:14" x14ac:dyDescent="0.3">
      <c r="G36910" s="1"/>
      <c r="N36910" s="1"/>
    </row>
    <row r="36911" spans="7:14" x14ac:dyDescent="0.3">
      <c r="G36911" s="1"/>
      <c r="N36911" s="1"/>
    </row>
    <row r="36912" spans="7:14" x14ac:dyDescent="0.3">
      <c r="G36912" s="1"/>
      <c r="N36912" s="1"/>
    </row>
    <row r="36913" spans="7:14" x14ac:dyDescent="0.3">
      <c r="G36913" s="1"/>
      <c r="N36913" s="1"/>
    </row>
    <row r="36914" spans="7:14" x14ac:dyDescent="0.3">
      <c r="G36914" s="1"/>
      <c r="N36914" s="1"/>
    </row>
    <row r="36915" spans="7:14" x14ac:dyDescent="0.3">
      <c r="G36915" s="1"/>
      <c r="N36915" s="1"/>
    </row>
    <row r="36916" spans="7:14" x14ac:dyDescent="0.3">
      <c r="G36916" s="1"/>
      <c r="N36916" s="1"/>
    </row>
    <row r="36917" spans="7:14" x14ac:dyDescent="0.3">
      <c r="G36917" s="1"/>
      <c r="N36917" s="1"/>
    </row>
    <row r="36918" spans="7:14" x14ac:dyDescent="0.3">
      <c r="G36918" s="1"/>
      <c r="N36918" s="1"/>
    </row>
    <row r="36919" spans="7:14" x14ac:dyDescent="0.3">
      <c r="G36919" s="1"/>
      <c r="N36919" s="1"/>
    </row>
    <row r="36920" spans="7:14" x14ac:dyDescent="0.3">
      <c r="G36920" s="1"/>
      <c r="N36920" s="1"/>
    </row>
    <row r="36921" spans="7:14" x14ac:dyDescent="0.3">
      <c r="G36921" s="1"/>
      <c r="N36921" s="1"/>
    </row>
    <row r="36922" spans="7:14" x14ac:dyDescent="0.3">
      <c r="G36922" s="1"/>
      <c r="N36922" s="1"/>
    </row>
    <row r="36923" spans="7:14" x14ac:dyDescent="0.3">
      <c r="G36923" s="1"/>
      <c r="N36923" s="1"/>
    </row>
    <row r="36924" spans="7:14" x14ac:dyDescent="0.3">
      <c r="G36924" s="1"/>
      <c r="N36924" s="1"/>
    </row>
    <row r="36925" spans="7:14" x14ac:dyDescent="0.3">
      <c r="G36925" s="1"/>
      <c r="N36925" s="1"/>
    </row>
    <row r="36926" spans="7:14" x14ac:dyDescent="0.3">
      <c r="G36926" s="1"/>
      <c r="N36926" s="1"/>
    </row>
    <row r="36927" spans="7:14" x14ac:dyDescent="0.3">
      <c r="G36927" s="1"/>
      <c r="N36927" s="1"/>
    </row>
    <row r="36928" spans="7:14" x14ac:dyDescent="0.3">
      <c r="G36928" s="1"/>
      <c r="N36928" s="1"/>
    </row>
    <row r="36929" spans="7:14" x14ac:dyDescent="0.3">
      <c r="G36929" s="1"/>
      <c r="N36929" s="1"/>
    </row>
    <row r="36930" spans="7:14" x14ac:dyDescent="0.3">
      <c r="G36930" s="1"/>
      <c r="N36930" s="1"/>
    </row>
    <row r="36931" spans="7:14" x14ac:dyDescent="0.3">
      <c r="G36931" s="1"/>
      <c r="N36931" s="1"/>
    </row>
    <row r="36932" spans="7:14" x14ac:dyDescent="0.3">
      <c r="G36932" s="1"/>
      <c r="N36932" s="1"/>
    </row>
    <row r="36933" spans="7:14" x14ac:dyDescent="0.3">
      <c r="G36933" s="1"/>
      <c r="N36933" s="1"/>
    </row>
    <row r="36934" spans="7:14" x14ac:dyDescent="0.3">
      <c r="G36934" s="1"/>
      <c r="N36934" s="1"/>
    </row>
    <row r="36935" spans="7:14" x14ac:dyDescent="0.3">
      <c r="G36935" s="1"/>
      <c r="N36935" s="1"/>
    </row>
    <row r="36936" spans="7:14" x14ac:dyDescent="0.3">
      <c r="G36936" s="1"/>
      <c r="N36936" s="1"/>
    </row>
    <row r="36937" spans="7:14" x14ac:dyDescent="0.3">
      <c r="G36937" s="1"/>
      <c r="N36937" s="1"/>
    </row>
    <row r="36938" spans="7:14" x14ac:dyDescent="0.3">
      <c r="G36938" s="1"/>
      <c r="N36938" s="1"/>
    </row>
    <row r="36939" spans="7:14" x14ac:dyDescent="0.3">
      <c r="G36939" s="1"/>
      <c r="N36939" s="1"/>
    </row>
    <row r="36940" spans="7:14" x14ac:dyDescent="0.3">
      <c r="G36940" s="1"/>
      <c r="N36940" s="1"/>
    </row>
    <row r="36941" spans="7:14" x14ac:dyDescent="0.3">
      <c r="G36941" s="1"/>
      <c r="N36941" s="1"/>
    </row>
    <row r="36942" spans="7:14" x14ac:dyDescent="0.3">
      <c r="G36942" s="1"/>
      <c r="N36942" s="1"/>
    </row>
    <row r="36943" spans="7:14" x14ac:dyDescent="0.3">
      <c r="G36943" s="1"/>
      <c r="N36943" s="1"/>
    </row>
    <row r="36944" spans="7:14" x14ac:dyDescent="0.3">
      <c r="G36944" s="1"/>
      <c r="N36944" s="1"/>
    </row>
    <row r="36945" spans="7:14" x14ac:dyDescent="0.3">
      <c r="G36945" s="1"/>
      <c r="N36945" s="1"/>
    </row>
    <row r="36946" spans="7:14" x14ac:dyDescent="0.3">
      <c r="G36946" s="1"/>
      <c r="N36946" s="1"/>
    </row>
    <row r="36947" spans="7:14" x14ac:dyDescent="0.3">
      <c r="G36947" s="1"/>
      <c r="N36947" s="1"/>
    </row>
    <row r="36948" spans="7:14" x14ac:dyDescent="0.3">
      <c r="G36948" s="1"/>
      <c r="N36948" s="1"/>
    </row>
    <row r="36949" spans="7:14" x14ac:dyDescent="0.3">
      <c r="G36949" s="1"/>
      <c r="N36949" s="1"/>
    </row>
    <row r="36950" spans="7:14" x14ac:dyDescent="0.3">
      <c r="G36950" s="1"/>
      <c r="N36950" s="1"/>
    </row>
    <row r="36951" spans="7:14" x14ac:dyDescent="0.3">
      <c r="G36951" s="1"/>
      <c r="N36951" s="1"/>
    </row>
    <row r="36952" spans="7:14" x14ac:dyDescent="0.3">
      <c r="G36952" s="1"/>
      <c r="N36952" s="1"/>
    </row>
    <row r="36953" spans="7:14" x14ac:dyDescent="0.3">
      <c r="G36953" s="1"/>
      <c r="N36953" s="1"/>
    </row>
    <row r="36954" spans="7:14" x14ac:dyDescent="0.3">
      <c r="G36954" s="1"/>
      <c r="N36954" s="1"/>
    </row>
    <row r="36955" spans="7:14" x14ac:dyDescent="0.3">
      <c r="G36955" s="1"/>
      <c r="N36955" s="1"/>
    </row>
    <row r="36956" spans="7:14" x14ac:dyDescent="0.3">
      <c r="G36956" s="1"/>
      <c r="N36956" s="1"/>
    </row>
    <row r="36957" spans="7:14" x14ac:dyDescent="0.3">
      <c r="G36957" s="1"/>
      <c r="N36957" s="1"/>
    </row>
    <row r="36958" spans="7:14" x14ac:dyDescent="0.3">
      <c r="G36958" s="1"/>
      <c r="N36958" s="1"/>
    </row>
    <row r="36959" spans="7:14" x14ac:dyDescent="0.3">
      <c r="G36959" s="1"/>
      <c r="N36959" s="1"/>
    </row>
    <row r="36960" spans="7:14" x14ac:dyDescent="0.3">
      <c r="G36960" s="1"/>
      <c r="N36960" s="1"/>
    </row>
    <row r="36961" spans="7:14" x14ac:dyDescent="0.3">
      <c r="G36961" s="1"/>
      <c r="N36961" s="1"/>
    </row>
    <row r="36962" spans="7:14" x14ac:dyDescent="0.3">
      <c r="G36962" s="1"/>
      <c r="N36962" s="1"/>
    </row>
    <row r="36963" spans="7:14" x14ac:dyDescent="0.3">
      <c r="G36963" s="1"/>
      <c r="N36963" s="1"/>
    </row>
    <row r="36964" spans="7:14" x14ac:dyDescent="0.3">
      <c r="G36964" s="1"/>
      <c r="N36964" s="1"/>
    </row>
    <row r="36965" spans="7:14" x14ac:dyDescent="0.3">
      <c r="G36965" s="1"/>
      <c r="N36965" s="1"/>
    </row>
    <row r="36966" spans="7:14" x14ac:dyDescent="0.3">
      <c r="G36966" s="1"/>
      <c r="N36966" s="1"/>
    </row>
    <row r="36967" spans="7:14" x14ac:dyDescent="0.3">
      <c r="G36967" s="1"/>
      <c r="N36967" s="1"/>
    </row>
    <row r="36968" spans="7:14" x14ac:dyDescent="0.3">
      <c r="G36968" s="1"/>
      <c r="N36968" s="1"/>
    </row>
    <row r="36969" spans="7:14" x14ac:dyDescent="0.3">
      <c r="G36969" s="1"/>
      <c r="N36969" s="1"/>
    </row>
    <row r="36970" spans="7:14" x14ac:dyDescent="0.3">
      <c r="G36970" s="1"/>
      <c r="N36970" s="1"/>
    </row>
    <row r="36971" spans="7:14" x14ac:dyDescent="0.3">
      <c r="G36971" s="1"/>
      <c r="N36971" s="1"/>
    </row>
    <row r="36972" spans="7:14" x14ac:dyDescent="0.3">
      <c r="G36972" s="1"/>
      <c r="N36972" s="1"/>
    </row>
    <row r="36973" spans="7:14" x14ac:dyDescent="0.3">
      <c r="G36973" s="1"/>
      <c r="N36973" s="1"/>
    </row>
    <row r="36974" spans="7:14" x14ac:dyDescent="0.3">
      <c r="G36974" s="1"/>
      <c r="N36974" s="1"/>
    </row>
    <row r="36975" spans="7:14" x14ac:dyDescent="0.3">
      <c r="G36975" s="1"/>
      <c r="N36975" s="1"/>
    </row>
    <row r="36976" spans="7:14" x14ac:dyDescent="0.3">
      <c r="G36976" s="1"/>
      <c r="N36976" s="1"/>
    </row>
    <row r="36977" spans="7:14" x14ac:dyDescent="0.3">
      <c r="G36977" s="1"/>
      <c r="N36977" s="1"/>
    </row>
    <row r="36978" spans="7:14" x14ac:dyDescent="0.3">
      <c r="G36978" s="1"/>
      <c r="N36978" s="1"/>
    </row>
    <row r="36979" spans="7:14" x14ac:dyDescent="0.3">
      <c r="G36979" s="1"/>
      <c r="N36979" s="1"/>
    </row>
    <row r="36980" spans="7:14" x14ac:dyDescent="0.3">
      <c r="G36980" s="1"/>
      <c r="N36980" s="1"/>
    </row>
    <row r="36981" spans="7:14" x14ac:dyDescent="0.3">
      <c r="G36981" s="1"/>
      <c r="N36981" s="1"/>
    </row>
    <row r="36982" spans="7:14" x14ac:dyDescent="0.3">
      <c r="G36982" s="1"/>
      <c r="N36982" s="1"/>
    </row>
    <row r="36983" spans="7:14" x14ac:dyDescent="0.3">
      <c r="G36983" s="1"/>
      <c r="N36983" s="1"/>
    </row>
    <row r="36984" spans="7:14" x14ac:dyDescent="0.3">
      <c r="G36984" s="1"/>
      <c r="N36984" s="1"/>
    </row>
    <row r="36985" spans="7:14" x14ac:dyDescent="0.3">
      <c r="G36985" s="1"/>
      <c r="N36985" s="1"/>
    </row>
    <row r="36986" spans="7:14" x14ac:dyDescent="0.3">
      <c r="G36986" s="1"/>
      <c r="N36986" s="1"/>
    </row>
    <row r="36987" spans="7:14" x14ac:dyDescent="0.3">
      <c r="G36987" s="1"/>
      <c r="N36987" s="1"/>
    </row>
    <row r="36988" spans="7:14" x14ac:dyDescent="0.3">
      <c r="G36988" s="1"/>
      <c r="N36988" s="1"/>
    </row>
    <row r="36989" spans="7:14" x14ac:dyDescent="0.3">
      <c r="G36989" s="1"/>
      <c r="N36989" s="1"/>
    </row>
    <row r="36990" spans="7:14" x14ac:dyDescent="0.3">
      <c r="G36990" s="1"/>
      <c r="N36990" s="1"/>
    </row>
    <row r="36991" spans="7:14" x14ac:dyDescent="0.3">
      <c r="G36991" s="1"/>
      <c r="N36991" s="1"/>
    </row>
    <row r="36992" spans="7:14" x14ac:dyDescent="0.3">
      <c r="G36992" s="1"/>
      <c r="N36992" s="1"/>
    </row>
    <row r="36993" spans="7:14" x14ac:dyDescent="0.3">
      <c r="G36993" s="1"/>
      <c r="N36993" s="1"/>
    </row>
    <row r="36994" spans="7:14" x14ac:dyDescent="0.3">
      <c r="G36994" s="1"/>
      <c r="N36994" s="1"/>
    </row>
    <row r="36995" spans="7:14" x14ac:dyDescent="0.3">
      <c r="G36995" s="1"/>
      <c r="N36995" s="1"/>
    </row>
    <row r="36996" spans="7:14" x14ac:dyDescent="0.3">
      <c r="G36996" s="1"/>
      <c r="N36996" s="1"/>
    </row>
    <row r="36997" spans="7:14" x14ac:dyDescent="0.3">
      <c r="G36997" s="1"/>
      <c r="N36997" s="1"/>
    </row>
    <row r="36998" spans="7:14" x14ac:dyDescent="0.3">
      <c r="G36998" s="1"/>
      <c r="N36998" s="1"/>
    </row>
    <row r="36999" spans="7:14" x14ac:dyDescent="0.3">
      <c r="G36999" s="1"/>
      <c r="N36999" s="1"/>
    </row>
    <row r="37000" spans="7:14" x14ac:dyDescent="0.3">
      <c r="G37000" s="1"/>
      <c r="N37000" s="1"/>
    </row>
    <row r="37001" spans="7:14" x14ac:dyDescent="0.3">
      <c r="G37001" s="1"/>
      <c r="N37001" s="1"/>
    </row>
    <row r="37002" spans="7:14" x14ac:dyDescent="0.3">
      <c r="G37002" s="1"/>
      <c r="N37002" s="1"/>
    </row>
    <row r="37003" spans="7:14" x14ac:dyDescent="0.3">
      <c r="G37003" s="1"/>
      <c r="N37003" s="1"/>
    </row>
    <row r="37004" spans="7:14" x14ac:dyDescent="0.3">
      <c r="G37004" s="1"/>
      <c r="N37004" s="1"/>
    </row>
    <row r="37005" spans="7:14" x14ac:dyDescent="0.3">
      <c r="G37005" s="1"/>
      <c r="N37005" s="1"/>
    </row>
    <row r="37006" spans="7:14" x14ac:dyDescent="0.3">
      <c r="G37006" s="1"/>
      <c r="N37006" s="1"/>
    </row>
    <row r="37007" spans="7:14" x14ac:dyDescent="0.3">
      <c r="G37007" s="1"/>
      <c r="N37007" s="1"/>
    </row>
    <row r="37008" spans="7:14" x14ac:dyDescent="0.3">
      <c r="G37008" s="1"/>
      <c r="N37008" s="1"/>
    </row>
    <row r="37009" spans="7:14" x14ac:dyDescent="0.3">
      <c r="G37009" s="1"/>
      <c r="N37009" s="1"/>
    </row>
    <row r="37010" spans="7:14" x14ac:dyDescent="0.3">
      <c r="G37010" s="1"/>
      <c r="N37010" s="1"/>
    </row>
    <row r="37011" spans="7:14" x14ac:dyDescent="0.3">
      <c r="G37011" s="1"/>
      <c r="N37011" s="1"/>
    </row>
    <row r="37012" spans="7:14" x14ac:dyDescent="0.3">
      <c r="G37012" s="1"/>
      <c r="N37012" s="1"/>
    </row>
    <row r="37013" spans="7:14" x14ac:dyDescent="0.3">
      <c r="G37013" s="1"/>
      <c r="N37013" s="1"/>
    </row>
    <row r="37014" spans="7:14" x14ac:dyDescent="0.3">
      <c r="G37014" s="1"/>
      <c r="N37014" s="1"/>
    </row>
    <row r="37015" spans="7:14" x14ac:dyDescent="0.3">
      <c r="G37015" s="1"/>
      <c r="N37015" s="1"/>
    </row>
    <row r="37016" spans="7:14" x14ac:dyDescent="0.3">
      <c r="G37016" s="1"/>
      <c r="N37016" s="1"/>
    </row>
    <row r="37017" spans="7:14" x14ac:dyDescent="0.3">
      <c r="G37017" s="1"/>
      <c r="N37017" s="1"/>
    </row>
    <row r="37018" spans="7:14" x14ac:dyDescent="0.3">
      <c r="G37018" s="1"/>
      <c r="N37018" s="1"/>
    </row>
    <row r="37019" spans="7:14" x14ac:dyDescent="0.3">
      <c r="G37019" s="1"/>
      <c r="N37019" s="1"/>
    </row>
    <row r="37020" spans="7:14" x14ac:dyDescent="0.3">
      <c r="G37020" s="1"/>
      <c r="N37020" s="1"/>
    </row>
    <row r="37021" spans="7:14" x14ac:dyDescent="0.3">
      <c r="G37021" s="1"/>
      <c r="N37021" s="1"/>
    </row>
    <row r="37022" spans="7:14" x14ac:dyDescent="0.3">
      <c r="G37022" s="1"/>
      <c r="N37022" s="1"/>
    </row>
    <row r="37023" spans="7:14" x14ac:dyDescent="0.3">
      <c r="G37023" s="1"/>
      <c r="N37023" s="1"/>
    </row>
    <row r="37024" spans="7:14" x14ac:dyDescent="0.3">
      <c r="G37024" s="1"/>
      <c r="N37024" s="1"/>
    </row>
    <row r="37025" spans="7:14" x14ac:dyDescent="0.3">
      <c r="G37025" s="1"/>
      <c r="N37025" s="1"/>
    </row>
    <row r="37026" spans="7:14" x14ac:dyDescent="0.3">
      <c r="G37026" s="1"/>
      <c r="N37026" s="1"/>
    </row>
    <row r="37027" spans="7:14" x14ac:dyDescent="0.3">
      <c r="G37027" s="1"/>
      <c r="N37027" s="1"/>
    </row>
    <row r="37028" spans="7:14" x14ac:dyDescent="0.3">
      <c r="G37028" s="1"/>
      <c r="N37028" s="1"/>
    </row>
    <row r="37029" spans="7:14" x14ac:dyDescent="0.3">
      <c r="G37029" s="1"/>
      <c r="N37029" s="1"/>
    </row>
    <row r="37030" spans="7:14" x14ac:dyDescent="0.3">
      <c r="G37030" s="1"/>
      <c r="N37030" s="1"/>
    </row>
    <row r="37031" spans="7:14" x14ac:dyDescent="0.3">
      <c r="G37031" s="1"/>
      <c r="N37031" s="1"/>
    </row>
    <row r="37032" spans="7:14" x14ac:dyDescent="0.3">
      <c r="G37032" s="1"/>
      <c r="N37032" s="1"/>
    </row>
    <row r="37033" spans="7:14" x14ac:dyDescent="0.3">
      <c r="G37033" s="1"/>
      <c r="N37033" s="1"/>
    </row>
    <row r="37034" spans="7:14" x14ac:dyDescent="0.3">
      <c r="G37034" s="1"/>
      <c r="N37034" s="1"/>
    </row>
    <row r="37035" spans="7:14" x14ac:dyDescent="0.3">
      <c r="G37035" s="1"/>
      <c r="N37035" s="1"/>
    </row>
    <row r="37036" spans="7:14" x14ac:dyDescent="0.3">
      <c r="G37036" s="1"/>
      <c r="N37036" s="1"/>
    </row>
    <row r="37037" spans="7:14" x14ac:dyDescent="0.3">
      <c r="G37037" s="1"/>
      <c r="N37037" s="1"/>
    </row>
    <row r="37038" spans="7:14" x14ac:dyDescent="0.3">
      <c r="G37038" s="1"/>
      <c r="N37038" s="1"/>
    </row>
    <row r="37039" spans="7:14" x14ac:dyDescent="0.3">
      <c r="G37039" s="1"/>
      <c r="N37039" s="1"/>
    </row>
    <row r="37040" spans="7:14" x14ac:dyDescent="0.3">
      <c r="G37040" s="1"/>
      <c r="N37040" s="1"/>
    </row>
    <row r="37041" spans="7:14" x14ac:dyDescent="0.3">
      <c r="G37041" s="1"/>
      <c r="N37041" s="1"/>
    </row>
    <row r="37042" spans="7:14" x14ac:dyDescent="0.3">
      <c r="G37042" s="1"/>
      <c r="N37042" s="1"/>
    </row>
    <row r="37043" spans="7:14" x14ac:dyDescent="0.3">
      <c r="G37043" s="1"/>
      <c r="N37043" s="1"/>
    </row>
    <row r="37044" spans="7:14" x14ac:dyDescent="0.3">
      <c r="G37044" s="1"/>
      <c r="N37044" s="1"/>
    </row>
    <row r="37045" spans="7:14" x14ac:dyDescent="0.3">
      <c r="G37045" s="1"/>
      <c r="N37045" s="1"/>
    </row>
    <row r="37046" spans="7:14" x14ac:dyDescent="0.3">
      <c r="G37046" s="1"/>
      <c r="N37046" s="1"/>
    </row>
    <row r="37047" spans="7:14" x14ac:dyDescent="0.3">
      <c r="G37047" s="1"/>
      <c r="N37047" s="1"/>
    </row>
    <row r="37048" spans="7:14" x14ac:dyDescent="0.3">
      <c r="G37048" s="1"/>
      <c r="N37048" s="1"/>
    </row>
    <row r="37049" spans="7:14" x14ac:dyDescent="0.3">
      <c r="G37049" s="1"/>
      <c r="N37049" s="1"/>
    </row>
    <row r="37050" spans="7:14" x14ac:dyDescent="0.3">
      <c r="G37050" s="1"/>
      <c r="N37050" s="1"/>
    </row>
    <row r="37051" spans="7:14" x14ac:dyDescent="0.3">
      <c r="G37051" s="1"/>
      <c r="N37051" s="1"/>
    </row>
    <row r="37052" spans="7:14" x14ac:dyDescent="0.3">
      <c r="G37052" s="1"/>
      <c r="N37052" s="1"/>
    </row>
    <row r="37053" spans="7:14" x14ac:dyDescent="0.3">
      <c r="G37053" s="1"/>
      <c r="N37053" s="1"/>
    </row>
    <row r="37054" spans="7:14" x14ac:dyDescent="0.3">
      <c r="G37054" s="1"/>
      <c r="N37054" s="1"/>
    </row>
    <row r="37055" spans="7:14" x14ac:dyDescent="0.3">
      <c r="G37055" s="1"/>
      <c r="N37055" s="1"/>
    </row>
    <row r="37056" spans="7:14" x14ac:dyDescent="0.3">
      <c r="G37056" s="1"/>
      <c r="N37056" s="1"/>
    </row>
    <row r="37057" spans="7:14" x14ac:dyDescent="0.3">
      <c r="G37057" s="1"/>
      <c r="N37057" s="1"/>
    </row>
    <row r="37058" spans="7:14" x14ac:dyDescent="0.3">
      <c r="G37058" s="1"/>
      <c r="N37058" s="1"/>
    </row>
    <row r="37059" spans="7:14" x14ac:dyDescent="0.3">
      <c r="G37059" s="1"/>
      <c r="N37059" s="1"/>
    </row>
    <row r="37060" spans="7:14" x14ac:dyDescent="0.3">
      <c r="G37060" s="1"/>
      <c r="N37060" s="1"/>
    </row>
    <row r="37061" spans="7:14" x14ac:dyDescent="0.3">
      <c r="G37061" s="1"/>
      <c r="N37061" s="1"/>
    </row>
    <row r="37062" spans="7:14" x14ac:dyDescent="0.3">
      <c r="G37062" s="1"/>
      <c r="N37062" s="1"/>
    </row>
    <row r="37063" spans="7:14" x14ac:dyDescent="0.3">
      <c r="G37063" s="1"/>
      <c r="N37063" s="1"/>
    </row>
    <row r="37064" spans="7:14" x14ac:dyDescent="0.3">
      <c r="G37064" s="1"/>
      <c r="N37064" s="1"/>
    </row>
    <row r="37065" spans="7:14" x14ac:dyDescent="0.3">
      <c r="G37065" s="1"/>
      <c r="N37065" s="1"/>
    </row>
    <row r="37066" spans="7:14" x14ac:dyDescent="0.3">
      <c r="G37066" s="1"/>
      <c r="N37066" s="1"/>
    </row>
    <row r="37067" spans="7:14" x14ac:dyDescent="0.3">
      <c r="G37067" s="1"/>
      <c r="N37067" s="1"/>
    </row>
    <row r="37068" spans="7:14" x14ac:dyDescent="0.3">
      <c r="G37068" s="1"/>
      <c r="N37068" s="1"/>
    </row>
    <row r="37069" spans="7:14" x14ac:dyDescent="0.3">
      <c r="G37069" s="1"/>
      <c r="N37069" s="1"/>
    </row>
    <row r="37070" spans="7:14" x14ac:dyDescent="0.3">
      <c r="G37070" s="1"/>
      <c r="N37070" s="1"/>
    </row>
    <row r="37071" spans="7:14" x14ac:dyDescent="0.3">
      <c r="G37071" s="1"/>
      <c r="N37071" s="1"/>
    </row>
    <row r="37072" spans="7:14" x14ac:dyDescent="0.3">
      <c r="G37072" s="1"/>
      <c r="N37072" s="1"/>
    </row>
    <row r="37073" spans="7:14" x14ac:dyDescent="0.3">
      <c r="G37073" s="1"/>
      <c r="N37073" s="1"/>
    </row>
    <row r="37074" spans="7:14" x14ac:dyDescent="0.3">
      <c r="G37074" s="1"/>
      <c r="N37074" s="1"/>
    </row>
    <row r="37075" spans="7:14" x14ac:dyDescent="0.3">
      <c r="G37075" s="1"/>
      <c r="N37075" s="1"/>
    </row>
    <row r="37076" spans="7:14" x14ac:dyDescent="0.3">
      <c r="G37076" s="1"/>
      <c r="N37076" s="1"/>
    </row>
    <row r="37077" spans="7:14" x14ac:dyDescent="0.3">
      <c r="G37077" s="1"/>
      <c r="N37077" s="1"/>
    </row>
    <row r="37078" spans="7:14" x14ac:dyDescent="0.3">
      <c r="G37078" s="1"/>
      <c r="N37078" s="1"/>
    </row>
    <row r="37079" spans="7:14" x14ac:dyDescent="0.3">
      <c r="G37079" s="1"/>
      <c r="N37079" s="1"/>
    </row>
    <row r="37080" spans="7:14" x14ac:dyDescent="0.3">
      <c r="G37080" s="1"/>
      <c r="N37080" s="1"/>
    </row>
    <row r="37081" spans="7:14" x14ac:dyDescent="0.3">
      <c r="G37081" s="1"/>
      <c r="N37081" s="1"/>
    </row>
    <row r="37082" spans="7:14" x14ac:dyDescent="0.3">
      <c r="G37082" s="1"/>
      <c r="N37082" s="1"/>
    </row>
    <row r="37083" spans="7:14" x14ac:dyDescent="0.3">
      <c r="G37083" s="1"/>
      <c r="N37083" s="1"/>
    </row>
    <row r="37084" spans="7:14" x14ac:dyDescent="0.3">
      <c r="G37084" s="1"/>
      <c r="N37084" s="1"/>
    </row>
    <row r="37085" spans="7:14" x14ac:dyDescent="0.3">
      <c r="G37085" s="1"/>
      <c r="N37085" s="1"/>
    </row>
    <row r="37086" spans="7:14" x14ac:dyDescent="0.3">
      <c r="G37086" s="1"/>
      <c r="N37086" s="1"/>
    </row>
    <row r="37087" spans="7:14" x14ac:dyDescent="0.3">
      <c r="G37087" s="1"/>
      <c r="N37087" s="1"/>
    </row>
    <row r="37088" spans="7:14" x14ac:dyDescent="0.3">
      <c r="G37088" s="1"/>
      <c r="N37088" s="1"/>
    </row>
    <row r="37089" spans="7:14" x14ac:dyDescent="0.3">
      <c r="G37089" s="1"/>
      <c r="N37089" s="1"/>
    </row>
    <row r="37090" spans="7:14" x14ac:dyDescent="0.3">
      <c r="G37090" s="1"/>
      <c r="N37090" s="1"/>
    </row>
    <row r="37091" spans="7:14" x14ac:dyDescent="0.3">
      <c r="G37091" s="1"/>
      <c r="N37091" s="1"/>
    </row>
    <row r="37092" spans="7:14" x14ac:dyDescent="0.3">
      <c r="G37092" s="1"/>
      <c r="N37092" s="1"/>
    </row>
    <row r="37093" spans="7:14" x14ac:dyDescent="0.3">
      <c r="G37093" s="1"/>
      <c r="N37093" s="1"/>
    </row>
    <row r="37094" spans="7:14" x14ac:dyDescent="0.3">
      <c r="G37094" s="1"/>
      <c r="N37094" s="1"/>
    </row>
    <row r="37095" spans="7:14" x14ac:dyDescent="0.3">
      <c r="G37095" s="1"/>
      <c r="N37095" s="1"/>
    </row>
    <row r="37096" spans="7:14" x14ac:dyDescent="0.3">
      <c r="G37096" s="1"/>
      <c r="N37096" s="1"/>
    </row>
    <row r="37097" spans="7:14" x14ac:dyDescent="0.3">
      <c r="G37097" s="1"/>
      <c r="N37097" s="1"/>
    </row>
    <row r="37098" spans="7:14" x14ac:dyDescent="0.3">
      <c r="G37098" s="1"/>
      <c r="N37098" s="1"/>
    </row>
    <row r="37099" spans="7:14" x14ac:dyDescent="0.3">
      <c r="G37099" s="1"/>
      <c r="N37099" s="1"/>
    </row>
    <row r="37100" spans="7:14" x14ac:dyDescent="0.3">
      <c r="G37100" s="1"/>
      <c r="N37100" s="1"/>
    </row>
    <row r="37101" spans="7:14" x14ac:dyDescent="0.3">
      <c r="G37101" s="1"/>
      <c r="N37101" s="1"/>
    </row>
    <row r="37102" spans="7:14" x14ac:dyDescent="0.3">
      <c r="G37102" s="1"/>
      <c r="N37102" s="1"/>
    </row>
    <row r="37103" spans="7:14" x14ac:dyDescent="0.3">
      <c r="G37103" s="1"/>
      <c r="N37103" s="1"/>
    </row>
    <row r="37104" spans="7:14" x14ac:dyDescent="0.3">
      <c r="G37104" s="1"/>
      <c r="N37104" s="1"/>
    </row>
    <row r="37105" spans="7:14" x14ac:dyDescent="0.3">
      <c r="G37105" s="1"/>
      <c r="N37105" s="1"/>
    </row>
    <row r="37106" spans="7:14" x14ac:dyDescent="0.3">
      <c r="G37106" s="1"/>
      <c r="N37106" s="1"/>
    </row>
    <row r="37107" spans="7:14" x14ac:dyDescent="0.3">
      <c r="G37107" s="1"/>
      <c r="N37107" s="1"/>
    </row>
    <row r="37108" spans="7:14" x14ac:dyDescent="0.3">
      <c r="G37108" s="1"/>
      <c r="N37108" s="1"/>
    </row>
    <row r="37109" spans="7:14" x14ac:dyDescent="0.3">
      <c r="G37109" s="1"/>
      <c r="N37109" s="1"/>
    </row>
    <row r="37110" spans="7:14" x14ac:dyDescent="0.3">
      <c r="G37110" s="1"/>
      <c r="N37110" s="1"/>
    </row>
    <row r="37111" spans="7:14" x14ac:dyDescent="0.3">
      <c r="G37111" s="1"/>
      <c r="N37111" s="1"/>
    </row>
    <row r="37112" spans="7:14" x14ac:dyDescent="0.3">
      <c r="G37112" s="1"/>
      <c r="N37112" s="1"/>
    </row>
    <row r="37113" spans="7:14" x14ac:dyDescent="0.3">
      <c r="G37113" s="1"/>
      <c r="N37113" s="1"/>
    </row>
    <row r="37114" spans="7:14" x14ac:dyDescent="0.3">
      <c r="G37114" s="1"/>
      <c r="N37114" s="1"/>
    </row>
    <row r="37115" spans="7:14" x14ac:dyDescent="0.3">
      <c r="G37115" s="1"/>
      <c r="N37115" s="1"/>
    </row>
    <row r="37116" spans="7:14" x14ac:dyDescent="0.3">
      <c r="G37116" s="1"/>
      <c r="N37116" s="1"/>
    </row>
    <row r="37117" spans="7:14" x14ac:dyDescent="0.3">
      <c r="G37117" s="1"/>
      <c r="N37117" s="1"/>
    </row>
    <row r="37118" spans="7:14" x14ac:dyDescent="0.3">
      <c r="G37118" s="1"/>
      <c r="N37118" s="1"/>
    </row>
    <row r="37119" spans="7:14" x14ac:dyDescent="0.3">
      <c r="G37119" s="1"/>
      <c r="N37119" s="1"/>
    </row>
    <row r="37120" spans="7:14" x14ac:dyDescent="0.3">
      <c r="G37120" s="1"/>
      <c r="N37120" s="1"/>
    </row>
    <row r="37121" spans="7:14" x14ac:dyDescent="0.3">
      <c r="G37121" s="1"/>
      <c r="N37121" s="1"/>
    </row>
    <row r="37122" spans="7:14" x14ac:dyDescent="0.3">
      <c r="G37122" s="1"/>
      <c r="N37122" s="1"/>
    </row>
    <row r="37123" spans="7:14" x14ac:dyDescent="0.3">
      <c r="G37123" s="1"/>
      <c r="N37123" s="1"/>
    </row>
    <row r="37124" spans="7:14" x14ac:dyDescent="0.3">
      <c r="G37124" s="1"/>
      <c r="N37124" s="1"/>
    </row>
    <row r="37125" spans="7:14" x14ac:dyDescent="0.3">
      <c r="G37125" s="1"/>
      <c r="N37125" s="1"/>
    </row>
    <row r="37126" spans="7:14" x14ac:dyDescent="0.3">
      <c r="G37126" s="1"/>
      <c r="N37126" s="1"/>
    </row>
    <row r="37127" spans="7:14" x14ac:dyDescent="0.3">
      <c r="G37127" s="1"/>
      <c r="N37127" s="1"/>
    </row>
    <row r="37128" spans="7:14" x14ac:dyDescent="0.3">
      <c r="G37128" s="1"/>
      <c r="N37128" s="1"/>
    </row>
    <row r="37129" spans="7:14" x14ac:dyDescent="0.3">
      <c r="G37129" s="1"/>
      <c r="N37129" s="1"/>
    </row>
    <row r="37130" spans="7:14" x14ac:dyDescent="0.3">
      <c r="G37130" s="1"/>
      <c r="N37130" s="1"/>
    </row>
    <row r="37131" spans="7:14" x14ac:dyDescent="0.3">
      <c r="G37131" s="1"/>
      <c r="N37131" s="1"/>
    </row>
    <row r="37132" spans="7:14" x14ac:dyDescent="0.3">
      <c r="G37132" s="1"/>
      <c r="N37132" s="1"/>
    </row>
    <row r="37133" spans="7:14" x14ac:dyDescent="0.3">
      <c r="G37133" s="1"/>
      <c r="N37133" s="1"/>
    </row>
    <row r="37134" spans="7:14" x14ac:dyDescent="0.3">
      <c r="G37134" s="1"/>
      <c r="N37134" s="1"/>
    </row>
    <row r="37135" spans="7:14" x14ac:dyDescent="0.3">
      <c r="G37135" s="1"/>
      <c r="N37135" s="1"/>
    </row>
    <row r="37136" spans="7:14" x14ac:dyDescent="0.3">
      <c r="G37136" s="1"/>
      <c r="N37136" s="1"/>
    </row>
    <row r="37137" spans="7:14" x14ac:dyDescent="0.3">
      <c r="G37137" s="1"/>
      <c r="N37137" s="1"/>
    </row>
    <row r="37138" spans="7:14" x14ac:dyDescent="0.3">
      <c r="G37138" s="1"/>
      <c r="N37138" s="1"/>
    </row>
    <row r="37139" spans="7:14" x14ac:dyDescent="0.3">
      <c r="G37139" s="1"/>
      <c r="N37139" s="1"/>
    </row>
    <row r="37140" spans="7:14" x14ac:dyDescent="0.3">
      <c r="G37140" s="1"/>
      <c r="N37140" s="1"/>
    </row>
    <row r="37141" spans="7:14" x14ac:dyDescent="0.3">
      <c r="G37141" s="1"/>
      <c r="N37141" s="1"/>
    </row>
    <row r="37142" spans="7:14" x14ac:dyDescent="0.3">
      <c r="G37142" s="1"/>
      <c r="N37142" s="1"/>
    </row>
    <row r="37143" spans="7:14" x14ac:dyDescent="0.3">
      <c r="G37143" s="1"/>
      <c r="N37143" s="1"/>
    </row>
    <row r="37144" spans="7:14" x14ac:dyDescent="0.3">
      <c r="G37144" s="1"/>
      <c r="N37144" s="1"/>
    </row>
    <row r="37145" spans="7:14" x14ac:dyDescent="0.3">
      <c r="G37145" s="1"/>
      <c r="N37145" s="1"/>
    </row>
    <row r="37146" spans="7:14" x14ac:dyDescent="0.3">
      <c r="G37146" s="1"/>
      <c r="N37146" s="1"/>
    </row>
    <row r="37147" spans="7:14" x14ac:dyDescent="0.3">
      <c r="G37147" s="1"/>
      <c r="N37147" s="1"/>
    </row>
    <row r="37148" spans="7:14" x14ac:dyDescent="0.3">
      <c r="G37148" s="1"/>
      <c r="N37148" s="1"/>
    </row>
    <row r="37149" spans="7:14" x14ac:dyDescent="0.3">
      <c r="G37149" s="1"/>
      <c r="N37149" s="1"/>
    </row>
    <row r="37150" spans="7:14" x14ac:dyDescent="0.3">
      <c r="G37150" s="1"/>
      <c r="N37150" s="1"/>
    </row>
    <row r="37151" spans="7:14" x14ac:dyDescent="0.3">
      <c r="G37151" s="1"/>
      <c r="N37151" s="1"/>
    </row>
    <row r="37152" spans="7:14" x14ac:dyDescent="0.3">
      <c r="G37152" s="1"/>
      <c r="N37152" s="1"/>
    </row>
    <row r="37153" spans="7:14" x14ac:dyDescent="0.3">
      <c r="G37153" s="1"/>
      <c r="N37153" s="1"/>
    </row>
    <row r="37154" spans="7:14" x14ac:dyDescent="0.3">
      <c r="G37154" s="1"/>
      <c r="N37154" s="1"/>
    </row>
    <row r="37155" spans="7:14" x14ac:dyDescent="0.3">
      <c r="G37155" s="1"/>
      <c r="N37155" s="1"/>
    </row>
    <row r="37156" spans="7:14" x14ac:dyDescent="0.3">
      <c r="G37156" s="1"/>
      <c r="N37156" s="1"/>
    </row>
    <row r="37157" spans="7:14" x14ac:dyDescent="0.3">
      <c r="G37157" s="1"/>
      <c r="N37157" s="1"/>
    </row>
    <row r="37158" spans="7:14" x14ac:dyDescent="0.3">
      <c r="G37158" s="1"/>
      <c r="N37158" s="1"/>
    </row>
    <row r="37159" spans="7:14" x14ac:dyDescent="0.3">
      <c r="G37159" s="1"/>
      <c r="N37159" s="1"/>
    </row>
    <row r="37160" spans="7:14" x14ac:dyDescent="0.3">
      <c r="G37160" s="1"/>
      <c r="N37160" s="1"/>
    </row>
    <row r="37161" spans="7:14" x14ac:dyDescent="0.3">
      <c r="G37161" s="1"/>
      <c r="N37161" s="1"/>
    </row>
    <row r="37162" spans="7:14" x14ac:dyDescent="0.3">
      <c r="G37162" s="1"/>
      <c r="N37162" s="1"/>
    </row>
    <row r="37163" spans="7:14" x14ac:dyDescent="0.3">
      <c r="G37163" s="1"/>
      <c r="N37163" s="1"/>
    </row>
    <row r="37164" spans="7:14" x14ac:dyDescent="0.3">
      <c r="G37164" s="1"/>
      <c r="N37164" s="1"/>
    </row>
    <row r="37165" spans="7:14" x14ac:dyDescent="0.3">
      <c r="G37165" s="1"/>
      <c r="N37165" s="1"/>
    </row>
    <row r="37166" spans="7:14" x14ac:dyDescent="0.3">
      <c r="G37166" s="1"/>
      <c r="N37166" s="1"/>
    </row>
    <row r="37167" spans="7:14" x14ac:dyDescent="0.3">
      <c r="G37167" s="1"/>
      <c r="N37167" s="1"/>
    </row>
    <row r="37168" spans="7:14" x14ac:dyDescent="0.3">
      <c r="G37168" s="1"/>
      <c r="N37168" s="1"/>
    </row>
    <row r="37169" spans="7:14" x14ac:dyDescent="0.3">
      <c r="G37169" s="1"/>
      <c r="N37169" s="1"/>
    </row>
    <row r="37170" spans="7:14" x14ac:dyDescent="0.3">
      <c r="G37170" s="1"/>
      <c r="N37170" s="1"/>
    </row>
    <row r="37171" spans="7:14" x14ac:dyDescent="0.3">
      <c r="G37171" s="1"/>
      <c r="N37171" s="1"/>
    </row>
    <row r="37172" spans="7:14" x14ac:dyDescent="0.3">
      <c r="G37172" s="1"/>
      <c r="N37172" s="1"/>
    </row>
    <row r="37173" spans="7:14" x14ac:dyDescent="0.3">
      <c r="G37173" s="1"/>
      <c r="N37173" s="1"/>
    </row>
    <row r="37174" spans="7:14" x14ac:dyDescent="0.3">
      <c r="G37174" s="1"/>
      <c r="N37174" s="1"/>
    </row>
    <row r="37175" spans="7:14" x14ac:dyDescent="0.3">
      <c r="G37175" s="1"/>
      <c r="N37175" s="1"/>
    </row>
    <row r="37176" spans="7:14" x14ac:dyDescent="0.3">
      <c r="G37176" s="1"/>
      <c r="N37176" s="1"/>
    </row>
    <row r="37177" spans="7:14" x14ac:dyDescent="0.3">
      <c r="G37177" s="1"/>
      <c r="N37177" s="1"/>
    </row>
    <row r="37178" spans="7:14" x14ac:dyDescent="0.3">
      <c r="G37178" s="1"/>
      <c r="N37178" s="1"/>
    </row>
    <row r="37179" spans="7:14" x14ac:dyDescent="0.3">
      <c r="G37179" s="1"/>
      <c r="N37179" s="1"/>
    </row>
    <row r="37180" spans="7:14" x14ac:dyDescent="0.3">
      <c r="G37180" s="1"/>
      <c r="N37180" s="1"/>
    </row>
    <row r="37181" spans="7:14" x14ac:dyDescent="0.3">
      <c r="G37181" s="1"/>
      <c r="N37181" s="1"/>
    </row>
    <row r="37182" spans="7:14" x14ac:dyDescent="0.3">
      <c r="G37182" s="1"/>
      <c r="N37182" s="1"/>
    </row>
    <row r="37183" spans="7:14" x14ac:dyDescent="0.3">
      <c r="G37183" s="1"/>
      <c r="N37183" s="1"/>
    </row>
    <row r="37184" spans="7:14" x14ac:dyDescent="0.3">
      <c r="G37184" s="1"/>
      <c r="N37184" s="1"/>
    </row>
    <row r="37185" spans="7:14" x14ac:dyDescent="0.3">
      <c r="G37185" s="1"/>
      <c r="N37185" s="1"/>
    </row>
    <row r="37186" spans="7:14" x14ac:dyDescent="0.3">
      <c r="G37186" s="1"/>
      <c r="N37186" s="1"/>
    </row>
    <row r="37187" spans="7:14" x14ac:dyDescent="0.3">
      <c r="G37187" s="1"/>
      <c r="N37187" s="1"/>
    </row>
    <row r="37188" spans="7:14" x14ac:dyDescent="0.3">
      <c r="G37188" s="1"/>
      <c r="N37188" s="1"/>
    </row>
    <row r="37189" spans="7:14" x14ac:dyDescent="0.3">
      <c r="G37189" s="1"/>
      <c r="N37189" s="1"/>
    </row>
    <row r="37190" spans="7:14" x14ac:dyDescent="0.3">
      <c r="G37190" s="1"/>
      <c r="N37190" s="1"/>
    </row>
    <row r="37191" spans="7:14" x14ac:dyDescent="0.3">
      <c r="G37191" s="1"/>
      <c r="N37191" s="1"/>
    </row>
    <row r="37192" spans="7:14" x14ac:dyDescent="0.3">
      <c r="G37192" s="1"/>
      <c r="N37192" s="1"/>
    </row>
    <row r="37193" spans="7:14" x14ac:dyDescent="0.3">
      <c r="G37193" s="1"/>
      <c r="N37193" s="1"/>
    </row>
    <row r="37194" spans="7:14" x14ac:dyDescent="0.3">
      <c r="G37194" s="1"/>
      <c r="N37194" s="1"/>
    </row>
    <row r="37195" spans="7:14" x14ac:dyDescent="0.3">
      <c r="G37195" s="1"/>
      <c r="N37195" s="1"/>
    </row>
    <row r="37196" spans="7:14" x14ac:dyDescent="0.3">
      <c r="G37196" s="1"/>
      <c r="N37196" s="1"/>
    </row>
    <row r="37197" spans="7:14" x14ac:dyDescent="0.3">
      <c r="G37197" s="1"/>
      <c r="N37197" s="1"/>
    </row>
    <row r="37198" spans="7:14" x14ac:dyDescent="0.3">
      <c r="G37198" s="1"/>
      <c r="N37198" s="1"/>
    </row>
    <row r="37199" spans="7:14" x14ac:dyDescent="0.3">
      <c r="G37199" s="1"/>
      <c r="N37199" s="1"/>
    </row>
    <row r="37200" spans="7:14" x14ac:dyDescent="0.3">
      <c r="G37200" s="1"/>
      <c r="N37200" s="1"/>
    </row>
    <row r="37201" spans="7:14" x14ac:dyDescent="0.3">
      <c r="G37201" s="1"/>
      <c r="N37201" s="1"/>
    </row>
    <row r="37202" spans="7:14" x14ac:dyDescent="0.3">
      <c r="G37202" s="1"/>
      <c r="N37202" s="1"/>
    </row>
    <row r="37203" spans="7:14" x14ac:dyDescent="0.3">
      <c r="G37203" s="1"/>
      <c r="N37203" s="1"/>
    </row>
    <row r="37204" spans="7:14" x14ac:dyDescent="0.3">
      <c r="G37204" s="1"/>
      <c r="N37204" s="1"/>
    </row>
    <row r="37205" spans="7:14" x14ac:dyDescent="0.3">
      <c r="G37205" s="1"/>
      <c r="N37205" s="1"/>
    </row>
    <row r="37206" spans="7:14" x14ac:dyDescent="0.3">
      <c r="G37206" s="1"/>
      <c r="N37206" s="1"/>
    </row>
    <row r="37207" spans="7:14" x14ac:dyDescent="0.3">
      <c r="G37207" s="1"/>
      <c r="N37207" s="1"/>
    </row>
    <row r="37208" spans="7:14" x14ac:dyDescent="0.3">
      <c r="G37208" s="1"/>
      <c r="N37208" s="1"/>
    </row>
    <row r="37209" spans="7:14" x14ac:dyDescent="0.3">
      <c r="G37209" s="1"/>
      <c r="N37209" s="1"/>
    </row>
    <row r="37210" spans="7:14" x14ac:dyDescent="0.3">
      <c r="G37210" s="1"/>
      <c r="N37210" s="1"/>
    </row>
    <row r="37211" spans="7:14" x14ac:dyDescent="0.3">
      <c r="G37211" s="1"/>
      <c r="N37211" s="1"/>
    </row>
    <row r="37212" spans="7:14" x14ac:dyDescent="0.3">
      <c r="G37212" s="1"/>
      <c r="N37212" s="1"/>
    </row>
    <row r="37213" spans="7:14" x14ac:dyDescent="0.3">
      <c r="G37213" s="1"/>
      <c r="N37213" s="1"/>
    </row>
    <row r="37214" spans="7:14" x14ac:dyDescent="0.3">
      <c r="G37214" s="1"/>
      <c r="N37214" s="1"/>
    </row>
    <row r="37215" spans="7:14" x14ac:dyDescent="0.3">
      <c r="G37215" s="1"/>
      <c r="N37215" s="1"/>
    </row>
    <row r="37216" spans="7:14" x14ac:dyDescent="0.3">
      <c r="G37216" s="1"/>
      <c r="N37216" s="1"/>
    </row>
    <row r="37217" spans="7:14" x14ac:dyDescent="0.3">
      <c r="G37217" s="1"/>
      <c r="N37217" s="1"/>
    </row>
    <row r="37218" spans="7:14" x14ac:dyDescent="0.3">
      <c r="G37218" s="1"/>
      <c r="N37218" s="1"/>
    </row>
    <row r="37219" spans="7:14" x14ac:dyDescent="0.3">
      <c r="G37219" s="1"/>
      <c r="N37219" s="1"/>
    </row>
    <row r="37220" spans="7:14" x14ac:dyDescent="0.3">
      <c r="G37220" s="1"/>
      <c r="N37220" s="1"/>
    </row>
    <row r="37221" spans="7:14" x14ac:dyDescent="0.3">
      <c r="G37221" s="1"/>
      <c r="N37221" s="1"/>
    </row>
    <row r="37222" spans="7:14" x14ac:dyDescent="0.3">
      <c r="G37222" s="1"/>
      <c r="N37222" s="1"/>
    </row>
    <row r="37223" spans="7:14" x14ac:dyDescent="0.3">
      <c r="G37223" s="1"/>
      <c r="N37223" s="1"/>
    </row>
    <row r="37224" spans="7:14" x14ac:dyDescent="0.3">
      <c r="G37224" s="1"/>
      <c r="N37224" s="1"/>
    </row>
    <row r="37225" spans="7:14" x14ac:dyDescent="0.3">
      <c r="G37225" s="1"/>
      <c r="N37225" s="1"/>
    </row>
    <row r="37226" spans="7:14" x14ac:dyDescent="0.3">
      <c r="G37226" s="1"/>
      <c r="N37226" s="1"/>
    </row>
    <row r="37227" spans="7:14" x14ac:dyDescent="0.3">
      <c r="G37227" s="1"/>
      <c r="N37227" s="1"/>
    </row>
    <row r="37228" spans="7:14" x14ac:dyDescent="0.3">
      <c r="G37228" s="1"/>
      <c r="N37228" s="1"/>
    </row>
    <row r="37229" spans="7:14" x14ac:dyDescent="0.3">
      <c r="G37229" s="1"/>
      <c r="N37229" s="1"/>
    </row>
    <row r="37230" spans="7:14" x14ac:dyDescent="0.3">
      <c r="G37230" s="1"/>
      <c r="N37230" s="1"/>
    </row>
    <row r="37231" spans="7:14" x14ac:dyDescent="0.3">
      <c r="G37231" s="1"/>
      <c r="N37231" s="1"/>
    </row>
    <row r="37232" spans="7:14" x14ac:dyDescent="0.3">
      <c r="G37232" s="1"/>
      <c r="N37232" s="1"/>
    </row>
    <row r="37233" spans="7:14" x14ac:dyDescent="0.3">
      <c r="G37233" s="1"/>
      <c r="N37233" s="1"/>
    </row>
    <row r="37234" spans="7:14" x14ac:dyDescent="0.3">
      <c r="G37234" s="1"/>
      <c r="N37234" s="1"/>
    </row>
    <row r="37235" spans="7:14" x14ac:dyDescent="0.3">
      <c r="G37235" s="1"/>
      <c r="N37235" s="1"/>
    </row>
    <row r="37236" spans="7:14" x14ac:dyDescent="0.3">
      <c r="G37236" s="1"/>
      <c r="N37236" s="1"/>
    </row>
    <row r="37237" spans="7:14" x14ac:dyDescent="0.3">
      <c r="G37237" s="1"/>
      <c r="N37237" s="1"/>
    </row>
    <row r="37238" spans="7:14" x14ac:dyDescent="0.3">
      <c r="G37238" s="1"/>
      <c r="N37238" s="1"/>
    </row>
    <row r="37239" spans="7:14" x14ac:dyDescent="0.3">
      <c r="G37239" s="1"/>
      <c r="N37239" s="1"/>
    </row>
    <row r="37240" spans="7:14" x14ac:dyDescent="0.3">
      <c r="G37240" s="1"/>
      <c r="N37240" s="1"/>
    </row>
    <row r="37241" spans="7:14" x14ac:dyDescent="0.3">
      <c r="G37241" s="1"/>
      <c r="N37241" s="1"/>
    </row>
    <row r="37242" spans="7:14" x14ac:dyDescent="0.3">
      <c r="G37242" s="1"/>
      <c r="N37242" s="1"/>
    </row>
    <row r="37243" spans="7:14" x14ac:dyDescent="0.3">
      <c r="G37243" s="1"/>
      <c r="N37243" s="1"/>
    </row>
    <row r="37244" spans="7:14" x14ac:dyDescent="0.3">
      <c r="G37244" s="1"/>
      <c r="N37244" s="1"/>
    </row>
    <row r="37245" spans="7:14" x14ac:dyDescent="0.3">
      <c r="G37245" s="1"/>
      <c r="N37245" s="1"/>
    </row>
    <row r="37246" spans="7:14" x14ac:dyDescent="0.3">
      <c r="G37246" s="1"/>
      <c r="N37246" s="1"/>
    </row>
    <row r="37247" spans="7:14" x14ac:dyDescent="0.3">
      <c r="G37247" s="1"/>
      <c r="N37247" s="1"/>
    </row>
    <row r="37248" spans="7:14" x14ac:dyDescent="0.3">
      <c r="G37248" s="1"/>
      <c r="N37248" s="1"/>
    </row>
    <row r="37249" spans="7:14" x14ac:dyDescent="0.3">
      <c r="G37249" s="1"/>
      <c r="N37249" s="1"/>
    </row>
    <row r="37250" spans="7:14" x14ac:dyDescent="0.3">
      <c r="G37250" s="1"/>
      <c r="N37250" s="1"/>
    </row>
    <row r="37251" spans="7:14" x14ac:dyDescent="0.3">
      <c r="G37251" s="1"/>
      <c r="N37251" s="1"/>
    </row>
    <row r="37252" spans="7:14" x14ac:dyDescent="0.3">
      <c r="G37252" s="1"/>
      <c r="N37252" s="1"/>
    </row>
    <row r="37253" spans="7:14" x14ac:dyDescent="0.3">
      <c r="G37253" s="1"/>
      <c r="N37253" s="1"/>
    </row>
    <row r="37254" spans="7:14" x14ac:dyDescent="0.3">
      <c r="G37254" s="1"/>
      <c r="N37254" s="1"/>
    </row>
    <row r="37255" spans="7:14" x14ac:dyDescent="0.3">
      <c r="G37255" s="1"/>
      <c r="N37255" s="1"/>
    </row>
    <row r="37256" spans="7:14" x14ac:dyDescent="0.3">
      <c r="G37256" s="1"/>
      <c r="N37256" s="1"/>
    </row>
    <row r="37257" spans="7:14" x14ac:dyDescent="0.3">
      <c r="G37257" s="1"/>
      <c r="N37257" s="1"/>
    </row>
    <row r="37258" spans="7:14" x14ac:dyDescent="0.3">
      <c r="G37258" s="1"/>
      <c r="N37258" s="1"/>
    </row>
    <row r="37259" spans="7:14" x14ac:dyDescent="0.3">
      <c r="G37259" s="1"/>
      <c r="N37259" s="1"/>
    </row>
    <row r="37260" spans="7:14" x14ac:dyDescent="0.3">
      <c r="G37260" s="1"/>
      <c r="N37260" s="1"/>
    </row>
    <row r="37261" spans="7:14" x14ac:dyDescent="0.3">
      <c r="G37261" s="1"/>
      <c r="N37261" s="1"/>
    </row>
    <row r="37262" spans="7:14" x14ac:dyDescent="0.3">
      <c r="G37262" s="1"/>
      <c r="N37262" s="1"/>
    </row>
    <row r="37263" spans="7:14" x14ac:dyDescent="0.3">
      <c r="G37263" s="1"/>
      <c r="N37263" s="1"/>
    </row>
    <row r="37264" spans="7:14" x14ac:dyDescent="0.3">
      <c r="G37264" s="1"/>
      <c r="N37264" s="1"/>
    </row>
    <row r="37265" spans="7:14" x14ac:dyDescent="0.3">
      <c r="G37265" s="1"/>
      <c r="N37265" s="1"/>
    </row>
    <row r="37266" spans="7:14" x14ac:dyDescent="0.3">
      <c r="G37266" s="1"/>
      <c r="N37266" s="1"/>
    </row>
    <row r="37267" spans="7:14" x14ac:dyDescent="0.3">
      <c r="G37267" s="1"/>
      <c r="N37267" s="1"/>
    </row>
    <row r="37268" spans="7:14" x14ac:dyDescent="0.3">
      <c r="G37268" s="1"/>
      <c r="N37268" s="1"/>
    </row>
    <row r="37269" spans="7:14" x14ac:dyDescent="0.3">
      <c r="G37269" s="1"/>
      <c r="N37269" s="1"/>
    </row>
    <row r="37270" spans="7:14" x14ac:dyDescent="0.3">
      <c r="G37270" s="1"/>
      <c r="N37270" s="1"/>
    </row>
    <row r="37271" spans="7:14" x14ac:dyDescent="0.3">
      <c r="G37271" s="1"/>
      <c r="N37271" s="1"/>
    </row>
    <row r="37272" spans="7:14" x14ac:dyDescent="0.3">
      <c r="G37272" s="1"/>
      <c r="N37272" s="1"/>
    </row>
    <row r="37273" spans="7:14" x14ac:dyDescent="0.3">
      <c r="G37273" s="1"/>
      <c r="N37273" s="1"/>
    </row>
    <row r="37274" spans="7:14" x14ac:dyDescent="0.3">
      <c r="G37274" s="1"/>
      <c r="N37274" s="1"/>
    </row>
    <row r="37275" spans="7:14" x14ac:dyDescent="0.3">
      <c r="G37275" s="1"/>
      <c r="N37275" s="1"/>
    </row>
    <row r="37276" spans="7:14" x14ac:dyDescent="0.3">
      <c r="G37276" s="1"/>
      <c r="N37276" s="1"/>
    </row>
    <row r="37277" spans="7:14" x14ac:dyDescent="0.3">
      <c r="G37277" s="1"/>
      <c r="N37277" s="1"/>
    </row>
    <row r="37278" spans="7:14" x14ac:dyDescent="0.3">
      <c r="G37278" s="1"/>
      <c r="N37278" s="1"/>
    </row>
    <row r="37279" spans="7:14" x14ac:dyDescent="0.3">
      <c r="G37279" s="1"/>
      <c r="N37279" s="1"/>
    </row>
    <row r="37280" spans="7:14" x14ac:dyDescent="0.3">
      <c r="G37280" s="1"/>
      <c r="N37280" s="1"/>
    </row>
    <row r="37281" spans="7:14" x14ac:dyDescent="0.3">
      <c r="G37281" s="1"/>
      <c r="N37281" s="1"/>
    </row>
    <row r="37282" spans="7:14" x14ac:dyDescent="0.3">
      <c r="G37282" s="1"/>
      <c r="N37282" s="1"/>
    </row>
    <row r="37283" spans="7:14" x14ac:dyDescent="0.3">
      <c r="G37283" s="1"/>
      <c r="N37283" s="1"/>
    </row>
    <row r="37284" spans="7:14" x14ac:dyDescent="0.3">
      <c r="G37284" s="1"/>
      <c r="N37284" s="1"/>
    </row>
    <row r="37285" spans="7:14" x14ac:dyDescent="0.3">
      <c r="G37285" s="1"/>
      <c r="N37285" s="1"/>
    </row>
    <row r="37286" spans="7:14" x14ac:dyDescent="0.3">
      <c r="G37286" s="1"/>
      <c r="N37286" s="1"/>
    </row>
    <row r="37287" spans="7:14" x14ac:dyDescent="0.3">
      <c r="G37287" s="1"/>
      <c r="N37287" s="1"/>
    </row>
    <row r="37288" spans="7:14" x14ac:dyDescent="0.3">
      <c r="G37288" s="1"/>
      <c r="N37288" s="1"/>
    </row>
    <row r="37289" spans="7:14" x14ac:dyDescent="0.3">
      <c r="G37289" s="1"/>
      <c r="N37289" s="1"/>
    </row>
    <row r="37290" spans="7:14" x14ac:dyDescent="0.3">
      <c r="G37290" s="1"/>
      <c r="N37290" s="1"/>
    </row>
    <row r="37291" spans="7:14" x14ac:dyDescent="0.3">
      <c r="G37291" s="1"/>
      <c r="N37291" s="1"/>
    </row>
    <row r="37292" spans="7:14" x14ac:dyDescent="0.3">
      <c r="G37292" s="1"/>
      <c r="N37292" s="1"/>
    </row>
    <row r="37293" spans="7:14" x14ac:dyDescent="0.3">
      <c r="G37293" s="1"/>
      <c r="N37293" s="1"/>
    </row>
    <row r="37294" spans="7:14" x14ac:dyDescent="0.3">
      <c r="G37294" s="1"/>
      <c r="N37294" s="1"/>
    </row>
    <row r="37295" spans="7:14" x14ac:dyDescent="0.3">
      <c r="G37295" s="1"/>
      <c r="N37295" s="1"/>
    </row>
    <row r="37296" spans="7:14" x14ac:dyDescent="0.3">
      <c r="G37296" s="1"/>
      <c r="N37296" s="1"/>
    </row>
    <row r="37297" spans="7:14" x14ac:dyDescent="0.3">
      <c r="G37297" s="1"/>
      <c r="N37297" s="1"/>
    </row>
    <row r="37298" spans="7:14" x14ac:dyDescent="0.3">
      <c r="G37298" s="1"/>
      <c r="N37298" s="1"/>
    </row>
    <row r="37299" spans="7:14" x14ac:dyDescent="0.3">
      <c r="G37299" s="1"/>
      <c r="N37299" s="1"/>
    </row>
    <row r="37300" spans="7:14" x14ac:dyDescent="0.3">
      <c r="G37300" s="1"/>
      <c r="N37300" s="1"/>
    </row>
    <row r="37301" spans="7:14" x14ac:dyDescent="0.3">
      <c r="G37301" s="1"/>
      <c r="N37301" s="1"/>
    </row>
    <row r="37302" spans="7:14" x14ac:dyDescent="0.3">
      <c r="G37302" s="1"/>
      <c r="N37302" s="1"/>
    </row>
    <row r="37303" spans="7:14" x14ac:dyDescent="0.3">
      <c r="G37303" s="1"/>
      <c r="N37303" s="1"/>
    </row>
    <row r="37304" spans="7:14" x14ac:dyDescent="0.3">
      <c r="G37304" s="1"/>
      <c r="N37304" s="1"/>
    </row>
    <row r="37305" spans="7:14" x14ac:dyDescent="0.3">
      <c r="G37305" s="1"/>
      <c r="N37305" s="1"/>
    </row>
    <row r="37306" spans="7:14" x14ac:dyDescent="0.3">
      <c r="G37306" s="1"/>
      <c r="N37306" s="1"/>
    </row>
    <row r="37307" spans="7:14" x14ac:dyDescent="0.3">
      <c r="G37307" s="1"/>
      <c r="N37307" s="1"/>
    </row>
    <row r="37308" spans="7:14" x14ac:dyDescent="0.3">
      <c r="G37308" s="1"/>
      <c r="N37308" s="1"/>
    </row>
    <row r="37309" spans="7:14" x14ac:dyDescent="0.3">
      <c r="G37309" s="1"/>
      <c r="N37309" s="1"/>
    </row>
    <row r="37310" spans="7:14" x14ac:dyDescent="0.3">
      <c r="G37310" s="1"/>
      <c r="N37310" s="1"/>
    </row>
    <row r="37311" spans="7:14" x14ac:dyDescent="0.3">
      <c r="G37311" s="1"/>
      <c r="N37311" s="1"/>
    </row>
    <row r="37312" spans="7:14" x14ac:dyDescent="0.3">
      <c r="G37312" s="1"/>
      <c r="N37312" s="1"/>
    </row>
    <row r="37313" spans="7:14" x14ac:dyDescent="0.3">
      <c r="G37313" s="1"/>
      <c r="N37313" s="1"/>
    </row>
    <row r="37314" spans="7:14" x14ac:dyDescent="0.3">
      <c r="G37314" s="1"/>
      <c r="N37314" s="1"/>
    </row>
    <row r="37315" spans="7:14" x14ac:dyDescent="0.3">
      <c r="G37315" s="1"/>
      <c r="N37315" s="1"/>
    </row>
    <row r="37316" spans="7:14" x14ac:dyDescent="0.3">
      <c r="G37316" s="1"/>
      <c r="N37316" s="1"/>
    </row>
    <row r="37317" spans="7:14" x14ac:dyDescent="0.3">
      <c r="G37317" s="1"/>
      <c r="N37317" s="1"/>
    </row>
    <row r="37318" spans="7:14" x14ac:dyDescent="0.3">
      <c r="G37318" s="1"/>
      <c r="N37318" s="1"/>
    </row>
    <row r="37319" spans="7:14" x14ac:dyDescent="0.3">
      <c r="G37319" s="1"/>
      <c r="N37319" s="1"/>
    </row>
    <row r="37320" spans="7:14" x14ac:dyDescent="0.3">
      <c r="G37320" s="1"/>
      <c r="N37320" s="1"/>
    </row>
    <row r="37321" spans="7:14" x14ac:dyDescent="0.3">
      <c r="G37321" s="1"/>
      <c r="N37321" s="1"/>
    </row>
    <row r="37322" spans="7:14" x14ac:dyDescent="0.3">
      <c r="G37322" s="1"/>
      <c r="N37322" s="1"/>
    </row>
    <row r="37323" spans="7:14" x14ac:dyDescent="0.3">
      <c r="G37323" s="1"/>
      <c r="N37323" s="1"/>
    </row>
    <row r="37324" spans="7:14" x14ac:dyDescent="0.3">
      <c r="G37324" s="1"/>
      <c r="N37324" s="1"/>
    </row>
    <row r="37325" spans="7:14" x14ac:dyDescent="0.3">
      <c r="G37325" s="1"/>
      <c r="N37325" s="1"/>
    </row>
    <row r="37326" spans="7:14" x14ac:dyDescent="0.3">
      <c r="G37326" s="1"/>
      <c r="N37326" s="1"/>
    </row>
    <row r="37327" spans="7:14" x14ac:dyDescent="0.3">
      <c r="G37327" s="1"/>
      <c r="N37327" s="1"/>
    </row>
    <row r="37328" spans="7:14" x14ac:dyDescent="0.3">
      <c r="G37328" s="1"/>
      <c r="N37328" s="1"/>
    </row>
    <row r="37329" spans="7:14" x14ac:dyDescent="0.3">
      <c r="G37329" s="1"/>
      <c r="N37329" s="1"/>
    </row>
    <row r="37330" spans="7:14" x14ac:dyDescent="0.3">
      <c r="G37330" s="1"/>
      <c r="N37330" s="1"/>
    </row>
    <row r="37331" spans="7:14" x14ac:dyDescent="0.3">
      <c r="G37331" s="1"/>
      <c r="N37331" s="1"/>
    </row>
    <row r="37332" spans="7:14" x14ac:dyDescent="0.3">
      <c r="G37332" s="1"/>
      <c r="N37332" s="1"/>
    </row>
    <row r="37333" spans="7:14" x14ac:dyDescent="0.3">
      <c r="G37333" s="1"/>
      <c r="N37333" s="1"/>
    </row>
    <row r="37334" spans="7:14" x14ac:dyDescent="0.3">
      <c r="G37334" s="1"/>
      <c r="N37334" s="1"/>
    </row>
    <row r="37335" spans="7:14" x14ac:dyDescent="0.3">
      <c r="G37335" s="1"/>
      <c r="N37335" s="1"/>
    </row>
    <row r="37336" spans="7:14" x14ac:dyDescent="0.3">
      <c r="G37336" s="1"/>
      <c r="N37336" s="1"/>
    </row>
    <row r="37337" spans="7:14" x14ac:dyDescent="0.3">
      <c r="G37337" s="1"/>
      <c r="N37337" s="1"/>
    </row>
    <row r="37338" spans="7:14" x14ac:dyDescent="0.3">
      <c r="G37338" s="1"/>
      <c r="N37338" s="1"/>
    </row>
    <row r="37339" spans="7:14" x14ac:dyDescent="0.3">
      <c r="G37339" s="1"/>
      <c r="N37339" s="1"/>
    </row>
    <row r="37340" spans="7:14" x14ac:dyDescent="0.3">
      <c r="G37340" s="1"/>
      <c r="N37340" s="1"/>
    </row>
    <row r="37341" spans="7:14" x14ac:dyDescent="0.3">
      <c r="G37341" s="1"/>
      <c r="N37341" s="1"/>
    </row>
    <row r="37342" spans="7:14" x14ac:dyDescent="0.3">
      <c r="G37342" s="1"/>
      <c r="N37342" s="1"/>
    </row>
    <row r="37343" spans="7:14" x14ac:dyDescent="0.3">
      <c r="G37343" s="1"/>
      <c r="N37343" s="1"/>
    </row>
    <row r="37344" spans="7:14" x14ac:dyDescent="0.3">
      <c r="G37344" s="1"/>
      <c r="N37344" s="1"/>
    </row>
    <row r="37345" spans="7:14" x14ac:dyDescent="0.3">
      <c r="G37345" s="1"/>
      <c r="N37345" s="1"/>
    </row>
    <row r="37346" spans="7:14" x14ac:dyDescent="0.3">
      <c r="G37346" s="1"/>
      <c r="N37346" s="1"/>
    </row>
    <row r="37347" spans="7:14" x14ac:dyDescent="0.3">
      <c r="G37347" s="1"/>
      <c r="N37347" s="1"/>
    </row>
    <row r="37348" spans="7:14" x14ac:dyDescent="0.3">
      <c r="G37348" s="1"/>
      <c r="N37348" s="1"/>
    </row>
    <row r="37349" spans="7:14" x14ac:dyDescent="0.3">
      <c r="G37349" s="1"/>
      <c r="N37349" s="1"/>
    </row>
    <row r="37350" spans="7:14" x14ac:dyDescent="0.3">
      <c r="G37350" s="1"/>
      <c r="N37350" s="1"/>
    </row>
    <row r="37351" spans="7:14" x14ac:dyDescent="0.3">
      <c r="G37351" s="1"/>
      <c r="N37351" s="1"/>
    </row>
    <row r="37352" spans="7:14" x14ac:dyDescent="0.3">
      <c r="G37352" s="1"/>
      <c r="N37352" s="1"/>
    </row>
    <row r="37353" spans="7:14" x14ac:dyDescent="0.3">
      <c r="G37353" s="1"/>
      <c r="N37353" s="1"/>
    </row>
    <row r="37354" spans="7:14" x14ac:dyDescent="0.3">
      <c r="G37354" s="1"/>
      <c r="N37354" s="1"/>
    </row>
    <row r="37355" spans="7:14" x14ac:dyDescent="0.3">
      <c r="G37355" s="1"/>
      <c r="N37355" s="1"/>
    </row>
    <row r="37356" spans="7:14" x14ac:dyDescent="0.3">
      <c r="G37356" s="1"/>
      <c r="N37356" s="1"/>
    </row>
    <row r="37357" spans="7:14" x14ac:dyDescent="0.3">
      <c r="G37357" s="1"/>
      <c r="N37357" s="1"/>
    </row>
    <row r="37358" spans="7:14" x14ac:dyDescent="0.3">
      <c r="G37358" s="1"/>
      <c r="N37358" s="1"/>
    </row>
    <row r="37359" spans="7:14" x14ac:dyDescent="0.3">
      <c r="G37359" s="1"/>
      <c r="N37359" s="1"/>
    </row>
    <row r="37360" spans="7:14" x14ac:dyDescent="0.3">
      <c r="G37360" s="1"/>
      <c r="N37360" s="1"/>
    </row>
    <row r="37361" spans="7:14" x14ac:dyDescent="0.3">
      <c r="G37361" s="1"/>
      <c r="N37361" s="1"/>
    </row>
    <row r="37362" spans="7:14" x14ac:dyDescent="0.3">
      <c r="G37362" s="1"/>
      <c r="N37362" s="1"/>
    </row>
    <row r="37363" spans="7:14" x14ac:dyDescent="0.3">
      <c r="G37363" s="1"/>
      <c r="N37363" s="1"/>
    </row>
    <row r="37364" spans="7:14" x14ac:dyDescent="0.3">
      <c r="G37364" s="1"/>
      <c r="N37364" s="1"/>
    </row>
    <row r="37365" spans="7:14" x14ac:dyDescent="0.3">
      <c r="G37365" s="1"/>
      <c r="N37365" s="1"/>
    </row>
    <row r="37366" spans="7:14" x14ac:dyDescent="0.3">
      <c r="G37366" s="1"/>
      <c r="N37366" s="1"/>
    </row>
    <row r="37367" spans="7:14" x14ac:dyDescent="0.3">
      <c r="G37367" s="1"/>
      <c r="N37367" s="1"/>
    </row>
    <row r="37368" spans="7:14" x14ac:dyDescent="0.3">
      <c r="G37368" s="1"/>
      <c r="N37368" s="1"/>
    </row>
    <row r="37369" spans="7:14" x14ac:dyDescent="0.3">
      <c r="G37369" s="1"/>
      <c r="N37369" s="1"/>
    </row>
    <row r="37370" spans="7:14" x14ac:dyDescent="0.3">
      <c r="G37370" s="1"/>
      <c r="N37370" s="1"/>
    </row>
    <row r="37371" spans="7:14" x14ac:dyDescent="0.3">
      <c r="G37371" s="1"/>
      <c r="N37371" s="1"/>
    </row>
    <row r="37372" spans="7:14" x14ac:dyDescent="0.3">
      <c r="G37372" s="1"/>
      <c r="N37372" s="1"/>
    </row>
    <row r="37373" spans="7:14" x14ac:dyDescent="0.3">
      <c r="G37373" s="1"/>
      <c r="N37373" s="1"/>
    </row>
    <row r="37374" spans="7:14" x14ac:dyDescent="0.3">
      <c r="G37374" s="1"/>
      <c r="N37374" s="1"/>
    </row>
    <row r="37375" spans="7:14" x14ac:dyDescent="0.3">
      <c r="G37375" s="1"/>
      <c r="N37375" s="1"/>
    </row>
    <row r="37376" spans="7:14" x14ac:dyDescent="0.3">
      <c r="G37376" s="1"/>
      <c r="N37376" s="1"/>
    </row>
    <row r="37377" spans="7:14" x14ac:dyDescent="0.3">
      <c r="G37377" s="1"/>
      <c r="N37377" s="1"/>
    </row>
    <row r="37378" spans="7:14" x14ac:dyDescent="0.3">
      <c r="G37378" s="1"/>
      <c r="N37378" s="1"/>
    </row>
    <row r="37379" spans="7:14" x14ac:dyDescent="0.3">
      <c r="G37379" s="1"/>
      <c r="N37379" s="1"/>
    </row>
    <row r="37380" spans="7:14" x14ac:dyDescent="0.3">
      <c r="G37380" s="1"/>
      <c r="N37380" s="1"/>
    </row>
    <row r="37381" spans="7:14" x14ac:dyDescent="0.3">
      <c r="G37381" s="1"/>
      <c r="N37381" s="1"/>
    </row>
    <row r="37382" spans="7:14" x14ac:dyDescent="0.3">
      <c r="G37382" s="1"/>
      <c r="N37382" s="1"/>
    </row>
    <row r="37383" spans="7:14" x14ac:dyDescent="0.3">
      <c r="G37383" s="1"/>
      <c r="N37383" s="1"/>
    </row>
    <row r="37384" spans="7:14" x14ac:dyDescent="0.3">
      <c r="G37384" s="1"/>
      <c r="N37384" s="1"/>
    </row>
    <row r="37385" spans="7:14" x14ac:dyDescent="0.3">
      <c r="G37385" s="1"/>
      <c r="N37385" s="1"/>
    </row>
    <row r="37386" spans="7:14" x14ac:dyDescent="0.3">
      <c r="G37386" s="1"/>
      <c r="N37386" s="1"/>
    </row>
    <row r="37387" spans="7:14" x14ac:dyDescent="0.3">
      <c r="G37387" s="1"/>
      <c r="N37387" s="1"/>
    </row>
    <row r="37388" spans="7:14" x14ac:dyDescent="0.3">
      <c r="G37388" s="1"/>
      <c r="N37388" s="1"/>
    </row>
    <row r="37389" spans="7:14" x14ac:dyDescent="0.3">
      <c r="G37389" s="1"/>
      <c r="N37389" s="1"/>
    </row>
    <row r="37390" spans="7:14" x14ac:dyDescent="0.3">
      <c r="G37390" s="1"/>
      <c r="N37390" s="1"/>
    </row>
    <row r="37391" spans="7:14" x14ac:dyDescent="0.3">
      <c r="G37391" s="1"/>
      <c r="N37391" s="1"/>
    </row>
    <row r="37392" spans="7:14" x14ac:dyDescent="0.3">
      <c r="G37392" s="1"/>
      <c r="N37392" s="1"/>
    </row>
    <row r="37393" spans="7:14" x14ac:dyDescent="0.3">
      <c r="G37393" s="1"/>
      <c r="N37393" s="1"/>
    </row>
    <row r="37394" spans="7:14" x14ac:dyDescent="0.3">
      <c r="G37394" s="1"/>
      <c r="N37394" s="1"/>
    </row>
    <row r="37395" spans="7:14" x14ac:dyDescent="0.3">
      <c r="G37395" s="1"/>
      <c r="N37395" s="1"/>
    </row>
    <row r="37396" spans="7:14" x14ac:dyDescent="0.3">
      <c r="G37396" s="1"/>
      <c r="N37396" s="1"/>
    </row>
    <row r="37397" spans="7:14" x14ac:dyDescent="0.3">
      <c r="G37397" s="1"/>
      <c r="N37397" s="1"/>
    </row>
    <row r="37398" spans="7:14" x14ac:dyDescent="0.3">
      <c r="G37398" s="1"/>
      <c r="N37398" s="1"/>
    </row>
    <row r="37399" spans="7:14" x14ac:dyDescent="0.3">
      <c r="G37399" s="1"/>
      <c r="N37399" s="1"/>
    </row>
    <row r="37400" spans="7:14" x14ac:dyDescent="0.3">
      <c r="G37400" s="1"/>
      <c r="N37400" s="1"/>
    </row>
    <row r="37401" spans="7:14" x14ac:dyDescent="0.3">
      <c r="G37401" s="1"/>
      <c r="N37401" s="1"/>
    </row>
    <row r="37402" spans="7:14" x14ac:dyDescent="0.3">
      <c r="G37402" s="1"/>
      <c r="N37402" s="1"/>
    </row>
    <row r="37403" spans="7:14" x14ac:dyDescent="0.3">
      <c r="G37403" s="1"/>
      <c r="N37403" s="1"/>
    </row>
    <row r="37404" spans="7:14" x14ac:dyDescent="0.3">
      <c r="G37404" s="1"/>
      <c r="N37404" s="1"/>
    </row>
    <row r="37405" spans="7:14" x14ac:dyDescent="0.3">
      <c r="G37405" s="1"/>
      <c r="N37405" s="1"/>
    </row>
    <row r="37406" spans="7:14" x14ac:dyDescent="0.3">
      <c r="G37406" s="1"/>
      <c r="N37406" s="1"/>
    </row>
    <row r="37407" spans="7:14" x14ac:dyDescent="0.3">
      <c r="G37407" s="1"/>
      <c r="N37407" s="1"/>
    </row>
    <row r="37408" spans="7:14" x14ac:dyDescent="0.3">
      <c r="G37408" s="1"/>
      <c r="N37408" s="1"/>
    </row>
    <row r="37409" spans="7:14" x14ac:dyDescent="0.3">
      <c r="G37409" s="1"/>
      <c r="N37409" s="1"/>
    </row>
    <row r="37410" spans="7:14" x14ac:dyDescent="0.3">
      <c r="G37410" s="1"/>
      <c r="N37410" s="1"/>
    </row>
    <row r="37411" spans="7:14" x14ac:dyDescent="0.3">
      <c r="G37411" s="1"/>
      <c r="N37411" s="1"/>
    </row>
    <row r="37412" spans="7:14" x14ac:dyDescent="0.3">
      <c r="G37412" s="1"/>
      <c r="N37412" s="1"/>
    </row>
    <row r="37413" spans="7:14" x14ac:dyDescent="0.3">
      <c r="G37413" s="1"/>
      <c r="N37413" s="1"/>
    </row>
    <row r="37414" spans="7:14" x14ac:dyDescent="0.3">
      <c r="G37414" s="1"/>
      <c r="N37414" s="1"/>
    </row>
    <row r="37415" spans="7:14" x14ac:dyDescent="0.3">
      <c r="G37415" s="1"/>
      <c r="N37415" s="1"/>
    </row>
    <row r="37416" spans="7:14" x14ac:dyDescent="0.3">
      <c r="G37416" s="1"/>
      <c r="N37416" s="1"/>
    </row>
    <row r="37417" spans="7:14" x14ac:dyDescent="0.3">
      <c r="G37417" s="1"/>
      <c r="N37417" s="1"/>
    </row>
    <row r="37418" spans="7:14" x14ac:dyDescent="0.3">
      <c r="G37418" s="1"/>
      <c r="N37418" s="1"/>
    </row>
    <row r="37419" spans="7:14" x14ac:dyDescent="0.3">
      <c r="G37419" s="1"/>
      <c r="N37419" s="1"/>
    </row>
    <row r="37420" spans="7:14" x14ac:dyDescent="0.3">
      <c r="G37420" s="1"/>
      <c r="N37420" s="1"/>
    </row>
    <row r="37421" spans="7:14" x14ac:dyDescent="0.3">
      <c r="G37421" s="1"/>
      <c r="N37421" s="1"/>
    </row>
    <row r="37422" spans="7:14" x14ac:dyDescent="0.3">
      <c r="G37422" s="1"/>
      <c r="N37422" s="1"/>
    </row>
    <row r="37423" spans="7:14" x14ac:dyDescent="0.3">
      <c r="G37423" s="1"/>
      <c r="N37423" s="1"/>
    </row>
    <row r="37424" spans="7:14" x14ac:dyDescent="0.3">
      <c r="G37424" s="1"/>
      <c r="N37424" s="1"/>
    </row>
    <row r="37425" spans="7:14" x14ac:dyDescent="0.3">
      <c r="G37425" s="1"/>
      <c r="N37425" s="1"/>
    </row>
    <row r="37426" spans="7:14" x14ac:dyDescent="0.3">
      <c r="G37426" s="1"/>
      <c r="N37426" s="1"/>
    </row>
    <row r="37427" spans="7:14" x14ac:dyDescent="0.3">
      <c r="G37427" s="1"/>
      <c r="N37427" s="1"/>
    </row>
    <row r="37428" spans="7:14" x14ac:dyDescent="0.3">
      <c r="G37428" s="1"/>
      <c r="N37428" s="1"/>
    </row>
    <row r="37429" spans="7:14" x14ac:dyDescent="0.3">
      <c r="G37429" s="1"/>
      <c r="N37429" s="1"/>
    </row>
    <row r="37430" spans="7:14" x14ac:dyDescent="0.3">
      <c r="G37430" s="1"/>
      <c r="N37430" s="1"/>
    </row>
    <row r="37431" spans="7:14" x14ac:dyDescent="0.3">
      <c r="G37431" s="1"/>
      <c r="N37431" s="1"/>
    </row>
    <row r="37432" spans="7:14" x14ac:dyDescent="0.3">
      <c r="G37432" s="1"/>
      <c r="N37432" s="1"/>
    </row>
    <row r="37433" spans="7:14" x14ac:dyDescent="0.3">
      <c r="G37433" s="1"/>
      <c r="N37433" s="1"/>
    </row>
    <row r="37434" spans="7:14" x14ac:dyDescent="0.3">
      <c r="G37434" s="1"/>
      <c r="N37434" s="1"/>
    </row>
    <row r="37435" spans="7:14" x14ac:dyDescent="0.3">
      <c r="G37435" s="1"/>
      <c r="N37435" s="1"/>
    </row>
    <row r="37436" spans="7:14" x14ac:dyDescent="0.3">
      <c r="G37436" s="1"/>
      <c r="N37436" s="1"/>
    </row>
    <row r="37437" spans="7:14" x14ac:dyDescent="0.3">
      <c r="G37437" s="1"/>
      <c r="N37437" s="1"/>
    </row>
    <row r="37438" spans="7:14" x14ac:dyDescent="0.3">
      <c r="G37438" s="1"/>
      <c r="N37438" s="1"/>
    </row>
    <row r="37439" spans="7:14" x14ac:dyDescent="0.3">
      <c r="G37439" s="1"/>
      <c r="N37439" s="1"/>
    </row>
    <row r="37440" spans="7:14" x14ac:dyDescent="0.3">
      <c r="G37440" s="1"/>
      <c r="N37440" s="1"/>
    </row>
    <row r="37441" spans="7:14" x14ac:dyDescent="0.3">
      <c r="G37441" s="1"/>
      <c r="N37441" s="1"/>
    </row>
    <row r="37442" spans="7:14" x14ac:dyDescent="0.3">
      <c r="G37442" s="1"/>
      <c r="N37442" s="1"/>
    </row>
    <row r="37443" spans="7:14" x14ac:dyDescent="0.3">
      <c r="G37443" s="1"/>
      <c r="N37443" s="1"/>
    </row>
    <row r="37444" spans="7:14" x14ac:dyDescent="0.3">
      <c r="G37444" s="1"/>
      <c r="N37444" s="1"/>
    </row>
    <row r="37445" spans="7:14" x14ac:dyDescent="0.3">
      <c r="G37445" s="1"/>
      <c r="N37445" s="1"/>
    </row>
    <row r="37446" spans="7:14" x14ac:dyDescent="0.3">
      <c r="G37446" s="1"/>
      <c r="N37446" s="1"/>
    </row>
    <row r="37447" spans="7:14" x14ac:dyDescent="0.3">
      <c r="G37447" s="1"/>
      <c r="N37447" s="1"/>
    </row>
    <row r="37448" spans="7:14" x14ac:dyDescent="0.3">
      <c r="G37448" s="1"/>
      <c r="N37448" s="1"/>
    </row>
    <row r="37449" spans="7:14" x14ac:dyDescent="0.3">
      <c r="G37449" s="1"/>
      <c r="N37449" s="1"/>
    </row>
    <row r="37450" spans="7:14" x14ac:dyDescent="0.3">
      <c r="G37450" s="1"/>
      <c r="N37450" s="1"/>
    </row>
    <row r="37451" spans="7:14" x14ac:dyDescent="0.3">
      <c r="G37451" s="1"/>
      <c r="N37451" s="1"/>
    </row>
    <row r="37452" spans="7:14" x14ac:dyDescent="0.3">
      <c r="G37452" s="1"/>
      <c r="N37452" s="1"/>
    </row>
    <row r="37453" spans="7:14" x14ac:dyDescent="0.3">
      <c r="G37453" s="1"/>
      <c r="N37453" s="1"/>
    </row>
    <row r="37454" spans="7:14" x14ac:dyDescent="0.3">
      <c r="G37454" s="1"/>
      <c r="N37454" s="1"/>
    </row>
    <row r="37455" spans="7:14" x14ac:dyDescent="0.3">
      <c r="G37455" s="1"/>
      <c r="N37455" s="1"/>
    </row>
    <row r="37456" spans="7:14" x14ac:dyDescent="0.3">
      <c r="G37456" s="1"/>
      <c r="N37456" s="1"/>
    </row>
    <row r="37457" spans="7:14" x14ac:dyDescent="0.3">
      <c r="G37457" s="1"/>
      <c r="N37457" s="1"/>
    </row>
    <row r="37458" spans="7:14" x14ac:dyDescent="0.3">
      <c r="G37458" s="1"/>
      <c r="N37458" s="1"/>
    </row>
    <row r="37459" spans="7:14" x14ac:dyDescent="0.3">
      <c r="G37459" s="1"/>
      <c r="N37459" s="1"/>
    </row>
    <row r="37460" spans="7:14" x14ac:dyDescent="0.3">
      <c r="G37460" s="1"/>
      <c r="N37460" s="1"/>
    </row>
    <row r="37461" spans="7:14" x14ac:dyDescent="0.3">
      <c r="G37461" s="1"/>
      <c r="N37461" s="1"/>
    </row>
    <row r="37462" spans="7:14" x14ac:dyDescent="0.3">
      <c r="G37462" s="1"/>
      <c r="N37462" s="1"/>
    </row>
    <row r="37463" spans="7:14" x14ac:dyDescent="0.3">
      <c r="G37463" s="1"/>
      <c r="N37463" s="1"/>
    </row>
    <row r="37464" spans="7:14" x14ac:dyDescent="0.3">
      <c r="G37464" s="1"/>
      <c r="N37464" s="1"/>
    </row>
    <row r="37465" spans="7:14" x14ac:dyDescent="0.3">
      <c r="G37465" s="1"/>
      <c r="N37465" s="1"/>
    </row>
    <row r="37466" spans="7:14" x14ac:dyDescent="0.3">
      <c r="G37466" s="1"/>
      <c r="N37466" s="1"/>
    </row>
    <row r="37467" spans="7:14" x14ac:dyDescent="0.3">
      <c r="G37467" s="1"/>
      <c r="N37467" s="1"/>
    </row>
    <row r="37468" spans="7:14" x14ac:dyDescent="0.3">
      <c r="G37468" s="1"/>
      <c r="N37468" s="1"/>
    </row>
    <row r="37469" spans="7:14" x14ac:dyDescent="0.3">
      <c r="G37469" s="1"/>
      <c r="N37469" s="1"/>
    </row>
    <row r="37470" spans="7:14" x14ac:dyDescent="0.3">
      <c r="G37470" s="1"/>
      <c r="N37470" s="1"/>
    </row>
    <row r="37471" spans="7:14" x14ac:dyDescent="0.3">
      <c r="G37471" s="1"/>
      <c r="N37471" s="1"/>
    </row>
    <row r="37472" spans="7:14" x14ac:dyDescent="0.3">
      <c r="G37472" s="1"/>
      <c r="N37472" s="1"/>
    </row>
    <row r="37473" spans="7:14" x14ac:dyDescent="0.3">
      <c r="G37473" s="1"/>
      <c r="N37473" s="1"/>
    </row>
    <row r="37474" spans="7:14" x14ac:dyDescent="0.3">
      <c r="G37474" s="1"/>
      <c r="N37474" s="1"/>
    </row>
    <row r="37475" spans="7:14" x14ac:dyDescent="0.3">
      <c r="G37475" s="1"/>
      <c r="N37475" s="1"/>
    </row>
    <row r="37476" spans="7:14" x14ac:dyDescent="0.3">
      <c r="G37476" s="1"/>
      <c r="N37476" s="1"/>
    </row>
    <row r="37477" spans="7:14" x14ac:dyDescent="0.3">
      <c r="G37477" s="1"/>
      <c r="N37477" s="1"/>
    </row>
    <row r="37478" spans="7:14" x14ac:dyDescent="0.3">
      <c r="G37478" s="1"/>
      <c r="N37478" s="1"/>
    </row>
    <row r="37479" spans="7:14" x14ac:dyDescent="0.3">
      <c r="G37479" s="1"/>
      <c r="N37479" s="1"/>
    </row>
    <row r="37480" spans="7:14" x14ac:dyDescent="0.3">
      <c r="G37480" s="1"/>
      <c r="N37480" s="1"/>
    </row>
    <row r="37481" spans="7:14" x14ac:dyDescent="0.3">
      <c r="G37481" s="1"/>
      <c r="N37481" s="1"/>
    </row>
    <row r="37482" spans="7:14" x14ac:dyDescent="0.3">
      <c r="G37482" s="1"/>
      <c r="N37482" s="1"/>
    </row>
    <row r="37483" spans="7:14" x14ac:dyDescent="0.3">
      <c r="G37483" s="1"/>
      <c r="N37483" s="1"/>
    </row>
    <row r="37484" spans="7:14" x14ac:dyDescent="0.3">
      <c r="G37484" s="1"/>
      <c r="N37484" s="1"/>
    </row>
    <row r="37485" spans="7:14" x14ac:dyDescent="0.3">
      <c r="G37485" s="1"/>
      <c r="N37485" s="1"/>
    </row>
    <row r="37486" spans="7:14" x14ac:dyDescent="0.3">
      <c r="G37486" s="1"/>
      <c r="N37486" s="1"/>
    </row>
    <row r="37487" spans="7:14" x14ac:dyDescent="0.3">
      <c r="G37487" s="1"/>
      <c r="N37487" s="1"/>
    </row>
    <row r="37488" spans="7:14" x14ac:dyDescent="0.3">
      <c r="G37488" s="1"/>
      <c r="N37488" s="1"/>
    </row>
    <row r="37489" spans="7:14" x14ac:dyDescent="0.3">
      <c r="G37489" s="1"/>
      <c r="N37489" s="1"/>
    </row>
    <row r="37490" spans="7:14" x14ac:dyDescent="0.3">
      <c r="G37490" s="1"/>
      <c r="N37490" s="1"/>
    </row>
    <row r="37491" spans="7:14" x14ac:dyDescent="0.3">
      <c r="G37491" s="1"/>
      <c r="N37491" s="1"/>
    </row>
    <row r="37492" spans="7:14" x14ac:dyDescent="0.3">
      <c r="G37492" s="1"/>
      <c r="N37492" s="1"/>
    </row>
    <row r="37493" spans="7:14" x14ac:dyDescent="0.3">
      <c r="G37493" s="1"/>
      <c r="N37493" s="1"/>
    </row>
    <row r="37494" spans="7:14" x14ac:dyDescent="0.3">
      <c r="G37494" s="1"/>
      <c r="N37494" s="1"/>
    </row>
    <row r="37495" spans="7:14" x14ac:dyDescent="0.3">
      <c r="G37495" s="1"/>
      <c r="N37495" s="1"/>
    </row>
    <row r="37496" spans="7:14" x14ac:dyDescent="0.3">
      <c r="G37496" s="1"/>
      <c r="N37496" s="1"/>
    </row>
    <row r="37497" spans="7:14" x14ac:dyDescent="0.3">
      <c r="G37497" s="1"/>
      <c r="N37497" s="1"/>
    </row>
    <row r="37498" spans="7:14" x14ac:dyDescent="0.3">
      <c r="G37498" s="1"/>
      <c r="N37498" s="1"/>
    </row>
    <row r="37499" spans="7:14" x14ac:dyDescent="0.3">
      <c r="G37499" s="1"/>
      <c r="N37499" s="1"/>
    </row>
    <row r="37500" spans="7:14" x14ac:dyDescent="0.3">
      <c r="G37500" s="1"/>
      <c r="N37500" s="1"/>
    </row>
    <row r="37501" spans="7:14" x14ac:dyDescent="0.3">
      <c r="G37501" s="1"/>
      <c r="N37501" s="1"/>
    </row>
    <row r="37502" spans="7:14" x14ac:dyDescent="0.3">
      <c r="G37502" s="1"/>
      <c r="N37502" s="1"/>
    </row>
    <row r="37503" spans="7:14" x14ac:dyDescent="0.3">
      <c r="G37503" s="1"/>
      <c r="N37503" s="1"/>
    </row>
    <row r="37504" spans="7:14" x14ac:dyDescent="0.3">
      <c r="G37504" s="1"/>
      <c r="N37504" s="1"/>
    </row>
    <row r="37505" spans="7:14" x14ac:dyDescent="0.3">
      <c r="G37505" s="1"/>
      <c r="N37505" s="1"/>
    </row>
    <row r="37506" spans="7:14" x14ac:dyDescent="0.3">
      <c r="G37506" s="1"/>
      <c r="N37506" s="1"/>
    </row>
    <row r="37507" spans="7:14" x14ac:dyDescent="0.3">
      <c r="G37507" s="1"/>
      <c r="N37507" s="1"/>
    </row>
    <row r="37508" spans="7:14" x14ac:dyDescent="0.3">
      <c r="G37508" s="1"/>
      <c r="N37508" s="1"/>
    </row>
    <row r="37509" spans="7:14" x14ac:dyDescent="0.3">
      <c r="G37509" s="1"/>
      <c r="N37509" s="1"/>
    </row>
    <row r="37510" spans="7:14" x14ac:dyDescent="0.3">
      <c r="G37510" s="1"/>
      <c r="N37510" s="1"/>
    </row>
    <row r="37511" spans="7:14" x14ac:dyDescent="0.3">
      <c r="G37511" s="1"/>
      <c r="N37511" s="1"/>
    </row>
    <row r="37512" spans="7:14" x14ac:dyDescent="0.3">
      <c r="G37512" s="1"/>
      <c r="N37512" s="1"/>
    </row>
    <row r="37513" spans="7:14" x14ac:dyDescent="0.3">
      <c r="G37513" s="1"/>
      <c r="N37513" s="1"/>
    </row>
    <row r="37514" spans="7:14" x14ac:dyDescent="0.3">
      <c r="G37514" s="1"/>
      <c r="N37514" s="1"/>
    </row>
    <row r="37515" spans="7:14" x14ac:dyDescent="0.3">
      <c r="G37515" s="1"/>
      <c r="N37515" s="1"/>
    </row>
    <row r="37516" spans="7:14" x14ac:dyDescent="0.3">
      <c r="G37516" s="1"/>
      <c r="N37516" s="1"/>
    </row>
    <row r="37517" spans="7:14" x14ac:dyDescent="0.3">
      <c r="G37517" s="1"/>
      <c r="N37517" s="1"/>
    </row>
    <row r="37518" spans="7:14" x14ac:dyDescent="0.3">
      <c r="G37518" s="1"/>
      <c r="N37518" s="1"/>
    </row>
    <row r="37519" spans="7:14" x14ac:dyDescent="0.3">
      <c r="G37519" s="1"/>
      <c r="N37519" s="1"/>
    </row>
    <row r="37520" spans="7:14" x14ac:dyDescent="0.3">
      <c r="G37520" s="1"/>
      <c r="N37520" s="1"/>
    </row>
    <row r="37521" spans="7:14" x14ac:dyDescent="0.3">
      <c r="G37521" s="1"/>
      <c r="N37521" s="1"/>
    </row>
    <row r="37522" spans="7:14" x14ac:dyDescent="0.3">
      <c r="G37522" s="1"/>
      <c r="N37522" s="1"/>
    </row>
    <row r="37523" spans="7:14" x14ac:dyDescent="0.3">
      <c r="G37523" s="1"/>
      <c r="N37523" s="1"/>
    </row>
    <row r="37524" spans="7:14" x14ac:dyDescent="0.3">
      <c r="G37524" s="1"/>
      <c r="N37524" s="1"/>
    </row>
    <row r="37525" spans="7:14" x14ac:dyDescent="0.3">
      <c r="G37525" s="1"/>
      <c r="N37525" s="1"/>
    </row>
    <row r="37526" spans="7:14" x14ac:dyDescent="0.3">
      <c r="G37526" s="1"/>
      <c r="N37526" s="1"/>
    </row>
    <row r="37527" spans="7:14" x14ac:dyDescent="0.3">
      <c r="G37527" s="1"/>
      <c r="N37527" s="1"/>
    </row>
    <row r="37528" spans="7:14" x14ac:dyDescent="0.3">
      <c r="G37528" s="1"/>
      <c r="N37528" s="1"/>
    </row>
    <row r="37529" spans="7:14" x14ac:dyDescent="0.3">
      <c r="G37529" s="1"/>
      <c r="N37529" s="1"/>
    </row>
    <row r="37530" spans="7:14" x14ac:dyDescent="0.3">
      <c r="G37530" s="1"/>
      <c r="N37530" s="1"/>
    </row>
    <row r="37531" spans="7:14" x14ac:dyDescent="0.3">
      <c r="G37531" s="1"/>
      <c r="N37531" s="1"/>
    </row>
    <row r="37532" spans="7:14" x14ac:dyDescent="0.3">
      <c r="G37532" s="1"/>
      <c r="N37532" s="1"/>
    </row>
    <row r="37533" spans="7:14" x14ac:dyDescent="0.3">
      <c r="G37533" s="1"/>
      <c r="N37533" s="1"/>
    </row>
    <row r="37534" spans="7:14" x14ac:dyDescent="0.3">
      <c r="G37534" s="1"/>
      <c r="N37534" s="1"/>
    </row>
    <row r="37535" spans="7:14" x14ac:dyDescent="0.3">
      <c r="G37535" s="1"/>
      <c r="N37535" s="1"/>
    </row>
    <row r="37536" spans="7:14" x14ac:dyDescent="0.3">
      <c r="G37536" s="1"/>
      <c r="N37536" s="1"/>
    </row>
    <row r="37537" spans="7:14" x14ac:dyDescent="0.3">
      <c r="G37537" s="1"/>
      <c r="N37537" s="1"/>
    </row>
    <row r="37538" spans="7:14" x14ac:dyDescent="0.3">
      <c r="G37538" s="1"/>
      <c r="N37538" s="1"/>
    </row>
    <row r="37539" spans="7:14" x14ac:dyDescent="0.3">
      <c r="G37539" s="1"/>
      <c r="N37539" s="1"/>
    </row>
    <row r="37540" spans="7:14" x14ac:dyDescent="0.3">
      <c r="G37540" s="1"/>
      <c r="N37540" s="1"/>
    </row>
    <row r="37541" spans="7:14" x14ac:dyDescent="0.3">
      <c r="G37541" s="1"/>
      <c r="N37541" s="1"/>
    </row>
    <row r="37542" spans="7:14" x14ac:dyDescent="0.3">
      <c r="G37542" s="1"/>
      <c r="N37542" s="1"/>
    </row>
    <row r="37543" spans="7:14" x14ac:dyDescent="0.3">
      <c r="G37543" s="1"/>
      <c r="N37543" s="1"/>
    </row>
    <row r="37544" spans="7:14" x14ac:dyDescent="0.3">
      <c r="G37544" s="1"/>
      <c r="N37544" s="1"/>
    </row>
    <row r="37545" spans="7:14" x14ac:dyDescent="0.3">
      <c r="G37545" s="1"/>
      <c r="N37545" s="1"/>
    </row>
    <row r="37546" spans="7:14" x14ac:dyDescent="0.3">
      <c r="G37546" s="1"/>
      <c r="N37546" s="1"/>
    </row>
    <row r="37547" spans="7:14" x14ac:dyDescent="0.3">
      <c r="G37547" s="1"/>
      <c r="N37547" s="1"/>
    </row>
    <row r="37548" spans="7:14" x14ac:dyDescent="0.3">
      <c r="G37548" s="1"/>
      <c r="N37548" s="1"/>
    </row>
    <row r="37549" spans="7:14" x14ac:dyDescent="0.3">
      <c r="G37549" s="1"/>
      <c r="N37549" s="1"/>
    </row>
    <row r="37550" spans="7:14" x14ac:dyDescent="0.3">
      <c r="G37550" s="1"/>
      <c r="N37550" s="1"/>
    </row>
    <row r="37551" spans="7:14" x14ac:dyDescent="0.3">
      <c r="G37551" s="1"/>
      <c r="N37551" s="1"/>
    </row>
    <row r="37552" spans="7:14" x14ac:dyDescent="0.3">
      <c r="G37552" s="1"/>
      <c r="N37552" s="1"/>
    </row>
    <row r="37553" spans="7:14" x14ac:dyDescent="0.3">
      <c r="G37553" s="1"/>
      <c r="N37553" s="1"/>
    </row>
    <row r="37554" spans="7:14" x14ac:dyDescent="0.3">
      <c r="G37554" s="1"/>
      <c r="N37554" s="1"/>
    </row>
    <row r="37555" spans="7:14" x14ac:dyDescent="0.3">
      <c r="G37555" s="1"/>
      <c r="N37555" s="1"/>
    </row>
    <row r="37556" spans="7:14" x14ac:dyDescent="0.3">
      <c r="G37556" s="1"/>
      <c r="N37556" s="1"/>
    </row>
    <row r="37557" spans="7:14" x14ac:dyDescent="0.3">
      <c r="G37557" s="1"/>
      <c r="N37557" s="1"/>
    </row>
    <row r="37558" spans="7:14" x14ac:dyDescent="0.3">
      <c r="G37558" s="1"/>
      <c r="N37558" s="1"/>
    </row>
    <row r="37559" spans="7:14" x14ac:dyDescent="0.3">
      <c r="G37559" s="1"/>
      <c r="N37559" s="1"/>
    </row>
    <row r="37560" spans="7:14" x14ac:dyDescent="0.3">
      <c r="G37560" s="1"/>
      <c r="N37560" s="1"/>
    </row>
    <row r="37561" spans="7:14" x14ac:dyDescent="0.3">
      <c r="G37561" s="1"/>
      <c r="N37561" s="1"/>
    </row>
    <row r="37562" spans="7:14" x14ac:dyDescent="0.3">
      <c r="G37562" s="1"/>
      <c r="N37562" s="1"/>
    </row>
    <row r="37563" spans="7:14" x14ac:dyDescent="0.3">
      <c r="G37563" s="1"/>
      <c r="N37563" s="1"/>
    </row>
    <row r="37564" spans="7:14" x14ac:dyDescent="0.3">
      <c r="G37564" s="1"/>
      <c r="N37564" s="1"/>
    </row>
    <row r="37565" spans="7:14" x14ac:dyDescent="0.3">
      <c r="G37565" s="1"/>
      <c r="N37565" s="1"/>
    </row>
    <row r="37566" spans="7:14" x14ac:dyDescent="0.3">
      <c r="G37566" s="1"/>
      <c r="N37566" s="1"/>
    </row>
    <row r="37567" spans="7:14" x14ac:dyDescent="0.3">
      <c r="G37567" s="1"/>
      <c r="N37567" s="1"/>
    </row>
    <row r="37568" spans="7:14" x14ac:dyDescent="0.3">
      <c r="G37568" s="1"/>
      <c r="N37568" s="1"/>
    </row>
    <row r="37569" spans="7:14" x14ac:dyDescent="0.3">
      <c r="G37569" s="1"/>
      <c r="N37569" s="1"/>
    </row>
    <row r="37570" spans="7:14" x14ac:dyDescent="0.3">
      <c r="G37570" s="1"/>
      <c r="N37570" s="1"/>
    </row>
    <row r="37571" spans="7:14" x14ac:dyDescent="0.3">
      <c r="G37571" s="1"/>
      <c r="N37571" s="1"/>
    </row>
    <row r="37572" spans="7:14" x14ac:dyDescent="0.3">
      <c r="G37572" s="1"/>
      <c r="N37572" s="1"/>
    </row>
    <row r="37573" spans="7:14" x14ac:dyDescent="0.3">
      <c r="G37573" s="1"/>
      <c r="N37573" s="1"/>
    </row>
    <row r="37574" spans="7:14" x14ac:dyDescent="0.3">
      <c r="G37574" s="1"/>
      <c r="N37574" s="1"/>
    </row>
    <row r="37575" spans="7:14" x14ac:dyDescent="0.3">
      <c r="G37575" s="1"/>
      <c r="N37575" s="1"/>
    </row>
    <row r="37576" spans="7:14" x14ac:dyDescent="0.3">
      <c r="G37576" s="1"/>
      <c r="N37576" s="1"/>
    </row>
    <row r="37577" spans="7:14" x14ac:dyDescent="0.3">
      <c r="G37577" s="1"/>
      <c r="N37577" s="1"/>
    </row>
    <row r="37578" spans="7:14" x14ac:dyDescent="0.3">
      <c r="G37578" s="1"/>
      <c r="N37578" s="1"/>
    </row>
    <row r="37579" spans="7:14" x14ac:dyDescent="0.3">
      <c r="G37579" s="1"/>
      <c r="N37579" s="1"/>
    </row>
    <row r="37580" spans="7:14" x14ac:dyDescent="0.3">
      <c r="G37580" s="1"/>
      <c r="N37580" s="1"/>
    </row>
    <row r="37581" spans="7:14" x14ac:dyDescent="0.3">
      <c r="G37581" s="1"/>
      <c r="N37581" s="1"/>
    </row>
    <row r="37582" spans="7:14" x14ac:dyDescent="0.3">
      <c r="G37582" s="1"/>
      <c r="N37582" s="1"/>
    </row>
    <row r="37583" spans="7:14" x14ac:dyDescent="0.3">
      <c r="G37583" s="1"/>
      <c r="N37583" s="1"/>
    </row>
    <row r="37584" spans="7:14" x14ac:dyDescent="0.3">
      <c r="G37584" s="1"/>
      <c r="N37584" s="1"/>
    </row>
    <row r="37585" spans="7:14" x14ac:dyDescent="0.3">
      <c r="G37585" s="1"/>
      <c r="N37585" s="1"/>
    </row>
    <row r="37586" spans="7:14" x14ac:dyDescent="0.3">
      <c r="G37586" s="1"/>
      <c r="N37586" s="1"/>
    </row>
    <row r="37587" spans="7:14" x14ac:dyDescent="0.3">
      <c r="G37587" s="1"/>
      <c r="N37587" s="1"/>
    </row>
    <row r="37588" spans="7:14" x14ac:dyDescent="0.3">
      <c r="G37588" s="1"/>
      <c r="N37588" s="1"/>
    </row>
    <row r="37589" spans="7:14" x14ac:dyDescent="0.3">
      <c r="G37589" s="1"/>
      <c r="N37589" s="1"/>
    </row>
    <row r="37590" spans="7:14" x14ac:dyDescent="0.3">
      <c r="G37590" s="1"/>
      <c r="N37590" s="1"/>
    </row>
    <row r="37591" spans="7:14" x14ac:dyDescent="0.3">
      <c r="G37591" s="1"/>
      <c r="N37591" s="1"/>
    </row>
    <row r="37592" spans="7:14" x14ac:dyDescent="0.3">
      <c r="G37592" s="1"/>
      <c r="N37592" s="1"/>
    </row>
    <row r="37593" spans="7:14" x14ac:dyDescent="0.3">
      <c r="G37593" s="1"/>
      <c r="N37593" s="1"/>
    </row>
    <row r="37594" spans="7:14" x14ac:dyDescent="0.3">
      <c r="G37594" s="1"/>
      <c r="N37594" s="1"/>
    </row>
    <row r="37595" spans="7:14" x14ac:dyDescent="0.3">
      <c r="G37595" s="1"/>
      <c r="N37595" s="1"/>
    </row>
    <row r="37596" spans="7:14" x14ac:dyDescent="0.3">
      <c r="G37596" s="1"/>
      <c r="N37596" s="1"/>
    </row>
    <row r="37597" spans="7:14" x14ac:dyDescent="0.3">
      <c r="G37597" s="1"/>
      <c r="N37597" s="1"/>
    </row>
    <row r="37598" spans="7:14" x14ac:dyDescent="0.3">
      <c r="G37598" s="1"/>
      <c r="N37598" s="1"/>
    </row>
    <row r="37599" spans="7:14" x14ac:dyDescent="0.3">
      <c r="G37599" s="1"/>
      <c r="N37599" s="1"/>
    </row>
    <row r="37600" spans="7:14" x14ac:dyDescent="0.3">
      <c r="G37600" s="1"/>
      <c r="N37600" s="1"/>
    </row>
    <row r="37601" spans="7:14" x14ac:dyDescent="0.3">
      <c r="G37601" s="1"/>
      <c r="N37601" s="1"/>
    </row>
    <row r="37602" spans="7:14" x14ac:dyDescent="0.3">
      <c r="G37602" s="1"/>
      <c r="N37602" s="1"/>
    </row>
    <row r="37603" spans="7:14" x14ac:dyDescent="0.3">
      <c r="G37603" s="1"/>
      <c r="N37603" s="1"/>
    </row>
    <row r="37604" spans="7:14" x14ac:dyDescent="0.3">
      <c r="G37604" s="1"/>
      <c r="N37604" s="1"/>
    </row>
    <row r="37605" spans="7:14" x14ac:dyDescent="0.3">
      <c r="G37605" s="1"/>
      <c r="N37605" s="1"/>
    </row>
    <row r="37606" spans="7:14" x14ac:dyDescent="0.3">
      <c r="G37606" s="1"/>
      <c r="N37606" s="1"/>
    </row>
    <row r="37607" spans="7:14" x14ac:dyDescent="0.3">
      <c r="G37607" s="1"/>
      <c r="N37607" s="1"/>
    </row>
    <row r="37608" spans="7:14" x14ac:dyDescent="0.3">
      <c r="G37608" s="1"/>
      <c r="N37608" s="1"/>
    </row>
    <row r="37609" spans="7:14" x14ac:dyDescent="0.3">
      <c r="G37609" s="1"/>
      <c r="N37609" s="1"/>
    </row>
    <row r="37610" spans="7:14" x14ac:dyDescent="0.3">
      <c r="G37610" s="1"/>
      <c r="N37610" s="1"/>
    </row>
    <row r="37611" spans="7:14" x14ac:dyDescent="0.3">
      <c r="G37611" s="1"/>
      <c r="N37611" s="1"/>
    </row>
    <row r="37612" spans="7:14" x14ac:dyDescent="0.3">
      <c r="G37612" s="1"/>
      <c r="N37612" s="1"/>
    </row>
    <row r="37613" spans="7:14" x14ac:dyDescent="0.3">
      <c r="G37613" s="1"/>
      <c r="N37613" s="1"/>
    </row>
    <row r="37614" spans="7:14" x14ac:dyDescent="0.3">
      <c r="G37614" s="1"/>
      <c r="N37614" s="1"/>
    </row>
    <row r="37615" spans="7:14" x14ac:dyDescent="0.3">
      <c r="G37615" s="1"/>
      <c r="N37615" s="1"/>
    </row>
    <row r="37616" spans="7:14" x14ac:dyDescent="0.3">
      <c r="G37616" s="1"/>
      <c r="N37616" s="1"/>
    </row>
    <row r="37617" spans="7:14" x14ac:dyDescent="0.3">
      <c r="G37617" s="1"/>
      <c r="N37617" s="1"/>
    </row>
    <row r="37618" spans="7:14" x14ac:dyDescent="0.3">
      <c r="G37618" s="1"/>
      <c r="N37618" s="1"/>
    </row>
    <row r="37619" spans="7:14" x14ac:dyDescent="0.3">
      <c r="G37619" s="1"/>
      <c r="N37619" s="1"/>
    </row>
    <row r="37620" spans="7:14" x14ac:dyDescent="0.3">
      <c r="G37620" s="1"/>
      <c r="N37620" s="1"/>
    </row>
    <row r="37621" spans="7:14" x14ac:dyDescent="0.3">
      <c r="G37621" s="1"/>
      <c r="N37621" s="1"/>
    </row>
    <row r="37622" spans="7:14" x14ac:dyDescent="0.3">
      <c r="G37622" s="1"/>
      <c r="N37622" s="1"/>
    </row>
    <row r="37623" spans="7:14" x14ac:dyDescent="0.3">
      <c r="G37623" s="1"/>
      <c r="N37623" s="1"/>
    </row>
    <row r="37624" spans="7:14" x14ac:dyDescent="0.3">
      <c r="G37624" s="1"/>
      <c r="N37624" s="1"/>
    </row>
    <row r="37625" spans="7:14" x14ac:dyDescent="0.3">
      <c r="G37625" s="1"/>
      <c r="N37625" s="1"/>
    </row>
    <row r="37626" spans="7:14" x14ac:dyDescent="0.3">
      <c r="G37626" s="1"/>
      <c r="N37626" s="1"/>
    </row>
    <row r="37627" spans="7:14" x14ac:dyDescent="0.3">
      <c r="G37627" s="1"/>
      <c r="N37627" s="1"/>
    </row>
    <row r="37628" spans="7:14" x14ac:dyDescent="0.3">
      <c r="G37628" s="1"/>
      <c r="N37628" s="1"/>
    </row>
    <row r="37629" spans="7:14" x14ac:dyDescent="0.3">
      <c r="G37629" s="1"/>
      <c r="N37629" s="1"/>
    </row>
    <row r="37630" spans="7:14" x14ac:dyDescent="0.3">
      <c r="G37630" s="1"/>
      <c r="N37630" s="1"/>
    </row>
    <row r="37631" spans="7:14" x14ac:dyDescent="0.3">
      <c r="G37631" s="1"/>
      <c r="N37631" s="1"/>
    </row>
    <row r="37632" spans="7:14" x14ac:dyDescent="0.3">
      <c r="G37632" s="1"/>
      <c r="N37632" s="1"/>
    </row>
    <row r="37633" spans="7:14" x14ac:dyDescent="0.3">
      <c r="G37633" s="1"/>
      <c r="N37633" s="1"/>
    </row>
    <row r="37634" spans="7:14" x14ac:dyDescent="0.3">
      <c r="G37634" s="1"/>
      <c r="N37634" s="1"/>
    </row>
    <row r="37635" spans="7:14" x14ac:dyDescent="0.3">
      <c r="G37635" s="1"/>
      <c r="N37635" s="1"/>
    </row>
    <row r="37636" spans="7:14" x14ac:dyDescent="0.3">
      <c r="G37636" s="1"/>
      <c r="N37636" s="1"/>
    </row>
    <row r="37637" spans="7:14" x14ac:dyDescent="0.3">
      <c r="G37637" s="1"/>
      <c r="N37637" s="1"/>
    </row>
    <row r="37638" spans="7:14" x14ac:dyDescent="0.3">
      <c r="G37638" s="1"/>
      <c r="N37638" s="1"/>
    </row>
    <row r="37639" spans="7:14" x14ac:dyDescent="0.3">
      <c r="G37639" s="1"/>
      <c r="N37639" s="1"/>
    </row>
    <row r="37640" spans="7:14" x14ac:dyDescent="0.3">
      <c r="G37640" s="1"/>
      <c r="N37640" s="1"/>
    </row>
    <row r="37641" spans="7:14" x14ac:dyDescent="0.3">
      <c r="G37641" s="1"/>
      <c r="N37641" s="1"/>
    </row>
    <row r="37642" spans="7:14" x14ac:dyDescent="0.3">
      <c r="G37642" s="1"/>
      <c r="N37642" s="1"/>
    </row>
    <row r="37643" spans="7:14" x14ac:dyDescent="0.3">
      <c r="G37643" s="1"/>
      <c r="N37643" s="1"/>
    </row>
    <row r="37644" spans="7:14" x14ac:dyDescent="0.3">
      <c r="G37644" s="1"/>
      <c r="N37644" s="1"/>
    </row>
    <row r="37645" spans="7:14" x14ac:dyDescent="0.3">
      <c r="G37645" s="1"/>
      <c r="N37645" s="1"/>
    </row>
    <row r="37646" spans="7:14" x14ac:dyDescent="0.3">
      <c r="G37646" s="1"/>
      <c r="N37646" s="1"/>
    </row>
    <row r="37647" spans="7:14" x14ac:dyDescent="0.3">
      <c r="G37647" s="1"/>
      <c r="N37647" s="1"/>
    </row>
    <row r="37648" spans="7:14" x14ac:dyDescent="0.3">
      <c r="G37648" s="1"/>
      <c r="N37648" s="1"/>
    </row>
    <row r="37649" spans="7:14" x14ac:dyDescent="0.3">
      <c r="G37649" s="1"/>
      <c r="N37649" s="1"/>
    </row>
    <row r="37650" spans="7:14" x14ac:dyDescent="0.3">
      <c r="G37650" s="1"/>
      <c r="N37650" s="1"/>
    </row>
    <row r="37651" spans="7:14" x14ac:dyDescent="0.3">
      <c r="G37651" s="1"/>
      <c r="N37651" s="1"/>
    </row>
    <row r="37652" spans="7:14" x14ac:dyDescent="0.3">
      <c r="G37652" s="1"/>
      <c r="N37652" s="1"/>
    </row>
    <row r="37653" spans="7:14" x14ac:dyDescent="0.3">
      <c r="G37653" s="1"/>
      <c r="N37653" s="1"/>
    </row>
    <row r="37654" spans="7:14" x14ac:dyDescent="0.3">
      <c r="G37654" s="1"/>
      <c r="N37654" s="1"/>
    </row>
    <row r="37655" spans="7:14" x14ac:dyDescent="0.3">
      <c r="G37655" s="1"/>
      <c r="N37655" s="1"/>
    </row>
    <row r="37656" spans="7:14" x14ac:dyDescent="0.3">
      <c r="G37656" s="1"/>
      <c r="N37656" s="1"/>
    </row>
    <row r="37657" spans="7:14" x14ac:dyDescent="0.3">
      <c r="G37657" s="1"/>
      <c r="N37657" s="1"/>
    </row>
    <row r="37658" spans="7:14" x14ac:dyDescent="0.3">
      <c r="G37658" s="1"/>
      <c r="N37658" s="1"/>
    </row>
    <row r="37659" spans="7:14" x14ac:dyDescent="0.3">
      <c r="G37659" s="1"/>
      <c r="N37659" s="1"/>
    </row>
    <row r="37660" spans="7:14" x14ac:dyDescent="0.3">
      <c r="G37660" s="1"/>
      <c r="N37660" s="1"/>
    </row>
    <row r="37661" spans="7:14" x14ac:dyDescent="0.3">
      <c r="G37661" s="1"/>
      <c r="N37661" s="1"/>
    </row>
    <row r="37662" spans="7:14" x14ac:dyDescent="0.3">
      <c r="G37662" s="1"/>
      <c r="N37662" s="1"/>
    </row>
    <row r="37663" spans="7:14" x14ac:dyDescent="0.3">
      <c r="G37663" s="1"/>
      <c r="N37663" s="1"/>
    </row>
    <row r="37664" spans="7:14" x14ac:dyDescent="0.3">
      <c r="G37664" s="1"/>
      <c r="N37664" s="1"/>
    </row>
    <row r="37665" spans="7:14" x14ac:dyDescent="0.3">
      <c r="G37665" s="1"/>
      <c r="N37665" s="1"/>
    </row>
    <row r="37666" spans="7:14" x14ac:dyDescent="0.3">
      <c r="G37666" s="1"/>
      <c r="N37666" s="1"/>
    </row>
    <row r="37667" spans="7:14" x14ac:dyDescent="0.3">
      <c r="G37667" s="1"/>
      <c r="N37667" s="1"/>
    </row>
    <row r="37668" spans="7:14" x14ac:dyDescent="0.3">
      <c r="G37668" s="1"/>
      <c r="N37668" s="1"/>
    </row>
    <row r="37669" spans="7:14" x14ac:dyDescent="0.3">
      <c r="G37669" s="1"/>
      <c r="N37669" s="1"/>
    </row>
    <row r="37670" spans="7:14" x14ac:dyDescent="0.3">
      <c r="G37670" s="1"/>
      <c r="N37670" s="1"/>
    </row>
    <row r="37671" spans="7:14" x14ac:dyDescent="0.3">
      <c r="G37671" s="1"/>
      <c r="N37671" s="1"/>
    </row>
    <row r="37672" spans="7:14" x14ac:dyDescent="0.3">
      <c r="G37672" s="1"/>
      <c r="N37672" s="1"/>
    </row>
    <row r="37673" spans="7:14" x14ac:dyDescent="0.3">
      <c r="G37673" s="1"/>
      <c r="N37673" s="1"/>
    </row>
    <row r="37674" spans="7:14" x14ac:dyDescent="0.3">
      <c r="G37674" s="1"/>
      <c r="N37674" s="1"/>
    </row>
    <row r="37675" spans="7:14" x14ac:dyDescent="0.3">
      <c r="G37675" s="1"/>
      <c r="N37675" s="1"/>
    </row>
    <row r="37676" spans="7:14" x14ac:dyDescent="0.3">
      <c r="G37676" s="1"/>
      <c r="N37676" s="1"/>
    </row>
    <row r="37677" spans="7:14" x14ac:dyDescent="0.3">
      <c r="G37677" s="1"/>
      <c r="N37677" s="1"/>
    </row>
    <row r="37678" spans="7:14" x14ac:dyDescent="0.3">
      <c r="G37678" s="1"/>
      <c r="N37678" s="1"/>
    </row>
    <row r="37679" spans="7:14" x14ac:dyDescent="0.3">
      <c r="G37679" s="1"/>
      <c r="N37679" s="1"/>
    </row>
    <row r="37680" spans="7:14" x14ac:dyDescent="0.3">
      <c r="G37680" s="1"/>
      <c r="N37680" s="1"/>
    </row>
    <row r="37681" spans="7:14" x14ac:dyDescent="0.3">
      <c r="G37681" s="1"/>
      <c r="N37681" s="1"/>
    </row>
    <row r="37682" spans="7:14" x14ac:dyDescent="0.3">
      <c r="G37682" s="1"/>
      <c r="N37682" s="1"/>
    </row>
    <row r="37683" spans="7:14" x14ac:dyDescent="0.3">
      <c r="G37683" s="1"/>
      <c r="N37683" s="1"/>
    </row>
    <row r="37684" spans="7:14" x14ac:dyDescent="0.3">
      <c r="G37684" s="1"/>
      <c r="N37684" s="1"/>
    </row>
    <row r="37685" spans="7:14" x14ac:dyDescent="0.3">
      <c r="G37685" s="1"/>
      <c r="N37685" s="1"/>
    </row>
    <row r="37686" spans="7:14" x14ac:dyDescent="0.3">
      <c r="G37686" s="1"/>
      <c r="N37686" s="1"/>
    </row>
    <row r="37687" spans="7:14" x14ac:dyDescent="0.3">
      <c r="G37687" s="1"/>
      <c r="N37687" s="1"/>
    </row>
    <row r="37688" spans="7:14" x14ac:dyDescent="0.3">
      <c r="G37688" s="1"/>
      <c r="N37688" s="1"/>
    </row>
    <row r="37689" spans="7:14" x14ac:dyDescent="0.3">
      <c r="G37689" s="1"/>
      <c r="N37689" s="1"/>
    </row>
    <row r="37690" spans="7:14" x14ac:dyDescent="0.3">
      <c r="G37690" s="1"/>
      <c r="N37690" s="1"/>
    </row>
    <row r="37691" spans="7:14" x14ac:dyDescent="0.3">
      <c r="G37691" s="1"/>
      <c r="N37691" s="1"/>
    </row>
    <row r="37692" spans="7:14" x14ac:dyDescent="0.3">
      <c r="G37692" s="1"/>
      <c r="N37692" s="1"/>
    </row>
    <row r="37693" spans="7:14" x14ac:dyDescent="0.3">
      <c r="G37693" s="1"/>
      <c r="N37693" s="1"/>
    </row>
    <row r="37694" spans="7:14" x14ac:dyDescent="0.3">
      <c r="G37694" s="1"/>
      <c r="N37694" s="1"/>
    </row>
    <row r="37695" spans="7:14" x14ac:dyDescent="0.3">
      <c r="G37695" s="1"/>
      <c r="N37695" s="1"/>
    </row>
    <row r="37696" spans="7:14" x14ac:dyDescent="0.3">
      <c r="G37696" s="1"/>
      <c r="N37696" s="1"/>
    </row>
    <row r="37697" spans="7:14" x14ac:dyDescent="0.3">
      <c r="G37697" s="1"/>
      <c r="N37697" s="1"/>
    </row>
    <row r="37698" spans="7:14" x14ac:dyDescent="0.3">
      <c r="G37698" s="1"/>
      <c r="N37698" s="1"/>
    </row>
    <row r="37699" spans="7:14" x14ac:dyDescent="0.3">
      <c r="G37699" s="1"/>
      <c r="N37699" s="1"/>
    </row>
    <row r="37700" spans="7:14" x14ac:dyDescent="0.3">
      <c r="G37700" s="1"/>
      <c r="N37700" s="1"/>
    </row>
    <row r="37701" spans="7:14" x14ac:dyDescent="0.3">
      <c r="G37701" s="1"/>
      <c r="N37701" s="1"/>
    </row>
    <row r="37702" spans="7:14" x14ac:dyDescent="0.3">
      <c r="G37702" s="1"/>
      <c r="N37702" s="1"/>
    </row>
    <row r="37703" spans="7:14" x14ac:dyDescent="0.3">
      <c r="G37703" s="1"/>
      <c r="N37703" s="1"/>
    </row>
    <row r="37704" spans="7:14" x14ac:dyDescent="0.3">
      <c r="G37704" s="1"/>
      <c r="N37704" s="1"/>
    </row>
    <row r="37705" spans="7:14" x14ac:dyDescent="0.3">
      <c r="G37705" s="1"/>
      <c r="N37705" s="1"/>
    </row>
    <row r="37706" spans="7:14" x14ac:dyDescent="0.3">
      <c r="G37706" s="1"/>
      <c r="N37706" s="1"/>
    </row>
    <row r="37707" spans="7:14" x14ac:dyDescent="0.3">
      <c r="G37707" s="1"/>
      <c r="N37707" s="1"/>
    </row>
    <row r="37708" spans="7:14" x14ac:dyDescent="0.3">
      <c r="G37708" s="1"/>
      <c r="N37708" s="1"/>
    </row>
    <row r="37709" spans="7:14" x14ac:dyDescent="0.3">
      <c r="G37709" s="1"/>
      <c r="N37709" s="1"/>
    </row>
    <row r="37710" spans="7:14" x14ac:dyDescent="0.3">
      <c r="G37710" s="1"/>
      <c r="N37710" s="1"/>
    </row>
    <row r="37711" spans="7:14" x14ac:dyDescent="0.3">
      <c r="G37711" s="1"/>
      <c r="N37711" s="1"/>
    </row>
    <row r="37712" spans="7:14" x14ac:dyDescent="0.3">
      <c r="G37712" s="1"/>
      <c r="N37712" s="1"/>
    </row>
    <row r="37713" spans="7:14" x14ac:dyDescent="0.3">
      <c r="G37713" s="1"/>
      <c r="N37713" s="1"/>
    </row>
    <row r="37714" spans="7:14" x14ac:dyDescent="0.3">
      <c r="G37714" s="1"/>
      <c r="N37714" s="1"/>
    </row>
    <row r="37715" spans="7:14" x14ac:dyDescent="0.3">
      <c r="G37715" s="1"/>
      <c r="N37715" s="1"/>
    </row>
    <row r="37716" spans="7:14" x14ac:dyDescent="0.3">
      <c r="G37716" s="1"/>
      <c r="N37716" s="1"/>
    </row>
    <row r="37717" spans="7:14" x14ac:dyDescent="0.3">
      <c r="G37717" s="1"/>
      <c r="N37717" s="1"/>
    </row>
    <row r="37718" spans="7:14" x14ac:dyDescent="0.3">
      <c r="G37718" s="1"/>
      <c r="N37718" s="1"/>
    </row>
    <row r="37719" spans="7:14" x14ac:dyDescent="0.3">
      <c r="G37719" s="1"/>
      <c r="N37719" s="1"/>
    </row>
    <row r="37720" spans="7:14" x14ac:dyDescent="0.3">
      <c r="G37720" s="1"/>
      <c r="N37720" s="1"/>
    </row>
    <row r="37721" spans="7:14" x14ac:dyDescent="0.3">
      <c r="G37721" s="1"/>
      <c r="N37721" s="1"/>
    </row>
    <row r="37722" spans="7:14" x14ac:dyDescent="0.3">
      <c r="G37722" s="1"/>
      <c r="N37722" s="1"/>
    </row>
    <row r="37723" spans="7:14" x14ac:dyDescent="0.3">
      <c r="G37723" s="1"/>
      <c r="N37723" s="1"/>
    </row>
    <row r="37724" spans="7:14" x14ac:dyDescent="0.3">
      <c r="G37724" s="1"/>
      <c r="N37724" s="1"/>
    </row>
    <row r="37725" spans="7:14" x14ac:dyDescent="0.3">
      <c r="G37725" s="1"/>
      <c r="N37725" s="1"/>
    </row>
    <row r="37726" spans="7:14" x14ac:dyDescent="0.3">
      <c r="G37726" s="1"/>
      <c r="N37726" s="1"/>
    </row>
    <row r="37727" spans="7:14" x14ac:dyDescent="0.3">
      <c r="G37727" s="1"/>
      <c r="N37727" s="1"/>
    </row>
    <row r="37728" spans="7:14" x14ac:dyDescent="0.3">
      <c r="G37728" s="1"/>
      <c r="N37728" s="1"/>
    </row>
    <row r="37729" spans="7:14" x14ac:dyDescent="0.3">
      <c r="G37729" s="1"/>
      <c r="N37729" s="1"/>
    </row>
    <row r="37730" spans="7:14" x14ac:dyDescent="0.3">
      <c r="G37730" s="1"/>
      <c r="N37730" s="1"/>
    </row>
    <row r="37731" spans="7:14" x14ac:dyDescent="0.3">
      <c r="G37731" s="1"/>
      <c r="N37731" s="1"/>
    </row>
    <row r="37732" spans="7:14" x14ac:dyDescent="0.3">
      <c r="G37732" s="1"/>
      <c r="N37732" s="1"/>
    </row>
    <row r="37733" spans="7:14" x14ac:dyDescent="0.3">
      <c r="G37733" s="1"/>
      <c r="N37733" s="1"/>
    </row>
    <row r="37734" spans="7:14" x14ac:dyDescent="0.3">
      <c r="G37734" s="1"/>
      <c r="N37734" s="1"/>
    </row>
    <row r="37735" spans="7:14" x14ac:dyDescent="0.3">
      <c r="G37735" s="1"/>
      <c r="N37735" s="1"/>
    </row>
    <row r="37736" spans="7:14" x14ac:dyDescent="0.3">
      <c r="G37736" s="1"/>
      <c r="N37736" s="1"/>
    </row>
    <row r="37737" spans="7:14" x14ac:dyDescent="0.3">
      <c r="G37737" s="1"/>
      <c r="N37737" s="1"/>
    </row>
    <row r="37738" spans="7:14" x14ac:dyDescent="0.3">
      <c r="G37738" s="1"/>
      <c r="N37738" s="1"/>
    </row>
    <row r="37739" spans="7:14" x14ac:dyDescent="0.3">
      <c r="G37739" s="1"/>
      <c r="N37739" s="1"/>
    </row>
    <row r="37740" spans="7:14" x14ac:dyDescent="0.3">
      <c r="G37740" s="1"/>
      <c r="N37740" s="1"/>
    </row>
    <row r="37741" spans="7:14" x14ac:dyDescent="0.3">
      <c r="G37741" s="1"/>
      <c r="N37741" s="1"/>
    </row>
    <row r="37742" spans="7:14" x14ac:dyDescent="0.3">
      <c r="G37742" s="1"/>
      <c r="N37742" s="1"/>
    </row>
    <row r="37743" spans="7:14" x14ac:dyDescent="0.3">
      <c r="G37743" s="1"/>
      <c r="N37743" s="1"/>
    </row>
    <row r="37744" spans="7:14" x14ac:dyDescent="0.3">
      <c r="G37744" s="1"/>
      <c r="N37744" s="1"/>
    </row>
    <row r="37745" spans="7:14" x14ac:dyDescent="0.3">
      <c r="G37745" s="1"/>
      <c r="N37745" s="1"/>
    </row>
    <row r="37746" spans="7:14" x14ac:dyDescent="0.3">
      <c r="G37746" s="1"/>
      <c r="N37746" s="1"/>
    </row>
    <row r="37747" spans="7:14" x14ac:dyDescent="0.3">
      <c r="G37747" s="1"/>
      <c r="N37747" s="1"/>
    </row>
    <row r="37748" spans="7:14" x14ac:dyDescent="0.3">
      <c r="G37748" s="1"/>
      <c r="N37748" s="1"/>
    </row>
    <row r="37749" spans="7:14" x14ac:dyDescent="0.3">
      <c r="G37749" s="1"/>
      <c r="N37749" s="1"/>
    </row>
    <row r="37750" spans="7:14" x14ac:dyDescent="0.3">
      <c r="G37750" s="1"/>
      <c r="N37750" s="1"/>
    </row>
    <row r="37751" spans="7:14" x14ac:dyDescent="0.3">
      <c r="G37751" s="1"/>
      <c r="N37751" s="1"/>
    </row>
    <row r="37752" spans="7:14" x14ac:dyDescent="0.3">
      <c r="G37752" s="1"/>
      <c r="N37752" s="1"/>
    </row>
    <row r="37753" spans="7:14" x14ac:dyDescent="0.3">
      <c r="G37753" s="1"/>
      <c r="N37753" s="1"/>
    </row>
    <row r="37754" spans="7:14" x14ac:dyDescent="0.3">
      <c r="G37754" s="1"/>
      <c r="N37754" s="1"/>
    </row>
    <row r="37755" spans="7:14" x14ac:dyDescent="0.3">
      <c r="G37755" s="1"/>
      <c r="N37755" s="1"/>
    </row>
    <row r="37756" spans="7:14" x14ac:dyDescent="0.3">
      <c r="G37756" s="1"/>
      <c r="N37756" s="1"/>
    </row>
    <row r="37757" spans="7:14" x14ac:dyDescent="0.3">
      <c r="G37757" s="1"/>
      <c r="N37757" s="1"/>
    </row>
    <row r="37758" spans="7:14" x14ac:dyDescent="0.3">
      <c r="G37758" s="1"/>
      <c r="N37758" s="1"/>
    </row>
    <row r="37759" spans="7:14" x14ac:dyDescent="0.3">
      <c r="G37759" s="1"/>
      <c r="N37759" s="1"/>
    </row>
    <row r="37760" spans="7:14" x14ac:dyDescent="0.3">
      <c r="G37760" s="1"/>
      <c r="N37760" s="1"/>
    </row>
    <row r="37761" spans="7:14" x14ac:dyDescent="0.3">
      <c r="G37761" s="1"/>
      <c r="N37761" s="1"/>
    </row>
    <row r="37762" spans="7:14" x14ac:dyDescent="0.3">
      <c r="G37762" s="1"/>
      <c r="N37762" s="1"/>
    </row>
    <row r="37763" spans="7:14" x14ac:dyDescent="0.3">
      <c r="G37763" s="1"/>
      <c r="N37763" s="1"/>
    </row>
    <row r="37764" spans="7:14" x14ac:dyDescent="0.3">
      <c r="G37764" s="1"/>
      <c r="N37764" s="1"/>
    </row>
    <row r="37765" spans="7:14" x14ac:dyDescent="0.3">
      <c r="G37765" s="1"/>
      <c r="N37765" s="1"/>
    </row>
    <row r="37766" spans="7:14" x14ac:dyDescent="0.3">
      <c r="G37766" s="1"/>
      <c r="N37766" s="1"/>
    </row>
    <row r="37767" spans="7:14" x14ac:dyDescent="0.3">
      <c r="G37767" s="1"/>
      <c r="N37767" s="1"/>
    </row>
    <row r="37768" spans="7:14" x14ac:dyDescent="0.3">
      <c r="G37768" s="1"/>
      <c r="N37768" s="1"/>
    </row>
    <row r="37769" spans="7:14" x14ac:dyDescent="0.3">
      <c r="G37769" s="1"/>
      <c r="N37769" s="1"/>
    </row>
    <row r="37770" spans="7:14" x14ac:dyDescent="0.3">
      <c r="G37770" s="1"/>
      <c r="N37770" s="1"/>
    </row>
    <row r="37771" spans="7:14" x14ac:dyDescent="0.3">
      <c r="G37771" s="1"/>
      <c r="N37771" s="1"/>
    </row>
    <row r="37772" spans="7:14" x14ac:dyDescent="0.3">
      <c r="G37772" s="1"/>
      <c r="N37772" s="1"/>
    </row>
    <row r="37773" spans="7:14" x14ac:dyDescent="0.3">
      <c r="G37773" s="1"/>
      <c r="N37773" s="1"/>
    </row>
    <row r="37774" spans="7:14" x14ac:dyDescent="0.3">
      <c r="G37774" s="1"/>
      <c r="N37774" s="1"/>
    </row>
    <row r="37775" spans="7:14" x14ac:dyDescent="0.3">
      <c r="G37775" s="1"/>
      <c r="N37775" s="1"/>
    </row>
    <row r="37776" spans="7:14" x14ac:dyDescent="0.3">
      <c r="G37776" s="1"/>
      <c r="N37776" s="1"/>
    </row>
    <row r="37777" spans="7:14" x14ac:dyDescent="0.3">
      <c r="G37777" s="1"/>
      <c r="N37777" s="1"/>
    </row>
    <row r="37778" spans="7:14" x14ac:dyDescent="0.3">
      <c r="G37778" s="1"/>
      <c r="N37778" s="1"/>
    </row>
    <row r="37779" spans="7:14" x14ac:dyDescent="0.3">
      <c r="G37779" s="1"/>
      <c r="N37779" s="1"/>
    </row>
    <row r="37780" spans="7:14" x14ac:dyDescent="0.3">
      <c r="G37780" s="1"/>
      <c r="N37780" s="1"/>
    </row>
    <row r="37781" spans="7:14" x14ac:dyDescent="0.3">
      <c r="G37781" s="1"/>
      <c r="N37781" s="1"/>
    </row>
    <row r="37782" spans="7:14" x14ac:dyDescent="0.3">
      <c r="G37782" s="1"/>
      <c r="N37782" s="1"/>
    </row>
    <row r="37783" spans="7:14" x14ac:dyDescent="0.3">
      <c r="G37783" s="1"/>
      <c r="N37783" s="1"/>
    </row>
    <row r="37784" spans="7:14" x14ac:dyDescent="0.3">
      <c r="G37784" s="1"/>
      <c r="N37784" s="1"/>
    </row>
    <row r="37785" spans="7:14" x14ac:dyDescent="0.3">
      <c r="G37785" s="1"/>
      <c r="N37785" s="1"/>
    </row>
    <row r="37786" spans="7:14" x14ac:dyDescent="0.3">
      <c r="G37786" s="1"/>
      <c r="N37786" s="1"/>
    </row>
    <row r="37787" spans="7:14" x14ac:dyDescent="0.3">
      <c r="G37787" s="1"/>
      <c r="N37787" s="1"/>
    </row>
    <row r="37788" spans="7:14" x14ac:dyDescent="0.3">
      <c r="G37788" s="1"/>
      <c r="N37788" s="1"/>
    </row>
    <row r="37789" spans="7:14" x14ac:dyDescent="0.3">
      <c r="G37789" s="1"/>
      <c r="N37789" s="1"/>
    </row>
    <row r="37790" spans="7:14" x14ac:dyDescent="0.3">
      <c r="G37790" s="1"/>
      <c r="N37790" s="1"/>
    </row>
    <row r="37791" spans="7:14" x14ac:dyDescent="0.3">
      <c r="G37791" s="1"/>
      <c r="N37791" s="1"/>
    </row>
    <row r="37792" spans="7:14" x14ac:dyDescent="0.3">
      <c r="G37792" s="1"/>
      <c r="N37792" s="1"/>
    </row>
    <row r="37793" spans="7:14" x14ac:dyDescent="0.3">
      <c r="G37793" s="1"/>
      <c r="N37793" s="1"/>
    </row>
    <row r="37794" spans="7:14" x14ac:dyDescent="0.3">
      <c r="G37794" s="1"/>
      <c r="N37794" s="1"/>
    </row>
    <row r="37795" spans="7:14" x14ac:dyDescent="0.3">
      <c r="G37795" s="1"/>
      <c r="N37795" s="1"/>
    </row>
    <row r="37796" spans="7:14" x14ac:dyDescent="0.3">
      <c r="G37796" s="1"/>
      <c r="N37796" s="1"/>
    </row>
    <row r="37797" spans="7:14" x14ac:dyDescent="0.3">
      <c r="G37797" s="1"/>
      <c r="N37797" s="1"/>
    </row>
    <row r="37798" spans="7:14" x14ac:dyDescent="0.3">
      <c r="G37798" s="1"/>
      <c r="N37798" s="1"/>
    </row>
    <row r="37799" spans="7:14" x14ac:dyDescent="0.3">
      <c r="G37799" s="1"/>
      <c r="N37799" s="1"/>
    </row>
    <row r="37800" spans="7:14" x14ac:dyDescent="0.3">
      <c r="G37800" s="1"/>
      <c r="N37800" s="1"/>
    </row>
    <row r="37801" spans="7:14" x14ac:dyDescent="0.3">
      <c r="G37801" s="1"/>
      <c r="N37801" s="1"/>
    </row>
    <row r="37802" spans="7:14" x14ac:dyDescent="0.3">
      <c r="G37802" s="1"/>
      <c r="N37802" s="1"/>
    </row>
    <row r="37803" spans="7:14" x14ac:dyDescent="0.3">
      <c r="G37803" s="1"/>
      <c r="N37803" s="1"/>
    </row>
    <row r="37804" spans="7:14" x14ac:dyDescent="0.3">
      <c r="G37804" s="1"/>
      <c r="N37804" s="1"/>
    </row>
    <row r="37805" spans="7:14" x14ac:dyDescent="0.3">
      <c r="G37805" s="1"/>
      <c r="N37805" s="1"/>
    </row>
    <row r="37806" spans="7:14" x14ac:dyDescent="0.3">
      <c r="G37806" s="1"/>
      <c r="N37806" s="1"/>
    </row>
    <row r="37807" spans="7:14" x14ac:dyDescent="0.3">
      <c r="G37807" s="1"/>
      <c r="N37807" s="1"/>
    </row>
    <row r="37808" spans="7:14" x14ac:dyDescent="0.3">
      <c r="G37808" s="1"/>
      <c r="N37808" s="1"/>
    </row>
    <row r="37809" spans="7:14" x14ac:dyDescent="0.3">
      <c r="G37809" s="1"/>
      <c r="N37809" s="1"/>
    </row>
    <row r="37810" spans="7:14" x14ac:dyDescent="0.3">
      <c r="G37810" s="1"/>
      <c r="N37810" s="1"/>
    </row>
    <row r="37811" spans="7:14" x14ac:dyDescent="0.3">
      <c r="G37811" s="1"/>
      <c r="N37811" s="1"/>
    </row>
    <row r="37812" spans="7:14" x14ac:dyDescent="0.3">
      <c r="G37812" s="1"/>
      <c r="N37812" s="1"/>
    </row>
    <row r="37813" spans="7:14" x14ac:dyDescent="0.3">
      <c r="G37813" s="1"/>
      <c r="N37813" s="1"/>
    </row>
    <row r="37814" spans="7:14" x14ac:dyDescent="0.3">
      <c r="G37814" s="1"/>
      <c r="N37814" s="1"/>
    </row>
    <row r="37815" spans="7:14" x14ac:dyDescent="0.3">
      <c r="G37815" s="1"/>
      <c r="N37815" s="1"/>
    </row>
    <row r="37816" spans="7:14" x14ac:dyDescent="0.3">
      <c r="G37816" s="1"/>
      <c r="N37816" s="1"/>
    </row>
    <row r="37817" spans="7:14" x14ac:dyDescent="0.3">
      <c r="G37817" s="1"/>
      <c r="N37817" s="1"/>
    </row>
    <row r="37818" spans="7:14" x14ac:dyDescent="0.3">
      <c r="G37818" s="1"/>
      <c r="N37818" s="1"/>
    </row>
    <row r="37819" spans="7:14" x14ac:dyDescent="0.3">
      <c r="G37819" s="1"/>
      <c r="N37819" s="1"/>
    </row>
    <row r="37820" spans="7:14" x14ac:dyDescent="0.3">
      <c r="G37820" s="1"/>
      <c r="N37820" s="1"/>
    </row>
    <row r="37821" spans="7:14" x14ac:dyDescent="0.3">
      <c r="G37821" s="1"/>
      <c r="N37821" s="1"/>
    </row>
    <row r="37822" spans="7:14" x14ac:dyDescent="0.3">
      <c r="G37822" s="1"/>
      <c r="N37822" s="1"/>
    </row>
    <row r="37823" spans="7:14" x14ac:dyDescent="0.3">
      <c r="G37823" s="1"/>
      <c r="N37823" s="1"/>
    </row>
    <row r="37824" spans="7:14" x14ac:dyDescent="0.3">
      <c r="G37824" s="1"/>
      <c r="N37824" s="1"/>
    </row>
    <row r="37825" spans="7:14" x14ac:dyDescent="0.3">
      <c r="G37825" s="1"/>
      <c r="N37825" s="1"/>
    </row>
    <row r="37826" spans="7:14" x14ac:dyDescent="0.3">
      <c r="G37826" s="1"/>
      <c r="N37826" s="1"/>
    </row>
    <row r="37827" spans="7:14" x14ac:dyDescent="0.3">
      <c r="G37827" s="1"/>
      <c r="N37827" s="1"/>
    </row>
    <row r="37828" spans="7:14" x14ac:dyDescent="0.3">
      <c r="G37828" s="1"/>
      <c r="N37828" s="1"/>
    </row>
    <row r="37829" spans="7:14" x14ac:dyDescent="0.3">
      <c r="G37829" s="1"/>
      <c r="N37829" s="1"/>
    </row>
    <row r="37830" spans="7:14" x14ac:dyDescent="0.3">
      <c r="G37830" s="1"/>
      <c r="N37830" s="1"/>
    </row>
    <row r="37831" spans="7:14" x14ac:dyDescent="0.3">
      <c r="G37831" s="1"/>
      <c r="N37831" s="1"/>
    </row>
    <row r="37832" spans="7:14" x14ac:dyDescent="0.3">
      <c r="G37832" s="1"/>
      <c r="N37832" s="1"/>
    </row>
    <row r="37833" spans="7:14" x14ac:dyDescent="0.3">
      <c r="G37833" s="1"/>
      <c r="N37833" s="1"/>
    </row>
    <row r="37834" spans="7:14" x14ac:dyDescent="0.3">
      <c r="G37834" s="1"/>
      <c r="N37834" s="1"/>
    </row>
    <row r="37835" spans="7:14" x14ac:dyDescent="0.3">
      <c r="G37835" s="1"/>
      <c r="N37835" s="1"/>
    </row>
    <row r="37836" spans="7:14" x14ac:dyDescent="0.3">
      <c r="G37836" s="1"/>
      <c r="N37836" s="1"/>
    </row>
    <row r="37837" spans="7:14" x14ac:dyDescent="0.3">
      <c r="G37837" s="1"/>
      <c r="N37837" s="1"/>
    </row>
    <row r="37838" spans="7:14" x14ac:dyDescent="0.3">
      <c r="G37838" s="1"/>
      <c r="N37838" s="1"/>
    </row>
    <row r="37839" spans="7:14" x14ac:dyDescent="0.3">
      <c r="G37839" s="1"/>
      <c r="N37839" s="1"/>
    </row>
    <row r="37840" spans="7:14" x14ac:dyDescent="0.3">
      <c r="G37840" s="1"/>
      <c r="N37840" s="1"/>
    </row>
    <row r="37841" spans="7:14" x14ac:dyDescent="0.3">
      <c r="G37841" s="1"/>
      <c r="N37841" s="1"/>
    </row>
    <row r="37842" spans="7:14" x14ac:dyDescent="0.3">
      <c r="G37842" s="1"/>
      <c r="N37842" s="1"/>
    </row>
    <row r="37843" spans="7:14" x14ac:dyDescent="0.3">
      <c r="G37843" s="1"/>
      <c r="N37843" s="1"/>
    </row>
    <row r="37844" spans="7:14" x14ac:dyDescent="0.3">
      <c r="G37844" s="1"/>
      <c r="N37844" s="1"/>
    </row>
    <row r="37845" spans="7:14" x14ac:dyDescent="0.3">
      <c r="G37845" s="1"/>
      <c r="N37845" s="1"/>
    </row>
    <row r="37846" spans="7:14" x14ac:dyDescent="0.3">
      <c r="G37846" s="1"/>
      <c r="N37846" s="1"/>
    </row>
    <row r="37847" spans="7:14" x14ac:dyDescent="0.3">
      <c r="G37847" s="1"/>
      <c r="N37847" s="1"/>
    </row>
    <row r="37848" spans="7:14" x14ac:dyDescent="0.3">
      <c r="G37848" s="1"/>
      <c r="N37848" s="1"/>
    </row>
    <row r="37849" spans="7:14" x14ac:dyDescent="0.3">
      <c r="G37849" s="1"/>
      <c r="N37849" s="1"/>
    </row>
    <row r="37850" spans="7:14" x14ac:dyDescent="0.3">
      <c r="G37850" s="1"/>
      <c r="N37850" s="1"/>
    </row>
    <row r="37851" spans="7:14" x14ac:dyDescent="0.3">
      <c r="G37851" s="1"/>
      <c r="N37851" s="1"/>
    </row>
    <row r="37852" spans="7:14" x14ac:dyDescent="0.3">
      <c r="G37852" s="1"/>
      <c r="N37852" s="1"/>
    </row>
    <row r="37853" spans="7:14" x14ac:dyDescent="0.3">
      <c r="G37853" s="1"/>
      <c r="N37853" s="1"/>
    </row>
    <row r="37854" spans="7:14" x14ac:dyDescent="0.3">
      <c r="G37854" s="1"/>
      <c r="N37854" s="1"/>
    </row>
    <row r="37855" spans="7:14" x14ac:dyDescent="0.3">
      <c r="G37855" s="1"/>
      <c r="N37855" s="1"/>
    </row>
    <row r="37856" spans="7:14" x14ac:dyDescent="0.3">
      <c r="G37856" s="1"/>
      <c r="N37856" s="1"/>
    </row>
    <row r="37857" spans="7:14" x14ac:dyDescent="0.3">
      <c r="G37857" s="1"/>
      <c r="N37857" s="1"/>
    </row>
    <row r="37858" spans="7:14" x14ac:dyDescent="0.3">
      <c r="G37858" s="1"/>
      <c r="N37858" s="1"/>
    </row>
    <row r="37859" spans="7:14" x14ac:dyDescent="0.3">
      <c r="G37859" s="1"/>
      <c r="N37859" s="1"/>
    </row>
    <row r="37860" spans="7:14" x14ac:dyDescent="0.3">
      <c r="G37860" s="1"/>
      <c r="N37860" s="1"/>
    </row>
    <row r="37861" spans="7:14" x14ac:dyDescent="0.3">
      <c r="G37861" s="1"/>
      <c r="N37861" s="1"/>
    </row>
    <row r="37862" spans="7:14" x14ac:dyDescent="0.3">
      <c r="G37862" s="1"/>
      <c r="N37862" s="1"/>
    </row>
    <row r="37863" spans="7:14" x14ac:dyDescent="0.3">
      <c r="G37863" s="1"/>
      <c r="N37863" s="1"/>
    </row>
    <row r="37864" spans="7:14" x14ac:dyDescent="0.3">
      <c r="G37864" s="1"/>
      <c r="N37864" s="1"/>
    </row>
    <row r="37865" spans="7:14" x14ac:dyDescent="0.3">
      <c r="G37865" s="1"/>
      <c r="N37865" s="1"/>
    </row>
    <row r="37866" spans="7:14" x14ac:dyDescent="0.3">
      <c r="G37866" s="1"/>
      <c r="N37866" s="1"/>
    </row>
    <row r="37867" spans="7:14" x14ac:dyDescent="0.3">
      <c r="G37867" s="1"/>
      <c r="N37867" s="1"/>
    </row>
    <row r="37868" spans="7:14" x14ac:dyDescent="0.3">
      <c r="G37868" s="1"/>
      <c r="N37868" s="1"/>
    </row>
    <row r="37869" spans="7:14" x14ac:dyDescent="0.3">
      <c r="G37869" s="1"/>
      <c r="N37869" s="1"/>
    </row>
    <row r="37870" spans="7:14" x14ac:dyDescent="0.3">
      <c r="G37870" s="1"/>
      <c r="N37870" s="1"/>
    </row>
    <row r="37871" spans="7:14" x14ac:dyDescent="0.3">
      <c r="G37871" s="1"/>
      <c r="N37871" s="1"/>
    </row>
    <row r="37872" spans="7:14" x14ac:dyDescent="0.3">
      <c r="G37872" s="1"/>
      <c r="N37872" s="1"/>
    </row>
    <row r="37873" spans="7:14" x14ac:dyDescent="0.3">
      <c r="G37873" s="1"/>
      <c r="N37873" s="1"/>
    </row>
    <row r="37874" spans="7:14" x14ac:dyDescent="0.3">
      <c r="G37874" s="1"/>
      <c r="N37874" s="1"/>
    </row>
    <row r="37875" spans="7:14" x14ac:dyDescent="0.3">
      <c r="G37875" s="1"/>
      <c r="N37875" s="1"/>
    </row>
    <row r="37876" spans="7:14" x14ac:dyDescent="0.3">
      <c r="G37876" s="1"/>
      <c r="N37876" s="1"/>
    </row>
    <row r="37877" spans="7:14" x14ac:dyDescent="0.3">
      <c r="G37877" s="1"/>
      <c r="N37877" s="1"/>
    </row>
    <row r="37878" spans="7:14" x14ac:dyDescent="0.3">
      <c r="G37878" s="1"/>
      <c r="N37878" s="1"/>
    </row>
    <row r="37879" spans="7:14" x14ac:dyDescent="0.3">
      <c r="G37879" s="1"/>
      <c r="N37879" s="1"/>
    </row>
    <row r="37880" spans="7:14" x14ac:dyDescent="0.3">
      <c r="G37880" s="1"/>
      <c r="N37880" s="1"/>
    </row>
    <row r="37881" spans="7:14" x14ac:dyDescent="0.3">
      <c r="G37881" s="1"/>
      <c r="N37881" s="1"/>
    </row>
    <row r="37882" spans="7:14" x14ac:dyDescent="0.3">
      <c r="G37882" s="1"/>
      <c r="N37882" s="1"/>
    </row>
    <row r="37883" spans="7:14" x14ac:dyDescent="0.3">
      <c r="G37883" s="1"/>
      <c r="N37883" s="1"/>
    </row>
    <row r="37884" spans="7:14" x14ac:dyDescent="0.3">
      <c r="G37884" s="1"/>
      <c r="N37884" s="1"/>
    </row>
    <row r="37885" spans="7:14" x14ac:dyDescent="0.3">
      <c r="G37885" s="1"/>
      <c r="N37885" s="1"/>
    </row>
    <row r="37886" spans="7:14" x14ac:dyDescent="0.3">
      <c r="G37886" s="1"/>
      <c r="N37886" s="1"/>
    </row>
    <row r="37887" spans="7:14" x14ac:dyDescent="0.3">
      <c r="G37887" s="1"/>
      <c r="N37887" s="1"/>
    </row>
    <row r="37888" spans="7:14" x14ac:dyDescent="0.3">
      <c r="G37888" s="1"/>
      <c r="N37888" s="1"/>
    </row>
    <row r="37889" spans="7:14" x14ac:dyDescent="0.3">
      <c r="G37889" s="1"/>
      <c r="N37889" s="1"/>
    </row>
    <row r="37890" spans="7:14" x14ac:dyDescent="0.3">
      <c r="G37890" s="1"/>
      <c r="N37890" s="1"/>
    </row>
    <row r="37891" spans="7:14" x14ac:dyDescent="0.3">
      <c r="G37891" s="1"/>
      <c r="N37891" s="1"/>
    </row>
    <row r="37892" spans="7:14" x14ac:dyDescent="0.3">
      <c r="G37892" s="1"/>
      <c r="N37892" s="1"/>
    </row>
    <row r="37893" spans="7:14" x14ac:dyDescent="0.3">
      <c r="G37893" s="1"/>
      <c r="N37893" s="1"/>
    </row>
    <row r="37894" spans="7:14" x14ac:dyDescent="0.3">
      <c r="G37894" s="1"/>
      <c r="N37894" s="1"/>
    </row>
    <row r="37895" spans="7:14" x14ac:dyDescent="0.3">
      <c r="G37895" s="1"/>
      <c r="N37895" s="1"/>
    </row>
    <row r="37896" spans="7:14" x14ac:dyDescent="0.3">
      <c r="G37896" s="1"/>
      <c r="N37896" s="1"/>
    </row>
    <row r="37897" spans="7:14" x14ac:dyDescent="0.3">
      <c r="G37897" s="1"/>
      <c r="N37897" s="1"/>
    </row>
    <row r="37898" spans="7:14" x14ac:dyDescent="0.3">
      <c r="G37898" s="1"/>
      <c r="N37898" s="1"/>
    </row>
    <row r="37899" spans="7:14" x14ac:dyDescent="0.3">
      <c r="G37899" s="1"/>
      <c r="N37899" s="1"/>
    </row>
    <row r="37900" spans="7:14" x14ac:dyDescent="0.3">
      <c r="G37900" s="1"/>
      <c r="N37900" s="1"/>
    </row>
    <row r="37901" spans="7:14" x14ac:dyDescent="0.3">
      <c r="G37901" s="1"/>
      <c r="N37901" s="1"/>
    </row>
    <row r="37902" spans="7:14" x14ac:dyDescent="0.3">
      <c r="G37902" s="1"/>
      <c r="N37902" s="1"/>
    </row>
    <row r="37903" spans="7:14" x14ac:dyDescent="0.3">
      <c r="G37903" s="1"/>
      <c r="N37903" s="1"/>
    </row>
    <row r="37904" spans="7:14" x14ac:dyDescent="0.3">
      <c r="G37904" s="1"/>
      <c r="N37904" s="1"/>
    </row>
    <row r="37905" spans="7:14" x14ac:dyDescent="0.3">
      <c r="G37905" s="1"/>
      <c r="N37905" s="1"/>
    </row>
    <row r="37906" spans="7:14" x14ac:dyDescent="0.3">
      <c r="G37906" s="1"/>
      <c r="N37906" s="1"/>
    </row>
    <row r="37907" spans="7:14" x14ac:dyDescent="0.3">
      <c r="G37907" s="1"/>
      <c r="N37907" s="1"/>
    </row>
    <row r="37908" spans="7:14" x14ac:dyDescent="0.3">
      <c r="G37908" s="1"/>
      <c r="N37908" s="1"/>
    </row>
    <row r="37909" spans="7:14" x14ac:dyDescent="0.3">
      <c r="G37909" s="1"/>
      <c r="N37909" s="1"/>
    </row>
    <row r="37910" spans="7:14" x14ac:dyDescent="0.3">
      <c r="G37910" s="1"/>
      <c r="N37910" s="1"/>
    </row>
    <row r="37911" spans="7:14" x14ac:dyDescent="0.3">
      <c r="G37911" s="1"/>
      <c r="N37911" s="1"/>
    </row>
    <row r="37912" spans="7:14" x14ac:dyDescent="0.3">
      <c r="G37912" s="1"/>
      <c r="N37912" s="1"/>
    </row>
    <row r="37913" spans="7:14" x14ac:dyDescent="0.3">
      <c r="G37913" s="1"/>
      <c r="N37913" s="1"/>
    </row>
    <row r="37914" spans="7:14" x14ac:dyDescent="0.3">
      <c r="G37914" s="1"/>
      <c r="N37914" s="1"/>
    </row>
    <row r="37915" spans="7:14" x14ac:dyDescent="0.3">
      <c r="G37915" s="1"/>
      <c r="N37915" s="1"/>
    </row>
    <row r="37916" spans="7:14" x14ac:dyDescent="0.3">
      <c r="G37916" s="1"/>
      <c r="N37916" s="1"/>
    </row>
    <row r="37917" spans="7:14" x14ac:dyDescent="0.3">
      <c r="G37917" s="1"/>
      <c r="N37917" s="1"/>
    </row>
    <row r="37918" spans="7:14" x14ac:dyDescent="0.3">
      <c r="G37918" s="1"/>
      <c r="N37918" s="1"/>
    </row>
    <row r="37919" spans="7:14" x14ac:dyDescent="0.3">
      <c r="G37919" s="1"/>
      <c r="N37919" s="1"/>
    </row>
    <row r="37920" spans="7:14" x14ac:dyDescent="0.3">
      <c r="G37920" s="1"/>
      <c r="N37920" s="1"/>
    </row>
    <row r="37921" spans="7:14" x14ac:dyDescent="0.3">
      <c r="G37921" s="1"/>
      <c r="N37921" s="1"/>
    </row>
    <row r="37922" spans="7:14" x14ac:dyDescent="0.3">
      <c r="G37922" s="1"/>
      <c r="N37922" s="1"/>
    </row>
    <row r="37923" spans="7:14" x14ac:dyDescent="0.3">
      <c r="G37923" s="1"/>
      <c r="N37923" s="1"/>
    </row>
    <row r="37924" spans="7:14" x14ac:dyDescent="0.3">
      <c r="G37924" s="1"/>
      <c r="N37924" s="1"/>
    </row>
    <row r="37925" spans="7:14" x14ac:dyDescent="0.3">
      <c r="G37925" s="1"/>
      <c r="N37925" s="1"/>
    </row>
    <row r="37926" spans="7:14" x14ac:dyDescent="0.3">
      <c r="G37926" s="1"/>
      <c r="N37926" s="1"/>
    </row>
    <row r="37927" spans="7:14" x14ac:dyDescent="0.3">
      <c r="G37927" s="1"/>
      <c r="N37927" s="1"/>
    </row>
    <row r="37928" spans="7:14" x14ac:dyDescent="0.3">
      <c r="G37928" s="1"/>
      <c r="N37928" s="1"/>
    </row>
    <row r="37929" spans="7:14" x14ac:dyDescent="0.3">
      <c r="G37929" s="1"/>
      <c r="N37929" s="1"/>
    </row>
    <row r="37930" spans="7:14" x14ac:dyDescent="0.3">
      <c r="G37930" s="1"/>
      <c r="N37930" s="1"/>
    </row>
    <row r="37931" spans="7:14" x14ac:dyDescent="0.3">
      <c r="G37931" s="1"/>
      <c r="N37931" s="1"/>
    </row>
    <row r="37932" spans="7:14" x14ac:dyDescent="0.3">
      <c r="G37932" s="1"/>
      <c r="N37932" s="1"/>
    </row>
    <row r="37933" spans="7:14" x14ac:dyDescent="0.3">
      <c r="G37933" s="1"/>
      <c r="N37933" s="1"/>
    </row>
    <row r="37934" spans="7:14" x14ac:dyDescent="0.3">
      <c r="G37934" s="1"/>
      <c r="N37934" s="1"/>
    </row>
    <row r="37935" spans="7:14" x14ac:dyDescent="0.3">
      <c r="G37935" s="1"/>
      <c r="N37935" s="1"/>
    </row>
    <row r="37936" spans="7:14" x14ac:dyDescent="0.3">
      <c r="G37936" s="1"/>
      <c r="N37936" s="1"/>
    </row>
    <row r="37937" spans="7:14" x14ac:dyDescent="0.3">
      <c r="G37937" s="1"/>
      <c r="N37937" s="1"/>
    </row>
    <row r="37938" spans="7:14" x14ac:dyDescent="0.3">
      <c r="G37938" s="1"/>
      <c r="N37938" s="1"/>
    </row>
    <row r="37939" spans="7:14" x14ac:dyDescent="0.3">
      <c r="G37939" s="1"/>
      <c r="N37939" s="1"/>
    </row>
    <row r="37940" spans="7:14" x14ac:dyDescent="0.3">
      <c r="G37940" s="1"/>
      <c r="N37940" s="1"/>
    </row>
    <row r="37941" spans="7:14" x14ac:dyDescent="0.3">
      <c r="G37941" s="1"/>
      <c r="N37941" s="1"/>
    </row>
    <row r="37942" spans="7:14" x14ac:dyDescent="0.3">
      <c r="G37942" s="1"/>
      <c r="N37942" s="1"/>
    </row>
    <row r="37943" spans="7:14" x14ac:dyDescent="0.3">
      <c r="G37943" s="1"/>
      <c r="N37943" s="1"/>
    </row>
    <row r="37944" spans="7:14" x14ac:dyDescent="0.3">
      <c r="G37944" s="1"/>
      <c r="N37944" s="1"/>
    </row>
    <row r="37945" spans="7:14" x14ac:dyDescent="0.3">
      <c r="G37945" s="1"/>
      <c r="N37945" s="1"/>
    </row>
    <row r="37946" spans="7:14" x14ac:dyDescent="0.3">
      <c r="G37946" s="1"/>
      <c r="N37946" s="1"/>
    </row>
    <row r="37947" spans="7:14" x14ac:dyDescent="0.3">
      <c r="G37947" s="1"/>
      <c r="N37947" s="1"/>
    </row>
    <row r="37948" spans="7:14" x14ac:dyDescent="0.3">
      <c r="G37948" s="1"/>
      <c r="N37948" s="1"/>
    </row>
    <row r="37949" spans="7:14" x14ac:dyDescent="0.3">
      <c r="G37949" s="1"/>
      <c r="N37949" s="1"/>
    </row>
    <row r="37950" spans="7:14" x14ac:dyDescent="0.3">
      <c r="G37950" s="1"/>
      <c r="N37950" s="1"/>
    </row>
    <row r="37951" spans="7:14" x14ac:dyDescent="0.3">
      <c r="G37951" s="1"/>
      <c r="N37951" s="1"/>
    </row>
    <row r="37952" spans="7:14" x14ac:dyDescent="0.3">
      <c r="G37952" s="1"/>
      <c r="N37952" s="1"/>
    </row>
    <row r="37953" spans="7:14" x14ac:dyDescent="0.3">
      <c r="G37953" s="1"/>
      <c r="N37953" s="1"/>
    </row>
    <row r="37954" spans="7:14" x14ac:dyDescent="0.3">
      <c r="G37954" s="1"/>
      <c r="N37954" s="1"/>
    </row>
    <row r="37955" spans="7:14" x14ac:dyDescent="0.3">
      <c r="G37955" s="1"/>
      <c r="N37955" s="1"/>
    </row>
    <row r="37956" spans="7:14" x14ac:dyDescent="0.3">
      <c r="G37956" s="1"/>
      <c r="N37956" s="1"/>
    </row>
    <row r="37957" spans="7:14" x14ac:dyDescent="0.3">
      <c r="G37957" s="1"/>
      <c r="N37957" s="1"/>
    </row>
    <row r="37958" spans="7:14" x14ac:dyDescent="0.3">
      <c r="G37958" s="1"/>
      <c r="N37958" s="1"/>
    </row>
    <row r="37959" spans="7:14" x14ac:dyDescent="0.3">
      <c r="G37959" s="1"/>
      <c r="N37959" s="1"/>
    </row>
    <row r="37960" spans="7:14" x14ac:dyDescent="0.3">
      <c r="G37960" s="1"/>
      <c r="N37960" s="1"/>
    </row>
    <row r="37961" spans="7:14" x14ac:dyDescent="0.3">
      <c r="G37961" s="1"/>
      <c r="N37961" s="1"/>
    </row>
    <row r="37962" spans="7:14" x14ac:dyDescent="0.3">
      <c r="G37962" s="1"/>
      <c r="N37962" s="1"/>
    </row>
    <row r="37963" spans="7:14" x14ac:dyDescent="0.3">
      <c r="G37963" s="1"/>
      <c r="N37963" s="1"/>
    </row>
    <row r="37964" spans="7:14" x14ac:dyDescent="0.3">
      <c r="G37964" s="1"/>
      <c r="N37964" s="1"/>
    </row>
    <row r="37965" spans="7:14" x14ac:dyDescent="0.3">
      <c r="G37965" s="1"/>
      <c r="N37965" s="1"/>
    </row>
    <row r="37966" spans="7:14" x14ac:dyDescent="0.3">
      <c r="G37966" s="1"/>
      <c r="N37966" s="1"/>
    </row>
    <row r="37967" spans="7:14" x14ac:dyDescent="0.3">
      <c r="G37967" s="1"/>
      <c r="N37967" s="1"/>
    </row>
    <row r="37968" spans="7:14" x14ac:dyDescent="0.3">
      <c r="G37968" s="1"/>
      <c r="N37968" s="1"/>
    </row>
    <row r="37969" spans="7:14" x14ac:dyDescent="0.3">
      <c r="G37969" s="1"/>
      <c r="N37969" s="1"/>
    </row>
    <row r="37970" spans="7:14" x14ac:dyDescent="0.3">
      <c r="G37970" s="1"/>
      <c r="N37970" s="1"/>
    </row>
    <row r="37971" spans="7:14" x14ac:dyDescent="0.3">
      <c r="G37971" s="1"/>
      <c r="N37971" s="1"/>
    </row>
    <row r="37972" spans="7:14" x14ac:dyDescent="0.3">
      <c r="G37972" s="1"/>
      <c r="N37972" s="1"/>
    </row>
    <row r="37973" spans="7:14" x14ac:dyDescent="0.3">
      <c r="G37973" s="1"/>
      <c r="N37973" s="1"/>
    </row>
    <row r="37974" spans="7:14" x14ac:dyDescent="0.3">
      <c r="G37974" s="1"/>
      <c r="N37974" s="1"/>
    </row>
    <row r="37975" spans="7:14" x14ac:dyDescent="0.3">
      <c r="G37975" s="1"/>
      <c r="N37975" s="1"/>
    </row>
    <row r="37976" spans="7:14" x14ac:dyDescent="0.3">
      <c r="G37976" s="1"/>
      <c r="N37976" s="1"/>
    </row>
    <row r="37977" spans="7:14" x14ac:dyDescent="0.3">
      <c r="G37977" s="1"/>
      <c r="N37977" s="1"/>
    </row>
    <row r="37978" spans="7:14" x14ac:dyDescent="0.3">
      <c r="G37978" s="1"/>
      <c r="N37978" s="1"/>
    </row>
    <row r="37979" spans="7:14" x14ac:dyDescent="0.3">
      <c r="G37979" s="1"/>
      <c r="N37979" s="1"/>
    </row>
    <row r="37980" spans="7:14" x14ac:dyDescent="0.3">
      <c r="G37980" s="1"/>
      <c r="N37980" s="1"/>
    </row>
    <row r="37981" spans="7:14" x14ac:dyDescent="0.3">
      <c r="G37981" s="1"/>
      <c r="N37981" s="1"/>
    </row>
    <row r="37982" spans="7:14" x14ac:dyDescent="0.3">
      <c r="G37982" s="1"/>
      <c r="N37982" s="1"/>
    </row>
    <row r="37983" spans="7:14" x14ac:dyDescent="0.3">
      <c r="G37983" s="1"/>
      <c r="N37983" s="1"/>
    </row>
    <row r="37984" spans="7:14" x14ac:dyDescent="0.3">
      <c r="G37984" s="1"/>
      <c r="N37984" s="1"/>
    </row>
    <row r="37985" spans="7:14" x14ac:dyDescent="0.3">
      <c r="G37985" s="1"/>
      <c r="N37985" s="1"/>
    </row>
    <row r="37986" spans="7:14" x14ac:dyDescent="0.3">
      <c r="G37986" s="1"/>
      <c r="N37986" s="1"/>
    </row>
    <row r="37987" spans="7:14" x14ac:dyDescent="0.3">
      <c r="G37987" s="1"/>
      <c r="N37987" s="1"/>
    </row>
    <row r="37988" spans="7:14" x14ac:dyDescent="0.3">
      <c r="G37988" s="1"/>
      <c r="N37988" s="1"/>
    </row>
    <row r="37989" spans="7:14" x14ac:dyDescent="0.3">
      <c r="G37989" s="1"/>
      <c r="N37989" s="1"/>
    </row>
    <row r="37990" spans="7:14" x14ac:dyDescent="0.3">
      <c r="G37990" s="1"/>
      <c r="N37990" s="1"/>
    </row>
    <row r="37991" spans="7:14" x14ac:dyDescent="0.3">
      <c r="G37991" s="1"/>
      <c r="N37991" s="1"/>
    </row>
    <row r="37992" spans="7:14" x14ac:dyDescent="0.3">
      <c r="G37992" s="1"/>
      <c r="N37992" s="1"/>
    </row>
    <row r="37993" spans="7:14" x14ac:dyDescent="0.3">
      <c r="G37993" s="1"/>
      <c r="N37993" s="1"/>
    </row>
    <row r="37994" spans="7:14" x14ac:dyDescent="0.3">
      <c r="G37994" s="1"/>
      <c r="N37994" s="1"/>
    </row>
    <row r="37995" spans="7:14" x14ac:dyDescent="0.3">
      <c r="G37995" s="1"/>
      <c r="N37995" s="1"/>
    </row>
    <row r="37996" spans="7:14" x14ac:dyDescent="0.3">
      <c r="G37996" s="1"/>
      <c r="N37996" s="1"/>
    </row>
    <row r="37997" spans="7:14" x14ac:dyDescent="0.3">
      <c r="G37997" s="1"/>
      <c r="N37997" s="1"/>
    </row>
    <row r="37998" spans="7:14" x14ac:dyDescent="0.3">
      <c r="G37998" s="1"/>
      <c r="N37998" s="1"/>
    </row>
    <row r="37999" spans="7:14" x14ac:dyDescent="0.3">
      <c r="G37999" s="1"/>
      <c r="N37999" s="1"/>
    </row>
    <row r="38000" spans="7:14" x14ac:dyDescent="0.3">
      <c r="G38000" s="1"/>
      <c r="N38000" s="1"/>
    </row>
    <row r="38001" spans="7:14" x14ac:dyDescent="0.3">
      <c r="G38001" s="1"/>
      <c r="N38001" s="1"/>
    </row>
    <row r="38002" spans="7:14" x14ac:dyDescent="0.3">
      <c r="G38002" s="1"/>
      <c r="N38002" s="1"/>
    </row>
    <row r="38003" spans="7:14" x14ac:dyDescent="0.3">
      <c r="G38003" s="1"/>
      <c r="N38003" s="1"/>
    </row>
    <row r="38004" spans="7:14" x14ac:dyDescent="0.3">
      <c r="G38004" s="1"/>
      <c r="N38004" s="1"/>
    </row>
    <row r="38005" spans="7:14" x14ac:dyDescent="0.3">
      <c r="G38005" s="1"/>
      <c r="N38005" s="1"/>
    </row>
    <row r="38006" spans="7:14" x14ac:dyDescent="0.3">
      <c r="G38006" s="1"/>
      <c r="N38006" s="1"/>
    </row>
    <row r="38007" spans="7:14" x14ac:dyDescent="0.3">
      <c r="G38007" s="1"/>
      <c r="N38007" s="1"/>
    </row>
    <row r="38008" spans="7:14" x14ac:dyDescent="0.3">
      <c r="G38008" s="1"/>
      <c r="N38008" s="1"/>
    </row>
    <row r="38009" spans="7:14" x14ac:dyDescent="0.3">
      <c r="G38009" s="1"/>
      <c r="N38009" s="1"/>
    </row>
    <row r="38010" spans="7:14" x14ac:dyDescent="0.3">
      <c r="G38010" s="1"/>
      <c r="N38010" s="1"/>
    </row>
    <row r="38011" spans="7:14" x14ac:dyDescent="0.3">
      <c r="G38011" s="1"/>
      <c r="N38011" s="1"/>
    </row>
    <row r="38012" spans="7:14" x14ac:dyDescent="0.3">
      <c r="G38012" s="1"/>
      <c r="N38012" s="1"/>
    </row>
    <row r="38013" spans="7:14" x14ac:dyDescent="0.3">
      <c r="G38013" s="1"/>
      <c r="N38013" s="1"/>
    </row>
    <row r="38014" spans="7:14" x14ac:dyDescent="0.3">
      <c r="G38014" s="1"/>
      <c r="N38014" s="1"/>
    </row>
    <row r="38015" spans="7:14" x14ac:dyDescent="0.3">
      <c r="G38015" s="1"/>
      <c r="N38015" s="1"/>
    </row>
    <row r="38016" spans="7:14" x14ac:dyDescent="0.3">
      <c r="G38016" s="1"/>
      <c r="N38016" s="1"/>
    </row>
    <row r="38017" spans="7:14" x14ac:dyDescent="0.3">
      <c r="G38017" s="1"/>
      <c r="N38017" s="1"/>
    </row>
    <row r="38018" spans="7:14" x14ac:dyDescent="0.3">
      <c r="G38018" s="1"/>
      <c r="N38018" s="1"/>
    </row>
    <row r="38019" spans="7:14" x14ac:dyDescent="0.3">
      <c r="G38019" s="1"/>
      <c r="N38019" s="1"/>
    </row>
    <row r="38020" spans="7:14" x14ac:dyDescent="0.3">
      <c r="G38020" s="1"/>
      <c r="N38020" s="1"/>
    </row>
    <row r="38021" spans="7:14" x14ac:dyDescent="0.3">
      <c r="G38021" s="1"/>
      <c r="N38021" s="1"/>
    </row>
    <row r="38022" spans="7:14" x14ac:dyDescent="0.3">
      <c r="G38022" s="1"/>
      <c r="N38022" s="1"/>
    </row>
    <row r="38023" spans="7:14" x14ac:dyDescent="0.3">
      <c r="G38023" s="1"/>
      <c r="N38023" s="1"/>
    </row>
    <row r="38024" spans="7:14" x14ac:dyDescent="0.3">
      <c r="G38024" s="1"/>
      <c r="N38024" s="1"/>
    </row>
    <row r="38025" spans="7:14" x14ac:dyDescent="0.3">
      <c r="G38025" s="1"/>
      <c r="N38025" s="1"/>
    </row>
    <row r="38026" spans="7:14" x14ac:dyDescent="0.3">
      <c r="G38026" s="1"/>
      <c r="N38026" s="1"/>
    </row>
    <row r="38027" spans="7:14" x14ac:dyDescent="0.3">
      <c r="G38027" s="1"/>
      <c r="N38027" s="1"/>
    </row>
    <row r="38028" spans="7:14" x14ac:dyDescent="0.3">
      <c r="G38028" s="1"/>
      <c r="N38028" s="1"/>
    </row>
    <row r="38029" spans="7:14" x14ac:dyDescent="0.3">
      <c r="G38029" s="1"/>
      <c r="N38029" s="1"/>
    </row>
    <row r="38030" spans="7:14" x14ac:dyDescent="0.3">
      <c r="G38030" s="1"/>
      <c r="N38030" s="1"/>
    </row>
    <row r="38031" spans="7:14" x14ac:dyDescent="0.3">
      <c r="G38031" s="1"/>
      <c r="N38031" s="1"/>
    </row>
    <row r="38032" spans="7:14" x14ac:dyDescent="0.3">
      <c r="G38032" s="1"/>
      <c r="N38032" s="1"/>
    </row>
    <row r="38033" spans="7:14" x14ac:dyDescent="0.3">
      <c r="G38033" s="1"/>
      <c r="N38033" s="1"/>
    </row>
    <row r="38034" spans="7:14" x14ac:dyDescent="0.3">
      <c r="G38034" s="1"/>
      <c r="N38034" s="1"/>
    </row>
    <row r="38035" spans="7:14" x14ac:dyDescent="0.3">
      <c r="G38035" s="1"/>
      <c r="N38035" s="1"/>
    </row>
    <row r="38036" spans="7:14" x14ac:dyDescent="0.3">
      <c r="G38036" s="1"/>
      <c r="N38036" s="1"/>
    </row>
    <row r="38037" spans="7:14" x14ac:dyDescent="0.3">
      <c r="G38037" s="1"/>
      <c r="N38037" s="1"/>
    </row>
    <row r="38038" spans="7:14" x14ac:dyDescent="0.3">
      <c r="G38038" s="1"/>
      <c r="N38038" s="1"/>
    </row>
    <row r="38039" spans="7:14" x14ac:dyDescent="0.3">
      <c r="G38039" s="1"/>
      <c r="N38039" s="1"/>
    </row>
    <row r="38040" spans="7:14" x14ac:dyDescent="0.3">
      <c r="G38040" s="1"/>
      <c r="N38040" s="1"/>
    </row>
    <row r="38041" spans="7:14" x14ac:dyDescent="0.3">
      <c r="G38041" s="1"/>
      <c r="N38041" s="1"/>
    </row>
    <row r="38042" spans="7:14" x14ac:dyDescent="0.3">
      <c r="G38042" s="1"/>
      <c r="N38042" s="1"/>
    </row>
    <row r="38043" spans="7:14" x14ac:dyDescent="0.3">
      <c r="G38043" s="1"/>
      <c r="N38043" s="1"/>
    </row>
    <row r="38044" spans="7:14" x14ac:dyDescent="0.3">
      <c r="G38044" s="1"/>
      <c r="N38044" s="1"/>
    </row>
    <row r="38045" spans="7:14" x14ac:dyDescent="0.3">
      <c r="G38045" s="1"/>
      <c r="N38045" s="1"/>
    </row>
    <row r="38046" spans="7:14" x14ac:dyDescent="0.3">
      <c r="G38046" s="1"/>
      <c r="N38046" s="1"/>
    </row>
    <row r="38047" spans="7:14" x14ac:dyDescent="0.3">
      <c r="G38047" s="1"/>
      <c r="N38047" s="1"/>
    </row>
    <row r="38048" spans="7:14" x14ac:dyDescent="0.3">
      <c r="G38048" s="1"/>
      <c r="N38048" s="1"/>
    </row>
    <row r="38049" spans="7:14" x14ac:dyDescent="0.3">
      <c r="G38049" s="1"/>
      <c r="N38049" s="1"/>
    </row>
    <row r="38050" spans="7:14" x14ac:dyDescent="0.3">
      <c r="G38050" s="1"/>
      <c r="N38050" s="1"/>
    </row>
    <row r="38051" spans="7:14" x14ac:dyDescent="0.3">
      <c r="G38051" s="1"/>
      <c r="N38051" s="1"/>
    </row>
    <row r="38052" spans="7:14" x14ac:dyDescent="0.3">
      <c r="G38052" s="1"/>
      <c r="N38052" s="1"/>
    </row>
    <row r="38053" spans="7:14" x14ac:dyDescent="0.3">
      <c r="G38053" s="1"/>
      <c r="N38053" s="1"/>
    </row>
    <row r="38054" spans="7:14" x14ac:dyDescent="0.3">
      <c r="G38054" s="1"/>
      <c r="N38054" s="1"/>
    </row>
    <row r="38055" spans="7:14" x14ac:dyDescent="0.3">
      <c r="G38055" s="1"/>
      <c r="N38055" s="1"/>
    </row>
    <row r="38056" spans="7:14" x14ac:dyDescent="0.3">
      <c r="G38056" s="1"/>
      <c r="N38056" s="1"/>
    </row>
    <row r="38057" spans="7:14" x14ac:dyDescent="0.3">
      <c r="G38057" s="1"/>
      <c r="N38057" s="1"/>
    </row>
    <row r="38058" spans="7:14" x14ac:dyDescent="0.3">
      <c r="G38058" s="1"/>
      <c r="N38058" s="1"/>
    </row>
    <row r="38059" spans="7:14" x14ac:dyDescent="0.3">
      <c r="G38059" s="1"/>
      <c r="N38059" s="1"/>
    </row>
    <row r="38060" spans="7:14" x14ac:dyDescent="0.3">
      <c r="G38060" s="1"/>
      <c r="N38060" s="1"/>
    </row>
    <row r="38061" spans="7:14" x14ac:dyDescent="0.3">
      <c r="G38061" s="1"/>
      <c r="N38061" s="1"/>
    </row>
    <row r="38062" spans="7:14" x14ac:dyDescent="0.3">
      <c r="G38062" s="1"/>
      <c r="N38062" s="1"/>
    </row>
    <row r="38063" spans="7:14" x14ac:dyDescent="0.3">
      <c r="G38063" s="1"/>
      <c r="N38063" s="1"/>
    </row>
    <row r="38064" spans="7:14" x14ac:dyDescent="0.3">
      <c r="G38064" s="1"/>
      <c r="N38064" s="1"/>
    </row>
    <row r="38065" spans="7:14" x14ac:dyDescent="0.3">
      <c r="G38065" s="1"/>
      <c r="N38065" s="1"/>
    </row>
    <row r="38066" spans="7:14" x14ac:dyDescent="0.3">
      <c r="G38066" s="1"/>
      <c r="N38066" s="1"/>
    </row>
    <row r="38067" spans="7:14" x14ac:dyDescent="0.3">
      <c r="G38067" s="1"/>
      <c r="N38067" s="1"/>
    </row>
    <row r="38068" spans="7:14" x14ac:dyDescent="0.3">
      <c r="G38068" s="1"/>
      <c r="N38068" s="1"/>
    </row>
    <row r="38069" spans="7:14" x14ac:dyDescent="0.3">
      <c r="G38069" s="1"/>
      <c r="N38069" s="1"/>
    </row>
    <row r="38070" spans="7:14" x14ac:dyDescent="0.3">
      <c r="G38070" s="1"/>
      <c r="N38070" s="1"/>
    </row>
    <row r="38071" spans="7:14" x14ac:dyDescent="0.3">
      <c r="G38071" s="1"/>
      <c r="N38071" s="1"/>
    </row>
    <row r="38072" spans="7:14" x14ac:dyDescent="0.3">
      <c r="G38072" s="1"/>
      <c r="N38072" s="1"/>
    </row>
    <row r="38073" spans="7:14" x14ac:dyDescent="0.3">
      <c r="G38073" s="1"/>
      <c r="N38073" s="1"/>
    </row>
    <row r="38074" spans="7:14" x14ac:dyDescent="0.3">
      <c r="G38074" s="1"/>
      <c r="N38074" s="1"/>
    </row>
    <row r="38075" spans="7:14" x14ac:dyDescent="0.3">
      <c r="G38075" s="1"/>
      <c r="N38075" s="1"/>
    </row>
    <row r="38076" spans="7:14" x14ac:dyDescent="0.3">
      <c r="G38076" s="1"/>
      <c r="N38076" s="1"/>
    </row>
    <row r="38077" spans="7:14" x14ac:dyDescent="0.3">
      <c r="G38077" s="1"/>
      <c r="N38077" s="1"/>
    </row>
    <row r="38078" spans="7:14" x14ac:dyDescent="0.3">
      <c r="G38078" s="1"/>
      <c r="N38078" s="1"/>
    </row>
    <row r="38079" spans="7:14" x14ac:dyDescent="0.3">
      <c r="G38079" s="1"/>
      <c r="N38079" s="1"/>
    </row>
    <row r="38080" spans="7:14" x14ac:dyDescent="0.3">
      <c r="G38080" s="1"/>
      <c r="N38080" s="1"/>
    </row>
    <row r="38081" spans="7:14" x14ac:dyDescent="0.3">
      <c r="G38081" s="1"/>
      <c r="N38081" s="1"/>
    </row>
    <row r="38082" spans="7:14" x14ac:dyDescent="0.3">
      <c r="G38082" s="1"/>
      <c r="N38082" s="1"/>
    </row>
    <row r="38083" spans="7:14" x14ac:dyDescent="0.3">
      <c r="G38083" s="1"/>
      <c r="N38083" s="1"/>
    </row>
    <row r="38084" spans="7:14" x14ac:dyDescent="0.3">
      <c r="G38084" s="1"/>
      <c r="N38084" s="1"/>
    </row>
    <row r="38085" spans="7:14" x14ac:dyDescent="0.3">
      <c r="G38085" s="1"/>
      <c r="N38085" s="1"/>
    </row>
    <row r="38086" spans="7:14" x14ac:dyDescent="0.3">
      <c r="G38086" s="1"/>
      <c r="N38086" s="1"/>
    </row>
    <row r="38087" spans="7:14" x14ac:dyDescent="0.3">
      <c r="G38087" s="1"/>
      <c r="N38087" s="1"/>
    </row>
    <row r="38088" spans="7:14" x14ac:dyDescent="0.3">
      <c r="G38088" s="1"/>
      <c r="N38088" s="1"/>
    </row>
    <row r="38089" spans="7:14" x14ac:dyDescent="0.3">
      <c r="G38089" s="1"/>
      <c r="N38089" s="1"/>
    </row>
    <row r="38090" spans="7:14" x14ac:dyDescent="0.3">
      <c r="G38090" s="1"/>
      <c r="N38090" s="1"/>
    </row>
    <row r="38091" spans="7:14" x14ac:dyDescent="0.3">
      <c r="G38091" s="1"/>
      <c r="N38091" s="1"/>
    </row>
    <row r="38092" spans="7:14" x14ac:dyDescent="0.3">
      <c r="G38092" s="1"/>
      <c r="N38092" s="1"/>
    </row>
    <row r="38093" spans="7:14" x14ac:dyDescent="0.3">
      <c r="G38093" s="1"/>
      <c r="N38093" s="1"/>
    </row>
    <row r="38094" spans="7:14" x14ac:dyDescent="0.3">
      <c r="G38094" s="1"/>
      <c r="N38094" s="1"/>
    </row>
    <row r="38095" spans="7:14" x14ac:dyDescent="0.3">
      <c r="G38095" s="1"/>
      <c r="N38095" s="1"/>
    </row>
    <row r="38096" spans="7:14" x14ac:dyDescent="0.3">
      <c r="G38096" s="1"/>
      <c r="N38096" s="1"/>
    </row>
    <row r="38097" spans="7:14" x14ac:dyDescent="0.3">
      <c r="G38097" s="1"/>
      <c r="N38097" s="1"/>
    </row>
    <row r="38098" spans="7:14" x14ac:dyDescent="0.3">
      <c r="G38098" s="1"/>
      <c r="N38098" s="1"/>
    </row>
    <row r="38099" spans="7:14" x14ac:dyDescent="0.3">
      <c r="G38099" s="1"/>
      <c r="N38099" s="1"/>
    </row>
    <row r="38100" spans="7:14" x14ac:dyDescent="0.3">
      <c r="G38100" s="1"/>
      <c r="N38100" s="1"/>
    </row>
    <row r="38101" spans="7:14" x14ac:dyDescent="0.3">
      <c r="G38101" s="1"/>
      <c r="N38101" s="1"/>
    </row>
    <row r="38102" spans="7:14" x14ac:dyDescent="0.3">
      <c r="G38102" s="1"/>
      <c r="N38102" s="1"/>
    </row>
    <row r="38103" spans="7:14" x14ac:dyDescent="0.3">
      <c r="G38103" s="1"/>
      <c r="N38103" s="1"/>
    </row>
    <row r="38104" spans="7:14" x14ac:dyDescent="0.3">
      <c r="G38104" s="1"/>
      <c r="N38104" s="1"/>
    </row>
    <row r="38105" spans="7:14" x14ac:dyDescent="0.3">
      <c r="G38105" s="1"/>
      <c r="N38105" s="1"/>
    </row>
    <row r="38106" spans="7:14" x14ac:dyDescent="0.3">
      <c r="G38106" s="1"/>
      <c r="N38106" s="1"/>
    </row>
    <row r="38107" spans="7:14" x14ac:dyDescent="0.3">
      <c r="G38107" s="1"/>
      <c r="N38107" s="1"/>
    </row>
    <row r="38108" spans="7:14" x14ac:dyDescent="0.3">
      <c r="G38108" s="1"/>
      <c r="N38108" s="1"/>
    </row>
    <row r="38109" spans="7:14" x14ac:dyDescent="0.3">
      <c r="G38109" s="1"/>
      <c r="N38109" s="1"/>
    </row>
    <row r="38110" spans="7:14" x14ac:dyDescent="0.3">
      <c r="G38110" s="1"/>
      <c r="N38110" s="1"/>
    </row>
    <row r="38111" spans="7:14" x14ac:dyDescent="0.3">
      <c r="G38111" s="1"/>
      <c r="N38111" s="1"/>
    </row>
    <row r="38112" spans="7:14" x14ac:dyDescent="0.3">
      <c r="G38112" s="1"/>
      <c r="N38112" s="1"/>
    </row>
    <row r="38113" spans="7:14" x14ac:dyDescent="0.3">
      <c r="G38113" s="1"/>
      <c r="N38113" s="1"/>
    </row>
    <row r="38114" spans="7:14" x14ac:dyDescent="0.3">
      <c r="G38114" s="1"/>
      <c r="N38114" s="1"/>
    </row>
    <row r="38115" spans="7:14" x14ac:dyDescent="0.3">
      <c r="G38115" s="1"/>
      <c r="N38115" s="1"/>
    </row>
    <row r="38116" spans="7:14" x14ac:dyDescent="0.3">
      <c r="G38116" s="1"/>
      <c r="N38116" s="1"/>
    </row>
    <row r="38117" spans="7:14" x14ac:dyDescent="0.3">
      <c r="G38117" s="1"/>
      <c r="N38117" s="1"/>
    </row>
    <row r="38118" spans="7:14" x14ac:dyDescent="0.3">
      <c r="G38118" s="1"/>
      <c r="N38118" s="1"/>
    </row>
    <row r="38119" spans="7:14" x14ac:dyDescent="0.3">
      <c r="G38119" s="1"/>
      <c r="N38119" s="1"/>
    </row>
    <row r="38120" spans="7:14" x14ac:dyDescent="0.3">
      <c r="G38120" s="1"/>
      <c r="N38120" s="1"/>
    </row>
    <row r="38121" spans="7:14" x14ac:dyDescent="0.3">
      <c r="G38121" s="1"/>
      <c r="N38121" s="1"/>
    </row>
    <row r="38122" spans="7:14" x14ac:dyDescent="0.3">
      <c r="G38122" s="1"/>
      <c r="N38122" s="1"/>
    </row>
    <row r="38123" spans="7:14" x14ac:dyDescent="0.3">
      <c r="G38123" s="1"/>
      <c r="N38123" s="1"/>
    </row>
    <row r="38124" spans="7:14" x14ac:dyDescent="0.3">
      <c r="G38124" s="1"/>
      <c r="N38124" s="1"/>
    </row>
    <row r="38125" spans="7:14" x14ac:dyDescent="0.3">
      <c r="G38125" s="1"/>
      <c r="N38125" s="1"/>
    </row>
    <row r="38126" spans="7:14" x14ac:dyDescent="0.3">
      <c r="G38126" s="1"/>
      <c r="N38126" s="1"/>
    </row>
    <row r="38127" spans="7:14" x14ac:dyDescent="0.3">
      <c r="G38127" s="1"/>
      <c r="N38127" s="1"/>
    </row>
    <row r="38128" spans="7:14" x14ac:dyDescent="0.3">
      <c r="G38128" s="1"/>
      <c r="N38128" s="1"/>
    </row>
    <row r="38129" spans="7:14" x14ac:dyDescent="0.3">
      <c r="G38129" s="1"/>
      <c r="N38129" s="1"/>
    </row>
    <row r="38130" spans="7:14" x14ac:dyDescent="0.3">
      <c r="G38130" s="1"/>
      <c r="N38130" s="1"/>
    </row>
    <row r="38131" spans="7:14" x14ac:dyDescent="0.3">
      <c r="G38131" s="1"/>
      <c r="N38131" s="1"/>
    </row>
    <row r="38132" spans="7:14" x14ac:dyDescent="0.3">
      <c r="G38132" s="1"/>
      <c r="N38132" s="1"/>
    </row>
    <row r="38133" spans="7:14" x14ac:dyDescent="0.3">
      <c r="G38133" s="1"/>
      <c r="N38133" s="1"/>
    </row>
    <row r="38134" spans="7:14" x14ac:dyDescent="0.3">
      <c r="G38134" s="1"/>
      <c r="N38134" s="1"/>
    </row>
    <row r="38135" spans="7:14" x14ac:dyDescent="0.3">
      <c r="G38135" s="1"/>
      <c r="N38135" s="1"/>
    </row>
    <row r="38136" spans="7:14" x14ac:dyDescent="0.3">
      <c r="G38136" s="1"/>
      <c r="N38136" s="1"/>
    </row>
    <row r="38137" spans="7:14" x14ac:dyDescent="0.3">
      <c r="G38137" s="1"/>
      <c r="N38137" s="1"/>
    </row>
    <row r="38138" spans="7:14" x14ac:dyDescent="0.3">
      <c r="G38138" s="1"/>
      <c r="N38138" s="1"/>
    </row>
    <row r="38139" spans="7:14" x14ac:dyDescent="0.3">
      <c r="G38139" s="1"/>
      <c r="N38139" s="1"/>
    </row>
    <row r="38140" spans="7:14" x14ac:dyDescent="0.3">
      <c r="G38140" s="1"/>
      <c r="N38140" s="1"/>
    </row>
    <row r="38141" spans="7:14" x14ac:dyDescent="0.3">
      <c r="G38141" s="1"/>
      <c r="N38141" s="1"/>
    </row>
    <row r="38142" spans="7:14" x14ac:dyDescent="0.3">
      <c r="G38142" s="1"/>
      <c r="N38142" s="1"/>
    </row>
    <row r="38143" spans="7:14" x14ac:dyDescent="0.3">
      <c r="G38143" s="1"/>
      <c r="N38143" s="1"/>
    </row>
    <row r="38144" spans="7:14" x14ac:dyDescent="0.3">
      <c r="G38144" s="1"/>
      <c r="N38144" s="1"/>
    </row>
    <row r="38145" spans="7:14" x14ac:dyDescent="0.3">
      <c r="G38145" s="1"/>
      <c r="N38145" s="1"/>
    </row>
    <row r="38146" spans="7:14" x14ac:dyDescent="0.3">
      <c r="G38146" s="1"/>
      <c r="N38146" s="1"/>
    </row>
    <row r="38147" spans="7:14" x14ac:dyDescent="0.3">
      <c r="G38147" s="1"/>
      <c r="N38147" s="1"/>
    </row>
    <row r="38148" spans="7:14" x14ac:dyDescent="0.3">
      <c r="G38148" s="1"/>
      <c r="N38148" s="1"/>
    </row>
    <row r="38149" spans="7:14" x14ac:dyDescent="0.3">
      <c r="G38149" s="1"/>
      <c r="N38149" s="1"/>
    </row>
    <row r="38150" spans="7:14" x14ac:dyDescent="0.3">
      <c r="G38150" s="1"/>
      <c r="N38150" s="1"/>
    </row>
    <row r="38151" spans="7:14" x14ac:dyDescent="0.3">
      <c r="G38151" s="1"/>
      <c r="N38151" s="1"/>
    </row>
    <row r="38152" spans="7:14" x14ac:dyDescent="0.3">
      <c r="G38152" s="1"/>
      <c r="N38152" s="1"/>
    </row>
    <row r="38153" spans="7:14" x14ac:dyDescent="0.3">
      <c r="G38153" s="1"/>
      <c r="N38153" s="1"/>
    </row>
    <row r="38154" spans="7:14" x14ac:dyDescent="0.3">
      <c r="G38154" s="1"/>
      <c r="N38154" s="1"/>
    </row>
    <row r="38155" spans="7:14" x14ac:dyDescent="0.3">
      <c r="G38155" s="1"/>
      <c r="N38155" s="1"/>
    </row>
    <row r="38156" spans="7:14" x14ac:dyDescent="0.3">
      <c r="G38156" s="1"/>
      <c r="N38156" s="1"/>
    </row>
    <row r="38157" spans="7:14" x14ac:dyDescent="0.3">
      <c r="G38157" s="1"/>
      <c r="N38157" s="1"/>
    </row>
    <row r="38158" spans="7:14" x14ac:dyDescent="0.3">
      <c r="G38158" s="1"/>
      <c r="N38158" s="1"/>
    </row>
    <row r="38159" spans="7:14" x14ac:dyDescent="0.3">
      <c r="G38159" s="1"/>
      <c r="N38159" s="1"/>
    </row>
    <row r="38160" spans="7:14" x14ac:dyDescent="0.3">
      <c r="G38160" s="1"/>
      <c r="N38160" s="1"/>
    </row>
    <row r="38161" spans="7:14" x14ac:dyDescent="0.3">
      <c r="G38161" s="1"/>
      <c r="N38161" s="1"/>
    </row>
    <row r="38162" spans="7:14" x14ac:dyDescent="0.3">
      <c r="G38162" s="1"/>
      <c r="N38162" s="1"/>
    </row>
    <row r="38163" spans="7:14" x14ac:dyDescent="0.3">
      <c r="G38163" s="1"/>
      <c r="N38163" s="1"/>
    </row>
    <row r="38164" spans="7:14" x14ac:dyDescent="0.3">
      <c r="G38164" s="1"/>
      <c r="N38164" s="1"/>
    </row>
    <row r="38165" spans="7:14" x14ac:dyDescent="0.3">
      <c r="G38165" s="1"/>
      <c r="N38165" s="1"/>
    </row>
    <row r="38166" spans="7:14" x14ac:dyDescent="0.3">
      <c r="G38166" s="1"/>
      <c r="N38166" s="1"/>
    </row>
    <row r="38167" spans="7:14" x14ac:dyDescent="0.3">
      <c r="G38167" s="1"/>
      <c r="N38167" s="1"/>
    </row>
    <row r="38168" spans="7:14" x14ac:dyDescent="0.3">
      <c r="G38168" s="1"/>
      <c r="N38168" s="1"/>
    </row>
    <row r="38169" spans="7:14" x14ac:dyDescent="0.3">
      <c r="G38169" s="1"/>
      <c r="N38169" s="1"/>
    </row>
    <row r="38170" spans="7:14" x14ac:dyDescent="0.3">
      <c r="G38170" s="1"/>
      <c r="N38170" s="1"/>
    </row>
    <row r="38171" spans="7:14" x14ac:dyDescent="0.3">
      <c r="G38171" s="1"/>
      <c r="N38171" s="1"/>
    </row>
    <row r="38172" spans="7:14" x14ac:dyDescent="0.3">
      <c r="G38172" s="1"/>
      <c r="N38172" s="1"/>
    </row>
    <row r="38173" spans="7:14" x14ac:dyDescent="0.3">
      <c r="G38173" s="1"/>
      <c r="N38173" s="1"/>
    </row>
    <row r="38174" spans="7:14" x14ac:dyDescent="0.3">
      <c r="G38174" s="1"/>
      <c r="N38174" s="1"/>
    </row>
    <row r="38175" spans="7:14" x14ac:dyDescent="0.3">
      <c r="G38175" s="1"/>
      <c r="N38175" s="1"/>
    </row>
    <row r="38176" spans="7:14" x14ac:dyDescent="0.3">
      <c r="G38176" s="1"/>
      <c r="N38176" s="1"/>
    </row>
    <row r="38177" spans="7:14" x14ac:dyDescent="0.3">
      <c r="G38177" s="1"/>
      <c r="N38177" s="1"/>
    </row>
    <row r="38178" spans="7:14" x14ac:dyDescent="0.3">
      <c r="G38178" s="1"/>
      <c r="N38178" s="1"/>
    </row>
    <row r="38179" spans="7:14" x14ac:dyDescent="0.3">
      <c r="G38179" s="1"/>
      <c r="N38179" s="1"/>
    </row>
    <row r="38180" spans="7:14" x14ac:dyDescent="0.3">
      <c r="G38180" s="1"/>
      <c r="N38180" s="1"/>
    </row>
    <row r="38181" spans="7:14" x14ac:dyDescent="0.3">
      <c r="G38181" s="1"/>
      <c r="N38181" s="1"/>
    </row>
    <row r="38182" spans="7:14" x14ac:dyDescent="0.3">
      <c r="G38182" s="1"/>
      <c r="N38182" s="1"/>
    </row>
    <row r="38183" spans="7:14" x14ac:dyDescent="0.3">
      <c r="G38183" s="1"/>
      <c r="N38183" s="1"/>
    </row>
    <row r="38184" spans="7:14" x14ac:dyDescent="0.3">
      <c r="G38184" s="1"/>
      <c r="N38184" s="1"/>
    </row>
    <row r="38185" spans="7:14" x14ac:dyDescent="0.3">
      <c r="G38185" s="1"/>
      <c r="N38185" s="1"/>
    </row>
    <row r="38186" spans="7:14" x14ac:dyDescent="0.3">
      <c r="G38186" s="1"/>
      <c r="N38186" s="1"/>
    </row>
    <row r="38187" spans="7:14" x14ac:dyDescent="0.3">
      <c r="G38187" s="1"/>
      <c r="N38187" s="1"/>
    </row>
    <row r="38188" spans="7:14" x14ac:dyDescent="0.3">
      <c r="G38188" s="1"/>
      <c r="N38188" s="1"/>
    </row>
    <row r="38189" spans="7:14" x14ac:dyDescent="0.3">
      <c r="G38189" s="1"/>
      <c r="N38189" s="1"/>
    </row>
    <row r="38190" spans="7:14" x14ac:dyDescent="0.3">
      <c r="G38190" s="1"/>
      <c r="N38190" s="1"/>
    </row>
    <row r="38191" spans="7:14" x14ac:dyDescent="0.3">
      <c r="G38191" s="1"/>
      <c r="N38191" s="1"/>
    </row>
    <row r="38192" spans="7:14" x14ac:dyDescent="0.3">
      <c r="G38192" s="1"/>
      <c r="N38192" s="1"/>
    </row>
    <row r="38193" spans="7:14" x14ac:dyDescent="0.3">
      <c r="G38193" s="1"/>
      <c r="N38193" s="1"/>
    </row>
    <row r="38194" spans="7:14" x14ac:dyDescent="0.3">
      <c r="G38194" s="1"/>
      <c r="N38194" s="1"/>
    </row>
    <row r="38195" spans="7:14" x14ac:dyDescent="0.3">
      <c r="G38195" s="1"/>
      <c r="N38195" s="1"/>
    </row>
    <row r="38196" spans="7:14" x14ac:dyDescent="0.3">
      <c r="G38196" s="1"/>
      <c r="N38196" s="1"/>
    </row>
    <row r="38197" spans="7:14" x14ac:dyDescent="0.3">
      <c r="G38197" s="1"/>
      <c r="N38197" s="1"/>
    </row>
    <row r="38198" spans="7:14" x14ac:dyDescent="0.3">
      <c r="G38198" s="1"/>
      <c r="N38198" s="1"/>
    </row>
    <row r="38199" spans="7:14" x14ac:dyDescent="0.3">
      <c r="G38199" s="1"/>
      <c r="N38199" s="1"/>
    </row>
    <row r="38200" spans="7:14" x14ac:dyDescent="0.3">
      <c r="G38200" s="1"/>
      <c r="N38200" s="1"/>
    </row>
    <row r="38201" spans="7:14" x14ac:dyDescent="0.3">
      <c r="G38201" s="1"/>
      <c r="N38201" s="1"/>
    </row>
    <row r="38202" spans="7:14" x14ac:dyDescent="0.3">
      <c r="G38202" s="1"/>
      <c r="N38202" s="1"/>
    </row>
    <row r="38203" spans="7:14" x14ac:dyDescent="0.3">
      <c r="G38203" s="1"/>
      <c r="N38203" s="1"/>
    </row>
    <row r="38204" spans="7:14" x14ac:dyDescent="0.3">
      <c r="G38204" s="1"/>
      <c r="N38204" s="1"/>
    </row>
    <row r="38205" spans="7:14" x14ac:dyDescent="0.3">
      <c r="G38205" s="1"/>
      <c r="N38205" s="1"/>
    </row>
    <row r="38206" spans="7:14" x14ac:dyDescent="0.3">
      <c r="G38206" s="1"/>
      <c r="N38206" s="1"/>
    </row>
    <row r="38207" spans="7:14" x14ac:dyDescent="0.3">
      <c r="G38207" s="1"/>
      <c r="N38207" s="1"/>
    </row>
    <row r="38208" spans="7:14" x14ac:dyDescent="0.3">
      <c r="G38208" s="1"/>
      <c r="N38208" s="1"/>
    </row>
    <row r="38209" spans="7:14" x14ac:dyDescent="0.3">
      <c r="G38209" s="1"/>
      <c r="N38209" s="1"/>
    </row>
    <row r="38210" spans="7:14" x14ac:dyDescent="0.3">
      <c r="G38210" s="1"/>
      <c r="N38210" s="1"/>
    </row>
    <row r="38211" spans="7:14" x14ac:dyDescent="0.3">
      <c r="G38211" s="1"/>
      <c r="N38211" s="1"/>
    </row>
    <row r="38212" spans="7:14" x14ac:dyDescent="0.3">
      <c r="G38212" s="1"/>
      <c r="N38212" s="1"/>
    </row>
    <row r="38213" spans="7:14" x14ac:dyDescent="0.3">
      <c r="G38213" s="1"/>
      <c r="N38213" s="1"/>
    </row>
    <row r="38214" spans="7:14" x14ac:dyDescent="0.3">
      <c r="G38214" s="1"/>
      <c r="N38214" s="1"/>
    </row>
    <row r="38215" spans="7:14" x14ac:dyDescent="0.3">
      <c r="G38215" s="1"/>
      <c r="N38215" s="1"/>
    </row>
    <row r="38216" spans="7:14" x14ac:dyDescent="0.3">
      <c r="G38216" s="1"/>
      <c r="N38216" s="1"/>
    </row>
    <row r="38217" spans="7:14" x14ac:dyDescent="0.3">
      <c r="G38217" s="1"/>
      <c r="N38217" s="1"/>
    </row>
    <row r="38218" spans="7:14" x14ac:dyDescent="0.3">
      <c r="G38218" s="1"/>
      <c r="N38218" s="1"/>
    </row>
    <row r="38219" spans="7:14" x14ac:dyDescent="0.3">
      <c r="G38219" s="1"/>
      <c r="N38219" s="1"/>
    </row>
    <row r="38220" spans="7:14" x14ac:dyDescent="0.3">
      <c r="G38220" s="1"/>
      <c r="N38220" s="1"/>
    </row>
    <row r="38221" spans="7:14" x14ac:dyDescent="0.3">
      <c r="G38221" s="1"/>
      <c r="N38221" s="1"/>
    </row>
    <row r="38222" spans="7:14" x14ac:dyDescent="0.3">
      <c r="G38222" s="1"/>
      <c r="N38222" s="1"/>
    </row>
    <row r="38223" spans="7:14" x14ac:dyDescent="0.3">
      <c r="G38223" s="1"/>
      <c r="N38223" s="1"/>
    </row>
    <row r="38224" spans="7:14" x14ac:dyDescent="0.3">
      <c r="G38224" s="1"/>
      <c r="N38224" s="1"/>
    </row>
    <row r="38225" spans="7:14" x14ac:dyDescent="0.3">
      <c r="G38225" s="1"/>
      <c r="N38225" s="1"/>
    </row>
    <row r="38226" spans="7:14" x14ac:dyDescent="0.3">
      <c r="G38226" s="1"/>
      <c r="N38226" s="1"/>
    </row>
    <row r="38227" spans="7:14" x14ac:dyDescent="0.3">
      <c r="G38227" s="1"/>
      <c r="N38227" s="1"/>
    </row>
    <row r="38228" spans="7:14" x14ac:dyDescent="0.3">
      <c r="G38228" s="1"/>
      <c r="N38228" s="1"/>
    </row>
    <row r="38229" spans="7:14" x14ac:dyDescent="0.3">
      <c r="G38229" s="1"/>
      <c r="N38229" s="1"/>
    </row>
    <row r="38230" spans="7:14" x14ac:dyDescent="0.3">
      <c r="G38230" s="1"/>
      <c r="N38230" s="1"/>
    </row>
    <row r="38231" spans="7:14" x14ac:dyDescent="0.3">
      <c r="G38231" s="1"/>
      <c r="N38231" s="1"/>
    </row>
    <row r="38232" spans="7:14" x14ac:dyDescent="0.3">
      <c r="G38232" s="1"/>
      <c r="N38232" s="1"/>
    </row>
    <row r="38233" spans="7:14" x14ac:dyDescent="0.3">
      <c r="G38233" s="1"/>
      <c r="N38233" s="1"/>
    </row>
    <row r="38234" spans="7:14" x14ac:dyDescent="0.3">
      <c r="G38234" s="1"/>
      <c r="N38234" s="1"/>
    </row>
    <row r="38235" spans="7:14" x14ac:dyDescent="0.3">
      <c r="G38235" s="1"/>
      <c r="N38235" s="1"/>
    </row>
    <row r="38236" spans="7:14" x14ac:dyDescent="0.3">
      <c r="G38236" s="1"/>
      <c r="N38236" s="1"/>
    </row>
    <row r="38237" spans="7:14" x14ac:dyDescent="0.3">
      <c r="G38237" s="1"/>
      <c r="N38237" s="1"/>
    </row>
    <row r="38238" spans="7:14" x14ac:dyDescent="0.3">
      <c r="G38238" s="1"/>
      <c r="N38238" s="1"/>
    </row>
    <row r="38239" spans="7:14" x14ac:dyDescent="0.3">
      <c r="G38239" s="1"/>
      <c r="N38239" s="1"/>
    </row>
    <row r="38240" spans="7:14" x14ac:dyDescent="0.3">
      <c r="G38240" s="1"/>
      <c r="N38240" s="1"/>
    </row>
    <row r="38241" spans="7:14" x14ac:dyDescent="0.3">
      <c r="G38241" s="1"/>
      <c r="N38241" s="1"/>
    </row>
    <row r="38242" spans="7:14" x14ac:dyDescent="0.3">
      <c r="G38242" s="1"/>
      <c r="N38242" s="1"/>
    </row>
    <row r="38243" spans="7:14" x14ac:dyDescent="0.3">
      <c r="G38243" s="1"/>
      <c r="N38243" s="1"/>
    </row>
    <row r="38244" spans="7:14" x14ac:dyDescent="0.3">
      <c r="G38244" s="1"/>
      <c r="N38244" s="1"/>
    </row>
    <row r="38245" spans="7:14" x14ac:dyDescent="0.3">
      <c r="G38245" s="1"/>
      <c r="N38245" s="1"/>
    </row>
    <row r="38246" spans="7:14" x14ac:dyDescent="0.3">
      <c r="G38246" s="1"/>
      <c r="N38246" s="1"/>
    </row>
    <row r="38247" spans="7:14" x14ac:dyDescent="0.3">
      <c r="G38247" s="1"/>
      <c r="N38247" s="1"/>
    </row>
    <row r="38248" spans="7:14" x14ac:dyDescent="0.3">
      <c r="G38248" s="1"/>
      <c r="N38248" s="1"/>
    </row>
    <row r="38249" spans="7:14" x14ac:dyDescent="0.3">
      <c r="G38249" s="1"/>
      <c r="N38249" s="1"/>
    </row>
    <row r="38250" spans="7:14" x14ac:dyDescent="0.3">
      <c r="G38250" s="1"/>
      <c r="N38250" s="1"/>
    </row>
    <row r="38251" spans="7:14" x14ac:dyDescent="0.3">
      <c r="G38251" s="1"/>
      <c r="N38251" s="1"/>
    </row>
    <row r="38252" spans="7:14" x14ac:dyDescent="0.3">
      <c r="G38252" s="1"/>
      <c r="N38252" s="1"/>
    </row>
    <row r="38253" spans="7:14" x14ac:dyDescent="0.3">
      <c r="G38253" s="1"/>
      <c r="N38253" s="1"/>
    </row>
    <row r="38254" spans="7:14" x14ac:dyDescent="0.3">
      <c r="G38254" s="1"/>
      <c r="N38254" s="1"/>
    </row>
    <row r="38255" spans="7:14" x14ac:dyDescent="0.3">
      <c r="G38255" s="1"/>
      <c r="N38255" s="1"/>
    </row>
    <row r="38256" spans="7:14" x14ac:dyDescent="0.3">
      <c r="G38256" s="1"/>
      <c r="N38256" s="1"/>
    </row>
    <row r="38257" spans="7:14" x14ac:dyDescent="0.3">
      <c r="G38257" s="1"/>
      <c r="N38257" s="1"/>
    </row>
    <row r="38258" spans="7:14" x14ac:dyDescent="0.3">
      <c r="G38258" s="1"/>
      <c r="N38258" s="1"/>
    </row>
    <row r="38259" spans="7:14" x14ac:dyDescent="0.3">
      <c r="G38259" s="1"/>
      <c r="N38259" s="1"/>
    </row>
    <row r="38260" spans="7:14" x14ac:dyDescent="0.3">
      <c r="G38260" s="1"/>
      <c r="N38260" s="1"/>
    </row>
    <row r="38261" spans="7:14" x14ac:dyDescent="0.3">
      <c r="G38261" s="1"/>
      <c r="N38261" s="1"/>
    </row>
    <row r="38262" spans="7:14" x14ac:dyDescent="0.3">
      <c r="G38262" s="1"/>
      <c r="N38262" s="1"/>
    </row>
    <row r="38263" spans="7:14" x14ac:dyDescent="0.3">
      <c r="G38263" s="1"/>
      <c r="N38263" s="1"/>
    </row>
    <row r="38264" spans="7:14" x14ac:dyDescent="0.3">
      <c r="G38264" s="1"/>
      <c r="N38264" s="1"/>
    </row>
    <row r="38265" spans="7:14" x14ac:dyDescent="0.3">
      <c r="G38265" s="1"/>
      <c r="N38265" s="1"/>
    </row>
    <row r="38266" spans="7:14" x14ac:dyDescent="0.3">
      <c r="G38266" s="1"/>
      <c r="N38266" s="1"/>
    </row>
    <row r="38267" spans="7:14" x14ac:dyDescent="0.3">
      <c r="G38267" s="1"/>
      <c r="N38267" s="1"/>
    </row>
    <row r="38268" spans="7:14" x14ac:dyDescent="0.3">
      <c r="G38268" s="1"/>
      <c r="N38268" s="1"/>
    </row>
    <row r="38269" spans="7:14" x14ac:dyDescent="0.3">
      <c r="G38269" s="1"/>
      <c r="N38269" s="1"/>
    </row>
    <row r="38270" spans="7:14" x14ac:dyDescent="0.3">
      <c r="G38270" s="1"/>
      <c r="N38270" s="1"/>
    </row>
    <row r="38271" spans="7:14" x14ac:dyDescent="0.3">
      <c r="G38271" s="1"/>
      <c r="N38271" s="1"/>
    </row>
    <row r="38272" spans="7:14" x14ac:dyDescent="0.3">
      <c r="G38272" s="1"/>
      <c r="N38272" s="1"/>
    </row>
    <row r="38273" spans="7:14" x14ac:dyDescent="0.3">
      <c r="G38273" s="1"/>
      <c r="N38273" s="1"/>
    </row>
    <row r="38274" spans="7:14" x14ac:dyDescent="0.3">
      <c r="G38274" s="1"/>
      <c r="N38274" s="1"/>
    </row>
    <row r="38275" spans="7:14" x14ac:dyDescent="0.3">
      <c r="G38275" s="1"/>
      <c r="N38275" s="1"/>
    </row>
    <row r="38276" spans="7:14" x14ac:dyDescent="0.3">
      <c r="G38276" s="1"/>
      <c r="N38276" s="1"/>
    </row>
    <row r="38277" spans="7:14" x14ac:dyDescent="0.3">
      <c r="G38277" s="1"/>
      <c r="N38277" s="1"/>
    </row>
    <row r="38278" spans="7:14" x14ac:dyDescent="0.3">
      <c r="G38278" s="1"/>
      <c r="N38278" s="1"/>
    </row>
    <row r="38279" spans="7:14" x14ac:dyDescent="0.3">
      <c r="G38279" s="1"/>
      <c r="N38279" s="1"/>
    </row>
    <row r="38280" spans="7:14" x14ac:dyDescent="0.3">
      <c r="G38280" s="1"/>
      <c r="N38280" s="1"/>
    </row>
    <row r="38281" spans="7:14" x14ac:dyDescent="0.3">
      <c r="G38281" s="1"/>
      <c r="N38281" s="1"/>
    </row>
    <row r="38282" spans="7:14" x14ac:dyDescent="0.3">
      <c r="G38282" s="1"/>
      <c r="N38282" s="1"/>
    </row>
    <row r="38283" spans="7:14" x14ac:dyDescent="0.3">
      <c r="G38283" s="1"/>
      <c r="N38283" s="1"/>
    </row>
    <row r="38284" spans="7:14" x14ac:dyDescent="0.3">
      <c r="G38284" s="1"/>
      <c r="N38284" s="1"/>
    </row>
    <row r="38285" spans="7:14" x14ac:dyDescent="0.3">
      <c r="G38285" s="1"/>
      <c r="N38285" s="1"/>
    </row>
    <row r="38286" spans="7:14" x14ac:dyDescent="0.3">
      <c r="G38286" s="1"/>
      <c r="N38286" s="1"/>
    </row>
    <row r="38287" spans="7:14" x14ac:dyDescent="0.3">
      <c r="G38287" s="1"/>
      <c r="N38287" s="1"/>
    </row>
    <row r="38288" spans="7:14" x14ac:dyDescent="0.3">
      <c r="G38288" s="1"/>
      <c r="N38288" s="1"/>
    </row>
    <row r="38289" spans="7:14" x14ac:dyDescent="0.3">
      <c r="G38289" s="1"/>
      <c r="N38289" s="1"/>
    </row>
    <row r="38290" spans="7:14" x14ac:dyDescent="0.3">
      <c r="G38290" s="1"/>
      <c r="N38290" s="1"/>
    </row>
    <row r="38291" spans="7:14" x14ac:dyDescent="0.3">
      <c r="G38291" s="1"/>
      <c r="N38291" s="1"/>
    </row>
    <row r="38292" spans="7:14" x14ac:dyDescent="0.3">
      <c r="G38292" s="1"/>
      <c r="N38292" s="1"/>
    </row>
    <row r="38293" spans="7:14" x14ac:dyDescent="0.3">
      <c r="G38293" s="1"/>
      <c r="N38293" s="1"/>
    </row>
    <row r="38294" spans="7:14" x14ac:dyDescent="0.3">
      <c r="G38294" s="1"/>
      <c r="N38294" s="1"/>
    </row>
    <row r="38295" spans="7:14" x14ac:dyDescent="0.3">
      <c r="G38295" s="1"/>
      <c r="N38295" s="1"/>
    </row>
    <row r="38296" spans="7:14" x14ac:dyDescent="0.3">
      <c r="G38296" s="1"/>
      <c r="N38296" s="1"/>
    </row>
    <row r="38297" spans="7:14" x14ac:dyDescent="0.3">
      <c r="G38297" s="1"/>
      <c r="N38297" s="1"/>
    </row>
    <row r="38298" spans="7:14" x14ac:dyDescent="0.3">
      <c r="G38298" s="1"/>
      <c r="N38298" s="1"/>
    </row>
    <row r="38299" spans="7:14" x14ac:dyDescent="0.3">
      <c r="G38299" s="1"/>
      <c r="N38299" s="1"/>
    </row>
    <row r="38300" spans="7:14" x14ac:dyDescent="0.3">
      <c r="G38300" s="1"/>
      <c r="N38300" s="1"/>
    </row>
    <row r="38301" spans="7:14" x14ac:dyDescent="0.3">
      <c r="G38301" s="1"/>
      <c r="N38301" s="1"/>
    </row>
    <row r="38302" spans="7:14" x14ac:dyDescent="0.3">
      <c r="G38302" s="1"/>
      <c r="N38302" s="1"/>
    </row>
    <row r="38303" spans="7:14" x14ac:dyDescent="0.3">
      <c r="G38303" s="1"/>
      <c r="N38303" s="1"/>
    </row>
    <row r="38304" spans="7:14" x14ac:dyDescent="0.3">
      <c r="G38304" s="1"/>
      <c r="N38304" s="1"/>
    </row>
    <row r="38305" spans="7:14" x14ac:dyDescent="0.3">
      <c r="G38305" s="1"/>
      <c r="N38305" s="1"/>
    </row>
    <row r="38306" spans="7:14" x14ac:dyDescent="0.3">
      <c r="G38306" s="1"/>
      <c r="N38306" s="1"/>
    </row>
    <row r="38307" spans="7:14" x14ac:dyDescent="0.3">
      <c r="G38307" s="1"/>
      <c r="N38307" s="1"/>
    </row>
    <row r="38308" spans="7:14" x14ac:dyDescent="0.3">
      <c r="G38308" s="1"/>
      <c r="N38308" s="1"/>
    </row>
    <row r="38309" spans="7:14" x14ac:dyDescent="0.3">
      <c r="G38309" s="1"/>
      <c r="N38309" s="1"/>
    </row>
    <row r="38310" spans="7:14" x14ac:dyDescent="0.3">
      <c r="G38310" s="1"/>
      <c r="N38310" s="1"/>
    </row>
    <row r="38311" spans="7:14" x14ac:dyDescent="0.3">
      <c r="G38311" s="1"/>
      <c r="N38311" s="1"/>
    </row>
    <row r="38312" spans="7:14" x14ac:dyDescent="0.3">
      <c r="G38312" s="1"/>
      <c r="N38312" s="1"/>
    </row>
    <row r="38313" spans="7:14" x14ac:dyDescent="0.3">
      <c r="G38313" s="1"/>
      <c r="N38313" s="1"/>
    </row>
    <row r="38314" spans="7:14" x14ac:dyDescent="0.3">
      <c r="G38314" s="1"/>
      <c r="N38314" s="1"/>
    </row>
    <row r="38315" spans="7:14" x14ac:dyDescent="0.3">
      <c r="G38315" s="1"/>
      <c r="N38315" s="1"/>
    </row>
    <row r="38316" spans="7:14" x14ac:dyDescent="0.3">
      <c r="G38316" s="1"/>
      <c r="N38316" s="1"/>
    </row>
    <row r="38317" spans="7:14" x14ac:dyDescent="0.3">
      <c r="G38317" s="1"/>
      <c r="N38317" s="1"/>
    </row>
    <row r="38318" spans="7:14" x14ac:dyDescent="0.3">
      <c r="G38318" s="1"/>
      <c r="N38318" s="1"/>
    </row>
    <row r="38319" spans="7:14" x14ac:dyDescent="0.3">
      <c r="G38319" s="1"/>
      <c r="N38319" s="1"/>
    </row>
    <row r="38320" spans="7:14" x14ac:dyDescent="0.3">
      <c r="G38320" s="1"/>
      <c r="N38320" s="1"/>
    </row>
    <row r="38321" spans="7:14" x14ac:dyDescent="0.3">
      <c r="G38321" s="1"/>
      <c r="N38321" s="1"/>
    </row>
    <row r="38322" spans="7:14" x14ac:dyDescent="0.3">
      <c r="G38322" s="1"/>
      <c r="N38322" s="1"/>
    </row>
    <row r="38323" spans="7:14" x14ac:dyDescent="0.3">
      <c r="G38323" s="1"/>
      <c r="N38323" s="1"/>
    </row>
    <row r="38324" spans="7:14" x14ac:dyDescent="0.3">
      <c r="G38324" s="1"/>
      <c r="N38324" s="1"/>
    </row>
    <row r="38325" spans="7:14" x14ac:dyDescent="0.3">
      <c r="G38325" s="1"/>
      <c r="N38325" s="1"/>
    </row>
    <row r="38326" spans="7:14" x14ac:dyDescent="0.3">
      <c r="G38326" s="1"/>
      <c r="N38326" s="1"/>
    </row>
    <row r="38327" spans="7:14" x14ac:dyDescent="0.3">
      <c r="G38327" s="1"/>
      <c r="N38327" s="1"/>
    </row>
    <row r="38328" spans="7:14" x14ac:dyDescent="0.3">
      <c r="G38328" s="1"/>
      <c r="N38328" s="1"/>
    </row>
    <row r="38329" spans="7:14" x14ac:dyDescent="0.3">
      <c r="G38329" s="1"/>
      <c r="N38329" s="1"/>
    </row>
    <row r="38330" spans="7:14" x14ac:dyDescent="0.3">
      <c r="G38330" s="1"/>
      <c r="N38330" s="1"/>
    </row>
    <row r="38331" spans="7:14" x14ac:dyDescent="0.3">
      <c r="G38331" s="1"/>
      <c r="N38331" s="1"/>
    </row>
    <row r="38332" spans="7:14" x14ac:dyDescent="0.3">
      <c r="G38332" s="1"/>
      <c r="N38332" s="1"/>
    </row>
    <row r="38333" spans="7:14" x14ac:dyDescent="0.3">
      <c r="G38333" s="1"/>
      <c r="N38333" s="1"/>
    </row>
    <row r="38334" spans="7:14" x14ac:dyDescent="0.3">
      <c r="G38334" s="1"/>
      <c r="N38334" s="1"/>
    </row>
    <row r="38335" spans="7:14" x14ac:dyDescent="0.3">
      <c r="G38335" s="1"/>
      <c r="N38335" s="1"/>
    </row>
    <row r="38336" spans="7:14" x14ac:dyDescent="0.3">
      <c r="G38336" s="1"/>
      <c r="N38336" s="1"/>
    </row>
    <row r="38337" spans="7:14" x14ac:dyDescent="0.3">
      <c r="G38337" s="1"/>
      <c r="N38337" s="1"/>
    </row>
    <row r="38338" spans="7:14" x14ac:dyDescent="0.3">
      <c r="G38338" s="1"/>
      <c r="N38338" s="1"/>
    </row>
    <row r="38339" spans="7:14" x14ac:dyDescent="0.3">
      <c r="G38339" s="1"/>
      <c r="N38339" s="1"/>
    </row>
    <row r="38340" spans="7:14" x14ac:dyDescent="0.3">
      <c r="G38340" s="1"/>
      <c r="N38340" s="1"/>
    </row>
    <row r="38341" spans="7:14" x14ac:dyDescent="0.3">
      <c r="G38341" s="1"/>
      <c r="N38341" s="1"/>
    </row>
    <row r="38342" spans="7:14" x14ac:dyDescent="0.3">
      <c r="G38342" s="1"/>
      <c r="N38342" s="1"/>
    </row>
    <row r="38343" spans="7:14" x14ac:dyDescent="0.3">
      <c r="G38343" s="1"/>
      <c r="N38343" s="1"/>
    </row>
    <row r="38344" spans="7:14" x14ac:dyDescent="0.3">
      <c r="G38344" s="1"/>
      <c r="N38344" s="1"/>
    </row>
    <row r="38345" spans="7:14" x14ac:dyDescent="0.3">
      <c r="G38345" s="1"/>
      <c r="N38345" s="1"/>
    </row>
    <row r="38346" spans="7:14" x14ac:dyDescent="0.3">
      <c r="G38346" s="1"/>
      <c r="N38346" s="1"/>
    </row>
    <row r="38347" spans="7:14" x14ac:dyDescent="0.3">
      <c r="G38347" s="1"/>
      <c r="N38347" s="1"/>
    </row>
    <row r="38348" spans="7:14" x14ac:dyDescent="0.3">
      <c r="G38348" s="1"/>
      <c r="N38348" s="1"/>
    </row>
    <row r="38349" spans="7:14" x14ac:dyDescent="0.3">
      <c r="G38349" s="1"/>
      <c r="N38349" s="1"/>
    </row>
    <row r="38350" spans="7:14" x14ac:dyDescent="0.3">
      <c r="G38350" s="1"/>
      <c r="N38350" s="1"/>
    </row>
    <row r="38351" spans="7:14" x14ac:dyDescent="0.3">
      <c r="G38351" s="1"/>
      <c r="N38351" s="1"/>
    </row>
    <row r="38352" spans="7:14" x14ac:dyDescent="0.3">
      <c r="G38352" s="1"/>
      <c r="N38352" s="1"/>
    </row>
    <row r="38353" spans="7:14" x14ac:dyDescent="0.3">
      <c r="G38353" s="1"/>
      <c r="N38353" s="1"/>
    </row>
    <row r="38354" spans="7:14" x14ac:dyDescent="0.3">
      <c r="G38354" s="1"/>
      <c r="N38354" s="1"/>
    </row>
    <row r="38355" spans="7:14" x14ac:dyDescent="0.3">
      <c r="G38355" s="1"/>
      <c r="N38355" s="1"/>
    </row>
    <row r="38356" spans="7:14" x14ac:dyDescent="0.3">
      <c r="G38356" s="1"/>
      <c r="N38356" s="1"/>
    </row>
    <row r="38357" spans="7:14" x14ac:dyDescent="0.3">
      <c r="G38357" s="1"/>
      <c r="N38357" s="1"/>
    </row>
    <row r="38358" spans="7:14" x14ac:dyDescent="0.3">
      <c r="G38358" s="1"/>
      <c r="N38358" s="1"/>
    </row>
    <row r="38359" spans="7:14" x14ac:dyDescent="0.3">
      <c r="G38359" s="1"/>
      <c r="N38359" s="1"/>
    </row>
    <row r="38360" spans="7:14" x14ac:dyDescent="0.3">
      <c r="G38360" s="1"/>
      <c r="N38360" s="1"/>
    </row>
    <row r="38361" spans="7:14" x14ac:dyDescent="0.3">
      <c r="G38361" s="1"/>
      <c r="N38361" s="1"/>
    </row>
    <row r="38362" spans="7:14" x14ac:dyDescent="0.3">
      <c r="G38362" s="1"/>
      <c r="N38362" s="1"/>
    </row>
    <row r="38363" spans="7:14" x14ac:dyDescent="0.3">
      <c r="G38363" s="1"/>
      <c r="N38363" s="1"/>
    </row>
    <row r="38364" spans="7:14" x14ac:dyDescent="0.3">
      <c r="G38364" s="1"/>
      <c r="N38364" s="1"/>
    </row>
    <row r="38365" spans="7:14" x14ac:dyDescent="0.3">
      <c r="G38365" s="1"/>
      <c r="N38365" s="1"/>
    </row>
    <row r="38366" spans="7:14" x14ac:dyDescent="0.3">
      <c r="G38366" s="1"/>
      <c r="N38366" s="1"/>
    </row>
    <row r="38367" spans="7:14" x14ac:dyDescent="0.3">
      <c r="G38367" s="1"/>
      <c r="N38367" s="1"/>
    </row>
    <row r="38368" spans="7:14" x14ac:dyDescent="0.3">
      <c r="G38368" s="1"/>
      <c r="N38368" s="1"/>
    </row>
    <row r="38369" spans="7:14" x14ac:dyDescent="0.3">
      <c r="G38369" s="1"/>
      <c r="N38369" s="1"/>
    </row>
    <row r="38370" spans="7:14" x14ac:dyDescent="0.3">
      <c r="G38370" s="1"/>
      <c r="N38370" s="1"/>
    </row>
    <row r="38371" spans="7:14" x14ac:dyDescent="0.3">
      <c r="G38371" s="1"/>
      <c r="N38371" s="1"/>
    </row>
    <row r="38372" spans="7:14" x14ac:dyDescent="0.3">
      <c r="G38372" s="1"/>
      <c r="N38372" s="1"/>
    </row>
    <row r="38373" spans="7:14" x14ac:dyDescent="0.3">
      <c r="G38373" s="1"/>
      <c r="N38373" s="1"/>
    </row>
    <row r="38374" spans="7:14" x14ac:dyDescent="0.3">
      <c r="G38374" s="1"/>
      <c r="N38374" s="1"/>
    </row>
    <row r="38375" spans="7:14" x14ac:dyDescent="0.3">
      <c r="G38375" s="1"/>
      <c r="N38375" s="1"/>
    </row>
    <row r="38376" spans="7:14" x14ac:dyDescent="0.3">
      <c r="G38376" s="1"/>
      <c r="N38376" s="1"/>
    </row>
    <row r="38377" spans="7:14" x14ac:dyDescent="0.3">
      <c r="G38377" s="1"/>
      <c r="N38377" s="1"/>
    </row>
    <row r="38378" spans="7:14" x14ac:dyDescent="0.3">
      <c r="G38378" s="1"/>
      <c r="N38378" s="1"/>
    </row>
    <row r="38379" spans="7:14" x14ac:dyDescent="0.3">
      <c r="G38379" s="1"/>
      <c r="N38379" s="1"/>
    </row>
    <row r="38380" spans="7:14" x14ac:dyDescent="0.3">
      <c r="G38380" s="1"/>
      <c r="N38380" s="1"/>
    </row>
    <row r="38381" spans="7:14" x14ac:dyDescent="0.3">
      <c r="G38381" s="1"/>
      <c r="N38381" s="1"/>
    </row>
    <row r="38382" spans="7:14" x14ac:dyDescent="0.3">
      <c r="G38382" s="1"/>
      <c r="N38382" s="1"/>
    </row>
    <row r="38383" spans="7:14" x14ac:dyDescent="0.3">
      <c r="G38383" s="1"/>
      <c r="N38383" s="1"/>
    </row>
    <row r="38384" spans="7:14" x14ac:dyDescent="0.3">
      <c r="G38384" s="1"/>
      <c r="N38384" s="1"/>
    </row>
    <row r="38385" spans="7:14" x14ac:dyDescent="0.3">
      <c r="G38385" s="1"/>
      <c r="N38385" s="1"/>
    </row>
    <row r="38386" spans="7:14" x14ac:dyDescent="0.3">
      <c r="G38386" s="1"/>
      <c r="N38386" s="1"/>
    </row>
    <row r="38387" spans="7:14" x14ac:dyDescent="0.3">
      <c r="G38387" s="1"/>
      <c r="N38387" s="1"/>
    </row>
    <row r="38388" spans="7:14" x14ac:dyDescent="0.3">
      <c r="G38388" s="1"/>
      <c r="N38388" s="1"/>
    </row>
    <row r="38389" spans="7:14" x14ac:dyDescent="0.3">
      <c r="G38389" s="1"/>
      <c r="N38389" s="1"/>
    </row>
    <row r="38390" spans="7:14" x14ac:dyDescent="0.3">
      <c r="G38390" s="1"/>
      <c r="N38390" s="1"/>
    </row>
    <row r="38391" spans="7:14" x14ac:dyDescent="0.3">
      <c r="G38391" s="1"/>
      <c r="N38391" s="1"/>
    </row>
    <row r="38392" spans="7:14" x14ac:dyDescent="0.3">
      <c r="G38392" s="1"/>
      <c r="N38392" s="1"/>
    </row>
    <row r="38393" spans="7:14" x14ac:dyDescent="0.3">
      <c r="G38393" s="1"/>
      <c r="N38393" s="1"/>
    </row>
    <row r="38394" spans="7:14" x14ac:dyDescent="0.3">
      <c r="G38394" s="1"/>
      <c r="N38394" s="1"/>
    </row>
    <row r="38395" spans="7:14" x14ac:dyDescent="0.3">
      <c r="G38395" s="1"/>
      <c r="N38395" s="1"/>
    </row>
    <row r="38396" spans="7:14" x14ac:dyDescent="0.3">
      <c r="G38396" s="1"/>
      <c r="N38396" s="1"/>
    </row>
    <row r="38397" spans="7:14" x14ac:dyDescent="0.3">
      <c r="G38397" s="1"/>
      <c r="N38397" s="1"/>
    </row>
    <row r="38398" spans="7:14" x14ac:dyDescent="0.3">
      <c r="G38398" s="1"/>
      <c r="N38398" s="1"/>
    </row>
    <row r="38399" spans="7:14" x14ac:dyDescent="0.3">
      <c r="G38399" s="1"/>
      <c r="N38399" s="1"/>
    </row>
    <row r="38400" spans="7:14" x14ac:dyDescent="0.3">
      <c r="G38400" s="1"/>
      <c r="N38400" s="1"/>
    </row>
    <row r="38401" spans="7:14" x14ac:dyDescent="0.3">
      <c r="G38401" s="1"/>
      <c r="N38401" s="1"/>
    </row>
    <row r="38402" spans="7:14" x14ac:dyDescent="0.3">
      <c r="G38402" s="1"/>
      <c r="N38402" s="1"/>
    </row>
    <row r="38403" spans="7:14" x14ac:dyDescent="0.3">
      <c r="G38403" s="1"/>
      <c r="N38403" s="1"/>
    </row>
    <row r="38404" spans="7:14" x14ac:dyDescent="0.3">
      <c r="G38404" s="1"/>
      <c r="N38404" s="1"/>
    </row>
    <row r="38405" spans="7:14" x14ac:dyDescent="0.3">
      <c r="G38405" s="1"/>
      <c r="N38405" s="1"/>
    </row>
    <row r="38406" spans="7:14" x14ac:dyDescent="0.3">
      <c r="G38406" s="1"/>
      <c r="N38406" s="1"/>
    </row>
    <row r="38407" spans="7:14" x14ac:dyDescent="0.3">
      <c r="G38407" s="1"/>
      <c r="N38407" s="1"/>
    </row>
    <row r="38408" spans="7:14" x14ac:dyDescent="0.3">
      <c r="G38408" s="1"/>
      <c r="N38408" s="1"/>
    </row>
    <row r="38409" spans="7:14" x14ac:dyDescent="0.3">
      <c r="G38409" s="1"/>
      <c r="N38409" s="1"/>
    </row>
    <row r="38410" spans="7:14" x14ac:dyDescent="0.3">
      <c r="G38410" s="1"/>
      <c r="N38410" s="1"/>
    </row>
    <row r="38411" spans="7:14" x14ac:dyDescent="0.3">
      <c r="G38411" s="1"/>
      <c r="N38411" s="1"/>
    </row>
    <row r="38412" spans="7:14" x14ac:dyDescent="0.3">
      <c r="G38412" s="1"/>
      <c r="N38412" s="1"/>
    </row>
    <row r="38413" spans="7:14" x14ac:dyDescent="0.3">
      <c r="G38413" s="1"/>
      <c r="N38413" s="1"/>
    </row>
    <row r="38414" spans="7:14" x14ac:dyDescent="0.3">
      <c r="G38414" s="1"/>
      <c r="N38414" s="1"/>
    </row>
    <row r="38415" spans="7:14" x14ac:dyDescent="0.3">
      <c r="G38415" s="1"/>
      <c r="N38415" s="1"/>
    </row>
    <row r="38416" spans="7:14" x14ac:dyDescent="0.3">
      <c r="G38416" s="1"/>
      <c r="N38416" s="1"/>
    </row>
    <row r="38417" spans="7:14" x14ac:dyDescent="0.3">
      <c r="G38417" s="1"/>
      <c r="N38417" s="1"/>
    </row>
    <row r="38418" spans="7:14" x14ac:dyDescent="0.3">
      <c r="G38418" s="1"/>
      <c r="N38418" s="1"/>
    </row>
    <row r="38419" spans="7:14" x14ac:dyDescent="0.3">
      <c r="G38419" s="1"/>
      <c r="N38419" s="1"/>
    </row>
    <row r="38420" spans="7:14" x14ac:dyDescent="0.3">
      <c r="G38420" s="1"/>
      <c r="N38420" s="1"/>
    </row>
    <row r="38421" spans="7:14" x14ac:dyDescent="0.3">
      <c r="G38421" s="1"/>
      <c r="N38421" s="1"/>
    </row>
    <row r="38422" spans="7:14" x14ac:dyDescent="0.3">
      <c r="G38422" s="1"/>
      <c r="N38422" s="1"/>
    </row>
    <row r="38423" spans="7:14" x14ac:dyDescent="0.3">
      <c r="G38423" s="1"/>
      <c r="N38423" s="1"/>
    </row>
    <row r="38424" spans="7:14" x14ac:dyDescent="0.3">
      <c r="G38424" s="1"/>
      <c r="N38424" s="1"/>
    </row>
    <row r="38425" spans="7:14" x14ac:dyDescent="0.3">
      <c r="G38425" s="1"/>
      <c r="N38425" s="1"/>
    </row>
    <row r="38426" spans="7:14" x14ac:dyDescent="0.3">
      <c r="G38426" s="1"/>
      <c r="N38426" s="1"/>
    </row>
    <row r="38427" spans="7:14" x14ac:dyDescent="0.3">
      <c r="G38427" s="1"/>
      <c r="N38427" s="1"/>
    </row>
    <row r="38428" spans="7:14" x14ac:dyDescent="0.3">
      <c r="G38428" s="1"/>
      <c r="N38428" s="1"/>
    </row>
    <row r="38429" spans="7:14" x14ac:dyDescent="0.3">
      <c r="G38429" s="1"/>
      <c r="N38429" s="1"/>
    </row>
    <row r="38430" spans="7:14" x14ac:dyDescent="0.3">
      <c r="G38430" s="1"/>
      <c r="N38430" s="1"/>
    </row>
    <row r="38431" spans="7:14" x14ac:dyDescent="0.3">
      <c r="G38431" s="1"/>
      <c r="N38431" s="1"/>
    </row>
    <row r="38432" spans="7:14" x14ac:dyDescent="0.3">
      <c r="G38432" s="1"/>
      <c r="N38432" s="1"/>
    </row>
    <row r="38433" spans="7:14" x14ac:dyDescent="0.3">
      <c r="G38433" s="1"/>
      <c r="N38433" s="1"/>
    </row>
    <row r="38434" spans="7:14" x14ac:dyDescent="0.3">
      <c r="G38434" s="1"/>
      <c r="N38434" s="1"/>
    </row>
    <row r="38435" spans="7:14" x14ac:dyDescent="0.3">
      <c r="G38435" s="1"/>
      <c r="N38435" s="1"/>
    </row>
    <row r="38436" spans="7:14" x14ac:dyDescent="0.3">
      <c r="G38436" s="1"/>
      <c r="N38436" s="1"/>
    </row>
    <row r="38437" spans="7:14" x14ac:dyDescent="0.3">
      <c r="G38437" s="1"/>
      <c r="N38437" s="1"/>
    </row>
    <row r="38438" spans="7:14" x14ac:dyDescent="0.3">
      <c r="G38438" s="1"/>
      <c r="N38438" s="1"/>
    </row>
    <row r="38439" spans="7:14" x14ac:dyDescent="0.3">
      <c r="G38439" s="1"/>
      <c r="N38439" s="1"/>
    </row>
    <row r="38440" spans="7:14" x14ac:dyDescent="0.3">
      <c r="G38440" s="1"/>
      <c r="N38440" s="1"/>
    </row>
    <row r="38441" spans="7:14" x14ac:dyDescent="0.3">
      <c r="G38441" s="1"/>
      <c r="N38441" s="1"/>
    </row>
    <row r="38442" spans="7:14" x14ac:dyDescent="0.3">
      <c r="G38442" s="1"/>
      <c r="N38442" s="1"/>
    </row>
    <row r="38443" spans="7:14" x14ac:dyDescent="0.3">
      <c r="G38443" s="1"/>
      <c r="N38443" s="1"/>
    </row>
    <row r="38444" spans="7:14" x14ac:dyDescent="0.3">
      <c r="G38444" s="1"/>
      <c r="N38444" s="1"/>
    </row>
    <row r="38445" spans="7:14" x14ac:dyDescent="0.3">
      <c r="G38445" s="1"/>
      <c r="N38445" s="1"/>
    </row>
    <row r="38446" spans="7:14" x14ac:dyDescent="0.3">
      <c r="G38446" s="1"/>
      <c r="N38446" s="1"/>
    </row>
    <row r="38447" spans="7:14" x14ac:dyDescent="0.3">
      <c r="G38447" s="1"/>
      <c r="N38447" s="1"/>
    </row>
    <row r="38448" spans="7:14" x14ac:dyDescent="0.3">
      <c r="G38448" s="1"/>
      <c r="N38448" s="1"/>
    </row>
    <row r="38449" spans="7:14" x14ac:dyDescent="0.3">
      <c r="G38449" s="1"/>
      <c r="N38449" s="1"/>
    </row>
    <row r="38450" spans="7:14" x14ac:dyDescent="0.3">
      <c r="G38450" s="1"/>
      <c r="N38450" s="1"/>
    </row>
    <row r="38451" spans="7:14" x14ac:dyDescent="0.3">
      <c r="G38451" s="1"/>
      <c r="N38451" s="1"/>
    </row>
    <row r="38452" spans="7:14" x14ac:dyDescent="0.3">
      <c r="G38452" s="1"/>
      <c r="N38452" s="1"/>
    </row>
    <row r="38453" spans="7:14" x14ac:dyDescent="0.3">
      <c r="G38453" s="1"/>
      <c r="N38453" s="1"/>
    </row>
    <row r="38454" spans="7:14" x14ac:dyDescent="0.3">
      <c r="G38454" s="1"/>
      <c r="N38454" s="1"/>
    </row>
    <row r="38455" spans="7:14" x14ac:dyDescent="0.3">
      <c r="G38455" s="1"/>
      <c r="N38455" s="1"/>
    </row>
    <row r="38456" spans="7:14" x14ac:dyDescent="0.3">
      <c r="G38456" s="1"/>
      <c r="N38456" s="1"/>
    </row>
    <row r="38457" spans="7:14" x14ac:dyDescent="0.3">
      <c r="G38457" s="1"/>
      <c r="N38457" s="1"/>
    </row>
    <row r="38458" spans="7:14" x14ac:dyDescent="0.3">
      <c r="G38458" s="1"/>
      <c r="N38458" s="1"/>
    </row>
    <row r="38459" spans="7:14" x14ac:dyDescent="0.3">
      <c r="G38459" s="1"/>
      <c r="N38459" s="1"/>
    </row>
    <row r="38460" spans="7:14" x14ac:dyDescent="0.3">
      <c r="G38460" s="1"/>
      <c r="N38460" s="1"/>
    </row>
    <row r="38461" spans="7:14" x14ac:dyDescent="0.3">
      <c r="G38461" s="1"/>
      <c r="N38461" s="1"/>
    </row>
    <row r="38462" spans="7:14" x14ac:dyDescent="0.3">
      <c r="G38462" s="1"/>
      <c r="N38462" s="1"/>
    </row>
    <row r="38463" spans="7:14" x14ac:dyDescent="0.3">
      <c r="G38463" s="1"/>
      <c r="N38463" s="1"/>
    </row>
    <row r="38464" spans="7:14" x14ac:dyDescent="0.3">
      <c r="G38464" s="1"/>
      <c r="N38464" s="1"/>
    </row>
    <row r="38465" spans="7:14" x14ac:dyDescent="0.3">
      <c r="G38465" s="1"/>
      <c r="N38465" s="1"/>
    </row>
    <row r="38466" spans="7:14" x14ac:dyDescent="0.3">
      <c r="G38466" s="1"/>
      <c r="N38466" s="1"/>
    </row>
    <row r="38467" spans="7:14" x14ac:dyDescent="0.3">
      <c r="G38467" s="1"/>
      <c r="N38467" s="1"/>
    </row>
    <row r="38468" spans="7:14" x14ac:dyDescent="0.3">
      <c r="G38468" s="1"/>
      <c r="N38468" s="1"/>
    </row>
    <row r="38469" spans="7:14" x14ac:dyDescent="0.3">
      <c r="G38469" s="1"/>
      <c r="N38469" s="1"/>
    </row>
    <row r="38470" spans="7:14" x14ac:dyDescent="0.3">
      <c r="G38470" s="1"/>
      <c r="N38470" s="1"/>
    </row>
    <row r="38471" spans="7:14" x14ac:dyDescent="0.3">
      <c r="G38471" s="1"/>
      <c r="N38471" s="1"/>
    </row>
    <row r="38472" spans="7:14" x14ac:dyDescent="0.3">
      <c r="G38472" s="1"/>
      <c r="N38472" s="1"/>
    </row>
    <row r="38473" spans="7:14" x14ac:dyDescent="0.3">
      <c r="G38473" s="1"/>
      <c r="N38473" s="1"/>
    </row>
    <row r="38474" spans="7:14" x14ac:dyDescent="0.3">
      <c r="G38474" s="1"/>
      <c r="N38474" s="1"/>
    </row>
    <row r="38475" spans="7:14" x14ac:dyDescent="0.3">
      <c r="G38475" s="1"/>
      <c r="N38475" s="1"/>
    </row>
    <row r="38476" spans="7:14" x14ac:dyDescent="0.3">
      <c r="G38476" s="1"/>
      <c r="N38476" s="1"/>
    </row>
    <row r="38477" spans="7:14" x14ac:dyDescent="0.3">
      <c r="G38477" s="1"/>
      <c r="N38477" s="1"/>
    </row>
    <row r="38478" spans="7:14" x14ac:dyDescent="0.3">
      <c r="G38478" s="1"/>
      <c r="N38478" s="1"/>
    </row>
    <row r="38479" spans="7:14" x14ac:dyDescent="0.3">
      <c r="G38479" s="1"/>
      <c r="N38479" s="1"/>
    </row>
    <row r="38480" spans="7:14" x14ac:dyDescent="0.3">
      <c r="G38480" s="1"/>
      <c r="N38480" s="1"/>
    </row>
    <row r="38481" spans="7:14" x14ac:dyDescent="0.3">
      <c r="G38481" s="1"/>
      <c r="N38481" s="1"/>
    </row>
    <row r="38482" spans="7:14" x14ac:dyDescent="0.3">
      <c r="G38482" s="1"/>
      <c r="N38482" s="1"/>
    </row>
    <row r="38483" spans="7:14" x14ac:dyDescent="0.3">
      <c r="G38483" s="1"/>
      <c r="N38483" s="1"/>
    </row>
    <row r="38484" spans="7:14" x14ac:dyDescent="0.3">
      <c r="G38484" s="1"/>
      <c r="N38484" s="1"/>
    </row>
    <row r="38485" spans="7:14" x14ac:dyDescent="0.3">
      <c r="G38485" s="1"/>
      <c r="N38485" s="1"/>
    </row>
    <row r="38486" spans="7:14" x14ac:dyDescent="0.3">
      <c r="G38486" s="1"/>
      <c r="N38486" s="1"/>
    </row>
    <row r="38487" spans="7:14" x14ac:dyDescent="0.3">
      <c r="G38487" s="1"/>
      <c r="N38487" s="1"/>
    </row>
    <row r="38488" spans="7:14" x14ac:dyDescent="0.3">
      <c r="G38488" s="1"/>
      <c r="N38488" s="1"/>
    </row>
    <row r="38489" spans="7:14" x14ac:dyDescent="0.3">
      <c r="G38489" s="1"/>
      <c r="N38489" s="1"/>
    </row>
    <row r="38490" spans="7:14" x14ac:dyDescent="0.3">
      <c r="G38490" s="1"/>
      <c r="N38490" s="1"/>
    </row>
    <row r="38491" spans="7:14" x14ac:dyDescent="0.3">
      <c r="G38491" s="1"/>
      <c r="N38491" s="1"/>
    </row>
    <row r="38492" spans="7:14" x14ac:dyDescent="0.3">
      <c r="G38492" s="1"/>
      <c r="N38492" s="1"/>
    </row>
    <row r="38493" spans="7:14" x14ac:dyDescent="0.3">
      <c r="G38493" s="1"/>
      <c r="N38493" s="1"/>
    </row>
    <row r="38494" spans="7:14" x14ac:dyDescent="0.3">
      <c r="G38494" s="1"/>
      <c r="N38494" s="1"/>
    </row>
    <row r="38495" spans="7:14" x14ac:dyDescent="0.3">
      <c r="G38495" s="1"/>
      <c r="N38495" s="1"/>
    </row>
    <row r="38496" spans="7:14" x14ac:dyDescent="0.3">
      <c r="G38496" s="1"/>
      <c r="N38496" s="1"/>
    </row>
    <row r="38497" spans="7:14" x14ac:dyDescent="0.3">
      <c r="G38497" s="1"/>
      <c r="N38497" s="1"/>
    </row>
    <row r="38498" spans="7:14" x14ac:dyDescent="0.3">
      <c r="G38498" s="1"/>
      <c r="N38498" s="1"/>
    </row>
    <row r="38499" spans="7:14" x14ac:dyDescent="0.3">
      <c r="G38499" s="1"/>
      <c r="N38499" s="1"/>
    </row>
    <row r="38500" spans="7:14" x14ac:dyDescent="0.3">
      <c r="G38500" s="1"/>
      <c r="N38500" s="1"/>
    </row>
    <row r="38501" spans="7:14" x14ac:dyDescent="0.3">
      <c r="G38501" s="1"/>
      <c r="N38501" s="1"/>
    </row>
    <row r="38502" spans="7:14" x14ac:dyDescent="0.3">
      <c r="G38502" s="1"/>
      <c r="N38502" s="1"/>
    </row>
    <row r="38503" spans="7:14" x14ac:dyDescent="0.3">
      <c r="G38503" s="1"/>
      <c r="N38503" s="1"/>
    </row>
    <row r="38504" spans="7:14" x14ac:dyDescent="0.3">
      <c r="G38504" s="1"/>
      <c r="N38504" s="1"/>
    </row>
    <row r="38505" spans="7:14" x14ac:dyDescent="0.3">
      <c r="G38505" s="1"/>
      <c r="N38505" s="1"/>
    </row>
    <row r="38506" spans="7:14" x14ac:dyDescent="0.3">
      <c r="G38506" s="1"/>
      <c r="N38506" s="1"/>
    </row>
    <row r="38507" spans="7:14" x14ac:dyDescent="0.3">
      <c r="G38507" s="1"/>
      <c r="N38507" s="1"/>
    </row>
    <row r="38508" spans="7:14" x14ac:dyDescent="0.3">
      <c r="G38508" s="1"/>
      <c r="N38508" s="1"/>
    </row>
    <row r="38509" spans="7:14" x14ac:dyDescent="0.3">
      <c r="G38509" s="1"/>
      <c r="N38509" s="1"/>
    </row>
    <row r="38510" spans="7:14" x14ac:dyDescent="0.3">
      <c r="G38510" s="1"/>
      <c r="N38510" s="1"/>
    </row>
    <row r="38511" spans="7:14" x14ac:dyDescent="0.3">
      <c r="G38511" s="1"/>
      <c r="N38511" s="1"/>
    </row>
    <row r="38512" spans="7:14" x14ac:dyDescent="0.3">
      <c r="G38512" s="1"/>
      <c r="N38512" s="1"/>
    </row>
    <row r="38513" spans="7:14" x14ac:dyDescent="0.3">
      <c r="G38513" s="1"/>
      <c r="N38513" s="1"/>
    </row>
    <row r="38514" spans="7:14" x14ac:dyDescent="0.3">
      <c r="G38514" s="1"/>
      <c r="N38514" s="1"/>
    </row>
    <row r="38515" spans="7:14" x14ac:dyDescent="0.3">
      <c r="G38515" s="1"/>
      <c r="N38515" s="1"/>
    </row>
    <row r="38516" spans="7:14" x14ac:dyDescent="0.3">
      <c r="G38516" s="1"/>
      <c r="N38516" s="1"/>
    </row>
    <row r="38517" spans="7:14" x14ac:dyDescent="0.3">
      <c r="G38517" s="1"/>
      <c r="N38517" s="1"/>
    </row>
    <row r="38518" spans="7:14" x14ac:dyDescent="0.3">
      <c r="G38518" s="1"/>
      <c r="N38518" s="1"/>
    </row>
    <row r="38519" spans="7:14" x14ac:dyDescent="0.3">
      <c r="G38519" s="1"/>
      <c r="N38519" s="1"/>
    </row>
    <row r="38520" spans="7:14" x14ac:dyDescent="0.3">
      <c r="G38520" s="1"/>
      <c r="N38520" s="1"/>
    </row>
    <row r="38521" spans="7:14" x14ac:dyDescent="0.3">
      <c r="G38521" s="1"/>
      <c r="N38521" s="1"/>
    </row>
    <row r="38522" spans="7:14" x14ac:dyDescent="0.3">
      <c r="G38522" s="1"/>
      <c r="N38522" s="1"/>
    </row>
    <row r="38523" spans="7:14" x14ac:dyDescent="0.3">
      <c r="G38523" s="1"/>
      <c r="N38523" s="1"/>
    </row>
    <row r="38524" spans="7:14" x14ac:dyDescent="0.3">
      <c r="G38524" s="1"/>
      <c r="N38524" s="1"/>
    </row>
    <row r="38525" spans="7:14" x14ac:dyDescent="0.3">
      <c r="G38525" s="1"/>
      <c r="N38525" s="1"/>
    </row>
    <row r="38526" spans="7:14" x14ac:dyDescent="0.3">
      <c r="G38526" s="1"/>
      <c r="N38526" s="1"/>
    </row>
    <row r="38527" spans="7:14" x14ac:dyDescent="0.3">
      <c r="G38527" s="1"/>
      <c r="N38527" s="1"/>
    </row>
    <row r="38528" spans="7:14" x14ac:dyDescent="0.3">
      <c r="G38528" s="1"/>
      <c r="N38528" s="1"/>
    </row>
    <row r="38529" spans="7:14" x14ac:dyDescent="0.3">
      <c r="G38529" s="1"/>
      <c r="N38529" s="1"/>
    </row>
    <row r="38530" spans="7:14" x14ac:dyDescent="0.3">
      <c r="G38530" s="1"/>
      <c r="N38530" s="1"/>
    </row>
    <row r="38531" spans="7:14" x14ac:dyDescent="0.3">
      <c r="G38531" s="1"/>
      <c r="N38531" s="1"/>
    </row>
    <row r="38532" spans="7:14" x14ac:dyDescent="0.3">
      <c r="G38532" s="1"/>
      <c r="N38532" s="1"/>
    </row>
    <row r="38533" spans="7:14" x14ac:dyDescent="0.3">
      <c r="G38533" s="1"/>
      <c r="N38533" s="1"/>
    </row>
    <row r="38534" spans="7:14" x14ac:dyDescent="0.3">
      <c r="G38534" s="1"/>
      <c r="N38534" s="1"/>
    </row>
    <row r="38535" spans="7:14" x14ac:dyDescent="0.3">
      <c r="G38535" s="1"/>
      <c r="N38535" s="1"/>
    </row>
    <row r="38536" spans="7:14" x14ac:dyDescent="0.3">
      <c r="G38536" s="1"/>
      <c r="N38536" s="1"/>
    </row>
    <row r="38537" spans="7:14" x14ac:dyDescent="0.3">
      <c r="G38537" s="1"/>
      <c r="N38537" s="1"/>
    </row>
    <row r="38538" spans="7:14" x14ac:dyDescent="0.3">
      <c r="G38538" s="1"/>
      <c r="N38538" s="1"/>
    </row>
    <row r="38539" spans="7:14" x14ac:dyDescent="0.3">
      <c r="G38539" s="1"/>
      <c r="N38539" s="1"/>
    </row>
    <row r="38540" spans="7:14" x14ac:dyDescent="0.3">
      <c r="G38540" s="1"/>
      <c r="N38540" s="1"/>
    </row>
    <row r="38541" spans="7:14" x14ac:dyDescent="0.3">
      <c r="G38541" s="1"/>
      <c r="N38541" s="1"/>
    </row>
    <row r="38542" spans="7:14" x14ac:dyDescent="0.3">
      <c r="G38542" s="1"/>
      <c r="N38542" s="1"/>
    </row>
    <row r="38543" spans="7:14" x14ac:dyDescent="0.3">
      <c r="G38543" s="1"/>
      <c r="N38543" s="1"/>
    </row>
    <row r="38544" spans="7:14" x14ac:dyDescent="0.3">
      <c r="G38544" s="1"/>
      <c r="N38544" s="1"/>
    </row>
    <row r="38545" spans="7:14" x14ac:dyDescent="0.3">
      <c r="G38545" s="1"/>
      <c r="N38545" s="1"/>
    </row>
    <row r="38546" spans="7:14" x14ac:dyDescent="0.3">
      <c r="G38546" s="1"/>
      <c r="N38546" s="1"/>
    </row>
    <row r="38547" spans="7:14" x14ac:dyDescent="0.3">
      <c r="G38547" s="1"/>
      <c r="N38547" s="1"/>
    </row>
    <row r="38548" spans="7:14" x14ac:dyDescent="0.3">
      <c r="G38548" s="1"/>
      <c r="N38548" s="1"/>
    </row>
    <row r="38549" spans="7:14" x14ac:dyDescent="0.3">
      <c r="G38549" s="1"/>
      <c r="N38549" s="1"/>
    </row>
    <row r="38550" spans="7:14" x14ac:dyDescent="0.3">
      <c r="G38550" s="1"/>
      <c r="N38550" s="1"/>
    </row>
    <row r="38551" spans="7:14" x14ac:dyDescent="0.3">
      <c r="G38551" s="1"/>
      <c r="N38551" s="1"/>
    </row>
    <row r="38552" spans="7:14" x14ac:dyDescent="0.3">
      <c r="G38552" s="1"/>
      <c r="N38552" s="1"/>
    </row>
    <row r="38553" spans="7:14" x14ac:dyDescent="0.3">
      <c r="G38553" s="1"/>
      <c r="N38553" s="1"/>
    </row>
    <row r="38554" spans="7:14" x14ac:dyDescent="0.3">
      <c r="G38554" s="1"/>
      <c r="N38554" s="1"/>
    </row>
    <row r="38555" spans="7:14" x14ac:dyDescent="0.3">
      <c r="G38555" s="1"/>
      <c r="N38555" s="1"/>
    </row>
    <row r="38556" spans="7:14" x14ac:dyDescent="0.3">
      <c r="G38556" s="1"/>
      <c r="N38556" s="1"/>
    </row>
    <row r="38557" spans="7:14" x14ac:dyDescent="0.3">
      <c r="G38557" s="1"/>
      <c r="N38557" s="1"/>
    </row>
    <row r="38558" spans="7:14" x14ac:dyDescent="0.3">
      <c r="G38558" s="1"/>
      <c r="N38558" s="1"/>
    </row>
    <row r="38559" spans="7:14" x14ac:dyDescent="0.3">
      <c r="G38559" s="1"/>
      <c r="N38559" s="1"/>
    </row>
    <row r="38560" spans="7:14" x14ac:dyDescent="0.3">
      <c r="G38560" s="1"/>
      <c r="N38560" s="1"/>
    </row>
    <row r="38561" spans="7:14" x14ac:dyDescent="0.3">
      <c r="G38561" s="1"/>
      <c r="N38561" s="1"/>
    </row>
    <row r="38562" spans="7:14" x14ac:dyDescent="0.3">
      <c r="G38562" s="1"/>
      <c r="N38562" s="1"/>
    </row>
    <row r="38563" spans="7:14" x14ac:dyDescent="0.3">
      <c r="G38563" s="1"/>
      <c r="N38563" s="1"/>
    </row>
    <row r="38564" spans="7:14" x14ac:dyDescent="0.3">
      <c r="G38564" s="1"/>
      <c r="N38564" s="1"/>
    </row>
    <row r="38565" spans="7:14" x14ac:dyDescent="0.3">
      <c r="G38565" s="1"/>
      <c r="N38565" s="1"/>
    </row>
    <row r="38566" spans="7:14" x14ac:dyDescent="0.3">
      <c r="G38566" s="1"/>
      <c r="N38566" s="1"/>
    </row>
    <row r="38567" spans="7:14" x14ac:dyDescent="0.3">
      <c r="G38567" s="1"/>
      <c r="N38567" s="1"/>
    </row>
    <row r="38568" spans="7:14" x14ac:dyDescent="0.3">
      <c r="G38568" s="1"/>
      <c r="N38568" s="1"/>
    </row>
    <row r="38569" spans="7:14" x14ac:dyDescent="0.3">
      <c r="G38569" s="1"/>
      <c r="N38569" s="1"/>
    </row>
    <row r="38570" spans="7:14" x14ac:dyDescent="0.3">
      <c r="G38570" s="1"/>
      <c r="N38570" s="1"/>
    </row>
    <row r="38571" spans="7:14" x14ac:dyDescent="0.3">
      <c r="G38571" s="1"/>
      <c r="N38571" s="1"/>
    </row>
    <row r="38572" spans="7:14" x14ac:dyDescent="0.3">
      <c r="G38572" s="1"/>
      <c r="N38572" s="1"/>
    </row>
    <row r="38573" spans="7:14" x14ac:dyDescent="0.3">
      <c r="G38573" s="1"/>
      <c r="N38573" s="1"/>
    </row>
    <row r="38574" spans="7:14" x14ac:dyDescent="0.3">
      <c r="G38574" s="1"/>
      <c r="N38574" s="1"/>
    </row>
    <row r="38575" spans="7:14" x14ac:dyDescent="0.3">
      <c r="G38575" s="1"/>
      <c r="N38575" s="1"/>
    </row>
    <row r="38576" spans="7:14" x14ac:dyDescent="0.3">
      <c r="G38576" s="1"/>
      <c r="N38576" s="1"/>
    </row>
    <row r="38577" spans="7:14" x14ac:dyDescent="0.3">
      <c r="G38577" s="1"/>
      <c r="N38577" s="1"/>
    </row>
    <row r="38578" spans="7:14" x14ac:dyDescent="0.3">
      <c r="G38578" s="1"/>
      <c r="N38578" s="1"/>
    </row>
    <row r="38579" spans="7:14" x14ac:dyDescent="0.3">
      <c r="G38579" s="1"/>
      <c r="N38579" s="1"/>
    </row>
    <row r="38580" spans="7:14" x14ac:dyDescent="0.3">
      <c r="G38580" s="1"/>
      <c r="N38580" s="1"/>
    </row>
    <row r="38581" spans="7:14" x14ac:dyDescent="0.3">
      <c r="G38581" s="1"/>
      <c r="N38581" s="1"/>
    </row>
    <row r="38582" spans="7:14" x14ac:dyDescent="0.3">
      <c r="G38582" s="1"/>
      <c r="N38582" s="1"/>
    </row>
    <row r="38583" spans="7:14" x14ac:dyDescent="0.3">
      <c r="G38583" s="1"/>
      <c r="N38583" s="1"/>
    </row>
    <row r="38584" spans="7:14" x14ac:dyDescent="0.3">
      <c r="G38584" s="1"/>
      <c r="N38584" s="1"/>
    </row>
    <row r="38585" spans="7:14" x14ac:dyDescent="0.3">
      <c r="G38585" s="1"/>
      <c r="N38585" s="1"/>
    </row>
    <row r="38586" spans="7:14" x14ac:dyDescent="0.3">
      <c r="G38586" s="1"/>
      <c r="N38586" s="1"/>
    </row>
    <row r="38587" spans="7:14" x14ac:dyDescent="0.3">
      <c r="G38587" s="1"/>
      <c r="N38587" s="1"/>
    </row>
    <row r="38588" spans="7:14" x14ac:dyDescent="0.3">
      <c r="G38588" s="1"/>
      <c r="N38588" s="1"/>
    </row>
    <row r="38589" spans="7:14" x14ac:dyDescent="0.3">
      <c r="G38589" s="1"/>
      <c r="N38589" s="1"/>
    </row>
    <row r="38590" spans="7:14" x14ac:dyDescent="0.3">
      <c r="G38590" s="1"/>
      <c r="N38590" s="1"/>
    </row>
    <row r="38591" spans="7:14" x14ac:dyDescent="0.3">
      <c r="G38591" s="1"/>
      <c r="N38591" s="1"/>
    </row>
    <row r="38592" spans="7:14" x14ac:dyDescent="0.3">
      <c r="G38592" s="1"/>
      <c r="N38592" s="1"/>
    </row>
    <row r="38593" spans="7:14" x14ac:dyDescent="0.3">
      <c r="G38593" s="1"/>
      <c r="N38593" s="1"/>
    </row>
    <row r="38594" spans="7:14" x14ac:dyDescent="0.3">
      <c r="G38594" s="1"/>
      <c r="N38594" s="1"/>
    </row>
    <row r="38595" spans="7:14" x14ac:dyDescent="0.3">
      <c r="G38595" s="1"/>
      <c r="N38595" s="1"/>
    </row>
    <row r="38596" spans="7:14" x14ac:dyDescent="0.3">
      <c r="G38596" s="1"/>
      <c r="N38596" s="1"/>
    </row>
    <row r="38597" spans="7:14" x14ac:dyDescent="0.3">
      <c r="G38597" s="1"/>
      <c r="N38597" s="1"/>
    </row>
    <row r="38598" spans="7:14" x14ac:dyDescent="0.3">
      <c r="G38598" s="1"/>
      <c r="N38598" s="1"/>
    </row>
    <row r="38599" spans="7:14" x14ac:dyDescent="0.3">
      <c r="G38599" s="1"/>
      <c r="N38599" s="1"/>
    </row>
    <row r="38600" spans="7:14" x14ac:dyDescent="0.3">
      <c r="G38600" s="1"/>
      <c r="N38600" s="1"/>
    </row>
    <row r="38601" spans="7:14" x14ac:dyDescent="0.3">
      <c r="G38601" s="1"/>
      <c r="N38601" s="1"/>
    </row>
    <row r="38602" spans="7:14" x14ac:dyDescent="0.3">
      <c r="G38602" s="1"/>
      <c r="N38602" s="1"/>
    </row>
    <row r="38603" spans="7:14" x14ac:dyDescent="0.3">
      <c r="G38603" s="1"/>
      <c r="N38603" s="1"/>
    </row>
    <row r="38604" spans="7:14" x14ac:dyDescent="0.3">
      <c r="G38604" s="1"/>
      <c r="N38604" s="1"/>
    </row>
    <row r="38605" spans="7:14" x14ac:dyDescent="0.3">
      <c r="G38605" s="1"/>
      <c r="N38605" s="1"/>
    </row>
    <row r="38606" spans="7:14" x14ac:dyDescent="0.3">
      <c r="G38606" s="1"/>
      <c r="N38606" s="1"/>
    </row>
    <row r="38607" spans="7:14" x14ac:dyDescent="0.3">
      <c r="G38607" s="1"/>
      <c r="N38607" s="1"/>
    </row>
    <row r="38608" spans="7:14" x14ac:dyDescent="0.3">
      <c r="G38608" s="1"/>
      <c r="N38608" s="1"/>
    </row>
    <row r="38609" spans="7:14" x14ac:dyDescent="0.3">
      <c r="G38609" s="1"/>
      <c r="N38609" s="1"/>
    </row>
    <row r="38610" spans="7:14" x14ac:dyDescent="0.3">
      <c r="G38610" s="1"/>
      <c r="N38610" s="1"/>
    </row>
    <row r="38611" spans="7:14" x14ac:dyDescent="0.3">
      <c r="G38611" s="1"/>
      <c r="N38611" s="1"/>
    </row>
    <row r="38612" spans="7:14" x14ac:dyDescent="0.3">
      <c r="G38612" s="1"/>
      <c r="N38612" s="1"/>
    </row>
    <row r="38613" spans="7:14" x14ac:dyDescent="0.3">
      <c r="G38613" s="1"/>
      <c r="N38613" s="1"/>
    </row>
    <row r="38614" spans="7:14" x14ac:dyDescent="0.3">
      <c r="G38614" s="1"/>
      <c r="N38614" s="1"/>
    </row>
    <row r="38615" spans="7:14" x14ac:dyDescent="0.3">
      <c r="G38615" s="1"/>
      <c r="N38615" s="1"/>
    </row>
    <row r="38616" spans="7:14" x14ac:dyDescent="0.3">
      <c r="G38616" s="1"/>
      <c r="N38616" s="1"/>
    </row>
    <row r="38617" spans="7:14" x14ac:dyDescent="0.3">
      <c r="G38617" s="1"/>
      <c r="N38617" s="1"/>
    </row>
    <row r="38618" spans="7:14" x14ac:dyDescent="0.3">
      <c r="G38618" s="1"/>
      <c r="N38618" s="1"/>
    </row>
    <row r="38619" spans="7:14" x14ac:dyDescent="0.3">
      <c r="G38619" s="1"/>
      <c r="N38619" s="1"/>
    </row>
    <row r="38620" spans="7:14" x14ac:dyDescent="0.3">
      <c r="G38620" s="1"/>
      <c r="N38620" s="1"/>
    </row>
    <row r="38621" spans="7:14" x14ac:dyDescent="0.3">
      <c r="G38621" s="1"/>
      <c r="N38621" s="1"/>
    </row>
    <row r="38622" spans="7:14" x14ac:dyDescent="0.3">
      <c r="G38622" s="1"/>
      <c r="N38622" s="1"/>
    </row>
    <row r="38623" spans="7:14" x14ac:dyDescent="0.3">
      <c r="G38623" s="1"/>
      <c r="N38623" s="1"/>
    </row>
    <row r="38624" spans="7:14" x14ac:dyDescent="0.3">
      <c r="G38624" s="1"/>
      <c r="N38624" s="1"/>
    </row>
    <row r="38625" spans="7:14" x14ac:dyDescent="0.3">
      <c r="G38625" s="1"/>
      <c r="N38625" s="1"/>
    </row>
    <row r="38626" spans="7:14" x14ac:dyDescent="0.3">
      <c r="G38626" s="1"/>
      <c r="N38626" s="1"/>
    </row>
    <row r="38627" spans="7:14" x14ac:dyDescent="0.3">
      <c r="G38627" s="1"/>
      <c r="N38627" s="1"/>
    </row>
    <row r="38628" spans="7:14" x14ac:dyDescent="0.3">
      <c r="G38628" s="1"/>
      <c r="N38628" s="1"/>
    </row>
    <row r="38629" spans="7:14" x14ac:dyDescent="0.3">
      <c r="G38629" s="1"/>
      <c r="N38629" s="1"/>
    </row>
    <row r="38630" spans="7:14" x14ac:dyDescent="0.3">
      <c r="G38630" s="1"/>
      <c r="N38630" s="1"/>
    </row>
    <row r="38631" spans="7:14" x14ac:dyDescent="0.3">
      <c r="G38631" s="1"/>
      <c r="N38631" s="1"/>
    </row>
    <row r="38632" spans="7:14" x14ac:dyDescent="0.3">
      <c r="G38632" s="1"/>
      <c r="N38632" s="1"/>
    </row>
    <row r="38633" spans="7:14" x14ac:dyDescent="0.3">
      <c r="G38633" s="1"/>
      <c r="N38633" s="1"/>
    </row>
    <row r="38634" spans="7:14" x14ac:dyDescent="0.3">
      <c r="G38634" s="1"/>
      <c r="N38634" s="1"/>
    </row>
    <row r="38635" spans="7:14" x14ac:dyDescent="0.3">
      <c r="G38635" s="1"/>
      <c r="N38635" s="1"/>
    </row>
    <row r="38636" spans="7:14" x14ac:dyDescent="0.3">
      <c r="G38636" s="1"/>
      <c r="N38636" s="1"/>
    </row>
    <row r="38637" spans="7:14" x14ac:dyDescent="0.3">
      <c r="G38637" s="1"/>
      <c r="N38637" s="1"/>
    </row>
    <row r="38638" spans="7:14" x14ac:dyDescent="0.3">
      <c r="G38638" s="1"/>
      <c r="N38638" s="1"/>
    </row>
    <row r="38639" spans="7:14" x14ac:dyDescent="0.3">
      <c r="G38639" s="1"/>
      <c r="N38639" s="1"/>
    </row>
    <row r="38640" spans="7:14" x14ac:dyDescent="0.3">
      <c r="G38640" s="1"/>
      <c r="N38640" s="1"/>
    </row>
    <row r="38641" spans="7:14" x14ac:dyDescent="0.3">
      <c r="G38641" s="1"/>
      <c r="N38641" s="1"/>
    </row>
    <row r="38642" spans="7:14" x14ac:dyDescent="0.3">
      <c r="G38642" s="1"/>
      <c r="N38642" s="1"/>
    </row>
    <row r="38643" spans="7:14" x14ac:dyDescent="0.3">
      <c r="G38643" s="1"/>
      <c r="N38643" s="1"/>
    </row>
    <row r="38644" spans="7:14" x14ac:dyDescent="0.3">
      <c r="G38644" s="1"/>
      <c r="N38644" s="1"/>
    </row>
    <row r="38645" spans="7:14" x14ac:dyDescent="0.3">
      <c r="G38645" s="1"/>
      <c r="N38645" s="1"/>
    </row>
    <row r="38646" spans="7:14" x14ac:dyDescent="0.3">
      <c r="G38646" s="1"/>
      <c r="N38646" s="1"/>
    </row>
    <row r="38647" spans="7:14" x14ac:dyDescent="0.3">
      <c r="G38647" s="1"/>
      <c r="N38647" s="1"/>
    </row>
    <row r="38648" spans="7:14" x14ac:dyDescent="0.3">
      <c r="G38648" s="1"/>
      <c r="N38648" s="1"/>
    </row>
    <row r="38649" spans="7:14" x14ac:dyDescent="0.3">
      <c r="G38649" s="1"/>
      <c r="N38649" s="1"/>
    </row>
    <row r="38650" spans="7:14" x14ac:dyDescent="0.3">
      <c r="G38650" s="1"/>
      <c r="N38650" s="1"/>
    </row>
    <row r="38651" spans="7:14" x14ac:dyDescent="0.3">
      <c r="G38651" s="1"/>
      <c r="N38651" s="1"/>
    </row>
    <row r="38652" spans="7:14" x14ac:dyDescent="0.3">
      <c r="G38652" s="1"/>
      <c r="N38652" s="1"/>
    </row>
    <row r="38653" spans="7:14" x14ac:dyDescent="0.3">
      <c r="G38653" s="1"/>
      <c r="N38653" s="1"/>
    </row>
    <row r="38654" spans="7:14" x14ac:dyDescent="0.3">
      <c r="G38654" s="1"/>
      <c r="N38654" s="1"/>
    </row>
    <row r="38655" spans="7:14" x14ac:dyDescent="0.3">
      <c r="G38655" s="1"/>
      <c r="N38655" s="1"/>
    </row>
    <row r="38656" spans="7:14" x14ac:dyDescent="0.3">
      <c r="G38656" s="1"/>
      <c r="N38656" s="1"/>
    </row>
    <row r="38657" spans="7:14" x14ac:dyDescent="0.3">
      <c r="G38657" s="1"/>
      <c r="N38657" s="1"/>
    </row>
    <row r="38658" spans="7:14" x14ac:dyDescent="0.3">
      <c r="G38658" s="1"/>
      <c r="N38658" s="1"/>
    </row>
    <row r="38659" spans="7:14" x14ac:dyDescent="0.3">
      <c r="G38659" s="1"/>
      <c r="N38659" s="1"/>
    </row>
    <row r="38660" spans="7:14" x14ac:dyDescent="0.3">
      <c r="G38660" s="1"/>
      <c r="N38660" s="1"/>
    </row>
    <row r="38661" spans="7:14" x14ac:dyDescent="0.3">
      <c r="G38661" s="1"/>
      <c r="N38661" s="1"/>
    </row>
    <row r="38662" spans="7:14" x14ac:dyDescent="0.3">
      <c r="G38662" s="1"/>
      <c r="N38662" s="1"/>
    </row>
    <row r="38663" spans="7:14" x14ac:dyDescent="0.3">
      <c r="G38663" s="1"/>
      <c r="N38663" s="1"/>
    </row>
    <row r="38664" spans="7:14" x14ac:dyDescent="0.3">
      <c r="G38664" s="1"/>
      <c r="N38664" s="1"/>
    </row>
    <row r="38665" spans="7:14" x14ac:dyDescent="0.3">
      <c r="G38665" s="1"/>
      <c r="N38665" s="1"/>
    </row>
    <row r="38666" spans="7:14" x14ac:dyDescent="0.3">
      <c r="G38666" s="1"/>
      <c r="N38666" s="1"/>
    </row>
    <row r="38667" spans="7:14" x14ac:dyDescent="0.3">
      <c r="G38667" s="1"/>
      <c r="N38667" s="1"/>
    </row>
    <row r="38668" spans="7:14" x14ac:dyDescent="0.3">
      <c r="G38668" s="1"/>
      <c r="N38668" s="1"/>
    </row>
    <row r="38669" spans="7:14" x14ac:dyDescent="0.3">
      <c r="G38669" s="1"/>
      <c r="N38669" s="1"/>
    </row>
    <row r="38670" spans="7:14" x14ac:dyDescent="0.3">
      <c r="G38670" s="1"/>
      <c r="N38670" s="1"/>
    </row>
    <row r="38671" spans="7:14" x14ac:dyDescent="0.3">
      <c r="G38671" s="1"/>
      <c r="N38671" s="1"/>
    </row>
    <row r="38672" spans="7:14" x14ac:dyDescent="0.3">
      <c r="G38672" s="1"/>
      <c r="N38672" s="1"/>
    </row>
    <row r="38673" spans="7:14" x14ac:dyDescent="0.3">
      <c r="G38673" s="1"/>
      <c r="N38673" s="1"/>
    </row>
    <row r="38674" spans="7:14" x14ac:dyDescent="0.3">
      <c r="G38674" s="1"/>
      <c r="N38674" s="1"/>
    </row>
    <row r="38675" spans="7:14" x14ac:dyDescent="0.3">
      <c r="G38675" s="1"/>
      <c r="N38675" s="1"/>
    </row>
    <row r="38676" spans="7:14" x14ac:dyDescent="0.3">
      <c r="G38676" s="1"/>
      <c r="N38676" s="1"/>
    </row>
    <row r="38677" spans="7:14" x14ac:dyDescent="0.3">
      <c r="G38677" s="1"/>
      <c r="N38677" s="1"/>
    </row>
    <row r="38678" spans="7:14" x14ac:dyDescent="0.3">
      <c r="G38678" s="1"/>
      <c r="N38678" s="1"/>
    </row>
    <row r="38679" spans="7:14" x14ac:dyDescent="0.3">
      <c r="G38679" s="1"/>
      <c r="N38679" s="1"/>
    </row>
    <row r="38680" spans="7:14" x14ac:dyDescent="0.3">
      <c r="G38680" s="1"/>
      <c r="N38680" s="1"/>
    </row>
    <row r="38681" spans="7:14" x14ac:dyDescent="0.3">
      <c r="G38681" s="1"/>
      <c r="N38681" s="1"/>
    </row>
    <row r="38682" spans="7:14" x14ac:dyDescent="0.3">
      <c r="G38682" s="1"/>
      <c r="N38682" s="1"/>
    </row>
    <row r="38683" spans="7:14" x14ac:dyDescent="0.3">
      <c r="G38683" s="1"/>
      <c r="N38683" s="1"/>
    </row>
    <row r="38684" spans="7:14" x14ac:dyDescent="0.3">
      <c r="G38684" s="1"/>
      <c r="N38684" s="1"/>
    </row>
    <row r="38685" spans="7:14" x14ac:dyDescent="0.3">
      <c r="G38685" s="1"/>
      <c r="N38685" s="1"/>
    </row>
    <row r="38686" spans="7:14" x14ac:dyDescent="0.3">
      <c r="G38686" s="1"/>
      <c r="N38686" s="1"/>
    </row>
    <row r="38687" spans="7:14" x14ac:dyDescent="0.3">
      <c r="G38687" s="1"/>
      <c r="N38687" s="1"/>
    </row>
    <row r="38688" spans="7:14" x14ac:dyDescent="0.3">
      <c r="G38688" s="1"/>
      <c r="N38688" s="1"/>
    </row>
    <row r="38689" spans="7:14" x14ac:dyDescent="0.3">
      <c r="G38689" s="1"/>
      <c r="N38689" s="1"/>
    </row>
    <row r="38690" spans="7:14" x14ac:dyDescent="0.3">
      <c r="G38690" s="1"/>
      <c r="N38690" s="1"/>
    </row>
    <row r="38691" spans="7:14" x14ac:dyDescent="0.3">
      <c r="G38691" s="1"/>
      <c r="N38691" s="1"/>
    </row>
    <row r="38692" spans="7:14" x14ac:dyDescent="0.3">
      <c r="G38692" s="1"/>
      <c r="N38692" s="1"/>
    </row>
    <row r="38693" spans="7:14" x14ac:dyDescent="0.3">
      <c r="G38693" s="1"/>
      <c r="N38693" s="1"/>
    </row>
    <row r="38694" spans="7:14" x14ac:dyDescent="0.3">
      <c r="G38694" s="1"/>
      <c r="N38694" s="1"/>
    </row>
    <row r="38695" spans="7:14" x14ac:dyDescent="0.3">
      <c r="G38695" s="1"/>
      <c r="N38695" s="1"/>
    </row>
    <row r="38696" spans="7:14" x14ac:dyDescent="0.3">
      <c r="G38696" s="1"/>
      <c r="N38696" s="1"/>
    </row>
    <row r="38697" spans="7:14" x14ac:dyDescent="0.3">
      <c r="G38697" s="1"/>
      <c r="N38697" s="1"/>
    </row>
    <row r="38698" spans="7:14" x14ac:dyDescent="0.3">
      <c r="G38698" s="1"/>
      <c r="N38698" s="1"/>
    </row>
    <row r="38699" spans="7:14" x14ac:dyDescent="0.3">
      <c r="G38699" s="1"/>
      <c r="N38699" s="1"/>
    </row>
    <row r="38700" spans="7:14" x14ac:dyDescent="0.3">
      <c r="G38700" s="1"/>
      <c r="N38700" s="1"/>
    </row>
    <row r="38701" spans="7:14" x14ac:dyDescent="0.3">
      <c r="G38701" s="1"/>
      <c r="N38701" s="1"/>
    </row>
    <row r="38702" spans="7:14" x14ac:dyDescent="0.3">
      <c r="G38702" s="1"/>
      <c r="N38702" s="1"/>
    </row>
    <row r="38703" spans="7:14" x14ac:dyDescent="0.3">
      <c r="G38703" s="1"/>
      <c r="N38703" s="1"/>
    </row>
    <row r="38704" spans="7:14" x14ac:dyDescent="0.3">
      <c r="G38704" s="1"/>
      <c r="N38704" s="1"/>
    </row>
    <row r="38705" spans="7:14" x14ac:dyDescent="0.3">
      <c r="G38705" s="1"/>
      <c r="N38705" s="1"/>
    </row>
    <row r="38706" spans="7:14" x14ac:dyDescent="0.3">
      <c r="G38706" s="1"/>
      <c r="N38706" s="1"/>
    </row>
    <row r="38707" spans="7:14" x14ac:dyDescent="0.3">
      <c r="G38707" s="1"/>
      <c r="N38707" s="1"/>
    </row>
    <row r="38708" spans="7:14" x14ac:dyDescent="0.3">
      <c r="G38708" s="1"/>
      <c r="N38708" s="1"/>
    </row>
    <row r="38709" spans="7:14" x14ac:dyDescent="0.3">
      <c r="G38709" s="1"/>
      <c r="N38709" s="1"/>
    </row>
    <row r="38710" spans="7:14" x14ac:dyDescent="0.3">
      <c r="G38710" s="1"/>
      <c r="N38710" s="1"/>
    </row>
    <row r="38711" spans="7:14" x14ac:dyDescent="0.3">
      <c r="G38711" s="1"/>
      <c r="N38711" s="1"/>
    </row>
    <row r="38712" spans="7:14" x14ac:dyDescent="0.3">
      <c r="G38712" s="1"/>
      <c r="N38712" s="1"/>
    </row>
    <row r="38713" spans="7:14" x14ac:dyDescent="0.3">
      <c r="G38713" s="1"/>
      <c r="N38713" s="1"/>
    </row>
    <row r="38714" spans="7:14" x14ac:dyDescent="0.3">
      <c r="G38714" s="1"/>
      <c r="N38714" s="1"/>
    </row>
    <row r="38715" spans="7:14" x14ac:dyDescent="0.3">
      <c r="G38715" s="1"/>
      <c r="N38715" s="1"/>
    </row>
    <row r="38716" spans="7:14" x14ac:dyDescent="0.3">
      <c r="G38716" s="1"/>
      <c r="N38716" s="1"/>
    </row>
    <row r="38717" spans="7:14" x14ac:dyDescent="0.3">
      <c r="G38717" s="1"/>
      <c r="N38717" s="1"/>
    </row>
    <row r="38718" spans="7:14" x14ac:dyDescent="0.3">
      <c r="G38718" s="1"/>
      <c r="N38718" s="1"/>
    </row>
    <row r="38719" spans="7:14" x14ac:dyDescent="0.3">
      <c r="G38719" s="1"/>
      <c r="N38719" s="1"/>
    </row>
    <row r="38720" spans="7:14" x14ac:dyDescent="0.3">
      <c r="G38720" s="1"/>
      <c r="N38720" s="1"/>
    </row>
    <row r="38721" spans="7:14" x14ac:dyDescent="0.3">
      <c r="G38721" s="1"/>
      <c r="N38721" s="1"/>
    </row>
    <row r="38722" spans="7:14" x14ac:dyDescent="0.3">
      <c r="G38722" s="1"/>
      <c r="N38722" s="1"/>
    </row>
    <row r="38723" spans="7:14" x14ac:dyDescent="0.3">
      <c r="G38723" s="1"/>
      <c r="N38723" s="1"/>
    </row>
    <row r="38724" spans="7:14" x14ac:dyDescent="0.3">
      <c r="G38724" s="1"/>
      <c r="N38724" s="1"/>
    </row>
    <row r="38725" spans="7:14" x14ac:dyDescent="0.3">
      <c r="G38725" s="1"/>
      <c r="N38725" s="1"/>
    </row>
    <row r="38726" spans="7:14" x14ac:dyDescent="0.3">
      <c r="G38726" s="1"/>
      <c r="N38726" s="1"/>
    </row>
    <row r="38727" spans="7:14" x14ac:dyDescent="0.3">
      <c r="G38727" s="1"/>
      <c r="N38727" s="1"/>
    </row>
    <row r="38728" spans="7:14" x14ac:dyDescent="0.3">
      <c r="G38728" s="1"/>
      <c r="N38728" s="1"/>
    </row>
    <row r="38729" spans="7:14" x14ac:dyDescent="0.3">
      <c r="G38729" s="1"/>
      <c r="N38729" s="1"/>
    </row>
    <row r="38730" spans="7:14" x14ac:dyDescent="0.3">
      <c r="G38730" s="1"/>
      <c r="N38730" s="1"/>
    </row>
    <row r="38731" spans="7:14" x14ac:dyDescent="0.3">
      <c r="G38731" s="1"/>
      <c r="N38731" s="1"/>
    </row>
    <row r="38732" spans="7:14" x14ac:dyDescent="0.3">
      <c r="G38732" s="1"/>
      <c r="N38732" s="1"/>
    </row>
    <row r="38733" spans="7:14" x14ac:dyDescent="0.3">
      <c r="G38733" s="1"/>
      <c r="N38733" s="1"/>
    </row>
    <row r="38734" spans="7:14" x14ac:dyDescent="0.3">
      <c r="G38734" s="1"/>
      <c r="N38734" s="1"/>
    </row>
    <row r="38735" spans="7:14" x14ac:dyDescent="0.3">
      <c r="G38735" s="1"/>
      <c r="N38735" s="1"/>
    </row>
    <row r="38736" spans="7:14" x14ac:dyDescent="0.3">
      <c r="G38736" s="1"/>
      <c r="N38736" s="1"/>
    </row>
    <row r="38737" spans="7:14" x14ac:dyDescent="0.3">
      <c r="G38737" s="1"/>
      <c r="N38737" s="1"/>
    </row>
    <row r="38738" spans="7:14" x14ac:dyDescent="0.3">
      <c r="G38738" s="1"/>
      <c r="N38738" s="1"/>
    </row>
    <row r="38739" spans="7:14" x14ac:dyDescent="0.3">
      <c r="G38739" s="1"/>
      <c r="N38739" s="1"/>
    </row>
    <row r="38740" spans="7:14" x14ac:dyDescent="0.3">
      <c r="G38740" s="1"/>
      <c r="N38740" s="1"/>
    </row>
    <row r="38741" spans="7:14" x14ac:dyDescent="0.3">
      <c r="G38741" s="1"/>
      <c r="N38741" s="1"/>
    </row>
    <row r="38742" spans="7:14" x14ac:dyDescent="0.3">
      <c r="G38742" s="1"/>
      <c r="N38742" s="1"/>
    </row>
    <row r="38743" spans="7:14" x14ac:dyDescent="0.3">
      <c r="G38743" s="1"/>
      <c r="N38743" s="1"/>
    </row>
    <row r="38744" spans="7:14" x14ac:dyDescent="0.3">
      <c r="G38744" s="1"/>
      <c r="N38744" s="1"/>
    </row>
    <row r="38745" spans="7:14" x14ac:dyDescent="0.3">
      <c r="G38745" s="1"/>
      <c r="N38745" s="1"/>
    </row>
    <row r="38746" spans="7:14" x14ac:dyDescent="0.3">
      <c r="G38746" s="1"/>
      <c r="N38746" s="1"/>
    </row>
    <row r="38747" spans="7:14" x14ac:dyDescent="0.3">
      <c r="G38747" s="1"/>
      <c r="N38747" s="1"/>
    </row>
    <row r="38748" spans="7:14" x14ac:dyDescent="0.3">
      <c r="G38748" s="1"/>
      <c r="N38748" s="1"/>
    </row>
    <row r="38749" spans="7:14" x14ac:dyDescent="0.3">
      <c r="G38749" s="1"/>
      <c r="N38749" s="1"/>
    </row>
    <row r="38750" spans="7:14" x14ac:dyDescent="0.3">
      <c r="G38750" s="1"/>
      <c r="N38750" s="1"/>
    </row>
    <row r="38751" spans="7:14" x14ac:dyDescent="0.3">
      <c r="G38751" s="1"/>
      <c r="N38751" s="1"/>
    </row>
    <row r="38752" spans="7:14" x14ac:dyDescent="0.3">
      <c r="G38752" s="1"/>
      <c r="N38752" s="1"/>
    </row>
    <row r="38753" spans="7:14" x14ac:dyDescent="0.3">
      <c r="G38753" s="1"/>
      <c r="N38753" s="1"/>
    </row>
    <row r="38754" spans="7:14" x14ac:dyDescent="0.3">
      <c r="G38754" s="1"/>
      <c r="N38754" s="1"/>
    </row>
    <row r="38755" spans="7:14" x14ac:dyDescent="0.3">
      <c r="G38755" s="1"/>
      <c r="N38755" s="1"/>
    </row>
    <row r="38756" spans="7:14" x14ac:dyDescent="0.3">
      <c r="G38756" s="1"/>
      <c r="N38756" s="1"/>
    </row>
    <row r="38757" spans="7:14" x14ac:dyDescent="0.3">
      <c r="G38757" s="1"/>
      <c r="N38757" s="1"/>
    </row>
    <row r="38758" spans="7:14" x14ac:dyDescent="0.3">
      <c r="G38758" s="1"/>
      <c r="N38758" s="1"/>
    </row>
    <row r="38759" spans="7:14" x14ac:dyDescent="0.3">
      <c r="G38759" s="1"/>
      <c r="N38759" s="1"/>
    </row>
    <row r="38760" spans="7:14" x14ac:dyDescent="0.3">
      <c r="G38760" s="1"/>
      <c r="N38760" s="1"/>
    </row>
    <row r="38761" spans="7:14" x14ac:dyDescent="0.3">
      <c r="G38761" s="1"/>
      <c r="N38761" s="1"/>
    </row>
    <row r="38762" spans="7:14" x14ac:dyDescent="0.3">
      <c r="G38762" s="1"/>
      <c r="N38762" s="1"/>
    </row>
    <row r="38763" spans="7:14" x14ac:dyDescent="0.3">
      <c r="G38763" s="1"/>
      <c r="N38763" s="1"/>
    </row>
    <row r="38764" spans="7:14" x14ac:dyDescent="0.3">
      <c r="G38764" s="1"/>
      <c r="N38764" s="1"/>
    </row>
    <row r="38765" spans="7:14" x14ac:dyDescent="0.3">
      <c r="G38765" s="1"/>
      <c r="N38765" s="1"/>
    </row>
    <row r="38766" spans="7:14" x14ac:dyDescent="0.3">
      <c r="G38766" s="1"/>
      <c r="N38766" s="1"/>
    </row>
    <row r="38767" spans="7:14" x14ac:dyDescent="0.3">
      <c r="G38767" s="1"/>
      <c r="N38767" s="1"/>
    </row>
    <row r="38768" spans="7:14" x14ac:dyDescent="0.3">
      <c r="G38768" s="1"/>
      <c r="N38768" s="1"/>
    </row>
    <row r="38769" spans="7:14" x14ac:dyDescent="0.3">
      <c r="G38769" s="1"/>
      <c r="N38769" s="1"/>
    </row>
    <row r="38770" spans="7:14" x14ac:dyDescent="0.3">
      <c r="G38770" s="1"/>
      <c r="N38770" s="1"/>
    </row>
    <row r="38771" spans="7:14" x14ac:dyDescent="0.3">
      <c r="G38771" s="1"/>
      <c r="N38771" s="1"/>
    </row>
    <row r="38772" spans="7:14" x14ac:dyDescent="0.3">
      <c r="G38772" s="1"/>
      <c r="N38772" s="1"/>
    </row>
    <row r="38773" spans="7:14" x14ac:dyDescent="0.3">
      <c r="G38773" s="1"/>
      <c r="N38773" s="1"/>
    </row>
    <row r="38774" spans="7:14" x14ac:dyDescent="0.3">
      <c r="G38774" s="1"/>
      <c r="N38774" s="1"/>
    </row>
    <row r="38775" spans="7:14" x14ac:dyDescent="0.3">
      <c r="G38775" s="1"/>
      <c r="N38775" s="1"/>
    </row>
    <row r="38776" spans="7:14" x14ac:dyDescent="0.3">
      <c r="G38776" s="1"/>
      <c r="N38776" s="1"/>
    </row>
    <row r="38777" spans="7:14" x14ac:dyDescent="0.3">
      <c r="G38777" s="1"/>
      <c r="N38777" s="1"/>
    </row>
    <row r="38778" spans="7:14" x14ac:dyDescent="0.3">
      <c r="G38778" s="1"/>
      <c r="N38778" s="1"/>
    </row>
    <row r="38779" spans="7:14" x14ac:dyDescent="0.3">
      <c r="G38779" s="1"/>
      <c r="N38779" s="1"/>
    </row>
    <row r="38780" spans="7:14" x14ac:dyDescent="0.3">
      <c r="G38780" s="1"/>
      <c r="N38780" s="1"/>
    </row>
    <row r="38781" spans="7:14" x14ac:dyDescent="0.3">
      <c r="G38781" s="1"/>
      <c r="N38781" s="1"/>
    </row>
    <row r="38782" spans="7:14" x14ac:dyDescent="0.3">
      <c r="G38782" s="1"/>
      <c r="N38782" s="1"/>
    </row>
    <row r="38783" spans="7:14" x14ac:dyDescent="0.3">
      <c r="G38783" s="1"/>
      <c r="N38783" s="1"/>
    </row>
    <row r="38784" spans="7:14" x14ac:dyDescent="0.3">
      <c r="G38784" s="1"/>
      <c r="N38784" s="1"/>
    </row>
    <row r="38785" spans="7:14" x14ac:dyDescent="0.3">
      <c r="G38785" s="1"/>
      <c r="N38785" s="1"/>
    </row>
    <row r="38786" spans="7:14" x14ac:dyDescent="0.3">
      <c r="G38786" s="1"/>
      <c r="N38786" s="1"/>
    </row>
    <row r="38787" spans="7:14" x14ac:dyDescent="0.3">
      <c r="G38787" s="1"/>
      <c r="N38787" s="1"/>
    </row>
    <row r="38788" spans="7:14" x14ac:dyDescent="0.3">
      <c r="G38788" s="1"/>
      <c r="N38788" s="1"/>
    </row>
    <row r="38789" spans="7:14" x14ac:dyDescent="0.3">
      <c r="G38789" s="1"/>
      <c r="N38789" s="1"/>
    </row>
    <row r="38790" spans="7:14" x14ac:dyDescent="0.3">
      <c r="G38790" s="1"/>
      <c r="N38790" s="1"/>
    </row>
    <row r="38791" spans="7:14" x14ac:dyDescent="0.3">
      <c r="G38791" s="1"/>
      <c r="N38791" s="1"/>
    </row>
    <row r="38792" spans="7:14" x14ac:dyDescent="0.3">
      <c r="G38792" s="1"/>
      <c r="N38792" s="1"/>
    </row>
    <row r="38793" spans="7:14" x14ac:dyDescent="0.3">
      <c r="G38793" s="1"/>
      <c r="N38793" s="1"/>
    </row>
    <row r="38794" spans="7:14" x14ac:dyDescent="0.3">
      <c r="G38794" s="1"/>
      <c r="N38794" s="1"/>
    </row>
    <row r="38795" spans="7:14" x14ac:dyDescent="0.3">
      <c r="G38795" s="1"/>
      <c r="N38795" s="1"/>
    </row>
    <row r="38796" spans="7:14" x14ac:dyDescent="0.3">
      <c r="G38796" s="1"/>
      <c r="N38796" s="1"/>
    </row>
    <row r="38797" spans="7:14" x14ac:dyDescent="0.3">
      <c r="G38797" s="1"/>
      <c r="N38797" s="1"/>
    </row>
    <row r="38798" spans="7:14" x14ac:dyDescent="0.3">
      <c r="G38798" s="1"/>
      <c r="N38798" s="1"/>
    </row>
    <row r="38799" spans="7:14" x14ac:dyDescent="0.3">
      <c r="G38799" s="1"/>
      <c r="N38799" s="1"/>
    </row>
    <row r="38800" spans="7:14" x14ac:dyDescent="0.3">
      <c r="G38800" s="1"/>
      <c r="N38800" s="1"/>
    </row>
    <row r="38801" spans="7:14" x14ac:dyDescent="0.3">
      <c r="G38801" s="1"/>
      <c r="N38801" s="1"/>
    </row>
    <row r="38802" spans="7:14" x14ac:dyDescent="0.3">
      <c r="G38802" s="1"/>
      <c r="N38802" s="1"/>
    </row>
    <row r="38803" spans="7:14" x14ac:dyDescent="0.3">
      <c r="G38803" s="1"/>
      <c r="N38803" s="1"/>
    </row>
    <row r="38804" spans="7:14" x14ac:dyDescent="0.3">
      <c r="G38804" s="1"/>
      <c r="N38804" s="1"/>
    </row>
    <row r="38805" spans="7:14" x14ac:dyDescent="0.3">
      <c r="G38805" s="1"/>
      <c r="N38805" s="1"/>
    </row>
    <row r="38806" spans="7:14" x14ac:dyDescent="0.3">
      <c r="G38806" s="1"/>
      <c r="N38806" s="1"/>
    </row>
    <row r="38807" spans="7:14" x14ac:dyDescent="0.3">
      <c r="G38807" s="1"/>
      <c r="N38807" s="1"/>
    </row>
    <row r="38808" spans="7:14" x14ac:dyDescent="0.3">
      <c r="G38808" s="1"/>
      <c r="N38808" s="1"/>
    </row>
    <row r="38809" spans="7:14" x14ac:dyDescent="0.3">
      <c r="G38809" s="1"/>
      <c r="N38809" s="1"/>
    </row>
    <row r="38810" spans="7:14" x14ac:dyDescent="0.3">
      <c r="G38810" s="1"/>
      <c r="N38810" s="1"/>
    </row>
    <row r="38811" spans="7:14" x14ac:dyDescent="0.3">
      <c r="G38811" s="1"/>
      <c r="N38811" s="1"/>
    </row>
    <row r="38812" spans="7:14" x14ac:dyDescent="0.3">
      <c r="G38812" s="1"/>
      <c r="N38812" s="1"/>
    </row>
    <row r="38813" spans="7:14" x14ac:dyDescent="0.3">
      <c r="G38813" s="1"/>
      <c r="N38813" s="1"/>
    </row>
    <row r="38814" spans="7:14" x14ac:dyDescent="0.3">
      <c r="G38814" s="1"/>
      <c r="N38814" s="1"/>
    </row>
    <row r="38815" spans="7:14" x14ac:dyDescent="0.3">
      <c r="G38815" s="1"/>
      <c r="N38815" s="1"/>
    </row>
    <row r="38816" spans="7:14" x14ac:dyDescent="0.3">
      <c r="G38816" s="1"/>
      <c r="N38816" s="1"/>
    </row>
    <row r="38817" spans="7:14" x14ac:dyDescent="0.3">
      <c r="G38817" s="1"/>
      <c r="N38817" s="1"/>
    </row>
    <row r="38818" spans="7:14" x14ac:dyDescent="0.3">
      <c r="G38818" s="1"/>
      <c r="N38818" s="1"/>
    </row>
    <row r="38819" spans="7:14" x14ac:dyDescent="0.3">
      <c r="G38819" s="1"/>
      <c r="N38819" s="1"/>
    </row>
    <row r="38820" spans="7:14" x14ac:dyDescent="0.3">
      <c r="G38820" s="1"/>
      <c r="N38820" s="1"/>
    </row>
    <row r="38821" spans="7:14" x14ac:dyDescent="0.3">
      <c r="G38821" s="1"/>
      <c r="N38821" s="1"/>
    </row>
    <row r="38822" spans="7:14" x14ac:dyDescent="0.3">
      <c r="G38822" s="1"/>
      <c r="N38822" s="1"/>
    </row>
    <row r="38823" spans="7:14" x14ac:dyDescent="0.3">
      <c r="G38823" s="1"/>
      <c r="N38823" s="1"/>
    </row>
    <row r="38824" spans="7:14" x14ac:dyDescent="0.3">
      <c r="G38824" s="1"/>
      <c r="N38824" s="1"/>
    </row>
    <row r="38825" spans="7:14" x14ac:dyDescent="0.3">
      <c r="G38825" s="1"/>
      <c r="N38825" s="1"/>
    </row>
    <row r="38826" spans="7:14" x14ac:dyDescent="0.3">
      <c r="G38826" s="1"/>
      <c r="N38826" s="1"/>
    </row>
    <row r="38827" spans="7:14" x14ac:dyDescent="0.3">
      <c r="G38827" s="1"/>
      <c r="N38827" s="1"/>
    </row>
    <row r="38828" spans="7:14" x14ac:dyDescent="0.3">
      <c r="G38828" s="1"/>
      <c r="N38828" s="1"/>
    </row>
    <row r="38829" spans="7:14" x14ac:dyDescent="0.3">
      <c r="G38829" s="1"/>
      <c r="N38829" s="1"/>
    </row>
    <row r="38830" spans="7:14" x14ac:dyDescent="0.3">
      <c r="G38830" s="1"/>
      <c r="N38830" s="1"/>
    </row>
    <row r="38831" spans="7:14" x14ac:dyDescent="0.3">
      <c r="G38831" s="1"/>
      <c r="N38831" s="1"/>
    </row>
    <row r="38832" spans="7:14" x14ac:dyDescent="0.3">
      <c r="G38832" s="1"/>
      <c r="N38832" s="1"/>
    </row>
    <row r="38833" spans="7:14" x14ac:dyDescent="0.3">
      <c r="G38833" s="1"/>
      <c r="N38833" s="1"/>
    </row>
    <row r="38834" spans="7:14" x14ac:dyDescent="0.3">
      <c r="G38834" s="1"/>
      <c r="N38834" s="1"/>
    </row>
    <row r="38835" spans="7:14" x14ac:dyDescent="0.3">
      <c r="G38835" s="1"/>
      <c r="N38835" s="1"/>
    </row>
    <row r="38836" spans="7:14" x14ac:dyDescent="0.3">
      <c r="G38836" s="1"/>
      <c r="N38836" s="1"/>
    </row>
    <row r="38837" spans="7:14" x14ac:dyDescent="0.3">
      <c r="G38837" s="1"/>
      <c r="N38837" s="1"/>
    </row>
    <row r="38838" spans="7:14" x14ac:dyDescent="0.3">
      <c r="G38838" s="1"/>
      <c r="N38838" s="1"/>
    </row>
    <row r="38839" spans="7:14" x14ac:dyDescent="0.3">
      <c r="G38839" s="1"/>
      <c r="N38839" s="1"/>
    </row>
    <row r="38840" spans="7:14" x14ac:dyDescent="0.3">
      <c r="G38840" s="1"/>
      <c r="N38840" s="1"/>
    </row>
    <row r="38841" spans="7:14" x14ac:dyDescent="0.3">
      <c r="G38841" s="1"/>
      <c r="N38841" s="1"/>
    </row>
    <row r="38842" spans="7:14" x14ac:dyDescent="0.3">
      <c r="G38842" s="1"/>
      <c r="N38842" s="1"/>
    </row>
    <row r="38843" spans="7:14" x14ac:dyDescent="0.3">
      <c r="G38843" s="1"/>
      <c r="N38843" s="1"/>
    </row>
    <row r="38844" spans="7:14" x14ac:dyDescent="0.3">
      <c r="G38844" s="1"/>
      <c r="N38844" s="1"/>
    </row>
    <row r="38845" spans="7:14" x14ac:dyDescent="0.3">
      <c r="G38845" s="1"/>
      <c r="N38845" s="1"/>
    </row>
    <row r="38846" spans="7:14" x14ac:dyDescent="0.3">
      <c r="G38846" s="1"/>
      <c r="N38846" s="1"/>
    </row>
    <row r="38847" spans="7:14" x14ac:dyDescent="0.3">
      <c r="G38847" s="1"/>
      <c r="N38847" s="1"/>
    </row>
    <row r="38848" spans="7:14" x14ac:dyDescent="0.3">
      <c r="G38848" s="1"/>
      <c r="N38848" s="1"/>
    </row>
    <row r="38849" spans="7:14" x14ac:dyDescent="0.3">
      <c r="G38849" s="1"/>
      <c r="N38849" s="1"/>
    </row>
    <row r="38850" spans="7:14" x14ac:dyDescent="0.3">
      <c r="G38850" s="1"/>
      <c r="N38850" s="1"/>
    </row>
    <row r="38851" spans="7:14" x14ac:dyDescent="0.3">
      <c r="G38851" s="1"/>
      <c r="N38851" s="1"/>
    </row>
    <row r="38852" spans="7:14" x14ac:dyDescent="0.3">
      <c r="G38852" s="1"/>
      <c r="N38852" s="1"/>
    </row>
    <row r="38853" spans="7:14" x14ac:dyDescent="0.3">
      <c r="G38853" s="1"/>
      <c r="N38853" s="1"/>
    </row>
    <row r="38854" spans="7:14" x14ac:dyDescent="0.3">
      <c r="G38854" s="1"/>
      <c r="N38854" s="1"/>
    </row>
    <row r="38855" spans="7:14" x14ac:dyDescent="0.3">
      <c r="G38855" s="1"/>
      <c r="N38855" s="1"/>
    </row>
    <row r="38856" spans="7:14" x14ac:dyDescent="0.3">
      <c r="G38856" s="1"/>
      <c r="N38856" s="1"/>
    </row>
    <row r="38857" spans="7:14" x14ac:dyDescent="0.3">
      <c r="G38857" s="1"/>
      <c r="N38857" s="1"/>
    </row>
    <row r="38858" spans="7:14" x14ac:dyDescent="0.3">
      <c r="G38858" s="1"/>
      <c r="N38858" s="1"/>
    </row>
    <row r="38859" spans="7:14" x14ac:dyDescent="0.3">
      <c r="G38859" s="1"/>
      <c r="N38859" s="1"/>
    </row>
    <row r="38860" spans="7:14" x14ac:dyDescent="0.3">
      <c r="G38860" s="1"/>
      <c r="N38860" s="1"/>
    </row>
    <row r="38861" spans="7:14" x14ac:dyDescent="0.3">
      <c r="G38861" s="1"/>
      <c r="N38861" s="1"/>
    </row>
    <row r="38862" spans="7:14" x14ac:dyDescent="0.3">
      <c r="G38862" s="1"/>
      <c r="N38862" s="1"/>
    </row>
    <row r="38863" spans="7:14" x14ac:dyDescent="0.3">
      <c r="G38863" s="1"/>
      <c r="N38863" s="1"/>
    </row>
    <row r="38864" spans="7:14" x14ac:dyDescent="0.3">
      <c r="G38864" s="1"/>
      <c r="N38864" s="1"/>
    </row>
    <row r="38865" spans="7:14" x14ac:dyDescent="0.3">
      <c r="G38865" s="1"/>
      <c r="N38865" s="1"/>
    </row>
    <row r="38866" spans="7:14" x14ac:dyDescent="0.3">
      <c r="G38866" s="1"/>
      <c r="N38866" s="1"/>
    </row>
    <row r="38867" spans="7:14" x14ac:dyDescent="0.3">
      <c r="G38867" s="1"/>
      <c r="N38867" s="1"/>
    </row>
    <row r="38868" spans="7:14" x14ac:dyDescent="0.3">
      <c r="G38868" s="1"/>
      <c r="N38868" s="1"/>
    </row>
    <row r="38869" spans="7:14" x14ac:dyDescent="0.3">
      <c r="G38869" s="1"/>
      <c r="N38869" s="1"/>
    </row>
    <row r="38870" spans="7:14" x14ac:dyDescent="0.3">
      <c r="G38870" s="1"/>
      <c r="N38870" s="1"/>
    </row>
    <row r="38871" spans="7:14" x14ac:dyDescent="0.3">
      <c r="G38871" s="1"/>
      <c r="N38871" s="1"/>
    </row>
    <row r="38872" spans="7:14" x14ac:dyDescent="0.3">
      <c r="G38872" s="1"/>
      <c r="N38872" s="1"/>
    </row>
    <row r="38873" spans="7:14" x14ac:dyDescent="0.3">
      <c r="G38873" s="1"/>
      <c r="N38873" s="1"/>
    </row>
    <row r="38874" spans="7:14" x14ac:dyDescent="0.3">
      <c r="G38874" s="1"/>
      <c r="N38874" s="1"/>
    </row>
    <row r="38875" spans="7:14" x14ac:dyDescent="0.3">
      <c r="G38875" s="1"/>
      <c r="N38875" s="1"/>
    </row>
    <row r="38876" spans="7:14" x14ac:dyDescent="0.3">
      <c r="G38876" s="1"/>
      <c r="N38876" s="1"/>
    </row>
    <row r="38877" spans="7:14" x14ac:dyDescent="0.3">
      <c r="G38877" s="1"/>
      <c r="N38877" s="1"/>
    </row>
    <row r="38878" spans="7:14" x14ac:dyDescent="0.3">
      <c r="G38878" s="1"/>
      <c r="N38878" s="1"/>
    </row>
    <row r="38879" spans="7:14" x14ac:dyDescent="0.3">
      <c r="G38879" s="1"/>
      <c r="N38879" s="1"/>
    </row>
    <row r="38880" spans="7:14" x14ac:dyDescent="0.3">
      <c r="G38880" s="1"/>
      <c r="N38880" s="1"/>
    </row>
    <row r="38881" spans="7:14" x14ac:dyDescent="0.3">
      <c r="G38881" s="1"/>
      <c r="N38881" s="1"/>
    </row>
    <row r="38882" spans="7:14" x14ac:dyDescent="0.3">
      <c r="G38882" s="1"/>
      <c r="N38882" s="1"/>
    </row>
    <row r="38883" spans="7:14" x14ac:dyDescent="0.3">
      <c r="G38883" s="1"/>
      <c r="N38883" s="1"/>
    </row>
    <row r="38884" spans="7:14" x14ac:dyDescent="0.3">
      <c r="G38884" s="1"/>
      <c r="N38884" s="1"/>
    </row>
    <row r="38885" spans="7:14" x14ac:dyDescent="0.3">
      <c r="G38885" s="1"/>
      <c r="N38885" s="1"/>
    </row>
    <row r="38886" spans="7:14" x14ac:dyDescent="0.3">
      <c r="G38886" s="1"/>
      <c r="N38886" s="1"/>
    </row>
    <row r="38887" spans="7:14" x14ac:dyDescent="0.3">
      <c r="G38887" s="1"/>
      <c r="N38887" s="1"/>
    </row>
    <row r="38888" spans="7:14" x14ac:dyDescent="0.3">
      <c r="G38888" s="1"/>
      <c r="N38888" s="1"/>
    </row>
    <row r="38889" spans="7:14" x14ac:dyDescent="0.3">
      <c r="G38889" s="1"/>
      <c r="N38889" s="1"/>
    </row>
    <row r="38890" spans="7:14" x14ac:dyDescent="0.3">
      <c r="G38890" s="1"/>
      <c r="N38890" s="1"/>
    </row>
    <row r="38891" spans="7:14" x14ac:dyDescent="0.3">
      <c r="G38891" s="1"/>
      <c r="N38891" s="1"/>
    </row>
    <row r="38892" spans="7:14" x14ac:dyDescent="0.3">
      <c r="G38892" s="1"/>
      <c r="N38892" s="1"/>
    </row>
    <row r="38893" spans="7:14" x14ac:dyDescent="0.3">
      <c r="G38893" s="1"/>
      <c r="N38893" s="1"/>
    </row>
    <row r="38894" spans="7:14" x14ac:dyDescent="0.3">
      <c r="G38894" s="1"/>
      <c r="N38894" s="1"/>
    </row>
    <row r="38895" spans="7:14" x14ac:dyDescent="0.3">
      <c r="G38895" s="1"/>
      <c r="N38895" s="1"/>
    </row>
    <row r="38896" spans="7:14" x14ac:dyDescent="0.3">
      <c r="G38896" s="1"/>
      <c r="N38896" s="1"/>
    </row>
    <row r="38897" spans="7:14" x14ac:dyDescent="0.3">
      <c r="G38897" s="1"/>
      <c r="N38897" s="1"/>
    </row>
    <row r="38898" spans="7:14" x14ac:dyDescent="0.3">
      <c r="G38898" s="1"/>
      <c r="N38898" s="1"/>
    </row>
    <row r="38899" spans="7:14" x14ac:dyDescent="0.3">
      <c r="G38899" s="1"/>
      <c r="N38899" s="1"/>
    </row>
    <row r="38900" spans="7:14" x14ac:dyDescent="0.3">
      <c r="G38900" s="1"/>
      <c r="N38900" s="1"/>
    </row>
    <row r="38901" spans="7:14" x14ac:dyDescent="0.3">
      <c r="G38901" s="1"/>
      <c r="N38901" s="1"/>
    </row>
    <row r="38902" spans="7:14" x14ac:dyDescent="0.3">
      <c r="G38902" s="1"/>
      <c r="N38902" s="1"/>
    </row>
    <row r="38903" spans="7:14" x14ac:dyDescent="0.3">
      <c r="G38903" s="1"/>
      <c r="N38903" s="1"/>
    </row>
    <row r="38904" spans="7:14" x14ac:dyDescent="0.3">
      <c r="G38904" s="1"/>
      <c r="N38904" s="1"/>
    </row>
    <row r="38905" spans="7:14" x14ac:dyDescent="0.3">
      <c r="G38905" s="1"/>
      <c r="N38905" s="1"/>
    </row>
    <row r="38906" spans="7:14" x14ac:dyDescent="0.3">
      <c r="G38906" s="1"/>
      <c r="N38906" s="1"/>
    </row>
    <row r="38907" spans="7:14" x14ac:dyDescent="0.3">
      <c r="G38907" s="1"/>
      <c r="N38907" s="1"/>
    </row>
    <row r="38908" spans="7:14" x14ac:dyDescent="0.3">
      <c r="G38908" s="1"/>
      <c r="N38908" s="1"/>
    </row>
    <row r="38909" spans="7:14" x14ac:dyDescent="0.3">
      <c r="G38909" s="1"/>
      <c r="N38909" s="1"/>
    </row>
    <row r="38910" spans="7:14" x14ac:dyDescent="0.3">
      <c r="G38910" s="1"/>
      <c r="N38910" s="1"/>
    </row>
    <row r="38911" spans="7:14" x14ac:dyDescent="0.3">
      <c r="G38911" s="1"/>
      <c r="N38911" s="1"/>
    </row>
    <row r="38912" spans="7:14" x14ac:dyDescent="0.3">
      <c r="G38912" s="1"/>
      <c r="N38912" s="1"/>
    </row>
    <row r="38913" spans="7:14" x14ac:dyDescent="0.3">
      <c r="G38913" s="1"/>
      <c r="N38913" s="1"/>
    </row>
    <row r="38914" spans="7:14" x14ac:dyDescent="0.3">
      <c r="G38914" s="1"/>
      <c r="N38914" s="1"/>
    </row>
    <row r="38915" spans="7:14" x14ac:dyDescent="0.3">
      <c r="G38915" s="1"/>
      <c r="N38915" s="1"/>
    </row>
    <row r="38916" spans="7:14" x14ac:dyDescent="0.3">
      <c r="G38916" s="1"/>
      <c r="N38916" s="1"/>
    </row>
    <row r="38917" spans="7:14" x14ac:dyDescent="0.3">
      <c r="G38917" s="1"/>
      <c r="N38917" s="1"/>
    </row>
    <row r="38918" spans="7:14" x14ac:dyDescent="0.3">
      <c r="G38918" s="1"/>
      <c r="N38918" s="1"/>
    </row>
    <row r="38919" spans="7:14" x14ac:dyDescent="0.3">
      <c r="G38919" s="1"/>
      <c r="N38919" s="1"/>
    </row>
    <row r="38920" spans="7:14" x14ac:dyDescent="0.3">
      <c r="G38920" s="1"/>
      <c r="N38920" s="1"/>
    </row>
    <row r="38921" spans="7:14" x14ac:dyDescent="0.3">
      <c r="G38921" s="1"/>
      <c r="N38921" s="1"/>
    </row>
    <row r="38922" spans="7:14" x14ac:dyDescent="0.3">
      <c r="G38922" s="1"/>
      <c r="N38922" s="1"/>
    </row>
    <row r="38923" spans="7:14" x14ac:dyDescent="0.3">
      <c r="G38923" s="1"/>
      <c r="N38923" s="1"/>
    </row>
    <row r="38924" spans="7:14" x14ac:dyDescent="0.3">
      <c r="G38924" s="1"/>
      <c r="N38924" s="1"/>
    </row>
    <row r="38925" spans="7:14" x14ac:dyDescent="0.3">
      <c r="G38925" s="1"/>
      <c r="N38925" s="1"/>
    </row>
    <row r="38926" spans="7:14" x14ac:dyDescent="0.3">
      <c r="G38926" s="1"/>
      <c r="N38926" s="1"/>
    </row>
    <row r="38927" spans="7:14" x14ac:dyDescent="0.3">
      <c r="G38927" s="1"/>
      <c r="N38927" s="1"/>
    </row>
    <row r="38928" spans="7:14" x14ac:dyDescent="0.3">
      <c r="G38928" s="1"/>
      <c r="N38928" s="1"/>
    </row>
    <row r="38929" spans="7:14" x14ac:dyDescent="0.3">
      <c r="G38929" s="1"/>
      <c r="N38929" s="1"/>
    </row>
    <row r="38930" spans="7:14" x14ac:dyDescent="0.3">
      <c r="G38930" s="1"/>
      <c r="N38930" s="1"/>
    </row>
    <row r="38931" spans="7:14" x14ac:dyDescent="0.3">
      <c r="G38931" s="1"/>
      <c r="N38931" s="1"/>
    </row>
    <row r="38932" spans="7:14" x14ac:dyDescent="0.3">
      <c r="G38932" s="1"/>
      <c r="N38932" s="1"/>
    </row>
    <row r="38933" spans="7:14" x14ac:dyDescent="0.3">
      <c r="G38933" s="1"/>
      <c r="N38933" s="1"/>
    </row>
    <row r="38934" spans="7:14" x14ac:dyDescent="0.3">
      <c r="G38934" s="1"/>
      <c r="N38934" s="1"/>
    </row>
    <row r="38935" spans="7:14" x14ac:dyDescent="0.3">
      <c r="G38935" s="1"/>
      <c r="N38935" s="1"/>
    </row>
    <row r="38936" spans="7:14" x14ac:dyDescent="0.3">
      <c r="G38936" s="1"/>
      <c r="N38936" s="1"/>
    </row>
    <row r="38937" spans="7:14" x14ac:dyDescent="0.3">
      <c r="G38937" s="1"/>
      <c r="N38937" s="1"/>
    </row>
    <row r="38938" spans="7:14" x14ac:dyDescent="0.3">
      <c r="G38938" s="1"/>
      <c r="N38938" s="1"/>
    </row>
    <row r="38939" spans="7:14" x14ac:dyDescent="0.3">
      <c r="G38939" s="1"/>
      <c r="N38939" s="1"/>
    </row>
    <row r="38940" spans="7:14" x14ac:dyDescent="0.3">
      <c r="G38940" s="1"/>
      <c r="N38940" s="1"/>
    </row>
    <row r="38941" spans="7:14" x14ac:dyDescent="0.3">
      <c r="G38941" s="1"/>
      <c r="N38941" s="1"/>
    </row>
    <row r="38942" spans="7:14" x14ac:dyDescent="0.3">
      <c r="G38942" s="1"/>
      <c r="N38942" s="1"/>
    </row>
    <row r="38943" spans="7:14" x14ac:dyDescent="0.3">
      <c r="G38943" s="1"/>
      <c r="N38943" s="1"/>
    </row>
    <row r="38944" spans="7:14" x14ac:dyDescent="0.3">
      <c r="G38944" s="1"/>
      <c r="N38944" s="1"/>
    </row>
    <row r="38945" spans="7:14" x14ac:dyDescent="0.3">
      <c r="G38945" s="1"/>
      <c r="N38945" s="1"/>
    </row>
    <row r="38946" spans="7:14" x14ac:dyDescent="0.3">
      <c r="G38946" s="1"/>
      <c r="N38946" s="1"/>
    </row>
    <row r="38947" spans="7:14" x14ac:dyDescent="0.3">
      <c r="G38947" s="1"/>
      <c r="N38947" s="1"/>
    </row>
    <row r="38948" spans="7:14" x14ac:dyDescent="0.3">
      <c r="G38948" s="1"/>
      <c r="N38948" s="1"/>
    </row>
    <row r="38949" spans="7:14" x14ac:dyDescent="0.3">
      <c r="G38949" s="1"/>
      <c r="N38949" s="1"/>
    </row>
    <row r="38950" spans="7:14" x14ac:dyDescent="0.3">
      <c r="G38950" s="1"/>
      <c r="N38950" s="1"/>
    </row>
    <row r="38951" spans="7:14" x14ac:dyDescent="0.3">
      <c r="G38951" s="1"/>
      <c r="N38951" s="1"/>
    </row>
    <row r="38952" spans="7:14" x14ac:dyDescent="0.3">
      <c r="G38952" s="1"/>
      <c r="N38952" s="1"/>
    </row>
    <row r="38953" spans="7:14" x14ac:dyDescent="0.3">
      <c r="G38953" s="1"/>
      <c r="N38953" s="1"/>
    </row>
    <row r="38954" spans="7:14" x14ac:dyDescent="0.3">
      <c r="G38954" s="1"/>
      <c r="N38954" s="1"/>
    </row>
    <row r="38955" spans="7:14" x14ac:dyDescent="0.3">
      <c r="G38955" s="1"/>
      <c r="N38955" s="1"/>
    </row>
    <row r="38956" spans="7:14" x14ac:dyDescent="0.3">
      <c r="G38956" s="1"/>
      <c r="N38956" s="1"/>
    </row>
    <row r="38957" spans="7:14" x14ac:dyDescent="0.3">
      <c r="G38957" s="1"/>
      <c r="N38957" s="1"/>
    </row>
    <row r="38958" spans="7:14" x14ac:dyDescent="0.3">
      <c r="G38958" s="1"/>
      <c r="N38958" s="1"/>
    </row>
    <row r="38959" spans="7:14" x14ac:dyDescent="0.3">
      <c r="G38959" s="1"/>
      <c r="N38959" s="1"/>
    </row>
    <row r="38960" spans="7:14" x14ac:dyDescent="0.3">
      <c r="G38960" s="1"/>
      <c r="N38960" s="1"/>
    </row>
    <row r="38961" spans="7:14" x14ac:dyDescent="0.3">
      <c r="G38961" s="1"/>
      <c r="N38961" s="1"/>
    </row>
    <row r="38962" spans="7:14" x14ac:dyDescent="0.3">
      <c r="G38962" s="1"/>
      <c r="N38962" s="1"/>
    </row>
    <row r="38963" spans="7:14" x14ac:dyDescent="0.3">
      <c r="G38963" s="1"/>
      <c r="N38963" s="1"/>
    </row>
    <row r="38964" spans="7:14" x14ac:dyDescent="0.3">
      <c r="G38964" s="1"/>
      <c r="N38964" s="1"/>
    </row>
    <row r="38965" spans="7:14" x14ac:dyDescent="0.3">
      <c r="G38965" s="1"/>
      <c r="N38965" s="1"/>
    </row>
    <row r="38966" spans="7:14" x14ac:dyDescent="0.3">
      <c r="G38966" s="1"/>
      <c r="N38966" s="1"/>
    </row>
    <row r="38967" spans="7:14" x14ac:dyDescent="0.3">
      <c r="G38967" s="1"/>
      <c r="N38967" s="1"/>
    </row>
    <row r="38968" spans="7:14" x14ac:dyDescent="0.3">
      <c r="G38968" s="1"/>
      <c r="N38968" s="1"/>
    </row>
    <row r="38969" spans="7:14" x14ac:dyDescent="0.3">
      <c r="G38969" s="1"/>
      <c r="N38969" s="1"/>
    </row>
    <row r="38970" spans="7:14" x14ac:dyDescent="0.3">
      <c r="G38970" s="1"/>
      <c r="N38970" s="1"/>
    </row>
    <row r="38971" spans="7:14" x14ac:dyDescent="0.3">
      <c r="G38971" s="1"/>
      <c r="N38971" s="1"/>
    </row>
    <row r="38972" spans="7:14" x14ac:dyDescent="0.3">
      <c r="G38972" s="1"/>
      <c r="N38972" s="1"/>
    </row>
    <row r="38973" spans="7:14" x14ac:dyDescent="0.3">
      <c r="G38973" s="1"/>
      <c r="N38973" s="1"/>
    </row>
    <row r="38974" spans="7:14" x14ac:dyDescent="0.3">
      <c r="G38974" s="1"/>
      <c r="N38974" s="1"/>
    </row>
    <row r="38975" spans="7:14" x14ac:dyDescent="0.3">
      <c r="G38975" s="1"/>
      <c r="N38975" s="1"/>
    </row>
    <row r="38976" spans="7:14" x14ac:dyDescent="0.3">
      <c r="G38976" s="1"/>
      <c r="N38976" s="1"/>
    </row>
    <row r="38977" spans="7:14" x14ac:dyDescent="0.3">
      <c r="G38977" s="1"/>
      <c r="N38977" s="1"/>
    </row>
    <row r="38978" spans="7:14" x14ac:dyDescent="0.3">
      <c r="G38978" s="1"/>
      <c r="N38978" s="1"/>
    </row>
    <row r="38979" spans="7:14" x14ac:dyDescent="0.3">
      <c r="G38979" s="1"/>
      <c r="N38979" s="1"/>
    </row>
    <row r="38980" spans="7:14" x14ac:dyDescent="0.3">
      <c r="G38980" s="1"/>
      <c r="N38980" s="1"/>
    </row>
    <row r="38981" spans="7:14" x14ac:dyDescent="0.3">
      <c r="G38981" s="1"/>
      <c r="N38981" s="1"/>
    </row>
    <row r="38982" spans="7:14" x14ac:dyDescent="0.3">
      <c r="G38982" s="1"/>
      <c r="N38982" s="1"/>
    </row>
    <row r="38983" spans="7:14" x14ac:dyDescent="0.3">
      <c r="G38983" s="1"/>
      <c r="N38983" s="1"/>
    </row>
    <row r="38984" spans="7:14" x14ac:dyDescent="0.3">
      <c r="G38984" s="1"/>
      <c r="N38984" s="1"/>
    </row>
    <row r="38985" spans="7:14" x14ac:dyDescent="0.3">
      <c r="G38985" s="1"/>
      <c r="N38985" s="1"/>
    </row>
    <row r="38986" spans="7:14" x14ac:dyDescent="0.3">
      <c r="G38986" s="1"/>
      <c r="N38986" s="1"/>
    </row>
    <row r="38987" spans="7:14" x14ac:dyDescent="0.3">
      <c r="G38987" s="1"/>
      <c r="N38987" s="1"/>
    </row>
    <row r="38988" spans="7:14" x14ac:dyDescent="0.3">
      <c r="G38988" s="1"/>
      <c r="N38988" s="1"/>
    </row>
    <row r="38989" spans="7:14" x14ac:dyDescent="0.3">
      <c r="G38989" s="1"/>
      <c r="N38989" s="1"/>
    </row>
    <row r="38990" spans="7:14" x14ac:dyDescent="0.3">
      <c r="G38990" s="1"/>
      <c r="N38990" s="1"/>
    </row>
    <row r="38991" spans="7:14" x14ac:dyDescent="0.3">
      <c r="G38991" s="1"/>
      <c r="N38991" s="1"/>
    </row>
    <row r="38992" spans="7:14" x14ac:dyDescent="0.3">
      <c r="G38992" s="1"/>
      <c r="N38992" s="1"/>
    </row>
    <row r="38993" spans="7:14" x14ac:dyDescent="0.3">
      <c r="G38993" s="1"/>
      <c r="N38993" s="1"/>
    </row>
    <row r="38994" spans="7:14" x14ac:dyDescent="0.3">
      <c r="G38994" s="1"/>
      <c r="N38994" s="1"/>
    </row>
    <row r="38995" spans="7:14" x14ac:dyDescent="0.3">
      <c r="G38995" s="1"/>
      <c r="N38995" s="1"/>
    </row>
    <row r="38996" spans="7:14" x14ac:dyDescent="0.3">
      <c r="G38996" s="1"/>
      <c r="N38996" s="1"/>
    </row>
    <row r="38997" spans="7:14" x14ac:dyDescent="0.3">
      <c r="G38997" s="1"/>
      <c r="N38997" s="1"/>
    </row>
    <row r="38998" spans="7:14" x14ac:dyDescent="0.3">
      <c r="G38998" s="1"/>
      <c r="N38998" s="1"/>
    </row>
    <row r="38999" spans="7:14" x14ac:dyDescent="0.3">
      <c r="G38999" s="1"/>
      <c r="N38999" s="1"/>
    </row>
    <row r="39000" spans="7:14" x14ac:dyDescent="0.3">
      <c r="G39000" s="1"/>
      <c r="N39000" s="1"/>
    </row>
    <row r="39001" spans="7:14" x14ac:dyDescent="0.3">
      <c r="G39001" s="1"/>
      <c r="N39001" s="1"/>
    </row>
    <row r="39002" spans="7:14" x14ac:dyDescent="0.3">
      <c r="G39002" s="1"/>
      <c r="N39002" s="1"/>
    </row>
    <row r="39003" spans="7:14" x14ac:dyDescent="0.3">
      <c r="G39003" s="1"/>
      <c r="N39003" s="1"/>
    </row>
    <row r="39004" spans="7:14" x14ac:dyDescent="0.3">
      <c r="G39004" s="1"/>
      <c r="N39004" s="1"/>
    </row>
    <row r="39005" spans="7:14" x14ac:dyDescent="0.3">
      <c r="G39005" s="1"/>
      <c r="N39005" s="1"/>
    </row>
    <row r="39006" spans="7:14" x14ac:dyDescent="0.3">
      <c r="G39006" s="1"/>
      <c r="N39006" s="1"/>
    </row>
    <row r="39007" spans="7:14" x14ac:dyDescent="0.3">
      <c r="G39007" s="1"/>
      <c r="N39007" s="1"/>
    </row>
    <row r="39008" spans="7:14" x14ac:dyDescent="0.3">
      <c r="G39008" s="1"/>
      <c r="N39008" s="1"/>
    </row>
    <row r="39009" spans="7:14" x14ac:dyDescent="0.3">
      <c r="G39009" s="1"/>
      <c r="N39009" s="1"/>
    </row>
    <row r="39010" spans="7:14" x14ac:dyDescent="0.3">
      <c r="G39010" s="1"/>
      <c r="N39010" s="1"/>
    </row>
    <row r="39011" spans="7:14" x14ac:dyDescent="0.3">
      <c r="G39011" s="1"/>
      <c r="N39011" s="1"/>
    </row>
    <row r="39012" spans="7:14" x14ac:dyDescent="0.3">
      <c r="G39012" s="1"/>
      <c r="N39012" s="1"/>
    </row>
    <row r="39013" spans="7:14" x14ac:dyDescent="0.3">
      <c r="G39013" s="1"/>
      <c r="N39013" s="1"/>
    </row>
    <row r="39014" spans="7:14" x14ac:dyDescent="0.3">
      <c r="G39014" s="1"/>
      <c r="N39014" s="1"/>
    </row>
    <row r="39015" spans="7:14" x14ac:dyDescent="0.3">
      <c r="G39015" s="1"/>
      <c r="N39015" s="1"/>
    </row>
    <row r="39016" spans="7:14" x14ac:dyDescent="0.3">
      <c r="G39016" s="1"/>
      <c r="N39016" s="1"/>
    </row>
    <row r="39017" spans="7:14" x14ac:dyDescent="0.3">
      <c r="G39017" s="1"/>
      <c r="N39017" s="1"/>
    </row>
    <row r="39018" spans="7:14" x14ac:dyDescent="0.3">
      <c r="G39018" s="1"/>
      <c r="N39018" s="1"/>
    </row>
    <row r="39019" spans="7:14" x14ac:dyDescent="0.3">
      <c r="G39019" s="1"/>
      <c r="N39019" s="1"/>
    </row>
    <row r="39020" spans="7:14" x14ac:dyDescent="0.3">
      <c r="G39020" s="1"/>
      <c r="N39020" s="1"/>
    </row>
    <row r="39021" spans="7:14" x14ac:dyDescent="0.3">
      <c r="G39021" s="1"/>
      <c r="N39021" s="1"/>
    </row>
    <row r="39022" spans="7:14" x14ac:dyDescent="0.3">
      <c r="G39022" s="1"/>
      <c r="N39022" s="1"/>
    </row>
    <row r="39023" spans="7:14" x14ac:dyDescent="0.3">
      <c r="G39023" s="1"/>
      <c r="N39023" s="1"/>
    </row>
    <row r="39024" spans="7:14" x14ac:dyDescent="0.3">
      <c r="G39024" s="1"/>
      <c r="N39024" s="1"/>
    </row>
    <row r="39025" spans="7:14" x14ac:dyDescent="0.3">
      <c r="G39025" s="1"/>
      <c r="N39025" s="1"/>
    </row>
    <row r="39026" spans="7:14" x14ac:dyDescent="0.3">
      <c r="G39026" s="1"/>
      <c r="N39026" s="1"/>
    </row>
    <row r="39027" spans="7:14" x14ac:dyDescent="0.3">
      <c r="G39027" s="1"/>
      <c r="N39027" s="1"/>
    </row>
    <row r="39028" spans="7:14" x14ac:dyDescent="0.3">
      <c r="G39028" s="1"/>
      <c r="N39028" s="1"/>
    </row>
    <row r="39029" spans="7:14" x14ac:dyDescent="0.3">
      <c r="G39029" s="1"/>
      <c r="N39029" s="1"/>
    </row>
    <row r="39030" spans="7:14" x14ac:dyDescent="0.3">
      <c r="G39030" s="1"/>
      <c r="N39030" s="1"/>
    </row>
    <row r="39031" spans="7:14" x14ac:dyDescent="0.3">
      <c r="G39031" s="1"/>
      <c r="N39031" s="1"/>
    </row>
    <row r="39032" spans="7:14" x14ac:dyDescent="0.3">
      <c r="G39032" s="1"/>
      <c r="N39032" s="1"/>
    </row>
    <row r="39033" spans="7:14" x14ac:dyDescent="0.3">
      <c r="G39033" s="1"/>
      <c r="N39033" s="1"/>
    </row>
    <row r="39034" spans="7:14" x14ac:dyDescent="0.3">
      <c r="G39034" s="1"/>
      <c r="N39034" s="1"/>
    </row>
    <row r="39035" spans="7:14" x14ac:dyDescent="0.3">
      <c r="G39035" s="1"/>
      <c r="N39035" s="1"/>
    </row>
    <row r="39036" spans="7:14" x14ac:dyDescent="0.3">
      <c r="G39036" s="1"/>
      <c r="N39036" s="1"/>
    </row>
    <row r="39037" spans="7:14" x14ac:dyDescent="0.3">
      <c r="G39037" s="1"/>
      <c r="N39037" s="1"/>
    </row>
    <row r="39038" spans="7:14" x14ac:dyDescent="0.3">
      <c r="G39038" s="1"/>
      <c r="N39038" s="1"/>
    </row>
    <row r="39039" spans="7:14" x14ac:dyDescent="0.3">
      <c r="G39039" s="1"/>
      <c r="N39039" s="1"/>
    </row>
    <row r="39040" spans="7:14" x14ac:dyDescent="0.3">
      <c r="G39040" s="1"/>
      <c r="N39040" s="1"/>
    </row>
    <row r="39041" spans="7:14" x14ac:dyDescent="0.3">
      <c r="G39041" s="1"/>
      <c r="N39041" s="1"/>
    </row>
    <row r="39042" spans="7:14" x14ac:dyDescent="0.3">
      <c r="G39042" s="1"/>
      <c r="N39042" s="1"/>
    </row>
    <row r="39043" spans="7:14" x14ac:dyDescent="0.3">
      <c r="G39043" s="1"/>
      <c r="N39043" s="1"/>
    </row>
    <row r="39044" spans="7:14" x14ac:dyDescent="0.3">
      <c r="G39044" s="1"/>
      <c r="N39044" s="1"/>
    </row>
    <row r="39045" spans="7:14" x14ac:dyDescent="0.3">
      <c r="G39045" s="1"/>
      <c r="N39045" s="1"/>
    </row>
    <row r="39046" spans="7:14" x14ac:dyDescent="0.3">
      <c r="G39046" s="1"/>
      <c r="N39046" s="1"/>
    </row>
    <row r="39047" spans="7:14" x14ac:dyDescent="0.3">
      <c r="G39047" s="1"/>
      <c r="N39047" s="1"/>
    </row>
    <row r="39048" spans="7:14" x14ac:dyDescent="0.3">
      <c r="G39048" s="1"/>
      <c r="N39048" s="1"/>
    </row>
    <row r="39049" spans="7:14" x14ac:dyDescent="0.3">
      <c r="G39049" s="1"/>
      <c r="N39049" s="1"/>
    </row>
    <row r="39050" spans="7:14" x14ac:dyDescent="0.3">
      <c r="G39050" s="1"/>
      <c r="N39050" s="1"/>
    </row>
    <row r="39051" spans="7:14" x14ac:dyDescent="0.3">
      <c r="G39051" s="1"/>
      <c r="N39051" s="1"/>
    </row>
    <row r="39052" spans="7:14" x14ac:dyDescent="0.3">
      <c r="G39052" s="1"/>
      <c r="N39052" s="1"/>
    </row>
    <row r="39053" spans="7:14" x14ac:dyDescent="0.3">
      <c r="G39053" s="1"/>
      <c r="N39053" s="1"/>
    </row>
    <row r="39054" spans="7:14" x14ac:dyDescent="0.3">
      <c r="G39054" s="1"/>
      <c r="N39054" s="1"/>
    </row>
    <row r="39055" spans="7:14" x14ac:dyDescent="0.3">
      <c r="G39055" s="1"/>
      <c r="N39055" s="1"/>
    </row>
    <row r="39056" spans="7:14" x14ac:dyDescent="0.3">
      <c r="G39056" s="1"/>
      <c r="N39056" s="1"/>
    </row>
    <row r="39057" spans="7:14" x14ac:dyDescent="0.3">
      <c r="G39057" s="1"/>
      <c r="N39057" s="1"/>
    </row>
    <row r="39058" spans="7:14" x14ac:dyDescent="0.3">
      <c r="G39058" s="1"/>
      <c r="N39058" s="1"/>
    </row>
    <row r="39059" spans="7:14" x14ac:dyDescent="0.3">
      <c r="G39059" s="1"/>
      <c r="N39059" s="1"/>
    </row>
    <row r="39060" spans="7:14" x14ac:dyDescent="0.3">
      <c r="G39060" s="1"/>
      <c r="N39060" s="1"/>
    </row>
    <row r="39061" spans="7:14" x14ac:dyDescent="0.3">
      <c r="G39061" s="1"/>
      <c r="N39061" s="1"/>
    </row>
    <row r="39062" spans="7:14" x14ac:dyDescent="0.3">
      <c r="G39062" s="1"/>
      <c r="N39062" s="1"/>
    </row>
    <row r="39063" spans="7:14" x14ac:dyDescent="0.3">
      <c r="G39063" s="1"/>
      <c r="N39063" s="1"/>
    </row>
    <row r="39064" spans="7:14" x14ac:dyDescent="0.3">
      <c r="G39064" s="1"/>
      <c r="N39064" s="1"/>
    </row>
    <row r="39065" spans="7:14" x14ac:dyDescent="0.3">
      <c r="G39065" s="1"/>
      <c r="N39065" s="1"/>
    </row>
    <row r="39066" spans="7:14" x14ac:dyDescent="0.3">
      <c r="G39066" s="1"/>
      <c r="N39066" s="1"/>
    </row>
    <row r="39067" spans="7:14" x14ac:dyDescent="0.3">
      <c r="G39067" s="1"/>
      <c r="N39067" s="1"/>
    </row>
    <row r="39068" spans="7:14" x14ac:dyDescent="0.3">
      <c r="G39068" s="1"/>
      <c r="N39068" s="1"/>
    </row>
    <row r="39069" spans="7:14" x14ac:dyDescent="0.3">
      <c r="G39069" s="1"/>
      <c r="N39069" s="1"/>
    </row>
    <row r="39070" spans="7:14" x14ac:dyDescent="0.3">
      <c r="G39070" s="1"/>
      <c r="N39070" s="1"/>
    </row>
    <row r="39071" spans="7:14" x14ac:dyDescent="0.3">
      <c r="G39071" s="1"/>
      <c r="N39071" s="1"/>
    </row>
    <row r="39072" spans="7:14" x14ac:dyDescent="0.3">
      <c r="G39072" s="1"/>
      <c r="N39072" s="1"/>
    </row>
    <row r="39073" spans="7:14" x14ac:dyDescent="0.3">
      <c r="G39073" s="1"/>
      <c r="N39073" s="1"/>
    </row>
    <row r="39074" spans="7:14" x14ac:dyDescent="0.3">
      <c r="G39074" s="1"/>
      <c r="N39074" s="1"/>
    </row>
    <row r="39075" spans="7:14" x14ac:dyDescent="0.3">
      <c r="G39075" s="1"/>
      <c r="N39075" s="1"/>
    </row>
    <row r="39076" spans="7:14" x14ac:dyDescent="0.3">
      <c r="G39076" s="1"/>
      <c r="N39076" s="1"/>
    </row>
    <row r="39077" spans="7:14" x14ac:dyDescent="0.3">
      <c r="G39077" s="1"/>
      <c r="N39077" s="1"/>
    </row>
    <row r="39078" spans="7:14" x14ac:dyDescent="0.3">
      <c r="G39078" s="1"/>
      <c r="N39078" s="1"/>
    </row>
    <row r="39079" spans="7:14" x14ac:dyDescent="0.3">
      <c r="G39079" s="1"/>
      <c r="N39079" s="1"/>
    </row>
    <row r="39080" spans="7:14" x14ac:dyDescent="0.3">
      <c r="G39080" s="1"/>
      <c r="N39080" s="1"/>
    </row>
    <row r="39081" spans="7:14" x14ac:dyDescent="0.3">
      <c r="G39081" s="1"/>
      <c r="N39081" s="1"/>
    </row>
    <row r="39082" spans="7:14" x14ac:dyDescent="0.3">
      <c r="G39082" s="1"/>
      <c r="N39082" s="1"/>
    </row>
    <row r="39083" spans="7:14" x14ac:dyDescent="0.3">
      <c r="G39083" s="1"/>
      <c r="N39083" s="1"/>
    </row>
    <row r="39084" spans="7:14" x14ac:dyDescent="0.3">
      <c r="G39084" s="1"/>
      <c r="N39084" s="1"/>
    </row>
    <row r="39085" spans="7:14" x14ac:dyDescent="0.3">
      <c r="G39085" s="1"/>
      <c r="N39085" s="1"/>
    </row>
    <row r="39086" spans="7:14" x14ac:dyDescent="0.3">
      <c r="G39086" s="1"/>
      <c r="N39086" s="1"/>
    </row>
    <row r="39087" spans="7:14" x14ac:dyDescent="0.3">
      <c r="G39087" s="1"/>
      <c r="N39087" s="1"/>
    </row>
    <row r="39088" spans="7:14" x14ac:dyDescent="0.3">
      <c r="G39088" s="1"/>
      <c r="N39088" s="1"/>
    </row>
    <row r="39089" spans="7:14" x14ac:dyDescent="0.3">
      <c r="G39089" s="1"/>
      <c r="N39089" s="1"/>
    </row>
    <row r="39090" spans="7:14" x14ac:dyDescent="0.3">
      <c r="G39090" s="1"/>
      <c r="N39090" s="1"/>
    </row>
    <row r="39091" spans="7:14" x14ac:dyDescent="0.3">
      <c r="G39091" s="1"/>
      <c r="N39091" s="1"/>
    </row>
    <row r="39092" spans="7:14" x14ac:dyDescent="0.3">
      <c r="G39092" s="1"/>
      <c r="N39092" s="1"/>
    </row>
    <row r="39093" spans="7:14" x14ac:dyDescent="0.3">
      <c r="G39093" s="1"/>
      <c r="N39093" s="1"/>
    </row>
    <row r="39094" spans="7:14" x14ac:dyDescent="0.3">
      <c r="G39094" s="1"/>
      <c r="N39094" s="1"/>
    </row>
    <row r="39095" spans="7:14" x14ac:dyDescent="0.3">
      <c r="G39095" s="1"/>
      <c r="N39095" s="1"/>
    </row>
    <row r="39096" spans="7:14" x14ac:dyDescent="0.3">
      <c r="G39096" s="1"/>
      <c r="N39096" s="1"/>
    </row>
    <row r="39097" spans="7:14" x14ac:dyDescent="0.3">
      <c r="G39097" s="1"/>
      <c r="N39097" s="1"/>
    </row>
    <row r="39098" spans="7:14" x14ac:dyDescent="0.3">
      <c r="G39098" s="1"/>
      <c r="N39098" s="1"/>
    </row>
    <row r="39099" spans="7:14" x14ac:dyDescent="0.3">
      <c r="G39099" s="1"/>
      <c r="N39099" s="1"/>
    </row>
    <row r="39100" spans="7:14" x14ac:dyDescent="0.3">
      <c r="G39100" s="1"/>
      <c r="N39100" s="1"/>
    </row>
    <row r="39101" spans="7:14" x14ac:dyDescent="0.3">
      <c r="G39101" s="1"/>
      <c r="N39101" s="1"/>
    </row>
    <row r="39102" spans="7:14" x14ac:dyDescent="0.3">
      <c r="G39102" s="1"/>
      <c r="N39102" s="1"/>
    </row>
    <row r="39103" spans="7:14" x14ac:dyDescent="0.3">
      <c r="G39103" s="1"/>
      <c r="N39103" s="1"/>
    </row>
    <row r="39104" spans="7:14" x14ac:dyDescent="0.3">
      <c r="G39104" s="1"/>
      <c r="N39104" s="1"/>
    </row>
    <row r="39105" spans="7:14" x14ac:dyDescent="0.3">
      <c r="G39105" s="1"/>
      <c r="N39105" s="1"/>
    </row>
    <row r="39106" spans="7:14" x14ac:dyDescent="0.3">
      <c r="G39106" s="1"/>
      <c r="N39106" s="1"/>
    </row>
    <row r="39107" spans="7:14" x14ac:dyDescent="0.3">
      <c r="G39107" s="1"/>
      <c r="N39107" s="1"/>
    </row>
    <row r="39108" spans="7:14" x14ac:dyDescent="0.3">
      <c r="G39108" s="1"/>
      <c r="N39108" s="1"/>
    </row>
    <row r="39109" spans="7:14" x14ac:dyDescent="0.3">
      <c r="G39109" s="1"/>
      <c r="N39109" s="1"/>
    </row>
    <row r="39110" spans="7:14" x14ac:dyDescent="0.3">
      <c r="G39110" s="1"/>
      <c r="N39110" s="1"/>
    </row>
    <row r="39111" spans="7:14" x14ac:dyDescent="0.3">
      <c r="G39111" s="1"/>
      <c r="N39111" s="1"/>
    </row>
    <row r="39112" spans="7:14" x14ac:dyDescent="0.3">
      <c r="G39112" s="1"/>
      <c r="N39112" s="1"/>
    </row>
    <row r="39113" spans="7:14" x14ac:dyDescent="0.3">
      <c r="G39113" s="1"/>
      <c r="N39113" s="1"/>
    </row>
    <row r="39114" spans="7:14" x14ac:dyDescent="0.3">
      <c r="G39114" s="1"/>
      <c r="N39114" s="1"/>
    </row>
    <row r="39115" spans="7:14" x14ac:dyDescent="0.3">
      <c r="G39115" s="1"/>
      <c r="N39115" s="1"/>
    </row>
    <row r="39116" spans="7:14" x14ac:dyDescent="0.3">
      <c r="G39116" s="1"/>
      <c r="N39116" s="1"/>
    </row>
    <row r="39117" spans="7:14" x14ac:dyDescent="0.3">
      <c r="G39117" s="1"/>
      <c r="N39117" s="1"/>
    </row>
    <row r="39118" spans="7:14" x14ac:dyDescent="0.3">
      <c r="G39118" s="1"/>
      <c r="N39118" s="1"/>
    </row>
    <row r="39119" spans="7:14" x14ac:dyDescent="0.3">
      <c r="G39119" s="1"/>
      <c r="N39119" s="1"/>
    </row>
    <row r="39120" spans="7:14" x14ac:dyDescent="0.3">
      <c r="G39120" s="1"/>
      <c r="N39120" s="1"/>
    </row>
    <row r="39121" spans="7:14" x14ac:dyDescent="0.3">
      <c r="G39121" s="1"/>
      <c r="N39121" s="1"/>
    </row>
    <row r="39122" spans="7:14" x14ac:dyDescent="0.3">
      <c r="G39122" s="1"/>
      <c r="N39122" s="1"/>
    </row>
    <row r="39123" spans="7:14" x14ac:dyDescent="0.3">
      <c r="G39123" s="1"/>
      <c r="N39123" s="1"/>
    </row>
    <row r="39124" spans="7:14" x14ac:dyDescent="0.3">
      <c r="G39124" s="1"/>
      <c r="N39124" s="1"/>
    </row>
    <row r="39125" spans="7:14" x14ac:dyDescent="0.3">
      <c r="G39125" s="1"/>
      <c r="N39125" s="1"/>
    </row>
    <row r="39126" spans="7:14" x14ac:dyDescent="0.3">
      <c r="G39126" s="1"/>
      <c r="N39126" s="1"/>
    </row>
    <row r="39127" spans="7:14" x14ac:dyDescent="0.3">
      <c r="G39127" s="1"/>
      <c r="N39127" s="1"/>
    </row>
    <row r="39128" spans="7:14" x14ac:dyDescent="0.3">
      <c r="G39128" s="1"/>
      <c r="N39128" s="1"/>
    </row>
    <row r="39129" spans="7:14" x14ac:dyDescent="0.3">
      <c r="G39129" s="1"/>
      <c r="N39129" s="1"/>
    </row>
    <row r="39130" spans="7:14" x14ac:dyDescent="0.3">
      <c r="G39130" s="1"/>
      <c r="N39130" s="1"/>
    </row>
    <row r="39131" spans="7:14" x14ac:dyDescent="0.3">
      <c r="G39131" s="1"/>
      <c r="N39131" s="1"/>
    </row>
    <row r="39132" spans="7:14" x14ac:dyDescent="0.3">
      <c r="G39132" s="1"/>
      <c r="N39132" s="1"/>
    </row>
    <row r="39133" spans="7:14" x14ac:dyDescent="0.3">
      <c r="G39133" s="1"/>
      <c r="N39133" s="1"/>
    </row>
    <row r="39134" spans="7:14" x14ac:dyDescent="0.3">
      <c r="G39134" s="1"/>
      <c r="N39134" s="1"/>
    </row>
    <row r="39135" spans="7:14" x14ac:dyDescent="0.3">
      <c r="G39135" s="1"/>
      <c r="N39135" s="1"/>
    </row>
    <row r="39136" spans="7:14" x14ac:dyDescent="0.3">
      <c r="G39136" s="1"/>
      <c r="N39136" s="1"/>
    </row>
    <row r="39137" spans="7:14" x14ac:dyDescent="0.3">
      <c r="G39137" s="1"/>
      <c r="N39137" s="1"/>
    </row>
    <row r="39138" spans="7:14" x14ac:dyDescent="0.3">
      <c r="G39138" s="1"/>
      <c r="N39138" s="1"/>
    </row>
    <row r="39139" spans="7:14" x14ac:dyDescent="0.3">
      <c r="G39139" s="1"/>
      <c r="N39139" s="1"/>
    </row>
    <row r="39140" spans="7:14" x14ac:dyDescent="0.3">
      <c r="G39140" s="1"/>
      <c r="N39140" s="1"/>
    </row>
    <row r="39141" spans="7:14" x14ac:dyDescent="0.3">
      <c r="G39141" s="1"/>
      <c r="N39141" s="1"/>
    </row>
    <row r="39142" spans="7:14" x14ac:dyDescent="0.3">
      <c r="G39142" s="1"/>
      <c r="N39142" s="1"/>
    </row>
    <row r="39143" spans="7:14" x14ac:dyDescent="0.3">
      <c r="G39143" s="1"/>
      <c r="N39143" s="1"/>
    </row>
    <row r="39144" spans="7:14" x14ac:dyDescent="0.3">
      <c r="G39144" s="1"/>
      <c r="N39144" s="1"/>
    </row>
    <row r="39145" spans="7:14" x14ac:dyDescent="0.3">
      <c r="G39145" s="1"/>
      <c r="N39145" s="1"/>
    </row>
    <row r="39146" spans="7:14" x14ac:dyDescent="0.3">
      <c r="G39146" s="1"/>
      <c r="N39146" s="1"/>
    </row>
    <row r="39147" spans="7:14" x14ac:dyDescent="0.3">
      <c r="G39147" s="1"/>
      <c r="N39147" s="1"/>
    </row>
    <row r="39148" spans="7:14" x14ac:dyDescent="0.3">
      <c r="G39148" s="1"/>
      <c r="N39148" s="1"/>
    </row>
    <row r="39149" spans="7:14" x14ac:dyDescent="0.3">
      <c r="G39149" s="1"/>
      <c r="N39149" s="1"/>
    </row>
    <row r="39150" spans="7:14" x14ac:dyDescent="0.3">
      <c r="G39150" s="1"/>
      <c r="N39150" s="1"/>
    </row>
    <row r="39151" spans="7:14" x14ac:dyDescent="0.3">
      <c r="G39151" s="1"/>
      <c r="N39151" s="1"/>
    </row>
    <row r="39152" spans="7:14" x14ac:dyDescent="0.3">
      <c r="G39152" s="1"/>
      <c r="N39152" s="1"/>
    </row>
    <row r="39153" spans="7:14" x14ac:dyDescent="0.3">
      <c r="G39153" s="1"/>
      <c r="N39153" s="1"/>
    </row>
    <row r="39154" spans="7:14" x14ac:dyDescent="0.3">
      <c r="G39154" s="1"/>
      <c r="N39154" s="1"/>
    </row>
    <row r="39155" spans="7:14" x14ac:dyDescent="0.3">
      <c r="G39155" s="1"/>
      <c r="N39155" s="1"/>
    </row>
    <row r="39156" spans="7:14" x14ac:dyDescent="0.3">
      <c r="G39156" s="1"/>
      <c r="N39156" s="1"/>
    </row>
    <row r="39157" spans="7:14" x14ac:dyDescent="0.3">
      <c r="G39157" s="1"/>
      <c r="N39157" s="1"/>
    </row>
    <row r="39158" spans="7:14" x14ac:dyDescent="0.3">
      <c r="G39158" s="1"/>
      <c r="N39158" s="1"/>
    </row>
    <row r="39159" spans="7:14" x14ac:dyDescent="0.3">
      <c r="G39159" s="1"/>
      <c r="N39159" s="1"/>
    </row>
    <row r="39160" spans="7:14" x14ac:dyDescent="0.3">
      <c r="G39160" s="1"/>
      <c r="N39160" s="1"/>
    </row>
    <row r="39161" spans="7:14" x14ac:dyDescent="0.3">
      <c r="G39161" s="1"/>
      <c r="N39161" s="1"/>
    </row>
    <row r="39162" spans="7:14" x14ac:dyDescent="0.3">
      <c r="G39162" s="1"/>
      <c r="N39162" s="1"/>
    </row>
    <row r="39163" spans="7:14" x14ac:dyDescent="0.3">
      <c r="G39163" s="1"/>
      <c r="N39163" s="1"/>
    </row>
    <row r="39164" spans="7:14" x14ac:dyDescent="0.3">
      <c r="G39164" s="1"/>
      <c r="N39164" s="1"/>
    </row>
    <row r="39165" spans="7:14" x14ac:dyDescent="0.3">
      <c r="G39165" s="1"/>
      <c r="N39165" s="1"/>
    </row>
    <row r="39166" spans="7:14" x14ac:dyDescent="0.3">
      <c r="G39166" s="1"/>
      <c r="N39166" s="1"/>
    </row>
    <row r="39167" spans="7:14" x14ac:dyDescent="0.3">
      <c r="G39167" s="1"/>
      <c r="N39167" s="1"/>
    </row>
    <row r="39168" spans="7:14" x14ac:dyDescent="0.3">
      <c r="G39168" s="1"/>
      <c r="N39168" s="1"/>
    </row>
    <row r="39169" spans="7:14" x14ac:dyDescent="0.3">
      <c r="G39169" s="1"/>
      <c r="N39169" s="1"/>
    </row>
    <row r="39170" spans="7:14" x14ac:dyDescent="0.3">
      <c r="G39170" s="1"/>
      <c r="N39170" s="1"/>
    </row>
    <row r="39171" spans="7:14" x14ac:dyDescent="0.3">
      <c r="G39171" s="1"/>
      <c r="N39171" s="1"/>
    </row>
    <row r="39172" spans="7:14" x14ac:dyDescent="0.3">
      <c r="G39172" s="1"/>
      <c r="N39172" s="1"/>
    </row>
    <row r="39173" spans="7:14" x14ac:dyDescent="0.3">
      <c r="G39173" s="1"/>
      <c r="N39173" s="1"/>
    </row>
    <row r="39174" spans="7:14" x14ac:dyDescent="0.3">
      <c r="G39174" s="1"/>
      <c r="N39174" s="1"/>
    </row>
    <row r="39175" spans="7:14" x14ac:dyDescent="0.3">
      <c r="G39175" s="1"/>
      <c r="N39175" s="1"/>
    </row>
    <row r="39176" spans="7:14" x14ac:dyDescent="0.3">
      <c r="G39176" s="1"/>
      <c r="N39176" s="1"/>
    </row>
    <row r="39177" spans="7:14" x14ac:dyDescent="0.3">
      <c r="G39177" s="1"/>
      <c r="N39177" s="1"/>
    </row>
    <row r="39178" spans="7:14" x14ac:dyDescent="0.3">
      <c r="G39178" s="1"/>
      <c r="N39178" s="1"/>
    </row>
    <row r="39179" spans="7:14" x14ac:dyDescent="0.3">
      <c r="G39179" s="1"/>
      <c r="N39179" s="1"/>
    </row>
    <row r="39180" spans="7:14" x14ac:dyDescent="0.3">
      <c r="G39180" s="1"/>
      <c r="N39180" s="1"/>
    </row>
    <row r="39181" spans="7:14" x14ac:dyDescent="0.3">
      <c r="G39181" s="1"/>
      <c r="N39181" s="1"/>
    </row>
    <row r="39182" spans="7:14" x14ac:dyDescent="0.3">
      <c r="G39182" s="1"/>
      <c r="N39182" s="1"/>
    </row>
    <row r="39183" spans="7:14" x14ac:dyDescent="0.3">
      <c r="G39183" s="1"/>
      <c r="N39183" s="1"/>
    </row>
    <row r="39184" spans="7:14" x14ac:dyDescent="0.3">
      <c r="G39184" s="1"/>
      <c r="N39184" s="1"/>
    </row>
    <row r="39185" spans="7:14" x14ac:dyDescent="0.3">
      <c r="G39185" s="1"/>
      <c r="N39185" s="1"/>
    </row>
    <row r="39186" spans="7:14" x14ac:dyDescent="0.3">
      <c r="G39186" s="1"/>
      <c r="N39186" s="1"/>
    </row>
    <row r="39187" spans="7:14" x14ac:dyDescent="0.3">
      <c r="G39187" s="1"/>
      <c r="N39187" s="1"/>
    </row>
    <row r="39188" spans="7:14" x14ac:dyDescent="0.3">
      <c r="G39188" s="1"/>
      <c r="N39188" s="1"/>
    </row>
    <row r="39189" spans="7:14" x14ac:dyDescent="0.3">
      <c r="G39189" s="1"/>
      <c r="N39189" s="1"/>
    </row>
    <row r="39190" spans="7:14" x14ac:dyDescent="0.3">
      <c r="G39190" s="1"/>
      <c r="N39190" s="1"/>
    </row>
    <row r="39191" spans="7:14" x14ac:dyDescent="0.3">
      <c r="G39191" s="1"/>
      <c r="N39191" s="1"/>
    </row>
    <row r="39192" spans="7:14" x14ac:dyDescent="0.3">
      <c r="G39192" s="1"/>
      <c r="N39192" s="1"/>
    </row>
    <row r="39193" spans="7:14" x14ac:dyDescent="0.3">
      <c r="G39193" s="1"/>
      <c r="N39193" s="1"/>
    </row>
    <row r="39194" spans="7:14" x14ac:dyDescent="0.3">
      <c r="G39194" s="1"/>
      <c r="N39194" s="1"/>
    </row>
    <row r="39195" spans="7:14" x14ac:dyDescent="0.3">
      <c r="G39195" s="1"/>
      <c r="N39195" s="1"/>
    </row>
    <row r="39196" spans="7:14" x14ac:dyDescent="0.3">
      <c r="G39196" s="1"/>
      <c r="N39196" s="1"/>
    </row>
    <row r="39197" spans="7:14" x14ac:dyDescent="0.3">
      <c r="G39197" s="1"/>
      <c r="N39197" s="1"/>
    </row>
    <row r="39198" spans="7:14" x14ac:dyDescent="0.3">
      <c r="G39198" s="1"/>
      <c r="N39198" s="1"/>
    </row>
    <row r="39199" spans="7:14" x14ac:dyDescent="0.3">
      <c r="G39199" s="1"/>
      <c r="N39199" s="1"/>
    </row>
    <row r="39200" spans="7:14" x14ac:dyDescent="0.3">
      <c r="G39200" s="1"/>
      <c r="N39200" s="1"/>
    </row>
    <row r="39201" spans="7:14" x14ac:dyDescent="0.3">
      <c r="G39201" s="1"/>
      <c r="N39201" s="1"/>
    </row>
    <row r="39202" spans="7:14" x14ac:dyDescent="0.3">
      <c r="G39202" s="1"/>
      <c r="N39202" s="1"/>
    </row>
    <row r="39203" spans="7:14" x14ac:dyDescent="0.3">
      <c r="G39203" s="1"/>
      <c r="N39203" s="1"/>
    </row>
    <row r="39204" spans="7:14" x14ac:dyDescent="0.3">
      <c r="G39204" s="1"/>
      <c r="N39204" s="1"/>
    </row>
    <row r="39205" spans="7:14" x14ac:dyDescent="0.3">
      <c r="G39205" s="1"/>
      <c r="N39205" s="1"/>
    </row>
    <row r="39206" spans="7:14" x14ac:dyDescent="0.3">
      <c r="G39206" s="1"/>
      <c r="N39206" s="1"/>
    </row>
    <row r="39207" spans="7:14" x14ac:dyDescent="0.3">
      <c r="G39207" s="1"/>
      <c r="N39207" s="1"/>
    </row>
    <row r="39208" spans="7:14" x14ac:dyDescent="0.3">
      <c r="G39208" s="1"/>
      <c r="N39208" s="1"/>
    </row>
    <row r="39209" spans="7:14" x14ac:dyDescent="0.3">
      <c r="G39209" s="1"/>
      <c r="N39209" s="1"/>
    </row>
    <row r="39210" spans="7:14" x14ac:dyDescent="0.3">
      <c r="G39210" s="1"/>
      <c r="N39210" s="1"/>
    </row>
    <row r="39211" spans="7:14" x14ac:dyDescent="0.3">
      <c r="G39211" s="1"/>
      <c r="N39211" s="1"/>
    </row>
    <row r="39212" spans="7:14" x14ac:dyDescent="0.3">
      <c r="G39212" s="1"/>
      <c r="N39212" s="1"/>
    </row>
    <row r="39213" spans="7:14" x14ac:dyDescent="0.3">
      <c r="G39213" s="1"/>
      <c r="N39213" s="1"/>
    </row>
    <row r="39214" spans="7:14" x14ac:dyDescent="0.3">
      <c r="G39214" s="1"/>
      <c r="N39214" s="1"/>
    </row>
    <row r="39215" spans="7:14" x14ac:dyDescent="0.3">
      <c r="G39215" s="1"/>
      <c r="N39215" s="1"/>
    </row>
    <row r="39216" spans="7:14" x14ac:dyDescent="0.3">
      <c r="G39216" s="1"/>
      <c r="N39216" s="1"/>
    </row>
    <row r="39217" spans="7:14" x14ac:dyDescent="0.3">
      <c r="G39217" s="1"/>
      <c r="N39217" s="1"/>
    </row>
    <row r="39218" spans="7:14" x14ac:dyDescent="0.3">
      <c r="G39218" s="1"/>
      <c r="N39218" s="1"/>
    </row>
    <row r="39219" spans="7:14" x14ac:dyDescent="0.3">
      <c r="G39219" s="1"/>
      <c r="N39219" s="1"/>
    </row>
    <row r="39220" spans="7:14" x14ac:dyDescent="0.3">
      <c r="G39220" s="1"/>
      <c r="N39220" s="1"/>
    </row>
    <row r="39221" spans="7:14" x14ac:dyDescent="0.3">
      <c r="G39221" s="1"/>
      <c r="N39221" s="1"/>
    </row>
    <row r="39222" spans="7:14" x14ac:dyDescent="0.3">
      <c r="G39222" s="1"/>
      <c r="N39222" s="1"/>
    </row>
    <row r="39223" spans="7:14" x14ac:dyDescent="0.3">
      <c r="G39223" s="1"/>
      <c r="N39223" s="1"/>
    </row>
    <row r="39224" spans="7:14" x14ac:dyDescent="0.3">
      <c r="G39224" s="1"/>
      <c r="N39224" s="1"/>
    </row>
    <row r="39225" spans="7:14" x14ac:dyDescent="0.3">
      <c r="G39225" s="1"/>
      <c r="N39225" s="1"/>
    </row>
    <row r="39226" spans="7:14" x14ac:dyDescent="0.3">
      <c r="G39226" s="1"/>
      <c r="N39226" s="1"/>
    </row>
    <row r="39227" spans="7:14" x14ac:dyDescent="0.3">
      <c r="G39227" s="1"/>
      <c r="N39227" s="1"/>
    </row>
    <row r="39228" spans="7:14" x14ac:dyDescent="0.3">
      <c r="G39228" s="1"/>
      <c r="N39228" s="1"/>
    </row>
    <row r="39229" spans="7:14" x14ac:dyDescent="0.3">
      <c r="G39229" s="1"/>
      <c r="N39229" s="1"/>
    </row>
    <row r="39230" spans="7:14" x14ac:dyDescent="0.3">
      <c r="G39230" s="1"/>
      <c r="N39230" s="1"/>
    </row>
    <row r="39231" spans="7:14" x14ac:dyDescent="0.3">
      <c r="G39231" s="1"/>
      <c r="N39231" s="1"/>
    </row>
    <row r="39232" spans="7:14" x14ac:dyDescent="0.3">
      <c r="G39232" s="1"/>
      <c r="N39232" s="1"/>
    </row>
    <row r="39233" spans="7:14" x14ac:dyDescent="0.3">
      <c r="G39233" s="1"/>
      <c r="N39233" s="1"/>
    </row>
    <row r="39234" spans="7:14" x14ac:dyDescent="0.3">
      <c r="G39234" s="1"/>
      <c r="N39234" s="1"/>
    </row>
    <row r="39235" spans="7:14" x14ac:dyDescent="0.3">
      <c r="G39235" s="1"/>
      <c r="N39235" s="1"/>
    </row>
    <row r="39236" spans="7:14" x14ac:dyDescent="0.3">
      <c r="G39236" s="1"/>
      <c r="N39236" s="1"/>
    </row>
    <row r="39237" spans="7:14" x14ac:dyDescent="0.3">
      <c r="G39237" s="1"/>
      <c r="N39237" s="1"/>
    </row>
    <row r="39238" spans="7:14" x14ac:dyDescent="0.3">
      <c r="G39238" s="1"/>
      <c r="N39238" s="1"/>
    </row>
    <row r="39239" spans="7:14" x14ac:dyDescent="0.3">
      <c r="G39239" s="1"/>
      <c r="N39239" s="1"/>
    </row>
    <row r="39240" spans="7:14" x14ac:dyDescent="0.3">
      <c r="G39240" s="1"/>
      <c r="N39240" s="1"/>
    </row>
    <row r="39241" spans="7:14" x14ac:dyDescent="0.3">
      <c r="G39241" s="1"/>
      <c r="N39241" s="1"/>
    </row>
    <row r="39242" spans="7:14" x14ac:dyDescent="0.3">
      <c r="G39242" s="1"/>
      <c r="N39242" s="1"/>
    </row>
    <row r="39243" spans="7:14" x14ac:dyDescent="0.3">
      <c r="G39243" s="1"/>
      <c r="N39243" s="1"/>
    </row>
    <row r="39244" spans="7:14" x14ac:dyDescent="0.3">
      <c r="G39244" s="1"/>
      <c r="N39244" s="1"/>
    </row>
    <row r="39245" spans="7:14" x14ac:dyDescent="0.3">
      <c r="G39245" s="1"/>
      <c r="N39245" s="1"/>
    </row>
    <row r="39246" spans="7:14" x14ac:dyDescent="0.3">
      <c r="G39246" s="1"/>
      <c r="N39246" s="1"/>
    </row>
    <row r="39247" spans="7:14" x14ac:dyDescent="0.3">
      <c r="G39247" s="1"/>
      <c r="N39247" s="1"/>
    </row>
    <row r="39248" spans="7:14" x14ac:dyDescent="0.3">
      <c r="G39248" s="1"/>
      <c r="N39248" s="1"/>
    </row>
    <row r="39249" spans="7:14" x14ac:dyDescent="0.3">
      <c r="G39249" s="1"/>
      <c r="N39249" s="1"/>
    </row>
    <row r="39250" spans="7:14" x14ac:dyDescent="0.3">
      <c r="G39250" s="1"/>
      <c r="N39250" s="1"/>
    </row>
    <row r="39251" spans="7:14" x14ac:dyDescent="0.3">
      <c r="G39251" s="1"/>
      <c r="N39251" s="1"/>
    </row>
    <row r="39252" spans="7:14" x14ac:dyDescent="0.3">
      <c r="G39252" s="1"/>
      <c r="N39252" s="1"/>
    </row>
    <row r="39253" spans="7:14" x14ac:dyDescent="0.3">
      <c r="G39253" s="1"/>
      <c r="N39253" s="1"/>
    </row>
    <row r="39254" spans="7:14" x14ac:dyDescent="0.3">
      <c r="G39254" s="1"/>
      <c r="N39254" s="1"/>
    </row>
    <row r="39255" spans="7:14" x14ac:dyDescent="0.3">
      <c r="G39255" s="1"/>
      <c r="N39255" s="1"/>
    </row>
    <row r="39256" spans="7:14" x14ac:dyDescent="0.3">
      <c r="G39256" s="1"/>
      <c r="N39256" s="1"/>
    </row>
    <row r="39257" spans="7:14" x14ac:dyDescent="0.3">
      <c r="G39257" s="1"/>
      <c r="N39257" s="1"/>
    </row>
    <row r="39258" spans="7:14" x14ac:dyDescent="0.3">
      <c r="G39258" s="1"/>
      <c r="N39258" s="1"/>
    </row>
    <row r="39259" spans="7:14" x14ac:dyDescent="0.3">
      <c r="G39259" s="1"/>
      <c r="N39259" s="1"/>
    </row>
    <row r="39260" spans="7:14" x14ac:dyDescent="0.3">
      <c r="G39260" s="1"/>
      <c r="N39260" s="1"/>
    </row>
    <row r="39261" spans="7:14" x14ac:dyDescent="0.3">
      <c r="G39261" s="1"/>
      <c r="N39261" s="1"/>
    </row>
    <row r="39262" spans="7:14" x14ac:dyDescent="0.3">
      <c r="G39262" s="1"/>
      <c r="N39262" s="1"/>
    </row>
    <row r="39263" spans="7:14" x14ac:dyDescent="0.3">
      <c r="G39263" s="1"/>
      <c r="N39263" s="1"/>
    </row>
    <row r="39264" spans="7:14" x14ac:dyDescent="0.3">
      <c r="G39264" s="1"/>
      <c r="N39264" s="1"/>
    </row>
    <row r="39265" spans="7:14" x14ac:dyDescent="0.3">
      <c r="G39265" s="1"/>
      <c r="N39265" s="1"/>
    </row>
    <row r="39266" spans="7:14" x14ac:dyDescent="0.3">
      <c r="G39266" s="1"/>
      <c r="N39266" s="1"/>
    </row>
    <row r="39267" spans="7:14" x14ac:dyDescent="0.3">
      <c r="G39267" s="1"/>
      <c r="N39267" s="1"/>
    </row>
    <row r="39268" spans="7:14" x14ac:dyDescent="0.3">
      <c r="G39268" s="1"/>
      <c r="N39268" s="1"/>
    </row>
    <row r="39269" spans="7:14" x14ac:dyDescent="0.3">
      <c r="G39269" s="1"/>
      <c r="N39269" s="1"/>
    </row>
    <row r="39270" spans="7:14" x14ac:dyDescent="0.3">
      <c r="G39270" s="1"/>
      <c r="N39270" s="1"/>
    </row>
    <row r="39271" spans="7:14" x14ac:dyDescent="0.3">
      <c r="G39271" s="1"/>
      <c r="N39271" s="1"/>
    </row>
    <row r="39272" spans="7:14" x14ac:dyDescent="0.3">
      <c r="G39272" s="1"/>
      <c r="N39272" s="1"/>
    </row>
    <row r="39273" spans="7:14" x14ac:dyDescent="0.3">
      <c r="G39273" s="1"/>
      <c r="N39273" s="1"/>
    </row>
    <row r="39274" spans="7:14" x14ac:dyDescent="0.3">
      <c r="G39274" s="1"/>
      <c r="N39274" s="1"/>
    </row>
    <row r="39275" spans="7:14" x14ac:dyDescent="0.3">
      <c r="G39275" s="1"/>
      <c r="N39275" s="1"/>
    </row>
    <row r="39276" spans="7:14" x14ac:dyDescent="0.3">
      <c r="G39276" s="1"/>
      <c r="N39276" s="1"/>
    </row>
    <row r="39277" spans="7:14" x14ac:dyDescent="0.3">
      <c r="G39277" s="1"/>
      <c r="N39277" s="1"/>
    </row>
    <row r="39278" spans="7:14" x14ac:dyDescent="0.3">
      <c r="G39278" s="1"/>
      <c r="N39278" s="1"/>
    </row>
    <row r="39279" spans="7:14" x14ac:dyDescent="0.3">
      <c r="G39279" s="1"/>
      <c r="N39279" s="1"/>
    </row>
    <row r="39280" spans="7:14" x14ac:dyDescent="0.3">
      <c r="G39280" s="1"/>
      <c r="N39280" s="1"/>
    </row>
    <row r="39281" spans="7:14" x14ac:dyDescent="0.3">
      <c r="G39281" s="1"/>
      <c r="N39281" s="1"/>
    </row>
    <row r="39282" spans="7:14" x14ac:dyDescent="0.3">
      <c r="G39282" s="1"/>
      <c r="N39282" s="1"/>
    </row>
    <row r="39283" spans="7:14" x14ac:dyDescent="0.3">
      <c r="G39283" s="1"/>
      <c r="N39283" s="1"/>
    </row>
    <row r="39284" spans="7:14" x14ac:dyDescent="0.3">
      <c r="G39284" s="1"/>
      <c r="N39284" s="1"/>
    </row>
    <row r="39285" spans="7:14" x14ac:dyDescent="0.3">
      <c r="G39285" s="1"/>
      <c r="N39285" s="1"/>
    </row>
    <row r="39286" spans="7:14" x14ac:dyDescent="0.3">
      <c r="G39286" s="1"/>
      <c r="N39286" s="1"/>
    </row>
    <row r="39287" spans="7:14" x14ac:dyDescent="0.3">
      <c r="G39287" s="1"/>
      <c r="N39287" s="1"/>
    </row>
    <row r="39288" spans="7:14" x14ac:dyDescent="0.3">
      <c r="G39288" s="1"/>
      <c r="N39288" s="1"/>
    </row>
    <row r="39289" spans="7:14" x14ac:dyDescent="0.3">
      <c r="G39289" s="1"/>
      <c r="N39289" s="1"/>
    </row>
    <row r="39290" spans="7:14" x14ac:dyDescent="0.3">
      <c r="G39290" s="1"/>
      <c r="N39290" s="1"/>
    </row>
    <row r="39291" spans="7:14" x14ac:dyDescent="0.3">
      <c r="G39291" s="1"/>
      <c r="N39291" s="1"/>
    </row>
    <row r="39292" spans="7:14" x14ac:dyDescent="0.3">
      <c r="G39292" s="1"/>
      <c r="N39292" s="1"/>
    </row>
    <row r="39293" spans="7:14" x14ac:dyDescent="0.3">
      <c r="G39293" s="1"/>
      <c r="N39293" s="1"/>
    </row>
    <row r="39294" spans="7:14" x14ac:dyDescent="0.3">
      <c r="G39294" s="1"/>
      <c r="N39294" s="1"/>
    </row>
    <row r="39295" spans="7:14" x14ac:dyDescent="0.3">
      <c r="G39295" s="1"/>
      <c r="N39295" s="1"/>
    </row>
    <row r="39296" spans="7:14" x14ac:dyDescent="0.3">
      <c r="G39296" s="1"/>
      <c r="N39296" s="1"/>
    </row>
    <row r="39297" spans="7:14" x14ac:dyDescent="0.3">
      <c r="G39297" s="1"/>
      <c r="N39297" s="1"/>
    </row>
    <row r="39298" spans="7:14" x14ac:dyDescent="0.3">
      <c r="G39298" s="1"/>
      <c r="N39298" s="1"/>
    </row>
    <row r="39299" spans="7:14" x14ac:dyDescent="0.3">
      <c r="G39299" s="1"/>
      <c r="N39299" s="1"/>
    </row>
    <row r="39300" spans="7:14" x14ac:dyDescent="0.3">
      <c r="G39300" s="1"/>
      <c r="N39300" s="1"/>
    </row>
    <row r="39301" spans="7:14" x14ac:dyDescent="0.3">
      <c r="G39301" s="1"/>
      <c r="N39301" s="1"/>
    </row>
    <row r="39302" spans="7:14" x14ac:dyDescent="0.3">
      <c r="G39302" s="1"/>
      <c r="N39302" s="1"/>
    </row>
    <row r="39303" spans="7:14" x14ac:dyDescent="0.3">
      <c r="G39303" s="1"/>
      <c r="N39303" s="1"/>
    </row>
    <row r="39304" spans="7:14" x14ac:dyDescent="0.3">
      <c r="G39304" s="1"/>
      <c r="N39304" s="1"/>
    </row>
    <row r="39305" spans="7:14" x14ac:dyDescent="0.3">
      <c r="G39305" s="1"/>
      <c r="N39305" s="1"/>
    </row>
    <row r="39306" spans="7:14" x14ac:dyDescent="0.3">
      <c r="G39306" s="1"/>
      <c r="N39306" s="1"/>
    </row>
    <row r="39307" spans="7:14" x14ac:dyDescent="0.3">
      <c r="G39307" s="1"/>
      <c r="N39307" s="1"/>
    </row>
    <row r="39308" spans="7:14" x14ac:dyDescent="0.3">
      <c r="G39308" s="1"/>
      <c r="N39308" s="1"/>
    </row>
    <row r="39309" spans="7:14" x14ac:dyDescent="0.3">
      <c r="G39309" s="1"/>
      <c r="N39309" s="1"/>
    </row>
    <row r="39310" spans="7:14" x14ac:dyDescent="0.3">
      <c r="G39310" s="1"/>
      <c r="N39310" s="1"/>
    </row>
    <row r="39311" spans="7:14" x14ac:dyDescent="0.3">
      <c r="G39311" s="1"/>
      <c r="N39311" s="1"/>
    </row>
    <row r="39312" spans="7:14" x14ac:dyDescent="0.3">
      <c r="G39312" s="1"/>
      <c r="N39312" s="1"/>
    </row>
    <row r="39313" spans="7:14" x14ac:dyDescent="0.3">
      <c r="G39313" s="1"/>
      <c r="N39313" s="1"/>
    </row>
    <row r="39314" spans="7:14" x14ac:dyDescent="0.3">
      <c r="G39314" s="1"/>
      <c r="N39314" s="1"/>
    </row>
    <row r="39315" spans="7:14" x14ac:dyDescent="0.3">
      <c r="G39315" s="1"/>
      <c r="N39315" s="1"/>
    </row>
    <row r="39316" spans="7:14" x14ac:dyDescent="0.3">
      <c r="G39316" s="1"/>
      <c r="N39316" s="1"/>
    </row>
    <row r="39317" spans="7:14" x14ac:dyDescent="0.3">
      <c r="G39317" s="1"/>
      <c r="N39317" s="1"/>
    </row>
    <row r="39318" spans="7:14" x14ac:dyDescent="0.3">
      <c r="G39318" s="1"/>
      <c r="N39318" s="1"/>
    </row>
    <row r="39319" spans="7:14" x14ac:dyDescent="0.3">
      <c r="G39319" s="1"/>
      <c r="N39319" s="1"/>
    </row>
    <row r="39320" spans="7:14" x14ac:dyDescent="0.3">
      <c r="G39320" s="1"/>
      <c r="N39320" s="1"/>
    </row>
    <row r="39321" spans="7:14" x14ac:dyDescent="0.3">
      <c r="G39321" s="1"/>
      <c r="N39321" s="1"/>
    </row>
    <row r="39322" spans="7:14" x14ac:dyDescent="0.3">
      <c r="G39322" s="1"/>
      <c r="N39322" s="1"/>
    </row>
    <row r="39323" spans="7:14" x14ac:dyDescent="0.3">
      <c r="G39323" s="1"/>
      <c r="N39323" s="1"/>
    </row>
    <row r="39324" spans="7:14" x14ac:dyDescent="0.3">
      <c r="G39324" s="1"/>
      <c r="N39324" s="1"/>
    </row>
    <row r="39325" spans="7:14" x14ac:dyDescent="0.3">
      <c r="G39325" s="1"/>
      <c r="N39325" s="1"/>
    </row>
    <row r="39326" spans="7:14" x14ac:dyDescent="0.3">
      <c r="G39326" s="1"/>
      <c r="N39326" s="1"/>
    </row>
    <row r="39327" spans="7:14" x14ac:dyDescent="0.3">
      <c r="G39327" s="1"/>
      <c r="N39327" s="1"/>
    </row>
    <row r="39328" spans="7:14" x14ac:dyDescent="0.3">
      <c r="G39328" s="1"/>
      <c r="N39328" s="1"/>
    </row>
    <row r="39329" spans="7:14" x14ac:dyDescent="0.3">
      <c r="G39329" s="1"/>
      <c r="N39329" s="1"/>
    </row>
    <row r="39330" spans="7:14" x14ac:dyDescent="0.3">
      <c r="G39330" s="1"/>
      <c r="N39330" s="1"/>
    </row>
    <row r="39331" spans="7:14" x14ac:dyDescent="0.3">
      <c r="G39331" s="1"/>
      <c r="N39331" s="1"/>
    </row>
    <row r="39332" spans="7:14" x14ac:dyDescent="0.3">
      <c r="G39332" s="1"/>
      <c r="N39332" s="1"/>
    </row>
    <row r="39333" spans="7:14" x14ac:dyDescent="0.3">
      <c r="G39333" s="1"/>
      <c r="N39333" s="1"/>
    </row>
    <row r="39334" spans="7:14" x14ac:dyDescent="0.3">
      <c r="G39334" s="1"/>
      <c r="N39334" s="1"/>
    </row>
    <row r="39335" spans="7:14" x14ac:dyDescent="0.3">
      <c r="G39335" s="1"/>
      <c r="N39335" s="1"/>
    </row>
    <row r="39336" spans="7:14" x14ac:dyDescent="0.3">
      <c r="G39336" s="1"/>
      <c r="N39336" s="1"/>
    </row>
    <row r="39337" spans="7:14" x14ac:dyDescent="0.3">
      <c r="G39337" s="1"/>
      <c r="N39337" s="1"/>
    </row>
    <row r="39338" spans="7:14" x14ac:dyDescent="0.3">
      <c r="G39338" s="1"/>
      <c r="N39338" s="1"/>
    </row>
    <row r="39339" spans="7:14" x14ac:dyDescent="0.3">
      <c r="G39339" s="1"/>
      <c r="N39339" s="1"/>
    </row>
    <row r="39340" spans="7:14" x14ac:dyDescent="0.3">
      <c r="G39340" s="1"/>
      <c r="N39340" s="1"/>
    </row>
    <row r="39341" spans="7:14" x14ac:dyDescent="0.3">
      <c r="G39341" s="1"/>
      <c r="N39341" s="1"/>
    </row>
    <row r="39342" spans="7:14" x14ac:dyDescent="0.3">
      <c r="G39342" s="1"/>
      <c r="N39342" s="1"/>
    </row>
    <row r="39343" spans="7:14" x14ac:dyDescent="0.3">
      <c r="G39343" s="1"/>
      <c r="N39343" s="1"/>
    </row>
    <row r="39344" spans="7:14" x14ac:dyDescent="0.3">
      <c r="G39344" s="1"/>
      <c r="N39344" s="1"/>
    </row>
    <row r="39345" spans="7:14" x14ac:dyDescent="0.3">
      <c r="G39345" s="1"/>
      <c r="N39345" s="1"/>
    </row>
    <row r="39346" spans="7:14" x14ac:dyDescent="0.3">
      <c r="G39346" s="1"/>
      <c r="N39346" s="1"/>
    </row>
    <row r="39347" spans="7:14" x14ac:dyDescent="0.3">
      <c r="G39347" s="1"/>
      <c r="N39347" s="1"/>
    </row>
    <row r="39348" spans="7:14" x14ac:dyDescent="0.3">
      <c r="G39348" s="1"/>
      <c r="N39348" s="1"/>
    </row>
    <row r="39349" spans="7:14" x14ac:dyDescent="0.3">
      <c r="G39349" s="1"/>
      <c r="N39349" s="1"/>
    </row>
    <row r="39350" spans="7:14" x14ac:dyDescent="0.3">
      <c r="G39350" s="1"/>
      <c r="N39350" s="1"/>
    </row>
    <row r="39351" spans="7:14" x14ac:dyDescent="0.3">
      <c r="G39351" s="1"/>
      <c r="N39351" s="1"/>
    </row>
    <row r="39352" spans="7:14" x14ac:dyDescent="0.3">
      <c r="G39352" s="1"/>
      <c r="N39352" s="1"/>
    </row>
    <row r="39353" spans="7:14" x14ac:dyDescent="0.3">
      <c r="G39353" s="1"/>
      <c r="N39353" s="1"/>
    </row>
    <row r="39354" spans="7:14" x14ac:dyDescent="0.3">
      <c r="G39354" s="1"/>
      <c r="N39354" s="1"/>
    </row>
    <row r="39355" spans="7:14" x14ac:dyDescent="0.3">
      <c r="G39355" s="1"/>
      <c r="N39355" s="1"/>
    </row>
    <row r="39356" spans="7:14" x14ac:dyDescent="0.3">
      <c r="G39356" s="1"/>
      <c r="N39356" s="1"/>
    </row>
    <row r="39357" spans="7:14" x14ac:dyDescent="0.3">
      <c r="G39357" s="1"/>
      <c r="N39357" s="1"/>
    </row>
    <row r="39358" spans="7:14" x14ac:dyDescent="0.3">
      <c r="G39358" s="1"/>
      <c r="N39358" s="1"/>
    </row>
    <row r="39359" spans="7:14" x14ac:dyDescent="0.3">
      <c r="G39359" s="1"/>
      <c r="N39359" s="1"/>
    </row>
    <row r="39360" spans="7:14" x14ac:dyDescent="0.3">
      <c r="G39360" s="1"/>
      <c r="N39360" s="1"/>
    </row>
    <row r="39361" spans="7:14" x14ac:dyDescent="0.3">
      <c r="G39361" s="1"/>
      <c r="N39361" s="1"/>
    </row>
    <row r="39362" spans="7:14" x14ac:dyDescent="0.3">
      <c r="G39362" s="1"/>
      <c r="N39362" s="1"/>
    </row>
    <row r="39363" spans="7:14" x14ac:dyDescent="0.3">
      <c r="G39363" s="1"/>
      <c r="N39363" s="1"/>
    </row>
    <row r="39364" spans="7:14" x14ac:dyDescent="0.3">
      <c r="G39364" s="1"/>
      <c r="N39364" s="1"/>
    </row>
    <row r="39365" spans="7:14" x14ac:dyDescent="0.3">
      <c r="G39365" s="1"/>
      <c r="N39365" s="1"/>
    </row>
    <row r="39366" spans="7:14" x14ac:dyDescent="0.3">
      <c r="G39366" s="1"/>
      <c r="N39366" s="1"/>
    </row>
    <row r="39367" spans="7:14" x14ac:dyDescent="0.3">
      <c r="G39367" s="1"/>
      <c r="N39367" s="1"/>
    </row>
    <row r="39368" spans="7:14" x14ac:dyDescent="0.3">
      <c r="G39368" s="1"/>
      <c r="N39368" s="1"/>
    </row>
    <row r="39369" spans="7:14" x14ac:dyDescent="0.3">
      <c r="G39369" s="1"/>
      <c r="N39369" s="1"/>
    </row>
    <row r="39370" spans="7:14" x14ac:dyDescent="0.3">
      <c r="G39370" s="1"/>
      <c r="N39370" s="1"/>
    </row>
    <row r="39371" spans="7:14" x14ac:dyDescent="0.3">
      <c r="G39371" s="1"/>
      <c r="N39371" s="1"/>
    </row>
    <row r="39372" spans="7:14" x14ac:dyDescent="0.3">
      <c r="G39372" s="1"/>
      <c r="N39372" s="1"/>
    </row>
    <row r="39373" spans="7:14" x14ac:dyDescent="0.3">
      <c r="G39373" s="1"/>
      <c r="N39373" s="1"/>
    </row>
    <row r="39374" spans="7:14" x14ac:dyDescent="0.3">
      <c r="G39374" s="1"/>
      <c r="N39374" s="1"/>
    </row>
    <row r="39375" spans="7:14" x14ac:dyDescent="0.3">
      <c r="G39375" s="1"/>
      <c r="N39375" s="1"/>
    </row>
    <row r="39376" spans="7:14" x14ac:dyDescent="0.3">
      <c r="G39376" s="1"/>
      <c r="N39376" s="1"/>
    </row>
    <row r="39377" spans="7:14" x14ac:dyDescent="0.3">
      <c r="G39377" s="1"/>
      <c r="N39377" s="1"/>
    </row>
    <row r="39378" spans="7:14" x14ac:dyDescent="0.3">
      <c r="G39378" s="1"/>
      <c r="N39378" s="1"/>
    </row>
    <row r="39379" spans="7:14" x14ac:dyDescent="0.3">
      <c r="G39379" s="1"/>
      <c r="N39379" s="1"/>
    </row>
    <row r="39380" spans="7:14" x14ac:dyDescent="0.3">
      <c r="G39380" s="1"/>
      <c r="N39380" s="1"/>
    </row>
    <row r="39381" spans="7:14" x14ac:dyDescent="0.3">
      <c r="G39381" s="1"/>
      <c r="N39381" s="1"/>
    </row>
    <row r="39382" spans="7:14" x14ac:dyDescent="0.3">
      <c r="G39382" s="1"/>
      <c r="N39382" s="1"/>
    </row>
    <row r="39383" spans="7:14" x14ac:dyDescent="0.3">
      <c r="G39383" s="1"/>
      <c r="N39383" s="1"/>
    </row>
    <row r="39384" spans="7:14" x14ac:dyDescent="0.3">
      <c r="G39384" s="1"/>
      <c r="N39384" s="1"/>
    </row>
    <row r="39385" spans="7:14" x14ac:dyDescent="0.3">
      <c r="G39385" s="1"/>
      <c r="N39385" s="1"/>
    </row>
    <row r="39386" spans="7:14" x14ac:dyDescent="0.3">
      <c r="G39386" s="1"/>
      <c r="N39386" s="1"/>
    </row>
    <row r="39387" spans="7:14" x14ac:dyDescent="0.3">
      <c r="G39387" s="1"/>
      <c r="N39387" s="1"/>
    </row>
    <row r="39388" spans="7:14" x14ac:dyDescent="0.3">
      <c r="G39388" s="1"/>
      <c r="N39388" s="1"/>
    </row>
    <row r="39389" spans="7:14" x14ac:dyDescent="0.3">
      <c r="G39389" s="1"/>
      <c r="N39389" s="1"/>
    </row>
    <row r="39390" spans="7:14" x14ac:dyDescent="0.3">
      <c r="G39390" s="1"/>
      <c r="N39390" s="1"/>
    </row>
    <row r="39391" spans="7:14" x14ac:dyDescent="0.3">
      <c r="G39391" s="1"/>
      <c r="N39391" s="1"/>
    </row>
    <row r="39392" spans="7:14" x14ac:dyDescent="0.3">
      <c r="G39392" s="1"/>
      <c r="N39392" s="1"/>
    </row>
    <row r="39393" spans="7:14" x14ac:dyDescent="0.3">
      <c r="G39393" s="1"/>
      <c r="N39393" s="1"/>
    </row>
    <row r="39394" spans="7:14" x14ac:dyDescent="0.3">
      <c r="G39394" s="1"/>
      <c r="N39394" s="1"/>
    </row>
    <row r="39395" spans="7:14" x14ac:dyDescent="0.3">
      <c r="G39395" s="1"/>
      <c r="N39395" s="1"/>
    </row>
    <row r="39396" spans="7:14" x14ac:dyDescent="0.3">
      <c r="G39396" s="1"/>
      <c r="N39396" s="1"/>
    </row>
    <row r="39397" spans="7:14" x14ac:dyDescent="0.3">
      <c r="G39397" s="1"/>
      <c r="N39397" s="1"/>
    </row>
    <row r="39398" spans="7:14" x14ac:dyDescent="0.3">
      <c r="G39398" s="1"/>
      <c r="N39398" s="1"/>
    </row>
    <row r="39399" spans="7:14" x14ac:dyDescent="0.3">
      <c r="G39399" s="1"/>
      <c r="N39399" s="1"/>
    </row>
    <row r="39400" spans="7:14" x14ac:dyDescent="0.3">
      <c r="G39400" s="1"/>
      <c r="N39400" s="1"/>
    </row>
    <row r="39401" spans="7:14" x14ac:dyDescent="0.3">
      <c r="G39401" s="1"/>
      <c r="N39401" s="1"/>
    </row>
    <row r="39402" spans="7:14" x14ac:dyDescent="0.3">
      <c r="G39402" s="1"/>
      <c r="N39402" s="1"/>
    </row>
    <row r="39403" spans="7:14" x14ac:dyDescent="0.3">
      <c r="G39403" s="1"/>
      <c r="N39403" s="1"/>
    </row>
    <row r="39404" spans="7:14" x14ac:dyDescent="0.3">
      <c r="G39404" s="1"/>
      <c r="N39404" s="1"/>
    </row>
    <row r="39405" spans="7:14" x14ac:dyDescent="0.3">
      <c r="G39405" s="1"/>
      <c r="N39405" s="1"/>
    </row>
    <row r="39406" spans="7:14" x14ac:dyDescent="0.3">
      <c r="G39406" s="1"/>
      <c r="N39406" s="1"/>
    </row>
    <row r="39407" spans="7:14" x14ac:dyDescent="0.3">
      <c r="G39407" s="1"/>
      <c r="N39407" s="1"/>
    </row>
    <row r="39408" spans="7:14" x14ac:dyDescent="0.3">
      <c r="G39408" s="1"/>
      <c r="N39408" s="1"/>
    </row>
    <row r="39409" spans="7:14" x14ac:dyDescent="0.3">
      <c r="G39409" s="1"/>
      <c r="N39409" s="1"/>
    </row>
    <row r="39410" spans="7:14" x14ac:dyDescent="0.3">
      <c r="G39410" s="1"/>
      <c r="N39410" s="1"/>
    </row>
    <row r="39411" spans="7:14" x14ac:dyDescent="0.3">
      <c r="G39411" s="1"/>
      <c r="N39411" s="1"/>
    </row>
    <row r="39412" spans="7:14" x14ac:dyDescent="0.3">
      <c r="G39412" s="1"/>
      <c r="N39412" s="1"/>
    </row>
    <row r="39413" spans="7:14" x14ac:dyDescent="0.3">
      <c r="G39413" s="1"/>
      <c r="N39413" s="1"/>
    </row>
    <row r="39414" spans="7:14" x14ac:dyDescent="0.3">
      <c r="G39414" s="1"/>
      <c r="N39414" s="1"/>
    </row>
    <row r="39415" spans="7:14" x14ac:dyDescent="0.3">
      <c r="G39415" s="1"/>
      <c r="N39415" s="1"/>
    </row>
    <row r="39416" spans="7:14" x14ac:dyDescent="0.3">
      <c r="G39416" s="1"/>
      <c r="N39416" s="1"/>
    </row>
    <row r="39417" spans="7:14" x14ac:dyDescent="0.3">
      <c r="G39417" s="1"/>
      <c r="N39417" s="1"/>
    </row>
    <row r="39418" spans="7:14" x14ac:dyDescent="0.3">
      <c r="G39418" s="1"/>
      <c r="N39418" s="1"/>
    </row>
    <row r="39419" spans="7:14" x14ac:dyDescent="0.3">
      <c r="G39419" s="1"/>
      <c r="N39419" s="1"/>
    </row>
    <row r="39420" spans="7:14" x14ac:dyDescent="0.3">
      <c r="G39420" s="1"/>
      <c r="N39420" s="1"/>
    </row>
    <row r="39421" spans="7:14" x14ac:dyDescent="0.3">
      <c r="G39421" s="1"/>
      <c r="N39421" s="1"/>
    </row>
    <row r="39422" spans="7:14" x14ac:dyDescent="0.3">
      <c r="G39422" s="1"/>
      <c r="N39422" s="1"/>
    </row>
    <row r="39423" spans="7:14" x14ac:dyDescent="0.3">
      <c r="G39423" s="1"/>
      <c r="N39423" s="1"/>
    </row>
    <row r="39424" spans="7:14" x14ac:dyDescent="0.3">
      <c r="G39424" s="1"/>
      <c r="N39424" s="1"/>
    </row>
    <row r="39425" spans="7:14" x14ac:dyDescent="0.3">
      <c r="G39425" s="1"/>
      <c r="N39425" s="1"/>
    </row>
    <row r="39426" spans="7:14" x14ac:dyDescent="0.3">
      <c r="G39426" s="1"/>
      <c r="N39426" s="1"/>
    </row>
    <row r="39427" spans="7:14" x14ac:dyDescent="0.3">
      <c r="G39427" s="1"/>
      <c r="N39427" s="1"/>
    </row>
    <row r="39428" spans="7:14" x14ac:dyDescent="0.3">
      <c r="G39428" s="1"/>
      <c r="N39428" s="1"/>
    </row>
    <row r="39429" spans="7:14" x14ac:dyDescent="0.3">
      <c r="G39429" s="1"/>
      <c r="N39429" s="1"/>
    </row>
    <row r="39430" spans="7:14" x14ac:dyDescent="0.3">
      <c r="G39430" s="1"/>
      <c r="N39430" s="1"/>
    </row>
    <row r="39431" spans="7:14" x14ac:dyDescent="0.3">
      <c r="G39431" s="1"/>
      <c r="N39431" s="1"/>
    </row>
    <row r="39432" spans="7:14" x14ac:dyDescent="0.3">
      <c r="G39432" s="1"/>
      <c r="N39432" s="1"/>
    </row>
    <row r="39433" spans="7:14" x14ac:dyDescent="0.3">
      <c r="G39433" s="1"/>
      <c r="N39433" s="1"/>
    </row>
    <row r="39434" spans="7:14" x14ac:dyDescent="0.3">
      <c r="G39434" s="1"/>
      <c r="N39434" s="1"/>
    </row>
    <row r="39435" spans="7:14" x14ac:dyDescent="0.3">
      <c r="G39435" s="1"/>
      <c r="N39435" s="1"/>
    </row>
    <row r="39436" spans="7:14" x14ac:dyDescent="0.3">
      <c r="G39436" s="1"/>
      <c r="N39436" s="1"/>
    </row>
    <row r="39437" spans="7:14" x14ac:dyDescent="0.3">
      <c r="G39437" s="1"/>
      <c r="N39437" s="1"/>
    </row>
    <row r="39438" spans="7:14" x14ac:dyDescent="0.3">
      <c r="G39438" s="1"/>
      <c r="N39438" s="1"/>
    </row>
    <row r="39439" spans="7:14" x14ac:dyDescent="0.3">
      <c r="G39439" s="1"/>
      <c r="N39439" s="1"/>
    </row>
    <row r="39440" spans="7:14" x14ac:dyDescent="0.3">
      <c r="G39440" s="1"/>
      <c r="N39440" s="1"/>
    </row>
    <row r="39441" spans="7:14" x14ac:dyDescent="0.3">
      <c r="G39441" s="1"/>
      <c r="N39441" s="1"/>
    </row>
    <row r="39442" spans="7:14" x14ac:dyDescent="0.3">
      <c r="G39442" s="1"/>
      <c r="N39442" s="1"/>
    </row>
    <row r="39443" spans="7:14" x14ac:dyDescent="0.3">
      <c r="G39443" s="1"/>
      <c r="N39443" s="1"/>
    </row>
    <row r="39444" spans="7:14" x14ac:dyDescent="0.3">
      <c r="G39444" s="1"/>
      <c r="N39444" s="1"/>
    </row>
    <row r="39445" spans="7:14" x14ac:dyDescent="0.3">
      <c r="G39445" s="1"/>
      <c r="N39445" s="1"/>
    </row>
    <row r="39446" spans="7:14" x14ac:dyDescent="0.3">
      <c r="G39446" s="1"/>
      <c r="N39446" s="1"/>
    </row>
    <row r="39447" spans="7:14" x14ac:dyDescent="0.3">
      <c r="G39447" s="1"/>
      <c r="N39447" s="1"/>
    </row>
    <row r="39448" spans="7:14" x14ac:dyDescent="0.3">
      <c r="G39448" s="1"/>
      <c r="N39448" s="1"/>
    </row>
    <row r="39449" spans="7:14" x14ac:dyDescent="0.3">
      <c r="G39449" s="1"/>
      <c r="N39449" s="1"/>
    </row>
    <row r="39450" spans="7:14" x14ac:dyDescent="0.3">
      <c r="G39450" s="1"/>
      <c r="N39450" s="1"/>
    </row>
    <row r="39451" spans="7:14" x14ac:dyDescent="0.3">
      <c r="G39451" s="1"/>
      <c r="N39451" s="1"/>
    </row>
    <row r="39452" spans="7:14" x14ac:dyDescent="0.3">
      <c r="G39452" s="1"/>
      <c r="N39452" s="1"/>
    </row>
    <row r="39453" spans="7:14" x14ac:dyDescent="0.3">
      <c r="G39453" s="1"/>
      <c r="N39453" s="1"/>
    </row>
    <row r="39454" spans="7:14" x14ac:dyDescent="0.3">
      <c r="G39454" s="1"/>
      <c r="N39454" s="1"/>
    </row>
    <row r="39455" spans="7:14" x14ac:dyDescent="0.3">
      <c r="G39455" s="1"/>
      <c r="N39455" s="1"/>
    </row>
    <row r="39456" spans="7:14" x14ac:dyDescent="0.3">
      <c r="G39456" s="1"/>
      <c r="N39456" s="1"/>
    </row>
    <row r="39457" spans="7:14" x14ac:dyDescent="0.3">
      <c r="G39457" s="1"/>
      <c r="N39457" s="1"/>
    </row>
    <row r="39458" spans="7:14" x14ac:dyDescent="0.3">
      <c r="G39458" s="1"/>
      <c r="N39458" s="1"/>
    </row>
    <row r="39459" spans="7:14" x14ac:dyDescent="0.3">
      <c r="G39459" s="1"/>
      <c r="N39459" s="1"/>
    </row>
    <row r="39460" spans="7:14" x14ac:dyDescent="0.3">
      <c r="G39460" s="1"/>
      <c r="N39460" s="1"/>
    </row>
    <row r="39461" spans="7:14" x14ac:dyDescent="0.3">
      <c r="G39461" s="1"/>
      <c r="N39461" s="1"/>
    </row>
    <row r="39462" spans="7:14" x14ac:dyDescent="0.3">
      <c r="G39462" s="1"/>
      <c r="N39462" s="1"/>
    </row>
    <row r="39463" spans="7:14" x14ac:dyDescent="0.3">
      <c r="G39463" s="1"/>
      <c r="N39463" s="1"/>
    </row>
    <row r="39464" spans="7:14" x14ac:dyDescent="0.3">
      <c r="G39464" s="1"/>
      <c r="N39464" s="1"/>
    </row>
    <row r="39465" spans="7:14" x14ac:dyDescent="0.3">
      <c r="G39465" s="1"/>
      <c r="N39465" s="1"/>
    </row>
    <row r="39466" spans="7:14" x14ac:dyDescent="0.3">
      <c r="G39466" s="1"/>
      <c r="N39466" s="1"/>
    </row>
    <row r="39467" spans="7:14" x14ac:dyDescent="0.3">
      <c r="G39467" s="1"/>
      <c r="N39467" s="1"/>
    </row>
    <row r="39468" spans="7:14" x14ac:dyDescent="0.3">
      <c r="G39468" s="1"/>
      <c r="N39468" s="1"/>
    </row>
    <row r="39469" spans="7:14" x14ac:dyDescent="0.3">
      <c r="G39469" s="1"/>
      <c r="N39469" s="1"/>
    </row>
    <row r="39470" spans="7:14" x14ac:dyDescent="0.3">
      <c r="G39470" s="1"/>
      <c r="N39470" s="1"/>
    </row>
    <row r="39471" spans="7:14" x14ac:dyDescent="0.3">
      <c r="G39471" s="1"/>
      <c r="N39471" s="1"/>
    </row>
    <row r="39472" spans="7:14" x14ac:dyDescent="0.3">
      <c r="G39472" s="1"/>
      <c r="N39472" s="1"/>
    </row>
    <row r="39473" spans="7:14" x14ac:dyDescent="0.3">
      <c r="G39473" s="1"/>
      <c r="N39473" s="1"/>
    </row>
    <row r="39474" spans="7:14" x14ac:dyDescent="0.3">
      <c r="G39474" s="1"/>
      <c r="N39474" s="1"/>
    </row>
    <row r="39475" spans="7:14" x14ac:dyDescent="0.3">
      <c r="G39475" s="1"/>
      <c r="N39475" s="1"/>
    </row>
    <row r="39476" spans="7:14" x14ac:dyDescent="0.3">
      <c r="G39476" s="1"/>
      <c r="N39476" s="1"/>
    </row>
    <row r="39477" spans="7:14" x14ac:dyDescent="0.3">
      <c r="G39477" s="1"/>
      <c r="N39477" s="1"/>
    </row>
    <row r="39478" spans="7:14" x14ac:dyDescent="0.3">
      <c r="G39478" s="1"/>
      <c r="N39478" s="1"/>
    </row>
    <row r="39479" spans="7:14" x14ac:dyDescent="0.3">
      <c r="G39479" s="1"/>
      <c r="N39479" s="1"/>
    </row>
    <row r="39480" spans="7:14" x14ac:dyDescent="0.3">
      <c r="G39480" s="1"/>
      <c r="N39480" s="1"/>
    </row>
    <row r="39481" spans="7:14" x14ac:dyDescent="0.3">
      <c r="G39481" s="1"/>
      <c r="N39481" s="1"/>
    </row>
    <row r="39482" spans="7:14" x14ac:dyDescent="0.3">
      <c r="G39482" s="1"/>
      <c r="N39482" s="1"/>
    </row>
    <row r="39483" spans="7:14" x14ac:dyDescent="0.3">
      <c r="G39483" s="1"/>
      <c r="N39483" s="1"/>
    </row>
    <row r="39484" spans="7:14" x14ac:dyDescent="0.3">
      <c r="G39484" s="1"/>
      <c r="N39484" s="1"/>
    </row>
    <row r="39485" spans="7:14" x14ac:dyDescent="0.3">
      <c r="G39485" s="1"/>
      <c r="N39485" s="1"/>
    </row>
    <row r="39486" spans="7:14" x14ac:dyDescent="0.3">
      <c r="G39486" s="1"/>
      <c r="N39486" s="1"/>
    </row>
    <row r="39487" spans="7:14" x14ac:dyDescent="0.3">
      <c r="G39487" s="1"/>
      <c r="N39487" s="1"/>
    </row>
    <row r="39488" spans="7:14" x14ac:dyDescent="0.3">
      <c r="G39488" s="1"/>
      <c r="N39488" s="1"/>
    </row>
    <row r="39489" spans="7:14" x14ac:dyDescent="0.3">
      <c r="G39489" s="1"/>
      <c r="N39489" s="1"/>
    </row>
    <row r="39490" spans="7:14" x14ac:dyDescent="0.3">
      <c r="G39490" s="1"/>
      <c r="N39490" s="1"/>
    </row>
    <row r="39491" spans="7:14" x14ac:dyDescent="0.3">
      <c r="G39491" s="1"/>
      <c r="N39491" s="1"/>
    </row>
    <row r="39492" spans="7:14" x14ac:dyDescent="0.3">
      <c r="G39492" s="1"/>
      <c r="N39492" s="1"/>
    </row>
    <row r="39493" spans="7:14" x14ac:dyDescent="0.3">
      <c r="G39493" s="1"/>
      <c r="N39493" s="1"/>
    </row>
    <row r="39494" spans="7:14" x14ac:dyDescent="0.3">
      <c r="G39494" s="1"/>
      <c r="N39494" s="1"/>
    </row>
    <row r="39495" spans="7:14" x14ac:dyDescent="0.3">
      <c r="G39495" s="1"/>
      <c r="N39495" s="1"/>
    </row>
    <row r="39496" spans="7:14" x14ac:dyDescent="0.3">
      <c r="G39496" s="1"/>
      <c r="N39496" s="1"/>
    </row>
    <row r="39497" spans="7:14" x14ac:dyDescent="0.3">
      <c r="G39497" s="1"/>
      <c r="N39497" s="1"/>
    </row>
    <row r="39498" spans="7:14" x14ac:dyDescent="0.3">
      <c r="G39498" s="1"/>
      <c r="N39498" s="1"/>
    </row>
    <row r="39499" spans="7:14" x14ac:dyDescent="0.3">
      <c r="G39499" s="1"/>
      <c r="N39499" s="1"/>
    </row>
    <row r="39500" spans="7:14" x14ac:dyDescent="0.3">
      <c r="G39500" s="1"/>
      <c r="N39500" s="1"/>
    </row>
    <row r="39501" spans="7:14" x14ac:dyDescent="0.3">
      <c r="G39501" s="1"/>
      <c r="N39501" s="1"/>
    </row>
    <row r="39502" spans="7:14" x14ac:dyDescent="0.3">
      <c r="G39502" s="1"/>
      <c r="N39502" s="1"/>
    </row>
    <row r="39503" spans="7:14" x14ac:dyDescent="0.3">
      <c r="G39503" s="1"/>
      <c r="N39503" s="1"/>
    </row>
    <row r="39504" spans="7:14" x14ac:dyDescent="0.3">
      <c r="G39504" s="1"/>
      <c r="N39504" s="1"/>
    </row>
    <row r="39505" spans="7:14" x14ac:dyDescent="0.3">
      <c r="G39505" s="1"/>
      <c r="N39505" s="1"/>
    </row>
    <row r="39506" spans="7:14" x14ac:dyDescent="0.3">
      <c r="G39506" s="1"/>
      <c r="N39506" s="1"/>
    </row>
    <row r="39507" spans="7:14" x14ac:dyDescent="0.3">
      <c r="G39507" s="1"/>
      <c r="N39507" s="1"/>
    </row>
    <row r="39508" spans="7:14" x14ac:dyDescent="0.3">
      <c r="G39508" s="1"/>
      <c r="N39508" s="1"/>
    </row>
    <row r="39509" spans="7:14" x14ac:dyDescent="0.3">
      <c r="G39509" s="1"/>
      <c r="N39509" s="1"/>
    </row>
    <row r="39510" spans="7:14" x14ac:dyDescent="0.3">
      <c r="G39510" s="1"/>
      <c r="N39510" s="1"/>
    </row>
    <row r="39511" spans="7:14" x14ac:dyDescent="0.3">
      <c r="G39511" s="1"/>
      <c r="N39511" s="1"/>
    </row>
    <row r="39512" spans="7:14" x14ac:dyDescent="0.3">
      <c r="G39512" s="1"/>
      <c r="N39512" s="1"/>
    </row>
    <row r="39513" spans="7:14" x14ac:dyDescent="0.3">
      <c r="G39513" s="1"/>
      <c r="N39513" s="1"/>
    </row>
    <row r="39514" spans="7:14" x14ac:dyDescent="0.3">
      <c r="G39514" s="1"/>
      <c r="N39514" s="1"/>
    </row>
    <row r="39515" spans="7:14" x14ac:dyDescent="0.3">
      <c r="G39515" s="1"/>
      <c r="N39515" s="1"/>
    </row>
    <row r="39516" spans="7:14" x14ac:dyDescent="0.3">
      <c r="G39516" s="1"/>
      <c r="N39516" s="1"/>
    </row>
    <row r="39517" spans="7:14" x14ac:dyDescent="0.3">
      <c r="G39517" s="1"/>
      <c r="N39517" s="1"/>
    </row>
    <row r="39518" spans="7:14" x14ac:dyDescent="0.3">
      <c r="G39518" s="1"/>
      <c r="N39518" s="1"/>
    </row>
    <row r="39519" spans="7:14" x14ac:dyDescent="0.3">
      <c r="G39519" s="1"/>
      <c r="N39519" s="1"/>
    </row>
    <row r="39520" spans="7:14" x14ac:dyDescent="0.3">
      <c r="G39520" s="1"/>
      <c r="N39520" s="1"/>
    </row>
    <row r="39521" spans="7:14" x14ac:dyDescent="0.3">
      <c r="G39521" s="1"/>
      <c r="N39521" s="1"/>
    </row>
    <row r="39522" spans="7:14" x14ac:dyDescent="0.3">
      <c r="G39522" s="1"/>
      <c r="N39522" s="1"/>
    </row>
    <row r="39523" spans="7:14" x14ac:dyDescent="0.3">
      <c r="G39523" s="1"/>
      <c r="N39523" s="1"/>
    </row>
    <row r="39524" spans="7:14" x14ac:dyDescent="0.3">
      <c r="G39524" s="1"/>
      <c r="N39524" s="1"/>
    </row>
    <row r="39525" spans="7:14" x14ac:dyDescent="0.3">
      <c r="G39525" s="1"/>
      <c r="N39525" s="1"/>
    </row>
    <row r="39526" spans="7:14" x14ac:dyDescent="0.3">
      <c r="G39526" s="1"/>
      <c r="N39526" s="1"/>
    </row>
    <row r="39527" spans="7:14" x14ac:dyDescent="0.3">
      <c r="G39527" s="1"/>
      <c r="N39527" s="1"/>
    </row>
    <row r="39528" spans="7:14" x14ac:dyDescent="0.3">
      <c r="G39528" s="1"/>
      <c r="N39528" s="1"/>
    </row>
    <row r="39529" spans="7:14" x14ac:dyDescent="0.3">
      <c r="G39529" s="1"/>
      <c r="N39529" s="1"/>
    </row>
    <row r="39530" spans="7:14" x14ac:dyDescent="0.3">
      <c r="G39530" s="1"/>
      <c r="N39530" s="1"/>
    </row>
    <row r="39531" spans="7:14" x14ac:dyDescent="0.3">
      <c r="G39531" s="1"/>
      <c r="N39531" s="1"/>
    </row>
    <row r="39532" spans="7:14" x14ac:dyDescent="0.3">
      <c r="G39532" s="1"/>
      <c r="N39532" s="1"/>
    </row>
    <row r="39533" spans="7:14" x14ac:dyDescent="0.3">
      <c r="G39533" s="1"/>
      <c r="N39533" s="1"/>
    </row>
    <row r="39534" spans="7:14" x14ac:dyDescent="0.3">
      <c r="G39534" s="1"/>
      <c r="N39534" s="1"/>
    </row>
    <row r="39535" spans="7:14" x14ac:dyDescent="0.3">
      <c r="G39535" s="1"/>
      <c r="N39535" s="1"/>
    </row>
    <row r="39536" spans="7:14" x14ac:dyDescent="0.3">
      <c r="G39536" s="1"/>
      <c r="N39536" s="1"/>
    </row>
    <row r="39537" spans="7:14" x14ac:dyDescent="0.3">
      <c r="G39537" s="1"/>
      <c r="N39537" s="1"/>
    </row>
    <row r="39538" spans="7:14" x14ac:dyDescent="0.3">
      <c r="G39538" s="1"/>
      <c r="N39538" s="1"/>
    </row>
    <row r="39539" spans="7:14" x14ac:dyDescent="0.3">
      <c r="G39539" s="1"/>
      <c r="N39539" s="1"/>
    </row>
    <row r="39540" spans="7:14" x14ac:dyDescent="0.3">
      <c r="G39540" s="1"/>
      <c r="N39540" s="1"/>
    </row>
    <row r="39541" spans="7:14" x14ac:dyDescent="0.3">
      <c r="G39541" s="1"/>
      <c r="N39541" s="1"/>
    </row>
    <row r="39542" spans="7:14" x14ac:dyDescent="0.3">
      <c r="G39542" s="1"/>
      <c r="N39542" s="1"/>
    </row>
    <row r="39543" spans="7:14" x14ac:dyDescent="0.3">
      <c r="G39543" s="1"/>
      <c r="N39543" s="1"/>
    </row>
    <row r="39544" spans="7:14" x14ac:dyDescent="0.3">
      <c r="G39544" s="1"/>
      <c r="N39544" s="1"/>
    </row>
    <row r="39545" spans="7:14" x14ac:dyDescent="0.3">
      <c r="G39545" s="1"/>
      <c r="N39545" s="1"/>
    </row>
    <row r="39546" spans="7:14" x14ac:dyDescent="0.3">
      <c r="G39546" s="1"/>
      <c r="N39546" s="1"/>
    </row>
    <row r="39547" spans="7:14" x14ac:dyDescent="0.3">
      <c r="G39547" s="1"/>
      <c r="N39547" s="1"/>
    </row>
    <row r="39548" spans="7:14" x14ac:dyDescent="0.3">
      <c r="G39548" s="1"/>
      <c r="N39548" s="1"/>
    </row>
    <row r="39549" spans="7:14" x14ac:dyDescent="0.3">
      <c r="G39549" s="1"/>
      <c r="N39549" s="1"/>
    </row>
    <row r="39550" spans="7:14" x14ac:dyDescent="0.3">
      <c r="G39550" s="1"/>
      <c r="N39550" s="1"/>
    </row>
    <row r="39551" spans="7:14" x14ac:dyDescent="0.3">
      <c r="G39551" s="1"/>
      <c r="N39551" s="1"/>
    </row>
    <row r="39552" spans="7:14" x14ac:dyDescent="0.3">
      <c r="G39552" s="1"/>
      <c r="N39552" s="1"/>
    </row>
    <row r="39553" spans="7:14" x14ac:dyDescent="0.3">
      <c r="G39553" s="1"/>
      <c r="N39553" s="1"/>
    </row>
    <row r="39554" spans="7:14" x14ac:dyDescent="0.3">
      <c r="G39554" s="1"/>
      <c r="N39554" s="1"/>
    </row>
    <row r="39555" spans="7:14" x14ac:dyDescent="0.3">
      <c r="G39555" s="1"/>
      <c r="N39555" s="1"/>
    </row>
    <row r="39556" spans="7:14" x14ac:dyDescent="0.3">
      <c r="G39556" s="1"/>
      <c r="N39556" s="1"/>
    </row>
    <row r="39557" spans="7:14" x14ac:dyDescent="0.3">
      <c r="G39557" s="1"/>
      <c r="N39557" s="1"/>
    </row>
    <row r="39558" spans="7:14" x14ac:dyDescent="0.3">
      <c r="G39558" s="1"/>
      <c r="N39558" s="1"/>
    </row>
    <row r="39559" spans="7:14" x14ac:dyDescent="0.3">
      <c r="G39559" s="1"/>
      <c r="N39559" s="1"/>
    </row>
    <row r="39560" spans="7:14" x14ac:dyDescent="0.3">
      <c r="G39560" s="1"/>
      <c r="N39560" s="1"/>
    </row>
    <row r="39561" spans="7:14" x14ac:dyDescent="0.3">
      <c r="G39561" s="1"/>
      <c r="N39561" s="1"/>
    </row>
    <row r="39562" spans="7:14" x14ac:dyDescent="0.3">
      <c r="G39562" s="1"/>
      <c r="N39562" s="1"/>
    </row>
    <row r="39563" spans="7:14" x14ac:dyDescent="0.3">
      <c r="G39563" s="1"/>
      <c r="N39563" s="1"/>
    </row>
    <row r="39564" spans="7:14" x14ac:dyDescent="0.3">
      <c r="G39564" s="1"/>
      <c r="N39564" s="1"/>
    </row>
    <row r="39565" spans="7:14" x14ac:dyDescent="0.3">
      <c r="G39565" s="1"/>
      <c r="N39565" s="1"/>
    </row>
    <row r="39566" spans="7:14" x14ac:dyDescent="0.3">
      <c r="G39566" s="1"/>
      <c r="N39566" s="1"/>
    </row>
    <row r="39567" spans="7:14" x14ac:dyDescent="0.3">
      <c r="G39567" s="1"/>
      <c r="N39567" s="1"/>
    </row>
    <row r="39568" spans="7:14" x14ac:dyDescent="0.3">
      <c r="G39568" s="1"/>
      <c r="N39568" s="1"/>
    </row>
    <row r="39569" spans="7:14" x14ac:dyDescent="0.3">
      <c r="G39569" s="1"/>
      <c r="N39569" s="1"/>
    </row>
    <row r="39570" spans="7:14" x14ac:dyDescent="0.3">
      <c r="G39570" s="1"/>
      <c r="N39570" s="1"/>
    </row>
    <row r="39571" spans="7:14" x14ac:dyDescent="0.3">
      <c r="G39571" s="1"/>
      <c r="N39571" s="1"/>
    </row>
    <row r="39572" spans="7:14" x14ac:dyDescent="0.3">
      <c r="G39572" s="1"/>
      <c r="N39572" s="1"/>
    </row>
    <row r="39573" spans="7:14" x14ac:dyDescent="0.3">
      <c r="G39573" s="1"/>
      <c r="N39573" s="1"/>
    </row>
    <row r="39574" spans="7:14" x14ac:dyDescent="0.3">
      <c r="G39574" s="1"/>
      <c r="N39574" s="1"/>
    </row>
    <row r="39575" spans="7:14" x14ac:dyDescent="0.3">
      <c r="G39575" s="1"/>
      <c r="N39575" s="1"/>
    </row>
    <row r="39576" spans="7:14" x14ac:dyDescent="0.3">
      <c r="G39576" s="1"/>
      <c r="N39576" s="1"/>
    </row>
    <row r="39577" spans="7:14" x14ac:dyDescent="0.3">
      <c r="G39577" s="1"/>
      <c r="N39577" s="1"/>
    </row>
    <row r="39578" spans="7:14" x14ac:dyDescent="0.3">
      <c r="G39578" s="1"/>
      <c r="N39578" s="1"/>
    </row>
    <row r="39579" spans="7:14" x14ac:dyDescent="0.3">
      <c r="G39579" s="1"/>
      <c r="N39579" s="1"/>
    </row>
    <row r="39580" spans="7:14" x14ac:dyDescent="0.3">
      <c r="G39580" s="1"/>
      <c r="N39580" s="1"/>
    </row>
    <row r="39581" spans="7:14" x14ac:dyDescent="0.3">
      <c r="G39581" s="1"/>
      <c r="N39581" s="1"/>
    </row>
    <row r="39582" spans="7:14" x14ac:dyDescent="0.3">
      <c r="G39582" s="1"/>
      <c r="N39582" s="1"/>
    </row>
    <row r="39583" spans="7:14" x14ac:dyDescent="0.3">
      <c r="G39583" s="1"/>
      <c r="N39583" s="1"/>
    </row>
    <row r="39584" spans="7:14" x14ac:dyDescent="0.3">
      <c r="G39584" s="1"/>
      <c r="N39584" s="1"/>
    </row>
    <row r="39585" spans="7:14" x14ac:dyDescent="0.3">
      <c r="G39585" s="1"/>
      <c r="N39585" s="1"/>
    </row>
    <row r="39586" spans="7:14" x14ac:dyDescent="0.3">
      <c r="G39586" s="1"/>
      <c r="N39586" s="1"/>
    </row>
    <row r="39587" spans="7:14" x14ac:dyDescent="0.3">
      <c r="G39587" s="1"/>
      <c r="N39587" s="1"/>
    </row>
    <row r="39588" spans="7:14" x14ac:dyDescent="0.3">
      <c r="G39588" s="1"/>
      <c r="N39588" s="1"/>
    </row>
    <row r="39589" spans="7:14" x14ac:dyDescent="0.3">
      <c r="G39589" s="1"/>
      <c r="N39589" s="1"/>
    </row>
    <row r="39590" spans="7:14" x14ac:dyDescent="0.3">
      <c r="G39590" s="1"/>
      <c r="N39590" s="1"/>
    </row>
    <row r="39591" spans="7:14" x14ac:dyDescent="0.3">
      <c r="G39591" s="1"/>
      <c r="N39591" s="1"/>
    </row>
    <row r="39592" spans="7:14" x14ac:dyDescent="0.3">
      <c r="G39592" s="1"/>
      <c r="N39592" s="1"/>
    </row>
    <row r="39593" spans="7:14" x14ac:dyDescent="0.3">
      <c r="G39593" s="1"/>
      <c r="N39593" s="1"/>
    </row>
    <row r="39594" spans="7:14" x14ac:dyDescent="0.3">
      <c r="G39594" s="1"/>
      <c r="N39594" s="1"/>
    </row>
    <row r="39595" spans="7:14" x14ac:dyDescent="0.3">
      <c r="G39595" s="1"/>
      <c r="N39595" s="1"/>
    </row>
    <row r="39596" spans="7:14" x14ac:dyDescent="0.3">
      <c r="G39596" s="1"/>
      <c r="N39596" s="1"/>
    </row>
    <row r="39597" spans="7:14" x14ac:dyDescent="0.3">
      <c r="G39597" s="1"/>
      <c r="N39597" s="1"/>
    </row>
    <row r="39598" spans="7:14" x14ac:dyDescent="0.3">
      <c r="G39598" s="1"/>
      <c r="N39598" s="1"/>
    </row>
    <row r="39599" spans="7:14" x14ac:dyDescent="0.3">
      <c r="G39599" s="1"/>
      <c r="N39599" s="1"/>
    </row>
    <row r="39600" spans="7:14" x14ac:dyDescent="0.3">
      <c r="G39600" s="1"/>
      <c r="N39600" s="1"/>
    </row>
    <row r="39601" spans="7:14" x14ac:dyDescent="0.3">
      <c r="G39601" s="1"/>
      <c r="N39601" s="1"/>
    </row>
    <row r="39602" spans="7:14" x14ac:dyDescent="0.3">
      <c r="G39602" s="1"/>
      <c r="N39602" s="1"/>
    </row>
    <row r="39603" spans="7:14" x14ac:dyDescent="0.3">
      <c r="G39603" s="1"/>
      <c r="N39603" s="1"/>
    </row>
    <row r="39604" spans="7:14" x14ac:dyDescent="0.3">
      <c r="G39604" s="1"/>
      <c r="N39604" s="1"/>
    </row>
    <row r="39605" spans="7:14" x14ac:dyDescent="0.3">
      <c r="G39605" s="1"/>
      <c r="N39605" s="1"/>
    </row>
    <row r="39606" spans="7:14" x14ac:dyDescent="0.3">
      <c r="G39606" s="1"/>
      <c r="N39606" s="1"/>
    </row>
    <row r="39607" spans="7:14" x14ac:dyDescent="0.3">
      <c r="G39607" s="1"/>
      <c r="N39607" s="1"/>
    </row>
    <row r="39608" spans="7:14" x14ac:dyDescent="0.3">
      <c r="G39608" s="1"/>
      <c r="N39608" s="1"/>
    </row>
    <row r="39609" spans="7:14" x14ac:dyDescent="0.3">
      <c r="G39609" s="1"/>
      <c r="N39609" s="1"/>
    </row>
    <row r="39610" spans="7:14" x14ac:dyDescent="0.3">
      <c r="G39610" s="1"/>
      <c r="N39610" s="1"/>
    </row>
    <row r="39611" spans="7:14" x14ac:dyDescent="0.3">
      <c r="G39611" s="1"/>
      <c r="N39611" s="1"/>
    </row>
    <row r="39612" spans="7:14" x14ac:dyDescent="0.3">
      <c r="G39612" s="1"/>
      <c r="N39612" s="1"/>
    </row>
    <row r="39613" spans="7:14" x14ac:dyDescent="0.3">
      <c r="G39613" s="1"/>
      <c r="N39613" s="1"/>
    </row>
    <row r="39614" spans="7:14" x14ac:dyDescent="0.3">
      <c r="G39614" s="1"/>
      <c r="N39614" s="1"/>
    </row>
    <row r="39615" spans="7:14" x14ac:dyDescent="0.3">
      <c r="G39615" s="1"/>
      <c r="N39615" s="1"/>
    </row>
    <row r="39616" spans="7:14" x14ac:dyDescent="0.3">
      <c r="G39616" s="1"/>
      <c r="N39616" s="1"/>
    </row>
    <row r="39617" spans="7:14" x14ac:dyDescent="0.3">
      <c r="G39617" s="1"/>
      <c r="N39617" s="1"/>
    </row>
    <row r="39618" spans="7:14" x14ac:dyDescent="0.3">
      <c r="G39618" s="1"/>
      <c r="N39618" s="1"/>
    </row>
    <row r="39619" spans="7:14" x14ac:dyDescent="0.3">
      <c r="G39619" s="1"/>
      <c r="N39619" s="1"/>
    </row>
    <row r="39620" spans="7:14" x14ac:dyDescent="0.3">
      <c r="G39620" s="1"/>
      <c r="N39620" s="1"/>
    </row>
    <row r="39621" spans="7:14" x14ac:dyDescent="0.3">
      <c r="G39621" s="1"/>
      <c r="N39621" s="1"/>
    </row>
    <row r="39622" spans="7:14" x14ac:dyDescent="0.3">
      <c r="G39622" s="1"/>
      <c r="N39622" s="1"/>
    </row>
    <row r="39623" spans="7:14" x14ac:dyDescent="0.3">
      <c r="G39623" s="1"/>
      <c r="N39623" s="1"/>
    </row>
    <row r="39624" spans="7:14" x14ac:dyDescent="0.3">
      <c r="G39624" s="1"/>
      <c r="N39624" s="1"/>
    </row>
    <row r="39625" spans="7:14" x14ac:dyDescent="0.3">
      <c r="G39625" s="1"/>
      <c r="N39625" s="1"/>
    </row>
    <row r="39626" spans="7:14" x14ac:dyDescent="0.3">
      <c r="G39626" s="1"/>
      <c r="N39626" s="1"/>
    </row>
    <row r="39627" spans="7:14" x14ac:dyDescent="0.3">
      <c r="G39627" s="1"/>
      <c r="N39627" s="1"/>
    </row>
    <row r="39628" spans="7:14" x14ac:dyDescent="0.3">
      <c r="G39628" s="1"/>
      <c r="N39628" s="1"/>
    </row>
    <row r="39629" spans="7:14" x14ac:dyDescent="0.3">
      <c r="G39629" s="1"/>
      <c r="N39629" s="1"/>
    </row>
    <row r="39630" spans="7:14" x14ac:dyDescent="0.3">
      <c r="G39630" s="1"/>
      <c r="N39630" s="1"/>
    </row>
    <row r="39631" spans="7:14" x14ac:dyDescent="0.3">
      <c r="G39631" s="1"/>
      <c r="N39631" s="1"/>
    </row>
    <row r="39632" spans="7:14" x14ac:dyDescent="0.3">
      <c r="G39632" s="1"/>
      <c r="N39632" s="1"/>
    </row>
    <row r="39633" spans="7:14" x14ac:dyDescent="0.3">
      <c r="G39633" s="1"/>
      <c r="N39633" s="1"/>
    </row>
    <row r="39634" spans="7:14" x14ac:dyDescent="0.3">
      <c r="G39634" s="1"/>
      <c r="N39634" s="1"/>
    </row>
    <row r="39635" spans="7:14" x14ac:dyDescent="0.3">
      <c r="G39635" s="1"/>
      <c r="N39635" s="1"/>
    </row>
    <row r="39636" spans="7:14" x14ac:dyDescent="0.3">
      <c r="G39636" s="1"/>
      <c r="N39636" s="1"/>
    </row>
    <row r="39637" spans="7:14" x14ac:dyDescent="0.3">
      <c r="G39637" s="1"/>
      <c r="N39637" s="1"/>
    </row>
    <row r="39638" spans="7:14" x14ac:dyDescent="0.3">
      <c r="G39638" s="1"/>
      <c r="N39638" s="1"/>
    </row>
    <row r="39639" spans="7:14" x14ac:dyDescent="0.3">
      <c r="G39639" s="1"/>
      <c r="N39639" s="1"/>
    </row>
    <row r="39640" spans="7:14" x14ac:dyDescent="0.3">
      <c r="G39640" s="1"/>
      <c r="N39640" s="1"/>
    </row>
    <row r="39641" spans="7:14" x14ac:dyDescent="0.3">
      <c r="G39641" s="1"/>
      <c r="N39641" s="1"/>
    </row>
    <row r="39642" spans="7:14" x14ac:dyDescent="0.3">
      <c r="G39642" s="1"/>
      <c r="N39642" s="1"/>
    </row>
    <row r="39643" spans="7:14" x14ac:dyDescent="0.3">
      <c r="G39643" s="1"/>
      <c r="N39643" s="1"/>
    </row>
    <row r="39644" spans="7:14" x14ac:dyDescent="0.3">
      <c r="G39644" s="1"/>
      <c r="N39644" s="1"/>
    </row>
    <row r="39645" spans="7:14" x14ac:dyDescent="0.3">
      <c r="G39645" s="1"/>
      <c r="N39645" s="1"/>
    </row>
    <row r="39646" spans="7:14" x14ac:dyDescent="0.3">
      <c r="G39646" s="1"/>
      <c r="N39646" s="1"/>
    </row>
    <row r="39647" spans="7:14" x14ac:dyDescent="0.3">
      <c r="G39647" s="1"/>
      <c r="N39647" s="1"/>
    </row>
    <row r="39648" spans="7:14" x14ac:dyDescent="0.3">
      <c r="G39648" s="1"/>
      <c r="N39648" s="1"/>
    </row>
    <row r="39649" spans="7:14" x14ac:dyDescent="0.3">
      <c r="G39649" s="1"/>
      <c r="N39649" s="1"/>
    </row>
    <row r="39650" spans="7:14" x14ac:dyDescent="0.3">
      <c r="G39650" s="1"/>
      <c r="N39650" s="1"/>
    </row>
    <row r="39651" spans="7:14" x14ac:dyDescent="0.3">
      <c r="G39651" s="1"/>
      <c r="N39651" s="1"/>
    </row>
    <row r="39652" spans="7:14" x14ac:dyDescent="0.3">
      <c r="G39652" s="1"/>
      <c r="N39652" s="1"/>
    </row>
    <row r="39653" spans="7:14" x14ac:dyDescent="0.3">
      <c r="G39653" s="1"/>
      <c r="N39653" s="1"/>
    </row>
    <row r="39654" spans="7:14" x14ac:dyDescent="0.3">
      <c r="G39654" s="1"/>
      <c r="N39654" s="1"/>
    </row>
    <row r="39655" spans="7:14" x14ac:dyDescent="0.3">
      <c r="G39655" s="1"/>
      <c r="N39655" s="1"/>
    </row>
    <row r="39656" spans="7:14" x14ac:dyDescent="0.3">
      <c r="G39656" s="1"/>
      <c r="N39656" s="1"/>
    </row>
    <row r="39657" spans="7:14" x14ac:dyDescent="0.3">
      <c r="G39657" s="1"/>
      <c r="N39657" s="1"/>
    </row>
    <row r="39658" spans="7:14" x14ac:dyDescent="0.3">
      <c r="G39658" s="1"/>
      <c r="N39658" s="1"/>
    </row>
    <row r="39659" spans="7:14" x14ac:dyDescent="0.3">
      <c r="G39659" s="1"/>
      <c r="N39659" s="1"/>
    </row>
    <row r="39660" spans="7:14" x14ac:dyDescent="0.3">
      <c r="G39660" s="1"/>
      <c r="N39660" s="1"/>
    </row>
    <row r="39661" spans="7:14" x14ac:dyDescent="0.3">
      <c r="G39661" s="1"/>
      <c r="N39661" s="1"/>
    </row>
    <row r="39662" spans="7:14" x14ac:dyDescent="0.3">
      <c r="G39662" s="1"/>
      <c r="N39662" s="1"/>
    </row>
    <row r="39663" spans="7:14" x14ac:dyDescent="0.3">
      <c r="G39663" s="1"/>
      <c r="N39663" s="1"/>
    </row>
    <row r="39664" spans="7:14" x14ac:dyDescent="0.3">
      <c r="G39664" s="1"/>
      <c r="N39664" s="1"/>
    </row>
    <row r="39665" spans="7:14" x14ac:dyDescent="0.3">
      <c r="G39665" s="1"/>
      <c r="N39665" s="1"/>
    </row>
    <row r="39666" spans="7:14" x14ac:dyDescent="0.3">
      <c r="G39666" s="1"/>
      <c r="N39666" s="1"/>
    </row>
    <row r="39667" spans="7:14" x14ac:dyDescent="0.3">
      <c r="G39667" s="1"/>
      <c r="N39667" s="1"/>
    </row>
    <row r="39668" spans="7:14" x14ac:dyDescent="0.3">
      <c r="G39668" s="1"/>
      <c r="N39668" s="1"/>
    </row>
    <row r="39669" spans="7:14" x14ac:dyDescent="0.3">
      <c r="G39669" s="1"/>
      <c r="N39669" s="1"/>
    </row>
    <row r="39670" spans="7:14" x14ac:dyDescent="0.3">
      <c r="G39670" s="1"/>
      <c r="N39670" s="1"/>
    </row>
    <row r="39671" spans="7:14" x14ac:dyDescent="0.3">
      <c r="G39671" s="1"/>
      <c r="N39671" s="1"/>
    </row>
    <row r="39672" spans="7:14" x14ac:dyDescent="0.3">
      <c r="G39672" s="1"/>
      <c r="N39672" s="1"/>
    </row>
    <row r="39673" spans="7:14" x14ac:dyDescent="0.3">
      <c r="G39673" s="1"/>
      <c r="N39673" s="1"/>
    </row>
    <row r="39674" spans="7:14" x14ac:dyDescent="0.3">
      <c r="G39674" s="1"/>
      <c r="N39674" s="1"/>
    </row>
    <row r="39675" spans="7:14" x14ac:dyDescent="0.3">
      <c r="G39675" s="1"/>
      <c r="N39675" s="1"/>
    </row>
    <row r="39676" spans="7:14" x14ac:dyDescent="0.3">
      <c r="G39676" s="1"/>
      <c r="N39676" s="1"/>
    </row>
    <row r="39677" spans="7:14" x14ac:dyDescent="0.3">
      <c r="G39677" s="1"/>
      <c r="N39677" s="1"/>
    </row>
    <row r="39678" spans="7:14" x14ac:dyDescent="0.3">
      <c r="G39678" s="1"/>
      <c r="N39678" s="1"/>
    </row>
    <row r="39679" spans="7:14" x14ac:dyDescent="0.3">
      <c r="G39679" s="1"/>
      <c r="N39679" s="1"/>
    </row>
    <row r="39680" spans="7:14" x14ac:dyDescent="0.3">
      <c r="G39680" s="1"/>
      <c r="N39680" s="1"/>
    </row>
    <row r="39681" spans="7:14" x14ac:dyDescent="0.3">
      <c r="G39681" s="1"/>
      <c r="N39681" s="1"/>
    </row>
    <row r="39682" spans="7:14" x14ac:dyDescent="0.3">
      <c r="G39682" s="1"/>
      <c r="N39682" s="1"/>
    </row>
    <row r="39683" spans="7:14" x14ac:dyDescent="0.3">
      <c r="G39683" s="1"/>
      <c r="N39683" s="1"/>
    </row>
    <row r="39684" spans="7:14" x14ac:dyDescent="0.3">
      <c r="G39684" s="1"/>
      <c r="N39684" s="1"/>
    </row>
    <row r="39685" spans="7:14" x14ac:dyDescent="0.3">
      <c r="G39685" s="1"/>
      <c r="N39685" s="1"/>
    </row>
    <row r="39686" spans="7:14" x14ac:dyDescent="0.3">
      <c r="G39686" s="1"/>
      <c r="N39686" s="1"/>
    </row>
    <row r="39687" spans="7:14" x14ac:dyDescent="0.3">
      <c r="G39687" s="1"/>
      <c r="N39687" s="1"/>
    </row>
    <row r="39688" spans="7:14" x14ac:dyDescent="0.3">
      <c r="G39688" s="1"/>
      <c r="N39688" s="1"/>
    </row>
    <row r="39689" spans="7:14" x14ac:dyDescent="0.3">
      <c r="G39689" s="1"/>
      <c r="N39689" s="1"/>
    </row>
    <row r="39690" spans="7:14" x14ac:dyDescent="0.3">
      <c r="G39690" s="1"/>
      <c r="N39690" s="1"/>
    </row>
    <row r="39691" spans="7:14" x14ac:dyDescent="0.3">
      <c r="G39691" s="1"/>
      <c r="N39691" s="1"/>
    </row>
    <row r="39692" spans="7:14" x14ac:dyDescent="0.3">
      <c r="G39692" s="1"/>
      <c r="N39692" s="1"/>
    </row>
    <row r="39693" spans="7:14" x14ac:dyDescent="0.3">
      <c r="G39693" s="1"/>
      <c r="N39693" s="1"/>
    </row>
    <row r="39694" spans="7:14" x14ac:dyDescent="0.3">
      <c r="G39694" s="1"/>
      <c r="N39694" s="1"/>
    </row>
    <row r="39695" spans="7:14" x14ac:dyDescent="0.3">
      <c r="G39695" s="1"/>
      <c r="N39695" s="1"/>
    </row>
    <row r="39696" spans="7:14" x14ac:dyDescent="0.3">
      <c r="G39696" s="1"/>
      <c r="N39696" s="1"/>
    </row>
    <row r="39697" spans="7:14" x14ac:dyDescent="0.3">
      <c r="G39697" s="1"/>
      <c r="N39697" s="1"/>
    </row>
    <row r="39698" spans="7:14" x14ac:dyDescent="0.3">
      <c r="G39698" s="1"/>
      <c r="N39698" s="1"/>
    </row>
    <row r="39699" spans="7:14" x14ac:dyDescent="0.3">
      <c r="G39699" s="1"/>
      <c r="N39699" s="1"/>
    </row>
    <row r="39700" spans="7:14" x14ac:dyDescent="0.3">
      <c r="G39700" s="1"/>
      <c r="N39700" s="1"/>
    </row>
    <row r="39701" spans="7:14" x14ac:dyDescent="0.3">
      <c r="G39701" s="1"/>
      <c r="N39701" s="1"/>
    </row>
    <row r="39702" spans="7:14" x14ac:dyDescent="0.3">
      <c r="G39702" s="1"/>
      <c r="N39702" s="1"/>
    </row>
    <row r="39703" spans="7:14" x14ac:dyDescent="0.3">
      <c r="G39703" s="1"/>
      <c r="N39703" s="1"/>
    </row>
    <row r="39704" spans="7:14" x14ac:dyDescent="0.3">
      <c r="G39704" s="1"/>
      <c r="N39704" s="1"/>
    </row>
    <row r="39705" spans="7:14" x14ac:dyDescent="0.3">
      <c r="G39705" s="1"/>
      <c r="N39705" s="1"/>
    </row>
    <row r="39706" spans="7:14" x14ac:dyDescent="0.3">
      <c r="G39706" s="1"/>
      <c r="N39706" s="1"/>
    </row>
    <row r="39707" spans="7:14" x14ac:dyDescent="0.3">
      <c r="G39707" s="1"/>
      <c r="N39707" s="1"/>
    </row>
    <row r="39708" spans="7:14" x14ac:dyDescent="0.3">
      <c r="G39708" s="1"/>
      <c r="N39708" s="1"/>
    </row>
    <row r="39709" spans="7:14" x14ac:dyDescent="0.3">
      <c r="G39709" s="1"/>
      <c r="N39709" s="1"/>
    </row>
    <row r="39710" spans="7:14" x14ac:dyDescent="0.3">
      <c r="G39710" s="1"/>
      <c r="N39710" s="1"/>
    </row>
    <row r="39711" spans="7:14" x14ac:dyDescent="0.3">
      <c r="G39711" s="1"/>
      <c r="N39711" s="1"/>
    </row>
    <row r="39712" spans="7:14" x14ac:dyDescent="0.3">
      <c r="G39712" s="1"/>
      <c r="N39712" s="1"/>
    </row>
    <row r="39713" spans="7:14" x14ac:dyDescent="0.3">
      <c r="G39713" s="1"/>
      <c r="N39713" s="1"/>
    </row>
    <row r="39714" spans="7:14" x14ac:dyDescent="0.3">
      <c r="G39714" s="1"/>
      <c r="N39714" s="1"/>
    </row>
    <row r="39715" spans="7:14" x14ac:dyDescent="0.3">
      <c r="G39715" s="1"/>
      <c r="N39715" s="1"/>
    </row>
    <row r="39716" spans="7:14" x14ac:dyDescent="0.3">
      <c r="G39716" s="1"/>
      <c r="N39716" s="1"/>
    </row>
    <row r="39717" spans="7:14" x14ac:dyDescent="0.3">
      <c r="G39717" s="1"/>
      <c r="N39717" s="1"/>
    </row>
    <row r="39718" spans="7:14" x14ac:dyDescent="0.3">
      <c r="G39718" s="1"/>
      <c r="N39718" s="1"/>
    </row>
    <row r="39719" spans="7:14" x14ac:dyDescent="0.3">
      <c r="G39719" s="1"/>
      <c r="N39719" s="1"/>
    </row>
    <row r="39720" spans="7:14" x14ac:dyDescent="0.3">
      <c r="G39720" s="1"/>
      <c r="N39720" s="1"/>
    </row>
    <row r="39721" spans="7:14" x14ac:dyDescent="0.3">
      <c r="G39721" s="1"/>
      <c r="N39721" s="1"/>
    </row>
    <row r="39722" spans="7:14" x14ac:dyDescent="0.3">
      <c r="G39722" s="1"/>
      <c r="N39722" s="1"/>
    </row>
    <row r="39723" spans="7:14" x14ac:dyDescent="0.3">
      <c r="G39723" s="1"/>
      <c r="N39723" s="1"/>
    </row>
    <row r="39724" spans="7:14" x14ac:dyDescent="0.3">
      <c r="G39724" s="1"/>
      <c r="N39724" s="1"/>
    </row>
    <row r="39725" spans="7:14" x14ac:dyDescent="0.3">
      <c r="G39725" s="1"/>
      <c r="N39725" s="1"/>
    </row>
    <row r="39726" spans="7:14" x14ac:dyDescent="0.3">
      <c r="G39726" s="1"/>
      <c r="N39726" s="1"/>
    </row>
    <row r="39727" spans="7:14" x14ac:dyDescent="0.3">
      <c r="G39727" s="1"/>
      <c r="N39727" s="1"/>
    </row>
    <row r="39728" spans="7:14" x14ac:dyDescent="0.3">
      <c r="G39728" s="1"/>
      <c r="N39728" s="1"/>
    </row>
    <row r="39729" spans="7:14" x14ac:dyDescent="0.3">
      <c r="G39729" s="1"/>
      <c r="N39729" s="1"/>
    </row>
    <row r="39730" spans="7:14" x14ac:dyDescent="0.3">
      <c r="G39730" s="1"/>
      <c r="N39730" s="1"/>
    </row>
    <row r="39731" spans="7:14" x14ac:dyDescent="0.3">
      <c r="G39731" s="1"/>
      <c r="N39731" s="1"/>
    </row>
    <row r="39732" spans="7:14" x14ac:dyDescent="0.3">
      <c r="G39732" s="1"/>
      <c r="N39732" s="1"/>
    </row>
    <row r="39733" spans="7:14" x14ac:dyDescent="0.3">
      <c r="G39733" s="1"/>
      <c r="N39733" s="1"/>
    </row>
    <row r="39734" spans="7:14" x14ac:dyDescent="0.3">
      <c r="G39734" s="1"/>
      <c r="N39734" s="1"/>
    </row>
    <row r="39735" spans="7:14" x14ac:dyDescent="0.3">
      <c r="G39735" s="1"/>
      <c r="N39735" s="1"/>
    </row>
    <row r="39736" spans="7:14" x14ac:dyDescent="0.3">
      <c r="G39736" s="1"/>
      <c r="N39736" s="1"/>
    </row>
    <row r="39737" spans="7:14" x14ac:dyDescent="0.3">
      <c r="G39737" s="1"/>
      <c r="N39737" s="1"/>
    </row>
    <row r="39738" spans="7:14" x14ac:dyDescent="0.3">
      <c r="G39738" s="1"/>
      <c r="N39738" s="1"/>
    </row>
    <row r="39739" spans="7:14" x14ac:dyDescent="0.3">
      <c r="G39739" s="1"/>
      <c r="N39739" s="1"/>
    </row>
    <row r="39740" spans="7:14" x14ac:dyDescent="0.3">
      <c r="G39740" s="1"/>
      <c r="N39740" s="1"/>
    </row>
    <row r="39741" spans="7:14" x14ac:dyDescent="0.3">
      <c r="G39741" s="1"/>
      <c r="N39741" s="1"/>
    </row>
    <row r="39742" spans="7:14" x14ac:dyDescent="0.3">
      <c r="G39742" s="1"/>
      <c r="N39742" s="1"/>
    </row>
    <row r="39743" spans="7:14" x14ac:dyDescent="0.3">
      <c r="G39743" s="1"/>
      <c r="N39743" s="1"/>
    </row>
    <row r="39744" spans="7:14" x14ac:dyDescent="0.3">
      <c r="G39744" s="1"/>
      <c r="N39744" s="1"/>
    </row>
    <row r="39745" spans="7:14" x14ac:dyDescent="0.3">
      <c r="G39745" s="1"/>
      <c r="N39745" s="1"/>
    </row>
    <row r="39746" spans="7:14" x14ac:dyDescent="0.3">
      <c r="G39746" s="1"/>
      <c r="N39746" s="1"/>
    </row>
    <row r="39747" spans="7:14" x14ac:dyDescent="0.3">
      <c r="G39747" s="1"/>
      <c r="N39747" s="1"/>
    </row>
    <row r="39748" spans="7:14" x14ac:dyDescent="0.3">
      <c r="G39748" s="1"/>
      <c r="N39748" s="1"/>
    </row>
    <row r="39749" spans="7:14" x14ac:dyDescent="0.3">
      <c r="G39749" s="1"/>
      <c r="N39749" s="1"/>
    </row>
    <row r="39750" spans="7:14" x14ac:dyDescent="0.3">
      <c r="G39750" s="1"/>
      <c r="N39750" s="1"/>
    </row>
    <row r="39751" spans="7:14" x14ac:dyDescent="0.3">
      <c r="G39751" s="1"/>
      <c r="N39751" s="1"/>
    </row>
    <row r="39752" spans="7:14" x14ac:dyDescent="0.3">
      <c r="G39752" s="1"/>
      <c r="N39752" s="1"/>
    </row>
    <row r="39753" spans="7:14" x14ac:dyDescent="0.3">
      <c r="G39753" s="1"/>
      <c r="N39753" s="1"/>
    </row>
    <row r="39754" spans="7:14" x14ac:dyDescent="0.3">
      <c r="G39754" s="1"/>
      <c r="N39754" s="1"/>
    </row>
    <row r="39755" spans="7:14" x14ac:dyDescent="0.3">
      <c r="G39755" s="1"/>
      <c r="N39755" s="1"/>
    </row>
    <row r="39756" spans="7:14" x14ac:dyDescent="0.3">
      <c r="G39756" s="1"/>
      <c r="N39756" s="1"/>
    </row>
    <row r="39757" spans="7:14" x14ac:dyDescent="0.3">
      <c r="G39757" s="1"/>
      <c r="N39757" s="1"/>
    </row>
    <row r="39758" spans="7:14" x14ac:dyDescent="0.3">
      <c r="G39758" s="1"/>
      <c r="N39758" s="1"/>
    </row>
    <row r="39759" spans="7:14" x14ac:dyDescent="0.3">
      <c r="G39759" s="1"/>
      <c r="N39759" s="1"/>
    </row>
    <row r="39760" spans="7:14" x14ac:dyDescent="0.3">
      <c r="G39760" s="1"/>
      <c r="N39760" s="1"/>
    </row>
    <row r="39761" spans="7:14" x14ac:dyDescent="0.3">
      <c r="G39761" s="1"/>
      <c r="N39761" s="1"/>
    </row>
    <row r="39762" spans="7:14" x14ac:dyDescent="0.3">
      <c r="G39762" s="1"/>
      <c r="N39762" s="1"/>
    </row>
    <row r="39763" spans="7:14" x14ac:dyDescent="0.3">
      <c r="G39763" s="1"/>
      <c r="N39763" s="1"/>
    </row>
    <row r="39764" spans="7:14" x14ac:dyDescent="0.3">
      <c r="G39764" s="1"/>
      <c r="N39764" s="1"/>
    </row>
    <row r="39765" spans="7:14" x14ac:dyDescent="0.3">
      <c r="G39765" s="1"/>
      <c r="N39765" s="1"/>
    </row>
    <row r="39766" spans="7:14" x14ac:dyDescent="0.3">
      <c r="G39766" s="1"/>
      <c r="N39766" s="1"/>
    </row>
    <row r="39767" spans="7:14" x14ac:dyDescent="0.3">
      <c r="G39767" s="1"/>
      <c r="N39767" s="1"/>
    </row>
    <row r="39768" spans="7:14" x14ac:dyDescent="0.3">
      <c r="G39768" s="1"/>
      <c r="N39768" s="1"/>
    </row>
    <row r="39769" spans="7:14" x14ac:dyDescent="0.3">
      <c r="G39769" s="1"/>
      <c r="N39769" s="1"/>
    </row>
    <row r="39770" spans="7:14" x14ac:dyDescent="0.3">
      <c r="G39770" s="1"/>
      <c r="N39770" s="1"/>
    </row>
    <row r="39771" spans="7:14" x14ac:dyDescent="0.3">
      <c r="G39771" s="1"/>
      <c r="N39771" s="1"/>
    </row>
    <row r="39772" spans="7:14" x14ac:dyDescent="0.3">
      <c r="G39772" s="1"/>
      <c r="N39772" s="1"/>
    </row>
    <row r="39773" spans="7:14" x14ac:dyDescent="0.3">
      <c r="G39773" s="1"/>
      <c r="N39773" s="1"/>
    </row>
    <row r="39774" spans="7:14" x14ac:dyDescent="0.3">
      <c r="G39774" s="1"/>
      <c r="N39774" s="1"/>
    </row>
    <row r="39775" spans="7:14" x14ac:dyDescent="0.3">
      <c r="G39775" s="1"/>
      <c r="N39775" s="1"/>
    </row>
    <row r="39776" spans="7:14" x14ac:dyDescent="0.3">
      <c r="G39776" s="1"/>
      <c r="N39776" s="1"/>
    </row>
    <row r="39777" spans="7:14" x14ac:dyDescent="0.3">
      <c r="G39777" s="1"/>
      <c r="N39777" s="1"/>
    </row>
    <row r="39778" spans="7:14" x14ac:dyDescent="0.3">
      <c r="G39778" s="1"/>
      <c r="N39778" s="1"/>
    </row>
    <row r="39779" spans="7:14" x14ac:dyDescent="0.3">
      <c r="G39779" s="1"/>
      <c r="N39779" s="1"/>
    </row>
    <row r="39780" spans="7:14" x14ac:dyDescent="0.3">
      <c r="G39780" s="1"/>
      <c r="N39780" s="1"/>
    </row>
    <row r="39781" spans="7:14" x14ac:dyDescent="0.3">
      <c r="G39781" s="1"/>
      <c r="N39781" s="1"/>
    </row>
    <row r="39782" spans="7:14" x14ac:dyDescent="0.3">
      <c r="G39782" s="1"/>
      <c r="N39782" s="1"/>
    </row>
    <row r="39783" spans="7:14" x14ac:dyDescent="0.3">
      <c r="G39783" s="1"/>
      <c r="N39783" s="1"/>
    </row>
    <row r="39784" spans="7:14" x14ac:dyDescent="0.3">
      <c r="G39784" s="1"/>
      <c r="N39784" s="1"/>
    </row>
    <row r="39785" spans="7:14" x14ac:dyDescent="0.3">
      <c r="G39785" s="1"/>
      <c r="N39785" s="1"/>
    </row>
    <row r="39786" spans="7:14" x14ac:dyDescent="0.3">
      <c r="G39786" s="1"/>
      <c r="N39786" s="1"/>
    </row>
    <row r="39787" spans="7:14" x14ac:dyDescent="0.3">
      <c r="G39787" s="1"/>
      <c r="N39787" s="1"/>
    </row>
    <row r="39788" spans="7:14" x14ac:dyDescent="0.3">
      <c r="G39788" s="1"/>
      <c r="N39788" s="1"/>
    </row>
    <row r="39789" spans="7:14" x14ac:dyDescent="0.3">
      <c r="G39789" s="1"/>
      <c r="N39789" s="1"/>
    </row>
    <row r="39790" spans="7:14" x14ac:dyDescent="0.3">
      <c r="G39790" s="1"/>
      <c r="N39790" s="1"/>
    </row>
    <row r="39791" spans="7:14" x14ac:dyDescent="0.3">
      <c r="G39791" s="1"/>
      <c r="N39791" s="1"/>
    </row>
    <row r="39792" spans="7:14" x14ac:dyDescent="0.3">
      <c r="G39792" s="1"/>
      <c r="N39792" s="1"/>
    </row>
    <row r="39793" spans="7:14" x14ac:dyDescent="0.3">
      <c r="G39793" s="1"/>
      <c r="N39793" s="1"/>
    </row>
    <row r="39794" spans="7:14" x14ac:dyDescent="0.3">
      <c r="G39794" s="1"/>
      <c r="N39794" s="1"/>
    </row>
    <row r="39795" spans="7:14" x14ac:dyDescent="0.3">
      <c r="G39795" s="1"/>
      <c r="N39795" s="1"/>
    </row>
    <row r="39796" spans="7:14" x14ac:dyDescent="0.3">
      <c r="G39796" s="1"/>
      <c r="N39796" s="1"/>
    </row>
    <row r="39797" spans="7:14" x14ac:dyDescent="0.3">
      <c r="G39797" s="1"/>
      <c r="N39797" s="1"/>
    </row>
    <row r="39798" spans="7:14" x14ac:dyDescent="0.3">
      <c r="G39798" s="1"/>
      <c r="N39798" s="1"/>
    </row>
    <row r="39799" spans="7:14" x14ac:dyDescent="0.3">
      <c r="G39799" s="1"/>
      <c r="N39799" s="1"/>
    </row>
    <row r="39800" spans="7:14" x14ac:dyDescent="0.3">
      <c r="G39800" s="1"/>
      <c r="N39800" s="1"/>
    </row>
    <row r="39801" spans="7:14" x14ac:dyDescent="0.3">
      <c r="G39801" s="1"/>
      <c r="N39801" s="1"/>
    </row>
    <row r="39802" spans="7:14" x14ac:dyDescent="0.3">
      <c r="G39802" s="1"/>
      <c r="N39802" s="1"/>
    </row>
    <row r="39803" spans="7:14" x14ac:dyDescent="0.3">
      <c r="G39803" s="1"/>
      <c r="N39803" s="1"/>
    </row>
    <row r="39804" spans="7:14" x14ac:dyDescent="0.3">
      <c r="G39804" s="1"/>
      <c r="N39804" s="1"/>
    </row>
    <row r="39805" spans="7:14" x14ac:dyDescent="0.3">
      <c r="G39805" s="1"/>
      <c r="N39805" s="1"/>
    </row>
    <row r="39806" spans="7:14" x14ac:dyDescent="0.3">
      <c r="G39806" s="1"/>
      <c r="N39806" s="1"/>
    </row>
    <row r="39807" spans="7:14" x14ac:dyDescent="0.3">
      <c r="G39807" s="1"/>
      <c r="N39807" s="1"/>
    </row>
    <row r="39808" spans="7:14" x14ac:dyDescent="0.3">
      <c r="G39808" s="1"/>
      <c r="N39808" s="1"/>
    </row>
    <row r="39809" spans="7:14" x14ac:dyDescent="0.3">
      <c r="G39809" s="1"/>
      <c r="N39809" s="1"/>
    </row>
    <row r="39810" spans="7:14" x14ac:dyDescent="0.3">
      <c r="G39810" s="1"/>
      <c r="N39810" s="1"/>
    </row>
    <row r="39811" spans="7:14" x14ac:dyDescent="0.3">
      <c r="G39811" s="1"/>
      <c r="N39811" s="1"/>
    </row>
    <row r="39812" spans="7:14" x14ac:dyDescent="0.3">
      <c r="G39812" s="1"/>
      <c r="N39812" s="1"/>
    </row>
    <row r="39813" spans="7:14" x14ac:dyDescent="0.3">
      <c r="G39813" s="1"/>
      <c r="N39813" s="1"/>
    </row>
    <row r="39814" spans="7:14" x14ac:dyDescent="0.3">
      <c r="G39814" s="1"/>
      <c r="N39814" s="1"/>
    </row>
    <row r="39815" spans="7:14" x14ac:dyDescent="0.3">
      <c r="G39815" s="1"/>
      <c r="N39815" s="1"/>
    </row>
    <row r="39816" spans="7:14" x14ac:dyDescent="0.3">
      <c r="G39816" s="1"/>
      <c r="N39816" s="1"/>
    </row>
    <row r="39817" spans="7:14" x14ac:dyDescent="0.3">
      <c r="G39817" s="1"/>
      <c r="N39817" s="1"/>
    </row>
    <row r="39818" spans="7:14" x14ac:dyDescent="0.3">
      <c r="G39818" s="1"/>
      <c r="N39818" s="1"/>
    </row>
    <row r="39819" spans="7:14" x14ac:dyDescent="0.3">
      <c r="G39819" s="1"/>
      <c r="N39819" s="1"/>
    </row>
    <row r="39820" spans="7:14" x14ac:dyDescent="0.3">
      <c r="G39820" s="1"/>
      <c r="N39820" s="1"/>
    </row>
    <row r="39821" spans="7:14" x14ac:dyDescent="0.3">
      <c r="G39821" s="1"/>
      <c r="N39821" s="1"/>
    </row>
    <row r="39822" spans="7:14" x14ac:dyDescent="0.3">
      <c r="G39822" s="1"/>
      <c r="N39822" s="1"/>
    </row>
    <row r="39823" spans="7:14" x14ac:dyDescent="0.3">
      <c r="G39823" s="1"/>
      <c r="N39823" s="1"/>
    </row>
    <row r="39824" spans="7:14" x14ac:dyDescent="0.3">
      <c r="G39824" s="1"/>
      <c r="N39824" s="1"/>
    </row>
    <row r="39825" spans="7:14" x14ac:dyDescent="0.3">
      <c r="G39825" s="1"/>
      <c r="N39825" s="1"/>
    </row>
    <row r="39826" spans="7:14" x14ac:dyDescent="0.3">
      <c r="G39826" s="1"/>
      <c r="N39826" s="1"/>
    </row>
    <row r="39827" spans="7:14" x14ac:dyDescent="0.3">
      <c r="G39827" s="1"/>
      <c r="N39827" s="1"/>
    </row>
    <row r="39828" spans="7:14" x14ac:dyDescent="0.3">
      <c r="G39828" s="1"/>
      <c r="N39828" s="1"/>
    </row>
    <row r="39829" spans="7:14" x14ac:dyDescent="0.3">
      <c r="G39829" s="1"/>
      <c r="N39829" s="1"/>
    </row>
    <row r="39830" spans="7:14" x14ac:dyDescent="0.3">
      <c r="G39830" s="1"/>
      <c r="N39830" s="1"/>
    </row>
    <row r="39831" spans="7:14" x14ac:dyDescent="0.3">
      <c r="G39831" s="1"/>
      <c r="N39831" s="1"/>
    </row>
    <row r="39832" spans="7:14" x14ac:dyDescent="0.3">
      <c r="G39832" s="1"/>
      <c r="N39832" s="1"/>
    </row>
    <row r="39833" spans="7:14" x14ac:dyDescent="0.3">
      <c r="G39833" s="1"/>
      <c r="N39833" s="1"/>
    </row>
    <row r="39834" spans="7:14" x14ac:dyDescent="0.3">
      <c r="G39834" s="1"/>
      <c r="N39834" s="1"/>
    </row>
    <row r="39835" spans="7:14" x14ac:dyDescent="0.3">
      <c r="G39835" s="1"/>
      <c r="N39835" s="1"/>
    </row>
    <row r="39836" spans="7:14" x14ac:dyDescent="0.3">
      <c r="G39836" s="1"/>
      <c r="N39836" s="1"/>
    </row>
    <row r="39837" spans="7:14" x14ac:dyDescent="0.3">
      <c r="G39837" s="1"/>
      <c r="N39837" s="1"/>
    </row>
    <row r="39838" spans="7:14" x14ac:dyDescent="0.3">
      <c r="G39838" s="1"/>
      <c r="N39838" s="1"/>
    </row>
    <row r="39839" spans="7:14" x14ac:dyDescent="0.3">
      <c r="G39839" s="1"/>
      <c r="N39839" s="1"/>
    </row>
    <row r="39840" spans="7:14" x14ac:dyDescent="0.3">
      <c r="G39840" s="1"/>
      <c r="N39840" s="1"/>
    </row>
    <row r="39841" spans="7:14" x14ac:dyDescent="0.3">
      <c r="G39841" s="1"/>
      <c r="N39841" s="1"/>
    </row>
    <row r="39842" spans="7:14" x14ac:dyDescent="0.3">
      <c r="G39842" s="1"/>
      <c r="N39842" s="1"/>
    </row>
    <row r="39843" spans="7:14" x14ac:dyDescent="0.3">
      <c r="G39843" s="1"/>
      <c r="N39843" s="1"/>
    </row>
    <row r="39844" spans="7:14" x14ac:dyDescent="0.3">
      <c r="G39844" s="1"/>
      <c r="N39844" s="1"/>
    </row>
    <row r="39845" spans="7:14" x14ac:dyDescent="0.3">
      <c r="G39845" s="1"/>
      <c r="N39845" s="1"/>
    </row>
    <row r="39846" spans="7:14" x14ac:dyDescent="0.3">
      <c r="G39846" s="1"/>
      <c r="N39846" s="1"/>
    </row>
    <row r="39847" spans="7:14" x14ac:dyDescent="0.3">
      <c r="G39847" s="1"/>
      <c r="N39847" s="1"/>
    </row>
    <row r="39848" spans="7:14" x14ac:dyDescent="0.3">
      <c r="G39848" s="1"/>
      <c r="N39848" s="1"/>
    </row>
    <row r="39849" spans="7:14" x14ac:dyDescent="0.3">
      <c r="G39849" s="1"/>
      <c r="N39849" s="1"/>
    </row>
    <row r="39850" spans="7:14" x14ac:dyDescent="0.3">
      <c r="G39850" s="1"/>
      <c r="N39850" s="1"/>
    </row>
    <row r="39851" spans="7:14" x14ac:dyDescent="0.3">
      <c r="G39851" s="1"/>
      <c r="N39851" s="1"/>
    </row>
    <row r="39852" spans="7:14" x14ac:dyDescent="0.3">
      <c r="G39852" s="1"/>
      <c r="N39852" s="1"/>
    </row>
    <row r="39853" spans="7:14" x14ac:dyDescent="0.3">
      <c r="G39853" s="1"/>
      <c r="N39853" s="1"/>
    </row>
    <row r="39854" spans="7:14" x14ac:dyDescent="0.3">
      <c r="G39854" s="1"/>
      <c r="N39854" s="1"/>
    </row>
    <row r="39855" spans="7:14" x14ac:dyDescent="0.3">
      <c r="G39855" s="1"/>
      <c r="N39855" s="1"/>
    </row>
    <row r="39856" spans="7:14" x14ac:dyDescent="0.3">
      <c r="G39856" s="1"/>
      <c r="N39856" s="1"/>
    </row>
    <row r="39857" spans="7:14" x14ac:dyDescent="0.3">
      <c r="G39857" s="1"/>
      <c r="N39857" s="1"/>
    </row>
    <row r="39858" spans="7:14" x14ac:dyDescent="0.3">
      <c r="G39858" s="1"/>
      <c r="N39858" s="1"/>
    </row>
    <row r="39859" spans="7:14" x14ac:dyDescent="0.3">
      <c r="G39859" s="1"/>
      <c r="N39859" s="1"/>
    </row>
    <row r="39860" spans="7:14" x14ac:dyDescent="0.3">
      <c r="G39860" s="1"/>
      <c r="N39860" s="1"/>
    </row>
    <row r="39861" spans="7:14" x14ac:dyDescent="0.3">
      <c r="G39861" s="1"/>
      <c r="N39861" s="1"/>
    </row>
    <row r="39862" spans="7:14" x14ac:dyDescent="0.3">
      <c r="G39862" s="1"/>
      <c r="N39862" s="1"/>
    </row>
    <row r="39863" spans="7:14" x14ac:dyDescent="0.3">
      <c r="G39863" s="1"/>
      <c r="N39863" s="1"/>
    </row>
    <row r="39864" spans="7:14" x14ac:dyDescent="0.3">
      <c r="G39864" s="1"/>
      <c r="N39864" s="1"/>
    </row>
    <row r="39865" spans="7:14" x14ac:dyDescent="0.3">
      <c r="G39865" s="1"/>
      <c r="N39865" s="1"/>
    </row>
    <row r="39866" spans="7:14" x14ac:dyDescent="0.3">
      <c r="G39866" s="1"/>
      <c r="N39866" s="1"/>
    </row>
    <row r="39867" spans="7:14" x14ac:dyDescent="0.3">
      <c r="G39867" s="1"/>
      <c r="N39867" s="1"/>
    </row>
    <row r="39868" spans="7:14" x14ac:dyDescent="0.3">
      <c r="G39868" s="1"/>
      <c r="N39868" s="1"/>
    </row>
    <row r="39869" spans="7:14" x14ac:dyDescent="0.3">
      <c r="G39869" s="1"/>
      <c r="N39869" s="1"/>
    </row>
    <row r="39870" spans="7:14" x14ac:dyDescent="0.3">
      <c r="G39870" s="1"/>
      <c r="N39870" s="1"/>
    </row>
    <row r="39871" spans="7:14" x14ac:dyDescent="0.3">
      <c r="G39871" s="1"/>
      <c r="N39871" s="1"/>
    </row>
    <row r="39872" spans="7:14" x14ac:dyDescent="0.3">
      <c r="G39872" s="1"/>
      <c r="N39872" s="1"/>
    </row>
    <row r="39873" spans="7:14" x14ac:dyDescent="0.3">
      <c r="G39873" s="1"/>
      <c r="N39873" s="1"/>
    </row>
    <row r="39874" spans="7:14" x14ac:dyDescent="0.3">
      <c r="G39874" s="1"/>
      <c r="N39874" s="1"/>
    </row>
    <row r="39875" spans="7:14" x14ac:dyDescent="0.3">
      <c r="G39875" s="1"/>
      <c r="N39875" s="1"/>
    </row>
    <row r="39876" spans="7:14" x14ac:dyDescent="0.3">
      <c r="G39876" s="1"/>
      <c r="N39876" s="1"/>
    </row>
    <row r="39877" spans="7:14" x14ac:dyDescent="0.3">
      <c r="G39877" s="1"/>
      <c r="N39877" s="1"/>
    </row>
    <row r="39878" spans="7:14" x14ac:dyDescent="0.3">
      <c r="G39878" s="1"/>
      <c r="N39878" s="1"/>
    </row>
    <row r="39879" spans="7:14" x14ac:dyDescent="0.3">
      <c r="G39879" s="1"/>
      <c r="N39879" s="1"/>
    </row>
    <row r="39880" spans="7:14" x14ac:dyDescent="0.3">
      <c r="G39880" s="1"/>
      <c r="N39880" s="1"/>
    </row>
    <row r="39881" spans="7:14" x14ac:dyDescent="0.3">
      <c r="G39881" s="1"/>
      <c r="N39881" s="1"/>
    </row>
    <row r="39882" spans="7:14" x14ac:dyDescent="0.3">
      <c r="G39882" s="1"/>
      <c r="N39882" s="1"/>
    </row>
    <row r="39883" spans="7:14" x14ac:dyDescent="0.3">
      <c r="G39883" s="1"/>
      <c r="N39883" s="1"/>
    </row>
    <row r="39884" spans="7:14" x14ac:dyDescent="0.3">
      <c r="G39884" s="1"/>
      <c r="N39884" s="1"/>
    </row>
    <row r="39885" spans="7:14" x14ac:dyDescent="0.3">
      <c r="G39885" s="1"/>
      <c r="N39885" s="1"/>
    </row>
    <row r="39886" spans="7:14" x14ac:dyDescent="0.3">
      <c r="G39886" s="1"/>
      <c r="N39886" s="1"/>
    </row>
    <row r="39887" spans="7:14" x14ac:dyDescent="0.3">
      <c r="G39887" s="1"/>
      <c r="N39887" s="1"/>
    </row>
    <row r="39888" spans="7:14" x14ac:dyDescent="0.3">
      <c r="G39888" s="1"/>
      <c r="N39888" s="1"/>
    </row>
    <row r="39889" spans="7:14" x14ac:dyDescent="0.3">
      <c r="G39889" s="1"/>
      <c r="N39889" s="1"/>
    </row>
    <row r="39890" spans="7:14" x14ac:dyDescent="0.3">
      <c r="G39890" s="1"/>
      <c r="N39890" s="1"/>
    </row>
    <row r="39891" spans="7:14" x14ac:dyDescent="0.3">
      <c r="G39891" s="1"/>
      <c r="N39891" s="1"/>
    </row>
    <row r="39892" spans="7:14" x14ac:dyDescent="0.3">
      <c r="G39892" s="1"/>
      <c r="N39892" s="1"/>
    </row>
    <row r="39893" spans="7:14" x14ac:dyDescent="0.3">
      <c r="G39893" s="1"/>
      <c r="N39893" s="1"/>
    </row>
    <row r="39894" spans="7:14" x14ac:dyDescent="0.3">
      <c r="G39894" s="1"/>
      <c r="N39894" s="1"/>
    </row>
    <row r="39895" spans="7:14" x14ac:dyDescent="0.3">
      <c r="G39895" s="1"/>
      <c r="N39895" s="1"/>
    </row>
    <row r="39896" spans="7:14" x14ac:dyDescent="0.3">
      <c r="G39896" s="1"/>
      <c r="N39896" s="1"/>
    </row>
    <row r="39897" spans="7:14" x14ac:dyDescent="0.3">
      <c r="G39897" s="1"/>
      <c r="N39897" s="1"/>
    </row>
    <row r="39898" spans="7:14" x14ac:dyDescent="0.3">
      <c r="G39898" s="1"/>
      <c r="N39898" s="1"/>
    </row>
    <row r="39899" spans="7:14" x14ac:dyDescent="0.3">
      <c r="G39899" s="1"/>
      <c r="N39899" s="1"/>
    </row>
    <row r="39900" spans="7:14" x14ac:dyDescent="0.3">
      <c r="G39900" s="1"/>
      <c r="N39900" s="1"/>
    </row>
    <row r="39901" spans="7:14" x14ac:dyDescent="0.3">
      <c r="G39901" s="1"/>
      <c r="N39901" s="1"/>
    </row>
    <row r="39902" spans="7:14" x14ac:dyDescent="0.3">
      <c r="G39902" s="1"/>
      <c r="N39902" s="1"/>
    </row>
    <row r="39903" spans="7:14" x14ac:dyDescent="0.3">
      <c r="G39903" s="1"/>
      <c r="N39903" s="1"/>
    </row>
    <row r="39904" spans="7:14" x14ac:dyDescent="0.3">
      <c r="G39904" s="1"/>
      <c r="N39904" s="1"/>
    </row>
    <row r="39905" spans="7:14" x14ac:dyDescent="0.3">
      <c r="G39905" s="1"/>
      <c r="N39905" s="1"/>
    </row>
    <row r="39906" spans="7:14" x14ac:dyDescent="0.3">
      <c r="G39906" s="1"/>
      <c r="N39906" s="1"/>
    </row>
    <row r="39907" spans="7:14" x14ac:dyDescent="0.3">
      <c r="G39907" s="1"/>
      <c r="N39907" s="1"/>
    </row>
    <row r="39908" spans="7:14" x14ac:dyDescent="0.3">
      <c r="G39908" s="1"/>
      <c r="N39908" s="1"/>
    </row>
    <row r="39909" spans="7:14" x14ac:dyDescent="0.3">
      <c r="G39909" s="1"/>
      <c r="N39909" s="1"/>
    </row>
    <row r="39910" spans="7:14" x14ac:dyDescent="0.3">
      <c r="G39910" s="1"/>
      <c r="N39910" s="1"/>
    </row>
    <row r="39911" spans="7:14" x14ac:dyDescent="0.3">
      <c r="G39911" s="1"/>
      <c r="N39911" s="1"/>
    </row>
    <row r="39912" spans="7:14" x14ac:dyDescent="0.3">
      <c r="G39912" s="1"/>
      <c r="N39912" s="1"/>
    </row>
    <row r="39913" spans="7:14" x14ac:dyDescent="0.3">
      <c r="G39913" s="1"/>
      <c r="N39913" s="1"/>
    </row>
    <row r="39914" spans="7:14" x14ac:dyDescent="0.3">
      <c r="G39914" s="1"/>
      <c r="N39914" s="1"/>
    </row>
    <row r="39915" spans="7:14" x14ac:dyDescent="0.3">
      <c r="G39915" s="1"/>
      <c r="N39915" s="1"/>
    </row>
    <row r="39916" spans="7:14" x14ac:dyDescent="0.3">
      <c r="G39916" s="1"/>
      <c r="N39916" s="1"/>
    </row>
    <row r="39917" spans="7:14" x14ac:dyDescent="0.3">
      <c r="G39917" s="1"/>
      <c r="N39917" s="1"/>
    </row>
    <row r="39918" spans="7:14" x14ac:dyDescent="0.3">
      <c r="G39918" s="1"/>
      <c r="N39918" s="1"/>
    </row>
    <row r="39919" spans="7:14" x14ac:dyDescent="0.3">
      <c r="G39919" s="1"/>
      <c r="N39919" s="1"/>
    </row>
    <row r="39920" spans="7:14" x14ac:dyDescent="0.3">
      <c r="G39920" s="1"/>
      <c r="N39920" s="1"/>
    </row>
    <row r="39921" spans="7:14" x14ac:dyDescent="0.3">
      <c r="G39921" s="1"/>
      <c r="N39921" s="1"/>
    </row>
    <row r="39922" spans="7:14" x14ac:dyDescent="0.3">
      <c r="G39922" s="1"/>
      <c r="N39922" s="1"/>
    </row>
    <row r="39923" spans="7:14" x14ac:dyDescent="0.3">
      <c r="G39923" s="1"/>
      <c r="N39923" s="1"/>
    </row>
    <row r="39924" spans="7:14" x14ac:dyDescent="0.3">
      <c r="G39924" s="1"/>
      <c r="N39924" s="1"/>
    </row>
    <row r="39925" spans="7:14" x14ac:dyDescent="0.3">
      <c r="G39925" s="1"/>
      <c r="N39925" s="1"/>
    </row>
    <row r="39926" spans="7:14" x14ac:dyDescent="0.3">
      <c r="G39926" s="1"/>
      <c r="N39926" s="1"/>
    </row>
    <row r="39927" spans="7:14" x14ac:dyDescent="0.3">
      <c r="G39927" s="1"/>
      <c r="N39927" s="1"/>
    </row>
    <row r="39928" spans="7:14" x14ac:dyDescent="0.3">
      <c r="G39928" s="1"/>
      <c r="N39928" s="1"/>
    </row>
    <row r="39929" spans="7:14" x14ac:dyDescent="0.3">
      <c r="G39929" s="1"/>
      <c r="N39929" s="1"/>
    </row>
    <row r="39930" spans="7:14" x14ac:dyDescent="0.3">
      <c r="G39930" s="1"/>
      <c r="N39930" s="1"/>
    </row>
    <row r="39931" spans="7:14" x14ac:dyDescent="0.3">
      <c r="G39931" s="1"/>
      <c r="N39931" s="1"/>
    </row>
    <row r="39932" spans="7:14" x14ac:dyDescent="0.3">
      <c r="G39932" s="1"/>
      <c r="N39932" s="1"/>
    </row>
    <row r="39933" spans="7:14" x14ac:dyDescent="0.3">
      <c r="G39933" s="1"/>
      <c r="N39933" s="1"/>
    </row>
    <row r="39934" spans="7:14" x14ac:dyDescent="0.3">
      <c r="G39934" s="1"/>
      <c r="N39934" s="1"/>
    </row>
    <row r="39935" spans="7:14" x14ac:dyDescent="0.3">
      <c r="G39935" s="1"/>
      <c r="N39935" s="1"/>
    </row>
    <row r="39936" spans="7:14" x14ac:dyDescent="0.3">
      <c r="G39936" s="1"/>
      <c r="N39936" s="1"/>
    </row>
    <row r="39937" spans="7:14" x14ac:dyDescent="0.3">
      <c r="G39937" s="1"/>
      <c r="N39937" s="1"/>
    </row>
    <row r="39938" spans="7:14" x14ac:dyDescent="0.3">
      <c r="G39938" s="1"/>
      <c r="N39938" s="1"/>
    </row>
    <row r="39939" spans="7:14" x14ac:dyDescent="0.3">
      <c r="G39939" s="1"/>
      <c r="N39939" s="1"/>
    </row>
    <row r="39940" spans="7:14" x14ac:dyDescent="0.3">
      <c r="G39940" s="1"/>
      <c r="N39940" s="1"/>
    </row>
    <row r="39941" spans="7:14" x14ac:dyDescent="0.3">
      <c r="G39941" s="1"/>
      <c r="N39941" s="1"/>
    </row>
    <row r="39942" spans="7:14" x14ac:dyDescent="0.3">
      <c r="G39942" s="1"/>
      <c r="N39942" s="1"/>
    </row>
    <row r="39943" spans="7:14" x14ac:dyDescent="0.3">
      <c r="G39943" s="1"/>
      <c r="N39943" s="1"/>
    </row>
    <row r="39944" spans="7:14" x14ac:dyDescent="0.3">
      <c r="G39944" s="1"/>
      <c r="N39944" s="1"/>
    </row>
    <row r="39945" spans="7:14" x14ac:dyDescent="0.3">
      <c r="G39945" s="1"/>
      <c r="N39945" s="1"/>
    </row>
    <row r="39946" spans="7:14" x14ac:dyDescent="0.3">
      <c r="G39946" s="1"/>
      <c r="N39946" s="1"/>
    </row>
    <row r="39947" spans="7:14" x14ac:dyDescent="0.3">
      <c r="G39947" s="1"/>
      <c r="N39947" s="1"/>
    </row>
    <row r="39948" spans="7:14" x14ac:dyDescent="0.3">
      <c r="G39948" s="1"/>
      <c r="N39948" s="1"/>
    </row>
    <row r="39949" spans="7:14" x14ac:dyDescent="0.3">
      <c r="G39949" s="1"/>
      <c r="N39949" s="1"/>
    </row>
    <row r="39950" spans="7:14" x14ac:dyDescent="0.3">
      <c r="G39950" s="1"/>
      <c r="N39950" s="1"/>
    </row>
    <row r="39951" spans="7:14" x14ac:dyDescent="0.3">
      <c r="G39951" s="1"/>
      <c r="N39951" s="1"/>
    </row>
    <row r="39952" spans="7:14" x14ac:dyDescent="0.3">
      <c r="G39952" s="1"/>
      <c r="N39952" s="1"/>
    </row>
    <row r="39953" spans="7:14" x14ac:dyDescent="0.3">
      <c r="G39953" s="1"/>
      <c r="N39953" s="1"/>
    </row>
    <row r="39954" spans="7:14" x14ac:dyDescent="0.3">
      <c r="G39954" s="1"/>
      <c r="N39954" s="1"/>
    </row>
    <row r="39955" spans="7:14" x14ac:dyDescent="0.3">
      <c r="G39955" s="1"/>
      <c r="N39955" s="1"/>
    </row>
    <row r="39956" spans="7:14" x14ac:dyDescent="0.3">
      <c r="G39956" s="1"/>
      <c r="N39956" s="1"/>
    </row>
    <row r="39957" spans="7:14" x14ac:dyDescent="0.3">
      <c r="G39957" s="1"/>
      <c r="N39957" s="1"/>
    </row>
    <row r="39958" spans="7:14" x14ac:dyDescent="0.3">
      <c r="G39958" s="1"/>
      <c r="N39958" s="1"/>
    </row>
    <row r="39959" spans="7:14" x14ac:dyDescent="0.3">
      <c r="G39959" s="1"/>
      <c r="N39959" s="1"/>
    </row>
    <row r="39960" spans="7:14" x14ac:dyDescent="0.3">
      <c r="G39960" s="1"/>
      <c r="N39960" s="1"/>
    </row>
    <row r="39961" spans="7:14" x14ac:dyDescent="0.3">
      <c r="G39961" s="1"/>
      <c r="N39961" s="1"/>
    </row>
    <row r="39962" spans="7:14" x14ac:dyDescent="0.3">
      <c r="G39962" s="1"/>
      <c r="N39962" s="1"/>
    </row>
    <row r="39963" spans="7:14" x14ac:dyDescent="0.3">
      <c r="G39963" s="1"/>
      <c r="N39963" s="1"/>
    </row>
    <row r="39964" spans="7:14" x14ac:dyDescent="0.3">
      <c r="G39964" s="1"/>
      <c r="N39964" s="1"/>
    </row>
    <row r="39965" spans="7:14" x14ac:dyDescent="0.3">
      <c r="G39965" s="1"/>
      <c r="N39965" s="1"/>
    </row>
    <row r="39966" spans="7:14" x14ac:dyDescent="0.3">
      <c r="G39966" s="1"/>
      <c r="N39966" s="1"/>
    </row>
    <row r="39967" spans="7:14" x14ac:dyDescent="0.3">
      <c r="G39967" s="1"/>
      <c r="N39967" s="1"/>
    </row>
    <row r="39968" spans="7:14" x14ac:dyDescent="0.3">
      <c r="G39968" s="1"/>
      <c r="N39968" s="1"/>
    </row>
    <row r="39969" spans="7:14" x14ac:dyDescent="0.3">
      <c r="G39969" s="1"/>
      <c r="N39969" s="1"/>
    </row>
    <row r="39970" spans="7:14" x14ac:dyDescent="0.3">
      <c r="G39970" s="1"/>
      <c r="N39970" s="1"/>
    </row>
    <row r="39971" spans="7:14" x14ac:dyDescent="0.3">
      <c r="G39971" s="1"/>
      <c r="N39971" s="1"/>
    </row>
    <row r="39972" spans="7:14" x14ac:dyDescent="0.3">
      <c r="G39972" s="1"/>
      <c r="N39972" s="1"/>
    </row>
    <row r="39973" spans="7:14" x14ac:dyDescent="0.3">
      <c r="G39973" s="1"/>
      <c r="N39973" s="1"/>
    </row>
    <row r="39974" spans="7:14" x14ac:dyDescent="0.3">
      <c r="G39974" s="1"/>
      <c r="N39974" s="1"/>
    </row>
    <row r="39975" spans="7:14" x14ac:dyDescent="0.3">
      <c r="G39975" s="1"/>
      <c r="N39975" s="1"/>
    </row>
    <row r="39976" spans="7:14" x14ac:dyDescent="0.3">
      <c r="G39976" s="1"/>
      <c r="N39976" s="1"/>
    </row>
    <row r="39977" spans="7:14" x14ac:dyDescent="0.3">
      <c r="G39977" s="1"/>
      <c r="N39977" s="1"/>
    </row>
    <row r="39978" spans="7:14" x14ac:dyDescent="0.3">
      <c r="G39978" s="1"/>
      <c r="N39978" s="1"/>
    </row>
    <row r="39979" spans="7:14" x14ac:dyDescent="0.3">
      <c r="G39979" s="1"/>
      <c r="N39979" s="1"/>
    </row>
    <row r="39980" spans="7:14" x14ac:dyDescent="0.3">
      <c r="G39980" s="1"/>
      <c r="N39980" s="1"/>
    </row>
    <row r="39981" spans="7:14" x14ac:dyDescent="0.3">
      <c r="G39981" s="1"/>
      <c r="N39981" s="1"/>
    </row>
    <row r="39982" spans="7:14" x14ac:dyDescent="0.3">
      <c r="G39982" s="1"/>
      <c r="N39982" s="1"/>
    </row>
    <row r="39983" spans="7:14" x14ac:dyDescent="0.3">
      <c r="G39983" s="1"/>
      <c r="N39983" s="1"/>
    </row>
    <row r="39984" spans="7:14" x14ac:dyDescent="0.3">
      <c r="G39984" s="1"/>
      <c r="N39984" s="1"/>
    </row>
    <row r="39985" spans="7:14" x14ac:dyDescent="0.3">
      <c r="G39985" s="1"/>
      <c r="N39985" s="1"/>
    </row>
    <row r="39986" spans="7:14" x14ac:dyDescent="0.3">
      <c r="G39986" s="1"/>
      <c r="N39986" s="1"/>
    </row>
    <row r="39987" spans="7:14" x14ac:dyDescent="0.3">
      <c r="G39987" s="1"/>
      <c r="N39987" s="1"/>
    </row>
    <row r="39988" spans="7:14" x14ac:dyDescent="0.3">
      <c r="G39988" s="1"/>
      <c r="N39988" s="1"/>
    </row>
    <row r="39989" spans="7:14" x14ac:dyDescent="0.3">
      <c r="G39989" s="1"/>
      <c r="N39989" s="1"/>
    </row>
    <row r="39990" spans="7:14" x14ac:dyDescent="0.3">
      <c r="G39990" s="1"/>
      <c r="N39990" s="1"/>
    </row>
    <row r="39991" spans="7:14" x14ac:dyDescent="0.3">
      <c r="G39991" s="1"/>
      <c r="N39991" s="1"/>
    </row>
    <row r="39992" spans="7:14" x14ac:dyDescent="0.3">
      <c r="G39992" s="1"/>
      <c r="N39992" s="1"/>
    </row>
    <row r="39993" spans="7:14" x14ac:dyDescent="0.3">
      <c r="G39993" s="1"/>
      <c r="N39993" s="1"/>
    </row>
    <row r="39994" spans="7:14" x14ac:dyDescent="0.3">
      <c r="G39994" s="1"/>
      <c r="N39994" s="1"/>
    </row>
    <row r="39995" spans="7:14" x14ac:dyDescent="0.3">
      <c r="G39995" s="1"/>
      <c r="N39995" s="1"/>
    </row>
    <row r="39996" spans="7:14" x14ac:dyDescent="0.3">
      <c r="G39996" s="1"/>
      <c r="N39996" s="1"/>
    </row>
    <row r="39997" spans="7:14" x14ac:dyDescent="0.3">
      <c r="G39997" s="1"/>
      <c r="N39997" s="1"/>
    </row>
    <row r="39998" spans="7:14" x14ac:dyDescent="0.3">
      <c r="G39998" s="1"/>
      <c r="N39998" s="1"/>
    </row>
    <row r="39999" spans="7:14" x14ac:dyDescent="0.3">
      <c r="G39999" s="1"/>
      <c r="N39999" s="1"/>
    </row>
    <row r="40000" spans="7:14" x14ac:dyDescent="0.3">
      <c r="G40000" s="1"/>
      <c r="N40000" s="1"/>
    </row>
    <row r="40001" spans="7:14" x14ac:dyDescent="0.3">
      <c r="G40001" s="1"/>
      <c r="N40001" s="1"/>
    </row>
  </sheetData>
  <phoneticPr fontId="18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customers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ANOOJ KRISHNAN</cp:lastModifiedBy>
  <dcterms:created xsi:type="dcterms:W3CDTF">2026-10-20T16:04:14Z</dcterms:created>
  <dcterms:modified xsi:type="dcterms:W3CDTF">2026-10-24T10:42:17Z</dcterms:modified>
</cp:coreProperties>
</file>